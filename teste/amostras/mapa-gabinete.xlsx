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 de emendas" sheetId="1" r:id="rId5"/>
    <sheet state="visible" name="Página17" sheetId="2" r:id="rId6"/>
    <sheet state="visible" name="Página16" sheetId="3" r:id="rId7"/>
    <sheet state="visible" name="Página15" sheetId="4" r:id="rId8"/>
    <sheet state="hidden" name="Regiões" sheetId="5" r:id="rId9"/>
    <sheet state="visible" name="SEC. SEGURANÇA E DEFESA" sheetId="6" r:id="rId10"/>
    <sheet state="visible" name="FLYER REGIÃO MARCEL" sheetId="7" r:id="rId11"/>
    <sheet state="visible" name="Região Lorentz" sheetId="8" r:id="rId12"/>
    <sheet state="visible" name="Serra Gaúcha" sheetId="9" r:id="rId13"/>
    <sheet state="visible" name="Emendas SAÚDE 2021" sheetId="10" r:id="rId14"/>
    <sheet state="visible" name="Infraestrutura" sheetId="11" r:id="rId15"/>
    <sheet state="visible" name="Emendas saúde 2022" sheetId="12" r:id="rId16"/>
    <sheet state="visible" name="Santa Maria e S. Borja" sheetId="13" r:id="rId17"/>
    <sheet state="visible" name="Vale dos Sinos - Paranhana" sheetId="14" r:id="rId18"/>
    <sheet state="visible" name="VERSÃO REDUZIDA Vale dos Sinos " sheetId="15" r:id="rId19"/>
    <sheet state="hidden" name="backup" sheetId="16" r:id="rId20"/>
  </sheets>
  <definedNames>
    <definedName hidden="1" localSheetId="0" name="_xlnm._FilterDatabase">'Mapa de emendas'!$A$1:$Q$765</definedName>
    <definedName hidden="1" localSheetId="1" name="_xlnm._FilterDatabase">'Página17'!$A$1:$C$1001</definedName>
    <definedName hidden="1" localSheetId="2" name="_xlnm._FilterDatabase">'Página16'!$A$1:$C$1001</definedName>
    <definedName hidden="1" localSheetId="5" name="_xlnm._FilterDatabase">'SEC. SEGURANÇA E DEFESA'!$A$1:$O$74</definedName>
    <definedName hidden="1" localSheetId="6" name="_xlnm._FilterDatabase">'FLYER REGIÃO MARCEL'!$A$1:$L$277</definedName>
    <definedName hidden="1" localSheetId="7" name="_xlnm._FilterDatabase">'Região Lorentz'!$A$1:$O$275</definedName>
    <definedName hidden="1" localSheetId="8" name="_xlnm._FilterDatabase">'Serra Gaúcha'!$A$1:$O$251</definedName>
    <definedName hidden="1" localSheetId="9" name="_xlnm._FilterDatabase">'Emendas SAÚDE 2021'!$A$1:$O$36</definedName>
    <definedName hidden="1" localSheetId="12" name="_xlnm._FilterDatabase">'Santa Maria e S. Borja'!$A$1:$N$163</definedName>
    <definedName hidden="1" localSheetId="13" name="_xlnm._FilterDatabase">'Vale dos Sinos - Paranhana'!$A$1:$J$21</definedName>
    <definedName hidden="1" localSheetId="14" name="_xlnm._FilterDatabase">'VERSÃO REDUZIDA Vale dos Sinos '!$A$1:$I$21</definedName>
    <definedName hidden="1" localSheetId="15" name="_xlnm._FilterDatabase">backup!$A$1:$S$996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tc={c60bd629-5a80-4c90-9c37-b8f505c3a43b}</author>
  </authors>
  <commentList>
    <comment authorId="0" xr:uid="{c60bd629-5a80-4c90-9c37-b8f505c3a43b}" ref="A1">
      <text>
        <t xml:space="preserve">[Threaded comment]
 Your version of Excel allows you to read this threaded comment; however, any edits to it will get removed if the file is opened in a newer version of Excel. Learn more: https://go.microsoft.com/fwlink/?linkid=870924
Comment:
	Inserido por Hiago, com a finalidade de aparecer no mapa de emendas.
</t>
      </text>
    </comment>
  </commentList>
</comments>
</file>

<file path=xl/sharedStrings.xml><?xml version="1.0" encoding="utf-8"?>
<sst xmlns="http://schemas.openxmlformats.org/spreadsheetml/2006/main" count="20346" uniqueCount="3476">
  <si>
    <t>Ano</t>
  </si>
  <si>
    <t>Área</t>
  </si>
  <si>
    <t>Cidade 1</t>
  </si>
  <si>
    <t>Contemplado</t>
  </si>
  <si>
    <t>Cidade</t>
  </si>
  <si>
    <t>Cerro Branco</t>
  </si>
  <si>
    <t>Investimento em Atenção Especializada em Saúde</t>
  </si>
  <si>
    <t>Saúde</t>
  </si>
  <si>
    <t>Região</t>
  </si>
  <si>
    <t>Investimento em Atenção Primária à Saúde</t>
  </si>
  <si>
    <t>Endereço</t>
  </si>
  <si>
    <t>Beneficiário</t>
  </si>
  <si>
    <t>CNPJ Beneficiário</t>
  </si>
  <si>
    <t>Inscrição</t>
  </si>
  <si>
    <t>Município</t>
  </si>
  <si>
    <t>Valor solicitado</t>
  </si>
  <si>
    <t>Instituição</t>
  </si>
  <si>
    <t>Valor destinado</t>
  </si>
  <si>
    <t>Apoio a Projetos de Infraestrutura Turística</t>
  </si>
  <si>
    <t>Nº da Emenda</t>
  </si>
  <si>
    <t>Infraestrutura Turística</t>
  </si>
  <si>
    <t>Resumo do Projeto</t>
  </si>
  <si>
    <t>Objeto do Projeto</t>
  </si>
  <si>
    <t>Endereço de e-mail</t>
  </si>
  <si>
    <t>Área de alocação</t>
  </si>
  <si>
    <t>Transferências Especiais para investimento em Segurança Pública</t>
  </si>
  <si>
    <t>População do município</t>
  </si>
  <si>
    <t>Segurança Pública</t>
  </si>
  <si>
    <t>Nome do responsável</t>
  </si>
  <si>
    <t>Modalidade</t>
  </si>
  <si>
    <t>Telefone</t>
  </si>
  <si>
    <t>E-mail</t>
  </si>
  <si>
    <t>Valores destinados</t>
  </si>
  <si>
    <t>E-mail da Prefeitura</t>
  </si>
  <si>
    <t>CPF</t>
  </si>
  <si>
    <t>CNPJ do Fundo Municipal da Saúde</t>
  </si>
  <si>
    <t>O município possui teto MAC para receber os recursos da emenda parlamentar?</t>
  </si>
  <si>
    <t>Observação</t>
  </si>
  <si>
    <t>Total da receita prevista em 2022 (em R$)</t>
  </si>
  <si>
    <t>Tipo da emenda</t>
  </si>
  <si>
    <t>Total da receita arrecadada em 2022 (em R$)</t>
  </si>
  <si>
    <t>Situação</t>
  </si>
  <si>
    <t>Total da despesa liquidada em 2022 (em R$)</t>
  </si>
  <si>
    <t>Informações adicionais</t>
  </si>
  <si>
    <t>Receita corrente líquida em 2022 (em R$)</t>
  </si>
  <si>
    <t>Andamento</t>
  </si>
  <si>
    <t>Aceguá</t>
  </si>
  <si>
    <t>Alvorada</t>
  </si>
  <si>
    <t>Gramado</t>
  </si>
  <si>
    <t>Nova Palma</t>
  </si>
  <si>
    <t>Água Santa</t>
  </si>
  <si>
    <t>Despesa com pessoal do Poder Executivo municipal em 2022 (em R$)</t>
  </si>
  <si>
    <t>Sao Sebastiao Do Cai</t>
  </si>
  <si>
    <t>São Sebastião do Caí</t>
  </si>
  <si>
    <t>Agudo</t>
  </si>
  <si>
    <t>A Prefeitura dispõe de profissionais/recursos humanos necessários para operar o equipamento solicitado?</t>
  </si>
  <si>
    <t>Arambare</t>
  </si>
  <si>
    <t>A Prefeitura dispõe de estrutura física necessária para por em funcionamento o equipamento solicitado?</t>
  </si>
  <si>
    <t>Cotipora</t>
  </si>
  <si>
    <t>Justificativa do Projeto</t>
  </si>
  <si>
    <t>Cotiporã</t>
  </si>
  <si>
    <t>Qual é o objetivo geral do Projeto?</t>
  </si>
  <si>
    <t>Ajuricaba</t>
  </si>
  <si>
    <t>Detalhe o público-alvo do Projeto</t>
  </si>
  <si>
    <t>Descreva os resultados esperados após a execução do Projeto</t>
  </si>
  <si>
    <t>Resumo</t>
  </si>
  <si>
    <t>Arroio Do Meio</t>
  </si>
  <si>
    <t>Avenida das Hortênsias, 2029 - Centro, Gramado - RS, CEP 95670-000, Brasil</t>
  </si>
  <si>
    <t>Alecrim</t>
  </si>
  <si>
    <t>Vera Cruz</t>
  </si>
  <si>
    <t>Campo Bom</t>
  </si>
  <si>
    <t>Alegrete</t>
  </si>
  <si>
    <t>R$ 220.400,00</t>
  </si>
  <si>
    <t>Arroio Do Tigre</t>
  </si>
  <si>
    <t>Prefeitura Municipal</t>
  </si>
  <si>
    <t>Bento Goncalves</t>
  </si>
  <si>
    <t>Bento Gonçalves</t>
  </si>
  <si>
    <t>Alegria</t>
  </si>
  <si>
    <t>Através da aquisição de 1 (uma) mesa cirúrgica elétrica, 5 (cinco) monitores multiparamétricos, 1 (um)desfibrilador automático de mesa, 1 (um) eletrocautério e 2 (dois) carros-maca hidráulicos, o Município de Ivoti visa a qualificar e ampliar os serviços de média complexidade já ofertados pelo poder público municipal. Com esse projeto, pretende-se atender o usuário de serviços de média complexidade com maior agilidade, qualidade e resolutividade, bem como reduzir as filas de espera para as especialidades pactuadas, impactando positivamente a região. O projeto visa a captar R$ 200.000,00 e atender os usuários do serviços público de saúde.</t>
  </si>
  <si>
    <t>Defesa Civil</t>
  </si>
  <si>
    <t>Aquisição de um Aparelho de Anestesia com Monitor Multiparâmetros</t>
  </si>
  <si>
    <t>Bom Principio</t>
  </si>
  <si>
    <t>Bom Princípio</t>
  </si>
  <si>
    <t>CLEIDIANE@CAMPOBOM.RS.GOV.BR</t>
  </si>
  <si>
    <t>Custeio</t>
  </si>
  <si>
    <t>Almirante Tamandaré do Sul</t>
  </si>
  <si>
    <t>CLEIDIANE SANMARTIM</t>
  </si>
  <si>
    <t>Cachoeira Do Sul</t>
  </si>
  <si>
    <t>51 3598-8689</t>
  </si>
  <si>
    <t>Emenda Individual</t>
  </si>
  <si>
    <t>gabinetepmcb@campobom.rs.gov.br</t>
  </si>
  <si>
    <t>Sim</t>
  </si>
  <si>
    <t>R$317.800.000,00</t>
  </si>
  <si>
    <t>R$336.969.496,53</t>
  </si>
  <si>
    <t>R$314.830.623,62</t>
  </si>
  <si>
    <t>R$333.821.771,97</t>
  </si>
  <si>
    <t>Rio Grande</t>
  </si>
  <si>
    <t>Alpestre</t>
  </si>
  <si>
    <t>R$161.712.068,13 - 48,45%</t>
  </si>
  <si>
    <t>Marinha, Rio Grande,RS</t>
  </si>
  <si>
    <t>Fundo Naval</t>
  </si>
  <si>
    <t>Dois Irmaos</t>
  </si>
  <si>
    <t>Dois Irmãos</t>
  </si>
  <si>
    <t>Alto Alegre</t>
  </si>
  <si>
    <t xml:space="preserve">O Hospital de Campo Bom Dr. Lauro Réus é referência para a população do município. Conta com 91 leitos de internação e serviço de urgência e emergência 24h referência para uma população regional de 840 mil hab. Atende a linha de cuidado de maternidade risco habitual, cirurgia geral e traumatologia, referência para 140 mil hab. Possui ambulatório de especialidades, procedimentos ambulatoriais, exames de diagnóstico diversos e laboratório de análises clínicas. Os atendimentos são quase 100% a usuários do Sistema Único de Saúde – SUS.
O centro cirúrgico do hospital, conta com três salas de cirurgias e apenas duas em operação, devido a falta de equipamentos necessários para funcionamento da terceira. Para abreviar a lista de espera da população por cirurgias eletivas (demanda reprimida), trazendo resolutividade e cuidado a população é necessária a aquisição do carro de anestesia para ativar esta sala e ampliar o número de cirurgias, visando atender a população em fila de espera. </t>
  </si>
  <si>
    <t>Faxinal Do Soturno</t>
  </si>
  <si>
    <t>Ativar a terceira sala de cirurgia eletiva do Hospital que não opera por falta de equipamentos, através da aquisição de um carro de anestesia para abreviar a fila de espera da população.</t>
  </si>
  <si>
    <t>Pacientes com necessidade de intervenção cirúrgica, oriundos do Sistema Único de Saúde - SUS da região do Vale do Sinos.</t>
  </si>
  <si>
    <t>Espera-se abreviar a fila de espera, através da resolutividade dademanda existente de forma local, gerando cuidado; bem-estar e sobrevida a população.</t>
  </si>
  <si>
    <t>Equipamentos para reduzir fila de cirurgias eletivas.</t>
  </si>
  <si>
    <t>Recurso pago</t>
  </si>
  <si>
    <t>Alto Feliz</t>
  </si>
  <si>
    <t>Caxias Do Sul</t>
  </si>
  <si>
    <t>R$ 300.000,00</t>
  </si>
  <si>
    <t>Feliz</t>
  </si>
  <si>
    <t>Lajeado</t>
  </si>
  <si>
    <t>Bagé</t>
  </si>
  <si>
    <t>Amaral Ferrador</t>
  </si>
  <si>
    <t>O município de Quaraí tem uma população de aproximadamente 24 mil habitantes, pertence a 10ªCoordenadoria Regional de Saúde. Está localizado na região da fronteira oeste do Estado do Rio Grande do Sul, a aproximadamente a 600km da capital gaúcha, 350 km de Santa Maria, 127 km de Uruguaiana ,106 Km de Santana do Livramento, 115Km de Alegrete e a 428km de Ijuí, sendo esses os principais destinos dos atendimentos tratamentos de fora do domícilio via GERCON.  E de extrema relevância um meio de transporte adequado e seguro nos atendimentos dos usuários que necessitam realizar procedimentos de caráter eletivos e regulados em situações previsíveis de atenção programada nos municípios de referências disponibilizados. Destaca-se também o atendimento das gestantes de alto risco os quais são realizados no AGAR de Alegrete, sendo um público prioritário e que requer acompanhantes em todos atendimentos.</t>
  </si>
  <si>
    <t>Pelotas</t>
  </si>
  <si>
    <t>O objeto do projeto é a aquisição de equipamento de ultrassonografia para a Central de Exames Complementares da Secretaria Municipal de Saúde.</t>
  </si>
  <si>
    <t>afandrade@caxias.rs.gov.br</t>
  </si>
  <si>
    <t>Ametista do Sul</t>
  </si>
  <si>
    <t>Cachoeirinha</t>
  </si>
  <si>
    <t>Andréia Félix Andrade</t>
  </si>
  <si>
    <t>54 3290-4487</t>
  </si>
  <si>
    <t>gabinetesaude@caxias.rs.gov.br</t>
  </si>
  <si>
    <t>Porto Alegre</t>
  </si>
  <si>
    <t>R$2.646.757.248,65</t>
  </si>
  <si>
    <t>R$2.845.053.101,00</t>
  </si>
  <si>
    <t>R$2.718.657.631,66</t>
  </si>
  <si>
    <t>R$2.273.901.606,69</t>
  </si>
  <si>
    <t>R$1.110.788.132,79</t>
  </si>
  <si>
    <t>André da Rocha</t>
  </si>
  <si>
    <t>A aquisição do equipamento se justifica pela necessidade de suprir o atendimento à demanda crescente de usuários SUS que registra, atualmente, uma demanda reprimida de exames ecográficos em torno de 6000 unidades.</t>
  </si>
  <si>
    <t>O objetivo geral do projeto visa melhorar a qualidade do serviço, permitindo o diagnóstico adequado e o manejo rápido dos pacientes, com consequente preservação da vida.</t>
  </si>
  <si>
    <t>9ª Delegacia de Polícia Regional – Bagé, Bagé, RS</t>
  </si>
  <si>
    <t>Atendimento da população em geral do município de Caxias do Sul e os demais 49 municípios da 5ª CRS.</t>
  </si>
  <si>
    <t>Manter e melhorar a qualidade do serviço, atendendo a demanda reprimida de exames ecográficos.</t>
  </si>
  <si>
    <t>Polícia Civil</t>
  </si>
  <si>
    <t>Equipamento para diagnóstico por imagem ultrassônica.</t>
  </si>
  <si>
    <t>Encantado</t>
  </si>
  <si>
    <t>R$ 192.000,00</t>
  </si>
  <si>
    <t>Aquisição de equipamentos médicos para a CASA DA MULHER, oportunizando melhoria de qualidade de vida a todas mulheres, com diagnóstico rápido, preciso, sendo adquirido os seguintes equipamentos: ultrassom diagnóstico sem aplicação transesofágica; mesa para exames ginecológicos elétrica, colposcópio com camara, monitor;  e tela de projeção.</t>
  </si>
  <si>
    <t>Aquisição de equipamentos</t>
  </si>
  <si>
    <t>arquitetura@encantado-rs.com.br</t>
  </si>
  <si>
    <t>9ª Delegacia de Polícia Regional – Bagé</t>
  </si>
  <si>
    <t>Santa Cruz Do Sul</t>
  </si>
  <si>
    <t>ANA DELSA TRONCO CIVARDI</t>
  </si>
  <si>
    <t>Transferências Especiais para investimento em Saúde</t>
  </si>
  <si>
    <t>Anta Gorda</t>
  </si>
  <si>
    <t>Segurança pública</t>
  </si>
  <si>
    <t>Investimento</t>
  </si>
  <si>
    <t>Antônio Prado</t>
  </si>
  <si>
    <t>Candelaria</t>
  </si>
  <si>
    <t>Emenda individual</t>
  </si>
  <si>
    <t xml:space="preserve">Encantado possui somente um Hospital que presta serviços especializados e de emergência para toda a população local e regional. Estamos montando a CASA DA MULHER, onde ofereceremos atendimentos médicos especializados, tendo um atendimento diferenciado. Para tal precisamos que de equipamentos específicos para este atendimento. 
 Com isto, teremos um atendimento de qualidade e preciso, com tecnologia e agilidade. </t>
  </si>
  <si>
    <t>Aquisição de equipamentos para disponibilizar nos atendimentos especializados de média  complexidade, na CASA DE MULHER.</t>
  </si>
  <si>
    <t>Recurso empenhado. Inexigibilidade de licitação aceita pelo Ministério. Recurso pago em 25/04/2022. De acordo com consulta feita no Transferegov, em 03/04/2024, não é possível afirmar que foi pago. Há dois convênio com o MS vinculados a essa emenda, um deles vigente até 04/2025. Será necessário consultar o órgão para verificar se o valor referente à Polícia Civil de Bagé foi recebido.</t>
  </si>
  <si>
    <t>Candelária</t>
  </si>
  <si>
    <t>Toda as mulheres do Município.</t>
  </si>
  <si>
    <t>Aquisição de Ferramenta Forense para extração, processamento e apoio na análise de dados e informações a partir de plataformas eletrônicas portáteis para estruturar a 9ª Delegacia de Polícia Regional do Interior - Bagé.</t>
  </si>
  <si>
    <t>Melhoria da qualidade de vida das mulheres, com realização de exames específicos, oportunizando rápido encaminhamento para procedimentos e tratamentos médicos necessários</t>
  </si>
  <si>
    <t>Arambaré</t>
  </si>
  <si>
    <t>Equipamentos médicos para a CASA DA MULHER</t>
  </si>
  <si>
    <t>Esteio</t>
  </si>
  <si>
    <t>Flores Da Cunha</t>
  </si>
  <si>
    <t>R$ 130.000,00</t>
  </si>
  <si>
    <t>A aquisição das cadeiras odontológicas é muito importante, pois  podem ser consideradas  um dos principais equipamentos de trabalho dos serviços odontológicos, na qual facilitam o trabalho dos profissionais durante o tratamento bucal, mantendo o paciente confortável para que os procedimentos sejam realizados de forma rápida e precisa. Já, a aquisição do veículo possibilitará melhor atendimento médico e também a ampliação do atendimento domiciliar das equipes de saúde, uma vez que viabilizará  a visita aos pacientes que não conseguem se deslocar até a unidade. Além das visitas regulares, a aquisição também possibilita a entrega de medicações, atendimentos em residência e coleta.</t>
  </si>
  <si>
    <t>Aquisição de um veículo de passeio com câmbio automático e aquisição de duas cadeiras odontológicas para a utilização na UBS - Centro de Saúde Irmã Benedita Zorzi.</t>
  </si>
  <si>
    <t>dppu@floresdacunha.rs.gov.br</t>
  </si>
  <si>
    <t>Rosiane Machado Pradella</t>
  </si>
  <si>
    <t>(54)3279-3600</t>
  </si>
  <si>
    <t>planejamento@floresdacunha.rs.gov.br</t>
  </si>
  <si>
    <t>R$125.498.321,00</t>
  </si>
  <si>
    <t>Barão de Cotegipe</t>
  </si>
  <si>
    <t>R$162.115.259,41</t>
  </si>
  <si>
    <t>R$127.730.682,21</t>
  </si>
  <si>
    <t>Araricá</t>
  </si>
  <si>
    <t>R$138.539.650,06</t>
  </si>
  <si>
    <t>Canoas</t>
  </si>
  <si>
    <t>O Projeto que visa a aquisição de 01 veículo de passeio  com câmbio automático a ser utilizado na  Unidade Básica de Saúde - Centro de Saúde Irmã Benedita Zorzi é muito importante, tendo em vista a necessidade de deslocamentos recorrentes por parte dos servidores a fim de resolver questões da saúde em todo o município. 
O Centro de Saúde Irmã Benedita Zorzi está em fase de ampliação e estão previstas salas para atendimento odontológico, justificando assim, a  aquisição de 2 cadeiras odontológicas para melhor atender a população municipal</t>
  </si>
  <si>
    <t>Farroupilha</t>
  </si>
  <si>
    <t>O Objetivo geral do Projeto é proporcionar um melhor atendimento à população municipal, melhorando a qualidade de saúde e de vidas das pessoas.</t>
  </si>
  <si>
    <t>Servidores públicos da Prefeitura Municipal que exercem suas funções junto à Unidade Básica de Saúde - Centro de Saúde Irmã Benedita Zorzi, bem como, a população urbana e rural do município que necessita e busca atendimento junto à UBS.</t>
  </si>
  <si>
    <t xml:space="preserve">Cadeiras odontológicas - facilidade para os profissionais durante o tratamento bucal, mantendo o paciente confortável para que os procedimentos sejam realizados de forma rápida e precisa. 
Veículo - melhor atendimento médico e também, a ampliação do atendimento domiciliar das equipes de saúde, uma vez que permitirá visitas aos pacientes que não podem se deslocar até a unidade. </t>
  </si>
  <si>
    <t>Cadeiras odontológicas</t>
  </si>
  <si>
    <t>Aratiba</t>
  </si>
  <si>
    <t>Gravataí</t>
  </si>
  <si>
    <t>R$ 569.226,00</t>
  </si>
  <si>
    <t>Prefeitura Municipal, Barão de Cotegipe, RS</t>
  </si>
  <si>
    <t>Igrejinha</t>
  </si>
  <si>
    <t>Arroio do Meio</t>
  </si>
  <si>
    <t>Saúde (Custeio - PAB)</t>
  </si>
  <si>
    <t>A Política Nacional de Atenção às Urgências é uma política baseada em serviços descentralizados, em regime de gestão pactuada entre as três esferas de governo, tendo os municípios autonomia relativa (Granja et al., 2013; Uchimura et al., 2015). 
Nossa solicitação de emenda parlamentar visa adquirir uma nova Unidade Móvel de Saúde – SAMU e três equipamentos cardioversores, mediante recursos da União, no valor de R$ 569.226,00. 
Como resultado, focamos em tecnologia, eficiência, segurança e qualidade nos atendimentos de emergência aos residentes de Gravataí e Cachoeirinha, além de maior segurança à equipe multiprofissional, no exercício de suas funções, contando com aumento de 10% no número de atendimentos realizados pelo SAMU. 
Por fim, tal emenda tanto qualificará os atendimentos, quanto proporcionará ampliação e racionalização do uso dos recursos públicos, em equipe e manutenção de equipamentos, possibilitando um salto de eficiência na assistência prestada.</t>
  </si>
  <si>
    <t>Captação de recursos para aquisição de uma Unidade Móvel de Saúde – SAMU e três equipamentos cardioversores, no valor de R$ 569.226,00 (Quinhentos e sessenta e nove mil duzentos e vinte e seis reais).</t>
  </si>
  <si>
    <t>sms.habilitacoes@gravatai.rs.gov.br</t>
  </si>
  <si>
    <t>Simone Stochero Kummer</t>
  </si>
  <si>
    <t>Ivoti</t>
  </si>
  <si>
    <t>(51) 9.9967-5945</t>
  </si>
  <si>
    <t xml:space="preserve">Emenda Individual </t>
  </si>
  <si>
    <t>sms@gravatai.rs.gov.br</t>
  </si>
  <si>
    <t>Arroio do Sal</t>
  </si>
  <si>
    <t>R$928.717.000,00</t>
  </si>
  <si>
    <t>R$992.424.370,87</t>
  </si>
  <si>
    <t>R$959.061.817,33</t>
  </si>
  <si>
    <t>Jaguari</t>
  </si>
  <si>
    <t>R$938.197.669,82</t>
  </si>
  <si>
    <t>R$ 384.996.01,02</t>
  </si>
  <si>
    <t>Arroio do Padre</t>
  </si>
  <si>
    <t>Lindolfo Collor</t>
  </si>
  <si>
    <t>Nossos equipamentos tem apresentado repetidas necessidades de manutenção, reduzindo tempo de oferta do serviço aos usuários do SUS e/ou oferecendo risco à vida dos pacientes, considerando a imprevisibilidade dos problemas. Um atendimento qualificado e eficaz na Unidade Móvel de Saúde – SAMU-192, articulado com uma boa estrutura para o acolhimento e atendimento sequencial nas Unidades de Pronto Atendimento Municipal – UPAs, é essencial para atender efetivamente às necessidades pontuais de cada paciente.  Com a Unidade, reduziremos o tempo de inatividade das equipes técnicas e alcançaremos um progresso de 10% nos atendimentos. Em 2022 tivemos 8.865 atendimentos e 876 transportes medicalizados; temos elevada quilometragem rodada em grande extensão área de cobertura para suporte avançado (512.066 Km²); Unidades Móveis datam de 2013 e 2019. Geograficamente, Gravataí é recortada por 03 precárias rodovias estaduais e 01 rodovia federal, que geram15% dos nossos atendimentos de traumas graves.</t>
  </si>
  <si>
    <t>Ampliar eficiência e qualidade na Urgência e Emergência de Gravataí, com tecnologia adequadas, desde o primeiro contato até o momento da estabilização de saúde, nas Unidades de Pronto Atendimento.</t>
  </si>
  <si>
    <t>População de 414.860 habitantes, residentes de Gravataí e Cachoeirinha, em suas demandas espontâneas e a partir dos atendimentos gerados em toda a rede básica, especializada e de urgência e emergência, de ambos os territórios municipais.</t>
  </si>
  <si>
    <t>Arroio dos Ratos</t>
  </si>
  <si>
    <t>Segurança aos pacientes em urgências, com tecnologia qualificada e eficaz. Estima-se aumento de 10% nos atendimentos SAMU-192 e disponibilidade de uma Unidade Móvel como reserva técnica. Redução do desperdício da carga horária multiprofissional, por falta de disponibilidade da Unidade Móvel, bem como redução de custos exorbitantes com serviços de manutenção, provenientes dos cofres municipais.</t>
  </si>
  <si>
    <t>Charqueadas</t>
  </si>
  <si>
    <t>Unidade Móvel de Saúde – SAMU e três equipamentos cardioversores</t>
  </si>
  <si>
    <t>Nova Petropolis</t>
  </si>
  <si>
    <t>Nova Petrópolis</t>
  </si>
  <si>
    <t>Prefeitura</t>
  </si>
  <si>
    <t>Arroio do Tigre</t>
  </si>
  <si>
    <t>O Município de Igrejinha pretende modernizar a sua infraestrutura de TI,  adquirindo 40 computadores para interligar as 14 estruturas de saúde do Município, e através da utilização de Sistemas de Informação em Saúde, agilizar o protocolo de atendimento dos pacientes,  diminuindo o tempo de espera entre a marcação das consultas, atendimento, regulação e dispensação de medicamentos, além de munir os profissionais de saúde de informações para facilitar o diagnóstico e o tratamento desses pacientes.</t>
  </si>
  <si>
    <t>Passo Do Sobrado</t>
  </si>
  <si>
    <t>Aquisição de Computadores</t>
  </si>
  <si>
    <t>saude@igrejinha.rs.gov.br</t>
  </si>
  <si>
    <t>Vinicio Jair Wallauer</t>
  </si>
  <si>
    <t>viniciowallauer@gmail.com</t>
  </si>
  <si>
    <t>Custeio dos Serviços de Atenção Primária à Saúde</t>
  </si>
  <si>
    <t>Emenda individual (processo seletivo 2021)</t>
  </si>
  <si>
    <t>R$144.300.000,00</t>
  </si>
  <si>
    <t>R$168.083.845,22</t>
  </si>
  <si>
    <t>R$170.580.499,53</t>
  </si>
  <si>
    <t>R$163.321.270,46</t>
  </si>
  <si>
    <t>Câmara para conservação de vacinas, medicamentos e termolábeis de 420L para a UBS do município.</t>
  </si>
  <si>
    <t>R$70.761.206,06</t>
  </si>
  <si>
    <t>A qualificação no atendimento da população na área de saúde requer que todas as estruturas funcionem em rede, de forma síncrona e para isso são necessários além de  recursos humanos,  equipamentos de processamento e de comunicação de dados. O Município possui 14 unidades de saúde (ESF, UBS, Farmácia, CAPS) e 1 Hospital,  que precisam estar interligados para atender a comunidade e isso é feito através de Sistemas de Informação em Saúde. Os Sistemas de Informação em saúde utilizados no município de Igrejinha possibilitam esse atendimento em rede,  porém o aperfeiçoamento tecnológico e a expansão da quantidade de dados a serem processados exigem uma infraestrutura de TI mais robusta e atualizada. Sabemos que na área  de saúde o tempo é fundamental e para otimizar esse tempo,  é necessário  que todos os atores do sistema possam ter as informações necessárias em tempo real.</t>
  </si>
  <si>
    <t>Custeio dos Serviços de Média e Alta Complexidade</t>
  </si>
  <si>
    <t>Arroio Grande</t>
  </si>
  <si>
    <t>Novo Hamburgo</t>
  </si>
  <si>
    <t>Adquirir computadores mais modernos e com maior poder de processamento e substituir os equipamentos obsoletos e ultrapassados para possibilitar mais agilidade e modernidade no atendimento à população.</t>
  </si>
  <si>
    <t>O Público alvo do projeto são os usuários do SUS em Igrejinha cobertos pela Atenção Primária em Saúde, que representam mais de 90% da população de Igrejinha,  perfazendo uma estimativa de mais de 33 mil pessoas.</t>
  </si>
  <si>
    <t>Picada Cafe</t>
  </si>
  <si>
    <t>Os principais resultados esperados são a agilização dos processos de encaminhamento de consultas e exames,  a possibilidade de implantar sistemas mais robustos e aumentar a capacidade de armazenamento de informações,  e possibilitar a regulação eletrônica, facilitando a vida dos pacientes do SUS</t>
  </si>
  <si>
    <t>40 computadores para interligar as 14 estruturas de saúde do Município</t>
  </si>
  <si>
    <t>Picada Café</t>
  </si>
  <si>
    <t>Arvorezinha</t>
  </si>
  <si>
    <t>R$ 200.000,00</t>
  </si>
  <si>
    <t>Dois Lajeados</t>
  </si>
  <si>
    <t>2ª Delegacia de Polícia de Novo Hamburgo , Novo Hamburgo, RS</t>
  </si>
  <si>
    <t>A aquisição deste equipamento beneficiará toda a população do Município de Riozinho, na realização dos exames de imagem, evitando deslocamentos, ou se submeter a serviços na inciativa privada; o SUS - Sistema Único de Saúde estará disponível ao acesso da população em geral, mas acima de tudo das gestantes, em seu período de Pré Natal. Outro fator a ser sublinhado é o grande fluxo sazonal de turistas na visitação das atrações naturais, como cascatas e parques, tendo estes, a garantia de atendimento, quando necessário.</t>
  </si>
  <si>
    <t xml:space="preserve"> Polícia Civil </t>
  </si>
  <si>
    <t>Presidente Lucena</t>
  </si>
  <si>
    <t>Aquisição de 1 (uma) mesa cirúrgica elétrica, 5 (cinco) monitores multiparamétricos, 1 (um)desfibrilador automático de mesa, 1 (um) eletrocautério e 2 (dois) carros-maca hidráulicos.</t>
  </si>
  <si>
    <t>2ª Delegacia de Polícia de Novo Hamburgo</t>
  </si>
  <si>
    <t>gabineteivoti@gmail.com</t>
  </si>
  <si>
    <t>Transferências Especiais para investimento em aquisição de Retroescavadeira</t>
  </si>
  <si>
    <t>Infraestrutura</t>
  </si>
  <si>
    <t>Martin Cesar Kalkamnn</t>
  </si>
  <si>
    <t>51 3568800</t>
  </si>
  <si>
    <t>gabinete@ivoti.rs.gov.br</t>
  </si>
  <si>
    <t>R$122.230.000,00</t>
  </si>
  <si>
    <t>R$141.398.605,32</t>
  </si>
  <si>
    <t>R$120.572.331,92</t>
  </si>
  <si>
    <t>R$116.754.372,30</t>
  </si>
  <si>
    <t>Empenhado</t>
  </si>
  <si>
    <t>R$49.467.887,18</t>
  </si>
  <si>
    <t>Viatura caracterizada tipo SUV.</t>
  </si>
  <si>
    <t>A Prefeitura de Ivoti, através da Secretaria de Saúde, apesar de ter o compromisso legal de atender a atenção básica, já vem oferecendo serviços de média complexidade, como pequenas cirurgias e atendimentos de especialidades. Com o intuito de qualificar e ampliar esse serviço, está em fase de construção um Centro de Especialidades, o qual exigirá equipamentos que supram as necessidades.</t>
  </si>
  <si>
    <t>Qualificar e ampliar os serviços de média complexidade já ofertados pelo poder público municipal.</t>
  </si>
  <si>
    <t>Usuários do serviço público de saúde - SUS.</t>
  </si>
  <si>
    <t>Atendimento do usuário de serviços de média complexidade com maior agilidade, qualidade e resolutividade.
Redução das filas de espera para as especialidades pactuadas, impactando positivamente a região.</t>
  </si>
  <si>
    <t>- 1 mesa cirúrgica elétrica
- 5 monitores multiparamétricos
- 1 desfibrilador automático de mesa
- 1 eletrocautério
- 2 carros-maca hidráulicos.</t>
  </si>
  <si>
    <t>Augusto Pestana</t>
  </si>
  <si>
    <t>Transferências Especiais para Custeio em Segurança Pública</t>
  </si>
  <si>
    <t>Nova Roma Do Sul</t>
  </si>
  <si>
    <t>R$ 100.000,00</t>
  </si>
  <si>
    <t>Sao Jose Do Herval</t>
  </si>
  <si>
    <t>Apoio à Consolidação, Reestruturação e Modernização das Instituições Federais de Ensino Superior</t>
  </si>
  <si>
    <t>A central de exames, obra que está em finalização e com data para ser inaugurada em março do presente ano, foi idealizada para proporcionar à população de Nova Roma do Sul diversos serviços médicos que até então eram realizados em municípios vizinhos. Fato este que gerava enorme desconforto pois que demandava agendamento de viagens e grande deslocamento de pessoas. Neste sentido, busca-se implementar a central de exames no qual possibilitará o diagnóstico e tratamento mais rápido e com mais comodidade a população nova-romenses.</t>
  </si>
  <si>
    <t>Educação</t>
  </si>
  <si>
    <t>São José do Herval</t>
  </si>
  <si>
    <t>O recurso solicitado será utilizado para compra dos equipamentos necessários à implementação  do serviço de laboratório de análises clínicas, da Central de Exames de Nova Roma do Sul.</t>
  </si>
  <si>
    <t>tcervo2022@gmail.com</t>
  </si>
  <si>
    <t>Áurea</t>
  </si>
  <si>
    <t>TIAGO CERVO</t>
  </si>
  <si>
    <t>Eldorado Do Sul</t>
  </si>
  <si>
    <t>(54) 9.9967-0653</t>
  </si>
  <si>
    <t>planejamento@novaromadosul.rs.gov.br</t>
  </si>
  <si>
    <t>Segredo</t>
  </si>
  <si>
    <t>Instituto Geral de Perícias , Porto Alegre, RS</t>
  </si>
  <si>
    <t>Instituto Geral de Perícias</t>
  </si>
  <si>
    <t>Considerando que atualmente são realizados no Município de Nova Roma do Sul, apenas exames de sangue e ecografia, a Central de Exames, viria a sanar uma grande lacuna do serviço de saúde do município, pois contribuiria na agilidade dos diagnósticos, reduzindo viagens e tempo de espera para a realização destes.</t>
  </si>
  <si>
    <t>Atendendo à universalidade e à igualdade, o projeto possibilitará maior agilidade no diagnóstico e  retorno das consultas.</t>
  </si>
  <si>
    <t>Todos os munícipes novaromenses, que dos serviços necessitarem.</t>
  </si>
  <si>
    <t>Espera-se zerar a fila de espera por atendimentos, bem como proporcionar uma maior agilidade nos diagnósticos e maior eficácia no tratamento. Também se espera uma diminuição com os custos das viagens que implicam em mão de obra, diárias, combustíveis, manutenção de veículos, entre outros.</t>
  </si>
  <si>
    <t>Central de exames para serviços médicos locais eficientes.</t>
  </si>
  <si>
    <t>Tres Coroas</t>
  </si>
  <si>
    <t>Três Coroas</t>
  </si>
  <si>
    <t>R$ 400.000,00</t>
  </si>
  <si>
    <t>Balneário Pinhal</t>
  </si>
  <si>
    <t>Busca o Projeto reivindicar emenda para aquisição de ambulância uma vez que o único veículo do tipo que o Município possui é velho e não atende mais as necessidades da população. Assim busca-se dotar o Município com ambulância nova que ofereça atendimento humanizado aos pacientes e propicie condições dignas de trabalho à equipe de profissionais. Diante da situação precária da ambulância do Município, pacientes que estão em condição delicada de saúde já não tem mais a garantia de que chegarão em tempo e segurança a seu destino. Tal situação causa aflição tanto a equipe de profissionais envolvidos no transporte, como aos pacientes e familiares dos mesmos. O veículo a ser adquirido irá atender a toda população do Município e eventualmente a outras pessoas que estiverem de passagem por Presidente Lucena e venham a precisar desse serviço. Para adquirir o veículo pleiteado a estimativa de mercado é que o mesmo terá custo de R$400.000,00</t>
  </si>
  <si>
    <t>Aquisição de Ambulância</t>
  </si>
  <si>
    <t>saude@presidentelucena.rs.gov.br</t>
  </si>
  <si>
    <t>Joice Silvinha Froehlich</t>
  </si>
  <si>
    <t>Pregão eletrônio concluído.</t>
  </si>
  <si>
    <t>(51)980413544</t>
  </si>
  <si>
    <t>Estancia Velha</t>
  </si>
  <si>
    <t>Equipamentos e insumos para o IGP: Vials 20 ml com tampa, lacre e septo (50 caixas com 100 unidades).</t>
  </si>
  <si>
    <t>fazenda@presidentelucena.rs.gov.br</t>
  </si>
  <si>
    <t>Estância Velha</t>
  </si>
  <si>
    <t>Barão</t>
  </si>
  <si>
    <t>R$26.973.000,00</t>
  </si>
  <si>
    <t>R$32.096.580,40</t>
  </si>
  <si>
    <t>R$26.490.031,54</t>
  </si>
  <si>
    <t>R$27.447.015,48</t>
  </si>
  <si>
    <t>Putinga</t>
  </si>
  <si>
    <t>R$10.181.973,09</t>
  </si>
  <si>
    <t>O Município possui um veículo com as características da ambulância a ser adquirida, porém a mesma já é um veículo com mais de 11 anos de uso e alta quilometragem, não oferecendo mais perfeitas condições de uso, não atendendo mais a real necessidade do Município. A ambulância nova a ser adquirida irá tornar mais ágeis os atendimentos, além de oferecer mais segurança e garantia de que o veículo não irá estragar no deslocamento. O Município, como entidade, através da Unidade de Saúde busca atender as demandas da população na própria Unidade Básica, porém casos complexos e de risco a saúde exigem o deslocamento dos pacientes para Hospitais em cidades próximas, região metropolitana e até à Capital. E para estes deslocamentos é necessário que os pacientes sejam conduzidos por meio de ambulância que dê o devido suporte a vida dos mesmos. Atualmente isso já não acontece mais, pois a única ambulância do Município está constantemente estragada em virtude do tempo de uso e o desgaste das peças.</t>
  </si>
  <si>
    <t>Dotar o Município de ambulância nova para atender as necessidades do transporte de pacientes.</t>
  </si>
  <si>
    <t>Toda população do Município, bem como pessoas de outros cidades que circularem por Presidente Lucena e vierem a precisar do serviço de ambulância.</t>
  </si>
  <si>
    <t>Espera-se com a aquisição de ambulância nova, dotar a única Unidade de Saúde do Munícipio de veículo capaz de atender as necessidades dos pacientes. Dotar a saúde pública do Município de condições de oferecer atendimento humanizado aos pacientes e propiciar condições dignas de trabalho à equipe de profissionais encarregada de atender situações de emergência.</t>
  </si>
  <si>
    <t>Ambulância</t>
  </si>
  <si>
    <t>Riozinho</t>
  </si>
  <si>
    <t>R$ 152.600,00</t>
  </si>
  <si>
    <t>Avenida Doze de Maio, 520 - Centro, Cerro Branco - RS, CEP 96535-000</t>
  </si>
  <si>
    <t>Equipar toda a UBS com o mínimo de equipamento e material permanente para colocar em funcionamento.</t>
  </si>
  <si>
    <t>Ultrassom Diagnóstico sem aplicação transesofágica</t>
  </si>
  <si>
    <t>vanderleivilipetry@gmail.com</t>
  </si>
  <si>
    <t>Ramão Roberto Corso</t>
  </si>
  <si>
    <t>(51) 9.96116096</t>
  </si>
  <si>
    <t>secretaria.saude@pmriozinho.com.br</t>
  </si>
  <si>
    <t>Investimento em  Média e Alta Complexidade</t>
  </si>
  <si>
    <t>Sapiranga</t>
  </si>
  <si>
    <t>Custeio - PAB</t>
  </si>
  <si>
    <t>Barão do Triunfo</t>
  </si>
  <si>
    <t>prefeitura@pmriozinho.com.br</t>
  </si>
  <si>
    <t>R$26.770.226,50</t>
  </si>
  <si>
    <t>Montenegro</t>
  </si>
  <si>
    <t>R$33.140.807,90</t>
  </si>
  <si>
    <t>R$29.645.276,10</t>
  </si>
  <si>
    <t>R$25.648.260,65</t>
  </si>
  <si>
    <t>Santa Vitória do Palmar</t>
  </si>
  <si>
    <t>R$11.598.762,24</t>
  </si>
  <si>
    <t>Barracão</t>
  </si>
  <si>
    <t>Buscar qualificar um serviço na rede de atenção à saúde do usuário na média e alta complexidade, caracterizado pelo bem equipar dos ambulatórios de especialidades médicas, evitando desta forma o deslocamento para outras localidades. Embora o Município tem cotas pactuadas através de CIR e CIB, destes exames, os mesmos são realizados em número reduzido, quando seria possível instalar este equipamento junto ao atendimento da rede de atenção local, sem terceirizações e com atendimento da integralidade da demanda. Necessário grifar também que todo o acompanhamento de Pré-natal, no que tange a realização das ecografias, sem necessidade de qualquer espera ou mesmo para ofertar um número razoável destes exames em um cuidado humanizado, torna a assistência integral às gestantes.</t>
  </si>
  <si>
    <t>O objetivo geral do projeto visa beneficiar os usuários, incluindo a manutenção do bem estar e do conforto durante a realização de procedimentos, menos invasivos, o que é fundamental.</t>
  </si>
  <si>
    <t>Sao Vendelino</t>
  </si>
  <si>
    <t xml:space="preserve">Gestantes em seu Pré-Natal, visando uma gestação saudável e redução da mortalidade neonatal e infantil, como evitar o avanço de outras patologias; Prevenção de câncer de mama, sendo a ultrassonografia o exame capaz de diagnosticar casos assintomáticos, não identificados na mamografia em mulheres jovens, com alta densidade mamária e com histórico familiar. Usuários demandados da Atenção Primária.
</t>
  </si>
  <si>
    <t>São Vendelino</t>
  </si>
  <si>
    <t>Espera-se a humanização na prestação dos serviços, acesso facilitado para o usuário, zerar qualquer fila de espera pelos exames e economia de gastos em manutenção de frota veicular ao deixarem de buscar atendimento em outras cidades de referência.</t>
  </si>
  <si>
    <t>Equipamentos para realização de exames de imagem e cirurgias eletivas.</t>
  </si>
  <si>
    <t>Barra do Guarita</t>
  </si>
  <si>
    <t>São Marcos</t>
  </si>
  <si>
    <t>R$ 249.321,00</t>
  </si>
  <si>
    <t>Santa Maria</t>
  </si>
  <si>
    <t>Em suma, o projeto visa reduzir a fila de espera significativa para cirurgias eletivas (cirurgia geral, traumatologia, oncologia, etc), decorrente do aumento no número de casos, da demanda reprimida oriunda da pandemia, bem como, pela dificuldade de encaminhamento dos casos aos centros de referência com a ativação da terceira sala de cirurgia do Hospital, que está inoperante por falta de equipamentos necessários a sua operação. Com a aquisição do carro de anestesia, a sala poderá ser ativada, ampliando assim o número de cirurgias, a fim de atender a população em fila de espera.</t>
  </si>
  <si>
    <t>Rua Dom Diogo de Souza, 1761,
Centro - Santa Vitória do Palmar - RS</t>
  </si>
  <si>
    <t>Ambulância tipo A</t>
  </si>
  <si>
    <t>secretaria.saude@saomarcos.rs.gov.br</t>
  </si>
  <si>
    <t>APAE</t>
  </si>
  <si>
    <t>MARISTELA LUNEDO</t>
  </si>
  <si>
    <t>gabinete@saomarcos.rs.gov.br</t>
  </si>
  <si>
    <t>R$103.000.000,00</t>
  </si>
  <si>
    <t>R$119.629.846,13</t>
  </si>
  <si>
    <t>R$104.220.015,24</t>
  </si>
  <si>
    <t>R$97.152.366,91</t>
  </si>
  <si>
    <t>APAE de Santa Vitória do Palmar</t>
  </si>
  <si>
    <t>R$37.748.316,38</t>
  </si>
  <si>
    <t>As ambulâncias do município estão em constantes manutenções corretivas devido ao uso, atualmente conta com carro alugado e a demanda de transporte aumentou consideravelmente, visto que, temos referencias em outros municípios ( EX: gestantes e traumatologia) sendo assim, necessitamos auxilio para aquisição de uma nova viatura.</t>
  </si>
  <si>
    <t>Aquisição de uma ambulância para transporte de pacientes</t>
  </si>
  <si>
    <t>Todo paciente que necessite de transporte na horizontal.</t>
  </si>
  <si>
    <t>Segurança e conforto para os pacientes e equipe de transporte.</t>
  </si>
  <si>
    <t>Saúde (Custeio)</t>
  </si>
  <si>
    <t>Barra do Quaraí</t>
  </si>
  <si>
    <t>R$ 843.316,00</t>
  </si>
  <si>
    <t>Sao Luiz Gonzaga</t>
  </si>
  <si>
    <t>São Luiz Gonzaga</t>
  </si>
  <si>
    <t>O município de Sapiranga/RS, por meio deste, solicita Emenda Parlamentar no valor de R$ 843.316,00, para aquisição de 1 equipamento de Raio-X com CR, 1 impressora dry, 6 computadores básicos, 1 computador Desktop Avançado, 2 aparelhos de ar condicionado, 1 escada 2 degraus, 2 cadeiras, 1 banqueta e 1 cadeira de rodízios.
Os equipamentos serão utilizados na UPA I 24 horas do município, para realização de exames de Raio-X nos atendimentos de urgência e emergência, aos usuários deste serviço, com digitalização e envio das imagens para o sistema informatizado, compartilhados e acessíveis em computadores, possibilitando maior agilidade no atendimento, e, ainda, impressão das imagens, maior conforto térmico e melhor acomodação dos pacientes.
Sendo assim, solicitamos Emenda Parlamentar para o atendimento qualificado, ágil e eficiente  aos usuários do SUS, pois a UPA I 24 horas é um serviço pré-hospitalar de atendimento de urgência e emergência em sistema “portas abertas”.</t>
  </si>
  <si>
    <t>Barra do Ribeiro</t>
  </si>
  <si>
    <t>A proposta tem por objetivo a aquisição de equipamento de Raio-X com CR, computadores básicos, computador (Desktop-Avançado) e impressora dry, aparelhos de ar condicionado 17.000 a 30.000 btus, escada 2 degraus, cadeiras, banqueta e cadeira de rodízios, para a  UPA I 24 horas de Sapiranga/RS .</t>
  </si>
  <si>
    <t>sapsaude@sapiranga.rs.gov.br</t>
  </si>
  <si>
    <t>Marta Regina Klein Reichert</t>
  </si>
  <si>
    <t>(51) 9.9658-0736</t>
  </si>
  <si>
    <t>martareichert@sapiranga.rs.gov.br</t>
  </si>
  <si>
    <t>gabinete@sapiranga.rs.gov.br</t>
  </si>
  <si>
    <t>Barra do Rio Azul</t>
  </si>
  <si>
    <t>R$280.449.196,00</t>
  </si>
  <si>
    <t>R$316.046.593,70</t>
  </si>
  <si>
    <t>Emenda de Bancada</t>
  </si>
  <si>
    <t>R$253.780.811,63</t>
  </si>
  <si>
    <t>R$283.112.373,16</t>
  </si>
  <si>
    <t>R$121.551.231,54</t>
  </si>
  <si>
    <t>Aquisição de eletrônicos para fins pedagógicos</t>
  </si>
  <si>
    <t>A UPA I 24 horas é um serviço público de saúde da rede de urgência e emergência, componente pré-hospitalar fixo, estando habilitada e qualificada junto ao Ministério da Saúde, e dispõe de atendimento médico e exames complementares pertinentes.
A aquisição do aparelho de Raio-X com CR proporcionará maior praticidade no atendimento aos pacientes, com realização do exame e diagnóstico no local. Assim, o exame realizado na unidade será disponibilizado em rede, praticamente no mesmo instante, para acesso do médico no consultório e, com a impressora dry, será possível imprimir as imagens do exame, disponibilizando-as ao paciente.
A climatização é importante para a conservação e bom funcionamento dos equipamentos, pois necessitam de controle de temperatura, e o cuidado com o bem-estar do paciente  depende destas condições, sendo importante a instalação do ar condicionado. Por fim, os itens escada 2 degraus, cadeiras, banqueta e cadeira de rodízios contribuem para adequação da ambiência.</t>
  </si>
  <si>
    <t>Aquisição de aparelho de Raio-X com CR, 7 computadores sendo e 1 Desktop avançado, 1 impressora dry, 2 aparelhos de ar condicionado, 1 escada 2 degraus, 2 cadeiras, 1 banqueta e 1 cadeira de rodízios.</t>
  </si>
  <si>
    <t>A presente Proposta tem como público-alvo a população sapiranguense e, eventualmente, demais pacientes que acessem ao serviço de urgência e emergência disponibilizado pela UPA I – 24 horas, considerando o sistema de atendimento “portas abertas” da unidade.</t>
  </si>
  <si>
    <t>Com a aquisição dos equipamentos objetos dessa proposta vislumbramos atender com agilidade, qualidade e eficiência aos usuários do serviço de urgência e emergência junto à UPA I 24 horas, permitindo a tomada de conduta médica antecipada e minimizando os riscos e o tempo de espera e atendimento, tempo este que pode ser crucial à saúde e à vida do paciente.</t>
  </si>
  <si>
    <t>- 1 equipamento de Raio-X com CR
- 1 impressora dry
- 6 computadores básicos
- 1 computador Desktop Avançado
- 2 aparelhos de ar condicionado
- 1 escada 2 degraus
- 2 cadeiras
- 1 banqueta
- 1 cadeira de rodízios</t>
  </si>
  <si>
    <t>Barra Funda</t>
  </si>
  <si>
    <t>Taquara</t>
  </si>
  <si>
    <t>R$ 320.000,00</t>
  </si>
  <si>
    <t>A aquisição de um veículo de Transporte Sanitário, com acessibilidade, irá ajudar a garantir o transporte seguro dos pacientes, inclusive cadeirantes, para o comparecimento à consultas e exames. Com a aquisição do veículo, a Secretaria diminuirá os custos com transporte, tendo em vista que fará um número menor de viagens, já que o veículo possuí mais lugares que os veículos que atualmente realizam esses transportes.</t>
  </si>
  <si>
    <t>Aquisição de um Veículo de Transporte Sanitário (com Acessibilidade - 1 Cadeirante).</t>
  </si>
  <si>
    <t>Forquetinha</t>
  </si>
  <si>
    <t>planej04@taquara.rs.gov.br</t>
  </si>
  <si>
    <t>Valentine Vaccari Dall'Acqua</t>
  </si>
  <si>
    <t>(51) 9.9992-6965</t>
  </si>
  <si>
    <t>valentinedallacqua@gmail.com</t>
  </si>
  <si>
    <t>Divisão Estadual de Combate à Corrupção e à Lavagem de Dinheiro, Porto Alegre, RS</t>
  </si>
  <si>
    <t>Barros Cassal</t>
  </si>
  <si>
    <t>R$197.907.923,22</t>
  </si>
  <si>
    <t>Divisão Estadual de Combate à Corrupção e à Lavagem de Dinheiro</t>
  </si>
  <si>
    <t>R$229.273.987,85</t>
  </si>
  <si>
    <t>R$213.170.171,63</t>
  </si>
  <si>
    <t>R$181.747.422,26</t>
  </si>
  <si>
    <t>Benjamin Constant do Sul</t>
  </si>
  <si>
    <t>R$104.002.024,13</t>
  </si>
  <si>
    <t xml:space="preserve">Recurso empenhado. Inexigibilidade de licitação aceita pelo Ministério. </t>
  </si>
  <si>
    <t>O município de Taquara está localizado na Região 6 - Paranhana - de Saúde, que é composta por 8 municípios. Todos municípios possuem hospitais e foi construído um processo de regionalização onde cada hospital assumiu um tipo de vocacionamento. Os paciente do município são atendidos nos municípios da Região e para as especialidades que não estão contempladas regionalmente são encaminhados para outros locais, principalmente Porto Alegre (80 km) e Canoas (72 km). Para comparecer às consultas agendadas os pacientes, em sua grande maioria, recorrem ao transporte sanitário disponibilizado pela Secretaria Municipal de Saúde, seja através de ônibus contratado ou veículos próprios do município. Sem a oferta deste tipo de transporte muitos pacientes não teriam condições de comparecer aos atendimentos médicos necessários para o tratamento, sendo responsabilidade da Secretaria de Saúde oferecer condições para que os pacientes possam comparecer aos atendimentos de forma eficiente e segura.</t>
  </si>
  <si>
    <t>Aquisição de Ferramenta Forense de extração e processamento de dados provenientes da navegação na Internet para a estruturação da Divisão Estadual de Combate à Corrupção e à Lavagem de Dinheiro.</t>
  </si>
  <si>
    <t>Realizar o transporte de pacientes para comparecimento em consultas agendadas, em especialidades médicas ou realização de exames diagnósticos, ofertadas em outros municípios.</t>
  </si>
  <si>
    <t>General Camara</t>
  </si>
  <si>
    <t>O público-alvo do projeto são os pacientes residentes no município de Taquara que acessam serviços de saúde, seja atendimento médico especializado, sejam exames diagnósticos, em outros municípios. Atualmente são realizadas mensalmente aproximadamente 800 viagens de carro para transporte de pacientes (cerca de 4.000 pessoas).</t>
  </si>
  <si>
    <t>O resultado esperado é que seja possível garantir que os pacientes compareçam aos seus atendimentos agendados, evitando faltas no comparecimento à consultas e exames por insuficiência de transporte.</t>
  </si>
  <si>
    <t>Veículo de Transporte Sanitário com acessibilidade</t>
  </si>
  <si>
    <t>Boa Vista das Missões</t>
  </si>
  <si>
    <t>Equipamentos e insumos para o IGP: 2 colunas LC/MS.</t>
  </si>
  <si>
    <t>Boa Vista do Buricá</t>
  </si>
  <si>
    <t>Campos Borges</t>
  </si>
  <si>
    <t>Boa Vista do Cadeado</t>
  </si>
  <si>
    <t>Sapucaia Do Sul</t>
  </si>
  <si>
    <t>Boa Vista do Incra</t>
  </si>
  <si>
    <t>Venancio Aires</t>
  </si>
  <si>
    <t>Prefeitura Municipal, Campos Borges, RS</t>
  </si>
  <si>
    <t>Venâncio Aires</t>
  </si>
  <si>
    <t>Boa Vista do Sul</t>
  </si>
  <si>
    <t>Guaiba</t>
  </si>
  <si>
    <t>Equipamentos de fisioterapia (barra, eletroestimulador, bicicleta ergométrica, maca hidráulica) para ampliar a rede de atendimento e a oferta de serviços fisioterápicos na UBS do município.</t>
  </si>
  <si>
    <t>Espumoso</t>
  </si>
  <si>
    <t>Bom Jesus</t>
  </si>
  <si>
    <t>R. Vasco da Gama, 277 - Jardim, Espumoso - RS, 99400-000</t>
  </si>
  <si>
    <t>Guapore</t>
  </si>
  <si>
    <t>APAE de Espumoso</t>
  </si>
  <si>
    <t>Recursos pago.</t>
  </si>
  <si>
    <t>Aquisição e instalação de uma casa de brinquedos para PCD</t>
  </si>
  <si>
    <t>Bom Progresso</t>
  </si>
  <si>
    <t>Ibarama</t>
  </si>
  <si>
    <t>Bom Retiro do Sul</t>
  </si>
  <si>
    <t>Guaíba</t>
  </si>
  <si>
    <t>Boqueirão do Leão</t>
  </si>
  <si>
    <t>Restinga Seca</t>
  </si>
  <si>
    <t>Restinga Sêca</t>
  </si>
  <si>
    <t>Bossoroca</t>
  </si>
  <si>
    <t>Aratiba, RS</t>
  </si>
  <si>
    <t>APAE de Aratiba</t>
  </si>
  <si>
    <t>Instalação de painéis solares</t>
  </si>
  <si>
    <t>Bozano</t>
  </si>
  <si>
    <t>Imigrante</t>
  </si>
  <si>
    <t>Marques De Souza</t>
  </si>
  <si>
    <t>Braga</t>
  </si>
  <si>
    <t>Parobe</t>
  </si>
  <si>
    <t>Parobé</t>
  </si>
  <si>
    <t>Brochier</t>
  </si>
  <si>
    <t>2ª Delegacia Penitenciária Regional - Santa Maria, Santa Maria, RS</t>
  </si>
  <si>
    <t xml:space="preserve">Secretaria de Administração Penitenciária </t>
  </si>
  <si>
    <t>Butiá</t>
  </si>
  <si>
    <t>2ª Delegacia Penitenciária Regional - Santa Maria</t>
  </si>
  <si>
    <t>Caçapava do Sul</t>
  </si>
  <si>
    <t>Cacequi</t>
  </si>
  <si>
    <t>Lagoa Vermelha</t>
  </si>
  <si>
    <t>Sao Martinho Da Serra</t>
  </si>
  <si>
    <t>São Martinho da Serra</t>
  </si>
  <si>
    <t>Cachoeira do Sul</t>
  </si>
  <si>
    <t xml:space="preserve">Aparelhamento do Grupo de Intervenção Regional (GIR):1 Escudo Balístico, 10 Espingarda PUMP Calibre 12. </t>
  </si>
  <si>
    <t>Cacique Doble</t>
  </si>
  <si>
    <t>Rua João Pedro Furtado Fabrício, 068 - Bonfim, Bossoroca - RS, 97850-000</t>
  </si>
  <si>
    <t>APAE de Bossoroca</t>
  </si>
  <si>
    <t>Sao Valentim Do Sul</t>
  </si>
  <si>
    <t>São Valentim do Sul</t>
  </si>
  <si>
    <t>Caibaté</t>
  </si>
  <si>
    <t>Maquine</t>
  </si>
  <si>
    <t>Contratação de empresa para realização de aulas de canto e dança</t>
  </si>
  <si>
    <t>Caiçara</t>
  </si>
  <si>
    <t>Rede de Saúde Div. Prov.- Hosp. Independência, Porto Alegre, RS</t>
  </si>
  <si>
    <t>Hospital</t>
  </si>
  <si>
    <t>Rede de Saúde Div. Prov.- Hosp. Independência</t>
  </si>
  <si>
    <t>Camaquã</t>
  </si>
  <si>
    <t>Saúde (Custeio - MAC)</t>
  </si>
  <si>
    <t>Camargo</t>
  </si>
  <si>
    <t>Emenda Individual (processo seletivo)</t>
  </si>
  <si>
    <t xml:space="preserve">Recurso para custeio dos serviços de saúde (Média e Alta Complexidade)
</t>
  </si>
  <si>
    <t>Pareci Novo</t>
  </si>
  <si>
    <t>O recurso foi utilizado na aquisição de materiais e medicamentos para o cuidado e tratamento de pacientes com COVID-19, atendidos no Hospital Independência. Itens como EPIS(Itens de Proteção Individual), equipos e insumos hospitalares.</t>
  </si>
  <si>
    <t>Cambará do Sul</t>
  </si>
  <si>
    <t>Santo Augusto</t>
  </si>
  <si>
    <t>Morro Reuter</t>
  </si>
  <si>
    <t>Silveira Martins</t>
  </si>
  <si>
    <t>Campestre da Serra</t>
  </si>
  <si>
    <t>Campina das Missões</t>
  </si>
  <si>
    <t>Mucum</t>
  </si>
  <si>
    <t>R. José Gutkowski, 490 - São João, Santo Augusto - RS, 98590-000</t>
  </si>
  <si>
    <t>General Câmara</t>
  </si>
  <si>
    <t>APAE de Santo Augusto</t>
  </si>
  <si>
    <t>Campinas do Sul</t>
  </si>
  <si>
    <t>Guaporé</t>
  </si>
  <si>
    <t>Instalação de uma oficina de embelezamento, com duração de 10 meses</t>
  </si>
  <si>
    <t>Campo Novo</t>
  </si>
  <si>
    <t>Nova Santa Rita</t>
  </si>
  <si>
    <t>Secretaria Municipal da Saúde (SMS) – Fundo Municipal da Saúde, Rua Bardini, 215 - Centro, Campestre da Serra - RS, CEP 95255-000</t>
  </si>
  <si>
    <t>Triunfo</t>
  </si>
  <si>
    <t>Fundo Municipal De Saude De Campestre Da Serra - Rs Campestre Da Serra - Rs</t>
  </si>
  <si>
    <t>Cândido Godói</t>
  </si>
  <si>
    <t>Recurso de custeio para apoio aos serviços de atenção básica da saúde do Município</t>
  </si>
  <si>
    <t>Candiota</t>
  </si>
  <si>
    <t>Canela</t>
  </si>
  <si>
    <t>Canguçu</t>
  </si>
  <si>
    <t>Sao Jose Do Norte</t>
  </si>
  <si>
    <t>São José do Norte</t>
  </si>
  <si>
    <t>Sao Leopoldo</t>
  </si>
  <si>
    <t>São Leopoldo</t>
  </si>
  <si>
    <t>(na licitação ficou em  27999,00)</t>
  </si>
  <si>
    <t>Canudos do Vale</t>
  </si>
  <si>
    <t xml:space="preserve">Pregão eletrônio concluído. Pagamento no valor de  27.999,00 realizado em 25/10/2021. O valor unitário das mesas ginecológicas da proposta vencedora ficou em  1.866,00, economizando recursos públicos, já que o valor empenhado era de  2,759,23 por mesa (total de  41.388,50 conforme o Plano de Trabalho) </t>
  </si>
  <si>
    <t>Equipamentos e insumos para o IGP: 15 mesas ginecológicas.</t>
  </si>
  <si>
    <t>Capão Bonito do Sul</t>
  </si>
  <si>
    <t>Capão da Canoa</t>
  </si>
  <si>
    <t>Equipamentos e insumos para o IGP: Vials 1,5 -2 ml com tampa e septo (287 caixas com 100 unidades).</t>
  </si>
  <si>
    <t>Rosário do Sul</t>
  </si>
  <si>
    <t>Capão do Cipó</t>
  </si>
  <si>
    <t>Capão do Leão</t>
  </si>
  <si>
    <t>Analvina Severo Coelho, Rosário do Sul - RS, 97590-000</t>
  </si>
  <si>
    <t>APAE de Rosário do Sul</t>
  </si>
  <si>
    <t>Capivari do Sul</t>
  </si>
  <si>
    <t>Capela de Santana</t>
  </si>
  <si>
    <t>Relvado</t>
  </si>
  <si>
    <t>Energia solar</t>
  </si>
  <si>
    <t>Capitão</t>
  </si>
  <si>
    <t>Carazinho</t>
  </si>
  <si>
    <t>Rua Pedro Carneiro Pereira, 204, Centro - Bom Retiro do Sul - RS</t>
  </si>
  <si>
    <t>APAE de Bom Retiro do Sul</t>
  </si>
  <si>
    <t>Caraá</t>
  </si>
  <si>
    <t>Placa fotovoltaica</t>
  </si>
  <si>
    <t>Rio Pardo</t>
  </si>
  <si>
    <t>Carlos Barbosa</t>
  </si>
  <si>
    <t>Roca Sales</t>
  </si>
  <si>
    <t>Carlos Gomes</t>
  </si>
  <si>
    <t>Rua Teodomiro Luciano Souza, s/n - Cel. Bicaco, RS, 98580-000</t>
  </si>
  <si>
    <t>APAE de Campo Novo</t>
  </si>
  <si>
    <t>Casca</t>
  </si>
  <si>
    <t>Veranopolis</t>
  </si>
  <si>
    <t>Veranópolis</t>
  </si>
  <si>
    <t>Caseiros</t>
  </si>
  <si>
    <t>Usina solar</t>
  </si>
  <si>
    <t>Catuípe</t>
  </si>
  <si>
    <t>Escola Estadual Técnica Agrícola Guaporé, Guaporé, RS</t>
  </si>
  <si>
    <t>Escola Agrotécnica</t>
  </si>
  <si>
    <t>Escola Estadual Técnica Agrícola Guaporé</t>
  </si>
  <si>
    <t>Educação (escola estadual agrotécnica)</t>
  </si>
  <si>
    <t>Caxias do Sul</t>
  </si>
  <si>
    <t>Emenda de Bancada (processo seletivo)</t>
  </si>
  <si>
    <t>Recurso para a aquisição de implementos agrícolas</t>
  </si>
  <si>
    <t>Centenário</t>
  </si>
  <si>
    <t>Implementos agrícolas entregues a partir de abril de 2021.</t>
  </si>
  <si>
    <t>Cerrito</t>
  </si>
  <si>
    <t>Prefeitura/Hospital Sapiranga, Araricá, RS</t>
  </si>
  <si>
    <t>Município/hospital mais próximo</t>
  </si>
  <si>
    <t>Prefeitura/Hospital Sapiranga</t>
  </si>
  <si>
    <t>Cerro Grande</t>
  </si>
  <si>
    <t>Cerro Grande do Sul</t>
  </si>
  <si>
    <t>Emenda de bancada</t>
  </si>
  <si>
    <t>Recursos para custeio do combate à COVID-19 (Média e Alta Complexidade). Como o município não possuía hospital para atender pacientes de COVID-19, e como o recurso era destinado a hospitais, a emenda foi alocada no hospital de referência do município. Prefeitos e hospitais foram comunicados.</t>
  </si>
  <si>
    <t>Cerro Largo</t>
  </si>
  <si>
    <t>Chapada</t>
  </si>
  <si>
    <t>Hospital de Caridade de Canela, Canela, RS</t>
  </si>
  <si>
    <t>Maquiné</t>
  </si>
  <si>
    <t>Charrua</t>
  </si>
  <si>
    <t>Hospital de Caridade de Canela</t>
  </si>
  <si>
    <t>7122 0006</t>
  </si>
  <si>
    <t>Chiapetta</t>
  </si>
  <si>
    <t>Chuí</t>
  </si>
  <si>
    <t>Chuvisca</t>
  </si>
  <si>
    <t>Sobradinho</t>
  </si>
  <si>
    <t>Cidreira</t>
  </si>
  <si>
    <t>Ciríaco</t>
  </si>
  <si>
    <t>Colinas</t>
  </si>
  <si>
    <t>Colorado</t>
  </si>
  <si>
    <t>Condor</t>
  </si>
  <si>
    <t>Constantina</t>
  </si>
  <si>
    <t xml:space="preserve">Recursos para custeio do combate à COVID-19 (Média e Alta Complexidade) </t>
  </si>
  <si>
    <t>Coqueiro Baixo</t>
  </si>
  <si>
    <t>Coqueiros do Sul</t>
  </si>
  <si>
    <t>Hospital Comunitário de Carazinho, Carazinho, RS</t>
  </si>
  <si>
    <t>Muçum</t>
  </si>
  <si>
    <t>Hospital Comunitário de Carazinho</t>
  </si>
  <si>
    <t>Coronel Barros</t>
  </si>
  <si>
    <t>Coronel Bicaco</t>
  </si>
  <si>
    <t>Hospital Arcanjo São Miguel, Gramado, RS</t>
  </si>
  <si>
    <t>Coronel Pilar</t>
  </si>
  <si>
    <t>Hospital Arcanjo São Miguel</t>
  </si>
  <si>
    <t>Recursos para custeio do combate à COVID-19 (Média e Alta Complexidade)</t>
  </si>
  <si>
    <t>Coxilha</t>
  </si>
  <si>
    <t>Crissiumal</t>
  </si>
  <si>
    <t>Cristal</t>
  </si>
  <si>
    <t>Hospital Bom Pastor, Igrejinha, RS</t>
  </si>
  <si>
    <t>Cristal do Sul</t>
  </si>
  <si>
    <t>Hospital Bom Pastor</t>
  </si>
  <si>
    <t>Cruz Alta</t>
  </si>
  <si>
    <t>Cruzaltense</t>
  </si>
  <si>
    <t>Cruzeiro do Sul</t>
  </si>
  <si>
    <t>David Canabarro</t>
  </si>
  <si>
    <t>Derrubadas</t>
  </si>
  <si>
    <t>Dezesseis de Novembro</t>
  </si>
  <si>
    <t>Dilermando de Aguiar</t>
  </si>
  <si>
    <t>Dois Irmãos das Missões</t>
  </si>
  <si>
    <t>Dom Feliciano</t>
  </si>
  <si>
    <t>Hospital São José de Ivoti, Ivoti, RS</t>
  </si>
  <si>
    <t>Dom Pedro de Alcântara</t>
  </si>
  <si>
    <t>Hospital São José de Ivoti</t>
  </si>
  <si>
    <t>Dom Pedrito</t>
  </si>
  <si>
    <t>Dona Francisca</t>
  </si>
  <si>
    <t>Doutor Maurício Cardoso</t>
  </si>
  <si>
    <t>Doutor Ricardo</t>
  </si>
  <si>
    <t>Marau</t>
  </si>
  <si>
    <t>Eldorado do Sul</t>
  </si>
  <si>
    <t>Encruzilhada do Sul</t>
  </si>
  <si>
    <t>Engenho Velho</t>
  </si>
  <si>
    <t>Entre-Ijuís</t>
  </si>
  <si>
    <t>Entre Rios do Sul</t>
  </si>
  <si>
    <t>Hospital Cristo Redentor Marau, Marau, RS</t>
  </si>
  <si>
    <t>Erebango</t>
  </si>
  <si>
    <t>Hospital Cristo Redentor Marau</t>
  </si>
  <si>
    <t>Erechim</t>
  </si>
  <si>
    <t>Ernestina</t>
  </si>
  <si>
    <t>Herval</t>
  </si>
  <si>
    <t>Erval Grande</t>
  </si>
  <si>
    <t>Erval Seco</t>
  </si>
  <si>
    <t>Esmeralda</t>
  </si>
  <si>
    <t>Esperança do Sul</t>
  </si>
  <si>
    <t>Estação</t>
  </si>
  <si>
    <t>Hospital Nova Petrópolis, Nova Petrópolis, RS</t>
  </si>
  <si>
    <t>Hospital Nova Petrópolis</t>
  </si>
  <si>
    <t>Estrela</t>
  </si>
  <si>
    <t>Estrela Velha</t>
  </si>
  <si>
    <t>Eugênio de Castro</t>
  </si>
  <si>
    <t>Fagundes Varela</t>
  </si>
  <si>
    <t>Portão</t>
  </si>
  <si>
    <t>Faxinal do Soturno</t>
  </si>
  <si>
    <t>Faxinalzinho</t>
  </si>
  <si>
    <t>Fazenda Vilanova</t>
  </si>
  <si>
    <t>Hospital de Portão, Portão, RS</t>
  </si>
  <si>
    <t>Flores da Cunha</t>
  </si>
  <si>
    <t>Hospital de Portão</t>
  </si>
  <si>
    <t>Floriano Peixoto</t>
  </si>
  <si>
    <t>Fontoura Xavier</t>
  </si>
  <si>
    <t>Formigueiro</t>
  </si>
  <si>
    <t>Fortaleza dos Valos</t>
  </si>
  <si>
    <t>Frederico Westphalen</t>
  </si>
  <si>
    <t>Garibaldi</t>
  </si>
  <si>
    <t>Garruchos</t>
  </si>
  <si>
    <t>Gaurama</t>
  </si>
  <si>
    <t>Hospital Nossa Senhora do Rosário de Riozinho, Riozinho, RS</t>
  </si>
  <si>
    <t>Hospital Nossa Senhora do Rosário de Riozinho</t>
  </si>
  <si>
    <t>Gentil</t>
  </si>
  <si>
    <t>Getúlio Vargas</t>
  </si>
  <si>
    <t>Sudoeste do Estado</t>
  </si>
  <si>
    <t>Giruá</t>
  </si>
  <si>
    <t>Nordeste Riograndense</t>
  </si>
  <si>
    <t>Glorinha</t>
  </si>
  <si>
    <t>Centro do Estado</t>
  </si>
  <si>
    <t>Gramado dos Loureiros</t>
  </si>
  <si>
    <t>Planalto Médio</t>
  </si>
  <si>
    <t>Gramado Xavier</t>
  </si>
  <si>
    <t>Rolante</t>
  </si>
  <si>
    <t>Fronteira Noroeste</t>
  </si>
  <si>
    <t>Fronteira Oeste</t>
  </si>
  <si>
    <t>Guabiju</t>
  </si>
  <si>
    <t>Alto Jacuí</t>
  </si>
  <si>
    <t>Guarani das Missões</t>
  </si>
  <si>
    <t>Fundação Hospitalar de Rolante, Rolante, RS</t>
  </si>
  <si>
    <t>Zona da Produção</t>
  </si>
  <si>
    <t>Harmonia</t>
  </si>
  <si>
    <t>Fundação Hospitalar de Rolante</t>
  </si>
  <si>
    <t>Alta da Serra do Botucarai</t>
  </si>
  <si>
    <t>Herveiras</t>
  </si>
  <si>
    <t>Horizontina</t>
  </si>
  <si>
    <t>Vale do Rio Caí</t>
  </si>
  <si>
    <t>Hulha Negra</t>
  </si>
  <si>
    <t>Metropolitana de Porto Alegre</t>
  </si>
  <si>
    <t>Humaitá</t>
  </si>
  <si>
    <t>Zona Sul</t>
  </si>
  <si>
    <t>Ibiaçá</t>
  </si>
  <si>
    <t>Ibiraiaras</t>
  </si>
  <si>
    <t>Encosta Superior do Nordeste</t>
  </si>
  <si>
    <t>Ibirapuitã</t>
  </si>
  <si>
    <t>Vale do Taquari</t>
  </si>
  <si>
    <t>Ibirubá</t>
  </si>
  <si>
    <t>Hospital Nossa Senhora das Graças, Canoas, RS</t>
  </si>
  <si>
    <t>Ijuí</t>
  </si>
  <si>
    <t>Costa Doce</t>
  </si>
  <si>
    <t>Hospital Nossa Senhora das Graças</t>
  </si>
  <si>
    <t>Ilópolis</t>
  </si>
  <si>
    <t>Vale dos Sinos</t>
  </si>
  <si>
    <t>Imbé</t>
  </si>
  <si>
    <t>Alto Uruguai</t>
  </si>
  <si>
    <t>Recurso para Implemento Mac</t>
  </si>
  <si>
    <t>Independência</t>
  </si>
  <si>
    <t>Inhacorá</t>
  </si>
  <si>
    <t>Após cumprimentá-lo, vimos através desta, em resposta ao ofício de n. 137/2020, prestar informações atualizadas sobre o recurso financeiro destinado ao HNSG, em razão de emenda parlamentar impositiva individual de nº 41160005, na área da saúde (custeio) no Orçamento Geral da União 2020, no valor de  50.000,00 (cinqüenta mil reais). Primeiramente, insta apontar que o recurso em questão restou aplicado no Fundo Municipal de Saúde do Município de Canoas/RS, porém, com o não atingimento das metas do Plano Operativo do ano corrente, tais verbas não foram repassadas ao Hospital. A instituição destinatária da emenda parlamentar esteve, durante todo o ano de 2020, em estado crítico financeiro e assistencial, de forma tão grave que desencadeou a declaração de Requisição Administrativa pela Prefeitura Municipal de Canoas, através do Decreto nº 263, de 23 de outubro de 2020, como forma de tentativa de reversão deste quadro. Por isso, apesar de não ter observado o Plano Operativo de 2020 em sua integralidade, tem chances reais e concretas de fazê-lo em 2021, em razão do advento da nova diretoria nomeada pelo Poder Público Municipal, bem como por conta da ampliação de previsão de procedimentos e serviços à população Canoense no novo Plano Operativo. Com isso, haverá, então, o repasse dos recursos financeiros do Fundo Municipal da Saúde ao nosocômio, e a efetiva aplicação destes, possibilitando a prestação de contas requerida.</t>
  </si>
  <si>
    <t>Litoral Norte</t>
  </si>
  <si>
    <t>Ipê</t>
  </si>
  <si>
    <t>Ipiranga do Sul</t>
  </si>
  <si>
    <t>Carbonífera</t>
  </si>
  <si>
    <t>Iraí</t>
  </si>
  <si>
    <t>Centro Serra</t>
  </si>
  <si>
    <t>Itaara</t>
  </si>
  <si>
    <t>Itacurubi</t>
  </si>
  <si>
    <t>Prefeitura/Hospital São Paulo de Lagoa Vermelha, Capão Bonito do Sul, RS</t>
  </si>
  <si>
    <t>Itapuca</t>
  </si>
  <si>
    <t>Prefeitura/Hospital São Paulo de Lagoa Vermelha</t>
  </si>
  <si>
    <t>Itaqui</t>
  </si>
  <si>
    <t>Itati</t>
  </si>
  <si>
    <t>Itatiba do Sul</t>
  </si>
  <si>
    <t>Ivorá</t>
  </si>
  <si>
    <t>Emenda de bancada OGU 2020</t>
  </si>
  <si>
    <t>Jaboticaba</t>
  </si>
  <si>
    <t>Jacuizinho</t>
  </si>
  <si>
    <t>Jacutinga</t>
  </si>
  <si>
    <t>Jaguarão</t>
  </si>
  <si>
    <t>Celeiro do Rio Grande</t>
  </si>
  <si>
    <t>Jaquirana</t>
  </si>
  <si>
    <t>Jari</t>
  </si>
  <si>
    <t>Jóia</t>
  </si>
  <si>
    <t>Prefeitura/Hospital São José Ivoti, Lindolfo Collor, RS</t>
  </si>
  <si>
    <t>Prefeitura/Hospital São José Ivoti</t>
  </si>
  <si>
    <t>Júlio de Castilhos</t>
  </si>
  <si>
    <t>Lagoa Bonita do Sul</t>
  </si>
  <si>
    <t>Campos de cima da Serra</t>
  </si>
  <si>
    <t>Prefeitura/Hospital São José de Dois Irmãos, Morro Reuter, RS</t>
  </si>
  <si>
    <t>Prefeitura/Hospital São José de Dois Irmãos</t>
  </si>
  <si>
    <t>Lagoão</t>
  </si>
  <si>
    <t>Lagoa dos Três Cantos</t>
  </si>
  <si>
    <t>Missões</t>
  </si>
  <si>
    <t>Recurso utilizado para auxiliar no financiamento da nova ala COVID-19 do Hospital São José de Dois Irmãos.</t>
  </si>
  <si>
    <t>São Francisco de Paula</t>
  </si>
  <si>
    <t>Lajeado do Bugre</t>
  </si>
  <si>
    <t>Lavras do Sul</t>
  </si>
  <si>
    <t>Liberato Salzano</t>
  </si>
  <si>
    <t>Linha Nova</t>
  </si>
  <si>
    <t>Hospital São Francisco de Paula, São Francisco de Paula, RS</t>
  </si>
  <si>
    <t>Machadinho</t>
  </si>
  <si>
    <t>Hospital São Francisco de Paula</t>
  </si>
  <si>
    <t>Maçambará</t>
  </si>
  <si>
    <t>Mampituba</t>
  </si>
  <si>
    <t>Manoel Viana</t>
  </si>
  <si>
    <t>Maratá</t>
  </si>
  <si>
    <t>Marcelino Ramos</t>
  </si>
  <si>
    <t>Nova Hartz</t>
  </si>
  <si>
    <t>Mariana Pimentel</t>
  </si>
  <si>
    <t>Mariano Moro</t>
  </si>
  <si>
    <t>Planalto</t>
  </si>
  <si>
    <t>Marques de Souza</t>
  </si>
  <si>
    <t>Turismo da Serra</t>
  </si>
  <si>
    <t>Mata</t>
  </si>
  <si>
    <t>Prefeitura/Hospital Sapiranga, Nova Hartz, RS</t>
  </si>
  <si>
    <t>Mato Castelhano</t>
  </si>
  <si>
    <t>Mato Leitão</t>
  </si>
  <si>
    <t>Mato Queimado</t>
  </si>
  <si>
    <t>Maximiliano de Almeida</t>
  </si>
  <si>
    <t>Minas do Leão</t>
  </si>
  <si>
    <t>Miraguaí</t>
  </si>
  <si>
    <t>Montauri</t>
  </si>
  <si>
    <t>Hospital São Luiz Gonzaga, São Luiz Gonzaga, RS</t>
  </si>
  <si>
    <t>Hospital São Luiz Gonzaga</t>
  </si>
  <si>
    <t>Monte Alegre dos Campos</t>
  </si>
  <si>
    <t>Monte Belo do Sul</t>
  </si>
  <si>
    <t>Vale do Rio Pardo</t>
  </si>
  <si>
    <t>Mormaço</t>
  </si>
  <si>
    <t>Morrinhos do Sul</t>
  </si>
  <si>
    <t>Morro Redondo</t>
  </si>
  <si>
    <t>Prefeitura/Hospital Nova Petrópolis, Picada Café, RS</t>
  </si>
  <si>
    <t>Prefeitura/Hospital Nova Petrópolis</t>
  </si>
  <si>
    <t>Mostardas</t>
  </si>
  <si>
    <t>Muitos Capões</t>
  </si>
  <si>
    <t>Muliterno</t>
  </si>
  <si>
    <t>Não-Me-Toque</t>
  </si>
  <si>
    <t>Nicolau Vergueiro</t>
  </si>
  <si>
    <t>Nonoai</t>
  </si>
  <si>
    <t>Nova Alvorada</t>
  </si>
  <si>
    <t>Nova Araçá</t>
  </si>
  <si>
    <t>Nova Bassano</t>
  </si>
  <si>
    <t>Prefeitura/Hospital São José Ivoti, Presidente Lucena, RS</t>
  </si>
  <si>
    <t>Nova Boa Vista</t>
  </si>
  <si>
    <t>Nova Bréscia</t>
  </si>
  <si>
    <t>Nova Candelária</t>
  </si>
  <si>
    <t>Nova Esperança do Sul</t>
  </si>
  <si>
    <t>Nova Pádua</t>
  </si>
  <si>
    <t>Santa Maria do Herval</t>
  </si>
  <si>
    <t>Nova Prata</t>
  </si>
  <si>
    <t>Nova Ramada</t>
  </si>
  <si>
    <t>Nova Roma do Sul</t>
  </si>
  <si>
    <t>Prefeitura/Hospital São José de Dois Irmãos, Santa Maria do Herval, RS</t>
  </si>
  <si>
    <t>Novo Cabrais</t>
  </si>
  <si>
    <t>Novo Machado</t>
  </si>
  <si>
    <t>Novo Tiradentes</t>
  </si>
  <si>
    <t>Novo Xingu</t>
  </si>
  <si>
    <t>Novo Barreiro</t>
  </si>
  <si>
    <t>Osório</t>
  </si>
  <si>
    <t>Paim Filho</t>
  </si>
  <si>
    <t>Palmares do Sul</t>
  </si>
  <si>
    <t>Palmeira das Missões</t>
  </si>
  <si>
    <t>Palmitinho</t>
  </si>
  <si>
    <t>Panambi</t>
  </si>
  <si>
    <t>Hospital Dr Oswaldo Diesel, Três Coroas, RS</t>
  </si>
  <si>
    <t>Pantano Grande</t>
  </si>
  <si>
    <t>Hospital Dr Oswaldo Diesel</t>
  </si>
  <si>
    <t>Paraí</t>
  </si>
  <si>
    <r>
      <rPr>
        <rFont val="Arial"/>
        <color rgb="FF000000"/>
        <sz val="10.0"/>
        <u/>
      </rPr>
      <t>7122 0006</t>
    </r>
    <r>
      <rPr>
        <rFont val="Arial"/>
        <color rgb="FF000000"/>
        <sz val="10.0"/>
        <u/>
      </rPr>
      <t xml:space="preserve"> </t>
    </r>
  </si>
  <si>
    <t>Paraíso do Sul</t>
  </si>
  <si>
    <t>Passa Sete</t>
  </si>
  <si>
    <t>Passo do Sobrado</t>
  </si>
  <si>
    <t>Passo Fundo</t>
  </si>
  <si>
    <t>Tapera</t>
  </si>
  <si>
    <t>Paulo Bento</t>
  </si>
  <si>
    <t>Paverama</t>
  </si>
  <si>
    <t>Pedras Altas</t>
  </si>
  <si>
    <t>Pedro Osório</t>
  </si>
  <si>
    <t>Pejuçara</t>
  </si>
  <si>
    <t>Prefeitura Municipal, Tapera, RS</t>
  </si>
  <si>
    <t>Pinhal</t>
  </si>
  <si>
    <t>Pinhal da Serra</t>
  </si>
  <si>
    <t>Pinhal Grande</t>
  </si>
  <si>
    <t>Pinheirinho do Vale</t>
  </si>
  <si>
    <t>Prefeitura submeteu proposta ao Ministério da Saúde (Em 02/05/2024 consultei o SIOP, para verificar a situação da emenda e não localizei o beneficiário FMS-Tapera. A emenda 41160002, referenciada na planilha, não é de Custeio-PAB; é de Investimento-MAC. Em 2021 não foram indicados recursos de emendas individuais para custeio-PAB. Também não localizei o beneficiário na emenda de Custeio-MAC.</t>
  </si>
  <si>
    <t>Pinheiro Machado</t>
  </si>
  <si>
    <t>Monitor multiparâmetros e cardiversor para equipar a ambulância do município e reduzir custos com a contratação de veículos com esses equipamentos e que a Prefeitura não possui.</t>
  </si>
  <si>
    <t>Pinto Bandeira</t>
  </si>
  <si>
    <t>Pirapó</t>
  </si>
  <si>
    <t>Piratini</t>
  </si>
  <si>
    <t>Poço das Antas</t>
  </si>
  <si>
    <t>Pontão</t>
  </si>
  <si>
    <t>Ponte Preta</t>
  </si>
  <si>
    <t>Porto Lucena</t>
  </si>
  <si>
    <t>Porto Mauá</t>
  </si>
  <si>
    <t>Porto Vera Cruz</t>
  </si>
  <si>
    <t>Porto Xavier</t>
  </si>
  <si>
    <t>Pouso Novo</t>
  </si>
  <si>
    <t>Progresso</t>
  </si>
  <si>
    <t>R. Santa Clara, 49, Boa Vista do Buricá - RS, 98918-000</t>
  </si>
  <si>
    <t>Protásio Alves</t>
  </si>
  <si>
    <t>APAE de Boa Vista do Buricá</t>
  </si>
  <si>
    <t>Quaraí</t>
  </si>
  <si>
    <t>Quatro Irmãos</t>
  </si>
  <si>
    <t>Aquisição de equipamentos e adequação do espaço</t>
  </si>
  <si>
    <t>Quevedos</t>
  </si>
  <si>
    <t>Quinze de Novembro</t>
  </si>
  <si>
    <t>Redentora</t>
  </si>
  <si>
    <t>Rio dos Índios</t>
  </si>
  <si>
    <t>Av. Dóris José Schlatter, 30, Feliz - RS, 95770-000</t>
  </si>
  <si>
    <t>APAE de Feliz</t>
  </si>
  <si>
    <t>Aquisição de 2 conteiners que se tornarão espaços para o bazar da instituição e área de preparação para o mercado de trabalho</t>
  </si>
  <si>
    <t>Rodeio Bonito</t>
  </si>
  <si>
    <t>Rolador</t>
  </si>
  <si>
    <t>São Martinho</t>
  </si>
  <si>
    <t>Ronda Alta</t>
  </si>
  <si>
    <t>Rondinha</t>
  </si>
  <si>
    <t>Roque Gonzales</t>
  </si>
  <si>
    <t>Rua Jacob Hermindo Hartmann, 62. Centro - São Martinho - RS</t>
  </si>
  <si>
    <t>APAE de São Martinho</t>
  </si>
  <si>
    <t>Sagrada Família</t>
  </si>
  <si>
    <t>Saldanha Marinho</t>
  </si>
  <si>
    <t>Salto do Jacuí</t>
  </si>
  <si>
    <t>Salvador das Missões</t>
  </si>
  <si>
    <t>Salvador do Sul</t>
  </si>
  <si>
    <t>Sananduva</t>
  </si>
  <si>
    <t>Santa Bárbara do Sul</t>
  </si>
  <si>
    <t>Santa Cecília do Sul</t>
  </si>
  <si>
    <t>Placas solares</t>
  </si>
  <si>
    <t>Santa Clara do Sul</t>
  </si>
  <si>
    <t>Santa Cruz do Sul</t>
  </si>
  <si>
    <t>Santa Margarida do Sul</t>
  </si>
  <si>
    <t>Santana da Boa Vista</t>
  </si>
  <si>
    <t>Sant'Ana do Livramento</t>
  </si>
  <si>
    <t>Santa Rosa</t>
  </si>
  <si>
    <t>Santa Tereza</t>
  </si>
  <si>
    <t>Santiago</t>
  </si>
  <si>
    <t>Santo Ângelo</t>
  </si>
  <si>
    <t>Santo Antônio do Palma</t>
  </si>
  <si>
    <t>Santo Antônio da Patrulha</t>
  </si>
  <si>
    <t>Santo Antônio das Missões</t>
  </si>
  <si>
    <t>Santo Antônio do Planalto</t>
  </si>
  <si>
    <t>Santo Cristo</t>
  </si>
  <si>
    <t>Santo Expedito do Sul</t>
  </si>
  <si>
    <t>São Borja</t>
  </si>
  <si>
    <t>São Domingos do Sul</t>
  </si>
  <si>
    <t>São Francisco de Assis</t>
  </si>
  <si>
    <t>Rua Johann Kremer, 1.316 (1316), Centro, Forquetinha - RS, CEP 95937-000</t>
  </si>
  <si>
    <t>São Gabriel</t>
  </si>
  <si>
    <t>São Jerônimo</t>
  </si>
  <si>
    <t>São João da Urtiga</t>
  </si>
  <si>
    <t>São João do Polêsine</t>
  </si>
  <si>
    <t>São Jorge</t>
  </si>
  <si>
    <t>São José das Missões</t>
  </si>
  <si>
    <t>Custeio - MAC</t>
  </si>
  <si>
    <t>São José do Hortêncio</t>
  </si>
  <si>
    <t>São José do Inhacorá</t>
  </si>
  <si>
    <t>São José do Ouro</t>
  </si>
  <si>
    <t>São José do Sul</t>
  </si>
  <si>
    <t>São José dos Ausentes</t>
  </si>
  <si>
    <t>São Lourenço do Sul</t>
  </si>
  <si>
    <t>Rua Castelo Branco, 15 - Centro, Imigrante - RS, CEP 95885-000</t>
  </si>
  <si>
    <t>São Miguel das Missões</t>
  </si>
  <si>
    <t>São Nicolau</t>
  </si>
  <si>
    <t>São Paulo das Missões</t>
  </si>
  <si>
    <t>Vale do Paranhana</t>
  </si>
  <si>
    <t>São Pedro da Serra</t>
  </si>
  <si>
    <t>E.T.E. Achilino de Santis, Santo Antônio das Missões, RS</t>
  </si>
  <si>
    <t>São Pedro das Missões</t>
  </si>
  <si>
    <t>E.T.E. Achilino de Santis</t>
  </si>
  <si>
    <t>São Pedro do Butiá</t>
  </si>
  <si>
    <t>São Pedro do Sul</t>
  </si>
  <si>
    <t>São Sepé</t>
  </si>
  <si>
    <t>São Valentim</t>
  </si>
  <si>
    <t>São Valério do Sul</t>
  </si>
  <si>
    <t>São Vicente do Sul</t>
  </si>
  <si>
    <t>E.E.T.A Desidério Finamor, Lagoa Vermelha, RS</t>
  </si>
  <si>
    <t>Sapucaia do Sul</t>
  </si>
  <si>
    <t>E.E.T.A Desidério Finamor</t>
  </si>
  <si>
    <t>Sarandi</t>
  </si>
  <si>
    <t>Seberi</t>
  </si>
  <si>
    <t>Sede Nova</t>
  </si>
  <si>
    <t>Selbach</t>
  </si>
  <si>
    <t>Senador Salgado Filho</t>
  </si>
  <si>
    <t>Sentinela do Sul</t>
  </si>
  <si>
    <t>Serafina Corrêa</t>
  </si>
  <si>
    <t>Sério</t>
  </si>
  <si>
    <t>Sertão</t>
  </si>
  <si>
    <t>Sertão Santana</t>
  </si>
  <si>
    <t>Escola Técnica Estadual Santa Isabel, São Lourenço do Sul, RS</t>
  </si>
  <si>
    <t>Sete de Setembro</t>
  </si>
  <si>
    <t>Escola Técnica Estadual Santa Isabel</t>
  </si>
  <si>
    <t>Severiano de Almeida</t>
  </si>
  <si>
    <t>Sinimbu</t>
  </si>
  <si>
    <t>Soledade</t>
  </si>
  <si>
    <t>Tabaí</t>
  </si>
  <si>
    <t>Tapejara</t>
  </si>
  <si>
    <t>Tapes</t>
  </si>
  <si>
    <t>Taquari</t>
  </si>
  <si>
    <t>Taquaruçu do Sul</t>
  </si>
  <si>
    <t>R. São João, 988, Formigueiro - RS, 97210-000</t>
  </si>
  <si>
    <t>Tavares</t>
  </si>
  <si>
    <t>Tenente Portela</t>
  </si>
  <si>
    <t>Terra de Areia</t>
  </si>
  <si>
    <t>Teutônia</t>
  </si>
  <si>
    <t>Tio Hugo</t>
  </si>
  <si>
    <t>Prefeitura de Formigueiro</t>
  </si>
  <si>
    <t>Tiradentes do Sul</t>
  </si>
  <si>
    <t>Toropi</t>
  </si>
  <si>
    <t>Segurança Pública (Investimento)</t>
  </si>
  <si>
    <t>Torres</t>
  </si>
  <si>
    <t>Tramandaí</t>
  </si>
  <si>
    <t>Travesseiro</t>
  </si>
  <si>
    <t>Três Arroios</t>
  </si>
  <si>
    <t>Três Cachoeiras</t>
  </si>
  <si>
    <t>Três de Maio</t>
  </si>
  <si>
    <t>Três Forquilhas</t>
  </si>
  <si>
    <t>Três Palmeiras</t>
  </si>
  <si>
    <t>Recurso Pago</t>
  </si>
  <si>
    <t>Três Passos</t>
  </si>
  <si>
    <t>Aquisição de armas e equipamentos  (Transferência Especial) Transferegov: OB enviada pagto em 30/08/2023.</t>
  </si>
  <si>
    <t>Trindade do Sul</t>
  </si>
  <si>
    <t>Tucunduva</t>
  </si>
  <si>
    <t>Tunas</t>
  </si>
  <si>
    <t>Tupanci do Sul</t>
  </si>
  <si>
    <t>Tupanciretã</t>
  </si>
  <si>
    <t>Tupandi</t>
  </si>
  <si>
    <t>Tuparendi</t>
  </si>
  <si>
    <t>APAE de Formigueiro</t>
  </si>
  <si>
    <t>Turuçu</t>
  </si>
  <si>
    <t>Ubiretama</t>
  </si>
  <si>
    <t>União da Serra</t>
  </si>
  <si>
    <t>Unistalda</t>
  </si>
  <si>
    <t>Uruguaiana</t>
  </si>
  <si>
    <t>Vacaria</t>
  </si>
  <si>
    <t>Vale Verde</t>
  </si>
  <si>
    <t>Vale do Sol</t>
  </si>
  <si>
    <t>Vale Real</t>
  </si>
  <si>
    <t>E.E.E.P. de Carazinho, Carazinho, RS</t>
  </si>
  <si>
    <t>Vanini</t>
  </si>
  <si>
    <t>E.E.E.P. de Carazinho</t>
  </si>
  <si>
    <t>Vespasiano Corrêa</t>
  </si>
  <si>
    <t>Viadutos</t>
  </si>
  <si>
    <t>Viamão</t>
  </si>
  <si>
    <t>Vicente Dutra</t>
  </si>
  <si>
    <t>Victor Graeff</t>
  </si>
  <si>
    <t>Vila Flores</t>
  </si>
  <si>
    <t>Vila Lângaro</t>
  </si>
  <si>
    <t>Hospital Municipal Getúlio Vargas, Estância Velha, RS</t>
  </si>
  <si>
    <t>Vila Maria</t>
  </si>
  <si>
    <t>Hospital Municipal Getúlio Vargas</t>
  </si>
  <si>
    <t>Vila Nova do Sul</t>
  </si>
  <si>
    <t>Vista Alegre</t>
  </si>
  <si>
    <t>Vista Alegre do Prata</t>
  </si>
  <si>
    <t>Vista Gaúcha</t>
  </si>
  <si>
    <t>Vitória das Missões</t>
  </si>
  <si>
    <t>Westfália</t>
  </si>
  <si>
    <t>Xangri-lá</t>
  </si>
  <si>
    <t>Av. Salvador, 1919, Tupandi - RS, 95775-000</t>
  </si>
  <si>
    <t>Prefeitura de Tupandi</t>
  </si>
  <si>
    <t>Videomonitoramento</t>
  </si>
  <si>
    <t>Avenida Guilherme Winter, 65 - Centro, Bom Princípio - RS, 95765-000</t>
  </si>
  <si>
    <t>E.T.E. Celeiro, Bom Progresso, RS</t>
  </si>
  <si>
    <t>E.T.E. Celeiro</t>
  </si>
  <si>
    <t>C.A.E. Ângelo Emílio Grando, Erechim, RS</t>
  </si>
  <si>
    <t>C.A.E. Ângelo Emílio Grando</t>
  </si>
  <si>
    <t>E.E.E.P. Dom Pedrito, Dom Pedrito, RS</t>
  </si>
  <si>
    <t>E.E.E.P. Dom Pedrito</t>
  </si>
  <si>
    <t>E.E.T. Celeste Gobbato, Palmeira das Missões, RS</t>
  </si>
  <si>
    <t>E.E.T. Celeste Gobbato</t>
  </si>
  <si>
    <t>RUA PERCIVAL BRENNER, 1992. Centro - São Sepé - RS</t>
  </si>
  <si>
    <t>APAE de São Sepé</t>
  </si>
  <si>
    <t>Painéis solares</t>
  </si>
  <si>
    <t>Prefeitura Municipal, Boqueirão do Leão, RS</t>
  </si>
  <si>
    <t>Recurso para custeio dos serviços de saúde (Piso de Atenção Básica)</t>
  </si>
  <si>
    <t>Prefeitura Municipal, Canela, RS</t>
  </si>
  <si>
    <t>Prefeitura Municipal, Serafina Corrêa, RS</t>
  </si>
  <si>
    <t xml:space="preserve">Recurso para custeio dos serviços de saúde (Piso de Atenção Básica)
</t>
  </si>
  <si>
    <t>Sim, recurso foi investido na manutenção da frota municipal, manutenção das unidades básicas de saúde e aquisição de insumos para o combate a pandemia do covid-19.</t>
  </si>
  <si>
    <t>Prefeitura Municipal, Nova Hartz, RS</t>
  </si>
  <si>
    <t>OGU</t>
  </si>
  <si>
    <t xml:space="preserve">Recurso para custeio dos serviços de saúde (Piso de Atenção Básica)
</t>
  </si>
  <si>
    <t>Utilizamos para pagamento da empresa prestadora de serviços médicos - proativa saude coop. Prof area saude ltda cnpj 07.656.276/0001-71</t>
  </si>
  <si>
    <t>MUNICÍPIO</t>
  </si>
  <si>
    <t>BENEFICIÁRIO</t>
  </si>
  <si>
    <t>INSTITUIÇÃO</t>
  </si>
  <si>
    <t>Rua Duque de Caxias, 333 - Centro, Putinga - RS, CEP 95975-000</t>
  </si>
  <si>
    <t>Nº DA EMENDA</t>
  </si>
  <si>
    <t>TIPO DE EMENDA</t>
  </si>
  <si>
    <t>VALOR</t>
  </si>
  <si>
    <t>SITUAÇÃO</t>
  </si>
  <si>
    <t>INFORMAÇÕES</t>
  </si>
  <si>
    <t>Prefeitura Municipal, Imigrante, RS</t>
  </si>
  <si>
    <t xml:space="preserve">Como foi executado </t>
  </si>
  <si>
    <t>ARQUIVOS</t>
  </si>
  <si>
    <t>Código</t>
  </si>
  <si>
    <t>Pagamento de outros serviços de terceiros, pessoa jurídica, Convênio com Hospital Estrela para atendimento de urgência/emergência, exames de diagnóstico, cirurgias, partos, avaliações com especialistas, internações em leito de UTI.</t>
  </si>
  <si>
    <t>Prefeitura Municipal de Porto Alegre (Paço Municipal), Praça Montevidéu, 10 - Porto Alegre - RS, CEP 90010-170, Brasil</t>
  </si>
  <si>
    <t>A definir</t>
  </si>
  <si>
    <t>Investimento MAC</t>
  </si>
  <si>
    <t>R. Luís Costa, 293 - São Cristóvão, Tapejara - RS, 99950-000</t>
  </si>
  <si>
    <t>APAE de Tapejara</t>
  </si>
  <si>
    <t>Painéis fotovoltaicos</t>
  </si>
  <si>
    <t>Rua Anita Garibaldi, 219 - Centro, Morro Reuter - RS, CEP 93990-000</t>
  </si>
  <si>
    <t>2 viaturas pick up ostensiva com cela</t>
  </si>
  <si>
    <t>R. Marcolino de Carli - Centro, Santo Antônio da Patrulha - RS, 95500-000</t>
  </si>
  <si>
    <t>APAE de Santo Antônio da Patrulha</t>
  </si>
  <si>
    <t>E.E.T. Guaramano, Guarani das Missões, RS</t>
  </si>
  <si>
    <t>E.E.T. Guaramano</t>
  </si>
  <si>
    <r>
      <rPr>
        <sz val="10.0"/>
      </rPr>
      <t xml:space="preserve">Aquisição de 2 viaturas pick up ostensiva com cela. O valor total da emenda é de 1.650.930,54 que inclui 05 viaturas discretas tipo Sedan. Com contrapartida de 33.692,46. Proposta 028239: </t>
    </r>
    <r>
      <rPr>
        <sz val="10.0"/>
        <u/>
      </rPr>
      <t>https://drive.google.com/file/d/13UJPbFK0izb7oc7oPflF1d60qA_i3jsW/view?usp=sharing</t>
    </r>
  </si>
  <si>
    <t>Hospital São Vicente de Paulo, Passo Fundo, RS</t>
  </si>
  <si>
    <t>Hospital São Vicente de Paulo</t>
  </si>
  <si>
    <t>Prefeitura Municipal, Picada Café, RS</t>
  </si>
  <si>
    <t>Emenda individual (processo seletivo)</t>
  </si>
  <si>
    <t>Autoclave (75 a 150 litros), ar-condicionado, analisador de ions/eletrolitos, deionizador, micropipeta monocanal e termohigrometro para aumentar a resolutividade dos exames realizados na UBS do município. Emenda de investimento foi transformada em custeio para recebimento por parte do município.</t>
  </si>
  <si>
    <t>Brigada Militar de Camaquã, Camaquã, RS</t>
  </si>
  <si>
    <t>Brigada Militar</t>
  </si>
  <si>
    <t>Brigada Militar de Camaquã</t>
  </si>
  <si>
    <t>Em licitação</t>
  </si>
  <si>
    <t>Coletes balísticos e pistolas para o contingente da Brigada Militar</t>
  </si>
  <si>
    <t>Material em processo licitatório pela Secretaria de Segurança Pública do Rio Grande do Sul</t>
  </si>
  <si>
    <t>Avenida Presidente Getúlio Vargas, 2266, Bairro Sumaré (ou Bela Vista), Alvorada - RS, CEP 94810-001.</t>
  </si>
  <si>
    <t>09 motocicletas caracterizadas</t>
  </si>
  <si>
    <r>
      <rPr>
        <sz val="10.0"/>
      </rPr>
      <t xml:space="preserve">Viatura caracterizada tipo motocicleta. Valor total (17 motocicletas)  665.691,61. Proposta - 028449: </t>
    </r>
    <r>
      <rPr>
        <sz val="10.0"/>
        <u/>
      </rPr>
      <t>https://drive.google.com/file/d/1WlGh1kHSwuugd7ZkBZBGgSXTxeI_v28C/view?usp=sharing</t>
    </r>
  </si>
  <si>
    <t>Hospital Beneficência Alto Jacuí, Não-Me-Toque, RS</t>
  </si>
  <si>
    <t>Hospital Beneficência Alto Jacuí</t>
  </si>
  <si>
    <t>Emenda Individual (suplente - processo seletivo)</t>
  </si>
  <si>
    <t>Recurso para custeio dos serviços de saúde (Média e Alta Complexidade)</t>
  </si>
  <si>
    <t>Medicamentos, Material Médico Hospitalar e Alimentação</t>
  </si>
  <si>
    <t>04 Viatura ostensiva tipo pick up</t>
  </si>
  <si>
    <r>
      <rPr>
        <sz val="10.0"/>
      </rPr>
      <t xml:space="preserve">Aquisição 04 viatura caracterizada tipo PickUp. Valor total  1.280.468,00. Proposta 028449 : </t>
    </r>
    <r>
      <rPr>
        <sz val="10.0"/>
        <u/>
      </rPr>
      <t>https://drive.google.com/file/d/1WlGh1kHSwuugd7ZkBZBGgSXTxeI_v28C/view?usp=sharing</t>
    </r>
  </si>
  <si>
    <t>Secretaria de Segurança Pública</t>
  </si>
  <si>
    <t>Atualização de equipamento de extração de dados de dispositivos móveis para o IGP.</t>
  </si>
  <si>
    <t>Indicado</t>
  </si>
  <si>
    <t>Compra de duas SUV 118 CV (preço:  234.954,25/un) e duas PICK UP 4x4 ( 384.370,17/un)</t>
  </si>
  <si>
    <t>Avenida Getúlio Vargas, 731 - Centro, São José do Herval - RS, CEP 99380-000</t>
  </si>
  <si>
    <t xml:space="preserve">        
Porto Alegre</t>
  </si>
  <si>
    <t>Hospital Banco de Olhos de Porto Alegre (Associação de Literatura e Beneficência)</t>
  </si>
  <si>
    <t>Saúde (Investimento - MAC)</t>
  </si>
  <si>
    <t>Arquivos</t>
  </si>
  <si>
    <t>Rua Padre Emílio Schneider, 70, Centro, São Vendelino - RS, CEP 95795-000</t>
  </si>
  <si>
    <t>Recurso empenhado.</t>
  </si>
  <si>
    <t>Equipamentos de diagnóstico oftalmológico e gerenciamento de imagens para o Centro de Diagnósticos do hospital. Os equipamentos (microscópio especular, ecógrafo ocular, biômetro ultrassônico, tomógrafo de coerência óptica, biômetro óptico, servidor e armazenamento para sistema PACS) irão permitir maior agilidade no atendimento dos pacientes, redução no tempo de avaliação diagnóstica e diminuição da fila de espera da instituição.</t>
  </si>
  <si>
    <t>R. Minas Gerais - Três de Maio, RS, 98910-000</t>
  </si>
  <si>
    <t>Prefeitura de Três de Maio</t>
  </si>
  <si>
    <t>Corpo de Bombeiros</t>
  </si>
  <si>
    <t>Compra de três SUV 118 CV (preço:  234.954,25/un) e uma PICK UP 4x4 ( 384.370,17/un)</t>
  </si>
  <si>
    <t>Universidade Federal do Rio Grande Do Sul</t>
  </si>
  <si>
    <t>Polícia Rodoviária Federal</t>
  </si>
  <si>
    <t>Fundo Municipal de Saúde de Caseiros - RS</t>
  </si>
  <si>
    <t>PAP Custeio</t>
  </si>
  <si>
    <t>Hospital de Campo Bom Dr. Lauro Reus, Campo Bom, RS</t>
  </si>
  <si>
    <t>Hospital de Campo Bom Dr. Lauro Reus</t>
  </si>
  <si>
    <t>Recurso empenhado. Inexigibilidade de licitação aceita pelo Ministério. Recurso pago em 25/04/2022</t>
  </si>
  <si>
    <r>
      <rPr>
        <sz val="10.0"/>
      </rPr>
      <t xml:space="preserve">Na aquisição de 01 ferramenta de extração de dados o deputado Marcel contibuiu com  12.142,85. Outro parlamentar (emenda 20980007) com   150.000,00. Proposta 2045/2020 - </t>
    </r>
    <r>
      <rPr>
        <sz val="10.0"/>
        <u/>
      </rPr>
      <t>https://drive.google.com/file/d/1dA-xI-LIxcR9fUfK2Teoul4ATJp55IX9/view?usp=sharing</t>
    </r>
  </si>
  <si>
    <t>Hospital São Francisco de Assis, Parobé, RS</t>
  </si>
  <si>
    <t>Hospital São Francisco de Assis</t>
  </si>
  <si>
    <t>Prefeitura Municipal, Arroio do Meio, RS</t>
  </si>
  <si>
    <t>Santa Casa de Caridade de Bagé, Bagé, RS</t>
  </si>
  <si>
    <t>Santa Casa de Caridade de Bagé</t>
  </si>
  <si>
    <t>Caxias do sul</t>
  </si>
  <si>
    <t>Prefeitura Municipal, Barão, RS</t>
  </si>
  <si>
    <t>.</t>
  </si>
  <si>
    <t>Licitação concluída.</t>
  </si>
  <si>
    <t xml:space="preserve">1 cobertura de pista para unidade da PRF </t>
  </si>
  <si>
    <t>Em licitação. Com contrapartida da PRF.</t>
  </si>
  <si>
    <t>Hospital Tacchini, Bento Gonçalves, RS</t>
  </si>
  <si>
    <t>Hospital Tacchini</t>
  </si>
  <si>
    <t>Em atenção ao Of. n. 135/2020, de 26/11/2020, e com base no Projeto apresentado através do e-mail datado de 27/07/2020 (leitura realizada em 28/07/2020), com o valor de  100.000,00 recebido através de Emenda Parlamentar - Portaria GM/MS nº 679/2020, de autoria do Deputado Federal Marcel Van Hattem, foi possível reduzir o indicador percentual de tempo de espera cirúrgica acima de 60 dias, de 54,00% para 30,33% , ao mesmo tempo em que, foi possível ampliar o atendimento e beneficiar na realização de tratamento cirúrgico em oncologia de 26 novos pacientes oncológicos, que ingressaram na UNACON do Hospital Tacchini (Bento Gonçalves - RS), período de agosto, setembro e outubro de 2020, conforme as seguintes AIH's: Agosto/2020 - 4320104280140; 4320105042715; 4320105069049; 4320105808865; 4320103526959; 4320103526937; 4320103527400 / Setembro/2020 - 4320104281537; 4320104281548; 4320104281890; 4320104283891; 4320104281603; 4320104277907; 4320104281559 / Outubro/2020 - 4320104284353; 4320106584453; 4320106586796; 4320107313566; 4320107346115; 4320105048699; 4320105048534; 4320105809900; 4320105048370; 4320105822087; 4320104286069; 4320105050635.</t>
  </si>
  <si>
    <t>Prefeitura Municipal, Bom Princípio, RS</t>
  </si>
  <si>
    <t xml:space="preserve">8ª Delegacia de Polícia Regional - Caxias do Sul </t>
  </si>
  <si>
    <t>Prefeitura Municipal, Brochier, RS</t>
  </si>
  <si>
    <t>1) Pagamento de parte das despesas com Serviços Médicos e profissionais de saúde, através do Consórcio dos Municípios do Vale do Caí - CIS/CAI conforme empenhos a seguir relacionados:
- 3818/2020 - no valor de  20.993,50; 
- 3494/2020 - no valor de  20.553,00;
- 3218/2020 - no valor de    9.344,00;
- 3216/2020 - no valor de    6.230,00;
- 2928/2020 - no valor de  13.333,00;
- 2926/2020 - no valor de    9.065,00;
- 2587/2020 - no valor de    6.722,00;
- 2580/2020 - no valor de    6.610,00;
- 2579/2020 - no valor de  41.552,00;
- 2237/2020 - no valor de  42.754,00;   Trata esta prestação de contas de informação complementar à prestação de contas enviada na data de ontem, no intuito de esclarecer que os recursos aplicados serviram para ampliar o horário de atendimento no posto de saúde da sede do Município, que ocorre então das 7h da manhã até às 21h ininterruptamente. Com pode ser observado os recursos servem para custear parte da contratação de pessoal necessário para possibilitar o atendimento estendido no posto de saúde.</t>
  </si>
  <si>
    <t>Prefeitura Municipal, Carlos Barbosa, RS</t>
  </si>
  <si>
    <r>
      <rPr>
        <sz val="10.0"/>
      </rPr>
      <t xml:space="preserve">Proposta 21266/2021  - </t>
    </r>
    <r>
      <rPr>
        <sz val="10.0"/>
        <u/>
      </rPr>
      <t>https://drive.google.com/file/d/100R98VIt1lNeUjjwm3cteeyTBJBt15O-/view?usp=sharing</t>
    </r>
    <r>
      <rPr>
        <sz val="10.0"/>
      </rPr>
      <t xml:space="preserve">  </t>
    </r>
  </si>
  <si>
    <t>Prefeitura Municipal, Dois Irmãos, RS</t>
  </si>
  <si>
    <t>Fundação Hospitalar Santa Terezinha, Erechim, RS</t>
  </si>
  <si>
    <t>Fundação Hospitalar Santa Terezinha</t>
  </si>
  <si>
    <t>Aquisição de Luvas de Procedimento, conforme Nota Fiscal 104855 da Stock Med no valor de  99.258,00 e Nota Fiscal 337852 da Cooperativa Central de Cooperativas UNIMED RS no valor de 2.760,00</t>
  </si>
  <si>
    <t>SAÚDE</t>
  </si>
  <si>
    <t>Prefeitura Municipal, Esteio, RS</t>
  </si>
  <si>
    <t>Prefeitura Municipal, Feliz, RS</t>
  </si>
  <si>
    <t xml:space="preserve">Recurso para custeio dos serviços de saúde (Média e Alta Complexidade)
</t>
  </si>
  <si>
    <t>Conforme definido no projeto beneficiado, o recurso foi utilizado junto ao Contrato de Gestão mantido com a Associação de Saúde e Feliz para a manutenção de plantão médico presencial 24 horas no Hospital Schlatter para atendimentos de urgência e emergência, bem como ambulatoriais nos horários em que as Unidades Básicas de Saúde estão fechadas. De tal forma foi custeado a permanência de segundo plantonista médico (presencial) aos finais de semana e feriados, qualificando e agilizando os atendimentos.</t>
  </si>
  <si>
    <t>Corpo de Bombeiros de Dois Irmãos</t>
  </si>
  <si>
    <t>Recurso empenhado. Em licitação.</t>
  </si>
  <si>
    <t>Prefeitura Municipal, Harmonia, RS</t>
  </si>
  <si>
    <t>Desencarcerador hidráulico</t>
  </si>
  <si>
    <r>
      <rPr>
        <sz val="10.0"/>
      </rPr>
      <t xml:space="preserve">O valor indicado pelo deputado nessa emenda (41160012) é de  500 mil. Pela proposta da Sec. de Segurança do RS serão comprados 3 desencarceradores e 23 roupas de incêndio, com contrapartida do governo do RS. Proposta 2167/2020 - </t>
    </r>
    <r>
      <rPr>
        <sz val="10.0"/>
        <u/>
      </rPr>
      <t>https://drive.google.com/file/d/1HFuozWEpW-69Bac0gN8IIG7uNPATNnEg/view?usp=sharing</t>
    </r>
  </si>
  <si>
    <t xml:space="preserve">Recurso para custeio dos serviços de saúde (Piso de Atenção Básica)
</t>
  </si>
  <si>
    <t>O recurso será aplicado em 2021, tendo em virtude de possuir alguma parte neste ano de 2019. Assim, de forma mais justa e uniforme, a administração municipal entendeu da melhor aplicação no próximo ano.</t>
  </si>
  <si>
    <t xml:space="preserve">Posto de Saúde na Vila Mário Quintana (com Lasier Martins) </t>
  </si>
  <si>
    <t>Prefeitura Municipal, Igrejinha, RS</t>
  </si>
  <si>
    <t>RS-211 até RS-324 (Campinas do Sul e Ronda Alta)</t>
  </si>
  <si>
    <t>Brigada Militar de Dois Irmãos</t>
  </si>
  <si>
    <t>Viatura camionete pick-up 150 CV flex 4x2 para a Brigada Militar</t>
  </si>
  <si>
    <t>Ponte de Tramandaí-RS</t>
  </si>
  <si>
    <t>Associação Hospitalar de Caridade Ijuí, Ijuí, RS</t>
  </si>
  <si>
    <t>Associação Hospitalar de Caridade Ijuí</t>
  </si>
  <si>
    <t>BR 448</t>
  </si>
  <si>
    <t xml:space="preserve">adiamento por conta da covid. dia 25 cadastro no ministério </t>
  </si>
  <si>
    <t xml:space="preserve">PRF </t>
  </si>
  <si>
    <t>Prefeitura de Dois Irmãos</t>
  </si>
  <si>
    <t>OASE- Hospital Montenegro, Montenegro, RS</t>
  </si>
  <si>
    <t>OASE- Hospital Montenegro</t>
  </si>
  <si>
    <t>Volkslager como centro de comercialização de produtos gastronômicos turísticos</t>
  </si>
  <si>
    <t>Custeio energia elétrica competência agosto no valor de  74.343,17 e setembro ( parcial)  25.656,83, conforme comprovantes anexados.</t>
  </si>
  <si>
    <t>Prefeitura Municipal, Nova Petrópolis, RS</t>
  </si>
  <si>
    <t>O recurso, recebido pelo Fundo Municipal de Saúde de Nova Petrópolis mas com destinação específica para a Ordem Auxiliadora das Senhoras Evangélicas de Nova Petrópolis (Hospital de Nova Petrópolis), foi transferido para a entidade por meio de subvenção social cujo objeto foi o custeio de materiais hospitalares, medicamentos, EPI's, energia elétrica e água, em conformidade com os Planos de Trabalho pactuados por meio do 1º Termo de Aditamento ao Convênio nº 040/2019.</t>
  </si>
  <si>
    <t>Hospital Municipal de Novo Hamburgo, Novo Hamburgo, RS</t>
  </si>
  <si>
    <t>Hospital Municipal de Novo Hamburgo</t>
  </si>
  <si>
    <t>Prefeitura Municipal, Panambi, RS</t>
  </si>
  <si>
    <t>Os recursos da emenda parlamentar foram destinados para a realização de exames e consultas especializadas. Existia uma grande demanda reprimida em algumas especialidades. Com o recurso foi elaborado um cronograma onde os valores foram distribuídos mensalmente (Setembro, Outubro, Novembro e Dezembro), sendo que no momento o município já utilizou  75.437,95, faltando o saldo ser utilizado no mês de dezembro. Temos o relatório completo com os exames e consultas realizadas, bem como os pacientes que foram atendidos.</t>
  </si>
  <si>
    <t>Hospital Agudo</t>
  </si>
  <si>
    <t>Santa Casa de Misericórdia de Pelotas, Pelotas, RS</t>
  </si>
  <si>
    <t>Santa Casa de Misericórdia de Pelotas</t>
  </si>
  <si>
    <t xml:space="preserve">O recurso já foi executado e está em fase de prestação de contas nos órgãos pertinentes. O mesmo foi utilizado para consertos de mesas cirúrgicas do centro cirúrgico da instituição, com aquisição de um acessório importantíssimo para o bom funcionamento das mesas, além de também ter sido adquirido insumos hospitalares para suprir a demanda do centro cirúrgico por certo período no ano de 2020, como por ex: atadura, gaze, seringas ,agulhas, luvas, etc. Totalizando  101.915,47. </t>
  </si>
  <si>
    <t>Prefeitura Municipal, Pinto Bandeira, RS</t>
  </si>
  <si>
    <t>Foi aplicado em pagamento dos profissionais da saúde, em consultas e exames clínicos e ainda adquirido material ambulatorial e remédios para a Unidade Básica de Saúde.</t>
  </si>
  <si>
    <t>Hospital Sapiranga, Sapiranga, RS</t>
  </si>
  <si>
    <t>Hospital Sapiranga</t>
  </si>
  <si>
    <t>R$ 540.000,00</t>
  </si>
  <si>
    <t>Recurso indicado via Fundo Estadual de Saúde. Emenda paga, falttando o Fundo transferir os recursos para os hospitais.</t>
  </si>
  <si>
    <t>Aquisição de um novo gerador de energia elétrica para o hospital.</t>
  </si>
  <si>
    <t>Hospital Bom Jesus, Taquara, RS</t>
  </si>
  <si>
    <t>Hospital Bom Jesus</t>
  </si>
  <si>
    <t>Pago</t>
  </si>
  <si>
    <t>Prefeitura Municipal , Santo Ângelo, RS</t>
  </si>
  <si>
    <t xml:space="preserve">Município </t>
  </si>
  <si>
    <t>Implantação de video monitoramento</t>
  </si>
  <si>
    <t>https://drive.google.com/open?id=1aL4TlCcRuZ6KjDxbeWjlJc6erT2tVJQe</t>
  </si>
  <si>
    <t>Associação Hospitalar Beneficente Ajuricaba</t>
  </si>
  <si>
    <t>Hospital Ivan Goulart, São Borja, RS</t>
  </si>
  <si>
    <t>Hospital Ivan Goulart</t>
  </si>
  <si>
    <t>Recurso aplicado em exames para pacientes SUS: 20 exames de densitometria, 70 exames de tomografia e 70 exames de ressonância e compra de medicamentos para atender a demanda da pandemia COVID.</t>
  </si>
  <si>
    <t>Grupo-gerador movido a diesel, com potência mínima de 100 KVA, para manter em funcionamento ininterrupto os equipamentos essenciais ao suporte de pacientes do Hospital. Assegura-se, assim, o abastecimento de energia em momentos de desabastecimento, mantendo a qualidade e segurança dos atendimentos.</t>
  </si>
  <si>
    <t>Prefeitura Municipal, Sapiranga, RS</t>
  </si>
  <si>
    <t>Prefeitura Municipal, Sapucaia do Sul, RS</t>
  </si>
  <si>
    <t>Santa Casa de Caridade de Alegrete</t>
  </si>
  <si>
    <t>Prefeitura de Entre Rios do Sul</t>
  </si>
  <si>
    <t>R$ 250.000,00</t>
  </si>
  <si>
    <t xml:space="preserve">Bagé </t>
  </si>
  <si>
    <t>Aquisição de viaturas</t>
  </si>
  <si>
    <t>Prefeitura Municipal, Tapejara, RS</t>
  </si>
  <si>
    <t>Emenda de bancada (processo seletivo)</t>
  </si>
  <si>
    <t>11ª Delegacia de Polícia Regional – Erechim</t>
  </si>
  <si>
    <t>Fundação Universidade Federal do Pampa</t>
  </si>
  <si>
    <t>Recurso empenhado. Inexigibilidade de licitação aceita pelo Ministério. Recurso pago em 25/04/2022.</t>
  </si>
  <si>
    <t>Aquisição de Ferramenta Forense para extração, processamento e apoio na análise de dados e informações a partir de plataformas eletrônicas portáteis para a estruturação da 11ª Delegacia de Polícia Regional – Erechim</t>
  </si>
  <si>
    <r>
      <rPr>
        <sz val="10.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sz val="10.0"/>
        <u/>
      </rPr>
      <t>https://drive.google.com/file/d/1dA-xI-LIxcR9fUfK2Teoul4ATJp55IX9/view?usp=sharing</t>
    </r>
  </si>
  <si>
    <t xml:space="preserve">        
Porto Alegre </t>
  </si>
  <si>
    <t>Corpo de Bombeiros de Estância Velha</t>
  </si>
  <si>
    <t>Comando da Marinha Rio Grande</t>
  </si>
  <si>
    <r>
      <rPr>
        <sz val="10.0"/>
      </rPr>
      <t xml:space="preserve">O valor indicado pelo deputado nessa emenda (41160012) é de  500 mil. Pela proposta da Sec. de Segurança do RS serão comprados 3 desencarceradores e 23 roupas de incêndio, com contrapartida do governo do RS. Proposta 2167/2020 - </t>
    </r>
    <r>
      <rPr>
        <sz val="10.0"/>
        <u/>
      </rPr>
      <t>https://drive.google.com/file/d/1HFuozWEpW-69Bac0gN8IIG7uNPATNnEg/view?usp=sharing</t>
    </r>
  </si>
  <si>
    <t xml:space="preserve">Comando do Exército </t>
  </si>
  <si>
    <r>
      <rPr>
        <rFont val="Arial"/>
        <color rgb="FF000000"/>
        <sz val="10.0"/>
      </rPr>
      <t xml:space="preserve">41160009 </t>
    </r>
    <r>
      <rPr>
        <rFont val="Arial"/>
        <color rgb="FF000000"/>
        <sz val="10.0"/>
      </rPr>
      <t>/ 41160001</t>
    </r>
  </si>
  <si>
    <t>Comando da Aeronáutica Brasília</t>
  </si>
  <si>
    <t>Prefeitura de Feliz</t>
  </si>
  <si>
    <t>R$ 150.000,00</t>
  </si>
  <si>
    <t>Recurso indicado via Fundo Estadual de Saúde.</t>
  </si>
  <si>
    <t>Aquisição de equipamentos para execução da 2a etapa do projeto de cercamento
eletrônico do município de Feliz.</t>
  </si>
  <si>
    <t>Ministério do Desenvolvimento Regional</t>
  </si>
  <si>
    <t>O pagamento do recurso ao Município se efetivou dia 01/12/2020.</t>
  </si>
  <si>
    <t>https://drive.google.com/open?id=1ztfp5Xwl3eTFFIOQpG2kNGu6li8USVam</t>
  </si>
  <si>
    <t>Custeio para o hospital.</t>
  </si>
  <si>
    <t>Prefeitura Municipal, Três Palmeiras, RS</t>
  </si>
  <si>
    <t>Fundação Hospitalar Oftalmológica Universitária Lions</t>
  </si>
  <si>
    <t>Corpo de Bombeiros de Flores da Cunha</t>
  </si>
  <si>
    <t xml:space="preserve">O recurso ora destinado ao município de Três Palmeiras, foi empregado conforme proposto no plano de trabalho. Conforme apresentado, o município de Três Palmeiras possui o programa Juventude com Ideais, que além da orientação para nortear as crianças e os jovens para o empreendedorismo e ideal de vida, possui um viés antidrogas. Este programa é amplamente reconhecido e premiado nacionalmente. Com o recurso da emenda parlamentar, conseguimos custear a prestação de serviço das psicólogas que acompanham os alunos no programa, bem como aqueles que possuem alguma dependência química. Além disso. foram custeadas internações de jovens dependentes. Fabricação de material de orientação a respeito do programa, além dos brides para sorteio entre os melhores  alunos.   </t>
  </si>
  <si>
    <t>Ambulância/Resgate tipo C Furgão
teto alto</t>
  </si>
  <si>
    <t>Associação Hospitalar São Jose.</t>
  </si>
  <si>
    <t>Hospital Santa Casa de Uruguaiana, Uruguaiana, RS</t>
  </si>
  <si>
    <t>Hospital Santa Casa de Uruguaiana</t>
  </si>
  <si>
    <r>
      <rPr>
        <sz val="10.0"/>
      </rPr>
      <t xml:space="preserve">Proposta 20877/2021 - </t>
    </r>
    <r>
      <rPr>
        <sz val="10.0"/>
        <u/>
      </rPr>
      <t>https://drive.google.com/file/d/1zay9tOPtsNNVzpC6ZdFBF2vYKCbjoI0d/view?usp=sharing</t>
    </r>
  </si>
  <si>
    <t>Esse valor compôs o plano operativo entregue a SES, e aprovado. Contempla no plano: Pagamento de salários, Realização de 85 cirurgias de Traumato ortopedia, compensação de serviços realizados nos últimos 12 meses, 30 RTU de bexiga e 30 citoscopias, compra de Corrimão para atender o PPCI e vigilância sanitária, manutenção de equipamentos e pagamento de contas de luz.</t>
  </si>
  <si>
    <t>Associação Hospitalar Beneficente Ajuricaba, Ajuricaba, RS</t>
  </si>
  <si>
    <t xml:space="preserve">Sapiranga </t>
  </si>
  <si>
    <t>Fundo Municipal de Saúde</t>
  </si>
  <si>
    <t>SUV 118CV</t>
  </si>
  <si>
    <t>Recurso pago em 21/07/2023.</t>
  </si>
  <si>
    <t>R$ 56.000,00</t>
  </si>
  <si>
    <t>Aquisição de armamento e equipamento de cercamento eletrônico</t>
  </si>
  <si>
    <t>https://drive.google.com/open?id=10mYrEJyAyHP-Lmi3w4MTScPOJxfw0cdg</t>
  </si>
  <si>
    <t>Irmandade Santa Casa de Misericórdia de Porto Alegre, Porto Alegre, RS</t>
  </si>
  <si>
    <t>Irmandade Santa Casa de Misericórdia de Porto Alegre</t>
  </si>
  <si>
    <t>Fundo Municipal de Saúde Passo</t>
  </si>
  <si>
    <t>Ultrassom Diagnóstico sem Aplicação Transesofágica. Aparelho de ecografia portátil para a implantação de projeto para atendimento de pacientes com cirrose descompensada. Com o auxílio de equipamento de ecografia, que garante a segurança do procedimento (evita que sejam perfuradas estruturais como vasos sanguíneos ou intestino), médicos hepatologistas e gastroenterologistas realizarão drenagem de líquido abdominal semanal nesses pacientes. </t>
  </si>
  <si>
    <t>Sociedade Sulina Divina Providencia</t>
  </si>
  <si>
    <t>Associação Hospitalar Beneficente de Marau</t>
  </si>
  <si>
    <t>Corpo de Bombeiros de Giruá</t>
  </si>
  <si>
    <t>Hospital São Lucas da PUCRS</t>
  </si>
  <si>
    <r>
      <rPr>
        <sz val="10.0"/>
      </rPr>
      <t xml:space="preserve">Proposta 20877/2021 - </t>
    </r>
    <r>
      <rPr>
        <sz val="10.0"/>
        <u/>
      </rPr>
      <t>https://drive.google.com/file/d/1zay9tOPtsNNVzpC6ZdFBF2vYKCbjoI0d/view?usp=sharing</t>
    </r>
  </si>
  <si>
    <t>Associação Hospitalar Rio Branco De Pejuçara</t>
  </si>
  <si>
    <t>Corpo de Bombeiros de Ivoti</t>
  </si>
  <si>
    <t>Fundação Hospitalar Dr. Oswaldo Diesel, Três Coroas, RS</t>
  </si>
  <si>
    <r>
      <rPr>
        <sz val="10.0"/>
      </rPr>
      <t xml:space="preserve">Proposta 20877/2021 - </t>
    </r>
    <r>
      <rPr>
        <sz val="10.0"/>
        <u/>
      </rPr>
      <t>https://drive.google.com/file/d/1zay9tOPtsNNVzpC6ZdFBF2vYKCbjoI0d/view?usp=sharing</t>
    </r>
  </si>
  <si>
    <t>Iluminação da orla da praia da Costa Doce</t>
  </si>
  <si>
    <t>Hospital Nossa Senhora do Rosário</t>
  </si>
  <si>
    <t>Fundação Hospitalar Dr. Oswaldo Diesel</t>
  </si>
  <si>
    <t>Prefeitura de Lajeado</t>
  </si>
  <si>
    <t>R$ 165.000,00</t>
  </si>
  <si>
    <t>Fundação Hospitalar Dr Oswaldo Diesel</t>
  </si>
  <si>
    <t>Hospital Dr Ernesto Mauricio Arndt</t>
  </si>
  <si>
    <t>Santa Casa De Misericórdia de Pelotas</t>
  </si>
  <si>
    <t>Aquisição de equipamentose ferramentas de resgate veicular para o 3º Pelotão do Copro de Bambeiros Militar do Rio Grande do Sul, no município de Lajeado.</t>
  </si>
  <si>
    <t>Proposta Aceita. Plano de Trabalho em Análise.</t>
  </si>
  <si>
    <t>Irmandade da Santa Casa de Misericórdia de Porto Alegre</t>
  </si>
  <si>
    <t>Fundação Hospital de Caridade de Quarai</t>
  </si>
  <si>
    <t>Associação de Caridade Santa Casa de Rio Grande</t>
  </si>
  <si>
    <t>Consultado o Ambiente Parlamentar em 26/03/2024 e o recurso ainda não foi pago. Dez modernas bombas de infusão para otimizar o tempo de realização de determinados processos no atendimento ao paciente, permitindo que os profissionais possam se dedicar a outras demandas do atendimento hospitalar.</t>
  </si>
  <si>
    <t>https://drive.google.com/open?id=1j0K9osA10cCunagvL0GTED-6w8Mokzo8</t>
  </si>
  <si>
    <t>Hospital Santa Barbara Beneficente</t>
  </si>
  <si>
    <t>Hospital Beneficente Sinimbu</t>
  </si>
  <si>
    <t xml:space="preserve">Santa Cruz do Sul </t>
  </si>
  <si>
    <t>Consultado o Ambiente Parlamentar em 26/03/2024 e o recurso ainda não foi pago.</t>
  </si>
  <si>
    <t>Associação Pro Ensino Em Santa Cruz Do Sul</t>
  </si>
  <si>
    <t>Prefeitura de Maximiliano de Almeida</t>
  </si>
  <si>
    <t>Associação Amparo Providencia - Lar Das Vovozinhas</t>
  </si>
  <si>
    <t>objetivo principal visa à participaço do municipio no Sistema de Segurança Integrada, bem
como a Integração de sistemas com o escopo de compartilhamento de informaçoes para a
operacionalização de monitoramento e cercamento eletrônico (vídeo monitoramento).</t>
  </si>
  <si>
    <t>https://drive.google.com/open?id=1Agv-3pTULJG50K9Xz5aaUtJFgxXi1FZ3</t>
  </si>
  <si>
    <t>Sociedade Beneficente Sa Piranguense</t>
  </si>
  <si>
    <t>Associação Beneficente Santa Rosa De Lima</t>
  </si>
  <si>
    <t>Hospital Dr Ernesto Mauricio Arndt, Morro Redondo, RS</t>
  </si>
  <si>
    <t>Hospital São Sebastiao Martir</t>
  </si>
  <si>
    <t>Prefeitura de Montenegro</t>
  </si>
  <si>
    <t>R$ 140.000,00</t>
  </si>
  <si>
    <t>O objeto do presente projeto visa a instalação de sistema de câmeras de segu-
rança em 14 escolas, no município de Montenegro. (video monitoramento)</t>
  </si>
  <si>
    <t>https://drive.google.com/open?id=1cZ_hV_fbZXTmQP_PLDCyVHyWQC1SMGW2</t>
  </si>
  <si>
    <t>Indicado (Recurso perdido. Consultas realizadas SIOP e Ambiente Parlamentar em 16/04/2024).</t>
  </si>
  <si>
    <t>Proposta não foi cadastrada, consequentemente o recurso não foi empenhado. RECURSO DA EMENDA FOI PERDIDO.</t>
  </si>
  <si>
    <t>Prefeitura de Morro Reuter</t>
  </si>
  <si>
    <t>R$ 450.000,00</t>
  </si>
  <si>
    <t>Instalação de equipamentos de monitoramento em 20 (vinte) pontos estratégicos e de cercamento eletrônico em 4 (quatro). (video monitoramento)</t>
  </si>
  <si>
    <t>Hospital Auxiliadora, Rosário do Sul, RS</t>
  </si>
  <si>
    <t>https://drive.google.com/open?id=1u65kxRbekiiWARxCMGi29waOcbCJFsQ2</t>
  </si>
  <si>
    <t>https://drive.google.com/open?id=1zq7P9qIDTVlJyDRaaBBAHabc1oyfsMBz</t>
  </si>
  <si>
    <t>Hospital Auxiliadora</t>
  </si>
  <si>
    <t>Brigada Militar de Nova Pádua</t>
  </si>
  <si>
    <t>Viatura camionete/SUV 118 CV flex 4x2 para o grupamento da Brigada Militar</t>
  </si>
  <si>
    <t>Hospital Beneficente Sinimbu, Sinimbu, RS</t>
  </si>
  <si>
    <t xml:space="preserve">Proposta 006251/2020
</t>
  </si>
  <si>
    <t>Prefeitura de Nova Petrópolis</t>
  </si>
  <si>
    <t>Colocação de escada no Morro Botucaraí e construção de dois sanitários aos pés do Morro.</t>
  </si>
  <si>
    <t>Implantação de complemento a uma solução de
monitoramento e cercamento eletrônico .</t>
  </si>
  <si>
    <t>https://drive.google.com/open?id=1gyEtnodEnV2Yubp0aaJGVKTmxzIALV6x</t>
  </si>
  <si>
    <t>https://drive.google.com/open?id=14B9ZElFlCZSWjAyQy-lwkz6P_x27HA27</t>
  </si>
  <si>
    <t xml:space="preserve">2ª Delegacia de Polícia de Novo Hamburgo </t>
  </si>
  <si>
    <t>R. São Nicolau, 27 - Alegria, RS, 98905-000</t>
  </si>
  <si>
    <t>Revitalização do Cais do Porto (paisagismo, sinalização turística, execução de calçadas, instalação de bancos, mesas, pergolados, construção de mirante).</t>
  </si>
  <si>
    <t>APAE de Alegria</t>
  </si>
  <si>
    <t>https://drive.google.com/open?id=1wq_x6tt3VKDwkhAVPvKnZkZdbhOMulk5</t>
  </si>
  <si>
    <r>
      <rPr>
        <sz val="10.0"/>
      </rPr>
      <t xml:space="preserve">Na aquisição de 02 viaturas caracterizadas tipo SUV, o deputado Marcel contribuiu com  26.383,34. Outros parlamentares contribuíram com  300.000,00 (emenda nº 40330009),  13.191,67 (emenda nº 41210006),  3.184,67 (emenda nº 40330005) e  30.856,98 (contrapartida do estado). Proposta 21266/2021  - </t>
    </r>
    <r>
      <rPr>
        <sz val="10.0"/>
        <u/>
      </rPr>
      <t>https://drive.google.com/file/d/100R98VIt1lNeUjjwm3cteeyTBJBt15O-/view?usp=sharing</t>
    </r>
    <r>
      <rPr>
        <sz val="10.0"/>
      </rPr>
      <t xml:space="preserve"> </t>
    </r>
  </si>
  <si>
    <t>Restruturação da cobertura da área de recreação</t>
  </si>
  <si>
    <t>Prefeitura submeteu proposta ao Ministério da Saúde</t>
  </si>
  <si>
    <t>Proposta aprovada para pagamento.</t>
  </si>
  <si>
    <t>Van para implantar o transporte sanitário eletivo, beneficiando a população de baixa renda que necessita deslocar-se a hospitais da região para atendimentos com médicos especializados e realização de procedimentos de maior complexidade. Recurso enviado via Fundo Municipal de Saúde de Barros Cassal.</t>
  </si>
  <si>
    <t>Av. Júlio de Castilhos, 895 - Centro, Nova Roma do Sul - RS, 95260-000</t>
  </si>
  <si>
    <t>Prefeitura de Nova Roma Do Sul</t>
  </si>
  <si>
    <t>Saúde (Investimento)</t>
  </si>
  <si>
    <t>Prefeitura de Osório</t>
  </si>
  <si>
    <t>fornecimento, instalação e configuração
de sistema de segurança eletrônica por meio de Videomonitoramento e Cercamento Eletrônico.</t>
  </si>
  <si>
    <t>Associação Dr. Bartholomeu Tacchini - Hospital Tacchini</t>
  </si>
  <si>
    <t>https://drive.google.com/open?id=1yVxCcmVcD4APakUWqdG3jbrQ_uHVkt8h</t>
  </si>
  <si>
    <t>Aquisição e instalação de duas novas máquinas de hemodiálise para o tratamento de pacientes nefrológicos crônicos e agudos através do SUS. O hospital atende pacientes de oito municípios da Serra Gaúcha.</t>
  </si>
  <si>
    <t>Hospital Municipal</t>
  </si>
  <si>
    <t>Complexo Hospitalar de Bento Gonçalves</t>
  </si>
  <si>
    <t>Recurso pago.</t>
  </si>
  <si>
    <t>Instalação de energia fotovoltaica no Complexo de Saúde do Trabalhador, que compreende laboratório, centro de imagens, UPA 24 horas, farmácia e 40 leitos. O Complexo gastou, em 2020,  400.000,00 com energia elétrica. A usina de energia solar fotovoltaica, com a instalação de 811 placas de 330W, pretende reduzir em 70% o valor do gasto com energia, uma economia de  26.000,00 mensais. O valor economizado será revertido para a ampliação do atendimento da população que procura o complexo público de saúde. Recurso enviado via Fundo Municipal de Saúde de Bento Gonçalves.</t>
  </si>
  <si>
    <t>6ª Delegacia de Polícia Regional – Passo Fundo</t>
  </si>
  <si>
    <t>Aquisição de Ferramenta Forense para extração, processamento e apoio na análise de dados e informações a partir de plataformas eletrônicas portáteis para a estruturação da 6ª Delegacia de Polícia Regional – Passo Fundo.</t>
  </si>
  <si>
    <t>Av. Sapiranga, 729 - Industrial, Dois Irmãos - RS, 93950-000</t>
  </si>
  <si>
    <r>
      <rPr>
        <sz val="10.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sz val="10.0"/>
        <u/>
      </rPr>
      <t>https://drive.google.com/file/d/1dA-xI-LIxcR9fUfK2Teoul4ATJp55IX9/view?usp=sharing</t>
    </r>
  </si>
  <si>
    <t>APAE de Dois Irmãos</t>
  </si>
  <si>
    <t>5ª Delegacia Penitenciária Regional - Pelotas</t>
  </si>
  <si>
    <t>Custeio da unidade</t>
  </si>
  <si>
    <t>Hospital de Caridade Santana</t>
  </si>
  <si>
    <t>Execução de faixa compartilhada destinada à circulação de pedestres e ciclistas, com
acessibilidade e iluminação (530 metros de extensão que liga o centro da cidade até a Cachoeira Maratá).</t>
  </si>
  <si>
    <t>https://drive.google.com/open?id=1mwHnDPfOMAIzQmPg6HKfHInY9zAZrV2V</t>
  </si>
  <si>
    <t>Proposta em análise no Ministério da Segurança.</t>
  </si>
  <si>
    <t>Usina de energia solar fotovoltaica.</t>
  </si>
  <si>
    <t>Aparelhamento do Grupo de Intervenção Regional (GIR): 1 Viatura Tática de Transporte Rápido, 1 Escudo Balístico, 10 Espingarda PUMP Calibre 12.</t>
  </si>
  <si>
    <r>
      <rPr>
        <sz val="10.0"/>
      </rPr>
      <t xml:space="preserve">O valor total indicado para o município nessa emenda (41160005) é de  201.895,56. Sendo  180.837,86 do deputado, com contrapartida de 10,43% =  21.057,70. Detalhamento:  159.074,89 - Viatura Tática de Transporte Rápido;  8.200,00 - Escudo Balístico;  34.620,67 - Espingarda PUMP Calibre 12. . Proposta 024831/2021 - </t>
    </r>
    <r>
      <rPr>
        <sz val="10.0"/>
        <u/>
      </rPr>
      <t>https://drive.google.com/file/d/1mCz2mZU6VW77kVuqa9wnRbEiD-TvMQMu/view?usp=sharing</t>
    </r>
  </si>
  <si>
    <t>Av. Dom Érico Ferrari, 145 - Centro, Nova Palma - RS, 97250-000</t>
  </si>
  <si>
    <t>Instalação de pontos de apoio e centro regional de atendimento ao turista (rotas de cicloturismo e caminhada).</t>
  </si>
  <si>
    <t>Hospital de Caridade e Beneficência de Cachoeira do Sul</t>
  </si>
  <si>
    <t>Prefeitura de Picada Café</t>
  </si>
  <si>
    <t>Cercamento eletronico e video monitoramento</t>
  </si>
  <si>
    <t>Recurso indicado via Fundo Municipal de Saúde de Cachoeira do Sul.</t>
  </si>
  <si>
    <t>https://drive.google.com/open?id=1xnrNDYdknilwXMtJ6TcTSG84bgp2nxK1</t>
  </si>
  <si>
    <t>Energia fotovoltaica</t>
  </si>
  <si>
    <t>Rua Ipiranga, 375 - Centro, Presidente Lucena - RS, CEP 93945-000</t>
  </si>
  <si>
    <t>Divisão Estadual de Combate à Corrupção e à Lavagem de Dinheiro da Polícia Civil</t>
  </si>
  <si>
    <t>PICK UP 4X4</t>
  </si>
  <si>
    <t>Recurso empenhado. Aguardando aceite da inexigibilidade de licitação por parte do Ministério da Justiça. Pagamento realizado em 01/04/2022.</t>
  </si>
  <si>
    <t xml:space="preserve"> Aquisição e renovação de solução de extração de dados e análise criminal para a Divisão Estadual de Combate à Corrupção e à Lavagem de Dinheiro da Polícia Civil do Rio Grande do Sul. } RENOVAÇÃO DE LICENÇA DE SOLUÇÃO DE EXTRAÇÃO DE DADOS: </t>
  </si>
  <si>
    <t xml:space="preserve">Revitalização da Rua Independência (365m de extensão) - substituição dos bloquetos por pedras regulares, bem como a substituição do passeio público. </t>
  </si>
  <si>
    <r>
      <rPr>
        <sz val="10.0"/>
      </rPr>
      <t xml:space="preserve">Contrapartida da Secretaria Estadual de Segurança de  33.028,00. Proposta 4591/2020 - </t>
    </r>
    <r>
      <rPr>
        <sz val="10.0"/>
        <u/>
      </rPr>
      <t>https://drive.google.com/file/d/1d12Pvlf17mGPa5Mbtjy0ixgV_QkIzcMa/view?usp=sharing</t>
    </r>
    <r>
      <rPr>
        <sz val="10.0"/>
      </rPr>
      <t xml:space="preserve"> </t>
    </r>
  </si>
  <si>
    <t>Palacinho da Praça da Bandeira, Praça da Bandeira, Centro, Santa Cruz do Sul - RS</t>
  </si>
  <si>
    <t>https://drive.google.com/open?id=1Y2owD1GGe7xGZfQ1c5OB0f5XRp9En0Nt</t>
  </si>
  <si>
    <r>
      <rPr>
        <sz val="10.0"/>
      </rPr>
      <t xml:space="preserve">Na aquisição de 01 ferramenta de extração de dados o deputado Marcel contribuiu com  31.428,60. Outro parlamentar (emenda 37930012) com  74.964,30 e a contrapartida do governo do RS foi de  4.431,86
Proposta 2045/2020 - </t>
    </r>
    <r>
      <rPr>
        <sz val="10.0"/>
        <u/>
      </rPr>
      <t>https://drive.google.com/file/d/1dA-xI-LIxcR9fUfK2Teoul4ATJp55IX9/view?usp=sharing</t>
    </r>
  </si>
  <si>
    <t>Prefeitura Municipal de Venâncio Aires, Rua Osvaldo Aranha, 634 - Centro, Venâncio Aires - RS, CEP 95800-000</t>
  </si>
  <si>
    <t>Fundação Hospitalar São José de Cambará do Sul</t>
  </si>
  <si>
    <t xml:space="preserve">Gabinete de Inteligência e Assuntos Estratégicos da Polícia Civil </t>
  </si>
  <si>
    <t>Recurso empenhado. Inexigibilidade de licitação aceita pelo Ministério.</t>
  </si>
  <si>
    <t>Aquisição de renovação de licença para
solução de extração de dados (01 renovação de licença) para o Gabinete de Inteligência e Assuntos Estratégicos da Polícia Civil.</t>
  </si>
  <si>
    <r>
      <rPr>
        <sz val="10.0"/>
      </rPr>
      <t xml:space="preserve">Contrapartida da Secretaria Estadual de Segurança de  23.785.45. Proposta 2045/2020 - </t>
    </r>
    <r>
      <rPr>
        <sz val="10.0"/>
        <u/>
      </rPr>
      <t>https://drive.google.com/file/d/1dA-xI-LIxcR9fUfK2Teoul4ATJp55IX9/view?usp=sharing</t>
    </r>
  </si>
  <si>
    <t>Avenida Nestor de Moura Jardim, 111, Centro, Guaíba/RS, CEP 92.704-300</t>
  </si>
  <si>
    <t>Corolla blindado para a Delegacia de Santa Maria</t>
  </si>
  <si>
    <t>https://www.facebook.com/watch/?extid=SEO----&amp;v=274761207761657</t>
  </si>
  <si>
    <t>Departamento Estadual de Investigações do Narcotráfico (DENARC)</t>
  </si>
  <si>
    <t>Avenida João Mosmann Filho, 143, Centro, Parobé - RS, 95630-000</t>
  </si>
  <si>
    <r>
      <rPr>
        <rFont val="Arial"/>
        <color rgb="FF38761D"/>
        <sz val="11.0"/>
      </rPr>
      <t xml:space="preserve">Aquisição de 2 viaturas pick up ostensiva com cela. O valor total da emenda é de 1.650.930,54 que inclui 05 viaturas discretas tipo Sedan. Com contrapartida de 33.692,46. Proposta 028239: </t>
    </r>
    <r>
      <rPr>
        <rFont val="Arial"/>
        <color rgb="FF38761D"/>
        <sz val="11.0"/>
        <u/>
      </rPr>
      <t>https://drive.google.com/file/d/13UJPbFK0izb7oc7oPflF1d60qA_i3jsW/view?usp=sharing</t>
    </r>
  </si>
  <si>
    <r>
      <rPr>
        <sz val="10.0"/>
      </rPr>
      <t xml:space="preserve">Proposta 21266/2021  - </t>
    </r>
    <r>
      <rPr>
        <sz val="10.0"/>
        <u/>
      </rPr>
      <t>https://drive.google.com/file/d/100R98VIt1lNeUjjwm3cteeyTBJBt15O-/view?usp=sharing</t>
    </r>
    <r>
      <rPr>
        <sz val="10.0"/>
      </rPr>
      <t xml:space="preserve">  </t>
    </r>
  </si>
  <si>
    <t>Prefeitura Municipal de Igrejinha, Av. Ildo Meneghetti, nº 757 - Bairro XV de Novembro, Igrejinha - RS</t>
  </si>
  <si>
    <t>Exército Brasileiro</t>
  </si>
  <si>
    <t>Reforma do Museu MIlitar - Comando Militar do Sul</t>
  </si>
  <si>
    <t>Porto Alegre [IGP]</t>
  </si>
  <si>
    <t xml:space="preserve">Instituto Geral de Perícias </t>
  </si>
  <si>
    <t>01 ambulância/resgate tipo C furgão teto alto.</t>
  </si>
  <si>
    <t>Rua das Rosas, 268, Centro, Barra do Rio Azul - RS, CEP 99795-000.</t>
  </si>
  <si>
    <t>Fundo Municipal De Saude De Barra Do Rio Azul Barra Do Rio Azul - Rs</t>
  </si>
  <si>
    <r>
      <rPr>
        <rFont val="Arial"/>
        <color rgb="FF38761D"/>
        <sz val="11.0"/>
      </rPr>
      <t xml:space="preserve">Aquisição de 01 viatura de resgate e salvamento. Com contrapartida  33.966,66. Valor total  353.966,66. Proposta  - 028534: </t>
    </r>
    <r>
      <rPr>
        <rFont val="Arial"/>
        <color rgb="FF38761D"/>
        <sz val="11.0"/>
        <u/>
      </rPr>
      <t>https://drive.google.com/file/d/1z0Sm5HAnkqAcRLsVO6CusjDhOGmRDcIF/view?usp=sharing</t>
    </r>
  </si>
  <si>
    <r>
      <rPr>
        <sz val="10.0"/>
      </rPr>
      <t xml:space="preserve">Proposta 2174/2020 - </t>
    </r>
    <r>
      <rPr>
        <sz val="10.0"/>
        <u/>
      </rPr>
      <t>https://drive.google.com/file/d/1d12Pvlf17mGPa5Mbtjy0ixgV_QkIzcMa/view?usp=sharing</t>
    </r>
  </si>
  <si>
    <t>Hospital Universitário de Canoas</t>
  </si>
  <si>
    <r>
      <rPr>
        <rFont val="Arial"/>
        <color theme="1"/>
        <sz val="10.0"/>
      </rPr>
      <t xml:space="preserve">150.000,00 / </t>
    </r>
    <r>
      <rPr>
        <rFont val="Arial"/>
        <color rgb="FFFF0000"/>
        <sz val="10.0"/>
      </rPr>
      <t>200.000,00</t>
    </r>
  </si>
  <si>
    <t>Por se tratar de recursos para INCREMENTO MAC, os mesmos foram repassados para os CNES que foram cadastrados no sistema do FNS(Hospital Universitário e Hospital Nossa Senhora da Graças).</t>
  </si>
  <si>
    <t>8º Batalhão de Bombeiro Militar)</t>
  </si>
  <si>
    <t>355.975,13 (na licitação ficou em  330 mil)</t>
  </si>
  <si>
    <t xml:space="preserve">Pregão eletrônio concluído. 
Pagamento no valor de  330.000,00 realizado em 25/04/2022. O valor unitário do espectrômetro da proposta vencedora ficou em  330.000,00 economizando recursos públicos, já que o valor empenhado era de  355.975,13 pelo aparelho.
</t>
  </si>
  <si>
    <t>Equipamentos e insumos para o IGP: espectrômetro na região do infravermelho. Pagamento realizado em 25/04/2022.</t>
  </si>
  <si>
    <r>
      <rPr>
        <sz val="10.0"/>
      </rPr>
      <t xml:space="preserve">Proposta 2174/2020 - </t>
    </r>
    <r>
      <rPr>
        <sz val="10.0"/>
        <u/>
      </rPr>
      <t>https://drive.google.com/file/d/1d12Pvlf17mGPa5Mbtjy0ixgV_QkIzcMa/view?usp=sharing</t>
    </r>
  </si>
  <si>
    <t>41.388,5 (na licitação ficou em  27.999,00)</t>
  </si>
  <si>
    <t>Hospital São Roque</t>
  </si>
  <si>
    <r>
      <rPr>
        <sz val="10.0"/>
      </rPr>
      <t xml:space="preserve">Proposta 2174/2020 - </t>
    </r>
    <r>
      <rPr>
        <sz val="10.0"/>
        <u/>
      </rPr>
      <t>https://drive.google.com/file/d/1d12Pvlf17mGPa5Mbtjy0ixgV_QkIzcMa/view?usp=sharing</t>
    </r>
  </si>
  <si>
    <t>Instalação de um gerador fotovoltaico com capacidade de 10.800 kW/mês. O hospital gastou, em 2020,  260.000,00 com energia elétrica. O projeto irá reduzir em 40% a energia consumida, produzindo uma economia, no longo prazo (em 20 anos e considerando uma inflação de 5% na energia ao ano) de  4.405.336,21. A redução desse custo permitirá investimentos em equipamentos, ampliação do hospital e capacitação dos funcionários. Recurso enviado via Fundo Municipal de Saúde de Carlos Barbosa.</t>
  </si>
  <si>
    <t>Hospital Beneficente Santa Lucia</t>
  </si>
  <si>
    <r>
      <rPr>
        <rFont val="Arial"/>
        <color rgb="FF38761D"/>
        <sz val="11.0"/>
      </rPr>
      <t xml:space="preserve">Viatura caracterizada tipo motocicleta. Valor total (17 motocicletas)  665.691,61. Proposta - 028449: </t>
    </r>
    <r>
      <rPr>
        <rFont val="Arial"/>
        <color rgb="FF38761D"/>
        <sz val="11.0"/>
        <u/>
      </rPr>
      <t>https://drive.google.com/file/d/1WlGh1kHSwuugd7ZkBZBGgSXTxeI_v28C/view?usp=sharing</t>
    </r>
  </si>
  <si>
    <t>Aparelho de endoscopia e colonoscopia para qualificar o atendimento SUS e possibilitar que o hospital torne-se referência regional de média complexidade na especialidade de proctologia, beneficiando 32 municípios da região e atendendo demanda reprimida.</t>
  </si>
  <si>
    <r>
      <rPr>
        <sz val="10.0"/>
      </rPr>
      <t xml:space="preserve">Proposta 2174/2020 - </t>
    </r>
    <r>
      <rPr>
        <sz val="10.0"/>
        <u/>
      </rPr>
      <t>https://drive.google.com/file/d/1d12Pvlf17mGPa5Mbtjy0ixgV_QkIzcMa/view?usp=sharing</t>
    </r>
  </si>
  <si>
    <t>Hospital Virvi Ramos</t>
  </si>
  <si>
    <r>
      <rPr>
        <sz val="10.0"/>
      </rPr>
      <t xml:space="preserve">Proposta 2174/2020 - </t>
    </r>
    <r>
      <rPr>
        <sz val="10.0"/>
        <u/>
      </rPr>
      <t>https://drive.google.com/file/d/1d12Pvlf17mGPa5Mbtjy0ixgV_QkIzcMa/view?usp=sharing</t>
    </r>
  </si>
  <si>
    <t>Foi elaborado um Termo de Fomento com a Prefeitura Municipal de Caxias do Sul juntamente com outras Emendas Parlamentares. O valor será utilizado para aquisição de medicamentos , pagamento aos fornecedores de gases medicinais, Energia Elétrica, Água e prestadores de serviços de manutenção de equipamentos e descarte de resíduos. Termo de Fomento nº 2020/716.</t>
  </si>
  <si>
    <r>
      <rPr>
        <sz val="10.0"/>
      </rPr>
      <t xml:space="preserve">Proposta 2174/2020 - </t>
    </r>
    <r>
      <rPr>
        <sz val="10.0"/>
        <u/>
      </rPr>
      <t>https://drive.google.com/file/d/1d12Pvlf17mGPa5Mbtjy0ixgV_QkIzcMa/view?usp=sharing</t>
    </r>
  </si>
  <si>
    <t>Hospital Geral de Caxias do Sul</t>
  </si>
  <si>
    <r>
      <rPr>
        <rFont val="Arial"/>
        <color rgb="FF38761D"/>
        <sz val="11.0"/>
      </rPr>
      <t xml:space="preserve">Aquisição 04 viatura caracterizada tipo PickUp. Valor total  1.280.468,00. Proposta 028449 : </t>
    </r>
    <r>
      <rPr>
        <rFont val="Arial"/>
        <color rgb="FF38761D"/>
        <sz val="11.0"/>
        <u/>
      </rPr>
      <t>https://drive.google.com/file/d/1WlGh1kHSwuugd7ZkBZBGgSXTxeI_v28C/view?usp=sharing</t>
    </r>
  </si>
  <si>
    <t>Rua das Rosas, 268 - Centro, Barra do Rio Azul - RS, CEP 99795-000</t>
  </si>
  <si>
    <t xml:space="preserve">Kit Forense de Extração Celular para PC para o IGP. </t>
  </si>
  <si>
    <r>
      <rPr>
        <sz val="10.0"/>
      </rPr>
      <t xml:space="preserve">Proposta 2174/2020 - </t>
    </r>
    <r>
      <rPr>
        <sz val="10.0"/>
        <u/>
      </rPr>
      <t>https://drive.google.com/file/d/1d12Pvlf17mGPa5Mbtjy0ixgV_QkIzcMa/view?usp=sharing</t>
    </r>
  </si>
  <si>
    <t>Kit Forense de Extração Celular unidade portátil para o IGP.</t>
  </si>
  <si>
    <r>
      <rPr>
        <sz val="10.0"/>
      </rPr>
      <t xml:space="preserve">Proposta 2174/2020 - </t>
    </r>
    <r>
      <rPr>
        <sz val="10.0"/>
        <u/>
      </rPr>
      <t>https://drive.google.com/file/d/1d12Pvlf17mGPa5Mbtjy0ixgV_QkIzcMa/view?usp=sharing</t>
    </r>
  </si>
  <si>
    <t>O recurso foi utilizado para a aquisição de insumos de uso mensal, como: Papel A4, Luvas de procedimentos, Micropore, Máscara descartável, Campo operatório, Escova descartável com clorexidina, Compressa cirúrgica, Algodão, Gaze e Compressa de gaze.</t>
  </si>
  <si>
    <t>R. Vitório Sechinato, 50, Ajuricaba, RS, 98750-000</t>
  </si>
  <si>
    <t>44 câmeras fotográficas, 08 lentes para câmeras fotográficas, 05 licença perpétua do magnet ief, 01 manequim adulto para reprodução simulada dos fatos, 01 manequim infantil para reprodução simulada dos fatos, 89 pincéis para aplicação de pó revelador de impressões papilares.</t>
  </si>
  <si>
    <r>
      <rPr>
        <sz val="10.0"/>
      </rPr>
      <t xml:space="preserve">O deputado Marcel contribuiu com  400.000,00, com contrapartida de  57.030,19. Proposta 021355/2021 - </t>
    </r>
    <r>
      <rPr>
        <sz val="10.0"/>
        <u/>
      </rPr>
      <t>https://drive.google.com/file/d/1snCNLonqwErA_N4mdpMmTLDYHoa30OB3/view?usp=sharing</t>
    </r>
  </si>
  <si>
    <t>Marinha do Brasil</t>
  </si>
  <si>
    <t>Embarcação de patrulhamento</t>
  </si>
  <si>
    <r>
      <rPr>
        <rFont val="Arial"/>
        <color rgb="FF000000"/>
        <sz val="11.0"/>
      </rPr>
      <t xml:space="preserve">Proposta 033437/2021 - </t>
    </r>
    <r>
      <rPr>
        <rFont val="Arial"/>
        <color rgb="FF1155CC"/>
        <sz val="11.0"/>
        <u/>
      </rPr>
      <t>https://drive.google.com/file/d/1anFh9yryznLscxrEOzRV_Db5y8Px7OY8/view?usp=sharing</t>
    </r>
    <r>
      <rPr>
        <rFont val="Arial"/>
        <color rgb="FF000000"/>
        <sz val="11.0"/>
      </rPr>
      <t xml:space="preserve"> </t>
    </r>
  </si>
  <si>
    <r>
      <rPr>
        <sz val="10.0"/>
      </rPr>
      <t xml:space="preserve">Aquisição de 01 viatura de resgate e salvamento. Com contrapartida  33.966,66. Valor total  353.966,66. Proposta  - 028534: </t>
    </r>
    <r>
      <rPr>
        <sz val="10.0"/>
        <u/>
      </rPr>
      <t>https://drive.google.com/file/d/1z0Sm5HAnkqAcRLsVO6CusjDhOGmRDcIF/view?usp=sharing</t>
    </r>
  </si>
  <si>
    <t>8ª Delegacia Penitenciária Regional - Santa Cruz do Sul</t>
  </si>
  <si>
    <t xml:space="preserve">Aparelhamento do Grupo de Intervenção Regional (GIR): 1 Viatura Tática de Transporte Rápido,10 Espingarda PUMP Calibre 12, 1 Escudo Balístico. </t>
  </si>
  <si>
    <t>Fundo Municipal de Saúde do Balneário Pinhal, Avenida Italia, 3100, Bairro Centro, Balneário Pinhal, RS, CEP 95599-000</t>
  </si>
  <si>
    <r>
      <rPr>
        <sz val="10.0"/>
      </rPr>
      <t xml:space="preserve">O valor total indicado pelo para o município nessa emenda (41160005) é de  201.895,56. Sendo  18.0837,86 do deputado, com contrapartida de 10,43% =  21.057,70.   Detalhamento:  34.620,67 - Espingarda PUMP Calibre 12;   8.200,00 - Escudo Balístico;  159.074,89 - Viatura Tática de Transporte Rápido. Proposta 024831/2021 - </t>
    </r>
    <r>
      <rPr>
        <sz val="10.0"/>
        <u/>
      </rPr>
      <t>https://drive.google.com/file/d/1mCz2mZU6VW77kVuqa9wnRbEiD-TvMQMu/view?usp=sharing</t>
    </r>
  </si>
  <si>
    <t>Fundo Municipal De Saude Do Balneario Pinhal Balneário Pinhal - Rs</t>
  </si>
  <si>
    <t>3ª Delegacia de Polícia Regional – Santa Maria</t>
  </si>
  <si>
    <t>Aquisição de Ferramenta Forense para extração, processamento e apoio na análise de dados e informações a partir de plataformas eletrônicas portáteis para a estruturação da 3ª Delegacia de Polícia Regional – Santa Maria.</t>
  </si>
  <si>
    <r>
      <rPr>
        <sz val="10.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sz val="10.0"/>
        <u/>
      </rPr>
      <t>https://drive.google.com/file/d/1dA-xI-LIxcR9fUfK2Teoul4ATJp55IX9/view?usp=sharing</t>
    </r>
  </si>
  <si>
    <t>Trailblazer caminhonete 4x4 para o Centro de Operações Especiais da PRF, com sede em Porto Alegre</t>
  </si>
  <si>
    <t>Aquisição de um veículo com acesso para pessoas com deficiência</t>
  </si>
  <si>
    <t xml:space="preserve">Empresa contratada e em fase de execução. </t>
  </si>
  <si>
    <r>
      <rPr>
        <sz val="10.0"/>
      </rPr>
      <t xml:space="preserve">O valor indicado para o município nesta emenda (41160005) é de  42.820,67. Sendo  38.354,48 do deputado, com contrapartida de 10,43% =  4466,19. Detalhamento:  8.200,00 - Escudo balístico;  34.620,67 - 10 espingardas . Proposta 024831/2021 - </t>
    </r>
    <r>
      <rPr>
        <sz val="10.0"/>
        <u/>
      </rPr>
      <t>https://drive.google.com/file/d/1mCz2mZU6VW77kVuqa9wnRbEiD-TvMQMu/view?usp=sharing</t>
    </r>
    <r>
      <rPr>
        <sz val="10.0"/>
      </rPr>
      <t xml:space="preserve"> </t>
    </r>
  </si>
  <si>
    <t>Rua José Canellas, 258, Centro, Frederico Westphalen - RS, 98400-000, Brasil.</t>
  </si>
  <si>
    <t>Fundo Municipal De Saude Frederico Westphalen - Rs</t>
  </si>
  <si>
    <t>Aeronáutica do Brasil</t>
  </si>
  <si>
    <t>Aquisição de veículo para transporte de pacientes</t>
  </si>
  <si>
    <t>Reforma das Instalações da Base Aérea de Santa Maria</t>
  </si>
  <si>
    <t>Rua Jose Canellas, 258, Casa, Centro, Frederico Westphalen - RS, 98400-000</t>
  </si>
  <si>
    <t>Brigada Militar de Santa Maria do Herval</t>
  </si>
  <si>
    <t>Recurso de custeio para apoio aos serviços essenciais de média e alta complexidade da saúde do Município</t>
  </si>
  <si>
    <t>Fundo Municipal de Saúde de Muitos Capões - RS</t>
  </si>
  <si>
    <t>Município de Muitos Capões</t>
  </si>
  <si>
    <t>Fundo Municipal de Saúde de Sete de Setembro - RS</t>
  </si>
  <si>
    <t>Município de Sete de Setembro</t>
  </si>
  <si>
    <t>Costa Doce Arambaré - RS</t>
  </si>
  <si>
    <t>Fundo Municipal de Saúde de Arvorezinha - RS</t>
  </si>
  <si>
    <t>Fundo Municipal de Saúde de Itati - RS</t>
  </si>
  <si>
    <t>Viatura Duster semi-blindada para a Brigada Militar</t>
  </si>
  <si>
    <t>R. 12 de Maio, Santa Maria do Herval - RS, 93995-000</t>
  </si>
  <si>
    <t>Hospital Pompeia</t>
  </si>
  <si>
    <r>
      <rPr>
        <rFont val="Arial"/>
        <color rgb="FF000000"/>
        <sz val="11.0"/>
      </rPr>
      <t xml:space="preserve">Resultado do processo seletivo: </t>
    </r>
    <r>
      <rPr>
        <rFont val="Arial"/>
        <color rgb="FF1155CC"/>
        <sz val="11.0"/>
        <u/>
      </rPr>
      <t>http://marcelvanhattem.com.br/2020/wp-content/uploads/2021/09/EMENDA-TURISMO-2021.pdf</t>
    </r>
  </si>
  <si>
    <t>Fundo Municipal de Saúde de Mato Castelhano - RS</t>
  </si>
  <si>
    <t>Recurso indicado via Fundo Municipal de Saúde de Caxias do Sul.</t>
  </si>
  <si>
    <t>Prefeitura de Santa Maria do Herval</t>
  </si>
  <si>
    <t>R$ 235.000,00</t>
  </si>
  <si>
    <t>Hospital São Vicente de Paulo (Associação das Damas de Caridade)</t>
  </si>
  <si>
    <t>Prefeitura Municipal, Terra de Areia, RS</t>
  </si>
  <si>
    <t>https://drive.google.com/open?id=1xM1yRvfJ0To3f4eNBd5t3jKR7XnxUZ0V</t>
  </si>
  <si>
    <t>Modernização do serviço de diálise com a aquisição de duas novas máquinas para tratamento. Aumento do número de atendimentos na Unidade de Terapia Renal e UTI.</t>
  </si>
  <si>
    <t>Prefeitura de Santo Antônio da Patrulha</t>
  </si>
  <si>
    <t>R$ 350.000,00</t>
  </si>
  <si>
    <t>Aquisição de veículo que será destinado à Brigada Militar de Santo Antônio
da Patrulha, para reforço do aparelhamento da corporação, voltado para o
policiamento ostensivo.</t>
  </si>
  <si>
    <t>https://drive.google.com/open?id=188ZgP7AVxaIKAfpYmcOFHpGdohpAovsN</t>
  </si>
  <si>
    <t>Polícia Civil de São José do Hortêncio</t>
  </si>
  <si>
    <t>Brigada Militar de Dilermando de Aguiar</t>
  </si>
  <si>
    <t xml:space="preserve">Viatura Duster semi-blindada para a Polícia Civil
</t>
  </si>
  <si>
    <t>São Francisco De Assis</t>
  </si>
  <si>
    <t>Delegacia de Polícia Civil de São José do Hortêncio, São José do Hortêncio - RS, 95755-000</t>
  </si>
  <si>
    <t>Av. José Antônio de Oliveira Neto, 355 - Centro, Araricá - RS, 93880-000</t>
  </si>
  <si>
    <r>
      <rPr>
        <color theme="7"/>
        <sz val="10.0"/>
      </rPr>
      <t xml:space="preserve"> </t>
    </r>
    <r>
      <rPr>
        <color theme="7"/>
        <sz val="10.0"/>
        <u/>
      </rPr>
      <t>https://www.primeirahora.rs/web/noticias/19911/polcia-civil-de-so-jos-do-hortncio-recebe-nova-viatura-semiblindada</t>
    </r>
  </si>
  <si>
    <t>Viatura entregue em maio de 2021.</t>
  </si>
  <si>
    <t>R. 13 de Janeiro, 1424 - Centro, São Francisco de Assis - RS, 97610-000</t>
  </si>
  <si>
    <t>DNIT-DEPARTAMENTO NACIONAL DE INFRAEST DE TRANSPORTES
Porto Alegre</t>
  </si>
  <si>
    <t>Hospital Santo Antonio</t>
  </si>
  <si>
    <t>R. Dr. João Carlos Machado, 665 - Centro, Arroio do Meio - RS, 95940-000</t>
  </si>
  <si>
    <t xml:space="preserve">Min. Desenvolvimento Regional </t>
  </si>
  <si>
    <t>R. Carlos Mangabeira, 307 - Centro, Bagé - RS, 96400-490</t>
  </si>
  <si>
    <t>https://drive.google.com/file/d/16Ol1p7pGgiKY7zt4K0eY4MmtR6ITvWXw/view?usp=sharing</t>
  </si>
  <si>
    <t>Prefeitura de Sapucaia do Sul</t>
  </si>
  <si>
    <t>R$ 481.000,00</t>
  </si>
  <si>
    <t>https://drive.google.com/open?id=1P3jAEGWvd_y5wGA_glK6yFHkwz-nb2hU</t>
  </si>
  <si>
    <t xml:space="preserve">Aquisição de equipamentos </t>
  </si>
  <si>
    <t>Aquisição de painéis fotovoltaicos</t>
  </si>
  <si>
    <t>Prefeitura de Sarandi</t>
  </si>
  <si>
    <t>R$ 428.000,00</t>
  </si>
  <si>
    <t>veículo (viatura) utilizado para a atividade de combate a incêndio florestal,
vegetações e plantações no âmbito de atendimento da cidade de Sarandi – RS, pelo Corpo de
Bombeiros Militar do Estado do Rio Grande do Sul.</t>
  </si>
  <si>
    <t>Hospital Agudo, Agudo, RS</t>
  </si>
  <si>
    <t>R. Gen. Flores da Cunha, 56 - Popular, Bagé - RS, 96400-350</t>
  </si>
  <si>
    <t>https://drive.google.com/open?id=1XMidcmecSY7y0kVeVo6PC9FF7OXlp7QX</t>
  </si>
  <si>
    <t xml:space="preserve">Aguarda liberação de recurso </t>
  </si>
  <si>
    <r>
      <rPr>
        <rFont val="Arial"/>
        <color theme="5"/>
        <sz val="11.0"/>
      </rPr>
      <t xml:space="preserve">Na aquisição de 01 ferramenta de extração de dados o deputado Marcel contibuiu com  12.142,85. Outro parlamentar (emenda 20980007) com   150.000,00. Proposta 2045/2020 - </t>
    </r>
    <r>
      <rPr>
        <rFont val="Arial"/>
        <color theme="5"/>
        <sz val="11.0"/>
        <u/>
      </rPr>
      <t>https://drive.google.com/file/d/1dA-xI-LIxcR9fUfK2Teoul4ATJp55IX9/view?usp=sharing</t>
    </r>
  </si>
  <si>
    <t>Aguarda entrega</t>
  </si>
  <si>
    <t>Roupa de combate a incêndio RIP STOP</t>
  </si>
  <si>
    <t>Hospital São José de Dois Irmãos</t>
  </si>
  <si>
    <t>Prefeitura de Tapejara</t>
  </si>
  <si>
    <t>https://drive.google.com/open?id=1-1YSc6-qHIu_sYvuS9cky8UmtR32yt5w</t>
  </si>
  <si>
    <t>Obra de ampliação de ala do Hospital São José de Dois Irmãos com 20 novos leitos e bloco cirúrgico. Recursos COVID-19.</t>
  </si>
  <si>
    <t>Obra concluída e inaugurada em abril de 2021.</t>
  </si>
  <si>
    <t>R$ 95.000,00</t>
  </si>
  <si>
    <t>Aquisição de equipamentos para videomonitoramento</t>
  </si>
  <si>
    <t>https://drive.google.com/open?id=1ojrLpQDGPv53im1NtuF60HvQpMRvIZeg</t>
  </si>
  <si>
    <t>Associação Hospitalar HM Regional - em Recuperação Judicial, Rua Assis Brasil, 1621, Sala 01, Centro, Montenegro - RS, CEP 92510-180, Brasil</t>
  </si>
  <si>
    <t>Associacao Hospitalar Hm Regional - Em Recuperacao Judicial Montenegro - Rs</t>
  </si>
  <si>
    <t>Aquisição de 12 camas mecanicas</t>
  </si>
  <si>
    <t>Brigada Militar de Tupanci do Sul</t>
  </si>
  <si>
    <t>R. Antônio Zoti, 404, Tupanci do Sul - RS, 99878-000</t>
  </si>
  <si>
    <t>Hospital Beneficente Nossa Senhora Aparecida, Paraí, RS</t>
  </si>
  <si>
    <t>R. da Estação, 1085 - Operário, Barão - RS, 95730-000</t>
  </si>
  <si>
    <t>Hospital Beneficente Nossa Senhora Aparecida</t>
  </si>
  <si>
    <t>R$ 60.000,00</t>
  </si>
  <si>
    <t>https://drive.google.com/open?id=1IoznEZofF-0pOtgcDUKiI35hkaFXohUz</t>
  </si>
  <si>
    <t>Melhorias nos quartos do hospital com novas camas hospitalares, monitores, bomba de seringa e oxímetro para torná-los compatíveis com novo padrão de atendimento, mais moderno e adequado a uma melhor recepção dos pacientes.</t>
  </si>
  <si>
    <t>Vários municípios</t>
  </si>
  <si>
    <t>Unidades da Brigada Militar em Porto Alegre, Canoas, Cruz Alta, Santa Maria, Guaíba, Santa Rosa, Osório, Santo Ângelo, Passo Fundo, Caxias do Sul, Pelotas, Montenegro, Santa Cruz do Sul, Novo Hamburgo e Lajeado.</t>
  </si>
  <si>
    <t>Convênio 905241/2020 (23/12/2020).</t>
  </si>
  <si>
    <t>471 capacetes de motociclista.</t>
  </si>
  <si>
    <r>
      <rPr>
        <sz val="10.0"/>
        <u/>
      </rPr>
      <t xml:space="preserve">Proposta 1500/2020  -                          </t>
    </r>
    <r>
      <rPr>
        <sz val="10.0"/>
        <u/>
      </rPr>
      <t>https://drive.google.com/file/d/1aVbHDu-DKviaNACegsEerGDS8Nd_-893/view?usp=sharing</t>
    </r>
  </si>
  <si>
    <t>201110,34 (valor final da licitação  91,292,31)</t>
  </si>
  <si>
    <t xml:space="preserve">Pagamento da emenda realizado em 25/06/2021. 102 Coletes Balísticos IIIA Masculino M, totalizando  91.292,31. Valor unitário mais baixo do que aquele previsto no Plano de Trabalho. Os 102 coletes foram direcionados para o Comando de Policiamento da Capital.   </t>
  </si>
  <si>
    <t>102 coletes balísticos IIIA Masculino M</t>
  </si>
  <si>
    <r>
      <rPr>
        <sz val="10.0"/>
        <u/>
      </rPr>
      <t xml:space="preserve">Proposta 1500/2020  -                          </t>
    </r>
    <r>
      <rPr>
        <sz val="10.0"/>
        <u/>
      </rPr>
      <t>https://drive.google.com/file/d/1aVbHDu-DKviaNACegsEerGDS8Nd_-893/view?usp=sharing</t>
    </r>
  </si>
  <si>
    <t>Unidades da Brigada Militar em Porto Alegre e Região Metropolitana.</t>
  </si>
  <si>
    <t>Viatura em processo licitatório pela Secretaria de Segurança Pública do Rio Grande do Sul</t>
  </si>
  <si>
    <t>224.845,32 (valor final da licitação  200.000,00)</t>
  </si>
  <si>
    <t>Av. Maurício Cardoso, 1177, Barros Cassal - RS, 99360-000</t>
  </si>
  <si>
    <t>Pagamento realizado em 25/08/2021. Dos 42 dispositivos elétricos incapacitantes, 23 foram para o Comando de Policiamento Metropolitano e 19 para o Comando de Policiamento da Capital. O valor final da licitação foi de  200.000,00, abaixo dos  224.845,32 reservado pela emenda para a compra dos equipamentos</t>
  </si>
  <si>
    <t>42 dispositivo elétricos incapacitantes.</t>
  </si>
  <si>
    <r>
      <rPr>
        <rFont val="Arial"/>
        <color rgb="FF000000"/>
        <sz val="11.0"/>
      </rPr>
      <t xml:space="preserve">Propostas no Fundo Nacional de Saúde - </t>
    </r>
    <r>
      <rPr>
        <rFont val="Arial"/>
        <color rgb="FF1155CC"/>
        <sz val="11.0"/>
        <u/>
      </rPr>
      <t>https://drive.google.com/file/d/1lTmWUQJKG5rGSM0vQkXaZuJ4dXAvvvgM/view?usp=sharing</t>
    </r>
    <r>
      <rPr>
        <rFont val="Arial"/>
        <color rgb="FF000000"/>
        <sz val="11.0"/>
      </rPr>
      <t xml:space="preserve"> e </t>
    </r>
    <r>
      <rPr>
        <rFont val="Arial"/>
        <color rgb="FF1155CC"/>
        <sz val="11.0"/>
        <u/>
      </rPr>
      <t>https://drive.google.com/file/d/1n91ehuvh0UbH3XWnALEDOEGLtv6QBzdg/view?usp=sharing</t>
    </r>
    <r>
      <rPr>
        <rFont val="Arial"/>
        <color rgb="FF000000"/>
        <sz val="11.0"/>
      </rPr>
      <t xml:space="preserve"> </t>
    </r>
  </si>
  <si>
    <r>
      <rPr>
        <sz val="10.0"/>
        <u/>
      </rPr>
      <t xml:space="preserve">Proposta 1500/2020  -                          </t>
    </r>
    <r>
      <rPr>
        <sz val="10.0"/>
        <u/>
      </rPr>
      <t>https://drive.google.com/file/d/1aVbHDu-DKviaNACegsEerGDS8Nd_-893/view?usp=sharing</t>
    </r>
  </si>
  <si>
    <t xml:space="preserve">Emenda de bancada </t>
  </si>
  <si>
    <t>Av. Cel. Amaral Ferrador, 441, Amaral Ferrador - RS, 96635-000</t>
  </si>
  <si>
    <t>75 mil unidades de munição calibre 9mm Luger para treinamento.</t>
  </si>
  <si>
    <r>
      <rPr>
        <sz val="10.0"/>
        <u/>
      </rPr>
      <t xml:space="preserve">Proposta 1500/2020  -                          </t>
    </r>
    <r>
      <rPr>
        <sz val="10.0"/>
        <u/>
      </rPr>
      <t>https://drive.google.com/file/d/1aVbHDu-DKviaNACegsEerGDS8Nd_-893/view?usp=sharing</t>
    </r>
  </si>
  <si>
    <t>Sociedade Hospitalar São José</t>
  </si>
  <si>
    <t>30400 unidades de munição calibre 9mm Luger para emprego dos brigadianos.</t>
  </si>
  <si>
    <r>
      <rPr>
        <sz val="10.0"/>
        <u/>
      </rPr>
      <t xml:space="preserve">Proposta 1500/2020  -                          </t>
    </r>
    <r>
      <rPr>
        <sz val="10.0"/>
        <u/>
      </rPr>
      <t>https://drive.google.com/file/d/1aVbHDu-DKviaNACegsEerGDS8Nd_-893/view?usp=sharing</t>
    </r>
  </si>
  <si>
    <t>2º Batalhão de Bombeiros Militar nas seguintes cidades: Campo Bom, Dois Irmãos, Estância Velha, Ivoti, Montenegro, Novo Hamburgo, Parobé, Portão , Sapiranga, Sapucaia do Sul, Taquara e Taquari</t>
  </si>
  <si>
    <t>Informatizar e qualificar os dados de modo a adotar princípios da eficiência e da publicidade, gerando economicidade e transparência entre funcionários, médicos e população em geral.</t>
  </si>
  <si>
    <t>R. Dr. José Mário Mônaco, 358 - Centro, Bento Gonçalves - RS, 95700-068</t>
  </si>
  <si>
    <t>134550 (na licitação ficou  99.387,60)</t>
  </si>
  <si>
    <t>Recurso empenhado. Pagamento no valor de  73.864,86 realizado em 23/03/2022. 
As roupas de proteção irão para o 2o Batalhão de Bombeiro Militar, com sede em São Leopoldo, e assim assim distribuídas: Campo Bom (2 unidades), Estância Velha (2), Dois Irmãos (2), Ivoti (2), Montenegro (2), Parobé (2), Portão (2), Sapiranga (2), Sapucaia do Sul (2), Taquara (2), Taquari (2), Novo Hamburgo (1).
O valor unitário das roupas de combate a incêndio ficou em  4.321,20, totalizando  99.387.60. Houve economia de recursos públicos porque o valor unitário empenhado para as roubas era de  5.850,00 (totalizando  134.550,00, já com a contrapartida do governo do RS). No total o valor das roupas ficou em  99.387,060, sendo  73.864,86 da emenda do deputado e  25.522,74 do governo do RS como contrapartida.</t>
  </si>
  <si>
    <t>https://drive.google.com/file/d/1W01r2obXUbZWJNeB6SXTmd1kmFOVsBhl/view?usp=sharing</t>
  </si>
  <si>
    <t>23 roupas de combate a incêndio RIP STOP</t>
  </si>
  <si>
    <r>
      <rPr>
        <sz val="10.0"/>
      </rPr>
      <t xml:space="preserve">O valor indicado pelo deputado nessa emenda (41160012) é de  500 mil. Pela proposta da Sec. de Segurança do RS serão comprados 3 desencarceradores e 23 roupas de incêndio, com contrapartida do governo do RS. Proposta 2167/2020 - </t>
    </r>
    <r>
      <rPr>
        <sz val="10.0"/>
        <u/>
      </rPr>
      <t>https://drive.google.com/file/d/1HFuozWEpW-69Bac0gN8IIG7uNPATNnEg/view?usp=sharing</t>
    </r>
  </si>
  <si>
    <t>Hospital São José de Dois Irmãos, Dois Irmãos, RS</t>
  </si>
  <si>
    <t xml:space="preserve">Unidade da Brigada Militar a ser definida </t>
  </si>
  <si>
    <t xml:space="preserve">05 viaturas sedan </t>
  </si>
  <si>
    <t>Aguarda aprovação de licitação e liberação de recurso</t>
  </si>
  <si>
    <t>R. Henrique Lenzi, 15 - Centro, Paraí - RS, 95360-000</t>
  </si>
  <si>
    <t>R. Gen. Osório, 265 - Centro, Bento Gonçalves - RS, 95700-000</t>
  </si>
  <si>
    <r>
      <rPr>
        <rFont val="Arial"/>
        <color rgb="FF000000"/>
        <sz val="11.0"/>
      </rPr>
      <t xml:space="preserve">Proposta 037034/2021 - </t>
    </r>
    <r>
      <rPr>
        <rFont val="Arial"/>
        <color rgb="FF1155CC"/>
        <sz val="11.0"/>
        <u/>
      </rPr>
      <t>https://drive.google.com/file/d/1c32Eq75I5Pz5TeSqoui-K2Zi3_Qtpllr/view?usp=sharing</t>
    </r>
    <r>
      <rPr>
        <rFont val="Arial"/>
        <color rgb="FF000000"/>
        <sz val="11.0"/>
      </rPr>
      <t xml:space="preserve"> </t>
    </r>
  </si>
  <si>
    <t>Aquisição de equipamentos hospitalar - cama hospitalar; carro de transporte de alimentos e; lavadora de roupas</t>
  </si>
  <si>
    <r>
      <rPr>
        <sz val="10.0"/>
      </rPr>
      <t xml:space="preserve">Na aquisição das viaturas caracterizadas o deputado Marcel contribuiu com  1.000.000,00 com contrapartida  64.586,67. Proposta 021307/2021:                                                                                                         </t>
    </r>
    <r>
      <rPr>
        <sz val="10.0"/>
        <u/>
      </rPr>
      <t>https://drive.google.com/file/d/1yonAHlCerIqzVP-hw2Ps4plFF2TWlLr3/view?usp=sharing</t>
    </r>
    <r>
      <rPr>
        <sz val="10.0"/>
      </rPr>
      <t xml:space="preserve">                      </t>
    </r>
  </si>
  <si>
    <t>Rua Conego Caspary, 386 – Centro, São Vendelino/RS, CEP 95795-000.</t>
  </si>
  <si>
    <t>Fundo Municipal De Saude - Sao Vendelino/Rs São Vendelino - Rs</t>
  </si>
  <si>
    <t>R. Sen. Alberto Pasqualine, 186, Bento Gonçalves - RS, 95700-000</t>
  </si>
  <si>
    <t>"Veiculo – AMBULÂNCIA SIMPLES REMOÇÃO TIPO FURGÃO (LONGO TETO ALTO) – Ambulância Tipo A. - Cor: Branca; Nova - Zero Km - 02 portas (motorista e passageiro); porta lateral no compartimento do paciente e duas portas traseiras com abertura horizontal mínima em duas posições (de 90 e 180 graus ou 90 e 270 graus), ambas as portas (lateral e traseira) tendo um.</t>
  </si>
  <si>
    <t>Proposta no Fundo Nacional de Saúde 36000357013202100</t>
  </si>
  <si>
    <t>Foram pagos procedimentos especializados para o hospital beneficencia camiliada do sul - hospital santa terezinha de encantado, no mes de maio/2020</t>
  </si>
  <si>
    <t>Equipamento e material permanente para unidade de atenção especializada.</t>
  </si>
  <si>
    <t>Av. Guilherme Winter, 65 - Centro, Bom Princípio - RS, 95765-000</t>
  </si>
  <si>
    <t>Gabinete de Inteligência e Assuntos Estratégicos da Polícia Civil , Porto Alegre, RS</t>
  </si>
  <si>
    <t>Gabinete de Inteligência e Assuntos Estratégicos da Polícia Civil</t>
  </si>
  <si>
    <t>Br 468 - Km 87.9, Bom Progresso - RS, 98575-000</t>
  </si>
  <si>
    <t>R. Sinimbú, 644 - Centro, Boqueirão do Leão - RS, 95920-000</t>
  </si>
  <si>
    <t>R. Guilherme Hartman, 260, Brochier - RS, 95790-000</t>
  </si>
  <si>
    <t>Hospital Bom Jesus de Taquara (matriz: Associação Hospitalar Vila Nova), Taquara, RS</t>
  </si>
  <si>
    <t>Hospital Bom Jesus de Taquara (matriz: Associação Hospitalar Vila Nova)</t>
  </si>
  <si>
    <t>Grupo-gerador diesel, com potência de 100 a 300 KVA, para dar suporte à demanda de energia em momentos de falha do sistema da rede externa, podendo provocar situação catastrófica principalmente na UTI do hospital.</t>
  </si>
  <si>
    <t>R. Maj. Lúcio Meireles, 788 - Olaria, Camaquã - RS, 96180-000</t>
  </si>
  <si>
    <t>Associação Hospitalar 15 de Novembro, Quinze de Novembro, RS</t>
  </si>
  <si>
    <t>Associação Hospitalar 15 de Novembro</t>
  </si>
  <si>
    <t>Energia solar fotovoltaica para o hospital</t>
  </si>
  <si>
    <t xml:space="preserve">Recurso para a transformação da fonte de energia do hospital de tradicional para solar fotovoltaica 
</t>
  </si>
  <si>
    <t>R. Padre João Paza, 315 - Centro, Cambará do Sul - RS, 95480-000</t>
  </si>
  <si>
    <t>Hospital de Caridade Santana, Bom Retiro do Sul, RS</t>
  </si>
  <si>
    <t>R. Osvaldo Cruz, 116 - E, Campo Bom - RS, 93700-000</t>
  </si>
  <si>
    <t>R. Visc. de Mauá, 143 - Centro, Canela - RS, 95680-000</t>
  </si>
  <si>
    <t>Fundação Hospital de Caridade de Quarai, Quaraí, RS</t>
  </si>
  <si>
    <t>Rua Dona Carlinda, 455 - Centro, Canela - RS, 95680-000</t>
  </si>
  <si>
    <t>Recurso indicado via Fundo Estadual de Saúde. Emenda paga, faltando o Fundo transferir os recursos para os hospitais.</t>
  </si>
  <si>
    <r>
      <rPr>
        <rFont val="Arial"/>
        <color theme="1"/>
        <sz val="11.0"/>
      </rPr>
      <t xml:space="preserve">150.000,00 / </t>
    </r>
    <r>
      <rPr>
        <rFont val="Arial"/>
        <color rgb="FFFF0000"/>
        <sz val="11.0"/>
      </rPr>
      <t>200.000,00</t>
    </r>
  </si>
  <si>
    <t>Aquisição de um raio-X para o hospital.</t>
  </si>
  <si>
    <t>Av. Farroupilha, 8001 - São José, Canoas - RS</t>
  </si>
  <si>
    <t>Av. Santos Ferreira, 1864 - Mal. Rondon, Canoas - RS, 92030-000</t>
  </si>
  <si>
    <t>Empreendedorismo, educação e inovação</t>
  </si>
  <si>
    <t>Misto (custeio e investimento)</t>
  </si>
  <si>
    <t>Recurso empenhado</t>
  </si>
  <si>
    <t>https://drive.google.com/file/d/1SM5ISknl3pfK9h0Sa2isnorQbK9F32Td/view?usp=sharing</t>
  </si>
  <si>
    <t>Investimento em laboratório de produção criativa (ESPAÇO 4.0), inspirado nos FabLabs do MIT</t>
  </si>
  <si>
    <t>Processo licitatório da prefeitura encontra-se em análise no Ministério da Mulher.</t>
  </si>
  <si>
    <t>R. Profa. Maria d'Ávila Pinto, 52 - Cinquentenário, Caxias do Sul - RS, 95013-270</t>
  </si>
  <si>
    <t>Hospital Beneficente São Carlos</t>
  </si>
  <si>
    <t>APAE de Caxias do Sul</t>
  </si>
  <si>
    <t>O recurso foi utilizado para a complementação de pagamento de Serviços de Terceiros - Pessoa Jurídica , especialmente para honorários médicos. O plano de trabalho foi apresentado e aprovado pelo Conselho Municipal de Saúde de Farroupilha, fez parte através de termo Aditivo ao Contrato de Prestação de Serviços 01/2020 que este Hospital mantém com o Município que é Gestão Plena na saúde, e após a aplicação foi realizada a devida prestação de contas, de acordo com as normas estabelecidas pelo Gestor Local de Saúde.</t>
  </si>
  <si>
    <t>Reforma do assoalho e forro da instituição</t>
  </si>
  <si>
    <t>Hospital São Carlos</t>
  </si>
  <si>
    <t>Recurso indicado via Fundo Municipal de Saúde de Farroupilha.</t>
  </si>
  <si>
    <t>Associação Beneficente Santa Rosa De Lima, Arroio do Tigre, RS</t>
  </si>
  <si>
    <t>R. Arthur Feijó, 375 - Centro, Capão Bonito do Sul - RS, 95308-000</t>
  </si>
  <si>
    <t>BR-285, 210, Carazinho - RS, 99500-000</t>
  </si>
  <si>
    <t>Revitalização da Orla do Rio Caí</t>
  </si>
  <si>
    <t>R. Gen. Câmara, 70 - Centro, Carazinho - RS, 99500-000</t>
  </si>
  <si>
    <t>R. Assis Brasil, 11 - Centro, Carlos Barbosa - RS, 95185-000</t>
  </si>
  <si>
    <t>Av. Pres. Kennedy, 343, Aurora, Carlos Barbosa - RS, 95185-000</t>
  </si>
  <si>
    <t>Proposta no Fundo Nacional de Saúde 36000358504202100</t>
  </si>
  <si>
    <t>R. Vitorino Monteiro, 755 - Casca, RS, 99260-000</t>
  </si>
  <si>
    <t>Proposta  no Fundo Nacional de Saúde 98859021002 em Análise Técnico-Econômica</t>
  </si>
  <si>
    <t xml:space="preserve">Recurso para custeio dos serviços de saúde (Média e Alta Complexidade)
</t>
  </si>
  <si>
    <t>R. Castro Alves, 454 - Madureira, Caxias do Sul - RS, 95041-520</t>
  </si>
  <si>
    <t>https://drive.google.com/file/d/1WQh8NHgMNEN0CVi-6Y9RIBEuR0LX7ILs/view?usp=sharing</t>
  </si>
  <si>
    <t>Recurso pago parcialmente: R$ 94.500,00, em 28/11/2023. Saldo a receber: R$ 25.500,00.</t>
  </si>
  <si>
    <t>255 Rua Prof. Antônio Vignoli - Pres. Vargas, Caxias do Sul - RS</t>
  </si>
  <si>
    <t>https://drive.google.com/file/d/1pzNM5_LjagzRWX9oVIAZt1EFDvECae0P/view?usp=sharing</t>
  </si>
  <si>
    <t>R. Nelsom Zang, 420 - Partenon, Porto Alegre - RS, 91530-350</t>
  </si>
  <si>
    <t>Casa Do Menino Jesus De Praga</t>
  </si>
  <si>
    <t>Recurso pago (quem recebeu o recurso foi o FMS de Porto Alegre. Encaminhei e-mail ao FMS pedindo posicionamento sobre o repasse à instituição beneficiária, em 27/02/2024. Aguardando resposta. Cobrei algumas vezes, sem sucesso.</t>
  </si>
  <si>
    <t>Pagamento mensal do ar comprimido hospitalar e oxigênio hospitalar utilizado nos atendimentos.</t>
  </si>
  <si>
    <t>BR 116, km 147, 2 - De Lazzer, Caxias do Sul - RS, 95059-520</t>
  </si>
  <si>
    <t>A Associação Beneficente de Igrejinha (CNPJ 87.369.799/0001-76) está utilizando parte do recurso recebido em procedimentos odontológicos para pacientes especiais, que conforme plano de trabalho, o valor total é de  172.834,00 (100 procedimentos) e o valor já utilizado está em  133.082,18, restando apenas 23 procedimentos para conclusão. O restante do valor da emenda foi utilizado para complementar folha de pagamento ( 77.166,00). Em anexo colocamos o relatório de procedimentos odontológicos até então realizados e demonstrativo de folha de pagamento no mês de dezembro de 2019.</t>
  </si>
  <si>
    <t>Rua Monsenhor João Baptista Scalabrini, 260, Serafina Corrêa, Rio Grande do Sul, CEP 99250-000</t>
  </si>
  <si>
    <t>Hospital Nossa Senhora Do Rosario Serafina Corrêa - Rs</t>
  </si>
  <si>
    <t>Aquisição de monitores, bisturi eletronico e lavadora ultrassonica</t>
  </si>
  <si>
    <t>Hospital São Jose de Ivoti</t>
  </si>
  <si>
    <t>Av. Vinte e Cinco de Julho, 636 - Centro, Dois Irmãos - RS, 93950-000</t>
  </si>
  <si>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000000"/>
        <sz val="11.0"/>
        <u/>
      </rPr>
      <t>https://drive.google.com/file/d/1HFuozWEpW-69Bac0gN8IIG7uNPATNnEg/view?usp=sharing</t>
    </r>
  </si>
  <si>
    <t>Hospital São José de Ivoti (Associação Congregação de Santa Catarina)</t>
  </si>
  <si>
    <t>Proposta aprovada no Ministério da Saúde.</t>
  </si>
  <si>
    <t>Sistema de vídeo endoscopia rígida para realização de procedimentos cirúrgicos por videolaparoscopia, diminuindo a fila de espera por procedimentos, a média de tempo de permanência no hospital dos pacientes atendidos e redução do custo por procedimento realizado.</t>
  </si>
  <si>
    <t xml:space="preserve"> 14,4 MILHÕES PARA A SEGURANÇA PÚBLICA DO RIO GRANDE DO SUL – Orçamentos 2019, 2020, 2021 e 2022 (individuais e bancada gaúcha)</t>
  </si>
  <si>
    <t>Hospital Bernardina Salles de Barros</t>
  </si>
  <si>
    <t>Recurso para a transformação da fonte de energia do hospital de tradicional para solar fotovoltaica</t>
  </si>
  <si>
    <t xml:space="preserve">Módulos fotovoltaicos (painéis solares) com potência mínima de 335kWp e garantia de 10 anos; Inversor fotovoltaico com potência mínima de 75kWp e 05 anos de garantia, sendo vedada a utilização de mais de um inversor para a proposta; A empresa deve ter filial em uma distância máxima de 150 quilômetros da sede da contratante; A geração anual estimada de energia deve ser de no mínimo 81.000,00 kWh, sendo 200 painéis o quantitativo máximo a ser instalado; </t>
  </si>
  <si>
    <t>Corpo de Bombeiros de Flores da Cunha, Flores da Cunha, RS</t>
  </si>
  <si>
    <t>Prefeitura de Flores Da Cunha</t>
  </si>
  <si>
    <t xml:space="preserve"> Brigada Militar, Po­lícia Civil, Corpo de Bombeiros, Instituto Geral de Perícias, Secretaria de Adminis­tração Penitenciária, Polícia Rodoviária Federal e Marinha.</t>
  </si>
  <si>
    <t>Hospital São Paulo de Lagoa Vermelha</t>
  </si>
  <si>
    <t xml:space="preserve"> 102.000,00 para pagamento das contas de energia elétrica do Hospital dos meses de agosto, setembro, outubro, novembro e dezembro/2020 e janeiro, fevereiro e março/2021;  18.000,00 para aquisição de medicamentos, valor que vem sendo utilizado para cobrir o acréscimo de despesas decorrentes do aumento dos custos de medicamentos em razão da pandemia e  30.000,00 referente ao incremento dos contratos SUS (exigência do Estado do RS).</t>
  </si>
  <si>
    <t>Soc. Beneficência e Caridade de Lajeado (Hosp. Bruno Born)</t>
  </si>
  <si>
    <t xml:space="preserve"> 13 milhões – Segurança RS</t>
  </si>
  <si>
    <t>Materiais e medicamentos exclusivamente para pacientes do SUS.</t>
  </si>
  <si>
    <t xml:space="preserve"> 1,1 milhão - PRF</t>
  </si>
  <si>
    <t xml:space="preserve"> 300 mil – Marinha do Brasil</t>
  </si>
  <si>
    <t>Rua Catarino Andreatta, 155 - Bairro Vila Nova, Porto Alegre - RS, 91750-040, Brasil</t>
  </si>
  <si>
    <t>Av. Venâncio Aires, 163, Centro, Cruz Alta - RS, 98025-790</t>
  </si>
  <si>
    <t>Associacao Hospitalar Vila Nova Campo Bom - Rs</t>
  </si>
  <si>
    <r>
      <rPr>
        <rFont val="Arial"/>
        <color rgb="FF000000"/>
        <sz val="11.0"/>
      </rPr>
      <t xml:space="preserve">Proposta 044184/2021 - </t>
    </r>
    <r>
      <rPr>
        <rFont val="Arial"/>
        <color rgb="FF1155CC"/>
        <sz val="11.0"/>
        <u/>
      </rPr>
      <t>https://drive.google.com/file/d/1zQlCjN9oRKjfzddgf1FIVbgS9t6s9ev0/view?usp=sharing</t>
    </r>
    <r>
      <rPr>
        <rFont val="Arial"/>
        <color rgb="FF000000"/>
        <sz val="11.0"/>
      </rPr>
      <t xml:space="preserve"> </t>
    </r>
  </si>
  <si>
    <t>Aquisição de 1 ecógrafo</t>
  </si>
  <si>
    <t>Equipamento de ultrassom para ser utilizado na qualificação do pré-natal e diagnóstico precoce de doenças ginecológicas na rede de atenção básica do município. Recurso enviado via Fundo Municipal de Saúde de Lajeado.</t>
  </si>
  <si>
    <t>Avenida Independência, 800 - Centro, Campo Bom - RS, CEP 93700-000</t>
  </si>
  <si>
    <t>Fundo Municipal De Saude De Campo Bom Campo Bom - Rs</t>
  </si>
  <si>
    <t>2º Batalhão de Bombeiros Militar nas seguintes cidades: Campo Bom, Dois Irmãos, Estância Velha, Ivoti, Montenegro, Novo Hamburgo, Parobé, Portão , Sapiranga, Sapucaia do Sul, Taquara e Taquari, Vários municípios, RS</t>
  </si>
  <si>
    <t>R. Duque de Caxias, 1, Dilermando de Aguiar - RS, 97180-000</t>
  </si>
  <si>
    <t>(na licitação ficou  99387,60)</t>
  </si>
  <si>
    <t>Pago. Equipamentos recebidos em 12/08/2022.
As roupas de proteção irão para o 2o Batalhão de Bombeiro Militar, com sede em São Leopoldo, e assim assim distribuídas: Campo Bom (2 unidades), Estância Velha (2), Dois Irmãos (2), Ivoti (2), Montenegro (2), Parobé (2), Portão (2), Sapiranga (2), Sapucaia do Sul (2), Taquara (2), Taquari (2), Novo Hamburgo (1).
O valor unitário das roupas de combate a incêndio ficou em  4.321,20, totalizando  99.387.60. Houve economia de recursos públicos porque o valor unitário empenhado para as roubas era de  5.850,00 (totalizando  134.550,00, já com a contrapartida do governo do RS). No total o valor das roupas ficou em  99.387,060, sendo  73.864,86 da emenda do deputado e  25.522,74 do governo do RS como contrapartida.</t>
  </si>
  <si>
    <t>Hospital Montenegro 100% SUS</t>
  </si>
  <si>
    <t>Av. São Miguel, 482 - Centro, Dois Irmãos - RS, 93950-000</t>
  </si>
  <si>
    <t>Fundo Municipal de Saúde Passo, Passo Fundo, RS</t>
  </si>
  <si>
    <r>
      <rPr>
        <rFont val="Arial"/>
        <color rgb="FF1155CC"/>
        <sz val="11.0"/>
        <u/>
      </rPr>
      <t>https://www.correiodopovo.com.br/not%C3%ADcias/cidades/dois-irm%C3%A3os-inaugura-novos-leitos-nesta-segunda-feira-1.605680</t>
    </r>
    <r>
      <rPr>
        <rFont val="Arial"/>
        <color rgb="FF000000"/>
        <sz val="11.0"/>
      </rPr>
      <t xml:space="preserve"> | </t>
    </r>
    <r>
      <rPr>
        <rFont val="Arial"/>
        <color rgb="FF1155CC"/>
        <sz val="11.0"/>
        <u/>
      </rPr>
      <t>https://odiario.net/destaque/hospital-sao-jose-de-dois-irmaos-inaugura-ampliacao-de-ala-com-20-novos-leitos-e-bloco-cirurgico/</t>
    </r>
    <r>
      <rPr>
        <rFont val="Arial"/>
        <color rgb="FF000000"/>
        <sz val="11.0"/>
      </rPr>
      <t xml:space="preserve"> </t>
    </r>
  </si>
  <si>
    <t>Hospital de Caridade de Santiago, Santiago, RS</t>
  </si>
  <si>
    <t>Hospital de Caridade de Santiago</t>
  </si>
  <si>
    <t>Recurso parcialmente pago.</t>
  </si>
  <si>
    <t>Instalação de placas de energia solar fotovoltaica para reduzir em até 90% o gasto com energia que, em 2020, foi de  92.000,00. A economia prevista permitirá a recuperação do bloco cirúrgico do hospital, incluindo os serviços de parto, otimizando o serviço prestado à comunidade local e regional, além de chamar a atenção da população para aderir a iniciativas ambientais sustentáveis. O hospital é microrregional e atende quatro municípios. Recurso enviado via Fundo Municipal de Saúde de Muçum (Emenda 41160002, valor 240.951,00 e Emenda 41160003, valor  159.049,00).</t>
  </si>
  <si>
    <t>Hospital Sagrada Família (Assoc. Congregação de Santa Catarina), São Sebastião do Caí, RS</t>
  </si>
  <si>
    <t>Hospital Sagrada Família (Assoc. Congregação de Santa Catarina)</t>
  </si>
  <si>
    <t>R. Berlim, 240 - Centro, Dois Irmãos - RS, 93950-000</t>
  </si>
  <si>
    <t>Hospital Beneficente Alto Jacuí</t>
  </si>
  <si>
    <t>Brigada Militar de Nova Pádua, Nova Pádua, RS</t>
  </si>
  <si>
    <t>R. Henrique Dias, 239 - Centro, Erechim - RS, 99700-000</t>
  </si>
  <si>
    <r>
      <rPr>
        <rFont val="Arial"/>
        <color rgb="FFEA4335"/>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rgb="FFEA4335"/>
        <sz val="11.0"/>
        <u/>
      </rPr>
      <t>https://drive.google.com/file/d/1dA-xI-LIxcR9fUfK2Teoul4ATJp55IX9/view?usp=sharing</t>
    </r>
  </si>
  <si>
    <t>Av. Sapiranga, 475 - Industrial, Dois Irmãos - RS, 93950-000</t>
  </si>
  <si>
    <t>BR-293, Dom Pedrito - RS, 96450-000</t>
  </si>
  <si>
    <t>Rua Venâncio Aires, 2277 - Centro, Santa Maria - RS, CEP 97010-005, Brasil</t>
  </si>
  <si>
    <t>Plataforma de vidro no Belvedere Sonda</t>
  </si>
  <si>
    <t>R. Monsenhor Scalabrini, 1047 - Centro, Encantado - RS, 95960-000</t>
  </si>
  <si>
    <t>https://drive.google.com/file/d/1fXbFw2jmJcRgxas4NM8iEdXZV-o76JTj/view?usp=sharing</t>
  </si>
  <si>
    <t>Colegio Agricola, Erechim - RS, 99700-000</t>
  </si>
  <si>
    <t>Brigada Militar de Dilermando de Aguiar, Dilermando de Aguiar, RS</t>
  </si>
  <si>
    <t>Aprovada para pagamento.</t>
  </si>
  <si>
    <t>R. Itália, 919 - Centro, Erechim - RS, 99700-000</t>
  </si>
  <si>
    <t>Equipamento de ultrassonografia para a UBS para acrescer em 30% a oferta de exames, principalmente os de tipo ginecológicos e obstétricos, para a população regional em razão de o hospital ser referência para oito municípios. Recurso enviado via Fundo Municipal de Saúde de Nova Prata.</t>
  </si>
  <si>
    <t>https://drive.google.com/file/d/1EDe-Uaa-tw0e6ckceh3L6d5-JBOhBqpK/view?usp=sharing</t>
  </si>
  <si>
    <t>ACSC - Hospital Regina</t>
  </si>
  <si>
    <t>Com os nossos cordiais cumprimentos, a Associação Congregação de Santa Catarina - Hospital Regina, inscrito sob CNPJ nº 91.681.361/0003-68 e CNES 2232057, vem por meio desta apresentar a prestação de contas referente à indicação de Emenda Impositiva Individual de número 41160005 no valor de  200.000,00. Conforme acompanhamento da liberação da emenda parlamentar supramencionada, a liberação de recursos financeiros foi realizada através da Portaria Nº 599 de 27 de março de 2020, repassada pelo Fundo Nacional de Saúde ao Fundo Municipal de Saúde de Novo Hamburgo em 08/04/2020. O plano de trabalho referente à aplicação do recurso financeiro (em anexo) foi entregue para a Secretaria Municipal de Saúde de Novo Hamburgo em 13/04/2020, sendo celebrado o Convênio 005/2020 em 09/06/2020 com depósito bancário para o Hospital Regina em 18/06/2020. Tendo em vista o plano de trabalho apresentado, foram liberados 20 novos acessos para o serviço de oncologia /SUS (primeira consulta), entre os meses de julho e agosto, nas especialidades oncológicas de ginecologia e cirurgia geral (conforme necessidade relatada pelo Gestor Municipal) e todos os pacientes continuam em tratamento no serviço. Desta forma, segue em anexo a lista com os pacientes encaminhados pelo setor de regulação da Secretaria Municipal de Saúde de Novo Hamburgo e atendidos por esta Instituição com recursos oriundos da emenda parlamentar. Nome* Dt. Primeira Consulta Especialista Município 1 A.F. da R. 12/08/2020 Gineco Onco Novo Hamburgo 2 A. M. F. 12/08/2020 Gineco Onco Novo Hamburgo 3 C. C. dos R. 30/07/2020 Cirugico Geral Onco Novo Hamburgo 4 C. C. R. 30/07/2020 Cirugico Geral Onco Novo Hamburgo 5 D. F. do N. 29/07/2020 Gineco Onco Novo Hamburgo 6 G. K. de G. 12/08/2020 Gineco Onco Novo Hamburgo 7 G. S. V. 23/07/2020 Cirugico Geral Onco Novo Hamburgo 8 I. J. L. 28/07/2020 Cirugico Geral Onco Dois Irmãos 9 L. B. 12/08/2020 Gineco Onco Novo Hamburgo 10 L. G. da S. C. B. 28/07/2020 Cirugico Geral Onco Novo Hamburgo 11 M. R. de O. 05/08/2020 Gineco Onco Novo Hamburgo 12 M. W. 28/07/2020 Cirugico Geral Onco Dois Irmãos 13 M. de F. da S. 12/08/2020 Gineco Onco Novo Hamburgo 14 M. E. da S. de A. 28/07/2020 Cirugico Geral Onco Novo Hamburgo 15 O. M. K. L. 23/07/2020 Cirugico Geral Onco Novo Hamburgo 16 P. A. M. 30/07/2020 Cirugico Geral Onco Novo Hamburgo 17 R. H. 28/07/2020 Cirugico Geral Onco Estância Velha 18 R. S. 28/07/2020 Cirugico Geral Onco Estância Velha 19 S. S. V. 05/08/2020 Gineco Onco Novo Hamburgo 20 S. A. de S. 23/07/2020 Cirugico Geral Onco Novo Hamburgo * Devido a LGPD, colocamos as iniciais do nome dos pacientes a fim de preservar os dados pessoais. Neste sentido, a Associação Congregação de Santa Catarina - Hospital Regina expressa gratidão pelo gesto e ação realizada pelo Deputado Federal Marcel Van Hatten em prol da população atendida em nossa unidade de Oncologia/SUS.</t>
  </si>
  <si>
    <t>R. Eça de Queirós, 102 - Floresta, Estância Velha - RS, 93900-000</t>
  </si>
  <si>
    <t>Brigada Militar de Santa Maria do Herval, Santa Maria do Herval, RS</t>
  </si>
  <si>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000000"/>
        <sz val="11.0"/>
        <u/>
      </rPr>
      <t>https://drive.google.com/file/d/1HFuozWEpW-69Bac0gN8IIG7uNPATNnEg/view?usp=sharing</t>
    </r>
  </si>
  <si>
    <t>R. Adolfo Mattes, 236 - Centro, Estância Velha - RS, 93600-300</t>
  </si>
  <si>
    <t>Polícia Civil de São José do Hortêncio, São José do Hortêncio, RS</t>
  </si>
  <si>
    <t>Conv: 894721</t>
  </si>
  <si>
    <t>Viatura entregue em janeiro de 2021.</t>
  </si>
  <si>
    <t>Brigada Militar de Tupanci do Sul, Tupanci do Sul, RS</t>
  </si>
  <si>
    <t xml:space="preserve">R. Nascimento Vargas, 698 - Annes, Passo Fundo - RS, 99020-000 </t>
  </si>
  <si>
    <r>
      <rPr>
        <rFont val="Arial"/>
        <color theme="5"/>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theme="5"/>
        <sz val="11.0"/>
        <u/>
      </rPr>
      <t>https://drive.google.com/file/d/1dA-xI-LIxcR9fUfK2Teoul4ATJp55IX9/view?usp=sharing</t>
    </r>
  </si>
  <si>
    <t>R. Eng. Hener de Souza Nunes, 150 - Centro, Esteio - RS, 93260-120</t>
  </si>
  <si>
    <t>Associação Dr. Bartholomeu Tacchini - Hospital Tacchini, Bento Gonçalves, RS</t>
  </si>
  <si>
    <t>Foram pagos R$ 119.800,00, que foi o valor necessário para execução do objeto da proposta apresentada ao FNS. Aquisição e instalação de duas novas máquinas de hemodiálise para o tratamento de pacientes nefrológicos crônicos e agudos através do SUS. O hospital atende pacientes de oito municípios da Serra Gaúcha.</t>
  </si>
  <si>
    <t>R. da República, 51 - Centro, Farroupilha - RS, 95170-476</t>
  </si>
  <si>
    <t>https://drive.google.com/file/d/1Sr6Eq5h5hRWhW_OPO4sJsd4gxNdwD8OC/view?usp=sharing</t>
  </si>
  <si>
    <t>Hospital Nossa Senhora da Oliveira, Vacaria, RS</t>
  </si>
  <si>
    <t>Hospital Nossa Senhora da Oliveira</t>
  </si>
  <si>
    <t>Aquisição de duas novas máquinas de hemodiálise para aumentar a oferta de vagas. Hoje o hospital tem em tratamento 76 pacientes fixos e mais os excedentes de pacientes de UTI. São realizadas inclusive sessões no turno da noite para atender à demanda. A instituição atende dez municípios da região.</t>
  </si>
  <si>
    <t>A Fundação Hospitalar Oftalmológica Universitária Lions priorizou a compra dos aparelhos solicitados neste projeto no valor total de  720.000,00 (Setecentos vinte mil reais) para que o projeto se efetive integralmente.
•        01 Biômetro de Coerência Óptica  295.000,00
•        01 Paquímetro Computadorizado  85.000,00
•        01 Lâmpada de Fenda  40.000,00
•        01 Projetor Oftalmológico  15.000,00
•        02 Monitor Multiparametro  40.000,00
•        01 Carro de anestesia  165.000,00
•        04 Mesa cirúrgica  80.000,00</t>
  </si>
  <si>
    <t>Videomonitoramento  (Transferência Especial) Transferegov: OB enviada pagto em 30/08/2023.</t>
  </si>
  <si>
    <t>R. Pinheiro Machado, 55, Feliz - RS, 95770-000</t>
  </si>
  <si>
    <t>Hospital de Clínicas de Passo Fundo</t>
  </si>
  <si>
    <t>Ponte De Ferro, Estr. Júlio de Castilhos, Feliz - RS, 95770-000</t>
  </si>
  <si>
    <r>
      <rPr>
        <rFont val="Arial"/>
        <color rgb="FF000000"/>
        <sz val="11.0"/>
      </rPr>
      <t xml:space="preserve">Resultado do processo seletivo: </t>
    </r>
    <r>
      <rPr>
        <rFont val="Arial"/>
        <color rgb="FF1155CC"/>
        <sz val="11.0"/>
        <u/>
      </rPr>
      <t>http://marcelvanhattem.com.br/2020/wp-content/uploads/2021/09/EMENDA-TURISMO-2021.pdf</t>
    </r>
  </si>
  <si>
    <t>O recurso está sendo executado conforme Plano Operativo referente Portaria 726/2020 de 06/04/2020 no valor de  550.000,00 enviado ao Governo do Estado do RS em 27/03/2020; Neste Plano Operativo foram incluídos os seguintes valores de despesas: - Serviços Ofertados - 63 cirurgias colecistectomias no valor de  110.000,00; - Pagamento de luz, água e telefone - energia elétrica meses 04 e 05/2020 no valor de  440.000,00; - Em outro Plano Operativo referente Portaria 957/2020 de 24/04/2020 (que não contemplava cirurgias) foram contempladas mais 90 colecistectomias, 20 hérnias, 10 histerectomias e 10 artroplastias de joelho, para completar o atendimento às suas recomendações na emenda 41160005.</t>
  </si>
  <si>
    <t>R. Carazinho, 63 - Sulina, Santa Rosa - RS, 98796-244</t>
  </si>
  <si>
    <t>APAE de Santa Rosa</t>
  </si>
  <si>
    <t>Melhorar acessibilidade da instituição</t>
  </si>
  <si>
    <t>R. São Francisco de Assis, 237 - Centro, Veranópolis - RS, 95330-000</t>
  </si>
  <si>
    <t xml:space="preserve"> Aquisição e renovação de solução de extração de dados e análise criminal para a Divisão Estadual de Combate à Corrupção e à Lavagem de Dinheiro da Polícia Civil do Rio Grande do Sul. } RENOVAÇÃO DE LICENÇA DE SOLUÇÃO DE EXTRAÇÃO DE DADOS: UFED 4PC EXTENDED WARRANTY (1 YEAR)(3 UN), UFED 4PC ULTIMATE SW RENEWAL(3 UN), SUPORTE 8X5 REMOTO MOBILETECH (3 UN). }}}}} SOLUÇÃO DE EXTRAÇÃO DE DADOS: UFED 4PC ULTIMATE STANDARD-HARDWARE (1 UN), UFED 4PC ULTIMATE STANDARD-SOFTWARE(1 UN), UFED 4PC EXTENDED WARRANTY (1 YEAR)(2 UN), UFED 4PC ULTIMATE SW RENEWAL(2 UN), SUPORTE 8X5 REMOTO MOBILETECH(3 UN), SERVIÇO DE DESBLOQUEIO (CAS)(1 UN), CMS POR 36 MESES PARA UFED 4PC (SUBSCRIPTION)(1 UN).</t>
  </si>
  <si>
    <t>APAE de Veranópolis</t>
  </si>
  <si>
    <t>Rua Luiz Afonso, 5 - Cidade Baixa, Porto Alegre - RS, 90050-310</t>
  </si>
  <si>
    <t>Construir duas salas de atendimento. Bom, tem orçamento e projeto arquitetônico</t>
  </si>
  <si>
    <r>
      <rPr>
        <rFont val="Arial"/>
        <color theme="5"/>
        <sz val="11.0"/>
      </rPr>
      <t xml:space="preserve">Contrapartida da Secretaria Estadual de Segurança de  33.028,00. Proposta 4591/2020 - </t>
    </r>
    <r>
      <rPr>
        <rFont val="Arial"/>
        <color theme="5"/>
        <sz val="11.0"/>
        <u/>
      </rPr>
      <t>https://drive.google.com/file/d/1d12Pvlf17mGPa5Mbtjy0ixgV_QkIzcMa/view?usp=sharing</t>
    </r>
    <r>
      <rPr>
        <rFont val="Arial"/>
        <color theme="5"/>
        <sz val="11.0"/>
      </rPr>
      <t xml:space="preserve"> </t>
    </r>
  </si>
  <si>
    <t>Restauração do Obelisco Republicano</t>
  </si>
  <si>
    <t>Hospital Santa Casa - R. Dr. Monteiro, 1164 - Arroio Grande, RS, 96330-000</t>
  </si>
  <si>
    <t>Pleito passível de aprovação, pois atende aos requisitos determinados pela legislação vigente e em consonância com Plano Nacional de Turismo, a contrapartida do proponente de 1% está em conformidade.</t>
  </si>
  <si>
    <t>Santa Casa De Misericórdia De Arroio Grande</t>
  </si>
  <si>
    <t>Hospital São Vicente de Paulo (Associação das Damas de Caridade), Cruz Alta, RS</t>
  </si>
  <si>
    <t>Recurso pago. Foram recebidos R$ 115.600,00. (Consulta realizada no Transferegov em 09/04/2024).</t>
  </si>
  <si>
    <t>R. Júlio de Castilhos, 254 - Centro, Garibaldi - RS, 95720-000</t>
  </si>
  <si>
    <t>Rua Theno Jose Berlitz, 50 - Centro, Parobé - RS, CEP 95630-000</t>
  </si>
  <si>
    <t>Av. das Indústrias, 915 - São João, Porto Alegre - RS, 90200-290</t>
  </si>
  <si>
    <t>Associacao Beneficente De Parobe Parobé - Rs</t>
  </si>
  <si>
    <r>
      <rPr>
        <rFont val="Arial"/>
        <color rgb="FF000000"/>
        <sz val="11.0"/>
      </rPr>
      <t xml:space="preserve">Na aquisição de 01 ferramenta de extração de dados o deputado Marcel contribuiu com  31.428,60. Outro parlamentar (emenda 37930012) com  74.964,30 e a contrapartida do governo do RS foi de  4.431,86
Proposta 2045/2020 - </t>
    </r>
    <r>
      <rPr>
        <rFont val="Arial"/>
        <color rgb="FF000000"/>
        <sz val="11.0"/>
        <u/>
      </rPr>
      <t>https://drive.google.com/file/d/1dA-xI-LIxcR9fUfK2Teoul4ATJp55IX9/view?usp=sharing</t>
    </r>
  </si>
  <si>
    <t>Aquisição de 01 respirador neonatal, 01 ecografo portatil com transdutor linear e cardio e 01 monitor neonatal</t>
  </si>
  <si>
    <t>Prefeitura Municipal, Lajeado, RS</t>
  </si>
  <si>
    <t>R. Me. Verônica, 396 - Centro, Gramado - RS, 95670-000</t>
  </si>
  <si>
    <t>Av. Nestor de Moura Jardim, 111 - Centro, Guaíba - RS, 92500-000</t>
  </si>
  <si>
    <t>Av. Silvio Sanson, 66 - São Cristovao, Guaporé - RS, 99200-000</t>
  </si>
  <si>
    <t>R. Miguel Kaminski - Santa Tereza, Guarani das Missões - RS, 97950-000</t>
  </si>
  <si>
    <t>Rua Guia Lopes, 4201, Bairro Canudos, Novo Hamburgo (NH), Rio Grande do Sul, CEP 93.548-013, Brasil.</t>
  </si>
  <si>
    <t>Rua Jacob Weissheimer Sobrinho, 56 - Centro, Harmonia - RS, 95785-000</t>
  </si>
  <si>
    <t>Investimento PAB</t>
  </si>
  <si>
    <t>R. Dr. Edmundo Laufer, 351 - Bom Pastor, Igrejinha - RS, 95650-000</t>
  </si>
  <si>
    <t>Unidades da Brigada Militar em Porto Alegre e Região Metropolitana., Vários municípios, RS</t>
  </si>
  <si>
    <t>https://drive.google.com/file/d/1mXZAuOSME4pQqEZuv4go-THDPtv0HMgX/view?usp=sharing</t>
  </si>
  <si>
    <t>Prefeitura Municipal, Encantado, RS</t>
  </si>
  <si>
    <t>Av. Pres. Castelo Branco, 228 - Centro, Igrejinha - RS, 95650-000</t>
  </si>
  <si>
    <t>Av. David José Martins, 152 - Centro, Ijuí - RS, 98700-000</t>
  </si>
  <si>
    <t>Entregue</t>
  </si>
  <si>
    <t>Viatura entregue em junho de 2021. Com o recurso total da emenda ( 290.000,00) foi possível comprar uma viatura e com o saldo restante foi possível participar da compra de outra viatura, em conjunto com parlamentares que também destinaram emendas à PRF)</t>
  </si>
  <si>
    <t>R. Castelo Branco, 15, Imigrante - RS, 95885-000</t>
  </si>
  <si>
    <t>https://drive.google.com/file/d/1qGTOlIgk-36ReF-OFCIQCopSE__m1Ba1/view?usp=sharing</t>
  </si>
  <si>
    <t>Hospital de Clínicas de Porto Alegre</t>
  </si>
  <si>
    <t>Prefeitura Municipal, Garibaldi, RS</t>
  </si>
  <si>
    <t>Conforme indicação do Gabinete Sr. Deputado a verba para custeio foi direcionada para aquisição de" instrumentais". Tendo em vista que os recursos foram disponibilizados inicialmente para a PMPA e somente recentemente em 03 de novembro houve viabilidade de disponibilidade do recurso ao HCPA, iniciou-se o processo de seleção dos instrumentais a serem adquiridos bem como o início de liberação destas aquisições. Foram já liberados para compra  76.488,50 e estão em fase final de geração da documentação para aquisição do saldo  223.511,50.</t>
  </si>
  <si>
    <t>Santa Casa de Misericórdia de Porto Alegre</t>
  </si>
  <si>
    <t>Prefeitura Municipal, Guaíba, RS</t>
  </si>
  <si>
    <t>Av. Pres. Lucena, 3598 - Centro, Ivoti - RS, 93900-000</t>
  </si>
  <si>
    <t>Hospital São Paulo de Lagoa Vermelha, Lagoa Vermelha, RS</t>
  </si>
  <si>
    <t>Av. João Pessoa, 651 - Centro Histórico, Porto Alegre - RS, 90040-000</t>
  </si>
  <si>
    <r>
      <rPr>
        <rFont val="Arial"/>
        <color rgb="FF000000"/>
        <sz val="11.0"/>
      </rPr>
      <t xml:space="preserve">Contrapartida da Secretaria Estadual de Segurança de  23.785.45. Proposta 2045/2020 - </t>
    </r>
    <r>
      <rPr>
        <rFont val="Arial"/>
        <color rgb="FF1155CC"/>
        <sz val="11.0"/>
        <u/>
      </rPr>
      <t>https://drive.google.com/file/d/1dA-xI-LIxcR9fUfK2Teoul4ATJp55IX9/view?usp=sharing</t>
    </r>
  </si>
  <si>
    <t>Prefeitura Municipal, Santa Rosa, RS</t>
  </si>
  <si>
    <t>Av. Pres. Lucena, 3570 - Centro, Ivoti - RS, 93900-000</t>
  </si>
  <si>
    <t>1º Batalhão de Bombeiro Militar</t>
  </si>
  <si>
    <r>
      <rPr>
        <rFont val="Arial"/>
        <color rgb="FF000000"/>
        <sz val="11.0"/>
      </rPr>
      <t xml:space="preserve">Proposta 049704/2021 - </t>
    </r>
    <r>
      <rPr>
        <rFont val="Arial"/>
        <color rgb="FF1155CC"/>
        <sz val="11.0"/>
        <u/>
      </rPr>
      <t>https://drive.google.com/file/d/127Kht2H2qPS_n-vtKeF9V_jw7OkAD6MF/view?usp=sharing</t>
    </r>
    <r>
      <rPr>
        <rFont val="Arial"/>
        <color rgb="FF000000"/>
        <sz val="11.0"/>
      </rPr>
      <t xml:space="preserve"> </t>
    </r>
  </si>
  <si>
    <t>Santa Casa De Misericórdia de Pelotas, Pelotas, RS</t>
  </si>
  <si>
    <t>R. Antônio Carbone - Centro, Júlio de Castilhos - RS, 98130-000</t>
  </si>
  <si>
    <t>https://drive.google.com/file/d/1Zk6ewpMQdFlieciB_LAxMwPaXCylCugH/view?usp=sharing</t>
  </si>
  <si>
    <t>Av. Jacarandá, S/N - CENTRO, Morro Redondo - RS, 96150-000</t>
  </si>
  <si>
    <t>Hospital Dr. Ernesto Maurício Arndt (Recurso transferido via FMS Morro Redondo - Ação 8581)</t>
  </si>
  <si>
    <t>BR-285, 196, Lagoa Vermelha - RS, 95300-000</t>
  </si>
  <si>
    <t>Av. Afonso Pena, 14 - Centro, Lagoa Vermelha - RS, 95300-000</t>
  </si>
  <si>
    <t>Aquisição de Equipamentos Médicos Hospitalar (01 Cardioversor, 01 Monitor e 01 Ventilador Pulmonar) para o Hospital Dr. Ernesto Maurício Arndt de Morro Redondo/RS.</t>
  </si>
  <si>
    <t>Av. Benjamin Constant, 881 - Centro, Lajeado - RS, 95900-000</t>
  </si>
  <si>
    <t>https://drive.google.com/file/d/1JKA10A-XTu-r80fR1xwwvZr7sJkK7fbW/view?usp=sharing</t>
  </si>
  <si>
    <t>R. Fernando Ferrari, 506 - Centro, Teutônia - RS, 95890-000</t>
  </si>
  <si>
    <t>Hospital Ouro Branco</t>
  </si>
  <si>
    <t>Recurso pago (via FMS de Teutönia, que repassou ao hospital)</t>
  </si>
  <si>
    <t>R. Júlio May, 242 - Centro, Lajeado - RS, 95900-000</t>
  </si>
  <si>
    <t>Cercamento eletrônico (Transferência Especial) Transferegov: OB enviada pagto em 30/08/2023.</t>
  </si>
  <si>
    <t>R. Mário Jaeger, 110, Santo Andre, Lajeado - rs, 95900-000</t>
  </si>
  <si>
    <r>
      <rPr>
        <rFont val="Arial"/>
        <color rgb="FF000000"/>
        <sz val="11.0"/>
      </rPr>
      <t xml:space="preserve">Proposta Fundo Nacional de Saúde 10502833000121003 - </t>
    </r>
    <r>
      <rPr>
        <rFont val="Arial"/>
        <color rgb="FF1155CC"/>
        <sz val="11.0"/>
        <u/>
      </rPr>
      <t>https://drive.google.com/file/d/1iqdH9-F0Jh1o7Id8MxzCzXuZzIbBuJ5Z/view?usp=sharing</t>
    </r>
    <r>
      <rPr>
        <rFont val="Arial"/>
        <color rgb="FF000000"/>
        <sz val="11.0"/>
      </rPr>
      <t xml:space="preserve"> </t>
    </r>
  </si>
  <si>
    <t>R. Cel. Benjamin Dávila Prado, 400 - Juscelino Kubitschek, Santa Maria - RS, 97035-230</t>
  </si>
  <si>
    <t>APAE de Santa Maria</t>
  </si>
  <si>
    <t>Construção de banheiro e reforma dos espaços da instituição</t>
  </si>
  <si>
    <t>Avenida Conego Peres, 765 - Centro, Nova Prata - RS</t>
  </si>
  <si>
    <t>Hospital Sao Joao Batista Nova Prata - Rs</t>
  </si>
  <si>
    <t>Av. Capivara, 1314 - Centro, Lindolfo Collor - RS, 93940-000</t>
  </si>
  <si>
    <t>Aquisição 02 equipamentos de hemodiálise</t>
  </si>
  <si>
    <t>R. Bento Gonçalves, 10 - Vl Borges, Marau - RS, 99150-000</t>
  </si>
  <si>
    <t>Rua Goiânia, 590 - Bairro Botafogo, Bento Gonçalves - RS, CEP 95700-010</t>
  </si>
  <si>
    <t>Fundo Municipal De Saude Bento Gonçalves - Rs</t>
  </si>
  <si>
    <t>R. Assis Brasil, 1621 - Centro, Montenegro - RS, 95780-000</t>
  </si>
  <si>
    <t>https://drive.google.com/file/d/1HYVf8q9q_uUmXyb7vzOuk0tyghX5LOkv/view?usp=sharing</t>
  </si>
  <si>
    <t>Rua 20 de Setembro, 1216 - Centro, Bagé - Rio Grande do Sul, CEP 96400-050, Brasil</t>
  </si>
  <si>
    <t>Fundo Municipal De Saude Bagé - Rs</t>
  </si>
  <si>
    <t>Tv. 1º de Maio, 16, Morro Reuter - RS, 93990-000</t>
  </si>
  <si>
    <t>Travessa Emilio Wolff, 40, Centro, Nova Prata - RS, CEP 95320-000</t>
  </si>
  <si>
    <t>Fundo Municipal Da Saude Nova Prata - Rs</t>
  </si>
  <si>
    <t>R. Pinheiro Machado, 342, Centro, Muçum - RS, 95970-000</t>
  </si>
  <si>
    <t>Município de Ubiretama - RS</t>
  </si>
  <si>
    <t>Município de Ubiretama</t>
  </si>
  <si>
    <t>Rua Doutor Otto Stahl, 469 - Vila Nova, Não-Me-Toque - RS, 99470-000</t>
  </si>
  <si>
    <t>Hospital Santa Bárbara Beneficente</t>
  </si>
  <si>
    <t xml:space="preserve"> 162.800,00 Instalação do Sistema Fotovoltaico -  7.000,00 Instalação de Sistema de Vigilância Eletrônica -  30.200,00 Honorários Médicos</t>
  </si>
  <si>
    <t>Rua Emílio Jost, 387 - Centro, Nova Hartz - RS, 93890-000</t>
  </si>
  <si>
    <t>Hospital Ana Nery</t>
  </si>
  <si>
    <t>Fundo Municipal de Saúde de Porto Mauá - RS</t>
  </si>
  <si>
    <t>Município de Porto Mauá</t>
  </si>
  <si>
    <t>Exmo. Deputado. Informamos que já executamos a totalidade do recurso encaminhado pelo Sr. ao nosso hospital. Devido as intensas adversidades deste ano - com a pandemia do Covid-19, nos vimos obrigados a nos reinventar financeiramente e alterar nossos plenos de curto e médio prazo, com objetivo de atender a população e combater os avanços e os danos da pandemia. Desta forma, declaramos que o recurso foi utilizado para aquisição de equipamentos e instrumentais de video cirurgia (conforme plano original), mas também para conserto de equipamentos da mesma área. Bem como, de forma emergencial, fizemos a aquisição de um respirador/ventilador pulmonar e também de um monitor multiparâmetros, ambos utilizados diretamente no combate do Covid-19. Em anexo encaminhamos documento PDF com o compilado de todas NFs anexadas a esta prestação de contas. O valor total aplicado soma  216.956,44. Agradeçemos mais uma vez a sua indicação e nos colocamos a inteira disposição. E seguimos com nosso objetivo de aquisição de um novo sistema de video-cirurgia - contamos com seu futuro apoio na indicação de novos recursos para alcançarmos este objetivo!</t>
  </si>
  <si>
    <t>Fundo Municipal de Saúde de Três Forquilhas - RS</t>
  </si>
  <si>
    <t>Travessão Mutzel, S/n Zona Rural, Nova Pádua - RS, 95275-000</t>
  </si>
  <si>
    <t>Município de Três Forquilhas</t>
  </si>
  <si>
    <r>
      <rPr>
        <rFont val="Arial"/>
        <color rgb="FF000000"/>
        <sz val="11.0"/>
      </rPr>
      <t xml:space="preserve">Resultado do processo seletivo: </t>
    </r>
    <r>
      <rPr>
        <rFont val="Arial"/>
        <color rgb="FF1155CC"/>
        <sz val="11.0"/>
        <u/>
      </rPr>
      <t>http://marcelvanhattem.com.br/2020/wp-content/uploads/2021/09/EMENDA-TURISMO-2021.pdf</t>
    </r>
  </si>
  <si>
    <t>Aparelho de anestesia com monitor multiparâmetros para uso em sala cirúrgica hospitalar com capacidade de atender cirurgias de alta complexidade de diversas especialidades, aumentando a capacidade de atendimento de pacientes e diminuindo a fila de espera.</t>
  </si>
  <si>
    <t>Av. dos Imigrantes, 1040, Nova Pádua - RS, 95275-000</t>
  </si>
  <si>
    <t>Fundo Municipal de Saúde de Entre-Ijuís - RS</t>
  </si>
  <si>
    <t>Município de Entre-Ijuís</t>
  </si>
  <si>
    <t xml:space="preserve">Reforma de instalações da Base Aérea de Santa Maria (programa PROFESP para crianças e adolescentes). 
</t>
  </si>
  <si>
    <t>Rua Pastor Hunshe, 823 - Logradouro, Nova Petrópolis - RS, 95150-000</t>
  </si>
  <si>
    <t>Fundo Municipal de Saúde de Alegria - RS</t>
  </si>
  <si>
    <t>Aquisição de lavadora e secadora de roupas para a lavanderia da instituição.</t>
  </si>
  <si>
    <t>R. Sete de Setembro, 330 - 2º Piso - Centro, Nova Petrópolis - RS, 95150-000</t>
  </si>
  <si>
    <t>https://drive.google.com/file/d/1hbb9kyMrn6o0obRyQU0iOxUkrernCaTd/view?usp=sharing</t>
  </si>
  <si>
    <t>Município de Nova Bassano - RS</t>
  </si>
  <si>
    <t>Casa de Saúde</t>
  </si>
  <si>
    <t>Município de Quinze de Novembro - RS</t>
  </si>
  <si>
    <t>Av. Fernando Luzato, 158, Centro, Nova Prata - RS, 95320-000</t>
  </si>
  <si>
    <t>Proposta no Fundo Nacional de Saúde 36000415905202100</t>
  </si>
  <si>
    <t>Av. Dr. Maurício Cardoso, 711 - Hamburgo Velho, Novo Hamburgo - RS, 93510-223</t>
  </si>
  <si>
    <t>https://drive.google.com/file/d/1luY-rTP7_2XRSQ9cFMaHym4Sz513UMQq/view?usp=sharing</t>
  </si>
  <si>
    <t>Fundo Municipal de Saúde de Vale Real - RS</t>
  </si>
  <si>
    <t>Av. Pedro Adams Filho, 6520 - Centro, Novo Hamburgo - RS, 93310-003</t>
  </si>
  <si>
    <t>https://drive.google.com/file/d/1HbqKN9Fp5cyOGQQEHRaodTNspesusht3/view?usp=sharing</t>
  </si>
  <si>
    <t>Rua Cruz Alta, 15, Centro, Senador Salgado Filho, RS, CEP 98895-000</t>
  </si>
  <si>
    <t>Fundo Municipal De Saude De Senador Salgado Filho Senador Salgado Filho - Rs</t>
  </si>
  <si>
    <t xml:space="preserve">Prefeitura Municipal </t>
  </si>
  <si>
    <t>Prefeitura de Riozinho</t>
  </si>
  <si>
    <t>Hospital Santo Antonio da Patrulha</t>
  </si>
  <si>
    <t>Os recursos foram utilizados na oferta de serviços de Vasectomias, Laqueduras, Cirurgias de Traumatologia e Consultas Oftálmicas Pediátricas, pagamento de água, luz e folha de pessoal.</t>
  </si>
  <si>
    <t>R. Comendador Álvaro Guaspari, 40 - Floresta, Porto Alegre - RS, 90035-020</t>
  </si>
  <si>
    <t>Associação Hospitalar Bom Pastor</t>
  </si>
  <si>
    <r>
      <rPr>
        <rFont val="Arial"/>
        <color rgb="FF000000"/>
        <sz val="11.0"/>
      </rPr>
      <t xml:space="preserve">Proposta 2174/2020 - </t>
    </r>
    <r>
      <rPr>
        <rFont val="Arial"/>
        <color rgb="FF1155CC"/>
        <sz val="11.0"/>
        <u/>
      </rPr>
      <t>https://drive.google.com/file/d/1d12Pvlf17mGPa5Mbtjy0ixgV_QkIzcMa/view?usp=sharing</t>
    </r>
  </si>
  <si>
    <t>Rua Osvaldo Telo, 144 - Centro, São Valentim - RS, CEP 99640-000</t>
  </si>
  <si>
    <t>Fundo Municipal De Saude - Sao Valentim São Valentim - Rs</t>
  </si>
  <si>
    <t>Grupo-gerador estacionário silenciado, com potência superior a 300 KVA, para assegurar atendimento contínuo e ininterrupto aos pacientes. O hospital faz 30 mil atendimentos por ano. O atual gerador encontra-se defasado e em condições precárias, devendo ser substituído</t>
  </si>
  <si>
    <t>BR-101, km 83, S/N, R - DAS PEDRAS, Osório - RS, 95520-000</t>
  </si>
  <si>
    <t>Fundo Municipal da Saúde, Rua Guilherme Alberti, 1631, Bairro Centro, São João do Polêsine - RS, CEP 97230-000</t>
  </si>
  <si>
    <t>Fundo Municipal Da Saude São João Do Polêsine - Rs</t>
  </si>
  <si>
    <t>R. Palmeira, 158 - Palmeira das Missões, RS, 98300-000</t>
  </si>
  <si>
    <t>Aprovado para pagamento.</t>
  </si>
  <si>
    <t xml:space="preserve">Equipamentos para o Centro/Núcleo de Atenção Psicossocial (CAPS/NAPS)
 e veículo de transporte de equipe (5 lugares). Recurso enviado via Fundo Municipal de Saúde de São Borja. </t>
  </si>
  <si>
    <t>R. Konrad Adenauer, 1870 - São Jorge, Panambi - RS, 98280-000</t>
  </si>
  <si>
    <t>https://drive.google.com/file/d/1-8xHqMCeZaEyjkbREFhO5qBcHkZvF5Ve/view?usp=sharing</t>
  </si>
  <si>
    <t>Ambulância Tipo A - Simples Remoção Tipo Furgão para redução do gasto que a Prefeitura possui com contratos de ambulâncias e que em 2020 somou  200.000,00. Recurso enviado via Fundo Municipal de Saúde de São Francisco de Assis.</t>
  </si>
  <si>
    <t>R. Eugênio Bernardi, 64 - Centro, Sananduva - RS, 99840-000</t>
  </si>
  <si>
    <t>APAE de Sananduva</t>
  </si>
  <si>
    <t>R. Henrique Lenzi, 15, Centro, Paraí - RS, 95360-000</t>
  </si>
  <si>
    <t>Trinta modernas camas hospitalares para troca do mobiliário precário do hospital com setenta anos de uso, proporcionando um ambiente mais confortável. O mobiliário tem sido apontado pela Vigilância Sanitária como em desconformidade com as normas vigentes, devendo ser substituído.</t>
  </si>
  <si>
    <r>
      <rPr>
        <rFont val="Arial"/>
        <color rgb="FF000000"/>
        <sz val="11.0"/>
      </rPr>
      <t xml:space="preserve">Proposta 037059/2021 - </t>
    </r>
    <r>
      <rPr>
        <rFont val="Arial"/>
        <color rgb="FF1155CC"/>
        <sz val="11.0"/>
        <u/>
      </rPr>
      <t>https://drive.google.com/file/d/1qkeHEEpc3Sm3BBTbo-r2szN2GyuYEm4_/view?usp=sharing</t>
    </r>
  </si>
  <si>
    <t>Construção de um jardim sensorial</t>
  </si>
  <si>
    <t>Fundação Hospital Centenário</t>
  </si>
  <si>
    <t>R. Águas Brancas, 300 - Águas Brancas, Três Coroas - RS, 95660-000</t>
  </si>
  <si>
    <t>APAE de Três Coroas</t>
  </si>
  <si>
    <t>R. Theno José Berlitz, 50 - Centro, Parobé - RS, 95630-000</t>
  </si>
  <si>
    <t>Carro adaptado para transporte de cadeirantes (spin)</t>
  </si>
  <si>
    <t>2º Batalhão de Bombeiro Militar</t>
  </si>
  <si>
    <t>Corpo de Bombeiros de Dois Irmãos, Dois Irmãos, RS</t>
  </si>
  <si>
    <t>R. Santo Antônio, 01 - Floresta, Porto Alegre - RS, 90220-011</t>
  </si>
  <si>
    <t>Construção de unidades operacionais e aprimoramento e manutenção da infraestrutura na Região Sul.</t>
  </si>
  <si>
    <r>
      <rPr>
        <rFont val="Arial"/>
        <color rgb="FFEA4335"/>
        <sz val="11.0"/>
      </rPr>
      <t xml:space="preserve">Proposta 2174/2020 - </t>
    </r>
    <r>
      <rPr>
        <rFont val="Arial"/>
        <color rgb="FFEA4335"/>
        <sz val="11.0"/>
        <u/>
      </rPr>
      <t>https://drive.google.com/file/d/1d12Pvlf17mGPa5Mbtjy0ixgV_QkIzcMa/view?usp=sharing</t>
    </r>
  </si>
  <si>
    <t>Corpo de Bombeiros de Estância Velha, Estância Velha, RS</t>
  </si>
  <si>
    <t>R. Tiradentes, 295 - Centro, Passo Fundo - RS, 99010-260</t>
  </si>
  <si>
    <t>R. Teixeira Soares, 808 - Centro, Passo Fundo - RS, 99010-080</t>
  </si>
  <si>
    <t>Praça Piratinino de Almeida, 53 - Centro, Pelotas - RS, 96015-290</t>
  </si>
  <si>
    <t>11ª Delegacia de Polícia Regional – Erechim, Erechim, RS</t>
  </si>
  <si>
    <t>https://drive.google.com/file/d/1Lp-Yjnok2K8GSq3buN6rEurdb6eqQyAP/view?usp=sharing</t>
  </si>
  <si>
    <t>6ª Delegacia de Polícia Regional – Passo Fundo, Passo Fundo, RS</t>
  </si>
  <si>
    <t>Obelisco de Pelotas, Av. Domingos de Almeida - Areal, Pelotas - RS, 96085-470</t>
  </si>
  <si>
    <t>Recurso pago em 25/04/2022.</t>
  </si>
  <si>
    <r>
      <rPr>
        <rFont val="Arial"/>
        <color rgb="FF000000"/>
        <sz val="11.0"/>
      </rPr>
      <t xml:space="preserve">Resultado do processo seletivo: </t>
    </r>
    <r>
      <rPr>
        <rFont val="Arial"/>
        <color rgb="FF1155CC"/>
        <sz val="11.0"/>
        <u/>
      </rPr>
      <t>http://marcelvanhattem.com.br/2020/wp-content/uploads/2021/09/EMENDA-TURISMO-2021.pdf</t>
    </r>
  </si>
  <si>
    <t xml:space="preserve">Sociedade Beneficente Sapiranguese </t>
  </si>
  <si>
    <t>3ª Delegacia de Polícia Regional – Santa Maria, Santa Maria, RS</t>
  </si>
  <si>
    <t>Recurso foi utilizado na aquisição de material médico e medicamentos, auxiliando o custeio e reduzindo a defasagem da tabela na prestação de serviços aos usuários do SUS. Em contrapartida foram ofertados serviços como: Litotripsia extracorpórea, colecistectomia videolaparoscópica e herniorrafias em geral, além dos já contratualizados com o Estado.</t>
  </si>
  <si>
    <t>Inexigibilidade de licitação aceita pelo Ministério. Recurso pago em 25/04/2022.</t>
  </si>
  <si>
    <t>Rua Lobo da Costa, nº. 1422, Centro, Pelotas</t>
  </si>
  <si>
    <r>
      <rPr>
        <rFont val="Arial"/>
        <color rgb="FF34A853"/>
        <sz val="11.0"/>
      </rPr>
      <t xml:space="preserve">O valor total indicado para o município nessa emenda (41160005) é de  201.895,56. Sendo  180.837,86 do deputado, com contrapartida de 10,43% =  21.057,70. Detalhamento:  159.074,89 - Viatura Tática de Transporte Rápido;  8.200,00 - Escudo Balístico;  34.620,67 - Espingarda PUMP Calibre 12. . Proposta 024831/2021 - </t>
    </r>
    <r>
      <rPr>
        <rFont val="Arial"/>
        <color rgb="FF34A853"/>
        <sz val="11.0"/>
        <u/>
      </rPr>
      <t>https://drive.google.com/file/d/1mCz2mZU6VW77kVuqa9wnRbEiD-TvMQMu/view?usp=sharing</t>
    </r>
  </si>
  <si>
    <t>Associação Veranense de Assistência em Saúde - Hospital Comunitário São Peregrino Lazziozi, Veranópolis, RS</t>
  </si>
  <si>
    <t>Associação Veranense de Assistência em Saúde - Hospital Comunitário São Peregrino Lazziozi</t>
  </si>
  <si>
    <t>Convênio nº 914265 segue em execução. Já foram pagos R$ 125.745,00, com último desembolso em 03/07/2023. Saldo a desembolsar: R$ 36.735,00.</t>
  </si>
  <si>
    <t>Aparelho de anestesia para o bloco cirúrgico do hospital, substituindo um dos três aparelhos em operação desde 2011.</t>
  </si>
  <si>
    <t>Rua, Av. Fridolino Ritter, 379 - Centro, Picada Café - RS, 95166-000</t>
  </si>
  <si>
    <t>Av. Fridolino Ritter, 250, Picada Café - RS, 95175-000</t>
  </si>
  <si>
    <t>Aquisição de armas e equipamentos (Transferência Especial) Transferegov: OB enviada pagto em 30/08/2023.</t>
  </si>
  <si>
    <t>Proposta no Fundo Nacional de Saúde 36000416910202100</t>
  </si>
  <si>
    <t>R. Sete de Setembro, 689 - Centro Histórico, Pinto Bandeira - RS, 95717-000</t>
  </si>
  <si>
    <t>Hospital Pompeia, Caxias do sul, RS</t>
  </si>
  <si>
    <r>
      <rPr>
        <rFont val="Arial"/>
        <color rgb="FF000000"/>
        <sz val="10.0"/>
      </rPr>
      <t xml:space="preserve">41160009 </t>
    </r>
    <r>
      <rPr>
        <rFont val="Arial"/>
        <color rgb="FF000000"/>
        <sz val="10.0"/>
      </rPr>
      <t>/ 41160001</t>
    </r>
  </si>
  <si>
    <t>Hospital Pompeia (indicado através do Fundo Municipal de Saúde)</t>
  </si>
  <si>
    <t>R. São Leopoldo, 996 - Centro, Portão - RS, 93180-000</t>
  </si>
  <si>
    <t>Fundação Hospitalar São José de Cambará do Sul, Cambará do Sul, RS</t>
  </si>
  <si>
    <t>Av. dos Estados, 1545 - Anchieta, Porto Alegre - RS, 90200-001</t>
  </si>
  <si>
    <t>Prefeitura Municipal, Santo Antônio da Patrulha, RS</t>
  </si>
  <si>
    <t>R. Voluntários da Pátria, 1230 - Floresta, Porto Alegre - RS, 90230-901</t>
  </si>
  <si>
    <r>
      <rPr>
        <rFont val="Arial"/>
        <color theme="5"/>
        <sz val="11.0"/>
      </rPr>
      <t xml:space="preserve">Proposta 2174/2020 - </t>
    </r>
    <r>
      <rPr>
        <rFont val="Arial"/>
        <color theme="5"/>
        <sz val="11.0"/>
        <u/>
      </rPr>
      <t>https://drive.google.com/file/d/1d12Pvlf17mGPa5Mbtjy0ixgV_QkIzcMa/view?usp=sharing</t>
    </r>
  </si>
  <si>
    <t>R. Voluntários da Pátria, 1145 - Centro Histórico, Porto Alegre - RS, 90030-003</t>
  </si>
  <si>
    <r>
      <rPr>
        <rFont val="Arial"/>
        <color rgb="FF000000"/>
        <sz val="11.0"/>
      </rPr>
      <t xml:space="preserve">Proposta 2174/2020 - </t>
    </r>
    <r>
      <rPr>
        <rFont val="Arial"/>
        <color rgb="FF1155CC"/>
        <sz val="11.0"/>
        <u/>
      </rPr>
      <t>https://drive.google.com/file/d/1d12Pvlf17mGPa5Mbtjy0ixgV_QkIzcMa/view?usp=sharing</t>
    </r>
  </si>
  <si>
    <t>5ª Delegacia Penitenciária Regional - Pelotas, Pelotas, RS</t>
  </si>
  <si>
    <t>R. Voluntários da Pátria, 1183 - Centro Histórico, Porto Alegre - RS, 90230-011</t>
  </si>
  <si>
    <r>
      <rPr>
        <rFont val="Arial"/>
        <color rgb="FF000000"/>
        <sz val="11.0"/>
      </rPr>
      <t xml:space="preserve">Proposta 2174/2020 - </t>
    </r>
    <r>
      <rPr>
        <rFont val="Arial"/>
        <color rgb="FF1155CC"/>
        <sz val="11.0"/>
        <u/>
      </rPr>
      <t>https://drive.google.com/file/d/1d12Pvlf17mGPa5Mbtjy0ixgV_QkIzcMa/view?usp=sharing</t>
    </r>
  </si>
  <si>
    <t>R. Ramiro Barcelos, 2350 - Santa Cecilia, Porto Alegre - RS, 90035-007</t>
  </si>
  <si>
    <t>https://drive.google.com/file/d/1beARtTuZkrsE2Aanvk4HLCK9ByqoZyEB/view?usp=sharing</t>
  </si>
  <si>
    <t>8ª Delegacia Penitenciária Regional - Santa Cruz do Sul, Santa Cruz do Sul, RS</t>
  </si>
  <si>
    <t>Rua Professor Annes Dias, 295 - Centro Histórico, Porto Alegre - RS, 90020-090</t>
  </si>
  <si>
    <t>8ª Delegacia de Polícia Regional - Caxias do Sul , Caxias do sul, RS</t>
  </si>
  <si>
    <t>8ª Delegacia de Polícia Regional - Caxias do Sul</t>
  </si>
  <si>
    <t>Rua, Av. Antônio de Carvalho, 450 - Agronomia, Porto Alegre - RS, 91430-000</t>
  </si>
  <si>
    <t>9º Batalhão de Bombeiro Militar</t>
  </si>
  <si>
    <t>Av. Ipiranga, 6690 - Jardim Botânico, Porto Alegre - RS, 90610-000</t>
  </si>
  <si>
    <t>Departamento Estadual de Investigações do Narcotráfico (DENARC), Porto Alegre, RS</t>
  </si>
  <si>
    <t>O recurso foi de grande auxílio para a instituição em 2019, devido todo o momento de crise que as casas de saúde estavam passando e ainda passam devido a pandemia deste ano(2020). Com o recurso a Fundação conseguiu cumprir as obrigações com o 13º Salário com os colaborares nas datas de vencimento no final do ano de 2019. A emenda de custeio sendo de bancada, foi utilizada para o pagamento dos colaboradores em novembro/2019, liquidado em 04/12/2019, com o valor integral de  153.619,34, e o pagamento parcial em torno de 66,63% da folha de pagamento dos colaboradores de dezembro/2019, liquidado em 07/01/2020 no valor de  96.380,66, sendo que neste mês o valor da folha foi de  144.636,44. Em anexo as folhas de pagamento sintética de novembro e dezembro de 2019 de forma sintética.</t>
  </si>
  <si>
    <r>
      <rPr>
        <rFont val="Arial"/>
        <color rgb="FF1155CC"/>
        <sz val="10.0"/>
        <u/>
      </rPr>
      <t>7122 0006</t>
    </r>
    <r>
      <rPr>
        <rFont val="Arial"/>
        <sz val="10.0"/>
        <u/>
      </rPr>
      <t xml:space="preserve"> </t>
    </r>
  </si>
  <si>
    <r>
      <rPr>
        <rFont val="Arial"/>
        <color rgb="FF000000"/>
        <sz val="11.0"/>
      </rPr>
      <t xml:space="preserve">Proposta 2174/2020 - </t>
    </r>
    <r>
      <rPr>
        <rFont val="Arial"/>
        <color rgb="FF1155CC"/>
        <sz val="11.0"/>
        <u/>
      </rPr>
      <t>https://drive.google.com/file/d/1d12Pvlf17mGPa5Mbtjy0ixgV_QkIzcMa/view?usp=sharing</t>
    </r>
  </si>
  <si>
    <t>Associação Hospitalar Rio Branco De Pejuçara, Pejuçara, RS</t>
  </si>
  <si>
    <t>R. Santo Antônio, 1 - Centro Histórico, Porto Alegre - RS, 90220-011</t>
  </si>
  <si>
    <r>
      <rPr>
        <rFont val="Arial"/>
        <color rgb="FF000000"/>
        <sz val="11.0"/>
      </rPr>
      <t xml:space="preserve">Proposta 2174/2020 - </t>
    </r>
    <r>
      <rPr>
        <rFont val="Arial"/>
        <color rgb="FF1155CC"/>
        <sz val="11.0"/>
        <u/>
      </rPr>
      <t>https://drive.google.com/file/d/1d12Pvlf17mGPa5Mbtjy0ixgV_QkIzcMa/view?usp=sharing</t>
    </r>
  </si>
  <si>
    <t>Dez modernas bombas de infusão para otimizar o tempo de realização de determinados processos no atendimento ao paciente, permitindo que os profissionais possam se dedicar a outras demandas do atendimento hospitalar.</t>
  </si>
  <si>
    <t xml:space="preserve"> </t>
  </si>
  <si>
    <t>R. Carijós, 602 - Mauá, Novo Hamburgo - RS, 93548-500</t>
  </si>
  <si>
    <t>APAE de Novo Hamburgo</t>
  </si>
  <si>
    <t>Aquisição de mobília e equipamentos para a instituição</t>
  </si>
  <si>
    <t>Rua Engenheiro Walter Boehl, 285 - Vila Ipiranga, Porto Alegre - RS, 91360-090</t>
  </si>
  <si>
    <r>
      <rPr>
        <rFont val="Arial"/>
        <color rgb="FF000000"/>
        <sz val="11.0"/>
      </rPr>
      <t xml:space="preserve">Proposta 037078/2021 - </t>
    </r>
    <r>
      <rPr>
        <rFont val="Arial"/>
        <color rgb="FF000000"/>
        <sz val="11.0"/>
        <u/>
      </rPr>
      <t>https://drive.google.com/file/d/1c32Eq75I5Pz5TeSqoui-K2Zi3_Qtpllr/view?usp=sharing</t>
    </r>
    <r>
      <rPr>
        <rFont val="Arial"/>
        <color rgb="FF000000"/>
        <sz val="11.0"/>
      </rPr>
      <t xml:space="preserve"> </t>
    </r>
  </si>
  <si>
    <t>Prefeitura de Encantado</t>
  </si>
  <si>
    <t>R. Professor Annes Dias, 295, Centro Histórico, Porto Alegre - RS, 90020-090</t>
  </si>
  <si>
    <r>
      <rPr>
        <rFont val="Arial"/>
        <color rgb="FF000000"/>
        <sz val="11.0"/>
      </rPr>
      <t xml:space="preserve">Proposta - 033442/2021 - </t>
    </r>
    <r>
      <rPr>
        <rFont val="Arial"/>
        <color rgb="FF1155CC"/>
        <sz val="11.0"/>
        <u/>
      </rPr>
      <t>https://drive.google.com/file/d/1CmMO5spgPFn8fwOQd-qWMeLFZnGlUKCw/view?usp=sharing</t>
    </r>
  </si>
  <si>
    <t>Avenida Sílvio Sanson, 1135, Centro, Guaporé – RS, 99200-000.</t>
  </si>
  <si>
    <t>R. Voluntários da Pátria, 1140 - Marcilio Dias, Porto Alegre - RS, 90230-010</t>
  </si>
  <si>
    <r>
      <rPr>
        <rFont val="Arial"/>
        <color rgb="FF000000"/>
        <sz val="11.0"/>
      </rPr>
      <t xml:space="preserve">Proposta 2174/2020 - </t>
    </r>
    <r>
      <rPr>
        <rFont val="Arial"/>
        <color rgb="FF1155CC"/>
        <sz val="11.0"/>
        <u/>
      </rPr>
      <t>https://drive.google.com/file/d/1d12Pvlf17mGPa5Mbtjy0ixgV_QkIzcMa/view?usp=sharing</t>
    </r>
  </si>
  <si>
    <t>R. Visc. de Pelotas, 1584 - Nossa Sra. de Fátima, Santa Maria - RS, 97015-140</t>
  </si>
  <si>
    <t>Rua 21 de Abril, 163, Centro, Silveira Martins - RS, CEP 97195-000.</t>
  </si>
  <si>
    <r>
      <rPr>
        <rFont val="Arial"/>
        <color theme="5"/>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theme="5"/>
        <sz val="11.0"/>
        <u/>
      </rPr>
      <t>https://drive.google.com/file/d/1dA-xI-LIxcR9fUfK2Teoul4ATJp55IX9/view?usp=sharing</t>
    </r>
  </si>
  <si>
    <t>Rua Andrade Neves, 324 - Centro, Rio Pardo - RS, 96640-000</t>
  </si>
  <si>
    <r>
      <rPr>
        <rFont val="Arial"/>
        <color rgb="FF000000"/>
        <sz val="11.0"/>
        <u/>
      </rPr>
      <t xml:space="preserve">Proposta 1500/2020  -                          </t>
    </r>
    <r>
      <rPr>
        <rFont val="Arial"/>
        <color rgb="FF1155CC"/>
        <sz val="11.0"/>
        <u/>
      </rPr>
      <t>https://drive.google.com/file/d/1aVbHDu-DKviaNACegsEerGDS8Nd_-893/view?usp=sharing</t>
    </r>
  </si>
  <si>
    <t>Prefeitura Municipal de Ibarama, Rua Júlio Bridi, 523, Centro, Ibarama – Rio Grande do Sul, CEP 96925-000</t>
  </si>
  <si>
    <t>Avenida Independência, 800 - Campo Bom - RS, CEP 93700-000</t>
  </si>
  <si>
    <t>Avenida Dr. José Athanásio, 460 - Centro, Charqueadas - RS, CEP 96745-000</t>
  </si>
  <si>
    <r>
      <rPr>
        <rFont val="Arial"/>
        <color theme="5"/>
        <sz val="11.0"/>
        <u/>
      </rPr>
      <t xml:space="preserve">Proposta 1500/2020  -                          </t>
    </r>
    <r>
      <rPr>
        <rFont val="Arial"/>
        <color theme="5"/>
        <sz val="11.0"/>
        <u/>
      </rPr>
      <t>https://drive.google.com/file/d/1aVbHDu-DKviaNACegsEerGDS8Nd_-893/view?usp=sharing</t>
    </r>
  </si>
  <si>
    <t>Rua Gal. Davi Canabarro, 120, Gen. Câmara, RS, 95820-000, Brasil</t>
  </si>
  <si>
    <t>Prefeitura Municipal de São José do Norte - Rua Edgardo Pereira Velho, 635 - Bairro Tamandaré, São José do Norte - RS, CEP 96225-000</t>
  </si>
  <si>
    <t>Rua Carlos Enslin, 165 - Centro, Arroio do Tigre - RS, CEP 96950-000</t>
  </si>
  <si>
    <r>
      <rPr>
        <rFont val="Arial"/>
        <color theme="5"/>
        <sz val="11.0"/>
        <u/>
      </rPr>
      <t xml:space="preserve">Proposta 1500/2020  -                          </t>
    </r>
    <r>
      <rPr>
        <rFont val="Arial"/>
        <color theme="5"/>
        <sz val="11.0"/>
        <u/>
      </rPr>
      <t>https://drive.google.com/file/d/1aVbHDu-DKviaNACegsEerGDS8Nd_-893/view?usp=sharing</t>
    </r>
  </si>
  <si>
    <t>Rua Monsenhor Scalabrini, 1047 – Centro, Encantado – RS, CEP 95960-000</t>
  </si>
  <si>
    <r>
      <rPr>
        <rFont val="Arial"/>
        <color rgb="FF000000"/>
        <sz val="11.0"/>
        <u/>
      </rPr>
      <t xml:space="preserve">Proposta 1500/2020  -                          </t>
    </r>
    <r>
      <rPr>
        <rFont val="Arial"/>
        <color rgb="FF1155CC"/>
        <sz val="11.0"/>
        <u/>
      </rPr>
      <t>https://drive.google.com/file/d/1aVbHDu-DKviaNACegsEerGDS8Nd_-893/view?usp=sharing</t>
    </r>
  </si>
  <si>
    <t>Rua Venâncio Aires, 2277 - Centro, Santa Maria - RS, CEP 97010-005</t>
  </si>
  <si>
    <r>
      <rPr>
        <rFont val="Arial"/>
        <color rgb="FF000000"/>
        <sz val="11.0"/>
        <u/>
      </rPr>
      <t xml:space="preserve">Proposta 1500/2020  -                          </t>
    </r>
    <r>
      <rPr>
        <rFont val="Arial"/>
        <color rgb="FF1155CC"/>
        <sz val="11.0"/>
        <u/>
      </rPr>
      <t>https://drive.google.com/file/d/1aVbHDu-DKviaNACegsEerGDS8Nd_-893/view?usp=sharing</t>
    </r>
  </si>
  <si>
    <r>
      <rPr>
        <rFont val="Arial"/>
        <color rgb="FFEA4335"/>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EA4335"/>
        <sz val="11.0"/>
        <u/>
      </rPr>
      <t>https://drive.google.com/file/d/1HFuozWEpW-69Bac0gN8IIG7uNPATNnEg/view?usp=sharing</t>
    </r>
  </si>
  <si>
    <t>Rua Doutor Lourenço Záccaro, 1449 - Centro, Nova Santa Rita - RS, CEP 92480-000</t>
  </si>
  <si>
    <t>Av. Emancipação, 102, Pres. Lucena - RS, 93945-000</t>
  </si>
  <si>
    <t>R. Ver. Edmundo Prante - Centro, Quinze de Novembro - RS, 98230-000</t>
  </si>
  <si>
    <t>Hospital Geral de Caxias do Sul, Caxias do sul, RS</t>
  </si>
  <si>
    <t>R. Guerino Pandolfo, 466, Riozinho - RS, 95695-000</t>
  </si>
  <si>
    <t>R. Carlos Huff, 150 - Centro, Rolante - RS, 95690-000</t>
  </si>
  <si>
    <t>Hospital Beneficente São Carlos, Farroupilha, RS</t>
  </si>
  <si>
    <t>Rua Dom Conrado, 631 - Loeblein, Santa Bárbara do Sul - RS, 98240-000</t>
  </si>
  <si>
    <t>Hospital Bernardina Salles de Barros, Júlio de Castilhos, RS</t>
  </si>
  <si>
    <t>Rua Pereira da Cunha, 209 - Ana Nery, Santa Cruz do Sul - RS, 96835-090</t>
  </si>
  <si>
    <t>https://drive.google.com/file/d/1IKFk94Ff2oQQsH60DQH0lq6QS85WcEmL/view?usp=sharing</t>
  </si>
  <si>
    <t>Soc. Beneficência e Caridade de Lajeado (Hosp. Bruno Born), Lajeado, RS</t>
  </si>
  <si>
    <t>ACSC - Hospital Regina, Novo Hamburgo, RS</t>
  </si>
  <si>
    <t>Av. Independência, 769 - Universitário, Santa Cruz do Sul - RS, 96815-040</t>
  </si>
  <si>
    <r>
      <rPr>
        <rFont val="Arial"/>
        <color theme="7"/>
        <sz val="11.0"/>
      </rPr>
      <t xml:space="preserve">O valor total indicado pelo para o município nessa emenda (41160005) é de  201.895,56. Sendo  18.0837,86 do deputado, com contrapartida de 10,43% =  21.057,70.   Detalhamento:  34.620,67 - Espingarda PUMP Calibre 12;   8.200,00 - Escudo Balístico;  159.074,89 - Viatura Tática de Transporte Rápido. Proposta 024831/2021 - </t>
    </r>
    <r>
      <rPr>
        <rFont val="Arial"/>
        <color theme="7"/>
        <sz val="11.0"/>
        <u/>
      </rPr>
      <t>https://drive.google.com/file/d/1mCz2mZU6VW77kVuqa9wnRbEiD-TvMQMu/view?usp=sharing</t>
    </r>
  </si>
  <si>
    <t>R. Amapá, 175 - Ana Nery, Santa Cruz do Sul - RS, 96835-100</t>
  </si>
  <si>
    <r>
      <rPr>
        <rFont val="Arial"/>
        <color rgb="FF000000"/>
        <sz val="11.0"/>
      </rPr>
      <t xml:space="preserve">Proposta 034569/2021 - </t>
    </r>
    <r>
      <rPr>
        <rFont val="Arial"/>
        <color rgb="FF1155CC"/>
        <sz val="11.0"/>
        <u/>
      </rPr>
      <t>https://drive.google.com/file/d/16NDej4XeJDyUwcK4boY_5uG5lAN7Sgc-/view?usp=sharing</t>
    </r>
    <r>
      <rPr>
        <rFont val="Arial"/>
        <color rgb="FF000000"/>
        <sz val="11.0"/>
      </rPr>
      <t xml:space="preserve"> </t>
    </r>
  </si>
  <si>
    <t>Hospital Santa Bárbara Beneficente, Santa Bárbara do Sul, RS</t>
  </si>
  <si>
    <t>Rua Dr. Montaury, 1387 - 2 andar - Madureira, Caxias do Sul - RS, 95020-190</t>
  </si>
  <si>
    <r>
      <rPr>
        <rFont val="Arial"/>
        <color rgb="FF000000"/>
        <sz val="11.0"/>
      </rPr>
      <t xml:space="preserve">Proposta 21266/2021  - </t>
    </r>
    <r>
      <rPr>
        <rFont val="Arial"/>
        <color rgb="FF000000"/>
        <sz val="11.0"/>
        <u/>
      </rPr>
      <t>https://drive.google.com/file/d/100R98VIt1lNeUjjwm3cteeyTBJBt15O-/view?usp=sharing</t>
    </r>
    <r>
      <rPr>
        <rFont val="Arial"/>
        <color rgb="FF000000"/>
        <sz val="11.0"/>
      </rPr>
      <t xml:space="preserve">  </t>
    </r>
  </si>
  <si>
    <t>Hospital Ana Nery, Santa Cruz do Sul, RS</t>
  </si>
  <si>
    <t>Rodovia BR 158, km 319,9, Santa Maria - RS, CEP, 97065-153</t>
  </si>
  <si>
    <t>Fundação Hospital Centenário, São Leopoldo, RS</t>
  </si>
  <si>
    <t>Rua Ary Lagranha Domingues, 188 - Itararé, Santa Maria - RS, 97045-060</t>
  </si>
  <si>
    <t>R. Prof. Teixeira, 1334 - Nossa Sra. de Fátima, Santa Maria - RS, 97015-122</t>
  </si>
  <si>
    <r>
      <rPr>
        <rFont val="Arial"/>
        <color theme="7"/>
        <sz val="11.0"/>
      </rPr>
      <t xml:space="preserve">O valor indicado para o município nesta emenda (41160005) é de  42.820,67. Sendo  38.354,48 do deputado, com contrapartida de 10,43% =  4466,19. Detalhamento:  8.200,00 - Escudo balístico;  34.620,67 - 10 espingardas . Proposta 024831/2021 - </t>
    </r>
    <r>
      <rPr>
        <rFont val="Arial"/>
        <color theme="7"/>
        <sz val="11.0"/>
        <u/>
      </rPr>
      <t>https://drive.google.com/file/d/1mCz2mZU6VW77kVuqa9wnRbEiD-TvMQMu/view?usp=sharing</t>
    </r>
    <r>
      <rPr>
        <rFont val="Arial"/>
        <color theme="7"/>
        <sz val="11.0"/>
      </rPr>
      <t xml:space="preserve"> </t>
    </r>
  </si>
  <si>
    <t xml:space="preserve">
Hospital Beneficente Dr. Cesar Santos, Passo Fundo, RS</t>
  </si>
  <si>
    <t xml:space="preserve">
Hospital Beneficente Dr. Cesar Santos</t>
  </si>
  <si>
    <t>Equipamento pediátrico</t>
  </si>
  <si>
    <t>, Porto Lucena, RS</t>
  </si>
  <si>
    <t>R. Benno Closs, 88 - Centro, Santa Maria do Herval - RS, 93995-000</t>
  </si>
  <si>
    <t>Av. Expedicionário Weber, 2983 - Cruzeiro, Santa Rosa - RS, 98900-000</t>
  </si>
  <si>
    <t>Prefeitura Municipal, São Borja, RS</t>
  </si>
  <si>
    <t>Av. Antônio Manoel, 701 - Centro, Santo Ângelo - RS, 98801-690</t>
  </si>
  <si>
    <t>R. Mal. Floriano Peixoto, 732 - Cidade Alta, Santo Antônio da Patrulha - RS, 95500-000</t>
  </si>
  <si>
    <t>https://drive.google.com/file/d/14DrP3Cc1ZYpVu7GePMKjKymMmwMOJ9X6/view?usp=sharing</t>
  </si>
  <si>
    <t>Hospital de Caridade e Beneficência de Cachoeira do Sul, Cachoeira do Sul, RS</t>
  </si>
  <si>
    <r>
      <rPr>
        <rFont val="Arial"/>
        <color rgb="FF38761D"/>
        <sz val="11.0"/>
      </rPr>
      <t xml:space="preserve">Aquisição de 2 viaturas pick up ostensiva com cela. O valor total da emenda é de 1.650.930,54 que inclui 05 viaturas discretas tipo Sedan. Com contrapartida de 33.692,46. Proposta 028239: </t>
    </r>
    <r>
      <rPr>
        <rFont val="Arial"/>
        <color rgb="FF38761D"/>
        <sz val="11.0"/>
        <u/>
      </rPr>
      <t>https://drive.google.com/file/d/13UJPbFK0izb7oc7oPflF1d60qA_i3jsW/view?usp=sharing</t>
    </r>
  </si>
  <si>
    <t>Hospital Beneficente Alto Jacuí, Não-Me-Toque, RS</t>
  </si>
  <si>
    <t>R. Independência, 79, Centro, Santo Augusto - RS, 98590-000</t>
  </si>
  <si>
    <r>
      <rPr>
        <rFont val="Arial"/>
        <color rgb="FF000000"/>
        <sz val="11.0"/>
      </rPr>
      <t xml:space="preserve">Proposta 033438/2021 - </t>
    </r>
    <r>
      <rPr>
        <rFont val="Arial"/>
        <color rgb="FF1155CC"/>
        <sz val="11.0"/>
        <u/>
      </rPr>
      <t>https://drive.google.com/file/d/1lDGVtCDc_glV46c1XC81i_gS0OxRUj5I/view?usp=sharing</t>
    </r>
  </si>
  <si>
    <t>Custeio para o hospital (emenda de bancada).</t>
  </si>
  <si>
    <t>Hospital Santa Barbara Beneficente, Santa Bárbara do Sul, RS</t>
  </si>
  <si>
    <t>Av. Pres. Vargas, 1440 - Centro, São Borja - RS, 97670-000</t>
  </si>
  <si>
    <t>R. Cel. Aparício Mariense, 1751, Centro, São Borja - RS, 97670-000</t>
  </si>
  <si>
    <t>Secretaria da Segurança Pública Porto Alegre</t>
  </si>
  <si>
    <t>Prefeitura Municipal, Ivoti, RS</t>
  </si>
  <si>
    <t>Prefeitura de Ivoti</t>
  </si>
  <si>
    <r>
      <rPr>
        <rFont val="Arial"/>
        <color rgb="FF000000"/>
        <sz val="11.0"/>
      </rPr>
      <t xml:space="preserve">Proposta 10610784000121006 no Fundo Nacional de Saúde - </t>
    </r>
    <r>
      <rPr>
        <rFont val="Arial"/>
        <color rgb="FF1155CC"/>
        <sz val="11.0"/>
        <u/>
      </rPr>
      <t>https://drive.google.com/file/d/1aDObxpbsBjwlksXrkLajbqjPN4rHK6G6/view?usp=sharing</t>
    </r>
    <r>
      <rPr>
        <rFont val="Arial"/>
        <color rgb="FF000000"/>
        <sz val="11.0"/>
      </rPr>
      <t xml:space="preserve"> </t>
    </r>
  </si>
  <si>
    <t>Associação Hospitalar Beneficente De Marau</t>
  </si>
  <si>
    <t>Unitarizadora de medicamentos</t>
  </si>
  <si>
    <t>Na compra de equipamento (s): VM Transporte, Ap. ECG, Eletrocautério, etc</t>
  </si>
  <si>
    <t>R. João Moreira, 1707, Centro, São Francisco de Assis - RS, 97610-000</t>
  </si>
  <si>
    <r>
      <rPr>
        <rFont val="Arial"/>
        <color rgb="FF000000"/>
        <sz val="11.0"/>
      </rPr>
      <t xml:space="preserve">Proposta 12094096000121002 - </t>
    </r>
    <r>
      <rPr>
        <rFont val="Arial"/>
        <color rgb="FF1155CC"/>
        <sz val="11.0"/>
        <u/>
      </rPr>
      <t>https://drive.google.com/file/d/1dAF_3btktWoIWwgzredtzJoiEjOh_d_r/view?usp=sharing</t>
    </r>
    <r>
      <rPr>
        <rFont val="Arial"/>
        <color rgb="FF000000"/>
        <sz val="11.0"/>
      </rPr>
      <t xml:space="preserve"> </t>
    </r>
  </si>
  <si>
    <t>Fundação Hospitalar Educacional E Social De Portão</t>
  </si>
  <si>
    <t>Contratação de empresa Especializada para busca da Acreditação Hospitalar</t>
  </si>
  <si>
    <t>Hospital Da Criança Santo Antonio</t>
  </si>
  <si>
    <t>R. Frederico Tedesco, 117 - São Francisco de Paula, RS, 95400-000</t>
  </si>
  <si>
    <t>Hospital Da Criança Santo Antonio- Complexo Hospitalar Santa Casa De Misericordia De Porto Alegre</t>
  </si>
  <si>
    <t>https://drive.google.com/file/d/1Df5G9XXlGyc1bAw2UMGi4acbV154nLNF/view?usp=sharing</t>
  </si>
  <si>
    <t>2 aparelhos móveis de eletroencefalograma para monitorização dos pacientes da UTI pediátrica do Hospital da Criança Santo Antônio</t>
  </si>
  <si>
    <t>Lançado no SIOP como beneficiário o Fundo Estadual de Saúde</t>
  </si>
  <si>
    <t>Av. José Bonifácio, 340, Maximiliano de Almeida - RS, 99890-000</t>
  </si>
  <si>
    <t>R. Frederico Tedesco, 166 - São Francisco de Paula, RS, 95400-000</t>
  </si>
  <si>
    <r>
      <rPr>
        <rFont val="Arial"/>
        <color rgb="FF000000"/>
        <sz val="11.0"/>
      </rPr>
      <t xml:space="preserve">Proposta 044279/2021 - </t>
    </r>
    <r>
      <rPr>
        <rFont val="Arial"/>
        <color rgb="FF1155CC"/>
        <sz val="11.0"/>
        <u/>
      </rPr>
      <t>https://drive.google.com/file/d/1CmMO5spgPFn8fwOQd-qWMeLFZnGlUKCw/view?usp=sharing</t>
    </r>
    <r>
      <rPr>
        <rFont val="Arial"/>
        <color rgb="FF000000"/>
        <sz val="11.0"/>
      </rPr>
      <t xml:space="preserve"> </t>
    </r>
  </si>
  <si>
    <t>Rua Marechal Floriano Peixoto, 426, Bairro Centro, São Sebastião do Caí, RS, CEP 95760-000.</t>
  </si>
  <si>
    <r>
      <rPr>
        <rFont val="Arial"/>
        <color theme="7"/>
        <sz val="11.0"/>
      </rPr>
      <t xml:space="preserve"> </t>
    </r>
    <r>
      <rPr>
        <rFont val="Arial"/>
        <color theme="7"/>
        <sz val="11.0"/>
        <u/>
      </rPr>
      <t>https://www.primeirahora.rs/web/noticias/19911/polcia-civil-de-so-jos-do-hortncio-recebe-nova-viatura-semiblindada</t>
    </r>
  </si>
  <si>
    <t>Rua XV de Novembro, 364 - Centro, Cachoeira do Sul - RS, CEP 96508-750, Brasil</t>
  </si>
  <si>
    <t>Av. Theodomiro Porto da Fonseca, 799 - Fião, São Leopoldo - RS, 93020-645</t>
  </si>
  <si>
    <t>Avenida Pereira Rego, 1665, Centro, Candelária - RS, CEP 96930-000</t>
  </si>
  <si>
    <t>Santa Isabel 1º Distrito, s/n - Zona Rural, São Lourenço do Sul - RS, 96170-000</t>
  </si>
  <si>
    <t>R. Gen. Portinho, 1425 - Centro, São Luiz Gonzaga - RS, 97800-000</t>
  </si>
  <si>
    <t>Avenida Ruby Kney, 350, Bairro Industrial, Lindolfo Collor - RS, CEP 93940-000.</t>
  </si>
  <si>
    <t>R. Getúlio Vargas, 527 - Centro, Sapiranga - RS, 93815-016</t>
  </si>
  <si>
    <t>Rua XV de Novembro, 364 - Centro, Cachoeira do Sul - RS, CEP 96508-750</t>
  </si>
  <si>
    <t>Av. João Corrêa, 793 - Centro, Sapiranga - RS, 93815-016</t>
  </si>
  <si>
    <t>Avenida Independência, 800 - Centro, Campo Bom - RS, CEP 93701-900</t>
  </si>
  <si>
    <t>Av. Leônidas de Souza, 1289 - Santa Catarina, Sapucaia do Sul - RS, 93210-140</t>
  </si>
  <si>
    <t>Rua Engenheiro Hener de Souza Nunes, 150 - Centro, Esteio - RS, CEP 93260-120</t>
  </si>
  <si>
    <t>Av. 25 de Julho, 202 - CEP: 99250-000 - Cx. Postal, 11 - Serafina Corrêa - RS - Brasil</t>
  </si>
  <si>
    <t>Sto Antônio das Missões</t>
  </si>
  <si>
    <t>Rua Moisés Cantarelli, 368 - Centro, Restinga Seca - RS, CEP 97200-000</t>
  </si>
  <si>
    <t>Rincao dos Miranda, Interior, Santo Antônio das Missões - RS, CEP: 97870-000</t>
  </si>
  <si>
    <t>Rua Marechal Floriano Peixoto, 426 - Centro, São Sebastião do Caí - RS, CEP 95760-000, Brasil</t>
  </si>
  <si>
    <r>
      <rPr>
        <rFont val="Arial"/>
        <color rgb="FF000000"/>
        <sz val="11.0"/>
      </rPr>
      <t xml:space="preserve">41160009 </t>
    </r>
    <r>
      <rPr>
        <rFont val="Arial"/>
        <color rgb="FF000000"/>
        <sz val="11.0"/>
      </rPr>
      <t>/ 41160001</t>
    </r>
  </si>
  <si>
    <t>R. do Comércio, 1468 - Centro, Tapejara - RS, 99950-000</t>
  </si>
  <si>
    <t>R. Emílio Lúcio Esteves, 900-1070 - Sagrada Família, Taquara - RS, 95600-000</t>
  </si>
  <si>
    <t>Avenida Osvaldo de Souza, nº 124 - Centro, São Martinho da Serra - RS, CEP 97190-000</t>
  </si>
  <si>
    <t>União Brasileira de Educação E Assistência</t>
  </si>
  <si>
    <t>R. Emílio Lúcio Esteves, 1104 - Sagrada Família, Taquara - RS, 95600-000</t>
  </si>
  <si>
    <r>
      <rPr>
        <rFont val="Arial"/>
        <color rgb="FF000000"/>
        <sz val="11.0"/>
      </rPr>
      <t xml:space="preserve">Proposta 036771-/2021 - </t>
    </r>
    <r>
      <rPr>
        <rFont val="Arial"/>
        <color rgb="FF1155CC"/>
        <sz val="11.0"/>
        <u/>
      </rPr>
      <t>https://drive.google.com/file/d/1kiFA5uP0-VNk62daoiml2JHhB4cV4Gwc/view?usp=sharing</t>
    </r>
  </si>
  <si>
    <t>Prefeitura Municipal de São Valentim do Sul, Rua João Scussel, 66 - Centro, São Valentim do Sul - RS, CEP 99240-000</t>
  </si>
  <si>
    <t>R. Doze de Maio, 555 - Centro, Três Coroas - RS, 95660-000</t>
  </si>
  <si>
    <t>Prefeitura Municipal de Igrejinha, Av. Ildo Meneghetti, nº 757 - Bairro XV de Novembro, Igrejinha - RS, CEP 95650-000</t>
  </si>
  <si>
    <t>https://drive.google.com/file/d/1nir9mZr2U_EDG20Z4pfOjC_d3byawril/view?usp=sharing</t>
  </si>
  <si>
    <t>Rua João Inácio Teixeira, 70 - Centro, Pareci Novo - RS, CEP 95783-000</t>
  </si>
  <si>
    <r>
      <rPr>
        <rFont val="Arial"/>
        <color rgb="FF1155CC"/>
        <sz val="11.0"/>
        <u/>
      </rPr>
      <t>7122 0006</t>
    </r>
    <r>
      <rPr>
        <rFont val="Arial"/>
        <sz val="11.0"/>
        <u/>
      </rPr>
      <t xml:space="preserve"> </t>
    </r>
  </si>
  <si>
    <t>Avenida José Veríssimo dos Santos, 365 - Centro, Triunfo - PE, 56870-000</t>
  </si>
  <si>
    <t>R. Doze de Maio, 573 - Centro, Três Coroas - RS, 95660-000</t>
  </si>
  <si>
    <r>
      <rPr>
        <rFont val="Arial"/>
        <color rgb="FF000000"/>
        <sz val="11.0"/>
      </rPr>
      <t xml:space="preserve">Proposta 030214/2021 - </t>
    </r>
    <r>
      <rPr>
        <rFont val="Arial"/>
        <color rgb="FF000000"/>
        <sz val="11.0"/>
        <u/>
      </rPr>
      <t>https://drive.google.com/file/d/1B0qAQ76zJ1iabT06D3JpA_tiuSEo2gNW/view?usp=sharing</t>
    </r>
    <r>
      <rPr>
        <rFont val="Arial"/>
        <color rgb="FF000000"/>
        <sz val="11.0"/>
      </rPr>
      <t xml:space="preserve"> </t>
    </r>
  </si>
  <si>
    <t>Rua Alfredo Chaves, 366 - Centro, Veranópolis - RS, CEP 95330-000, Brasil</t>
  </si>
  <si>
    <t>Fundo Municipal de saúde de Veranópolis</t>
  </si>
  <si>
    <t>Veículo de passeio para transporte de equipe e Itens de apoio para a unidade do CAPS</t>
  </si>
  <si>
    <t>Av. das Palmeiras, 763 - Centro, Três Palmeiras - RS, 99675-000</t>
  </si>
  <si>
    <t>RS 332, KM 21, 1111, Centro, Doutor Ricardo, Rio Grande do Sul, CEP 95967-000</t>
  </si>
  <si>
    <t>Fundo Municipal De Saude De Doutor Ricardo Doutor Ricardo - Rs</t>
  </si>
  <si>
    <t>Avenida 25 de Abril, 900 - Centro, Fontoura Xavier - RS, CEP 99370-000</t>
  </si>
  <si>
    <t>Fundo Municipal De Saude Fontoura Xavier - Rs</t>
  </si>
  <si>
    <t>Rua Domingos José de Almeida, 3801 - São Miguel, Uruguaiana - RS, 97502-854</t>
  </si>
  <si>
    <t>https://drive.google.com/file/d/11E1rObU6LasDy18ciApk_rtICOWhnkoH/view?usp=sharing</t>
  </si>
  <si>
    <t>A aquisição de equipamentos para a UBS de Itacurubi para melhorar a qualidade do atendimento à população.
 A compra de itens como mesas, cadeiras, computadores, equipamentos médicos (balanças, oxímetros, estetoscópios) e materiais para atendimento emergencial (maca, nebulizador, autoclave) proporcionará diagnósticos mais rápidos, maior conforto para os pacientes e mais eficiência nas atividades da unidade.</t>
  </si>
  <si>
    <t>Adolpho Emílio Karnopp, 660 - Centro, Passa Sete - RS</t>
  </si>
  <si>
    <t>Fundo Municipal De Saude De Passa Sete Rs Passa Sete - Rs</t>
  </si>
  <si>
    <t>R. Pinheiro Machado, 448 - Centro, Vacaria - RS, 95200-000</t>
  </si>
  <si>
    <t>Aquisição de um VEÍCULO DE TRANSPORTE SANITÁRIO, equipado para atender a um cadeirante, e uma AMBULÂNCIA TIPO A, destinada a simples remoção, tipo furgão.</t>
  </si>
  <si>
    <r>
      <rPr>
        <rFont val="Arial"/>
        <color rgb="FF000000"/>
        <sz val="11.0"/>
      </rPr>
      <t xml:space="preserve">Proposta 048451/2021 - </t>
    </r>
    <r>
      <rPr>
        <rFont val="Arial"/>
        <color rgb="FF1155CC"/>
        <sz val="11.0"/>
        <u/>
      </rPr>
      <t>https://drive.google.com/file/d/1y8BkMzI-Uw9vtIWyL9vu0RPBk1VO_Yr6/view?usp=sharing</t>
    </r>
    <r>
      <rPr>
        <rFont val="Arial"/>
        <color rgb="FF000000"/>
        <sz val="11.0"/>
      </rPr>
      <t xml:space="preserve"> </t>
    </r>
  </si>
  <si>
    <t>Avenida Integração, 2600, Centro, Pinhal Grande - RS, CEP 98150-000</t>
  </si>
  <si>
    <t>Fundo Municipal De Saude Pinhal Grande - Rs</t>
  </si>
  <si>
    <t>Rua Frederico Trarbach, 716 - Centro, Vale Verde - RS, CEP 95833-000, Brasil.</t>
  </si>
  <si>
    <t>Fundo Municipal De Saude De Vale Verde - Rs Vale Verde - Rs</t>
  </si>
  <si>
    <t>R. Anúncio Curra, 2940 - União, Flores da Cunha - RS, 95270-000</t>
  </si>
  <si>
    <r>
      <rPr>
        <rFont val="Arial"/>
        <color rgb="FF000000"/>
        <sz val="11.0"/>
      </rPr>
      <t xml:space="preserve">Proposta 20877/2021 - </t>
    </r>
    <r>
      <rPr>
        <rFont val="Arial"/>
        <color rgb="FF000000"/>
        <sz val="11.0"/>
        <u/>
      </rPr>
      <t>https://drive.google.com/file/d/1zay9tOPtsNNVzpC6ZdFBF2vYKCbjoI0d/view?usp=sharing</t>
    </r>
  </si>
  <si>
    <t>O projeto tem como finalidade a aquisição de um VEÍCULO DE TRANSPORTE SANITÁRIO, equipado para atender a um cadeirante, e uma AMBULÂNCIA TIPO A, destinada a simples remoção, tipo furgão.</t>
  </si>
  <si>
    <t>Rua Silvio Frederico Ceccato, nº 518, Centro, Bozano - RS, CEP 98733-000</t>
  </si>
  <si>
    <t>Municipio De Bozano Bozano - Rs</t>
  </si>
  <si>
    <t>Aquisição de Viatura para Brigada Militar do Município de Bozano</t>
  </si>
  <si>
    <t>Rua Dr Bozzano, 130 - Centro, Giruá - RS, 98870-000</t>
  </si>
  <si>
    <r>
      <rPr>
        <rFont val="Arial"/>
        <color rgb="FF000000"/>
        <sz val="11.0"/>
      </rPr>
      <t xml:space="preserve">Proposta 20877/2021 - </t>
    </r>
    <r>
      <rPr>
        <rFont val="Arial"/>
        <color rgb="FF000000"/>
        <sz val="11.0"/>
        <u/>
      </rPr>
      <t>https://drive.google.com/file/d/1zay9tOPtsNNVzpC6ZdFBF2vYKCbjoI0d/view?usp=sharing</t>
    </r>
  </si>
  <si>
    <t>Fundo Municipal de Saúde – FMS Barra do Ribeiro RS, Rodovia 709, SN (Km 03), Bairro Três Vendas, Barra do Ribeiro - RS, CEP 92870-000</t>
  </si>
  <si>
    <t>Fundo Municipal De Saude-Fms Barra Do Ribeiro Rs Barra Do Ribeiro - Rs</t>
  </si>
  <si>
    <t>Av. Bom Jardim, 800 - Cidade Nova, Ivoti - RS, 93900-000</t>
  </si>
  <si>
    <r>
      <rPr>
        <rFont val="Arial"/>
        <color rgb="FF000000"/>
        <sz val="11.0"/>
      </rPr>
      <t xml:space="preserve">Proposta 20877/2021 - </t>
    </r>
    <r>
      <rPr>
        <rFont val="Arial"/>
        <color rgb="FF000000"/>
        <sz val="11.0"/>
        <u/>
      </rPr>
      <t>https://drive.google.com/file/d/1zay9tOPtsNNVzpC6ZdFBF2vYKCbjoI0d/view?usp=sharing</t>
    </r>
  </si>
  <si>
    <t>Equipamentos diversos para O Pronto Atendimento Municipal 24 horas Wilmar Bischoff</t>
  </si>
  <si>
    <t>Fundo Municipal de Saúde de São Lourenço do Sul, Rua Senador Pinheiro Machado, 100, Casa, Centro, São Lourenço do Sul - RS, 96170-000</t>
  </si>
  <si>
    <t>Fundo Municipal De Saude De Sao Lourenco Do Sul São Lourenço Do Sul - Rs</t>
  </si>
  <si>
    <t>Aquisição de Equipamentos - Santa Casa da Misericórdia de São Lourenço do Sul</t>
  </si>
  <si>
    <t>Av. Cel. Travassos, 91 - Rondônia, Novo Hamburgo - RS, 93415-000</t>
  </si>
  <si>
    <r>
      <rPr>
        <rFont val="Arial"/>
        <color rgb="FF000000"/>
        <sz val="11.0"/>
      </rPr>
      <t xml:space="preserve">Na aquisição de 02 viaturas caracterizadas tipo SUV, o deputado Marcel contribuiu com  26.383,34. Outros parlamentares contribuíram com  300.000,00 (emenda nº 40330009),  13.191,67 (emenda nº 41210006),  3.184,67 (emenda nº 40330005) e  30.856,98 (contrapartida do estado). Proposta 21266/2021  - </t>
    </r>
    <r>
      <rPr>
        <rFont val="Arial"/>
        <color rgb="FF000000"/>
        <sz val="11.0"/>
        <u/>
      </rPr>
      <t>https://drive.google.com/file/d/100R98VIt1lNeUjjwm3cteeyTBJBt15O-/view?usp=sharing</t>
    </r>
    <r>
      <rPr>
        <rFont val="Arial"/>
        <color rgb="FF000000"/>
        <sz val="11.0"/>
      </rPr>
      <t xml:space="preserve"> </t>
    </r>
  </si>
  <si>
    <t>Rua Osvaldo Aranha, 1697 - Centro, Taquari - RS, CEP 95860-000, Brasil</t>
  </si>
  <si>
    <t>Fundo Municipal De Saude - Taquari Taquari - Rs</t>
  </si>
  <si>
    <t>Av. da Azenha, 255 - Azenha, Porto Alegre - RS, 90160-004</t>
  </si>
  <si>
    <t>Aquisição de onze monitores multiparâmetros para a UTI da Associação Taquariense de Saúde.</t>
  </si>
  <si>
    <r>
      <rPr>
        <rFont val="Arial"/>
        <color rgb="FF000000"/>
        <sz val="11.0"/>
      </rPr>
      <t xml:space="preserve">O deputado Marcel contribuiu com  400.000,00, com contrapartida de  57.030,19. Proposta 021355/2021 - </t>
    </r>
    <r>
      <rPr>
        <rFont val="Arial"/>
        <color rgb="FF1155CC"/>
        <sz val="11.0"/>
        <u/>
      </rPr>
      <t>https://drive.google.com/file/d/1snCNLonqwErA_N4mdpMmTLDYHoa30OB3/view?usp=sharing</t>
    </r>
  </si>
  <si>
    <t>Rua Luis Miller Picarelli, S/N, Centro, São Jerônimo, RS, 96700-000</t>
  </si>
  <si>
    <t>Fundo Municipal De Saude De Sao Jeronimo Rs São Jerônimo - Rs</t>
  </si>
  <si>
    <t>Av. Pres. Franklin Roosevelt, 88 - Navegantes, Porto Alegre - RS, 90230-000</t>
  </si>
  <si>
    <t>Compra de três equipamentos para o Centro Cirúrgico:
  Intensificador de Imagens do Arco Cirúrgico (Arco C)
  Aparelho de Litotripsia
 Instrumentação para CPRE (Colangiopancreatografia Endoscópica Retrógrada)</t>
  </si>
  <si>
    <r>
      <rPr>
        <rFont val="Arial"/>
        <color rgb="FF000000"/>
        <sz val="11.0"/>
      </rPr>
      <t xml:space="preserve">Proposta 21266/2021  - </t>
    </r>
    <r>
      <rPr>
        <rFont val="Arial"/>
        <color rgb="FF000000"/>
        <sz val="11.0"/>
        <u/>
      </rPr>
      <t>https://drive.google.com/file/d/100R98VIt1lNeUjjwm3cteeyTBJBt15O-/view?usp=sharing</t>
    </r>
    <r>
      <rPr>
        <rFont val="Arial"/>
        <color rgb="FF000000"/>
        <sz val="11.0"/>
      </rPr>
      <t xml:space="preserve">  </t>
    </r>
  </si>
  <si>
    <t>Associação da Rede de Beneficência Cristã – Associação Privada, Rua Osvaldo Cruz, Centro, Navegantes - SC, CEP 88370-543, Brasil</t>
  </si>
  <si>
    <t>Associacao Hospital De Caridade Nossa Senhora Dos Navegantes Porto Xavier - Rs</t>
  </si>
  <si>
    <r>
      <rPr>
        <rFont val="Arial"/>
        <color rgb="FF000000"/>
        <sz val="11.0"/>
      </rPr>
      <t xml:space="preserve">Na aquisição das viaturas caracterizadas o deputado Marcel contribuiu com  1.000.000,00 com contrapartida  64.586,67. Proposta 021307/2021:                                                                                                         </t>
    </r>
    <r>
      <rPr>
        <rFont val="Arial"/>
        <color rgb="FF1155CC"/>
        <sz val="11.0"/>
        <u/>
      </rPr>
      <t>https://drive.google.com/file/d/1yonAHlCerIqzVP-hw2Ps4plFF2TWlLr3/view?usp=sharing</t>
    </r>
    <r>
      <rPr>
        <rFont val="Arial"/>
        <color rgb="FF000000"/>
        <sz val="11.0"/>
      </rPr>
      <t xml:space="preserve">                      </t>
    </r>
  </si>
  <si>
    <t>"1 Ultrassom Diagnóstico sem Aplicação Transesofágica
 1 Carro maca avançado
 37 Suporte de Soro
 2 Bomba de Infusão
 1 Elevador para Transposição de Leito"</t>
  </si>
  <si>
    <t>Rua da Gruta, 145, Bairro Cascata, Porto Alegre - RS, CEP 91712-160, Brasil. Telefone: (51) 3320-6000.</t>
  </si>
  <si>
    <t>Sociedade Sulina Divina Providencia Progresso - Rs</t>
  </si>
  <si>
    <t>Adquirir 2 Videolaringoscópio e 
 1 Berço aquecido de calor irradiante</t>
  </si>
  <si>
    <t>Travessa Roberto Schmidt, 73 - Centro, Seberi - RS, CEP 98380-000</t>
  </si>
  <si>
    <t>Fundacao Hospitalar Pio Xii Seberi - Rs</t>
  </si>
  <si>
    <t>Equipar nossa maternidade regional:
 Berço Aquecido
 Amnioscópio
 Bilirrubinômetro
 BIPAP com Monitor Gráfico
 Detector Fetal
 Incubadora Neonatal (estacionária)
 Incubadora de Transporte Neonatal</t>
  </si>
  <si>
    <t>R. Saul Irineu Farina, 160 - São Pelegrino, Veranópolis - RS, 95330-000</t>
  </si>
  <si>
    <r>
      <rPr>
        <rFont val="Arial"/>
        <color rgb="FF000000"/>
        <sz val="11.0"/>
      </rPr>
      <t xml:space="preserve">Proposta 033435/2021 - </t>
    </r>
    <r>
      <rPr>
        <rFont val="Arial"/>
        <color rgb="FF1155CC"/>
        <sz val="11.0"/>
        <u/>
      </rPr>
      <t>https://drive.google.com/file/d/1iHCEQhM4YS-ioZsWMsr2Tcio3J1kMMwJ/view?usp=sharing</t>
    </r>
    <r>
      <rPr>
        <rFont val="Arial"/>
        <color rgb="FF000000"/>
        <sz val="11.0"/>
      </rPr>
      <t xml:space="preserve"> </t>
    </r>
  </si>
  <si>
    <t>Rua João José Briesch, 457, Centro, Canudos do Vale - RS, CEP 95933-000</t>
  </si>
  <si>
    <t>Fundo Municipal Da Saude - Canudos Do Vale Canudos Do Vale - Rs</t>
  </si>
  <si>
    <t>Fundo Municipal De Saude Colinas - Rs</t>
  </si>
  <si>
    <t>R. Princesa Isabel, 114, Centro, Barão de Cotegipe - RS, 99740-000</t>
  </si>
  <si>
    <t>Aquisição de veículo tipo VAN - para transporte pacientes em consultas especializadas</t>
  </si>
  <si>
    <t>Avenida Italia, 1660, Centro, Coqueiro Baixo, Rio Grande do Sul, CEP 95955-000</t>
  </si>
  <si>
    <t>Coqueiro Baixo - Fundo Municipal De Saude Coqueiro Baixo - Rs</t>
  </si>
  <si>
    <t>Praça 13 de abril, 302, Campos Borges - RS, 99435-000</t>
  </si>
  <si>
    <t>Dois veículos de transporte de Paciente</t>
  </si>
  <si>
    <t>Av. Pres. Tancredo Neves, 965, Progresso, Tapera - RS, 99490-000</t>
  </si>
  <si>
    <t>Rua dos Andradas, 846, Centro, Porto Alegre, RS, 90020-006</t>
  </si>
  <si>
    <t>Associacao Dos Funcionarios Publicos Do Estado Do Rio Grande Do Sul São Jerônimo - Rs</t>
  </si>
  <si>
    <r>
      <rPr>
        <rFont val="Arial"/>
        <color rgb="FF38761D"/>
        <sz val="11.0"/>
      </rPr>
      <t xml:space="preserve">Aquisição de 01 viatura de resgate e salvamento. Com contrapartida  33.966,66. Valor total  353.966,66. Proposta  - 028534: </t>
    </r>
    <r>
      <rPr>
        <rFont val="Arial"/>
        <color rgb="FF38761D"/>
        <sz val="11.0"/>
        <u/>
      </rPr>
      <t>https://drive.google.com/file/d/1z0Sm5HAnkqAcRLsVO6CusjDhOGmRDcIF/view?usp=sharing</t>
    </r>
  </si>
  <si>
    <t>Praça 12 de Abril, 117 - Centro, Severiano de Almeida - RS, CEP 99810-000</t>
  </si>
  <si>
    <t>Municipio De Severiano De Almeida Severiano De Almeida - Rs</t>
  </si>
  <si>
    <t>Investimento em atenção Primária</t>
  </si>
  <si>
    <t>Av. Severino Senhori, 299 - Centro, Ponte Preta - RS, CEP 99735-000</t>
  </si>
  <si>
    <t>Municipio De Ponte Preta Ponte Preta - Rs</t>
  </si>
  <si>
    <r>
      <rPr>
        <rFont val="Arial"/>
        <color rgb="FF38761D"/>
        <sz val="11.0"/>
      </rPr>
      <t xml:space="preserve">Viatura caracterizada tipo motocicleta. Valor total (17 motocicletas)  665.691,61. Proposta - 028449: </t>
    </r>
    <r>
      <rPr>
        <rFont val="Arial"/>
        <color rgb="FF38761D"/>
        <sz val="11.0"/>
        <u/>
      </rPr>
      <t>https://drive.google.com/file/d/1WlGh1kHSwuugd7ZkBZBGgSXTxeI_v28C/view?usp=sharing</t>
    </r>
  </si>
  <si>
    <t>Aquisição de uma Van para transportes de pacientes</t>
  </si>
  <si>
    <t>Rua Garibaldi, 304, Centro, Ivorá - RS, CEP 98160-000, Brasil.</t>
  </si>
  <si>
    <t>Municipio De Ivora Ivorá - Rs</t>
  </si>
  <si>
    <r>
      <rPr>
        <rFont val="Arial"/>
        <color rgb="FF38761D"/>
        <sz val="11.0"/>
      </rPr>
      <t xml:space="preserve">Aquisição 04 viatura caracterizada tipo PickUp. Valor total  1.280.468,00. Proposta 028449 : </t>
    </r>
    <r>
      <rPr>
        <rFont val="Arial"/>
        <color rgb="FF38761D"/>
        <sz val="11.0"/>
        <u/>
      </rPr>
      <t>https://drive.google.com/file/d/1WlGh1kHSwuugd7ZkBZBGgSXTxeI_v28C/view?usp=sharing</t>
    </r>
  </si>
  <si>
    <t>Rua do Comércio, 619 - Centro, Dona Francisca - RS, CEP 97280-000</t>
  </si>
  <si>
    <t>Municipio De Dona Francisca Dona Francisca - Rs</t>
  </si>
  <si>
    <t>Equipamentos para equipar as unidades de Saúde</t>
  </si>
  <si>
    <t>Avenida Seis de Julho, 42 - Centro, Piratini - RS, CEP 96490-000</t>
  </si>
  <si>
    <t>Hospital De Caridade Nossa Senhora Da Conceicao De Pira Piratini - Rs</t>
  </si>
  <si>
    <r>
      <rPr>
        <rFont val="Arial"/>
        <color rgb="FF000000"/>
        <sz val="11.0"/>
      </rPr>
      <t xml:space="preserve">Proposta 033437/2021 - </t>
    </r>
    <r>
      <rPr>
        <rFont val="Arial"/>
        <color rgb="FF1155CC"/>
        <sz val="11.0"/>
        <u/>
      </rPr>
      <t>https://drive.google.com/file/d/1anFh9yryznLscxrEOzRV_Db5y8Px7OY8/view?usp=sharing</t>
    </r>
    <r>
      <rPr>
        <rFont val="Arial"/>
        <color rgb="FF000000"/>
        <sz val="11.0"/>
      </rPr>
      <t xml:space="preserve"> </t>
    </r>
  </si>
  <si>
    <t>Aquisição de 01 (um) sistema de vídeo endoscópio rígido, 01 (uma) mesa cirúrgica elétrica e 01 (um) foco cirúrgico de teto, ambos equipamentos para complementar as salas cirúrgicas que possuímos na instituição.</t>
  </si>
  <si>
    <t>Marechal Castelo Branco, 545, Centro, Ibiaçá – RS, CEP 99940-000</t>
  </si>
  <si>
    <t>Fundo Municipal De Saude De Ibiaca Rs Ibiaçá - Rs</t>
  </si>
  <si>
    <t>Fernando Ferrari, 78 - Centro, Arroio dos Ratos - RS, CEP 96740-000</t>
  </si>
  <si>
    <t>Fundo Municipal De Saude - Arroio Dos Ratos Arroio Dos Ratos - Rs</t>
  </si>
  <si>
    <t>Aquisição de exames de imagem - Ecografias.</t>
  </si>
  <si>
    <t>Rua Roberto de Souza Feijo, 147, Andar 01, Bairro Bela Vista, Alvorada - Rio Grande do Sul, CEP 94814-560</t>
  </si>
  <si>
    <r>
      <rPr>
        <rFont val="Arial"/>
        <color rgb="FF000000"/>
        <sz val="11.0"/>
      </rPr>
      <t xml:space="preserve">Resultado do processo seletivo: </t>
    </r>
    <r>
      <rPr>
        <rFont val="Arial"/>
        <color rgb="FF1155CC"/>
        <sz val="11.0"/>
        <u/>
      </rPr>
      <t>http://marcelvanhattem.com.br/2020/wp-content/uploads/2021/09/EMENDA-TURISMO-2021.pdf</t>
    </r>
  </si>
  <si>
    <t>Fundo Municipal De Saude De Alvorada Alvorada - Rs</t>
  </si>
  <si>
    <t>uma ambulância do tipo Unidade de Suporte Básico (USB)</t>
  </si>
  <si>
    <t>Rua Horizontina, 557, Centro, Crissiumal - RS, CEP 98640-000</t>
  </si>
  <si>
    <t>Fundo Municipal Da Saude Crissiumal - Rs</t>
  </si>
  <si>
    <t>Avenida Venâncio Aires, 720 - Centro, São Marcos - RS, CEP 95190-000, Brasil</t>
  </si>
  <si>
    <t>Fundo Municipal De Saude De Sao Marcos - Rs São Marcos - Rs</t>
  </si>
  <si>
    <t>Avenida Engenheiro Firmino Girardello, 85 - Centro, Getúlio Vargas - RS, CEP 99900-000</t>
  </si>
  <si>
    <t>Fundo Municipal De Saude Getúlio Vargas - Rs</t>
  </si>
  <si>
    <t>Rua Bernardo Vieira Dias, 485 - Bairro Olaria, Camaquã - RS, CEP 96785-222</t>
  </si>
  <si>
    <t>Fundo Municipal De Saude De Camaqua - Rs Camaquã - Rs</t>
  </si>
  <si>
    <t xml:space="preserve">Porto Alegre </t>
  </si>
  <si>
    <t>Avenida Getúlio Vargas, 1116 - Bela Vista, Alvorada - RS, CEP 94810-000, Brasil</t>
  </si>
  <si>
    <t xml:space="preserve">Canoas </t>
  </si>
  <si>
    <t xml:space="preserve">São Leopoldo </t>
  </si>
  <si>
    <t>Fundo Municipal de Saúde de Ibiaçá, Rua do Interventor, 510 - Centro, Anexo Centro Administrativo, Ibiaçá - Rio Grande do Sul, CEP 99940-000</t>
  </si>
  <si>
    <t xml:space="preserve">Tramandaí </t>
  </si>
  <si>
    <t>Hospital de Caridade Nossa Senhora da Conceição de Piratini, Avenida Seis de Julho, 42 - Centro, Piratini - RS, CEP 96490-000</t>
  </si>
  <si>
    <r>
      <rPr>
        <rFont val="Arial"/>
        <color theme="5"/>
        <sz val="11.0"/>
      </rPr>
      <t xml:space="preserve">Na aquisição de 01 ferramenta de extração de dados o deputado Marcel contibuiu com  12.142,85. Outro parlamentar (emenda 20980007) com   150.000,00. Proposta 2045/2020 - </t>
    </r>
    <r>
      <rPr>
        <rFont val="Arial"/>
        <color theme="5"/>
        <sz val="11.0"/>
        <u/>
      </rPr>
      <t>https://drive.google.com/file/d/1dA-xI-LIxcR9fUfK2Teoul4ATJp55IX9/view?usp=sharing</t>
    </r>
  </si>
  <si>
    <t>Avenida Vicente Guerra, 1429 - Centro, Nova Alvorada - RS, CEP 95985-000</t>
  </si>
  <si>
    <t>Prefeitura Municipal de Coxilha, Avenida Fioravante Franciosi, 68 - Centro, Coxilha - RS, CEP 99145-000.</t>
  </si>
  <si>
    <t>-</t>
  </si>
  <si>
    <r>
      <rPr>
        <rFont val="Arial"/>
        <color rgb="FF000000"/>
        <sz val="11.0"/>
      </rPr>
      <t xml:space="preserve">Propostas no Fundo Nacional de Saúde - </t>
    </r>
    <r>
      <rPr>
        <rFont val="Arial"/>
        <color rgb="FF1155CC"/>
        <sz val="11.0"/>
        <u/>
      </rPr>
      <t>https://drive.google.com/file/d/1lTmWUQJKG5rGSM0vQkXaZuJ4dXAvvvgM/view?usp=sharing</t>
    </r>
    <r>
      <rPr>
        <rFont val="Arial"/>
        <color rgb="FF000000"/>
        <sz val="11.0"/>
      </rPr>
      <t xml:space="preserve"> e </t>
    </r>
    <r>
      <rPr>
        <rFont val="Arial"/>
        <color rgb="FF1155CC"/>
        <sz val="11.0"/>
        <u/>
      </rPr>
      <t>https://drive.google.com/file/d/1n91ehuvh0UbH3XWnALEDOEGLtv6QBzdg/view?usp=sharing</t>
    </r>
    <r>
      <rPr>
        <rFont val="Arial"/>
        <color rgb="FF000000"/>
        <sz val="11.0"/>
      </rPr>
      <t xml:space="preserve"> </t>
    </r>
  </si>
  <si>
    <t>Avenida Getúlio Vargas, 427 - Centro, Herval - RS, CEP 96310-000</t>
  </si>
  <si>
    <t>Liga Assistencia Social Hospital Nossa Senhora Gloria</t>
  </si>
  <si>
    <t>Sociedade Beneficente Do Hospital de Caridade</t>
  </si>
  <si>
    <t>MAC Investimento</t>
  </si>
  <si>
    <t>Rua Balduíno Schneider, 375 - Centro, Horizontina - RS, CEP 98920-000</t>
  </si>
  <si>
    <r>
      <rPr>
        <rFont val="Arial"/>
        <color rgb="FF000000"/>
        <sz val="11.0"/>
      </rPr>
      <t xml:space="preserve">Proposta 037034/2021 - </t>
    </r>
    <r>
      <rPr>
        <rFont val="Arial"/>
        <color rgb="FF1155CC"/>
        <sz val="11.0"/>
        <u/>
      </rPr>
      <t>https://drive.google.com/file/d/1c32Eq75I5Pz5TeSqoui-K2Zi3_Qtpllr/view?usp=sharing</t>
    </r>
    <r>
      <rPr>
        <rFont val="Arial"/>
        <color rgb="FF000000"/>
        <sz val="11.0"/>
      </rPr>
      <t xml:space="preserve"> </t>
    </r>
  </si>
  <si>
    <t>Associacao Beneficente Oswaldo Cruz de Horizontina</t>
  </si>
  <si>
    <t>Associação Hospitalar São João Batista, Avenida Bento Gonçalves, 1184 - Centro, Nova Bréscia - RS, CEP 95950-000</t>
  </si>
  <si>
    <t>Associacao Hospitalar Sao Joao Batista</t>
  </si>
  <si>
    <t>Fundo Municipal de Saude de Ivoti</t>
  </si>
  <si>
    <t>Rua Agenor Diamantino, nº 223, Vila Amália, Rio Verde, GO, CEP 75906-260. Telefone: (64) 3620-0600; Rua Tiradentes, 144, Centro, Fontoura Xavier, RS, CEP 99370-000. Telefone: (54) 3389-1378; Rua Padre Vicente Perez, 15, Centro, Monte Carmelo, MG, CEP 38500-000. Telefone: (34) 3842-2400.</t>
  </si>
  <si>
    <t>Hospital Santa Terezinha</t>
  </si>
  <si>
    <t>Avenida Konrad Adenauer, 1870 - Bairro São Jorge, Panambi - RS, CEP 98280-000</t>
  </si>
  <si>
    <t>Fundo Municipal de Saude de Panambi</t>
  </si>
  <si>
    <t>Avenida Getúlio Vargas, 563 - Centro, Sertão - RS, CEP 99170-000</t>
  </si>
  <si>
    <t>Hospital Sao Jose</t>
  </si>
  <si>
    <t>Rua Romário Rosa Lopes, 42, Centro, Tenente Portela, RS, 98500-000, Brasil.</t>
  </si>
  <si>
    <t>Associacao Hospitalar Beneficente Santo Antonio</t>
  </si>
  <si>
    <t>Fundo Municipal de Saude - Fms</t>
  </si>
  <si>
    <t>Nº da emenda</t>
  </si>
  <si>
    <t>Rua Fernando Ferrari, 506, Languiru, Teutônia, Rio Grande do Sul, 95890-000, Brasil</t>
  </si>
  <si>
    <t>Associacao Beneficente Ouro Branco</t>
  </si>
  <si>
    <t>Prefeitura Municipal de Tucunduva, Rua Santa Rosa, 520 - Centro, Tucunduva - RS, CEP 98930-000, Brasil</t>
  </si>
  <si>
    <t>Associacao Hospitalar Tucunduva E Novo Machado</t>
  </si>
  <si>
    <t>Rua Borges de Medeiros, esquina com a Rua Bernardino Angelo, s/n - Centro, Dom Pedrito - RS, CEP 96450-000</t>
  </si>
  <si>
    <t>Fundo Municipal de Saude</t>
  </si>
  <si>
    <t>PAP Investimento</t>
  </si>
  <si>
    <r>
      <rPr>
        <rFont val="Arial"/>
        <color rgb="FF000000"/>
        <sz val="11.0"/>
      </rPr>
      <t xml:space="preserve">Proposta 033437/2021 - </t>
    </r>
    <r>
      <rPr>
        <rFont val="Arial"/>
        <color rgb="FF1155CC"/>
        <sz val="11.0"/>
        <u/>
      </rPr>
      <t>https://drive.google.com/file/d/1anFh9yryznLscxrEOzRV_Db5y8Px7OY8/view?usp=sharing</t>
    </r>
    <r>
      <rPr>
        <rFont val="Arial"/>
        <color rgb="FF000000"/>
        <sz val="11.0"/>
      </rPr>
      <t xml:space="preserve"> </t>
    </r>
  </si>
  <si>
    <t>Rua Fiorelo Piazzetta, 95 - Estação - RS, CEP 99930-000</t>
  </si>
  <si>
    <r>
      <rPr>
        <rFont val="Arial"/>
        <color theme="1"/>
        <sz val="11.0"/>
      </rPr>
      <t xml:space="preserve">150.000,00 / </t>
    </r>
    <r>
      <rPr>
        <rFont val="Arial"/>
        <color rgb="FFFF0000"/>
        <sz val="11.0"/>
      </rPr>
      <t>200.000,00</t>
    </r>
  </si>
  <si>
    <t>Av. José Pedro Loureiro de Melo, nº 1070, Centro, Gramado dos Loureiros - RS, CEP 99605-000</t>
  </si>
  <si>
    <t>Fundo Municipal de Saude de Gramado Dos Loureiros</t>
  </si>
  <si>
    <t>Av. Jacob Wagner Sobrinho, 939 - Centro, Nova Boa Vista - RS, CEP 99580-000</t>
  </si>
  <si>
    <t>Fundo Municipal de Saude de Nova Boa Vista</t>
  </si>
  <si>
    <t>Avenida Fernando Luzato, 158 - Centro, Nova Prata - RS, CEP 95320-000</t>
  </si>
  <si>
    <t>Fundo Municipal Da Saude</t>
  </si>
  <si>
    <r>
      <rPr>
        <rFont val="Arial"/>
        <color rgb="FF000000"/>
        <sz val="11.0"/>
      </rPr>
      <t xml:space="preserve">Propostas no Fundo Nacional de Saúde - </t>
    </r>
    <r>
      <rPr>
        <rFont val="Arial"/>
        <color rgb="FF1155CC"/>
        <sz val="11.0"/>
        <u/>
      </rPr>
      <t>https://drive.google.com/file/d/1lTmWUQJKG5rGSM0vQkXaZuJ4dXAvvvgM/view?usp=sharing</t>
    </r>
    <r>
      <rPr>
        <rFont val="Arial"/>
        <color rgb="FF000000"/>
        <sz val="11.0"/>
      </rPr>
      <t xml:space="preserve"> e </t>
    </r>
    <r>
      <rPr>
        <rFont val="Arial"/>
        <color rgb="FF1155CC"/>
        <sz val="11.0"/>
        <u/>
      </rPr>
      <t>https://drive.google.com/file/d/1n91ehuvh0UbH3XWnALEDOEGLtv6QBzdg/view?usp=sharing</t>
    </r>
    <r>
      <rPr>
        <rFont val="Arial"/>
        <color rgb="FF000000"/>
        <sz val="11.0"/>
      </rPr>
      <t xml:space="preserve"> </t>
    </r>
  </si>
  <si>
    <t>Rua Santos Dumont, 25 - Centro, Palmitinho - RS, CEP 98430-000</t>
  </si>
  <si>
    <t>Fundo Municipal de Saude de Palmitinho</t>
  </si>
  <si>
    <t>Rua Nico de Oliveira, 763 - Centro, Pinheiro Machado - RS, CEP 96470-000</t>
  </si>
  <si>
    <t>Fundo Municipal de Saude de Pinheiro Machado</t>
  </si>
  <si>
    <t>Salvador das MIssões</t>
  </si>
  <si>
    <t>Avenida Independência, 1131 - Centro, Salvador das Missões - RS, CEP 97.940-000</t>
  </si>
  <si>
    <t>R. Dr. José Mário Mônaco, 358, Bento Gonçalves - RS, 95700-068</t>
  </si>
  <si>
    <t>Fundo Municipal de Saude de Salvador Das Missoes</t>
  </si>
  <si>
    <r>
      <rPr>
        <rFont val="Arial"/>
        <color rgb="FF000000"/>
        <sz val="11.0"/>
      </rPr>
      <t xml:space="preserve">Proposta 037034/2021 - </t>
    </r>
    <r>
      <rPr>
        <rFont val="Arial"/>
        <color rgb="FF1155CC"/>
        <sz val="11.0"/>
        <u/>
      </rPr>
      <t>https://drive.google.com/file/d/1c32Eq75I5Pz5TeSqoui-K2Zi3_Qtpllr/view?usp=sharing</t>
    </r>
    <r>
      <rPr>
        <rFont val="Arial"/>
        <color rgb="FF000000"/>
        <sz val="11.0"/>
      </rPr>
      <t xml:space="preserve"> </t>
    </r>
  </si>
  <si>
    <t>Rua Independência, nº 536 - Centro, São Paulo das Missões - RS, CEP 97980-000</t>
  </si>
  <si>
    <t>Fundo Municipal de Saude de Sao Paulo Das Missoes</t>
  </si>
  <si>
    <t>Avenida Tucunduva, 2617 - Tuparendi - RS, CEP 98940-000</t>
  </si>
  <si>
    <t>Fundo Municipal de Saúde de Brochier - RS</t>
  </si>
  <si>
    <t>Município de Brochier</t>
  </si>
  <si>
    <t>Fundo Municipal de Saúde de Caxias do Sul - RS</t>
  </si>
  <si>
    <t>Município de Caxias do Sul</t>
  </si>
  <si>
    <t>Fundo Municipal de Saúde de Putinga - RS</t>
  </si>
  <si>
    <t>Município de Putinga</t>
  </si>
  <si>
    <r>
      <rPr>
        <rFont val="Arial"/>
        <color rgb="FF000000"/>
        <sz val="11.0"/>
      </rPr>
      <t xml:space="preserve">Proposta 044184/2021 - </t>
    </r>
    <r>
      <rPr>
        <rFont val="Arial"/>
        <color rgb="FF1155CC"/>
        <sz val="11.0"/>
        <u/>
      </rPr>
      <t>https://drive.google.com/file/d/1zQlCjN9oRKjfzddgf1FIVbgS9t6s9ev0/view?usp=sharing</t>
    </r>
    <r>
      <rPr>
        <rFont val="Arial"/>
        <color rgb="FF000000"/>
        <sz val="11.0"/>
      </rPr>
      <t xml:space="preserve"> </t>
    </r>
  </si>
  <si>
    <t>Associação Hospitalar Beneficente de Marau - Marau - RS</t>
  </si>
  <si>
    <t>Centrífuga refrigerada de piso necessária para reserva técnica no Banco de Sangue de Erechim a fim de assegurar a continuidade dos serviços de captação, processamento, armazenamento e distribuição de hemoderivados aos hospitais da região. </t>
  </si>
  <si>
    <t>Praça da Bandeira, 354, Centro, Erechim - RS, 99700-010</t>
  </si>
  <si>
    <t>Fundo Municipal de Saúde de Encantado - RS</t>
  </si>
  <si>
    <t>Município de Encantado</t>
  </si>
  <si>
    <t>Av. Pres. Lucena, 3598, Centro, Ivoti - RS, 93900-000</t>
  </si>
  <si>
    <r>
      <rPr>
        <rFont val="Arial"/>
        <color rgb="FF000000"/>
        <sz val="11.0"/>
      </rPr>
      <t xml:space="preserve">Proposta 049704/2021 - </t>
    </r>
    <r>
      <rPr>
        <rFont val="Arial"/>
        <color rgb="FF1155CC"/>
        <sz val="11.0"/>
        <u/>
      </rPr>
      <t>https://drive.google.com/file/d/127Kht2H2qPS_n-vtKeF9V_jw7OkAD6MF/view?usp=sharing</t>
    </r>
    <r>
      <rPr>
        <rFont val="Arial"/>
        <color rgb="FF000000"/>
        <sz val="11.0"/>
      </rPr>
      <t xml:space="preserve"> </t>
    </r>
  </si>
  <si>
    <r>
      <rPr>
        <rFont val="Arial"/>
        <color rgb="FF000000"/>
        <sz val="11.0"/>
      </rPr>
      <t xml:space="preserve">Proposta 21266/2021  - </t>
    </r>
    <r>
      <rPr>
        <rFont val="Arial"/>
        <color rgb="FF000000"/>
        <sz val="11.0"/>
        <u/>
      </rPr>
      <t>https://drive.google.com/file/d/100R98VIt1lNeUjjwm3cteeyTBJBt15O-/view?usp=sharing</t>
    </r>
    <r>
      <rPr>
        <rFont val="Arial"/>
        <color rgb="FF000000"/>
        <sz val="11.0"/>
      </rPr>
      <t xml:space="preserve">  </t>
    </r>
  </si>
  <si>
    <t>Fundo Municipal de Saúde de Campestre da Serra - RS</t>
  </si>
  <si>
    <t>R. Mário Jaeger, 95, Santo Andre, Lajeado - rs, 95900-000</t>
  </si>
  <si>
    <r>
      <rPr>
        <rFont val="Arial"/>
        <color rgb="FF000000"/>
        <sz val="11.0"/>
      </rPr>
      <t xml:space="preserve">Proposta Fundo Nacional de Saúde 10502833000121003 - </t>
    </r>
    <r>
      <rPr>
        <rFont val="Arial"/>
        <color rgb="FF1155CC"/>
        <sz val="11.0"/>
        <u/>
      </rPr>
      <t>https://drive.google.com/file/d/1iqdH9-F0Jh1o7Id8MxzCzXuZzIbBuJ5Z/view?usp=sharing</t>
    </r>
    <r>
      <rPr>
        <rFont val="Arial"/>
        <color rgb="FF000000"/>
        <sz val="11.0"/>
      </rPr>
      <t xml:space="preserve"> </t>
    </r>
  </si>
  <si>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000000"/>
        <sz val="11.0"/>
        <u/>
      </rPr>
      <t>https://drive.google.com/file/d/1HFuozWEpW-69Bac0gN8IIG7uNPATNnEg/view?usp=sharing</t>
    </r>
  </si>
  <si>
    <t>Unidades da Brigada Militar em Porto Alegre, Canoas, Cruz Alta, Santa Maria, Guaíba, Santa Rosa, Osório, Santo Ângelo, Passo Fundo, Caxias do Sul, Pelotas, Montenegro, Santa Cruz do Sul, Novo Hamburgo e Lajeado., Vários municípios, RS</t>
  </si>
  <si>
    <t>(valor final da licitação  91,292,31)</t>
  </si>
  <si>
    <t>Rua Antônio Manoel, 701 - Centro, Santo Ângelo - RS, CEP 98801-690, Brasil</t>
  </si>
  <si>
    <t>Associacao Hospital De Caridade De Santo Angelo Santo Ângelo - Rs</t>
  </si>
  <si>
    <t>Associação Beneficente São Vicente de Paulo</t>
  </si>
  <si>
    <t>Aquisição de mediastinoscopio, elétrocautério, focos de luz cirurgico, poltronas reclinaveis para infusao e cadeiras de rodas</t>
  </si>
  <si>
    <r>
      <rPr>
        <rFont val="Arial"/>
        <color rgb="FF000000"/>
        <sz val="11.0"/>
      </rPr>
      <t xml:space="preserve">Proposta 044184/2021 - </t>
    </r>
    <r>
      <rPr>
        <rFont val="Arial"/>
        <color rgb="FF1155CC"/>
        <sz val="11.0"/>
        <u/>
      </rPr>
      <t>https://drive.google.com/file/d/1zQlCjN9oRKjfzddgf1FIVbgS9t6s9ev0/view?usp=sharing</t>
    </r>
    <r>
      <rPr>
        <rFont val="Arial"/>
        <color rgb="FF000000"/>
        <sz val="11.0"/>
      </rPr>
      <t xml:space="preserve"> </t>
    </r>
  </si>
  <si>
    <t>Rua Getúlio Vargas, 527 - Centro, Sapiranga - RS, CEP 93800-010</t>
  </si>
  <si>
    <t>Equipamentos e requalificação do mobiliário do Centro Obstétrico do hospital, que é referência no Litoral Norte. As aquisições atenderão às normas demandadas pela vigilância sanitária e trarão segurança e comodidade para as gestantes e seus recém-nascidos.</t>
  </si>
  <si>
    <t>Hospital Sapiranga - Sociedade Beneficente Sapiranga - Rs</t>
  </si>
  <si>
    <t>R. João Sarmento, 391, Centro, Osório - RS, 95520-000</t>
  </si>
  <si>
    <t>Aquisição de 01 ventilador pulmonar</t>
  </si>
  <si>
    <r>
      <rPr>
        <rFont val="Arial"/>
        <color rgb="FF000000"/>
        <sz val="11.0"/>
      </rPr>
      <t xml:space="preserve">Proposta 037059/2021 - </t>
    </r>
    <r>
      <rPr>
        <rFont val="Arial"/>
        <color rgb="FF1155CC"/>
        <sz val="11.0"/>
        <u/>
      </rPr>
      <t>https://drive.google.com/file/d/1qkeHEEpc3Sm3BBTbo-r2szN2GyuYEm4_/view?usp=sharing</t>
    </r>
  </si>
  <si>
    <t>Brigada Militar de Dois Irmãos, Dois Irmãos, RS</t>
  </si>
  <si>
    <t>Hospital Beneficente Dr. César Santos</t>
  </si>
  <si>
    <t>Proposta em análise técnica no Ministério da Saúde.</t>
  </si>
  <si>
    <t>Aparelho de Raio-X móvel para o funcionamento da emergência adulta e pediátrica. O hospital cumpre a função de atendimento de casos de baixa e média complexidade, desafogando as demais casas de saúde de Passo Fundo.</t>
  </si>
  <si>
    <t>R. Alcídes Moura, 100, Centro, Passo Fundo - RS, 99010-640</t>
  </si>
  <si>
    <r>
      <rPr>
        <rFont val="Arial"/>
        <color rgb="FF000000"/>
        <sz val="11.0"/>
      </rPr>
      <t xml:space="preserve">Proposta no Fundo Nacional de Saúde 99203221003 - </t>
    </r>
    <r>
      <rPr>
        <rFont val="Arial"/>
        <color rgb="FF1155CC"/>
        <sz val="11.0"/>
        <u/>
      </rPr>
      <t>https://drive.google.com/file/d/1dTVRZN5f0zcKdPVxJyykUdKgCUFUbjsR/view?usp=sharing</t>
    </r>
    <r>
      <rPr>
        <rFont val="Arial"/>
        <color rgb="FF000000"/>
        <sz val="11.0"/>
      </rPr>
      <t xml:space="preserve"> </t>
    </r>
  </si>
  <si>
    <r>
      <rPr>
        <rFont val="Arial"/>
        <color rgb="FF1155CC"/>
        <sz val="11.0"/>
        <u/>
      </rPr>
      <t>https://www.correiodopovo.com.br/not%C3%ADcias/cidades/dois-irm%C3%A3os-inaugura-novos-leitos-nesta-segunda-feira-1.605680</t>
    </r>
    <r>
      <rPr>
        <rFont val="Arial"/>
        <color rgb="FF000000"/>
        <sz val="11.0"/>
      </rPr>
      <t xml:space="preserve"> | </t>
    </r>
    <r>
      <rPr>
        <rFont val="Arial"/>
        <color rgb="FF1155CC"/>
        <sz val="11.0"/>
        <u/>
      </rPr>
      <t>https://odiario.net/destaque/hospital-sao-jose-de-dois-irmaos-inaugura-ampliacao-de-ala-com-20-novos-leitos-e-bloco-cirurgico/</t>
    </r>
    <r>
      <rPr>
        <rFont val="Arial"/>
        <color rgb="FF000000"/>
        <sz val="11.0"/>
      </rPr>
      <t xml:space="preserve"> </t>
    </r>
  </si>
  <si>
    <t>Associação Hospitalar Beneficente de Marau, Marau, RS</t>
  </si>
  <si>
    <t>Av. Fridolino Ritter, 379, Centro, Picada Café - RS, 95166-000</t>
  </si>
  <si>
    <t>Emenda não localizada. (Consultado SIOP em 16/04/2024).</t>
  </si>
  <si>
    <t>Rua Guia Lopes, 4201, Bairro Canudos, Novo Hamburgo - RS, CEP 93548-013</t>
  </si>
  <si>
    <r>
      <rPr>
        <rFont val="Arial"/>
        <color rgb="FF000000"/>
        <sz val="11.0"/>
      </rPr>
      <t xml:space="preserve">Proposta 037078/2021 - </t>
    </r>
    <r>
      <rPr>
        <rFont val="Arial"/>
        <color rgb="FF000000"/>
        <sz val="11.0"/>
        <u/>
      </rPr>
      <t>https://drive.google.com/file/d/1c32Eq75I5Pz5TeSqoui-K2Zi3_Qtpllr/view?usp=sharing</t>
    </r>
    <r>
      <rPr>
        <rFont val="Arial"/>
        <color rgb="FF000000"/>
        <sz val="11.0"/>
      </rPr>
      <t xml:space="preserve"> </t>
    </r>
  </si>
  <si>
    <r>
      <rPr>
        <rFont val="Arial"/>
        <color rgb="FFEA4335"/>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rgb="FFEA4335"/>
        <sz val="11.0"/>
        <u/>
      </rPr>
      <t>https://drive.google.com/file/d/1dA-xI-LIxcR9fUfK2Teoul4ATJp55IX9/view?usp=sharing</t>
    </r>
  </si>
  <si>
    <r>
      <rPr>
        <rFont val="Arial"/>
        <color rgb="FF000000"/>
        <sz val="11.0"/>
      </rPr>
      <t xml:space="preserve">Proposta - 033442/2021 - </t>
    </r>
    <r>
      <rPr>
        <rFont val="Arial"/>
        <color rgb="FF1155CC"/>
        <sz val="11.0"/>
        <u/>
      </rPr>
      <t>https://drive.google.com/file/d/1CmMO5spgPFn8fwOQd-qWMeLFZnGlUKCw/view?usp=sharing</t>
    </r>
  </si>
  <si>
    <t>Polícia Rodoviária Federal, Passo Fundo, RS</t>
  </si>
  <si>
    <t>Recurso pago (consultado Transferegov e Portal da Transparência em 12/03/2024)</t>
  </si>
  <si>
    <t>Hospital São José Porto Lucena</t>
  </si>
  <si>
    <t>Rua do Poço, 488 - Centro, Protásio Alves - RS, CEP 95345-000</t>
  </si>
  <si>
    <t>Fundo Municipal de Saude de Protasio Alves</t>
  </si>
  <si>
    <t>R. Valdemar Bordin, 87, Centro, Porto Lucena - RS, 98980-000</t>
  </si>
  <si>
    <t>Rua Lindolfo Machado, 36, Centro, Vale do Sol, Rio Grande do Sul, CEP 96878-000, Brasil</t>
  </si>
  <si>
    <t>Hospital Beneficente Vale Do Sol - Hbvs Vale Do Sol - Rs</t>
  </si>
  <si>
    <t>ELEVADOR P/ TRANSPORTE DE MACAS E/OU CADEIRA DE RODAS COM O PACIENTE E UM ACOMPANHANTE.</t>
  </si>
  <si>
    <t>R. Pereira da Cunha, 209, Santa Cruz do Sul - RS, 96835-090</t>
  </si>
  <si>
    <r>
      <rPr>
        <rFont val="Arial"/>
        <color rgb="FF000000"/>
        <sz val="11.0"/>
      </rPr>
      <t xml:space="preserve">Proposta 034569/2021 - </t>
    </r>
    <r>
      <rPr>
        <rFont val="Arial"/>
        <color rgb="FF1155CC"/>
        <sz val="11.0"/>
        <u/>
      </rPr>
      <t>https://drive.google.com/file/d/16NDej4XeJDyUwcK4boY_5uG5lAN7Sgc-/view?usp=sharing</t>
    </r>
    <r>
      <rPr>
        <rFont val="Arial"/>
        <color rgb="FF000000"/>
        <sz val="11.0"/>
      </rPr>
      <t xml:space="preserve"> </t>
    </r>
  </si>
  <si>
    <t>Novos equipamentos (cilindros de gases, concentradores de oxigênio e máscaras) para a ampliação do atendimento a pacientes que apresentam agravamento no quadro clínico respiratório no âmbito do Programa de Oxigenoterapia e Ventilação Domiciliar. O programa tem reduzido as internações no único hospital da cidade.</t>
  </si>
  <si>
    <t>R. Mirapalhete, 1179, Centro, Santa Vitória do Palmar - RS, 96230-000</t>
  </si>
  <si>
    <t>Associação Hospitalar Bom Pastor, Santo Augusto, RS</t>
  </si>
  <si>
    <r>
      <rPr>
        <rFont val="Arial"/>
        <color rgb="FF000000"/>
        <sz val="11.0"/>
      </rPr>
      <t xml:space="preserve">Proposta 033438/2021 - </t>
    </r>
    <r>
      <rPr>
        <rFont val="Arial"/>
        <color rgb="FF1155CC"/>
        <sz val="11.0"/>
        <u/>
      </rPr>
      <t>https://drive.google.com/file/d/1lDGVtCDc_glV46c1XC81i_gS0OxRUj5I/view?usp=sharing</t>
    </r>
  </si>
  <si>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000000"/>
        <sz val="11.0"/>
        <u/>
      </rPr>
      <t>https://drive.google.com/file/d/1HFuozWEpW-69Bac0gN8IIG7uNPATNnEg/view?usp=sharing</t>
    </r>
  </si>
  <si>
    <t>Av. Independência, 800 - Centro Histórico, Campo Bom - RS, 93700-000</t>
  </si>
  <si>
    <t>Prefeitura de Campo Bom</t>
  </si>
  <si>
    <r>
      <rPr>
        <rFont val="Arial"/>
        <color rgb="FF000000"/>
        <sz val="11.0"/>
      </rPr>
      <t xml:space="preserve">Proposta 10610784000121006 no Fundo Nacional de Saúde - </t>
    </r>
    <r>
      <rPr>
        <rFont val="Arial"/>
        <color rgb="FF1155CC"/>
        <sz val="11.0"/>
        <u/>
      </rPr>
      <t>https://drive.google.com/file/d/1aDObxpbsBjwlksXrkLajbqjPN4rHK6G6/view?usp=sharing</t>
    </r>
    <r>
      <rPr>
        <rFont val="Arial"/>
        <color rgb="FF000000"/>
        <sz val="11.0"/>
      </rPr>
      <t xml:space="preserve"> </t>
    </r>
  </si>
  <si>
    <r>
      <rPr>
        <rFont val="Arial"/>
        <color theme="5"/>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theme="5"/>
        <sz val="11.0"/>
        <u/>
      </rPr>
      <t>https://drive.google.com/file/d/1dA-xI-LIxcR9fUfK2Teoul4ATJp55IX9/view?usp=sharing</t>
    </r>
  </si>
  <si>
    <t>Lançado como beneficiário Associação Hospitalar Vila Nova - Porto Alegre (Mantenedora).</t>
  </si>
  <si>
    <t xml:space="preserve"> (valor final da licitação  200000,00)</t>
  </si>
  <si>
    <r>
      <rPr>
        <rFont val="Arial"/>
        <color rgb="FF000000"/>
        <sz val="11.0"/>
      </rPr>
      <t xml:space="preserve">Proposta 12094096000121002 - </t>
    </r>
    <r>
      <rPr>
        <rFont val="Arial"/>
        <color rgb="FF1155CC"/>
        <sz val="11.0"/>
        <u/>
      </rPr>
      <t>https://drive.google.com/file/d/1dAF_3btktWoIWwgzredtzJoiEjOh_d_r/view?usp=sharing</t>
    </r>
    <r>
      <rPr>
        <rFont val="Arial"/>
        <color rgb="FF000000"/>
        <sz val="11.0"/>
      </rPr>
      <t xml:space="preserve"> </t>
    </r>
  </si>
  <si>
    <t>R. Frederico Tedesco, 117, São Francisco de Paula, RS, 95400-000</t>
  </si>
  <si>
    <r>
      <rPr>
        <rFont val="Arial"/>
        <color rgb="FF000000"/>
        <sz val="11.0"/>
      </rPr>
      <t xml:space="preserve">Proposta 044279/2021 - </t>
    </r>
    <r>
      <rPr>
        <rFont val="Arial"/>
        <color rgb="FF1155CC"/>
        <sz val="11.0"/>
        <u/>
      </rPr>
      <t>https://drive.google.com/file/d/1CmMO5spgPFn8fwOQd-qWMeLFZnGlUKCw/view?usp=sharing</t>
    </r>
    <r>
      <rPr>
        <rFont val="Arial"/>
        <color rgb="FF000000"/>
        <sz val="11.0"/>
      </rPr>
      <t xml:space="preserve"> </t>
    </r>
  </si>
  <si>
    <t>Hospital São Vicente</t>
  </si>
  <si>
    <t>Mamógrafo para a realização de exames essenciais às mulheres. O hospital possui estrutura pronta para utilizar o equipamento, possuindo também aparelho de Raio-X.</t>
  </si>
  <si>
    <t>R. Antônio Gomes, 386, São Vicente do Sul, RS, 97420-000</t>
  </si>
  <si>
    <t>Rua Amandaú, 157 - Centro, Santo Cristo - RS, CEP 98960-000, Brasil</t>
  </si>
  <si>
    <t>Associacao Hospital De Caridade De Santo Cristo Santo Cristo - Rs</t>
  </si>
  <si>
    <t>Aquisição de equipamentos que estão defasados e com alto custo de manutenção, com risco a segurança de colaboradores e usuários. Equipamentos necessários para a qualificação dos serviços prestados a comunidade oportunizando a ampliação do numero de atendimentos a população através da modernização dos equipamentos na área de urgência e emergência cirúrgica e neonatal, sendo estes equipamentos abaixo descritos:
 1 Secadora de roupas 60kg
 1 Forno combinado + coifa
 1 Mini câmara fria 4 portas
 1 Mini câmara fria 1 porta
 2 Vídeo laringoscópios
 1 berço de fototerapia
 1 berço aquecido</t>
  </si>
  <si>
    <r>
      <rPr>
        <rFont val="Arial"/>
        <color rgb="FF000000"/>
        <sz val="11.0"/>
      </rPr>
      <t xml:space="preserve">Proposta 036771-/2021 - </t>
    </r>
    <r>
      <rPr>
        <rFont val="Arial"/>
        <color rgb="FF1155CC"/>
        <sz val="11.0"/>
        <u/>
      </rPr>
      <t>https://drive.google.com/file/d/1kiFA5uP0-VNk62daoiml2JHhB4cV4Gwc/view?usp=sharing</t>
    </r>
  </si>
  <si>
    <t>Avenida 12 de Maio, 470, Centro, Cerro Branco - RS, CEP 96535-000.</t>
  </si>
  <si>
    <t>Cerro Branco Fundo Municipal De Saude Cerro Branco - Rs</t>
  </si>
  <si>
    <t>Aquisição de uma ambulância tipo A para atender a população</t>
  </si>
  <si>
    <t>Rua Silveira Martins, 163 - Centro, Cotiporã - RS, CEP 95335-000</t>
  </si>
  <si>
    <r>
      <rPr>
        <rFont val="Arial"/>
        <color rgb="FF000000"/>
        <sz val="11.0"/>
      </rPr>
      <t xml:space="preserve">Proposta 030214/2021 - </t>
    </r>
    <r>
      <rPr>
        <rFont val="Arial"/>
        <color rgb="FF000000"/>
        <sz val="11.0"/>
        <u/>
      </rPr>
      <t>https://drive.google.com/file/d/1B0qAQ76zJ1iabT06D3JpA_tiuSEo2gNW/view?usp=sharing</t>
    </r>
    <r>
      <rPr>
        <rFont val="Arial"/>
        <color rgb="FF000000"/>
        <sz val="11.0"/>
      </rPr>
      <t xml:space="preserve"> </t>
    </r>
  </si>
  <si>
    <t>Rua São Cristóvão, 34, Andar Segundo, Bairro Freitas, Sapucaia do Sul, RS, CEP 93218-380.</t>
  </si>
  <si>
    <t>Fundo Municipal De Saude Sapucaia Do Sul - Rs</t>
  </si>
  <si>
    <r>
      <rPr>
        <rFont val="Arial"/>
        <color rgb="FF000000"/>
        <sz val="11.0"/>
      </rPr>
      <t xml:space="preserve">Resultado do processo seletivo: </t>
    </r>
    <r>
      <rPr>
        <rFont val="Arial"/>
        <color rgb="FF1155CC"/>
        <sz val="11.0"/>
        <u/>
      </rPr>
      <t>http://marcelvanhattem.com.br/2020/wp-content/uploads/2021/09/EMENDA-TURISMO-2021.pdf</t>
    </r>
  </si>
  <si>
    <t>Cama Hospitalar Tipo Fawler Elétrica 1 25.100,00 25.100,00
 Cama Hospitalar Tipo Fawler Mecânica 2 6.040,00 12.080,00
 Ventilador Pulmonar Pressométrico e Volumétrico 2 90.417,00 180.834,00
 Computador (Desktop-Básico) 2 4.136,00 8.272,00
 Esfigmomanômetro Adulto 3 308,00 924,00
 Laringoscópio Infantil 1 1.645,00 1.645,00
 Esfigmomanômetro Obeso 1 331,00 331,00
 Esfigmomanômetro Infantil 4</t>
  </si>
  <si>
    <r>
      <rPr>
        <rFont val="Arial"/>
        <color rgb="FF000000"/>
        <sz val="11.0"/>
      </rPr>
      <t xml:space="preserve">Proposta 048451/2021 - </t>
    </r>
    <r>
      <rPr>
        <rFont val="Arial"/>
        <color rgb="FF1155CC"/>
        <sz val="11.0"/>
        <u/>
      </rPr>
      <t>https://drive.google.com/file/d/1y8BkMzI-Uw9vtIWyL9vu0RPBk1VO_Yr6/view?usp=sharing</t>
    </r>
    <r>
      <rPr>
        <rFont val="Arial"/>
        <color rgb="FF000000"/>
        <sz val="11.0"/>
      </rPr>
      <t xml:space="preserve"> </t>
    </r>
  </si>
  <si>
    <t>Brigada Militar, Alvorada, RS</t>
  </si>
  <si>
    <t>Veículo com plataforma de elevação hidráulica e teto alto para transporte de pessoas com grande dificuldade motora e que representam 50% da população do município.</t>
  </si>
  <si>
    <t>Rua Principal, 1, Vera Cruz - RS, 96880-000</t>
  </si>
  <si>
    <r>
      <rPr>
        <rFont val="Arial"/>
        <color theme="5"/>
        <sz val="11.0"/>
      </rPr>
      <t xml:space="preserve">Contrapartida da Secretaria Estadual de Segurança de  33.028,00. Proposta 4591/2020 - </t>
    </r>
    <r>
      <rPr>
        <rFont val="Arial"/>
        <color theme="5"/>
        <sz val="11.0"/>
        <u/>
      </rPr>
      <t>https://drive.google.com/file/d/1d12Pvlf17mGPa5Mbtjy0ixgV_QkIzcMa/view?usp=sharing</t>
    </r>
    <r>
      <rPr>
        <rFont val="Arial"/>
        <color theme="5"/>
        <sz val="11.0"/>
      </rPr>
      <t xml:space="preserve"> </t>
    </r>
  </si>
  <si>
    <r>
      <rPr>
        <rFont val="Arial"/>
        <color rgb="FF000000"/>
        <sz val="11.0"/>
      </rPr>
      <t xml:space="preserve">Proposta 033435/2021 - </t>
    </r>
    <r>
      <rPr>
        <rFont val="Arial"/>
        <color rgb="FF1155CC"/>
        <sz val="11.0"/>
        <u/>
      </rPr>
      <t>https://drive.google.com/file/d/1iHCEQhM4YS-ioZsWMsr2Tcio3J1kMMwJ/view?usp=sharing</t>
    </r>
    <r>
      <rPr>
        <rFont val="Arial"/>
        <color rgb="FF000000"/>
        <sz val="11.0"/>
      </rPr>
      <t xml:space="preserve"> </t>
    </r>
  </si>
  <si>
    <t>8º Batalhão de Bombeiro Militar, Canoas, RS</t>
  </si>
  <si>
    <t>8º Batalhão de Bombeiro Militar</t>
  </si>
  <si>
    <t>Hospital Pompeia (Pio Sodalicio Damas de Caridade)</t>
  </si>
  <si>
    <t>Polícia Civil, Gravataí, RS</t>
  </si>
  <si>
    <t>Recurso para custeio das atividades do hospital Pompeia. Enviado via Fundo Municipal de Saúde de Caxias do Sul.</t>
  </si>
  <si>
    <t>Av. Júlio de Castilhos, 2163 - Centro, Caxias do Sul - RS, 95010-005</t>
  </si>
  <si>
    <r>
      <rPr>
        <rFont val="Arial"/>
        <color rgb="FF000000"/>
        <sz val="11.0"/>
      </rPr>
      <t xml:space="preserve">Na aquisição de 01 ferramenta de extração de dados o deputado Marcel contribuiu com  31.428,60. Outro parlamentar (emenda 37930012) com  74.964,30 e a contrapartida do governo do RS foi de  4.431,86
Proposta 2045/2020 - </t>
    </r>
    <r>
      <rPr>
        <rFont val="Arial"/>
        <color rgb="FF000000"/>
        <sz val="11.0"/>
        <u/>
      </rPr>
      <t>https://drive.google.com/file/d/1dA-xI-LIxcR9fUfK2Teoul4ATJp55IX9/view?usp=sharing</t>
    </r>
  </si>
  <si>
    <t>Proposta no Fundo Nacional de Saúde 36000414462202100</t>
  </si>
  <si>
    <t>Polícia Civil, Porto Alegre, RS</t>
  </si>
  <si>
    <t>1º Batalhão de Bombeiro Militar, Porto Alegre, RS</t>
  </si>
  <si>
    <t>2º Batalhão de Bombeiro Militar, São Leopoldo, RS</t>
  </si>
  <si>
    <t>Secretaria de Segurança Pública, Viamão, RS</t>
  </si>
  <si>
    <t>INFRAESTRUTURA</t>
  </si>
  <si>
    <t xml:space="preserve">Emenda individual </t>
  </si>
  <si>
    <t>Ponte dos sinos</t>
  </si>
  <si>
    <t>Rodovia de reintegracao do norte</t>
  </si>
  <si>
    <t>Bancada para santa maria do herval-gramado</t>
  </si>
  <si>
    <t>BR 448.</t>
  </si>
  <si>
    <t>Ponte de Tramandaí-RS.</t>
  </si>
  <si>
    <t>RS-211 até RS-324 (entre Campinas do Sul e Ronda Alta-RS).</t>
  </si>
  <si>
    <t>Prefeitura Municipal, Nova Pádua, RS</t>
  </si>
  <si>
    <t>Hospital Dr. Oswaldo Diesel</t>
  </si>
  <si>
    <t>Aquisição de um aparelho de raio-x digital móvel.</t>
  </si>
  <si>
    <t>Avenida Pereira Rego, 1665 - Centro, Candelária - RS, CEP 96930-000</t>
  </si>
  <si>
    <t>Rua Bento Gonçalves, 263 - Centro, Pouso Novo - RS, CEP 95945-000</t>
  </si>
  <si>
    <t>Fundo Municipal Da Saude Pouso Novo Pouso Novo - Rs</t>
  </si>
  <si>
    <t>AQUISIÇÃO DE VÉICULO TIPO VAN</t>
  </si>
  <si>
    <r>
      <rPr>
        <rFont val="Arial"/>
        <color rgb="FF000000"/>
        <sz val="11.0"/>
      </rPr>
      <t xml:space="preserve">Contrapartida da Secretaria Estadual de Segurança de  23.785.45. Proposta 2045/2020 - </t>
    </r>
    <r>
      <rPr>
        <rFont val="Arial"/>
        <color rgb="FF1155CC"/>
        <sz val="11.0"/>
        <u/>
      </rPr>
      <t>https://drive.google.com/file/d/1dA-xI-LIxcR9fUfK2Teoul4ATJp55IX9/view?usp=sharing</t>
    </r>
  </si>
  <si>
    <t>Rua Bento Gonçalves, 263 - Centro, Pouso Novo - Rio Grande do Sul, CEP 95945-000</t>
  </si>
  <si>
    <r>
      <rPr>
        <rFont val="Arial"/>
        <color rgb="FF000000"/>
        <sz val="11.0"/>
      </rPr>
      <t xml:space="preserve">Proposta 049704/2021 - </t>
    </r>
    <r>
      <rPr>
        <rFont val="Arial"/>
        <color rgb="FF1155CC"/>
        <sz val="11.0"/>
        <u/>
      </rPr>
      <t>https://drive.google.com/file/d/127Kht2H2qPS_n-vtKeF9V_jw7OkAD6MF/view?usp=sharing</t>
    </r>
    <r>
      <rPr>
        <rFont val="Arial"/>
        <color rgb="FF000000"/>
        <sz val="11.0"/>
      </rPr>
      <t xml:space="preserve"> </t>
    </r>
  </si>
  <si>
    <t>Fundo Estadual De Saude Porto Alegre - Rs</t>
  </si>
  <si>
    <t>Rua José Albano de Souza, 140 - Centro, Canguçu - RS, CEP 96600-000</t>
  </si>
  <si>
    <t>Hospital de Caridade de Cangucu</t>
  </si>
  <si>
    <t>Hospital Sao Valentim</t>
  </si>
  <si>
    <t>Prefeitura Municipal, Barros Cassal, RS</t>
  </si>
  <si>
    <t>Recurso pago. (Foram pagos R$ 235.000,00, porque o saldo restante não teve a proposta aprovada pelo FNS)</t>
  </si>
  <si>
    <t>Associação Amparo Providencia - Lar Das Vovozinhas, Santa Maria, RS</t>
  </si>
  <si>
    <t>Proposta foi cadastrada pelo beneficiário, mas caiu em diligëncia pelo Ministério da Saúde, a qual não foi atendida. RECURSO DA EMENDA FOI PERDIDO.</t>
  </si>
  <si>
    <t>PROJETO</t>
  </si>
  <si>
    <t>Av. Venâncio Aires, 720 - Centro, São Marcos - RS, 95190-000</t>
  </si>
  <si>
    <t>Prefeitura de São Marcos</t>
  </si>
  <si>
    <t>MUNICÍPIOS</t>
  </si>
  <si>
    <t xml:space="preserve"> 9.231.969 – Saúde - Estruturação de Unidades de Atenção Especializada</t>
  </si>
  <si>
    <t xml:space="preserve"> 380.139 - Saúde - Custeio dos Serviços De Atenção Primária</t>
  </si>
  <si>
    <t>Estrada da Arrozeira, nº 270 - Centro, Eldorado do Sul - RS, CEP 92990-000</t>
  </si>
  <si>
    <t>Passo Fundo Oftalmo (Lions) 720.000</t>
  </si>
  <si>
    <r>
      <rPr>
        <rFont val="Arial"/>
        <color rgb="FF000000"/>
        <sz val="11.0"/>
      </rPr>
      <t xml:space="preserve">Proposta Fundo Nacional de Saúde 10502833000121003 - </t>
    </r>
    <r>
      <rPr>
        <rFont val="Arial"/>
        <color rgb="FF1155CC"/>
        <sz val="11.0"/>
        <u/>
      </rPr>
      <t>https://drive.google.com/file/d/1iqdH9-F0Jh1o7Id8MxzCzXuZzIbBuJ5Z/view?usp=sharing</t>
    </r>
    <r>
      <rPr>
        <rFont val="Arial"/>
        <color rgb="FF000000"/>
        <sz val="11.0"/>
      </rPr>
      <t xml:space="preserve"> </t>
    </r>
  </si>
  <si>
    <t>Pejucara endoscopia 187.000</t>
  </si>
  <si>
    <t>Detalhamento:</t>
  </si>
  <si>
    <t>Hospital São Jose de Ivoti, Ivoti, RS</t>
  </si>
  <si>
    <t>Pelotas Santa Casa computadores 150.000</t>
  </si>
  <si>
    <t>175.000 - Santo Antônio da Patrulha</t>
  </si>
  <si>
    <t>Porto Alegre Independencia (Divina Providência) Ecógrafo 350.000</t>
  </si>
  <si>
    <t>Arroio do Tigre –  120.000</t>
  </si>
  <si>
    <t>Progresso (Divina Providência) gerador 219.347</t>
  </si>
  <si>
    <t>Campo Bom –  250.000</t>
  </si>
  <si>
    <t xml:space="preserve"> 35.000 - CAMPOS BORGES</t>
  </si>
  <si>
    <t>Quaraí Camas 117.000</t>
  </si>
  <si>
    <t>Canoas –  610.000</t>
  </si>
  <si>
    <t>Arroio do Tigre, máquina de lavar e ventilador pulmonar, 120 mil</t>
  </si>
  <si>
    <t>Hospital Santo Antonio da Patrulha, Santo Antônio da Patrulha, RS</t>
  </si>
  <si>
    <t>Erechim –  260.500</t>
  </si>
  <si>
    <t xml:space="preserve"> 20.000 - BARAO DE COTEGIPE</t>
  </si>
  <si>
    <t>Erechim, perfuradores ósseos, 260.500</t>
  </si>
  <si>
    <t>Marau –  210.000</t>
  </si>
  <si>
    <t>Sociedade Beneficente Sapiranguese , Sapiranga, RS</t>
  </si>
  <si>
    <t>Sociedade Beneficente Sapiranguese</t>
  </si>
  <si>
    <t>Marau, unitarizadora de comprimidos, 210.000</t>
  </si>
  <si>
    <t>TOTAL</t>
  </si>
  <si>
    <t>Morro Redondo –  100.000</t>
  </si>
  <si>
    <t xml:space="preserve"> 50.000 - TAPERA</t>
  </si>
  <si>
    <t>Morro Redondo, equipamentos em geral, 100.000</t>
  </si>
  <si>
    <t>Novo Hamburgo -  1.000.000</t>
  </si>
  <si>
    <t>- Rio Grande - autoclave - 300.000</t>
  </si>
  <si>
    <t>tachini bento gonçalves</t>
  </si>
  <si>
    <t>Pejuçara –  187.000</t>
  </si>
  <si>
    <t>- Rodeio Bonito - anestesia - 250.000</t>
  </si>
  <si>
    <t>Pelotas –  150.000</t>
  </si>
  <si>
    <t>- Santa Bárbara do Sul - autoclave - 200.000</t>
  </si>
  <si>
    <t>Porto Alegre –  500.000</t>
  </si>
  <si>
    <t>- Santa Cruz do Sul (hospital Santa Cruz) - camas e monitores - 300.000</t>
  </si>
  <si>
    <t>Porto Alegre –  569.347</t>
  </si>
  <si>
    <t>- Santa Maria (Lar das Vovozinhas) - lavadora e secadora - 163.500</t>
  </si>
  <si>
    <t>Porto Alegre –  776.319</t>
  </si>
  <si>
    <t>- Sapiranga - Autoclave - 360.000</t>
  </si>
  <si>
    <t>Quaraí – -  117.000</t>
  </si>
  <si>
    <r>
      <rPr>
        <rFont val="Arial"/>
        <color rgb="FF000000"/>
        <sz val="11.0"/>
      </rPr>
      <t xml:space="preserve">Proposta 20877/2021 - </t>
    </r>
    <r>
      <rPr>
        <rFont val="Arial"/>
        <color rgb="FF000000"/>
        <sz val="11.0"/>
        <u/>
      </rPr>
      <t>https://drive.google.com/file/d/1zay9tOPtsNNVzpC6ZdFBF2vYKCbjoI0d/view?usp=sharing</t>
    </r>
  </si>
  <si>
    <t>- Serafina Corrêa - camas e monitores - 300.000</t>
  </si>
  <si>
    <t>Rio Grande –  300.000</t>
  </si>
  <si>
    <t>Hospital de Clínicas de Passo Fundo, Passo Fundo, RS</t>
  </si>
  <si>
    <t>- Sinimbu - camas e mobiliário - 100.000</t>
  </si>
  <si>
    <t>Rodeio Bonito –  250.000</t>
  </si>
  <si>
    <t>- Tres Coroas - torre de video - 367.500</t>
  </si>
  <si>
    <t>Santa Bárbara do Sul –  200.000</t>
  </si>
  <si>
    <t>Casa de Saúde, Santa Maria, RS</t>
  </si>
  <si>
    <t>- Venancio Aires - Ultrassom e endoscopia - 450.000</t>
  </si>
  <si>
    <t>Santa Cruz do Sul –  300.000</t>
  </si>
  <si>
    <t>- Porto Alegre Hospital São Lucas da PUC</t>
  </si>
  <si>
    <t>Prefeitura Municipal, Arambaré, RS</t>
  </si>
  <si>
    <t>Santa Maria – 249.303</t>
  </si>
  <si>
    <t>- Porto Alegre - Santa Casa, equipamentos, 500.000</t>
  </si>
  <si>
    <t>Sapiranga –  650.000</t>
  </si>
  <si>
    <t>Hospital Beneficente Santa Lucia, Casca, RS</t>
  </si>
  <si>
    <t>Recurso pago. Valor recebido: R$ 216.807,80. (Consultado Transferegov em 09/04/2024)</t>
  </si>
  <si>
    <t>Sapiranga – 360.000</t>
  </si>
  <si>
    <t>Sapiranga, raio-X para UPA 24 horas, 650.000</t>
  </si>
  <si>
    <t>Serafina Corrêa -  300.000</t>
  </si>
  <si>
    <t>Canoas, Fundo Municipal, equipamento para o hospital municipal, 610.000</t>
  </si>
  <si>
    <t>Prefeitura Municipal, Pelotas, RS</t>
  </si>
  <si>
    <t>Sinimbu –  100.000</t>
  </si>
  <si>
    <t>Empenhado. Recurso ainda não pago. Consultado Transferegov em 12/04/2024.</t>
  </si>
  <si>
    <t>Passo Fundo, Fundo Municipal, câmaras de armazenamento de vacinas para UBS, 135.000</t>
  </si>
  <si>
    <t>Três Coroas –  367.500</t>
  </si>
  <si>
    <t>Novo Hamburgo, Hospital Municipal (Fundo Municipal), 1.000.000</t>
  </si>
  <si>
    <t>Venâncio Aires –  450.000</t>
  </si>
  <si>
    <t>Prefeitura Municipal, São Francisco de Assis, RS</t>
  </si>
  <si>
    <r>
      <rPr>
        <rFont val="Arial"/>
        <color rgb="FF000000"/>
        <sz val="11.0"/>
      </rPr>
      <t xml:space="preserve">Proposta 2174/2020 - </t>
    </r>
    <r>
      <rPr>
        <rFont val="Arial"/>
        <color rgb="FF1155CC"/>
        <sz val="11.0"/>
        <u/>
      </rPr>
      <t>https://drive.google.com/file/d/1d12Pvlf17mGPa5Mbtjy0ixgV_QkIzcMa/view?usp=sharing</t>
    </r>
  </si>
  <si>
    <t>Campo Bom (via Fundo Municipal de Saúde), autoclave, 250.000</t>
  </si>
  <si>
    <t>Prefeitura Municipal, Agudo, RS</t>
  </si>
  <si>
    <t>Empenhado (Consultado Transferegov em 16/04/2024)</t>
  </si>
  <si>
    <t>Fundo Municipal de Saúde, Campo Bom, RS</t>
  </si>
  <si>
    <t>Indicação não localizada no SIOP (08/04/2024)</t>
  </si>
  <si>
    <t>Prefeitura Municipal, Candelária, RS</t>
  </si>
  <si>
    <t>Prefeitura Municipal, Derrubadas, RS</t>
  </si>
  <si>
    <t>Flores da Cunha, autoclave 100.000</t>
  </si>
  <si>
    <r>
      <rPr>
        <rFont val="Arial"/>
        <color rgb="FF000000"/>
        <sz val="11.0"/>
      </rPr>
      <t xml:space="preserve">Proposta 037059/2021 - </t>
    </r>
    <r>
      <rPr>
        <rFont val="Arial"/>
        <color rgb="FF1155CC"/>
        <sz val="11.0"/>
        <u/>
      </rPr>
      <t>https://drive.google.com/file/d/1qkeHEEpc3Sm3BBTbo-r2szN2GyuYEm4_/view?usp=sharing</t>
    </r>
  </si>
  <si>
    <t>. Taquara, ambulância, 250.000 (ver se pode adquirir)</t>
  </si>
  <si>
    <t>. Antonio Prado, 350k, equipamentos em geral</t>
  </si>
  <si>
    <t>Hospital São Carlos, Farroupilha, RS</t>
  </si>
  <si>
    <t>. Caxias do Sul, 500k, equipamentos para equipar as SAMU</t>
  </si>
  <si>
    <t>. Sarandi, 150k, equipamentos para ESF e UBS</t>
  </si>
  <si>
    <t>Prefeitura Municipal, Maratá, RS</t>
  </si>
  <si>
    <t>Recurso pago. (Foram pagos R$ 238,856, consultado no Transferegov em 16/04/2024). O saldo restante não foi empenhado.</t>
  </si>
  <si>
    <t>Prefeitura Municipal, Morro Reuter, RS</t>
  </si>
  <si>
    <t>PELOTAS</t>
  </si>
  <si>
    <t>Recurso pago. (Foram pagos R$ 238.856,00, conforme consulta no Transferegov em 16/04/2024. O saldo remanescente não foi empenhado).</t>
  </si>
  <si>
    <r>
      <rPr>
        <rFont val="Arial"/>
        <color rgb="FFEA4335"/>
        <sz val="11.0"/>
      </rPr>
      <t xml:space="preserve">Proposta 2174/2020 - </t>
    </r>
    <r>
      <rPr>
        <rFont val="Arial"/>
        <color rgb="FFEA4335"/>
        <sz val="11.0"/>
        <u/>
      </rPr>
      <t>https://drive.google.com/file/d/1d12Pvlf17mGPa5Mbtjy0ixgV_QkIzcMa/view?usp=sharing</t>
    </r>
  </si>
  <si>
    <t>Associação Hospitalar São Jose., Rodeio Bonito, RS</t>
  </si>
  <si>
    <t>#####</t>
  </si>
  <si>
    <t>Associação Hospitalar São Jose</t>
  </si>
  <si>
    <t>Aquisição de Equipamentos de Tecnologia da Informação ( Computadores Completos).</t>
  </si>
  <si>
    <t>PORTO ALEGRE</t>
  </si>
  <si>
    <t>União Brasileira de Educação e Assistência</t>
  </si>
  <si>
    <t>Prefeitura Municipal, São Sebastião do Caí, RS</t>
  </si>
  <si>
    <r>
      <rPr>
        <rFont val="Arial"/>
        <color rgb="FF000000"/>
        <sz val="11.0"/>
      </rPr>
      <t xml:space="preserve">Resultado do processo seletivo: </t>
    </r>
    <r>
      <rPr>
        <rFont val="Arial"/>
        <color rgb="FF1155CC"/>
        <sz val="11.0"/>
        <u/>
      </rPr>
      <t>http://marcelvanhattem.com.br/2020/wp-content/uploads/2021/09/EMENDA-TURISMO-2021.pdf</t>
    </r>
  </si>
  <si>
    <t>Autoclave Hospitalar e Esterilizador</t>
  </si>
  <si>
    <r>
      <rPr>
        <rFont val="Arial"/>
        <color rgb="FF34A853"/>
        <sz val="11.0"/>
      </rPr>
      <t xml:space="preserve">O valor total indicado para o município nessa emenda (41160005) é de  201.895,56. Sendo  180.837,86 do deputado, com contrapartida de 10,43% =  21.057,70. Detalhamento:  159.074,89 - Viatura Tática de Transporte Rápido;  8.200,00 - Escudo Balístico;  34.620,67 - Espingarda PUMP Calibre 12. . Proposta 024831/2021 - </t>
    </r>
    <r>
      <rPr>
        <rFont val="Arial"/>
        <color rgb="FF34A853"/>
        <sz val="11.0"/>
        <u/>
      </rPr>
      <t>https://drive.google.com/file/d/1mCz2mZU6VW77kVuqa9wnRbEiD-TvMQMu/view?usp=sharing</t>
    </r>
  </si>
  <si>
    <t>Equipamento para centro cirúrgico e UTI</t>
  </si>
  <si>
    <t>Sociedade Sulina Divina Providência</t>
  </si>
  <si>
    <t>Posto de Saúde na Vila Mário Quintana (com Lasier Martins) , , RS</t>
  </si>
  <si>
    <t>Ecógrafo</t>
  </si>
  <si>
    <t>Posto de Saúde na Vila Mário Quintana (com Lasier Martins)</t>
  </si>
  <si>
    <t xml:space="preserve">Indicado. </t>
  </si>
  <si>
    <t>QUARAÍ</t>
  </si>
  <si>
    <t>Fundação Hospital de Caridade de Quaraí</t>
  </si>
  <si>
    <t>Camas hospitalares</t>
  </si>
  <si>
    <t>Hospital Virvi Ramos, Caxias do sul, RS</t>
  </si>
  <si>
    <t>Prefeitura de Caxias do Sul</t>
  </si>
  <si>
    <t>RIO GRANDE</t>
  </si>
  <si>
    <t>Infraestrutura (Investimento)</t>
  </si>
  <si>
    <t>RODEIO BONITO</t>
  </si>
  <si>
    <t>Associação Hospitalar São José</t>
  </si>
  <si>
    <t>Aparelho de anestesia</t>
  </si>
  <si>
    <t>SANTA BÁRBARA DO SUL</t>
  </si>
  <si>
    <t>Implantação de Rotas de Cicloturismo Autoguiadas no Município de Caxias do Sul</t>
  </si>
  <si>
    <t>Autoclave</t>
  </si>
  <si>
    <t>SANTA CRUZ DO SUL</t>
  </si>
  <si>
    <t>Associação Pró-Ensino em Santa Cruz do Sul</t>
  </si>
  <si>
    <t>Camas, monitores e computadores</t>
  </si>
  <si>
    <t>Prefeitura de Harmonia</t>
  </si>
  <si>
    <t>SANTA MARIA</t>
  </si>
  <si>
    <t>Associação Amparo Providencia - Lar das Vovozinhas</t>
  </si>
  <si>
    <t>Lavadora e secadora de roupas</t>
  </si>
  <si>
    <t>SAPIRANGA</t>
  </si>
  <si>
    <t>Construção do Museu na Praça Pedro Bertoldo Gewehr</t>
  </si>
  <si>
    <t>Sociedade Beneficente Sapiranguense</t>
  </si>
  <si>
    <r>
      <rPr>
        <rFont val="Arial"/>
        <color theme="5"/>
        <sz val="11.0"/>
      </rPr>
      <t xml:space="preserve">Proposta 2174/2020 - </t>
    </r>
    <r>
      <rPr>
        <rFont val="Arial"/>
        <color theme="5"/>
        <sz val="11.0"/>
        <u/>
      </rPr>
      <t>https://drive.google.com/file/d/1d12Pvlf17mGPa5Mbtjy0ixgV_QkIzcMa/view?usp=sharing</t>
    </r>
  </si>
  <si>
    <t>SERAFINA CORRÊA</t>
  </si>
  <si>
    <t>Hospital Nossa Senhora Do Rosário</t>
  </si>
  <si>
    <t>Cama Hospitalar, Cardioversor e Monitor Multiparâmetros</t>
  </si>
  <si>
    <t>R. Vinte e Nove de Abril, 165 - Centro, São Miguel das Missões - RS, 98865-000</t>
  </si>
  <si>
    <t>Prefeitura de São Miguel das Missões</t>
  </si>
  <si>
    <t>SINIMBU</t>
  </si>
  <si>
    <r>
      <rPr>
        <rFont val="Arial"/>
        <color rgb="FF000000"/>
        <sz val="11.0"/>
      </rPr>
      <t xml:space="preserve">Proposta 2174/2020 - </t>
    </r>
    <r>
      <rPr>
        <rFont val="Arial"/>
        <color rgb="FF1155CC"/>
        <sz val="11.0"/>
        <u/>
      </rPr>
      <t>https://drive.google.com/file/d/1d12Pvlf17mGPa5Mbtjy0ixgV_QkIzcMa/view?usp=sharing</t>
    </r>
  </si>
  <si>
    <t>Revitalização da Arquibancada do Espetáculo Som e Luz</t>
  </si>
  <si>
    <t>Camas hospitalares e mobiliários</t>
  </si>
  <si>
    <t>TRÊS COROAS</t>
  </si>
  <si>
    <t>Torre de vídeo cirurgias</t>
  </si>
  <si>
    <t>Bairro: Centro ; CEP: 98975000 ; Cidade: Campina das Missões ; Estado: RS</t>
  </si>
  <si>
    <r>
      <rPr>
        <rFont val="Arial"/>
        <color rgb="FF000000"/>
        <sz val="11.0"/>
      </rPr>
      <t xml:space="preserve">Proposta 2174/2020 - </t>
    </r>
    <r>
      <rPr>
        <rFont val="Arial"/>
        <color rgb="FF1155CC"/>
        <sz val="11.0"/>
        <u/>
      </rPr>
      <t>https://drive.google.com/file/d/1d12Pvlf17mGPa5Mbtjy0ixgV_QkIzcMa/view?usp=sharing</t>
    </r>
  </si>
  <si>
    <t>Associação Assistencial Cultural E Hospitalar Pe. Benedito Meister</t>
  </si>
  <si>
    <t>VENÂNCIO AIRES</t>
  </si>
  <si>
    <t>Hospital São Sebastiao Mártir</t>
  </si>
  <si>
    <t>Equipamentos de Ultrassom Diagnóstico e Endoscopia</t>
  </si>
  <si>
    <t>Mesa Cirúrgica Elétrica, Foco Cirúrgico de Teto, Mesa para Exames (ginecológicos), Colposcópio, Amnioscopio, Detector Fetal</t>
  </si>
  <si>
    <t>Capão da Canoa, RS, 95555-000</t>
  </si>
  <si>
    <t>Hospital Santa Luzia</t>
  </si>
  <si>
    <t>Qualificação técnico-assistencial do centro cirúrgico do Hospital Santa Luzia de Capão da Canoa, por meio da aquisição de 1 carro de anestesia, provida à Rede de Atenção à Saúde do Sistema Único de Saúde (SUS) dos municípios da 18ª Regional de Saúde condições de infraestrutura e tecnologia para o suporte a eventos eletivos e de urgência nas especialidades de cirurgia geral, traumatologia e neurocirurgia.</t>
  </si>
  <si>
    <t>Av. Duque de Caxias, nº 450 - Fragata, Pelotas - RS, 96050-500</t>
  </si>
  <si>
    <t>Santa De Misericórdia De Pelotas</t>
  </si>
  <si>
    <t>Aquisição de equipamentos hospitalares (04 unidades-Perfuradores Ósseos) para o centro cirúrgico da Santa Casa de Pelotas.</t>
  </si>
  <si>
    <t>R. Dr. Pedro Eggler, 600 - Monte Alverne, Santa Cruz do Sul - RS, 96859-000</t>
  </si>
  <si>
    <t>Hospital Beneficente Monte Alverne</t>
  </si>
  <si>
    <t>Aquisição de equipamento de Raio-X móvel e sistema de digitalização de imagens</t>
  </si>
  <si>
    <t>R. Amandau, 157 - Centro, Santo Cristo - RS, 98960-000</t>
  </si>
  <si>
    <t>Associação Hospital De Caridade De Santo Cristo</t>
  </si>
  <si>
    <t>Aquisição de equipamento para o Bloco Cirúrgico,  APARELHO DE ANESTESIA COMPLETO  DE QUALIDADE COMPROVADA DE ACORDO COM AS NORMAS BRASILEIRAS DE QUALIDADE</t>
  </si>
  <si>
    <r>
      <rPr>
        <rFont val="Arial"/>
        <color rgb="FF000000"/>
        <sz val="11.0"/>
      </rPr>
      <t xml:space="preserve">Proposta 2174/2020 - </t>
    </r>
    <r>
      <rPr>
        <rFont val="Arial"/>
        <color rgb="FF1155CC"/>
        <sz val="11.0"/>
        <u/>
      </rPr>
      <t>https://drive.google.com/file/d/1d12Pvlf17mGPa5Mbtjy0ixgV_QkIzcMa/view?usp=sharing</t>
    </r>
  </si>
  <si>
    <t>Av. Danilo Lorenzi, 585, Entre Rios do Sul - RS, 99645-000</t>
  </si>
  <si>
    <r>
      <rPr>
        <rFont val="Arial"/>
        <color rgb="FF000000"/>
        <sz val="11.0"/>
      </rPr>
      <t xml:space="preserve">Proposta 2174/2020 - </t>
    </r>
    <r>
      <rPr>
        <rFont val="Arial"/>
        <color rgb="FF1155CC"/>
        <sz val="11.0"/>
        <u/>
      </rPr>
      <t>https://drive.google.com/file/d/1d12Pvlf17mGPa5Mbtjy0ixgV_QkIzcMa/view?usp=sharing</t>
    </r>
  </si>
  <si>
    <t>Cercamento eletrônico</t>
  </si>
  <si>
    <t>Rua Júlio de Castilhos, 609 - Centro, Faxinal do Soturno - RS, CEP 97220-000</t>
  </si>
  <si>
    <r>
      <rPr>
        <rFont val="Arial"/>
        <color rgb="FF000000"/>
        <sz val="11.0"/>
      </rPr>
      <t xml:space="preserve">Proposta 037078/2021 - </t>
    </r>
    <r>
      <rPr>
        <rFont val="Arial"/>
        <color rgb="FF000000"/>
        <sz val="11.0"/>
        <u/>
      </rPr>
      <t>https://drive.google.com/file/d/1c32Eq75I5Pz5TeSqoui-K2Zi3_Qtpllr/view?usp=sharing</t>
    </r>
    <r>
      <rPr>
        <rFont val="Arial"/>
        <color rgb="FF000000"/>
        <sz val="11.0"/>
      </rPr>
      <t xml:space="preserve"> </t>
    </r>
  </si>
  <si>
    <r>
      <rPr>
        <rFont val="Arial"/>
        <color rgb="FF000000"/>
        <sz val="11.0"/>
      </rPr>
      <t xml:space="preserve">Proposta - 033442/2021 - </t>
    </r>
    <r>
      <rPr>
        <rFont val="Arial"/>
        <color rgb="FF1155CC"/>
        <sz val="11.0"/>
        <u/>
      </rPr>
      <t>https://drive.google.com/file/d/1CmMO5spgPFn8fwOQd-qWMeLFZnGlUKCw/view?usp=sharing</t>
    </r>
  </si>
  <si>
    <t>Avenida Presidente Lucena, 3527 - Centro, Ivoti - RS, Brasil</t>
  </si>
  <si>
    <t>Rua Sete de Setembro, 330, 2º Piso, Centro, Nova Petrópolis - RS, CEP 95150-000</t>
  </si>
  <si>
    <r>
      <rPr>
        <rFont val="Arial"/>
        <color rgb="FF000000"/>
        <sz val="11.0"/>
      </rPr>
      <t xml:space="preserve">Proposta 2174/2020 - </t>
    </r>
    <r>
      <rPr>
        <rFont val="Arial"/>
        <color rgb="FF1155CC"/>
        <sz val="11.0"/>
        <u/>
      </rPr>
      <t>https://drive.google.com/file/d/1d12Pvlf17mGPa5Mbtjy0ixgV_QkIzcMa/view?usp=sharing</t>
    </r>
  </si>
  <si>
    <t>Prefeitura Municipal de Passo do Sobrado, Rua Rodolfo Antônio Bruckner, 445 - Centro, Passo do Sobrado - RS, CEP 96685-000</t>
  </si>
  <si>
    <t>Largo da Matriz, s/n – Centro, Segredo – RS, CEP 96910-000</t>
  </si>
  <si>
    <r>
      <rPr>
        <rFont val="Arial"/>
        <color theme="5"/>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theme="5"/>
        <sz val="11.0"/>
        <u/>
      </rPr>
      <t>https://drive.google.com/file/d/1dA-xI-LIxcR9fUfK2Teoul4ATJp55IX9/view?usp=sharing</t>
    </r>
  </si>
  <si>
    <t>Avenida João Corrêa, 380 - Centro, Três Coroas - RS, 95660-000</t>
  </si>
  <si>
    <r>
      <rPr>
        <rFont val="Arial"/>
        <color rgb="FF000000"/>
        <sz val="11.0"/>
        <u/>
      </rPr>
      <t xml:space="preserve">Proposta 1500/2020  -                          </t>
    </r>
    <r>
      <rPr>
        <rFont val="Arial"/>
        <color rgb="FF1155CC"/>
        <sz val="11.0"/>
        <u/>
      </rPr>
      <t>https://drive.google.com/file/d/1aVbHDu-DKviaNACegsEerGDS8Nd_-893/view?usp=sharing</t>
    </r>
  </si>
  <si>
    <r>
      <rPr>
        <rFont val="Arial"/>
        <color theme="5"/>
        <sz val="11.0"/>
        <u/>
      </rPr>
      <t xml:space="preserve">Proposta 1500/2020  -                          </t>
    </r>
    <r>
      <rPr>
        <rFont val="Arial"/>
        <color theme="5"/>
        <sz val="11.0"/>
        <u/>
      </rPr>
      <t>https://drive.google.com/file/d/1aVbHDu-DKviaNACegsEerGDS8Nd_-893/view?usp=sharing</t>
    </r>
  </si>
  <si>
    <t>Prefeitura Municipal de São Sebastião do Caí, Rua Marechal Floriano Peixoto, 426, Bairro Centro, São Sebastião do Caí - RS, CEP 95760-000.</t>
  </si>
  <si>
    <t>Rua Marechal Deodoro da Fonseca, 70 - Centro, Bento Gonçalves - RS, CEP 95700-000</t>
  </si>
  <si>
    <r>
      <rPr>
        <rFont val="Arial"/>
        <color theme="5"/>
        <sz val="11.0"/>
        <u/>
      </rPr>
      <t xml:space="preserve">Proposta 1500/2020  -                          </t>
    </r>
    <r>
      <rPr>
        <rFont val="Arial"/>
        <color theme="5"/>
        <sz val="11.0"/>
        <u/>
      </rPr>
      <t>https://drive.google.com/file/d/1aVbHDu-DKviaNACegsEerGDS8Nd_-893/view?usp=sharing</t>
    </r>
  </si>
  <si>
    <t>Rua Monsenhor Scalabrini, 1047 – Centro, Encantado – RS, CEP 95960-000.</t>
  </si>
  <si>
    <r>
      <rPr>
        <rFont val="Arial"/>
        <color rgb="FF000000"/>
        <sz val="11.0"/>
        <u/>
      </rPr>
      <t xml:space="preserve">Proposta 1500/2020  -                          </t>
    </r>
    <r>
      <rPr>
        <rFont val="Arial"/>
        <color rgb="FF1155CC"/>
        <sz val="11.0"/>
        <u/>
      </rPr>
      <t>https://drive.google.com/file/d/1aVbHDu-DKviaNACegsEerGDS8Nd_-893/view?usp=sharing</t>
    </r>
  </si>
  <si>
    <t>Rua Getúlio Vargas, 796, Centro Administrativo, Centro, Marques de Souza - RS, 95923-000</t>
  </si>
  <si>
    <r>
      <rPr>
        <rFont val="Arial"/>
        <color rgb="FF000000"/>
        <sz val="11.0"/>
        <u/>
      </rPr>
      <t xml:space="preserve">Proposta 1500/2020  -                          </t>
    </r>
    <r>
      <rPr>
        <rFont val="Arial"/>
        <color rgb="FF1155CC"/>
        <sz val="11.0"/>
        <u/>
      </rPr>
      <t>https://drive.google.com/file/d/1aVbHDu-DKviaNACegsEerGDS8Nd_-893/view?usp=sharing</t>
    </r>
  </si>
  <si>
    <t>Prefeitura Municipal de Eldorado do Sul, Estrada da Arrozeira, nº 270 - Centro, Eldorado do Sul - RS, CEP 92990-000</t>
  </si>
  <si>
    <r>
      <rPr>
        <rFont val="Arial"/>
        <color rgb="FFEA4335"/>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EA4335"/>
        <sz val="11.0"/>
        <u/>
      </rPr>
      <t>https://drive.google.com/file/d/1HFuozWEpW-69Bac0gN8IIG7uNPATNnEg/view?usp=sharing</t>
    </r>
  </si>
  <si>
    <t>XV de Novembro, 41 - Centro, São José do Norte - RS, CEP 96225-000</t>
  </si>
  <si>
    <t>Fundo Municipal De Saude São José Do Norte - Rs</t>
  </si>
  <si>
    <t>Aquisição de placas fotovoltaicas para o Hospital de São José do Norte</t>
  </si>
  <si>
    <t>Rua Torres Gonçalves, 537 - Centro, Iraí - RS, CEP 98460-000</t>
  </si>
  <si>
    <t>Fundo Municipal De Saude De Irai-Rs Iraí - Rs</t>
  </si>
  <si>
    <t>Adquirir uma ambulância do tipo UTI móvel para o município de Iraí</t>
  </si>
  <si>
    <t>Rua General Osório, 625 - Centro, Rio Grande - RS, CEP 96200-400</t>
  </si>
  <si>
    <t>Associacao De Caridade Santa Casa De Rio Grande Rio Grande - Rs</t>
  </si>
  <si>
    <t>Aquisição de 1 carro de anestesia</t>
  </si>
  <si>
    <t>Rua Oswaldo Cruz, 154 - Centro, Horizontina - RS, 98920-000, Brasil.</t>
  </si>
  <si>
    <t>Rua XV de Novembro, 438 - Centro, Caçapava do Sul - RS, CEP 96570-000</t>
  </si>
  <si>
    <t>Rua Ervino Petry, 100 - Centro, Lagoa dos Três Cantos - RS, CEP 99495-000</t>
  </si>
  <si>
    <t>Fundo Municipal de Saude de Lagoa Dos Tres Cantos</t>
  </si>
  <si>
    <t>Benjamin Constant, 1441, São Francisco de Paula, RS, CEP 95400-000</t>
  </si>
  <si>
    <r>
      <rPr>
        <rFont val="Arial"/>
        <color theme="7"/>
        <sz val="11.0"/>
      </rPr>
      <t xml:space="preserve">O valor total indicado pelo para o município nessa emenda (41160005) é de  201.895,56. Sendo  18.0837,86 do deputado, com contrapartida de 10,43% =  21.057,70.   Detalhamento:  34.620,67 - Espingarda PUMP Calibre 12;   8.200,00 - Escudo Balístico;  159.074,89 - Viatura Tática de Transporte Rápido. Proposta 024831/2021 - </t>
    </r>
    <r>
      <rPr>
        <rFont val="Arial"/>
        <color theme="7"/>
        <sz val="11.0"/>
        <u/>
      </rPr>
      <t>https://drive.google.com/file/d/1mCz2mZU6VW77kVuqa9wnRbEiD-TvMQMu/view?usp=sharing</t>
    </r>
  </si>
  <si>
    <t>SAO LEOPOLDO</t>
  </si>
  <si>
    <t>Município de São Leopoldo - RS</t>
  </si>
  <si>
    <r>
      <rPr>
        <rFont val="Arial"/>
        <color rgb="FF000000"/>
        <sz val="11.0"/>
      </rPr>
      <t xml:space="preserve">Proposta 034569/2021 - </t>
    </r>
    <r>
      <rPr>
        <rFont val="Arial"/>
        <color rgb="FF1155CC"/>
        <sz val="11.0"/>
        <u/>
      </rPr>
      <t>https://drive.google.com/file/d/16NDej4XeJDyUwcK4boY_5uG5lAN7Sgc-/view?usp=sharing</t>
    </r>
    <r>
      <rPr>
        <rFont val="Arial"/>
        <color rgb="FF000000"/>
        <sz val="11.0"/>
      </rPr>
      <t xml:space="preserve"> </t>
    </r>
  </si>
  <si>
    <t>Município de SAO LEOPOLDO</t>
  </si>
  <si>
    <t>Bancada Gaúcha</t>
  </si>
  <si>
    <t>Hospital Tacchini - Bento Gonçalves - RS</t>
  </si>
  <si>
    <t>Fundo Municipal de Saúde de Igrejinha - RS</t>
  </si>
  <si>
    <r>
      <rPr>
        <rFont val="Arial"/>
        <color rgb="FF000000"/>
        <sz val="11.0"/>
      </rPr>
      <t xml:space="preserve">Resultado do processo seletivo: </t>
    </r>
    <r>
      <rPr>
        <rFont val="Arial"/>
        <color rgb="FF1155CC"/>
        <sz val="11.0"/>
        <u/>
      </rPr>
      <t>http://marcelvanhattem.com.br/2020/wp-content/uploads/2021/09/EMENDA-TURISMO-2021.pdf</t>
    </r>
  </si>
  <si>
    <t>Município de Igrejinha</t>
  </si>
  <si>
    <t>MAC Custeio</t>
  </si>
  <si>
    <t>Santa Casa de Misericórdia - Porto Alegre - RS</t>
  </si>
  <si>
    <t>Rua Guia Lopes, 4201, Bairro Canudos, Novo Hamburgo – RS, CEP 93.548-013</t>
  </si>
  <si>
    <t>Fundacao de Saude Publica de Novo Hamburgo - Fsnh</t>
  </si>
  <si>
    <r>
      <rPr>
        <rFont val="Arial"/>
        <color theme="7"/>
        <sz val="11.0"/>
      </rPr>
      <t xml:space="preserve">O valor indicado para o município nesta emenda (41160005) é de  42.820,67. Sendo  38.354,48 do deputado, com contrapartida de 10,43% =  4466,19. Detalhamento:  8.200,00 - Escudo balístico;  34.620,67 - 10 espingardas . Proposta 024831/2021 - </t>
    </r>
    <r>
      <rPr>
        <rFont val="Arial"/>
        <color theme="7"/>
        <sz val="11.0"/>
        <u/>
      </rPr>
      <t>https://drive.google.com/file/d/1mCz2mZU6VW77kVuqa9wnRbEiD-TvMQMu/view?usp=sharing</t>
    </r>
    <r>
      <rPr>
        <rFont val="Arial"/>
        <color theme="7"/>
        <sz val="11.0"/>
      </rPr>
      <t xml:space="preserve"> </t>
    </r>
  </si>
  <si>
    <t>Fundo Municipal de Saúde de Gramado - RS</t>
  </si>
  <si>
    <t>Município de Gramado</t>
  </si>
  <si>
    <t>Prefeitura de Novo Hamburgo</t>
  </si>
  <si>
    <t>Sistema de sinalização turística e cicloturística para a região de Lomba Grande</t>
  </si>
  <si>
    <t>Prefeitura de Barão</t>
  </si>
  <si>
    <t>Implantação de sinalização e estruturação de 3 rotas de cicloturismo</t>
  </si>
  <si>
    <t>Rua Catarino Andreatta, 155, Vila Nova, Porto Alegre, RS, CEP 91750-040.</t>
  </si>
  <si>
    <t>Associacao Hospitalar Vila Nova Guaíba - Rs</t>
  </si>
  <si>
    <t>Aquisisção de 1 carro de anestesia</t>
  </si>
  <si>
    <r>
      <rPr>
        <rFont val="Arial"/>
        <color rgb="FF000000"/>
        <sz val="11.0"/>
      </rPr>
      <t xml:space="preserve">Proposta 033438/2021 - </t>
    </r>
    <r>
      <rPr>
        <rFont val="Arial"/>
        <color rgb="FF1155CC"/>
        <sz val="11.0"/>
        <u/>
      </rPr>
      <t>https://drive.google.com/file/d/1lDGVtCDc_glV46c1XC81i_gS0OxRUj5I/view?usp=sharing</t>
    </r>
  </si>
  <si>
    <t>Avenida Nestor Frederico Henn, 1645, Centro, Vera Cruz - RS, CEP 96880-000</t>
  </si>
  <si>
    <t>Av. Cel. Coriolano de Castro, 920 - Caçapava do Sul, RS, 96570-000</t>
  </si>
  <si>
    <t>Associação Hospital De Caridade Dr Victor Lang</t>
  </si>
  <si>
    <t>Orçamento Geral da União</t>
  </si>
  <si>
    <t>Aquisição de equipamentos oftalmológicos para o ambulatório de oftalmologia.</t>
  </si>
  <si>
    <r>
      <rPr>
        <rFont val="Arial"/>
        <color rgb="FF000000"/>
        <sz val="11.0"/>
      </rPr>
      <t xml:space="preserve">Proposta 10610784000121006 no Fundo Nacional de Saúde - </t>
    </r>
    <r>
      <rPr>
        <rFont val="Arial"/>
        <color rgb="FF1155CC"/>
        <sz val="11.0"/>
        <u/>
      </rPr>
      <t>https://drive.google.com/file/d/1aDObxpbsBjwlksXrkLajbqjPN4rHK6G6/view?usp=sharing</t>
    </r>
    <r>
      <rPr>
        <rFont val="Arial"/>
        <color rgb="FF000000"/>
        <sz val="11.0"/>
      </rPr>
      <t xml:space="preserve"> </t>
    </r>
  </si>
  <si>
    <t>Rua Paulino Afonso, 477 - Centro, Petrópolis - RJ, CEP 25680-003</t>
  </si>
  <si>
    <t>Associacao Hospitalar Santa Teresa Guarani Das Missões - Rs</t>
  </si>
  <si>
    <t>Aquisição de Aparelho de RX DIGITAL</t>
  </si>
  <si>
    <r>
      <rPr>
        <rFont val="Arial"/>
        <color rgb="FF000000"/>
        <sz val="11.0"/>
      </rPr>
      <t xml:space="preserve">Proposta 12094096000121002 - </t>
    </r>
    <r>
      <rPr>
        <rFont val="Arial"/>
        <color rgb="FF1155CC"/>
        <sz val="11.0"/>
        <u/>
      </rPr>
      <t>https://drive.google.com/file/d/1dAF_3btktWoIWwgzredtzJoiEjOh_d_r/view?usp=sharing</t>
    </r>
    <r>
      <rPr>
        <rFont val="Arial"/>
        <color rgb="FF000000"/>
        <sz val="11.0"/>
      </rPr>
      <t xml:space="preserve"> </t>
    </r>
  </si>
  <si>
    <t>Divisão Estadual de Combate à Corrupção e à Lavagem de Dinheiro da Polícia Civil, Porto Alegre, RS</t>
  </si>
  <si>
    <t>Espaços turísticos no Parque Centenário</t>
  </si>
  <si>
    <t>Rua Eliseu Orlandini, 51 - Centro, Roca Sales - RS, CEP 95735-000</t>
  </si>
  <si>
    <t>Rua Doutor Francisco Timm, 656 - Centro, Santa Rosa - RS, CEP 98780-803</t>
  </si>
  <si>
    <t>Associacao Hospitalar Santa Rosa Santa Rosa - Rs</t>
  </si>
  <si>
    <r>
      <rPr>
        <rFont val="Arial"/>
        <color rgb="FF000000"/>
        <sz val="11.0"/>
      </rPr>
      <t xml:space="preserve">Proposta 044279/2021 - </t>
    </r>
    <r>
      <rPr>
        <rFont val="Arial"/>
        <color rgb="FF1155CC"/>
        <sz val="11.0"/>
        <u/>
      </rPr>
      <t>https://drive.google.com/file/d/1CmMO5spgPFn8fwOQd-qWMeLFZnGlUKCw/view?usp=sharing</t>
    </r>
    <r>
      <rPr>
        <rFont val="Arial"/>
        <color rgb="FF000000"/>
        <sz val="11.0"/>
      </rPr>
      <t xml:space="preserve"> </t>
    </r>
  </si>
  <si>
    <t>Aquisição de 03 equipamentos de hemodialise</t>
  </si>
  <si>
    <t>Rua João Magalhães, 146, Centro, Cândido Godói, RS, CEP 98970-000, Brasil.</t>
  </si>
  <si>
    <t>Associacao Hospitalar Santo Afonso Cândido Godói - Rs</t>
  </si>
  <si>
    <r>
      <rPr>
        <rFont val="Arial"/>
        <color theme="7"/>
        <sz val="11.0"/>
      </rPr>
      <t xml:space="preserve"> </t>
    </r>
    <r>
      <rPr>
        <rFont val="Arial"/>
        <color theme="7"/>
        <sz val="11.0"/>
        <u/>
      </rPr>
      <t>https://www.primeirahora.rs/web/noticias/19911/polcia-civil-de-so-jos-do-hortncio-recebe-nova-viatura-semiblindada</t>
    </r>
  </si>
  <si>
    <t>EQUIPAMENTO DE ENDOSCOPIA E COLONOSCOPIA</t>
  </si>
  <si>
    <t>Avenida da Paz, 978, Jaraguá, Maceió – AL, CEP 57022-050. Telefones: (82) 98846-7493; (82) 3315-1117. Av. Estados Unidos 161, Edif. Suerdik, 8º andar, Comércio, CEP 40010-020, Salvador, BA.</t>
  </si>
  <si>
    <t>Rua Tristão Monteiro, 1278 - Centro, Taquara - RS, 95600-000</t>
  </si>
  <si>
    <t>Polícia Rodoviária Federal, Porto Alegre, RS</t>
  </si>
  <si>
    <t>Polícia Rodoviária Federal, Santa Maria, RS</t>
  </si>
  <si>
    <t>Recurso pago. Entregue</t>
  </si>
  <si>
    <t>Avenida Dr. José Loureiro da Silva, 1350 - Centro, Gravataí - RS, 94010-000</t>
  </si>
  <si>
    <t>Municipio De Gravatai Gravataí - Rs</t>
  </si>
  <si>
    <t>O projeto propõe a aquisição de dois drones DJI Matrice 30T, com estações autônomas de decolagem, pouso e recarga, câmeras térmicas e visuais, sensores climáticos e integração em nuvem, para uso estratégico pela Guarda Municipal de Gravataí. Com investimento de R$ 291.960,00, a iniciativa visa ampliar a vigilância aérea, reduzir o tempo de resposta a ocorrências, otimizar recursos humanos e apoiar ações conjuntas com outras forças de segurança (FERRAZ et al., 2020).</t>
  </si>
  <si>
    <t>Brigada Militar, A definir, RS</t>
  </si>
  <si>
    <r>
      <rPr>
        <rFont val="Arial"/>
        <color rgb="FF000000"/>
        <sz val="11.0"/>
      </rPr>
      <t xml:space="preserve"> </t>
    </r>
    <r>
      <rPr>
        <rFont val="Arial"/>
        <color rgb="FF1155CC"/>
        <sz val="11.0"/>
        <u/>
      </rPr>
      <t>https://www.primeirahora.rs/web/noticias/19911/polcia-civil-de-so-jos-do-hortncio-recebe-nova-viatura-semiblindada</t>
    </r>
  </si>
  <si>
    <r>
      <rPr>
        <rFont val="Arial"/>
        <color rgb="FF000000"/>
        <sz val="11.0"/>
      </rPr>
      <t xml:space="preserve">41160009 </t>
    </r>
    <r>
      <rPr>
        <rFont val="Arial"/>
        <color rgb="FF000000"/>
        <sz val="11.0"/>
      </rPr>
      <t>/ 41160001</t>
    </r>
  </si>
  <si>
    <t>Hospital de Clínicas de Porto Alegre, Porto Alegre, RS</t>
  </si>
  <si>
    <t>Sto Antônio das MIssões</t>
  </si>
  <si>
    <t>Licitação</t>
  </si>
  <si>
    <t>Santa Casa de Misericórdia de Porto Alegre, Porto Alegre, RS</t>
  </si>
  <si>
    <t>Santa Casa de Caridade de Alegrete, Alegrete, RS</t>
  </si>
  <si>
    <r>
      <rPr>
        <rFont val="Arial"/>
        <color rgb="FF000000"/>
        <sz val="11.0"/>
      </rPr>
      <t xml:space="preserve">Proposta 036771-/2021 - </t>
    </r>
    <r>
      <rPr>
        <rFont val="Arial"/>
        <color rgb="FF1155CC"/>
        <sz val="11.0"/>
        <u/>
      </rPr>
      <t>https://drive.google.com/file/d/1kiFA5uP0-VNk62daoiml2JHhB4cV4Gwc/view?usp=sharing</t>
    </r>
  </si>
  <si>
    <t>Comando do Exército , Porto Alegre, RS</t>
  </si>
  <si>
    <t>Comando do Exército</t>
  </si>
  <si>
    <t>Associação de Caridade Santa Casa de Rio Grande, Rio Grande, RS</t>
  </si>
  <si>
    <t>Associação Pro Ensino Em Santa Cruz Do Sul, Santa Cruz do Sul, RS</t>
  </si>
  <si>
    <t>Aeronáutica do Brasil, Santa Maria, RS</t>
  </si>
  <si>
    <r>
      <rPr>
        <rFont val="Arial"/>
        <color rgb="FF1155CC"/>
        <sz val="11.0"/>
        <u/>
      </rPr>
      <t>7122 0006</t>
    </r>
    <r>
      <rPr>
        <rFont val="Arial"/>
        <sz val="11.0"/>
        <u/>
      </rPr>
      <t xml:space="preserve"> </t>
    </r>
  </si>
  <si>
    <t>Hospital Nossa Senhora do Rosário, Serafina Corrêa, RS</t>
  </si>
  <si>
    <t>Prefeitura de Lindolfo Collor</t>
  </si>
  <si>
    <r>
      <rPr>
        <rFont val="Arial"/>
        <color rgb="FF000000"/>
        <sz val="11.0"/>
      </rPr>
      <t xml:space="preserve">Proposta 030214/2021 - </t>
    </r>
    <r>
      <rPr>
        <rFont val="Arial"/>
        <color rgb="FF000000"/>
        <sz val="11.0"/>
        <u/>
      </rPr>
      <t>https://drive.google.com/file/d/1B0qAQ76zJ1iabT06D3JpA_tiuSEo2gNW/view?usp=sharing</t>
    </r>
    <r>
      <rPr>
        <rFont val="Arial"/>
        <color rgb="FF000000"/>
        <sz val="11.0"/>
      </rPr>
      <t xml:space="preserve"> </t>
    </r>
  </si>
  <si>
    <r>
      <rPr>
        <rFont val="Arial"/>
        <color rgb="FF000000"/>
        <sz val="11.0"/>
      </rPr>
      <t xml:space="preserve">Na aquisição de 01 ferramenta de extração de dados o deputado Marcel contibuiu com  12.142,85. Outro parlamentar (emenda 20980007) com   150.000,00. Proposta 2045/2020 - </t>
    </r>
    <r>
      <rPr>
        <rFont val="Arial"/>
        <color rgb="FF000000"/>
        <sz val="11.0"/>
        <u/>
      </rPr>
      <t>https://drive.google.com/file/d/1dA-xI-LIxcR9fUfK2Teoul4ATJp55IX9/view?usp=sharing</t>
    </r>
  </si>
  <si>
    <t>Restauro de uma casa enxaimel para uso cultural e turístico em Lindolfo Collor;</t>
  </si>
  <si>
    <t>Hospital Nossa Senhora Das Graças</t>
  </si>
  <si>
    <t>O presente projeto consiste na aquisição de uma mesa cirúrgica elétrica e aparelho de raio x fixo e analógico.</t>
  </si>
  <si>
    <t>Prefeitura de Igrejinha</t>
  </si>
  <si>
    <t>Av. Seis de Julho, 42 - Parque da Bica, Piratini - RS, 96490-000</t>
  </si>
  <si>
    <t>Hospital De Caridade Nossa Senhora Da Conceição De Piratini</t>
  </si>
  <si>
    <r>
      <rPr>
        <rFont val="Arial"/>
        <color rgb="FF000000"/>
        <sz val="11.0"/>
      </rPr>
      <t xml:space="preserve">Proposta 048451/2021 - </t>
    </r>
    <r>
      <rPr>
        <rFont val="Arial"/>
        <color rgb="FF1155CC"/>
        <sz val="11.0"/>
        <u/>
      </rPr>
      <t>https://drive.google.com/file/d/1y8BkMzI-Uw9vtIWyL9vu0RPBk1VO_Yr6/view?usp=sharing</t>
    </r>
    <r>
      <rPr>
        <rFont val="Arial"/>
        <color rgb="FF000000"/>
        <sz val="11.0"/>
      </rPr>
      <t xml:space="preserve"> </t>
    </r>
  </si>
  <si>
    <t>Aquisição de  um Sistema de Vídeo para Cirurgias</t>
  </si>
  <si>
    <t>Aquisição de equipamentos, um foco cirúrgico, uma mesa cirúrgica e um carro de anestesia completo, para otimizar o fluxo e segurança na rotina cirúrgica.</t>
  </si>
  <si>
    <t>Av. Jorge Dariva, 1251 - Centro, Osório - RS, 95520-000</t>
  </si>
  <si>
    <r>
      <rPr>
        <rFont val="Arial"/>
        <color rgb="FF000000"/>
        <sz val="11.0"/>
      </rPr>
      <t xml:space="preserve">Proposta 20877/2021 - </t>
    </r>
    <r>
      <rPr>
        <rFont val="Arial"/>
        <color rgb="FF000000"/>
        <sz val="11.0"/>
        <u/>
      </rPr>
      <t>https://drive.google.com/file/d/1zay9tOPtsNNVzpC6ZdFBF2vYKCbjoI0d/view?usp=sharing</t>
    </r>
  </si>
  <si>
    <t>Exército do Brasil</t>
  </si>
  <si>
    <r>
      <rPr>
        <rFont val="Arial"/>
        <color rgb="FF000000"/>
        <sz val="11.0"/>
      </rPr>
      <t xml:space="preserve">Proposta 20877/2021 - </t>
    </r>
    <r>
      <rPr>
        <rFont val="Arial"/>
        <color rgb="FF000000"/>
        <sz val="11.0"/>
        <u/>
      </rPr>
      <t>https://drive.google.com/file/d/1zay9tOPtsNNVzpC6ZdFBF2vYKCbjoI0d/view?usp=sharing</t>
    </r>
  </si>
  <si>
    <t xml:space="preserve">Foram pagos R$ 357.374,65,00, de acordo com a planilha de pagtos de 31/08/2023. </t>
  </si>
  <si>
    <r>
      <rPr>
        <rFont val="Arial"/>
        <color rgb="FF000000"/>
        <sz val="11.0"/>
      </rPr>
      <t xml:space="preserve">Na aquisição de 02 viaturas caracterizadas tipo SUV, o deputado Marcel contribuiu com  26.383,34. Outros parlamentares contribuíram com  300.000,00 (emenda nº 40330009),  13.191,67 (emenda nº 41210006),  3.184,67 (emenda nº 40330005) e  30.856,98 (contrapartida do estado). Proposta 21266/2021  - </t>
    </r>
    <r>
      <rPr>
        <rFont val="Arial"/>
        <color rgb="FF000000"/>
        <sz val="11.0"/>
        <u/>
      </rPr>
      <t>https://drive.google.com/file/d/100R98VIt1lNeUjjwm3cteeyTBJBt15O-/view?usp=sharing</t>
    </r>
    <r>
      <rPr>
        <rFont val="Arial"/>
        <color rgb="FF000000"/>
        <sz val="11.0"/>
      </rPr>
      <t xml:space="preserve"> </t>
    </r>
  </si>
  <si>
    <t>Prefeitura de São Jernônimo</t>
  </si>
  <si>
    <r>
      <rPr>
        <rFont val="Arial"/>
        <color theme="1"/>
        <sz val="11.0"/>
      </rPr>
      <t xml:space="preserve">150.000,00 / </t>
    </r>
    <r>
      <rPr>
        <rFont val="Arial"/>
        <color rgb="FFFF0000"/>
        <sz val="11.0"/>
      </rPr>
      <t>200.000,00</t>
    </r>
  </si>
  <si>
    <t>Projeto Construção de Ponte sobre o Rio Jacuí entre São Jerônimo e Triunfo - na BR-470/RS</t>
  </si>
  <si>
    <r>
      <rPr>
        <rFont val="Arial"/>
        <color rgb="FF000000"/>
        <sz val="11.0"/>
      </rPr>
      <t xml:space="preserve">O deputado Marcel contribuiu com  400.000,00, com contrapartida de  57.030,19. Proposta 021355/2021 - </t>
    </r>
    <r>
      <rPr>
        <rFont val="Arial"/>
        <color rgb="FF1155CC"/>
        <sz val="11.0"/>
        <u/>
      </rPr>
      <t>https://drive.google.com/file/d/1snCNLonqwErA_N4mdpMmTLDYHoa30OB3/view?usp=sharing</t>
    </r>
  </si>
  <si>
    <t>Emenda bancada</t>
  </si>
  <si>
    <t xml:space="preserve">Indicação total </t>
  </si>
  <si>
    <t>Avenida Guilherme Winter, 65 – Caixa Postal 4 – Centro, Bom Princípio/RS, CEP 95765-000.</t>
  </si>
  <si>
    <r>
      <rPr>
        <rFont val="Arial"/>
        <color rgb="FF000000"/>
        <sz val="11.0"/>
      </rPr>
      <t xml:space="preserve">Proposta 21266/2021  - </t>
    </r>
    <r>
      <rPr>
        <rFont val="Arial"/>
        <color rgb="FF000000"/>
        <sz val="11.0"/>
        <u/>
      </rPr>
      <t>https://drive.google.com/file/d/100R98VIt1lNeUjjwm3cteeyTBJBt15O-/view?usp=sharing</t>
    </r>
    <r>
      <rPr>
        <rFont val="Arial"/>
        <color rgb="FF000000"/>
        <sz val="11.0"/>
      </rPr>
      <t xml:space="preserve">  </t>
    </r>
  </si>
  <si>
    <t>Rua Berlim, 240 - Centro, Dois Irmãos - RS, CEP 93950-000</t>
  </si>
  <si>
    <t>Rua Pinheiro Machado, nº 55, Centro, Feliz - RS, CEP 95770-000</t>
  </si>
  <si>
    <r>
      <rPr>
        <rFont val="Arial"/>
        <color rgb="FF000000"/>
        <sz val="11.0"/>
      </rPr>
      <t xml:space="preserve">Na aquisição das viaturas caracterizadas o deputado Marcel contribuiu com  1.000.000,00 com contrapartida  64.586,67. Proposta 021307/2021:                                                                                                         </t>
    </r>
    <r>
      <rPr>
        <rFont val="Arial"/>
        <color rgb="FF1155CC"/>
        <sz val="11.0"/>
        <u/>
      </rPr>
      <t>https://drive.google.com/file/d/1yonAHlCerIqzVP-hw2Ps4plFF2TWlLr3/view?usp=sharing</t>
    </r>
    <r>
      <rPr>
        <rFont val="Arial"/>
        <color rgb="FF000000"/>
        <sz val="11.0"/>
      </rPr>
      <t xml:space="preserve">                      </t>
    </r>
  </si>
  <si>
    <t>Rua Coronel Oscar Rafael Jost, 1551, Centro, Santa Cruz do Sul - RS, CEP 96815-713.</t>
  </si>
  <si>
    <t>Praça da Emancipação, s/n - Centro, Farroupilha - RS, Brasil</t>
  </si>
  <si>
    <t>Praça Gilson Carlos Reginato, Centro, Jaguari - RS, CEP 97760-000</t>
  </si>
  <si>
    <r>
      <rPr>
        <rFont val="Arial"/>
        <color rgb="FF1155CC"/>
        <sz val="11.0"/>
        <u/>
      </rPr>
      <t>https://www.correiodopovo.com.br/not%C3%ADcias/cidades/dois-irm%C3%A3os-inaugura-novos-leitos-nesta-segunda-feira-1.605680</t>
    </r>
    <r>
      <rPr>
        <rFont val="Arial"/>
        <color rgb="FF000000"/>
        <sz val="11.0"/>
      </rPr>
      <t xml:space="preserve"> | </t>
    </r>
    <r>
      <rPr>
        <rFont val="Arial"/>
        <color rgb="FF1155CC"/>
        <sz val="11.0"/>
        <u/>
      </rPr>
      <t>https://odiario.net/destaque/hospital-sao-jose-de-dois-irmaos-inaugura-ampliacao-de-ala-com-20-novos-leitos-e-bloco-cirurgico/</t>
    </r>
    <r>
      <rPr>
        <rFont val="Arial"/>
        <color rgb="FF000000"/>
        <sz val="11.0"/>
      </rPr>
      <t xml:space="preserve"> </t>
    </r>
  </si>
  <si>
    <t>Avenida Fridolino Ritter, 379 - Centro, Picada Café - RS, CEP 95166-000</t>
  </si>
  <si>
    <t>Anita Garibaldi, 299, Centro, Estância Velha - RS</t>
  </si>
  <si>
    <t>Avenida João Corrêa, 793 - Centro, Sapiranga - RS, 93800-000</t>
  </si>
  <si>
    <t>Rua Manoel Serafim, 905 - Centro, Sapucaia do Sul - RS, CEP 93220-250</t>
  </si>
  <si>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000000"/>
        <sz val="11.0"/>
        <u/>
      </rPr>
      <t>https://drive.google.com/file/d/1HFuozWEpW-69Bac0gN8IIG7uNPATNnEg/view?usp=sharing</t>
    </r>
  </si>
  <si>
    <t>Avenida das Hortênsias, 2029, Centro, Gramado - Rio Grande do Sul, CEP 95670-000</t>
  </si>
  <si>
    <t>Rua Ignacio Giordani, 1075, Centro, Sarandi, RS, CEP 99560-000</t>
  </si>
  <si>
    <t>Fundo Municipal De Saude De Sarandi-Rs Sarandi - Rs</t>
  </si>
  <si>
    <t>Implantar um laboratório de análises clínicas municipal, junto aos serviços da Secretaria Municipal de Saúde</t>
  </si>
  <si>
    <t>Avenida Guerino Pandolfo, Centro, Riozinho, RS, CEP 95695-000</t>
  </si>
  <si>
    <t>Associacao Filhas De Sao Camilo Riozinho - Rs</t>
  </si>
  <si>
    <t>"01 SECADOR ROTATIVO COM CAPACIDADE PARA 36,7 KG;
 01 APARELHO DE ULTRASSONOGRAFIA"</t>
  </si>
  <si>
    <t>Travessa São Jorge, nº 38, Casa, Centro, Ronda Alta - RS, CEP 99670-000</t>
  </si>
  <si>
    <t>Associacao Hospitalar De Ronda Alta Ronda Alta - Rs</t>
  </si>
  <si>
    <t>Aquisição de 1 Mesa Cirurgica Eletrica 
 1 Aparelho de Enestesia 
 Camas Fawlwer Mecânica</t>
  </si>
  <si>
    <t>Avenida Presidente Vargas, 1440 – Centro, São Borja – RS, CEP 97670-000.</t>
  </si>
  <si>
    <t>Fundacao Ivan Goulart São Borja - Rs</t>
  </si>
  <si>
    <r>
      <rPr>
        <rFont val="Arial"/>
        <color rgb="FF000000"/>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rgb="FF000000"/>
        <sz val="11.0"/>
        <u/>
      </rPr>
      <t>https://drive.google.com/file/d/1dA-xI-LIxcR9fUfK2Teoul4ATJp55IX9/view?usp=sharing</t>
    </r>
  </si>
  <si>
    <t>Aquisição de 02 (dois) ventiladores pulmonares, com valor unitário de R$ 120.000,00, e 02 (dois) monitores multiparâmetros, com valor unitário de R$ 30.000,00, totalizando R$ 300.000,00. Para Centro de Terapia Intensiva (CTI)</t>
  </si>
  <si>
    <t>Avenida Bernardino de Campos, 47, Santos - SP, CEP aproximado de 11015-470 (Brasil)</t>
  </si>
  <si>
    <t>Sociedade Portuguesa De Beneficencia Pelotas - Rs</t>
  </si>
  <si>
    <t>Ventilador pulmonar de beira de leito</t>
  </si>
  <si>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000000"/>
        <sz val="11.0"/>
        <u/>
      </rPr>
      <t>https://drive.google.com/file/d/1HFuozWEpW-69Bac0gN8IIG7uNPATNnEg/view?usp=sharing</t>
    </r>
  </si>
  <si>
    <t>Largo da Pátria, nº 132, Centro, São Gabriel - BA, CEP 44915-000; Av. Álvaro Maia, nº 569, Centro, São Gabriel da Cachoeira - AM, CEP 69750-000; Rua Duque de Caxias, 268, Centro, São Gabriel - RS (sem CEP listado na página de contato).</t>
  </si>
  <si>
    <t>Municipio De Sao Gabriel São Gabriel - Rs</t>
  </si>
  <si>
    <t>Aquisição de 02 pick ups para serviços de Fiscalização e Segurança no Trânsito</t>
  </si>
  <si>
    <t>Rua Cel. Cornélio Maciel, 101, Centro, Cruzília, MG, CEP 37445-000</t>
  </si>
  <si>
    <r>
      <rPr>
        <rFont val="Arial"/>
        <color rgb="FF000000"/>
        <sz val="11.0"/>
      </rPr>
      <t xml:space="preserve">Proposta 033435/2021 - </t>
    </r>
    <r>
      <rPr>
        <rFont val="Arial"/>
        <color rgb="FF1155CC"/>
        <sz val="11.0"/>
        <u/>
      </rPr>
      <t>https://drive.google.com/file/d/1iHCEQhM4YS-ioZsWMsr2Tcio3J1kMMwJ/view?usp=sharing</t>
    </r>
    <r>
      <rPr>
        <rFont val="Arial"/>
        <color rgb="FF000000"/>
        <sz val="11.0"/>
      </rPr>
      <t xml:space="preserve"> </t>
    </r>
  </si>
  <si>
    <t>Rua Doutor Francisco Timm, 656, Centro, Santa Rosa - RS, CEP 98780-803, Brasil</t>
  </si>
  <si>
    <t>Associacao Hospitalar Santa Rosa</t>
  </si>
  <si>
    <t>Associacao Pro-Ensino Em Santa Cruz Do Sul - Apesc</t>
  </si>
  <si>
    <t>Rua São Luiz, 90, Centro, Tucunduva - Rio Grande do Sul, CEP 98.930-000</t>
  </si>
  <si>
    <t>Associacao Hospital de Caridade Tres Passos</t>
  </si>
  <si>
    <t>Rua Alexandre Gazzoni, 200 - Centro, Nova Araçá - RS, CEP 95350-000</t>
  </si>
  <si>
    <t>Nova Araça</t>
  </si>
  <si>
    <t>Rua Plácido Chiquiti, 900 – Centro, São Sepé – RS, 97340-000</t>
  </si>
  <si>
    <t>Municipio De Sao Sepe São Sepé - Rs</t>
  </si>
  <si>
    <t>Aquisição de aquisição de almofadas pneumáticas para o Corpo de Bombeiros e equipamentos de escritórios para Brigada Militar e pelo Corpo de Bombeiros</t>
  </si>
  <si>
    <t>R. do Comércio, 495 - Mata, RS, 97410-000</t>
  </si>
  <si>
    <t>Prefeitura de Mata</t>
  </si>
  <si>
    <t>Revitalização da estação férrea de Mata</t>
  </si>
  <si>
    <t>Associação Veranense De Assistência Em Saúde - Hospital Comunitário São Peregrino Lazziozi</t>
  </si>
  <si>
    <t>Segurança e Qualidade nos Processos de Esterilização Interna de Materiais do Hospital Comunitário São Peregrino Lazziozi: Adequação da Central de Material e Esterilização – CME com a aquisição para substituição do equipamento Autoclave Horizontal.</t>
  </si>
  <si>
    <t>Praça Emancipação, s/nº, Centro, Farroupilha - RS, 95170-444, Brasil</t>
  </si>
  <si>
    <t>Rua Darly Nerty Vervloet, 446 – Centro, Santa Teresa – ES, CEP 29650-000.</t>
  </si>
  <si>
    <t>Fundo Municipal De Saude De Santa Tereza Santa Tereza - Rs</t>
  </si>
  <si>
    <t>Incorporação de uma ambulância, visando garantir o transporte seguro e eficiente de pacientes, especialmente aqueles em estado grave ou com necessidade de cuidados intensivos durante o deslocamento.</t>
  </si>
  <si>
    <t>Rua Expedicionário João Moreira Alberto, 181 - Centro, Tupanciretã - RS, CEP 98170-000</t>
  </si>
  <si>
    <t>Fundo Municipal de Saude de Tupancireta</t>
  </si>
  <si>
    <t>Av. Presidente Tancredo Neves, 965, Centro, Tapera - RS, CEP 99490-000.</t>
  </si>
  <si>
    <t>Setor Comercial Sul (SCS), Quadra 9, Edifício Parque Cidade Corporate, Bloco C, 1º ao 3º pavimentos, CEP: 70308-200, Brasília, DF, Brasil</t>
  </si>
  <si>
    <t>Empresa Brasileira de Servicos Hospitalares - Ebserh</t>
  </si>
  <si>
    <t>R. Cel. Chananeco, 600 - Centro, São Sepé - RS, 97340-000</t>
  </si>
  <si>
    <t>Associação Beneficente Hospital Santo Antonio</t>
  </si>
  <si>
    <t>Torre de video para urologia, servira para ampliar os atendimentos nessa area aos usuario do sus da regiao</t>
  </si>
  <si>
    <t>Prefeitura de Taquara</t>
  </si>
  <si>
    <t>Rua Júlio May, 242 - Centro, Lajeado - RS, CEP 95900-000</t>
  </si>
  <si>
    <t>Municipio De Lajeado Lajeado - Rs</t>
  </si>
  <si>
    <t>Aquisição de equipamentos para estruturar a UBS MONTANHA, a qual comporta 03 Equipes de ESF.</t>
  </si>
  <si>
    <t>Rua Antônio Manoel, 701 - Centro, Santo Ângelo - RS, CEP 98801-690 (Hospital Regional das Missoes, Associacao Hospital de Caridade de Santo Angelo)</t>
  </si>
  <si>
    <t>Associacao Hospital de Caridade de Santo Angelo</t>
  </si>
  <si>
    <t>Santa Casa de Misericordia</t>
  </si>
  <si>
    <t>Rua Ormezinda Ramos Loureiro, 180 - Caramuru, Arambaré - RS, CEP 96178-000</t>
  </si>
  <si>
    <t>Rua Aurelio Vieira Gonçalves, 291 - Centro, Barracão - RS, CEP 95370-000</t>
  </si>
  <si>
    <t>Fundo Municipal de Saude de Alvorada</t>
  </si>
  <si>
    <t>Corpo de Bombeiros, Rio Pardo, RS</t>
  </si>
  <si>
    <t>Fundação Hospitalar Santa Terezinha De Erechim</t>
  </si>
  <si>
    <t>Aquisição de 02 (dois) bisturis eletrônicos completos para o Centro Cirúrgico</t>
  </si>
  <si>
    <t>R. Ceci Leite Costa, 1266, Faxinal do Soturno - RS, 97220-000</t>
  </si>
  <si>
    <t>Hospital De Caridade São Roque</t>
  </si>
  <si>
    <t>COMPRA DE DOIS APARELHOS DE HEMODIALISE CONTINUA E DOIS RESPIRADORES PARA A UTI</t>
  </si>
  <si>
    <t>Ambulância/Resgate tipo C Furgão
teto alto</t>
  </si>
  <si>
    <t>Corpo de Bombeiros de Giruá, Giruá, RS</t>
  </si>
  <si>
    <t>Corpo de Bombeiros de Ivoti, Ivoti, RS</t>
  </si>
  <si>
    <r>
      <rPr>
        <rFont val="Arial"/>
        <color rgb="FF000000"/>
        <sz val="11.0"/>
      </rPr>
      <t xml:space="preserve">Na aquisição de Ferramenta Forense para extração, processamento e apoio na análise de dados e informações a partir de plataformas eletrônicas portáteis o deputado contibuiu sozinho com 3 ferramentas totalizando  486.428,55. Proposta 2045/2020 - </t>
    </r>
    <r>
      <rPr>
        <rFont val="Arial"/>
        <color rgb="FF000000"/>
        <sz val="11.0"/>
        <u/>
      </rPr>
      <t>https://drive.google.com/file/d/1dA-xI-LIxcR9fUfK2Teoul4ATJp55IX9/view?usp=sharing</t>
    </r>
  </si>
  <si>
    <t>PAGO</t>
  </si>
  <si>
    <t xml:space="preserve">Foram pagos R$ 333.800,00, de acordo com a planilha de pagtos de 31/08/2023. </t>
  </si>
  <si>
    <t>Hospital Sao Jose De Ivoti</t>
  </si>
  <si>
    <t>Adquisiçao de Hardware para Implementaçao de Rastreabilidade de medicamentos no Hospital Sao Jose de Ivoti</t>
  </si>
  <si>
    <t>Avenida Afonso Pena, 250 - Centro, Paraíso do Sul - RS, 96530-000</t>
  </si>
  <si>
    <t>Fundo Municipal De Saude Paraíso Do Sul - Rs</t>
  </si>
  <si>
    <t>Aquisição de uma ambulância para transporte e remoção de pacientes.</t>
  </si>
  <si>
    <t>Prefeitura Municipal, Nova Prata, RS</t>
  </si>
  <si>
    <t>Fundação Universidade Federal do Pampa, Bagé, RS</t>
  </si>
  <si>
    <t>Recurso pago parcialmente: R$ 228.332,35.</t>
  </si>
  <si>
    <t xml:space="preserve">Liberado para pagamento, conf. planilha de 31082023, o valor de R$ 23.546,41, favorecido Fachini Engenharia Ltda. </t>
  </si>
  <si>
    <t>Universidade Federal do Rio Grande Do Sul,         
Porto Alegre, RS</t>
  </si>
  <si>
    <t>Marinha do Brasil, Rio Grande, RS</t>
  </si>
  <si>
    <r>
      <rPr>
        <rFont val="Arial"/>
        <color rgb="FF000000"/>
        <sz val="11.0"/>
      </rPr>
      <t xml:space="preserve">Na aquisição de 01 ferramenta de extração de dados o deputado Marcel contribuiu com  31.428,60. Outro parlamentar (emenda 37930012) com  74.964,30 e a contrapartida do governo do RS foi de  4.431,86
Proposta 2045/2020 - </t>
    </r>
    <r>
      <rPr>
        <rFont val="Arial"/>
        <color rgb="FF000000"/>
        <sz val="11.0"/>
        <u/>
      </rPr>
      <t>https://drive.google.com/file/d/1dA-xI-LIxcR9fUfK2Teoul4ATJp55IX9/view?usp=sharing</t>
    </r>
  </si>
  <si>
    <r>
      <rPr>
        <rFont val="Arial"/>
        <color rgb="FF000000"/>
        <sz val="11.0"/>
      </rPr>
      <t xml:space="preserve">Contrapartida da Secretaria Estadual de Segurança de  23.785.45. Proposta 2045/2020 - </t>
    </r>
    <r>
      <rPr>
        <rFont val="Arial"/>
        <color rgb="FF1155CC"/>
        <sz val="11.0"/>
        <u/>
      </rPr>
      <t>https://drive.google.com/file/d/1dA-xI-LIxcR9fUfK2Teoul4ATJp55IX9/view?usp=sharing</t>
    </r>
  </si>
  <si>
    <t>Rua Alfredo Chaves, 1333 – Bairro Exposição – Caxias do Sul, RS, CEP 95020-460.</t>
  </si>
  <si>
    <t>Recurso empenhado. Aguardando aceite da inexigibilidade de licitação por parte do Ministério da Justiça.</t>
  </si>
  <si>
    <r>
      <rPr>
        <rFont val="Arial"/>
        <color rgb="FF000000"/>
        <sz val="11.0"/>
      </rPr>
      <t xml:space="preserve">Contrapartida da Secretaria Estadual de Segurança de  33.028,00. Proposta 4591/2020 - </t>
    </r>
    <r>
      <rPr>
        <rFont val="Arial"/>
        <color rgb="FF1155CC"/>
        <sz val="11.0"/>
        <u/>
      </rPr>
      <t>https://drive.google.com/file/d/1d12Pvlf17mGPa5Mbtjy0ixgV_QkIzcMa/view?usp=sharing</t>
    </r>
    <r>
      <rPr>
        <rFont val="Arial"/>
        <color rgb="FF000000"/>
        <sz val="11.0"/>
      </rPr>
      <t xml:space="preserve"> </t>
    </r>
  </si>
  <si>
    <t>Prefeitura de Dom Pedrito</t>
  </si>
  <si>
    <t>Potencialização dos atrativos turísticos da região com a primeira Casa de Cultura de Dom Pedrito;</t>
  </si>
  <si>
    <t>R. João Inácio Teixeira, 70 - Centro, Pareci Novo - RS, 95783-000</t>
  </si>
  <si>
    <t>Prefeitura de Pareci Novo</t>
  </si>
  <si>
    <r>
      <rPr>
        <rFont val="Arial"/>
        <color rgb="FF000000"/>
        <sz val="11.0"/>
      </rPr>
      <t xml:space="preserve">Proposta 2174/2020 - </t>
    </r>
    <r>
      <rPr>
        <rFont val="Arial"/>
        <color rgb="FF1155CC"/>
        <sz val="11.0"/>
        <u/>
      </rPr>
      <t>https://drive.google.com/file/d/1d12Pvlf17mGPa5Mbtjy0ixgV_QkIzcMa/view?usp=sharing</t>
    </r>
  </si>
  <si>
    <t>Revitalização do Seminário Jesuíta São José</t>
  </si>
  <si>
    <t>Rua General Sampaio, 88 - Vila Nova, Alegrete - RS, CEP 97541-260</t>
  </si>
  <si>
    <t>Irmandade Da Santa Casa De Caridade De Alegrete Alegrete - Rs</t>
  </si>
  <si>
    <r>
      <rPr>
        <rFont val="Arial"/>
        <color rgb="FF000000"/>
        <sz val="11.0"/>
      </rPr>
      <t xml:space="preserve">Proposta 2174/2020 - </t>
    </r>
    <r>
      <rPr>
        <rFont val="Arial"/>
        <color rgb="FF1155CC"/>
        <sz val="11.0"/>
        <u/>
      </rPr>
      <t>https://drive.google.com/file/d/1d12Pvlf17mGPa5Mbtjy0ixgV_QkIzcMa/view?usp=sharing</t>
    </r>
  </si>
  <si>
    <t>Aquisisção de 1 carro de anestesia completo com ventilador integrado</t>
  </si>
  <si>
    <r>
      <rPr>
        <rFont val="Arial"/>
        <color rgb="FF000000"/>
        <sz val="11.0"/>
      </rPr>
      <t xml:space="preserve">Proposta 2174/2020 - </t>
    </r>
    <r>
      <rPr>
        <rFont val="Arial"/>
        <color rgb="FF1155CC"/>
        <sz val="11.0"/>
        <u/>
      </rPr>
      <t>https://drive.google.com/file/d/1d12Pvlf17mGPa5Mbtjy0ixgV_QkIzcMa/view?usp=sharing</t>
    </r>
  </si>
  <si>
    <t>(na licitação ficou em  330 mil)</t>
  </si>
  <si>
    <r>
      <rPr>
        <rFont val="Arial"/>
        <color rgb="FF000000"/>
        <sz val="11.0"/>
      </rPr>
      <t xml:space="preserve">Proposta 2174/2020 - </t>
    </r>
    <r>
      <rPr>
        <rFont val="Arial"/>
        <color rgb="FF1155CC"/>
        <sz val="11.0"/>
        <u/>
      </rPr>
      <t>https://drive.google.com/file/d/1d12Pvlf17mGPa5Mbtjy0ixgV_QkIzcMa/view?usp=sharing</t>
    </r>
  </si>
  <si>
    <t>Equipamentos e insumos para o IGP: espectrômetro na região do infravermelho.</t>
  </si>
  <si>
    <r>
      <rPr>
        <rFont val="Arial"/>
        <color rgb="FF000000"/>
        <sz val="11.0"/>
      </rPr>
      <t xml:space="preserve">Proposta 2174/2020 - </t>
    </r>
    <r>
      <rPr>
        <rFont val="Arial"/>
        <color rgb="FF1155CC"/>
        <sz val="11.0"/>
        <u/>
      </rPr>
      <t>https://drive.google.com/file/d/1d12Pvlf17mGPa5Mbtjy0ixgV_QkIzcMa/view?usp=sharing</t>
    </r>
  </si>
  <si>
    <t>Avenida Cruz Cabugá, 1563 – Santo Amaro, Recife – PE; Rua Doutor Cesário Mota Júnior, 112 – São Paulo – SP; Avenida Ernani Cardoso Cascadura, Rio de Janeiro – RJ (CEP 21310-310)</t>
  </si>
  <si>
    <r>
      <rPr>
        <rFont val="Arial"/>
        <color rgb="FF000000"/>
        <sz val="11.0"/>
      </rPr>
      <t xml:space="preserve">Proposta 2174/2020 - </t>
    </r>
    <r>
      <rPr>
        <rFont val="Arial"/>
        <color rgb="FF1155CC"/>
        <sz val="11.0"/>
        <u/>
      </rPr>
      <t>https://drive.google.com/file/d/1d12Pvlf17mGPa5Mbtjy0ixgV_QkIzcMa/view?usp=sharing</t>
    </r>
  </si>
  <si>
    <r>
      <rPr>
        <rFont val="Arial"/>
        <color rgb="FF000000"/>
        <sz val="11.0"/>
      </rPr>
      <t xml:space="preserve">Proposta 2174/2020 - </t>
    </r>
    <r>
      <rPr>
        <rFont val="Arial"/>
        <color rgb="FF1155CC"/>
        <sz val="11.0"/>
        <u/>
      </rPr>
      <t>https://drive.google.com/file/d/1d12Pvlf17mGPa5Mbtjy0ixgV_QkIzcMa/view?usp=sharing</t>
    </r>
  </si>
  <si>
    <r>
      <rPr>
        <rFont val="Arial"/>
        <color rgb="FF000000"/>
        <sz val="11.0"/>
      </rPr>
      <t xml:space="preserve">Proposta 2174/2020 - </t>
    </r>
    <r>
      <rPr>
        <rFont val="Arial"/>
        <color rgb="FF1155CC"/>
        <sz val="11.0"/>
        <u/>
      </rPr>
      <t>https://drive.google.com/file/d/1d12Pvlf17mGPa5Mbtjy0ixgV_QkIzcMa/view?usp=sharing</t>
    </r>
  </si>
  <si>
    <t>R. Dr. João Manoel Pereira, 951 - Centro, Guaporé - RS, 99200-000</t>
  </si>
  <si>
    <t>Associação Hospitalar Manoel Francisco Guerreiro - Hospital De Guaporé</t>
  </si>
  <si>
    <t>Aquisição de Aparelho de Raio-X Fixo Digital</t>
  </si>
  <si>
    <t>Rua Fernando Abott, 174 - Centro, Santa Cruz do Sul - RS, 96810-072</t>
  </si>
  <si>
    <t>Hospital Santa Cruz</t>
  </si>
  <si>
    <t>O recurso será utilizado para aquisição de um aparelho de raio X digital, que será alocado no Plantão de Atendimento - PA, a fim de garantir que os exames radiológicos são simples, rápido, indolor e não invasivo, que emprega radiação ionizante para gerar imagens digitais de áreas internas do organismo, mas extremamente importantes para as condutas de saúde no serviço de pronto atendimento.</t>
  </si>
  <si>
    <t>Municipio</t>
  </si>
  <si>
    <t>CNPJ/CNEES</t>
  </si>
  <si>
    <t>Hospital São Lucas da PUCRS, Porto Alegre, RS</t>
  </si>
  <si>
    <t>Modalidade de Aplicação</t>
  </si>
  <si>
    <t>Sociedade Beneficente Sa Piranguense, Sapiranga, RS</t>
  </si>
  <si>
    <t>Ministerio</t>
  </si>
  <si>
    <t>Numero da Proposta</t>
  </si>
  <si>
    <t>Rua Carlos Bianchini, 996, Marechal Floriano, Caxias do Sul – RS, 95013-000.</t>
  </si>
  <si>
    <t>Associacao Educadora Sao Carlos - Aesc Capão Da Canoa - Rs</t>
  </si>
  <si>
    <t>Aquisição de 02 sistemas de anestesia.</t>
  </si>
  <si>
    <t>Data do empenho</t>
  </si>
  <si>
    <t>Rua Silva Tavares, 1085 - Centro, Canguçu - RS, CEP 96600-000</t>
  </si>
  <si>
    <t xml:space="preserve">Empenho </t>
  </si>
  <si>
    <t>Fundo Municipal De Saude - Cangucu Canguçu - Rs</t>
  </si>
  <si>
    <t>Data do pagamento</t>
  </si>
  <si>
    <t>O recurso será utilizado para a aquisição de um Micro- ônibus para a área da saúde mental com o objetivo de transportar usuários dos serviços dando acesso as diversas áreas da saúde, tanto no tratamento de doenças como no trabalho de prevenção.</t>
  </si>
  <si>
    <t>Contato</t>
  </si>
  <si>
    <t>R. São Paulo, 800 - Parque 35, Guaíba - RS, 92500-000</t>
  </si>
  <si>
    <t>Hospital Regional Nelson Cornetet</t>
  </si>
  <si>
    <t>Recursos para aquisição de videoendoscópio flexivel para realização de exames de endoscopia digestiva alta e colonoscopia</t>
  </si>
  <si>
    <t>Essa emenda foi indicada no CNPJ da mantenedora, Associação Hospitalar Vila Nova, que fica em Porto Alegre.</t>
  </si>
  <si>
    <t>87.182.846/0001-78</t>
  </si>
  <si>
    <t>Pavimentação da Rua Ivo Koetz</t>
  </si>
  <si>
    <t>Fundação Hospitalar Dr Oswaldo Diesel, Três Coroas, RS</t>
  </si>
  <si>
    <t>Rua Ernesto Alves, 858, Centro, Santa Cruz do Sul - RS, CEP 96810-060, Brasil</t>
  </si>
  <si>
    <t>Fundo Municipal De Saude Santa Cruz Do Sul - Rs</t>
  </si>
  <si>
    <t>Aquisição equipamentos de informática e ambulância destinada a transporte para remoção simples, voltados ao fortalecimento da capacidade operacional dos serviços da Atenção Especializada em Saúde</t>
  </si>
  <si>
    <t>Rua São José, 2500 - Centro, Flores da Cunha - RS, CEP 95270-000, Caixa Postal 39.</t>
  </si>
  <si>
    <t>Rua Osvaldo Bastos, 622 - Centro, Maquiné/RS, CEP 95530-000</t>
  </si>
  <si>
    <t>Na aquisição de Ferramenta Forense para extração, processamento e apoio na análise de dados e informações a partir de plataformas eletrônicas portáteis o deputado contibuiu sozinho com 3 ferramentas totalizando  486.428,55. Proposta 2045/2020 - https://drive.google.com/file/d/1dA-xI-LIxcR9fUfK2Teoul4ATJp55IX9/view?usp=sharing</t>
  </si>
  <si>
    <t>Construção de Centro de Apoio ao Turista no município de Maquiné/RS.</t>
  </si>
  <si>
    <t>Rua das Hortênsias, 57 - Centro, Relvado - RS, CEP 95965-000</t>
  </si>
  <si>
    <t>Avenida 24 de Janeiro, 853 - Centro, São Martinho da Serra - RS, CEP 97190-000</t>
  </si>
  <si>
    <t>Hospital de Caridade de Santo Ângelo</t>
  </si>
  <si>
    <t>Prefeitura Municipal de Sobradinho, Rua General Osório, 200 – Centro, Sobradinho – RS 96900-000</t>
  </si>
  <si>
    <t>Fundo Estadual de Saúde</t>
  </si>
  <si>
    <t>Saude (Custeio - MAC)</t>
  </si>
  <si>
    <t>Polícia Civil, Dois Irmãos, RS</t>
  </si>
  <si>
    <t>Min da Saúde</t>
  </si>
  <si>
    <t>CNEES 2232154</t>
  </si>
  <si>
    <t>Brigada Militar, Cachoeirinha, RS</t>
  </si>
  <si>
    <t>Enpenhado</t>
  </si>
  <si>
    <t>Recurso para Implemento Mac - COVID-19</t>
  </si>
  <si>
    <t>Brigada Militar, Frederico Westphalen, RS</t>
  </si>
  <si>
    <t>(51) 3560-1011</t>
  </si>
  <si>
    <t>Individual</t>
  </si>
  <si>
    <t xml:space="preserve">Valor:  3.500.000,00 - Emenda Impositiva Individual na área da Segurança Pública no Orçamento Geral da União de 2022. 
Ação: 21BM - Desenvolvimento de Políticas de Segurança Pública, Prevenção e Enfrentamento à Criminalidade
Beneficiário: Secretaria da Segurança Pública Porto Alegre – RS
Brigada Militar 
- Duas SUV 118CV ( 234.954,25/un) -   469.908,50
- Duas PICK UP 4X4
( 384.370,17/un) -  768.740,34
Polícia Civil
- Duas SUV 118CV -  469.908,50
- Duas PICK UP 4X4 - 768.740,34
Corpo de Bombeiros
- três SUV 118CV -  704.862,75
- uma PICK UP 4X4 -  384.370,17
TOTAL:  3.566.530,60
</t>
  </si>
  <si>
    <t>Polícia Civil, Sapiranga, RS</t>
  </si>
  <si>
    <t>9º Batalhão de Bombeiro Militar, Tramandaí, RS</t>
  </si>
  <si>
    <r>
      <rPr>
        <rFont val="Arial"/>
        <color rgb="FF000000"/>
        <sz val="11.0"/>
      </rPr>
      <t xml:space="preserve">41160009 </t>
    </r>
    <r>
      <rPr>
        <rFont val="Arial"/>
        <color rgb="FF000000"/>
        <sz val="11.0"/>
      </rPr>
      <t>/ 41160001</t>
    </r>
  </si>
  <si>
    <t>Fundo Municipal de Saúde de Carlos Gomes - RS</t>
  </si>
  <si>
    <t>Município de Carlos Gomes</t>
  </si>
  <si>
    <t>Rua Mario Totta, 157 - Centro, Três Passos - RS, CEP 98600-000</t>
  </si>
  <si>
    <t>Associacao de Literatura E Beneficencia</t>
  </si>
  <si>
    <r>
      <rPr>
        <rFont val="Arial"/>
        <color rgb="FF1155CC"/>
        <sz val="11.0"/>
        <u/>
      </rPr>
      <t>7122 0006</t>
    </r>
    <r>
      <rPr>
        <rFont val="Arial"/>
        <sz val="11.0"/>
        <u/>
      </rPr>
      <t xml:space="preserve"> </t>
    </r>
  </si>
  <si>
    <t>Rua 21 de Abril, 1525 - Centro, Cachoeirinha - TO, CEP 77915-000</t>
  </si>
  <si>
    <t>Fundo Nacional de Saude</t>
  </si>
  <si>
    <t>12.126.869/0001-66</t>
  </si>
  <si>
    <t>Transferência Municipal Fundo a Fundo</t>
  </si>
  <si>
    <t>Saude (INCREMENTO PAB)</t>
  </si>
  <si>
    <t>Rua Galvão Gosta, 755 - Centro, Santa Cruz do Sul - RS, CEP 96810-510</t>
  </si>
  <si>
    <t>Paga</t>
  </si>
  <si>
    <t>08/04/2020 Portaria 706</t>
  </si>
  <si>
    <t>Recurso para Implemento PAB</t>
  </si>
  <si>
    <t>R. Monsenhor Jacob Seger, 186 - Centro, Arroio do Meio - RS, 95940-000</t>
  </si>
  <si>
    <t>Avenida Nestor de Moura Jardim, 111 - Centro, Guaíba - RS, CEP 92.704-300</t>
  </si>
  <si>
    <t>(51) 3716-1166</t>
  </si>
  <si>
    <t>Prefeitura Municipal do Rio Grande - Largo Engenheiro João Fernandes Moreira, S/N, CEP 96200-015, Rio Grande - RS, Brasil</t>
  </si>
  <si>
    <t>Transferência Estadual  Fdo a Fdo</t>
  </si>
  <si>
    <t>08/04/2020 Portaria 726</t>
  </si>
  <si>
    <r>
      <rPr>
        <rFont val="Arial"/>
        <color rgb="FF000000"/>
        <sz val="11.0"/>
      </rPr>
      <t xml:space="preserve">O valor indicado pelo deputado nessa emenda (41160012) é de  500 mil. Pela proposta da Sec. de Segurança do RS serão comprados 3 desencarceradores e 23 roupas de incêndio, com contrapartida do governo do RS. Proposta 2167/2020 - </t>
    </r>
    <r>
      <rPr>
        <rFont val="Arial"/>
        <color rgb="FF1155CC"/>
        <sz val="11.0"/>
        <u/>
      </rPr>
      <t>https://drive.google.com/file/d/1HFuozWEpW-69Bac0gN8IIG7uNPATNnEg/view?usp=sharing</t>
    </r>
  </si>
  <si>
    <t>Hospital São Roque, Carlos Barbosa, RS</t>
  </si>
  <si>
    <t>(53) 3240-3200</t>
  </si>
  <si>
    <t>11.232.569/0001-07</t>
  </si>
  <si>
    <r>
      <rPr>
        <rFont val="Arial"/>
        <color rgb="FF000000"/>
        <sz val="11.0"/>
        <u/>
      </rPr>
      <t xml:space="preserve">Proposta 1500/2020  -                          </t>
    </r>
    <r>
      <rPr>
        <rFont val="Arial"/>
        <color rgb="FF1155CC"/>
        <sz val="11.0"/>
        <u/>
      </rPr>
      <t>https://drive.google.com/file/d/1aVbHDu-DKviaNACegsEerGDS8Nd_-893/view?usp=sharing</t>
    </r>
  </si>
  <si>
    <t>Hospital Beneficente Nossa Senhora Aparecida, Muçum, RS</t>
  </si>
  <si>
    <t>09/04/2020 Portaria 770</t>
  </si>
  <si>
    <t>(51) 3696-1200</t>
  </si>
  <si>
    <r>
      <rPr>
        <rFont val="Arial"/>
        <color rgb="FF000000"/>
        <sz val="11.0"/>
        <u/>
      </rPr>
      <t xml:space="preserve">Proposta 1500/2020  -                          </t>
    </r>
    <r>
      <rPr>
        <rFont val="Arial"/>
        <color rgb="FF1155CC"/>
        <sz val="11.0"/>
        <u/>
      </rPr>
      <t>https://drive.google.com/file/d/1aVbHDu-DKviaNACegsEerGDS8Nd_-893/view?usp=sharing</t>
    </r>
  </si>
  <si>
    <r>
      <rPr>
        <rFont val="Arial"/>
        <color rgb="FF000000"/>
        <sz val="11.0"/>
        <u/>
      </rPr>
      <t xml:space="preserve">Proposta 1500/2020  -                          </t>
    </r>
    <r>
      <rPr>
        <rFont val="Arial"/>
        <color rgb="FF1155CC"/>
        <sz val="11.0"/>
        <u/>
      </rPr>
      <t>https://drive.google.com/file/d/1aVbHDu-DKviaNACegsEerGDS8Nd_-893/view?usp=sharing</t>
    </r>
  </si>
  <si>
    <r>
      <rPr>
        <rFont val="Arial"/>
        <color rgb="FF000000"/>
        <sz val="11.0"/>
        <u/>
      </rPr>
      <t xml:space="preserve">Proposta 1500/2020  -                          </t>
    </r>
    <r>
      <rPr>
        <rFont val="Arial"/>
        <color rgb="FF1155CC"/>
        <sz val="11.0"/>
        <u/>
      </rPr>
      <t>https://drive.google.com/file/d/1aVbHDu-DKviaNACegsEerGDS8Nd_-893/view?usp=sharing</t>
    </r>
  </si>
  <si>
    <t>Revitalização da zona bancária de Santo Antônio da Patrulha;</t>
  </si>
  <si>
    <r>
      <rPr>
        <rFont val="Arial"/>
        <color rgb="FF000000"/>
        <sz val="11.0"/>
        <u/>
      </rPr>
      <t xml:space="preserve">Proposta 1500/2020  -                          </t>
    </r>
    <r>
      <rPr>
        <rFont val="Arial"/>
        <color rgb="FF1155CC"/>
        <sz val="11.0"/>
        <u/>
      </rPr>
      <t>https://drive.google.com/file/d/1aVbHDu-DKviaNACegsEerGDS8Nd_-893/view?usp=sharing</t>
    </r>
  </si>
  <si>
    <t>Prefeitura de Presidente Lucena</t>
  </si>
  <si>
    <t>11.436.612/0001-48</t>
  </si>
  <si>
    <r>
      <rPr>
        <rFont val="Arial"/>
        <color rgb="FF000000"/>
        <sz val="11.0"/>
      </rPr>
      <t xml:space="preserve">Resultado do processo seletivo: </t>
    </r>
    <r>
      <rPr>
        <rFont val="Arial"/>
        <color rgb="FF1155CC"/>
        <sz val="11.0"/>
        <u/>
      </rPr>
      <t>http://marcelvanhattem.com.br/2020/wp-content/uploads/2021/09/EMENDA-TURISMO-2021.pdf</t>
    </r>
  </si>
  <si>
    <t>06/04/2020 Portaria 679</t>
  </si>
  <si>
    <t>Videomonitoramento (Transferência Especial) Transferegov: OB, no valor de R$ 240.000,00, enviada pagto em 30/08/2023. OB, no valor de R$ 160.000,00, enviada pagto em 02/10/2023.</t>
  </si>
  <si>
    <t>(54) 3455-4333</t>
  </si>
  <si>
    <t>11.389.385/0001-47</t>
  </si>
  <si>
    <t>Avenida Presidente Getúlio Vargas, 2266 - Bela Vista, Alvorada - RS, CEP 94810-001</t>
  </si>
  <si>
    <t>(51) 3634-8100</t>
  </si>
  <si>
    <t>Avenida Ildo Meneghetti, nº 757, Bairro XV de Novembro, Igrejinha - RS, CEP 95650-000</t>
  </si>
  <si>
    <r>
      <rPr>
        <rFont val="Arial"/>
        <color rgb="FF000000"/>
        <sz val="11.0"/>
      </rPr>
      <t xml:space="preserve">Proposta 21266/2021  - </t>
    </r>
    <r>
      <rPr>
        <rFont val="Arial"/>
        <color rgb="FF000000"/>
        <sz val="11.0"/>
        <u/>
      </rPr>
      <t>https://drive.google.com/file/d/100R98VIt1lNeUjjwm3cteeyTBJBt15O-/view?usp=sharing</t>
    </r>
    <r>
      <rPr>
        <rFont val="Arial"/>
        <color rgb="FF000000"/>
        <sz val="11.0"/>
      </rPr>
      <t xml:space="preserve">  </t>
    </r>
  </si>
  <si>
    <t>Rua Venâncio Aires, nº 2438 - Centro, São Luiz Gonzaga - RS, CEP 97800-000, Brasil (Paço Municipal Sepé Tiaraju)</t>
  </si>
  <si>
    <t>BOM PROGRESSO</t>
  </si>
  <si>
    <t>Avenida General Flores da Cunha, 449 - Centro, Sinimbu - RS, CEP 96890-000, Brasil.</t>
  </si>
  <si>
    <t>Municipio De Sinimbu Sinimbu - Rs</t>
  </si>
  <si>
    <t>Transferência Direta</t>
  </si>
  <si>
    <t>Educação (escolas agrotécnica)</t>
  </si>
  <si>
    <t>FNDE</t>
  </si>
  <si>
    <t>Recuperação da Praça do Imigrante no Município de Sinimbu – RS, que é o principal ponto turístico do município, e foi duramente destruído durante as enchentes do dia 30 de abril de 2024.</t>
  </si>
  <si>
    <r>
      <rPr>
        <rFont val="Arial"/>
        <color rgb="FF000000"/>
        <sz val="11.0"/>
      </rPr>
      <t xml:space="preserve">Resultado do processo seletivo: </t>
    </r>
    <r>
      <rPr>
        <rFont val="Arial"/>
        <color rgb="FF1155CC"/>
        <sz val="11.0"/>
        <u/>
      </rPr>
      <t>http://marcelvanhattem.com.br/2020/wp-content/uploads/2021/09/EMENDA-TURISMO-2021.pdf</t>
    </r>
  </si>
  <si>
    <t>Corpo de Bombeiros Militar</t>
  </si>
  <si>
    <t>(55) 3528-6032</t>
  </si>
  <si>
    <t>Praça da Bandeira, 354 - Centro, Erechim - RS, CEP 99700-010</t>
  </si>
  <si>
    <t>Municipio De Erechim Erechim - Rs</t>
  </si>
  <si>
    <r>
      <rPr>
        <rFont val="Arial"/>
        <color rgb="FF000000"/>
        <sz val="11.0"/>
      </rPr>
      <t xml:space="preserve">Proposta 20877/2021 - </t>
    </r>
    <r>
      <rPr>
        <rFont val="Arial"/>
        <color rgb="FF000000"/>
        <sz val="11.0"/>
        <u/>
      </rPr>
      <t>https://drive.google.com/file/d/1zay9tOPtsNNVzpC6ZdFBF2vYKCbjoI0d/view?usp=sharing</t>
    </r>
  </si>
  <si>
    <t>10.819.930/0001-25</t>
  </si>
  <si>
    <t>Revitalização e Reforma da Escadaria Por do sol</t>
  </si>
  <si>
    <t>Praça Arthur Ritter de Medeiros, S/N - Centro, CEP 99400-000, Espumoso - RS</t>
  </si>
  <si>
    <t>Municipio De Espumoso Espumoso - Rs</t>
  </si>
  <si>
    <t>(51) 3789-1122</t>
  </si>
  <si>
    <t>Revitalização e Modernização do Parque de Exposições Armídio Bertani</t>
  </si>
  <si>
    <r>
      <rPr>
        <rFont val="Arial"/>
        <color rgb="FF000000"/>
        <sz val="11.0"/>
      </rPr>
      <t xml:space="preserve">Proposta 20877/2021 - </t>
    </r>
    <r>
      <rPr>
        <rFont val="Arial"/>
        <color rgb="FF000000"/>
        <sz val="11.0"/>
        <u/>
      </rPr>
      <t>https://drive.google.com/file/d/1zay9tOPtsNNVzpC6ZdFBF2vYKCbjoI0d/view?usp=sharing</t>
    </r>
  </si>
  <si>
    <t>Rua Uruguai, 155 - Centro, Porto Mauá - RS, CEP 98947-000, Brasil</t>
  </si>
  <si>
    <t>Municipio De Porto Maua Porto Mauá - Rs</t>
  </si>
  <si>
    <r>
      <rPr>
        <rFont val="Arial"/>
        <color rgb="FF000000"/>
        <sz val="11.0"/>
      </rPr>
      <t xml:space="preserve">Proposta 20877/2021 - </t>
    </r>
    <r>
      <rPr>
        <rFont val="Arial"/>
        <color rgb="FF000000"/>
        <sz val="11.0"/>
        <u/>
      </rPr>
      <t>https://drive.google.com/file/d/1zay9tOPtsNNVzpC6ZdFBF2vYKCbjoI0d/view?usp=sharing</t>
    </r>
  </si>
  <si>
    <r>
      <rPr>
        <rFont val="Arial"/>
        <color rgb="FF000000"/>
        <sz val="11.0"/>
      </rPr>
      <t xml:space="preserve">Resultado do processo seletivo: </t>
    </r>
    <r>
      <rPr>
        <rFont val="Arial"/>
        <color rgb="FF1155CC"/>
        <sz val="11.0"/>
        <u/>
      </rPr>
      <t>http://marcelvanhattem.com.br/2020/wp-content/uploads/2021/09/EMENDA-TURISMO-2021.pdf</t>
    </r>
  </si>
  <si>
    <t>Desenvolvimento revitalização sustentável da Orla de Porto Mauá.</t>
  </si>
  <si>
    <r>
      <rPr>
        <rFont val="Arial"/>
        <color rgb="FF000000"/>
        <sz val="11.0"/>
      </rPr>
      <t xml:space="preserve">Na aquisição de 02 viaturas caracterizadas tipo SUV, o deputado Marcel contribuiu com  26.383,34. Outros parlamentares contribuíram com  300.000,00 (emenda nº 40330009),  13.191,67 (emenda nº 41210006),  3.184,67 (emenda nº 40330005) e  30.856,98 (contrapartida do estado). Proposta 21266/2021  - </t>
    </r>
    <r>
      <rPr>
        <rFont val="Arial"/>
        <color rgb="FF000000"/>
        <sz val="11.0"/>
        <u/>
      </rPr>
      <t>https://drive.google.com/file/d/100R98VIt1lNeUjjwm3cteeyTBJBt15O-/view?usp=sharing</t>
    </r>
    <r>
      <rPr>
        <rFont val="Arial"/>
        <color rgb="FF000000"/>
        <sz val="11.0"/>
      </rPr>
      <t xml:space="preserve"> </t>
    </r>
  </si>
  <si>
    <t>Rua Tito Beccon, nº 1754, Santiago - RS, CEP 97.700-910</t>
  </si>
  <si>
    <t>Municipio De Santiago Santiago - Rs</t>
  </si>
  <si>
    <t>Revitalização da Praça Franklin Frota Município de Santiago.</t>
  </si>
  <si>
    <t>10.616.321/0001-79</t>
  </si>
  <si>
    <t>Prefeitura Municipal de Taquara, Rua Tristão Monteiro, 1278 - Centro, Taquara - RS, CEP 95600-000</t>
  </si>
  <si>
    <t>Municipio De Taquara Taquara - Rs</t>
  </si>
  <si>
    <r>
      <rPr>
        <rFont val="Arial"/>
        <color rgb="FF000000"/>
        <sz val="11.0"/>
      </rPr>
      <t xml:space="preserve">Resultado do processo seletivo: </t>
    </r>
    <r>
      <rPr>
        <rFont val="Arial"/>
        <color rgb="FF1155CC"/>
        <sz val="11.0"/>
        <u/>
      </rPr>
      <t>http://marcelvanhattem.com.br/2020/wp-content/uploads/2021/09/EMENDA-TURISMO-2021.pdf</t>
    </r>
  </si>
  <si>
    <t>Construção da Feira do Produtor na Rua Coberta de Taquara.</t>
  </si>
  <si>
    <t>(51) 3697-1212</t>
  </si>
  <si>
    <t>12.100.062/0001-54</t>
  </si>
  <si>
    <t>Municipio De Santa Maria Santa Maria - Rs</t>
  </si>
  <si>
    <r>
      <rPr>
        <rFont val="Arial"/>
        <color rgb="FF000000"/>
        <sz val="11.0"/>
      </rPr>
      <t xml:space="preserve">O valor total indicado para o município nessa emenda (41160005) é de  201.895,56. Sendo  18.0837,86 do deputado, com contrapartida de 10,43% =  21.057,70. Detalhamento:  159.074,89 - Viatura Tática de Transporte Rápido;  8.200,00 - Escudo Balístico;  34.620,67 - Espingarda PUMP Calibre 12. . Proposta 024831/2021 - </t>
    </r>
    <r>
      <rPr>
        <rFont val="Arial"/>
        <color rgb="FF000000"/>
        <sz val="11.0"/>
        <u/>
      </rPr>
      <t>https://drive.google.com/file/d/1mCz2mZU6VW77kVuqa9wnRbEiD-TvMQMu/view?usp=sharing</t>
    </r>
  </si>
  <si>
    <t>A criação de uma Base Móvel Comunitária de Videomonitoramento para ser utilizada em pontos estratégicos do nosso município, grandes eventos em que se tenha um elevado fluxo de pessoas, Catástrofes Climáticas e para aproximar a segurança pública dos bairros.</t>
  </si>
  <si>
    <t>CNEES 5602742</t>
  </si>
  <si>
    <t>Avenida Brasil, 399 - Centro, Santo Ângelo - RS, CEP 98801-590</t>
  </si>
  <si>
    <t>Municipio De Santo Angelo Santo Ângelo - Rs</t>
  </si>
  <si>
    <t>(54) 3251-1532</t>
  </si>
  <si>
    <t>Câmeras de segurança;</t>
  </si>
  <si>
    <t>Palácio Rio Branco, Rua 15 de Novembro, 1882 - Centro, Uruguaiana - RS, CEP 97501-532</t>
  </si>
  <si>
    <r>
      <rPr>
        <rFont val="Arial"/>
        <color rgb="FF000000"/>
        <sz val="11.0"/>
      </rPr>
      <t xml:space="preserve">Proposta 21266/2021  - </t>
    </r>
    <r>
      <rPr>
        <rFont val="Arial"/>
        <color rgb="FF000000"/>
        <sz val="11.0"/>
        <u/>
      </rPr>
      <t>https://drive.google.com/file/d/100R98VIt1lNeUjjwm3cteeyTBJBt15O-/view?usp=sharing</t>
    </r>
    <r>
      <rPr>
        <rFont val="Arial"/>
        <color rgb="FF000000"/>
        <sz val="11.0"/>
      </rPr>
      <t xml:space="preserve">  </t>
    </r>
  </si>
  <si>
    <t>Municipio De Uruguaiana Uruguaiana - Rs</t>
  </si>
  <si>
    <t>Cercamento Eletrônico</t>
  </si>
  <si>
    <r>
      <rPr>
        <rFont val="Arial"/>
        <color rgb="FF000000"/>
        <sz val="11.0"/>
      </rPr>
      <t xml:space="preserve">O deputado Marcel contribuiu com  400.000,00, com contrapartida de  57.030,19. Proposta 021355/2021 - </t>
    </r>
    <r>
      <rPr>
        <rFont val="Arial"/>
        <color rgb="FF1155CC"/>
        <sz val="11.0"/>
        <u/>
      </rPr>
      <t>https://drive.google.com/file/d/1snCNLonqwErA_N4mdpMmTLDYHoa30OB3/view?usp=sharing</t>
    </r>
  </si>
  <si>
    <t>Avenida Professor Sérgio Beninho Gheno, 1046 - Centro, Vespasiano Corrêa - RS, CEP 95972-000</t>
  </si>
  <si>
    <t>Municipio De Vespasiano Correa Vespasiano Corrêa - Rs</t>
  </si>
  <si>
    <t>11.310.266/0001-57</t>
  </si>
  <si>
    <t>Rua Eugênio Kuhn, 300, Centro, Alto Feliz - RS, CEP 95773-000</t>
  </si>
  <si>
    <t>CNEES 2232073</t>
  </si>
  <si>
    <r>
      <rPr>
        <rFont val="Arial"/>
        <color rgb="FF000000"/>
        <sz val="11.0"/>
      </rPr>
      <t xml:space="preserve">O valor total indicado pelo para o município nessa emenda (41160005) é de  201.895,56. Sendo  18.0837,86 do deputado, com contrapartida de 10,43% =  21.057,70.   Detalhamento:  34.620,67 - Espingarda PUMP Calibre 12;   8.200,00 - Escudo Balístico;  159.074,89 - Viatura Tática de Transporte Rápido. Proposta 024831/2021 - </t>
    </r>
    <r>
      <rPr>
        <rFont val="Arial"/>
        <color rgb="FF000000"/>
        <sz val="11.0"/>
        <u/>
      </rPr>
      <t>https://drive.google.com/file/d/1mCz2mZU6VW77kVuqa9wnRbEiD-TvMQMu/view?usp=sharing</t>
    </r>
  </si>
  <si>
    <t>(51) 3598-8600</t>
  </si>
  <si>
    <t xml:space="preserve">O valor indicado para o município nesta emenda (41160005) é de  42.820,67. Sendo  38.354,48 do deputado, com contrapartida de 10,43% =  4466,19. Detalhamento:  8.200,00 - Escudo balístico;  34.620,67 - 10 espingardas . Proposta 024831/2021 - https://drive.google.com/file/d/1mCz2mZU6VW77kVuqa9wnRbEiD-TvMQMu/view?usp=sharing </t>
  </si>
  <si>
    <t>Unidade da Brigada Militar a ser definida pelo militar</t>
  </si>
  <si>
    <t>Rua João Gonçalves, 296 - Centro, Bossoroca - RS, CEP 97850-000</t>
  </si>
  <si>
    <t>Municipio de Bossoroca</t>
  </si>
  <si>
    <r>
      <rPr>
        <rFont val="Arial"/>
        <color rgb="FF000000"/>
        <sz val="11.0"/>
      </rPr>
      <t xml:space="preserve">Na aquisição das viaturas caracterizadas o deputado Marcel contribuiu com  1.000.000,00 com contrapartida  64.586,67. Proposta 021307/2021:                                                                                                         </t>
    </r>
    <r>
      <rPr>
        <rFont val="Arial"/>
        <color rgb="FF1155CC"/>
        <sz val="11.0"/>
        <u/>
      </rPr>
      <t>https://drive.google.com/file/d/1yonAHlCerIqzVP-hw2Ps4plFF2TWlLr3/view?usp=sharing</t>
    </r>
    <r>
      <rPr>
        <rFont val="Arial"/>
        <color rgb="FF000000"/>
        <sz val="11.0"/>
      </rPr>
      <t xml:space="preserve">                      </t>
    </r>
  </si>
  <si>
    <t>Rua Santa Teresa, 821 - Centro, Campina das Missões - RS, CEP 98975-000</t>
  </si>
  <si>
    <t>Municipio de Campina Das Missoes</t>
  </si>
  <si>
    <t>Avenida Coronel Orestes Lucas, 2335 - Centro, Capela de Santana - RS, CEP 95745-000</t>
  </si>
  <si>
    <t>Municipio de Capela de Santana</t>
  </si>
  <si>
    <t>12.013.178/0001-56</t>
  </si>
  <si>
    <r>
      <rPr>
        <rFont val="Arial"/>
        <color rgb="FF000000"/>
        <sz val="11.0"/>
      </rPr>
      <t xml:space="preserve">Viatura caracterizada tipo motocicleta. Valor total (17 motocicletas)  665.691,61. Proposta - 028449: </t>
    </r>
    <r>
      <rPr>
        <rFont val="Arial"/>
        <color rgb="FF000000"/>
        <sz val="11.0"/>
        <u/>
      </rPr>
      <t>https://drive.google.com/file/d/1WlGh1kHSwuugd7ZkBZBGgSXTxeI_v28C/view?usp=sharing</t>
    </r>
  </si>
  <si>
    <t>Rua Tiradentes, 778 - Centro, Casca - RS, CEP 99260-000</t>
  </si>
  <si>
    <t>CNEES 2235609</t>
  </si>
  <si>
    <t>Municipio de Casca</t>
  </si>
  <si>
    <t>Rua do Interventor, 510 - Centro, Ibiaçá - RS, CEP 99.940-000, Brasil</t>
  </si>
  <si>
    <r>
      <rPr>
        <rFont val="Arial"/>
        <color rgb="FF000000"/>
        <sz val="11.0"/>
      </rPr>
      <t xml:space="preserve">Aquisição de 2 viaturas pick up ostensiva com cela. O valor total da emenda é de 1.650.930,54 que inclui 05 viaturas discretas tipo Sedan. Com contrapartida de 33.692,46. Proposta 028239: </t>
    </r>
    <r>
      <rPr>
        <rFont val="Arial"/>
        <color rgb="FF000000"/>
        <sz val="11.0"/>
        <u/>
      </rPr>
      <t>https://drive.google.com/file/d/13UJPbFK0izb7oc7oPflF1d60qA_i3jsW/view?usp=sharing</t>
    </r>
  </si>
  <si>
    <t>Municipio de Ibiaca</t>
  </si>
  <si>
    <t>(54) 3282-5100</t>
  </si>
  <si>
    <t>Municipio de Morro Reuter</t>
  </si>
  <si>
    <r>
      <rPr>
        <rFont val="Arial"/>
        <color rgb="FF000000"/>
        <sz val="11.0"/>
      </rPr>
      <t xml:space="preserve">Aquisição de 01 viatura de resgate e salvamento. Com contrapartida  33.966,66. Valor total  353.966,66. Proposta  - 028534: </t>
    </r>
    <r>
      <rPr>
        <rFont val="Arial"/>
        <color rgb="FF000000"/>
        <sz val="11.0"/>
        <u/>
      </rPr>
      <t>https://drive.google.com/file/d/1z0Sm5HAnkqAcRLsVO6CusjDhOGmRDcIF/view?usp=sharing</t>
    </r>
  </si>
  <si>
    <t>Rua Bento Gonçalves, 1020 - Centro, Mostardas - RS, CEP 96270-000</t>
  </si>
  <si>
    <t>Municipio de Mostardas</t>
  </si>
  <si>
    <t>Construção de um parque urbano</t>
  </si>
  <si>
    <t>Rua Dr. João Freitas, 75, Centro, Passo Fundo - RS, CEP 99010-005</t>
  </si>
  <si>
    <t>Municipio de Passo Fundo</t>
  </si>
  <si>
    <r>
      <rPr>
        <rFont val="Arial"/>
        <color rgb="FF000000"/>
        <sz val="11.0"/>
      </rPr>
      <t xml:space="preserve">Aquisição 04 viatura caracterizada tipo PickUp. Valor total  1.280.468,00. Proposta 028449 : </t>
    </r>
    <r>
      <rPr>
        <rFont val="Arial"/>
        <color rgb="FF000000"/>
        <sz val="11.0"/>
        <u/>
      </rPr>
      <t>https://drive.google.com/file/d/1WlGh1kHSwuugd7ZkBZBGgSXTxeI_v28C/view?usp=sharing</t>
    </r>
  </si>
  <si>
    <t>Rua Tito Beccon, nº 1.754, Centro, Santiago - RS, CEP 97700-910, Brasil</t>
  </si>
  <si>
    <t>Municipio de Santiago</t>
  </si>
  <si>
    <t>Prefeitura Municipal de São João do Polêsine, Rua Guilherme Alberti, 1631 - Centro, São João do Polêsine - RS, CEP 97230-000</t>
  </si>
  <si>
    <t>Municipio de Sao Joao Do Polesine</t>
  </si>
  <si>
    <t>Equipamentos para o Centro/Núcleo de Atenção Psicossocial (CAPS/NAPS)
 e veículo de transporte de equipe (5 lugares). Recurso enviado via Fundo Municipal de Saúde de São Borja.  || Inicialmente era uma pick-up para atendimento da equipe de saúde do interior, no entanto o Ministério da Saúde não aceitou essa proposta, mesmo que anteriormente constasse na lista de equipamentos passíveis de aquisição por parte da Prefeitura Municipal. Diante dessa situação, cadastrou-se um veículo de 5 lugares e equipamentos para o CAPS do município, ligado também à área da saúde. Na proposta é possível verificar o que será comprado com o recurso da emenda.</t>
  </si>
  <si>
    <t xml:space="preserve">Proposta 10610784000121006 no Fundo Nacional de Saúde - https://drive.google.com/file/d/1aDObxpbsBjwlksXrkLajbqjPN4rHK6G6/view?usp=sharing </t>
  </si>
  <si>
    <t>Aeronáutica</t>
  </si>
  <si>
    <t>Base Aérea de Santa Maria</t>
  </si>
  <si>
    <t>Rua Floriano Peixoto, 222 - Centro, São Pedro do Sul - RS, CEP 97400-000</t>
  </si>
  <si>
    <t xml:space="preserve">Forças Armadas </t>
  </si>
  <si>
    <t>Municipio de Sao Pedro Do Sul</t>
  </si>
  <si>
    <t>Inserido na LOA 2022, ainda a ser aprovada.</t>
  </si>
  <si>
    <t>O Programa Forças no Esporte - PROFESP da Base Aérea de Santa Maria (BASM), localizado no Município de Santa Maria - RS,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t>
  </si>
  <si>
    <t>Rua Sete de Setembro, 90, Centro, Frederico Westphalen, RS, 98400-000</t>
  </si>
  <si>
    <t>11.413.650/0001-85</t>
  </si>
  <si>
    <t>Rua 510, 76 – Aceguá – RS, CEP 96445-000</t>
  </si>
  <si>
    <t>Municipio de Acegua</t>
  </si>
  <si>
    <t>(51) 3478-8000</t>
  </si>
  <si>
    <t>Transferênicia Especial para Segurança</t>
  </si>
  <si>
    <t>Transferência Especial</t>
  </si>
  <si>
    <t>(51) 2102-1000</t>
  </si>
  <si>
    <t>Avenida Dário Roman, 695 - Centro, Água Santa - RS, CEP 99965-000</t>
  </si>
  <si>
    <t>Municipio de Agua Santa</t>
  </si>
  <si>
    <t>CNEES 3819590</t>
  </si>
  <si>
    <t>(54) 3625-3027</t>
  </si>
  <si>
    <t>Rua Padre Hermínio Catelli, 659, Centro - Anta Gorda/RS, CEP 95980-000</t>
  </si>
  <si>
    <t>Municipio de Anta Gorda</t>
  </si>
  <si>
    <t>Rua Coronel Jorge Frantz, 675 - Centro, Cerro Largo - RS, CEP 97900-000</t>
  </si>
  <si>
    <t>Municipio de Cerro Largo</t>
  </si>
  <si>
    <t>Calle Eduardo Dato, 7, 41450 Constantina, Sevilla, Espanha</t>
  </si>
  <si>
    <t>Municipio de Constantina</t>
  </si>
  <si>
    <t>CARAZINHO</t>
  </si>
  <si>
    <t>(54) 3330-9610</t>
  </si>
  <si>
    <t>Municipio de Esteio</t>
  </si>
  <si>
    <t>11.836.978/0001-04</t>
  </si>
  <si>
    <t>CNEES 2262274</t>
  </si>
  <si>
    <t>(54) 3331-2699</t>
  </si>
  <si>
    <t>Praça dos Andradas, s/n, Centro, Jacutinga, MG, CEP 37590-000</t>
  </si>
  <si>
    <t>Municipio de Jacutinga</t>
  </si>
  <si>
    <t>Rua Dr. Pires Porto, 365, Centro, Lavras do Sul - RS, CEP 97390-000</t>
  </si>
  <si>
    <t>Municipio de Lavras Do Sul</t>
  </si>
  <si>
    <t>Avenida Frei Teófilo, 414, Centro, Machadinho, RS, CEP 99880-000.</t>
  </si>
  <si>
    <t>Municipio de Machadinho</t>
  </si>
  <si>
    <t>10.372.245/0001-01</t>
  </si>
  <si>
    <t>Avenida Presidente Castelo Branco, 1033 - Centro, Paraí - RS, CEP 95360-000</t>
  </si>
  <si>
    <t>Municipio de Parai</t>
  </si>
  <si>
    <t>(54) 3461-8800</t>
  </si>
  <si>
    <t>Municipio de Sao Marcos</t>
  </si>
  <si>
    <t>Rua Alecrim, 120, Centro, Trindade do Sul - RS, CEP 99615-000</t>
  </si>
  <si>
    <t>Municipio de Trindade Do Sul</t>
  </si>
  <si>
    <t>10.546.325/0001-28</t>
  </si>
  <si>
    <t>Praça Júlio de Castilhos, s/n - Centro, Viamão, RS, CEP 94410-055.</t>
  </si>
  <si>
    <t>Municipio de Viamao</t>
  </si>
  <si>
    <t>30/03/2020 Portaria 599</t>
  </si>
  <si>
    <t>Município de Flores da Cunha - RS</t>
  </si>
  <si>
    <t>(54) 2108-8333</t>
  </si>
  <si>
    <t>Município de Flores da Cunha</t>
  </si>
  <si>
    <t>(54) 3218-7200</t>
  </si>
  <si>
    <t>Município de David Canabarro - RS</t>
  </si>
  <si>
    <t>Município de David Canabarro</t>
  </si>
  <si>
    <t>DILERMANDO DE AGUIAR</t>
  </si>
  <si>
    <t>Prefeitura Municipal de Dilermando de Aguiar</t>
  </si>
  <si>
    <t>Município de Nova Petrópolis - RS</t>
  </si>
  <si>
    <t>Município de Nova Petrópolis</t>
  </si>
  <si>
    <t>01.609.404/0001-40</t>
  </si>
  <si>
    <t>Transferência Especial para Segurança</t>
  </si>
  <si>
    <t>Segurança Publica</t>
  </si>
  <si>
    <t>Avenida Konrad Adenauer, 1870 - Panambi - RS, CEP 98280-000</t>
  </si>
  <si>
    <t>Municipio De Panambi Panambi - Rs</t>
  </si>
  <si>
    <t>Ministério da Justiça e Segurança Publica</t>
  </si>
  <si>
    <t>Compra e entrega direta</t>
  </si>
  <si>
    <t>Conjunto Desencarcerador, equipamento essencial utilizado pelo Corpo de Bombeiros</t>
  </si>
  <si>
    <t>Empenhada</t>
  </si>
  <si>
    <t>Rua Diniz Dias, 309, Odila, Ibirubá - RS, CEP 98200-000</t>
  </si>
  <si>
    <t>Associacao Hospitalar Annes Dias Ibirubá - Rs</t>
  </si>
  <si>
    <t>Av. Ibicuí, 1001 - Centro, Dilermando de Aguiar - RS, 97180-000</t>
  </si>
  <si>
    <t>Intensificador de Imagens</t>
  </si>
  <si>
    <t>(55) 3612-4246</t>
  </si>
  <si>
    <t>Município de Santa Maria - RS</t>
  </si>
  <si>
    <t>Município de Santa Maria</t>
  </si>
  <si>
    <t>CNEES 6844138</t>
  </si>
  <si>
    <t>(51) 3564-8800</t>
  </si>
  <si>
    <t>R. Cel - R. Cristóvão Gomes de Andrade, 665 - Centro, Camaquã - RS, 96180-000</t>
  </si>
  <si>
    <t>Nossa Senhora Aparecida</t>
  </si>
  <si>
    <t>Mobiliário para nova unidade de internação com 46 leitos 100% SUS</t>
  </si>
  <si>
    <t>Associacao Beneficente Hospital Santo Atonio</t>
  </si>
  <si>
    <t>11.437.296/0001-29</t>
  </si>
  <si>
    <t>Pc Pres Getúlio Vargas - Sarandi, RS, 99560-000</t>
  </si>
  <si>
    <t>Aquisição de viaturas (Transferência Especial) Transferegov: OB enviada pagto em 30/08/2023.</t>
  </si>
  <si>
    <t>Prefeitura de Carlos Barbosa</t>
  </si>
  <si>
    <t>Revitalização da Feira do Produtor e construção de Memorial das Bandeiras das Etnias de Carlos Barbosa</t>
  </si>
  <si>
    <t>Hospital São Sebastiao Martir, Venâncio Aires, RS</t>
  </si>
  <si>
    <t>DOM PEDRITO</t>
  </si>
  <si>
    <t>12.149.722/0001-91</t>
  </si>
  <si>
    <t>(51) 3751-0100</t>
  </si>
  <si>
    <t>Rua Alcy Ramos Tomasi, 46 - Centro, Três de Maio - RS, CEP 98910-000</t>
  </si>
  <si>
    <t>Municipio De Tres De Maio Três De Maio - Rs</t>
  </si>
  <si>
    <t>Aquisição de retroescavadeira</t>
  </si>
  <si>
    <t>Felix da Cunha, Centro, Pelotas, RS, CEP 96010-000</t>
  </si>
  <si>
    <t>Associacao Pelotense De Assistencia E Cultura Pelotas - Rs</t>
  </si>
  <si>
    <t>Sistema de Bomba Intraórtico / Balão Intraórtico</t>
  </si>
  <si>
    <t>Avenida General Osório, 533 - Centro, Cruz Alta - RS, CEP 98005-150</t>
  </si>
  <si>
    <t>Municipio De Cruz Alta Cruz Alta - Rs</t>
  </si>
  <si>
    <t>ERECHIM</t>
  </si>
  <si>
    <t>Aquisição de viaturas e drones integrandointegrado com a Brigada Militar</t>
  </si>
  <si>
    <t>(54) 3522-1090</t>
  </si>
  <si>
    <t>(54) 3520-2100</t>
  </si>
  <si>
    <t>CNEES 2707632</t>
  </si>
  <si>
    <t>(51) 3561-4050</t>
  </si>
  <si>
    <t>Rua Dr. Afrânio Hidalgo Lemos, 549, Centro, Dois Lajeados/RS, CEP 99220-000</t>
  </si>
  <si>
    <t>Avenida Borges de Medeiros, 50 - Centro, Muçum - RS, CEP 95970-000</t>
  </si>
  <si>
    <t>Exército, Alegrete/RS</t>
  </si>
  <si>
    <t>12.140.369/0001-89</t>
  </si>
  <si>
    <t>Recurso pago parcialmente</t>
  </si>
  <si>
    <t>Valor pago: R$ 357.374,65</t>
  </si>
  <si>
    <t>Aprovada</t>
  </si>
  <si>
    <t xml:space="preserve">Emenda agrupada com outros Parlamentares </t>
  </si>
  <si>
    <t>(51) 3433-8100</t>
  </si>
  <si>
    <t>Fundo Municipal De Saude Novo Hamburgo - Rs</t>
  </si>
  <si>
    <t>14.296.302/0001-63</t>
  </si>
  <si>
    <t>RS-211 até RS-324 (Campinas do Sul e Ronda Alta), , RS</t>
  </si>
  <si>
    <t>02/04/2020 Portaria 651</t>
  </si>
  <si>
    <t>(54) 3261-8700</t>
  </si>
  <si>
    <t>11.484.627/0001-81</t>
  </si>
  <si>
    <t>(51) 3637-4200</t>
  </si>
  <si>
    <t>Prefeitura Municipal, Gramado, RS</t>
  </si>
  <si>
    <t>Recurso pago, no valor de R$ 481.104, 00, conforme planilha de pgto de emendas de 31/08/2023 e consulta TRANSFEREGOV (OB paga em 22/08/2023). A diferença de R$ 18.896,00 refere-se a tarifa Caixa.</t>
  </si>
  <si>
    <t>Hospital Montenegro 100% SUS, Montenegro, RS</t>
  </si>
  <si>
    <t>11.427.873/0001-00</t>
  </si>
  <si>
    <t xml:space="preserve"> 150,000,00</t>
  </si>
  <si>
    <t>(54) 3462-8200</t>
  </si>
  <si>
    <t xml:space="preserve">
Pavimentação asfáltica da Estrada Linha Ávila Alta-Trecho 01.
</t>
  </si>
  <si>
    <t>Irmandade da Santa Casa de Misericórdia de Porto Alegre, Porto Alegre, RS</t>
  </si>
  <si>
    <t>Em execução. Total pago: R$ 463.328,00 (29/02/2024)</t>
  </si>
  <si>
    <t>Polícia Rodoviária Federal, São Leopoldo, RS</t>
  </si>
  <si>
    <t>Ponte de Tramandaí-RS, Tramandaí, RS</t>
  </si>
  <si>
    <t>11.796.566/0001-98</t>
  </si>
  <si>
    <t>Av. Venâncio Aires, 163 - Centro, Cruz Alta - RS, 98025-790</t>
  </si>
  <si>
    <t>Associação Das Damas De Caridade - Hospital De Caridade São Vicente De Paulo</t>
  </si>
  <si>
    <t>CNEES 2241153</t>
  </si>
  <si>
    <t>(54) 3286-0200</t>
  </si>
  <si>
    <t>A captação de recursos para aquisição de materiais, medicamentos e insumos, de modo à garantir a manutenção dos serviços do Hospital de Caridade São Vicente de Paulo.</t>
  </si>
  <si>
    <t>Universidade Federal de Santa Maria - UFSM - Av. Roraima, 1000 - Prédio 22 - Camobi, Santa Maria - RS, 97105-900</t>
  </si>
  <si>
    <t>Hospital Universitário De Santa Maria</t>
  </si>
  <si>
    <t>Não foi possível executar a indicação porque o Ministério da Saúde não aceitou em 2023 destinar verbas a hospitais universitários.</t>
  </si>
  <si>
    <t>Ultrassom com ecocardiografia transesofagica</t>
  </si>
  <si>
    <t>Lançado no SIOP como beneficiário EBSERH Brasília (mantenedora)</t>
  </si>
  <si>
    <t>São Lourenço Do Sul</t>
  </si>
  <si>
    <t>12.391.928/0001-23</t>
  </si>
  <si>
    <t>R. Alm. Abreu, 437 - São Lourenço do Sul, RS, 96170-000</t>
  </si>
  <si>
    <t>Santa Casa De Misericórdia De São Lourenço Do Sul</t>
  </si>
  <si>
    <t>04/05/2020 portaria 977</t>
  </si>
  <si>
    <t>(51) 3480-7000</t>
  </si>
  <si>
    <t>PF</t>
  </si>
  <si>
    <t>PRF</t>
  </si>
  <si>
    <t>GUAPORÉ</t>
  </si>
  <si>
    <t>RS-307, 4 - Auxiliadora, Santa Rosa - RS, 98900-000</t>
  </si>
  <si>
    <t>Reforma, ampliação e reaparelhamento do Aeroporto de Santa Rosa/RS – Fundo Nacional de Aviação Civil – FNAC – Ação 15YQ</t>
  </si>
  <si>
    <t>(54) 3443-1604</t>
  </si>
  <si>
    <t>GUARANI DAS MISSÕES</t>
  </si>
  <si>
    <t>Rua Marechal Deodoro da Fonseca, 70 - Centro, Bento Gonçalves - RS, 95700-000</t>
  </si>
  <si>
    <t>(55) 3353-1011</t>
  </si>
  <si>
    <t>10.624.835/0001-76</t>
  </si>
  <si>
    <t>Emenda agrupada com outros Parlamentares</t>
  </si>
  <si>
    <t>Praça Cel. Pedro Osório, nº 101 – Centro, Pelotas – RS, CEP 96015-010.</t>
  </si>
  <si>
    <t>(51) 3695-1111</t>
  </si>
  <si>
    <t>Rua Monsenhor Jacob Seger, 186 - Centro, Arroio do Meio - RS, CEP 95940-000, Brasil.</t>
  </si>
  <si>
    <t>Av. Getúlio Vargas, 110, Centro, Rolante - RS, CEP 95690-000</t>
  </si>
  <si>
    <t>Municipio De Rolante Rolante - Rs</t>
  </si>
  <si>
    <t>Pavimentação e drenagem da “Estrada da Asa Delta”,</t>
  </si>
  <si>
    <t>12.121.651/0001-19</t>
  </si>
  <si>
    <t>Rua Dr. Osvaldo Hampe, 258, Centro, Antônio Prado - RS, CEP 95250-000, Brasil</t>
  </si>
  <si>
    <t>Sociedade Hospitalar Sao Jose Antônio Prado - Rs</t>
  </si>
  <si>
    <t>(51) 3549-7750</t>
  </si>
  <si>
    <t>Aparelho de Raios X - Fixo Digital</t>
  </si>
  <si>
    <t>CNEES 2227665</t>
  </si>
  <si>
    <t>Rua da Estação, 1085 - Centro, Barão - RS, CEP 95730-000</t>
  </si>
  <si>
    <t>(51) 3549-8600</t>
  </si>
  <si>
    <t>Municipio De Barao Barão - Rs</t>
  </si>
  <si>
    <t>Construção da Rua Coberta no Centro Município de Barão</t>
  </si>
  <si>
    <t>Prefeitura Municipal de Imbé, Centro Administrativo Municipal, Av. Paraguassú, 1144 - Centro, Imbé - RS, CEP 95625-000.</t>
  </si>
  <si>
    <t>Municipio De Imbe Imbé - Rs</t>
  </si>
  <si>
    <t>Revitalizar a infraestrutura urbana da Praça Lourdes Rodrigues</t>
  </si>
  <si>
    <t>Praça Dom Felipe de Nadal, 299 - Porto Lucena - RS, CEP 98980-000</t>
  </si>
  <si>
    <t>Municipio De Porto Lucena Porto Lucena - Rs</t>
  </si>
  <si>
    <t>Revitalização de área de lazer na orla do Rio Uruguai</t>
  </si>
  <si>
    <t>Avenida João Corrêa, 380 – Centro, Três Coroas, RS, CEP 95660-000</t>
  </si>
  <si>
    <t>Municipio De Tres Coroas Três Coroas - Rs</t>
  </si>
  <si>
    <t>CONSTRUÇÃO DO PARQUE URBANO CIDADE VERDE</t>
  </si>
  <si>
    <t>Prefeitura Municipal de Vacaria, Rua Ramiro Barcelos, 915 - Centro, Vacaria - RS, CEP 95200-061</t>
  </si>
  <si>
    <t>Municipio De Vacaria Vacaria - Rs</t>
  </si>
  <si>
    <t>Fazer a revitalização do complexo turístico denominado COMPLEXO TURÍSTICO DO RIO PEO objetivo do projeto é fazer a revitalização do complexo turístico denominado COMPLEXO TURÍSTICO DO RIO PELOTAS - DIVISA DO RIO GRANDE DO SUL com SANTA CATARINA, localizado no município de Vacaria-RS e conhecido como “A PORTEIRA DO RIO GRANDE”. O empreendimento localiza-se às margens da BR 116 e do rio Pelotas, divisor dos estados gaúcho e catarinense. (anexos)LOTAS</t>
  </si>
  <si>
    <t>Rua General Neto, 192 - Centro, Cruzeiro do Sul - RS, CEP 95930-000</t>
  </si>
  <si>
    <t>Sociedade Hospital Sao Gabriel Arcanjo Cruzeiro Do Sul - Rs</t>
  </si>
  <si>
    <t>Aquisição de equipamentos e materiais permanentes para unidade de atenção especializada em saúde: Poltronas e camas hospitalares, computadores e servidores para tecnologia da informação.</t>
  </si>
  <si>
    <t>Rua Quinze de Janeiro, 11 – Centro, Canoas/RS, CEP 92010-300.</t>
  </si>
  <si>
    <t>Municipio De Canoas Canoas - Rs</t>
  </si>
  <si>
    <t>"4.2.2. Objeto do Projeto
 Modernização da frota da Guarda Municipal de Canoas com:
 1. 03 viaturas SUV para patrulhamento ostensivo.
 2. 02 motocicletas para rondas e escoltas.
 Justificativa: Frota atual datada de 2017, com veículos em estado precário,
 comprometendo a eficiência operacional.</t>
  </si>
  <si>
    <t>Avenida Ipiranga, 6681, Jardim Botânico, Porto Alegre, RS, CEP 90610-001</t>
  </si>
  <si>
    <t>Uniao Brasileira De Educacao E Assistencia Porto Alegre - Rs</t>
  </si>
  <si>
    <t>(55) 3331-9300</t>
  </si>
  <si>
    <t>Sala de cirúrgicas do hospital São Lucas</t>
  </si>
  <si>
    <t>11.749.956/0001-07</t>
  </si>
  <si>
    <t>150.000,00 Empenhado 68.418,00</t>
  </si>
  <si>
    <t>Rua Dona Carlinda, 455 - Centro, Canela - RS, CEP 95680-900, Brasil.</t>
  </si>
  <si>
    <t>Municipio De Canela Canela - Rs</t>
  </si>
  <si>
    <t>(51) 3754-1100</t>
  </si>
  <si>
    <t>Aquisição de viaturas; Aquisição de um caminhão 0km com munck para o Corpo de Bombeiros</t>
  </si>
  <si>
    <t>Rua General Osório, 900 - Centro, Bagé - RS, CEP 96400-100</t>
  </si>
  <si>
    <t>Fundacao Universidade Federal Do Pampa - Unipampa Bagé - Rs</t>
  </si>
  <si>
    <t>Prefeitura Municipal de Porto Alegre, Praça Montevidéo, 10 - Centro Histórico, Porto Alegre - RS, CEP 90010-170, Brasil</t>
  </si>
  <si>
    <t>Municipio de Porto Alegre</t>
  </si>
  <si>
    <t>Rua Coronel Chananeco, 600 - Centro, São Sepé, RS, 97340-000.</t>
  </si>
  <si>
    <t>12.104.575/0001-33</t>
  </si>
  <si>
    <t>(51) 3563-9900</t>
  </si>
  <si>
    <t>Hospital São José Ivoti</t>
  </si>
  <si>
    <t>Rua 15 de Novembro, 1882, Bairro Centro, Uruguaiana - RS, CEP 97501-532</t>
  </si>
  <si>
    <t>CNEES 2232189</t>
  </si>
  <si>
    <t>(51) 3563-8800</t>
  </si>
  <si>
    <t>Rua Guia Lopes, 4201 - Bairro Canudos, Novo Hamburgo - RS, CEP 93548-013</t>
  </si>
  <si>
    <t>Municipio de Novo Hamburgo</t>
  </si>
  <si>
    <t>Transferênicia Especial para Infraestrutura Aeropostruária</t>
  </si>
  <si>
    <t>Aeródromo</t>
  </si>
  <si>
    <t>Execução de obras de pavimentação asfáltica da pista de pouso do Aeródromo Regional Pedro Adams Neto, no Município de Novo Hamburgo/RS, compreendendo serviços de regularização e compactação do subleito, execução de base de brita graduada, imprimação, pintura de ligação e aplicação de revestimento asfáltico em Concreto Betuminoso Usinado a Quente (CBUQ), incluindo serviços complementares necessários à adequada funcionalidade da infraestrutura aeroportuária.</t>
  </si>
  <si>
    <t>Hospital de Caridade São Roque - Faxinal do Soturno - RS</t>
  </si>
  <si>
    <t>Fundo Municipal de Saúde de Dois Irmãos - RS</t>
  </si>
  <si>
    <t>Município de Dois Irmãos</t>
  </si>
  <si>
    <t>(55) 3271-1325</t>
  </si>
  <si>
    <t>LAGOA VERMELHA</t>
  </si>
  <si>
    <t>Hospital Bernardina Salles de Barros, Júlio de Castilhos - RS</t>
  </si>
  <si>
    <t>(54) 3358-1444</t>
  </si>
  <si>
    <t>7.182.846/0001-78</t>
  </si>
  <si>
    <t>Prefeitura de Santa Maria</t>
  </si>
  <si>
    <t>04/05/2020 Portaria 977</t>
  </si>
  <si>
    <t>(54) 3358-9100</t>
  </si>
  <si>
    <t>Melhoria da infraestrutura do atrativo turístico Estrada do Perau</t>
  </si>
  <si>
    <t>Prefeitura Municipal de Esteio, Rua Engenheiro Hener de Souza Nunes, 150 - Centro, Esteio - RS, CEP 93260-120</t>
  </si>
  <si>
    <t>Prefeitura Municipal de Ibiraiaras, Rua João Stella, 55 - Centro, Ibiraiaras - RS, CEP 95305-000</t>
  </si>
  <si>
    <t>Fundo Municipal de Saude de Ibiraiaras</t>
  </si>
  <si>
    <t>Soc. Beneficência e Caridade de Lajeado</t>
  </si>
  <si>
    <t>10.502.833/0001-04</t>
  </si>
  <si>
    <t>R. Gen. Sampaio, 88 - Centro, Alegrete - RS, 97541-260</t>
  </si>
  <si>
    <t>Irmandade Santa Casa De Alegrete</t>
  </si>
  <si>
    <t>Aquisição de 03 Máquina Autoclaves</t>
  </si>
  <si>
    <t>A proposta será cadastrada pelo Fundo Municipal de Saúde de Alegrete, a pedido da Santa Casa. Foi solicitada ao MS a troca do beneficiário da emenda.</t>
  </si>
  <si>
    <t>(51) 3552-1444</t>
  </si>
  <si>
    <t>Min. Desenvolvimento Regional , Dois Irmãos, RS</t>
  </si>
  <si>
    <t>Videomonitoramento (Transferência Especial) Transferegov: OB enviada pagto em 30/08/2023.</t>
  </si>
  <si>
    <t>Avenida Borges de Medeiros, 456 - Prédio Anexo, Santo Antônio da Patrulha - RS, CEP 95500-000</t>
  </si>
  <si>
    <t>Municipio De Santo Antonio Da Patrulha Santo Antônio Da Patrulha - Rs</t>
  </si>
  <si>
    <t>Revitalização do Centro de Convenções Qorpo Santo</t>
  </si>
  <si>
    <t>Avenida Independência, 2293, Universitário, Santa Cruz do Sul - RS, 96815-900, Brasil.</t>
  </si>
  <si>
    <t>CNEES 2246953</t>
  </si>
  <si>
    <t>(54) 3342-9500</t>
  </si>
  <si>
    <t>Prefeitura de Flores da Cunha</t>
  </si>
  <si>
    <t>Prefeitura de Gravataí</t>
  </si>
  <si>
    <t>Valor já autorizado para pagamento pelo MS e não aprovado pela SRI/PR.</t>
  </si>
  <si>
    <t>Sociedade Sulina Divina Providencia, Porto Alegre, RS</t>
  </si>
  <si>
    <t>Em execução. Total pago: R$ 512.537,88 (29/02/2024)</t>
  </si>
  <si>
    <t>R. Assis Brasil, 1621 - Centro, Montenegro - RS, 99890-000</t>
  </si>
  <si>
    <t>(51) 3632-1233</t>
  </si>
  <si>
    <t>Hospital São José de Ivoti (Associação Congregação de Santa Catarina), Ivoti, RS</t>
  </si>
  <si>
    <t xml:space="preserve">Recurso pago parcialmente: R$ 475.169,41 (consultado Transferegov em 12/04/2024). Observação: a emenda foi cadastrada no CNPJ da Associação Congreção de Santa Catarina de Novo Hamburgo. </t>
  </si>
  <si>
    <t>(51) 3569-1678</t>
  </si>
  <si>
    <t>R. Saldanha Marinho, 478 - Centro, Bento Gonçalves - RS, 95700-082</t>
  </si>
  <si>
    <t>Associação Dr. Bartholomeu Tacchini – Hospital Tacchini</t>
  </si>
  <si>
    <t>Destina-se para a aquisição de 5 máquinas de Hemodiálise e 1 aparelho de Ecografia, para o tratamento de pacientes nefrológicos crônicos e agudos através do SUS, abrangendo uma região de 8 municípios da serra gaúcha com 220 mil habitantes.</t>
  </si>
  <si>
    <t>Avenida Afonso Pena, 14, Centro, Lagoa Vermelha - RS, CEP 95300-000</t>
  </si>
  <si>
    <t>Prefeitura de Estância Velha</t>
  </si>
  <si>
    <t>(54) 3332-1250</t>
  </si>
  <si>
    <t>Revitalização da Avenida Sete de Setembro</t>
  </si>
  <si>
    <t>(51) 3565-1111</t>
  </si>
  <si>
    <t>Prefeitura Municipal de Montenegro, Centro Administrativo, Rua Ramiro Barcelos, 2993 - Montenegro - RS, CEP 92510-275, Brasil</t>
  </si>
  <si>
    <t>Fundo Municipal de Saúde, Canoas, RS</t>
  </si>
  <si>
    <t>12.094.862/0001-00</t>
  </si>
  <si>
    <t>51) 3565-1111</t>
  </si>
  <si>
    <t>Av. Ipiranga, 6690 - Partenon, Porto Alegre - RS, 90610-001</t>
  </si>
  <si>
    <t>Hospital São Lucas Da Pucrs</t>
  </si>
  <si>
    <t>Aquisição de um aspirador ultrassônico, uma mesa cirúrgica e um foco cirúrgico, para substituir equipamentos danificados/obsoletos e qualificar o atendimento aos pacientes do Sistema Único de Saúde, portadores de tumores de base de crânio, diminuindo o tempo de internação, morbidade e mortalidade e inclusive diminuindo a incidência de radioterapia pós operatória e novas intervenções cirúrgicas.</t>
  </si>
  <si>
    <t>Prefeitura de Arroio do Meio</t>
  </si>
  <si>
    <t>Execução de calçadas de passeio na VRS 811 - Rodovia Prefeito Arnesto Dalpian</t>
  </si>
  <si>
    <t>Associação Cultural e Científica Virvi Ramos (Hospital Virvi Ramos)</t>
  </si>
  <si>
    <t>11.898.805/0001-10</t>
  </si>
  <si>
    <t>CNEES 2241102</t>
  </si>
  <si>
    <t>Autoclave e secadora de instumentos para atendimento do Centro Obstétrico e da UTI Neonatal.</t>
  </si>
  <si>
    <t>(54) 3281-8400</t>
  </si>
  <si>
    <t>Avenida Paraguassu, 2070 – Centro, Imbé, RS, 95625-000, Brasil</t>
  </si>
  <si>
    <t>Fundo Municipal De Saude Imbé - Rs</t>
  </si>
  <si>
    <t>Unidade Móvel de Saúde - SAMU (Suporte Avançado de Vida) - Ambulância</t>
  </si>
  <si>
    <t>Fundo Municipal de Saúde, Sapiranga, RS</t>
  </si>
  <si>
    <t>Rua Ramiro Barcelos, 2350, Bloco A (ou área central), Bom Fim, Porto Alegre, RS, CEP 90035-903, Brasil.</t>
  </si>
  <si>
    <t>Hospital De Clinicas De Porto Alegre Porto Alegre - Rs</t>
  </si>
  <si>
    <t>Aquisição de um aspirador ultrassônico (console mais peças de mão para neurocirurgia e cirurgia digestiva)</t>
  </si>
  <si>
    <t>02/04/2020 Portaria 646</t>
  </si>
  <si>
    <t>Rua Dr. João Freitas, 75 - Passo Fundo - RS, CEP 99010-005, Brasil</t>
  </si>
  <si>
    <t>Municipio De Passo Fundo Passo Fundo - Rs</t>
  </si>
  <si>
    <t>Programa Jornada Segura, no Hospital Municipal, para a implementação de um sistema integrado e digitalizado de identificação do paciente, unitarização automatizada de</t>
  </si>
  <si>
    <t>Hospital De Clínicas De Passo Fundo</t>
  </si>
  <si>
    <t>Aquisição de três Aparelhos de Anestesia - Ambiente do Bloco Cirúrgico.</t>
  </si>
  <si>
    <t>11.416.036/0001-77</t>
  </si>
  <si>
    <t>Polícia Civil, A definir, RS</t>
  </si>
  <si>
    <t>(51) 3553-8800</t>
  </si>
  <si>
    <t>Rua José Mário Monaco, 358, Centro, Bento Gonçalves, RS, CEP 95700-000</t>
  </si>
  <si>
    <t>Associacao Dr Bartholomeu Tacchini Bento Gonçalves - Rs</t>
  </si>
  <si>
    <t>Aquisição, substituição e instalação de 01 aparelho de raio x – fixo digital</t>
  </si>
  <si>
    <t>(51) 3272-3272</t>
  </si>
  <si>
    <t>Rua Doutor José Mário Monaco, 358, Centro, Bento Gonçalves, RS, CEP 95700-068.</t>
  </si>
  <si>
    <t>CNEES 2232146</t>
  </si>
  <si>
    <t>Fundação Hospitalar Oftalmológica Universitária Lions, Passo Fundo, RS</t>
  </si>
  <si>
    <t>(51) 3097-9400</t>
  </si>
  <si>
    <t>A Fundação Hospitalar Oftalmológica Universitária Lions priorizou a compra dos aparelhos solicitados neste projeto no valor total de  720.000,00 (Setecentos vinte mil reais) para que o projeto se efetive integralmente.
•        01 Biômetro de Coerência Óptica  295.000,00
•        01 Paquímetro Computadorizado  85.000,00
•        01 Lâmpada de Fenda  40.000,00
•        01 Projetor Oftalmológico  15.000,00
•        02 Monitor Multiparametro  40.000,00
•        01 Carro de anestesia  165.000,00
•        04 Mesa cirúrgica  80.000,00</t>
  </si>
  <si>
    <t>Rua Geraldo Pereira, 405, Centro, Estrela, RS, CEP 95880-000, Brasil.</t>
  </si>
  <si>
    <t>Sociedade Sulina Divina Providência – Hospital Estrela</t>
  </si>
  <si>
    <t>Aquisição de duas Autoclave Hospitalar Horizontal (acima de 350 litros)</t>
  </si>
  <si>
    <t>PALMEIRA DAS MISSÕES</t>
  </si>
  <si>
    <t>BR 158 KM 106 - INTERIOR, Palmeira das MissõEs - RS, 98300-000</t>
  </si>
  <si>
    <t>(55) 3742-2544</t>
  </si>
  <si>
    <t>12.056.244/0001-75</t>
  </si>
  <si>
    <t>Construção de Terminal Rodoviário</t>
  </si>
  <si>
    <t>07/04/2020 Portaria 701</t>
  </si>
  <si>
    <t>(55) 3376-9100</t>
  </si>
  <si>
    <t>Prefeitura Municipal de Lajeado (RS), Rua Cel. Júlio May, 242 - Centro, Lajeado - RS, 95900-178</t>
  </si>
  <si>
    <t>Prefeitura de Sapiranga</t>
  </si>
  <si>
    <t>Hospital Paraíso</t>
  </si>
  <si>
    <t>12.991.728/0001-01</t>
  </si>
  <si>
    <t>Analise</t>
  </si>
  <si>
    <t>Hospital de Clínicas de Carazinho, Rua General Câmara, 70 - Centro, Carazinho - RS, CEP: 99500-000</t>
  </si>
  <si>
    <t>Hospital De Clinicas De Carazinho Carazinho - Rs</t>
  </si>
  <si>
    <t>Aquisição de 2(dois) intensificadores de imagem (ARCO EM C)</t>
  </si>
  <si>
    <t>11.706.451/0001-65</t>
  </si>
  <si>
    <t>Incremento Temporário ao Custeio dos Serviços de Atenção Primária</t>
  </si>
  <si>
    <t>(51) 3543-5500</t>
  </si>
  <si>
    <t>CNEES 2227762</t>
  </si>
  <si>
    <t>COSMO FAVRETTO, 676 - Centro, Sarandi - RS, 99560-000</t>
  </si>
  <si>
    <t>(51) 3543-8600</t>
  </si>
  <si>
    <t>Hospital Comunitario Sarandi</t>
  </si>
  <si>
    <t>Hospital Banco de Olhos de Porto Alegre (Associação de Literatura e Beneficência),         
Porto Alegre, RS</t>
  </si>
  <si>
    <t>Recurso empenhado.Conforme consulta em 23/04/2024, não consta pagamento no Ambiente Parlamentar e o convênio não aparece no Transferegov. Ao menos uma parte do recurso foi paga, porque de acordo com Portal da Transparência existe apenas um saldo de R$ 459.604,88 a ser pago referente à emenda 41160002/2021.</t>
  </si>
  <si>
    <t>Prefeitura Municipal de São Leopoldo (Centro Administrativo), Avenida Dom João Becker, 754 - Centro, São Leopoldo - RS, CEP 93010-010, Brasil.</t>
  </si>
  <si>
    <t>(54) 2103-3333</t>
  </si>
  <si>
    <t>CNEES 2246988</t>
  </si>
  <si>
    <t>Complexo Hospitalar de Bento Gonçalves, Bento Gonçalves, RS</t>
  </si>
  <si>
    <t>(54) 3316-7100</t>
  </si>
  <si>
    <t>Unidade da Brigada Militar a ser definida , Vários municípios, RS</t>
  </si>
  <si>
    <t>Unidade da Brigada Militar a ser definida</t>
  </si>
  <si>
    <t>Fundo Municipal de Saúde, Novo Hamburgo, RS</t>
  </si>
  <si>
    <t>11.217.562/0001-08</t>
  </si>
  <si>
    <t>BR 448, , RS</t>
  </si>
  <si>
    <t>(53) 3284-4700</t>
  </si>
  <si>
    <t>(54) 3285-1300</t>
  </si>
  <si>
    <t>Pavimentação e serviços de infraestrutura em trecho da Rua Pedro Einzweiler, na Localidade do Travessão</t>
  </si>
  <si>
    <t>Prefeitura de Campinas do Sul</t>
  </si>
  <si>
    <t>Asfaltamento da Rodovia ERS-483 no trecho de Cruzaltense até Três Palmeiras via Entre Rios do Sul/RS ao Norte Gaúcho</t>
  </si>
  <si>
    <t>MDR</t>
  </si>
  <si>
    <t>Obras de infraestrutura de turismo no entorno do Cristo Protetor de Encantado</t>
  </si>
  <si>
    <t>Prefeitura de Ijuí</t>
  </si>
  <si>
    <t>Construção de vias paralelas na BR 285, na extensão de 9 km em Ijui / RS</t>
  </si>
  <si>
    <t>Porto Alegre - Novo Hamburgo</t>
  </si>
  <si>
    <t>BR-116 Norte - Trecho Porto AlegreNovo Hamburgo</t>
  </si>
  <si>
    <t>Praça Montevidéo, 10, Centro Histórico, Porto Alegre - RS, CEP 90010-170, Brasil.</t>
  </si>
  <si>
    <t>17.556.083/0001-00</t>
  </si>
  <si>
    <t>(54) 3468-0210</t>
  </si>
  <si>
    <t>10.511.356/0001-43</t>
  </si>
  <si>
    <t>Rua Alfredo Chaves, 1333 - Bairro Exposição, Caxias do Sul - RS, CEP 95020-460</t>
  </si>
  <si>
    <t>(51) 3562-1150</t>
  </si>
  <si>
    <t>Municipio De Caxias Do Sul Caxias Do Sul - Rs</t>
  </si>
  <si>
    <t>para a pavimentação da Estrada Municipal das Vinícolas em Forqueta</t>
  </si>
  <si>
    <t>CNEES 2232170</t>
  </si>
  <si>
    <t>(51) 3500-4200</t>
  </si>
  <si>
    <t>Praça Montevidéo, 10 - Centro Histórico, Porto Alegre - RS, 90010-170, Brasil.</t>
  </si>
  <si>
    <t>Municipio De Porto Alegre Porto Alegre - Rs</t>
  </si>
  <si>
    <t>Centro de Treinamento em um terreno próprio municipal, na Av. Érico Verissimo, com valor total estimado em R$2.400.000,00. A SMSEG detém o valor de R$1.200.000,00 de uma contrapartida da construtora Multiplan.</t>
  </si>
  <si>
    <t>Prefeitura Municipal de Porto Alegre, Praça Montevidéo, 10, Centro Histórico, Porto Alegre - RS, CEP 90010-170, Brasil.</t>
  </si>
  <si>
    <t>11.358.235/0001-76</t>
  </si>
  <si>
    <t>(51) 3359-8000</t>
  </si>
  <si>
    <t>(51) 3214-8080</t>
  </si>
  <si>
    <t>Via de acesso entre os municípios de Ivoti e Dois Irmãos (entroncamento entre Rua União com Rua São João).</t>
  </si>
  <si>
    <t>(51) 3383-5600</t>
  </si>
  <si>
    <t>Rua Alfredo Chaves, 1333 - Bairro Exposição (Exposição), Caxias do Sul - RS, CEP 95020-460</t>
  </si>
  <si>
    <t>(51) 3320-3000</t>
  </si>
  <si>
    <t>Secretaria da Segurança Pública do estado do Rio Grande do Sul</t>
  </si>
  <si>
    <t>87.934.675/0001-96</t>
  </si>
  <si>
    <t>Revitalização de Infraestrutura no Aeroporto Regional Hugo Cantergiani no município de Caxias do Sul/RS</t>
  </si>
  <si>
    <t>Fundo Estadual</t>
  </si>
  <si>
    <t>Pavimentação Asfáltica e Ponte Intermunicipal da Estrada Tranquilo Galgaro de Ligação do Município de Gramado ao novo Aeroporto Regional da Serra do Município de Caxias do Sul. O trecho de 6,19 km</t>
  </si>
  <si>
    <t>7122 0015</t>
  </si>
  <si>
    <t>Recurso para Segurança Publica</t>
  </si>
  <si>
    <t>(51) 3288-1900</t>
  </si>
  <si>
    <t>87.934.675/0001-96.</t>
  </si>
  <si>
    <t>Segurança Pública, Combate à Corrupção, ao Crime Organizado e ao Crime Violento</t>
  </si>
  <si>
    <t>2045/2020</t>
  </si>
  <si>
    <t>Proposta em Analise</t>
  </si>
  <si>
    <t>Desenvolvimento de Políticas de Segurança Pública, Prevenção, e Enfrentamento à Criminalidade</t>
  </si>
  <si>
    <t>Praça Marechal Deodoro, s/n Porto Alegre</t>
  </si>
  <si>
    <t>4591/2020</t>
  </si>
  <si>
    <t>2167/2020</t>
  </si>
  <si>
    <t>Min. Desenvolvimento Regional</t>
  </si>
  <si>
    <t>Em execução. Total pago: R$ 1.306.354,98 (29/02/2024)</t>
  </si>
  <si>
    <t>Pavimentação e serviços de infraestrutura na Localidade do Travessão.</t>
  </si>
  <si>
    <t xml:space="preserve"> 3.000.000,00 (Valor Global) -  2.693.000,00 Valor de Repasse +  307.000,00 Valor da Contrapartida</t>
  </si>
  <si>
    <t>2174/2020</t>
  </si>
  <si>
    <t>DNIT-DEPARTAMENTO NACIONAL DE INFRAEST DE TRANSPORTES
Porto Alegre, Dois Irmãos, RS</t>
  </si>
  <si>
    <t>DNIT-DEPARTAMENTO NACIONAL DE INFRAEST DE TRANSPORTES</t>
  </si>
  <si>
    <t>Revitalização da Rua Independência (365m de extensão) - substituição dos bloquetos por pedras regulares, bem como a substituição do passeio público.</t>
  </si>
  <si>
    <t>41160011 e 41160002</t>
  </si>
  <si>
    <t>1500/2020</t>
  </si>
  <si>
    <t>Em contato realiazado pela Andrea, em 27/03/2024, com o engenheiro responsável pelas obras da região, sr. Carlos Vieira, este informou que todos os esforços do ano de 2023 foram voltados para "trecho da morte", e que o DNIT está iniciando um novo processo para licitar as obras que eram o objeto inicial da destinação desta emenda de 2020, pois o contrato que tinham (quantitaivos) já foi todo utilizado. Em novembro/2023 foi feita a topografia dos dois acesso (Portal da Serra e Industrial) e o orçamento já está pronto. A previsão de conclusão do processo licitatório é para OUTUBRO/2024 (se não houer nenhuma intercorrência processual). Com isso, a previsão de início destas obras é para 2025. As obras emergenciais que foram objeto de acordo para utilização dos recursos da emenda tiveram o seguinte fluxo de execução: o Recurso foi empenhado em 2020 (Empenho nr. 393003392522020NE806087), pago em 2022  à empresa CNPJ 02.955.426/0001-24  -NEOVIA INFRAESTRUTURA RODOVIARIA LTDA . Informação repassada em 10/10/2023, a pedido do Conrado enviada ao Dirceu, tendo em vista a fala da Vereadora Sheila da Silva (PT) sobre a 
COBRANÇA COM RELAÇÃO À EXECUÇÃO DE PROMESSA DE TREVO DE ACESSO PARA BAIRROS PORTAL, BELA VISTA E PICADA 48, LOTAMENTO DO LAGO.</t>
  </si>
  <si>
    <t>Em contato com o responsável pelas obras da região, Carlos Vieira, informou que todos os esforços do ano passado foram voltados para "trecho da morte", e que estão iniciando um novo processo para licitar as obras, pois o contrato que tinham (quantitaivos) já foi todo utilizado. Em novembro do ano passado foi feita a topografia dos dois acesso (Portal da Serra e Industrial) e o orçamento já está pronto. A previsão de conclusão do processo licitatório é para OUTUBRO deste ano (se não tiver nenhuma intercorrência processual). Com isso, a previsão de início destas obras é para 2025.</t>
  </si>
  <si>
    <t>Prefeitura Municioal de Lajeado</t>
  </si>
  <si>
    <t>MINIST. MULHER, FAMILIA E DIREITOS HUMANOS</t>
  </si>
  <si>
    <t>87.297.982/0001-03</t>
  </si>
  <si>
    <t>Polícia Rodoviária Federal, Caxias do sul, RS</t>
  </si>
  <si>
    <t>Emenda não executada por erro no projeto. Recurso perdido.</t>
  </si>
  <si>
    <t>- Proteção à vida, fortalecimento da família, promoção e defesa dos direitos humanos para todos</t>
  </si>
  <si>
    <t>Misto</t>
  </si>
  <si>
    <t>Ministério da Mulher Família e Dir. Humanos</t>
  </si>
  <si>
    <t>2932/2020</t>
  </si>
  <si>
    <t>Investimento em laboratório de produção criativa, inspirado nos FabLabs do MIT</t>
  </si>
  <si>
    <t>MS já solicitou o pagamento da emenda à SRI, em 2024, que não autorizou.</t>
  </si>
  <si>
    <t>Prefeitura Municipal de Esteio</t>
  </si>
  <si>
    <t>88.150.495/0001-86</t>
  </si>
  <si>
    <t>2347/2020</t>
  </si>
  <si>
    <t>Empenhado em 24/06/2020 2020NE800014 e 2020NE800015</t>
  </si>
  <si>
    <t>Hospital Universitário de Canoas, Canoas, RS</t>
  </si>
  <si>
    <r>
      <rPr>
        <rFont val="Arial"/>
        <color rgb="FF000000"/>
        <sz val="10.0"/>
      </rPr>
      <t xml:space="preserve">150000,00 / </t>
    </r>
    <r>
      <rPr>
        <rFont val="Arial"/>
        <color rgb="FF000000"/>
        <sz val="10.0"/>
      </rPr>
      <t>200000,00</t>
    </r>
  </si>
  <si>
    <t>Rua Dorval Antunes Pereira, 950 - Centro, Muitos Capões - RS, CEP 95230-000</t>
  </si>
  <si>
    <t>R$370.000,00</t>
  </si>
  <si>
    <t>VIATURA OSTENSIVA SUV</t>
  </si>
  <si>
    <t>(51) 3445-3111</t>
  </si>
  <si>
    <t>Avenida Brasil, 1250 - Centro, Colorado - Paraná, CEP 86690-000</t>
  </si>
  <si>
    <t>Avenida Fernando Luzzatto, 158 - Centro, Nova Prata - RS, CEP 95320-000, Brasil</t>
  </si>
  <si>
    <t>CNEES 2227703</t>
  </si>
  <si>
    <t>(51) 3548-1090</t>
  </si>
  <si>
    <t>Rua Oscar Schmidt, 172 - Centro, Ajuricaba - RS, CEP 98750-000</t>
  </si>
  <si>
    <t>Praça 13 de Abril, 302, Centro, 99435-000, Campos Borges, RS, Brasil.</t>
  </si>
  <si>
    <t>11.425.702/0001-33</t>
  </si>
  <si>
    <t>(51) 3547-1300</t>
  </si>
  <si>
    <t>Rua Rio Jacuí, 854 - Centro, Xangri-Lá - RS, CEP 95588-000</t>
  </si>
  <si>
    <t>Xangri-Lá</t>
  </si>
  <si>
    <t>CNEES 2257564</t>
  </si>
  <si>
    <t>(51) 3547-1188</t>
  </si>
  <si>
    <t>Avenida João Batista, 700 - Rolador - RS, CEP 97843-000, Brasil</t>
  </si>
  <si>
    <t>Rolador </t>
  </si>
  <si>
    <t>Avenida Silvio Sanson, 1135, Centro, Guaporé - RS, CEP 99200-000</t>
  </si>
  <si>
    <t>Av. Alto Jacuí, 840 - Centro, Não-Me-Toque - RS, CEP 99470-000</t>
  </si>
  <si>
    <t>Não Me Toque</t>
  </si>
  <si>
    <t>Avenida Expedicionário Weber, 2983 - Bairro Cruzeiro, Santa Rosa - RS, CEP 98789-000</t>
  </si>
  <si>
    <t>(55) 3372-1202 - Daniel ou Josi</t>
  </si>
  <si>
    <t>11.776.182/0001-03</t>
  </si>
  <si>
    <t>(51) 2106-4400</t>
  </si>
  <si>
    <t>Avenida José Balbino de Sousa S/N, Centro, Sobradinho - Bahia, CEP 48925-000</t>
  </si>
  <si>
    <t>R. Ari Lagranha Domingues, 188 - Nossa Sra. do Perpetuo Socorro, Santa Maria - RS, 97045-060</t>
  </si>
  <si>
    <t>(55) 3028-9401</t>
  </si>
  <si>
    <t>Rua Berlim, 240 - Centro, Dois Irmãos - RS, 93950-000, Brasil.</t>
  </si>
  <si>
    <t>R$390.000,00</t>
  </si>
  <si>
    <t>VIATURA RESGATE (AMBULÂNCIA)</t>
  </si>
  <si>
    <t>(51) 3567-1001</t>
  </si>
  <si>
    <t>R$425.000,00</t>
  </si>
  <si>
    <t>VIATURA OSTENSIVA PIK-UP</t>
  </si>
  <si>
    <t>Rua 510, 76, Centro, Aceguá - RS, CEP 96445-000</t>
  </si>
  <si>
    <t>Prefeitura Municipal de Bom Retiro do Sul, Rua Senador Pinheiro Machado, 35 - Centro, Bom Retiro do Sul - RS, CEP 95870-000</t>
  </si>
  <si>
    <t>Bom Retiro Do Sul</t>
  </si>
  <si>
    <t>R$500.000,00</t>
  </si>
  <si>
    <t>Prefeitura Municipal de Arroio do Meio, Rua Monsenhor Jacob Seger, 186 - Centro, Arroio do Meio - RS, CEP 95940-000</t>
  </si>
  <si>
    <t>Prefeitura Municipald e Santa Maria do Herval</t>
  </si>
  <si>
    <t>11.253.138/0001-19.</t>
  </si>
  <si>
    <t>Rua Alfredo Chaves, 1333 - Exposição, Caxias do Sul - RS, CEP 95020-460, Brasil</t>
  </si>
  <si>
    <t>Rua Dr. Afrânio Hidalgo Lemos, 549 - Centro, Dois Lajeados - RS, CEP 99220-000</t>
  </si>
  <si>
    <t>3567-1001</t>
  </si>
  <si>
    <t>11.861.362/0001-93</t>
  </si>
  <si>
    <t>Prefeitura Municipal de Flores da Cunha, Rua São José, 2500 - Flores da Cunha - RS, CEP 95270-000, Caixa Postal 39</t>
  </si>
  <si>
    <t>(55) 3511-5100</t>
  </si>
  <si>
    <t>Praça Marechal Deodoro, 14 - Centro, Lagoa Vermelha - RS, CEP 95300-000</t>
  </si>
  <si>
    <t>Av. Borges de Medeiros, 50 - Centro, Muçum - RS, CEP 95970-000</t>
  </si>
  <si>
    <t>(55) 3313-2000</t>
  </si>
  <si>
    <t>Santo Antonio da Patrulha</t>
  </si>
  <si>
    <t>11.232.497/0001-90</t>
  </si>
  <si>
    <t>(51) 3662-7600</t>
  </si>
  <si>
    <t>SANTO ANTÔNIO DAS MISSÕES</t>
  </si>
  <si>
    <t>Avenida José Balbino de Souza, s/n, Centro, Sobradinho - BA, CEP 48925-000, Brasil.</t>
  </si>
  <si>
    <t>Rincao dos MirandaInteriorSanto Antônio das Missões - RSCEP: 97870-000</t>
  </si>
  <si>
    <t>(055) 3505-7150</t>
  </si>
  <si>
    <t>10.610.784/0001-23</t>
  </si>
  <si>
    <t>(55) 3431-1650</t>
  </si>
  <si>
    <t>CNEES 2227770</t>
  </si>
  <si>
    <t>(54) 3244-1386</t>
  </si>
  <si>
    <t>SÃO JOSÉ DO HORTÊNCIO</t>
  </si>
  <si>
    <t>Prefeitura Municipal de São Jose do Hortencio</t>
  </si>
  <si>
    <t>Policia Civil</t>
  </si>
  <si>
    <t>R. 33, 40, São José do Hortêncio - RS, 95755-000</t>
  </si>
  <si>
    <t>(51) 3571-1122</t>
  </si>
  <si>
    <t>12.625.868/0001-66</t>
  </si>
  <si>
    <t>08/04/2020  Portaria 726</t>
  </si>
  <si>
    <t>(51) 3591-1400</t>
  </si>
  <si>
    <t>CNEES 2232022</t>
  </si>
  <si>
    <t>SÃO LOURENÇO DO SUL</t>
  </si>
  <si>
    <t>E.T.E. Santa Isabel</t>
  </si>
  <si>
    <t>(53) 3805-1222</t>
  </si>
  <si>
    <t>CNEES 2259893</t>
  </si>
  <si>
    <t>(55) 3352-9300</t>
  </si>
  <si>
    <t>12.010.453/0001-88</t>
  </si>
  <si>
    <t>analise</t>
  </si>
  <si>
    <t>R. Mal. Floriano Peixoto, 426 - Centro, São Sebastião do Caí - RS, 95760-000</t>
  </si>
  <si>
    <t>(51) 3635-2500</t>
  </si>
  <si>
    <t>11.295.120/0001-80</t>
  </si>
  <si>
    <t>(51) 3599-9500</t>
  </si>
  <si>
    <t>Hospital de Sapiranga</t>
  </si>
  <si>
    <t>(51) 3599-8100</t>
  </si>
  <si>
    <t>11.413.810/0001-96</t>
  </si>
  <si>
    <t>09/04/2020 Portaria 771</t>
  </si>
  <si>
    <t>(51) 3451-8000</t>
  </si>
  <si>
    <t>11.726.967/0001-71</t>
  </si>
  <si>
    <t>54) 3444 8100</t>
  </si>
  <si>
    <t>12.877.385/0001-59</t>
  </si>
  <si>
    <t>(54) 3344-4700</t>
  </si>
  <si>
    <t>CNEES 2227932</t>
  </si>
  <si>
    <t>(51) 3541-9200</t>
  </si>
  <si>
    <t>Hospital Dr, Oswaldo Diesel</t>
  </si>
  <si>
    <t>11.445.803/0001-76</t>
  </si>
  <si>
    <t>(51) 3546-1236</t>
  </si>
  <si>
    <t>CNEES 2257467</t>
  </si>
  <si>
    <t>(51) 3546-7800</t>
  </si>
  <si>
    <t>11.916.215/0001-73</t>
  </si>
  <si>
    <t>15/04/2020 Portaria 806</t>
  </si>
  <si>
    <t>54) 3367-1040</t>
  </si>
  <si>
    <t>TUPANCI DO SUL</t>
  </si>
  <si>
    <t>Prefeitura Municipal de Tupancia do Sul</t>
  </si>
  <si>
    <t>90.484.320/0001-57</t>
  </si>
  <si>
    <t>R. Luís Panisson, 781, Tupanci do Sul - RS, 99878-000</t>
  </si>
  <si>
    <t>(54) 3616-9242</t>
  </si>
  <si>
    <t>(55) 3414-5500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</si>
</sst>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00"/>
    <numFmt numFmtId="165" formatCode="[$R$ -416]#,##0.00"/>
  </numFmts>
  <fonts count="122">
    <font>
      <sz val="10.0"/>
      <color rgb="FF000000"/>
      <name val="Arial"/>
      <scheme val="minor"/>
    </font>
    <font>
      <sz val="10.0"/>
      <color rgb="FF000000"/>
      <name val="Arial"/>
    </font>
    <font>
      <color theme="1"/>
      <name val="Arial"/>
      <scheme val="minor"/>
    </font>
    <font>
      <sz val="10.0"/>
      <color rgb="FF222222"/>
      <name val="Arial"/>
    </font>
    <font>
      <b/>
      <color theme="1"/>
      <name val="Roboto"/>
    </font>
    <font>
      <sz val="10.0"/>
      <color theme="1"/>
      <name val="Arial"/>
    </font>
    <font>
      <color theme="1"/>
      <name val="Arial"/>
    </font>
    <font>
      <color theme="1"/>
      <name val="Roboto"/>
    </font>
    <font>
      <sz val="10.0"/>
      <color rgb="FF38761D"/>
      <name val="Arial"/>
    </font>
    <font>
      <sz val="10.0"/>
      <color rgb="FF212529"/>
      <name val="Arial"/>
    </font>
    <font>
      <u/>
      <sz val="10.0"/>
      <color rgb="FF000000"/>
      <name val="Arial"/>
    </font>
    <font>
      <u/>
      <sz val="10.0"/>
      <color rgb="FF000000"/>
      <name val="Arial"/>
    </font>
    <font>
      <b/>
      <sz val="10.0"/>
      <color theme="1"/>
      <name val="Arial"/>
      <scheme val="minor"/>
    </font>
    <font>
      <b/>
      <sz val="11.0"/>
      <color theme="1"/>
      <name val="Arial"/>
    </font>
    <font>
      <sz val="11.0"/>
      <color theme="1"/>
      <name val="Arial"/>
      <scheme val="minor"/>
    </font>
    <font>
      <sz val="10.0"/>
      <color theme="1"/>
      <name val="Arial"/>
      <scheme val="minor"/>
    </font>
    <font>
      <u/>
      <sz val="10.0"/>
      <color rgb="FF0000FF"/>
    </font>
    <font>
      <sz val="11.0"/>
      <color theme="1"/>
      <name val="Arial"/>
    </font>
    <font>
      <b/>
      <sz val="11.0"/>
      <color rgb="FF000000"/>
      <name val="Arial"/>
    </font>
    <font>
      <sz val="11.0"/>
      <color theme="5"/>
      <name val="Arial"/>
    </font>
    <font>
      <u/>
      <sz val="11.0"/>
      <color theme="5"/>
      <name val="Arial"/>
    </font>
    <font>
      <u/>
      <sz val="11.0"/>
      <color theme="5"/>
      <name val="Arial"/>
    </font>
    <font>
      <sz val="11.0"/>
      <color rgb="FF222222"/>
      <name val="Arial"/>
    </font>
    <font>
      <b/>
      <sz val="11.0"/>
      <color theme="1"/>
      <name val="Calibri"/>
    </font>
    <font>
      <u/>
      <sz val="11.0"/>
      <color rgb="FF1155CC"/>
      <name val="Arial"/>
    </font>
    <font>
      <u/>
      <sz val="10.0"/>
      <color rgb="FF0000FF"/>
    </font>
    <font>
      <sz val="11.0"/>
      <color rgb="FFFF0000"/>
      <name val="Arial"/>
    </font>
    <font>
      <sz val="11.0"/>
      <color rgb="FF38761D"/>
      <name val="Arial"/>
    </font>
    <font>
      <u/>
      <sz val="11.0"/>
      <color rgb="FF1155CC"/>
      <name val="Arial"/>
    </font>
    <font>
      <sz val="10.0"/>
      <color rgb="FF222222"/>
      <name val="Arial"/>
      <scheme val="minor"/>
    </font>
    <font>
      <u/>
      <sz val="10.0"/>
      <color rgb="FF0000FF"/>
    </font>
    <font>
      <sz val="11.0"/>
      <color rgb="FF000000"/>
      <name val="Arial"/>
    </font>
    <font>
      <sz val="11.0"/>
      <color rgb="FF333333"/>
      <name val="Arial"/>
    </font>
    <font>
      <u/>
      <sz val="10.0"/>
      <color rgb="FF0000FF"/>
    </font>
    <font>
      <u/>
      <sz val="10.0"/>
      <color rgb="FF000000"/>
      <name val="Arial"/>
    </font>
    <font>
      <sz val="10.0"/>
      <color rgb="FF333333"/>
      <name val="Arial"/>
    </font>
    <font>
      <sz val="10.0"/>
      <color rgb="FF050505"/>
      <name val="Arial"/>
    </font>
    <font>
      <u/>
      <sz val="10.0"/>
      <color rgb="FF0000FF"/>
    </font>
    <font>
      <u/>
      <sz val="11.0"/>
      <color rgb="FF38761D"/>
      <name val="Arial"/>
    </font>
    <font>
      <u/>
      <sz val="11.0"/>
      <color rgb="FF1155CC"/>
      <name val="Arial"/>
    </font>
    <font>
      <u/>
      <sz val="10.0"/>
      <color rgb="FF0000FF"/>
      <name val="Arial"/>
    </font>
    <font>
      <u/>
      <sz val="10.0"/>
      <color rgb="FF0000FF"/>
    </font>
    <font>
      <u/>
      <sz val="11.0"/>
      <color rgb="FF38761D"/>
      <name val="Arial"/>
    </font>
    <font>
      <u/>
      <sz val="10.0"/>
      <color rgb="FF0000FF"/>
    </font>
    <font>
      <u/>
      <sz val="10.0"/>
      <color rgb="FF000000"/>
      <name val="Arial"/>
    </font>
    <font>
      <sz val="10.0"/>
      <color theme="7"/>
      <name val="Arial"/>
    </font>
    <font>
      <sz val="10.0"/>
      <color rgb="FF34A853"/>
      <name val="Arial"/>
    </font>
    <font>
      <u/>
      <sz val="11.0"/>
      <color rgb="FF000000"/>
      <name val="Arial"/>
    </font>
    <font>
      <sz val="10.0"/>
      <color theme="7"/>
      <name val="Arial"/>
      <scheme val="minor"/>
    </font>
    <font>
      <u/>
      <sz val="11.0"/>
      <color rgb="FF000000"/>
      <name val="Arial"/>
    </font>
    <font>
      <u/>
      <sz val="11.0"/>
      <color rgb="FF000000"/>
      <name val="Arial"/>
    </font>
    <font>
      <sz val="10.0"/>
      <color rgb="FFEA4335"/>
      <name val="Arial"/>
    </font>
    <font>
      <sz val="10.0"/>
      <color theme="5"/>
      <name val="Arial"/>
    </font>
    <font>
      <u/>
      <sz val="10.0"/>
      <color theme="7"/>
    </font>
    <font>
      <sz val="10.0"/>
      <color rgb="FFFF0000"/>
      <name val="Arial"/>
    </font>
    <font>
      <u/>
      <sz val="11.0"/>
      <color theme="5"/>
      <name val="Arial"/>
    </font>
    <font>
      <sz val="11.0"/>
      <color rgb="FF050505"/>
      <name val="Arial"/>
    </font>
    <font>
      <u/>
      <sz val="11.0"/>
      <color rgb="FF000000"/>
      <name val="Arial"/>
    </font>
    <font>
      <u/>
      <sz val="11.0"/>
      <color rgb="FF0000FF"/>
      <name val="Arial"/>
    </font>
    <font>
      <u/>
      <sz val="11.0"/>
      <color theme="1"/>
      <name val="Arial"/>
    </font>
    <font>
      <u/>
      <sz val="11.0"/>
      <color rgb="FF000000"/>
      <name val="Arial"/>
    </font>
    <font>
      <sz val="11.0"/>
      <color theme="7"/>
      <name val="Arial"/>
    </font>
    <font>
      <u/>
      <sz val="11.0"/>
      <color rgb="FF000000"/>
      <name val="Arial"/>
    </font>
    <font>
      <u/>
      <sz val="11.0"/>
      <color rgb="FF000000"/>
      <name val="Arial"/>
    </font>
    <font>
      <sz val="11.0"/>
      <color rgb="FFEA4335"/>
      <name val="Arial"/>
    </font>
    <font>
      <u/>
      <sz val="11.0"/>
      <color theme="5"/>
      <name val="Arial"/>
    </font>
    <font>
      <u/>
      <sz val="11.0"/>
      <color theme="5"/>
      <name val="Arial"/>
    </font>
    <font>
      <sz val="11.0"/>
      <color rgb="FF34A853"/>
      <name val="Arial"/>
    </font>
    <font>
      <u/>
      <sz val="11.0"/>
      <color theme="7"/>
      <name val="Arial"/>
    </font>
    <font>
      <u/>
      <sz val="10.0"/>
      <color rgb="FF0000FF"/>
      <name val="Arial"/>
    </font>
    <font>
      <u/>
      <sz val="10.0"/>
      <color rgb="FF0000FF"/>
      <name val="Arial"/>
    </font>
    <font>
      <sz val="11.0"/>
      <color rgb="FF202124"/>
      <name val="Arial"/>
    </font>
    <font>
      <u/>
      <sz val="11.0"/>
      <color rgb="FF000000"/>
      <name val="Arial"/>
    </font>
    <font>
      <u/>
      <sz val="11.0"/>
      <color rgb="FF1155CC"/>
      <name val="Arial"/>
    </font>
    <font>
      <u/>
      <sz val="11.0"/>
      <color theme="5"/>
      <name val="Arial"/>
    </font>
    <font>
      <u/>
      <sz val="11.0"/>
      <color rgb="FF0000FF"/>
      <name val="Arial"/>
    </font>
    <font>
      <u/>
      <sz val="10.0"/>
      <color rgb="FF212529"/>
      <name val="Arial"/>
    </font>
    <font>
      <u/>
      <sz val="10.0"/>
      <color rgb="FF212529"/>
      <name val="Arial"/>
    </font>
    <font>
      <sz val="12.0"/>
      <color theme="1"/>
      <name val="Calibri"/>
    </font>
    <font>
      <sz val="11.0"/>
      <color theme="1"/>
      <name val="Calibri"/>
    </font>
    <font>
      <b/>
      <sz val="11.0"/>
      <color rgb="FF000000"/>
      <name val="Calibri"/>
    </font>
    <font>
      <u/>
      <sz val="11.0"/>
      <color rgb="FF000000"/>
      <name val="Arial"/>
    </font>
    <font>
      <u/>
      <sz val="11.0"/>
      <color rgb="FF000000"/>
      <name val="Arial"/>
    </font>
    <font>
      <sz val="12.0"/>
      <color rgb="FF000000"/>
      <name val="Calibri"/>
    </font>
    <font>
      <b/>
      <color theme="1"/>
      <name val="Arial"/>
      <scheme val="minor"/>
    </font>
    <font/>
    <font>
      <color rgb="FF000000"/>
      <name val="Arial"/>
    </font>
    <font>
      <b/>
      <i/>
      <sz val="11.0"/>
      <color rgb="FF000000"/>
      <name val="Arial"/>
    </font>
    <font>
      <sz val="11.0"/>
      <color rgb="FF000000"/>
      <name val="Calibri"/>
    </font>
    <font>
      <color rgb="FFEA4335"/>
      <name val="Arial"/>
    </font>
    <font>
      <color rgb="FF0000FF"/>
      <name val="Arial"/>
    </font>
    <font>
      <b/>
      <color rgb="FF000000"/>
      <name val="Arial"/>
    </font>
    <font>
      <b/>
      <color rgb="FFEA4335"/>
      <name val="Arial"/>
    </font>
    <font>
      <sz val="9.0"/>
      <color rgb="FF000000"/>
      <name val="Calibri"/>
    </font>
    <font>
      <sz val="10.0"/>
      <color rgb="FF1F1F1F"/>
      <name val="Arial"/>
    </font>
    <font>
      <sz val="9.0"/>
      <color rgb="FF333333"/>
      <name val="Verdana"/>
    </font>
    <font>
      <color rgb="FFFF0000"/>
      <name val="Arial"/>
    </font>
    <font>
      <u/>
      <sz val="11.0"/>
      <color rgb="FF000000"/>
      <name val="Arial"/>
    </font>
    <font>
      <u/>
      <sz val="11.0"/>
      <color rgb="FF000000"/>
      <name val="Arial"/>
    </font>
    <font>
      <sz val="11.0"/>
      <color rgb="FF000000"/>
      <name val="Arial"/>
      <scheme val="minor"/>
    </font>
    <font>
      <u/>
      <sz val="11.0"/>
      <color rgb="FF000000"/>
      <name val="Arial"/>
    </font>
    <font>
      <u/>
      <sz val="11.0"/>
      <color rgb="FF000000"/>
      <name val="Arial"/>
    </font>
    <font>
      <u/>
      <sz val="11.0"/>
      <color rgb="FF000000"/>
      <name val="Arial"/>
    </font>
    <font>
      <u/>
      <sz val="11.0"/>
      <color rgb="FF000000"/>
      <name val="Arial"/>
    </font>
    <font>
      <b/>
      <color theme="1"/>
      <name val="Arial"/>
    </font>
    <font>
      <u/>
      <sz val="11.0"/>
      <color theme="1"/>
      <name val="Arial"/>
    </font>
    <font>
      <u/>
      <sz val="10.0"/>
      <color theme="1"/>
    </font>
    <font>
      <u/>
      <sz val="10.0"/>
      <color theme="1"/>
      <name val="Arial"/>
      <scheme val="minor"/>
    </font>
    <font>
      <u/>
      <sz val="10.0"/>
      <color theme="1"/>
    </font>
    <font>
      <u/>
      <sz val="11.0"/>
      <color rgb="FF0000FF"/>
      <name val="Arial"/>
    </font>
    <font>
      <u/>
      <sz val="11.0"/>
      <color rgb="FF1155CC"/>
      <name val="Arial"/>
    </font>
    <font>
      <color theme="1"/>
      <name val="Aptos Narrow"/>
    </font>
    <font>
      <u/>
      <sz val="10.0"/>
      <color theme="1"/>
      <name val="Arial"/>
      <scheme val="minor"/>
    </font>
    <font>
      <b/>
      <sz val="9.0"/>
      <color rgb="FF003399"/>
      <name val="Arial"/>
    </font>
    <font>
      <color rgb="FF222222"/>
      <name val="Arial"/>
    </font>
    <font>
      <u/>
      <sz val="10.0"/>
      <color theme="1"/>
    </font>
    <font>
      <sz val="10.0"/>
      <color rgb="FFFF0000"/>
      <name val="Arial"/>
      <scheme val="minor"/>
    </font>
    <font>
      <u/>
      <sz val="10.0"/>
      <color rgb="FF212529"/>
      <name val="Arial"/>
    </font>
    <font>
      <u/>
      <sz val="10.0"/>
      <color rgb="FF000000"/>
      <name val="&quot;Open Sans&quot;"/>
    </font>
    <font>
      <sz val="11.0"/>
      <color rgb="FF4D5156"/>
      <name val="Arial"/>
    </font>
    <font>
      <u/>
      <color rgb="FF0000FF"/>
      <name val="Arial"/>
    </font>
    <font>
      <sz val="8.0"/>
      <color rgb="FF000000"/>
      <name val="Arial"/>
    </font>
  </fonts>
  <fills count="16">
    <fill>
      <patternFill patternType="none"/>
    </fill>
    <fill>
      <patternFill patternType="lightGray"/>
    </fill>
    <fill>
      <patternFill patternType="solid">
        <fgColor rgb="FFFFFF00"/>
        <bgColor rgb="FFFFFF00"/>
      </patternFill>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theme="0"/>
        <bgColor theme="0"/>
      </patternFill>
    </fill>
    <fill>
      <patternFill patternType="solid">
        <fgColor rgb="FFEFEFEF"/>
        <bgColor rgb="FFEFEFEF"/>
      </patternFill>
    </fill>
    <fill>
      <patternFill patternType="solid">
        <fgColor rgb="FFB7E1CD"/>
        <bgColor rgb="FFB7E1CD"/>
      </patternFill>
    </fill>
    <fill>
      <patternFill patternType="solid">
        <fgColor theme="9"/>
        <bgColor theme="9"/>
      </patternFill>
    </fill>
    <fill>
      <patternFill patternType="solid">
        <fgColor rgb="FFFF0000"/>
        <bgColor rgb="FFFF0000"/>
      </patternFill>
    </fill>
    <fill>
      <patternFill patternType="solid">
        <fgColor rgb="FFFFF2CC"/>
        <bgColor rgb="FFFFF2CC"/>
      </patternFill>
    </fill>
    <fill>
      <patternFill patternType="solid">
        <fgColor rgb="FFD9D9D9"/>
        <bgColor rgb="FFD9D9D9"/>
      </patternFill>
    </fill>
    <fill>
      <patternFill patternType="solid">
        <fgColor rgb="FF00FF00"/>
        <bgColor rgb="FF00FF00"/>
      </patternFill>
    </fill>
    <fill>
      <patternFill patternType="solid">
        <fgColor theme="5"/>
        <bgColor theme="5"/>
      </patternFill>
    </fill>
    <fill>
      <patternFill patternType="solid">
        <fgColor rgb="FFB7B7B7"/>
        <bgColor rgb="FFB7B7B7"/>
      </patternFill>
    </fill>
  </fills>
  <borders count="21">
    <border/>
    <border>
      <left style="thin">
        <color rgb="FF000000"/>
      </left>
      <right style="thin">
        <color rgb="FF000000"/>
      </right>
      <top style="thin">
        <color rgb="FF000000"/>
      </top>
      <bottom style="thin">
        <color rgb="FF000000"/>
      </bottom>
    </border>
    <border>
      <left style="medium">
        <color rgb="FFFF0000"/>
      </left>
      <right style="thin">
        <color rgb="FF000000"/>
      </right>
      <top style="medium">
        <color rgb="FFFF0000"/>
      </top>
      <bottom style="thin">
        <color rgb="FF000000"/>
      </bottom>
    </border>
    <border>
      <left style="thin">
        <color rgb="FF000000"/>
      </left>
      <right style="thin">
        <color rgb="FF000000"/>
      </right>
      <top style="medium">
        <color rgb="FFFF0000"/>
      </top>
      <bottom style="thin">
        <color rgb="FF000000"/>
      </bottom>
    </border>
    <border>
      <left style="medium">
        <color rgb="FFFF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medium">
        <color rgb="FFFF0000"/>
      </right>
      <top style="medium">
        <color rgb="FFFF0000"/>
      </top>
    </border>
    <border>
      <left style="medium">
        <color rgb="FFFF0000"/>
      </left>
      <right style="thin">
        <color rgb="FF000000"/>
      </right>
      <top style="thin">
        <color rgb="FF000000"/>
      </top>
      <bottom style="thin">
        <color rgb="FF000000"/>
      </bottom>
    </border>
    <border>
      <left style="thin">
        <color rgb="FF000000"/>
      </left>
      <bottom style="thin">
        <color rgb="FF000000"/>
      </bottom>
    </border>
    <border>
      <right style="medium">
        <color rgb="FFFF0000"/>
      </right>
    </border>
    <border>
      <left style="thin">
        <color rgb="FF000000"/>
      </left>
      <top style="thin">
        <color rgb="FF000000"/>
      </top>
      <bottom style="thin">
        <color rgb="FF000000"/>
      </bottom>
    </border>
    <border>
      <left style="thin">
        <color rgb="FF000000"/>
      </left>
      <right style="medium">
        <color rgb="FFFF0000"/>
      </right>
      <top style="thin">
        <color rgb="FF000000"/>
      </top>
      <bottom style="thin">
        <color rgb="FF000000"/>
      </bottom>
    </border>
    <border>
      <left style="medium">
        <color rgb="FFFF0000"/>
      </left>
      <right style="thin">
        <color rgb="FF000000"/>
      </right>
      <top style="thin">
        <color rgb="FF000000"/>
      </top>
      <bottom style="medium">
        <color rgb="FFFF0000"/>
      </bottom>
    </border>
    <border>
      <left style="thin">
        <color rgb="FF000000"/>
      </left>
      <right style="thin">
        <color rgb="FF000000"/>
      </right>
      <top style="thin">
        <color rgb="FF000000"/>
      </top>
      <bottom style="medium">
        <color rgb="FFFF0000"/>
      </bottom>
    </border>
    <border>
      <left style="thin">
        <color rgb="FF000000"/>
      </left>
      <top style="thin">
        <color rgb="FF000000"/>
      </top>
      <bottom style="medium">
        <color rgb="FFFF0000"/>
      </bottom>
    </border>
    <border>
      <left style="thin">
        <color rgb="FF000000"/>
      </left>
      <right style="medium">
        <color rgb="FFFF0000"/>
      </right>
      <top style="thin">
        <color rgb="FF000000"/>
      </top>
      <bottom style="medium">
        <color rgb="FFFF0000"/>
      </bottom>
    </border>
    <border>
      <left style="thin">
        <color rgb="FF000000"/>
      </left>
    </border>
    <border>
      <right style="thin">
        <color rgb="FF000000"/>
      </right>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96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0" xfId="0" applyAlignment="1" applyFont="1">
      <alignment readingOrder="0"/>
    </xf>
    <xf borderId="0" fillId="0" fontId="3" numFmtId="0" xfId="0" applyAlignment="1" applyFont="1">
      <alignment horizontal="left" readingOrder="0" shrinkToFit="0" vertical="center" wrapText="0"/>
    </xf>
    <xf borderId="0" fillId="2" fontId="1" numFmtId="0" xfId="0" applyAlignment="1" applyFill="1" applyFont="1">
      <alignment readingOrder="0" shrinkToFit="0" vertical="center" wrapText="0"/>
    </xf>
    <xf borderId="0" fillId="3" fontId="4" numFmtId="0" xfId="0" applyFill="1" applyFont="1"/>
    <xf borderId="0" fillId="2" fontId="1" numFmtId="164" xfId="0" applyAlignment="1" applyFill="1" applyFont="1" applyNumberFormat="1">
      <alignment readingOrder="0" shrinkToFit="0" vertical="center" wrapText="0"/>
    </xf>
    <xf borderId="0" fillId="3" fontId="4" numFmtId="165" xfId="0" applyFill="1" applyFont="1" applyNumberFormat="1"/>
    <xf borderId="0" fillId="2" fontId="1" numFmtId="0" xfId="0" applyAlignment="1" applyFill="1" applyFont="1">
      <alignment horizontal="right" readingOrder="0" shrinkToFit="0" vertical="center" wrapText="0"/>
    </xf>
    <xf borderId="0" fillId="0" fontId="2" numFmtId="0" xfId="0" applyFont="1"/>
    <xf borderId="0" fillId="2" fontId="1" numFmtId="165" xfId="0" applyAlignment="1" applyFill="1" applyFont="1" applyNumberFormat="1">
      <alignment horizontal="left" readingOrder="0" shrinkToFit="0" vertical="center" wrapText="0"/>
    </xf>
    <xf borderId="0" fillId="0" fontId="3" numFmtId="0" xfId="0" applyAlignment="1" applyFont="1">
      <alignment horizontal="left" readingOrder="0" shrinkToFit="0" vertical="center" wrapText="1"/>
    </xf>
    <xf borderId="0" fillId="0" fontId="5" numFmtId="0" xfId="0" applyAlignment="1" applyFont="1">
      <alignment shrinkToFit="0" wrapText="1"/>
    </xf>
    <xf borderId="0" fillId="0" fontId="1" numFmtId="0" xfId="0" applyAlignment="1" applyFont="1">
      <alignment horizontal="left" readingOrder="0" shrinkToFit="0" vertical="center" wrapText="1"/>
    </xf>
    <xf borderId="0" fillId="4" fontId="6" numFmtId="0" xfId="0" applyFill="1" applyFont="1"/>
    <xf borderId="0" fillId="0" fontId="5" numFmtId="0" xfId="0" applyAlignment="1" applyFont="1">
      <alignment shrinkToFit="0" wrapText="0"/>
    </xf>
    <xf borderId="0" fillId="4" fontId="7" numFmtId="0" xfId="0" applyFill="1" applyFont="1"/>
    <xf borderId="0" fillId="0" fontId="5" numFmtId="164" xfId="0" applyAlignment="1" applyFont="1" applyNumberFormat="1">
      <alignment readingOrder="0" shrinkToFit="0" wrapText="1"/>
    </xf>
    <xf borderId="0" fillId="0" fontId="5" numFmtId="0" xfId="0" applyAlignment="1" applyFont="1">
      <alignment readingOrder="0" shrinkToFit="0" wrapText="1"/>
    </xf>
    <xf borderId="0" fillId="4" fontId="7" numFmtId="165" xfId="0" applyFill="1" applyFont="1" applyNumberFormat="1"/>
    <xf borderId="0" fillId="0" fontId="5" numFmtId="0" xfId="0" applyAlignment="1" applyFont="1">
      <alignment horizontal="right" readingOrder="0"/>
    </xf>
    <xf borderId="0" fillId="0" fontId="5" numFmtId="0" xfId="0" applyAlignment="1" applyFont="1">
      <alignment horizontal="left" readingOrder="0" shrinkToFit="0" vertical="center" wrapText="1"/>
    </xf>
    <xf borderId="0" fillId="0" fontId="5" numFmtId="165" xfId="0" applyAlignment="1" applyFont="1" applyNumberFormat="1">
      <alignment readingOrder="0"/>
    </xf>
    <xf borderId="0" fillId="0" fontId="8" numFmtId="0" xfId="0" applyAlignment="1" applyFont="1">
      <alignment readingOrder="0" shrinkToFit="0" vertical="bottom" wrapText="0"/>
    </xf>
    <xf borderId="0" fillId="0" fontId="8" numFmtId="0" xfId="0" applyAlignment="1" applyFont="1">
      <alignment readingOrder="0" shrinkToFit="0" vertical="center" wrapText="1"/>
    </xf>
    <xf borderId="0" fillId="0" fontId="5" numFmtId="0" xfId="0" applyAlignment="1" applyFont="1">
      <alignment readingOrder="0" shrinkToFit="0" wrapText="0"/>
    </xf>
    <xf borderId="0" fillId="0" fontId="5" numFmtId="165" xfId="0" applyAlignment="1" applyFont="1" applyNumberFormat="1">
      <alignment horizontal="left" readingOrder="0"/>
    </xf>
    <xf borderId="0" fillId="5" fontId="6" numFmtId="0" xfId="0" applyFill="1" applyFont="1"/>
    <xf borderId="0" fillId="5" fontId="7" numFmtId="0" xfId="0" applyFill="1" applyFont="1"/>
    <xf borderId="0" fillId="6" fontId="1" numFmtId="0" xfId="0" applyAlignment="1" applyFill="1" applyFont="1">
      <alignment horizontal="left" readingOrder="0" shrinkToFit="0" vertical="center" wrapText="1"/>
    </xf>
    <xf borderId="0" fillId="5" fontId="7" numFmtId="165" xfId="0" applyFill="1" applyFont="1" applyNumberFormat="1"/>
    <xf borderId="0" fillId="5" fontId="7" numFmtId="3" xfId="0" applyFill="1" applyFont="1" applyNumberFormat="1"/>
    <xf borderId="0" fillId="6" fontId="1" numFmtId="0" xfId="0" applyAlignment="1" applyFill="1" applyFont="1">
      <alignment horizontal="left" readingOrder="0" shrinkToFit="0" vertical="center" wrapText="0"/>
    </xf>
    <xf borderId="0" fillId="6" fontId="1" numFmtId="164" xfId="0" applyAlignment="1" applyFill="1" applyFont="1" applyNumberFormat="1">
      <alignment horizontal="left" readingOrder="0" shrinkToFit="0" vertical="center" wrapText="1"/>
    </xf>
    <xf borderId="0" fillId="4" fontId="7" numFmtId="3" xfId="0" applyFill="1" applyFont="1" applyNumberFormat="1"/>
    <xf borderId="0" fillId="6" fontId="1" numFmtId="0" xfId="0" applyAlignment="1" applyFill="1" applyFont="1">
      <alignment horizontal="right" readingOrder="0" shrinkToFit="0" vertical="center" wrapText="1"/>
    </xf>
    <xf borderId="0" fillId="4" fontId="7" numFmtId="4" xfId="0" applyFill="1" applyFont="1" applyNumberFormat="1"/>
    <xf borderId="0" fillId="6" fontId="1" numFmtId="165" xfId="0" applyAlignment="1" applyFill="1" applyFont="1" applyNumberFormat="1">
      <alignment horizontal="left" readingOrder="0" shrinkToFit="0" vertical="center" wrapText="1"/>
    </xf>
    <xf borderId="0" fillId="6" fontId="1" numFmtId="165" xfId="0" applyAlignment="1" applyFill="1" applyFont="1" applyNumberFormat="1">
      <alignment horizontal="left" readingOrder="0" shrinkToFit="0" vertical="bottom" wrapText="0"/>
    </xf>
    <xf borderId="0" fillId="6" fontId="1" numFmtId="0" xfId="0" applyAlignment="1" applyFill="1" applyFont="1">
      <alignment readingOrder="0" shrinkToFit="0" vertical="bottom" wrapText="0"/>
    </xf>
    <xf borderId="0" fillId="6" fontId="1" numFmtId="0" xfId="0" applyAlignment="1" applyFill="1" applyFont="1">
      <alignment readingOrder="0" shrinkToFit="0" vertical="center" wrapText="1"/>
    </xf>
    <xf borderId="0" fillId="6" fontId="1" numFmtId="0" xfId="0" applyAlignment="1" applyFill="1" applyFont="1">
      <alignment shrinkToFit="0" vertical="center" wrapText="1"/>
    </xf>
    <xf borderId="0" fillId="6" fontId="1" numFmtId="164" xfId="0" applyAlignment="1" applyFill="1" applyFont="1" applyNumberFormat="1">
      <alignment shrinkToFit="0" vertical="center" wrapText="1"/>
    </xf>
    <xf borderId="0" fillId="6" fontId="1" numFmtId="4" xfId="0" applyAlignment="1" applyFill="1" applyFont="1" applyNumberFormat="1">
      <alignment shrinkToFit="0" vertical="center" wrapText="1"/>
    </xf>
    <xf borderId="0" fillId="6" fontId="1" numFmtId="0" xfId="0" applyAlignment="1" applyFill="1" applyFont="1">
      <alignment shrinkToFit="0" vertical="center" wrapText="0"/>
    </xf>
    <xf borderId="0" fillId="6" fontId="1" numFmtId="0" xfId="0" applyAlignment="1" applyFill="1" applyFont="1">
      <alignment horizontal="right" readingOrder="0" vertical="center"/>
    </xf>
    <xf borderId="0" fillId="6" fontId="1" numFmtId="0" xfId="0" applyAlignment="1" applyFill="1" applyFont="1">
      <alignment readingOrder="0" shrinkToFit="0" vertical="center" wrapText="0"/>
    </xf>
    <xf borderId="0" fillId="4" fontId="1" numFmtId="0" xfId="0" applyAlignment="1" applyFill="1" applyFont="1">
      <alignment horizontal="left" readingOrder="0" shrinkToFit="0" vertical="center" wrapText="1"/>
    </xf>
    <xf borderId="0" fillId="5" fontId="7" numFmtId="4" xfId="0" applyFill="1" applyFont="1" applyNumberFormat="1"/>
    <xf borderId="0" fillId="4" fontId="1" numFmtId="0" xfId="0" applyAlignment="1" applyFill="1" applyFont="1">
      <alignment horizontal="left" readingOrder="0" shrinkToFit="0" vertical="center" wrapText="0"/>
    </xf>
    <xf borderId="0" fillId="4" fontId="1" numFmtId="164" xfId="0" applyAlignment="1" applyFill="1" applyFont="1" applyNumberFormat="1">
      <alignment horizontal="left" readingOrder="0" shrinkToFit="0" vertical="center" wrapText="1"/>
    </xf>
    <xf borderId="0" fillId="4" fontId="1" numFmtId="0" xfId="0" applyAlignment="1" applyFill="1" applyFont="1">
      <alignment horizontal="right" readingOrder="0"/>
    </xf>
    <xf borderId="0" fillId="4" fontId="1" numFmtId="165" xfId="0" applyAlignment="1" applyFill="1" applyFont="1" applyNumberFormat="1">
      <alignment horizontal="left" readingOrder="0" shrinkToFit="0" vertical="center" wrapText="1"/>
    </xf>
    <xf borderId="0" fillId="4" fontId="1" numFmtId="0" xfId="0" applyAlignment="1" applyFill="1" applyFont="1">
      <alignment readingOrder="0" shrinkToFit="0" wrapText="0"/>
    </xf>
    <xf borderId="0" fillId="4" fontId="1" numFmtId="0" xfId="0" applyAlignment="1" applyFill="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horizontal="right" readingOrder="0"/>
    </xf>
    <xf borderId="0" fillId="0" fontId="1" numFmtId="165" xfId="0" applyAlignment="1" applyFont="1" applyNumberFormat="1">
      <alignment readingOrder="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shrinkToFit="0" wrapText="0"/>
    </xf>
    <xf borderId="0" fillId="7" fontId="1" numFmtId="0" xfId="0" applyAlignment="1" applyFill="1" applyFont="1">
      <alignment horizontal="left" readingOrder="0" shrinkToFit="0" vertical="center" wrapText="1"/>
    </xf>
    <xf borderId="0" fillId="7" fontId="1" numFmtId="0" xfId="0" applyAlignment="1" applyFill="1" applyFont="1">
      <alignment horizontal="left" readingOrder="0" shrinkToFit="0" vertical="center" wrapText="0"/>
    </xf>
    <xf borderId="0" fillId="7" fontId="1" numFmtId="164" xfId="0" applyAlignment="1" applyFill="1" applyFont="1" applyNumberFormat="1">
      <alignment horizontal="left" readingOrder="0" shrinkToFit="0" vertical="center" wrapText="1"/>
    </xf>
    <xf borderId="0" fillId="7" fontId="1" numFmtId="0" xfId="0" applyAlignment="1" applyFill="1" applyFont="1">
      <alignment horizontal="right" readingOrder="0" vertical="center"/>
    </xf>
    <xf borderId="0" fillId="7" fontId="1" numFmtId="165" xfId="0" applyAlignment="1" applyFill="1" applyFont="1" applyNumberFormat="1">
      <alignment horizontal="left" readingOrder="0" shrinkToFit="0" vertical="center" wrapText="1"/>
    </xf>
    <xf borderId="0" fillId="7" fontId="1" numFmtId="0" xfId="0" applyAlignment="1" applyFill="1" applyFont="1">
      <alignment readingOrder="0" shrinkToFit="0" vertical="center" wrapText="0"/>
    </xf>
    <xf borderId="0" fillId="7" fontId="1" numFmtId="0" xfId="0" applyAlignment="1" applyFill="1" applyFont="1">
      <alignment readingOrder="0" shrinkToFit="0" vertical="center" wrapText="1"/>
    </xf>
    <xf borderId="0" fillId="7" fontId="1" numFmtId="0" xfId="0" applyAlignment="1" applyFill="1" applyFont="1">
      <alignment horizontal="right" readingOrder="0" shrinkToFit="0" vertical="center" wrapText="1"/>
    </xf>
    <xf borderId="0" fillId="0" fontId="9" numFmtId="0" xfId="0" applyAlignment="1" applyFont="1">
      <alignment horizontal="right" readingOrder="0" vertical="top"/>
    </xf>
    <xf borderId="0" fillId="0" fontId="9" numFmtId="165" xfId="0" applyAlignment="1" applyFont="1" applyNumberFormat="1">
      <alignment horizontal="right" readingOrder="0" vertical="bottom"/>
    </xf>
    <xf borderId="0" fillId="0" fontId="1" numFmtId="0" xfId="0" applyAlignment="1" applyFont="1">
      <alignment horizontal="right"/>
    </xf>
    <xf borderId="0" fillId="7" fontId="1" numFmtId="0" xfId="0" applyAlignment="1" applyFill="1" applyFont="1">
      <alignment shrinkToFit="0" vertical="center" wrapText="1"/>
    </xf>
    <xf borderId="0" fillId="7" fontId="10" numFmtId="0" xfId="0" applyAlignment="1" applyFill="1" applyFont="1">
      <alignment horizontal="right" readingOrder="0" shrinkToFit="0" vertical="center" wrapText="1"/>
    </xf>
    <xf borderId="0" fillId="7" fontId="1" numFmtId="0" xfId="0" applyAlignment="1" applyFill="1" applyFont="1">
      <alignment readingOrder="0" shrinkToFit="0" wrapText="0"/>
    </xf>
    <xf borderId="0" fillId="7" fontId="11" numFmtId="0" xfId="0" applyAlignment="1" applyFill="1" applyFont="1">
      <alignment horizontal="righ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horizontal="right" readingOrder="0" vertical="center"/>
    </xf>
    <xf borderId="0" fillId="8" fontId="1" numFmtId="165" xfId="0" applyAlignment="1" applyFill="1" applyFont="1" applyNumberFormat="1">
      <alignment readingOrder="0" vertical="center"/>
    </xf>
    <xf borderId="1" fillId="7" fontId="12" numFmtId="0" xfId="0" applyAlignment="1" applyBorder="1" applyFill="1" applyFont="1">
      <alignment horizontal="left" readingOrder="0" shrinkToFit="0" vertical="center" wrapText="1"/>
    </xf>
    <xf borderId="1" fillId="7" fontId="12" numFmtId="0" xfId="0" applyAlignment="1" applyBorder="1" applyFill="1" applyFont="1">
      <alignment horizontal="left" readingOrder="0" shrinkToFit="0" vertical="center" wrapText="0"/>
    </xf>
    <xf borderId="1" fillId="7" fontId="12" numFmtId="165" xfId="0" applyAlignment="1" applyBorder="1" applyFill="1" applyFont="1" applyNumberFormat="1">
      <alignment horizontal="left" readingOrder="0" shrinkToFit="0" vertical="center" wrapText="1"/>
    </xf>
    <xf borderId="0" fillId="7" fontId="13" numFmtId="0" xfId="0" applyAlignment="1" applyFill="1" applyFont="1">
      <alignment readingOrder="0" shrinkToFit="0" vertical="center" wrapText="1"/>
    </xf>
    <xf borderId="0" fillId="0" fontId="14" numFmtId="0" xfId="0" applyFont="1"/>
    <xf borderId="1" fillId="4" fontId="15" numFmtId="0" xfId="0" applyAlignment="1" applyBorder="1" applyFill="1" applyFont="1">
      <alignment horizontal="left" shrinkToFit="0" wrapText="1"/>
    </xf>
    <xf borderId="1" fillId="4" fontId="15" numFmtId="0" xfId="0" applyAlignment="1" applyBorder="1" applyFill="1" applyFont="1">
      <alignment horizontal="left" shrinkToFit="0" vertical="bottom" wrapText="1"/>
    </xf>
    <xf borderId="1" fillId="4" fontId="15" numFmtId="0" xfId="0" applyAlignment="1" applyBorder="1" applyFill="1" applyFont="1">
      <alignment horizontal="left" shrinkToFit="0" wrapText="0"/>
    </xf>
    <xf borderId="1" fillId="6" fontId="15" numFmtId="0" xfId="0" applyAlignment="1" applyBorder="1" applyFill="1" applyFont="1">
      <alignment horizontal="left" readingOrder="0" shrinkToFit="0" vertical="center" wrapText="1"/>
    </xf>
    <xf borderId="1" fillId="4" fontId="15" numFmtId="4" xfId="0" applyAlignment="1" applyBorder="1" applyFill="1" applyFont="1" applyNumberFormat="1">
      <alignment horizontal="left" shrinkToFit="0" wrapText="1"/>
    </xf>
    <xf borderId="1" fillId="4" fontId="15" numFmtId="165" xfId="0" applyAlignment="1" applyBorder="1" applyFill="1" applyFont="1" applyNumberFormat="1">
      <alignment horizontal="left" readingOrder="0" vertical="bottom"/>
    </xf>
    <xf borderId="1" fillId="4" fontId="15" numFmtId="0" xfId="0" applyAlignment="1" applyBorder="1" applyFill="1" applyFont="1">
      <alignment horizontal="left"/>
    </xf>
    <xf borderId="0" fillId="0" fontId="1" numFmtId="165" xfId="0" applyAlignment="1" applyFont="1" applyNumberFormat="1">
      <alignment horizontal="right" readingOrder="0" shrinkToFit="0" wrapText="0"/>
    </xf>
    <xf borderId="1" fillId="6" fontId="15" numFmtId="0" xfId="0" applyAlignment="1" applyBorder="1" applyFill="1" applyFont="1">
      <alignment horizontal="left" readingOrder="0" shrinkToFit="0" wrapText="1"/>
    </xf>
    <xf borderId="1" fillId="4" fontId="16" numFmtId="0" xfId="0" applyAlignment="1" applyBorder="1" applyFill="1" applyFont="1">
      <alignment horizontal="left" readingOrder="0" shrinkToFit="0" wrapText="1"/>
    </xf>
    <xf borderId="0" fillId="6" fontId="17" numFmtId="0" xfId="0" applyAlignment="1" applyFill="1" applyFont="1">
      <alignment horizontal="right" readingOrder="0" shrinkToFit="0" vertical="center" wrapText="1"/>
    </xf>
    <xf borderId="0" fillId="6" fontId="1" numFmtId="0" xfId="0" applyAlignment="1" applyFill="1" applyFont="1">
      <alignment horizontal="right" readingOrder="0"/>
    </xf>
    <xf borderId="2" fillId="7" fontId="5" numFmtId="0" xfId="0" applyAlignment="1" applyBorder="1" applyFill="1" applyFont="1">
      <alignment horizontal="center" readingOrder="0" shrinkToFit="0" vertical="center" wrapText="1"/>
    </xf>
    <xf borderId="3" fillId="7" fontId="5" numFmtId="0" xfId="0" applyAlignment="1" applyBorder="1" applyFill="1" applyFont="1">
      <alignment readingOrder="0" shrinkToFit="0" vertical="center" wrapText="1"/>
    </xf>
    <xf borderId="1" fillId="6" fontId="15" numFmtId="0" xfId="0" applyAlignment="1" applyBorder="1" applyFill="1" applyFont="1">
      <alignment horizontal="left" readingOrder="0"/>
    </xf>
    <xf borderId="3" fillId="7" fontId="5" numFmtId="0" xfId="0" applyAlignment="1" applyBorder="1" applyFill="1" applyFont="1">
      <alignment horizontal="left" readingOrder="0" shrinkToFit="0" vertical="center" wrapText="1"/>
    </xf>
    <xf borderId="1" fillId="6" fontId="15" numFmtId="0" xfId="0" applyAlignment="1" applyBorder="1" applyFill="1" applyFont="1">
      <alignment horizontal="left" readingOrder="0" shrinkToFit="0" vertical="center" wrapText="0"/>
    </xf>
    <xf borderId="3" fillId="7" fontId="5" numFmtId="0" xfId="0" applyAlignment="1" applyBorder="1" applyFill="1" applyFont="1">
      <alignment horizontal="center" readingOrder="0" shrinkToFit="0" vertical="center" wrapText="1"/>
    </xf>
    <xf borderId="1" fillId="6" fontId="15" numFmtId="4" xfId="0" applyAlignment="1" applyBorder="1" applyFill="1" applyFont="1" applyNumberFormat="1">
      <alignment horizontal="left" readingOrder="0" shrinkToFit="0" vertical="center" wrapText="0"/>
    </xf>
    <xf borderId="1" fillId="6" fontId="15" numFmtId="165" xfId="0" applyAlignment="1" applyBorder="1" applyFill="1" applyFont="1" applyNumberFormat="1">
      <alignment horizontal="left" readingOrder="0" shrinkToFit="0" vertical="bottom" wrapText="0"/>
    </xf>
    <xf borderId="0" fillId="6" fontId="1" numFmtId="0" xfId="0" applyAlignment="1" applyFill="1" applyFont="1">
      <alignment readingOrder="0" shrinkToFit="0" wrapText="0"/>
    </xf>
    <xf borderId="2" fillId="7" fontId="13" numFmtId="0" xfId="0" applyAlignment="1" applyBorder="1" applyFill="1" applyFont="1">
      <alignment horizontal="center" readingOrder="0" shrinkToFit="0" vertical="center" wrapText="1"/>
    </xf>
    <xf borderId="3" fillId="7" fontId="13" numFmtId="0" xfId="0" applyAlignment="1" applyBorder="1" applyFill="1" applyFont="1">
      <alignment readingOrder="0" shrinkToFit="0" vertical="center" wrapText="1"/>
    </xf>
    <xf borderId="3" fillId="7" fontId="1" numFmtId="0" xfId="0" applyAlignment="1" applyBorder="1" applyFill="1" applyFont="1">
      <alignment readingOrder="0" shrinkToFit="0" vertical="center" wrapText="1"/>
    </xf>
    <xf borderId="1" fillId="6" fontId="15" numFmtId="0" xfId="0" applyAlignment="1" applyBorder="1" applyFill="1" applyFont="1">
      <alignment horizontal="left" readingOrder="0" shrinkToFit="0" vertical="bottom" wrapText="1"/>
    </xf>
    <xf borderId="3" fillId="7" fontId="13" numFmtId="0" xfId="0" applyAlignment="1" applyBorder="1" applyFill="1" applyFont="1">
      <alignment horizontal="left" readingOrder="0" shrinkToFit="0" vertical="center" wrapText="1"/>
    </xf>
    <xf borderId="1" fillId="6" fontId="15" numFmtId="0" xfId="0" applyAlignment="1" applyBorder="1" applyFill="1" applyFont="1">
      <alignment horizontal="left"/>
    </xf>
    <xf borderId="4" fillId="6" fontId="1" numFmtId="0" xfId="0" applyAlignment="1" applyBorder="1" applyFill="1" applyFont="1">
      <alignment horizontal="left" readingOrder="0" shrinkToFit="0" vertical="center" wrapText="1"/>
    </xf>
    <xf borderId="5" fillId="6" fontId="17" numFmtId="0" xfId="0" applyAlignment="1" applyBorder="1" applyFill="1" applyFont="1">
      <alignment horizontal="right" readingOrder="0" shrinkToFit="0" vertical="center" wrapText="1"/>
    </xf>
    <xf borderId="6" fillId="6" fontId="1" numFmtId="0" xfId="0" applyAlignment="1" applyBorder="1" applyFill="1" applyFont="1">
      <alignment horizontal="left" readingOrder="0" shrinkToFit="0" vertical="center" wrapText="1"/>
    </xf>
    <xf borderId="3" fillId="7" fontId="13" numFmtId="0" xfId="0" applyAlignment="1" applyBorder="1" applyFill="1" applyFont="1">
      <alignment horizontal="center" readingOrder="0" shrinkToFit="0" vertical="center" wrapText="1"/>
    </xf>
    <xf borderId="1" fillId="6" fontId="1" numFmtId="0" xfId="0" applyAlignment="1" applyBorder="1" applyFill="1" applyFont="1">
      <alignment horizontal="left" readingOrder="0" shrinkToFit="0" vertical="center" wrapText="1"/>
    </xf>
    <xf borderId="6" fillId="6" fontId="1" numFmtId="0" xfId="0" applyAlignment="1" applyBorder="1" applyFill="1" applyFont="1">
      <alignment readingOrder="0" shrinkToFit="0" vertical="center" wrapText="1"/>
    </xf>
    <xf borderId="3" fillId="7" fontId="18" numFmtId="0" xfId="0" applyAlignment="1" applyBorder="1" applyFill="1" applyFont="1">
      <alignment readingOrder="0" shrinkToFit="0" vertical="center" wrapText="1"/>
    </xf>
    <xf borderId="6" fillId="6" fontId="1" numFmtId="4" xfId="0" applyAlignment="1" applyBorder="1" applyFill="1" applyFont="1" applyNumberFormat="1">
      <alignment horizontal="left" shrinkToFit="0" vertical="center" wrapText="1"/>
    </xf>
    <xf borderId="1" fillId="6" fontId="15" numFmtId="0" xfId="0" applyAlignment="1" applyBorder="1" applyFill="1" applyFont="1">
      <alignment horizontal="left" readingOrder="0" shrinkToFit="0" wrapText="0"/>
    </xf>
    <xf borderId="7" fillId="7" fontId="18" numFmtId="0" xfId="0" applyAlignment="1" applyBorder="1" applyFill="1" applyFont="1">
      <alignment readingOrder="0" shrinkToFit="0" vertical="center" wrapText="1"/>
    </xf>
    <xf borderId="6" fillId="6" fontId="1" numFmtId="0" xfId="0" applyAlignment="1" applyBorder="1" applyFill="1" applyFont="1">
      <alignment shrinkToFit="0" vertical="center" wrapText="1"/>
    </xf>
    <xf borderId="4" fillId="6" fontId="19" numFmtId="0" xfId="0" applyAlignment="1" applyBorder="1" applyFill="1" applyFont="1">
      <alignment horizontal="left" readingOrder="0" shrinkToFit="0" vertical="center" wrapText="1"/>
    </xf>
    <xf borderId="6" fillId="4" fontId="19" numFmtId="0" xfId="0" applyAlignment="1" applyBorder="1" applyFill="1" applyFont="1">
      <alignment horizontal="left" readingOrder="0"/>
    </xf>
    <xf borderId="6" fillId="4" fontId="1" numFmtId="0" xfId="0" applyAlignment="1" applyBorder="1" applyFill="1" applyFont="1">
      <alignment readingOrder="0" shrinkToFit="0" wrapText="1"/>
    </xf>
    <xf borderId="1" fillId="6" fontId="19" numFmtId="0" xfId="0" applyAlignment="1" applyBorder="1" applyFill="1" applyFont="1">
      <alignment horizontal="left" readingOrder="0" shrinkToFit="0" vertical="center" wrapText="1"/>
    </xf>
    <xf borderId="6" fillId="6" fontId="5" numFmtId="0" xfId="0" applyAlignment="1" applyBorder="1" applyFill="1" applyFont="1">
      <alignment horizontal="left" readingOrder="0" shrinkToFit="0" vertical="center" wrapText="1"/>
    </xf>
    <xf borderId="6" fillId="4" fontId="20" numFmtId="0" xfId="0" applyAlignment="1" applyBorder="1" applyFill="1" applyFont="1">
      <alignment readingOrder="0" shrinkToFit="0" wrapText="1"/>
    </xf>
    <xf borderId="1" fillId="0" fontId="15" numFmtId="0" xfId="0" applyAlignment="1" applyBorder="1" applyFont="1">
      <alignment horizontal="left" shrinkToFit="0" wrapText="1"/>
    </xf>
    <xf borderId="6" fillId="6" fontId="5" numFmtId="4" xfId="0" applyAlignment="1" applyBorder="1" applyFill="1" applyFont="1" applyNumberFormat="1">
      <alignment horizontal="left" readingOrder="0" shrinkToFit="0" vertical="bottom" wrapText="0"/>
    </xf>
    <xf borderId="1" fillId="6" fontId="5" numFmtId="0" xfId="0" applyAlignment="1" applyBorder="1" applyFill="1" applyFont="1">
      <alignment horizontal="left" readingOrder="0" shrinkToFit="0" vertical="center" wrapText="1"/>
    </xf>
    <xf borderId="0" fillId="6" fontId="5" numFmtId="0" xfId="0" applyAlignment="1" applyFill="1" applyFont="1">
      <alignment horizontal="left" readingOrder="0" shrinkToFit="0" vertical="center" wrapText="1"/>
    </xf>
    <xf borderId="6" fillId="6" fontId="19" numFmtId="0" xfId="0" applyAlignment="1" applyBorder="1" applyFill="1" applyFont="1">
      <alignment horizontal="left" readingOrder="0" shrinkToFit="0" vertical="center" wrapText="1"/>
    </xf>
    <xf borderId="6" fillId="6" fontId="19" numFmtId="4" xfId="0" applyAlignment="1" applyBorder="1" applyFill="1" applyFont="1" applyNumberFormat="1">
      <alignment horizontal="left" readingOrder="0" shrinkToFit="0" vertical="bottom" wrapText="0"/>
    </xf>
    <xf borderId="6" fillId="6" fontId="8" numFmtId="0" xfId="0" applyAlignment="1" applyBorder="1" applyFill="1" applyFont="1">
      <alignment readingOrder="0" shrinkToFit="0" vertical="bottom" wrapText="1"/>
    </xf>
    <xf borderId="1" fillId="4" fontId="15" numFmtId="165" xfId="0" applyAlignment="1" applyBorder="1" applyFill="1" applyFont="1" applyNumberFormat="1">
      <alignment horizontal="left" readingOrder="0" shrinkToFit="0" wrapText="1"/>
    </xf>
    <xf borderId="6" fillId="6" fontId="19" numFmtId="0" xfId="0" applyAlignment="1" applyBorder="1" applyFill="1" applyFont="1">
      <alignment readingOrder="0" shrinkToFit="0" vertical="bottom" wrapText="1"/>
    </xf>
    <xf borderId="6" fillId="6" fontId="8" numFmtId="0" xfId="0" applyAlignment="1" applyBorder="1" applyFill="1" applyFont="1">
      <alignment readingOrder="0" shrinkToFit="0" vertical="center" wrapText="1"/>
    </xf>
    <xf borderId="6" fillId="6" fontId="19" numFmtId="0" xfId="0" applyAlignment="1" applyBorder="1" applyFill="1" applyFont="1">
      <alignment readingOrder="0" shrinkToFit="0" vertical="center" wrapText="1"/>
    </xf>
    <xf borderId="8" fillId="6" fontId="3" numFmtId="0" xfId="0" applyAlignment="1" applyBorder="1" applyFill="1" applyFont="1">
      <alignment horizontal="left" readingOrder="0" shrinkToFit="0" vertical="center" wrapText="1"/>
    </xf>
    <xf borderId="9" fillId="6" fontId="21" numFmtId="0" xfId="0" applyAlignment="1" applyBorder="1" applyFill="1" applyFont="1">
      <alignment readingOrder="0" shrinkToFit="0" vertical="center" wrapText="1"/>
    </xf>
    <xf borderId="1" fillId="6" fontId="3" numFmtId="0" xfId="0" applyAlignment="1" applyBorder="1" applyFill="1" applyFont="1">
      <alignment horizontal="left" readingOrder="0" shrinkToFit="0" vertical="center" wrapText="1"/>
    </xf>
    <xf borderId="10" fillId="6" fontId="19" numFmtId="0" xfId="0" applyAlignment="1" applyBorder="1" applyFill="1" applyFont="1">
      <alignment horizontal="right" readingOrder="0" shrinkToFit="0" vertical="center" wrapText="1"/>
    </xf>
    <xf borderId="1" fillId="4" fontId="15" numFmtId="0" xfId="0" applyAlignment="1" applyBorder="1" applyFill="1" applyFont="1">
      <alignment horizontal="left" vertical="bottom"/>
    </xf>
    <xf borderId="1" fillId="0" fontId="5" numFmtId="0" xfId="0" applyAlignment="1" applyBorder="1" applyFont="1">
      <alignment readingOrder="0"/>
    </xf>
    <xf borderId="5" fillId="4" fontId="17" numFmtId="0" xfId="0" applyAlignment="1" applyBorder="1" applyFill="1" applyFont="1">
      <alignment horizontal="right" readingOrder="0" shrinkToFit="0" vertical="center" wrapText="1"/>
    </xf>
    <xf borderId="1" fillId="6" fontId="15" numFmtId="0" xfId="0" applyAlignment="1" applyBorder="1" applyFill="1" applyFont="1">
      <alignment horizontal="left" shrinkToFit="0" wrapText="1"/>
    </xf>
    <xf borderId="1" fillId="6" fontId="15" numFmtId="0" xfId="0" applyAlignment="1" applyBorder="1" applyFill="1" applyFont="1">
      <alignment horizontal="left" shrinkToFit="0" wrapText="0"/>
    </xf>
    <xf borderId="1" fillId="6" fontId="15" numFmtId="4" xfId="0" applyAlignment="1" applyBorder="1" applyFill="1" applyFont="1" applyNumberFormat="1">
      <alignment horizontal="left" shrinkToFit="0" wrapText="1"/>
    </xf>
    <xf borderId="1" fillId="6" fontId="15" numFmtId="165" xfId="0" applyAlignment="1" applyBorder="1" applyFill="1" applyFont="1" applyNumberFormat="1">
      <alignment horizontal="left" readingOrder="0" shrinkToFit="0" wrapText="1"/>
    </xf>
    <xf borderId="8" fillId="6" fontId="22" numFmtId="0" xfId="0" applyAlignment="1" applyBorder="1" applyFill="1" applyFont="1">
      <alignment horizontal="left" readingOrder="0" shrinkToFit="0" vertical="center" wrapText="1"/>
    </xf>
    <xf borderId="1" fillId="6" fontId="3" numFmtId="4" xfId="0" applyAlignment="1" applyBorder="1" applyFill="1" applyFont="1" applyNumberFormat="1">
      <alignment horizontal="left" readingOrder="0" shrinkToFit="0" vertical="bottom" wrapText="0"/>
    </xf>
    <xf borderId="1" fillId="6" fontId="5" numFmtId="0" xfId="0" applyAlignment="1" applyBorder="1" applyFill="1" applyFont="1">
      <alignment readingOrder="0" shrinkToFit="0" vertical="bottom" wrapText="1"/>
    </xf>
    <xf borderId="0" fillId="0" fontId="23" numFmtId="0" xfId="0" applyAlignment="1" applyFont="1">
      <alignment readingOrder="0"/>
    </xf>
    <xf borderId="1" fillId="4" fontId="22" numFmtId="0" xfId="0" applyAlignment="1" applyBorder="1" applyFill="1" applyFont="1">
      <alignment horizontal="left" readingOrder="0"/>
    </xf>
    <xf borderId="1" fillId="6" fontId="8" numFmtId="0" xfId="0" applyAlignment="1" applyBorder="1" applyFill="1" applyFont="1">
      <alignment readingOrder="0" shrinkToFit="0" vertical="center" wrapText="1"/>
    </xf>
    <xf borderId="1" fillId="6" fontId="22" numFmtId="0" xfId="0" applyAlignment="1" applyBorder="1" applyFill="1" applyFont="1">
      <alignment horizontal="left" readingOrder="0" shrinkToFit="0" vertical="center" wrapText="1"/>
    </xf>
    <xf borderId="1" fillId="6" fontId="15" numFmtId="0" xfId="0" applyAlignment="1" applyBorder="1" applyFill="1" applyFont="1">
      <alignment horizontal="left"/>
    </xf>
    <xf borderId="1" fillId="6" fontId="15" numFmtId="0" xfId="0" applyAlignment="1" applyBorder="1" applyFill="1" applyFont="1">
      <alignment horizontal="left" vertical="bottom"/>
    </xf>
    <xf borderId="1" fillId="4" fontId="24" numFmtId="0" xfId="0" applyAlignment="1" applyBorder="1" applyFill="1" applyFont="1">
      <alignment readingOrder="0" shrinkToFit="0" wrapText="1"/>
    </xf>
    <xf borderId="1" fillId="6" fontId="5" numFmtId="4" xfId="0" applyAlignment="1" applyBorder="1" applyFill="1" applyFont="1" applyNumberFormat="1">
      <alignment horizontal="left" readingOrder="0" shrinkToFit="0" vertical="bottom" wrapText="0"/>
    </xf>
    <xf borderId="1" fillId="6" fontId="17" numFmtId="4" xfId="0" applyAlignment="1" applyBorder="1" applyFill="1" applyFont="1" applyNumberFormat="1">
      <alignment horizontal="left" readingOrder="0" shrinkToFit="0" vertical="bottom" wrapText="0"/>
    </xf>
    <xf borderId="1" fillId="6" fontId="25" numFmtId="0" xfId="0" applyAlignment="1" applyBorder="1" applyFill="1" applyFont="1">
      <alignment horizontal="left" shrinkToFit="0" wrapText="1"/>
    </xf>
    <xf borderId="0" fillId="6" fontId="3" numFmtId="0" xfId="0" applyAlignment="1" applyFill="1" applyFont="1">
      <alignment horizontal="left" readingOrder="0" shrinkToFit="0" vertical="center" wrapText="1"/>
    </xf>
    <xf borderId="1" fillId="6" fontId="26" numFmtId="0" xfId="0" applyAlignment="1" applyBorder="1" applyFill="1" applyFont="1">
      <alignment horizontal="left" readingOrder="0" shrinkToFit="0" vertical="center" wrapText="1"/>
    </xf>
    <xf borderId="1" fillId="6" fontId="27" numFmtId="0" xfId="0" applyAlignment="1" applyBorder="1" applyFill="1" applyFont="1">
      <alignment readingOrder="0" shrinkToFit="0" vertical="bottom" wrapText="1"/>
    </xf>
    <xf borderId="8" fillId="6" fontId="8" numFmtId="0" xfId="0" applyAlignment="1" applyBorder="1" applyFill="1" applyFont="1">
      <alignment horizontal="left" readingOrder="0" shrinkToFit="0" vertical="center" wrapText="1"/>
    </xf>
    <xf borderId="1" fillId="6" fontId="27" numFmtId="0" xfId="0" applyAlignment="1" applyBorder="1" applyFill="1" applyFont="1">
      <alignment readingOrder="0" shrinkToFit="0" vertical="center" wrapText="1"/>
    </xf>
    <xf borderId="1" fillId="6" fontId="8" numFmtId="0" xfId="0" applyAlignment="1" applyBorder="1" applyFill="1" applyFont="1">
      <alignment horizontal="left" readingOrder="0" shrinkToFit="0" vertical="center" wrapText="1"/>
    </xf>
    <xf borderId="11" fillId="6" fontId="28" numFmtId="0" xfId="0" applyAlignment="1" applyBorder="1" applyFill="1" applyFont="1">
      <alignment readingOrder="0" shrinkToFit="0" vertical="center" wrapText="1"/>
    </xf>
    <xf borderId="10" fillId="6" fontId="27" numFmtId="0" xfId="0" applyAlignment="1" applyBorder="1" applyFill="1" applyFont="1">
      <alignment horizontal="right" readingOrder="0" shrinkToFit="0" vertical="center" wrapText="1"/>
    </xf>
    <xf borderId="1" fillId="6" fontId="8" numFmtId="0" xfId="0" applyAlignment="1" applyBorder="1" applyFill="1" applyFont="1">
      <alignment readingOrder="0" shrinkToFit="0" vertical="bottom" wrapText="0"/>
    </xf>
    <xf borderId="1" fillId="4" fontId="22" numFmtId="0" xfId="0" applyAlignment="1" applyBorder="1" applyFill="1" applyFont="1">
      <alignment readingOrder="0" shrinkToFit="0" wrapText="1"/>
    </xf>
    <xf borderId="1" fillId="6" fontId="8" numFmtId="4" xfId="0" applyAlignment="1" applyBorder="1" applyFill="1" applyFont="1" applyNumberFormat="1">
      <alignment horizontal="left" readingOrder="0" shrinkToFit="0" vertical="bottom" wrapText="0"/>
    </xf>
    <xf borderId="1" fillId="6" fontId="8" numFmtId="0" xfId="0" applyAlignment="1" applyBorder="1" applyFill="1" applyFont="1">
      <alignment readingOrder="0" shrinkToFit="0" vertical="bottom" wrapText="1"/>
    </xf>
    <xf borderId="0" fillId="4" fontId="22" numFmtId="0" xfId="0" applyAlignment="1" applyFill="1" applyFont="1">
      <alignment horizontal="left" readingOrder="0"/>
    </xf>
    <xf borderId="1" fillId="0" fontId="29" numFmtId="0" xfId="0" applyAlignment="1" applyBorder="1" applyFont="1">
      <alignment horizontal="left" readingOrder="0" shrinkToFit="0" vertical="center" wrapText="1"/>
    </xf>
    <xf borderId="1" fillId="0" fontId="15" numFmtId="0" xfId="0" applyAlignment="1" applyBorder="1" applyFont="1">
      <alignment horizontal="left" readingOrder="0" shrinkToFit="0" wrapText="1"/>
    </xf>
    <xf borderId="1" fillId="0" fontId="15" numFmtId="0" xfId="0" applyAlignment="1" applyBorder="1" applyFont="1">
      <alignment horizontal="left" readingOrder="0"/>
    </xf>
    <xf borderId="8" fillId="6" fontId="1" numFmtId="0" xfId="0" applyAlignment="1" applyBorder="1" applyFill="1" applyFont="1">
      <alignment horizontal="left" readingOrder="0" shrinkToFit="0" vertical="center" wrapText="1"/>
    </xf>
    <xf borderId="1" fillId="0" fontId="2" numFmtId="0" xfId="0" applyAlignment="1" applyBorder="1" applyFont="1">
      <alignment readingOrder="0"/>
    </xf>
    <xf borderId="1" fillId="6" fontId="22" numFmtId="4" xfId="0" applyAlignment="1" applyBorder="1" applyFill="1" applyFont="1" applyNumberFormat="1">
      <alignment horizontal="left" readingOrder="0" shrinkToFit="0" vertical="bottom" wrapText="0"/>
    </xf>
    <xf borderId="8" fillId="9" fontId="5" numFmtId="0" xfId="0" applyAlignment="1" applyBorder="1" applyFill="1" applyFont="1">
      <alignment horizontal="left" readingOrder="0" shrinkToFit="0" vertical="center" wrapText="1"/>
    </xf>
    <xf borderId="1" fillId="0" fontId="15" numFmtId="0" xfId="0" applyAlignment="1" applyBorder="1" applyFont="1">
      <alignment horizontal="left" readingOrder="0" shrinkToFit="0" wrapText="0"/>
    </xf>
    <xf borderId="1" fillId="6" fontId="17" numFmtId="0" xfId="0" applyAlignment="1" applyBorder="1" applyFill="1" applyFont="1">
      <alignment readingOrder="0" shrinkToFit="0" vertical="bottom" wrapText="1"/>
    </xf>
    <xf borderId="1" fillId="9" fontId="5" numFmtId="0" xfId="0" applyAlignment="1" applyBorder="1" applyFill="1" applyFont="1">
      <alignment readingOrder="0" shrinkToFit="0" vertical="center" wrapText="1"/>
    </xf>
    <xf borderId="1" fillId="9" fontId="5" numFmtId="0" xfId="0" applyAlignment="1" applyBorder="1" applyFill="1" applyFont="1">
      <alignment horizontal="left" readingOrder="0" shrinkToFit="0" vertical="center" wrapText="1"/>
    </xf>
    <xf borderId="1" fillId="9" fontId="1" numFmtId="0" xfId="0" applyAlignment="1" applyBorder="1" applyFill="1" applyFont="1">
      <alignment horizontal="left" readingOrder="0" shrinkToFit="0" vertical="center" wrapText="1"/>
    </xf>
    <xf borderId="1" fillId="0" fontId="15" numFmtId="0" xfId="0" applyAlignment="1" applyBorder="1" applyFont="1">
      <alignment horizontal="left"/>
    </xf>
    <xf borderId="1" fillId="9" fontId="5" numFmtId="4" xfId="0" applyAlignment="1" applyBorder="1" applyFill="1" applyFont="1" applyNumberFormat="1">
      <alignment horizontal="left" readingOrder="0" shrinkToFit="0" vertical="center" wrapText="1"/>
    </xf>
    <xf borderId="12" fillId="6" fontId="27" numFmtId="0" xfId="0" applyAlignment="1" applyBorder="1" applyFill="1" applyFont="1">
      <alignment horizontal="right" readingOrder="0" shrinkToFit="0" vertical="center" wrapText="1"/>
    </xf>
    <xf borderId="1" fillId="0" fontId="15" numFmtId="165" xfId="0" applyAlignment="1" applyBorder="1" applyFont="1" applyNumberFormat="1">
      <alignment horizontal="left" readingOrder="0"/>
    </xf>
    <xf borderId="1" fillId="9" fontId="1" numFmtId="0" xfId="0" applyAlignment="1" applyBorder="1" applyFill="1" applyFont="1">
      <alignment readingOrder="0" shrinkToFit="0" vertical="center" wrapText="1"/>
    </xf>
    <xf borderId="1" fillId="0" fontId="15" numFmtId="0" xfId="0" applyAlignment="1" applyBorder="1" applyFont="1">
      <alignment horizontal="left" readingOrder="0" shrinkToFit="0" vertical="center" wrapText="1"/>
    </xf>
    <xf borderId="8" fillId="6" fontId="5" numFmtId="0" xfId="0" applyAlignment="1" applyBorder="1" applyFill="1" applyFont="1">
      <alignment horizontal="left" readingOrder="0" shrinkToFit="0" vertical="center" wrapText="1"/>
    </xf>
    <xf borderId="1" fillId="0" fontId="15" numFmtId="0" xfId="0" applyAlignment="1" applyBorder="1" applyFont="1">
      <alignment horizontal="left" readingOrder="0"/>
    </xf>
    <xf borderId="1" fillId="6" fontId="5" numFmtId="0" xfId="0" applyAlignment="1" applyBorder="1" applyFill="1" applyFont="1">
      <alignment shrinkToFit="0" vertical="center" wrapText="1"/>
    </xf>
    <xf borderId="1" fillId="0" fontId="17" numFmtId="0" xfId="0" applyAlignment="1" applyBorder="1" applyFont="1">
      <alignment readingOrder="0"/>
    </xf>
    <xf borderId="1" fillId="6" fontId="5" numFmtId="4" xfId="0" applyAlignment="1" applyBorder="1" applyFill="1" applyFont="1" applyNumberFormat="1">
      <alignment horizontal="left" shrinkToFit="0" vertical="center" wrapText="1"/>
    </xf>
    <xf borderId="1" fillId="6" fontId="17" numFmtId="0" xfId="0" applyAlignment="1" applyBorder="1" applyFill="1" applyFont="1">
      <alignment horizontal="left" readingOrder="0" shrinkToFit="0" vertical="center" wrapText="1"/>
    </xf>
    <xf borderId="1" fillId="6" fontId="1" numFmtId="0" xfId="0" applyAlignment="1" applyBorder="1" applyFill="1" applyFont="1">
      <alignment readingOrder="0" shrinkToFit="0" vertical="center" wrapText="1"/>
    </xf>
    <xf borderId="8" fillId="4" fontId="5" numFmtId="0" xfId="0" applyAlignment="1" applyBorder="1" applyFill="1" applyFont="1">
      <alignment horizontal="left" readingOrder="0" shrinkToFit="0" vertical="center" wrapText="1"/>
    </xf>
    <xf borderId="1" fillId="0" fontId="30" numFmtId="0" xfId="0" applyAlignment="1" applyBorder="1" applyFont="1">
      <alignment horizontal="left" readingOrder="0"/>
    </xf>
    <xf borderId="1" fillId="4" fontId="5" numFmtId="0" xfId="0" applyAlignment="1" applyBorder="1" applyFill="1" applyFont="1">
      <alignment readingOrder="0" shrinkToFit="0" vertical="center" wrapText="1"/>
    </xf>
    <xf borderId="1" fillId="4" fontId="5" numFmtId="0" xfId="0" applyAlignment="1" applyBorder="1" applyFill="1" applyFont="1">
      <alignment horizontal="left" readingOrder="0" shrinkToFit="0" vertical="center" wrapText="1"/>
    </xf>
    <xf borderId="8" fillId="6" fontId="31" numFmtId="0" xfId="0" applyAlignment="1" applyBorder="1" applyFill="1" applyFont="1">
      <alignment horizontal="left" readingOrder="0" shrinkToFit="0" vertical="center" wrapText="1"/>
    </xf>
    <xf borderId="1" fillId="4" fontId="5" numFmtId="4" xfId="0" applyAlignment="1" applyBorder="1" applyFill="1" applyFont="1" applyNumberFormat="1">
      <alignment horizontal="left" readingOrder="0" shrinkToFit="0" vertical="center" wrapText="1"/>
    </xf>
    <xf borderId="1" fillId="6" fontId="31" numFmtId="0" xfId="0" applyAlignment="1" applyBorder="1" applyFill="1" applyFont="1">
      <alignment horizontal="left" readingOrder="0" shrinkToFit="0" vertical="center" wrapText="1"/>
    </xf>
    <xf borderId="1" fillId="0" fontId="17" numFmtId="0" xfId="0" applyBorder="1" applyFont="1"/>
    <xf borderId="1" fillId="4" fontId="32" numFmtId="0" xfId="0" applyAlignment="1" applyBorder="1" applyFill="1" applyFont="1">
      <alignment readingOrder="0" shrinkToFit="0" wrapText="1"/>
    </xf>
    <xf borderId="1" fillId="4" fontId="31" numFmtId="0" xfId="0" applyAlignment="1" applyBorder="1" applyFill="1" applyFont="1">
      <alignment readingOrder="0" shrinkToFit="0" wrapText="1"/>
    </xf>
    <xf borderId="1" fillId="4" fontId="15" numFmtId="0" xfId="0" applyAlignment="1" applyBorder="1" applyFill="1" applyFont="1">
      <alignment horizontal="left" readingOrder="0" shrinkToFit="0" vertical="center" wrapText="1"/>
    </xf>
    <xf borderId="1" fillId="4" fontId="15" numFmtId="0" xfId="0" applyAlignment="1" applyBorder="1" applyFill="1" applyFont="1">
      <alignment horizontal="left" readingOrder="0" shrinkToFit="0" wrapText="1"/>
    </xf>
    <xf borderId="1" fillId="4" fontId="33" numFmtId="4" xfId="0" applyAlignment="1" applyBorder="1" applyFill="1" applyFont="1" applyNumberFormat="1">
      <alignment horizontal="left" readingOrder="0" shrinkToFit="0" wrapText="1"/>
    </xf>
    <xf borderId="1" fillId="6" fontId="5" numFmtId="0" xfId="0" applyAlignment="1" applyBorder="1" applyFill="1" applyFont="1">
      <alignment readingOrder="0" shrinkToFit="0" vertical="center" wrapText="1"/>
    </xf>
    <xf borderId="1" fillId="4" fontId="1" numFmtId="0" xfId="0" applyAlignment="1" applyBorder="1" applyFill="1" applyFont="1">
      <alignment readingOrder="0" shrinkToFit="0" vertical="center" wrapText="1"/>
    </xf>
    <xf borderId="1" fillId="4" fontId="17" numFmtId="0" xfId="0" applyAlignment="1" applyBorder="1" applyFill="1" applyFont="1">
      <alignment readingOrder="0" shrinkToFit="0" wrapText="1"/>
    </xf>
    <xf borderId="1" fillId="0" fontId="5" numFmtId="0" xfId="0" applyAlignment="1" applyBorder="1" applyFont="1">
      <alignment vertical="bottom"/>
    </xf>
    <xf borderId="1" fillId="6" fontId="15" numFmtId="0" xfId="0" applyAlignment="1" applyBorder="1" applyFill="1" applyFont="1">
      <alignment horizontal="left" shrinkToFit="0" vertical="bottom" wrapText="1"/>
    </xf>
    <xf borderId="1" fillId="0" fontId="5" numFmtId="0" xfId="0" applyBorder="1" applyFont="1"/>
    <xf borderId="6" fillId="4" fontId="17" numFmtId="0" xfId="0" applyAlignment="1" applyBorder="1" applyFill="1" applyFont="1">
      <alignment readingOrder="0" shrinkToFit="0" wrapText="1"/>
    </xf>
    <xf borderId="1" fillId="0" fontId="5" numFmtId="4" xfId="0" applyAlignment="1" applyBorder="1" applyFont="1" applyNumberFormat="1">
      <alignment horizontal="left" readingOrder="0" vertical="bottom"/>
    </xf>
    <xf borderId="1" fillId="4" fontId="1" numFmtId="0" xfId="0" applyAlignment="1" applyBorder="1" applyFill="1" applyFont="1">
      <alignment horizontal="left" readingOrder="0" shrinkToFit="0" vertical="center" wrapText="1"/>
    </xf>
    <xf borderId="8" fillId="7" fontId="5" numFmtId="0" xfId="0" applyAlignment="1" applyBorder="1" applyFill="1" applyFont="1">
      <alignment horizontal="left" readingOrder="0" shrinkToFit="0" vertical="center" wrapText="1"/>
    </xf>
    <xf borderId="1" fillId="7" fontId="5" numFmtId="0" xfId="0" applyAlignment="1" applyBorder="1" applyFill="1" applyFont="1">
      <alignment horizontal="left" readingOrder="0" shrinkToFit="0" vertical="center" wrapText="1"/>
    </xf>
    <xf borderId="0" fillId="4" fontId="1" numFmtId="0" xfId="0" applyAlignment="1" applyFill="1" applyFont="1">
      <alignment shrinkToFit="0" vertical="center" wrapText="1"/>
    </xf>
    <xf borderId="1" fillId="7" fontId="34" numFmtId="0" xfId="0" applyAlignment="1" applyBorder="1" applyFill="1" applyFont="1">
      <alignment horizontal="left" readingOrder="0" shrinkToFit="0" vertical="center" wrapText="1"/>
    </xf>
    <xf borderId="1" fillId="7" fontId="17" numFmtId="0" xfId="0" applyAlignment="1" applyBorder="1" applyFill="1" applyFont="1">
      <alignment horizontal="left" readingOrder="0" shrinkToFit="0" vertical="center" wrapText="1"/>
    </xf>
    <xf borderId="1" fillId="7" fontId="1" numFmtId="4" xfId="0" applyAlignment="1" applyBorder="1" applyFill="1" applyFont="1" applyNumberFormat="1">
      <alignment horizontal="left" readingOrder="0" shrinkToFit="0" vertical="center" wrapText="1"/>
    </xf>
    <xf borderId="1" fillId="7" fontId="1" numFmtId="0" xfId="0" applyAlignment="1" applyBorder="1" applyFill="1" applyFont="1">
      <alignment horizontal="left" readingOrder="0" shrinkToFit="0" wrapText="1"/>
    </xf>
    <xf borderId="0" fillId="4" fontId="1" numFmtId="164" xfId="0" applyAlignment="1" applyFill="1" applyFont="1" applyNumberFormat="1">
      <alignment shrinkToFit="0" vertical="center" wrapText="1"/>
    </xf>
    <xf borderId="1" fillId="7" fontId="1" numFmtId="0" xfId="0" applyAlignment="1" applyBorder="1" applyFill="1" applyFont="1">
      <alignment readingOrder="0"/>
    </xf>
    <xf borderId="0" fillId="4" fontId="1" numFmtId="0" xfId="0" applyAlignment="1" applyFill="1" applyFont="1">
      <alignment horizontal="right" readingOrder="0" shrinkToFit="0" vertical="center" wrapText="1"/>
    </xf>
    <xf borderId="1" fillId="6" fontId="15" numFmtId="0" xfId="0" applyAlignment="1" applyBorder="1" applyFill="1" applyFont="1">
      <alignment horizontal="left" readingOrder="0"/>
    </xf>
    <xf borderId="1" fillId="7" fontId="1" numFmtId="0" xfId="0" applyAlignment="1" applyBorder="1" applyFill="1" applyFont="1">
      <alignment readingOrder="0" shrinkToFit="0" vertical="center" wrapText="1"/>
    </xf>
    <xf borderId="0" fillId="4" fontId="1" numFmtId="0" xfId="0" applyAlignment="1" applyFill="1" applyFont="1">
      <alignment readingOrder="0" shrinkToFit="0" vertical="center" wrapText="0"/>
    </xf>
    <xf borderId="8" fillId="7" fontId="1" numFmtId="0" xfId="0" applyAlignment="1" applyBorder="1" applyFill="1" applyFont="1">
      <alignment horizontal="left" readingOrder="0" shrinkToFit="0" vertical="center" wrapText="1"/>
    </xf>
    <xf borderId="1" fillId="7" fontId="1" numFmtId="0" xfId="0" applyAlignment="1" applyBorder="1" applyFill="1" applyFont="1">
      <alignment horizontal="left" readingOrder="0" shrinkToFit="0" vertical="center" wrapText="1"/>
    </xf>
    <xf borderId="0" fillId="4" fontId="1" numFmtId="164" xfId="0" applyAlignment="1" applyFill="1" applyFont="1" applyNumberFormat="1">
      <alignment readingOrder="0" shrinkToFit="0" wrapText="1"/>
    </xf>
    <xf borderId="1" fillId="7" fontId="1" numFmtId="0" xfId="0" applyAlignment="1" applyBorder="1" applyFill="1" applyFont="1">
      <alignment shrinkToFit="0" vertical="center" wrapText="1"/>
    </xf>
    <xf borderId="0" fillId="4" fontId="1" numFmtId="0" xfId="0" applyAlignment="1" applyFill="1" applyFont="1">
      <alignment readingOrder="0" shrinkToFit="0" wrapText="1"/>
    </xf>
    <xf borderId="1" fillId="7" fontId="5" numFmtId="4" xfId="0" applyAlignment="1" applyBorder="1" applyFill="1" applyFont="1" applyNumberFormat="1">
      <alignment horizontal="left" readingOrder="0" shrinkToFit="0" vertical="center" wrapText="1"/>
    </xf>
    <xf borderId="0" fillId="10" fontId="1" numFmtId="0" xfId="0" applyAlignment="1" applyFill="1" applyFont="1">
      <alignment readingOrder="0" shrinkToFit="0" vertical="bottom" wrapText="0"/>
    </xf>
    <xf borderId="1" fillId="4" fontId="5" numFmtId="0" xfId="0" applyAlignment="1" applyBorder="1" applyFill="1" applyFont="1">
      <alignment readingOrder="0" shrinkToFit="0" wrapText="1"/>
    </xf>
    <xf borderId="0" fillId="6" fontId="1" numFmtId="164" xfId="0" applyAlignment="1" applyFill="1" applyFont="1" applyNumberFormat="1">
      <alignment readingOrder="0" shrinkToFit="0" vertical="center" wrapText="1"/>
    </xf>
    <xf borderId="1" fillId="6" fontId="5" numFmtId="4" xfId="0" applyAlignment="1" applyBorder="1" applyFill="1" applyFont="1" applyNumberFormat="1">
      <alignment horizontal="left" readingOrder="0" shrinkToFit="0" vertical="center" wrapText="1"/>
    </xf>
    <xf borderId="6" fillId="4" fontId="35" numFmtId="0" xfId="0" applyAlignment="1" applyBorder="1" applyFill="1" applyFont="1">
      <alignment readingOrder="0" shrinkToFit="0" wrapText="1"/>
    </xf>
    <xf borderId="6" fillId="7" fontId="5" numFmtId="0" xfId="0" applyAlignment="1" applyBorder="1" applyFill="1" applyFont="1">
      <alignment horizontal="left" readingOrder="0" shrinkToFit="0" vertical="center" wrapText="1"/>
    </xf>
    <xf borderId="1" fillId="7" fontId="36" numFmtId="0" xfId="0" applyAlignment="1" applyBorder="1" applyFill="1" applyFont="1">
      <alignment readingOrder="0"/>
    </xf>
    <xf borderId="6" fillId="6" fontId="5" numFmtId="4" xfId="0" applyAlignment="1" applyBorder="1" applyFill="1" applyFont="1" applyNumberFormat="1">
      <alignment shrinkToFit="0" vertical="center" wrapText="1"/>
    </xf>
    <xf borderId="1" fillId="6" fontId="37" numFmtId="0" xfId="0" applyAlignment="1" applyBorder="1" applyFill="1" applyFont="1">
      <alignment horizontal="left" readingOrder="0" shrinkToFit="0" wrapText="1"/>
    </xf>
    <xf borderId="6" fillId="6" fontId="5" numFmtId="0" xfId="0" applyAlignment="1" applyBorder="1" applyFill="1" applyFont="1">
      <alignment shrinkToFit="0" vertical="center" wrapText="1"/>
    </xf>
    <xf borderId="1" fillId="6" fontId="5" numFmtId="0" xfId="0" applyAlignment="1" applyBorder="1" applyFill="1" applyFont="1">
      <alignment horizontal="left" readingOrder="0" vertical="center"/>
    </xf>
    <xf borderId="11" fillId="6" fontId="38" numFmtId="0" xfId="0" applyAlignment="1" applyBorder="1" applyFill="1" applyFont="1">
      <alignment readingOrder="0" shrinkToFit="0" vertical="center" wrapText="1"/>
    </xf>
    <xf borderId="6" fillId="9" fontId="5" numFmtId="0" xfId="0" applyAlignment="1" applyBorder="1" applyFill="1" applyFont="1">
      <alignment readingOrder="0" shrinkToFit="0" vertical="center" wrapText="1"/>
    </xf>
    <xf borderId="1" fillId="6" fontId="15" numFmtId="165" xfId="0" applyAlignment="1" applyBorder="1" applyFill="1" applyFont="1" applyNumberFormat="1">
      <alignment horizontal="left" readingOrder="0"/>
    </xf>
    <xf borderId="1" fillId="7" fontId="36" numFmtId="0" xfId="0" applyAlignment="1" applyBorder="1" applyFill="1" applyFont="1">
      <alignment readingOrder="0" shrinkToFit="0" wrapText="1"/>
    </xf>
    <xf borderId="0" fillId="4" fontId="27" numFmtId="0" xfId="0" applyAlignment="1" applyFill="1" applyFont="1">
      <alignment readingOrder="0" shrinkToFit="0" wrapText="1"/>
    </xf>
    <xf borderId="6" fillId="4" fontId="5" numFmtId="0" xfId="0" applyAlignment="1" applyBorder="1" applyFill="1" applyFont="1">
      <alignment readingOrder="0" shrinkToFit="0" vertical="center" wrapText="1"/>
    </xf>
    <xf borderId="13" fillId="6" fontId="31" numFmtId="0" xfId="0" applyAlignment="1" applyBorder="1" applyFill="1" applyFont="1">
      <alignment horizontal="left" readingOrder="0" shrinkToFit="0" vertical="center" wrapText="1"/>
    </xf>
    <xf borderId="14" fillId="6" fontId="31" numFmtId="0" xfId="0" applyAlignment="1" applyBorder="1" applyFill="1" applyFont="1">
      <alignment horizontal="left" readingOrder="0" shrinkToFit="0" vertical="center" wrapText="1"/>
    </xf>
    <xf borderId="6" fillId="0" fontId="5" numFmtId="0" xfId="0" applyBorder="1" applyFont="1"/>
    <xf borderId="14" fillId="6" fontId="17" numFmtId="0" xfId="0" applyAlignment="1" applyBorder="1" applyFill="1" applyFont="1">
      <alignment horizontal="left" readingOrder="0" shrinkToFit="0" vertical="center" wrapText="1"/>
    </xf>
    <xf borderId="1" fillId="0" fontId="5" numFmtId="4" xfId="0" applyAlignment="1" applyBorder="1" applyFont="1" applyNumberFormat="1">
      <alignment horizontal="right" readingOrder="0" vertical="bottom"/>
    </xf>
    <xf borderId="14" fillId="6" fontId="17" numFmtId="4" xfId="0" applyAlignment="1" applyBorder="1" applyFill="1" applyFont="1" applyNumberFormat="1">
      <alignment horizontal="left" readingOrder="0" shrinkToFit="0" vertical="bottom" wrapText="0"/>
    </xf>
    <xf borderId="1" fillId="4" fontId="15" numFmtId="0" xfId="0" applyAlignment="1" applyBorder="1" applyFill="1" applyFont="1">
      <alignment horizontal="left" readingOrder="0" shrinkToFit="0" vertical="bottom" wrapText="1"/>
    </xf>
    <xf borderId="6" fillId="6" fontId="8" numFmtId="0" xfId="0" applyAlignment="1" applyBorder="1" applyFill="1" applyFont="1">
      <alignment horizontal="left" readingOrder="0" shrinkToFit="0" vertical="center" wrapText="1"/>
    </xf>
    <xf borderId="14" fillId="6" fontId="27" numFmtId="0" xfId="0" applyAlignment="1" applyBorder="1" applyFill="1" applyFont="1">
      <alignment readingOrder="0" shrinkToFit="0" vertical="bottom" wrapText="1"/>
    </xf>
    <xf borderId="1" fillId="6" fontId="8" numFmtId="0" xfId="0" applyAlignment="1" applyBorder="1" applyFill="1" applyFont="1">
      <alignment horizontal="left" readingOrder="0"/>
    </xf>
    <xf borderId="14" fillId="6" fontId="27" numFmtId="0" xfId="0" applyAlignment="1" applyBorder="1" applyFill="1" applyFont="1">
      <alignment readingOrder="0" shrinkToFit="0" vertical="center" wrapText="1"/>
    </xf>
    <xf borderId="1" fillId="6" fontId="8" numFmtId="4" xfId="0" applyAlignment="1" applyBorder="1" applyFill="1" applyFont="1" applyNumberFormat="1">
      <alignment horizontal="left" readingOrder="0" shrinkToFit="0" vertical="center" wrapText="1"/>
    </xf>
    <xf borderId="6" fillId="7" fontId="1" numFmtId="0" xfId="0" applyAlignment="1" applyBorder="1" applyFill="1" applyFont="1">
      <alignment horizontal="left" readingOrder="0" shrinkToFit="0" vertical="center" wrapText="1"/>
    </xf>
    <xf borderId="15" fillId="6" fontId="39" numFmtId="0" xfId="0" applyAlignment="1" applyBorder="1" applyFill="1" applyFont="1">
      <alignment readingOrder="0" shrinkToFit="0" vertical="center" wrapText="1"/>
    </xf>
    <xf borderId="16" fillId="6" fontId="27" numFmtId="0" xfId="0" applyAlignment="1" applyBorder="1" applyFill="1" applyFont="1">
      <alignment horizontal="right" readingOrder="0" shrinkToFit="0" vertical="center" wrapText="1"/>
    </xf>
    <xf borderId="6" fillId="4" fontId="5" numFmtId="0" xfId="0" applyAlignment="1" applyBorder="1" applyFill="1" applyFont="1">
      <alignment readingOrder="0" shrinkToFit="0" wrapText="1"/>
    </xf>
    <xf borderId="6" fillId="6" fontId="27" numFmtId="0" xfId="0" applyAlignment="1" applyBorder="1" applyFill="1" applyFont="1">
      <alignment horizontal="left" readingOrder="0" shrinkToFit="0" vertical="center" wrapText="1"/>
    </xf>
    <xf borderId="6" fillId="6" fontId="27" numFmtId="0" xfId="0" applyAlignment="1" applyBorder="1" applyFill="1" applyFont="1">
      <alignment readingOrder="0" shrinkToFit="0" vertical="bottom" wrapText="0"/>
    </xf>
    <xf borderId="1" fillId="7" fontId="40" numFmtId="0" xfId="0" applyAlignment="1" applyBorder="1" applyFill="1" applyFont="1">
      <alignment horizontal="left" readingOrder="0" shrinkToFit="0" vertical="center" wrapText="1"/>
    </xf>
    <xf borderId="6" fillId="6" fontId="27" numFmtId="4" xfId="0" applyAlignment="1" applyBorder="1" applyFill="1" applyFont="1" applyNumberFormat="1">
      <alignment horizontal="left" readingOrder="0" shrinkToFit="0" vertical="bottom" wrapText="0"/>
    </xf>
    <xf borderId="6" fillId="6" fontId="27" numFmtId="0" xfId="0" applyAlignment="1" applyBorder="1" applyFill="1" applyFont="1">
      <alignment readingOrder="0" shrinkToFit="0" vertical="bottom" wrapText="1"/>
    </xf>
    <xf borderId="6" fillId="6" fontId="27" numFmtId="0" xfId="0" applyAlignment="1" applyBorder="1" applyFill="1" applyFont="1">
      <alignment readingOrder="0" shrinkToFit="0" vertical="center" wrapText="1"/>
    </xf>
    <xf borderId="1" fillId="6" fontId="15" numFmtId="0" xfId="0" applyAlignment="1" applyBorder="1" applyFill="1" applyFont="1">
      <alignment horizontal="left" shrinkToFit="0" vertical="bottom" wrapText="0"/>
    </xf>
    <xf borderId="1" fillId="6" fontId="15" numFmtId="0" xfId="0" applyAlignment="1" applyBorder="1" applyFill="1" applyFont="1">
      <alignment horizontal="left" vertical="bottom"/>
    </xf>
    <xf borderId="1" fillId="6" fontId="41" numFmtId="0" xfId="0" applyAlignment="1" applyBorder="1" applyFill="1" applyFont="1">
      <alignment horizontal="left" shrinkToFit="0" wrapText="1"/>
    </xf>
    <xf borderId="9" fillId="6" fontId="42" numFmtId="0" xfId="0" applyAlignment="1" applyBorder="1" applyFill="1" applyFont="1">
      <alignment readingOrder="0" shrinkToFit="0" vertical="center" wrapText="1"/>
    </xf>
    <xf borderId="6" fillId="6" fontId="27" numFmtId="0" xfId="0" applyAlignment="1" applyBorder="1" applyFill="1" applyFont="1">
      <alignment horizontal="right" readingOrder="0" shrinkToFit="0" vertical="center" wrapText="1"/>
    </xf>
    <xf borderId="1" fillId="6" fontId="27" numFmtId="0" xfId="0" applyAlignment="1" applyBorder="1" applyFill="1" applyFont="1">
      <alignment horizontal="left" readingOrder="0" shrinkToFit="0" vertical="center" wrapText="1"/>
    </xf>
    <xf borderId="1" fillId="6" fontId="27" numFmtId="4" xfId="0" applyAlignment="1" applyBorder="1" applyFill="1" applyFont="1" applyNumberFormat="1">
      <alignment horizontal="left" readingOrder="0" shrinkToFit="0" vertical="bottom" wrapText="0"/>
    </xf>
    <xf borderId="0" fillId="0" fontId="9" numFmtId="0" xfId="0" applyAlignment="1" applyFont="1">
      <alignment horizontal="right" readingOrder="0" shrinkToFit="0" wrapText="0"/>
    </xf>
    <xf borderId="1" fillId="4" fontId="43" numFmtId="0" xfId="0" applyAlignment="1" applyBorder="1" applyFill="1" applyFont="1">
      <alignment horizontal="left" shrinkToFit="0" wrapText="1"/>
    </xf>
    <xf borderId="1" fillId="6" fontId="27" numFmtId="0" xfId="0" applyAlignment="1" applyBorder="1" applyFill="1" applyFont="1">
      <alignment horizontal="right" readingOrder="0" shrinkToFit="0" vertical="center" wrapText="1"/>
    </xf>
    <xf borderId="1" fillId="0" fontId="5" numFmtId="0" xfId="0" applyAlignment="1" applyBorder="1" applyFont="1">
      <alignment readingOrder="0" vertical="bottom"/>
    </xf>
    <xf borderId="1" fillId="7" fontId="44" numFmtId="0" xfId="0" applyAlignment="1" applyBorder="1" applyFill="1" applyFont="1">
      <alignment horizontal="left" readingOrder="0" shrinkToFit="0" vertical="center" wrapText="1"/>
    </xf>
    <xf borderId="0" fillId="0" fontId="9" numFmtId="165" xfId="0" applyAlignment="1" applyFont="1" applyNumberFormat="1">
      <alignment horizontal="right" readingOrder="0" shrinkToFit="0" wrapText="0"/>
    </xf>
    <xf borderId="1" fillId="6" fontId="27" numFmtId="0" xfId="0" applyAlignment="1" applyBorder="1" applyFill="1" applyFont="1">
      <alignment readingOrder="0" shrinkToFit="0" vertical="bottom" wrapText="0"/>
    </xf>
    <xf borderId="0" fillId="0" fontId="9" numFmtId="0" xfId="0" applyAlignment="1" applyFont="1">
      <alignment shrinkToFit="0" wrapText="0"/>
    </xf>
    <xf borderId="0" fillId="6" fontId="27" numFmtId="0" xfId="0" applyAlignment="1" applyFill="1" applyFont="1">
      <alignment readingOrder="0" shrinkToFit="0" vertical="center" wrapText="1"/>
    </xf>
    <xf borderId="0" fillId="7" fontId="5" numFmtId="0" xfId="0" applyAlignment="1" applyFill="1" applyFont="1">
      <alignment horizontal="left" readingOrder="0" shrinkToFit="0" vertical="center" wrapText="1"/>
    </xf>
    <xf borderId="13" fillId="7" fontId="5" numFmtId="0" xfId="0" applyAlignment="1" applyBorder="1" applyFill="1" applyFont="1">
      <alignment horizontal="left" readingOrder="0" shrinkToFit="0" vertical="center" wrapText="1"/>
    </xf>
    <xf borderId="14" fillId="7" fontId="5" numFmtId="0" xfId="0" applyAlignment="1" applyBorder="1" applyFill="1" applyFont="1">
      <alignment horizontal="left" readingOrder="0" shrinkToFit="0" vertical="center" wrapText="1"/>
    </xf>
    <xf borderId="14" fillId="7" fontId="5" numFmtId="4" xfId="0" applyAlignment="1" applyBorder="1" applyFill="1" applyFont="1" applyNumberFormat="1">
      <alignment horizontal="left" readingOrder="0" shrinkToFit="0" vertical="center" wrapText="1"/>
    </xf>
    <xf borderId="1" fillId="6" fontId="17" numFmtId="0" xfId="0" applyAlignment="1" applyBorder="1" applyFill="1" applyFont="1">
      <alignment shrinkToFit="0" vertical="center" wrapText="1"/>
    </xf>
    <xf borderId="14" fillId="7" fontId="1" numFmtId="0" xfId="0" applyAlignment="1" applyBorder="1" applyFill="1" applyFont="1">
      <alignment horizontal="left" readingOrder="0" shrinkToFit="0" vertical="center" wrapText="1"/>
    </xf>
    <xf borderId="1" fillId="6" fontId="17" numFmtId="4" xfId="0" applyAlignment="1" applyBorder="1" applyFill="1" applyFont="1" applyNumberFormat="1">
      <alignment horizontal="left" shrinkToFit="0" vertical="center" wrapText="1"/>
    </xf>
    <xf borderId="0" fillId="0" fontId="9" numFmtId="165" xfId="0" applyAlignment="1" applyFont="1" applyNumberFormat="1">
      <alignment horizontal="right" readingOrder="0" vertical="top"/>
    </xf>
    <xf borderId="14" fillId="7" fontId="1" numFmtId="0" xfId="0" applyAlignment="1" applyBorder="1" applyFill="1" applyFont="1">
      <alignment readingOrder="0" shrinkToFit="0" vertical="center" wrapText="1"/>
    </xf>
    <xf borderId="1" fillId="6" fontId="17" numFmtId="0" xfId="0" applyAlignment="1" applyBorder="1" applyFill="1" applyFont="1">
      <alignment readingOrder="0" shrinkToFit="0" vertical="center" wrapText="1"/>
    </xf>
    <xf borderId="0" fillId="0" fontId="9" numFmtId="0" xfId="0" applyAlignment="1" applyFont="1">
      <alignment readingOrder="0" shrinkToFit="0" vertical="top" wrapText="0"/>
    </xf>
    <xf borderId="1" fillId="6" fontId="31" numFmtId="0" xfId="0" applyAlignment="1" applyBorder="1" applyFill="1" applyFont="1">
      <alignment readingOrder="0" shrinkToFit="0" vertical="center" wrapText="1"/>
    </xf>
    <xf borderId="6" fillId="7" fontId="45" numFmtId="0" xfId="0" applyAlignment="1" applyBorder="1" applyFill="1" applyFont="1">
      <alignment horizontal="left" readingOrder="0" shrinkToFit="0" vertical="center" wrapText="1"/>
    </xf>
    <xf borderId="6" fillId="7" fontId="46" numFmtId="0" xfId="0" applyAlignment="1" applyBorder="1" applyFill="1" applyFont="1">
      <alignment horizontal="left" readingOrder="0" shrinkToFit="0" vertical="center" wrapText="1"/>
    </xf>
    <xf borderId="11" fillId="6" fontId="47" numFmtId="0" xfId="0" applyAlignment="1" applyBorder="1" applyFill="1" applyFont="1">
      <alignment readingOrder="0" shrinkToFit="0" vertical="center" wrapText="1"/>
    </xf>
    <xf borderId="6" fillId="7" fontId="45" numFmtId="0" xfId="0" applyAlignment="1" applyBorder="1" applyFill="1" applyFont="1">
      <alignment horizontal="left" readingOrder="0" vertical="center"/>
    </xf>
    <xf borderId="1" fillId="6" fontId="31" numFmtId="0" xfId="0" applyAlignment="1" applyBorder="1" applyFill="1" applyFont="1">
      <alignment horizontal="right" readingOrder="0" shrinkToFit="0" vertical="center" wrapText="1"/>
    </xf>
    <xf borderId="6" fillId="7" fontId="45" numFmtId="4" xfId="0" applyAlignment="1" applyBorder="1" applyFill="1" applyFont="1" applyNumberFormat="1">
      <alignment horizontal="left" readingOrder="0" shrinkToFit="0" vertical="center" wrapText="1"/>
    </xf>
    <xf borderId="1" fillId="7" fontId="32" numFmtId="0" xfId="0" applyAlignment="1" applyBorder="1" applyFill="1" applyFont="1">
      <alignment horizontal="left" readingOrder="0" vertical="center"/>
    </xf>
    <xf borderId="6" fillId="7" fontId="45" numFmtId="0" xfId="0" applyAlignment="1" applyBorder="1" applyFill="1" applyFont="1">
      <alignment readingOrder="0" shrinkToFit="0" vertical="center" wrapText="1"/>
    </xf>
    <xf borderId="1" fillId="7" fontId="31" numFmtId="4" xfId="0" applyAlignment="1" applyBorder="1" applyFill="1" applyFont="1" applyNumberFormat="1">
      <alignment horizontal="left" readingOrder="0" shrinkToFit="0" vertical="center" wrapText="1"/>
    </xf>
    <xf borderId="1" fillId="7" fontId="31" numFmtId="0" xfId="0" applyAlignment="1" applyBorder="1" applyFill="1" applyFont="1">
      <alignment horizontal="left" readingOrder="0" shrinkToFit="0" wrapText="1"/>
    </xf>
    <xf borderId="1" fillId="6" fontId="15" numFmtId="0" xfId="0" applyAlignment="1" applyBorder="1" applyFill="1" applyFont="1">
      <alignment horizontal="left" shrinkToFit="0" vertical="center" wrapText="1"/>
    </xf>
    <xf borderId="1" fillId="6" fontId="1" numFmtId="0" xfId="0" applyAlignment="1" applyBorder="1" applyFill="1" applyFont="1">
      <alignment horizontal="left" readingOrder="0" vertical="center"/>
    </xf>
    <xf borderId="1" fillId="7" fontId="31" numFmtId="0" xfId="0" applyAlignment="1" applyBorder="1" applyFill="1" applyFont="1">
      <alignment readingOrder="0"/>
    </xf>
    <xf borderId="1" fillId="6" fontId="1" numFmtId="4" xfId="0" applyAlignment="1" applyBorder="1" applyFill="1" applyFont="1" applyNumberFormat="1">
      <alignment horizontal="left" readingOrder="0" shrinkToFit="0" vertical="center" wrapText="1"/>
    </xf>
    <xf borderId="1" fillId="6" fontId="15" numFmtId="4" xfId="0" applyAlignment="1" applyBorder="1" applyFill="1" applyFont="1" applyNumberFormat="1">
      <alignment horizontal="left" readingOrder="0" shrinkToFit="0" vertical="center" wrapText="1"/>
    </xf>
    <xf borderId="1" fillId="7" fontId="22" numFmtId="0" xfId="0" applyAlignment="1" applyBorder="1" applyFill="1" applyFont="1">
      <alignment horizontal="left" readingOrder="0" shrinkToFit="0" wrapText="1"/>
    </xf>
    <xf borderId="1" fillId="6" fontId="1" numFmtId="0" xfId="0" applyAlignment="1" applyBorder="1" applyFill="1" applyFont="1">
      <alignment readingOrder="0"/>
    </xf>
    <xf borderId="1" fillId="7" fontId="31" numFmtId="0" xfId="0" applyAlignment="1" applyBorder="1" applyFill="1" applyFont="1">
      <alignment readingOrder="0" shrinkToFit="0" vertical="center" wrapText="1"/>
    </xf>
    <xf borderId="1" fillId="6" fontId="48" numFmtId="0" xfId="0" applyAlignment="1" applyBorder="1" applyFill="1" applyFont="1">
      <alignment horizontal="left" readingOrder="0"/>
    </xf>
    <xf borderId="1" fillId="6" fontId="48" numFmtId="0" xfId="0" applyAlignment="1" applyBorder="1" applyFill="1" applyFont="1">
      <alignment horizontal="left" shrinkToFit="0" vertical="center" wrapText="1"/>
    </xf>
    <xf borderId="0" fillId="2" fontId="1" numFmtId="0" xfId="0" applyAlignment="1" applyFill="1" applyFont="1">
      <alignment horizontal="left" readingOrder="0" shrinkToFit="0" vertical="center" wrapText="1"/>
    </xf>
    <xf borderId="1" fillId="4" fontId="5" numFmtId="0" xfId="0" applyAlignment="1" applyBorder="1" applyFill="1" applyFont="1">
      <alignment shrinkToFit="0" vertical="center" wrapText="1"/>
    </xf>
    <xf borderId="1" fillId="4" fontId="5" numFmtId="4" xfId="0" applyAlignment="1" applyBorder="1" applyFill="1" applyFont="1" applyNumberFormat="1">
      <alignment horizontal="left" shrinkToFit="0" vertical="center" wrapText="1"/>
    </xf>
    <xf borderId="0" fillId="2" fontId="1" numFmtId="0" xfId="0" applyAlignment="1" applyFill="1" applyFont="1">
      <alignment horizontal="left" readingOrder="0" shrinkToFit="0" vertical="center" wrapText="0"/>
    </xf>
    <xf borderId="11" fillId="7" fontId="49" numFmtId="0" xfId="0" applyAlignment="1" applyBorder="1" applyFill="1" applyFont="1">
      <alignment readingOrder="0" shrinkToFit="0" vertical="center" wrapText="1"/>
    </xf>
    <xf borderId="1" fillId="7" fontId="31" numFmtId="0" xfId="0" applyAlignment="1" applyBorder="1" applyFill="1" applyFont="1">
      <alignment horizontal="right" readingOrder="0" shrinkToFit="0" vertical="center" wrapText="1"/>
    </xf>
    <xf borderId="1" fillId="4" fontId="8" numFmtId="0" xfId="0" applyAlignment="1" applyBorder="1" applyFill="1" applyFont="1">
      <alignment readingOrder="0" shrinkToFit="0" wrapText="1"/>
    </xf>
    <xf borderId="0" fillId="2" fontId="1" numFmtId="164" xfId="0" applyAlignment="1" applyFill="1" applyFont="1" applyNumberFormat="1">
      <alignment horizontal="left" readingOrder="0" shrinkToFit="0" vertical="center" wrapText="1"/>
    </xf>
    <xf borderId="1" fillId="7" fontId="31" numFmtId="0" xfId="0" applyAlignment="1" applyBorder="1" applyFill="1" applyFont="1">
      <alignment horizontal="left" readingOrder="0" shrinkToFit="0" vertical="center" wrapText="1"/>
    </xf>
    <xf borderId="0" fillId="2" fontId="1" numFmtId="0" xfId="0" applyAlignment="1" applyFill="1" applyFont="1">
      <alignment horizontal="right" readingOrder="0" shrinkToFit="0" vertical="center" wrapText="1"/>
    </xf>
    <xf borderId="1" fillId="7" fontId="45" numFmtId="0" xfId="0" applyAlignment="1" applyBorder="1" applyFill="1" applyFont="1">
      <alignment horizontal="left" readingOrder="0" shrinkToFit="0" vertical="center" wrapText="1"/>
    </xf>
    <xf borderId="0" fillId="2" fontId="1" numFmtId="165" xfId="0" applyAlignment="1" applyFill="1" applyFont="1" applyNumberFormat="1">
      <alignment horizontal="left" readingOrder="0" shrinkToFit="0" vertical="bottom" wrapText="0"/>
    </xf>
    <xf borderId="1" fillId="7" fontId="46" numFmtId="0" xfId="0" applyAlignment="1" applyBorder="1" applyFill="1" applyFont="1">
      <alignment horizontal="left" readingOrder="0" shrinkToFit="0" vertical="center" wrapText="1"/>
    </xf>
    <xf borderId="0" fillId="2" fontId="1" numFmtId="0" xfId="0" applyAlignment="1" applyFill="1" applyFont="1">
      <alignment readingOrder="0" shrinkToFit="0" vertical="bottom" wrapText="0"/>
    </xf>
    <xf borderId="0" fillId="2" fontId="1" numFmtId="0" xfId="0" applyAlignment="1" applyFill="1" applyFont="1">
      <alignment readingOrder="0" shrinkToFit="0" vertical="center" wrapText="1"/>
    </xf>
    <xf borderId="1" fillId="7" fontId="50" numFmtId="0" xfId="0" applyAlignment="1" applyBorder="1" applyFill="1" applyFont="1">
      <alignment horizontal="left" readingOrder="0" shrinkToFit="0" vertical="center" wrapText="1"/>
    </xf>
    <xf borderId="1" fillId="6" fontId="48" numFmtId="0" xfId="0" applyAlignment="1" applyBorder="1" applyFill="1" applyFont="1">
      <alignment horizontal="left" readingOrder="0" shrinkToFit="0" vertical="center" wrapText="1"/>
    </xf>
    <xf borderId="1" fillId="7" fontId="45" numFmtId="0" xfId="0" applyAlignment="1" applyBorder="1" applyFill="1" applyFont="1">
      <alignment horizontal="left" readingOrder="0" shrinkToFit="0" vertical="center" wrapText="1"/>
    </xf>
    <xf borderId="1" fillId="7" fontId="31" numFmtId="0" xfId="0" applyAlignment="1" applyBorder="1" applyFill="1" applyFont="1">
      <alignment shrinkToFit="0" vertical="center" wrapText="1"/>
    </xf>
    <xf borderId="1" fillId="7" fontId="45" numFmtId="4" xfId="0" applyAlignment="1" applyBorder="1" applyFill="1" applyFont="1" applyNumberFormat="1">
      <alignment horizontal="left" readingOrder="0" shrinkToFit="0" vertical="center" wrapText="1"/>
    </xf>
    <xf borderId="11" fillId="7" fontId="31" numFmtId="0" xfId="0" applyAlignment="1" applyBorder="1" applyFill="1" applyFont="1">
      <alignment shrinkToFit="0" vertical="center" wrapText="1"/>
    </xf>
    <xf borderId="1" fillId="7" fontId="45" numFmtId="0" xfId="0" applyAlignment="1" applyBorder="1" applyFill="1" applyFont="1">
      <alignment readingOrder="0" shrinkToFit="0" vertical="center" wrapText="1"/>
    </xf>
    <xf borderId="1" fillId="4" fontId="5" numFmtId="0" xfId="0" applyAlignment="1" applyBorder="1" applyFill="1" applyFont="1">
      <alignment horizontal="left" readingOrder="0"/>
    </xf>
    <xf borderId="1" fillId="7" fontId="17" numFmtId="4" xfId="0" applyAlignment="1" applyBorder="1" applyFill="1" applyFont="1" applyNumberFormat="1">
      <alignment horizontal="left" readingOrder="0" shrinkToFit="0" vertical="center" wrapText="1"/>
    </xf>
    <xf borderId="0" fillId="0" fontId="1" numFmtId="164" xfId="0" applyAlignment="1" applyFont="1" applyNumberFormat="1">
      <alignment readingOrder="0" shrinkToFit="0" wrapText="1"/>
    </xf>
    <xf borderId="1" fillId="6" fontId="51" numFmtId="0" xfId="0" applyAlignment="1" applyBorder="1" applyFill="1" applyFont="1">
      <alignment readingOrder="0" shrinkToFit="0" vertical="bottom" wrapText="1"/>
    </xf>
    <xf borderId="1" fillId="7" fontId="17" numFmtId="0" xfId="0" applyAlignment="1" applyBorder="1" applyFill="1" applyFont="1">
      <alignment readingOrder="0" shrinkToFit="0" vertical="center" wrapText="1"/>
    </xf>
    <xf borderId="1" fillId="6" fontId="52" numFmtId="0" xfId="0" applyAlignment="1" applyBorder="1" applyFill="1" applyFont="1">
      <alignment readingOrder="0" shrinkToFit="0" vertical="center" wrapText="1"/>
    </xf>
    <xf borderId="1" fillId="6" fontId="53" numFmtId="0" xfId="0" applyAlignment="1" applyBorder="1" applyFill="1" applyFont="1">
      <alignment horizontal="left" readingOrder="0" shrinkToFit="0" vertical="center" wrapText="1"/>
    </xf>
    <xf borderId="1" fillId="6" fontId="54" numFmtId="0" xfId="0" applyAlignment="1" applyBorder="1" applyFill="1" applyFont="1">
      <alignment horizontal="left" readingOrder="0" shrinkToFit="0" vertical="center" wrapText="1"/>
    </xf>
    <xf borderId="1" fillId="6" fontId="52" numFmtId="0" xfId="0" applyAlignment="1" applyBorder="1" applyFill="1" applyFont="1">
      <alignment readingOrder="0" shrinkToFit="0" vertical="bottom" wrapText="1"/>
    </xf>
    <xf borderId="0" fillId="9" fontId="1" numFmtId="0" xfId="0" applyAlignment="1" applyFill="1" applyFont="1">
      <alignment horizontal="left" readingOrder="0" shrinkToFit="0" vertical="center" wrapText="1"/>
    </xf>
    <xf borderId="1" fillId="2" fontId="1" numFmtId="0" xfId="0" applyAlignment="1" applyBorder="1" applyFill="1" applyFont="1">
      <alignment horizontal="left" readingOrder="0" shrinkToFit="0" vertical="center" wrapText="1"/>
    </xf>
    <xf borderId="0" fillId="9" fontId="1" numFmtId="0" xfId="0" applyAlignment="1" applyFill="1" applyFont="1">
      <alignment readingOrder="0" shrinkToFit="0" vertical="center" wrapText="1"/>
    </xf>
    <xf borderId="1" fillId="2" fontId="1" numFmtId="0" xfId="0" applyAlignment="1" applyBorder="1" applyFill="1" applyFont="1">
      <alignment horizontal="left" readingOrder="0" vertical="center"/>
    </xf>
    <xf borderId="1" fillId="6" fontId="19" numFmtId="4" xfId="0" applyAlignment="1" applyBorder="1" applyFill="1" applyFont="1" applyNumberFormat="1">
      <alignment horizontal="left" readingOrder="0" shrinkToFit="0" vertical="center" wrapText="1"/>
    </xf>
    <xf borderId="1" fillId="2" fontId="1" numFmtId="4" xfId="0" applyAlignment="1" applyBorder="1" applyFill="1" applyFont="1" applyNumberFormat="1">
      <alignment horizontal="left" readingOrder="0" shrinkToFit="0" vertical="center" wrapText="1"/>
    </xf>
    <xf borderId="0" fillId="9" fontId="1" numFmtId="0" xfId="0" applyAlignment="1" applyFill="1" applyFont="1">
      <alignment horizontal="left" readingOrder="0" shrinkToFit="0" vertical="center" wrapText="0"/>
    </xf>
    <xf borderId="0" fillId="9" fontId="1" numFmtId="164" xfId="0" applyAlignment="1" applyFill="1" applyFont="1" applyNumberFormat="1">
      <alignment readingOrder="0" shrinkToFit="0" vertical="center" wrapText="1"/>
    </xf>
    <xf borderId="0" fillId="9" fontId="1" numFmtId="0" xfId="0" applyAlignment="1" applyFill="1" applyFont="1">
      <alignment horizontal="right" readingOrder="0" shrinkToFit="0" vertical="center" wrapText="1"/>
    </xf>
    <xf borderId="0" fillId="9" fontId="1" numFmtId="165" xfId="0" applyAlignment="1" applyFill="1" applyFont="1" applyNumberFormat="1">
      <alignment horizontal="left" readingOrder="0" shrinkToFit="0" vertical="center" wrapText="1"/>
    </xf>
    <xf borderId="11" fillId="6" fontId="55" numFmtId="0" xfId="0" applyAlignment="1" applyBorder="1" applyFill="1" applyFont="1">
      <alignment horizontal="left" readingOrder="0" shrinkToFit="0" vertical="center" wrapText="1"/>
    </xf>
    <xf borderId="0" fillId="9" fontId="1" numFmtId="0" xfId="0" applyAlignment="1" applyFill="1" applyFont="1">
      <alignment readingOrder="0" shrinkToFit="0" vertical="center" wrapText="0"/>
    </xf>
    <xf borderId="1" fillId="7" fontId="1" numFmtId="0" xfId="0" applyAlignment="1" applyBorder="1" applyFill="1" applyFont="1">
      <alignment readingOrder="0" shrinkToFit="0" vertical="center" wrapText="1"/>
    </xf>
    <xf borderId="1" fillId="6" fontId="19" numFmtId="0" xfId="0" applyAlignment="1" applyBorder="1" applyFill="1" applyFont="1">
      <alignment horizontal="right" readingOrder="0" shrinkToFit="0" vertical="center" wrapText="1"/>
    </xf>
    <xf borderId="1" fillId="11" fontId="5" numFmtId="0" xfId="0" applyAlignment="1" applyBorder="1" applyFill="1" applyFont="1">
      <alignment horizontal="left" readingOrder="0" shrinkToFit="0" vertical="center" wrapText="1"/>
    </xf>
    <xf borderId="1" fillId="7" fontId="56" numFmtId="0" xfId="0" applyAlignment="1" applyBorder="1" applyFill="1" applyFont="1">
      <alignment readingOrder="0"/>
    </xf>
    <xf borderId="1" fillId="11" fontId="5" numFmtId="0" xfId="0" applyAlignment="1" applyBorder="1" applyFill="1" applyFont="1">
      <alignment horizontal="left" readingOrder="0"/>
    </xf>
    <xf borderId="11" fillId="7" fontId="31" numFmtId="0" xfId="0" applyAlignment="1" applyBorder="1" applyFill="1" applyFont="1">
      <alignment readingOrder="0" shrinkToFit="0" vertical="center" wrapText="1"/>
    </xf>
    <xf borderId="1" fillId="11" fontId="5" numFmtId="4" xfId="0" applyAlignment="1" applyBorder="1" applyFill="1" applyFont="1" applyNumberFormat="1">
      <alignment horizontal="left" readingOrder="0" shrinkToFit="0" vertical="center" wrapText="1"/>
    </xf>
    <xf borderId="0" fillId="4" fontId="1" numFmtId="0" xfId="0" applyAlignment="1" applyFill="1" applyFont="1">
      <alignment shrinkToFit="0" vertical="center" wrapText="0"/>
    </xf>
    <xf borderId="1" fillId="6" fontId="17" numFmtId="4" xfId="0" applyAlignment="1" applyBorder="1" applyFill="1" applyFont="1" applyNumberFormat="1">
      <alignment shrinkToFit="0" vertical="center" wrapText="1"/>
    </xf>
    <xf borderId="1" fillId="4" fontId="15" numFmtId="0" xfId="0" applyAlignment="1" applyBorder="1" applyFill="1" applyFont="1">
      <alignment horizontal="left" shrinkToFit="0" vertical="bottom" wrapText="0"/>
    </xf>
    <xf borderId="1" fillId="11" fontId="5" numFmtId="0" xfId="0" applyAlignment="1" applyBorder="1" applyFill="1" applyFont="1">
      <alignment readingOrder="0" shrinkToFit="0" vertical="center" wrapText="1"/>
    </xf>
    <xf borderId="1" fillId="2" fontId="5" numFmtId="0" xfId="0" applyAlignment="1" applyBorder="1" applyFill="1" applyFont="1">
      <alignment horizontal="left" readingOrder="0" shrinkToFit="0" vertical="center" wrapText="1"/>
    </xf>
    <xf borderId="1" fillId="2" fontId="5" numFmtId="0" xfId="0" applyAlignment="1" applyBorder="1" applyFill="1" applyFont="1">
      <alignment readingOrder="0" vertical="bottom"/>
    </xf>
    <xf borderId="1" fillId="2" fontId="5" numFmtId="0" xfId="0" applyAlignment="1" applyBorder="1" applyFill="1" applyFont="1">
      <alignment vertical="bottom"/>
    </xf>
    <xf borderId="1" fillId="2" fontId="5" numFmtId="0" xfId="0" applyBorder="1" applyFill="1" applyFont="1"/>
    <xf borderId="1" fillId="4" fontId="15" numFmtId="3" xfId="0" applyAlignment="1" applyBorder="1" applyFill="1" applyFont="1" applyNumberFormat="1">
      <alignment horizontal="left" shrinkToFit="0" vertical="bottom" wrapText="1"/>
    </xf>
    <xf borderId="0" fillId="8" fontId="1" numFmtId="165" xfId="0" applyAlignment="1" applyFill="1" applyFont="1" applyNumberFormat="1">
      <alignment readingOrder="0"/>
    </xf>
    <xf borderId="0" fillId="5" fontId="1" numFmtId="0" xfId="0" applyAlignment="1" applyFill="1" applyFont="1">
      <alignment horizontal="left" readingOrder="0" shrinkToFit="0" wrapText="0"/>
    </xf>
    <xf borderId="1" fillId="4" fontId="15" numFmtId="3" xfId="0" applyAlignment="1" applyBorder="1" applyFill="1" applyFont="1" applyNumberFormat="1">
      <alignment horizontal="left"/>
    </xf>
    <xf borderId="0" fillId="4" fontId="1" numFmtId="164" xfId="0" applyAlignment="1" applyFill="1" applyFont="1" applyNumberFormat="1">
      <alignment readingOrder="0" shrinkToFit="0" vertical="center" wrapText="1"/>
    </xf>
    <xf borderId="1" fillId="2" fontId="5" numFmtId="4" xfId="0" applyAlignment="1" applyBorder="1" applyFill="1" applyFont="1" applyNumberFormat="1">
      <alignment horizontal="left" readingOrder="0" vertical="bottom"/>
    </xf>
    <xf borderId="11" fillId="7" fontId="57" numFmtId="0" xfId="0" applyAlignment="1" applyBorder="1" applyFill="1" applyFont="1">
      <alignment readingOrder="0" shrinkToFit="0" vertical="center" wrapText="1"/>
    </xf>
    <xf borderId="1" fillId="2" fontId="1" numFmtId="0" xfId="0" applyAlignment="1" applyBorder="1" applyFill="1" applyFont="1">
      <alignment readingOrder="0" shrinkToFit="0" vertical="center" wrapText="1"/>
    </xf>
    <xf borderId="1" fillId="6" fontId="15" numFmtId="0" xfId="0" applyAlignment="1" applyBorder="1" applyFill="1" applyFont="1">
      <alignment horizontal="left" shrinkToFit="0" vertical="bottom" wrapText="1"/>
    </xf>
    <xf borderId="1" fillId="6" fontId="17" numFmtId="0" xfId="0" applyAlignment="1" applyBorder="1" applyFill="1" applyFont="1">
      <alignment horizontal="left" readingOrder="0" vertical="center"/>
    </xf>
    <xf borderId="0" fillId="0" fontId="9" numFmtId="0" xfId="0" applyAlignment="1" applyFont="1">
      <alignment readingOrder="0" shrinkToFit="0" wrapText="0"/>
    </xf>
    <xf borderId="11" fillId="6" fontId="31" numFmtId="0" xfId="0" applyAlignment="1" applyBorder="1" applyFill="1" applyFont="1">
      <alignment readingOrder="0" shrinkToFit="0" vertical="center" wrapText="1"/>
    </xf>
    <xf borderId="0" fillId="0" fontId="17" numFmtId="0" xfId="0" applyFont="1"/>
    <xf borderId="1" fillId="6" fontId="52" numFmtId="0" xfId="0" applyAlignment="1" applyBorder="1" applyFill="1" applyFont="1">
      <alignment horizontal="left" readingOrder="0" shrinkToFit="0" vertical="center" wrapText="1"/>
    </xf>
    <xf borderId="0" fillId="0" fontId="17" numFmtId="0" xfId="0" applyAlignment="1" applyFont="1">
      <alignment shrinkToFit="0" wrapText="0"/>
    </xf>
    <xf borderId="1" fillId="7" fontId="56" numFmtId="0" xfId="0" applyAlignment="1" applyBorder="1" applyFill="1" applyFont="1">
      <alignment readingOrder="0" shrinkToFit="0" wrapText="1"/>
    </xf>
    <xf borderId="0" fillId="0" fontId="17" numFmtId="0" xfId="0" applyAlignment="1" applyFont="1">
      <alignment vertical="center"/>
    </xf>
    <xf borderId="1" fillId="6" fontId="51" numFmtId="0" xfId="0" applyAlignment="1" applyBorder="1" applyFill="1" applyFont="1">
      <alignment horizontal="left" readingOrder="0" shrinkToFit="0" vertical="center" wrapText="1"/>
    </xf>
    <xf borderId="1" fillId="6" fontId="27" numFmtId="0" xfId="0" applyAlignment="1" applyBorder="1" applyFill="1" applyFont="1">
      <alignment horizontal="left" readingOrder="0"/>
    </xf>
    <xf borderId="0" fillId="0" fontId="17" numFmtId="165" xfId="0" applyFont="1" applyNumberFormat="1"/>
    <xf borderId="1" fillId="6" fontId="27" numFmtId="4" xfId="0" applyAlignment="1" applyBorder="1" applyFill="1" applyFont="1" applyNumberFormat="1">
      <alignment horizontal="left" readingOrder="0" shrinkToFit="0" vertical="center" wrapText="1"/>
    </xf>
    <xf borderId="0" fillId="0" fontId="17" numFmtId="0" xfId="0" applyAlignment="1" applyFont="1">
      <alignment shrinkToFit="0" wrapText="1"/>
    </xf>
    <xf borderId="1" fillId="6" fontId="52" numFmtId="4" xfId="0" applyAlignment="1" applyBorder="1" applyFill="1" applyFont="1" applyNumberFormat="1">
      <alignment horizontal="left" readingOrder="0" shrinkToFit="0" vertical="center" wrapText="1"/>
    </xf>
    <xf borderId="1" fillId="6" fontId="27" numFmtId="0" xfId="0" applyAlignment="1" applyBorder="1" applyFill="1" applyFont="1">
      <alignment horizontal="left" readingOrder="0" shrinkToFit="0" wrapText="1"/>
    </xf>
    <xf borderId="11" fillId="6" fontId="27" numFmtId="0" xfId="0" applyAlignment="1" applyBorder="1" applyFill="1" applyFont="1">
      <alignment readingOrder="0" shrinkToFit="0" vertical="center" wrapText="1"/>
    </xf>
    <xf borderId="1" fillId="7" fontId="58" numFmtId="0" xfId="0" applyAlignment="1" applyBorder="1" applyFill="1" applyFont="1">
      <alignment horizontal="left" readingOrder="0" shrinkToFit="0" vertical="center" wrapText="1"/>
    </xf>
    <xf borderId="1" fillId="7" fontId="59" numFmtId="0" xfId="0" applyAlignment="1" applyBorder="1" applyFill="1" applyFont="1">
      <alignment horizontal="left" readingOrder="0" shrinkToFit="0" vertical="center" wrapText="1"/>
    </xf>
    <xf borderId="1" fillId="7" fontId="60" numFmtId="0" xfId="0" applyAlignment="1" applyBorder="1" applyFill="1" applyFont="1">
      <alignment horizontal="left" readingOrder="0" shrinkToFit="0" vertical="center" wrapText="1"/>
    </xf>
    <xf borderId="0" fillId="2" fontId="1" numFmtId="164" xfId="0" applyAlignment="1" applyFill="1" applyFont="1" applyNumberFormat="1">
      <alignment readingOrder="0" shrinkToFit="0" wrapText="1"/>
    </xf>
    <xf borderId="1" fillId="7" fontId="35" numFmtId="0" xfId="0" applyAlignment="1" applyBorder="1" applyFill="1" applyFont="1">
      <alignment horizontal="left" readingOrder="0" vertical="center"/>
    </xf>
    <xf borderId="0" fillId="2" fontId="1" numFmtId="0" xfId="0" applyAlignment="1" applyFill="1" applyFont="1">
      <alignment readingOrder="0" shrinkToFit="0" wrapText="1"/>
    </xf>
    <xf borderId="1" fillId="6" fontId="35" numFmtId="0" xfId="0" applyAlignment="1" applyBorder="1" applyFill="1" applyFont="1">
      <alignment horizontal="left" readingOrder="0" vertical="center"/>
    </xf>
    <xf borderId="1" fillId="6" fontId="1" numFmtId="0" xfId="0" applyAlignment="1" applyBorder="1" applyFill="1" applyFont="1">
      <alignment readingOrder="0" shrinkToFit="0" wrapText="1"/>
    </xf>
    <xf borderId="1" fillId="7" fontId="1" numFmtId="0" xfId="0" applyAlignment="1" applyBorder="1" applyFill="1" applyFont="1">
      <alignment readingOrder="0" shrinkToFit="0" wrapText="1"/>
    </xf>
    <xf borderId="1" fillId="7" fontId="61" numFmtId="0" xfId="0" applyAlignment="1" applyBorder="1" applyFill="1" applyFont="1">
      <alignment horizontal="left" readingOrder="0" shrinkToFit="0" vertical="center" wrapText="1"/>
    </xf>
    <xf borderId="1" fillId="7" fontId="61" numFmtId="0" xfId="0" applyAlignment="1" applyBorder="1" applyFill="1" applyFont="1">
      <alignment horizontal="left" readingOrder="0" vertical="center"/>
    </xf>
    <xf borderId="1" fillId="7" fontId="61" numFmtId="4" xfId="0" applyAlignment="1" applyBorder="1" applyFill="1" applyFont="1" applyNumberFormat="1">
      <alignment horizontal="left" readingOrder="0" shrinkToFit="0" vertical="center" wrapText="1"/>
    </xf>
    <xf borderId="1" fillId="7" fontId="61" numFmtId="0" xfId="0" applyAlignment="1" applyBorder="1" applyFill="1" applyFont="1">
      <alignment readingOrder="0" shrinkToFit="0" vertical="center" wrapText="1"/>
    </xf>
    <xf borderId="1" fillId="7" fontId="61" numFmtId="0" xfId="0" applyAlignment="1" applyBorder="1" applyFill="1" applyFont="1">
      <alignment horizontal="left" readingOrder="0" shrinkToFit="0" wrapText="1"/>
    </xf>
    <xf borderId="11" fillId="7" fontId="61" numFmtId="0" xfId="0" applyAlignment="1" applyBorder="1" applyFill="1" applyFont="1">
      <alignment horizontal="left" readingOrder="0" shrinkToFit="0" vertical="center" wrapText="1"/>
    </xf>
    <xf borderId="1" fillId="7" fontId="61" numFmtId="0" xfId="0" applyAlignment="1" applyBorder="1" applyFill="1" applyFont="1">
      <alignment horizontal="right" readingOrder="0" shrinkToFit="0" vertical="center" wrapText="1"/>
    </xf>
    <xf borderId="1" fillId="6" fontId="31" numFmtId="0" xfId="0" applyAlignment="1" applyBorder="1" applyFill="1" applyFont="1">
      <alignment horizontal="left" readingOrder="0" vertical="center"/>
    </xf>
    <xf borderId="1" fillId="6" fontId="31" numFmtId="4" xfId="0" applyAlignment="1" applyBorder="1" applyFill="1" applyFont="1" applyNumberFormat="1">
      <alignment horizontal="left" readingOrder="0" shrinkToFit="0" vertical="center" wrapText="1"/>
    </xf>
    <xf borderId="0" fillId="0" fontId="13" numFmtId="0" xfId="0" applyAlignment="1" applyFont="1">
      <alignment readingOrder="0"/>
    </xf>
    <xf borderId="11" fillId="6" fontId="62" numFmtId="0" xfId="0" applyAlignment="1" applyBorder="1" applyFill="1" applyFont="1">
      <alignment horizontal="left" readingOrder="0" shrinkToFit="0" vertical="center" wrapText="1"/>
    </xf>
    <xf borderId="1" fillId="4" fontId="17" numFmtId="0" xfId="0" applyAlignment="1" applyBorder="1" applyFill="1" applyFont="1">
      <alignment horizontal="left" readingOrder="0" shrinkToFit="0" vertical="center" wrapText="1"/>
    </xf>
    <xf borderId="1" fillId="4" fontId="17" numFmtId="0" xfId="0" applyAlignment="1" applyBorder="1" applyFill="1" applyFont="1">
      <alignment shrinkToFit="0" vertical="center" wrapText="1"/>
    </xf>
    <xf borderId="1" fillId="4" fontId="17" numFmtId="0" xfId="0" applyAlignment="1" applyBorder="1" applyFill="1" applyFont="1">
      <alignment readingOrder="0" shrinkToFit="0" vertical="center" wrapText="1"/>
    </xf>
    <xf borderId="1" fillId="4" fontId="17" numFmtId="4" xfId="0" applyAlignment="1" applyBorder="1" applyFill="1" applyFont="1" applyNumberFormat="1">
      <alignment horizontal="left" shrinkToFit="0" vertical="center" wrapText="1"/>
    </xf>
    <xf borderId="1" fillId="4" fontId="31" numFmtId="0" xfId="0" applyAlignment="1" applyBorder="1" applyFill="1" applyFont="1">
      <alignment horizontal="left" readingOrder="0" shrinkToFit="0" vertical="center" wrapText="1"/>
    </xf>
    <xf borderId="1" fillId="6" fontId="5" numFmtId="4" xfId="0" applyAlignment="1" applyBorder="1" applyFill="1" applyFont="1" applyNumberFormat="1">
      <alignment shrinkToFit="0" vertical="center" wrapText="1"/>
    </xf>
    <xf borderId="1" fillId="4" fontId="31" numFmtId="0" xfId="0" applyAlignment="1" applyBorder="1" applyFill="1" applyFont="1">
      <alignment readingOrder="0" shrinkToFit="0" vertical="center" wrapText="1"/>
    </xf>
    <xf borderId="1" fillId="6" fontId="5" numFmtId="4" xfId="0" applyAlignment="1" applyBorder="1" applyFill="1" applyFont="1" applyNumberFormat="1">
      <alignment horizontal="left" readingOrder="0"/>
    </xf>
    <xf borderId="0" fillId="0" fontId="2" numFmtId="0" xfId="0" applyAlignment="1" applyFont="1">
      <alignment shrinkToFit="0" wrapText="0"/>
    </xf>
    <xf borderId="11" fillId="4" fontId="63" numFmtId="0" xfId="0" applyAlignment="1" applyBorder="1" applyFill="1" applyFont="1">
      <alignment readingOrder="0" shrinkToFit="0" vertical="center" wrapText="1"/>
    </xf>
    <xf borderId="1" fillId="4" fontId="31" numFmtId="0" xfId="0" applyAlignment="1" applyBorder="1" applyFill="1" applyFont="1">
      <alignment horizontal="right" readingOrder="0" shrinkToFit="0" vertical="center" wrapText="1"/>
    </xf>
    <xf borderId="1" fillId="7" fontId="61" numFmtId="0" xfId="0" applyAlignment="1" applyBorder="1" applyFill="1" applyFont="1">
      <alignment horizontal="left" readingOrder="0" shrinkToFit="0" vertical="center" wrapText="1"/>
    </xf>
    <xf borderId="11" fillId="7" fontId="61" numFmtId="0" xfId="0" applyAlignment="1" applyBorder="1" applyFill="1" applyFont="1">
      <alignment shrinkToFit="0" vertical="center" wrapText="1"/>
    </xf>
    <xf borderId="1" fillId="7" fontId="31" numFmtId="0" xfId="0" applyAlignment="1" applyBorder="1" applyFill="1" applyFont="1">
      <alignment readingOrder="0" shrinkToFit="0" vertical="center" wrapText="1"/>
    </xf>
    <xf borderId="1" fillId="6" fontId="5" numFmtId="0" xfId="0" applyAlignment="1" applyBorder="1" applyFill="1" applyFont="1">
      <alignment horizontal="left" shrinkToFit="0" vertical="center" wrapText="1"/>
    </xf>
    <xf borderId="1" fillId="6" fontId="64" numFmtId="0" xfId="0" applyAlignment="1" applyBorder="1" applyFill="1" applyFont="1">
      <alignment horizontal="left" readingOrder="0" shrinkToFit="0" vertical="center" wrapText="1"/>
    </xf>
    <xf borderId="0" fillId="0" fontId="14" numFmtId="0" xfId="0" applyAlignment="1" applyFont="1">
      <alignment shrinkToFit="0" wrapText="0"/>
    </xf>
    <xf borderId="0" fillId="0" fontId="14" numFmtId="0" xfId="0" applyAlignment="1" applyFont="1">
      <alignment vertical="center"/>
    </xf>
    <xf borderId="0" fillId="0" fontId="14" numFmtId="165" xfId="0" applyFont="1" applyNumberFormat="1"/>
    <xf borderId="0" fillId="0" fontId="14" numFmtId="0" xfId="0" applyAlignment="1" applyFont="1">
      <alignment shrinkToFit="0" wrapText="1"/>
    </xf>
    <xf borderId="0" fillId="7" fontId="1" numFmtId="0" xfId="0" applyAlignment="1" applyFill="1" applyFont="1">
      <alignment horizontal="right" readingOrder="0" shrinkToFit="0" vertical="center" wrapText="1"/>
    </xf>
    <xf borderId="0" fillId="7" fontId="1" numFmtId="0" xfId="0" applyAlignment="1" applyFill="1" applyFont="1">
      <alignment horizontal="right" shrinkToFit="0" vertical="center" wrapText="1"/>
    </xf>
    <xf borderId="1" fillId="6" fontId="1" numFmtId="0" xfId="0" applyAlignment="1" applyBorder="1" applyFill="1" applyFont="1">
      <alignment readingOrder="0" vertical="center"/>
    </xf>
    <xf borderId="0" fillId="4" fontId="19" numFmtId="0" xfId="0" applyAlignment="1" applyFill="1" applyFont="1">
      <alignment horizontal="left" readingOrder="0" shrinkToFit="0" vertical="center" wrapText="1"/>
    </xf>
    <xf borderId="1" fillId="7" fontId="45" numFmtId="0" xfId="0" applyAlignment="1" applyBorder="1" applyFill="1" applyFont="1">
      <alignment horizontal="left" readingOrder="0" vertical="center"/>
    </xf>
    <xf borderId="0" fillId="7" fontId="45" numFmtId="0" xfId="0" applyAlignment="1" applyFill="1" applyFont="1">
      <alignment readingOrder="0" shrinkToFit="0" wrapText="1"/>
    </xf>
    <xf borderId="1" fillId="4" fontId="52" numFmtId="0" xfId="0" applyAlignment="1" applyBorder="1" applyFill="1" applyFont="1">
      <alignment horizontal="left" readingOrder="0" shrinkToFit="0" vertical="center" wrapText="1"/>
    </xf>
    <xf borderId="1" fillId="4" fontId="19" numFmtId="0" xfId="0" applyAlignment="1" applyBorder="1" applyFill="1" applyFont="1">
      <alignment horizontal="left" readingOrder="0" shrinkToFit="0" vertical="center" wrapText="1"/>
    </xf>
    <xf borderId="1" fillId="4" fontId="19" numFmtId="0" xfId="0" applyAlignment="1" applyBorder="1" applyFill="1" applyFont="1">
      <alignment horizontal="left" readingOrder="0" vertical="center"/>
    </xf>
    <xf borderId="1" fillId="4" fontId="19" numFmtId="4" xfId="0" applyAlignment="1" applyBorder="1" applyFill="1" applyFont="1" applyNumberFormat="1">
      <alignment horizontal="left" readingOrder="0" shrinkToFit="0" vertical="center" wrapText="1"/>
    </xf>
    <xf borderId="1" fillId="4" fontId="19" numFmtId="0" xfId="0" applyAlignment="1" applyBorder="1" applyFill="1" applyFont="1">
      <alignment readingOrder="0" shrinkToFit="0" wrapText="1"/>
    </xf>
    <xf borderId="1" fillId="4" fontId="19" numFmtId="0" xfId="0" applyAlignment="1" applyBorder="1" applyFill="1" applyFont="1">
      <alignment horizontal="left" readingOrder="0" shrinkToFit="0" wrapText="1"/>
    </xf>
    <xf borderId="1" fillId="4" fontId="19" numFmtId="0" xfId="0" applyAlignment="1" applyBorder="1" applyFill="1" applyFont="1">
      <alignment readingOrder="0" shrinkToFit="0" vertical="center" wrapText="1"/>
    </xf>
    <xf borderId="1" fillId="7" fontId="46" numFmtId="4" xfId="0" applyAlignment="1" applyBorder="1" applyFill="1" applyFont="1" applyNumberFormat="1">
      <alignment horizontal="left" readingOrder="0" vertical="center"/>
    </xf>
    <xf borderId="11" fillId="4" fontId="65" numFmtId="4" xfId="0" applyAlignment="1" applyBorder="1" applyFill="1" applyFont="1" applyNumberFormat="1">
      <alignment readingOrder="0" shrinkToFit="0" vertical="center" wrapText="1"/>
    </xf>
    <xf borderId="1" fillId="7" fontId="46" numFmtId="0" xfId="0" applyAlignment="1" applyBorder="1" applyFill="1" applyFont="1">
      <alignment readingOrder="0" shrinkToFit="0" vertical="center" wrapText="1"/>
    </xf>
    <xf borderId="1" fillId="4" fontId="19" numFmtId="0" xfId="0" applyAlignment="1" applyBorder="1" applyFill="1" applyFont="1">
      <alignment horizontal="right" readingOrder="0" shrinkToFit="0" vertical="center" wrapText="1"/>
    </xf>
    <xf borderId="1" fillId="7" fontId="31" numFmtId="0" xfId="0" applyAlignment="1" applyBorder="1" applyFill="1" applyFont="1">
      <alignment readingOrder="0" shrinkToFit="0" wrapText="1"/>
    </xf>
    <xf borderId="0" fillId="6" fontId="1" numFmtId="165" xfId="0" applyAlignment="1" applyFill="1" applyFont="1" applyNumberFormat="1">
      <alignment horizontal="left" readingOrder="0"/>
    </xf>
    <xf borderId="1" fillId="4" fontId="1" numFmtId="0" xfId="0" applyAlignment="1" applyBorder="1" applyFill="1" applyFont="1">
      <alignment readingOrder="0" shrinkToFit="0" wrapText="1"/>
    </xf>
    <xf borderId="1" fillId="4" fontId="52" numFmtId="0" xfId="0" applyAlignment="1" applyBorder="1" applyFill="1" applyFont="1">
      <alignment horizontal="left" readingOrder="0" vertical="center"/>
    </xf>
    <xf borderId="1" fillId="4" fontId="52" numFmtId="4" xfId="0" applyAlignment="1" applyBorder="1" applyFill="1" applyFont="1" applyNumberFormat="1">
      <alignment horizontal="left" readingOrder="0" shrinkToFit="0" vertical="center" wrapText="1"/>
    </xf>
    <xf borderId="0" fillId="6" fontId="1" numFmtId="164" xfId="0" applyAlignment="1" applyFill="1" applyFont="1" applyNumberFormat="1">
      <alignment readingOrder="0" shrinkToFit="0" wrapText="1"/>
    </xf>
    <xf borderId="1" fillId="4" fontId="52" numFmtId="0" xfId="0" applyAlignment="1" applyBorder="1" applyFill="1" applyFont="1">
      <alignment readingOrder="0" shrinkToFit="0" wrapText="1"/>
    </xf>
    <xf borderId="0" fillId="6" fontId="1" numFmtId="0" xfId="0" applyAlignment="1" applyFill="1" applyFont="1">
      <alignment readingOrder="0" shrinkToFit="0" wrapText="1"/>
    </xf>
    <xf borderId="1" fillId="4" fontId="52" numFmtId="0" xfId="0" applyAlignment="1" applyBorder="1" applyFill="1" applyFont="1">
      <alignment readingOrder="0" shrinkToFit="0" vertical="center" wrapText="1"/>
    </xf>
    <xf borderId="0" fillId="6" fontId="1" numFmtId="3" xfId="0" applyAlignment="1" applyFill="1" applyFont="1" applyNumberFormat="1">
      <alignment readingOrder="0" shrinkToFit="0" wrapText="0"/>
    </xf>
    <xf borderId="1" fillId="6" fontId="1" numFmtId="0" xfId="0" applyAlignment="1" applyBorder="1" applyFill="1" applyFont="1">
      <alignment horizontal="left" readingOrder="0" shrinkToFit="0" wrapText="1"/>
    </xf>
    <xf borderId="1" fillId="4" fontId="1" numFmtId="4" xfId="0" applyAlignment="1" applyBorder="1" applyFill="1" applyFont="1" applyNumberFormat="1">
      <alignment horizontal="left" readingOrder="0" shrinkToFit="0" vertical="center" wrapText="1"/>
    </xf>
    <xf borderId="1" fillId="4" fontId="52" numFmtId="0" xfId="0" applyAlignment="1" applyBorder="1" applyFill="1" applyFont="1">
      <alignment horizontal="left" readingOrder="0"/>
    </xf>
    <xf borderId="1" fillId="4" fontId="51" numFmtId="4" xfId="0" applyAlignment="1" applyBorder="1" applyFill="1" applyFont="1" applyNumberFormat="1">
      <alignment horizontal="left" readingOrder="0" shrinkToFit="0" vertical="center" wrapText="1"/>
    </xf>
    <xf borderId="1" fillId="4" fontId="51" numFmtId="0" xfId="0" applyAlignment="1" applyBorder="1" applyFill="1" applyFont="1">
      <alignment horizontal="left" readingOrder="0" shrinkToFit="0" vertical="center" wrapText="1"/>
    </xf>
    <xf borderId="1" fillId="4" fontId="51" numFmtId="0" xfId="0" applyAlignment="1" applyBorder="1" applyFill="1" applyFont="1">
      <alignment readingOrder="0" shrinkToFit="0" wrapText="1"/>
    </xf>
    <xf borderId="0" fillId="4" fontId="52" numFmtId="0" xfId="0" applyAlignment="1" applyFill="1" applyFont="1">
      <alignment readingOrder="0" shrinkToFit="0" vertical="center" wrapText="1"/>
    </xf>
    <xf borderId="0" fillId="4" fontId="5" numFmtId="0" xfId="0" applyAlignment="1" applyFill="1" applyFont="1">
      <alignment horizontal="left" readingOrder="0" shrinkToFit="0" vertical="center" wrapText="1"/>
    </xf>
    <xf borderId="1" fillId="6" fontId="5" numFmtId="0" xfId="0" applyAlignment="1" applyBorder="1" applyFill="1" applyFont="1">
      <alignment readingOrder="0" shrinkToFit="0" wrapText="1"/>
    </xf>
    <xf borderId="1" fillId="6" fontId="17" numFmtId="4" xfId="0" applyAlignment="1" applyBorder="1" applyFill="1" applyFont="1" applyNumberFormat="1">
      <alignment horizontal="left" readingOrder="0"/>
    </xf>
    <xf borderId="1" fillId="6" fontId="17" numFmtId="0" xfId="0" applyAlignment="1" applyBorder="1" applyFill="1" applyFont="1">
      <alignment horizontal="left" shrinkToFit="0" vertical="center" wrapText="1"/>
    </xf>
    <xf borderId="1" fillId="6" fontId="17" numFmtId="4" xfId="0" applyAlignment="1" applyBorder="1" applyFill="1" applyFont="1" applyNumberFormat="1">
      <alignment horizontal="left" readingOrder="0" shrinkToFit="0" vertical="center" wrapText="1"/>
    </xf>
    <xf borderId="1" fillId="7" fontId="45" numFmtId="4" xfId="0" applyAlignment="1" applyBorder="1" applyFill="1" applyFont="1" applyNumberFormat="1">
      <alignment horizontal="left" readingOrder="0" vertical="center"/>
    </xf>
    <xf borderId="0" fillId="7" fontId="31" numFmtId="0" xfId="0" applyAlignment="1" applyFill="1" applyFont="1">
      <alignment readingOrder="0"/>
    </xf>
    <xf borderId="1" fillId="4" fontId="35" numFmtId="0" xfId="0" applyAlignment="1" applyBorder="1" applyFill="1" applyFont="1">
      <alignment readingOrder="0" shrinkToFit="0" wrapText="1"/>
    </xf>
    <xf borderId="0" fillId="7" fontId="31" numFmtId="0" xfId="0" applyAlignment="1" applyFill="1" applyFont="1">
      <alignment readingOrder="0" shrinkToFit="0" wrapText="1"/>
    </xf>
    <xf borderId="1" fillId="6" fontId="51" numFmtId="4" xfId="0" applyAlignment="1" applyBorder="1" applyFill="1" applyFont="1" applyNumberFormat="1">
      <alignment horizontal="left" readingOrder="0" shrinkToFit="0" vertical="center" wrapText="1"/>
    </xf>
    <xf borderId="1" fillId="7" fontId="45" numFmtId="0" xfId="0" applyAlignment="1" applyBorder="1" applyFill="1" applyFont="1">
      <alignment horizontal="left" shrinkToFit="0" vertical="center" wrapText="1"/>
    </xf>
    <xf borderId="1" fillId="4" fontId="17" numFmtId="0" xfId="0" applyAlignment="1" applyBorder="1" applyFill="1" applyFont="1">
      <alignment horizontal="left" readingOrder="0"/>
    </xf>
    <xf borderId="1" fillId="4" fontId="31" numFmtId="4" xfId="0" applyAlignment="1" applyBorder="1" applyFill="1" applyFont="1" applyNumberFormat="1">
      <alignment horizontal="left" readingOrder="0" shrinkToFit="0" vertical="center" wrapText="1"/>
    </xf>
    <xf borderId="1" fillId="4" fontId="22" numFmtId="0" xfId="0" applyAlignment="1" applyBorder="1" applyFill="1" applyFont="1">
      <alignment horizontal="left" readingOrder="0" shrinkToFit="0" wrapText="1"/>
    </xf>
    <xf borderId="1" fillId="7" fontId="61" numFmtId="0" xfId="0" applyAlignment="1" applyBorder="1" applyFill="1" applyFont="1">
      <alignment readingOrder="0" shrinkToFit="0" wrapText="1"/>
    </xf>
    <xf borderId="1" fillId="4" fontId="5" numFmtId="4" xfId="0" applyAlignment="1" applyBorder="1" applyFill="1" applyFont="1" applyNumberFormat="1">
      <alignment shrinkToFit="0" vertical="center" wrapText="1"/>
    </xf>
    <xf borderId="0" fillId="7" fontId="5" numFmtId="4" xfId="0" applyAlignment="1" applyFill="1" applyFont="1" applyNumberFormat="1">
      <alignment horizontal="left" readingOrder="0" shrinkToFit="0" vertical="center" wrapText="1"/>
    </xf>
    <xf borderId="0" fillId="0" fontId="5" numFmtId="0" xfId="0" applyFont="1"/>
    <xf borderId="1" fillId="4" fontId="19" numFmtId="0" xfId="0" applyAlignment="1" applyBorder="1" applyFill="1" applyFont="1">
      <alignment horizontal="left" readingOrder="0"/>
    </xf>
    <xf borderId="1" fillId="4" fontId="64" numFmtId="4" xfId="0" applyAlignment="1" applyBorder="1" applyFill="1" applyFont="1" applyNumberFormat="1">
      <alignment horizontal="left" readingOrder="0" shrinkToFit="0" vertical="center" wrapText="1"/>
    </xf>
    <xf borderId="0" fillId="2" fontId="1" numFmtId="0" xfId="0" applyAlignment="1" applyFill="1" applyFont="1">
      <alignment horizontal="right" readingOrder="0" vertical="center"/>
    </xf>
    <xf borderId="1" fillId="4" fontId="64" numFmtId="0" xfId="0" applyAlignment="1" applyBorder="1" applyFill="1" applyFont="1">
      <alignment horizontal="left" readingOrder="0" shrinkToFit="0" vertical="center" wrapText="1"/>
    </xf>
    <xf borderId="0" fillId="2" fontId="1" numFmtId="165" xfId="0" applyAlignment="1" applyFill="1" applyFont="1" applyNumberFormat="1">
      <alignment horizontal="left" readingOrder="0" shrinkToFit="0" vertical="center" wrapText="1"/>
    </xf>
    <xf borderId="11" fillId="4" fontId="66" numFmtId="0" xfId="0" applyAlignment="1" applyBorder="1" applyFill="1" applyFont="1">
      <alignment readingOrder="0" shrinkToFit="0" vertical="center" wrapText="1"/>
    </xf>
    <xf borderId="1" fillId="7" fontId="67" numFmtId="0" xfId="0" applyAlignment="1" applyBorder="1" applyFill="1" applyFont="1">
      <alignment horizontal="left" readingOrder="0" shrinkToFit="0" vertical="center" wrapText="1"/>
    </xf>
    <xf borderId="1" fillId="7" fontId="67" numFmtId="4" xfId="0" applyAlignment="1" applyBorder="1" applyFill="1" applyFont="1" applyNumberFormat="1">
      <alignment horizontal="left" readingOrder="0" vertical="center"/>
    </xf>
    <xf borderId="1" fillId="7" fontId="67" numFmtId="0" xfId="0" applyAlignment="1" applyBorder="1" applyFill="1" applyFont="1">
      <alignment readingOrder="0" shrinkToFit="0" vertical="center" wrapText="1"/>
    </xf>
    <xf borderId="11" fillId="7" fontId="68" numFmtId="0" xfId="0" applyAlignment="1" applyBorder="1" applyFill="1" applyFont="1">
      <alignment readingOrder="0" shrinkToFit="0" vertical="center" wrapText="1"/>
    </xf>
    <xf borderId="0" fillId="7" fontId="1" numFmtId="4" xfId="0" applyAlignment="1" applyFill="1" applyFont="1" applyNumberFormat="1">
      <alignment horizontal="left" readingOrder="0" shrinkToFit="0" vertical="center" wrapText="1"/>
    </xf>
    <xf borderId="0" fillId="6" fontId="5" numFmtId="4" xfId="0" applyAlignment="1" applyFill="1" applyFont="1" applyNumberFormat="1">
      <alignment horizontal="left" readingOrder="0" shrinkToFit="0" vertical="bottom" wrapText="0"/>
    </xf>
    <xf borderId="0" fillId="6" fontId="8" numFmtId="0" xfId="0" applyAlignment="1" applyFill="1" applyFont="1">
      <alignment readingOrder="0" shrinkToFit="0" vertical="bottom" wrapText="1"/>
    </xf>
    <xf borderId="0" fillId="6" fontId="8" numFmtId="0" xfId="0" applyAlignment="1" applyFill="1" applyFont="1">
      <alignment readingOrder="0" shrinkToFit="0" vertical="center" wrapText="1"/>
    </xf>
    <xf borderId="0" fillId="6" fontId="5" numFmtId="0" xfId="0" applyAlignment="1" applyFill="1" applyFont="1">
      <alignment shrinkToFit="0" vertical="center" wrapText="1"/>
    </xf>
    <xf borderId="0" fillId="6" fontId="5" numFmtId="4" xfId="0" applyAlignment="1" applyFill="1" applyFont="1" applyNumberFormat="1">
      <alignment shrinkToFit="0" vertical="center" wrapText="1"/>
    </xf>
    <xf borderId="0" fillId="4" fontId="19" numFmtId="0" xfId="0" applyAlignment="1" applyFill="1" applyFont="1">
      <alignment horizontal="left" readingOrder="0"/>
    </xf>
    <xf borderId="0" fillId="6" fontId="5" numFmtId="4" xfId="0" applyAlignment="1" applyFill="1" applyFont="1" applyNumberFormat="1">
      <alignment readingOrder="0" shrinkToFit="0" vertical="center" wrapText="1"/>
    </xf>
    <xf borderId="1" fillId="4" fontId="64" numFmtId="0" xfId="0" applyAlignment="1" applyBorder="1" applyFill="1" applyFont="1">
      <alignment readingOrder="0" shrinkToFit="0" wrapText="1"/>
    </xf>
    <xf borderId="0" fillId="7" fontId="69" numFmtId="0" xfId="0" applyAlignment="1" applyFill="1" applyFont="1">
      <alignment horizontal="left" readingOrder="0" shrinkToFit="0" vertical="center" wrapText="1"/>
    </xf>
    <xf borderId="0" fillId="7" fontId="1" numFmtId="0" xfId="0" applyAlignment="1" applyFill="1" applyFont="1">
      <alignment readingOrder="0" shrinkToFit="0" wrapText="1"/>
    </xf>
    <xf borderId="0" fillId="4" fontId="5" numFmtId="0" xfId="0" applyAlignment="1" applyFill="1" applyFont="1">
      <alignment shrinkToFit="0" vertical="center" wrapText="1"/>
    </xf>
    <xf borderId="0" fillId="7" fontId="1" numFmtId="165" xfId="0" applyAlignment="1" applyFill="1" applyFont="1" applyNumberFormat="1">
      <alignment horizontal="left" readingOrder="0" vertical="center"/>
    </xf>
    <xf borderId="0" fillId="4" fontId="5" numFmtId="0" xfId="0" applyAlignment="1" applyFill="1" applyFont="1">
      <alignment readingOrder="0" shrinkToFit="0" vertical="center" wrapText="1"/>
    </xf>
    <xf borderId="0" fillId="4" fontId="5" numFmtId="4" xfId="0" applyAlignment="1" applyFill="1" applyFont="1" applyNumberFormat="1">
      <alignment horizontal="left" shrinkToFit="0" vertical="center" wrapText="1"/>
    </xf>
    <xf borderId="0" fillId="4" fontId="3" numFmtId="0" xfId="0" applyAlignment="1" applyFill="1" applyFont="1">
      <alignment horizontal="left" readingOrder="0"/>
    </xf>
    <xf borderId="0" fillId="4" fontId="3" numFmtId="0" xfId="0" applyAlignment="1" applyFill="1" applyFont="1">
      <alignment readingOrder="0" shrinkToFit="0" wrapText="1"/>
    </xf>
    <xf borderId="1" fillId="6" fontId="32" numFmtId="0" xfId="0" applyAlignment="1" applyBorder="1" applyFill="1" applyFont="1">
      <alignment horizontal="left" readingOrder="0" vertical="center"/>
    </xf>
    <xf borderId="0" fillId="6" fontId="1" numFmtId="164" xfId="0" applyAlignment="1" applyFill="1" applyFont="1" applyNumberFormat="1">
      <alignment horizontal="left" readingOrder="0" shrinkToFit="0" wrapText="1"/>
    </xf>
    <xf borderId="1" fillId="6" fontId="17" numFmtId="0" xfId="0" applyAlignment="1" applyBorder="1" applyFill="1" applyFont="1">
      <alignment readingOrder="0" shrinkToFit="0" wrapText="1"/>
    </xf>
    <xf borderId="0" fillId="6" fontId="1" numFmtId="0" xfId="0" applyAlignment="1" applyFill="1" applyFont="1">
      <alignment horizontal="left" readingOrder="0" shrinkToFit="0" wrapText="1"/>
    </xf>
    <xf borderId="0" fillId="6" fontId="22" numFmtId="0" xfId="0" applyAlignment="1" applyFill="1" applyFont="1">
      <alignment horizontal="left" readingOrder="0" shrinkToFit="0" wrapText="1"/>
    </xf>
    <xf borderId="1" fillId="7" fontId="70" numFmtId="0" xfId="0" applyAlignment="1" applyBorder="1" applyFill="1" applyFont="1">
      <alignment horizontal="left" readingOrder="0" shrinkToFit="0" vertical="center" wrapText="1"/>
    </xf>
    <xf borderId="1" fillId="6" fontId="31" numFmtId="0" xfId="0" applyAlignment="1" applyBorder="1" applyFill="1" applyFont="1">
      <alignment readingOrder="0" shrinkToFit="0" wrapText="1"/>
    </xf>
    <xf borderId="1" fillId="4" fontId="1" numFmtId="0" xfId="0" applyAlignment="1" applyBorder="1" applyFill="1" applyFont="1">
      <alignment shrinkToFit="0" vertical="center" wrapText="1"/>
    </xf>
    <xf borderId="1" fillId="6" fontId="22" numFmtId="0" xfId="0" applyAlignment="1" applyBorder="1" applyFill="1" applyFont="1">
      <alignment horizontal="left" readingOrder="0" shrinkToFit="0" wrapText="1"/>
    </xf>
    <xf borderId="1" fillId="6" fontId="31" numFmtId="4" xfId="0" applyAlignment="1" applyBorder="1" applyFill="1" applyFont="1" applyNumberFormat="1">
      <alignment horizontal="left" shrinkToFit="0" vertical="center" wrapText="1"/>
    </xf>
    <xf borderId="1" fillId="6" fontId="31" numFmtId="0" xfId="0" applyAlignment="1" applyBorder="1" applyFill="1" applyFont="1">
      <alignment shrinkToFit="0" vertical="center" wrapText="1"/>
    </xf>
    <xf borderId="1" fillId="6" fontId="71" numFmtId="0" xfId="0" applyAlignment="1" applyBorder="1" applyFill="1" applyFont="1">
      <alignment horizontal="left" readingOrder="0" shrinkToFit="0" wrapText="1"/>
    </xf>
    <xf borderId="0" fillId="6" fontId="31" numFmtId="0" xfId="0" applyAlignment="1" applyFill="1" applyFont="1">
      <alignment readingOrder="0" shrinkToFit="0" vertical="center" wrapText="1"/>
    </xf>
    <xf borderId="1" fillId="4" fontId="35" numFmtId="0" xfId="0" applyAlignment="1" applyBorder="1" applyFill="1" applyFont="1">
      <alignment horizontal="left" readingOrder="0" vertical="center"/>
    </xf>
    <xf borderId="0" fillId="6" fontId="72" numFmtId="0" xfId="0" applyAlignment="1" applyFill="1" applyFont="1">
      <alignment readingOrder="0" shrinkToFit="0" vertical="center" wrapText="1"/>
    </xf>
    <xf borderId="1" fillId="4" fontId="1" numFmtId="0" xfId="0" applyAlignment="1" applyBorder="1" applyFill="1" applyFont="1">
      <alignment readingOrder="0"/>
    </xf>
    <xf borderId="0" fillId="4" fontId="52" numFmtId="0" xfId="0" applyAlignment="1" applyFill="1" applyFont="1">
      <alignment horizontal="left" readingOrder="0" shrinkToFit="0" vertical="center" wrapText="1"/>
    </xf>
    <xf borderId="1" fillId="6" fontId="64" numFmtId="4" xfId="0" applyAlignment="1" applyBorder="1" applyFill="1" applyFont="1" applyNumberFormat="1">
      <alignment horizontal="left" readingOrder="0" shrinkToFit="0" vertical="center" wrapText="1"/>
    </xf>
    <xf borderId="1" fillId="4" fontId="52" numFmtId="0" xfId="0" applyAlignment="1" applyBorder="1" applyFill="1" applyFont="1">
      <alignment readingOrder="0"/>
    </xf>
    <xf borderId="1" fillId="6" fontId="52" numFmtId="0" xfId="0" applyAlignment="1" applyBorder="1" applyFill="1" applyFont="1">
      <alignment readingOrder="0" shrinkToFit="0" wrapText="1"/>
    </xf>
    <xf borderId="1" fillId="4" fontId="32" numFmtId="0" xfId="0" applyAlignment="1" applyBorder="1" applyFill="1" applyFont="1">
      <alignment horizontal="left" readingOrder="0" vertical="center"/>
    </xf>
    <xf borderId="1" fillId="6" fontId="52" numFmtId="0" xfId="0" applyAlignment="1" applyBorder="1" applyFill="1" applyFont="1">
      <alignment horizontal="left" readingOrder="0" vertical="center"/>
    </xf>
    <xf borderId="1" fillId="4" fontId="31" numFmtId="0" xfId="0" applyAlignment="1" applyBorder="1" applyFill="1" applyFont="1">
      <alignment readingOrder="0"/>
    </xf>
    <xf borderId="1" fillId="6" fontId="52" numFmtId="0" xfId="0" applyAlignment="1" applyBorder="1" applyFill="1" applyFont="1">
      <alignment readingOrder="0"/>
    </xf>
    <xf borderId="0" fillId="6" fontId="52" numFmtId="0" xfId="0" applyAlignment="1" applyFill="1" applyFont="1">
      <alignment readingOrder="0" shrinkToFit="0" vertical="center" wrapText="1"/>
    </xf>
    <xf borderId="11" fillId="4" fontId="73" numFmtId="0" xfId="0" applyAlignment="1" applyBorder="1" applyFill="1" applyFont="1">
      <alignment readingOrder="0" shrinkToFit="0" vertical="center" wrapText="1"/>
    </xf>
    <xf borderId="1" fillId="6" fontId="1" numFmtId="3" xfId="0" applyAlignment="1" applyBorder="1" applyFill="1" applyFont="1" applyNumberFormat="1">
      <alignment readingOrder="0" shrinkToFit="0" wrapText="1"/>
    </xf>
    <xf borderId="1" fillId="4" fontId="19" numFmtId="0" xfId="0" applyAlignment="1" applyBorder="1" applyFill="1" applyFont="1">
      <alignment readingOrder="0"/>
    </xf>
    <xf borderId="1" fillId="6" fontId="51" numFmtId="0" xfId="0" applyAlignment="1" applyBorder="1" applyFill="1" applyFont="1">
      <alignment horizontal="left" readingOrder="0" vertical="center"/>
    </xf>
    <xf borderId="1" fillId="6" fontId="19" numFmtId="0" xfId="0" applyAlignment="1" applyBorder="1" applyFill="1" applyFont="1">
      <alignment readingOrder="0" shrinkToFit="0" wrapText="1"/>
    </xf>
    <xf borderId="1" fillId="6" fontId="19" numFmtId="0" xfId="0" applyAlignment="1" applyBorder="1" applyFill="1" applyFont="1">
      <alignment horizontal="left" readingOrder="0" vertical="center"/>
    </xf>
    <xf borderId="0" fillId="6" fontId="52" numFmtId="0" xfId="0" applyAlignment="1" applyFill="1" applyFont="1">
      <alignment horizontal="left" readingOrder="0" shrinkToFit="0" vertical="center" wrapText="1"/>
    </xf>
    <xf borderId="1" fillId="6" fontId="19" numFmtId="0" xfId="0" applyAlignment="1" applyBorder="1" applyFill="1" applyFont="1">
      <alignment readingOrder="0"/>
    </xf>
    <xf borderId="1" fillId="6" fontId="19" numFmtId="0" xfId="0" applyAlignment="1" applyBorder="1" applyFill="1" applyFont="1">
      <alignment horizontal="left" readingOrder="0" shrinkToFit="0" wrapText="1"/>
    </xf>
    <xf borderId="0" fillId="6" fontId="54" numFmtId="0" xfId="0" applyAlignment="1" applyFill="1" applyFont="1">
      <alignment readingOrder="0" shrinkToFit="0" vertical="center" wrapText="1"/>
    </xf>
    <xf borderId="1" fillId="6" fontId="19" numFmtId="0" xfId="0" applyAlignment="1" applyBorder="1" applyFill="1" applyFont="1">
      <alignment readingOrder="0" shrinkToFit="0" vertical="center" wrapText="1"/>
    </xf>
    <xf borderId="11" fillId="6" fontId="74" numFmtId="0" xfId="0" applyAlignment="1" applyBorder="1" applyFill="1" applyFont="1">
      <alignment readingOrder="0" shrinkToFit="0" vertical="center" wrapText="1"/>
    </xf>
    <xf borderId="1" fillId="6" fontId="31" numFmtId="3" xfId="0" applyAlignment="1" applyBorder="1" applyFill="1" applyFont="1" applyNumberFormat="1">
      <alignment readingOrder="0" shrinkToFit="0" wrapText="1"/>
    </xf>
    <xf borderId="1" fillId="4" fontId="3" numFmtId="0" xfId="0" applyAlignment="1" applyBorder="1" applyFill="1" applyFont="1">
      <alignment horizontal="left" readingOrder="0"/>
    </xf>
    <xf borderId="1" fillId="6" fontId="64" numFmtId="0" xfId="0" applyAlignment="1" applyBorder="1" applyFill="1" applyFont="1">
      <alignment horizontal="left" readingOrder="0" vertical="center"/>
    </xf>
    <xf borderId="1" fillId="4" fontId="3" numFmtId="0" xfId="0" applyAlignment="1" applyBorder="1" applyFill="1" applyFont="1">
      <alignment readingOrder="0" shrinkToFit="0" wrapText="1"/>
    </xf>
    <xf borderId="6" fillId="6" fontId="3" numFmtId="0" xfId="0" applyAlignment="1" applyBorder="1" applyFill="1" applyFont="1">
      <alignment horizontal="left" readingOrder="0" shrinkToFit="0" vertical="center" wrapText="1"/>
    </xf>
    <xf borderId="6" fillId="4" fontId="3" numFmtId="0" xfId="0" applyAlignment="1" applyBorder="1" applyFill="1" applyFont="1">
      <alignment readingOrder="0" shrinkToFit="0" wrapText="1"/>
    </xf>
    <xf borderId="1" fillId="2" fontId="5" numFmtId="0" xfId="0" applyAlignment="1" applyBorder="1" applyFill="1" applyFont="1">
      <alignment horizontal="left" vertical="bottom"/>
    </xf>
    <xf borderId="1" fillId="7" fontId="61" numFmtId="4" xfId="0" applyAlignment="1" applyBorder="1" applyFill="1" applyFont="1" applyNumberFormat="1">
      <alignment horizontal="left" readingOrder="0" vertical="center"/>
    </xf>
    <xf borderId="0" fillId="7" fontId="1" numFmtId="0" xfId="0" applyAlignment="1" applyFill="1" applyFont="1">
      <alignment horizontal="left" readingOrder="0" shrinkToFit="0" vertical="center" wrapText="0"/>
    </xf>
    <xf borderId="1" fillId="6" fontId="31" numFmtId="0" xfId="0" applyAlignment="1" applyBorder="1" applyFill="1" applyFont="1">
      <alignment readingOrder="0"/>
    </xf>
    <xf borderId="1" fillId="6" fontId="31" numFmtId="0" xfId="0" applyAlignment="1" applyBorder="1" applyFill="1" applyFont="1">
      <alignment horizontal="left" readingOrder="0" shrinkToFit="0" wrapText="1"/>
    </xf>
    <xf borderId="0" fillId="0" fontId="1" numFmtId="0" xfId="0" applyAlignment="1" applyFont="1">
      <alignment horizontal="left" readingOrder="0" shrinkToFit="0" vertical="center" wrapText="0"/>
    </xf>
    <xf borderId="0" fillId="6" fontId="1" numFmtId="0" xfId="0" applyAlignment="1" applyFill="1" applyFont="1">
      <alignment horizontal="left" readingOrder="0" shrinkToFit="0" vertical="center" wrapText="0"/>
    </xf>
    <xf borderId="0" fillId="7" fontId="1" numFmtId="164" xfId="0" applyAlignment="1" applyFill="1" applyFont="1" applyNumberFormat="1">
      <alignment horizontal="left" readingOrder="0" shrinkToFit="0" vertical="center" wrapText="0"/>
    </xf>
    <xf borderId="0" fillId="7" fontId="1" numFmtId="0" xfId="0" applyAlignment="1" applyFill="1" applyFont="1">
      <alignment horizontal="right" readingOrder="0" shrinkToFit="0" vertical="center" wrapText="0"/>
    </xf>
    <xf borderId="0" fillId="7" fontId="1" numFmtId="165" xfId="0" applyAlignment="1" applyFill="1" applyFont="1" applyNumberFormat="1">
      <alignment horizontal="left" readingOrder="0" shrinkToFit="0" vertical="center" wrapText="0"/>
    </xf>
    <xf borderId="0" fillId="7" fontId="1" numFmtId="0" xfId="0" applyAlignment="1" applyFill="1" applyFont="1">
      <alignment readingOrder="0" shrinkToFit="0" vertical="center" wrapText="0"/>
    </xf>
    <xf borderId="1" fillId="7" fontId="61" numFmtId="0" xfId="0" applyAlignment="1" applyBorder="1" applyFill="1" applyFont="1">
      <alignment horizontal="left" readingOrder="0"/>
    </xf>
    <xf borderId="1" fillId="7" fontId="13" numFmtId="0" xfId="0" applyAlignment="1" applyBorder="1" applyFill="1" applyFont="1">
      <alignment horizontal="center" readingOrder="0" shrinkToFit="0" vertical="center" wrapText="1"/>
    </xf>
    <xf borderId="1" fillId="7" fontId="13" numFmtId="0" xfId="0" applyAlignment="1" applyBorder="1" applyFill="1" applyFont="1">
      <alignment readingOrder="0" shrinkToFit="0" vertical="center" wrapText="1"/>
    </xf>
    <xf borderId="1" fillId="7" fontId="61" numFmtId="0" xfId="0" applyAlignment="1" applyBorder="1" applyFill="1" applyFont="1">
      <alignment horizontal="left" shrinkToFit="0" vertical="center" wrapText="1"/>
    </xf>
    <xf borderId="1" fillId="7" fontId="13" numFmtId="0" xfId="0" applyAlignment="1" applyBorder="1" applyFill="1" applyFont="1">
      <alignment horizontal="left" readingOrder="0" shrinkToFit="0" vertical="center" wrapText="1"/>
    </xf>
    <xf borderId="1" fillId="7" fontId="18" numFmtId="0" xfId="0" applyAlignment="1" applyBorder="1" applyFill="1" applyFont="1">
      <alignment readingOrder="0" shrinkToFit="0" vertical="center" wrapText="1"/>
    </xf>
    <xf borderId="0" fillId="7" fontId="18" numFmtId="0" xfId="0" applyAlignment="1" applyFill="1" applyFont="1">
      <alignment readingOrder="0" shrinkToFit="0" vertical="center" wrapText="1"/>
    </xf>
    <xf borderId="1" fillId="4" fontId="17" numFmtId="4" xfId="0" applyAlignment="1" applyBorder="1" applyFill="1" applyFont="1" applyNumberFormat="1">
      <alignment shrinkToFit="0" vertical="center" wrapText="1"/>
    </xf>
    <xf borderId="1" fillId="4" fontId="17" numFmtId="4" xfId="0" applyAlignment="1" applyBorder="1" applyFill="1" applyFont="1" applyNumberFormat="1">
      <alignment horizontal="left" readingOrder="0" shrinkToFit="0" vertical="center" wrapText="1"/>
    </xf>
    <xf borderId="0" fillId="7" fontId="17" numFmtId="0" xfId="0" applyAlignment="1" applyFill="1" applyFont="1">
      <alignment horizontal="left" readingOrder="0" shrinkToFit="0" vertical="center" wrapText="1"/>
    </xf>
    <xf borderId="0" fillId="4" fontId="17" numFmtId="4" xfId="0" applyAlignment="1" applyFill="1" applyFont="1" applyNumberFormat="1">
      <alignment horizontal="left" shrinkToFit="0" vertical="center" wrapText="1"/>
    </xf>
    <xf borderId="0" fillId="7" fontId="75" numFmtId="0" xfId="0" applyAlignment="1" applyFill="1" applyFont="1">
      <alignment horizontal="left" readingOrder="0" shrinkToFit="0" vertical="center" wrapText="1"/>
    </xf>
    <xf borderId="1" fillId="4" fontId="31" numFmtId="0" xfId="0" applyAlignment="1" applyBorder="1" applyFill="1" applyFont="1">
      <alignment shrinkToFit="0" vertical="center" wrapText="1"/>
    </xf>
    <xf borderId="1" fillId="6" fontId="31" numFmtId="0" xfId="0" applyAlignment="1" applyBorder="1" applyFill="1" applyFont="1">
      <alignment readingOrder="0" vertical="center"/>
    </xf>
    <xf borderId="0" fillId="0" fontId="76" numFmtId="0" xfId="0" applyAlignment="1" applyFont="1">
      <alignment horizontal="right" readingOrder="0" shrinkToFit="0" wrapText="0"/>
    </xf>
    <xf borderId="0" fillId="0" fontId="77" numFmtId="165" xfId="0" applyAlignment="1" applyFont="1" applyNumberFormat="1">
      <alignment horizontal="right" readingOrder="0" shrinkToFit="0" wrapText="0"/>
    </xf>
    <xf borderId="1" fillId="6" fontId="26" numFmtId="0" xfId="0" applyAlignment="1" applyBorder="1" applyFill="1" applyFont="1">
      <alignment horizontal="left" readingOrder="0" shrinkToFit="0" wrapText="1"/>
    </xf>
    <xf borderId="1" fillId="6" fontId="26" numFmtId="0" xfId="0" applyAlignment="1" applyBorder="1" applyFill="1" applyFont="1">
      <alignment readingOrder="0" shrinkToFit="0" vertical="center" wrapText="1"/>
    </xf>
    <xf borderId="11" fillId="6" fontId="31" numFmtId="0" xfId="0" applyAlignment="1" applyBorder="1" applyFill="1" applyFont="1">
      <alignment readingOrder="0" shrinkToFit="0" vertical="center" wrapText="1"/>
    </xf>
    <xf borderId="1" fillId="6" fontId="26" numFmtId="0" xfId="0" applyAlignment="1" applyBorder="1" applyFill="1" applyFont="1">
      <alignment horizontal="right" readingOrder="0" shrinkToFit="0" vertical="center" wrapText="1"/>
    </xf>
    <xf borderId="0" fillId="6" fontId="17" numFmtId="0" xfId="0" applyAlignment="1" applyFill="1" applyFont="1">
      <alignment readingOrder="0" shrinkToFit="0" vertical="center" wrapText="1"/>
    </xf>
    <xf borderId="1" fillId="6" fontId="31" numFmtId="0" xfId="0" applyAlignment="1" applyBorder="1" applyFill="1" applyFont="1">
      <alignment readingOrder="0" shrinkToFit="0" vertical="center" wrapText="1"/>
    </xf>
    <xf borderId="1" fillId="6" fontId="78" numFmtId="0" xfId="0" applyAlignment="1" applyBorder="1" applyFill="1" applyFont="1">
      <alignment shrinkToFit="0" vertical="center" wrapText="1"/>
    </xf>
    <xf borderId="1" fillId="6" fontId="78" numFmtId="4" xfId="0" applyAlignment="1" applyBorder="1" applyFill="1" applyFont="1" applyNumberFormat="1">
      <alignment shrinkToFit="0" vertical="center" wrapText="1"/>
    </xf>
    <xf borderId="1" fillId="6" fontId="78" numFmtId="4" xfId="0" applyAlignment="1" applyBorder="1" applyFill="1" applyFont="1" applyNumberFormat="1">
      <alignment readingOrder="0" shrinkToFit="0" vertical="center" wrapText="1"/>
    </xf>
    <xf borderId="0" fillId="9" fontId="17" numFmtId="0" xfId="0" applyAlignment="1" applyFill="1" applyFont="1">
      <alignment horizontal="left" readingOrder="0" shrinkToFit="0" vertical="center" wrapText="1"/>
    </xf>
    <xf borderId="0" fillId="9" fontId="17" numFmtId="0" xfId="0" applyAlignment="1" applyFill="1" applyFont="1">
      <alignment readingOrder="0" shrinkToFit="0" vertical="center" wrapText="1"/>
    </xf>
    <xf borderId="0" fillId="9" fontId="31" numFmtId="0" xfId="0" applyAlignment="1" applyFill="1" applyFont="1">
      <alignment horizontal="left" readingOrder="0" shrinkToFit="0" vertical="center" wrapText="1"/>
    </xf>
    <xf borderId="0" fillId="9" fontId="17" numFmtId="4" xfId="0" applyAlignment="1" applyFill="1" applyFont="1" applyNumberFormat="1">
      <alignment horizontal="left" readingOrder="0" shrinkToFit="0" vertical="center" wrapText="1"/>
    </xf>
    <xf borderId="0" fillId="9" fontId="31" numFmtId="0" xfId="0" applyAlignment="1" applyFill="1" applyFont="1">
      <alignment readingOrder="0" shrinkToFit="0" vertical="center" wrapText="1"/>
    </xf>
    <xf borderId="0" fillId="9" fontId="31" numFmtId="0" xfId="0" applyAlignment="1" applyFill="1" applyFont="1">
      <alignment readingOrder="0" shrinkToFit="0" vertical="center" wrapText="1"/>
    </xf>
    <xf borderId="0" fillId="9" fontId="31" numFmtId="0" xfId="0" applyAlignment="1" applyFill="1" applyFont="1">
      <alignment horizontal="right" readingOrder="0" shrinkToFit="0" vertical="center" wrapText="1"/>
    </xf>
    <xf borderId="0" fillId="6" fontId="17" numFmtId="0" xfId="0" applyAlignment="1" applyFill="1" applyFont="1">
      <alignment horizontal="left" readingOrder="0" shrinkToFit="0" vertical="center" wrapText="1"/>
    </xf>
    <xf borderId="0" fillId="6" fontId="31" numFmtId="0" xfId="0" applyAlignment="1" applyFill="1" applyFont="1">
      <alignment horizontal="left" readingOrder="0" shrinkToFit="0" vertical="center" wrapText="1"/>
    </xf>
    <xf borderId="0" fillId="6" fontId="17" numFmtId="4" xfId="0" applyAlignment="1" applyFill="1" applyFont="1" applyNumberFormat="1">
      <alignment horizontal="left" readingOrder="0" shrinkToFit="0" vertical="center" wrapText="1"/>
    </xf>
    <xf borderId="0" fillId="6" fontId="31" numFmtId="0" xfId="0" applyAlignment="1" applyFill="1" applyFont="1">
      <alignment readingOrder="0" shrinkToFit="0" vertical="center" wrapText="1"/>
    </xf>
    <xf borderId="0" fillId="6" fontId="31" numFmtId="0" xfId="0" applyAlignment="1" applyFill="1" applyFont="1">
      <alignment horizontal="right" readingOrder="0" shrinkToFit="0" vertical="center" wrapText="1"/>
    </xf>
    <xf borderId="0" fillId="4" fontId="17" numFmtId="0" xfId="0" applyAlignment="1" applyFill="1" applyFont="1">
      <alignment shrinkToFit="0" vertical="center" wrapText="1"/>
    </xf>
    <xf borderId="0" fillId="4" fontId="17" numFmtId="0" xfId="0" applyAlignment="1" applyFill="1" applyFont="1">
      <alignment readingOrder="0" shrinkToFit="0" vertical="center" wrapText="1"/>
    </xf>
    <xf borderId="0" fillId="4" fontId="31" numFmtId="0" xfId="0" applyAlignment="1" applyFill="1" applyFont="1">
      <alignment readingOrder="0" shrinkToFit="0" vertical="center" wrapText="1"/>
    </xf>
    <xf borderId="0" fillId="4" fontId="31" numFmtId="0" xfId="0" applyAlignment="1" applyFill="1" applyFont="1">
      <alignment readingOrder="0" shrinkToFit="0" vertical="center" wrapText="1"/>
    </xf>
    <xf borderId="0" fillId="4" fontId="31" numFmtId="0" xfId="0" applyAlignment="1" applyFill="1" applyFont="1">
      <alignment horizontal="right" readingOrder="0" shrinkToFit="0" vertical="center" wrapText="1"/>
    </xf>
    <xf borderId="1" fillId="0" fontId="79" numFmtId="0" xfId="0" applyAlignment="1" applyBorder="1" applyFont="1">
      <alignment vertical="bottom"/>
    </xf>
    <xf borderId="0" fillId="0" fontId="23" numFmtId="0" xfId="0" applyAlignment="1" applyFont="1">
      <alignment vertical="bottom"/>
    </xf>
    <xf borderId="1" fillId="0" fontId="2" numFmtId="0" xfId="0" applyBorder="1" applyFont="1"/>
    <xf borderId="1" fillId="0" fontId="79" numFmtId="4" xfId="0" applyAlignment="1" applyBorder="1" applyFont="1" applyNumberFormat="1">
      <alignment horizontal="right" readingOrder="0" vertical="bottom"/>
    </xf>
    <xf borderId="1" fillId="0" fontId="23" numFmtId="0" xfId="0" applyAlignment="1" applyBorder="1" applyFont="1">
      <alignment vertical="bottom"/>
    </xf>
    <xf borderId="1" fillId="0" fontId="79" numFmtId="0" xfId="0" applyAlignment="1" applyBorder="1" applyFont="1">
      <alignment readingOrder="0" vertical="bottom"/>
    </xf>
    <xf borderId="0" fillId="0" fontId="5" numFmtId="164" xfId="0" applyAlignment="1" applyFont="1" applyNumberFormat="1">
      <alignment readingOrder="0"/>
    </xf>
    <xf borderId="0" fillId="0" fontId="5" numFmtId="0" xfId="0" applyAlignment="1" applyFont="1">
      <alignment readingOrder="0"/>
    </xf>
    <xf borderId="1" fillId="12" fontId="23" numFmtId="0" xfId="0" applyAlignment="1" applyBorder="1" applyFill="1" applyFont="1">
      <alignment horizontal="center" readingOrder="0" shrinkToFit="0" vertical="center" wrapText="1"/>
    </xf>
    <xf borderId="1" fillId="12" fontId="23" numFmtId="0" xfId="0" applyAlignment="1" applyBorder="1" applyFill="1" applyFont="1">
      <alignment readingOrder="0" shrinkToFit="0" vertical="center" wrapText="1"/>
    </xf>
    <xf borderId="1" fillId="12" fontId="80" numFmtId="0" xfId="0" applyAlignment="1" applyBorder="1" applyFill="1" applyFont="1">
      <alignment readingOrder="0" shrinkToFit="0" vertical="center" wrapText="1"/>
    </xf>
    <xf borderId="0" fillId="12" fontId="80" numFmtId="0" xfId="0" applyAlignment="1" applyFill="1" applyFont="1">
      <alignment readingOrder="0" shrinkToFit="0" vertical="center" wrapText="1"/>
    </xf>
    <xf borderId="1" fillId="13" fontId="17" numFmtId="0" xfId="0" applyAlignment="1" applyBorder="1" applyFill="1" applyFont="1">
      <alignment horizontal="left" readingOrder="0" shrinkToFit="0" vertical="center" wrapText="1"/>
    </xf>
    <xf borderId="1" fillId="13" fontId="78" numFmtId="0" xfId="0" applyAlignment="1" applyBorder="1" applyFill="1" applyFont="1">
      <alignment shrinkToFit="0" vertical="center" wrapText="1"/>
    </xf>
    <xf borderId="1" fillId="13" fontId="31" numFmtId="0" xfId="0" applyAlignment="1" applyBorder="1" applyFill="1" applyFont="1">
      <alignment horizontal="left" readingOrder="0" shrinkToFit="0" vertical="center" wrapText="1"/>
    </xf>
    <xf borderId="1" fillId="13" fontId="78" numFmtId="4" xfId="0" applyAlignment="1" applyBorder="1" applyFill="1" applyFont="1" applyNumberFormat="1">
      <alignment shrinkToFit="0" vertical="center" wrapText="1"/>
    </xf>
    <xf borderId="0" fillId="0" fontId="1" numFmtId="165" xfId="0" applyAlignment="1" applyFont="1" applyNumberFormat="1">
      <alignment horizontal="left" readingOrder="0" shrinkToFit="0" vertical="center" wrapText="1"/>
    </xf>
    <xf borderId="1" fillId="13" fontId="17" numFmtId="0" xfId="0" applyAlignment="1" applyBorder="1" applyFill="1" applyFont="1">
      <alignment readingOrder="0" shrinkToFit="0" vertical="center" wrapText="1"/>
    </xf>
    <xf borderId="1" fillId="13" fontId="31" numFmtId="0" xfId="0" applyAlignment="1" applyBorder="1" applyFill="1" applyFont="1">
      <alignment readingOrder="0" shrinkToFit="0" vertical="center" wrapText="1"/>
    </xf>
    <xf borderId="1" fillId="13" fontId="81" numFmtId="0" xfId="0" applyAlignment="1" applyBorder="1" applyFill="1" applyFont="1">
      <alignment readingOrder="0" shrinkToFit="0" vertical="center" wrapText="1"/>
    </xf>
    <xf borderId="1" fillId="9" fontId="17" numFmtId="0" xfId="0" applyAlignment="1" applyBorder="1" applyFill="1" applyFont="1">
      <alignment horizontal="left" readingOrder="0" shrinkToFit="0" vertical="center" wrapText="1"/>
    </xf>
    <xf borderId="1" fillId="9" fontId="78" numFmtId="0" xfId="0" applyAlignment="1" applyBorder="1" applyFill="1" applyFont="1">
      <alignment shrinkToFit="0" vertical="center" wrapText="1"/>
    </xf>
    <xf borderId="1" fillId="9" fontId="78" numFmtId="4" xfId="0" applyAlignment="1" applyBorder="1" applyFill="1" applyFont="1" applyNumberFormat="1">
      <alignment shrinkToFit="0" vertical="center" wrapText="1"/>
    </xf>
    <xf borderId="1" fillId="9" fontId="17" numFmtId="0" xfId="0" applyAlignment="1" applyBorder="1" applyFill="1" applyFont="1">
      <alignment horizontal="left" shrinkToFit="0" vertical="center" wrapText="1"/>
    </xf>
    <xf borderId="1" fillId="9" fontId="31" numFmtId="0" xfId="0" applyAlignment="1" applyBorder="1" applyFill="1" applyFont="1">
      <alignment horizontal="left" readingOrder="0" shrinkToFit="0" vertical="center" wrapText="1"/>
    </xf>
    <xf borderId="1" fillId="9" fontId="31" numFmtId="0" xfId="0" applyAlignment="1" applyBorder="1" applyFill="1" applyFont="1">
      <alignment readingOrder="0" shrinkToFit="0" vertical="center" wrapText="1"/>
    </xf>
    <xf borderId="1" fillId="9" fontId="31" numFmtId="0" xfId="0" applyAlignment="1" applyBorder="1" applyFill="1" applyFont="1">
      <alignment readingOrder="0" shrinkToFit="0" vertical="center" wrapText="1"/>
    </xf>
    <xf borderId="1" fillId="13" fontId="78" numFmtId="0" xfId="0" applyAlignment="1" applyBorder="1" applyFill="1" applyFont="1">
      <alignment readingOrder="0" shrinkToFit="0" vertical="center" wrapText="1"/>
    </xf>
    <xf borderId="0" fillId="13" fontId="2" numFmtId="0" xfId="0" applyAlignment="1" applyFill="1" applyFont="1">
      <alignment readingOrder="0" vertical="center"/>
    </xf>
    <xf borderId="1" fillId="13" fontId="31" numFmtId="0" xfId="0" applyAlignment="1" applyBorder="1" applyFill="1" applyFont="1">
      <alignment readingOrder="0" shrinkToFit="0" vertical="center" wrapText="1"/>
    </xf>
    <xf borderId="1" fillId="9" fontId="17" numFmtId="0" xfId="0" applyAlignment="1" applyBorder="1" applyFill="1" applyFont="1">
      <alignment readingOrder="0" shrinkToFit="0" vertical="center" wrapText="1"/>
    </xf>
    <xf borderId="0" fillId="13" fontId="2" numFmtId="4" xfId="0" applyAlignment="1" applyFill="1" applyFont="1" applyNumberFormat="1">
      <alignment readingOrder="0"/>
    </xf>
    <xf borderId="1" fillId="13" fontId="17" numFmtId="0" xfId="0" applyAlignment="1" applyBorder="1" applyFill="1" applyFont="1">
      <alignment horizontal="left" shrinkToFit="0" vertical="center" wrapText="1"/>
    </xf>
    <xf borderId="1" fillId="0" fontId="78" numFmtId="0" xfId="0" applyAlignment="1" applyBorder="1" applyFont="1">
      <alignment shrinkToFit="0" vertical="center" wrapText="1"/>
    </xf>
    <xf borderId="1" fillId="4" fontId="17" numFmtId="0" xfId="0" applyAlignment="1" applyBorder="1" applyFill="1" applyFont="1">
      <alignment horizontal="left" shrinkToFit="0" vertical="center" wrapText="1"/>
    </xf>
    <xf borderId="1" fillId="0" fontId="78" numFmtId="4" xfId="0" applyAlignment="1" applyBorder="1" applyFont="1" applyNumberFormat="1">
      <alignment shrinkToFit="0" vertical="center" wrapText="1"/>
    </xf>
    <xf borderId="1" fillId="4" fontId="31" numFmtId="0" xfId="0" applyAlignment="1" applyBorder="1" applyFill="1" applyFont="1">
      <alignment readingOrder="0" shrinkToFit="0" vertical="center" wrapText="1"/>
    </xf>
    <xf borderId="0" fillId="11" fontId="1" numFmtId="0" xfId="0" applyAlignment="1" applyFill="1" applyFont="1">
      <alignment horizontal="left" readingOrder="0" shrinkToFit="0" vertical="center" wrapText="1"/>
    </xf>
    <xf borderId="0" fillId="11" fontId="1" numFmtId="0" xfId="0" applyAlignment="1" applyFill="1" applyFont="1">
      <alignment horizontal="left" readingOrder="0" shrinkToFit="0" vertical="center" wrapText="0"/>
    </xf>
    <xf borderId="0" fillId="11" fontId="1" numFmtId="164" xfId="0" applyAlignment="1" applyFill="1" applyFont="1" applyNumberFormat="1">
      <alignment horizontal="left" readingOrder="0" shrinkToFit="0" vertical="center" wrapText="1"/>
    </xf>
    <xf borderId="0" fillId="11" fontId="1" numFmtId="0" xfId="0" applyAlignment="1" applyFill="1" applyFont="1">
      <alignment horizontal="right" readingOrder="0"/>
    </xf>
    <xf borderId="0" fillId="11" fontId="1" numFmtId="165" xfId="0" applyAlignment="1" applyFill="1" applyFont="1" applyNumberFormat="1">
      <alignment horizontal="left" readingOrder="0" shrinkToFit="0" vertical="center" wrapText="1"/>
    </xf>
    <xf borderId="0" fillId="11" fontId="1" numFmtId="0" xfId="0" applyAlignment="1" applyFill="1" applyFont="1">
      <alignment readingOrder="0" shrinkToFit="0" vertical="center" wrapText="1"/>
    </xf>
    <xf borderId="1" fillId="4" fontId="82" numFmtId="0" xfId="0" applyAlignment="1" applyBorder="1" applyFill="1" applyFont="1">
      <alignment readingOrder="0" shrinkToFit="0" vertical="center" wrapText="1"/>
    </xf>
    <xf borderId="1" fillId="13" fontId="83" numFmtId="0" xfId="0" applyAlignment="1" applyBorder="1" applyFill="1" applyFont="1">
      <alignment shrinkToFit="0" vertical="center" wrapText="1"/>
    </xf>
    <xf borderId="1" fillId="13" fontId="83" numFmtId="0" xfId="0" applyAlignment="1" applyBorder="1" applyFill="1" applyFont="1">
      <alignment readingOrder="0" shrinkToFit="0" vertical="center" wrapText="1"/>
    </xf>
    <xf borderId="1" fillId="13" fontId="83" numFmtId="4" xfId="0" applyAlignment="1" applyBorder="1" applyFill="1" applyFont="1" applyNumberFormat="1">
      <alignment shrinkToFit="0" vertical="center" wrapText="1"/>
    </xf>
    <xf borderId="1" fillId="13" fontId="71" numFmtId="0" xfId="0" applyAlignment="1" applyBorder="1" applyFill="1" applyFont="1">
      <alignment horizontal="left" readingOrder="0" shrinkToFit="0" wrapText="1"/>
    </xf>
    <xf borderId="1" fillId="13" fontId="17" numFmtId="4" xfId="0" applyAlignment="1" applyBorder="1" applyFill="1" applyFont="1" applyNumberFormat="1">
      <alignment readingOrder="0" shrinkToFit="0" vertical="center" wrapText="1"/>
    </xf>
    <xf borderId="1" fillId="14" fontId="17" numFmtId="0" xfId="0" applyAlignment="1" applyBorder="1" applyFill="1" applyFont="1">
      <alignment horizontal="left" readingOrder="0" shrinkToFit="0" vertical="center" wrapText="1"/>
    </xf>
    <xf borderId="1" fillId="14" fontId="78" numFmtId="0" xfId="0" applyAlignment="1" applyBorder="1" applyFill="1" applyFont="1">
      <alignment shrinkToFit="0" vertical="center" wrapText="1"/>
    </xf>
    <xf borderId="1" fillId="14" fontId="78" numFmtId="0" xfId="0" applyAlignment="1" applyBorder="1" applyFill="1" applyFont="1">
      <alignment readingOrder="0" shrinkToFit="0" vertical="center" wrapText="1"/>
    </xf>
    <xf borderId="1" fillId="14" fontId="17" numFmtId="0" xfId="0" applyAlignment="1" applyBorder="1" applyFill="1" applyFont="1">
      <alignment horizontal="left" shrinkToFit="0" vertical="center" wrapText="1"/>
    </xf>
    <xf borderId="1" fillId="14" fontId="78" numFmtId="4" xfId="0" applyAlignment="1" applyBorder="1" applyFill="1" applyFont="1" applyNumberFormat="1">
      <alignment shrinkToFit="0" vertical="center" wrapText="1"/>
    </xf>
    <xf borderId="1" fillId="14" fontId="31" numFmtId="0" xfId="0" applyAlignment="1" applyBorder="1" applyFill="1" applyFont="1">
      <alignment horizontal="left" readingOrder="0" shrinkToFit="0" vertical="center" wrapText="1"/>
    </xf>
    <xf borderId="1" fillId="14" fontId="17" numFmtId="0" xfId="0" applyAlignment="1" applyBorder="1" applyFill="1" applyFont="1">
      <alignment readingOrder="0" shrinkToFit="0" vertical="center" wrapText="1"/>
    </xf>
    <xf borderId="1" fillId="14" fontId="31" numFmtId="0" xfId="0" applyAlignment="1" applyBorder="1" applyFill="1" applyFont="1">
      <alignment readingOrder="0" shrinkToFit="0" vertical="center" wrapText="1"/>
    </xf>
    <xf borderId="1" fillId="14" fontId="31" numFmtId="0" xfId="0" applyAlignment="1" applyBorder="1" applyFill="1" applyFont="1">
      <alignment readingOrder="0" shrinkToFit="0" vertical="center" wrapText="1"/>
    </xf>
    <xf borderId="1" fillId="13" fontId="78" numFmtId="4" xfId="0" applyAlignment="1" applyBorder="1" applyFill="1" applyFont="1" applyNumberFormat="1">
      <alignment readingOrder="0" shrinkToFit="0" vertical="center" wrapText="1"/>
    </xf>
    <xf borderId="1" fillId="9" fontId="17" numFmtId="4" xfId="0" applyAlignment="1" applyBorder="1" applyFill="1" applyFont="1" applyNumberFormat="1">
      <alignment horizontal="left" readingOrder="0" shrinkToFit="0" vertical="center" wrapText="1"/>
    </xf>
    <xf borderId="11" fillId="9" fontId="31" numFmtId="0" xfId="0" applyAlignment="1" applyBorder="1" applyFill="1" applyFont="1">
      <alignment readingOrder="0" shrinkToFit="0" vertical="center" wrapText="1"/>
    </xf>
    <xf borderId="1" fillId="9" fontId="31" numFmtId="0" xfId="0" applyAlignment="1" applyBorder="1" applyFill="1" applyFont="1">
      <alignment horizontal="right" readingOrder="0" shrinkToFit="0" vertical="center" wrapText="1"/>
    </xf>
    <xf borderId="1" fillId="13" fontId="83" numFmtId="4" xfId="0" applyAlignment="1" applyBorder="1" applyFill="1" applyFont="1" applyNumberFormat="1">
      <alignment readingOrder="0" shrinkToFit="0" vertical="center" wrapText="1"/>
    </xf>
    <xf borderId="0" fillId="4" fontId="1" numFmtId="0" xfId="0" applyAlignment="1" applyFill="1" applyFont="1">
      <alignment vertical="bottom"/>
    </xf>
    <xf borderId="0" fillId="4" fontId="1" numFmtId="165" xfId="0" applyAlignment="1" applyFill="1" applyFont="1" applyNumberFormat="1">
      <alignment horizontal="left" readingOrder="0" vertical="bottom"/>
    </xf>
    <xf borderId="0" fillId="4" fontId="1" numFmtId="0" xfId="0" applyAlignment="1" applyFill="1" applyFont="1">
      <alignment shrinkToFit="0" vertical="bottom" wrapText="0"/>
    </xf>
    <xf borderId="0" fillId="4" fontId="1" numFmtId="0" xfId="0" applyAlignment="1" applyFill="1" applyFont="1">
      <alignment readingOrder="0" vertical="bottom"/>
    </xf>
    <xf borderId="0" fillId="4" fontId="1" numFmtId="164" xfId="0" applyAlignment="1" applyFill="1" applyFont="1" applyNumberFormat="1">
      <alignment readingOrder="0"/>
    </xf>
    <xf borderId="0" fillId="4" fontId="1" numFmtId="0" xfId="0" applyAlignment="1" applyFill="1" applyFont="1">
      <alignment readingOrder="0"/>
    </xf>
    <xf borderId="0" fillId="13" fontId="17" numFmtId="0" xfId="0" applyAlignment="1" applyFill="1" applyFont="1">
      <alignment horizontal="left" readingOrder="0" shrinkToFit="0" vertical="center" wrapText="1"/>
    </xf>
    <xf borderId="0" fillId="13" fontId="78" numFmtId="0" xfId="0" applyAlignment="1" applyFill="1" applyFont="1">
      <alignment readingOrder="0" shrinkToFit="0" vertical="center" wrapText="1"/>
    </xf>
    <xf borderId="0" fillId="13" fontId="2" numFmtId="0" xfId="0" applyAlignment="1" applyFill="1" applyFont="1">
      <alignment readingOrder="0"/>
    </xf>
    <xf borderId="11" fillId="4" fontId="31" numFmtId="0" xfId="0" applyAlignment="1" applyBorder="1" applyFill="1" applyFont="1">
      <alignment readingOrder="0" shrinkToFit="0" vertical="center" wrapText="1"/>
    </xf>
    <xf borderId="0" fillId="13" fontId="31" numFmtId="0" xfId="0" applyAlignment="1" applyFill="1" applyFont="1">
      <alignment horizontal="left" readingOrder="0" shrinkToFit="0" vertical="center" wrapText="1"/>
    </xf>
    <xf borderId="0" fillId="13" fontId="78" numFmtId="4" xfId="0" applyAlignment="1" applyFill="1" applyFont="1" applyNumberFormat="1">
      <alignment readingOrder="0" shrinkToFit="0" vertical="center" wrapText="1"/>
    </xf>
    <xf borderId="0" fillId="13" fontId="17" numFmtId="0" xfId="0" applyAlignment="1" applyFill="1" applyFont="1">
      <alignment readingOrder="0" shrinkToFit="0" vertical="center" wrapText="1"/>
    </xf>
    <xf borderId="0" fillId="13" fontId="31" numFmtId="0" xfId="0" applyAlignment="1" applyFill="1" applyFont="1">
      <alignment readingOrder="0" shrinkToFit="0" vertical="center" wrapText="1"/>
    </xf>
    <xf borderId="0" fillId="13" fontId="31" numFmtId="0" xfId="0" applyAlignment="1" applyFill="1" applyFont="1">
      <alignment readingOrder="0" shrinkToFit="0" vertical="center" wrapText="1"/>
    </xf>
    <xf borderId="0" fillId="6" fontId="78" numFmtId="0" xfId="0" applyAlignment="1" applyFill="1" applyFont="1">
      <alignment readingOrder="0" shrinkToFit="0" vertical="center" wrapText="1"/>
    </xf>
    <xf borderId="0" fillId="0" fontId="1" numFmtId="0" xfId="0" applyAlignment="1" applyFont="1">
      <alignment readingOrder="0" vertical="bottom"/>
    </xf>
    <xf borderId="0" fillId="6" fontId="78" numFmtId="4" xfId="0" applyAlignment="1" applyFill="1" applyFont="1" applyNumberFormat="1">
      <alignment readingOrder="0" shrinkToFit="0" vertical="center" wrapText="1"/>
    </xf>
    <xf borderId="0" fillId="0" fontId="1" numFmtId="165" xfId="0" applyAlignment="1" applyFont="1" applyNumberFormat="1">
      <alignment horizontal="left" readingOrder="0" vertical="bottom"/>
    </xf>
    <xf borderId="0" fillId="0" fontId="1" numFmtId="0" xfId="0" applyAlignment="1" applyFont="1">
      <alignment shrinkToFit="0" vertical="bottom" wrapText="0"/>
    </xf>
    <xf borderId="11" fillId="2" fontId="84" numFmtId="0" xfId="0" applyAlignment="1" applyBorder="1" applyFill="1" applyFont="1">
      <alignment readingOrder="0"/>
    </xf>
    <xf borderId="5" fillId="0" fontId="85" numFmtId="0" xfId="0" applyBorder="1" applyFont="1"/>
    <xf borderId="17" fillId="0" fontId="84" numFmtId="165" xfId="0" applyAlignment="1" applyBorder="1" applyFont="1" applyNumberFormat="1">
      <alignment horizontal="left" readingOrder="0"/>
    </xf>
    <xf borderId="18" fillId="4" fontId="86" numFmtId="0" xfId="0" applyAlignment="1" applyBorder="1" applyFill="1" applyFont="1">
      <alignment horizontal="left" readingOrder="0"/>
    </xf>
    <xf borderId="18" fillId="0" fontId="2" numFmtId="0" xfId="0" applyAlignment="1" applyBorder="1" applyFont="1">
      <alignment readingOrder="0"/>
    </xf>
    <xf borderId="17" fillId="0" fontId="84" numFmtId="4" xfId="0" applyAlignment="1" applyBorder="1" applyFont="1" applyNumberFormat="1">
      <alignment readingOrder="0"/>
    </xf>
    <xf borderId="9" fillId="0" fontId="84" numFmtId="4" xfId="0" applyAlignment="1" applyBorder="1" applyFont="1" applyNumberFormat="1">
      <alignment readingOrder="0"/>
    </xf>
    <xf borderId="19" fillId="4" fontId="86" numFmtId="0" xfId="0" applyAlignment="1" applyBorder="1" applyFill="1" applyFont="1">
      <alignment horizontal="left" readingOrder="0"/>
    </xf>
    <xf borderId="0" fillId="7" fontId="1" numFmtId="0" xfId="0" applyAlignment="1" applyFill="1" applyFont="1">
      <alignment horizontal="left" readingOrder="0" shrinkToFit="0" wrapText="1"/>
    </xf>
    <xf borderId="0" fillId="10" fontId="1" numFmtId="0" xfId="0" applyAlignment="1" applyFill="1" applyFont="1">
      <alignment horizontal="left" readingOrder="0" shrinkToFit="0" vertical="center" wrapText="1"/>
    </xf>
    <xf borderId="1" fillId="0" fontId="87" numFmtId="0" xfId="0" applyAlignment="1" applyBorder="1" applyFont="1">
      <alignment readingOrder="0" vertical="bottom"/>
    </xf>
    <xf borderId="0" fillId="0" fontId="86" numFmtId="0" xfId="0" applyAlignment="1" applyFont="1">
      <alignment vertical="bottom"/>
    </xf>
    <xf borderId="0" fillId="0" fontId="86" numFmtId="0" xfId="0" applyAlignment="1" applyFont="1">
      <alignment readingOrder="0" vertical="bottom"/>
    </xf>
    <xf borderId="0" fillId="0" fontId="88" numFmtId="0" xfId="0" applyAlignment="1" applyFont="1">
      <alignment shrinkToFit="0" vertical="bottom" wrapText="0"/>
    </xf>
    <xf borderId="0" fillId="0" fontId="88" numFmtId="0" xfId="0" applyAlignment="1" applyFont="1">
      <alignment readingOrder="0" shrinkToFit="0" vertical="bottom" wrapText="0"/>
    </xf>
    <xf borderId="1" fillId="4" fontId="18" numFmtId="0" xfId="0" applyAlignment="1" applyBorder="1" applyFill="1" applyFont="1">
      <alignment readingOrder="0" vertical="bottom"/>
    </xf>
    <xf borderId="1" fillId="4" fontId="18" numFmtId="0" xfId="0" applyAlignment="1" applyBorder="1" applyFill="1" applyFont="1">
      <alignment horizontal="right" readingOrder="0" vertical="bottom"/>
    </xf>
    <xf borderId="1" fillId="2" fontId="18" numFmtId="0" xfId="0" applyAlignment="1" applyBorder="1" applyFill="1" applyFont="1">
      <alignment readingOrder="0" vertical="bottom"/>
    </xf>
    <xf borderId="1" fillId="2" fontId="18" numFmtId="0" xfId="0" applyAlignment="1" applyBorder="1" applyFill="1" applyFont="1">
      <alignment horizontal="right" readingOrder="0" vertical="bottom"/>
    </xf>
    <xf borderId="1" fillId="0" fontId="18" numFmtId="0" xfId="0" applyAlignment="1" applyBorder="1" applyFont="1">
      <alignment readingOrder="0" vertical="bottom"/>
    </xf>
    <xf borderId="1" fillId="0" fontId="18" numFmtId="0" xfId="0" applyAlignment="1" applyBorder="1" applyFont="1">
      <alignment horizontal="right" readingOrder="0" vertical="bottom"/>
    </xf>
    <xf borderId="0" fillId="0" fontId="89" numFmtId="0" xfId="0" applyAlignment="1" applyFont="1">
      <alignment vertical="bottom"/>
    </xf>
    <xf borderId="0" fillId="0" fontId="90" numFmtId="0" xfId="0" applyAlignment="1" applyFont="1">
      <alignment vertical="bottom"/>
    </xf>
    <xf borderId="0" fillId="4" fontId="86" numFmtId="0" xfId="0" applyAlignment="1" applyFill="1" applyFont="1">
      <alignment vertical="bottom"/>
    </xf>
    <xf borderId="0" fillId="0" fontId="86" numFmtId="0" xfId="0" applyAlignment="1" applyFont="1">
      <alignment horizontal="right" readingOrder="0" vertical="bottom"/>
    </xf>
    <xf borderId="0" fillId="4" fontId="91" numFmtId="0" xfId="0" applyAlignment="1" applyFill="1" applyFont="1">
      <alignment horizontal="right" readingOrder="0" vertical="bottom"/>
    </xf>
    <xf borderId="0" fillId="7" fontId="1" numFmtId="0" xfId="0" applyAlignment="1" applyFill="1" applyFont="1">
      <alignment horizontal="right" readingOrder="0" shrinkToFit="0" vertical="center" wrapText="1"/>
    </xf>
    <xf borderId="0" fillId="4" fontId="18" numFmtId="0" xfId="0" applyAlignment="1" applyFill="1" applyFont="1">
      <alignment readingOrder="0" vertical="bottom"/>
    </xf>
    <xf borderId="0" fillId="4" fontId="18" numFmtId="0" xfId="0" applyAlignment="1" applyFill="1" applyFont="1">
      <alignment horizontal="right" readingOrder="0" vertical="bottom"/>
    </xf>
    <xf borderId="0" fillId="0" fontId="91" numFmtId="0" xfId="0" applyAlignment="1" applyFont="1">
      <alignment readingOrder="0" vertical="bottom"/>
    </xf>
    <xf borderId="1" fillId="4" fontId="92" numFmtId="0" xfId="0" applyAlignment="1" applyBorder="1" applyFill="1" applyFont="1">
      <alignment readingOrder="0" vertical="bottom"/>
    </xf>
    <xf borderId="5" fillId="4" fontId="92" numFmtId="0" xfId="0" applyAlignment="1" applyBorder="1" applyFill="1" applyFont="1">
      <alignment horizontal="right" readingOrder="0" vertical="bottom"/>
    </xf>
    <xf borderId="0" fillId="4" fontId="1" numFmtId="0" xfId="0" applyAlignment="1" applyFill="1" applyFont="1">
      <alignment horizontal="left" readingOrder="0" shrinkToFit="0" vertical="center" wrapText="0"/>
    </xf>
    <xf borderId="0" fillId="4" fontId="1" numFmtId="0" xfId="0" applyAlignment="1" applyFill="1" applyFont="1">
      <alignment shrinkToFit="0" vertical="center" wrapText="0"/>
    </xf>
    <xf borderId="6" fillId="4" fontId="92" numFmtId="0" xfId="0" applyAlignment="1" applyBorder="1" applyFill="1" applyFont="1">
      <alignment readingOrder="0" vertical="bottom"/>
    </xf>
    <xf borderId="19" fillId="4" fontId="92" numFmtId="3" xfId="0" applyAlignment="1" applyBorder="1" applyFill="1" applyFont="1" applyNumberFormat="1">
      <alignment horizontal="right" readingOrder="0" vertical="bottom"/>
    </xf>
    <xf borderId="0" fillId="4" fontId="1" numFmtId="164" xfId="0" applyAlignment="1" applyFill="1" applyFont="1" applyNumberFormat="1">
      <alignment shrinkToFit="0" vertical="center" wrapText="0"/>
    </xf>
    <xf borderId="0" fillId="4" fontId="1" numFmtId="0" xfId="0" applyAlignment="1" applyFill="1" applyFont="1">
      <alignment horizontal="right" readingOrder="0" shrinkToFit="0" vertical="center" wrapText="0"/>
    </xf>
    <xf borderId="0" fillId="4" fontId="1" numFmtId="165" xfId="0" applyAlignment="1" applyFill="1" applyFont="1" applyNumberFormat="1">
      <alignment horizontal="left" readingOrder="0" shrinkToFit="0" vertical="center" wrapText="0"/>
    </xf>
    <xf borderId="6" fillId="4" fontId="18" numFmtId="0" xfId="0" applyAlignment="1" applyBorder="1" applyFill="1" applyFont="1">
      <alignment readingOrder="0" vertical="bottom"/>
    </xf>
    <xf borderId="0" fillId="4" fontId="1" numFmtId="0" xfId="0" applyAlignment="1" applyFill="1" applyFont="1">
      <alignment readingOrder="0" shrinkToFit="0" vertical="center" wrapText="0"/>
    </xf>
    <xf borderId="19" fillId="4" fontId="18" numFmtId="0" xfId="0" applyAlignment="1" applyBorder="1" applyFill="1" applyFont="1">
      <alignment horizontal="right" readingOrder="0" vertical="bottom"/>
    </xf>
    <xf borderId="0" fillId="4" fontId="1" numFmtId="4" xfId="0" applyAlignment="1" applyFill="1" applyFont="1" applyNumberFormat="1">
      <alignment shrinkToFit="0" vertical="center" wrapText="1"/>
    </xf>
    <xf borderId="0" fillId="0" fontId="92" numFmtId="0" xfId="0" applyAlignment="1" applyFont="1">
      <alignment vertical="bottom"/>
    </xf>
    <xf borderId="0" fillId="0" fontId="86" numFmtId="0" xfId="0" applyAlignment="1" applyFont="1">
      <alignment horizontal="right" vertical="bottom"/>
    </xf>
    <xf borderId="0" fillId="4" fontId="1" numFmtId="0" xfId="0" applyAlignment="1" applyFill="1" applyFont="1">
      <alignment horizontal="left" readingOrder="0"/>
    </xf>
    <xf borderId="0" fillId="0" fontId="93" numFmtId="0" xfId="0" applyAlignment="1" applyFont="1">
      <alignment readingOrder="0"/>
    </xf>
    <xf borderId="0" fillId="4" fontId="94" numFmtId="0" xfId="0" applyAlignment="1" applyFill="1" applyFont="1">
      <alignment readingOrder="0"/>
    </xf>
    <xf borderId="0" fillId="0" fontId="95" numFmtId="0" xfId="0" applyAlignment="1" applyFont="1">
      <alignment readingOrder="0"/>
    </xf>
    <xf borderId="0" fillId="0" fontId="95" numFmtId="0" xfId="0" applyAlignment="1" applyFont="1">
      <alignment horizontal="right" readingOrder="0"/>
    </xf>
    <xf borderId="0" fillId="2" fontId="93" numFmtId="0" xfId="0" applyAlignment="1" applyFill="1" applyFont="1">
      <alignment readingOrder="0"/>
    </xf>
    <xf borderId="0" fillId="2" fontId="95" numFmtId="0" xfId="0" applyAlignment="1" applyFill="1" applyFont="1">
      <alignment readingOrder="0"/>
    </xf>
    <xf borderId="0" fillId="2" fontId="95" numFmtId="0" xfId="0" applyAlignment="1" applyFill="1" applyFont="1">
      <alignment horizontal="right" readingOrder="0"/>
    </xf>
    <xf borderId="1" fillId="2" fontId="86" numFmtId="0" xfId="0" applyAlignment="1" applyBorder="1" applyFill="1" applyFont="1">
      <alignment readingOrder="0" vertical="bottom"/>
    </xf>
    <xf borderId="0" fillId="4" fontId="1" numFmtId="0" xfId="0" applyAlignment="1" applyFill="1" applyFont="1">
      <alignment horizontal="left" readingOrder="0" vertical="center"/>
    </xf>
    <xf borderId="0" fillId="0" fontId="86" numFmtId="0" xfId="0" applyAlignment="1" applyFont="1">
      <alignment readingOrder="0" shrinkToFit="0" vertical="bottom" wrapText="0"/>
    </xf>
    <xf borderId="0" fillId="6" fontId="1" numFmtId="165" xfId="0" applyAlignment="1" applyFill="1" applyFont="1" applyNumberFormat="1">
      <alignment readingOrder="0" vertical="center"/>
    </xf>
    <xf borderId="0" fillId="0" fontId="1" numFmtId="4" xfId="0" applyAlignment="1" applyFont="1" applyNumberFormat="1">
      <alignment readingOrder="0" shrinkToFit="0" vertical="center" wrapText="0"/>
    </xf>
    <xf borderId="0" fillId="0" fontId="96" numFmtId="0" xfId="0" applyAlignment="1" applyFont="1">
      <alignment readingOrder="0" shrinkToFit="0" vertical="bottom" wrapText="0"/>
    </xf>
    <xf borderId="1" fillId="4" fontId="13" numFmtId="0" xfId="0" applyAlignment="1" applyBorder="1" applyFill="1" applyFont="1">
      <alignment horizontal="center" shrinkToFit="0" wrapText="1"/>
    </xf>
    <xf borderId="5" fillId="4" fontId="13" numFmtId="0" xfId="0" applyAlignment="1" applyBorder="1" applyFill="1" applyFont="1">
      <alignment shrinkToFit="0" wrapText="1"/>
    </xf>
    <xf borderId="5" fillId="4" fontId="13" numFmtId="0" xfId="0" applyAlignment="1" applyBorder="1" applyFill="1" applyFont="1">
      <alignment horizontal="center" shrinkToFit="0" wrapText="1"/>
    </xf>
    <xf borderId="0" fillId="4" fontId="1" numFmtId="0" xfId="0" applyAlignment="1" applyFill="1" applyFont="1">
      <alignment horizontal="right" readingOrder="0" vertical="center"/>
    </xf>
    <xf borderId="1" fillId="7" fontId="31" numFmtId="0" xfId="0" applyAlignment="1" applyBorder="1" applyFill="1" applyFont="1">
      <alignment horizontal="left" readingOrder="0" shrinkToFit="0" vertical="center" wrapText="1"/>
    </xf>
    <xf borderId="1" fillId="7" fontId="97" numFmtId="0" xfId="0" applyAlignment="1" applyBorder="1" applyFill="1" applyFont="1">
      <alignment readingOrder="0" shrinkToFit="0" vertical="center" wrapText="1"/>
    </xf>
    <xf borderId="1" fillId="7" fontId="17" numFmtId="0" xfId="0" applyAlignment="1" applyBorder="1" applyFill="1" applyFont="1">
      <alignment horizontal="left" shrinkToFit="0" vertical="center" wrapText="1"/>
    </xf>
    <xf borderId="1" fillId="7" fontId="98" numFmtId="0" xfId="0" applyAlignment="1" applyBorder="1" applyFill="1" applyFont="1">
      <alignment readingOrder="0" shrinkToFit="0" vertical="center" wrapText="1"/>
    </xf>
    <xf borderId="1" fillId="7" fontId="88" numFmtId="0" xfId="0" applyAlignment="1" applyBorder="1" applyFill="1" applyFont="1">
      <alignment horizontal="left" readingOrder="0" shrinkToFit="0" vertical="center" wrapText="1"/>
    </xf>
    <xf borderId="1" fillId="7" fontId="99" numFmtId="0" xfId="0" applyAlignment="1" applyBorder="1" applyFill="1" applyFont="1">
      <alignment horizontal="left" readingOrder="0" shrinkToFit="0" vertical="center" wrapText="1"/>
    </xf>
    <xf borderId="1" fillId="7" fontId="32" numFmtId="0" xfId="0" applyAlignment="1" applyBorder="1" applyFill="1" applyFont="1">
      <alignment horizontal="left" readingOrder="0"/>
    </xf>
    <xf borderId="0" fillId="2" fontId="1" numFmtId="0" xfId="0" applyAlignment="1" applyFill="1" applyFont="1">
      <alignment shrinkToFit="0" wrapText="0"/>
    </xf>
    <xf borderId="0" fillId="2" fontId="1" numFmtId="0" xfId="0" applyAlignment="1" applyFill="1" applyFont="1">
      <alignment horizontal="right" readingOrder="0"/>
    </xf>
    <xf borderId="0" fillId="2" fontId="1" numFmtId="165" xfId="0" applyAlignment="1" applyFill="1" applyFont="1" applyNumberFormat="1">
      <alignment readingOrder="0"/>
    </xf>
    <xf borderId="0" fillId="2" fontId="1" numFmtId="0" xfId="0" applyAlignment="1" applyFill="1" applyFont="1">
      <alignment readingOrder="0" shrinkToFit="0" vertical="bottom" wrapText="1"/>
    </xf>
    <xf borderId="0" fillId="2" fontId="1" numFmtId="0" xfId="0" applyAlignment="1" applyFill="1" applyFont="1">
      <alignment readingOrder="0" shrinkToFit="0" wrapText="0"/>
    </xf>
    <xf borderId="0" fillId="2" fontId="1" numFmtId="0" xfId="0" applyAlignment="1" applyFill="1" applyFont="1">
      <alignment horizontal="right"/>
    </xf>
    <xf borderId="1" fillId="7" fontId="99" numFmtId="0" xfId="0" applyAlignment="1" applyBorder="1" applyFill="1" applyFont="1">
      <alignment horizontal="left" readingOrder="0" vertical="center"/>
    </xf>
    <xf borderId="1" fillId="7" fontId="31" numFmtId="0" xfId="0" applyAlignment="1" applyBorder="1" applyFill="1" applyFont="1">
      <alignment horizontal="left" readingOrder="0" vertical="center"/>
    </xf>
    <xf borderId="0" fillId="7" fontId="17" numFmtId="4" xfId="0" applyAlignment="1" applyFill="1" applyFont="1" applyNumberFormat="1">
      <alignment horizontal="left" readingOrder="0" shrinkToFit="0" vertical="center" wrapText="1"/>
    </xf>
    <xf borderId="0" fillId="7" fontId="31" numFmtId="0" xfId="0" applyAlignment="1" applyFill="1" applyFont="1">
      <alignment horizontal="left" readingOrder="0" shrinkToFit="0" vertical="center" wrapText="1"/>
    </xf>
    <xf borderId="0" fillId="7" fontId="17" numFmtId="0" xfId="0" applyAlignment="1" applyFill="1" applyFont="1">
      <alignment readingOrder="0" shrinkToFit="0" vertical="center" wrapText="1"/>
    </xf>
    <xf borderId="0" fillId="7" fontId="31" numFmtId="0" xfId="0" applyAlignment="1" applyFill="1" applyFont="1">
      <alignment readingOrder="0" shrinkToFit="0" vertical="center" wrapText="1"/>
    </xf>
    <xf borderId="0" fillId="7" fontId="100" numFmtId="0" xfId="0" applyAlignment="1" applyFill="1" applyFont="1">
      <alignment readingOrder="0" shrinkToFit="0" vertical="center" wrapText="1"/>
    </xf>
    <xf borderId="0" fillId="7" fontId="31" numFmtId="0" xfId="0" applyAlignment="1" applyFill="1" applyFont="1">
      <alignment horizontal="right" readingOrder="0" shrinkToFit="0" vertical="center" wrapText="1"/>
    </xf>
    <xf borderId="0" fillId="4" fontId="101" numFmtId="0" xfId="0" applyAlignment="1" applyFill="1" applyFont="1">
      <alignment readingOrder="0" shrinkToFit="0" vertical="center" wrapText="1"/>
    </xf>
    <xf borderId="1" fillId="6" fontId="13" numFmtId="0" xfId="0" applyAlignment="1" applyBorder="1" applyFill="1" applyFont="1">
      <alignment horizontal="center" readingOrder="0" shrinkToFit="0" vertical="center" wrapText="1"/>
    </xf>
    <xf borderId="1" fillId="6" fontId="13" numFmtId="0" xfId="0" applyAlignment="1" applyBorder="1" applyFill="1" applyFont="1">
      <alignment readingOrder="0" shrinkToFit="0" vertical="center" wrapText="1"/>
    </xf>
    <xf borderId="1" fillId="6" fontId="13" numFmtId="0" xfId="0" applyAlignment="1" applyBorder="1" applyFill="1" applyFont="1">
      <alignment horizontal="left" readingOrder="0" shrinkToFit="0" vertical="center" wrapText="1"/>
    </xf>
    <xf borderId="1" fillId="2" fontId="17" numFmtId="0" xfId="0" applyAlignment="1" applyBorder="1" applyFill="1" applyFont="1">
      <alignment horizontal="left" readingOrder="0" shrinkToFit="0" vertical="center" wrapText="1"/>
    </xf>
    <xf borderId="1" fillId="2" fontId="78" numFmtId="0" xfId="0" applyAlignment="1" applyBorder="1" applyFill="1" applyFont="1">
      <alignment shrinkToFit="0" vertical="center" wrapText="1"/>
    </xf>
    <xf borderId="1" fillId="2" fontId="78" numFmtId="0" xfId="0" applyAlignment="1" applyBorder="1" applyFill="1" applyFont="1">
      <alignment readingOrder="0" shrinkToFit="0" vertical="center" wrapText="1"/>
    </xf>
    <xf borderId="1" fillId="2" fontId="31" numFmtId="0" xfId="0" applyAlignment="1" applyBorder="1" applyFill="1" applyFont="1">
      <alignment horizontal="left" readingOrder="0" shrinkToFit="0" vertical="center" wrapText="1"/>
    </xf>
    <xf borderId="1" fillId="2" fontId="78" numFmtId="4" xfId="0" applyAlignment="1" applyBorder="1" applyFill="1" applyFont="1" applyNumberFormat="1">
      <alignment shrinkToFit="0" vertical="center" wrapText="1"/>
    </xf>
    <xf borderId="1" fillId="2" fontId="31" numFmtId="0" xfId="0" applyAlignment="1" applyBorder="1" applyFill="1" applyFont="1">
      <alignment readingOrder="0" shrinkToFit="0" vertical="center" wrapText="1"/>
    </xf>
    <xf borderId="1" fillId="2" fontId="83" numFmtId="0" xfId="0" applyAlignment="1" applyBorder="1" applyFill="1" applyFont="1">
      <alignment shrinkToFit="0" vertical="center" wrapText="1"/>
    </xf>
    <xf borderId="1" fillId="2" fontId="83" numFmtId="4" xfId="0" applyAlignment="1" applyBorder="1" applyFill="1" applyFont="1" applyNumberFormat="1">
      <alignment readingOrder="0" shrinkToFit="0" vertical="center" wrapText="1"/>
    </xf>
    <xf borderId="1" fillId="6" fontId="78" numFmtId="0" xfId="0" applyAlignment="1" applyBorder="1" applyFill="1" applyFont="1">
      <alignment readingOrder="0" shrinkToFit="0" vertical="center" wrapText="1"/>
    </xf>
    <xf borderId="1" fillId="6" fontId="83" numFmtId="0" xfId="0" applyAlignment="1" applyBorder="1" applyFill="1" applyFont="1">
      <alignment shrinkToFit="0" vertical="center" wrapText="1"/>
    </xf>
    <xf borderId="1" fillId="6" fontId="83" numFmtId="4" xfId="0" applyAlignment="1" applyBorder="1" applyFill="1" applyFont="1" applyNumberFormat="1">
      <alignment readingOrder="0" shrinkToFit="0" vertical="center" wrapText="1"/>
    </xf>
    <xf borderId="0" fillId="0" fontId="84" numFmtId="0" xfId="0" applyAlignment="1" applyFont="1">
      <alignment readingOrder="0"/>
    </xf>
    <xf borderId="0" fillId="0" fontId="84" numFmtId="4" xfId="0" applyFont="1" applyNumberFormat="1"/>
    <xf borderId="1" fillId="7" fontId="99" numFmtId="4" xfId="0" applyAlignment="1" applyBorder="1" applyFill="1" applyFont="1" applyNumberFormat="1">
      <alignment horizontal="left" readingOrder="0" shrinkToFit="0" vertical="center" wrapText="1"/>
    </xf>
    <xf borderId="1" fillId="4" fontId="14" numFmtId="0" xfId="0" applyAlignment="1" applyBorder="1" applyFill="1" applyFont="1">
      <alignment horizontal="left" readingOrder="0" shrinkToFit="0" vertical="center" wrapText="1"/>
    </xf>
    <xf borderId="1" fillId="4" fontId="102" numFmtId="0" xfId="0" applyAlignment="1" applyBorder="1" applyFill="1" applyFont="1">
      <alignment horizontal="left" readingOrder="0" shrinkToFit="0" vertical="center" wrapText="1"/>
    </xf>
    <xf borderId="1" fillId="4" fontId="103" numFmtId="4" xfId="0" applyAlignment="1" applyBorder="1" applyFill="1" applyFont="1" applyNumberFormat="1">
      <alignment readingOrder="0" shrinkToFit="0" vertical="center" wrapText="1"/>
    </xf>
    <xf borderId="1" fillId="4" fontId="14" numFmtId="0" xfId="0" applyAlignment="1" applyBorder="1" applyFill="1" applyFont="1">
      <alignment readingOrder="0" shrinkToFit="0" wrapText="1"/>
    </xf>
    <xf borderId="1" fillId="4" fontId="14" numFmtId="0" xfId="0" applyAlignment="1" applyBorder="1" applyFill="1" applyFont="1">
      <alignment horizontal="left" readingOrder="0"/>
    </xf>
    <xf borderId="0" fillId="15" fontId="84" numFmtId="0" xfId="0" applyAlignment="1" applyFill="1" applyFont="1">
      <alignment horizontal="center" readingOrder="0" shrinkToFit="0" vertical="center" wrapText="1"/>
    </xf>
    <xf borderId="0" fillId="15" fontId="84" numFmtId="0" xfId="0" applyAlignment="1" applyFill="1" applyFont="1">
      <alignment readingOrder="0" shrinkToFit="0" vertical="center" wrapText="1"/>
    </xf>
    <xf borderId="6" fillId="4" fontId="17" numFmtId="0" xfId="0" applyAlignment="1" applyBorder="1" applyFill="1" applyFont="1">
      <alignment shrinkToFit="0" wrapText="1"/>
    </xf>
    <xf borderId="19" fillId="4" fontId="17" numFmtId="0" xfId="0" applyAlignment="1" applyBorder="1" applyFill="1" applyFont="1">
      <alignment shrinkToFit="0" wrapText="1"/>
    </xf>
    <xf borderId="19" fillId="4" fontId="17" numFmtId="4" xfId="0" applyAlignment="1" applyBorder="1" applyFill="1" applyFont="1" applyNumberFormat="1">
      <alignment shrinkToFit="0" wrapText="1"/>
    </xf>
    <xf borderId="19" fillId="4" fontId="6" numFmtId="0" xfId="0" applyBorder="1" applyFill="1" applyFont="1"/>
    <xf borderId="19" fillId="4" fontId="17" numFmtId="0" xfId="0" applyAlignment="1" applyBorder="1" applyFill="1" applyFont="1">
      <alignment horizontal="right" shrinkToFit="0" wrapText="1"/>
    </xf>
    <xf borderId="19" fillId="4" fontId="17" numFmtId="0" xfId="0" applyAlignment="1" applyBorder="1" applyFill="1" applyFont="1">
      <alignment vertical="bottom"/>
    </xf>
    <xf borderId="19" fillId="4" fontId="17" numFmtId="0" xfId="0" applyAlignment="1" applyBorder="1" applyFill="1" applyFont="1">
      <alignment readingOrder="0" shrinkToFit="0" wrapText="1"/>
    </xf>
    <xf borderId="20" fillId="15" fontId="104" numFmtId="0" xfId="0" applyAlignment="1" applyBorder="1" applyFill="1" applyFont="1">
      <alignment shrinkToFit="0" wrapText="1"/>
    </xf>
    <xf borderId="1" fillId="0" fontId="15" numFmtId="0" xfId="0" applyAlignment="1" applyBorder="1" applyFont="1">
      <alignment horizontal="left" readingOrder="0" shrinkToFit="0" wrapText="0"/>
    </xf>
    <xf borderId="1" fillId="0" fontId="0" numFmtId="0" xfId="0" applyAlignment="1" applyBorder="1" applyFont="1">
      <alignment horizontal="left" readingOrder="0" shrinkToFit="0" vertical="bottom" wrapText="0"/>
    </xf>
    <xf borderId="1" fillId="0" fontId="15" numFmtId="0" xfId="0" applyAlignment="1" applyBorder="1" applyFont="1">
      <alignment horizontal="left" shrinkToFit="0" vertical="bottom" wrapText="1"/>
    </xf>
    <xf borderId="19" fillId="4" fontId="105" numFmtId="0" xfId="0" applyAlignment="1" applyBorder="1" applyFill="1" applyFont="1">
      <alignment shrinkToFit="0" wrapText="1"/>
    </xf>
    <xf borderId="1" fillId="4" fontId="15" numFmtId="0" xfId="0" applyAlignment="1" applyBorder="1" applyFill="1" applyFont="1">
      <alignment horizontal="left" readingOrder="0" shrinkToFit="0" wrapText="0"/>
    </xf>
    <xf borderId="11" fillId="4" fontId="106" numFmtId="0" xfId="0" applyAlignment="1" applyBorder="1" applyFill="1" applyFont="1">
      <alignment horizontal="left" readingOrder="0" shrinkToFit="0" wrapText="0"/>
    </xf>
    <xf borderId="1" fillId="0" fontId="15" numFmtId="0" xfId="0" applyAlignment="1" applyBorder="1" applyFont="1">
      <alignment horizontal="left" shrinkToFit="0" vertical="bottom" wrapText="0"/>
    </xf>
    <xf borderId="5" fillId="0" fontId="15" numFmtId="0" xfId="0" applyAlignment="1" applyBorder="1" applyFont="1">
      <alignment horizontal="left" readingOrder="0" shrinkToFit="0" wrapText="1"/>
    </xf>
    <xf borderId="1" fillId="0" fontId="0" numFmtId="0" xfId="0" applyAlignment="1" applyBorder="1" applyFont="1">
      <alignment horizontal="left" readingOrder="0" shrinkToFit="0" wrapText="0"/>
    </xf>
    <xf borderId="1" fillId="0" fontId="15" numFmtId="0" xfId="0" applyAlignment="1" applyBorder="1" applyFont="1">
      <alignment horizontal="left" readingOrder="0" shrinkToFit="0" vertical="bottom" wrapText="0"/>
    </xf>
    <xf borderId="1" fillId="0" fontId="15" numFmtId="4" xfId="0" applyAlignment="1" applyBorder="1" applyFont="1" applyNumberFormat="1">
      <alignment horizontal="left" readingOrder="0" shrinkToFit="0" vertical="bottom" wrapText="0"/>
    </xf>
    <xf borderId="1" fillId="0" fontId="15" numFmtId="0" xfId="0" applyAlignment="1" applyBorder="1" applyFont="1">
      <alignment horizontal="left" shrinkToFit="0" wrapText="0"/>
    </xf>
    <xf borderId="1" fillId="4" fontId="107" numFmtId="0" xfId="0" applyAlignment="1" applyBorder="1" applyFill="1" applyFont="1">
      <alignment horizontal="left" readingOrder="0" shrinkToFit="0" wrapText="0"/>
    </xf>
    <xf borderId="0" fillId="4" fontId="1" numFmtId="164" xfId="0" applyAlignment="1" applyFill="1" applyFont="1" applyNumberFormat="1">
      <alignment vertical="bottom"/>
    </xf>
    <xf borderId="1" fillId="4" fontId="108" numFmtId="0" xfId="0" applyAlignment="1" applyBorder="1" applyFill="1" applyFont="1">
      <alignment horizontal="left" readingOrder="0" shrinkToFit="0" wrapText="0"/>
    </xf>
    <xf borderId="1" fillId="7" fontId="109" numFmtId="0" xfId="0" applyAlignment="1" applyBorder="1" applyFill="1" applyFont="1">
      <alignment horizontal="left" readingOrder="0" shrinkToFit="0" vertical="center" wrapText="1"/>
    </xf>
    <xf borderId="11" fillId="0" fontId="15" numFmtId="0" xfId="0" applyAlignment="1" applyBorder="1" applyFont="1">
      <alignment horizontal="left" readingOrder="0" shrinkToFit="0" wrapText="0"/>
    </xf>
    <xf borderId="1" fillId="0" fontId="15" numFmtId="4" xfId="0" applyAlignment="1" applyBorder="1" applyFont="1" applyNumberFormat="1">
      <alignment horizontal="left" readingOrder="0" shrinkToFit="0" wrapText="0"/>
    </xf>
    <xf borderId="6" fillId="4" fontId="6" numFmtId="0" xfId="0" applyAlignment="1" applyBorder="1" applyFill="1" applyFont="1">
      <alignment shrinkToFit="0" vertical="bottom" wrapText="1"/>
    </xf>
    <xf borderId="1" fillId="0" fontId="15" numFmtId="0" xfId="0" applyAlignment="1" applyBorder="1" applyFont="1">
      <alignment horizontal="left" shrinkToFit="0" vertical="bottom" wrapText="1"/>
    </xf>
    <xf borderId="1" fillId="4" fontId="14" numFmtId="0" xfId="0" applyAlignment="1" applyBorder="1" applyFill="1" applyFont="1">
      <alignment horizontal="left" readingOrder="0" vertical="center"/>
    </xf>
    <xf borderId="0" fillId="0" fontId="0" numFmtId="0" xfId="0" applyAlignment="1" applyFont="1">
      <alignment horizontal="left" readingOrder="0" shrinkToFit="0" wrapText="0"/>
    </xf>
    <xf borderId="0" fillId="6" fontId="1" numFmtId="0" xfId="0" applyAlignment="1" applyFill="1" applyFont="1">
      <alignment horizontal="right" shrinkToFit="0" vertical="center" wrapText="1"/>
    </xf>
    <xf borderId="1" fillId="4" fontId="110" numFmtId="0" xfId="0" applyAlignment="1" applyBorder="1" applyFill="1" applyFont="1">
      <alignment readingOrder="0" shrinkToFit="0" vertical="center" wrapText="1"/>
    </xf>
    <xf borderId="1" fillId="4" fontId="31" numFmtId="3" xfId="0" applyAlignment="1" applyBorder="1" applyFill="1" applyFont="1" applyNumberFormat="1">
      <alignment readingOrder="0" shrinkToFit="0" wrapText="1"/>
    </xf>
    <xf borderId="1" fillId="7" fontId="31" numFmtId="0" xfId="0" applyAlignment="1" applyBorder="1" applyFill="1" applyFont="1">
      <alignment horizontal="left" readingOrder="0" vertical="center"/>
    </xf>
    <xf borderId="1" fillId="7" fontId="31" numFmtId="0" xfId="0" applyAlignment="1" applyBorder="1" applyFill="1" applyFont="1">
      <alignment readingOrder="0" vertical="center"/>
    </xf>
    <xf borderId="1" fillId="7" fontId="31" numFmtId="4" xfId="0" applyAlignment="1" applyBorder="1" applyFill="1" applyFont="1" applyNumberFormat="1">
      <alignment horizontal="left" readingOrder="0" vertical="center"/>
    </xf>
    <xf borderId="0" fillId="0" fontId="9" numFmtId="165" xfId="0" applyAlignment="1" applyFont="1" applyNumberFormat="1">
      <alignment horizontal="right" readingOrder="0"/>
    </xf>
    <xf borderId="1" fillId="4" fontId="17" numFmtId="0" xfId="0" applyAlignment="1" applyBorder="1" applyFill="1" applyFont="1">
      <alignment readingOrder="0" shrinkToFit="0" wrapText="1"/>
    </xf>
    <xf borderId="0" fillId="0" fontId="9" numFmtId="0" xfId="0" applyAlignment="1" applyFont="1">
      <alignment shrinkToFit="0" vertical="top" wrapText="0"/>
    </xf>
    <xf borderId="1" fillId="4" fontId="15" numFmtId="0" xfId="0" applyAlignment="1" applyBorder="1" applyFill="1" applyFont="1">
      <alignment horizontal="left" readingOrder="0" shrinkToFit="0" vertical="bottom" wrapText="0"/>
    </xf>
    <xf borderId="19" fillId="4" fontId="17" numFmtId="0" xfId="0" applyBorder="1" applyFill="1" applyFont="1"/>
    <xf borderId="0" fillId="0" fontId="111" numFmtId="0" xfId="0" applyAlignment="1" applyFont="1">
      <alignment vertical="bottom"/>
    </xf>
    <xf borderId="1" fillId="4" fontId="99" numFmtId="0" xfId="0" applyAlignment="1" applyBorder="1" applyFill="1" applyFont="1">
      <alignment horizontal="left" readingOrder="0" vertical="center"/>
    </xf>
    <xf borderId="1" fillId="4" fontId="26" numFmtId="0" xfId="0" applyAlignment="1" applyBorder="1" applyFill="1" applyFont="1">
      <alignment horizontal="left" readingOrder="0" shrinkToFit="0" vertical="center" wrapText="1"/>
    </xf>
    <xf borderId="1" fillId="4" fontId="26" numFmtId="0" xfId="0" applyAlignment="1" applyBorder="1" applyFill="1" applyFont="1">
      <alignment readingOrder="0" shrinkToFit="0" vertical="center" wrapText="1"/>
    </xf>
    <xf borderId="1" fillId="4" fontId="31" numFmtId="0" xfId="0" applyAlignment="1" applyBorder="1" applyFill="1" applyFont="1">
      <alignment readingOrder="0" shrinkToFit="0" vertical="center" wrapText="1"/>
    </xf>
    <xf borderId="1" fillId="4" fontId="31" numFmtId="0" xfId="0" applyAlignment="1" applyBorder="1" applyFill="1" applyFont="1">
      <alignment readingOrder="0" shrinkToFit="0" vertical="bottom" wrapText="0"/>
    </xf>
    <xf borderId="1" fillId="4" fontId="31" numFmtId="4" xfId="0" applyAlignment="1" applyBorder="1" applyFill="1" applyFont="1" applyNumberFormat="1">
      <alignment horizontal="left" readingOrder="0" shrinkToFit="0" vertical="bottom" wrapText="0"/>
    </xf>
    <xf borderId="1" fillId="4" fontId="31" numFmtId="0" xfId="0" applyAlignment="1" applyBorder="1" applyFill="1" applyFont="1">
      <alignment readingOrder="0" shrinkToFit="0" vertical="bottom" wrapText="1"/>
    </xf>
    <xf borderId="1" fillId="0" fontId="0" numFmtId="4" xfId="0" applyAlignment="1" applyBorder="1" applyFont="1" applyNumberFormat="1">
      <alignment horizontal="left" readingOrder="0" shrinkToFit="0" vertical="bottom" wrapText="0"/>
    </xf>
    <xf borderId="6" fillId="4" fontId="112" numFmtId="0" xfId="0" applyAlignment="1" applyBorder="1" applyFill="1" applyFont="1">
      <alignment horizontal="left" readingOrder="0" shrinkToFit="0" wrapText="0"/>
    </xf>
    <xf borderId="1" fillId="0" fontId="86" numFmtId="0" xfId="0" applyAlignment="1" applyBorder="1" applyFont="1">
      <alignment horizontal="center" readingOrder="0" shrinkToFit="0" wrapText="0"/>
    </xf>
    <xf borderId="1" fillId="0" fontId="0" numFmtId="4" xfId="0" applyAlignment="1" applyBorder="1" applyFont="1" applyNumberFormat="1">
      <alignment horizontal="left" readingOrder="0" shrinkToFit="0" wrapText="0"/>
    </xf>
    <xf borderId="19" fillId="4" fontId="78" numFmtId="0" xfId="0" applyAlignment="1" applyBorder="1" applyFill="1" applyFont="1">
      <alignment shrinkToFit="0" wrapText="1"/>
    </xf>
    <xf borderId="1" fillId="4" fontId="6" numFmtId="0" xfId="0" applyAlignment="1" applyBorder="1" applyFill="1" applyFont="1">
      <alignment shrinkToFit="0" vertical="bottom" wrapText="1"/>
    </xf>
    <xf borderId="19" fillId="4" fontId="78" numFmtId="4" xfId="0" applyAlignment="1" applyBorder="1" applyFill="1" applyFont="1" applyNumberFormat="1">
      <alignment horizontal="right" shrinkToFit="0" wrapText="1"/>
    </xf>
    <xf borderId="19" fillId="4" fontId="32" numFmtId="0" xfId="0" applyBorder="1" applyFill="1" applyFont="1"/>
    <xf borderId="19" fillId="4" fontId="17" numFmtId="0" xfId="0" applyAlignment="1" applyBorder="1" applyFill="1" applyFont="1">
      <alignment shrinkToFit="0" vertical="bottom" wrapText="1"/>
    </xf>
    <xf borderId="19" fillId="4" fontId="6" numFmtId="0" xfId="0" applyBorder="1" applyFill="1" applyFont="1"/>
    <xf borderId="0" fillId="6" fontId="80" numFmtId="0" xfId="0" applyAlignment="1" applyFill="1" applyFont="1">
      <alignment horizontal="center" readingOrder="0" shrinkToFit="0" vertical="bottom" wrapText="0"/>
    </xf>
    <xf borderId="0" fillId="6" fontId="31" numFmtId="4" xfId="0" applyAlignment="1" applyFill="1" applyFont="1" applyNumberFormat="1">
      <alignment horizontal="left" readingOrder="0" shrinkToFit="0" vertical="center" wrapText="1"/>
    </xf>
    <xf borderId="0" fillId="6" fontId="31" numFmtId="0" xfId="0" applyAlignment="1" applyFill="1" applyFont="1">
      <alignment readingOrder="0"/>
    </xf>
    <xf borderId="0" fillId="6" fontId="31" numFmtId="0" xfId="0" applyAlignment="1" applyFill="1" applyFont="1">
      <alignment readingOrder="0" shrinkToFit="0" vertical="bottom" wrapText="0"/>
    </xf>
    <xf borderId="0" fillId="0" fontId="6" numFmtId="0" xfId="0" applyAlignment="1" applyFont="1">
      <alignment readingOrder="0" shrinkToFit="0" vertical="bottom" wrapText="1"/>
    </xf>
    <xf borderId="0" fillId="6" fontId="2" numFmtId="0" xfId="0" applyFill="1" applyFont="1"/>
    <xf borderId="0" fillId="6" fontId="113" numFmtId="0" xfId="0" applyAlignment="1" applyFill="1" applyFont="1">
      <alignment horizontal="left" readingOrder="0"/>
    </xf>
    <xf borderId="0" fillId="6" fontId="88" numFmtId="0" xfId="0" applyAlignment="1" applyFill="1" applyFont="1">
      <alignment shrinkToFit="0" vertical="bottom" wrapText="0"/>
    </xf>
    <xf borderId="0" fillId="6" fontId="31" numFmtId="0" xfId="0" applyAlignment="1" applyFill="1" applyFont="1">
      <alignment shrinkToFit="0" vertical="bottom" wrapText="0"/>
    </xf>
    <xf borderId="0" fillId="6" fontId="80" numFmtId="4" xfId="0" applyAlignment="1" applyFill="1" applyFont="1" applyNumberFormat="1">
      <alignment horizontal="right" readingOrder="0" shrinkToFit="0" vertical="bottom" wrapText="0"/>
    </xf>
    <xf borderId="5" fillId="0" fontId="15" numFmtId="0" xfId="0" applyAlignment="1" applyBorder="1" applyFont="1">
      <alignment horizontal="left" shrinkToFit="0" vertical="bottom" wrapText="1"/>
    </xf>
    <xf borderId="6" fillId="4" fontId="86" numFmtId="0" xfId="0" applyAlignment="1" applyBorder="1" applyFill="1" applyFont="1">
      <alignment shrinkToFit="0" vertical="bottom" wrapText="1"/>
    </xf>
    <xf borderId="1" fillId="0" fontId="0" numFmtId="0" xfId="0" applyAlignment="1" applyBorder="1" applyFont="1">
      <alignment horizontal="left" readingOrder="0" shrinkToFit="0" wrapText="1"/>
    </xf>
    <xf borderId="1" fillId="0" fontId="1" numFmtId="0" xfId="0" applyAlignment="1" applyBorder="1" applyFont="1">
      <alignment horizontal="left" readingOrder="0" shrinkToFit="0" wrapText="1"/>
    </xf>
    <xf borderId="5" fillId="0" fontId="1" numFmtId="0" xfId="0" applyAlignment="1" applyBorder="1" applyFont="1">
      <alignment horizontal="left" readingOrder="0" shrinkToFit="0" vertical="bottom" wrapText="1"/>
    </xf>
    <xf borderId="11" fillId="0" fontId="15" numFmtId="0" xfId="0" applyAlignment="1" applyBorder="1" applyFont="1">
      <alignment horizontal="left" readingOrder="0" shrinkToFit="0" wrapText="1"/>
    </xf>
    <xf borderId="5" fillId="0" fontId="0" numFmtId="0" xfId="0" applyAlignment="1" applyBorder="1" applyFont="1">
      <alignment horizontal="left" readingOrder="0" shrinkToFit="0" wrapText="1"/>
    </xf>
    <xf borderId="11" fillId="0" fontId="0" numFmtId="0" xfId="0" applyAlignment="1" applyBorder="1" applyFont="1">
      <alignment horizontal="center" readingOrder="0" shrinkToFit="0" wrapText="1"/>
    </xf>
    <xf borderId="5" fillId="0" fontId="0" numFmtId="0" xfId="0" applyAlignment="1" applyBorder="1" applyFont="1">
      <alignment horizontal="center" readingOrder="0" shrinkToFit="0" wrapText="1"/>
    </xf>
    <xf borderId="6" fillId="4" fontId="114" numFmtId="0" xfId="0" applyAlignment="1" applyBorder="1" applyFill="1" applyFont="1">
      <alignment shrinkToFit="0" vertical="bottom" wrapText="1"/>
    </xf>
    <xf borderId="1" fillId="4" fontId="22" numFmtId="0" xfId="0" applyAlignment="1" applyBorder="1" applyFill="1" applyFont="1">
      <alignment horizontal="left" readingOrder="0"/>
    </xf>
    <xf borderId="5" fillId="0" fontId="15" numFmtId="0" xfId="0" applyAlignment="1" applyBorder="1" applyFont="1">
      <alignment horizontal="left" shrinkToFit="0" vertical="bottom" wrapText="1"/>
    </xf>
    <xf borderId="0" fillId="4" fontId="15" numFmtId="0" xfId="0" applyAlignment="1" applyFill="1" applyFont="1">
      <alignment horizontal="left" readingOrder="0" shrinkToFit="0" wrapText="0"/>
    </xf>
    <xf borderId="0" fillId="4" fontId="15" numFmtId="0" xfId="0" applyAlignment="1" applyFill="1" applyFont="1">
      <alignment horizontal="left" readingOrder="0" shrinkToFit="0" vertical="bottom" wrapText="0"/>
    </xf>
    <xf borderId="6" fillId="4" fontId="15" numFmtId="0" xfId="0" applyAlignment="1" applyBorder="1" applyFill="1" applyFont="1">
      <alignment horizontal="left" readingOrder="0" shrinkToFit="0" wrapText="0"/>
    </xf>
    <xf borderId="6" fillId="0" fontId="15" numFmtId="0" xfId="0" applyAlignment="1" applyBorder="1" applyFont="1">
      <alignment horizontal="left" readingOrder="0" shrinkToFit="0" wrapText="0"/>
    </xf>
    <xf borderId="19" fillId="0" fontId="15" numFmtId="0" xfId="0" applyAlignment="1" applyBorder="1" applyFont="1">
      <alignment horizontal="left" readingOrder="0" shrinkToFit="0" wrapText="1"/>
    </xf>
    <xf borderId="6" fillId="4" fontId="6" numFmtId="0" xfId="0" applyAlignment="1" applyBorder="1" applyFill="1" applyFont="1">
      <alignment shrinkToFit="0" vertical="bottom" wrapText="1"/>
    </xf>
    <xf borderId="6" fillId="0" fontId="15" numFmtId="0" xfId="0" applyAlignment="1" applyBorder="1" applyFont="1">
      <alignment horizontal="left" shrinkToFit="0" vertical="bottom" wrapText="0"/>
    </xf>
    <xf borderId="19" fillId="0" fontId="15" numFmtId="0" xfId="0" applyAlignment="1" applyBorder="1" applyFont="1">
      <alignment horizontal="left" shrinkToFit="0" vertical="bottom" wrapText="1"/>
    </xf>
    <xf borderId="19" fillId="0" fontId="15" numFmtId="0" xfId="0" applyAlignment="1" applyBorder="1" applyFont="1">
      <alignment horizontal="left" shrinkToFit="0" vertical="bottom" wrapText="1"/>
    </xf>
    <xf borderId="0" fillId="0" fontId="15" numFmtId="4" xfId="0" applyAlignment="1" applyFont="1" applyNumberFormat="1">
      <alignment horizontal="left" readingOrder="0" shrinkToFit="0" vertical="bottom" wrapText="0"/>
    </xf>
    <xf borderId="0" fillId="0" fontId="8" numFmtId="0" xfId="0" applyAlignment="1" applyFont="1">
      <alignment readingOrder="0" shrinkToFit="0" vertical="center" wrapText="0"/>
    </xf>
    <xf borderId="0" fillId="4" fontId="115" numFmtId="0" xfId="0" applyAlignment="1" applyFill="1" applyFont="1">
      <alignment horizontal="left" readingOrder="0" shrinkToFit="0" wrapText="0"/>
    </xf>
    <xf borderId="0" fillId="0" fontId="15" numFmtId="0" xfId="0" applyAlignment="1" applyFont="1">
      <alignment horizontal="left" readingOrder="0" shrinkToFit="0" wrapText="0"/>
    </xf>
    <xf borderId="19" fillId="0" fontId="0" numFmtId="0" xfId="0" applyAlignment="1" applyBorder="1" applyFont="1">
      <alignment horizontal="left" readingOrder="0" shrinkToFit="0" vertical="bottom" wrapText="1"/>
    </xf>
    <xf borderId="0" fillId="4" fontId="1" numFmtId="165" xfId="0" applyAlignment="1" applyFill="1" applyFont="1" applyNumberFormat="1">
      <alignment readingOrder="0"/>
    </xf>
    <xf borderId="0" fillId="4" fontId="1" numFmtId="0" xfId="0" applyAlignment="1" applyFill="1" applyFont="1">
      <alignment readingOrder="0" shrinkToFit="0" vertical="bottom" wrapText="0"/>
    </xf>
    <xf borderId="0" fillId="4" fontId="1" numFmtId="0" xfId="0" applyAlignment="1" applyFill="1" applyFont="1">
      <alignment readingOrder="0" shrinkToFit="0" vertical="bottom" wrapText="1"/>
    </xf>
    <xf borderId="1" fillId="0" fontId="116" numFmtId="0" xfId="0" applyAlignment="1" applyBorder="1" applyFont="1">
      <alignment horizontal="left" readingOrder="0" shrinkToFit="0" wrapText="0"/>
    </xf>
    <xf borderId="1" fillId="4" fontId="86" numFmtId="0" xfId="0" applyAlignment="1" applyBorder="1" applyFill="1" applyFont="1">
      <alignment horizontal="left" readingOrder="0"/>
    </xf>
    <xf borderId="0" fillId="0" fontId="86" numFmtId="0" xfId="0" applyAlignment="1" applyFont="1">
      <alignment readingOrder="0" shrinkToFit="0" wrapText="0"/>
    </xf>
    <xf borderId="0" fillId="0" fontId="15" numFmtId="4" xfId="0" applyAlignment="1" applyFont="1" applyNumberFormat="1">
      <alignment horizontal="left" readingOrder="0" shrinkToFit="0" wrapText="0"/>
    </xf>
    <xf borderId="0" fillId="4" fontId="1" numFmtId="165" xfId="0" applyAlignment="1" applyFill="1" applyFont="1" applyNumberFormat="1">
      <alignment horizontal="left" readingOrder="0" vertical="center"/>
    </xf>
    <xf borderId="11" fillId="0" fontId="15" numFmtId="0" xfId="0" applyAlignment="1" applyBorder="1" applyFont="1">
      <alignment horizontal="left" shrinkToFit="0" wrapText="0"/>
    </xf>
    <xf borderId="0" fillId="6" fontId="1" numFmtId="165" xfId="0" applyAlignment="1" applyFill="1" applyFont="1" applyNumberFormat="1">
      <alignment horizontal="left" readingOrder="0" vertical="center"/>
    </xf>
    <xf borderId="1" fillId="0" fontId="15" numFmtId="165" xfId="0" applyAlignment="1" applyBorder="1" applyFont="1" applyNumberFormat="1">
      <alignment horizontal="left" shrinkToFit="0" wrapText="1"/>
    </xf>
    <xf borderId="1" fillId="0" fontId="15" numFmtId="49" xfId="0" applyAlignment="1" applyBorder="1" applyFont="1" applyNumberFormat="1">
      <alignment horizontal="left" readingOrder="0" shrinkToFit="0" wrapText="0"/>
    </xf>
    <xf borderId="0" fillId="0" fontId="117" numFmtId="0" xfId="0" applyAlignment="1" applyFont="1">
      <alignment readingOrder="0" shrinkToFit="0" wrapText="0"/>
    </xf>
    <xf borderId="0" fillId="4" fontId="1" numFmtId="165" xfId="0" applyAlignment="1" applyFill="1" applyFont="1" applyNumberFormat="1">
      <alignment readingOrder="0" vertical="center"/>
    </xf>
    <xf borderId="6" fillId="0" fontId="6" numFmtId="0" xfId="0" applyAlignment="1" applyBorder="1" applyFont="1">
      <alignment vertical="bottom"/>
    </xf>
    <xf borderId="1" fillId="0" fontId="0" numFmtId="0" xfId="0" applyAlignment="1" applyBorder="1" applyFont="1">
      <alignment horizontal="left" readingOrder="0" shrinkToFit="0" vertical="bottom" wrapText="1"/>
    </xf>
    <xf borderId="1" fillId="0" fontId="8" numFmtId="0" xfId="0" applyAlignment="1" applyBorder="1" applyFont="1">
      <alignment readingOrder="0" shrinkToFit="0" vertical="bottom" wrapText="0"/>
    </xf>
    <xf borderId="1" fillId="4" fontId="0" numFmtId="0" xfId="0" applyAlignment="1" applyBorder="1" applyFill="1" applyFont="1">
      <alignment horizontal="left" readingOrder="0" shrinkToFit="0" wrapText="0"/>
    </xf>
    <xf borderId="11" fillId="4" fontId="118" numFmtId="0" xfId="0" applyAlignment="1" applyBorder="1" applyFill="1" applyFont="1">
      <alignment horizontal="left" readingOrder="0"/>
    </xf>
    <xf borderId="6" fillId="4" fontId="22" numFmtId="0" xfId="0" applyAlignment="1" applyBorder="1" applyFill="1" applyFont="1">
      <alignment horizontal="left" readingOrder="0"/>
    </xf>
    <xf borderId="11" fillId="4" fontId="15" numFmtId="0" xfId="0" applyAlignment="1" applyBorder="1" applyFill="1" applyFont="1">
      <alignment horizontal="left" readingOrder="0" shrinkToFit="0" wrapText="0"/>
    </xf>
    <xf borderId="1" fillId="4" fontId="15" numFmtId="4" xfId="0" applyAlignment="1" applyBorder="1" applyFill="1" applyFont="1" applyNumberFormat="1">
      <alignment horizontal="left" readingOrder="0" shrinkToFit="0" wrapText="0"/>
    </xf>
    <xf borderId="0" fillId="7" fontId="1" numFmtId="0" xfId="0" applyAlignment="1" applyFill="1" applyFont="1">
      <alignment readingOrder="0" shrinkToFit="0" vertical="center" wrapText="1"/>
    </xf>
    <xf borderId="1" fillId="7" fontId="15" numFmtId="4" xfId="0" applyAlignment="1" applyBorder="1" applyFill="1" applyFont="1" applyNumberFormat="1">
      <alignment horizontal="left" readingOrder="0" shrinkToFit="0" wrapText="0"/>
    </xf>
    <xf borderId="0" fillId="6" fontId="1" numFmtId="0" xfId="0" applyAlignment="1" applyFill="1" applyFont="1">
      <alignment horizontal="center" readingOrder="0" shrinkToFit="0" vertical="bottom" wrapText="1"/>
    </xf>
    <xf borderId="1" fillId="4" fontId="6" numFmtId="0" xfId="0" applyAlignment="1" applyBorder="1" applyFill="1" applyFont="1">
      <alignment shrinkToFit="0" vertical="bottom" wrapText="1"/>
    </xf>
    <xf borderId="1" fillId="6" fontId="0" numFmtId="0" xfId="0" applyAlignment="1" applyBorder="1" applyFill="1" applyFont="1">
      <alignment horizontal="left" readingOrder="0" shrinkToFit="0" wrapText="0"/>
    </xf>
    <xf borderId="5" fillId="6" fontId="15" numFmtId="0" xfId="0" applyAlignment="1" applyBorder="1" applyFill="1" applyFont="1">
      <alignment horizontal="left" readingOrder="0" shrinkToFit="0" wrapText="1"/>
    </xf>
    <xf borderId="11" fillId="0" fontId="0" numFmtId="0" xfId="0" applyAlignment="1" applyBorder="1" applyFont="1">
      <alignment horizontal="left" readingOrder="0" shrinkToFit="0" wrapText="1"/>
    </xf>
    <xf borderId="1" fillId="4" fontId="119" numFmtId="0" xfId="0" applyAlignment="1" applyBorder="1" applyFill="1" applyFont="1">
      <alignment horizontal="left" readingOrder="0" shrinkToFit="0" wrapText="1"/>
    </xf>
    <xf borderId="1" fillId="4" fontId="22" numFmtId="0" xfId="0" applyAlignment="1" applyBorder="1" applyFill="1" applyFont="1">
      <alignment vertical="bottom"/>
    </xf>
    <xf borderId="0" fillId="0" fontId="5" numFmtId="0" xfId="0" applyAlignment="1" applyFont="1">
      <alignment readingOrder="0" shrinkToFit="0" wrapText="0"/>
    </xf>
    <xf borderId="0" fillId="0" fontId="5" numFmtId="0" xfId="0" applyAlignment="1" applyFont="1">
      <alignment shrinkToFit="0" wrapText="0"/>
    </xf>
    <xf borderId="0" fillId="0" fontId="5" numFmtId="164" xfId="0" applyAlignment="1" applyFont="1" applyNumberFormat="1">
      <alignment readingOrder="0" shrinkToFit="0" wrapText="0"/>
    </xf>
    <xf borderId="0" fillId="0" fontId="5" numFmtId="0" xfId="0" applyAlignment="1" applyFont="1">
      <alignment horizontal="right" readingOrder="0" shrinkToFit="0" wrapText="0"/>
    </xf>
    <xf borderId="6" fillId="4" fontId="120" numFmtId="0" xfId="0" applyAlignment="1" applyBorder="1" applyFill="1" applyFont="1">
      <alignment shrinkToFit="0" vertical="bottom" wrapText="1"/>
    </xf>
    <xf borderId="0" fillId="0" fontId="5" numFmtId="0" xfId="0" applyAlignment="1" applyFont="1">
      <alignment horizontal="left" readingOrder="0" shrinkToFit="0" vertical="center" wrapText="0"/>
    </xf>
    <xf borderId="0" fillId="0" fontId="5" numFmtId="165" xfId="0" applyAlignment="1" applyFont="1" applyNumberFormat="1">
      <alignment readingOrder="0" shrinkToFit="0" wrapText="0"/>
    </xf>
    <xf borderId="0" fillId="0" fontId="8" numFmtId="0" xfId="0" applyAlignment="1" applyFont="1">
      <alignment readingOrder="0" shrinkToFit="0" vertical="bottom" wrapText="0"/>
    </xf>
    <xf borderId="0" fillId="0" fontId="8" numFmtId="0" xfId="0" applyAlignment="1" applyFont="1">
      <alignment readingOrder="0" shrinkToFit="0" vertical="center" wrapText="0"/>
    </xf>
    <xf borderId="1" fillId="0" fontId="121" numFmtId="0" xfId="0" applyAlignment="1" applyBorder="1" applyFont="1">
      <alignment horizontal="left" readingOrder="0"/>
    </xf>
    <xf borderId="1" fillId="4" fontId="22" numFmtId="0" xfId="0" applyAlignment="1" applyBorder="1" applyFill="1" applyFont="1">
      <alignment horizontal="left" shrinkToFit="0" wrapText="1"/>
    </xf>
    <xf borderId="6" fillId="4" fontId="22" numFmtId="0" xfId="0" applyAlignment="1" applyBorder="1" applyFill="1" applyFont="1">
      <alignment vertical="bottom"/>
    </xf>
    <xf borderId="1" fillId="0" fontId="116" numFmtId="0" xfId="0" applyAlignment="1" applyBorder="1" applyFont="1">
      <alignment horizontal="left" shrinkToFit="0" wrapText="0"/>
    </xf>
    <xf borderId="1" fillId="4" fontId="119" numFmtId="0" xfId="0" applyAlignment="1" applyBorder="1" applyFill="1" applyFont="1">
      <alignment horizontal="left" readingOrder="0"/>
    </xf>
    <xf borderId="0" fillId="0" fontId="2" numFmtId="0" xfId="0" applyAlignment="1" applyFont="1">
      <alignment horizontal="center"/>
    </xf>
    <xf borderId="0" fillId="0" fontId="2" numFmtId="0" xfId="0" applyAlignment="1" applyFont="1">
      <alignment shrinkToFit="0" wrapText="1"/>
    </xf>
    <xf borderId="0" fillId="0" fontId="2" numFmtId="0" xfId="0" applyAlignment="1" applyFont="1">
      <alignment horizontal="center" shrinkToFit="0" wrapText="1"/>
    </xf>
    <xf borderId="0" fillId="0" fontId="6" numFmtId="0" xfId="0" applyAlignment="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iago Tadeu" id="{0346b2f9-23cf-445c-89b6-820b16ac813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11-07T19:30:25.00" personId="{0346b2f9-23cf-445c-89b6-820b16ac8139}" id="{c60bd629-5a80-4c90-9c37-b8f505c3a43b}" done="0">
    <x18tc:text xml:space="preserve">Inserido por Hiago, com a finalidade de aparecer no mapa de emendas.</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camara.leg.br/internet/comissao/index/mista/orca/orcamento/OR2020/emendas/despesa/ANDRELUF_AV_LOA_AUTOR_7122.pdf" TargetMode="External"/><Relationship Id="rId22" Type="http://schemas.openxmlformats.org/officeDocument/2006/relationships/hyperlink" Target="https://www.camara.leg.br/internet/comissao/index/mista/orca/orcamento/OR2020/emendas/despesa/ANDRELUF_AV_LOA_AUTOR_7122.pdf" TargetMode="External"/><Relationship Id="rId21" Type="http://schemas.openxmlformats.org/officeDocument/2006/relationships/hyperlink" Target="https://www.camara.leg.br/internet/comissao/index/mista/orca/orcamento/OR2020/emendas/despesa/ANDRELUF_AV_LOA_AUTOR_7122.pdf" TargetMode="External"/><Relationship Id="rId24" Type="http://schemas.openxmlformats.org/officeDocument/2006/relationships/hyperlink" Target="https://www.camara.leg.br/internet/comissao/index/mista/orca/orcamento/OR2020/emendas/despesa/ANDRELUF_AV_LOA_AUTOR_7122.pdf" TargetMode="External"/><Relationship Id="rId23" Type="http://schemas.openxmlformats.org/officeDocument/2006/relationships/hyperlink" Target="https://www.camara.leg.br/internet/comissao/index/mista/orca/orcamento/OR2020/emendas/despesa/ANDRELUF_AV_LOA_AUTOR_7122.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camara.leg.br/internet/comissao/index/mista/orca/orcamento/OR2020/emendas/despesa/ANDRELUF_AV_LOA_AUTOR_7122.pdf" TargetMode="External"/><Relationship Id="rId9" Type="http://schemas.openxmlformats.org/officeDocument/2006/relationships/hyperlink" Target="https://www.camara.leg.br/internet/comissao/index/mista/orca/orcamento/OR2020/emendas/despesa/ANDRELUF_AV_LOA_AUTOR_7122.pdf" TargetMode="External"/><Relationship Id="rId26" Type="http://schemas.openxmlformats.org/officeDocument/2006/relationships/hyperlink" Target="https://www.camara.leg.br/internet/comissao/index/mista/orca/orcamento/OR2020/emendas/despesa/ANDRELUF_AV_LOA_AUTOR_7122.pdf" TargetMode="External"/><Relationship Id="rId25" Type="http://schemas.openxmlformats.org/officeDocument/2006/relationships/hyperlink" Target="https://www.camara.leg.br/internet/comissao/index/mista/orca/orcamento/OR2020/emendas/despesa/ANDRELUF_AV_LOA_AUTOR_7122.pdf" TargetMode="External"/><Relationship Id="rId28" Type="http://schemas.openxmlformats.org/officeDocument/2006/relationships/hyperlink" Target="https://www.camara.leg.br/internet/comissao/index/mista/orca/orcamento/OR2020/emendas/despesa/ANDRELUF_AV_LOA_AUTOR_7122.pdf" TargetMode="External"/><Relationship Id="rId27" Type="http://schemas.openxmlformats.org/officeDocument/2006/relationships/hyperlink" Target="https://www.camara.leg.br/internet/comissao/index/mista/orca/orcamento/OR2020/emendas/despesa/ANDRELUF_AV_LOA_AUTOR_7122.pdf" TargetMode="External"/><Relationship Id="rId5" Type="http://schemas.openxmlformats.org/officeDocument/2006/relationships/hyperlink" Target="https://www.camara.leg.br/internet/comissao/index/mista/orca/orcamento/OR2020/emendas/despesa/ANDRELUF_AV_LOA_AUTOR_7122.pdf" TargetMode="External"/><Relationship Id="rId6" Type="http://schemas.openxmlformats.org/officeDocument/2006/relationships/hyperlink" Target="https://www.camara.leg.br/internet/comissao/index/mista/orca/orcamento/OR2020/emendas/despesa/ANDRELUF_AV_LOA_AUTOR_7122.pdf" TargetMode="External"/><Relationship Id="rId29" Type="http://schemas.openxmlformats.org/officeDocument/2006/relationships/hyperlink" Target="https://www.camara.leg.br/internet/comissao/index/mista/orca/orcamento/OR2020/emendas/despesa/ANDRELUF_AV_LOA_AUTOR_7122.pdf" TargetMode="External"/><Relationship Id="rId7" Type="http://schemas.openxmlformats.org/officeDocument/2006/relationships/hyperlink" Target="https://www.camara.leg.br/internet/comissao/index/mista/orca/orcamento/OR2020/emendas/despesa/ANDRELUF_AV_LOA_AUTOR_7122.pdf" TargetMode="External"/><Relationship Id="rId8" Type="http://schemas.openxmlformats.org/officeDocument/2006/relationships/hyperlink" Target="https://www.camara.leg.br/internet/comissao/index/mista/orca/orcamento/OR2020/emendas/despesa/ANDRELUF_AV_LOA_AUTOR_7122.pdf" TargetMode="External"/><Relationship Id="rId31" Type="http://schemas.openxmlformats.org/officeDocument/2006/relationships/hyperlink" Target="https://www.camara.leg.br/internet/comissao/index/mista/orca/orcamento/OR2020/emendas/despesa/ANDRELUF_AV_LOA_AUTOR_7122.pdf" TargetMode="External"/><Relationship Id="rId30" Type="http://schemas.openxmlformats.org/officeDocument/2006/relationships/hyperlink" Target="https://www.camara.leg.br/internet/comissao/index/mista/orca/orcamento/OR2020/emendas/despesa/ANDRELUF_AV_LOA_AUTOR_7122.pdf" TargetMode="External"/><Relationship Id="rId11" Type="http://schemas.openxmlformats.org/officeDocument/2006/relationships/hyperlink" Target="https://www.camara.leg.br/internet/comissao/index/mista/orca/orcamento/OR2020/emendas/despesa/ANDRELUF_AV_LOA_AUTOR_7122.pdf" TargetMode="External"/><Relationship Id="rId33" Type="http://schemas.openxmlformats.org/officeDocument/2006/relationships/hyperlink" Target="https://www.camara.leg.br/internet/comissao/index/mista/orca/orcamento/OR2020/emendas/despesa/ANDRELUF_AV_LOA_AUTOR_7122.pdf" TargetMode="External"/><Relationship Id="rId10" Type="http://schemas.openxmlformats.org/officeDocument/2006/relationships/hyperlink" Target="https://www.camara.leg.br/internet/comissao/index/mista/orca/orcamento/OR2020/emendas/despesa/ANDRELUF_AV_LOA_AUTOR_7122.pdf" TargetMode="External"/><Relationship Id="rId32" Type="http://schemas.openxmlformats.org/officeDocument/2006/relationships/hyperlink" Target="https://www.camara.leg.br/internet/comissao/index/mista/orca/orcamento/OR2020/emendas/despesa/ANDRELUF_AV_LOA_AUTOR_7122.pdf" TargetMode="External"/><Relationship Id="rId13" Type="http://schemas.openxmlformats.org/officeDocument/2006/relationships/hyperlink" Target="https://www.camara.leg.br/internet/comissao/index/mista/orca/orcamento/OR2020/emendas/despesa/ANDRELUF_AV_LOA_AUTOR_7122.pdf" TargetMode="External"/><Relationship Id="rId35" Type="http://schemas.openxmlformats.org/officeDocument/2006/relationships/vmlDrawing" Target="../drawings/vmlDrawing1.vml"/><Relationship Id="rId12" Type="http://schemas.openxmlformats.org/officeDocument/2006/relationships/hyperlink" Target="https://www.camara.leg.br/internet/comissao/index/mista/orca/orcamento/OR2020/emendas/despesa/ANDRELUF_AV_LOA_AUTOR_7122.pdf" TargetMode="External"/><Relationship Id="rId34" Type="http://schemas.openxmlformats.org/officeDocument/2006/relationships/drawing" Target="../drawings/drawing1.xml"/><Relationship Id="rId15" Type="http://schemas.openxmlformats.org/officeDocument/2006/relationships/hyperlink" Target="https://www.camara.leg.br/internet/comissao/index/mista/orca/orcamento/OR2020/emendas/despesa/ANDRELUF_AV_LOA_AUTOR_7122.pdf" TargetMode="External"/><Relationship Id="rId14" Type="http://schemas.openxmlformats.org/officeDocument/2006/relationships/hyperlink" Target="https://www.camara.leg.br/internet/comissao/index/mista/orca/orcamento/OR2020/emendas/despesa/ANDRELUF_AV_LOA_AUTOR_7122.pdf" TargetMode="External"/><Relationship Id="rId17" Type="http://schemas.openxmlformats.org/officeDocument/2006/relationships/hyperlink" Target="https://www.camara.leg.br/internet/comissao/index/mista/orca/orcamento/OR2020/emendas/despesa/ANDRELUF_AV_LOA_AUTOR_7122.pdf" TargetMode="External"/><Relationship Id="rId16" Type="http://schemas.openxmlformats.org/officeDocument/2006/relationships/hyperlink" Target="https://www.camara.leg.br/internet/comissao/index/mista/orca/orcamento/OR2020/emendas/despesa/ANDRELUF_AV_LOA_AUTOR_7122.pdf" TargetMode="External"/><Relationship Id="rId19" Type="http://schemas.openxmlformats.org/officeDocument/2006/relationships/hyperlink" Target="https://www.camara.leg.br/internet/comissao/index/mista/orca/orcamento/OR2020/emendas/despesa/ANDRELUF_AV_LOA_AUTOR_7122.pdf" TargetMode="External"/><Relationship Id="rId18" Type="http://schemas.openxmlformats.org/officeDocument/2006/relationships/hyperlink" Target="https://www.camara.leg.br/internet/comissao/index/mista/orca/orcamento/OR2020/emendas/despesa/ANDRELUF_AV_LOA_AUTOR_7122.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mCz2mZU6VW77kVuqa9wnRbEiD-TvMQMu/view?usp=sharing" TargetMode="External"/><Relationship Id="rId42" Type="http://schemas.openxmlformats.org/officeDocument/2006/relationships/hyperlink" Target="https://www.facebook.com/watch/?extid=SEO----&amp;v=274761207761657" TargetMode="External"/><Relationship Id="rId41" Type="http://schemas.openxmlformats.org/officeDocument/2006/relationships/hyperlink" Target="https://drive.google.com/file/d/1dA-xI-LIxcR9fUfK2Teoul4ATJp55IX9/view?usp=sharing" TargetMode="External"/><Relationship Id="rId44" Type="http://schemas.openxmlformats.org/officeDocument/2006/relationships/hyperlink" Target="https://drive.google.com/open?id=1xM1yRvfJ0To3f4eNBd5t3jKR7XnxUZ0V" TargetMode="External"/><Relationship Id="rId43" Type="http://schemas.openxmlformats.org/officeDocument/2006/relationships/hyperlink" Target="https://drive.google.com/file/d/1mCz2mZU6VW77kVuqa9wnRbEiD-TvMQMu/view?usp=sharing" TargetMode="External"/><Relationship Id="rId46" Type="http://schemas.openxmlformats.org/officeDocument/2006/relationships/hyperlink" Target="https://www.primeirahora.rs/web/noticias/19911/polcia-civil-de-so-jos-do-hortncio-recebe-nova-viatura-semiblindada" TargetMode="External"/><Relationship Id="rId45" Type="http://schemas.openxmlformats.org/officeDocument/2006/relationships/hyperlink" Target="https://drive.google.com/open?id=188ZgP7AVxaIKAfpYmcOFHpGdohpAovsN" TargetMode="External"/><Relationship Id="rId1" Type="http://schemas.openxmlformats.org/officeDocument/2006/relationships/hyperlink" Target="https://drive.google.com/file/d/13UJPbFK0izb7oc7oPflF1d60qA_i3jsW/view?usp=sharing" TargetMode="External"/><Relationship Id="rId2" Type="http://schemas.openxmlformats.org/officeDocument/2006/relationships/hyperlink" Target="https://drive.google.com/file/d/1WlGh1kHSwuugd7ZkBZBGgSXTxeI_v28C/view?usp=sharing" TargetMode="External"/><Relationship Id="rId3" Type="http://schemas.openxmlformats.org/officeDocument/2006/relationships/hyperlink" Target="https://drive.google.com/file/d/1WlGh1kHSwuugd7ZkBZBGgSXTxeI_v28C/view?usp=sharing" TargetMode="External"/><Relationship Id="rId4" Type="http://schemas.openxmlformats.org/officeDocument/2006/relationships/hyperlink" Target="https://drive.google.com/file/d/1dA-xI-LIxcR9fUfK2Teoul4ATJp55IX9/view?usp=sharing" TargetMode="External"/><Relationship Id="rId9" Type="http://schemas.openxmlformats.org/officeDocument/2006/relationships/hyperlink" Target="https://drive.google.com/file/d/1HFuozWEpW-69Bac0gN8IIG7uNPATNnEg/view?usp=sharing" TargetMode="External"/><Relationship Id="rId48" Type="http://schemas.openxmlformats.org/officeDocument/2006/relationships/hyperlink" Target="https://drive.google.com/open?id=1XMidcmecSY7y0kVeVo6PC9FF7OXlp7QX" TargetMode="External"/><Relationship Id="rId47" Type="http://schemas.openxmlformats.org/officeDocument/2006/relationships/hyperlink" Target="https://drive.google.com/open?id=1P3jAEGWvd_y5wGA_glK6yFHkwz-nb2hU" TargetMode="External"/><Relationship Id="rId49" Type="http://schemas.openxmlformats.org/officeDocument/2006/relationships/hyperlink" Target="https://drive.google.com/open?id=1-1YSc6-qHIu_sYvuS9cky8UmtR32yt5w" TargetMode="External"/><Relationship Id="rId5" Type="http://schemas.openxmlformats.org/officeDocument/2006/relationships/hyperlink" Target="https://drive.google.com/file/d/100R98VIt1lNeUjjwm3cteeyTBJBt15O-/view?usp=sharing" TargetMode="External"/><Relationship Id="rId6" Type="http://schemas.openxmlformats.org/officeDocument/2006/relationships/hyperlink" Target="https://drive.google.com/file/d/1HFuozWEpW-69Bac0gN8IIG7uNPATNnEg/view?usp=sharing" TargetMode="External"/><Relationship Id="rId7" Type="http://schemas.openxmlformats.org/officeDocument/2006/relationships/hyperlink" Target="https://drive.google.com/open?id=1aL4TlCcRuZ6KjDxbeWjlJc6erT2tVJQe" TargetMode="External"/><Relationship Id="rId8" Type="http://schemas.openxmlformats.org/officeDocument/2006/relationships/hyperlink" Target="https://drive.google.com/file/d/1dA-xI-LIxcR9fUfK2Teoul4ATJp55IX9/view?usp=sharing" TargetMode="External"/><Relationship Id="rId31" Type="http://schemas.openxmlformats.org/officeDocument/2006/relationships/hyperlink" Target="https://drive.google.com/file/d/1d12Pvlf17mGPa5Mbtjy0ixgV_QkIzcMa/view?usp=sharing" TargetMode="External"/><Relationship Id="rId30" Type="http://schemas.openxmlformats.org/officeDocument/2006/relationships/hyperlink" Target="https://drive.google.com/file/d/1d12Pvlf17mGPa5Mbtjy0ixgV_QkIzcMa/view?usp=sharing" TargetMode="External"/><Relationship Id="rId33" Type="http://schemas.openxmlformats.org/officeDocument/2006/relationships/hyperlink" Target="https://drive.google.com/file/d/1d12Pvlf17mGPa5Mbtjy0ixgV_QkIzcMa/view?usp=sharing" TargetMode="External"/><Relationship Id="rId32" Type="http://schemas.openxmlformats.org/officeDocument/2006/relationships/hyperlink" Target="https://drive.google.com/file/d/1d12Pvlf17mGPa5Mbtjy0ixgV_QkIzcMa/view?usp=sharing" TargetMode="External"/><Relationship Id="rId35" Type="http://schemas.openxmlformats.org/officeDocument/2006/relationships/hyperlink" Target="https://drive.google.com/file/d/1d12Pvlf17mGPa5Mbtjy0ixgV_QkIzcMa/view?usp=sharing" TargetMode="External"/><Relationship Id="rId34" Type="http://schemas.openxmlformats.org/officeDocument/2006/relationships/hyperlink" Target="https://drive.google.com/file/d/1d12Pvlf17mGPa5Mbtjy0ixgV_QkIzcMa/view?usp=sharing" TargetMode="External"/><Relationship Id="rId37" Type="http://schemas.openxmlformats.org/officeDocument/2006/relationships/hyperlink" Target="https://drive.google.com/file/d/1d12Pvlf17mGPa5Mbtjy0ixgV_QkIzcMa/view?usp=sharing" TargetMode="External"/><Relationship Id="rId36" Type="http://schemas.openxmlformats.org/officeDocument/2006/relationships/hyperlink" Target="https://drive.google.com/file/d/1d12Pvlf17mGPa5Mbtjy0ixgV_QkIzcMa/view?usp=sharing" TargetMode="External"/><Relationship Id="rId39" Type="http://schemas.openxmlformats.org/officeDocument/2006/relationships/hyperlink" Target="https://drive.google.com/file/d/1z0Sm5HAnkqAcRLsVO6CusjDhOGmRDcIF/view?usp=sharing" TargetMode="External"/><Relationship Id="rId38" Type="http://schemas.openxmlformats.org/officeDocument/2006/relationships/hyperlink" Target="https://drive.google.com/file/d/1snCNLonqwErA_N4mdpMmTLDYHoa30OB3/view?usp=sharing" TargetMode="External"/><Relationship Id="rId20" Type="http://schemas.openxmlformats.org/officeDocument/2006/relationships/hyperlink" Target="https://drive.google.com/file/d/100R98VIt1lNeUjjwm3cteeyTBJBt15O-/view?usp=sharing" TargetMode="External"/><Relationship Id="rId22" Type="http://schemas.openxmlformats.org/officeDocument/2006/relationships/hyperlink" Target="https://drive.google.com/file/d/1dA-xI-LIxcR9fUfK2Teoul4ATJp55IX9/view?usp=sharing" TargetMode="External"/><Relationship Id="rId21" Type="http://schemas.openxmlformats.org/officeDocument/2006/relationships/hyperlink" Target="https://drive.google.com/open?id=1yVxCcmVcD4APakUWqdG3jbrQ_uHVkt8h" TargetMode="External"/><Relationship Id="rId24" Type="http://schemas.openxmlformats.org/officeDocument/2006/relationships/hyperlink" Target="https://drive.google.com/open?id=1xnrNDYdknilwXMtJ6TcTSG84bgp2nxK1" TargetMode="External"/><Relationship Id="rId23" Type="http://schemas.openxmlformats.org/officeDocument/2006/relationships/hyperlink" Target="https://drive.google.com/file/d/1mCz2mZU6VW77kVuqa9wnRbEiD-TvMQMu/view?usp=sharing" TargetMode="External"/><Relationship Id="rId26" Type="http://schemas.openxmlformats.org/officeDocument/2006/relationships/hyperlink" Target="https://drive.google.com/file/d/1dA-xI-LIxcR9fUfK2Teoul4ATJp55IX9/view?usp=sharing" TargetMode="External"/><Relationship Id="rId25" Type="http://schemas.openxmlformats.org/officeDocument/2006/relationships/hyperlink" Target="https://drive.google.com/file/d/1d12Pvlf17mGPa5Mbtjy0ixgV_QkIzcMa/view?usp=sharing" TargetMode="External"/><Relationship Id="rId28" Type="http://schemas.openxmlformats.org/officeDocument/2006/relationships/hyperlink" Target="https://www.facebook.com/watch/?extid=SEO----&amp;v=274761207761657" TargetMode="External"/><Relationship Id="rId27" Type="http://schemas.openxmlformats.org/officeDocument/2006/relationships/hyperlink" Target="https://drive.google.com/file/d/1dA-xI-LIxcR9fUfK2Teoul4ATJp55IX9/view?usp=sharing" TargetMode="External"/><Relationship Id="rId29" Type="http://schemas.openxmlformats.org/officeDocument/2006/relationships/hyperlink" Target="https://drive.google.com/file/d/100R98VIt1lNeUjjwm3cteeyTBJBt15O-/view?usp=sharing" TargetMode="External"/><Relationship Id="rId51" Type="http://schemas.openxmlformats.org/officeDocument/2006/relationships/hyperlink" Target="https://drive.google.com/open?id=1IoznEZofF-0pOtgcDUKiI35hkaFXohUz" TargetMode="External"/><Relationship Id="rId50" Type="http://schemas.openxmlformats.org/officeDocument/2006/relationships/hyperlink" Target="https://drive.google.com/open?id=1ojrLpQDGPv53im1NtuF60HvQpMRvIZeg" TargetMode="External"/><Relationship Id="rId53" Type="http://schemas.openxmlformats.org/officeDocument/2006/relationships/hyperlink" Target="https://drive.google.com/file/d/1aVbHDu-DKviaNACegsEerGDS8Nd_-893/view?usp=sharing" TargetMode="External"/><Relationship Id="rId52" Type="http://schemas.openxmlformats.org/officeDocument/2006/relationships/hyperlink" Target="https://drive.google.com/file/d/1aVbHDu-DKviaNACegsEerGDS8Nd_-893/view?usp=sharing" TargetMode="External"/><Relationship Id="rId11" Type="http://schemas.openxmlformats.org/officeDocument/2006/relationships/hyperlink" Target="https://drive.google.com/file/d/1zay9tOPtsNNVzpC6ZdFBF2vYKCbjoI0d/view?usp=sharing" TargetMode="External"/><Relationship Id="rId55" Type="http://schemas.openxmlformats.org/officeDocument/2006/relationships/hyperlink" Target="https://drive.google.com/file/d/1aVbHDu-DKviaNACegsEerGDS8Nd_-893/view?usp=sharing" TargetMode="External"/><Relationship Id="rId10" Type="http://schemas.openxmlformats.org/officeDocument/2006/relationships/hyperlink" Target="https://drive.google.com/open?id=1ztfp5Xwl3eTFFIOQpG2kNGu6li8USVam" TargetMode="External"/><Relationship Id="rId54" Type="http://schemas.openxmlformats.org/officeDocument/2006/relationships/hyperlink" Target="https://drive.google.com/file/d/1aVbHDu-DKviaNACegsEerGDS8Nd_-893/view?usp=sharing" TargetMode="External"/><Relationship Id="rId13" Type="http://schemas.openxmlformats.org/officeDocument/2006/relationships/hyperlink" Target="https://drive.google.com/file/d/1zay9tOPtsNNVzpC6ZdFBF2vYKCbjoI0d/view?usp=sharing" TargetMode="External"/><Relationship Id="rId57" Type="http://schemas.openxmlformats.org/officeDocument/2006/relationships/hyperlink" Target="https://drive.google.com/file/d/1HFuozWEpW-69Bac0gN8IIG7uNPATNnEg/view?usp=sharing" TargetMode="External"/><Relationship Id="rId12" Type="http://schemas.openxmlformats.org/officeDocument/2006/relationships/hyperlink" Target="https://drive.google.com/open?id=10mYrEJyAyHP-Lmi3w4MTScPOJxfw0cdg" TargetMode="External"/><Relationship Id="rId56" Type="http://schemas.openxmlformats.org/officeDocument/2006/relationships/hyperlink" Target="https://drive.google.com/file/d/1aVbHDu-DKviaNACegsEerGDS8Nd_-893/view?usp=sharing" TargetMode="External"/><Relationship Id="rId15" Type="http://schemas.openxmlformats.org/officeDocument/2006/relationships/hyperlink" Target="https://drive.google.com/open?id=1j0K9osA10cCunagvL0GTED-6w8Mokzo8" TargetMode="External"/><Relationship Id="rId59" Type="http://schemas.openxmlformats.org/officeDocument/2006/relationships/drawing" Target="../drawings/drawing6.xml"/><Relationship Id="rId14" Type="http://schemas.openxmlformats.org/officeDocument/2006/relationships/hyperlink" Target="https://drive.google.com/file/d/1zay9tOPtsNNVzpC6ZdFBF2vYKCbjoI0d/view?usp=sharing" TargetMode="External"/><Relationship Id="rId58" Type="http://schemas.openxmlformats.org/officeDocument/2006/relationships/hyperlink" Target="https://drive.google.com/file/d/1yonAHlCerIqzVP-hw2Ps4plFF2TWlLr3/view?usp=sharing" TargetMode="External"/><Relationship Id="rId17" Type="http://schemas.openxmlformats.org/officeDocument/2006/relationships/hyperlink" Target="https://drive.google.com/open?id=1cZ_hV_fbZXTmQP_PLDCyVHyWQC1SMGW2" TargetMode="External"/><Relationship Id="rId16" Type="http://schemas.openxmlformats.org/officeDocument/2006/relationships/hyperlink" Target="https://drive.google.com/open?id=1Agv-3pTULJG50K9Xz5aaUtJFgxXi1FZ3" TargetMode="External"/><Relationship Id="rId19" Type="http://schemas.openxmlformats.org/officeDocument/2006/relationships/hyperlink" Target="https://drive.google.com/open?id=14B9ZElFlCZSWjAyQy-lwkz6P_x27HA27" TargetMode="External"/><Relationship Id="rId18" Type="http://schemas.openxmlformats.org/officeDocument/2006/relationships/hyperlink" Target="https://drive.google.com/open?id=1u65kxRbekiiWARxCMGi29waOcbCJFsQ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amara.leg.br/internet/comissao/index/mista/orca/orcamento/OR2020/emendas/despesa/ANDRELUF_AV_LOA_AUTOR_7122.pdf" TargetMode="External"/><Relationship Id="rId2" Type="http://schemas.openxmlformats.org/officeDocument/2006/relationships/hyperlink" Target="https://www.camara.leg.br/internet/comissao/index/mista/orca/orcamento/OR2020/emendas/despesa/ANDRELUF_AV_LOA_AUTOR_7122.pdf" TargetMode="External"/><Relationship Id="rId3" Type="http://schemas.openxmlformats.org/officeDocument/2006/relationships/hyperlink" Target="https://www.camara.leg.br/internet/comissao/index/mista/orca/orcamento/OR2020/emendas/despesa/ANDRELUF_AV_LOA_AUTOR_7122.pdf" TargetMode="External"/><Relationship Id="rId4" Type="http://schemas.openxmlformats.org/officeDocument/2006/relationships/hyperlink" Target="https://www.camara.leg.br/internet/comissao/index/mista/orca/orcamento/OR2020/emendas/despesa/ANDRELUF_AV_LOA_AUTOR_7122.pdf" TargetMode="External"/><Relationship Id="rId9" Type="http://schemas.openxmlformats.org/officeDocument/2006/relationships/hyperlink" Target="https://www.camara.leg.br/internet/comissao/index/mista/orca/orcamento/OR2020/emendas/despesa/ANDRELUF_AV_LOA_AUTOR_7122.pdf" TargetMode="External"/><Relationship Id="rId5" Type="http://schemas.openxmlformats.org/officeDocument/2006/relationships/hyperlink" Target="https://www.camara.leg.br/internet/comissao/index/mista/orca/orcamento/OR2020/emendas/despesa/ANDRELUF_AV_LOA_AUTOR_7122.pdf" TargetMode="External"/><Relationship Id="rId6" Type="http://schemas.openxmlformats.org/officeDocument/2006/relationships/hyperlink" Target="https://www.camara.leg.br/internet/comissao/index/mista/orca/orcamento/OR2020/emendas/despesa/ANDRELUF_AV_LOA_AUTOR_7122.pdf" TargetMode="External"/><Relationship Id="rId7" Type="http://schemas.openxmlformats.org/officeDocument/2006/relationships/hyperlink" Target="https://www.camara.leg.br/internet/comissao/index/mista/orca/orcamento/OR2020/emendas/despesa/ANDRELUF_AV_LOA_AUTOR_7122.pdf" TargetMode="External"/><Relationship Id="rId8" Type="http://schemas.openxmlformats.org/officeDocument/2006/relationships/hyperlink" Target="https://www.camara.leg.br/internet/comissao/index/mista/orca/orcamento/OR2020/emendas/despesa/ANDRELUF_AV_LOA_AUTOR_7122.pdf" TargetMode="External"/><Relationship Id="rId31" Type="http://schemas.openxmlformats.org/officeDocument/2006/relationships/hyperlink" Target="https://www.camara.leg.br/internet/comissao/index/mista/orca/orcamento/OR2020/emendas/despesa/ANDRELUF_AV_LOA_AUTOR_7122.pdf" TargetMode="External"/><Relationship Id="rId30" Type="http://schemas.openxmlformats.org/officeDocument/2006/relationships/hyperlink" Target="https://www.camara.leg.br/internet/comissao/index/mista/orca/orcamento/OR2020/emendas/despesa/ANDRELUF_AV_LOA_AUTOR_7122.pdf" TargetMode="External"/><Relationship Id="rId32" Type="http://schemas.openxmlformats.org/officeDocument/2006/relationships/drawing" Target="../drawings/drawing7.xml"/><Relationship Id="rId20" Type="http://schemas.openxmlformats.org/officeDocument/2006/relationships/hyperlink" Target="https://www.camara.leg.br/internet/comissao/index/mista/orca/orcamento/OR2020/emendas/despesa/ANDRELUF_AV_LOA_AUTOR_7122.pdf" TargetMode="External"/><Relationship Id="rId22" Type="http://schemas.openxmlformats.org/officeDocument/2006/relationships/hyperlink" Target="https://www.camara.leg.br/internet/comissao/index/mista/orca/orcamento/OR2020/emendas/despesa/ANDRELUF_AV_LOA_AUTOR_7122.pdf" TargetMode="External"/><Relationship Id="rId21" Type="http://schemas.openxmlformats.org/officeDocument/2006/relationships/hyperlink" Target="https://www.camara.leg.br/internet/comissao/index/mista/orca/orcamento/OR2020/emendas/despesa/ANDRELUF_AV_LOA_AUTOR_7122.pdf" TargetMode="External"/><Relationship Id="rId24" Type="http://schemas.openxmlformats.org/officeDocument/2006/relationships/hyperlink" Target="https://www.camara.leg.br/internet/comissao/index/mista/orca/orcamento/OR2020/emendas/despesa/ANDRELUF_AV_LOA_AUTOR_7122.pdf" TargetMode="External"/><Relationship Id="rId23" Type="http://schemas.openxmlformats.org/officeDocument/2006/relationships/hyperlink" Target="https://www.camara.leg.br/internet/comissao/index/mista/orca/orcamento/OR2020/emendas/despesa/ANDRELUF_AV_LOA_AUTOR_7122.pdf" TargetMode="External"/><Relationship Id="rId26" Type="http://schemas.openxmlformats.org/officeDocument/2006/relationships/hyperlink" Target="https://www.camara.leg.br/internet/comissao/index/mista/orca/orcamento/OR2020/emendas/despesa/ANDRELUF_AV_LOA_AUTOR_7122.pdf" TargetMode="External"/><Relationship Id="rId25" Type="http://schemas.openxmlformats.org/officeDocument/2006/relationships/hyperlink" Target="https://www.camara.leg.br/internet/comissao/index/mista/orca/orcamento/OR2020/emendas/despesa/ANDRELUF_AV_LOA_AUTOR_7122.pdf" TargetMode="External"/><Relationship Id="rId28" Type="http://schemas.openxmlformats.org/officeDocument/2006/relationships/hyperlink" Target="https://www.camara.leg.br/internet/comissao/index/mista/orca/orcamento/OR2020/emendas/despesa/ANDRELUF_AV_LOA_AUTOR_7122.pdf" TargetMode="External"/><Relationship Id="rId27" Type="http://schemas.openxmlformats.org/officeDocument/2006/relationships/hyperlink" Target="https://www.camara.leg.br/internet/comissao/index/mista/orca/orcamento/OR2020/emendas/despesa/ANDRELUF_AV_LOA_AUTOR_7122.pdf" TargetMode="External"/><Relationship Id="rId29" Type="http://schemas.openxmlformats.org/officeDocument/2006/relationships/hyperlink" Target="https://www.camara.leg.br/internet/comissao/index/mista/orca/orcamento/OR2020/emendas/despesa/ANDRELUF_AV_LOA_AUTOR_7122.pdf" TargetMode="External"/><Relationship Id="rId11" Type="http://schemas.openxmlformats.org/officeDocument/2006/relationships/hyperlink" Target="https://www.camara.leg.br/internet/comissao/index/mista/orca/orcamento/OR2020/emendas/despesa/ANDRELUF_AV_LOA_AUTOR_7122.pdf" TargetMode="External"/><Relationship Id="rId10" Type="http://schemas.openxmlformats.org/officeDocument/2006/relationships/hyperlink" Target="https://www.camara.leg.br/internet/comissao/index/mista/orca/orcamento/OR2020/emendas/despesa/ANDRELUF_AV_LOA_AUTOR_7122.pdf" TargetMode="External"/><Relationship Id="rId13" Type="http://schemas.openxmlformats.org/officeDocument/2006/relationships/hyperlink" Target="https://www.camara.leg.br/internet/comissao/index/mista/orca/orcamento/OR2020/emendas/despesa/ANDRELUF_AV_LOA_AUTOR_7122.pdf" TargetMode="External"/><Relationship Id="rId12" Type="http://schemas.openxmlformats.org/officeDocument/2006/relationships/hyperlink" Target="https://www.camara.leg.br/internet/comissao/index/mista/orca/orcamento/OR2020/emendas/despesa/ANDRELUF_AV_LOA_AUTOR_7122.pdf" TargetMode="External"/><Relationship Id="rId15" Type="http://schemas.openxmlformats.org/officeDocument/2006/relationships/hyperlink" Target="https://www.camara.leg.br/internet/comissao/index/mista/orca/orcamento/OR2020/emendas/despesa/ANDRELUF_AV_LOA_AUTOR_7122.pdf" TargetMode="External"/><Relationship Id="rId14" Type="http://schemas.openxmlformats.org/officeDocument/2006/relationships/hyperlink" Target="https://www.camara.leg.br/internet/comissao/index/mista/orca/orcamento/OR2020/emendas/despesa/ANDRELUF_AV_LOA_AUTOR_7122.pdf" TargetMode="External"/><Relationship Id="rId17" Type="http://schemas.openxmlformats.org/officeDocument/2006/relationships/hyperlink" Target="https://www.camara.leg.br/internet/comissao/index/mista/orca/orcamento/OR2020/emendas/despesa/ANDRELUF_AV_LOA_AUTOR_7122.pdf" TargetMode="External"/><Relationship Id="rId16" Type="http://schemas.openxmlformats.org/officeDocument/2006/relationships/hyperlink" Target="https://www.camara.leg.br/internet/comissao/index/mista/orca/orcamento/OR2020/emendas/despesa/ANDRELUF_AV_LOA_AUTOR_7122.pdf" TargetMode="External"/><Relationship Id="rId19" Type="http://schemas.openxmlformats.org/officeDocument/2006/relationships/hyperlink" Target="https://www.camara.leg.br/internet/comissao/index/mista/orca/orcamento/OR2020/emendas/despesa/ANDRELUF_AV_LOA_AUTOR_7122.pdf" TargetMode="External"/><Relationship Id="rId18" Type="http://schemas.openxmlformats.org/officeDocument/2006/relationships/hyperlink" Target="https://www.camara.leg.br/internet/comissao/index/mista/orca/orcamento/OR2020/emendas/despesa/ANDRELUF_AV_LOA_AUTOR_7122.pdf"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d12Pvlf17mGPa5Mbtjy0ixgV_QkIzcMa/view?usp=sharing" TargetMode="External"/><Relationship Id="rId42" Type="http://schemas.openxmlformats.org/officeDocument/2006/relationships/hyperlink" Target="https://www.camara.leg.br/internet/comissao/index/mista/orca/orcamento/OR2020/emendas/despesa/ANDRELUF_AV_LOA_AUTOR_7122.pdf" TargetMode="External"/><Relationship Id="rId41" Type="http://schemas.openxmlformats.org/officeDocument/2006/relationships/hyperlink" Target="https://drive.google.com/file/d/1dA-xI-LIxcR9fUfK2Teoul4ATJp55IX9/view?usp=sharing" TargetMode="External"/><Relationship Id="rId44" Type="http://schemas.openxmlformats.org/officeDocument/2006/relationships/hyperlink" Target="https://www.camara.leg.br/internet/comissao/index/mista/orca/orcamento/OR2020/emendas/despesa/ANDRELUF_AV_LOA_AUTOR_7122.pdf" TargetMode="External"/><Relationship Id="rId43" Type="http://schemas.openxmlformats.org/officeDocument/2006/relationships/hyperlink" Target="https://drive.google.com/file/d/1mXZAuOSME4pQqEZuv4go-THDPtv0HMgX/view?usp=sharing" TargetMode="External"/><Relationship Id="rId46" Type="http://schemas.openxmlformats.org/officeDocument/2006/relationships/hyperlink" Target="https://www.camara.leg.br/internet/comissao/index/mista/orca/orcamento/OR2020/emendas/despesa/ANDRELUF_AV_LOA_AUTOR_7122.pdf" TargetMode="External"/><Relationship Id="rId45" Type="http://schemas.openxmlformats.org/officeDocument/2006/relationships/hyperlink" Target="https://drive.google.com/file/d/1qGTOlIgk-36ReF-OFCIQCopSE__m1Ba1/view?usp=sharing" TargetMode="External"/><Relationship Id="rId107" Type="http://schemas.openxmlformats.org/officeDocument/2006/relationships/hyperlink" Target="https://drive.google.com/file/d/1Df5G9XXlGyc1bAw2UMGi4acbV154nLNF/view?usp=sharing" TargetMode="External"/><Relationship Id="rId106" Type="http://schemas.openxmlformats.org/officeDocument/2006/relationships/hyperlink" Target="https://www.camara.leg.br/internet/comissao/index/mista/orca/orcamento/OR2020/emendas/despesa/ANDRELUF_AV_LOA_AUTOR_7122.pdf" TargetMode="External"/><Relationship Id="rId105" Type="http://schemas.openxmlformats.org/officeDocument/2006/relationships/hyperlink" Target="https://drive.google.com/file/d/1dAF_3btktWoIWwgzredtzJoiEjOh_d_r/view?usp=sharing" TargetMode="External"/><Relationship Id="rId104" Type="http://schemas.openxmlformats.org/officeDocument/2006/relationships/hyperlink" Target="https://drive.google.com/file/d/1aDObxpbsBjwlksXrkLajbqjPN4rHK6G6/view?usp=sharing" TargetMode="External"/><Relationship Id="rId109" Type="http://schemas.openxmlformats.org/officeDocument/2006/relationships/hyperlink" Target="https://www.primeirahora.rs/web/noticias/19911/polcia-civil-de-so-jos-do-hortncio-recebe-nova-viatura-semiblindada" TargetMode="External"/><Relationship Id="rId108" Type="http://schemas.openxmlformats.org/officeDocument/2006/relationships/hyperlink" Target="https://drive.google.com/file/d/1CmMO5spgPFn8fwOQd-qWMeLFZnGlUKCw/view?usp=sharing" TargetMode="External"/><Relationship Id="rId48" Type="http://schemas.openxmlformats.org/officeDocument/2006/relationships/hyperlink" Target="https://drive.google.com/file/d/127Kht2H2qPS_n-vtKeF9V_jw7OkAD6MF/view?usp=sharing" TargetMode="External"/><Relationship Id="rId47" Type="http://schemas.openxmlformats.org/officeDocument/2006/relationships/hyperlink" Target="https://drive.google.com/file/d/1dA-xI-LIxcR9fUfK2Teoul4ATJp55IX9/view?usp=sharing" TargetMode="External"/><Relationship Id="rId49" Type="http://schemas.openxmlformats.org/officeDocument/2006/relationships/hyperlink" Target="https://drive.google.com/file/d/1Zk6ewpMQdFlieciB_LAxMwPaXCylCugH/view?usp=sharing" TargetMode="External"/><Relationship Id="rId103" Type="http://schemas.openxmlformats.org/officeDocument/2006/relationships/hyperlink" Target="https://drive.google.com/file/d/1lDGVtCDc_glV46c1XC81i_gS0OxRUj5I/view?usp=sharing" TargetMode="External"/><Relationship Id="rId102" Type="http://schemas.openxmlformats.org/officeDocument/2006/relationships/hyperlink" Target="https://drive.google.com/file/d/14DrP3Cc1ZYpVu7GePMKjKymMmwMOJ9X6/view?usp=sharing" TargetMode="External"/><Relationship Id="rId101" Type="http://schemas.openxmlformats.org/officeDocument/2006/relationships/hyperlink" Target="https://www.camara.leg.br/internet/comissao/index/mista/orca/orcamento/OR2020/emendas/despesa/ANDRELUF_AV_LOA_AUTOR_7122.pdf" TargetMode="External"/><Relationship Id="rId100" Type="http://schemas.openxmlformats.org/officeDocument/2006/relationships/hyperlink" Target="https://drive.google.com/file/d/1mCz2mZU6VW77kVuqa9wnRbEiD-TvMQMu/view?usp=sharing" TargetMode="External"/><Relationship Id="rId31" Type="http://schemas.openxmlformats.org/officeDocument/2006/relationships/hyperlink" Target="https://www.correiodopovo.com.br/not%C3%ADcias/cidades/dois-irm%C3%A3os-inaugura-novos-leitos-nesta-segunda-feira-1.605680" TargetMode="External"/><Relationship Id="rId30" Type="http://schemas.openxmlformats.org/officeDocument/2006/relationships/hyperlink" Target="https://www.camara.leg.br/internet/comissao/index/mista/orca/orcamento/OR2020/emendas/despesa/ANDRELUF_AV_LOA_AUTOR_7122.pdf" TargetMode="External"/><Relationship Id="rId33" Type="http://schemas.openxmlformats.org/officeDocument/2006/relationships/hyperlink" Target="https://drive.google.com/file/d/1fXbFw2jmJcRgxas4NM8iEdXZV-o76JTj/view?usp=sharing" TargetMode="External"/><Relationship Id="rId32" Type="http://schemas.openxmlformats.org/officeDocument/2006/relationships/hyperlink" Target="https://drive.google.com/file/d/1dA-xI-LIxcR9fUfK2Teoul4ATJp55IX9/view?usp=sharing" TargetMode="External"/><Relationship Id="rId35" Type="http://schemas.openxmlformats.org/officeDocument/2006/relationships/hyperlink" Target="https://drive.google.com/file/d/1HFuozWEpW-69Bac0gN8IIG7uNPATNnEg/view?usp=sharing" TargetMode="External"/><Relationship Id="rId34" Type="http://schemas.openxmlformats.org/officeDocument/2006/relationships/hyperlink" Target="https://drive.google.com/file/d/1EDe-Uaa-tw0e6ckceh3L6d5-JBOhBqpK/view?usp=sharing" TargetMode="External"/><Relationship Id="rId37" Type="http://schemas.openxmlformats.org/officeDocument/2006/relationships/hyperlink" Target="https://drive.google.com/file/d/1dA-xI-LIxcR9fUfK2Teoul4ATJp55IX9/view?usp=sharing" TargetMode="External"/><Relationship Id="rId36" Type="http://schemas.openxmlformats.org/officeDocument/2006/relationships/hyperlink" Target="https://www.camara.leg.br/internet/comissao/index/mista/orca/orcamento/OR2020/emendas/despesa/ANDRELUF_AV_LOA_AUTOR_7122.pdf" TargetMode="External"/><Relationship Id="rId39" Type="http://schemas.openxmlformats.org/officeDocument/2006/relationships/hyperlink" Target="http://marcelvanhattem.com.br/2020/wp-content/uploads/2021/09/EMENDA-TURISMO-2021.pdf" TargetMode="External"/><Relationship Id="rId38" Type="http://schemas.openxmlformats.org/officeDocument/2006/relationships/hyperlink" Target="https://drive.google.com/file/d/1Sr6Eq5h5hRWhW_OPO4sJsd4gxNdwD8OC/view?usp=sharing" TargetMode="External"/><Relationship Id="rId20" Type="http://schemas.openxmlformats.org/officeDocument/2006/relationships/hyperlink" Target="https://www.camara.leg.br/internet/comissao/index/mista/orca/orcamento/OR2020/emendas/despesa/ANDRELUF_AV_LOA_AUTOR_7122.pdf" TargetMode="External"/><Relationship Id="rId22" Type="http://schemas.openxmlformats.org/officeDocument/2006/relationships/hyperlink" Target="https://www.camara.leg.br/internet/comissao/index/mista/orca/orcamento/OR2020/emendas/despesa/ANDRELUF_AV_LOA_AUTOR_7122.pdf" TargetMode="External"/><Relationship Id="rId21" Type="http://schemas.openxmlformats.org/officeDocument/2006/relationships/hyperlink" Target="https://www.camara.leg.br/internet/comissao/index/mista/orca/orcamento/OR2020/emendas/despesa/ANDRELUF_AV_LOA_AUTOR_7122.pdf" TargetMode="External"/><Relationship Id="rId24" Type="http://schemas.openxmlformats.org/officeDocument/2006/relationships/hyperlink" Target="https://www.camara.leg.br/internet/comissao/index/mista/orca/orcamento/OR2020/emendas/despesa/ANDRELUF_AV_LOA_AUTOR_7122.pdf" TargetMode="External"/><Relationship Id="rId23" Type="http://schemas.openxmlformats.org/officeDocument/2006/relationships/hyperlink" Target="https://drive.google.com/file/d/1SM5ISknl3pfK9h0Sa2isnorQbK9F32Td/view?usp=sharing" TargetMode="External"/><Relationship Id="rId128" Type="http://schemas.openxmlformats.org/officeDocument/2006/relationships/drawing" Target="../drawings/drawing8.xml"/><Relationship Id="rId127" Type="http://schemas.openxmlformats.org/officeDocument/2006/relationships/hyperlink" Target="https://drive.google.com/file/d/1iHCEQhM4YS-ioZsWMsr2Tcio3J1kMMwJ/view?usp=sharing" TargetMode="External"/><Relationship Id="rId126" Type="http://schemas.openxmlformats.org/officeDocument/2006/relationships/hyperlink" Target="https://drive.google.com/file/d/1yonAHlCerIqzVP-hw2Ps4plFF2TWlLr3/view?usp=sharing" TargetMode="External"/><Relationship Id="rId26" Type="http://schemas.openxmlformats.org/officeDocument/2006/relationships/hyperlink" Target="https://drive.google.com/file/d/1WQh8NHgMNEN0CVi-6Y9RIBEuR0LX7ILs/view?usp=sharing" TargetMode="External"/><Relationship Id="rId121" Type="http://schemas.openxmlformats.org/officeDocument/2006/relationships/hyperlink" Target="https://drive.google.com/file/d/1zay9tOPtsNNVzpC6ZdFBF2vYKCbjoI0d/view?usp=sharing" TargetMode="External"/><Relationship Id="rId25" Type="http://schemas.openxmlformats.org/officeDocument/2006/relationships/hyperlink" Target="https://www.camara.leg.br/internet/comissao/index/mista/orca/orcamento/OR2020/emendas/despesa/ANDRELUF_AV_LOA_AUTOR_7122.pdf" TargetMode="External"/><Relationship Id="rId120" Type="http://schemas.openxmlformats.org/officeDocument/2006/relationships/hyperlink" Target="https://drive.google.com/file/d/1zay9tOPtsNNVzpC6ZdFBF2vYKCbjoI0d/view?usp=sharing" TargetMode="External"/><Relationship Id="rId28" Type="http://schemas.openxmlformats.org/officeDocument/2006/relationships/hyperlink" Target="https://drive.google.com/file/d/1HFuozWEpW-69Bac0gN8IIG7uNPATNnEg/view?usp=sharing" TargetMode="External"/><Relationship Id="rId27" Type="http://schemas.openxmlformats.org/officeDocument/2006/relationships/hyperlink" Target="https://drive.google.com/file/d/1pzNM5_LjagzRWX9oVIAZt1EFDvECae0P/view?usp=sharing" TargetMode="External"/><Relationship Id="rId125" Type="http://schemas.openxmlformats.org/officeDocument/2006/relationships/hyperlink" Target="https://drive.google.com/file/d/100R98VIt1lNeUjjwm3cteeyTBJBt15O-/view?usp=sharing" TargetMode="External"/><Relationship Id="rId29" Type="http://schemas.openxmlformats.org/officeDocument/2006/relationships/hyperlink" Target="https://drive.google.com/file/d/1zQlCjN9oRKjfzddgf1FIVbgS9t6s9ev0/view?usp=sharing" TargetMode="External"/><Relationship Id="rId124" Type="http://schemas.openxmlformats.org/officeDocument/2006/relationships/hyperlink" Target="https://drive.google.com/file/d/1snCNLonqwErA_N4mdpMmTLDYHoa30OB3/view?usp=sharing" TargetMode="External"/><Relationship Id="rId123" Type="http://schemas.openxmlformats.org/officeDocument/2006/relationships/hyperlink" Target="https://drive.google.com/file/d/100R98VIt1lNeUjjwm3cteeyTBJBt15O-/view?usp=sharing" TargetMode="External"/><Relationship Id="rId122" Type="http://schemas.openxmlformats.org/officeDocument/2006/relationships/hyperlink" Target="https://drive.google.com/file/d/1zay9tOPtsNNVzpC6ZdFBF2vYKCbjoI0d/view?usp=sharing" TargetMode="External"/><Relationship Id="rId95" Type="http://schemas.openxmlformats.org/officeDocument/2006/relationships/hyperlink" Target="https://drive.google.com/file/d/1IKFk94Ff2oQQsH60DQH0lq6QS85WcEmL/view?usp=sharing" TargetMode="External"/><Relationship Id="rId94" Type="http://schemas.openxmlformats.org/officeDocument/2006/relationships/hyperlink" Target="https://www.camara.leg.br/internet/comissao/index/mista/orca/orcamento/OR2020/emendas/despesa/ANDRELUF_AV_LOA_AUTOR_7122.pdf" TargetMode="External"/><Relationship Id="rId97" Type="http://schemas.openxmlformats.org/officeDocument/2006/relationships/hyperlink" Target="https://drive.google.com/file/d/16NDej4XeJDyUwcK4boY_5uG5lAN7Sgc-/view?usp=sharing" TargetMode="External"/><Relationship Id="rId96" Type="http://schemas.openxmlformats.org/officeDocument/2006/relationships/hyperlink" Target="https://drive.google.com/file/d/1mCz2mZU6VW77kVuqa9wnRbEiD-TvMQMu/view?usp=sharing" TargetMode="External"/><Relationship Id="rId11" Type="http://schemas.openxmlformats.org/officeDocument/2006/relationships/hyperlink" Target="https://drive.google.com/file/d/1anFh9yryznLscxrEOzRV_Db5y8Px7OY8/view?usp=sharing" TargetMode="External"/><Relationship Id="rId99" Type="http://schemas.openxmlformats.org/officeDocument/2006/relationships/hyperlink" Target="https://www.facebook.com/watch/?extid=SEO----&amp;v=274761207761657" TargetMode="External"/><Relationship Id="rId10" Type="http://schemas.openxmlformats.org/officeDocument/2006/relationships/hyperlink" Target="https://drive.google.com/file/d/1WlGh1kHSwuugd7ZkBZBGgSXTxeI_v28C/view?usp=sharing" TargetMode="External"/><Relationship Id="rId98" Type="http://schemas.openxmlformats.org/officeDocument/2006/relationships/hyperlink" Target="https://drive.google.com/file/d/100R98VIt1lNeUjjwm3cteeyTBJBt15O-/view?usp=sharing" TargetMode="External"/><Relationship Id="rId13" Type="http://schemas.openxmlformats.org/officeDocument/2006/relationships/hyperlink" Target="https://www.camara.leg.br/internet/comissao/index/mista/orca/orcamento/OR2020/emendas/despesa/ANDRELUF_AV_LOA_AUTOR_7122.pdf" TargetMode="External"/><Relationship Id="rId12" Type="http://schemas.openxmlformats.org/officeDocument/2006/relationships/hyperlink" Target="http://marcelvanhattem.com.br/2020/wp-content/uploads/2021/09/EMENDA-TURISMO-2021.pdf" TargetMode="External"/><Relationship Id="rId91" Type="http://schemas.openxmlformats.org/officeDocument/2006/relationships/hyperlink" Target="https://drive.google.com/file/d/1HFuozWEpW-69Bac0gN8IIG7uNPATNnEg/view?usp=sharing" TargetMode="External"/><Relationship Id="rId90" Type="http://schemas.openxmlformats.org/officeDocument/2006/relationships/hyperlink" Target="https://drive.google.com/file/d/1aVbHDu-DKviaNACegsEerGDS8Nd_-893/view?usp=sharing" TargetMode="External"/><Relationship Id="rId93" Type="http://schemas.openxmlformats.org/officeDocument/2006/relationships/hyperlink" Target="https://www.camara.leg.br/internet/comissao/index/mista/orca/orcamento/OR2020/emendas/despesa/ANDRELUF_AV_LOA_AUTOR_7122.pdf" TargetMode="External"/><Relationship Id="rId92" Type="http://schemas.openxmlformats.org/officeDocument/2006/relationships/hyperlink" Target="https://www.camara.leg.br/internet/comissao/index/mista/orca/orcamento/OR2020/emendas/despesa/ANDRELUF_AV_LOA_AUTOR_7122.pdf" TargetMode="External"/><Relationship Id="rId118" Type="http://schemas.openxmlformats.org/officeDocument/2006/relationships/hyperlink" Target="https://drive.google.com/file/d/11E1rObU6LasDy18ciApk_rtICOWhnkoH/view?usp=sharing" TargetMode="External"/><Relationship Id="rId117" Type="http://schemas.openxmlformats.org/officeDocument/2006/relationships/hyperlink" Target="https://drive.google.com/file/d/1B0qAQ76zJ1iabT06D3JpA_tiuSEo2gNW/view?usp=sharing" TargetMode="External"/><Relationship Id="rId116" Type="http://schemas.openxmlformats.org/officeDocument/2006/relationships/hyperlink" Target="https://www.camara.leg.br/internet/comissao/index/mista/orca/orcamento/OR2020/emendas/despesa/ANDRELUF_AV_LOA_AUTOR_7122.pdf" TargetMode="External"/><Relationship Id="rId115" Type="http://schemas.openxmlformats.org/officeDocument/2006/relationships/hyperlink" Target="https://drive.google.com/file/d/1nir9mZr2U_EDG20Z4pfOjC_d3byawril/view?usp=sharing" TargetMode="External"/><Relationship Id="rId119" Type="http://schemas.openxmlformats.org/officeDocument/2006/relationships/hyperlink" Target="https://drive.google.com/file/d/1y8BkMzI-Uw9vtIWyL9vu0RPBk1VO_Yr6/view?usp=sharing" TargetMode="External"/><Relationship Id="rId15" Type="http://schemas.openxmlformats.org/officeDocument/2006/relationships/hyperlink" Target="https://drive.google.com/file/d/1dA-xI-LIxcR9fUfK2Teoul4ATJp55IX9/view?usp=sharing" TargetMode="External"/><Relationship Id="rId110" Type="http://schemas.openxmlformats.org/officeDocument/2006/relationships/hyperlink" Target="https://www.camara.leg.br/internet/comissao/index/mista/orca/orcamento/OR2020/emendas/despesa/ANDRELUF_AV_LOA_AUTOR_7122.pdf" TargetMode="External"/><Relationship Id="rId14" Type="http://schemas.openxmlformats.org/officeDocument/2006/relationships/hyperlink" Target="https://drive.google.com/file/d/16Ol1p7pGgiKY7zt4K0eY4MmtR6ITvWXw/view?usp=sharing" TargetMode="External"/><Relationship Id="rId17" Type="http://schemas.openxmlformats.org/officeDocument/2006/relationships/hyperlink" Target="https://drive.google.com/file/d/1W01r2obXUbZWJNeB6SXTmd1kmFOVsBhl/view?usp=sharing" TargetMode="External"/><Relationship Id="rId16" Type="http://schemas.openxmlformats.org/officeDocument/2006/relationships/hyperlink" Target="https://drive.google.com/file/d/1lTmWUQJKG5rGSM0vQkXaZuJ4dXAvvvgM/view?usp=sharing" TargetMode="External"/><Relationship Id="rId19" Type="http://schemas.openxmlformats.org/officeDocument/2006/relationships/hyperlink" Target="https://drive.google.com/file/d/1W01r2obXUbZWJNeB6SXTmd1kmFOVsBhl/view?usp=sharing" TargetMode="External"/><Relationship Id="rId114" Type="http://schemas.openxmlformats.org/officeDocument/2006/relationships/hyperlink" Target="https://drive.google.com/file/d/1kiFA5uP0-VNk62daoiml2JHhB4cV4Gwc/view?usp=sharing" TargetMode="External"/><Relationship Id="rId18" Type="http://schemas.openxmlformats.org/officeDocument/2006/relationships/hyperlink" Target="https://drive.google.com/file/d/1c32Eq75I5Pz5TeSqoui-K2Zi3_Qtpllr/view?usp=sharing" TargetMode="External"/><Relationship Id="rId113" Type="http://schemas.openxmlformats.org/officeDocument/2006/relationships/hyperlink" Target="https://www.camara.leg.br/internet/comissao/index/mista/orca/orcamento/OR2020/emendas/despesa/ANDRELUF_AV_LOA_AUTOR_7122.pdf" TargetMode="External"/><Relationship Id="rId112" Type="http://schemas.openxmlformats.org/officeDocument/2006/relationships/hyperlink" Target="https://www.camara.leg.br/internet/comissao/index/mista/orca/orcamento/OR2020/emendas/despesa/ANDRELUF_AV_LOA_AUTOR_7122.pdf" TargetMode="External"/><Relationship Id="rId111" Type="http://schemas.openxmlformats.org/officeDocument/2006/relationships/hyperlink" Target="https://www.camara.leg.br/internet/comissao/index/mista/orca/orcamento/OR2020/emendas/despesa/ANDRELUF_AV_LOA_AUTOR_7122.pdf" TargetMode="External"/><Relationship Id="rId84" Type="http://schemas.openxmlformats.org/officeDocument/2006/relationships/hyperlink" Target="https://drive.google.com/file/d/1d12Pvlf17mGPa5Mbtjy0ixgV_QkIzcMa/view?usp=sharing" TargetMode="External"/><Relationship Id="rId83" Type="http://schemas.openxmlformats.org/officeDocument/2006/relationships/hyperlink" Target="https://drive.google.com/file/d/1CmMO5spgPFn8fwOQd-qWMeLFZnGlUKCw/view?usp=sharing" TargetMode="External"/><Relationship Id="rId86" Type="http://schemas.openxmlformats.org/officeDocument/2006/relationships/hyperlink" Target="https://drive.google.com/file/d/1aVbHDu-DKviaNACegsEerGDS8Nd_-893/view?usp=sharing" TargetMode="External"/><Relationship Id="rId85" Type="http://schemas.openxmlformats.org/officeDocument/2006/relationships/hyperlink" Target="https://drive.google.com/file/d/1dA-xI-LIxcR9fUfK2Teoul4ATJp55IX9/view?usp=sharing" TargetMode="External"/><Relationship Id="rId88" Type="http://schemas.openxmlformats.org/officeDocument/2006/relationships/hyperlink" Target="https://drive.google.com/file/d/1aVbHDu-DKviaNACegsEerGDS8Nd_-893/view?usp=sharing" TargetMode="External"/><Relationship Id="rId87" Type="http://schemas.openxmlformats.org/officeDocument/2006/relationships/hyperlink" Target="https://drive.google.com/file/d/1aVbHDu-DKviaNACegsEerGDS8Nd_-893/view?usp=sharing" TargetMode="External"/><Relationship Id="rId89" Type="http://schemas.openxmlformats.org/officeDocument/2006/relationships/hyperlink" Target="https://drive.google.com/file/d/1aVbHDu-DKviaNACegsEerGDS8Nd_-893/view?usp=sharing" TargetMode="External"/><Relationship Id="rId80" Type="http://schemas.openxmlformats.org/officeDocument/2006/relationships/hyperlink" Target="https://drive.google.com/file/d/1d12Pvlf17mGPa5Mbtjy0ixgV_QkIzcMa/view?usp=sharing" TargetMode="External"/><Relationship Id="rId82" Type="http://schemas.openxmlformats.org/officeDocument/2006/relationships/hyperlink" Target="https://drive.google.com/file/d/1c32Eq75I5Pz5TeSqoui-K2Zi3_Qtpllr/view?usp=sharing" TargetMode="External"/><Relationship Id="rId81" Type="http://schemas.openxmlformats.org/officeDocument/2006/relationships/hyperlink" Target="https://drive.google.com/file/d/1d12Pvlf17mGPa5Mbtjy0ixgV_QkIzcMa/view?usp=sharing" TargetMode="External"/><Relationship Id="rId1" Type="http://schemas.openxmlformats.org/officeDocument/2006/relationships/hyperlink" Target="https://drive.google.com/open?id=1zq7P9qIDTVlJyDRaaBBAHabc1oyfsMBz" TargetMode="External"/><Relationship Id="rId2" Type="http://schemas.openxmlformats.org/officeDocument/2006/relationships/hyperlink" Target="https://drive.google.com/open?id=1gyEtnodEnV2Yubp0aaJGVKTmxzIALV6x" TargetMode="External"/><Relationship Id="rId3" Type="http://schemas.openxmlformats.org/officeDocument/2006/relationships/hyperlink" Target="https://drive.google.com/open?id=1wq_x6tt3VKDwkhAVPvKnZkZdbhOMulk5" TargetMode="External"/><Relationship Id="rId4" Type="http://schemas.openxmlformats.org/officeDocument/2006/relationships/hyperlink" Target="https://drive.google.com/open?id=1mwHnDPfOMAIzQmPg6HKfHInY9zAZrV2V" TargetMode="External"/><Relationship Id="rId9" Type="http://schemas.openxmlformats.org/officeDocument/2006/relationships/hyperlink" Target="https://drive.google.com/file/d/1WlGh1kHSwuugd7ZkBZBGgSXTxeI_v28C/view?usp=sharing" TargetMode="External"/><Relationship Id="rId5" Type="http://schemas.openxmlformats.org/officeDocument/2006/relationships/hyperlink" Target="https://drive.google.com/open?id=1wq_x6tt3VKDwkhAVPvKnZkZdbhOMulk5" TargetMode="External"/><Relationship Id="rId6" Type="http://schemas.openxmlformats.org/officeDocument/2006/relationships/hyperlink" Target="https://drive.google.com/open?id=1Y2owD1GGe7xGZfQ1c5OB0f5XRp9En0Nt" TargetMode="External"/><Relationship Id="rId7" Type="http://schemas.openxmlformats.org/officeDocument/2006/relationships/hyperlink" Target="https://drive.google.com/file/d/13UJPbFK0izb7oc7oPflF1d60qA_i3jsW/view?usp=sharing" TargetMode="External"/><Relationship Id="rId8" Type="http://schemas.openxmlformats.org/officeDocument/2006/relationships/hyperlink" Target="https://drive.google.com/file/d/1z0Sm5HAnkqAcRLsVO6CusjDhOGmRDcIF/view?usp=sharing" TargetMode="External"/><Relationship Id="rId73" Type="http://schemas.openxmlformats.org/officeDocument/2006/relationships/hyperlink" Target="https://www.camara.leg.br/internet/comissao/index/mista/orca/orcamento/OR2020/emendas/despesa/ANDRELUF_AV_LOA_AUTOR_7122.pdf" TargetMode="External"/><Relationship Id="rId72" Type="http://schemas.openxmlformats.org/officeDocument/2006/relationships/hyperlink" Target="https://drive.google.com/file/d/1mCz2mZU6VW77kVuqa9wnRbEiD-TvMQMu/view?usp=sharing" TargetMode="External"/><Relationship Id="rId75" Type="http://schemas.openxmlformats.org/officeDocument/2006/relationships/hyperlink" Target="https://www.facebook.com/watch/?extid=SEO----&amp;v=274761207761657" TargetMode="External"/><Relationship Id="rId74" Type="http://schemas.openxmlformats.org/officeDocument/2006/relationships/hyperlink" Target="https://www.camara.leg.br/internet/comissao/index/mista/orca/orcamento/OR2020/emendas/despesa/ANDRELUF_AV_LOA_AUTOR_7122.pdf" TargetMode="External"/><Relationship Id="rId77" Type="http://schemas.openxmlformats.org/officeDocument/2006/relationships/hyperlink" Target="https://drive.google.com/file/d/1d12Pvlf17mGPa5Mbtjy0ixgV_QkIzcMa/view?usp=sharing" TargetMode="External"/><Relationship Id="rId76" Type="http://schemas.openxmlformats.org/officeDocument/2006/relationships/hyperlink" Target="https://drive.google.com/file/d/1d12Pvlf17mGPa5Mbtjy0ixgV_QkIzcMa/view?usp=sharing" TargetMode="External"/><Relationship Id="rId79" Type="http://schemas.openxmlformats.org/officeDocument/2006/relationships/hyperlink" Target="https://drive.google.com/file/d/1beARtTuZkrsE2Aanvk4HLCK9ByqoZyEB/view?usp=sharing" TargetMode="External"/><Relationship Id="rId78" Type="http://schemas.openxmlformats.org/officeDocument/2006/relationships/hyperlink" Target="https://drive.google.com/file/d/1d12Pvlf17mGPa5Mbtjy0ixgV_QkIzcMa/view?usp=sharing" TargetMode="External"/><Relationship Id="rId71" Type="http://schemas.openxmlformats.org/officeDocument/2006/relationships/hyperlink" Target="http://marcelvanhattem.com.br/2020/wp-content/uploads/2021/09/EMENDA-TURISMO-2021.pdf" TargetMode="External"/><Relationship Id="rId70" Type="http://schemas.openxmlformats.org/officeDocument/2006/relationships/hyperlink" Target="https://drive.google.com/file/d/1Lp-Yjnok2K8GSq3buN6rEurdb6eqQyAP/view?usp=sharing" TargetMode="External"/><Relationship Id="rId62" Type="http://schemas.openxmlformats.org/officeDocument/2006/relationships/hyperlink" Target="https://www.camara.leg.br/internet/comissao/index/mista/orca/orcamento/OR2020/emendas/despesa/ANDRELUF_AV_LOA_AUTOR_7122.pdf" TargetMode="External"/><Relationship Id="rId61" Type="http://schemas.openxmlformats.org/officeDocument/2006/relationships/hyperlink" Target="https://drive.google.com/file/d/1HbqKN9Fp5cyOGQQEHRaodTNspesusht3/view?usp=sharing" TargetMode="External"/><Relationship Id="rId64" Type="http://schemas.openxmlformats.org/officeDocument/2006/relationships/hyperlink" Target="https://drive.google.com/file/d/1-8xHqMCeZaEyjkbREFhO5qBcHkZvF5Ve/view?usp=sharing" TargetMode="External"/><Relationship Id="rId63" Type="http://schemas.openxmlformats.org/officeDocument/2006/relationships/hyperlink" Target="https://drive.google.com/file/d/1d12Pvlf17mGPa5Mbtjy0ixgV_QkIzcMa/view?usp=sharing" TargetMode="External"/><Relationship Id="rId66" Type="http://schemas.openxmlformats.org/officeDocument/2006/relationships/hyperlink" Target="https://www.camara.leg.br/internet/comissao/index/mista/orca/orcamento/OR2020/emendas/despesa/ANDRELUF_AV_LOA_AUTOR_7122.pdf" TargetMode="External"/><Relationship Id="rId65" Type="http://schemas.openxmlformats.org/officeDocument/2006/relationships/hyperlink" Target="https://drive.google.com/file/d/1qkeHEEpc3Sm3BBTbo-r2szN2GyuYEm4_/view?usp=sharing" TargetMode="External"/><Relationship Id="rId68" Type="http://schemas.openxmlformats.org/officeDocument/2006/relationships/hyperlink" Target="https://drive.google.com/file/d/1luY-rTP7_2XRSQ9cFMaHym4Sz513UMQq/view?usp=sharing" TargetMode="External"/><Relationship Id="rId67" Type="http://schemas.openxmlformats.org/officeDocument/2006/relationships/hyperlink" Target="https://drive.google.com/file/d/1d12Pvlf17mGPa5Mbtjy0ixgV_QkIzcMa/view?usp=sharing" TargetMode="External"/><Relationship Id="rId60" Type="http://schemas.openxmlformats.org/officeDocument/2006/relationships/hyperlink" Target="https://drive.google.com/file/d/1luY-rTP7_2XRSQ9cFMaHym4Sz513UMQq/view?usp=sharing" TargetMode="External"/><Relationship Id="rId69" Type="http://schemas.openxmlformats.org/officeDocument/2006/relationships/hyperlink" Target="https://www.camara.leg.br/internet/comissao/index/mista/orca/orcamento/OR2020/emendas/despesa/ANDRELUF_AV_LOA_AUTOR_7122.pdf" TargetMode="External"/><Relationship Id="rId51" Type="http://schemas.openxmlformats.org/officeDocument/2006/relationships/hyperlink" Target="https://drive.google.com/file/d/1iqdH9-F0Jh1o7Id8MxzCzXuZzIbBuJ5Z/view?usp=sharing" TargetMode="External"/><Relationship Id="rId50" Type="http://schemas.openxmlformats.org/officeDocument/2006/relationships/hyperlink" Target="https://drive.google.com/file/d/1JKA10A-XTu-r80fR1xwwvZr7sJkK7fbW/view?usp=sharing" TargetMode="External"/><Relationship Id="rId53" Type="http://schemas.openxmlformats.org/officeDocument/2006/relationships/hyperlink" Target="https://www.camara.leg.br/internet/comissao/index/mista/orca/orcamento/OR2020/emendas/despesa/ANDRELUF_AV_LOA_AUTOR_7122.pdf" TargetMode="External"/><Relationship Id="rId52" Type="http://schemas.openxmlformats.org/officeDocument/2006/relationships/hyperlink" Target="https://www.camara.leg.br/internet/comissao/index/mista/orca/orcamento/OR2020/emendas/despesa/ANDRELUF_AV_LOA_AUTOR_7122.pdf" TargetMode="External"/><Relationship Id="rId55" Type="http://schemas.openxmlformats.org/officeDocument/2006/relationships/hyperlink" Target="https://www.camara.leg.br/internet/comissao/index/mista/orca/orcamento/OR2020/emendas/despesa/ANDRELUF_AV_LOA_AUTOR_7122.pdf" TargetMode="External"/><Relationship Id="rId54" Type="http://schemas.openxmlformats.org/officeDocument/2006/relationships/hyperlink" Target="https://drive.google.com/file/d/1HYVf8q9q_uUmXyb7vzOuk0tyghX5LOkv/view?usp=sharing" TargetMode="External"/><Relationship Id="rId57" Type="http://schemas.openxmlformats.org/officeDocument/2006/relationships/hyperlink" Target="http://marcelvanhattem.com.br/2020/wp-content/uploads/2021/09/EMENDA-TURISMO-2021.pdf" TargetMode="External"/><Relationship Id="rId56" Type="http://schemas.openxmlformats.org/officeDocument/2006/relationships/hyperlink" Target="https://www.camara.leg.br/internet/comissao/index/mista/orca/orcamento/OR2020/emendas/despesa/ANDRELUF_AV_LOA_AUTOR_7122.pdf" TargetMode="External"/><Relationship Id="rId59" Type="http://schemas.openxmlformats.org/officeDocument/2006/relationships/hyperlink" Target="https://drive.google.com/file/d/1hbb9kyMrn6o0obRyQU0iOxUkrernCaTd/view?usp=sharing" TargetMode="External"/><Relationship Id="rId58" Type="http://schemas.openxmlformats.org/officeDocument/2006/relationships/hyperlink" Target="https://www.camara.leg.br/internet/comissao/index/mista/orca/orcamento/OR2020/emendas/despesa/ANDRELUF_AV_LOA_AUTOR_7122.pdf"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d12Pvlf17mGPa5Mbtjy0ixgV_QkIzcMa/view?usp=sharing" TargetMode="External"/><Relationship Id="rId42" Type="http://schemas.openxmlformats.org/officeDocument/2006/relationships/hyperlink" Target="https://drive.google.com/file/d/1Sr6Eq5h5hRWhW_OPO4sJsd4gxNdwD8OC/view?usp=sharing" TargetMode="External"/><Relationship Id="rId41" Type="http://schemas.openxmlformats.org/officeDocument/2006/relationships/hyperlink" Target="https://drive.google.com/file/d/1dA-xI-LIxcR9fUfK2Teoul4ATJp55IX9/view?usp=sharing" TargetMode="External"/><Relationship Id="rId44" Type="http://schemas.openxmlformats.org/officeDocument/2006/relationships/hyperlink" Target="https://www.camara.leg.br/internet/comissao/index/mista/orca/orcamento/OR2020/emendas/despesa/ANDRELUF_AV_LOA_AUTOR_7122.pdf" TargetMode="External"/><Relationship Id="rId43" Type="http://schemas.openxmlformats.org/officeDocument/2006/relationships/hyperlink" Target="https://drive.google.com/file/d/1mXZAuOSME4pQqEZuv4go-THDPtv0HMgX/view?usp=sharing" TargetMode="External"/><Relationship Id="rId46" Type="http://schemas.openxmlformats.org/officeDocument/2006/relationships/hyperlink" Target="https://www.camara.leg.br/internet/comissao/index/mista/orca/orcamento/OR2020/emendas/despesa/ANDRELUF_AV_LOA_AUTOR_7122.pdf" TargetMode="External"/><Relationship Id="rId45" Type="http://schemas.openxmlformats.org/officeDocument/2006/relationships/hyperlink" Target="https://drive.google.com/file/d/1qGTOlIgk-36ReF-OFCIQCopSE__m1Ba1/view?usp=sharing" TargetMode="External"/><Relationship Id="rId107" Type="http://schemas.openxmlformats.org/officeDocument/2006/relationships/hyperlink" Target="https://drive.google.com/file/d/1CmMO5spgPFn8fwOQd-qWMeLFZnGlUKCw/view?usp=sharing" TargetMode="External"/><Relationship Id="rId106" Type="http://schemas.openxmlformats.org/officeDocument/2006/relationships/hyperlink" Target="https://drive.google.com/file/d/1Df5G9XXlGyc1bAw2UMGi4acbV154nLNF/view?usp=sharing" TargetMode="External"/><Relationship Id="rId105" Type="http://schemas.openxmlformats.org/officeDocument/2006/relationships/hyperlink" Target="https://www.camara.leg.br/internet/comissao/index/mista/orca/orcamento/OR2020/emendas/despesa/ANDRELUF_AV_LOA_AUTOR_7122.pdf" TargetMode="External"/><Relationship Id="rId104" Type="http://schemas.openxmlformats.org/officeDocument/2006/relationships/hyperlink" Target="https://drive.google.com/file/d/1dAF_3btktWoIWwgzredtzJoiEjOh_d_r/view?usp=sharing" TargetMode="External"/><Relationship Id="rId109" Type="http://schemas.openxmlformats.org/officeDocument/2006/relationships/hyperlink" Target="https://www.camara.leg.br/internet/comissao/index/mista/orca/orcamento/OR2020/emendas/despesa/ANDRELUF_AV_LOA_AUTOR_7122.pdf" TargetMode="External"/><Relationship Id="rId108" Type="http://schemas.openxmlformats.org/officeDocument/2006/relationships/hyperlink" Target="https://www.primeirahora.rs/web/noticias/19911/polcia-civil-de-so-jos-do-hortncio-recebe-nova-viatura-semiblindada" TargetMode="External"/><Relationship Id="rId48" Type="http://schemas.openxmlformats.org/officeDocument/2006/relationships/hyperlink" Target="https://drive.google.com/file/d/127Kht2H2qPS_n-vtKeF9V_jw7OkAD6MF/view?usp=sharing" TargetMode="External"/><Relationship Id="rId47" Type="http://schemas.openxmlformats.org/officeDocument/2006/relationships/hyperlink" Target="https://drive.google.com/file/d/1dA-xI-LIxcR9fUfK2Teoul4ATJp55IX9/view?usp=sharing" TargetMode="External"/><Relationship Id="rId49" Type="http://schemas.openxmlformats.org/officeDocument/2006/relationships/hyperlink" Target="https://drive.google.com/file/d/1Zk6ewpMQdFlieciB_LAxMwPaXCylCugH/view?usp=sharing" TargetMode="External"/><Relationship Id="rId103" Type="http://schemas.openxmlformats.org/officeDocument/2006/relationships/hyperlink" Target="https://drive.google.com/file/d/1aDObxpbsBjwlksXrkLajbqjPN4rHK6G6/view?usp=sharing" TargetMode="External"/><Relationship Id="rId102" Type="http://schemas.openxmlformats.org/officeDocument/2006/relationships/hyperlink" Target="https://drive.google.com/file/d/1lDGVtCDc_glV46c1XC81i_gS0OxRUj5I/view?usp=sharing" TargetMode="External"/><Relationship Id="rId101" Type="http://schemas.openxmlformats.org/officeDocument/2006/relationships/hyperlink" Target="https://drive.google.com/file/d/14DrP3Cc1ZYpVu7GePMKjKymMmwMOJ9X6/view?usp=sharing" TargetMode="External"/><Relationship Id="rId100" Type="http://schemas.openxmlformats.org/officeDocument/2006/relationships/hyperlink" Target="https://www.camara.leg.br/internet/comissao/index/mista/orca/orcamento/OR2020/emendas/despesa/ANDRELUF_AV_LOA_AUTOR_7122.pdf" TargetMode="External"/><Relationship Id="rId31" Type="http://schemas.openxmlformats.org/officeDocument/2006/relationships/hyperlink" Target="https://www.camara.leg.br/internet/comissao/index/mista/orca/orcamento/OR2020/emendas/despesa/ANDRELUF_AV_LOA_AUTOR_7122.pdf" TargetMode="External"/><Relationship Id="rId30" Type="http://schemas.openxmlformats.org/officeDocument/2006/relationships/hyperlink" Target="https://drive.google.com/file/d/1zQlCjN9oRKjfzddgf1FIVbgS9t6s9ev0/view?usp=sharing" TargetMode="External"/><Relationship Id="rId33" Type="http://schemas.openxmlformats.org/officeDocument/2006/relationships/hyperlink" Target="https://drive.google.com/file/d/1dA-xI-LIxcR9fUfK2Teoul4ATJp55IX9/view?usp=sharing" TargetMode="External"/><Relationship Id="rId32" Type="http://schemas.openxmlformats.org/officeDocument/2006/relationships/hyperlink" Target="https://www.correiodopovo.com.br/not%C3%ADcias/cidades/dois-irm%C3%A3os-inaugura-novos-leitos-nesta-segunda-feira-1.605680" TargetMode="External"/><Relationship Id="rId35" Type="http://schemas.openxmlformats.org/officeDocument/2006/relationships/hyperlink" Target="https://drive.google.com/file/d/1EDe-Uaa-tw0e6ckceh3L6d5-JBOhBqpK/view?usp=sharing" TargetMode="External"/><Relationship Id="rId34" Type="http://schemas.openxmlformats.org/officeDocument/2006/relationships/hyperlink" Target="https://drive.google.com/file/d/1fXbFw2jmJcRgxas4NM8iEdXZV-o76JTj/view?usp=sharing" TargetMode="External"/><Relationship Id="rId37" Type="http://schemas.openxmlformats.org/officeDocument/2006/relationships/hyperlink" Target="https://www.camara.leg.br/internet/comissao/index/mista/orca/orcamento/OR2020/emendas/despesa/ANDRELUF_AV_LOA_AUTOR_7122.pdf" TargetMode="External"/><Relationship Id="rId36" Type="http://schemas.openxmlformats.org/officeDocument/2006/relationships/hyperlink" Target="https://drive.google.com/file/d/1HFuozWEpW-69Bac0gN8IIG7uNPATNnEg/view?usp=sharing" TargetMode="External"/><Relationship Id="rId39" Type="http://schemas.openxmlformats.org/officeDocument/2006/relationships/hyperlink" Target="http://marcelvanhattem.com.br/2020/wp-content/uploads/2021/09/EMENDA-TURISMO-2021.pdf" TargetMode="External"/><Relationship Id="rId38" Type="http://schemas.openxmlformats.org/officeDocument/2006/relationships/hyperlink" Target="https://drive.google.com/file/d/1dA-xI-LIxcR9fUfK2Teoul4ATJp55IX9/view?usp=sharing" TargetMode="External"/><Relationship Id="rId20" Type="http://schemas.openxmlformats.org/officeDocument/2006/relationships/hyperlink" Target="https://drive.google.com/file/d/1W01r2obXUbZWJNeB6SXTmd1kmFOVsBhl/view?usp=sharing" TargetMode="External"/><Relationship Id="rId22" Type="http://schemas.openxmlformats.org/officeDocument/2006/relationships/hyperlink" Target="https://www.camara.leg.br/internet/comissao/index/mista/orca/orcamento/OR2020/emendas/despesa/ANDRELUF_AV_LOA_AUTOR_7122.pdf" TargetMode="External"/><Relationship Id="rId21" Type="http://schemas.openxmlformats.org/officeDocument/2006/relationships/hyperlink" Target="https://www.camara.leg.br/internet/comissao/index/mista/orca/orcamento/OR2020/emendas/despesa/ANDRELUF_AV_LOA_AUTOR_7122.pdf" TargetMode="External"/><Relationship Id="rId24" Type="http://schemas.openxmlformats.org/officeDocument/2006/relationships/hyperlink" Target="https://www.camara.leg.br/internet/comissao/index/mista/orca/orcamento/OR2020/emendas/despesa/ANDRELUF_AV_LOA_AUTOR_7122.pdf" TargetMode="External"/><Relationship Id="rId23" Type="http://schemas.openxmlformats.org/officeDocument/2006/relationships/hyperlink" Target="https://drive.google.com/file/d/1SM5ISknl3pfK9h0Sa2isnorQbK9F32Td/view?usp=sharing" TargetMode="External"/><Relationship Id="rId128" Type="http://schemas.openxmlformats.org/officeDocument/2006/relationships/drawing" Target="../drawings/drawing9.xml"/><Relationship Id="rId127" Type="http://schemas.openxmlformats.org/officeDocument/2006/relationships/hyperlink" Target="https://drive.google.com/file/d/1iHCEQhM4YS-ioZsWMsr2Tcio3J1kMMwJ/view?usp=sharing" TargetMode="External"/><Relationship Id="rId126" Type="http://schemas.openxmlformats.org/officeDocument/2006/relationships/hyperlink" Target="https://drive.google.com/file/d/1hbb9kyMrn6o0obRyQU0iOxUkrernCaTd/view?usp=sharing" TargetMode="External"/><Relationship Id="rId26" Type="http://schemas.openxmlformats.org/officeDocument/2006/relationships/hyperlink" Target="https://drive.google.com/file/d/1WQh8NHgMNEN0CVi-6Y9RIBEuR0LX7ILs/view?usp=sharing" TargetMode="External"/><Relationship Id="rId121" Type="http://schemas.openxmlformats.org/officeDocument/2006/relationships/hyperlink" Target="https://drive.google.com/file/d/100R98VIt1lNeUjjwm3cteeyTBJBt15O-/view?usp=sharing" TargetMode="External"/><Relationship Id="rId25" Type="http://schemas.openxmlformats.org/officeDocument/2006/relationships/hyperlink" Target="https://www.camara.leg.br/internet/comissao/index/mista/orca/orcamento/OR2020/emendas/despesa/ANDRELUF_AV_LOA_AUTOR_7122.pdf" TargetMode="External"/><Relationship Id="rId120" Type="http://schemas.openxmlformats.org/officeDocument/2006/relationships/hyperlink" Target="https://drive.google.com/file/d/1zay9tOPtsNNVzpC6ZdFBF2vYKCbjoI0d/view?usp=sharing" TargetMode="External"/><Relationship Id="rId28" Type="http://schemas.openxmlformats.org/officeDocument/2006/relationships/hyperlink" Target="https://drive.google.com/file/d/100R98VIt1lNeUjjwm3cteeyTBJBt15O-/view?usp=sharing" TargetMode="External"/><Relationship Id="rId27" Type="http://schemas.openxmlformats.org/officeDocument/2006/relationships/hyperlink" Target="https://drive.google.com/file/d/1pzNM5_LjagzRWX9oVIAZt1EFDvECae0P/view?usp=sharing" TargetMode="External"/><Relationship Id="rId125" Type="http://schemas.openxmlformats.org/officeDocument/2006/relationships/hyperlink" Target="https://www.camara.leg.br/internet/comissao/index/mista/orca/orcamento/OR2020/emendas/despesa/ANDRELUF_AV_LOA_AUTOR_7122.pdf" TargetMode="External"/><Relationship Id="rId29" Type="http://schemas.openxmlformats.org/officeDocument/2006/relationships/hyperlink" Target="https://drive.google.com/file/d/1HFuozWEpW-69Bac0gN8IIG7uNPATNnEg/view?usp=sharing" TargetMode="External"/><Relationship Id="rId124" Type="http://schemas.openxmlformats.org/officeDocument/2006/relationships/hyperlink" Target="https://drive.google.com/file/d/1yonAHlCerIqzVP-hw2Ps4plFF2TWlLr3/view?usp=sharing" TargetMode="External"/><Relationship Id="rId123" Type="http://schemas.openxmlformats.org/officeDocument/2006/relationships/hyperlink" Target="https://drive.google.com/file/d/100R98VIt1lNeUjjwm3cteeyTBJBt15O-/view?usp=sharing" TargetMode="External"/><Relationship Id="rId122" Type="http://schemas.openxmlformats.org/officeDocument/2006/relationships/hyperlink" Target="https://drive.google.com/file/d/1snCNLonqwErA_N4mdpMmTLDYHoa30OB3/view?usp=sharing" TargetMode="External"/><Relationship Id="rId95" Type="http://schemas.openxmlformats.org/officeDocument/2006/relationships/hyperlink" Target="https://drive.google.com/file/d/1mCz2mZU6VW77kVuqa9wnRbEiD-TvMQMu/view?usp=sharing" TargetMode="External"/><Relationship Id="rId94" Type="http://schemas.openxmlformats.org/officeDocument/2006/relationships/hyperlink" Target="https://drive.google.com/file/d/1IKFk94Ff2oQQsH60DQH0lq6QS85WcEmL/view?usp=sharing" TargetMode="External"/><Relationship Id="rId97" Type="http://schemas.openxmlformats.org/officeDocument/2006/relationships/hyperlink" Target="http://marcelvanhattem.com.br/2020/wp-content/uploads/2021/09/EMENDA-TURISMO-2021.pdf" TargetMode="External"/><Relationship Id="rId96" Type="http://schemas.openxmlformats.org/officeDocument/2006/relationships/hyperlink" Target="https://drive.google.com/file/d/16NDej4XeJDyUwcK4boY_5uG5lAN7Sgc-/view?usp=sharing" TargetMode="External"/><Relationship Id="rId11" Type="http://schemas.openxmlformats.org/officeDocument/2006/relationships/hyperlink" Target="https://drive.google.com/file/d/1WlGh1kHSwuugd7ZkBZBGgSXTxeI_v28C/view?usp=sharing" TargetMode="External"/><Relationship Id="rId99" Type="http://schemas.openxmlformats.org/officeDocument/2006/relationships/hyperlink" Target="https://drive.google.com/file/d/1mCz2mZU6VW77kVuqa9wnRbEiD-TvMQMu/view?usp=sharing" TargetMode="External"/><Relationship Id="rId10" Type="http://schemas.openxmlformats.org/officeDocument/2006/relationships/hyperlink" Target="https://drive.google.com/file/d/1WlGh1kHSwuugd7ZkBZBGgSXTxeI_v28C/view?usp=sharing" TargetMode="External"/><Relationship Id="rId98" Type="http://schemas.openxmlformats.org/officeDocument/2006/relationships/hyperlink" Target="https://www.facebook.com/watch/?extid=SEO----&amp;v=274761207761657" TargetMode="External"/><Relationship Id="rId13" Type="http://schemas.openxmlformats.org/officeDocument/2006/relationships/hyperlink" Target="http://marcelvanhattem.com.br/2020/wp-content/uploads/2021/09/EMENDA-TURISMO-2021.pdf" TargetMode="External"/><Relationship Id="rId12" Type="http://schemas.openxmlformats.org/officeDocument/2006/relationships/hyperlink" Target="https://drive.google.com/file/d/1anFh9yryznLscxrEOzRV_Db5y8Px7OY8/view?usp=sharing" TargetMode="External"/><Relationship Id="rId91" Type="http://schemas.openxmlformats.org/officeDocument/2006/relationships/hyperlink" Target="https://www.camara.leg.br/internet/comissao/index/mista/orca/orcamento/OR2020/emendas/despesa/ANDRELUF_AV_LOA_AUTOR_7122.pdf" TargetMode="External"/><Relationship Id="rId90" Type="http://schemas.openxmlformats.org/officeDocument/2006/relationships/hyperlink" Target="https://drive.google.com/file/d/1HFuozWEpW-69Bac0gN8IIG7uNPATNnEg/view?usp=sharing" TargetMode="External"/><Relationship Id="rId93" Type="http://schemas.openxmlformats.org/officeDocument/2006/relationships/hyperlink" Target="https://www.camara.leg.br/internet/comissao/index/mista/orca/orcamento/OR2020/emendas/despesa/ANDRELUF_AV_LOA_AUTOR_7122.pdf" TargetMode="External"/><Relationship Id="rId92" Type="http://schemas.openxmlformats.org/officeDocument/2006/relationships/hyperlink" Target="https://www.camara.leg.br/internet/comissao/index/mista/orca/orcamento/OR2020/emendas/despesa/ANDRELUF_AV_LOA_AUTOR_7122.pdf" TargetMode="External"/><Relationship Id="rId118" Type="http://schemas.openxmlformats.org/officeDocument/2006/relationships/hyperlink" Target="https://drive.google.com/file/d/1y8BkMzI-Uw9vtIWyL9vu0RPBk1VO_Yr6/view?usp=sharing" TargetMode="External"/><Relationship Id="rId117" Type="http://schemas.openxmlformats.org/officeDocument/2006/relationships/hyperlink" Target="https://drive.google.com/file/d/11E1rObU6LasDy18ciApk_rtICOWhnkoH/view?usp=sharing" TargetMode="External"/><Relationship Id="rId116" Type="http://schemas.openxmlformats.org/officeDocument/2006/relationships/hyperlink" Target="https://drive.google.com/file/d/1B0qAQ76zJ1iabT06D3JpA_tiuSEo2gNW/view?usp=sharing" TargetMode="External"/><Relationship Id="rId115" Type="http://schemas.openxmlformats.org/officeDocument/2006/relationships/hyperlink" Target="https://www.camara.leg.br/internet/comissao/index/mista/orca/orcamento/OR2020/emendas/despesa/ANDRELUF_AV_LOA_AUTOR_7122.pdf" TargetMode="External"/><Relationship Id="rId119" Type="http://schemas.openxmlformats.org/officeDocument/2006/relationships/hyperlink" Target="https://drive.google.com/file/d/1zay9tOPtsNNVzpC6ZdFBF2vYKCbjoI0d/view?usp=sharing" TargetMode="External"/><Relationship Id="rId15" Type="http://schemas.openxmlformats.org/officeDocument/2006/relationships/hyperlink" Target="https://drive.google.com/file/d/16Ol1p7pGgiKY7zt4K0eY4MmtR6ITvWXw/view?usp=sharing" TargetMode="External"/><Relationship Id="rId110" Type="http://schemas.openxmlformats.org/officeDocument/2006/relationships/hyperlink" Target="https://www.camara.leg.br/internet/comissao/index/mista/orca/orcamento/OR2020/emendas/despesa/ANDRELUF_AV_LOA_AUTOR_7122.pdf" TargetMode="External"/><Relationship Id="rId14" Type="http://schemas.openxmlformats.org/officeDocument/2006/relationships/hyperlink" Target="https://www.camara.leg.br/internet/comissao/index/mista/orca/orcamento/OR2020/emendas/despesa/ANDRELUF_AV_LOA_AUTOR_7122.pdf" TargetMode="External"/><Relationship Id="rId17" Type="http://schemas.openxmlformats.org/officeDocument/2006/relationships/hyperlink" Target="https://drive.google.com/file/d/1lTmWUQJKG5rGSM0vQkXaZuJ4dXAvvvgM/view?usp=sharing" TargetMode="External"/><Relationship Id="rId16" Type="http://schemas.openxmlformats.org/officeDocument/2006/relationships/hyperlink" Target="https://drive.google.com/file/d/1dA-xI-LIxcR9fUfK2Teoul4ATJp55IX9/view?usp=sharing" TargetMode="External"/><Relationship Id="rId19" Type="http://schemas.openxmlformats.org/officeDocument/2006/relationships/hyperlink" Target="https://www.camara.leg.br/internet/comissao/index/mista/orca/orcamento/OR2020/emendas/despesa/ANDRELUF_AV_LOA_AUTOR_7122.pdf" TargetMode="External"/><Relationship Id="rId114" Type="http://schemas.openxmlformats.org/officeDocument/2006/relationships/hyperlink" Target="https://drive.google.com/file/d/1nir9mZr2U_EDG20Z4pfOjC_d3byawril/view?usp=sharing" TargetMode="External"/><Relationship Id="rId18" Type="http://schemas.openxmlformats.org/officeDocument/2006/relationships/hyperlink" Target="https://drive.google.com/file/d/1c32Eq75I5Pz5TeSqoui-K2Zi3_Qtpllr/view?usp=sharing" TargetMode="External"/><Relationship Id="rId113" Type="http://schemas.openxmlformats.org/officeDocument/2006/relationships/hyperlink" Target="https://drive.google.com/file/d/1kiFA5uP0-VNk62daoiml2JHhB4cV4Gwc/view?usp=sharing" TargetMode="External"/><Relationship Id="rId112" Type="http://schemas.openxmlformats.org/officeDocument/2006/relationships/hyperlink" Target="https://www.camara.leg.br/internet/comissao/index/mista/orca/orcamento/OR2020/emendas/despesa/ANDRELUF_AV_LOA_AUTOR_7122.pdf" TargetMode="External"/><Relationship Id="rId111" Type="http://schemas.openxmlformats.org/officeDocument/2006/relationships/hyperlink" Target="https://www.camara.leg.br/internet/comissao/index/mista/orca/orcamento/OR2020/emendas/despesa/ANDRELUF_AV_LOA_AUTOR_7122.pdf" TargetMode="External"/><Relationship Id="rId84" Type="http://schemas.openxmlformats.org/officeDocument/2006/relationships/hyperlink" Target="https://drive.google.com/file/d/1dA-xI-LIxcR9fUfK2Teoul4ATJp55IX9/view?usp=sharing" TargetMode="External"/><Relationship Id="rId83" Type="http://schemas.openxmlformats.org/officeDocument/2006/relationships/hyperlink" Target="https://drive.google.com/file/d/1d12Pvlf17mGPa5Mbtjy0ixgV_QkIzcMa/view?usp=sharing" TargetMode="External"/><Relationship Id="rId86" Type="http://schemas.openxmlformats.org/officeDocument/2006/relationships/hyperlink" Target="https://drive.google.com/file/d/1aVbHDu-DKviaNACegsEerGDS8Nd_-893/view?usp=sharing" TargetMode="External"/><Relationship Id="rId85" Type="http://schemas.openxmlformats.org/officeDocument/2006/relationships/hyperlink" Target="https://drive.google.com/file/d/1aVbHDu-DKviaNACegsEerGDS8Nd_-893/view?usp=sharing" TargetMode="External"/><Relationship Id="rId88" Type="http://schemas.openxmlformats.org/officeDocument/2006/relationships/hyperlink" Target="https://drive.google.com/file/d/1aVbHDu-DKviaNACegsEerGDS8Nd_-893/view?usp=sharing" TargetMode="External"/><Relationship Id="rId87" Type="http://schemas.openxmlformats.org/officeDocument/2006/relationships/hyperlink" Target="https://drive.google.com/file/d/1aVbHDu-DKviaNACegsEerGDS8Nd_-893/view?usp=sharing" TargetMode="External"/><Relationship Id="rId89" Type="http://schemas.openxmlformats.org/officeDocument/2006/relationships/hyperlink" Target="https://drive.google.com/file/d/1aVbHDu-DKviaNACegsEerGDS8Nd_-893/view?usp=sharing" TargetMode="External"/><Relationship Id="rId80" Type="http://schemas.openxmlformats.org/officeDocument/2006/relationships/hyperlink" Target="https://drive.google.com/file/d/1d12Pvlf17mGPa5Mbtjy0ixgV_QkIzcMa/view?usp=sharing" TargetMode="External"/><Relationship Id="rId82" Type="http://schemas.openxmlformats.org/officeDocument/2006/relationships/hyperlink" Target="https://drive.google.com/file/d/1CmMO5spgPFn8fwOQd-qWMeLFZnGlUKCw/view?usp=sharing" TargetMode="External"/><Relationship Id="rId81" Type="http://schemas.openxmlformats.org/officeDocument/2006/relationships/hyperlink" Target="https://drive.google.com/file/d/1c32Eq75I5Pz5TeSqoui-K2Zi3_Qtpllr/view?usp=sharing" TargetMode="External"/><Relationship Id="rId1" Type="http://schemas.openxmlformats.org/officeDocument/2006/relationships/hyperlink" Target="https://drive.google.com/file/d/13UJPbFK0izb7oc7oPflF1d60qA_i3jsW/view?usp=sharing" TargetMode="External"/><Relationship Id="rId2" Type="http://schemas.openxmlformats.org/officeDocument/2006/relationships/hyperlink" Target="https://drive.google.com/file/d/1W01r2obXUbZWJNeB6SXTmd1kmFOVsBhl/view?usp=sharing" TargetMode="External"/><Relationship Id="rId3" Type="http://schemas.openxmlformats.org/officeDocument/2006/relationships/hyperlink" Target="https://drive.google.com/open?id=1zq7P9qIDTVlJyDRaaBBAHabc1oyfsMBz" TargetMode="External"/><Relationship Id="rId4" Type="http://schemas.openxmlformats.org/officeDocument/2006/relationships/hyperlink" Target="https://drive.google.com/open?id=1gyEtnodEnV2Yubp0aaJGVKTmxzIALV6x" TargetMode="External"/><Relationship Id="rId9" Type="http://schemas.openxmlformats.org/officeDocument/2006/relationships/hyperlink" Target="https://drive.google.com/file/d/1z0Sm5HAnkqAcRLsVO6CusjDhOGmRDcIF/view?usp=sharing" TargetMode="External"/><Relationship Id="rId5" Type="http://schemas.openxmlformats.org/officeDocument/2006/relationships/hyperlink" Target="https://drive.google.com/open?id=1wq_x6tt3VKDwkhAVPvKnZkZdbhOMulk5" TargetMode="External"/><Relationship Id="rId6" Type="http://schemas.openxmlformats.org/officeDocument/2006/relationships/hyperlink" Target="https://drive.google.com/open?id=1mwHnDPfOMAIzQmPg6HKfHInY9zAZrV2V" TargetMode="External"/><Relationship Id="rId7" Type="http://schemas.openxmlformats.org/officeDocument/2006/relationships/hyperlink" Target="https://drive.google.com/open?id=1wq_x6tt3VKDwkhAVPvKnZkZdbhOMulk5" TargetMode="External"/><Relationship Id="rId8" Type="http://schemas.openxmlformats.org/officeDocument/2006/relationships/hyperlink" Target="https://drive.google.com/open?id=1Y2owD1GGe7xGZfQ1c5OB0f5XRp9En0Nt" TargetMode="External"/><Relationship Id="rId73" Type="http://schemas.openxmlformats.org/officeDocument/2006/relationships/hyperlink" Target="https://www.camara.leg.br/internet/comissao/index/mista/orca/orcamento/OR2020/emendas/despesa/ANDRELUF_AV_LOA_AUTOR_7122.pdf" TargetMode="External"/><Relationship Id="rId72" Type="http://schemas.openxmlformats.org/officeDocument/2006/relationships/hyperlink" Target="https://www.camara.leg.br/internet/comissao/index/mista/orca/orcamento/OR2020/emendas/despesa/ANDRELUF_AV_LOA_AUTOR_7122.pdf" TargetMode="External"/><Relationship Id="rId75" Type="http://schemas.openxmlformats.org/officeDocument/2006/relationships/hyperlink" Target="https://drive.google.com/file/d/1d12Pvlf17mGPa5Mbtjy0ixgV_QkIzcMa/view?usp=sharing" TargetMode="External"/><Relationship Id="rId74" Type="http://schemas.openxmlformats.org/officeDocument/2006/relationships/hyperlink" Target="https://www.facebook.com/watch/?extid=SEO----&amp;v=274761207761657" TargetMode="External"/><Relationship Id="rId77" Type="http://schemas.openxmlformats.org/officeDocument/2006/relationships/hyperlink" Target="https://drive.google.com/file/d/1d12Pvlf17mGPa5Mbtjy0ixgV_QkIzcMa/view?usp=sharing" TargetMode="External"/><Relationship Id="rId76" Type="http://schemas.openxmlformats.org/officeDocument/2006/relationships/hyperlink" Target="https://drive.google.com/file/d/1d12Pvlf17mGPa5Mbtjy0ixgV_QkIzcMa/view?usp=sharing" TargetMode="External"/><Relationship Id="rId79" Type="http://schemas.openxmlformats.org/officeDocument/2006/relationships/hyperlink" Target="https://drive.google.com/file/d/1d12Pvlf17mGPa5Mbtjy0ixgV_QkIzcMa/view?usp=sharing" TargetMode="External"/><Relationship Id="rId78" Type="http://schemas.openxmlformats.org/officeDocument/2006/relationships/hyperlink" Target="https://drive.google.com/file/d/1beARtTuZkrsE2Aanvk4HLCK9ByqoZyEB/view?usp=sharing" TargetMode="External"/><Relationship Id="rId71" Type="http://schemas.openxmlformats.org/officeDocument/2006/relationships/hyperlink" Target="https://drive.google.com/file/d/1mCz2mZU6VW77kVuqa9wnRbEiD-TvMQMu/view?usp=sharing" TargetMode="External"/><Relationship Id="rId70" Type="http://schemas.openxmlformats.org/officeDocument/2006/relationships/hyperlink" Target="http://marcelvanhattem.com.br/2020/wp-content/uploads/2021/09/EMENDA-TURISMO-2021.pdf" TargetMode="External"/><Relationship Id="rId62" Type="http://schemas.openxmlformats.org/officeDocument/2006/relationships/hyperlink" Target="https://drive.google.com/file/d/1d12Pvlf17mGPa5Mbtjy0ixgV_QkIzcMa/view?usp=sharing" TargetMode="External"/><Relationship Id="rId61" Type="http://schemas.openxmlformats.org/officeDocument/2006/relationships/hyperlink" Target="https://www.camara.leg.br/internet/comissao/index/mista/orca/orcamento/OR2020/emendas/despesa/ANDRELUF_AV_LOA_AUTOR_7122.pdf" TargetMode="External"/><Relationship Id="rId64" Type="http://schemas.openxmlformats.org/officeDocument/2006/relationships/hyperlink" Target="https://drive.google.com/file/d/1qkeHEEpc3Sm3BBTbo-r2szN2GyuYEm4_/view?usp=sharing" TargetMode="External"/><Relationship Id="rId63" Type="http://schemas.openxmlformats.org/officeDocument/2006/relationships/hyperlink" Target="https://drive.google.com/file/d/1-8xHqMCeZaEyjkbREFhO5qBcHkZvF5Ve/view?usp=sharing" TargetMode="External"/><Relationship Id="rId66" Type="http://schemas.openxmlformats.org/officeDocument/2006/relationships/hyperlink" Target="https://drive.google.com/file/d/1d12Pvlf17mGPa5Mbtjy0ixgV_QkIzcMa/view?usp=sharing" TargetMode="External"/><Relationship Id="rId65" Type="http://schemas.openxmlformats.org/officeDocument/2006/relationships/hyperlink" Target="https://www.camara.leg.br/internet/comissao/index/mista/orca/orcamento/OR2020/emendas/despesa/ANDRELUF_AV_LOA_AUTOR_7122.pdf" TargetMode="External"/><Relationship Id="rId68" Type="http://schemas.openxmlformats.org/officeDocument/2006/relationships/hyperlink" Target="https://www.camara.leg.br/internet/comissao/index/mista/orca/orcamento/OR2020/emendas/despesa/ANDRELUF_AV_LOA_AUTOR_7122.pdf" TargetMode="External"/><Relationship Id="rId67" Type="http://schemas.openxmlformats.org/officeDocument/2006/relationships/hyperlink" Target="https://drive.google.com/file/d/1luY-rTP7_2XRSQ9cFMaHym4Sz513UMQq/view?usp=sharing" TargetMode="External"/><Relationship Id="rId60" Type="http://schemas.openxmlformats.org/officeDocument/2006/relationships/hyperlink" Target="https://drive.google.com/file/d/1HbqKN9Fp5cyOGQQEHRaodTNspesusht3/view?usp=sharing" TargetMode="External"/><Relationship Id="rId69" Type="http://schemas.openxmlformats.org/officeDocument/2006/relationships/hyperlink" Target="https://drive.google.com/file/d/1Lp-Yjnok2K8GSq3buN6rEurdb6eqQyAP/view?usp=sharing" TargetMode="External"/><Relationship Id="rId51" Type="http://schemas.openxmlformats.org/officeDocument/2006/relationships/hyperlink" Target="https://drive.google.com/file/d/1iqdH9-F0Jh1o7Id8MxzCzXuZzIbBuJ5Z/view?usp=sharing" TargetMode="External"/><Relationship Id="rId50" Type="http://schemas.openxmlformats.org/officeDocument/2006/relationships/hyperlink" Target="https://drive.google.com/file/d/1JKA10A-XTu-r80fR1xwwvZr7sJkK7fbW/view?usp=sharing" TargetMode="External"/><Relationship Id="rId53" Type="http://schemas.openxmlformats.org/officeDocument/2006/relationships/hyperlink" Target="https://www.camara.leg.br/internet/comissao/index/mista/orca/orcamento/OR2020/emendas/despesa/ANDRELUF_AV_LOA_AUTOR_7122.pdf" TargetMode="External"/><Relationship Id="rId52" Type="http://schemas.openxmlformats.org/officeDocument/2006/relationships/hyperlink" Target="https://www.camara.leg.br/internet/comissao/index/mista/orca/orcamento/OR2020/emendas/despesa/ANDRELUF_AV_LOA_AUTOR_7122.pdf" TargetMode="External"/><Relationship Id="rId55" Type="http://schemas.openxmlformats.org/officeDocument/2006/relationships/hyperlink" Target="https://www.camara.leg.br/internet/comissao/index/mista/orca/orcamento/OR2020/emendas/despesa/ANDRELUF_AV_LOA_AUTOR_7122.pdf" TargetMode="External"/><Relationship Id="rId54" Type="http://schemas.openxmlformats.org/officeDocument/2006/relationships/hyperlink" Target="https://drive.google.com/file/d/1HYVf8q9q_uUmXyb7vzOuk0tyghX5LOkv/view?usp=sharing" TargetMode="External"/><Relationship Id="rId57" Type="http://schemas.openxmlformats.org/officeDocument/2006/relationships/hyperlink" Target="https://drive.google.com/file/d/1zay9tOPtsNNVzpC6ZdFBF2vYKCbjoI0d/view?usp=sharing" TargetMode="External"/><Relationship Id="rId56" Type="http://schemas.openxmlformats.org/officeDocument/2006/relationships/hyperlink" Target="https://www.camara.leg.br/internet/comissao/index/mista/orca/orcamento/OR2020/emendas/despesa/ANDRELUF_AV_LOA_AUTOR_7122.pdf" TargetMode="External"/><Relationship Id="rId59" Type="http://schemas.openxmlformats.org/officeDocument/2006/relationships/hyperlink" Target="https://drive.google.com/file/d/1luY-rTP7_2XRSQ9cFMaHym4Sz513UMQq/view?usp=sharing" TargetMode="External"/><Relationship Id="rId58" Type="http://schemas.openxmlformats.org/officeDocument/2006/relationships/hyperlink" Target="https://www.camara.leg.br/internet/comissao/index/mista/orca/orcamento/OR2020/emendas/despesa/ANDRELUF_AV_LOA_AUTOR_7122.pdf" TargetMode="External"/></Relationships>
</file>

<file path=xl/worksheets/_rels/sheet10.xml.rels><?xml version="1.0" encoding="UTF-8" standalone="yes"?><Relationships xmlns="http://schemas.openxmlformats.org/package/2006/relationships"><Relationship Id="rId20" Type="http://schemas.openxmlformats.org/officeDocument/2006/relationships/drawing" Target="../drawings/drawing10.xml"/><Relationship Id="rId11" Type="http://schemas.openxmlformats.org/officeDocument/2006/relationships/hyperlink" Target="https://drive.google.com/file/d/16NDej4XeJDyUwcK4boY_5uG5lAN7Sgc-/view?usp=sharing" TargetMode="External"/><Relationship Id="rId10" Type="http://schemas.openxmlformats.org/officeDocument/2006/relationships/hyperlink" Target="https://drive.google.com/file/d/1CmMO5spgPFn8fwOQd-qWMeLFZnGlUKCw/view?usp=sharing" TargetMode="External"/><Relationship Id="rId13" Type="http://schemas.openxmlformats.org/officeDocument/2006/relationships/hyperlink" Target="https://drive.google.com/file/d/1aDObxpbsBjwlksXrkLajbqjPN4rHK6G6/view?usp=sharing" TargetMode="External"/><Relationship Id="rId12" Type="http://schemas.openxmlformats.org/officeDocument/2006/relationships/hyperlink" Target="https://drive.google.com/file/d/1lDGVtCDc_glV46c1XC81i_gS0OxRUj5I/view?usp=sharing" TargetMode="External"/><Relationship Id="rId15" Type="http://schemas.openxmlformats.org/officeDocument/2006/relationships/hyperlink" Target="https://drive.google.com/file/d/1CmMO5spgPFn8fwOQd-qWMeLFZnGlUKCw/view?usp=sharing" TargetMode="External"/><Relationship Id="rId14" Type="http://schemas.openxmlformats.org/officeDocument/2006/relationships/hyperlink" Target="https://drive.google.com/file/d/1dAF_3btktWoIWwgzredtzJoiEjOh_d_r/view?usp=sharing" TargetMode="External"/><Relationship Id="rId17" Type="http://schemas.openxmlformats.org/officeDocument/2006/relationships/hyperlink" Target="https://drive.google.com/file/d/1B0qAQ76zJ1iabT06D3JpA_tiuSEo2gNW/view?usp=sharing" TargetMode="External"/><Relationship Id="rId16" Type="http://schemas.openxmlformats.org/officeDocument/2006/relationships/hyperlink" Target="https://drive.google.com/file/d/1kiFA5uP0-VNk62daoiml2JHhB4cV4Gwc/view?usp=sharing" TargetMode="External"/><Relationship Id="rId19" Type="http://schemas.openxmlformats.org/officeDocument/2006/relationships/hyperlink" Target="https://drive.google.com/file/d/1iHCEQhM4YS-ioZsWMsr2Tcio3J1kMMwJ/view?usp=sharing" TargetMode="External"/><Relationship Id="rId18" Type="http://schemas.openxmlformats.org/officeDocument/2006/relationships/hyperlink" Target="https://drive.google.com/file/d/1y8BkMzI-Uw9vtIWyL9vu0RPBk1VO_Yr6/view?usp=sharing" TargetMode="External"/><Relationship Id="rId1" Type="http://schemas.openxmlformats.org/officeDocument/2006/relationships/hyperlink" Target="https://drive.google.com/file/d/1anFh9yryznLscxrEOzRV_Db5y8Px7OY8/view?usp=sharing" TargetMode="External"/><Relationship Id="rId2" Type="http://schemas.openxmlformats.org/officeDocument/2006/relationships/hyperlink" Target="https://drive.google.com/file/d/1lTmWUQJKG5rGSM0vQkXaZuJ4dXAvvvgM/view?usp=sharing" TargetMode="External"/><Relationship Id="rId3" Type="http://schemas.openxmlformats.org/officeDocument/2006/relationships/hyperlink" Target="https://drive.google.com/file/d/1c32Eq75I5Pz5TeSqoui-K2Zi3_Qtpllr/view?usp=sharing" TargetMode="External"/><Relationship Id="rId4" Type="http://schemas.openxmlformats.org/officeDocument/2006/relationships/hyperlink" Target="https://drive.google.com/file/d/1zQlCjN9oRKjfzddgf1FIVbgS9t6s9ev0/view?usp=sharing" TargetMode="External"/><Relationship Id="rId9" Type="http://schemas.openxmlformats.org/officeDocument/2006/relationships/hyperlink" Target="https://drive.google.com/file/d/1c32Eq75I5Pz5TeSqoui-K2Zi3_Qtpllr/view?usp=sharing" TargetMode="External"/><Relationship Id="rId5" Type="http://schemas.openxmlformats.org/officeDocument/2006/relationships/hyperlink" Target="https://drive.google.com/file/d/127Kht2H2qPS_n-vtKeF9V_jw7OkAD6MF/view?usp=sharing" TargetMode="External"/><Relationship Id="rId6" Type="http://schemas.openxmlformats.org/officeDocument/2006/relationships/hyperlink" Target="https://drive.google.com/file/d/1iqdH9-F0Jh1o7Id8MxzCzXuZzIbBuJ5Z/view?usp=sharing" TargetMode="External"/><Relationship Id="rId7" Type="http://schemas.openxmlformats.org/officeDocument/2006/relationships/hyperlink" Target="https://drive.google.com/file/d/1qkeHEEpc3Sm3BBTbo-r2szN2GyuYEm4_/view?usp=sharing" TargetMode="External"/><Relationship Id="rId8" Type="http://schemas.openxmlformats.org/officeDocument/2006/relationships/hyperlink" Target="https://drive.google.com/file/d/1dTVRZN5f0zcKdPVxJyykUdKgCUFUbjsR/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luY-rTP7_2XRSQ9cFMaHym4Sz513UMQq/view?usp=sharing" TargetMode="External"/><Relationship Id="rId42" Type="http://schemas.openxmlformats.org/officeDocument/2006/relationships/hyperlink" Target="https://www.camara.leg.br/internet/comissao/index/mista/orca/orcamento/OR2020/emendas/despesa/ANDRELUF_AV_LOA_AUTOR_7122.pdf" TargetMode="External"/><Relationship Id="rId41" Type="http://schemas.openxmlformats.org/officeDocument/2006/relationships/hyperlink" Target="https://drive.google.com/file/d/1HbqKN9Fp5cyOGQQEHRaodTNspesusht3/view?usp=sharing" TargetMode="External"/><Relationship Id="rId44" Type="http://schemas.openxmlformats.org/officeDocument/2006/relationships/hyperlink" Target="https://www.camara.leg.br/internet/comissao/index/mista/orca/orcamento/OR2020/emendas/despesa/ANDRELUF_AV_LOA_AUTOR_7122.pdf" TargetMode="External"/><Relationship Id="rId43" Type="http://schemas.openxmlformats.org/officeDocument/2006/relationships/hyperlink" Target="https://drive.google.com/file/d/1-8xHqMCeZaEyjkbREFhO5qBcHkZvF5Ve/view?usp=sharing" TargetMode="External"/><Relationship Id="rId46" Type="http://schemas.openxmlformats.org/officeDocument/2006/relationships/hyperlink" Target="https://www.camara.leg.br/internet/comissao/index/mista/orca/orcamento/OR2020/emendas/despesa/ANDRELUF_AV_LOA_AUTOR_7122.pdf" TargetMode="External"/><Relationship Id="rId45" Type="http://schemas.openxmlformats.org/officeDocument/2006/relationships/hyperlink" Target="https://drive.google.com/file/d/1luY-rTP7_2XRSQ9cFMaHym4Sz513UMQq/view?usp=sharing" TargetMode="External"/><Relationship Id="rId48" Type="http://schemas.openxmlformats.org/officeDocument/2006/relationships/hyperlink" Target="https://drive.google.com/file/d/1Lp-Yjnok2K8GSq3buN6rEurdb6eqQyAP/view?usp=sharing" TargetMode="External"/><Relationship Id="rId47" Type="http://schemas.openxmlformats.org/officeDocument/2006/relationships/hyperlink" Target="https://drive.google.com/file/d/1dA-xI-LIxcR9fUfK2Teoul4ATJp55IX9/view?usp=sharing" TargetMode="External"/><Relationship Id="rId49" Type="http://schemas.openxmlformats.org/officeDocument/2006/relationships/hyperlink" Target="https://www.camara.leg.br/internet/comissao/index/mista/orca/orcamento/OR2020/emendas/despesa/ANDRELUF_AV_LOA_AUTOR_7122.pdf" TargetMode="External"/><Relationship Id="rId101" Type="http://schemas.openxmlformats.org/officeDocument/2006/relationships/drawing" Target="../drawings/drawing13.xml"/><Relationship Id="rId100" Type="http://schemas.openxmlformats.org/officeDocument/2006/relationships/hyperlink" Target="https://drive.google.com/file/d/1WlGh1kHSwuugd7ZkBZBGgSXTxeI_v28C/view?usp=sharing" TargetMode="External"/><Relationship Id="rId31" Type="http://schemas.openxmlformats.org/officeDocument/2006/relationships/hyperlink" Target="https://drive.google.com/file/d/1Zk6ewpMQdFlieciB_LAxMwPaXCylCugH/view?usp=sharing" TargetMode="External"/><Relationship Id="rId30" Type="http://schemas.openxmlformats.org/officeDocument/2006/relationships/hyperlink" Target="https://www.camara.leg.br/internet/comissao/index/mista/orca/orcamento/OR2020/emendas/despesa/ANDRELUF_AV_LOA_AUTOR_7122.pdf" TargetMode="External"/><Relationship Id="rId33" Type="http://schemas.openxmlformats.org/officeDocument/2006/relationships/hyperlink" Target="https://www.camara.leg.br/internet/comissao/index/mista/orca/orcamento/OR2020/emendas/despesa/ANDRELUF_AV_LOA_AUTOR_7122.pdf" TargetMode="External"/><Relationship Id="rId32" Type="http://schemas.openxmlformats.org/officeDocument/2006/relationships/hyperlink" Target="https://drive.google.com/file/d/1JKA10A-XTu-r80fR1xwwvZr7sJkK7fbW/view?usp=sharing" TargetMode="External"/><Relationship Id="rId35" Type="http://schemas.openxmlformats.org/officeDocument/2006/relationships/hyperlink" Target="https://drive.google.com/file/d/1HYVf8q9q_uUmXyb7vzOuk0tyghX5LOkv/view?usp=sharing" TargetMode="External"/><Relationship Id="rId34" Type="http://schemas.openxmlformats.org/officeDocument/2006/relationships/hyperlink" Target="https://www.camara.leg.br/internet/comissao/index/mista/orca/orcamento/OR2020/emendas/despesa/ANDRELUF_AV_LOA_AUTOR_7122.pdf" TargetMode="External"/><Relationship Id="rId37" Type="http://schemas.openxmlformats.org/officeDocument/2006/relationships/hyperlink" Target="https://www.camara.leg.br/internet/comissao/index/mista/orca/orcamento/OR2020/emendas/despesa/ANDRELUF_AV_LOA_AUTOR_7122.pdf" TargetMode="External"/><Relationship Id="rId36" Type="http://schemas.openxmlformats.org/officeDocument/2006/relationships/hyperlink" Target="https://www.camara.leg.br/internet/comissao/index/mista/orca/orcamento/OR2020/emendas/despesa/ANDRELUF_AV_LOA_AUTOR_7122.pdf" TargetMode="External"/><Relationship Id="rId39" Type="http://schemas.openxmlformats.org/officeDocument/2006/relationships/hyperlink" Target="https://drive.google.com/file/d/1hbb9kyMrn6o0obRyQU0iOxUkrernCaTd/view?usp=sharing" TargetMode="External"/><Relationship Id="rId38" Type="http://schemas.openxmlformats.org/officeDocument/2006/relationships/hyperlink" Target="https://www.camara.leg.br/internet/comissao/index/mista/orca/orcamento/OR2020/emendas/despesa/ANDRELUF_AV_LOA_AUTOR_7122.pdf" TargetMode="External"/><Relationship Id="rId20" Type="http://schemas.openxmlformats.org/officeDocument/2006/relationships/hyperlink" Target="https://drive.google.com/file/d/1HFuozWEpW-69Bac0gN8IIG7uNPATNnEg/view?usp=sharing" TargetMode="External"/><Relationship Id="rId22" Type="http://schemas.openxmlformats.org/officeDocument/2006/relationships/hyperlink" Target="https://drive.google.com/file/d/1EDe-Uaa-tw0e6ckceh3L6d5-JBOhBqpK/view?usp=sharing" TargetMode="External"/><Relationship Id="rId21" Type="http://schemas.openxmlformats.org/officeDocument/2006/relationships/hyperlink" Target="https://drive.google.com/file/d/1fXbFw2jmJcRgxas4NM8iEdXZV-o76JTj/view?usp=sharing" TargetMode="External"/><Relationship Id="rId24" Type="http://schemas.openxmlformats.org/officeDocument/2006/relationships/hyperlink" Target="https://www.camara.leg.br/internet/comissao/index/mista/orca/orcamento/OR2020/emendas/despesa/ANDRELUF_AV_LOA_AUTOR_7122.pdf" TargetMode="External"/><Relationship Id="rId23" Type="http://schemas.openxmlformats.org/officeDocument/2006/relationships/hyperlink" Target="https://drive.google.com/file/d/1dA-xI-LIxcR9fUfK2Teoul4ATJp55IX9/view?usp=sharing" TargetMode="External"/><Relationship Id="rId26" Type="http://schemas.openxmlformats.org/officeDocument/2006/relationships/hyperlink" Target="https://drive.google.com/file/d/1Sr6Eq5h5hRWhW_OPO4sJsd4gxNdwD8OC/view?usp=sharing" TargetMode="External"/><Relationship Id="rId25" Type="http://schemas.openxmlformats.org/officeDocument/2006/relationships/hyperlink" Target="https://drive.google.com/file/d/1HFuozWEpW-69Bac0gN8IIG7uNPATNnEg/view?usp=sharing" TargetMode="External"/><Relationship Id="rId28" Type="http://schemas.openxmlformats.org/officeDocument/2006/relationships/hyperlink" Target="https://www.camara.leg.br/internet/comissao/index/mista/orca/orcamento/OR2020/emendas/despesa/ANDRELUF_AV_LOA_AUTOR_7122.pdf" TargetMode="External"/><Relationship Id="rId27" Type="http://schemas.openxmlformats.org/officeDocument/2006/relationships/hyperlink" Target="https://www.camara.leg.br/internet/comissao/index/mista/orca/orcamento/OR2020/emendas/despesa/ANDRELUF_AV_LOA_AUTOR_7122.pdf" TargetMode="External"/><Relationship Id="rId29" Type="http://schemas.openxmlformats.org/officeDocument/2006/relationships/hyperlink" Target="https://drive.google.com/file/d/1qGTOlIgk-36ReF-OFCIQCopSE__m1Ba1/view?usp=sharing" TargetMode="External"/><Relationship Id="rId95" Type="http://schemas.openxmlformats.org/officeDocument/2006/relationships/hyperlink" Target="https://drive.google.com/file/d/1mCz2mZU6VW77kVuqa9wnRbEiD-TvMQMu/view?usp=sharing" TargetMode="External"/><Relationship Id="rId94" Type="http://schemas.openxmlformats.org/officeDocument/2006/relationships/hyperlink" Target="https://drive.google.com/file/d/1snCNLonqwErA_N4mdpMmTLDYHoa30OB3/view?usp=sharing" TargetMode="External"/><Relationship Id="rId97" Type="http://schemas.openxmlformats.org/officeDocument/2006/relationships/hyperlink" Target="https://drive.google.com/file/d/1WlGh1kHSwuugd7ZkBZBGgSXTxeI_v28C/view?usp=sharing" TargetMode="External"/><Relationship Id="rId96" Type="http://schemas.openxmlformats.org/officeDocument/2006/relationships/hyperlink" Target="https://drive.google.com/file/d/1yonAHlCerIqzVP-hw2Ps4plFF2TWlLr3/view?usp=sharing" TargetMode="External"/><Relationship Id="rId11" Type="http://schemas.openxmlformats.org/officeDocument/2006/relationships/hyperlink" Target="https://www.camara.leg.br/internet/comissao/index/mista/orca/orcamento/OR2020/emendas/despesa/ANDRELUF_AV_LOA_AUTOR_7122.pdf" TargetMode="External"/><Relationship Id="rId99" Type="http://schemas.openxmlformats.org/officeDocument/2006/relationships/hyperlink" Target="https://drive.google.com/file/d/1z0Sm5HAnkqAcRLsVO6CusjDhOGmRDcIF/view?usp=sharing" TargetMode="External"/><Relationship Id="rId10" Type="http://schemas.openxmlformats.org/officeDocument/2006/relationships/hyperlink" Target="https://www.camara.leg.br/internet/comissao/index/mista/orca/orcamento/OR2020/emendas/despesa/ANDRELUF_AV_LOA_AUTOR_7122.pdf" TargetMode="External"/><Relationship Id="rId98" Type="http://schemas.openxmlformats.org/officeDocument/2006/relationships/hyperlink" Target="https://drive.google.com/file/d/13UJPbFK0izb7oc7oPflF1d60qA_i3jsW/view?usp=sharing" TargetMode="External"/><Relationship Id="rId13" Type="http://schemas.openxmlformats.org/officeDocument/2006/relationships/hyperlink" Target="https://drive.google.com/file/d/1SM5ISknl3pfK9h0Sa2isnorQbK9F32Td/view?usp=sharing" TargetMode="External"/><Relationship Id="rId12" Type="http://schemas.openxmlformats.org/officeDocument/2006/relationships/hyperlink" Target="https://www.camara.leg.br/internet/comissao/index/mista/orca/orcamento/OR2020/emendas/despesa/ANDRELUF_AV_LOA_AUTOR_7122.pdf" TargetMode="External"/><Relationship Id="rId91" Type="http://schemas.openxmlformats.org/officeDocument/2006/relationships/hyperlink" Target="http://marcelvanhattem.com.br/2020/wp-content/uploads/2021/09/EMENDA-TURISMO-2021.pdf" TargetMode="External"/><Relationship Id="rId90" Type="http://schemas.openxmlformats.org/officeDocument/2006/relationships/hyperlink" Target="https://drive.google.com/file/d/100R98VIt1lNeUjjwm3cteeyTBJBt15O-/view?usp=sharing" TargetMode="External"/><Relationship Id="rId93" Type="http://schemas.openxmlformats.org/officeDocument/2006/relationships/hyperlink" Target="https://drive.google.com/file/d/100R98VIt1lNeUjjwm3cteeyTBJBt15O-/view?usp=sharing" TargetMode="External"/><Relationship Id="rId92" Type="http://schemas.openxmlformats.org/officeDocument/2006/relationships/hyperlink" Target="https://drive.google.com/file/d/1mCz2mZU6VW77kVuqa9wnRbEiD-TvMQMu/view?usp=sharing" TargetMode="External"/><Relationship Id="rId15" Type="http://schemas.openxmlformats.org/officeDocument/2006/relationships/hyperlink" Target="https://www.camara.leg.br/internet/comissao/index/mista/orca/orcamento/OR2020/emendas/despesa/ANDRELUF_AV_LOA_AUTOR_7122.pdf" TargetMode="External"/><Relationship Id="rId14" Type="http://schemas.openxmlformats.org/officeDocument/2006/relationships/hyperlink" Target="https://www.camara.leg.br/internet/comissao/index/mista/orca/orcamento/OR2020/emendas/despesa/ANDRELUF_AV_LOA_AUTOR_7122.pdf" TargetMode="External"/><Relationship Id="rId17" Type="http://schemas.openxmlformats.org/officeDocument/2006/relationships/hyperlink" Target="https://drive.google.com/file/d/1pzNM5_LjagzRWX9oVIAZt1EFDvECae0P/view?usp=sharing" TargetMode="External"/><Relationship Id="rId16" Type="http://schemas.openxmlformats.org/officeDocument/2006/relationships/hyperlink" Target="https://drive.google.com/file/d/1WQh8NHgMNEN0CVi-6Y9RIBEuR0LX7ILs/view?usp=sharing" TargetMode="External"/><Relationship Id="rId19" Type="http://schemas.openxmlformats.org/officeDocument/2006/relationships/hyperlink" Target="https://www.correiodopovo.com.br/not%C3%ADcias/cidades/dois-irm%C3%A3os-inaugura-novos-leitos-nesta-segunda-feira-1.605680" TargetMode="External"/><Relationship Id="rId18" Type="http://schemas.openxmlformats.org/officeDocument/2006/relationships/hyperlink" Target="https://www.camara.leg.br/internet/comissao/index/mista/orca/orcamento/OR2020/emendas/despesa/ANDRELUF_AV_LOA_AUTOR_7122.pdf" TargetMode="External"/><Relationship Id="rId84" Type="http://schemas.openxmlformats.org/officeDocument/2006/relationships/hyperlink" Target="https://drive.google.com/file/d/100R98VIt1lNeUjjwm3cteeyTBJBt15O-/view?usp=sharing" TargetMode="External"/><Relationship Id="rId83" Type="http://schemas.openxmlformats.org/officeDocument/2006/relationships/hyperlink" Target="http://marcelvanhattem.com.br/2020/wp-content/uploads/2021/09/EMENDA-TURISMO-2021.pdf" TargetMode="External"/><Relationship Id="rId86" Type="http://schemas.openxmlformats.org/officeDocument/2006/relationships/hyperlink" Target="https://drive.google.com/file/d/1zay9tOPtsNNVzpC6ZdFBF2vYKCbjoI0d/view?usp=sharing" TargetMode="External"/><Relationship Id="rId85" Type="http://schemas.openxmlformats.org/officeDocument/2006/relationships/hyperlink" Target="http://marcelvanhattem.com.br/2020/wp-content/uploads/2021/09/EMENDA-TURISMO-2021.pdf" TargetMode="External"/><Relationship Id="rId88" Type="http://schemas.openxmlformats.org/officeDocument/2006/relationships/hyperlink" Target="https://drive.google.com/file/d/1zay9tOPtsNNVzpC6ZdFBF2vYKCbjoI0d/view?usp=sharing" TargetMode="External"/><Relationship Id="rId87" Type="http://schemas.openxmlformats.org/officeDocument/2006/relationships/hyperlink" Target="https://drive.google.com/file/d/1zay9tOPtsNNVzpC6ZdFBF2vYKCbjoI0d/view?usp=sharing" TargetMode="External"/><Relationship Id="rId89" Type="http://schemas.openxmlformats.org/officeDocument/2006/relationships/hyperlink" Target="http://marcelvanhattem.com.br/2020/wp-content/uploads/2021/09/EMENDA-TURISMO-2021.pdf" TargetMode="External"/><Relationship Id="rId80" Type="http://schemas.openxmlformats.org/officeDocument/2006/relationships/hyperlink" Target="https://drive.google.com/file/d/1aVbHDu-DKviaNACegsEerGDS8Nd_-893/view?usp=sharing" TargetMode="External"/><Relationship Id="rId82" Type="http://schemas.openxmlformats.org/officeDocument/2006/relationships/hyperlink" Target="https://drive.google.com/file/d/1aVbHDu-DKviaNACegsEerGDS8Nd_-893/view?usp=sharing" TargetMode="External"/><Relationship Id="rId81" Type="http://schemas.openxmlformats.org/officeDocument/2006/relationships/hyperlink" Target="https://drive.google.com/file/d/1aVbHDu-DKviaNACegsEerGDS8Nd_-893/view?usp=sharing" TargetMode="External"/><Relationship Id="rId1" Type="http://schemas.openxmlformats.org/officeDocument/2006/relationships/hyperlink" Target="https://drive.google.com/file/d/1mXZAuOSME4pQqEZuv4go-THDPtv0HMgX/view?usp=sharing" TargetMode="External"/><Relationship Id="rId2" Type="http://schemas.openxmlformats.org/officeDocument/2006/relationships/hyperlink" Target="https://drive.google.com/file/d/14DrP3Cc1ZYpVu7GePMKjKymMmwMOJ9X6/view?usp=sharing" TargetMode="External"/><Relationship Id="rId3" Type="http://schemas.openxmlformats.org/officeDocument/2006/relationships/hyperlink" Target="https://www.primeirahora.rs/web/noticias/19911/polcia-civil-de-so-jos-do-hortncio-recebe-nova-viatura-semiblindada" TargetMode="External"/><Relationship Id="rId4" Type="http://schemas.openxmlformats.org/officeDocument/2006/relationships/hyperlink" Target="https://drive.google.com/file/d/1nir9mZr2U_EDG20Z4pfOjC_d3byawril/view?usp=sharing" TargetMode="External"/><Relationship Id="rId9" Type="http://schemas.openxmlformats.org/officeDocument/2006/relationships/hyperlink" Target="https://drive.google.com/file/d/1W01r2obXUbZWJNeB6SXTmd1kmFOVsBhl/view?usp=sharing" TargetMode="External"/><Relationship Id="rId5" Type="http://schemas.openxmlformats.org/officeDocument/2006/relationships/hyperlink" Target="https://www.camara.leg.br/internet/comissao/index/mista/orca/orcamento/OR2020/emendas/despesa/ANDRELUF_AV_LOA_AUTOR_7122.pdf" TargetMode="External"/><Relationship Id="rId6" Type="http://schemas.openxmlformats.org/officeDocument/2006/relationships/hyperlink" Target="https://drive.google.com/file/d/16Ol1p7pGgiKY7zt4K0eY4MmtR6ITvWXw/view?usp=sharing" TargetMode="External"/><Relationship Id="rId7" Type="http://schemas.openxmlformats.org/officeDocument/2006/relationships/hyperlink" Target="https://drive.google.com/file/d/1dA-xI-LIxcR9fUfK2Teoul4ATJp55IX9/view?usp=sharing" TargetMode="External"/><Relationship Id="rId8" Type="http://schemas.openxmlformats.org/officeDocument/2006/relationships/hyperlink" Target="https://drive.google.com/file/d/1W01r2obXUbZWJNeB6SXTmd1kmFOVsBhl/view?usp=sharing" TargetMode="External"/><Relationship Id="rId73" Type="http://schemas.openxmlformats.org/officeDocument/2006/relationships/hyperlink" Target="https://www.camara.leg.br/internet/comissao/index/mista/orca/orcamento/OR2020/emendas/despesa/ANDRELUF_AV_LOA_AUTOR_7122.pdf" TargetMode="External"/><Relationship Id="rId72" Type="http://schemas.openxmlformats.org/officeDocument/2006/relationships/hyperlink" Target="https://www.camara.leg.br/internet/comissao/index/mista/orca/orcamento/OR2020/emendas/despesa/ANDRELUF_AV_LOA_AUTOR_7122.pdf" TargetMode="External"/><Relationship Id="rId75" Type="http://schemas.openxmlformats.org/officeDocument/2006/relationships/hyperlink" Target="https://www.camara.leg.br/internet/comissao/index/mista/orca/orcamento/OR2020/emendas/despesa/ANDRELUF_AV_LOA_AUTOR_7122.pdf" TargetMode="External"/><Relationship Id="rId74" Type="http://schemas.openxmlformats.org/officeDocument/2006/relationships/hyperlink" Target="https://www.camara.leg.br/internet/comissao/index/mista/orca/orcamento/OR2020/emendas/despesa/ANDRELUF_AV_LOA_AUTOR_7122.pdf" TargetMode="External"/><Relationship Id="rId77" Type="http://schemas.openxmlformats.org/officeDocument/2006/relationships/hyperlink" Target="https://drive.google.com/file/d/1HFuozWEpW-69Bac0gN8IIG7uNPATNnEg/view?usp=sharing" TargetMode="External"/><Relationship Id="rId76" Type="http://schemas.openxmlformats.org/officeDocument/2006/relationships/hyperlink" Target="https://drive.google.com/file/d/11E1rObU6LasDy18ciApk_rtICOWhnkoH/view?usp=sharing" TargetMode="External"/><Relationship Id="rId79" Type="http://schemas.openxmlformats.org/officeDocument/2006/relationships/hyperlink" Target="https://drive.google.com/file/d/1aVbHDu-DKviaNACegsEerGDS8Nd_-893/view?usp=sharing" TargetMode="External"/><Relationship Id="rId78" Type="http://schemas.openxmlformats.org/officeDocument/2006/relationships/hyperlink" Target="https://drive.google.com/file/d/1aVbHDu-DKviaNACegsEerGDS8Nd_-893/view?usp=sharing" TargetMode="External"/><Relationship Id="rId71" Type="http://schemas.openxmlformats.org/officeDocument/2006/relationships/hyperlink" Target="https://www.camara.leg.br/internet/comissao/index/mista/orca/orcamento/OR2020/emendas/despesa/ANDRELUF_AV_LOA_AUTOR_7122.pdf" TargetMode="External"/><Relationship Id="rId70" Type="http://schemas.openxmlformats.org/officeDocument/2006/relationships/hyperlink" Target="https://drive.google.com/file/d/1Df5G9XXlGyc1bAw2UMGi4acbV154nLNF/view?usp=sharing" TargetMode="External"/><Relationship Id="rId62" Type="http://schemas.openxmlformats.org/officeDocument/2006/relationships/hyperlink" Target="https://drive.google.com/file/d/1d12Pvlf17mGPa5Mbtjy0ixgV_QkIzcMa/view?usp=sharing" TargetMode="External"/><Relationship Id="rId61" Type="http://schemas.openxmlformats.org/officeDocument/2006/relationships/hyperlink" Target="https://drive.google.com/file/d/1d12Pvlf17mGPa5Mbtjy0ixgV_QkIzcMa/view?usp=sharing" TargetMode="External"/><Relationship Id="rId64" Type="http://schemas.openxmlformats.org/officeDocument/2006/relationships/hyperlink" Target="https://www.camara.leg.br/internet/comissao/index/mista/orca/orcamento/OR2020/emendas/despesa/ANDRELUF_AV_LOA_AUTOR_7122.pdf" TargetMode="External"/><Relationship Id="rId63" Type="http://schemas.openxmlformats.org/officeDocument/2006/relationships/hyperlink" Target="https://drive.google.com/file/d/1d12Pvlf17mGPa5Mbtjy0ixgV_QkIzcMa/view?usp=sharing" TargetMode="External"/><Relationship Id="rId66" Type="http://schemas.openxmlformats.org/officeDocument/2006/relationships/hyperlink" Target="https://www.camara.leg.br/internet/comissao/index/mista/orca/orcamento/OR2020/emendas/despesa/ANDRELUF_AV_LOA_AUTOR_7122.pdf" TargetMode="External"/><Relationship Id="rId65" Type="http://schemas.openxmlformats.org/officeDocument/2006/relationships/hyperlink" Target="https://www.camara.leg.br/internet/comissao/index/mista/orca/orcamento/OR2020/emendas/despesa/ANDRELUF_AV_LOA_AUTOR_7122.pdf" TargetMode="External"/><Relationship Id="rId68" Type="http://schemas.openxmlformats.org/officeDocument/2006/relationships/hyperlink" Target="https://www.camara.leg.br/internet/comissao/index/mista/orca/orcamento/OR2020/emendas/despesa/ANDRELUF_AV_LOA_AUTOR_7122.pdf" TargetMode="External"/><Relationship Id="rId67" Type="http://schemas.openxmlformats.org/officeDocument/2006/relationships/hyperlink" Target="https://drive.google.com/file/d/1IKFk94Ff2oQQsH60DQH0lq6QS85WcEmL/view?usp=sharing" TargetMode="External"/><Relationship Id="rId60" Type="http://schemas.openxmlformats.org/officeDocument/2006/relationships/hyperlink" Target="https://drive.google.com/file/d/1d12Pvlf17mGPa5Mbtjy0ixgV_QkIzcMa/view?usp=sharing" TargetMode="External"/><Relationship Id="rId69" Type="http://schemas.openxmlformats.org/officeDocument/2006/relationships/hyperlink" Target="https://www.camara.leg.br/internet/comissao/index/mista/orca/orcamento/OR2020/emendas/despesa/ANDRELUF_AV_LOA_AUTOR_7122.pdf" TargetMode="External"/><Relationship Id="rId51" Type="http://schemas.openxmlformats.org/officeDocument/2006/relationships/hyperlink" Target="https://drive.google.com/file/d/1beARtTuZkrsE2Aanvk4HLCK9ByqoZyEB/view?usp=sharing" TargetMode="External"/><Relationship Id="rId50" Type="http://schemas.openxmlformats.org/officeDocument/2006/relationships/hyperlink" Target="https://www.camara.leg.br/internet/comissao/index/mista/orca/orcamento/OR2020/emendas/despesa/ANDRELUF_AV_LOA_AUTOR_7122.pdf" TargetMode="External"/><Relationship Id="rId53" Type="http://schemas.openxmlformats.org/officeDocument/2006/relationships/hyperlink" Target="https://drive.google.com/file/d/1dA-xI-LIxcR9fUfK2Teoul4ATJp55IX9/view?usp=sharing" TargetMode="External"/><Relationship Id="rId52" Type="http://schemas.openxmlformats.org/officeDocument/2006/relationships/hyperlink" Target="https://www.facebook.com/watch/?extid=SEO----&amp;v=274761207761657" TargetMode="External"/><Relationship Id="rId55" Type="http://schemas.openxmlformats.org/officeDocument/2006/relationships/hyperlink" Target="https://drive.google.com/file/d/1d12Pvlf17mGPa5Mbtjy0ixgV_QkIzcMa/view?usp=sharing" TargetMode="External"/><Relationship Id="rId54" Type="http://schemas.openxmlformats.org/officeDocument/2006/relationships/hyperlink" Target="https://drive.google.com/file/d/1dA-xI-LIxcR9fUfK2Teoul4ATJp55IX9/view?usp=sharing" TargetMode="External"/><Relationship Id="rId57" Type="http://schemas.openxmlformats.org/officeDocument/2006/relationships/hyperlink" Target="https://drive.google.com/file/d/1d12Pvlf17mGPa5Mbtjy0ixgV_QkIzcMa/view?usp=sharing" TargetMode="External"/><Relationship Id="rId56" Type="http://schemas.openxmlformats.org/officeDocument/2006/relationships/hyperlink" Target="https://drive.google.com/file/d/1d12Pvlf17mGPa5Mbtjy0ixgV_QkIzcMa/view?usp=sharing" TargetMode="External"/><Relationship Id="rId59" Type="http://schemas.openxmlformats.org/officeDocument/2006/relationships/hyperlink" Target="https://drive.google.com/file/d/1d12Pvlf17mGPa5Mbtjy0ixgV_QkIzcMa/view?usp=sharing" TargetMode="External"/><Relationship Id="rId58" Type="http://schemas.openxmlformats.org/officeDocument/2006/relationships/hyperlink" Target="https://drive.google.com/file/d/1d12Pvlf17mGPa5Mbtjy0ixgV_QkIzcMa/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camara.leg.br/internet/comissao/index/mista/orca/orcamento/OR2020/emendas/despesa/ANDRELUF_AV_LOA_AUTOR_7122.pdf" TargetMode="External"/><Relationship Id="rId42" Type="http://schemas.openxmlformats.org/officeDocument/2006/relationships/hyperlink" Target="https://www.camara.leg.br/internet/comissao/index/mista/orca/orcamento/OR2020/emendas/despesa/ANDRELUF_AV_LOA_AUTOR_7122.pdf" TargetMode="External"/><Relationship Id="rId41" Type="http://schemas.openxmlformats.org/officeDocument/2006/relationships/hyperlink" Target="https://www.google.com/search?sxsrf=ALeKk01O8nAF2bNfV9volxJ5f06SuG1zVg%3A1588815353729&amp;ei=-WWzXuyGLPzD5OUPk_uKeA&amp;q=PREFEITURA+MUNICIPAL+DE+MARAU&amp;oq=PREFEITURA+MUNICIPAL+DE+MARAU&amp;gs_lcp=CgZwc3ktYWIQAzIECCMQJzICCAAyAggAMgIIADICCAAyAggAMgYIABAWEB4yBggAEBYQHjIGCAAQFhAeMggIABAWEAoQHjoECAAQRzoFCAAQgwFQxOIBWO_pAWCi7gFoAHACeACAAeMBiAGXB5IBBTAuMy4ymAEAoAEBqgEHZ3dzLXdpeg&amp;sclient=psy-ab&amp;ved=0ahUKEwis55a2zqDpAhX8IbkGHZO9Ag8Q4dUDCAw&amp;uact=5" TargetMode="External"/><Relationship Id="rId44" Type="http://schemas.openxmlformats.org/officeDocument/2006/relationships/hyperlink" Target="https://www.camara.leg.br/internet/comissao/index/mista/orca/orcamento/OR2020/emendas/despesa/ANDRELUF_AV_LOA_AUTOR_7122.pdf" TargetMode="External"/><Relationship Id="rId43" Type="http://schemas.openxmlformats.org/officeDocument/2006/relationships/hyperlink" Target="https://www.google.com/search?sxsrf=ALeKk00m9Kkc_c91lu_aiEhvng-sE-9YIA%3A1588815958319&amp;ei=VmizXqHzEsfU5OUPyaSf0As&amp;q=prefeitura+municipal+deMORRO+REUTER&amp;oq=prefeitura+municipal+deMORRO+REUTER&amp;gs_lcp=CgZwc3ktYWIQAzIECAAQDTIGCAAQDRAeOgQIABBHOgcIIxCxAhAnOgQIABAKOggIABAWEAoQHjoGCAAQFhAeOggIABANEAUQHlDZwAJY8NECYNrYAmgAcAJ4AIABvAKIAewSkgEHMC43LjQuMZgBAKABAaoBB2d3cy13aXo&amp;sclient=psy-ab&amp;ved=0ahUKEwih9rvW0KDpAhVHKrkGHUnSB7oQ4dUDCAw&amp;uact=5" TargetMode="External"/><Relationship Id="rId46" Type="http://schemas.openxmlformats.org/officeDocument/2006/relationships/hyperlink" Target="https://www.google.com/search?sxsrf=ALeKk03JI0ZRTNt-B4_ymUKDBREJG9staw%3A1588810440461&amp;ei=yFKzXufDG6PN5OUPxo6qmAo&amp;q=prefeitura+municipal+de+nova+hartz&amp;oq=prefeitura+municipal+de+nova+hartz&amp;gs_lcp=CgZwc3ktYWIQAzICCAAyBggAEBYQHjIGCAAQFhAeOgQIABBHOgUIABCDAVDI5QJY5fYCYMj5AmgAcAJ4AIABgwKIAd8NkgEFMC45LjGYAQCgAQGqAQdnd3Mtd2l6&amp;sclient=psy-ab&amp;ved=0ahUKEwjnx6yPvKDpAhWjJrkGHUaHCqMQ4dUDCAw&amp;uact=5" TargetMode="External"/><Relationship Id="rId45" Type="http://schemas.openxmlformats.org/officeDocument/2006/relationships/hyperlink" Target="https://www.google.com/search?sxsrf=ALeKk01dwnlYoXFrm_atl-D83o00Ob5twQ%3A1588816318334&amp;ei=vmmzXvjoE5Gz5OUPqamviAI&amp;q=prefeitura+municipal+de+NOVA+HARTZ&amp;oq=prefeitura+municipal+de+NOVA+HARTZ&amp;gs_lcp=CgZwc3ktYWIQAzIECCMQJzIGCAAQFhAeMgYIABAWEB46BAgAEEc6BAgAEEM6AggAOgUIABCDAVCslAJYsqcCYMupAmgAcAJ4AIABrAGIAfcMkgEEMC4xMZgBAKABAaoBB2d3cy13aXo&amp;sclient=psy-ab&amp;ved=0ahUKEwj4v5GC0qDpAhWRGbkGHanUCyEQ4dUDCAw&amp;uact=5" TargetMode="External"/><Relationship Id="rId48" Type="http://schemas.openxmlformats.org/officeDocument/2006/relationships/hyperlink" Target="https://www.google.com/search?sxsrf=ALeKk00xa2c8OpVYPNjo7-Mnu5_frxkYWg%3A1588815718054&amp;ei=ZmezXrzjApac5OUP5ZiAgAU&amp;q=prefeitura+municipal+de+nova+petropolis&amp;oq=prefeitura+municipal+de+NOVA&amp;gs_lcp=CgZwc3ktYWIQARgAMgQIIxAnMgQIIxAnMgUIABCDATICCAAyAggAMgIIADICCAAyAggAMgIIADICCAA6BAgAEEdQ24kDWJaPA2CemgNoAHACeACAAZ8BiAHyBJIBAzAuNJgBAKABAaoBB2d3cy13aXo&amp;sclient=psy-ab" TargetMode="External"/><Relationship Id="rId47" Type="http://schemas.openxmlformats.org/officeDocument/2006/relationships/hyperlink" Target="https://www.camara.leg.br/internet/comissao/index/mista/orca/orcamento/OR2020/emendas/despesa/ANDRELUF_AV_LOA_AUTOR_7122.pdf" TargetMode="External"/><Relationship Id="rId49" Type="http://schemas.openxmlformats.org/officeDocument/2006/relationships/hyperlink" Target="https://www.google.com/search?sxsrf=ALeKk02CvIfkNQXhJEwTjUbLTJS6dTShqQ%3A1588810819024&amp;ei=Q1SzXr9k9Mzk5Q-s8pXgCQ&amp;q=prefeitura+municipal+de+nova+petropolis&amp;oq=prefeitura+municipal+de+nova+petropolis&amp;gs_lcp=CgZwc3ktYWIQAzICCAAyBggAEBYQHjIGCAAQFhAeMgYIABAWEB4yBggAEBYQHjoECAAQRzoECCMQJzoFCAAQgwE6CAgAEBYQChAeOgQIABANUO3JAljW7QJgv_ACaAFwAngAgAHUAYgBkhWSAQYwLjE1LjGYAQCgAQGqAQdnd3Mtd2l6&amp;sclient=psy-ab&amp;ved=0ahUKEwj_ke7DvaDpAhV0JrkGHSx5BZwQ4dUDCAw&amp;uact=5" TargetMode="External"/><Relationship Id="rId31" Type="http://schemas.openxmlformats.org/officeDocument/2006/relationships/hyperlink" Target="https://www.camara.leg.br/internet/comissao/index/mista/orca/orcamento/OR2020/emendas/despesa/ANDRELUF_AV_LOA_AUTOR_7122.pdf" TargetMode="External"/><Relationship Id="rId30" Type="http://schemas.openxmlformats.org/officeDocument/2006/relationships/hyperlink" Target="https://www.google.com/search?sxsrf=ALeKk03OIUiwDh3w4AOH6coOdKCRfx_REQ%3A1588810132470&amp;ei=lFGzXsOOHPrY5OUPodmq2A4&amp;q=prefeitura+municipal+de+harmonia&amp;oq=prefeitura+municipal+de+harmonia&amp;gs_lcp=CgZwc3ktYWIQARgAMgIIADIGCAAQFhAeMgYIABAWEB4yBggAEBYQHjoECAAQRzoICAAQFhAKEB5Q0csBWLbaAWD05gFoAHACeACAAZ0CiAGiD5IBAzItOJgBAKABAaoBB2d3cy13aXo&amp;sclient=psy-ab" TargetMode="External"/><Relationship Id="rId33" Type="http://schemas.openxmlformats.org/officeDocument/2006/relationships/hyperlink" Target="https://www.google.com/search?sxsrf=ALeKk02K7DbzDrlkAXlRqPqHlHXh2YA7Dg%3A1588810164788&amp;ei=tFGzXoa7L4OH0AbFg5P4CA&amp;q=prefeitura+municipal+de+igrejinha&amp;oq=prefeitura+municipal+de+igrejinha&amp;gs_lcp=CgZwc3ktYWIQAzIECCMQJzICCAAyAggAMgYIABAWEB4yBggAEBYQHjIGCAAQFhAeOgQIABBHOgUIABCDAVDYhwRY1JkEYMumBGgAcAJ4AIABqgKIAYQSkgEDMi05mAEAoAEBqgEHZ3dzLXdpeg&amp;sclient=psy-ab&amp;ved=0ahUKEwiG5fKLu6DpAhWDA9QKHcXBBI8Q4dUDCAw&amp;uact=5" TargetMode="External"/><Relationship Id="rId32" Type="http://schemas.openxmlformats.org/officeDocument/2006/relationships/hyperlink" Target="https://www.google.com/search?sxsrf=ALeKk03iIAkThj0_qjqnFeGKyBOfFk59gw%3A1588815282055&amp;ei=smWzXqbpAqq65OUP6L-P8Ao&amp;q=PREFEITURA+MUNICIPAL+DE+IGREJINHA&amp;oq=PREFEITURA+MUNICIPAL+DE+IGREJINHA&amp;gs_lcp=CgZwc3ktYWIQAzIECCMQJzICCAAyAggAMgYIABAWEB4yBggAEBYQHjIGCAAQFhAeOgQIABBHOgUIABCDAVCA3gFY9O0BYMjxAWgAcAJ4AIAB7wGIAc4LkgEFMC44LjGYAQCgAQGqAQdnd3Mtd2l6&amp;sclient=psy-ab&amp;ved=0ahUKEwimioCUzqDpAhUqHbkGHejfA64Q4dUDCAw&amp;uact=5" TargetMode="External"/><Relationship Id="rId35" Type="http://schemas.openxmlformats.org/officeDocument/2006/relationships/hyperlink" Target="https://www.camara.leg.br/internet/comissao/index/mista/orca/orcamento/OR2020/emendas/despesa/ANDRELUF_AV_LOA_AUTOR_7122.pdf" TargetMode="External"/><Relationship Id="rId34" Type="http://schemas.openxmlformats.org/officeDocument/2006/relationships/hyperlink" Target="https://www.google.com/search?sxsrf=ALeKk00T1vV1nIl_054XKLlCfrLCvKmXBw%3A1588810743515&amp;ei=91OzXrKBH63F5OUPnoyvmAk&amp;q=prefeitura+municipal+de+imigrante&amp;oq=prefeitura+municipal+de+imigrante&amp;gs_lcp=CgZwc3ktYWIQAzICCAAyBggAEBYQHjIGCAAQFhAeMgYIABAWEB4yBggAEBYQHjIGCAAQFhAeMgYIABAWEB4yBggAEBYQHjIGCAAQFhAeMgYIABAWEB46BAgAEEc6BAgjECc6BQgAEIMBUJ6dAljxrAJgv7QCaABwAngAgAGqAYgBqAuSAQMwLjmYAQCgAQGqAQdnd3Mtd2l6&amp;sclient=psy-ab&amp;ved=0ahUKEwjy2O2fvaDpAhWtIrkGHR7GC5MQ4dUDCAw&amp;uact=5" TargetMode="External"/><Relationship Id="rId37" Type="http://schemas.openxmlformats.org/officeDocument/2006/relationships/hyperlink" Target="https://www.google.com/search?sxsrf=ALeKk03PDSZd7lGlKA5557porsPPxiY5zg%3A1588810661254&amp;ei=pVOzXuCCD8DN5OUPg5esuAk&amp;q=prefeitura+municipal+de+lagoa+vermelha&amp;oq=prefeitura+municipal+de+lagoa+vermelha&amp;gs_lcp=CgZwc3ktYWIQAzIECCMQJzIGCAAQFhAeMgYIABAWEB4yBggAEBYQHjIGCAAQFhAeMgYIABAWEB4yBggAEBYQHjIGCAAQFhAeMgYIABAWEB4yBggAEBYQHjoECAAQRzoCCAA6BQgAEIMBUIS9AljM1gJg798CaABwAngAgAHrAYgBjBKSAQYwLjEzLjGYAQCgAQGqAQdnd3Mtd2l6&amp;sclient=psy-ab&amp;ved=0ahUKEwig6dD4vKDpAhXAJrkGHYMLC5cQ4dUDCAw&amp;uact=5" TargetMode="External"/><Relationship Id="rId36" Type="http://schemas.openxmlformats.org/officeDocument/2006/relationships/hyperlink" Target="https://www.google.com/search?sxsrf=ALeKk03cVlSpkHs3DTYVd6LrZ4fAduq_vQ%3A1588816049706&amp;ei=sWizXqHbKuTC5OUPtvOLiAo&amp;q=prefeitura+municipal+de+IVOTI&amp;oq=prefeitura+municipal+de+IVOTI&amp;gs_lcp=CgZwc3ktYWIQAzICCAAyAggAMgIIADICCAAyBggAEBYQHjIGCAAQFhAeMgYIABAWEB4yBggAEBYQHjoECAAQRzoECCMQJzoFCAAQgwFQ-vYBWNL_AWC6hwJoAHACeACAAfkBiAH5BpIBBTAuNC4xmAEAoAEBqgEHZ3dzLXdpeg&amp;sclient=psy-ab&amp;ved=0ahUKEwjh94WC0aDpAhVkIbkGHbb5AqEQ4dUDCAw&amp;uact=5" TargetMode="External"/><Relationship Id="rId39" Type="http://schemas.openxmlformats.org/officeDocument/2006/relationships/hyperlink" Target="https://www.google.com/search?sxsrf=ALeKk00t77QEnNWMSLbm3Kn0CYIEuBJF6A%3A1588816086003&amp;ei=1WizXqbnPLex5OUPzu6iiAg&amp;q=prefeitura+municipal+de+LINDOLFO+COLLOR&amp;oq=prefeitura+municipal+de+LINDOLFO+COLLOR&amp;gs_lcp=CgZwc3ktYWIQAzICCAAyAggAMgYIABAWEB46BAgAEEc6BAgjECc6BQgAEIMBOgQIABAKULrfAliN_AJglf8CaABwAngAgAHyAYgBgBWSAQYwLjEzLjOYAQCgAQGqAQdnd3Mtd2l6&amp;sclient=psy-ab&amp;ved=0ahUKEwjmpa2T0aDpAhW3GLkGHU63CIEQ4dUDCAw&amp;uact=5" TargetMode="External"/><Relationship Id="rId38" Type="http://schemas.openxmlformats.org/officeDocument/2006/relationships/hyperlink" Target="https://www.camara.leg.br/internet/comissao/index/mista/orca/orcamento/OR2020/emendas/despesa/ANDRELUF_AV_LOA_AUTOR_7122.pdf" TargetMode="External"/><Relationship Id="rId20" Type="http://schemas.openxmlformats.org/officeDocument/2006/relationships/hyperlink" Target="https://www.google.com/search?sxsrf=ALeKk03evBlJHr9hEkosLRHUxEBr4-jMAQ%3A1588809871829&amp;ei=j1CzXrqFMs3B5OUPooKekAk&amp;q=prefeitura+municipal+de+dois+irm%C3%A3os&amp;oq=prefeitura+municipal+de+dois+irm%C3%A3os&amp;gs_lcp=CgZwc3ktYWIQAzICCAAyAggAMgIIADICCAAyAggAMgYIABAWEB4yBggAEBYQHjIGCAAQFhAeMgYIABAWEB4yBggAEBYQHjoGCAAQBxAeOgQIABBDOgQIABAeOgQIIxAnULmeAlj8tAJgx78CaABwAHgAgAGgAogB8xmSAQQyLTEzmAEAoAEBqgEHZ3dzLXdpeg&amp;sclient=psy-ab&amp;ved=0ahUKEwj6iJqAuqDpAhXNILkGHSKBB5IQ4dUDCAw&amp;uact=5" TargetMode="External"/><Relationship Id="rId22" Type="http://schemas.openxmlformats.org/officeDocument/2006/relationships/hyperlink" Target="https://www.camara.leg.br/internet/comissao/index/mista/orca/orcamento/OR2020/emendas/despesa/ANDRELUF_AV_LOA_AUTOR_7122.pdf" TargetMode="External"/><Relationship Id="rId21" Type="http://schemas.openxmlformats.org/officeDocument/2006/relationships/hyperlink" Target="https://www.google.com/search?sxsrf=ALeKk01Z3gzBHz0BEv98lP-2x2dRHWeq0w%3A1588810533286&amp;ei=JVOzXqWHEeed5OUP55yryAw&amp;q=prefeitura+municipal+de+encantado&amp;oq=prefeitura+municipal+de+encantado&amp;gs_lcp=CgZwc3ktYWIQAzICCAAyAggAMgIIADICCAAyAggAMgIIADICCAAyAggAOgQIIxAnOgYIABAWEB5QgAlY6hdgsCRoAXAAeACAAZQCiAHrDpIBBTAuNy4zmAEAoAEBqgEHZ3dzLXdpeg&amp;sclient=psy-ab&amp;ved=0ahUKEwjlrc67vKDpAhXnDrkGHWfOCskQ4dUDCAw&amp;uact=5" TargetMode="External"/><Relationship Id="rId24" Type="http://schemas.openxmlformats.org/officeDocument/2006/relationships/hyperlink" Target="https://www.google.com/search?sxsrf=ALeKk01RPSlQQ5WbzCYVMWTek4N3mSBntg%3A1588809915813&amp;ei=u1CzXtGQMca65OUP3PuL8AI&amp;q=prefeitura+municipal+de+esteio&amp;oq=prefeitura+municipal+de+estei&amp;gs_lcp=CgZwc3ktYWIQARgAMgIIADICCAAyAggAMgIIADICCAAyAggAMgIIADICCAA6BAgAEEc6BAgjECc6CAghEBYQHRAeOgQIIRAKUInQDFiW6Qxgt_QMaAFwAngAgAGRAogBqQuSAQMyLTaYAQCgAQGqAQdnd3Mtd2l6&amp;sclient=psy-ab" TargetMode="External"/><Relationship Id="rId23" Type="http://schemas.openxmlformats.org/officeDocument/2006/relationships/hyperlink" Target="https://www.google.com/search?sxsrf=ALeKk00W_9nFA1L431ejAoAbu8zocZhLbA%3A1588815620245&amp;ei=BGezXrvBDt7Y5OUPr4ibwAY&amp;q=prefeitura+municipal+de+ESTANCIA+VELHA&amp;oq=prefeitura+municipal+de+ESTANCIA+VELHA&amp;gs_lcp=CgZwc3ktYWIQAzICCAAyAggAMgIIADICCAAyBggAEBYQHjIGCAAQFhAeMgYIABAWEB4yBggAEBYQHjIGCAAQFhAeMgYIABAWEB46BAgAEEc6BAgjECdQt4sCWJ2hAmDyowJoAHACeACAAZoCiAGnFJIBBjAuMTAuNJgBAKABAaoBB2d3cy13aXo&amp;sclient=psy-ab&amp;ved=0ahUKEwi706G1z6DpAhVeLLkGHS_EBmgQ4dUDCAw&amp;uact=5" TargetMode="External"/><Relationship Id="rId26" Type="http://schemas.openxmlformats.org/officeDocument/2006/relationships/hyperlink" Target="https://www.google.com/search?sxsrf=ALeKk01be0RBrFqf1-QqbgN3fEkwJ_4TNg%3A1588810618454&amp;ei=elOzXtyTG_G95OUP0eKNuAI&amp;q=prefeitura+municipal+de+garibaldi&amp;oq=prefeitura+municipal+de+garibaldi&amp;gs_lcp=CgZwc3ktYWIQAzICCAAyAggAMgIIADICCAAyBggAEBYQHjIGCAAQFhAeMgYIABAWEB4yBggAEBYQHjIGCAAQFhAeMgYIABAWEB46BAgAEEc6BAgjECc6CAgAEBYQChAeUJCkAljCtQJgyL0CaABwAngAgAG5AYgBgguSAQMwLjmYAQCgAQGqAQdnd3Mtd2l6&amp;sclient=psy-ab&amp;ved=0ahUKEwjcuJzkvKDpAhXxHrkGHVFxAycQ4dUDCAw&amp;uact=5" TargetMode="External"/><Relationship Id="rId25" Type="http://schemas.openxmlformats.org/officeDocument/2006/relationships/hyperlink" Target="https://www.google.com/search?sxsrf=ALeKk00foajE99EcAQoiUkqrgyD1814ZyQ%3A1588811058770&amp;ei=MlWzXtTBLsiv5OUP5eSQgAU&amp;q=prefeitura+municipal+de+feliz&amp;oq=prefeitura+municipal+de+feliz&amp;gs_lcp=CgZwc3ktYWIQAzICCAAyAggAMgIIADIECAAQCjICCAAyBAgAEAoyAggAMgIIADoECAAQRzoECCMQJzoFCAAQgwFQy_IBWKCQAmDVmQJoBHACeACAAbYCiAH6EJIBBTItOC4xmAEAoAEBqgEHZ3dzLXdpeg&amp;sclient=psy-ab&amp;ved=0ahUKEwjUope2vqDpAhXIF7kGHWUyBFAQ4dUDCAw&amp;uact=5" TargetMode="External"/><Relationship Id="rId28" Type="http://schemas.openxmlformats.org/officeDocument/2006/relationships/hyperlink" Target="https://www.google.com/search?sxsrf=ALeKk01dAKWTQBjAyDsT7uPoSdtqaXuHJQ%3A1588815114506&amp;ei=CmWzXsiiHuXG5OUPgJCugAY&amp;q=PREFEITURA+MUNICIPAL+DE+gramado&amp;oq=PREFEITURA+MUNICIPAL+DE+gramado&amp;gs_lcp=CgZwc3ktYWIQAzIECCMQJzICCAAyAggAMgIIADICCAAyAggAMgIIADICCAAyAggAOgQIABBHUKbPAlj12QJglt4CaABwAngAgAGtAYgBhAiSAQMwLjeYAQCgAQGqAQdnd3Mtd2l6&amp;sclient=psy-ab&amp;ved=0ahUKEwjIz43EzaDpAhVlI7kGHQCIC2AQ4dUDCAw&amp;uact=5" TargetMode="External"/><Relationship Id="rId27" Type="http://schemas.openxmlformats.org/officeDocument/2006/relationships/hyperlink" Target="https://www.camara.leg.br/internet/comissao/index/mista/orca/orcamento/OR2020/emendas/despesa/ANDRELUF_AV_LOA_AUTOR_7122.pdf" TargetMode="External"/><Relationship Id="rId29" Type="http://schemas.openxmlformats.org/officeDocument/2006/relationships/hyperlink" Target="https://www.google.com/search?sxsrf=ALeKk03hAWngBcyjWN4wDA2mnWPo2aRzlA%3A1588810708527&amp;ei=1FOzXsTeH4W75OUPlOuXgAg&amp;q=prefeitura+municipal+de+guaiba&amp;oq=prefeitura+municipal+de+guaiba&amp;gs_lcp=CgZwc3ktYWIQAzICCAAyAggAMgIIADIGCAAQFhAeMgYIABAWEB4yBggAEBYQHjIGCAAQFhAeMgYIABAWEB4yBggAEBYQHjIGCAAQFhAeOgQIABBHOgQIIxAnOgQIABBDUMP0AVii_wFgroECaABwAngAgAGmAYgBsgiSAQMwLjeYAQCgAQGqAQdnd3Mtd2l6&amp;sclient=psy-ab&amp;ved=0ahUKEwjEmJaPvaDpAhWFHbkGHZT1BYAQ4dUDCAw&amp;uact=5" TargetMode="External"/><Relationship Id="rId11" Type="http://schemas.openxmlformats.org/officeDocument/2006/relationships/hyperlink" Target="https://www.google.com/search?sxsrf=ALeKk004pwHbs5-Rvs521fcwGXk1BoUhDQ%3A1588815429102&amp;ei=RWazXrXMBaO75OUPzde-8AM&amp;q=PREFEITURA+MUNICIPAL+DE+CANELA&amp;oq=PREFEITURA+MUNICIPAL+DE+CANELA&amp;gs_lcp=CgZwc3ktYWIQAzIECCMQJzICCAAyAggAMgIIADICCAAyAggAMgIIADICCAAyAggAMgQIABAeOgQIABBHOgQIABAKOggIABAWEAoQHjoICAAQDRAKEB46CAgAEAgQDRAeOgcIIRAKEKABOgcIIxCwAhAnOgQIABANOgYIABANEB5QtaUCWKnVAmCs2wJoAHACeACAAbsBiAGQCZIBAzAuN5gBAKABAaoBB2d3cy13aXo&amp;sclient=psy-ab&amp;ved=0ahUKEwj1go_azqDpAhWjHbkGHc2rDz4Q4dUDCAw&amp;uact=5" TargetMode="External"/><Relationship Id="rId10" Type="http://schemas.openxmlformats.org/officeDocument/2006/relationships/hyperlink" Target="https://www.camara.leg.br/internet/comissao/index/mista/orca/orcamento/OR2020/emendas/despesa/ANDRELUF_AV_LOA_AUTOR_7122.pdf" TargetMode="External"/><Relationship Id="rId13" Type="http://schemas.openxmlformats.org/officeDocument/2006/relationships/hyperlink" Target="https://www.camara.leg.br/internet/comissao/index/mista/orca/orcamento/OR2020/emendas/despesa/ANDRELUF_AV_LOA_AUTOR_7122.pdf" TargetMode="External"/><Relationship Id="rId12" Type="http://schemas.openxmlformats.org/officeDocument/2006/relationships/hyperlink" Target="https://www.google.com/search?sxsrf=ALeKk01EdUMzNDE9M_IZsMbJU_rvewjY_Q%3A1588810369750&amp;ei=gVKzXsqULYDX5OUP55e_kAg&amp;q=prefeitura+municipal+de+canela&amp;oq=prefeitura+municipal+de+canela&amp;gs_lcp=CgZwc3ktYWIQARgAMgIIADICCAAyAggAMgIIADICCAAyAggAMgIIADICCAAyAggAOgQIABBHOgQIIxAnOgQIABBDUMGBBFiljARg6JUEaABwAngAgAGDAogB-QySAQMyLTeYAQCgAQGqAQdnd3Mtd2l6&amp;sclient=psy-ab" TargetMode="External"/><Relationship Id="rId15" Type="http://schemas.openxmlformats.org/officeDocument/2006/relationships/hyperlink" Target="https://www.camara.leg.br/internet/comissao/index/mista/orca/orcamento/OR2020/emendas/despesa/ANDRELUF_AV_LOA_AUTOR_7122.pdf" TargetMode="External"/><Relationship Id="rId14" Type="http://schemas.openxmlformats.org/officeDocument/2006/relationships/hyperlink" Target="https://www.google.com/search?sxsrf=ALeKk01beqknP_32Lm85Xnyl1CC-EUKLMg%3A1588816208710&amp;ei=UGmzXrDnKq6b5OUP1IusmA4&amp;q=prefeitura+municipal+de+CAP%C3%83O+BONITO+DO+SUL&amp;oq=prefeitura+municipal+de+CAP%C3%83O+BONITO+DO+SUL&amp;gs_lcp=CgZwc3ktYWIQAzICCAAyAggAMgYIABAWEB4yBggAEBYQHjoECCMQJzoICAAQFhAKEB5Qi-8BWI-mAmCqqQJoAHAAeACAAZUJiAGHWJIBCzMtMi4xLjYuNS4ymAEAoAEBqgEHZ3dzLXdpeg&amp;sclient=psy-ab&amp;ved=0ahUKEwiwz-7N0aDpAhWuDbkGHdQFC-MQ4dUDCAw&amp;uact=5" TargetMode="External"/><Relationship Id="rId17" Type="http://schemas.openxmlformats.org/officeDocument/2006/relationships/hyperlink" Target="https://www.google.com/search?sxsrf=ALeKk02ZabjVygDRcZISZFDYiOp-JIPFrw%3A1588809836670&amp;ei=bFCzXpWzKJTQ5OUPirmryA0&amp;q=prefeitura+municipal+de+carlos+barbosa&amp;oq=prefeitura+municipal+de+carlos+barbosa&amp;gs_lcp=CgZwc3ktYWIQARgAMgIIADICCAAyBggAEBYQHjIGCAAQFhAeMgYIABAWEB4yBggAEBYQHjoECAAQRzoFCAAQgwFQpMsBWMjhAWCx8QFoAHACeACAAYoDiAHwHZIBBjItMTEuM5gBAKABAaoBB2d3cy13aXo&amp;sclient=psy-ab" TargetMode="External"/><Relationship Id="rId16" Type="http://schemas.openxmlformats.org/officeDocument/2006/relationships/hyperlink" Target="https://www.google.com/search?sxsrf=ALeKk00m3wpOzpr2xdApIqtW8vOb2j7nhA%3A1588815315162&amp;ei=02WzXo23CfGm5OUP5aaVsA4&amp;q=PREFEITURA+MUNICIPAL+DE+CARAZINHO&amp;oq=PREFEITURA+MUNICIPAL+DE+CARAZINHO&amp;gs_lcp=CgZwc3ktYWIQAzICCAAyAggAMgIIADICCAAyAggAMgIIADICCAAyAggAMgIIADICCAA6BAgAEEc6BAgjECc6BAgAEENQ64UCWJOZAmCOnQJoAHACeACAAeUBiAHgDJIBBTAuOS4xmAEAoAEBqgEHZ3dzLXdpeg&amp;sclient=psy-ab&amp;ved=0ahUKEwjN7OSjzqDpAhVxE7kGHWVTBeYQ4dUDCAw&amp;uact=5" TargetMode="External"/><Relationship Id="rId19" Type="http://schemas.openxmlformats.org/officeDocument/2006/relationships/hyperlink" Target="https://www.google.com/search?sxsrf=ALeKk01ONtKEXJPsikhqm_F27IWBeRIzDA%3A1588815914309&amp;ei=KmizXri2EvWU5OUPiNOkmA0&amp;q=prefeitura+municipal+de+dois+irm%C3%A3os&amp;oq=prefeitura+municipal+de+DOIS+IRM%C3%83OS&amp;gs_lcp=CgZwc3ktYWIQARgAMgQIIxAnMgIIADICCAAyAggAMgIIADIGCAAQFhAeMgYIABAWEB4yBggAEBYQHjIGCAAQFhAeMgYIABAWEB46BAgAEEdQ4aYCWNe6AmCXxQJoAHACeACAAYACiAGoDpIBBjAuMTAuMZgBAKABAaoBB2d3cy13aXo&amp;sclient=psy-ab" TargetMode="External"/><Relationship Id="rId18" Type="http://schemas.openxmlformats.org/officeDocument/2006/relationships/hyperlink" Target="https://www.camara.leg.br/internet/comissao/index/mista/orca/orcamento/OR2020/emendas/despesa/ANDRELUF_AV_LOA_AUTOR_7122.pdf" TargetMode="External"/><Relationship Id="rId84" Type="http://schemas.openxmlformats.org/officeDocument/2006/relationships/hyperlink" Target="https://www.google.com/search?sxsrf=ALeKk01WiHw6FNoEL02ZUDYjmbG3xBEF8g%3A1588815162381&amp;ei=OmWzXszcFqed5OUPkdiIqAQ&amp;q=PREFEITURA+MUNICIPAL+DE+tAQUARA&amp;oq=PREFEITURA+MUNICIPAL+DE+tAQUARA&amp;gs_lcp=CgZwc3ktYWIQDDIECCMQJzICCAAyAggAMgIIADICCAAyAggAMgIIADICCAAyAggAOgQIABBHULbyBljdigdgqJcHaABwAngAgAH3AYgB1gmSAQUwLjUuMpgBAKABAaoBB2d3cy13aXo&amp;sclient=psy-ab&amp;ved=0ahUKEwjM4ffazaDpAhWnDrkGHREsAkUQ4dUDCAw" TargetMode="External"/><Relationship Id="rId83" Type="http://schemas.openxmlformats.org/officeDocument/2006/relationships/hyperlink" Target="https://www.camara.leg.br/internet/comissao/index/mista/orca/orcamento/OR2020/emendas/despesa/ANDRELUF_AV_LOA_AUTOR_7122.pdf" TargetMode="External"/><Relationship Id="rId86" Type="http://schemas.openxmlformats.org/officeDocument/2006/relationships/hyperlink" Target="https://www.google.com/search?sxsrf=ALeKk02Mh9Kur7aXvpKrQ7bk8SJ_gR3NyQ%3A1588815510964&amp;ei=lmazXtyvOv-z5OUP6Yi0wAY&amp;q=PREFEITURA+MUNICIPAL+DE+TRES+COROAS&amp;oq=PREFEITURA+MUNICIPAL+DE+TRES+COROAS&amp;gs_lcp=CgZwc3ktYWIQDDoECAAQRzoECCMQJzoCCAA6BggAEBYQHlDBlgJY_aYCYPLAAmgAcAJ4AIABoAGIAeoMkgEEMC4xMZgBAKABAaoBB2d3cy13aXo&amp;sclient=psy-ab&amp;ved=0ahUKEwjc0pOBz6DpAhX_GbkGHWkEDWgQ4dUDCAw" TargetMode="External"/><Relationship Id="rId85" Type="http://schemas.openxmlformats.org/officeDocument/2006/relationships/hyperlink" Target="https://www.camara.leg.br/internet/comissao/index/mista/orca/orcamento/OR2020/emendas/despesa/ANDRELUF_AV_LOA_AUTOR_7122.pdf" TargetMode="External"/><Relationship Id="rId87" Type="http://schemas.openxmlformats.org/officeDocument/2006/relationships/drawing" Target="../drawings/drawing16.xml"/><Relationship Id="rId80" Type="http://schemas.openxmlformats.org/officeDocument/2006/relationships/hyperlink" Target="https://www.google.com/search?sxsrf=ALeKk035wY4b-6-ebCJv-vvNts3g-a4xPw%3A1588816358590&amp;ei=5mmzXqzGI-ex5OUP3-eo4AE&amp;q=prefeitura+municipal+de+SAPIRANGA&amp;oq=prefeitura+municipal+de+SAPIRANGA&amp;gs_lcp=CgZwc3ktYWIQAzIECCMQJzICCAAyAggAMgIIADICCAAyAggAMgIIADoECAAQRzoFCAAQgwFQ3d0CWI_qAmC_8QJoAHACeACAAdkBiAHUC5IBBTAuNy4ymAEAoAEBqgEHZ3dzLXdpeg&amp;sclient=psy-ab&amp;ved=0ahUKEwis0aqV0qDpAhXnGLkGHd8zChwQ4dUDCAw&amp;uact=5" TargetMode="External"/><Relationship Id="rId82" Type="http://schemas.openxmlformats.org/officeDocument/2006/relationships/hyperlink" Target="https://www.google.com/search?sxsrf=ALeKk03oOde3dTy2Zdjcyzu-jwrRdjYR_w%3A1588811027589&amp;ei=E1WzXq7KI6u_5OUPkp-w4A8&amp;q=prefeitura+municipal+de+tapejara&amp;oq=prefeitura+municipal+de+tapejara&amp;gs_lcp=CgZwc3ktYWIQAzICCAAyAggAMgIIADIGCAAQFhAeMgYIABAWEB4yBggAEBYQHjIGCAAQFhAeMgYIABAWEB4yBggAEBYQHjIGCAAQFhAeOgQIIxAnUN_NAVjr3gFghuEBaABwAHgAgAG1AYgBoQuSAQMwLjmYAQCgAQGqAQdnd3Mtd2l6&amp;sclient=psy-ab&amp;ved=0ahUKEwjun6invqDpAhWrH7kGHZIPDPwQ4dUDCAw&amp;uact=5" TargetMode="External"/><Relationship Id="rId81" Type="http://schemas.openxmlformats.org/officeDocument/2006/relationships/hyperlink" Target="https://www.google.com/search?sxsrf=ALeKk01iZpjl7Vh9iFBvy2IqbHzVRqcoSA%3A1588810247337&amp;ei=B1KzXsz2E4m_5OUPy9G5mAs&amp;q=prefeitura+municipal+de+sapucaia+do+sul&amp;oq=prefeitura+municipal+de+sapucaia+&amp;gs_lcp=CgZwc3ktYWIQARgAMgIIADICCAAyAggAMgIIADICCAAyAggAMgIIADICCAA6BAgAEEc6BAgjECdQ-4sCWNqaAmCbpwJoAHACeACAAZ0CiAHTEJIBAzItOZgBAKABAaoBB2d3cy13aXo&amp;sclient=psy-ab" TargetMode="External"/><Relationship Id="rId1" Type="http://schemas.openxmlformats.org/officeDocument/2006/relationships/hyperlink" Target="https://www.camara.leg.br/internet/comissao/index/mista/orca/orcamento/OR2020/emendas/despesa/ANDRELUF_AV_LOA_AUTOR_7122.pdf" TargetMode="External"/><Relationship Id="rId2" Type="http://schemas.openxmlformats.org/officeDocument/2006/relationships/hyperlink" Target="https://www.google.com/search?sxsrf=ALeKk01Js3aOXA783-GYlDufu-K8w_wRsA%3A1588816288564&amp;ei=oGmzXsvxIf2n5OUP_9Wg4Ak&amp;q=prefeitura+municipal+de+ARARICA&amp;oq=prefeitura+municipal+de+ARARICA&amp;gs_lcp=CgZwc3ktYWIQAzICCAAyBggAEBYQHjoECAAQRzoECCMQJzoFCAAQgwFQ47kBWNPFAWDkyAFoAHACeACAAdEBiAGcCZIBBTAuNi4xmAEAoAEBqgEHZ3dzLXdpeg&amp;sclient=psy-ab&amp;ved=0ahUKEwjLwfjz0aDpAhX9E7kGHf8qCJwQ4dUDCAw&amp;uact=5" TargetMode="External"/><Relationship Id="rId3" Type="http://schemas.openxmlformats.org/officeDocument/2006/relationships/hyperlink" Target="https://www.google.com/search?sxsrf=ALeKk004y-Ch71Whz_VSmSpuIlYVL1D50Q%3A1588809777855&amp;ei=MVCzXv3KM_i15OUP042JiAQ&amp;q=prefeitura+municipal+de+bar%C3%A3o&amp;oq=prefeitura+municipal+de+bar%C3%A3o&amp;gs_lcp=CgZwc3ktYWIQAzIECCMQJzICCAAyAggAMgIIADICCAAyAggAMgIIADICCAAyAggAMgIIADoFCAAQgwFQq4IDWMWgA2CTrQNoAHAAeACAAfkCiAHvIZIBBjItMTIuNJgBAKABAaoBB2d3cy13aXo&amp;sclient=psy-ab&amp;ved=0ahUKEwi9p7LTuaDpAhX4GrkGHdNGAkEQ4dUDCAw&amp;uact=5" TargetMode="External"/><Relationship Id="rId4" Type="http://schemas.openxmlformats.org/officeDocument/2006/relationships/hyperlink" Target="https://www.google.com/search?q=prefeitura+muicipal+de+bom+principio&amp;oq=prefeitura+muicipal+de+bom+principio&amp;aqs=chrome..69i57j0l4.8860j0j7&amp;sourceid=chrome&amp;ie=UTF-8" TargetMode="External"/><Relationship Id="rId9" Type="http://schemas.openxmlformats.org/officeDocument/2006/relationships/hyperlink" Target="https://www.google.com/search?sxsrf=ALeKk03xCvJl-OOK-G4nbicvy6tFQpj2bA%3A1588815386957&amp;ei=GmazXuLzOejB5OUPrKWGkAg&amp;q=PREFEITURA+MUNICIPAL+DE+CAMPO+BOM&amp;oq=PREFEITURA+MUNICIPAL+DE+CAMPO+BOM&amp;gs_lcp=CgZwc3ktYWIQAzICCAAyAggAMgIIADICCAAyAggAMgIIADICCAAyAggAOgQIABBHOgQIIxAnOgUIABCDAVDVoAJY-7ACYMi0AmgAcAJ4AIAB5wGIAaALkgEFMC44LjGYAQCgAQGqAQdnd3Mtd2l6&amp;sclient=psy-ab&amp;ved=0ahUKEwji6ILGzqDpAhXoILkGHaySAYIQ4dUDCAw&amp;uact=5" TargetMode="External"/><Relationship Id="rId5" Type="http://schemas.openxmlformats.org/officeDocument/2006/relationships/hyperlink" Target="https://www.google.com/search?sxsrf=ALeKk02P2upkak--38bx1j_zJ8Kas38m3A%3A1588810287352&amp;ei=L1KzXuySFdy25OUPsqCliAc&amp;q=prefeitura+municipal+de+boqueir%C3%A3o+do+le%C3%A3o&amp;oq=prefeitura+municipal+de+boqueirao+do+leao&amp;gs_lcp=CgZwc3ktYWIQARgAMgIIADICCAAyBggAEBYQHjoECAAQRzoECCMQJzoECAAQQ1COpARYptEEYI7uBGgAcAF4AIAB4AKIAa8ikgEGMi0xNy4xmAEAoAEBqgEHZ3dzLXdpeg&amp;sclient=psy-ab" TargetMode="External"/><Relationship Id="rId6" Type="http://schemas.openxmlformats.org/officeDocument/2006/relationships/hyperlink" Target="https://www.camara.leg.br/internet/comissao/index/mista/orca/orcamento/OR2020/emendas/despesa/ANDRELUF_AV_LOA_AUTOR_7122.pdf" TargetMode="External"/><Relationship Id="rId7" Type="http://schemas.openxmlformats.org/officeDocument/2006/relationships/hyperlink" Target="https://www.google.com/search?sxsrf=ALeKk01iENI8CSWmAkPOkAaxku-jPeFYcw%3A1588815011331&amp;ei=o2SzXujtE5uu5OUPh_-t4Ak&amp;q=PREFEITURA+MUNICIPAL+DE+CAMBARA+DO+SUL&amp;oq=PREFEITURA+MUNICIPAL+DE+CAMBARA+DO+SUL&amp;gs_lcp=CgZwc3ktYWIQAzICCAAyAggAOgQIABBHOgQIIxAnOgUIABCDAToGCAAQFhAeOgQIABANUKu7BViP_gVg3IYGaARwAngAgAGnCYgB-ViSAQ0yLTEuMi4yLjUuNC4zmAEAoAEBqgEHZ3dzLXdpeg&amp;sclient=psy-ab&amp;ved=0ahUKEwioy_SSzaDpAhUbF7kGHYd_C5wQ4dUDCAw&amp;uact=5" TargetMode="External"/><Relationship Id="rId8" Type="http://schemas.openxmlformats.org/officeDocument/2006/relationships/hyperlink" Target="https://www.camara.leg.br/internet/comissao/index/mista/orca/orcamento/OR2020/emendas/despesa/ANDRELUF_AV_LOA_AUTOR_7122.pdf" TargetMode="External"/><Relationship Id="rId73" Type="http://schemas.openxmlformats.org/officeDocument/2006/relationships/hyperlink" Target="https://www.google.com/search?sxsrf=ALeKk00p8hjayyIbdpMq-tdWzcj3pxHXgQ%3A1588815868543&amp;ei=_GezXrO6IPqx5OUP8oyL-AY&amp;q=prefeitura+municipal+de+SAO+FRANCISCO+DE+PAULA&amp;oq=prefeitura+municipal+de+SAO+FRANCISCO+DE+PAULA&amp;gs_lcp=CgZwc3ktYWIQAzICCAAyAggAMgYIABAWEB4yBggAEBYQHjIGCAAQFhAeMgYIABAWEB4yBggAEBYQHjoECAAQRzoECCMQJzoFCAAQgwFQxZoCWNPPAmDX0gJoAXACeACAAdIBiAHCHZIBBjAuMjMuMZgBAKABAaoBB2d3cy13aXo&amp;sclient=psy-ab&amp;ved=0ahUKEwizqNSr0KDpAhX6GLkGHXLGAm8Q4dUDCAw&amp;uact=5" TargetMode="External"/><Relationship Id="rId72" Type="http://schemas.openxmlformats.org/officeDocument/2006/relationships/hyperlink" Target="https://www.camara.leg.br/internet/comissao/index/mista/orca/orcamento/OR2020/emendas/despesa/ANDRELUF_AV_LOA_AUTOR_7122.pdf" TargetMode="External"/><Relationship Id="rId75" Type="http://schemas.openxmlformats.org/officeDocument/2006/relationships/hyperlink" Target="https://www.camara.leg.br/internet/comissao/index/mista/orca/orcamento/OR2020/emendas/despesa/ANDRELUF_AV_LOA_AUTOR_7122.pdf" TargetMode="External"/><Relationship Id="rId74" Type="http://schemas.openxmlformats.org/officeDocument/2006/relationships/hyperlink" Target="https://www.camara.leg.br/internet/comissao/index/mista/orca/orcamento/OR2020/emendas/despesa/ANDRELUF_AV_LOA_AUTOR_7122.pdf" TargetMode="External"/><Relationship Id="rId77" Type="http://schemas.openxmlformats.org/officeDocument/2006/relationships/hyperlink" Target="https://www.google.com/search?sxsrf=ALeKk01EI8-vDxQNmqXim9Gmbb-wh3KmGA%3A1588810911628&amp;ei=n1SzXvHSJbOd5OUPjdSK8AE&amp;q=prefeitura+municipal+de+s%C3%A3o+sebasti%C3%A3o+do+ca%C3%AD&amp;oq=prefeitura+municipal+de+sao+sebastiao+do+cai&amp;gs_lcp=CgZwc3ktYWIQARgAMgIIADIGCAAQFhAeMgYIABAWEB4yBggAEBYQHjoECAAQRzoECCMQJ1D51AJYpfMCYJeAA2gAcAJ4AIABxgGIAa4YkgEEMC4yMJgBAKABAaoBB2d3cy13aXo&amp;sclient=psy-ab" TargetMode="External"/><Relationship Id="rId76" Type="http://schemas.openxmlformats.org/officeDocument/2006/relationships/hyperlink" Target="https://www.google.com/search?sxsrf=ALeKk01YvPtnj-7sjV0XWthz0tMEN-z6yw%3A1588816173294&amp;ei=LWmzXpPAEaTG5OUP2auh4AQ&amp;q=prefeitura+municipal+de+S%C3%83OLUIZ+GONZAGA&amp;oq=prefeitura+municipal+de+S%C3%83OLUIZ+GONZAGA&amp;gs_lcp=CgZwc3ktYWIQAzIECAAQDTIECAAQDTIECAAQDTIGCAAQDRAeMgYIABAWEB4yCAgAEBYQChAeMgYIABAWEB4yBggAEBYQHjIICAAQDRAFEB4yCAgAEA0QBRAeOgQIABBHOgQIIxAnOgIIADoFCAAQgwE6BwgjELACECc6CAgAEA0QChAeUJ3WAViJgQJg04ICaAFwAngBgAGFCIgB00iSAQ0yLTEuMS4zLjMuNS4xmAEAoAEBqgEHZ3dzLXdpeg&amp;sclient=psy-ab&amp;ved=0ahUKEwjTiv280aDpAhUkI7kGHdlVCEwQ4dUDCAw&amp;uact=5" TargetMode="External"/><Relationship Id="rId79" Type="http://schemas.openxmlformats.org/officeDocument/2006/relationships/hyperlink" Target="https://www.camara.leg.br/internet/comissao/index/mista/orca/orcamento/OR2020/emendas/despesa/ANDRELUF_AV_LOA_AUTOR_7122.pdf" TargetMode="External"/><Relationship Id="rId78" Type="http://schemas.openxmlformats.org/officeDocument/2006/relationships/hyperlink" Target="https://www.google.com/search?sxsrf=ALeKk01OU-QAl8a2G5yuu78X2Z3uewHwXw%3A1588810962795&amp;ei=0lSzXsmOMNON0Aa88I7QDw&amp;q=prefeitura+municipal+de+sairanga&amp;oq=prefeitura+municipal+de+sairanga&amp;gs_lcp=CgZwc3ktYWIQAzIECAAQDTIECAAQDTIECAAQDTIECAAQDTIECAAQDTIECAAQDTIECAAQDTIGCAAQFhAeMgYIABAWEB4yBggAEBYQHjoECAAQRzoECAAQQzoCCAA6BAgjECc6BwghEAoQoAE6BggAEA0QHlDDzgNYz94DYIvoA2gAcAN4AIAB3AKIAcQQkgEFMi02LjKYAQCgAQGqAQdnd3Mtd2l6&amp;sclient=psy-ab&amp;ved=0ahUKEwjJv7WIvqDpAhXTBtQKHTy4A_oQ4dUDCAw&amp;uact=5" TargetMode="External"/><Relationship Id="rId71" Type="http://schemas.openxmlformats.org/officeDocument/2006/relationships/hyperlink" Target="https://www.escol.as/cidades/4979-santo-antonio-das-missoes/bairros/346331-interior" TargetMode="External"/><Relationship Id="rId70" Type="http://schemas.openxmlformats.org/officeDocument/2006/relationships/hyperlink" Target="https://www.google.com/search?sxsrf=ALeKk01pM0mrc1e9bYUZFfN8nUSSGbh94g%3A1588810785080&amp;ei=IVSzXrqvBN2_5OUP5pOW8AE&amp;q=prefeitura+municipal+de+santa+rosa&amp;oq=prefeitura+municipal+de+santa+rosa&amp;gs_lcp=CgZwc3ktYWIQAzICCAAyAggAMgIIADICCAAyAggAMgIIADICCAAyAggAMgIIADICCAA6BAgAEEc6BAgjECdQvOUBWN_xAWDB-QFoAHACeACAAcMBiAH8DJIBBDAuMTCYAQCgAQGqAQdnd3Mtd2l6&amp;sclient=psy-ab&amp;ved=0ahUKEwj6w9azvaDpAhXdH7kGHeaJBR4Q4dUDCAw&amp;uact=5" TargetMode="External"/><Relationship Id="rId62" Type="http://schemas.openxmlformats.org/officeDocument/2006/relationships/hyperlink" Target="https://www.camara.leg.br/internet/comissao/index/mista/orca/orcamento/OR2020/emendas/despesa/ANDRELUF_AV_LOA_AUTOR_7122.pdf" TargetMode="External"/><Relationship Id="rId61" Type="http://schemas.openxmlformats.org/officeDocument/2006/relationships/hyperlink" Target="https://www.camara.leg.br/internet/comissao/index/mista/orca/orcamento/OR2020/emendas/despesa/ANDRELUF_AV_LOA_AUTOR_7122.pdf" TargetMode="External"/><Relationship Id="rId64" Type="http://schemas.openxmlformats.org/officeDocument/2006/relationships/hyperlink" Target="https://www.camara.leg.br/internet/comissao/index/mista/orca/orcamento/OR2020/emendas/despesa/ANDRELUF_AV_LOA_AUTOR_7122.pdf" TargetMode="External"/><Relationship Id="rId63" Type="http://schemas.openxmlformats.org/officeDocument/2006/relationships/hyperlink" Target="https://www.google.com/search?sxsrf=ALeKk00u91p0CzoQxqG-920E52XaT8_plQ%3A1588816137258&amp;ei=CWmzXtChD8jZ5OUP-dOWgAE&amp;q=prefeitura+municipal+de+presidente+lucena&amp;oq=prefeitura+municipal+de+PRESIDENTE+LUCE&amp;gs_lcp=CgZwc3ktYWIQARgAMgIIADICCAAyBggAEBYQHjIGCAAQFhAeMgYIABAWEB4yBggAEBYQHjIGCAAQFhAeMgYIABAWEB4yBggAEBYQHjIGCAAQFhAeULjfAVjB_gFglYgCaABwAHgAgAGjCogB6y2SAQkyLTEuNi0xLjSYAQCgAQGqAQdnd3Mtd2l6&amp;sclient=psy-ab" TargetMode="External"/><Relationship Id="rId66" Type="http://schemas.openxmlformats.org/officeDocument/2006/relationships/hyperlink" Target="https://www.camara.leg.br/internet/comissao/index/mista/orca/orcamento/OR2020/emendas/despesa/ANDRELUF_AV_LOA_AUTOR_7122.pdf" TargetMode="External"/><Relationship Id="rId65" Type="http://schemas.openxmlformats.org/officeDocument/2006/relationships/hyperlink" Target="https://www.google.com/search?sxsrf=ALeKk01q9dPdZ-65SOEuWdV5cL5xmAZgAw%3A1588815661074&amp;ei=LWezXsyHBKzM5OUP_9CAqA0&amp;q=prefeitura+municipal+de+RIOZINHO&amp;oq=prefeitura+municipal+de+RIOZINHO&amp;gs_lcp=CgZwc3ktYWIQDDICCAAyBggAEBYQHjIGCAAQFhAeMgYIABAWEB46BAgAEEc6BAgjECc6BQgAEIMBUJbkAVif9QFgt60DaABwAngAgAGeAYgBmAmSAQMwLjiYAQCgAQGqAQdnd3Mtd2l6&amp;sclient=psy-ab&amp;ved=0ahUKEwiM0t3Iz6DpAhUsJrkGHX8oANUQ4dUDCAw" TargetMode="External"/><Relationship Id="rId68" Type="http://schemas.openxmlformats.org/officeDocument/2006/relationships/hyperlink" Target="https://www.camara.leg.br/internet/comissao/index/mista/orca/orcamento/OR2020/emendas/despesa/ANDRELUF_AV_LOA_AUTOR_7122.pdf" TargetMode="External"/><Relationship Id="rId67" Type="http://schemas.openxmlformats.org/officeDocument/2006/relationships/hyperlink" Target="https://www.google.com/search?q=PREFEITURA+MUNICIPAL+DE+ROLANTE&amp;oq=PREFEITURA+MUNICIPAL+DE+ROLANTE&amp;aqs=chrome..69i57j0l7.10215j0j7&amp;sourceid=chrome&amp;ie=UTF-8" TargetMode="External"/><Relationship Id="rId60" Type="http://schemas.openxmlformats.org/officeDocument/2006/relationships/hyperlink" Target="https://www.google.com/search?sxsrf=ALeKk02ZNiUMYAn8ZgzNw6uL804HMP54BQ%3A1588815475681&amp;ei=c2azXsWUKY3A5OUP8LKlsAI&amp;q=PREFEITURA+MUNICIPAL+DE+PORTAO&amp;oq=PREFEITURA+MUNICIPAL+DE+PORTAO&amp;gs_lcp=CgZwc3ktYWIQAzICCAAyBggAEBYQHjIGCAAQFhAeMgYIABAWEB4yBggAEBYQHjIGCAAQFhAeMgYIABAWEB46BAgAEEc6BAgjECc6BQgAEIMBULHpAVjF9gFgg4ACaABwAngAgAHQAYgB1QeSAQUwLjUuMZgBAKABAaoBB2d3cy13aXo&amp;sclient=psy-ab&amp;ved=0ahUKEwiFmqrwzqDpAhUNILkGHXBZCSYQ4dUDCAw&amp;uact=5" TargetMode="External"/><Relationship Id="rId69" Type="http://schemas.openxmlformats.org/officeDocument/2006/relationships/hyperlink" Target="https://www.google.com/search?sxsrf=ALeKk00u1nfTtzNI9dIl-WBl2Ft-gSzQ-Q%3A1588816004895&amp;ei=hGizXuucNtWN0AaJ1L6YBg&amp;q=prefeitura+municipal+de+SANTA+MARIA+DO+HERVAL&amp;oq=prefeitura+municipal+de+SANTA+MARIA+DO+HERVAL&amp;gs_lcp=CgZwc3ktYWIQAzICCAA6BAgAEEc6BAgjECc6BAgAEEM6BQgAEIMBUMecAljzxwJg3cwCaABwAngAgAG8AogBpR2SAQgwLjIwLjEuMZgBAKABAaoBB2d3cy13aXo&amp;sclient=psy-ab&amp;ved=0ahUKEwjr7tbs0KDpAhXVBtQKHQmqD2MQ4dUDCAw&amp;uact=5" TargetMode="External"/><Relationship Id="rId51" Type="http://schemas.openxmlformats.org/officeDocument/2006/relationships/hyperlink" Target="https://www.google.com/search?sxsrf=ALeKk00zeFiHTpXVW92pjk9_53qBFH4E5w%3A1588815554248&amp;ei=wmazXqzeDtWj5OUP4YSRiA8&amp;q=prefeitura+municipal+de+novo+hamburgo&amp;oq=PREFEITURA+MUNICIPAL+DE+NOVO+HAM&amp;gs_lcp=CgZwc3ktYWIQARgAMgIIADICCAAyAggAMgIIADICCAAyAggAMgIIADICCAAyAggAMgIIADoECAAQRzoECCMQJzoFCAAQgwFQtOACWLjYA2CE7wNoAHACeACAAcgBiAHBCZIBBTAuNy4xmAEAoAEBqgEHZ3dzLXdpeg&amp;sclient=psy-ab" TargetMode="External"/><Relationship Id="rId50" Type="http://schemas.openxmlformats.org/officeDocument/2006/relationships/hyperlink" Target="https://www.camara.leg.br/internet/comissao/index/mista/orca/orcamento/OR2020/emendas/despesa/ANDRELUF_AV_LOA_AUTOR_7122.pdf" TargetMode="External"/><Relationship Id="rId53" Type="http://schemas.openxmlformats.org/officeDocument/2006/relationships/hyperlink" Target="https://www.camara.leg.br/internet/comissao/index/mista/orca/orcamento/OR2020/emendas/despesa/ANDRELUF_AV_LOA_AUTOR_7122.pdf" TargetMode="External"/><Relationship Id="rId52" Type="http://schemas.openxmlformats.org/officeDocument/2006/relationships/hyperlink" Target="https://www.google.com/search?sxsrf=ALeKk03u5uoMXEZzCN0nw_A4uT3NXJzssw%3A1588810868321&amp;ei=dFSzXoeCE-vN5OUP8p6c6Aw&amp;q=prefeitura+municipal+de+panambi&amp;oq=prefeitura+municipal+de+panambi&amp;gs_lcp=CgZwc3ktYWIQAzICCAAyAggAMgIIADICCAA6BAgAEEc6BQgAEIMBUIG2AljlvgJgvsECaABwAngAgAGfAYgBngiSAQMwLjeYAQCgAQGqAQdnd3Mtd2l6&amp;sclient=psy-ab&amp;ved=0ahUKEwiHjK_bvaDpAhXrJrkGHXIPB80Q4dUDCAw&amp;uact=5" TargetMode="External"/><Relationship Id="rId55" Type="http://schemas.openxmlformats.org/officeDocument/2006/relationships/hyperlink" Target="https://www.camara.leg.br/internet/comissao/index/mista/orca/orcamento/OR2020/emendas/despesa/ANDRELUF_AV_LOA_AUTOR_7122.pdf" TargetMode="External"/><Relationship Id="rId54" Type="http://schemas.openxmlformats.org/officeDocument/2006/relationships/hyperlink" Target="https://www.google.com/search?sxsrf=ALeKk03VjM15vLA1DXRQoig-cwy-3evNBg%3A1588815819780&amp;ei=y2ezXqGRL_bA5OUPhNe_yAQ&amp;q=prefeitura+municipal+de+parob%C3%A9&amp;oq=prefeitura+municipal+de+PAROB%C3%89&amp;gs_lcp=CgZwc3ktYWIQARgAMgIIADIGCAAQFhAeMgYIABAWEB4yBggAEBYQHjIGCAAQFhAeMgYIABAWEB46BAgAEEc6BAgjECc6BAgAEEM6BQgAEIMBOgQIABAKUOfLAlia3AJgrukCaABwAngAgAGsAYgByAeSAQMwLjaYAQCgAQGqAQdnd3Mtd2l6&amp;sclient=psy-ab" TargetMode="External"/><Relationship Id="rId57" Type="http://schemas.openxmlformats.org/officeDocument/2006/relationships/hyperlink" Target="https://www.camara.leg.br/internet/comissao/index/mista/orca/orcamento/OR2020/emendas/despesa/ANDRELUF_AV_LOA_AUTOR_7122.pdf" TargetMode="External"/><Relationship Id="rId56" Type="http://schemas.openxmlformats.org/officeDocument/2006/relationships/hyperlink" Target="https://www.google.com/search?sxsrf=ALeKk00w1Cpfxo3KbUjxgSI_3ktIew80kQ%3A1588816248841&amp;ei=eGmzXsD-Muqx5OUPr6eKwAY&amp;q=prefeitura+municipal+de+PASSO+FUNDO&amp;oq=prefeitura+municipal+de+PASSO+FUNDO&amp;gs_lcp=CgZwc3ktYWIQAzICCAAyAggAMgIIADICCAAyAggAMgIIADICCAAyAggAMgIIADICCAA6BAgAEEc6BAgjECc6BQgAEIMBUOWOAliKogJghKYCaABwAngAgAHxAYgBxA2SAQYwLjEwLjGYAQCgAQGqAQdnd3Mtd2l6&amp;sclient=psy-ab&amp;ved=0ahUKEwjAmoDh0aDpAhXqGLkGHa-TAmgQ4dUDCAw&amp;uact=5" TargetMode="External"/><Relationship Id="rId59" Type="http://schemas.openxmlformats.org/officeDocument/2006/relationships/hyperlink" Target="https://www.camara.leg.br/internet/comissao/index/mista/orca/orcamento/OR2020/emendas/despesa/ANDRELUF_AV_LOA_AUTOR_7122.pdf" TargetMode="External"/><Relationship Id="rId58" Type="http://schemas.openxmlformats.org/officeDocument/2006/relationships/hyperlink" Target="https://www.google.com/search?sxsrf=ALeKk03NTPLJlpegQ2BOzs8tMBdSxbeKuQ%3A1588815773545&amp;ei=nWezXoLaIMOP0AbFwZXoDA&amp;q=prefeitura+municipal+de+PICADA+CAFE&amp;oq=prefeitura+municipal+de+PICADA+CAFE&amp;gs_lcp=CgZwc3ktYWIQAzICCAAyAggAOgQIABBHOgQIIxAnOgUIABCDAToGCAAQFhAeULK9Alif0QJgqNMCaABwAngAgAGzAYgBqQ2SAQQwLjExmAEAoAEBqgEHZ3dzLXdpeg&amp;sclient=psy-ab&amp;ved=0ahUKEwjCnK7-z6DpAhXDB9QKHcVgBc0Q4dUDCAw&amp;uact=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7.25"/>
    <col customWidth="1" min="3" max="4" width="19.63"/>
    <col customWidth="1" min="5" max="5" width="54.0"/>
    <col customWidth="1" min="6" max="6" width="18.0"/>
    <col customWidth="1" min="7" max="7" width="34.5"/>
    <col customWidth="1" min="8" max="8" width="17.0"/>
    <col customWidth="1" min="9" max="10" width="24.88"/>
    <col customWidth="1" min="11" max="11" width="14.25"/>
    <col customWidth="1" min="12" max="13" width="17.75"/>
    <col customWidth="1" min="14" max="14" width="19.88"/>
    <col customWidth="1" min="15" max="15" width="31.88"/>
    <col customWidth="1" min="16" max="17" width="28.88"/>
  </cols>
  <sheetData>
    <row r="1">
      <c r="A1" s="1" t="s">
        <v>0</v>
      </c>
      <c r="B1" s="4"/>
      <c r="C1" s="4" t="s">
        <v>8</v>
      </c>
      <c r="D1" s="4" t="s">
        <v>10</v>
      </c>
      <c r="E1" s="4" t="s">
        <v>11</v>
      </c>
      <c r="F1" s="6" t="s">
        <v>12</v>
      </c>
      <c r="G1" s="4" t="s">
        <v>16</v>
      </c>
      <c r="H1" s="8" t="s">
        <v>19</v>
      </c>
      <c r="I1" s="1" t="s">
        <v>24</v>
      </c>
      <c r="J1" s="1" t="s">
        <v>1</v>
      </c>
      <c r="K1" s="1" t="s">
        <v>29</v>
      </c>
      <c r="L1" s="10" t="s">
        <v>32</v>
      </c>
      <c r="M1" s="10" t="s">
        <v>37</v>
      </c>
      <c r="N1" s="4" t="s">
        <v>39</v>
      </c>
      <c r="O1" s="4" t="s">
        <v>41</v>
      </c>
      <c r="P1" s="4" t="s">
        <v>43</v>
      </c>
      <c r="Q1" s="4" t="s">
        <v>45</v>
      </c>
    </row>
    <row r="2">
      <c r="A2" s="11">
        <v>2024.0</v>
      </c>
      <c r="B2" s="12" t="s">
        <v>48</v>
      </c>
      <c r="C2" s="13" t="str">
        <f>IFERROR(VLOOKUP(B2,'Regiões'!A:B,2,0),"")</f>
        <v>Turismo da Serra</v>
      </c>
      <c r="D2" s="13" t="s">
        <v>67</v>
      </c>
      <c r="E2" s="15" t="str">
        <f>G2&amp;" de "&amp;B2</f>
        <v>Prefeitura Municipal de Gramado</v>
      </c>
      <c r="F2" s="17"/>
      <c r="G2" s="18" t="s">
        <v>74</v>
      </c>
      <c r="H2" s="20">
        <v>4.1160005E7</v>
      </c>
      <c r="I2" s="11" t="s">
        <v>79</v>
      </c>
      <c r="J2" s="11" t="s">
        <v>79</v>
      </c>
      <c r="K2" s="21" t="s">
        <v>84</v>
      </c>
      <c r="L2" s="22">
        <v>0.0</v>
      </c>
      <c r="M2" s="22"/>
      <c r="N2" s="13" t="s">
        <v>89</v>
      </c>
      <c r="O2" s="21"/>
      <c r="P2" s="23"/>
      <c r="Q2" s="24"/>
    </row>
    <row r="3">
      <c r="A3" s="11">
        <v>2023.0</v>
      </c>
      <c r="B3" s="18" t="s">
        <v>96</v>
      </c>
      <c r="C3" s="13"/>
      <c r="D3" s="13" t="s">
        <v>99</v>
      </c>
      <c r="E3" s="25" t="s">
        <v>100</v>
      </c>
      <c r="F3" s="17"/>
      <c r="G3" s="18" t="s">
        <v>100</v>
      </c>
      <c r="H3" s="20">
        <v>4.1160009E7</v>
      </c>
      <c r="I3" s="11" t="s">
        <v>27</v>
      </c>
      <c r="J3" s="11" t="s">
        <v>27</v>
      </c>
      <c r="K3" s="21" t="s">
        <v>84</v>
      </c>
      <c r="L3" s="26">
        <v>1200.0</v>
      </c>
      <c r="M3" s="26"/>
      <c r="N3" s="11" t="s">
        <v>89</v>
      </c>
      <c r="O3" s="21" t="s">
        <v>110</v>
      </c>
      <c r="P3" s="23"/>
      <c r="Q3" s="24"/>
    </row>
    <row r="4">
      <c r="A4" s="29">
        <v>2020.0</v>
      </c>
      <c r="B4" s="29" t="s">
        <v>116</v>
      </c>
      <c r="C4" s="13" t="str">
        <f>IFERROR(VLOOKUP(B4,'Regiões'!A:B,2,0),"")</f>
        <v>Sudoeste do Estado</v>
      </c>
      <c r="D4" s="29" t="s">
        <v>136</v>
      </c>
      <c r="E4" s="32" t="s">
        <v>139</v>
      </c>
      <c r="F4" s="33"/>
      <c r="G4" s="29" t="s">
        <v>146</v>
      </c>
      <c r="H4" s="35">
        <v>4.116001E7</v>
      </c>
      <c r="I4" s="29" t="s">
        <v>151</v>
      </c>
      <c r="J4" s="29" t="s">
        <v>27</v>
      </c>
      <c r="K4" s="29" t="s">
        <v>152</v>
      </c>
      <c r="L4" s="37">
        <v>12142.85</v>
      </c>
      <c r="M4" s="37"/>
      <c r="N4" s="29" t="s">
        <v>155</v>
      </c>
      <c r="O4" s="29" t="s">
        <v>158</v>
      </c>
      <c r="P4" s="32" t="s">
        <v>161</v>
      </c>
      <c r="Q4" s="29"/>
    </row>
    <row r="5">
      <c r="A5" s="29">
        <v>2022.0</v>
      </c>
      <c r="B5" s="29" t="s">
        <v>175</v>
      </c>
      <c r="C5" s="13" t="str">
        <f>IFERROR(VLOOKUP(B5,'Regiões'!A:B,2,0),"")</f>
        <v>Alto Uruguai</v>
      </c>
      <c r="D5" s="29" t="s">
        <v>190</v>
      </c>
      <c r="E5" s="32" t="s">
        <v>14</v>
      </c>
      <c r="F5" s="33"/>
      <c r="G5" s="29" t="s">
        <v>74</v>
      </c>
      <c r="H5" s="35">
        <v>4.1160002E7</v>
      </c>
      <c r="I5" s="29" t="s">
        <v>193</v>
      </c>
      <c r="J5" s="29" t="s">
        <v>7</v>
      </c>
      <c r="K5" s="29" t="s">
        <v>84</v>
      </c>
      <c r="L5" s="38">
        <v>20000.0</v>
      </c>
      <c r="M5" s="38"/>
      <c r="N5" s="29" t="s">
        <v>200</v>
      </c>
      <c r="O5" s="29" t="s">
        <v>110</v>
      </c>
      <c r="P5" s="39"/>
      <c r="Q5" s="40"/>
    </row>
    <row r="6">
      <c r="A6" s="29">
        <v>2022.0</v>
      </c>
      <c r="B6" s="41" t="s">
        <v>175</v>
      </c>
      <c r="C6" s="13" t="str">
        <f>IFERROR(VLOOKUP(B6,'Regiões'!A:B,2,0),"")</f>
        <v>Alto Uruguai</v>
      </c>
      <c r="D6" s="29" t="s">
        <v>190</v>
      </c>
      <c r="E6" s="32" t="s">
        <v>220</v>
      </c>
      <c r="F6" s="42"/>
      <c r="G6" s="43" t="s">
        <v>74</v>
      </c>
      <c r="H6" s="35">
        <v>4.1160002E7</v>
      </c>
      <c r="I6" s="29" t="s">
        <v>193</v>
      </c>
      <c r="J6" s="29" t="s">
        <v>7</v>
      </c>
      <c r="K6" s="29" t="s">
        <v>84</v>
      </c>
      <c r="L6" s="37">
        <v>20000.0</v>
      </c>
      <c r="M6" s="37"/>
      <c r="N6" s="29" t="s">
        <v>229</v>
      </c>
      <c r="O6" s="29" t="s">
        <v>110</v>
      </c>
      <c r="P6" s="44" t="s">
        <v>234</v>
      </c>
      <c r="Q6" s="40"/>
    </row>
    <row r="7">
      <c r="A7" s="29">
        <v>2021.0</v>
      </c>
      <c r="B7" s="29" t="s">
        <v>239</v>
      </c>
      <c r="C7" s="13" t="str">
        <f>IFERROR(VLOOKUP(B7,'Regiões'!A:B,2,0),"")</f>
        <v>Metropolitana de Porto Alegre</v>
      </c>
      <c r="D7" s="29" t="s">
        <v>249</v>
      </c>
      <c r="E7" s="32" t="s">
        <v>251</v>
      </c>
      <c r="F7" s="33"/>
      <c r="G7" s="29" t="s">
        <v>254</v>
      </c>
      <c r="H7" s="45">
        <v>4.1160001E7</v>
      </c>
      <c r="I7" s="29" t="s">
        <v>151</v>
      </c>
      <c r="J7" s="29" t="s">
        <v>27</v>
      </c>
      <c r="K7" s="29" t="s">
        <v>152</v>
      </c>
      <c r="L7" s="37">
        <v>26383.34</v>
      </c>
      <c r="M7" s="37"/>
      <c r="N7" s="29" t="s">
        <v>155</v>
      </c>
      <c r="O7" s="29" t="s">
        <v>265</v>
      </c>
      <c r="P7" s="46" t="s">
        <v>267</v>
      </c>
      <c r="Q7" s="40"/>
    </row>
    <row r="8">
      <c r="A8" s="47">
        <v>2020.0</v>
      </c>
      <c r="B8" s="47" t="s">
        <v>127</v>
      </c>
      <c r="C8" s="13" t="str">
        <f>IFERROR(VLOOKUP(B8,'Regiões'!A:B,2,0),"")</f>
        <v>Metropolitana de Porto Alegre</v>
      </c>
      <c r="D8" s="29" t="s">
        <v>290</v>
      </c>
      <c r="E8" s="49" t="s">
        <v>291</v>
      </c>
      <c r="F8" s="50"/>
      <c r="G8" s="47" t="s">
        <v>291</v>
      </c>
      <c r="H8" s="51">
        <v>4.1160008E7</v>
      </c>
      <c r="I8" s="47" t="s">
        <v>151</v>
      </c>
      <c r="J8" s="47" t="s">
        <v>27</v>
      </c>
      <c r="K8" s="47" t="s">
        <v>152</v>
      </c>
      <c r="L8" s="52">
        <v>26706.33</v>
      </c>
      <c r="M8" s="52"/>
      <c r="N8" s="47" t="s">
        <v>155</v>
      </c>
      <c r="O8" s="47" t="s">
        <v>305</v>
      </c>
      <c r="P8" s="53" t="s">
        <v>308</v>
      </c>
      <c r="Q8" s="54"/>
    </row>
    <row r="9">
      <c r="A9" s="11">
        <v>2024.0</v>
      </c>
      <c r="B9" s="12" t="s">
        <v>5</v>
      </c>
      <c r="C9" s="13" t="str">
        <f>IFERROR(VLOOKUP(B9,'Regiões'!A:B,2,0),"")</f>
        <v>Centro Serra</v>
      </c>
      <c r="D9" s="13" t="s">
        <v>325</v>
      </c>
      <c r="E9" s="15" t="str">
        <f>G9&amp;" de "&amp;B9</f>
        <v>Prefeitura Municipal de Cerro Branco</v>
      </c>
      <c r="F9" s="17"/>
      <c r="G9" s="18" t="s">
        <v>74</v>
      </c>
      <c r="H9" s="20">
        <v>4.1160001E7</v>
      </c>
      <c r="I9" s="11" t="s">
        <v>334</v>
      </c>
      <c r="J9" s="11" t="s">
        <v>7</v>
      </c>
      <c r="K9" s="21" t="s">
        <v>84</v>
      </c>
      <c r="L9" s="22">
        <v>30000.0</v>
      </c>
      <c r="M9" s="22"/>
      <c r="N9" s="13" t="s">
        <v>89</v>
      </c>
      <c r="O9" s="21"/>
      <c r="P9" s="23"/>
      <c r="Q9" s="24"/>
    </row>
    <row r="10">
      <c r="A10" s="13">
        <v>2023.0</v>
      </c>
      <c r="B10" s="55" t="s">
        <v>342</v>
      </c>
      <c r="C10" s="13" t="str">
        <f>IFERROR(VLOOKUP(B10,'Regiões'!A:B,2,0),"")</f>
        <v>Zona Sul</v>
      </c>
      <c r="D10" s="13" t="s">
        <v>357</v>
      </c>
      <c r="E10" s="56" t="s">
        <v>360</v>
      </c>
      <c r="F10" s="57"/>
      <c r="G10" s="58" t="s">
        <v>367</v>
      </c>
      <c r="H10" s="59"/>
      <c r="I10" s="13" t="s">
        <v>373</v>
      </c>
      <c r="J10" s="13" t="str">
        <f>LEFT(I10,FIND(" (",I10) - 1)</f>
        <v>Saúde</v>
      </c>
      <c r="K10" s="13" t="s">
        <v>84</v>
      </c>
      <c r="L10" s="60">
        <v>30514.31</v>
      </c>
      <c r="M10" s="60"/>
      <c r="N10" s="13" t="s">
        <v>389</v>
      </c>
      <c r="O10" s="13" t="s">
        <v>110</v>
      </c>
      <c r="P10" s="61" t="s">
        <v>393</v>
      </c>
      <c r="Q10" s="62"/>
    </row>
    <row r="11">
      <c r="A11" s="29">
        <v>2020.0</v>
      </c>
      <c r="B11" s="29" t="s">
        <v>127</v>
      </c>
      <c r="C11" s="13" t="str">
        <f>IFERROR(VLOOKUP(B11,'Regiões'!A:B,2,0),"")</f>
        <v>Metropolitana de Porto Alegre</v>
      </c>
      <c r="D11" s="29" t="s">
        <v>409</v>
      </c>
      <c r="E11" s="32" t="s">
        <v>139</v>
      </c>
      <c r="F11" s="33"/>
      <c r="G11" s="29" t="s">
        <v>412</v>
      </c>
      <c r="H11" s="35">
        <v>4.116001E7</v>
      </c>
      <c r="I11" s="29" t="s">
        <v>151</v>
      </c>
      <c r="J11" s="29" t="s">
        <v>27</v>
      </c>
      <c r="K11" s="29" t="s">
        <v>152</v>
      </c>
      <c r="L11" s="37">
        <v>31428.6</v>
      </c>
      <c r="M11" s="37"/>
      <c r="N11" s="29" t="s">
        <v>155</v>
      </c>
      <c r="O11" s="29" t="s">
        <v>418</v>
      </c>
      <c r="P11" s="32" t="s">
        <v>420</v>
      </c>
      <c r="Q11" s="29"/>
    </row>
    <row r="12">
      <c r="A12" s="47">
        <v>2020.0</v>
      </c>
      <c r="B12" s="47" t="s">
        <v>127</v>
      </c>
      <c r="C12" s="13" t="str">
        <f>IFERROR(VLOOKUP(B12,'Regiões'!A:B,2,0),"")</f>
        <v>Metropolitana de Porto Alegre</v>
      </c>
      <c r="D12" s="29" t="s">
        <v>290</v>
      </c>
      <c r="E12" s="49" t="s">
        <v>291</v>
      </c>
      <c r="F12" s="50"/>
      <c r="G12" s="47" t="s">
        <v>291</v>
      </c>
      <c r="H12" s="51">
        <v>4.1160008E7</v>
      </c>
      <c r="I12" s="47" t="s">
        <v>151</v>
      </c>
      <c r="J12" s="47" t="s">
        <v>27</v>
      </c>
      <c r="K12" s="47" t="s">
        <v>152</v>
      </c>
      <c r="L12" s="52">
        <v>31616.04</v>
      </c>
      <c r="M12" s="52"/>
      <c r="N12" s="47" t="s">
        <v>155</v>
      </c>
      <c r="O12" s="47" t="s">
        <v>305</v>
      </c>
      <c r="P12" s="53" t="s">
        <v>427</v>
      </c>
      <c r="Q12" s="54"/>
    </row>
    <row r="13">
      <c r="A13" s="29">
        <v>2022.0</v>
      </c>
      <c r="B13" s="41" t="s">
        <v>429</v>
      </c>
      <c r="C13" s="13" t="str">
        <f>IFERROR(VLOOKUP(B13,'Regiões'!A:B,2,0),"")</f>
        <v>Alta da Serra do Botucarai</v>
      </c>
      <c r="D13" s="29" t="s">
        <v>434</v>
      </c>
      <c r="E13" s="32" t="s">
        <v>220</v>
      </c>
      <c r="F13" s="42"/>
      <c r="G13" s="43" t="s">
        <v>74</v>
      </c>
      <c r="H13" s="35">
        <v>4.1160002E7</v>
      </c>
      <c r="I13" s="29" t="s">
        <v>193</v>
      </c>
      <c r="J13" s="29" t="s">
        <v>7</v>
      </c>
      <c r="K13" s="29" t="s">
        <v>84</v>
      </c>
      <c r="L13" s="37">
        <v>35000.0</v>
      </c>
      <c r="M13" s="37"/>
      <c r="N13" s="29" t="s">
        <v>229</v>
      </c>
      <c r="O13" s="29" t="s">
        <v>110</v>
      </c>
      <c r="P13" s="44" t="s">
        <v>438</v>
      </c>
      <c r="Q13" s="40"/>
    </row>
    <row r="14">
      <c r="A14" s="13">
        <v>2023.0</v>
      </c>
      <c r="B14" s="55" t="s">
        <v>439</v>
      </c>
      <c r="C14" s="13" t="str">
        <f>IFERROR(VLOOKUP(B14,'Regiões'!A:B,2,0),"")</f>
        <v>Alta da Serra do Botucarai</v>
      </c>
      <c r="D14" s="13" t="s">
        <v>441</v>
      </c>
      <c r="E14" s="56" t="s">
        <v>360</v>
      </c>
      <c r="F14" s="57"/>
      <c r="G14" s="58" t="s">
        <v>443</v>
      </c>
      <c r="H14" s="59"/>
      <c r="I14" s="13" t="s">
        <v>373</v>
      </c>
      <c r="J14" s="13" t="s">
        <v>7</v>
      </c>
      <c r="K14" s="13" t="s">
        <v>84</v>
      </c>
      <c r="L14" s="60">
        <v>35000.0</v>
      </c>
      <c r="M14" s="60"/>
      <c r="N14" s="13" t="s">
        <v>389</v>
      </c>
      <c r="O14" s="13" t="s">
        <v>444</v>
      </c>
      <c r="P14" s="61" t="s">
        <v>445</v>
      </c>
      <c r="Q14" s="62"/>
    </row>
    <row r="15">
      <c r="A15" s="13">
        <v>2023.0</v>
      </c>
      <c r="B15" s="55" t="s">
        <v>187</v>
      </c>
      <c r="C15" s="13" t="str">
        <f>IFERROR(VLOOKUP(B15,'Regiões'!A:B,2,0),"")</f>
        <v>Alto Uruguai</v>
      </c>
      <c r="D15" s="58" t="s">
        <v>454</v>
      </c>
      <c r="E15" s="56" t="s">
        <v>360</v>
      </c>
      <c r="F15" s="57"/>
      <c r="G15" s="58" t="s">
        <v>455</v>
      </c>
      <c r="H15" s="59"/>
      <c r="I15" s="13" t="s">
        <v>373</v>
      </c>
      <c r="J15" s="13" t="s">
        <v>7</v>
      </c>
      <c r="K15" s="13" t="s">
        <v>84</v>
      </c>
      <c r="L15" s="60">
        <v>37480.0</v>
      </c>
      <c r="M15" s="60"/>
      <c r="N15" s="13" t="s">
        <v>389</v>
      </c>
      <c r="O15" s="13" t="s">
        <v>110</v>
      </c>
      <c r="P15" s="61" t="s">
        <v>456</v>
      </c>
      <c r="Q15" s="62"/>
    </row>
    <row r="16">
      <c r="A16" s="64">
        <v>2021.0</v>
      </c>
      <c r="B16" s="64" t="s">
        <v>355</v>
      </c>
      <c r="C16" s="13" t="str">
        <f>IFERROR(VLOOKUP(B16,'Regiões'!A:B,2,0),"")</f>
        <v>Centro do Estado</v>
      </c>
      <c r="D16" s="29" t="s">
        <v>464</v>
      </c>
      <c r="E16" s="65" t="s">
        <v>465</v>
      </c>
      <c r="F16" s="66"/>
      <c r="G16" s="64" t="s">
        <v>467</v>
      </c>
      <c r="H16" s="67">
        <v>4.1160005E7</v>
      </c>
      <c r="I16" s="64" t="s">
        <v>151</v>
      </c>
      <c r="J16" s="64" t="s">
        <v>27</v>
      </c>
      <c r="K16" s="64" t="s">
        <v>152</v>
      </c>
      <c r="L16" s="68">
        <v>38354.48</v>
      </c>
      <c r="M16" s="68"/>
      <c r="N16" s="64" t="s">
        <v>155</v>
      </c>
      <c r="O16" s="64" t="s">
        <v>110</v>
      </c>
      <c r="P16" s="69" t="s">
        <v>474</v>
      </c>
      <c r="Q16" s="70"/>
    </row>
    <row r="17">
      <c r="A17" s="13">
        <v>2023.0</v>
      </c>
      <c r="B17" s="55" t="s">
        <v>453</v>
      </c>
      <c r="C17" s="13" t="str">
        <f>IFERROR(VLOOKUP(B17,'Regiões'!A:B,2,0),"")</f>
        <v>Missões</v>
      </c>
      <c r="D17" s="13" t="s">
        <v>476</v>
      </c>
      <c r="E17" s="56" t="s">
        <v>360</v>
      </c>
      <c r="F17" s="57"/>
      <c r="G17" s="58" t="s">
        <v>477</v>
      </c>
      <c r="H17" s="59"/>
      <c r="I17" s="13" t="s">
        <v>373</v>
      </c>
      <c r="J17" s="13" t="s">
        <v>7</v>
      </c>
      <c r="K17" s="13" t="s">
        <v>84</v>
      </c>
      <c r="L17" s="60">
        <v>39600.0</v>
      </c>
      <c r="M17" s="60"/>
      <c r="N17" s="13" t="s">
        <v>389</v>
      </c>
      <c r="O17" s="13" t="s">
        <v>110</v>
      </c>
      <c r="P17" s="61" t="s">
        <v>482</v>
      </c>
      <c r="Q17" s="62"/>
    </row>
    <row r="18">
      <c r="A18" s="64">
        <v>2020.0</v>
      </c>
      <c r="B18" s="64" t="s">
        <v>127</v>
      </c>
      <c r="C18" s="13" t="str">
        <f>IFERROR(VLOOKUP(B18,'Regiões'!A:B,2,0),"")</f>
        <v>Metropolitana de Porto Alegre</v>
      </c>
      <c r="D18" s="29" t="s">
        <v>484</v>
      </c>
      <c r="E18" s="65" t="s">
        <v>485</v>
      </c>
      <c r="F18" s="66"/>
      <c r="G18" s="64" t="s">
        <v>486</v>
      </c>
      <c r="H18" s="71">
        <v>4.1160005E7</v>
      </c>
      <c r="I18" s="64" t="s">
        <v>488</v>
      </c>
      <c r="J18" s="64" t="s">
        <v>7</v>
      </c>
      <c r="K18" s="64" t="s">
        <v>84</v>
      </c>
      <c r="L18" s="68">
        <v>40000.0</v>
      </c>
      <c r="M18" s="68"/>
      <c r="N18" s="64" t="s">
        <v>490</v>
      </c>
      <c r="O18" s="64" t="s">
        <v>110</v>
      </c>
      <c r="P18" s="65" t="s">
        <v>491</v>
      </c>
      <c r="Q18" s="70" t="s">
        <v>493</v>
      </c>
    </row>
    <row r="19">
      <c r="A19" s="13">
        <v>2023.0</v>
      </c>
      <c r="B19" s="55" t="s">
        <v>495</v>
      </c>
      <c r="C19" s="13" t="str">
        <f>IFERROR(VLOOKUP(B19,'Regiões'!A:B,2,0),"")</f>
        <v>Celeiro do Rio Grande</v>
      </c>
      <c r="D19" s="13" t="s">
        <v>501</v>
      </c>
      <c r="E19" s="56" t="s">
        <v>360</v>
      </c>
      <c r="F19" s="57"/>
      <c r="G19" s="58" t="s">
        <v>503</v>
      </c>
      <c r="H19" s="59"/>
      <c r="I19" s="13" t="s">
        <v>373</v>
      </c>
      <c r="J19" s="13" t="str">
        <f>LEFT(I19,FIND(" (",I19) - 1)</f>
        <v>Saúde</v>
      </c>
      <c r="K19" s="13" t="s">
        <v>84</v>
      </c>
      <c r="L19" s="60">
        <v>40200.0</v>
      </c>
      <c r="M19" s="60"/>
      <c r="N19" s="13" t="s">
        <v>389</v>
      </c>
      <c r="O19" s="13" t="s">
        <v>110</v>
      </c>
      <c r="P19" s="61" t="s">
        <v>506</v>
      </c>
      <c r="Q19" s="62"/>
    </row>
    <row r="20">
      <c r="A20" s="11">
        <v>2025.0</v>
      </c>
      <c r="B20" s="18" t="s">
        <v>498</v>
      </c>
      <c r="C20" s="13" t="str">
        <f>IFERROR(VLOOKUP(B20,'Regiões'!A:B,2,0),"")</f>
        <v>Campos de cima da Serra</v>
      </c>
      <c r="D20" s="13" t="s">
        <v>509</v>
      </c>
      <c r="E20" s="15" t="s">
        <v>511</v>
      </c>
      <c r="F20" s="17">
        <v>1.2452816000135E13</v>
      </c>
      <c r="G20" s="18" t="s">
        <v>74</v>
      </c>
      <c r="H20" s="72">
        <v>4.1160001E7</v>
      </c>
      <c r="I20" s="11" t="s">
        <v>228</v>
      </c>
      <c r="J20" s="11" t="s">
        <v>7</v>
      </c>
      <c r="K20" s="21" t="s">
        <v>84</v>
      </c>
      <c r="L20" s="73">
        <v>40925.0</v>
      </c>
      <c r="M20" s="73"/>
      <c r="N20" s="13" t="s">
        <v>89</v>
      </c>
      <c r="O20" s="21"/>
      <c r="P20" s="61" t="s">
        <v>513</v>
      </c>
      <c r="Q20" s="24"/>
    </row>
    <row r="21">
      <c r="A21" s="47">
        <v>2020.0</v>
      </c>
      <c r="B21" s="47" t="s">
        <v>127</v>
      </c>
      <c r="C21" s="13" t="str">
        <f>IFERROR(VLOOKUP(B21,'Regiões'!A:B,2,0),"")</f>
        <v>Metropolitana de Porto Alegre</v>
      </c>
      <c r="D21" s="29" t="s">
        <v>290</v>
      </c>
      <c r="E21" s="49" t="s">
        <v>291</v>
      </c>
      <c r="F21" s="50"/>
      <c r="G21" s="47" t="s">
        <v>291</v>
      </c>
      <c r="H21" s="51">
        <v>4.1160008E7</v>
      </c>
      <c r="I21" s="47" t="s">
        <v>151</v>
      </c>
      <c r="J21" s="47" t="s">
        <v>27</v>
      </c>
      <c r="K21" s="47" t="s">
        <v>152</v>
      </c>
      <c r="L21" s="52">
        <v>41388.5</v>
      </c>
      <c r="M21" s="52" t="s">
        <v>521</v>
      </c>
      <c r="N21" s="47" t="s">
        <v>155</v>
      </c>
      <c r="O21" s="47" t="s">
        <v>523</v>
      </c>
      <c r="P21" s="53" t="s">
        <v>524</v>
      </c>
      <c r="Q21" s="54"/>
    </row>
    <row r="22">
      <c r="A22" s="47">
        <v>2020.0</v>
      </c>
      <c r="B22" s="47" t="s">
        <v>127</v>
      </c>
      <c r="C22" s="13" t="str">
        <f>IFERROR(VLOOKUP(B22,'Regiões'!A:B,2,0),"")</f>
        <v>Metropolitana de Porto Alegre</v>
      </c>
      <c r="D22" s="29" t="s">
        <v>290</v>
      </c>
      <c r="E22" s="49" t="s">
        <v>291</v>
      </c>
      <c r="F22" s="50"/>
      <c r="G22" s="47" t="s">
        <v>291</v>
      </c>
      <c r="H22" s="51">
        <v>4.1160008E7</v>
      </c>
      <c r="I22" s="47" t="s">
        <v>151</v>
      </c>
      <c r="J22" s="47" t="s">
        <v>27</v>
      </c>
      <c r="K22" s="47" t="s">
        <v>152</v>
      </c>
      <c r="L22" s="52">
        <v>41565.73</v>
      </c>
      <c r="M22" s="52"/>
      <c r="N22" s="47" t="s">
        <v>155</v>
      </c>
      <c r="O22" s="47" t="s">
        <v>305</v>
      </c>
      <c r="P22" s="53" t="s">
        <v>527</v>
      </c>
      <c r="Q22" s="54"/>
    </row>
    <row r="23">
      <c r="A23" s="13">
        <v>2023.0</v>
      </c>
      <c r="B23" s="55" t="s">
        <v>528</v>
      </c>
      <c r="C23" s="13" t="str">
        <f>IFERROR(VLOOKUP(B23,'Regiões'!A:B,2,0),"")</f>
        <v>Fronteira Oeste</v>
      </c>
      <c r="D23" s="13" t="s">
        <v>531</v>
      </c>
      <c r="E23" s="56" t="s">
        <v>360</v>
      </c>
      <c r="F23" s="57"/>
      <c r="G23" s="58" t="s">
        <v>532</v>
      </c>
      <c r="H23" s="59"/>
      <c r="I23" s="13" t="s">
        <v>373</v>
      </c>
      <c r="J23" s="13" t="str">
        <f>LEFT(I23,FIND(" (",I23) - 1)</f>
        <v>Saúde</v>
      </c>
      <c r="K23" s="13" t="s">
        <v>84</v>
      </c>
      <c r="L23" s="60">
        <v>44950.0</v>
      </c>
      <c r="M23" s="60"/>
      <c r="N23" s="13" t="s">
        <v>389</v>
      </c>
      <c r="O23" s="13" t="s">
        <v>110</v>
      </c>
      <c r="P23" s="61" t="s">
        <v>536</v>
      </c>
      <c r="Q23" s="62"/>
    </row>
    <row r="24">
      <c r="A24" s="13">
        <v>2023.0</v>
      </c>
      <c r="B24" s="55" t="s">
        <v>448</v>
      </c>
      <c r="C24" s="13" t="str">
        <f>IFERROR(VLOOKUP(B24,'Regiões'!A:B,2,0),"")</f>
        <v>Vale do Taquari</v>
      </c>
      <c r="D24" s="13" t="s">
        <v>539</v>
      </c>
      <c r="E24" s="56" t="s">
        <v>360</v>
      </c>
      <c r="F24" s="57"/>
      <c r="G24" s="58" t="s">
        <v>540</v>
      </c>
      <c r="H24" s="59"/>
      <c r="I24" s="13" t="s">
        <v>373</v>
      </c>
      <c r="J24" s="13" t="s">
        <v>7</v>
      </c>
      <c r="K24" s="13" t="s">
        <v>84</v>
      </c>
      <c r="L24" s="60">
        <v>49379.28</v>
      </c>
      <c r="M24" s="60"/>
      <c r="N24" s="13" t="s">
        <v>389</v>
      </c>
      <c r="O24" s="13" t="s">
        <v>110</v>
      </c>
      <c r="P24" s="61" t="s">
        <v>542</v>
      </c>
      <c r="Q24" s="62"/>
    </row>
    <row r="25">
      <c r="A25" s="13">
        <v>2023.0</v>
      </c>
      <c r="B25" s="55" t="s">
        <v>507</v>
      </c>
      <c r="C25" s="13" t="str">
        <f>IFERROR(VLOOKUP(B25,'Regiões'!A:B,2,0),"")</f>
        <v>Celeiro do Rio Grande</v>
      </c>
      <c r="D25" s="13" t="s">
        <v>547</v>
      </c>
      <c r="E25" s="56" t="s">
        <v>360</v>
      </c>
      <c r="F25" s="57"/>
      <c r="G25" s="58" t="s">
        <v>548</v>
      </c>
      <c r="H25" s="59"/>
      <c r="I25" s="13" t="s">
        <v>373</v>
      </c>
      <c r="J25" s="13" t="s">
        <v>7</v>
      </c>
      <c r="K25" s="13" t="s">
        <v>84</v>
      </c>
      <c r="L25" s="60">
        <v>49379.28</v>
      </c>
      <c r="M25" s="60"/>
      <c r="N25" s="13" t="s">
        <v>389</v>
      </c>
      <c r="O25" s="13" t="s">
        <v>110</v>
      </c>
      <c r="P25" s="61" t="s">
        <v>553</v>
      </c>
      <c r="Q25" s="62"/>
    </row>
    <row r="26">
      <c r="A26" s="64">
        <v>2019.0</v>
      </c>
      <c r="B26" s="64" t="s">
        <v>505</v>
      </c>
      <c r="C26" s="13" t="str">
        <f>IFERROR(VLOOKUP(B26,'Regiões'!A:B,2,0),"")</f>
        <v>Encosta Superior do Nordeste</v>
      </c>
      <c r="D26" s="29" t="s">
        <v>555</v>
      </c>
      <c r="E26" s="65" t="s">
        <v>556</v>
      </c>
      <c r="F26" s="66"/>
      <c r="G26" s="64" t="s">
        <v>557</v>
      </c>
      <c r="H26" s="71">
        <v>7.1220005E7</v>
      </c>
      <c r="I26" s="64" t="s">
        <v>558</v>
      </c>
      <c r="J26" s="29" t="s">
        <v>280</v>
      </c>
      <c r="K26" s="64" t="s">
        <v>152</v>
      </c>
      <c r="L26" s="68">
        <v>50000.0</v>
      </c>
      <c r="M26" s="68"/>
      <c r="N26" s="64" t="s">
        <v>560</v>
      </c>
      <c r="O26" s="64" t="s">
        <v>110</v>
      </c>
      <c r="P26" s="65" t="s">
        <v>561</v>
      </c>
      <c r="Q26" s="70" t="s">
        <v>563</v>
      </c>
    </row>
    <row r="27">
      <c r="A27" s="64">
        <v>2020.0</v>
      </c>
      <c r="B27" s="64" t="s">
        <v>178</v>
      </c>
      <c r="C27" s="13" t="str">
        <f>IFERROR(VLOOKUP(B27,'Regiões'!A:B,2,0),"")</f>
        <v>Vale dos Sinos</v>
      </c>
      <c r="D27" s="29" t="s">
        <v>565</v>
      </c>
      <c r="E27" s="65" t="s">
        <v>566</v>
      </c>
      <c r="F27" s="66"/>
      <c r="G27" s="64" t="s">
        <v>567</v>
      </c>
      <c r="H27" s="74"/>
      <c r="I27" s="64" t="s">
        <v>488</v>
      </c>
      <c r="J27" s="64" t="s">
        <v>7</v>
      </c>
      <c r="K27" s="64" t="s">
        <v>84</v>
      </c>
      <c r="L27" s="68">
        <v>50000.0</v>
      </c>
      <c r="M27" s="68"/>
      <c r="N27" s="64" t="s">
        <v>570</v>
      </c>
      <c r="O27" s="64" t="s">
        <v>110</v>
      </c>
      <c r="P27" s="65" t="s">
        <v>571</v>
      </c>
      <c r="Q27" s="75"/>
    </row>
    <row r="28">
      <c r="A28" s="64">
        <v>2020.0</v>
      </c>
      <c r="B28" s="64" t="s">
        <v>515</v>
      </c>
      <c r="C28" s="13" t="str">
        <f>IFERROR(VLOOKUP(B28,'Regiões'!A:B,2,0),"")</f>
        <v>Turismo da Serra</v>
      </c>
      <c r="D28" s="29" t="s">
        <v>574</v>
      </c>
      <c r="E28" s="65" t="s">
        <v>485</v>
      </c>
      <c r="F28" s="66"/>
      <c r="G28" s="64" t="s">
        <v>577</v>
      </c>
      <c r="H28" s="76" t="s">
        <v>578</v>
      </c>
      <c r="I28" s="64" t="s">
        <v>488</v>
      </c>
      <c r="J28" s="64" t="s">
        <v>7</v>
      </c>
      <c r="K28" s="64" t="s">
        <v>84</v>
      </c>
      <c r="L28" s="68">
        <v>50000.0</v>
      </c>
      <c r="M28" s="68"/>
      <c r="N28" s="64" t="s">
        <v>389</v>
      </c>
      <c r="O28" s="64" t="s">
        <v>110</v>
      </c>
      <c r="P28" s="65" t="s">
        <v>589</v>
      </c>
      <c r="Q28" s="75"/>
    </row>
    <row r="29">
      <c r="A29" s="64">
        <v>2020.0</v>
      </c>
      <c r="B29" s="64" t="s">
        <v>538</v>
      </c>
      <c r="C29" s="13" t="str">
        <f>IFERROR(VLOOKUP(B29,'Regiões'!A:B,2,0),"")</f>
        <v>Alto Jacuí</v>
      </c>
      <c r="D29" s="29" t="s">
        <v>592</v>
      </c>
      <c r="E29" s="65" t="s">
        <v>485</v>
      </c>
      <c r="F29" s="66"/>
      <c r="G29" s="64" t="s">
        <v>594</v>
      </c>
      <c r="H29" s="76" t="s">
        <v>578</v>
      </c>
      <c r="I29" s="64" t="s">
        <v>488</v>
      </c>
      <c r="J29" s="64" t="s">
        <v>7</v>
      </c>
      <c r="K29" s="64" t="s">
        <v>84</v>
      </c>
      <c r="L29" s="68">
        <v>50000.0</v>
      </c>
      <c r="M29" s="68"/>
      <c r="N29" s="64" t="s">
        <v>389</v>
      </c>
      <c r="O29" s="64" t="s">
        <v>110</v>
      </c>
      <c r="P29" s="65" t="s">
        <v>589</v>
      </c>
      <c r="Q29" s="75"/>
    </row>
    <row r="30">
      <c r="A30" s="64">
        <v>2020.0</v>
      </c>
      <c r="B30" s="64" t="s">
        <v>48</v>
      </c>
      <c r="C30" s="13" t="str">
        <f>IFERROR(VLOOKUP(B30,'Regiões'!A:B,2,0),"")</f>
        <v>Turismo da Serra</v>
      </c>
      <c r="D30" s="29" t="s">
        <v>597</v>
      </c>
      <c r="E30" s="65" t="s">
        <v>485</v>
      </c>
      <c r="F30" s="66"/>
      <c r="G30" s="64" t="s">
        <v>599</v>
      </c>
      <c r="H30" s="76" t="s">
        <v>578</v>
      </c>
      <c r="I30" s="64" t="s">
        <v>488</v>
      </c>
      <c r="J30" s="64" t="s">
        <v>7</v>
      </c>
      <c r="K30" s="64" t="s">
        <v>84</v>
      </c>
      <c r="L30" s="68">
        <v>50000.0</v>
      </c>
      <c r="M30" s="68"/>
      <c r="N30" s="64" t="s">
        <v>389</v>
      </c>
      <c r="O30" s="64" t="s">
        <v>110</v>
      </c>
      <c r="P30" s="77" t="s">
        <v>600</v>
      </c>
      <c r="Q30" s="75"/>
    </row>
    <row r="31">
      <c r="A31" s="64">
        <v>2020.0</v>
      </c>
      <c r="B31" s="64" t="s">
        <v>191</v>
      </c>
      <c r="C31" s="13" t="str">
        <f>IFERROR(VLOOKUP(B31,'Regiões'!A:B,2,0),"")</f>
        <v>Vale do Paranhana</v>
      </c>
      <c r="D31" s="29" t="s">
        <v>604</v>
      </c>
      <c r="E31" s="65" t="s">
        <v>485</v>
      </c>
      <c r="F31" s="66"/>
      <c r="G31" s="64" t="s">
        <v>606</v>
      </c>
      <c r="H31" s="76" t="s">
        <v>578</v>
      </c>
      <c r="I31" s="64" t="s">
        <v>488</v>
      </c>
      <c r="J31" s="64" t="s">
        <v>7</v>
      </c>
      <c r="K31" s="64" t="s">
        <v>84</v>
      </c>
      <c r="L31" s="68">
        <v>50000.0</v>
      </c>
      <c r="M31" s="68"/>
      <c r="N31" s="64" t="s">
        <v>389</v>
      </c>
      <c r="O31" s="64" t="s">
        <v>110</v>
      </c>
      <c r="P31" s="77" t="s">
        <v>600</v>
      </c>
      <c r="Q31" s="75"/>
    </row>
    <row r="32">
      <c r="A32" s="64">
        <v>2020.0</v>
      </c>
      <c r="B32" s="64" t="s">
        <v>198</v>
      </c>
      <c r="C32" s="13" t="str">
        <f>IFERROR(VLOOKUP(B32,'Regiões'!A:B,2,0),"")</f>
        <v>Vale dos Sinos</v>
      </c>
      <c r="D32" s="29" t="s">
        <v>616</v>
      </c>
      <c r="E32" s="65" t="s">
        <v>485</v>
      </c>
      <c r="F32" s="66"/>
      <c r="G32" s="64" t="s">
        <v>618</v>
      </c>
      <c r="H32" s="76" t="s">
        <v>578</v>
      </c>
      <c r="I32" s="64" t="s">
        <v>488</v>
      </c>
      <c r="J32" s="64" t="s">
        <v>7</v>
      </c>
      <c r="K32" s="64" t="s">
        <v>84</v>
      </c>
      <c r="L32" s="68">
        <v>50000.0</v>
      </c>
      <c r="M32" s="68"/>
      <c r="N32" s="64" t="s">
        <v>389</v>
      </c>
      <c r="O32" s="64" t="s">
        <v>110</v>
      </c>
      <c r="P32" s="77" t="s">
        <v>600</v>
      </c>
      <c r="Q32" s="75"/>
    </row>
    <row r="33">
      <c r="A33" s="64">
        <v>2020.0</v>
      </c>
      <c r="B33" s="64" t="s">
        <v>623</v>
      </c>
      <c r="C33" s="13" t="str">
        <f>IFERROR(VLOOKUP(B33,'Regiões'!A:B,2,0),"")</f>
        <v>Planalto</v>
      </c>
      <c r="D33" s="29" t="s">
        <v>629</v>
      </c>
      <c r="E33" s="65" t="s">
        <v>485</v>
      </c>
      <c r="F33" s="66"/>
      <c r="G33" s="64" t="s">
        <v>631</v>
      </c>
      <c r="H33" s="76" t="s">
        <v>578</v>
      </c>
      <c r="I33" s="64" t="s">
        <v>488</v>
      </c>
      <c r="J33" s="64" t="s">
        <v>7</v>
      </c>
      <c r="K33" s="64" t="s">
        <v>84</v>
      </c>
      <c r="L33" s="68">
        <v>50000.0</v>
      </c>
      <c r="M33" s="68"/>
      <c r="N33" s="64" t="s">
        <v>389</v>
      </c>
      <c r="O33" s="64" t="s">
        <v>110</v>
      </c>
      <c r="P33" s="77" t="s">
        <v>600</v>
      </c>
      <c r="Q33" s="75"/>
    </row>
    <row r="34">
      <c r="A34" s="64">
        <v>2020.0</v>
      </c>
      <c r="B34" s="64" t="s">
        <v>219</v>
      </c>
      <c r="C34" s="13" t="str">
        <f>IFERROR(VLOOKUP(B34,'Regiões'!A:B,2,0),"")</f>
        <v>Turismo da Serra</v>
      </c>
      <c r="D34" s="29" t="s">
        <v>640</v>
      </c>
      <c r="E34" s="65" t="s">
        <v>485</v>
      </c>
      <c r="F34" s="66"/>
      <c r="G34" s="64" t="s">
        <v>641</v>
      </c>
      <c r="H34" s="76" t="s">
        <v>578</v>
      </c>
      <c r="I34" s="64" t="s">
        <v>488</v>
      </c>
      <c r="J34" s="64" t="s">
        <v>7</v>
      </c>
      <c r="K34" s="64" t="s">
        <v>84</v>
      </c>
      <c r="L34" s="68">
        <v>50000.0</v>
      </c>
      <c r="M34" s="68"/>
      <c r="N34" s="64" t="s">
        <v>389</v>
      </c>
      <c r="O34" s="64" t="s">
        <v>110</v>
      </c>
      <c r="P34" s="77" t="s">
        <v>600</v>
      </c>
      <c r="Q34" s="75"/>
    </row>
    <row r="35">
      <c r="A35" s="64">
        <v>2020.0</v>
      </c>
      <c r="B35" s="64" t="s">
        <v>646</v>
      </c>
      <c r="C35" s="13" t="str">
        <f>IFERROR(VLOOKUP(B35,'Regiões'!A:B,2,0),"")</f>
        <v>Vale do Rio Caí</v>
      </c>
      <c r="D35" s="29" t="s">
        <v>650</v>
      </c>
      <c r="E35" s="65" t="s">
        <v>485</v>
      </c>
      <c r="F35" s="66"/>
      <c r="G35" s="64" t="s">
        <v>652</v>
      </c>
      <c r="H35" s="76" t="s">
        <v>578</v>
      </c>
      <c r="I35" s="64" t="s">
        <v>488</v>
      </c>
      <c r="J35" s="64" t="s">
        <v>7</v>
      </c>
      <c r="K35" s="64" t="s">
        <v>84</v>
      </c>
      <c r="L35" s="68">
        <v>50000.0</v>
      </c>
      <c r="M35" s="68"/>
      <c r="N35" s="64" t="s">
        <v>389</v>
      </c>
      <c r="O35" s="64" t="s">
        <v>110</v>
      </c>
      <c r="P35" s="77" t="s">
        <v>600</v>
      </c>
      <c r="Q35" s="75"/>
    </row>
    <row r="36">
      <c r="A36" s="64">
        <v>2020.0</v>
      </c>
      <c r="B36" s="64" t="s">
        <v>323</v>
      </c>
      <c r="C36" s="13" t="str">
        <f>IFERROR(VLOOKUP(B36,'Regiões'!A:B,2,0),"")</f>
        <v>Vale do Paranhana</v>
      </c>
      <c r="D36" s="29" t="s">
        <v>661</v>
      </c>
      <c r="E36" s="65" t="s">
        <v>485</v>
      </c>
      <c r="F36" s="66"/>
      <c r="G36" s="64" t="s">
        <v>662</v>
      </c>
      <c r="H36" s="76" t="s">
        <v>578</v>
      </c>
      <c r="I36" s="64" t="s">
        <v>488</v>
      </c>
      <c r="J36" s="64" t="s">
        <v>7</v>
      </c>
      <c r="K36" s="64" t="s">
        <v>84</v>
      </c>
      <c r="L36" s="68">
        <v>50000.0</v>
      </c>
      <c r="M36" s="68"/>
      <c r="N36" s="64" t="s">
        <v>389</v>
      </c>
      <c r="O36" s="64" t="s">
        <v>110</v>
      </c>
      <c r="P36" s="77" t="s">
        <v>600</v>
      </c>
      <c r="Q36" s="75"/>
    </row>
    <row r="37">
      <c r="A37" s="64">
        <v>2020.0</v>
      </c>
      <c r="B37" s="64" t="s">
        <v>673</v>
      </c>
      <c r="C37" s="13" t="str">
        <f>IFERROR(VLOOKUP(B37,'Regiões'!A:B,2,0),"")</f>
        <v>Vale do Paranhana</v>
      </c>
      <c r="D37" s="29" t="s">
        <v>679</v>
      </c>
      <c r="E37" s="65" t="s">
        <v>485</v>
      </c>
      <c r="F37" s="66"/>
      <c r="G37" s="64" t="s">
        <v>682</v>
      </c>
      <c r="H37" s="76" t="s">
        <v>578</v>
      </c>
      <c r="I37" s="64" t="s">
        <v>488</v>
      </c>
      <c r="J37" s="64" t="s">
        <v>7</v>
      </c>
      <c r="K37" s="64" t="s">
        <v>84</v>
      </c>
      <c r="L37" s="68">
        <v>50000.0</v>
      </c>
      <c r="M37" s="68"/>
      <c r="N37" s="64" t="s">
        <v>389</v>
      </c>
      <c r="O37" s="64" t="s">
        <v>110</v>
      </c>
      <c r="P37" s="77" t="s">
        <v>600</v>
      </c>
      <c r="Q37" s="75"/>
    </row>
    <row r="38">
      <c r="A38" s="64">
        <v>2020.0</v>
      </c>
      <c r="B38" s="64" t="s">
        <v>180</v>
      </c>
      <c r="C38" s="13" t="str">
        <f>IFERROR(VLOOKUP(B38,'Regiões'!A:B,2,0),"")</f>
        <v>Metropolitana de Porto Alegre</v>
      </c>
      <c r="D38" s="29" t="s">
        <v>697</v>
      </c>
      <c r="E38" s="65" t="s">
        <v>485</v>
      </c>
      <c r="F38" s="66"/>
      <c r="G38" s="64" t="s">
        <v>700</v>
      </c>
      <c r="H38" s="71">
        <v>4.1160005E7</v>
      </c>
      <c r="I38" s="64" t="s">
        <v>488</v>
      </c>
      <c r="J38" s="64" t="s">
        <v>7</v>
      </c>
      <c r="K38" s="64" t="s">
        <v>84</v>
      </c>
      <c r="L38" s="68">
        <v>50000.0</v>
      </c>
      <c r="M38" s="68"/>
      <c r="N38" s="64" t="s">
        <v>89</v>
      </c>
      <c r="O38" s="64" t="s">
        <v>110</v>
      </c>
      <c r="P38" s="65" t="s">
        <v>705</v>
      </c>
      <c r="Q38" s="70" t="s">
        <v>708</v>
      </c>
    </row>
    <row r="39">
      <c r="A39" s="64">
        <v>2020.0</v>
      </c>
      <c r="B39" s="64" t="s">
        <v>525</v>
      </c>
      <c r="C39" s="13" t="str">
        <f>IFERROR(VLOOKUP(B39,'Regiões'!A:B,2,0),"")</f>
        <v>Nordeste Riograndense</v>
      </c>
      <c r="D39" s="29" t="s">
        <v>717</v>
      </c>
      <c r="E39" s="65" t="s">
        <v>566</v>
      </c>
      <c r="F39" s="66"/>
      <c r="G39" s="64" t="s">
        <v>719</v>
      </c>
      <c r="H39" s="78" t="s">
        <v>578</v>
      </c>
      <c r="I39" s="64" t="s">
        <v>488</v>
      </c>
      <c r="J39" s="64" t="s">
        <v>7</v>
      </c>
      <c r="K39" s="64" t="s">
        <v>84</v>
      </c>
      <c r="L39" s="68">
        <v>50000.0</v>
      </c>
      <c r="M39" s="68"/>
      <c r="N39" s="64" t="s">
        <v>724</v>
      </c>
      <c r="O39" s="64" t="s">
        <v>110</v>
      </c>
      <c r="P39" s="65" t="s">
        <v>571</v>
      </c>
      <c r="Q39" s="75"/>
    </row>
    <row r="40">
      <c r="A40" s="64">
        <v>2020.0</v>
      </c>
      <c r="B40" s="64" t="s">
        <v>210</v>
      </c>
      <c r="C40" s="13" t="str">
        <f>IFERROR(VLOOKUP(B40,'Regiões'!A:B,2,0),"")</f>
        <v>Vale dos Sinos</v>
      </c>
      <c r="D40" s="29" t="s">
        <v>733</v>
      </c>
      <c r="E40" s="65" t="s">
        <v>566</v>
      </c>
      <c r="F40" s="66"/>
      <c r="G40" s="64" t="s">
        <v>734</v>
      </c>
      <c r="H40" s="76" t="s">
        <v>578</v>
      </c>
      <c r="I40" s="64" t="s">
        <v>488</v>
      </c>
      <c r="J40" s="64" t="s">
        <v>7</v>
      </c>
      <c r="K40" s="64" t="s">
        <v>84</v>
      </c>
      <c r="L40" s="68">
        <v>50000.0</v>
      </c>
      <c r="M40" s="68"/>
      <c r="N40" s="64" t="s">
        <v>724</v>
      </c>
      <c r="O40" s="64" t="s">
        <v>110</v>
      </c>
      <c r="P40" s="65" t="s">
        <v>571</v>
      </c>
      <c r="Q40" s="75"/>
    </row>
    <row r="41">
      <c r="A41" s="64">
        <v>2020.0</v>
      </c>
      <c r="B41" s="64" t="s">
        <v>496</v>
      </c>
      <c r="C41" s="13" t="str">
        <f>IFERROR(VLOOKUP(B41,'Regiões'!A:B,2,0),"")</f>
        <v>Vale dos Sinos</v>
      </c>
      <c r="D41" s="29" t="s">
        <v>738</v>
      </c>
      <c r="E41" s="65" t="s">
        <v>566</v>
      </c>
      <c r="F41" s="66"/>
      <c r="G41" s="64" t="s">
        <v>739</v>
      </c>
      <c r="H41" s="76" t="s">
        <v>578</v>
      </c>
      <c r="I41" s="64" t="s">
        <v>488</v>
      </c>
      <c r="J41" s="64" t="s">
        <v>7</v>
      </c>
      <c r="K41" s="64" t="s">
        <v>84</v>
      </c>
      <c r="L41" s="68">
        <v>50000.0</v>
      </c>
      <c r="M41" s="68"/>
      <c r="N41" s="64" t="s">
        <v>724</v>
      </c>
      <c r="O41" s="64" t="s">
        <v>110</v>
      </c>
      <c r="P41" s="65" t="s">
        <v>571</v>
      </c>
      <c r="Q41" s="70" t="s">
        <v>743</v>
      </c>
    </row>
    <row r="42">
      <c r="A42" s="64">
        <v>2020.0</v>
      </c>
      <c r="B42" s="64" t="s">
        <v>744</v>
      </c>
      <c r="C42" s="13" t="str">
        <f>IFERROR(VLOOKUP(B42,'Regiões'!A:B,2,0),"")</f>
        <v>Turismo da Serra</v>
      </c>
      <c r="D42" s="29" t="s">
        <v>749</v>
      </c>
      <c r="E42" s="65" t="s">
        <v>485</v>
      </c>
      <c r="F42" s="66"/>
      <c r="G42" s="64" t="s">
        <v>751</v>
      </c>
      <c r="H42" s="76" t="s">
        <v>578</v>
      </c>
      <c r="I42" s="64" t="s">
        <v>488</v>
      </c>
      <c r="J42" s="64" t="s">
        <v>7</v>
      </c>
      <c r="K42" s="64" t="s">
        <v>84</v>
      </c>
      <c r="L42" s="68">
        <v>50000.0</v>
      </c>
      <c r="M42" s="68"/>
      <c r="N42" s="64" t="s">
        <v>389</v>
      </c>
      <c r="O42" s="64" t="s">
        <v>110</v>
      </c>
      <c r="P42" s="77" t="s">
        <v>600</v>
      </c>
      <c r="Q42" s="75"/>
    </row>
    <row r="43">
      <c r="A43" s="64">
        <v>2020.0</v>
      </c>
      <c r="B43" s="64" t="s">
        <v>757</v>
      </c>
      <c r="C43" s="13" t="str">
        <f>IFERROR(VLOOKUP(B43,'Regiões'!A:B,2,0),"")</f>
        <v>Vale dos Sinos</v>
      </c>
      <c r="D43" s="29" t="s">
        <v>764</v>
      </c>
      <c r="E43" s="65" t="s">
        <v>566</v>
      </c>
      <c r="F43" s="66"/>
      <c r="G43" s="64" t="s">
        <v>567</v>
      </c>
      <c r="H43" s="76" t="s">
        <v>578</v>
      </c>
      <c r="I43" s="64" t="s">
        <v>488</v>
      </c>
      <c r="J43" s="64" t="s">
        <v>7</v>
      </c>
      <c r="K43" s="64" t="s">
        <v>84</v>
      </c>
      <c r="L43" s="68">
        <v>50000.0</v>
      </c>
      <c r="M43" s="68"/>
      <c r="N43" s="64" t="s">
        <v>724</v>
      </c>
      <c r="O43" s="64" t="s">
        <v>110</v>
      </c>
      <c r="P43" s="65" t="s">
        <v>571</v>
      </c>
      <c r="Q43" s="75"/>
    </row>
    <row r="44">
      <c r="A44" s="64">
        <v>2020.0</v>
      </c>
      <c r="B44" s="64" t="s">
        <v>377</v>
      </c>
      <c r="C44" s="13" t="str">
        <f>IFERROR(VLOOKUP(B44,'Regiões'!A:B,2,0),"")</f>
        <v>Missões</v>
      </c>
      <c r="D44" s="29" t="s">
        <v>772</v>
      </c>
      <c r="E44" s="65" t="s">
        <v>485</v>
      </c>
      <c r="F44" s="66"/>
      <c r="G44" s="64" t="s">
        <v>773</v>
      </c>
      <c r="H44" s="76" t="s">
        <v>578</v>
      </c>
      <c r="I44" s="64" t="s">
        <v>488</v>
      </c>
      <c r="J44" s="64" t="s">
        <v>7</v>
      </c>
      <c r="K44" s="64" t="s">
        <v>84</v>
      </c>
      <c r="L44" s="68">
        <v>50000.0</v>
      </c>
      <c r="M44" s="68"/>
      <c r="N44" s="64" t="s">
        <v>389</v>
      </c>
      <c r="O44" s="64" t="s">
        <v>110</v>
      </c>
      <c r="P44" s="77" t="s">
        <v>600</v>
      </c>
      <c r="Q44" s="75"/>
    </row>
    <row r="45">
      <c r="A45" s="64">
        <v>2020.0</v>
      </c>
      <c r="B45" s="64" t="s">
        <v>245</v>
      </c>
      <c r="C45" s="13" t="str">
        <f>IFERROR(VLOOKUP(B45,'Regiões'!A:B,2,0),"")</f>
        <v>Turismo da Serra</v>
      </c>
      <c r="D45" s="29" t="s">
        <v>780</v>
      </c>
      <c r="E45" s="65" t="s">
        <v>566</v>
      </c>
      <c r="F45" s="66"/>
      <c r="G45" s="64" t="s">
        <v>781</v>
      </c>
      <c r="H45" s="76" t="s">
        <v>578</v>
      </c>
      <c r="I45" s="64" t="s">
        <v>488</v>
      </c>
      <c r="J45" s="64" t="s">
        <v>7</v>
      </c>
      <c r="K45" s="64" t="s">
        <v>84</v>
      </c>
      <c r="L45" s="68">
        <v>50000.0</v>
      </c>
      <c r="M45" s="68"/>
      <c r="N45" s="64" t="s">
        <v>724</v>
      </c>
      <c r="O45" s="64" t="s">
        <v>110</v>
      </c>
      <c r="P45" s="65" t="s">
        <v>571</v>
      </c>
      <c r="Q45" s="75"/>
    </row>
    <row r="46">
      <c r="A46" s="64">
        <v>2020.0</v>
      </c>
      <c r="B46" s="64" t="s">
        <v>252</v>
      </c>
      <c r="C46" s="13" t="str">
        <f>IFERROR(VLOOKUP(B46,'Regiões'!A:B,2,0),"")</f>
        <v>Vale dos Sinos</v>
      </c>
      <c r="D46" s="29" t="s">
        <v>791</v>
      </c>
      <c r="E46" s="65" t="s">
        <v>566</v>
      </c>
      <c r="F46" s="66"/>
      <c r="G46" s="64" t="s">
        <v>734</v>
      </c>
      <c r="H46" s="76" t="s">
        <v>578</v>
      </c>
      <c r="I46" s="64" t="s">
        <v>488</v>
      </c>
      <c r="J46" s="64" t="s">
        <v>7</v>
      </c>
      <c r="K46" s="64" t="s">
        <v>84</v>
      </c>
      <c r="L46" s="68">
        <v>50000.0</v>
      </c>
      <c r="M46" s="68"/>
      <c r="N46" s="64" t="s">
        <v>724</v>
      </c>
      <c r="O46" s="64" t="s">
        <v>110</v>
      </c>
      <c r="P46" s="65" t="s">
        <v>571</v>
      </c>
      <c r="Q46" s="75"/>
    </row>
    <row r="47">
      <c r="A47" s="64">
        <v>2020.0</v>
      </c>
      <c r="B47" s="64" t="s">
        <v>797</v>
      </c>
      <c r="C47" s="13" t="str">
        <f>IFERROR(VLOOKUP(B47,'Regiões'!A:B,2,0),"")</f>
        <v>Turismo da Serra</v>
      </c>
      <c r="D47" s="29" t="s">
        <v>801</v>
      </c>
      <c r="E47" s="65" t="s">
        <v>566</v>
      </c>
      <c r="F47" s="66"/>
      <c r="G47" s="64" t="s">
        <v>739</v>
      </c>
      <c r="H47" s="76" t="s">
        <v>578</v>
      </c>
      <c r="I47" s="64" t="s">
        <v>488</v>
      </c>
      <c r="J47" s="64" t="s">
        <v>7</v>
      </c>
      <c r="K47" s="64" t="s">
        <v>84</v>
      </c>
      <c r="L47" s="68">
        <v>50000.0</v>
      </c>
      <c r="M47" s="68"/>
      <c r="N47" s="64" t="s">
        <v>724</v>
      </c>
      <c r="O47" s="64" t="s">
        <v>110</v>
      </c>
      <c r="P47" s="65" t="s">
        <v>571</v>
      </c>
      <c r="Q47" s="70" t="s">
        <v>743</v>
      </c>
    </row>
    <row r="48">
      <c r="A48" s="64">
        <v>2020.0</v>
      </c>
      <c r="B48" s="64" t="s">
        <v>298</v>
      </c>
      <c r="C48" s="13" t="str">
        <f>IFERROR(VLOOKUP(B48,'Regiões'!A:B,2,0),"")</f>
        <v>Vale do Paranhana</v>
      </c>
      <c r="D48" s="29" t="s">
        <v>813</v>
      </c>
      <c r="E48" s="65" t="s">
        <v>485</v>
      </c>
      <c r="F48" s="66"/>
      <c r="G48" s="64" t="s">
        <v>815</v>
      </c>
      <c r="H48" s="78" t="s">
        <v>817</v>
      </c>
      <c r="I48" s="64" t="s">
        <v>488</v>
      </c>
      <c r="J48" s="64" t="s">
        <v>7</v>
      </c>
      <c r="K48" s="64" t="s">
        <v>84</v>
      </c>
      <c r="L48" s="68">
        <v>50000.0</v>
      </c>
      <c r="M48" s="68"/>
      <c r="N48" s="64" t="s">
        <v>389</v>
      </c>
      <c r="O48" s="64" t="s">
        <v>110</v>
      </c>
      <c r="P48" s="77" t="s">
        <v>600</v>
      </c>
      <c r="Q48" s="75"/>
    </row>
    <row r="49">
      <c r="A49" s="29">
        <v>2021.0</v>
      </c>
      <c r="B49" s="41" t="s">
        <v>822</v>
      </c>
      <c r="C49" s="13" t="str">
        <f>IFERROR(VLOOKUP(B49,'Regiões'!A:B,2,0),"")</f>
        <v>Alto Jacuí</v>
      </c>
      <c r="D49" s="29" t="s">
        <v>828</v>
      </c>
      <c r="E49" s="32" t="s">
        <v>220</v>
      </c>
      <c r="F49" s="42"/>
      <c r="G49" s="43" t="s">
        <v>74</v>
      </c>
      <c r="H49" s="35">
        <v>4.1160002E7</v>
      </c>
      <c r="I49" s="29" t="s">
        <v>193</v>
      </c>
      <c r="J49" s="29" t="s">
        <v>7</v>
      </c>
      <c r="K49" s="29" t="s">
        <v>84</v>
      </c>
      <c r="L49" s="37">
        <v>50000.0</v>
      </c>
      <c r="M49" s="37"/>
      <c r="N49" s="29" t="s">
        <v>229</v>
      </c>
      <c r="O49" s="29" t="s">
        <v>833</v>
      </c>
      <c r="P49" s="44" t="s">
        <v>835</v>
      </c>
      <c r="Q49" s="40"/>
    </row>
    <row r="50">
      <c r="A50" s="29">
        <v>2022.0</v>
      </c>
      <c r="B50" s="29" t="s">
        <v>822</v>
      </c>
      <c r="C50" s="13" t="str">
        <f>IFERROR(VLOOKUP(B50,'Regiões'!A:B,2,0),"")</f>
        <v>Alto Jacuí</v>
      </c>
      <c r="D50" s="29" t="s">
        <v>828</v>
      </c>
      <c r="E50" s="32" t="s">
        <v>14</v>
      </c>
      <c r="F50" s="33"/>
      <c r="G50" s="29" t="s">
        <v>74</v>
      </c>
      <c r="H50" s="35">
        <v>4.1160002E7</v>
      </c>
      <c r="I50" s="29" t="s">
        <v>193</v>
      </c>
      <c r="J50" s="29" t="s">
        <v>7</v>
      </c>
      <c r="K50" s="29" t="s">
        <v>84</v>
      </c>
      <c r="L50" s="38">
        <v>50000.0</v>
      </c>
      <c r="M50" s="38"/>
      <c r="N50" s="29" t="s">
        <v>200</v>
      </c>
      <c r="O50" s="29" t="s">
        <v>110</v>
      </c>
      <c r="P50" s="39"/>
      <c r="Q50" s="40"/>
    </row>
    <row r="51">
      <c r="A51" s="13">
        <v>2023.0</v>
      </c>
      <c r="B51" s="55" t="s">
        <v>428</v>
      </c>
      <c r="C51" s="13" t="str">
        <f>IFERROR(VLOOKUP(B51,'Regiões'!A:B,2,0),"")</f>
        <v>Fronteira Noroeste</v>
      </c>
      <c r="D51" s="13" t="s">
        <v>848</v>
      </c>
      <c r="E51" s="56" t="s">
        <v>360</v>
      </c>
      <c r="F51" s="57"/>
      <c r="G51" s="58" t="s">
        <v>850</v>
      </c>
      <c r="H51" s="59"/>
      <c r="I51" s="13" t="s">
        <v>373</v>
      </c>
      <c r="J51" s="13" t="s">
        <v>7</v>
      </c>
      <c r="K51" s="13" t="s">
        <v>84</v>
      </c>
      <c r="L51" s="60">
        <v>50000.0</v>
      </c>
      <c r="M51" s="60"/>
      <c r="N51" s="13" t="s">
        <v>389</v>
      </c>
      <c r="O51" s="13" t="s">
        <v>110</v>
      </c>
      <c r="P51" s="61" t="s">
        <v>853</v>
      </c>
      <c r="Q51" s="62"/>
    </row>
    <row r="52">
      <c r="A52" s="13">
        <v>2023.0</v>
      </c>
      <c r="B52" s="55" t="s">
        <v>114</v>
      </c>
      <c r="C52" s="13" t="str">
        <f>IFERROR(VLOOKUP(B52,'Regiões'!A:B,2,0),"")</f>
        <v>Vale do Rio Caí</v>
      </c>
      <c r="D52" s="13" t="s">
        <v>858</v>
      </c>
      <c r="E52" s="56" t="s">
        <v>360</v>
      </c>
      <c r="F52" s="57"/>
      <c r="G52" s="58" t="s">
        <v>859</v>
      </c>
      <c r="H52" s="59"/>
      <c r="I52" s="13" t="s">
        <v>373</v>
      </c>
      <c r="J52" s="13" t="s">
        <v>7</v>
      </c>
      <c r="K52" s="13" t="s">
        <v>84</v>
      </c>
      <c r="L52" s="60">
        <v>50000.0</v>
      </c>
      <c r="M52" s="60"/>
      <c r="N52" s="13" t="s">
        <v>389</v>
      </c>
      <c r="O52" s="13" t="s">
        <v>110</v>
      </c>
      <c r="P52" s="61" t="s">
        <v>860</v>
      </c>
      <c r="Q52" s="62"/>
    </row>
    <row r="53">
      <c r="A53" s="13">
        <v>2023.0</v>
      </c>
      <c r="B53" s="55" t="s">
        <v>863</v>
      </c>
      <c r="C53" s="13" t="str">
        <f>IFERROR(VLOOKUP(B53,'Regiões'!A:B,2,0),"")</f>
        <v>Celeiro do Rio Grande</v>
      </c>
      <c r="D53" s="13" t="s">
        <v>867</v>
      </c>
      <c r="E53" s="56" t="s">
        <v>360</v>
      </c>
      <c r="F53" s="57"/>
      <c r="G53" s="58" t="s">
        <v>868</v>
      </c>
      <c r="H53" s="59"/>
      <c r="I53" s="13" t="s">
        <v>373</v>
      </c>
      <c r="J53" s="13" t="str">
        <f>LEFT(I53,FIND(" (",I53) - 1)</f>
        <v>Saúde</v>
      </c>
      <c r="K53" s="13" t="s">
        <v>84</v>
      </c>
      <c r="L53" s="60">
        <v>50000.0</v>
      </c>
      <c r="M53" s="60"/>
      <c r="N53" s="13" t="s">
        <v>389</v>
      </c>
      <c r="O53" s="13" t="s">
        <v>110</v>
      </c>
      <c r="P53" s="61" t="s">
        <v>877</v>
      </c>
      <c r="Q53" s="62"/>
    </row>
    <row r="54">
      <c r="A54" s="11">
        <v>2024.0</v>
      </c>
      <c r="B54" s="12" t="s">
        <v>404</v>
      </c>
      <c r="C54" s="13" t="str">
        <f>IFERROR(VLOOKUP(B54,'Regiões'!A:B,2,0),"")</f>
        <v>Vale do Taquari</v>
      </c>
      <c r="D54" s="13" t="s">
        <v>896</v>
      </c>
      <c r="E54" s="15" t="str">
        <f t="shared" ref="E54:E55" si="1">G54&amp;" de "&amp;B54</f>
        <v>Prefeitura Municipal de Forquetinha</v>
      </c>
      <c r="F54" s="17"/>
      <c r="G54" s="18" t="s">
        <v>74</v>
      </c>
      <c r="H54" s="20">
        <v>4.1160002E7</v>
      </c>
      <c r="I54" s="11" t="s">
        <v>903</v>
      </c>
      <c r="J54" s="11" t="s">
        <v>7</v>
      </c>
      <c r="K54" s="21" t="s">
        <v>84</v>
      </c>
      <c r="L54" s="22">
        <v>50000.0</v>
      </c>
      <c r="M54" s="22"/>
      <c r="N54" s="13" t="s">
        <v>89</v>
      </c>
      <c r="O54" s="21"/>
      <c r="P54" s="23"/>
      <c r="Q54" s="24"/>
    </row>
    <row r="55">
      <c r="A55" s="11">
        <v>2024.0</v>
      </c>
      <c r="B55" s="12" t="s">
        <v>458</v>
      </c>
      <c r="C55" s="13" t="str">
        <f>IFERROR(VLOOKUP(B55,'Regiões'!A:B,2,0),"")</f>
        <v>Vale do Taquari</v>
      </c>
      <c r="D55" s="13" t="s">
        <v>910</v>
      </c>
      <c r="E55" s="15" t="str">
        <f t="shared" si="1"/>
        <v>Prefeitura Municipal de Imigrante</v>
      </c>
      <c r="F55" s="17"/>
      <c r="G55" s="18" t="s">
        <v>74</v>
      </c>
      <c r="H55" s="20">
        <v>4.1160002E7</v>
      </c>
      <c r="I55" s="11" t="s">
        <v>903</v>
      </c>
      <c r="J55" s="11" t="s">
        <v>7</v>
      </c>
      <c r="K55" s="21" t="s">
        <v>84</v>
      </c>
      <c r="L55" s="22">
        <v>50000.0</v>
      </c>
      <c r="M55" s="22"/>
      <c r="N55" s="13" t="s">
        <v>89</v>
      </c>
      <c r="O55" s="21"/>
      <c r="P55" s="23"/>
      <c r="Q55" s="24"/>
    </row>
    <row r="56">
      <c r="A56" s="64">
        <v>2019.0</v>
      </c>
      <c r="B56" s="64" t="s">
        <v>889</v>
      </c>
      <c r="C56" s="13" t="str">
        <f>IFERROR(VLOOKUP(B56,'Regiões'!A:B,2,0),"")</f>
        <v>Missões</v>
      </c>
      <c r="D56" s="29" t="s">
        <v>916</v>
      </c>
      <c r="E56" s="65" t="s">
        <v>556</v>
      </c>
      <c r="F56" s="66"/>
      <c r="G56" s="64" t="s">
        <v>918</v>
      </c>
      <c r="H56" s="71">
        <v>7.1220005E7</v>
      </c>
      <c r="I56" s="64" t="s">
        <v>558</v>
      </c>
      <c r="J56" s="29" t="s">
        <v>280</v>
      </c>
      <c r="K56" s="64" t="s">
        <v>152</v>
      </c>
      <c r="L56" s="68">
        <v>54000.0</v>
      </c>
      <c r="M56" s="68"/>
      <c r="N56" s="64" t="s">
        <v>389</v>
      </c>
      <c r="O56" s="64" t="s">
        <v>110</v>
      </c>
      <c r="P56" s="65" t="s">
        <v>561</v>
      </c>
      <c r="Q56" s="75"/>
    </row>
    <row r="57">
      <c r="A57" s="64">
        <v>2019.0</v>
      </c>
      <c r="B57" s="64" t="s">
        <v>470</v>
      </c>
      <c r="C57" s="13" t="str">
        <f>IFERROR(VLOOKUP(B57,'Regiões'!A:B,2,0),"")</f>
        <v>Nordeste Riograndense</v>
      </c>
      <c r="D57" s="29" t="s">
        <v>925</v>
      </c>
      <c r="E57" s="65" t="s">
        <v>556</v>
      </c>
      <c r="F57" s="66"/>
      <c r="G57" s="64" t="s">
        <v>927</v>
      </c>
      <c r="H57" s="71">
        <v>7.1220005E7</v>
      </c>
      <c r="I57" s="64" t="s">
        <v>558</v>
      </c>
      <c r="J57" s="29" t="s">
        <v>280</v>
      </c>
      <c r="K57" s="64" t="s">
        <v>152</v>
      </c>
      <c r="L57" s="68">
        <v>54000.0</v>
      </c>
      <c r="M57" s="68"/>
      <c r="N57" s="64" t="s">
        <v>560</v>
      </c>
      <c r="O57" s="64" t="s">
        <v>110</v>
      </c>
      <c r="P57" s="65" t="s">
        <v>561</v>
      </c>
      <c r="Q57" s="70" t="s">
        <v>563</v>
      </c>
    </row>
    <row r="58">
      <c r="A58" s="64">
        <v>2019.0</v>
      </c>
      <c r="B58" s="64" t="s">
        <v>909</v>
      </c>
      <c r="C58" s="13" t="str">
        <f>IFERROR(VLOOKUP(B58,'Regiões'!A:B,2,0),"")</f>
        <v>Zona Sul</v>
      </c>
      <c r="D58" s="29" t="s">
        <v>938</v>
      </c>
      <c r="E58" s="65" t="s">
        <v>556</v>
      </c>
      <c r="F58" s="66"/>
      <c r="G58" s="64" t="s">
        <v>940</v>
      </c>
      <c r="H58" s="71">
        <v>7.1220005E7</v>
      </c>
      <c r="I58" s="64" t="s">
        <v>558</v>
      </c>
      <c r="J58" s="29" t="s">
        <v>280</v>
      </c>
      <c r="K58" s="64" t="s">
        <v>152</v>
      </c>
      <c r="L58" s="68">
        <v>55000.0</v>
      </c>
      <c r="M58" s="68"/>
      <c r="N58" s="64" t="s">
        <v>560</v>
      </c>
      <c r="O58" s="64" t="s">
        <v>110</v>
      </c>
      <c r="P58" s="65" t="s">
        <v>561</v>
      </c>
      <c r="Q58" s="75"/>
    </row>
    <row r="59">
      <c r="A59" s="13">
        <v>2023.0</v>
      </c>
      <c r="B59" s="79" t="s">
        <v>655</v>
      </c>
      <c r="C59" s="13" t="str">
        <f>IFERROR(VLOOKUP(B59,'Regiões'!A:B,2,0),"")</f>
        <v>Centro do Estado</v>
      </c>
      <c r="D59" s="13" t="s">
        <v>949</v>
      </c>
      <c r="E59" s="80" t="s">
        <v>220</v>
      </c>
      <c r="F59" s="81"/>
      <c r="G59" s="79" t="s">
        <v>955</v>
      </c>
      <c r="H59" s="82"/>
      <c r="I59" s="13" t="s">
        <v>958</v>
      </c>
      <c r="J59" s="13" t="str">
        <f>LEFT(I59,FIND(" (",I59) - 1)</f>
        <v>Segurança Pública</v>
      </c>
      <c r="K59" s="13" t="s">
        <v>152</v>
      </c>
      <c r="L59" s="83">
        <v>56000.0</v>
      </c>
      <c r="M59" s="83"/>
      <c r="N59" s="13" t="s">
        <v>89</v>
      </c>
      <c r="O59" s="13" t="s">
        <v>967</v>
      </c>
      <c r="P59" s="80" t="s">
        <v>969</v>
      </c>
      <c r="Q59" s="79"/>
    </row>
    <row r="60">
      <c r="A60" s="13">
        <v>2023.0</v>
      </c>
      <c r="B60" s="55" t="s">
        <v>655</v>
      </c>
      <c r="C60" s="13" t="str">
        <f>IFERROR(VLOOKUP(B60,'Regiões'!A:B,2,0),"")</f>
        <v>Centro do Estado</v>
      </c>
      <c r="D60" s="13" t="s">
        <v>949</v>
      </c>
      <c r="E60" s="56" t="s">
        <v>360</v>
      </c>
      <c r="F60" s="57"/>
      <c r="G60" s="58" t="s">
        <v>977</v>
      </c>
      <c r="H60" s="59"/>
      <c r="I60" s="13" t="s">
        <v>373</v>
      </c>
      <c r="J60" s="13" t="s">
        <v>7</v>
      </c>
      <c r="K60" s="13" t="s">
        <v>84</v>
      </c>
      <c r="L60" s="60">
        <v>58000.0</v>
      </c>
      <c r="M60" s="60"/>
      <c r="N60" s="13" t="s">
        <v>389</v>
      </c>
      <c r="O60" s="13" t="s">
        <v>967</v>
      </c>
      <c r="P60" s="61"/>
      <c r="Q60" s="62"/>
    </row>
    <row r="61">
      <c r="A61" s="64">
        <v>2019.0</v>
      </c>
      <c r="B61" s="64" t="s">
        <v>538</v>
      </c>
      <c r="C61" s="13" t="str">
        <f>IFERROR(VLOOKUP(B61,'Regiões'!A:B,2,0),"")</f>
        <v>Alto Jacuí</v>
      </c>
      <c r="D61" s="29" t="s">
        <v>987</v>
      </c>
      <c r="E61" s="65" t="s">
        <v>556</v>
      </c>
      <c r="F61" s="66"/>
      <c r="G61" s="64" t="s">
        <v>989</v>
      </c>
      <c r="H61" s="71">
        <v>7.1220005E7</v>
      </c>
      <c r="I61" s="64" t="s">
        <v>558</v>
      </c>
      <c r="J61" s="29" t="s">
        <v>280</v>
      </c>
      <c r="K61" s="64" t="s">
        <v>152</v>
      </c>
      <c r="L61" s="68">
        <v>59000.0</v>
      </c>
      <c r="M61" s="68"/>
      <c r="N61" s="64" t="s">
        <v>560</v>
      </c>
      <c r="O61" s="64" t="s">
        <v>110</v>
      </c>
      <c r="P61" s="65" t="s">
        <v>561</v>
      </c>
      <c r="Q61" s="70" t="s">
        <v>563</v>
      </c>
    </row>
    <row r="62">
      <c r="A62" s="64">
        <v>2020.0</v>
      </c>
      <c r="B62" s="64" t="s">
        <v>310</v>
      </c>
      <c r="C62" s="13" t="str">
        <f>IFERROR(VLOOKUP(B62,'Regiões'!A:B,2,0),"")</f>
        <v>Vale dos Sinos</v>
      </c>
      <c r="D62" s="29" t="s">
        <v>997</v>
      </c>
      <c r="E62" s="65" t="s">
        <v>485</v>
      </c>
      <c r="F62" s="66"/>
      <c r="G62" s="64" t="s">
        <v>999</v>
      </c>
      <c r="H62" s="76" t="s">
        <v>578</v>
      </c>
      <c r="I62" s="64" t="s">
        <v>488</v>
      </c>
      <c r="J62" s="64" t="s">
        <v>7</v>
      </c>
      <c r="K62" s="64" t="s">
        <v>84</v>
      </c>
      <c r="L62" s="68">
        <v>60000.0</v>
      </c>
      <c r="M62" s="68"/>
      <c r="N62" s="64" t="s">
        <v>389</v>
      </c>
      <c r="O62" s="64" t="s">
        <v>110</v>
      </c>
      <c r="P62" s="65" t="s">
        <v>589</v>
      </c>
      <c r="Q62" s="75"/>
    </row>
    <row r="63">
      <c r="A63" s="13">
        <v>2023.0</v>
      </c>
      <c r="B63" s="79" t="s">
        <v>975</v>
      </c>
      <c r="C63" s="13" t="str">
        <f>IFERROR(VLOOKUP(B63,'Regiões'!A:B,2,0),"")</f>
        <v>Vale do Rio Caí</v>
      </c>
      <c r="D63" s="13" t="s">
        <v>1007</v>
      </c>
      <c r="E63" s="80" t="s">
        <v>220</v>
      </c>
      <c r="F63" s="81"/>
      <c r="G63" s="79" t="s">
        <v>1008</v>
      </c>
      <c r="H63" s="82"/>
      <c r="I63" s="13" t="s">
        <v>958</v>
      </c>
      <c r="J63" s="13" t="str">
        <f>LEFT(I63,FIND(" (",I63) - 1)</f>
        <v>Segurança Pública</v>
      </c>
      <c r="K63" s="13" t="s">
        <v>152</v>
      </c>
      <c r="L63" s="83">
        <v>60000.0</v>
      </c>
      <c r="M63" s="83"/>
      <c r="N63" s="13" t="s">
        <v>89</v>
      </c>
      <c r="O63" s="13" t="s">
        <v>265</v>
      </c>
      <c r="P63" s="80" t="s">
        <v>1009</v>
      </c>
      <c r="Q63" s="79"/>
    </row>
    <row r="64">
      <c r="A64" s="11">
        <v>2024.0</v>
      </c>
      <c r="B64" s="18" t="s">
        <v>82</v>
      </c>
      <c r="C64" s="13" t="str">
        <f>IFERROR(VLOOKUP(B64,'Regiões'!A:B,2,0),"")</f>
        <v>Vale do Rio Caí</v>
      </c>
      <c r="D64" s="13" t="s">
        <v>1010</v>
      </c>
      <c r="E64" s="15" t="str">
        <f>G64&amp;" de "&amp;B64</f>
        <v>Prefeitura Municipal de Bom Princípio</v>
      </c>
      <c r="F64" s="17"/>
      <c r="G64" s="18" t="s">
        <v>74</v>
      </c>
      <c r="H64" s="20">
        <v>4.1160002E7</v>
      </c>
      <c r="I64" s="11" t="s">
        <v>903</v>
      </c>
      <c r="J64" s="11" t="s">
        <v>7</v>
      </c>
      <c r="K64" s="21" t="s">
        <v>84</v>
      </c>
      <c r="L64" s="22">
        <v>60000.0</v>
      </c>
      <c r="M64" s="22"/>
      <c r="N64" s="13" t="s">
        <v>89</v>
      </c>
      <c r="O64" s="21"/>
      <c r="P64" s="23"/>
      <c r="Q64" s="24"/>
    </row>
    <row r="65">
      <c r="A65" s="64">
        <v>2019.0</v>
      </c>
      <c r="B65" s="64" t="s">
        <v>446</v>
      </c>
      <c r="C65" s="13" t="str">
        <f>IFERROR(VLOOKUP(B65,'Regiões'!A:B,2,0),"")</f>
        <v>Celeiro do Rio Grande</v>
      </c>
      <c r="D65" s="29" t="s">
        <v>1011</v>
      </c>
      <c r="E65" s="65" t="s">
        <v>556</v>
      </c>
      <c r="F65" s="66"/>
      <c r="G65" s="64" t="s">
        <v>1012</v>
      </c>
      <c r="H65" s="71">
        <v>7.1220005E7</v>
      </c>
      <c r="I65" s="64" t="s">
        <v>558</v>
      </c>
      <c r="J65" s="29" t="s">
        <v>280</v>
      </c>
      <c r="K65" s="64" t="s">
        <v>152</v>
      </c>
      <c r="L65" s="68">
        <v>63000.0</v>
      </c>
      <c r="M65" s="68"/>
      <c r="N65" s="64" t="s">
        <v>560</v>
      </c>
      <c r="O65" s="64" t="s">
        <v>110</v>
      </c>
      <c r="P65" s="65" t="s">
        <v>561</v>
      </c>
      <c r="Q65" s="70" t="s">
        <v>563</v>
      </c>
    </row>
    <row r="66">
      <c r="A66" s="64">
        <v>2019.0</v>
      </c>
      <c r="B66" s="64" t="s">
        <v>632</v>
      </c>
      <c r="C66" s="13" t="str">
        <f>IFERROR(VLOOKUP(B66,'Regiões'!A:B,2,0),"")</f>
        <v>Alto Uruguai</v>
      </c>
      <c r="D66" s="29" t="s">
        <v>1013</v>
      </c>
      <c r="E66" s="65" t="s">
        <v>556</v>
      </c>
      <c r="F66" s="66"/>
      <c r="G66" s="64" t="s">
        <v>1014</v>
      </c>
      <c r="H66" s="71">
        <v>7.1220005E7</v>
      </c>
      <c r="I66" s="64" t="s">
        <v>558</v>
      </c>
      <c r="J66" s="29" t="s">
        <v>280</v>
      </c>
      <c r="K66" s="64" t="s">
        <v>152</v>
      </c>
      <c r="L66" s="68">
        <v>63000.0</v>
      </c>
      <c r="M66" s="68"/>
      <c r="N66" s="64" t="s">
        <v>560</v>
      </c>
      <c r="O66" s="64" t="s">
        <v>110</v>
      </c>
      <c r="P66" s="65" t="s">
        <v>561</v>
      </c>
      <c r="Q66" s="70" t="s">
        <v>563</v>
      </c>
    </row>
    <row r="67">
      <c r="A67" s="64">
        <v>2019.0</v>
      </c>
      <c r="B67" s="64" t="s">
        <v>619</v>
      </c>
      <c r="C67" s="13" t="str">
        <f>IFERROR(VLOOKUP(B67,'Regiões'!A:B,2,0),"")</f>
        <v>Sudoeste do Estado</v>
      </c>
      <c r="D67" s="29" t="s">
        <v>1015</v>
      </c>
      <c r="E67" s="65" t="s">
        <v>556</v>
      </c>
      <c r="F67" s="66"/>
      <c r="G67" s="64" t="s">
        <v>1016</v>
      </c>
      <c r="H67" s="71">
        <v>7.1220005E7</v>
      </c>
      <c r="I67" s="64" t="s">
        <v>558</v>
      </c>
      <c r="J67" s="29" t="s">
        <v>280</v>
      </c>
      <c r="K67" s="64" t="s">
        <v>152</v>
      </c>
      <c r="L67" s="68">
        <v>64000.0</v>
      </c>
      <c r="M67" s="68"/>
      <c r="N67" s="64" t="s">
        <v>560</v>
      </c>
      <c r="O67" s="64" t="s">
        <v>110</v>
      </c>
      <c r="P67" s="65" t="s">
        <v>561</v>
      </c>
      <c r="Q67" s="70" t="s">
        <v>563</v>
      </c>
    </row>
    <row r="68">
      <c r="A68" s="64">
        <v>2019.0</v>
      </c>
      <c r="B68" s="64" t="s">
        <v>810</v>
      </c>
      <c r="C68" s="13" t="str">
        <f>IFERROR(VLOOKUP(B68,'Regiões'!A:B,2,0),"")</f>
        <v>Zona da Produção</v>
      </c>
      <c r="D68" s="29" t="s">
        <v>1017</v>
      </c>
      <c r="E68" s="65" t="s">
        <v>556</v>
      </c>
      <c r="F68" s="66"/>
      <c r="G68" s="64" t="s">
        <v>1018</v>
      </c>
      <c r="H68" s="71">
        <v>7.1220005E7</v>
      </c>
      <c r="I68" s="64" t="s">
        <v>558</v>
      </c>
      <c r="J68" s="29" t="s">
        <v>280</v>
      </c>
      <c r="K68" s="64" t="s">
        <v>152</v>
      </c>
      <c r="L68" s="68">
        <v>66000.0</v>
      </c>
      <c r="M68" s="68"/>
      <c r="N68" s="64" t="s">
        <v>560</v>
      </c>
      <c r="O68" s="64" t="s">
        <v>110</v>
      </c>
      <c r="P68" s="65" t="s">
        <v>561</v>
      </c>
      <c r="Q68" s="70" t="s">
        <v>563</v>
      </c>
    </row>
    <row r="69">
      <c r="A69" s="13">
        <v>2023.0</v>
      </c>
      <c r="B69" s="55" t="s">
        <v>921</v>
      </c>
      <c r="C69" s="13" t="str">
        <f>IFERROR(VLOOKUP(B69,'Regiões'!A:B,2,0),"")</f>
        <v>Centro do Estado</v>
      </c>
      <c r="D69" s="13" t="s">
        <v>1019</v>
      </c>
      <c r="E69" s="56" t="s">
        <v>360</v>
      </c>
      <c r="F69" s="57"/>
      <c r="G69" s="58" t="s">
        <v>1020</v>
      </c>
      <c r="H69" s="59"/>
      <c r="I69" s="13" t="s">
        <v>373</v>
      </c>
      <c r="J69" s="13" t="str">
        <f>LEFT(I69,FIND(" (",I69) - 1)</f>
        <v>Saúde</v>
      </c>
      <c r="K69" s="13" t="s">
        <v>84</v>
      </c>
      <c r="L69" s="60">
        <v>66576.11</v>
      </c>
      <c r="M69" s="60"/>
      <c r="N69" s="13" t="s">
        <v>389</v>
      </c>
      <c r="O69" s="13" t="s">
        <v>967</v>
      </c>
      <c r="P69" s="61" t="s">
        <v>1021</v>
      </c>
      <c r="Q69" s="62"/>
    </row>
    <row r="70">
      <c r="A70" s="64">
        <v>2020.0</v>
      </c>
      <c r="B70" s="64" t="s">
        <v>450</v>
      </c>
      <c r="C70" s="13" t="str">
        <f>IFERROR(VLOOKUP(B70,'Regiões'!A:B,2,0),"")</f>
        <v>Vale do Taquari</v>
      </c>
      <c r="D70" s="29" t="s">
        <v>1022</v>
      </c>
      <c r="E70" s="65" t="s">
        <v>14</v>
      </c>
      <c r="F70" s="66"/>
      <c r="G70" s="64" t="s">
        <v>74</v>
      </c>
      <c r="H70" s="71">
        <v>4.1160001E7</v>
      </c>
      <c r="I70" s="64" t="s">
        <v>193</v>
      </c>
      <c r="J70" s="64" t="s">
        <v>7</v>
      </c>
      <c r="K70" s="64" t="s">
        <v>84</v>
      </c>
      <c r="L70" s="68">
        <v>67500.0</v>
      </c>
      <c r="M70" s="68"/>
      <c r="N70" s="64" t="s">
        <v>490</v>
      </c>
      <c r="O70" s="64" t="s">
        <v>110</v>
      </c>
      <c r="P70" s="65" t="s">
        <v>1023</v>
      </c>
      <c r="Q70" s="75"/>
    </row>
    <row r="71">
      <c r="A71" s="64">
        <v>2020.0</v>
      </c>
      <c r="B71" s="64" t="s">
        <v>515</v>
      </c>
      <c r="C71" s="13" t="str">
        <f>IFERROR(VLOOKUP(B71,'Regiões'!A:B,2,0),"")</f>
        <v>Turismo da Serra</v>
      </c>
      <c r="D71" s="29" t="s">
        <v>1024</v>
      </c>
      <c r="E71" s="65" t="s">
        <v>14</v>
      </c>
      <c r="F71" s="66"/>
      <c r="G71" s="64" t="s">
        <v>74</v>
      </c>
      <c r="H71" s="71">
        <v>4.1160001E7</v>
      </c>
      <c r="I71" s="64" t="s">
        <v>193</v>
      </c>
      <c r="J71" s="64" t="s">
        <v>7</v>
      </c>
      <c r="K71" s="64" t="s">
        <v>84</v>
      </c>
      <c r="L71" s="68">
        <v>67500.0</v>
      </c>
      <c r="M71" s="68"/>
      <c r="N71" s="64" t="s">
        <v>490</v>
      </c>
      <c r="O71" s="64" t="s">
        <v>110</v>
      </c>
      <c r="P71" s="65" t="s">
        <v>1023</v>
      </c>
      <c r="Q71" s="75"/>
    </row>
    <row r="72">
      <c r="A72" s="64">
        <v>2020.0</v>
      </c>
      <c r="B72" s="64" t="s">
        <v>934</v>
      </c>
      <c r="C72" s="13" t="str">
        <f>IFERROR(VLOOKUP(B72,'Regiões'!A:B,2,0),"")</f>
        <v>Encosta Superior do Nordeste</v>
      </c>
      <c r="D72" s="29" t="s">
        <v>1025</v>
      </c>
      <c r="E72" s="65" t="s">
        <v>14</v>
      </c>
      <c r="F72" s="66"/>
      <c r="G72" s="64" t="s">
        <v>74</v>
      </c>
      <c r="H72" s="71">
        <v>4.1160001E7</v>
      </c>
      <c r="I72" s="64" t="s">
        <v>193</v>
      </c>
      <c r="J72" s="64" t="s">
        <v>7</v>
      </c>
      <c r="K72" s="64" t="s">
        <v>84</v>
      </c>
      <c r="L72" s="68">
        <v>67500.0</v>
      </c>
      <c r="M72" s="68"/>
      <c r="N72" s="64" t="s">
        <v>490</v>
      </c>
      <c r="O72" s="64" t="s">
        <v>110</v>
      </c>
      <c r="P72" s="65" t="s">
        <v>1026</v>
      </c>
      <c r="Q72" s="70" t="s">
        <v>1027</v>
      </c>
    </row>
    <row r="73">
      <c r="A73" s="64">
        <v>2020.0</v>
      </c>
      <c r="B73" s="64" t="s">
        <v>757</v>
      </c>
      <c r="C73" s="13" t="str">
        <f>IFERROR(VLOOKUP(B73,'Regiões'!A:B,2,0),"")</f>
        <v>Vale dos Sinos</v>
      </c>
      <c r="D73" s="29" t="s">
        <v>1028</v>
      </c>
      <c r="E73" s="65" t="s">
        <v>14</v>
      </c>
      <c r="F73" s="66"/>
      <c r="G73" s="64" t="s">
        <v>74</v>
      </c>
      <c r="H73" s="71">
        <v>4.1160001E7</v>
      </c>
      <c r="I73" s="64" t="s">
        <v>193</v>
      </c>
      <c r="J73" s="64" t="s">
        <v>7</v>
      </c>
      <c r="K73" s="64" t="s">
        <v>84</v>
      </c>
      <c r="L73" s="68">
        <v>67727.0</v>
      </c>
      <c r="M73" s="68"/>
      <c r="N73" s="64" t="s">
        <v>89</v>
      </c>
      <c r="O73" s="64" t="s">
        <v>110</v>
      </c>
      <c r="P73" s="65" t="s">
        <v>1030</v>
      </c>
      <c r="Q73" s="70" t="s">
        <v>1031</v>
      </c>
    </row>
    <row r="74">
      <c r="A74" s="11">
        <v>2024.0</v>
      </c>
      <c r="B74" s="12" t="s">
        <v>316</v>
      </c>
      <c r="C74" s="13" t="str">
        <f>IFERROR(VLOOKUP(B74,'Regiões'!A:B,2,0),"")</f>
        <v>Vale do Taquari</v>
      </c>
      <c r="D74" s="13" t="s">
        <v>1035</v>
      </c>
      <c r="E74" s="15" t="str">
        <f>G74&amp;" de "&amp;B74</f>
        <v>Prefeitura Municipal de Putinga</v>
      </c>
      <c r="F74" s="17"/>
      <c r="G74" s="18" t="s">
        <v>74</v>
      </c>
      <c r="H74" s="20">
        <v>4.1160001E7</v>
      </c>
      <c r="I74" s="11" t="s">
        <v>334</v>
      </c>
      <c r="J74" s="11" t="s">
        <v>7</v>
      </c>
      <c r="K74" s="21" t="s">
        <v>84</v>
      </c>
      <c r="L74" s="22">
        <v>68364.0</v>
      </c>
      <c r="M74" s="22"/>
      <c r="N74" s="13" t="s">
        <v>89</v>
      </c>
      <c r="O74" s="21"/>
      <c r="P74" s="23"/>
      <c r="Q74" s="24"/>
    </row>
    <row r="75">
      <c r="A75" s="64">
        <v>2020.0</v>
      </c>
      <c r="B75" s="64" t="s">
        <v>458</v>
      </c>
      <c r="C75" s="13" t="str">
        <f>IFERROR(VLOOKUP(B75,'Regiões'!A:B,2,0),"")</f>
        <v>Vale do Taquari</v>
      </c>
      <c r="D75" s="29" t="s">
        <v>1041</v>
      </c>
      <c r="E75" s="65" t="s">
        <v>14</v>
      </c>
      <c r="F75" s="66"/>
      <c r="G75" s="64" t="s">
        <v>74</v>
      </c>
      <c r="H75" s="71">
        <v>4.1160009E7</v>
      </c>
      <c r="I75" s="64" t="s">
        <v>488</v>
      </c>
      <c r="J75" s="64" t="s">
        <v>7</v>
      </c>
      <c r="K75" s="64" t="s">
        <v>84</v>
      </c>
      <c r="L75" s="68">
        <v>68418.0</v>
      </c>
      <c r="M75" s="68"/>
      <c r="N75" s="64" t="s">
        <v>490</v>
      </c>
      <c r="O75" s="64" t="s">
        <v>110</v>
      </c>
      <c r="P75" s="65" t="s">
        <v>1030</v>
      </c>
      <c r="Q75" s="70" t="s">
        <v>1045</v>
      </c>
    </row>
    <row r="76">
      <c r="A76" s="11">
        <v>2024.0</v>
      </c>
      <c r="B76" s="12" t="s">
        <v>127</v>
      </c>
      <c r="C76" s="13" t="str">
        <f>IFERROR(VLOOKUP(B76,'Regiões'!A:B,2,0),"")</f>
        <v>Metropolitana de Porto Alegre</v>
      </c>
      <c r="D76" s="13" t="s">
        <v>1046</v>
      </c>
      <c r="E76" s="15" t="str">
        <f>G76&amp;" de "&amp;B76</f>
        <v>Prefeitura Municipal de Porto Alegre</v>
      </c>
      <c r="F76" s="17"/>
      <c r="G76" s="18" t="s">
        <v>74</v>
      </c>
      <c r="H76" s="20">
        <v>4.1160004E7</v>
      </c>
      <c r="I76" s="11" t="s">
        <v>1048</v>
      </c>
      <c r="J76" s="11" t="s">
        <v>7</v>
      </c>
      <c r="K76" s="21" t="s">
        <v>152</v>
      </c>
      <c r="L76" s="22">
        <v>69646.0</v>
      </c>
      <c r="M76" s="22"/>
      <c r="N76" s="13" t="s">
        <v>89</v>
      </c>
      <c r="O76" s="21"/>
      <c r="P76" s="23"/>
      <c r="Q76" s="24"/>
    </row>
    <row r="77">
      <c r="A77" s="13">
        <v>2023.0</v>
      </c>
      <c r="B77" s="55" t="s">
        <v>945</v>
      </c>
      <c r="C77" s="13" t="str">
        <f>IFERROR(VLOOKUP(B77,'Regiões'!A:B,2,0),"")</f>
        <v>Nordeste Riograndense</v>
      </c>
      <c r="D77" s="13" t="s">
        <v>1049</v>
      </c>
      <c r="E77" s="56" t="s">
        <v>360</v>
      </c>
      <c r="F77" s="57"/>
      <c r="G77" s="58" t="s">
        <v>1050</v>
      </c>
      <c r="H77" s="59"/>
      <c r="I77" s="13" t="s">
        <v>373</v>
      </c>
      <c r="J77" s="13" t="str">
        <f>LEFT(I77,FIND(" (",I77) - 1)</f>
        <v>Saúde</v>
      </c>
      <c r="K77" s="13" t="s">
        <v>84</v>
      </c>
      <c r="L77" s="60">
        <v>70000.0</v>
      </c>
      <c r="M77" s="60"/>
      <c r="N77" s="13" t="s">
        <v>389</v>
      </c>
      <c r="O77" s="13" t="s">
        <v>110</v>
      </c>
      <c r="P77" s="61" t="s">
        <v>1051</v>
      </c>
      <c r="Q77" s="62"/>
    </row>
    <row r="78">
      <c r="A78" s="11">
        <v>2025.0</v>
      </c>
      <c r="B78" s="18" t="s">
        <v>496</v>
      </c>
      <c r="C78" s="13" t="str">
        <f>IFERROR(VLOOKUP(B78,'Regiões'!A:B,2,0),"")</f>
        <v>Vale dos Sinos</v>
      </c>
      <c r="D78" s="13" t="s">
        <v>1052</v>
      </c>
      <c r="E78" s="15" t="s">
        <v>496</v>
      </c>
      <c r="F78" s="17">
        <v>1.1787446000124E13</v>
      </c>
      <c r="G78" s="18"/>
      <c r="H78" s="72">
        <v>4.1160001E7</v>
      </c>
      <c r="I78" s="11" t="s">
        <v>228</v>
      </c>
      <c r="J78" s="11" t="s">
        <v>7</v>
      </c>
      <c r="K78" s="21" t="s">
        <v>84</v>
      </c>
      <c r="L78" s="96">
        <v>70000.0</v>
      </c>
      <c r="M78" s="96"/>
      <c r="N78" s="11" t="s">
        <v>155</v>
      </c>
      <c r="O78" s="21"/>
      <c r="P78" s="61" t="s">
        <v>513</v>
      </c>
      <c r="Q78" s="24"/>
    </row>
    <row r="79">
      <c r="A79" s="13">
        <v>2023.0</v>
      </c>
      <c r="B79" s="55" t="s">
        <v>888</v>
      </c>
      <c r="C79" s="13" t="str">
        <f>IFERROR(VLOOKUP(B79,'Regiões'!A:B,2,0),"")</f>
        <v>Metropolitana de Porto Alegre</v>
      </c>
      <c r="D79" s="13" t="s">
        <v>1054</v>
      </c>
      <c r="E79" s="56" t="s">
        <v>360</v>
      </c>
      <c r="F79" s="57"/>
      <c r="G79" s="58" t="s">
        <v>1055</v>
      </c>
      <c r="H79" s="59"/>
      <c r="I79" s="13" t="s">
        <v>373</v>
      </c>
      <c r="J79" s="13" t="str">
        <f>LEFT(I79,FIND(" (",I79) - 1)</f>
        <v>Saúde</v>
      </c>
      <c r="K79" s="13" t="s">
        <v>84</v>
      </c>
      <c r="L79" s="60">
        <v>71500.0</v>
      </c>
      <c r="M79" s="60"/>
      <c r="N79" s="13" t="s">
        <v>389</v>
      </c>
      <c r="O79" s="13" t="s">
        <v>110</v>
      </c>
      <c r="P79" s="61"/>
      <c r="Q79" s="62"/>
    </row>
    <row r="80">
      <c r="A80" s="64">
        <v>2019.0</v>
      </c>
      <c r="B80" s="64" t="s">
        <v>678</v>
      </c>
      <c r="C80" s="13" t="str">
        <f>IFERROR(VLOOKUP(B80,'Regiões'!A:B,2,0),"")</f>
        <v>Missões</v>
      </c>
      <c r="D80" s="29" t="s">
        <v>1056</v>
      </c>
      <c r="E80" s="65" t="s">
        <v>556</v>
      </c>
      <c r="F80" s="66"/>
      <c r="G80" s="64" t="s">
        <v>1057</v>
      </c>
      <c r="H80" s="71">
        <v>7.1220005E7</v>
      </c>
      <c r="I80" s="64" t="s">
        <v>558</v>
      </c>
      <c r="J80" s="29" t="s">
        <v>280</v>
      </c>
      <c r="K80" s="64" t="s">
        <v>152</v>
      </c>
      <c r="L80" s="68">
        <v>78705.88</v>
      </c>
      <c r="M80" s="68"/>
      <c r="N80" s="64" t="s">
        <v>560</v>
      </c>
      <c r="O80" s="64" t="s">
        <v>110</v>
      </c>
      <c r="P80" s="65" t="s">
        <v>561</v>
      </c>
      <c r="Q80" s="70" t="s">
        <v>563</v>
      </c>
    </row>
    <row r="81">
      <c r="A81" s="64">
        <v>2020.0</v>
      </c>
      <c r="B81" s="64" t="s">
        <v>821</v>
      </c>
      <c r="C81" s="13" t="str">
        <f>IFERROR(VLOOKUP(B81,'Regiões'!A:B,2,0),"")</f>
        <v>Planalto</v>
      </c>
      <c r="D81" s="29" t="s">
        <v>1059</v>
      </c>
      <c r="E81" s="65" t="s">
        <v>485</v>
      </c>
      <c r="F81" s="66"/>
      <c r="G81" s="64" t="s">
        <v>1060</v>
      </c>
      <c r="H81" s="76" t="s">
        <v>578</v>
      </c>
      <c r="I81" s="64" t="s">
        <v>488</v>
      </c>
      <c r="J81" s="64" t="s">
        <v>7</v>
      </c>
      <c r="K81" s="64" t="s">
        <v>84</v>
      </c>
      <c r="L81" s="68">
        <v>80000.0</v>
      </c>
      <c r="M81" s="68"/>
      <c r="N81" s="64" t="s">
        <v>389</v>
      </c>
      <c r="O81" s="64" t="s">
        <v>110</v>
      </c>
      <c r="P81" s="77" t="s">
        <v>600</v>
      </c>
      <c r="Q81" s="75"/>
    </row>
    <row r="82">
      <c r="A82" s="29">
        <v>2021.0</v>
      </c>
      <c r="B82" s="41" t="s">
        <v>245</v>
      </c>
      <c r="C82" s="13" t="str">
        <f>IFERROR(VLOOKUP(B82,'Regiões'!A:B,2,0),"")</f>
        <v>Turismo da Serra</v>
      </c>
      <c r="D82" s="29" t="s">
        <v>1061</v>
      </c>
      <c r="E82" s="32" t="s">
        <v>220</v>
      </c>
      <c r="F82" s="42"/>
      <c r="G82" s="43" t="s">
        <v>74</v>
      </c>
      <c r="H82" s="45">
        <v>4.1160003E7</v>
      </c>
      <c r="I82" s="29" t="s">
        <v>488</v>
      </c>
      <c r="J82" s="29" t="s">
        <v>7</v>
      </c>
      <c r="K82" s="29" t="s">
        <v>84</v>
      </c>
      <c r="L82" s="37">
        <v>80000.0</v>
      </c>
      <c r="M82" s="37"/>
      <c r="N82" s="29" t="s">
        <v>1062</v>
      </c>
      <c r="O82" s="64" t="s">
        <v>110</v>
      </c>
      <c r="P82" s="46" t="s">
        <v>1063</v>
      </c>
      <c r="Q82" s="40"/>
    </row>
    <row r="83">
      <c r="A83" s="29">
        <v>2020.0</v>
      </c>
      <c r="B83" s="29" t="s">
        <v>487</v>
      </c>
      <c r="C83" s="13" t="str">
        <f>IFERROR(VLOOKUP(B83,'Regiões'!A:B,2,0),"")</f>
        <v>Costa Doce</v>
      </c>
      <c r="D83" s="29" t="s">
        <v>1064</v>
      </c>
      <c r="E83" s="32" t="s">
        <v>1065</v>
      </c>
      <c r="F83" s="33"/>
      <c r="G83" s="29" t="s">
        <v>1066</v>
      </c>
      <c r="H83" s="100"/>
      <c r="I83" s="29" t="s">
        <v>151</v>
      </c>
      <c r="J83" s="29" t="s">
        <v>27</v>
      </c>
      <c r="K83" s="29" t="s">
        <v>152</v>
      </c>
      <c r="L83" s="37">
        <v>81280.0</v>
      </c>
      <c r="M83" s="37"/>
      <c r="N83" s="29" t="s">
        <v>389</v>
      </c>
      <c r="O83" s="29" t="s">
        <v>1067</v>
      </c>
      <c r="P83" s="32" t="s">
        <v>1068</v>
      </c>
      <c r="Q83" s="40" t="s">
        <v>1069</v>
      </c>
    </row>
    <row r="84">
      <c r="A84" s="11">
        <v>2024.0</v>
      </c>
      <c r="B84" s="12" t="s">
        <v>47</v>
      </c>
      <c r="C84" s="13" t="str">
        <f>IFERROR(VLOOKUP(B84,'Regiões'!A:B,2,0),"")</f>
        <v>Metropolitana de Porto Alegre</v>
      </c>
      <c r="D84" s="13" t="s">
        <v>1070</v>
      </c>
      <c r="E84" s="15" t="str">
        <f>G84&amp;" de "&amp;B84</f>
        <v>Prefeitura Municipal de Alvorada</v>
      </c>
      <c r="F84" s="17"/>
      <c r="G84" s="18" t="s">
        <v>74</v>
      </c>
      <c r="H84" s="20">
        <v>4.1160004E7</v>
      </c>
      <c r="I84" s="11" t="s">
        <v>1048</v>
      </c>
      <c r="J84" s="11" t="s">
        <v>7</v>
      </c>
      <c r="K84" s="21" t="s">
        <v>152</v>
      </c>
      <c r="L84" s="22">
        <v>83953.0</v>
      </c>
      <c r="M84" s="22"/>
      <c r="N84" s="13" t="s">
        <v>89</v>
      </c>
      <c r="O84" s="21"/>
      <c r="P84" s="23"/>
      <c r="Q84" s="24"/>
    </row>
    <row r="85">
      <c r="A85" s="64">
        <v>2020.0</v>
      </c>
      <c r="B85" s="64" t="s">
        <v>785</v>
      </c>
      <c r="C85" s="13" t="str">
        <f>IFERROR(VLOOKUP(B85,'Regiões'!A:B,2,0),"")</f>
        <v>Alto Jacuí</v>
      </c>
      <c r="D85" s="29" t="s">
        <v>1073</v>
      </c>
      <c r="E85" s="65" t="s">
        <v>485</v>
      </c>
      <c r="F85" s="66"/>
      <c r="G85" s="64" t="s">
        <v>1074</v>
      </c>
      <c r="H85" s="71">
        <v>4.1160005E7</v>
      </c>
      <c r="I85" s="64" t="s">
        <v>488</v>
      </c>
      <c r="J85" s="64" t="s">
        <v>7</v>
      </c>
      <c r="K85" s="64" t="s">
        <v>84</v>
      </c>
      <c r="L85" s="68">
        <v>86000.0</v>
      </c>
      <c r="M85" s="68"/>
      <c r="N85" s="64" t="s">
        <v>1075</v>
      </c>
      <c r="O85" s="64" t="s">
        <v>110</v>
      </c>
      <c r="P85" s="65" t="s">
        <v>1076</v>
      </c>
      <c r="Q85" s="70" t="s">
        <v>1077</v>
      </c>
    </row>
    <row r="86">
      <c r="A86" s="29">
        <v>2020.0</v>
      </c>
      <c r="B86" s="29" t="s">
        <v>127</v>
      </c>
      <c r="C86" s="13" t="str">
        <f>IFERROR(VLOOKUP(B86,'Regiões'!A:B,2,0),"")</f>
        <v>Metropolitana de Porto Alegre</v>
      </c>
      <c r="D86" s="29" t="s">
        <v>290</v>
      </c>
      <c r="E86" s="32" t="s">
        <v>291</v>
      </c>
      <c r="F86" s="33"/>
      <c r="G86" s="29" t="s">
        <v>291</v>
      </c>
      <c r="H86" s="45">
        <v>4.116001E7</v>
      </c>
      <c r="I86" s="29" t="s">
        <v>151</v>
      </c>
      <c r="J86" s="29" t="s">
        <v>27</v>
      </c>
      <c r="K86" s="29" t="s">
        <v>152</v>
      </c>
      <c r="L86" s="37">
        <v>88086.0</v>
      </c>
      <c r="M86" s="37"/>
      <c r="N86" s="29" t="s">
        <v>155</v>
      </c>
      <c r="O86" s="29" t="s">
        <v>305</v>
      </c>
      <c r="P86" s="109" t="s">
        <v>1081</v>
      </c>
      <c r="Q86" s="40"/>
    </row>
    <row r="87">
      <c r="A87" s="11">
        <v>2024.0</v>
      </c>
      <c r="B87" s="18" t="s">
        <v>281</v>
      </c>
      <c r="C87" s="13" t="str">
        <f>IFERROR(VLOOKUP(B87,'Regiões'!A:B,2,0),"")</f>
        <v>Alta da Serra do Botucarai</v>
      </c>
      <c r="D87" s="13" t="s">
        <v>1084</v>
      </c>
      <c r="E87" s="15" t="str">
        <f t="shared" ref="E87:E88" si="2">G87&amp;" de "&amp;B87</f>
        <v>Prefeitura Municipal de São José do Herval</v>
      </c>
      <c r="F87" s="17"/>
      <c r="G87" s="18" t="s">
        <v>74</v>
      </c>
      <c r="H87" s="20">
        <v>4.1160001E7</v>
      </c>
      <c r="I87" s="11" t="s">
        <v>334</v>
      </c>
      <c r="J87" s="11" t="s">
        <v>7</v>
      </c>
      <c r="K87" s="21" t="s">
        <v>84</v>
      </c>
      <c r="L87" s="22">
        <v>90000.0</v>
      </c>
      <c r="M87" s="22"/>
      <c r="N87" s="13" t="s">
        <v>89</v>
      </c>
      <c r="O87" s="21"/>
      <c r="P87" s="23"/>
      <c r="Q87" s="24"/>
    </row>
    <row r="88">
      <c r="A88" s="11">
        <v>2024.0</v>
      </c>
      <c r="B88" s="18" t="s">
        <v>349</v>
      </c>
      <c r="C88" s="13" t="str">
        <f>IFERROR(VLOOKUP(B88,'Regiões'!A:B,2,0),"")</f>
        <v>Vale do Rio Caí</v>
      </c>
      <c r="D88" s="13" t="s">
        <v>1089</v>
      </c>
      <c r="E88" s="15" t="str">
        <f t="shared" si="2"/>
        <v>Prefeitura Municipal de São Vendelino</v>
      </c>
      <c r="F88" s="17"/>
      <c r="G88" s="18" t="s">
        <v>74</v>
      </c>
      <c r="H88" s="20">
        <v>4.1160001E7</v>
      </c>
      <c r="I88" s="11" t="s">
        <v>334</v>
      </c>
      <c r="J88" s="11" t="s">
        <v>7</v>
      </c>
      <c r="K88" s="21" t="s">
        <v>84</v>
      </c>
      <c r="L88" s="22">
        <v>90000.0</v>
      </c>
      <c r="M88" s="22"/>
      <c r="N88" s="13" t="s">
        <v>89</v>
      </c>
      <c r="O88" s="21"/>
      <c r="P88" s="23"/>
      <c r="Q88" s="24"/>
    </row>
    <row r="89">
      <c r="A89" s="13">
        <v>2023.0</v>
      </c>
      <c r="B89" s="79" t="s">
        <v>964</v>
      </c>
      <c r="C89" s="13" t="str">
        <f>IFERROR(VLOOKUP(B89,'Regiões'!A:B,2,0),"")</f>
        <v>Fronteira Noroeste</v>
      </c>
      <c r="D89" s="13" t="s">
        <v>1092</v>
      </c>
      <c r="E89" s="80" t="s">
        <v>220</v>
      </c>
      <c r="F89" s="81"/>
      <c r="G89" s="79" t="s">
        <v>1093</v>
      </c>
      <c r="H89" s="82"/>
      <c r="I89" s="13" t="s">
        <v>958</v>
      </c>
      <c r="J89" s="13" t="str">
        <f>LEFT(I89,FIND(" (",I89) - 1)</f>
        <v>Segurança Pública</v>
      </c>
      <c r="K89" s="13" t="s">
        <v>152</v>
      </c>
      <c r="L89" s="83">
        <v>95000.0</v>
      </c>
      <c r="M89" s="83"/>
      <c r="N89" s="13" t="s">
        <v>89</v>
      </c>
      <c r="O89" s="13" t="s">
        <v>265</v>
      </c>
      <c r="P89" s="80" t="s">
        <v>1009</v>
      </c>
      <c r="Q89" s="79"/>
    </row>
    <row r="90">
      <c r="A90" s="11">
        <v>2026.0</v>
      </c>
      <c r="B90" s="18" t="s">
        <v>552</v>
      </c>
      <c r="C90" s="13" t="str">
        <f>IFERROR(VLOOKUP(B90,'Regiões'!A:B,2,0),"")</f>
        <v>Nordeste Riograndense</v>
      </c>
      <c r="D90" s="13"/>
      <c r="E90" s="25" t="s">
        <v>1098</v>
      </c>
      <c r="F90" s="17">
        <v>1.2390666000182E13</v>
      </c>
      <c r="G90" s="18"/>
      <c r="H90" s="20">
        <v>4.1160005E7</v>
      </c>
      <c r="I90" s="11" t="s">
        <v>7</v>
      </c>
      <c r="J90" s="11" t="s">
        <v>7</v>
      </c>
      <c r="K90" s="21" t="s">
        <v>1099</v>
      </c>
      <c r="L90" s="22">
        <v>98000.0</v>
      </c>
      <c r="M90" s="22"/>
      <c r="N90" s="11" t="s">
        <v>155</v>
      </c>
      <c r="O90" s="21"/>
      <c r="P90" s="23"/>
      <c r="Q90" s="24"/>
    </row>
    <row r="91" ht="22.5" customHeight="1">
      <c r="A91" s="64">
        <v>2020.0</v>
      </c>
      <c r="B91" s="64" t="s">
        <v>70</v>
      </c>
      <c r="C91" s="13" t="str">
        <f>IFERROR(VLOOKUP(B91,'Regiões'!A:B,2,0),"")</f>
        <v>Vale dos Sinos</v>
      </c>
      <c r="D91" s="29" t="s">
        <v>1100</v>
      </c>
      <c r="E91" s="65" t="s">
        <v>485</v>
      </c>
      <c r="F91" s="66"/>
      <c r="G91" s="64" t="s">
        <v>1101</v>
      </c>
      <c r="H91" s="76" t="s">
        <v>578</v>
      </c>
      <c r="I91" s="64" t="s">
        <v>488</v>
      </c>
      <c r="J91" s="64" t="s">
        <v>7</v>
      </c>
      <c r="K91" s="64" t="s">
        <v>84</v>
      </c>
      <c r="L91" s="68">
        <v>100000.0</v>
      </c>
      <c r="M91" s="68"/>
      <c r="N91" s="64" t="s">
        <v>389</v>
      </c>
      <c r="O91" s="64" t="s">
        <v>110</v>
      </c>
      <c r="P91" s="65" t="s">
        <v>589</v>
      </c>
      <c r="Q91" s="75"/>
    </row>
    <row r="92">
      <c r="A92" s="64">
        <v>2020.0</v>
      </c>
      <c r="B92" s="64" t="s">
        <v>462</v>
      </c>
      <c r="C92" s="13" t="str">
        <f>IFERROR(VLOOKUP(B92,'Regiões'!A:B,2,0),"")</f>
        <v>Vale do Paranhana</v>
      </c>
      <c r="D92" s="29" t="s">
        <v>1104</v>
      </c>
      <c r="E92" s="65" t="s">
        <v>485</v>
      </c>
      <c r="F92" s="66"/>
      <c r="G92" s="64" t="s">
        <v>1105</v>
      </c>
      <c r="H92" s="76" t="s">
        <v>578</v>
      </c>
      <c r="I92" s="64" t="s">
        <v>488</v>
      </c>
      <c r="J92" s="64" t="s">
        <v>7</v>
      </c>
      <c r="K92" s="64" t="s">
        <v>84</v>
      </c>
      <c r="L92" s="68">
        <v>100000.0</v>
      </c>
      <c r="M92" s="68"/>
      <c r="N92" s="64" t="s">
        <v>389</v>
      </c>
      <c r="O92" s="64" t="s">
        <v>110</v>
      </c>
      <c r="P92" s="77" t="s">
        <v>600</v>
      </c>
      <c r="Q92" s="75"/>
    </row>
    <row r="93">
      <c r="A93" s="64">
        <v>2020.0</v>
      </c>
      <c r="B93" s="64" t="s">
        <v>192</v>
      </c>
      <c r="C93" s="13" t="str">
        <f>IFERROR(VLOOKUP(B93,'Regiões'!A:B,2,0),"")</f>
        <v>Vale do Taquari</v>
      </c>
      <c r="D93" s="29" t="s">
        <v>1106</v>
      </c>
      <c r="E93" s="65" t="s">
        <v>14</v>
      </c>
      <c r="F93" s="66"/>
      <c r="G93" s="64" t="s">
        <v>74</v>
      </c>
      <c r="H93" s="71">
        <v>4.1160001E7</v>
      </c>
      <c r="I93" s="64" t="s">
        <v>193</v>
      </c>
      <c r="J93" s="64" t="s">
        <v>7</v>
      </c>
      <c r="K93" s="64" t="s">
        <v>84</v>
      </c>
      <c r="L93" s="68">
        <v>100000.0</v>
      </c>
      <c r="M93" s="68"/>
      <c r="N93" s="64" t="s">
        <v>490</v>
      </c>
      <c r="O93" s="64" t="s">
        <v>110</v>
      </c>
      <c r="P93" s="65" t="s">
        <v>1026</v>
      </c>
      <c r="Q93" s="75"/>
    </row>
    <row r="94">
      <c r="A94" s="64">
        <v>2020.0</v>
      </c>
      <c r="B94" s="64" t="s">
        <v>116</v>
      </c>
      <c r="C94" s="13" t="str">
        <f>IFERROR(VLOOKUP(B94,'Regiões'!A:B,2,0),"")</f>
        <v>Sudoeste do Estado</v>
      </c>
      <c r="D94" s="29" t="s">
        <v>1107</v>
      </c>
      <c r="E94" s="65" t="s">
        <v>485</v>
      </c>
      <c r="F94" s="66"/>
      <c r="G94" s="64" t="s">
        <v>1108</v>
      </c>
      <c r="H94" s="71">
        <v>4.1160005E7</v>
      </c>
      <c r="I94" s="64" t="s">
        <v>488</v>
      </c>
      <c r="J94" s="64" t="s">
        <v>7</v>
      </c>
      <c r="K94" s="64" t="s">
        <v>84</v>
      </c>
      <c r="L94" s="68">
        <v>100000.0</v>
      </c>
      <c r="M94" s="68"/>
      <c r="N94" s="64" t="s">
        <v>490</v>
      </c>
      <c r="O94" s="64" t="s">
        <v>110</v>
      </c>
      <c r="P94" s="65" t="s">
        <v>1076</v>
      </c>
      <c r="Q94" s="75"/>
    </row>
    <row r="95">
      <c r="A95" s="64">
        <v>2020.0</v>
      </c>
      <c r="B95" s="64" t="s">
        <v>311</v>
      </c>
      <c r="C95" s="13" t="str">
        <f>IFERROR(VLOOKUP(B95,'Regiões'!A:B,2,0),"")</f>
        <v>Vale do Rio Caí</v>
      </c>
      <c r="D95" s="29" t="s">
        <v>1110</v>
      </c>
      <c r="E95" s="65" t="s">
        <v>14</v>
      </c>
      <c r="F95" s="66"/>
      <c r="G95" s="64" t="s">
        <v>74</v>
      </c>
      <c r="H95" s="71">
        <v>4.1160001E7</v>
      </c>
      <c r="I95" s="64" t="s">
        <v>193</v>
      </c>
      <c r="J95" s="64" t="s">
        <v>7</v>
      </c>
      <c r="K95" s="64" t="s">
        <v>84</v>
      </c>
      <c r="L95" s="68">
        <v>100000.0</v>
      </c>
      <c r="M95" s="68"/>
      <c r="N95" s="64" t="s">
        <v>490</v>
      </c>
      <c r="O95" s="64" t="s">
        <v>110</v>
      </c>
      <c r="P95" s="77" t="s">
        <v>1023</v>
      </c>
      <c r="Q95" s="70" t="s">
        <v>1111</v>
      </c>
    </row>
    <row r="96">
      <c r="A96" s="64">
        <v>2020.0</v>
      </c>
      <c r="B96" s="64" t="s">
        <v>76</v>
      </c>
      <c r="C96" s="13" t="str">
        <f>IFERROR(VLOOKUP(B96,'Regiões'!A:B,2,0),"")</f>
        <v>Encosta Superior do Nordeste</v>
      </c>
      <c r="D96" s="29" t="s">
        <v>1115</v>
      </c>
      <c r="E96" s="65" t="s">
        <v>485</v>
      </c>
      <c r="F96" s="66"/>
      <c r="G96" s="64" t="s">
        <v>1116</v>
      </c>
      <c r="H96" s="71">
        <v>4.1160005E7</v>
      </c>
      <c r="I96" s="64" t="s">
        <v>488</v>
      </c>
      <c r="J96" s="64" t="s">
        <v>7</v>
      </c>
      <c r="K96" s="64" t="s">
        <v>84</v>
      </c>
      <c r="L96" s="68">
        <v>100000.0</v>
      </c>
      <c r="M96" s="68"/>
      <c r="N96" s="64" t="s">
        <v>490</v>
      </c>
      <c r="O96" s="64" t="s">
        <v>110</v>
      </c>
      <c r="P96" s="65" t="s">
        <v>1076</v>
      </c>
      <c r="Q96" s="70" t="s">
        <v>1117</v>
      </c>
    </row>
    <row r="97">
      <c r="A97" s="64">
        <v>2020.0</v>
      </c>
      <c r="B97" s="64" t="s">
        <v>82</v>
      </c>
      <c r="C97" s="13" t="str">
        <f>IFERROR(VLOOKUP(B97,'Regiões'!A:B,2,0),"")</f>
        <v>Vale do Rio Caí</v>
      </c>
      <c r="D97" s="29" t="s">
        <v>1118</v>
      </c>
      <c r="E97" s="65" t="s">
        <v>14</v>
      </c>
      <c r="F97" s="66"/>
      <c r="G97" s="64" t="s">
        <v>74</v>
      </c>
      <c r="H97" s="71">
        <v>4.1160001E7</v>
      </c>
      <c r="I97" s="64" t="s">
        <v>193</v>
      </c>
      <c r="J97" s="64" t="s">
        <v>7</v>
      </c>
      <c r="K97" s="64" t="s">
        <v>84</v>
      </c>
      <c r="L97" s="68">
        <v>100000.0</v>
      </c>
      <c r="M97" s="68"/>
      <c r="N97" s="64" t="s">
        <v>490</v>
      </c>
      <c r="O97" s="64" t="s">
        <v>110</v>
      </c>
      <c r="P97" s="65" t="s">
        <v>1023</v>
      </c>
      <c r="Q97" s="75"/>
    </row>
    <row r="98">
      <c r="A98" s="64">
        <v>2020.0</v>
      </c>
      <c r="B98" s="64" t="s">
        <v>463</v>
      </c>
      <c r="C98" s="13" t="str">
        <f>IFERROR(VLOOKUP(B98,'Regiões'!A:B,2,0),"")</f>
        <v>Vale do Rio Caí</v>
      </c>
      <c r="D98" s="29" t="s">
        <v>1120</v>
      </c>
      <c r="E98" s="65" t="s">
        <v>14</v>
      </c>
      <c r="F98" s="66"/>
      <c r="G98" s="64" t="s">
        <v>74</v>
      </c>
      <c r="H98" s="71">
        <v>4.1160001E7</v>
      </c>
      <c r="I98" s="64" t="s">
        <v>193</v>
      </c>
      <c r="J98" s="64" t="s">
        <v>7</v>
      </c>
      <c r="K98" s="64" t="s">
        <v>84</v>
      </c>
      <c r="L98" s="68">
        <v>100000.0</v>
      </c>
      <c r="M98" s="68"/>
      <c r="N98" s="64" t="s">
        <v>490</v>
      </c>
      <c r="O98" s="64" t="s">
        <v>110</v>
      </c>
      <c r="P98" s="77" t="s">
        <v>1023</v>
      </c>
      <c r="Q98" s="70" t="s">
        <v>1121</v>
      </c>
    </row>
    <row r="99">
      <c r="A99" s="64">
        <v>2020.0</v>
      </c>
      <c r="B99" s="64" t="s">
        <v>544</v>
      </c>
      <c r="C99" s="13" t="str">
        <f>IFERROR(VLOOKUP(B99,'Regiões'!A:B,2,0),"")</f>
        <v>Encosta Superior do Nordeste</v>
      </c>
      <c r="D99" s="29" t="s">
        <v>1122</v>
      </c>
      <c r="E99" s="65" t="s">
        <v>14</v>
      </c>
      <c r="F99" s="66"/>
      <c r="G99" s="64" t="s">
        <v>74</v>
      </c>
      <c r="H99" s="71">
        <v>4.1160001E7</v>
      </c>
      <c r="I99" s="64" t="s">
        <v>193</v>
      </c>
      <c r="J99" s="64" t="s">
        <v>7</v>
      </c>
      <c r="K99" s="64" t="s">
        <v>84</v>
      </c>
      <c r="L99" s="68">
        <v>100000.0</v>
      </c>
      <c r="M99" s="68"/>
      <c r="N99" s="64" t="s">
        <v>490</v>
      </c>
      <c r="O99" s="64" t="s">
        <v>110</v>
      </c>
      <c r="P99" s="65" t="s">
        <v>1023</v>
      </c>
      <c r="Q99" s="75"/>
    </row>
    <row r="100">
      <c r="A100" s="64">
        <v>2020.0</v>
      </c>
      <c r="B100" s="64" t="s">
        <v>102</v>
      </c>
      <c r="C100" s="13" t="str">
        <f>IFERROR(VLOOKUP(B100,'Regiões'!A:B,2,0),"")</f>
        <v>Vale dos Sinos</v>
      </c>
      <c r="D100" s="29" t="s">
        <v>1124</v>
      </c>
      <c r="E100" s="65" t="s">
        <v>14</v>
      </c>
      <c r="F100" s="66"/>
      <c r="G100" s="64" t="s">
        <v>74</v>
      </c>
      <c r="H100" s="71">
        <v>4.1160001E7</v>
      </c>
      <c r="I100" s="64" t="s">
        <v>193</v>
      </c>
      <c r="J100" s="64" t="s">
        <v>7</v>
      </c>
      <c r="K100" s="64" t="s">
        <v>84</v>
      </c>
      <c r="L100" s="68">
        <v>100000.0</v>
      </c>
      <c r="M100" s="68"/>
      <c r="N100" s="64" t="s">
        <v>200</v>
      </c>
      <c r="O100" s="64" t="s">
        <v>110</v>
      </c>
      <c r="P100" s="65" t="s">
        <v>1023</v>
      </c>
      <c r="Q100" s="75"/>
    </row>
    <row r="101">
      <c r="A101" s="64">
        <v>2020.0</v>
      </c>
      <c r="B101" s="64" t="s">
        <v>632</v>
      </c>
      <c r="C101" s="13" t="str">
        <f>IFERROR(VLOOKUP(B101,'Regiões'!A:B,2,0),"")</f>
        <v>Alto Uruguai</v>
      </c>
      <c r="D101" s="29" t="s">
        <v>1125</v>
      </c>
      <c r="E101" s="65" t="s">
        <v>485</v>
      </c>
      <c r="F101" s="66"/>
      <c r="G101" s="64" t="s">
        <v>1126</v>
      </c>
      <c r="H101" s="71">
        <v>4.1160005E7</v>
      </c>
      <c r="I101" s="64" t="s">
        <v>488</v>
      </c>
      <c r="J101" s="64" t="s">
        <v>7</v>
      </c>
      <c r="K101" s="64" t="s">
        <v>84</v>
      </c>
      <c r="L101" s="68">
        <v>100000.0</v>
      </c>
      <c r="M101" s="68"/>
      <c r="N101" s="64" t="s">
        <v>490</v>
      </c>
      <c r="O101" s="64" t="s">
        <v>110</v>
      </c>
      <c r="P101" s="65" t="s">
        <v>1076</v>
      </c>
      <c r="Q101" s="70" t="s">
        <v>1127</v>
      </c>
    </row>
    <row r="102">
      <c r="A102" s="64">
        <v>2020.0</v>
      </c>
      <c r="B102" s="64" t="s">
        <v>165</v>
      </c>
      <c r="C102" s="13" t="str">
        <f>IFERROR(VLOOKUP(B102,'Regiões'!A:B,2,0),"")</f>
        <v>Metropolitana de Porto Alegre</v>
      </c>
      <c r="D102" s="29" t="s">
        <v>1129</v>
      </c>
      <c r="E102" s="65" t="s">
        <v>14</v>
      </c>
      <c r="F102" s="66"/>
      <c r="G102" s="64" t="s">
        <v>74</v>
      </c>
      <c r="H102" s="71">
        <v>4.1160001E7</v>
      </c>
      <c r="I102" s="64" t="s">
        <v>193</v>
      </c>
      <c r="J102" s="64" t="s">
        <v>7</v>
      </c>
      <c r="K102" s="64" t="s">
        <v>84</v>
      </c>
      <c r="L102" s="68">
        <v>100000.0</v>
      </c>
      <c r="M102" s="68"/>
      <c r="N102" s="64" t="s">
        <v>490</v>
      </c>
      <c r="O102" s="64" t="s">
        <v>110</v>
      </c>
      <c r="P102" s="65" t="s">
        <v>1023</v>
      </c>
      <c r="Q102" s="75"/>
    </row>
    <row r="103">
      <c r="A103" s="64">
        <v>2020.0</v>
      </c>
      <c r="B103" s="64" t="s">
        <v>114</v>
      </c>
      <c r="C103" s="13" t="str">
        <f>IFERROR(VLOOKUP(B103,'Regiões'!A:B,2,0),"")</f>
        <v>Vale do Rio Caí</v>
      </c>
      <c r="D103" s="29" t="s">
        <v>1130</v>
      </c>
      <c r="E103" s="65" t="s">
        <v>14</v>
      </c>
      <c r="F103" s="66"/>
      <c r="G103" s="64" t="s">
        <v>74</v>
      </c>
      <c r="H103" s="71">
        <v>4.1160009E7</v>
      </c>
      <c r="I103" s="64" t="s">
        <v>488</v>
      </c>
      <c r="J103" s="64" t="s">
        <v>7</v>
      </c>
      <c r="K103" s="64" t="s">
        <v>84</v>
      </c>
      <c r="L103" s="68">
        <v>100000.0</v>
      </c>
      <c r="M103" s="68"/>
      <c r="N103" s="64" t="s">
        <v>490</v>
      </c>
      <c r="O103" s="64" t="s">
        <v>110</v>
      </c>
      <c r="P103" s="65" t="s">
        <v>1131</v>
      </c>
      <c r="Q103" s="70" t="s">
        <v>1132</v>
      </c>
    </row>
    <row r="104">
      <c r="A104" s="64">
        <v>2020.0</v>
      </c>
      <c r="B104" s="64" t="s">
        <v>681</v>
      </c>
      <c r="C104" s="13" t="str">
        <f>IFERROR(VLOOKUP(B104,'Regiões'!A:B,2,0),"")</f>
        <v>Vale do Rio Caí</v>
      </c>
      <c r="D104" s="29" t="s">
        <v>1135</v>
      </c>
      <c r="E104" s="65" t="s">
        <v>14</v>
      </c>
      <c r="F104" s="66"/>
      <c r="G104" s="64" t="s">
        <v>74</v>
      </c>
      <c r="H104" s="71">
        <v>4.1160001E7</v>
      </c>
      <c r="I104" s="64" t="s">
        <v>193</v>
      </c>
      <c r="J104" s="64" t="s">
        <v>7</v>
      </c>
      <c r="K104" s="64" t="s">
        <v>84</v>
      </c>
      <c r="L104" s="68">
        <v>100000.0</v>
      </c>
      <c r="M104" s="68"/>
      <c r="N104" s="64" t="s">
        <v>490</v>
      </c>
      <c r="O104" s="64" t="s">
        <v>110</v>
      </c>
      <c r="P104" s="65" t="s">
        <v>1138</v>
      </c>
      <c r="Q104" s="70" t="s">
        <v>1139</v>
      </c>
    </row>
    <row r="105">
      <c r="A105" s="64">
        <v>2020.0</v>
      </c>
      <c r="B105" s="64" t="s">
        <v>191</v>
      </c>
      <c r="C105" s="13" t="str">
        <f>IFERROR(VLOOKUP(B105,'Regiões'!A:B,2,0),"")</f>
        <v>Vale do Paranhana</v>
      </c>
      <c r="D105" s="29" t="s">
        <v>1141</v>
      </c>
      <c r="E105" s="65" t="s">
        <v>14</v>
      </c>
      <c r="F105" s="66"/>
      <c r="G105" s="64" t="s">
        <v>74</v>
      </c>
      <c r="H105" s="71">
        <v>4.1160001E7</v>
      </c>
      <c r="I105" s="64" t="s">
        <v>193</v>
      </c>
      <c r="J105" s="64" t="s">
        <v>7</v>
      </c>
      <c r="K105" s="64" t="s">
        <v>84</v>
      </c>
      <c r="L105" s="68">
        <v>100000.0</v>
      </c>
      <c r="M105" s="68"/>
      <c r="N105" s="64" t="s">
        <v>490</v>
      </c>
      <c r="O105" s="64" t="s">
        <v>110</v>
      </c>
      <c r="P105" s="65" t="s">
        <v>1030</v>
      </c>
      <c r="Q105" s="75"/>
    </row>
    <row r="106">
      <c r="A106" s="64">
        <v>2020.0</v>
      </c>
      <c r="B106" s="64" t="s">
        <v>698</v>
      </c>
      <c r="C106" s="13" t="str">
        <f>IFERROR(VLOOKUP(B106,'Regiões'!A:B,2,0),"")</f>
        <v>Planalto Médio</v>
      </c>
      <c r="D106" s="29" t="s">
        <v>1146</v>
      </c>
      <c r="E106" s="65" t="s">
        <v>485</v>
      </c>
      <c r="F106" s="66"/>
      <c r="G106" s="64" t="s">
        <v>1147</v>
      </c>
      <c r="H106" s="71">
        <v>4.1160005E7</v>
      </c>
      <c r="I106" s="64" t="s">
        <v>488</v>
      </c>
      <c r="J106" s="64" t="s">
        <v>7</v>
      </c>
      <c r="K106" s="64" t="s">
        <v>84</v>
      </c>
      <c r="L106" s="68">
        <v>100000.0</v>
      </c>
      <c r="M106" s="68"/>
      <c r="N106" s="64" t="s">
        <v>490</v>
      </c>
      <c r="O106" s="64" t="s">
        <v>110</v>
      </c>
      <c r="P106" s="65" t="s">
        <v>1076</v>
      </c>
      <c r="Q106" s="75"/>
    </row>
    <row r="107">
      <c r="A107" s="64">
        <v>2020.0</v>
      </c>
      <c r="B107" s="64" t="s">
        <v>338</v>
      </c>
      <c r="C107" s="13" t="str">
        <f>IFERROR(VLOOKUP(B107,'Regiões'!A:B,2,0),"")</f>
        <v>Vale do Rio Caí</v>
      </c>
      <c r="D107" s="29" t="s">
        <v>1152</v>
      </c>
      <c r="E107" s="65" t="s">
        <v>485</v>
      </c>
      <c r="F107" s="66"/>
      <c r="G107" s="64" t="s">
        <v>1153</v>
      </c>
      <c r="H107" s="71">
        <v>4.1160009E7</v>
      </c>
      <c r="I107" s="64" t="s">
        <v>488</v>
      </c>
      <c r="J107" s="64" t="s">
        <v>7</v>
      </c>
      <c r="K107" s="64" t="s">
        <v>84</v>
      </c>
      <c r="L107" s="68">
        <v>100000.0</v>
      </c>
      <c r="M107" s="68"/>
      <c r="N107" s="64" t="s">
        <v>490</v>
      </c>
      <c r="O107" s="64" t="s">
        <v>110</v>
      </c>
      <c r="P107" s="65" t="s">
        <v>1076</v>
      </c>
      <c r="Q107" s="70" t="s">
        <v>1155</v>
      </c>
    </row>
    <row r="108">
      <c r="A108" s="64">
        <v>2020.0</v>
      </c>
      <c r="B108" s="64" t="s">
        <v>219</v>
      </c>
      <c r="C108" s="13" t="str">
        <f>IFERROR(VLOOKUP(B108,'Regiões'!A:B,2,0),"")</f>
        <v>Turismo da Serra</v>
      </c>
      <c r="D108" s="29" t="s">
        <v>1156</v>
      </c>
      <c r="E108" s="65" t="s">
        <v>14</v>
      </c>
      <c r="F108" s="66"/>
      <c r="G108" s="64" t="s">
        <v>74</v>
      </c>
      <c r="H108" s="71">
        <v>4.1160009E7</v>
      </c>
      <c r="I108" s="64" t="s">
        <v>488</v>
      </c>
      <c r="J108" s="64" t="s">
        <v>7</v>
      </c>
      <c r="K108" s="64" t="s">
        <v>84</v>
      </c>
      <c r="L108" s="68">
        <v>100000.0</v>
      </c>
      <c r="M108" s="68"/>
      <c r="N108" s="64" t="s">
        <v>490</v>
      </c>
      <c r="O108" s="64" t="s">
        <v>110</v>
      </c>
      <c r="P108" s="65" t="s">
        <v>1076</v>
      </c>
      <c r="Q108" s="70" t="s">
        <v>1157</v>
      </c>
    </row>
    <row r="109">
      <c r="A109" s="64">
        <v>2020.0</v>
      </c>
      <c r="B109" s="64" t="s">
        <v>239</v>
      </c>
      <c r="C109" s="13" t="str">
        <f>IFERROR(VLOOKUP(B109,'Regiões'!A:B,2,0),"")</f>
        <v>Metropolitana de Porto Alegre</v>
      </c>
      <c r="D109" s="29" t="s">
        <v>1158</v>
      </c>
      <c r="E109" s="65" t="s">
        <v>485</v>
      </c>
      <c r="F109" s="66"/>
      <c r="G109" s="64" t="s">
        <v>1159</v>
      </c>
      <c r="H109" s="71">
        <v>4.1160005E7</v>
      </c>
      <c r="I109" s="64" t="s">
        <v>488</v>
      </c>
      <c r="J109" s="64" t="s">
        <v>7</v>
      </c>
      <c r="K109" s="64" t="s">
        <v>84</v>
      </c>
      <c r="L109" s="68">
        <v>100000.0</v>
      </c>
      <c r="M109" s="68"/>
      <c r="N109" s="64" t="s">
        <v>490</v>
      </c>
      <c r="O109" s="64" t="s">
        <v>110</v>
      </c>
      <c r="P109" s="65" t="s">
        <v>491</v>
      </c>
      <c r="Q109" s="75"/>
    </row>
    <row r="110">
      <c r="A110" s="64">
        <v>2020.0</v>
      </c>
      <c r="B110" s="64" t="s">
        <v>812</v>
      </c>
      <c r="C110" s="13" t="str">
        <f>IFERROR(VLOOKUP(B110,'Regiões'!A:B,2,0),"")</f>
        <v>Planalto Médio</v>
      </c>
      <c r="D110" s="29" t="s">
        <v>1160</v>
      </c>
      <c r="E110" s="65" t="s">
        <v>14</v>
      </c>
      <c r="F110" s="66"/>
      <c r="G110" s="64" t="s">
        <v>74</v>
      </c>
      <c r="H110" s="71">
        <v>4.1160009E7</v>
      </c>
      <c r="I110" s="64" t="s">
        <v>488</v>
      </c>
      <c r="J110" s="64" t="s">
        <v>7</v>
      </c>
      <c r="K110" s="64" t="s">
        <v>84</v>
      </c>
      <c r="L110" s="68">
        <v>100000.0</v>
      </c>
      <c r="M110" s="68"/>
      <c r="N110" s="64" t="s">
        <v>490</v>
      </c>
      <c r="O110" s="64" t="s">
        <v>110</v>
      </c>
      <c r="P110" s="65" t="s">
        <v>491</v>
      </c>
      <c r="Q110" s="70" t="s">
        <v>1161</v>
      </c>
    </row>
    <row r="111">
      <c r="A111" s="64">
        <v>2020.0</v>
      </c>
      <c r="B111" s="64" t="s">
        <v>119</v>
      </c>
      <c r="C111" s="13" t="str">
        <f>IFERROR(VLOOKUP(B111,'Regiões'!A:B,2,0),"")</f>
        <v>Zona Sul</v>
      </c>
      <c r="D111" s="29" t="s">
        <v>1163</v>
      </c>
      <c r="E111" s="65" t="s">
        <v>485</v>
      </c>
      <c r="F111" s="66"/>
      <c r="G111" s="64" t="s">
        <v>1164</v>
      </c>
      <c r="H111" s="71">
        <v>4.1160005E7</v>
      </c>
      <c r="I111" s="64" t="s">
        <v>488</v>
      </c>
      <c r="J111" s="64" t="s">
        <v>7</v>
      </c>
      <c r="K111" s="64" t="s">
        <v>84</v>
      </c>
      <c r="L111" s="68">
        <v>100000.0</v>
      </c>
      <c r="M111" s="68"/>
      <c r="N111" s="64" t="s">
        <v>490</v>
      </c>
      <c r="O111" s="64" t="s">
        <v>110</v>
      </c>
      <c r="P111" s="65" t="s">
        <v>491</v>
      </c>
      <c r="Q111" s="70" t="s">
        <v>1165</v>
      </c>
    </row>
    <row r="112">
      <c r="A112" s="64">
        <v>2020.0</v>
      </c>
      <c r="B112" s="64" t="s">
        <v>836</v>
      </c>
      <c r="C112" s="13" t="str">
        <f>IFERROR(VLOOKUP(B112,'Regiões'!A:B,2,0),"")</f>
        <v>Encosta Superior do Nordeste</v>
      </c>
      <c r="D112" s="29" t="s">
        <v>1166</v>
      </c>
      <c r="E112" s="65" t="s">
        <v>14</v>
      </c>
      <c r="F112" s="66"/>
      <c r="G112" s="64" t="s">
        <v>74</v>
      </c>
      <c r="H112" s="71">
        <v>4.1160001E7</v>
      </c>
      <c r="I112" s="64" t="s">
        <v>193</v>
      </c>
      <c r="J112" s="64" t="s">
        <v>7</v>
      </c>
      <c r="K112" s="64" t="s">
        <v>84</v>
      </c>
      <c r="L112" s="68">
        <v>100000.0</v>
      </c>
      <c r="M112" s="68"/>
      <c r="N112" s="64" t="s">
        <v>490</v>
      </c>
      <c r="O112" s="64" t="s">
        <v>110</v>
      </c>
      <c r="P112" s="65" t="s">
        <v>1030</v>
      </c>
      <c r="Q112" s="70" t="s">
        <v>1167</v>
      </c>
    </row>
    <row r="113">
      <c r="A113" s="64">
        <v>2020.0</v>
      </c>
      <c r="B113" s="64" t="s">
        <v>333</v>
      </c>
      <c r="C113" s="13" t="str">
        <f>IFERROR(VLOOKUP(B113,'Regiões'!A:B,2,0),"")</f>
        <v>Vale dos Sinos</v>
      </c>
      <c r="D113" s="29" t="s">
        <v>1168</v>
      </c>
      <c r="E113" s="65" t="s">
        <v>485</v>
      </c>
      <c r="F113" s="66"/>
      <c r="G113" s="64" t="s">
        <v>1169</v>
      </c>
      <c r="H113" s="76" t="s">
        <v>578</v>
      </c>
      <c r="I113" s="64" t="s">
        <v>488</v>
      </c>
      <c r="J113" s="64" t="s">
        <v>7</v>
      </c>
      <c r="K113" s="64" t="s">
        <v>84</v>
      </c>
      <c r="L113" s="68">
        <v>100000.0</v>
      </c>
      <c r="M113" s="68"/>
      <c r="N113" s="64" t="s">
        <v>389</v>
      </c>
      <c r="O113" s="64" t="s">
        <v>110</v>
      </c>
      <c r="P113" s="77" t="s">
        <v>600</v>
      </c>
      <c r="Q113" s="75"/>
    </row>
    <row r="114">
      <c r="A114" s="64">
        <v>2020.0</v>
      </c>
      <c r="B114" s="64" t="s">
        <v>400</v>
      </c>
      <c r="C114" s="13" t="str">
        <f>IFERROR(VLOOKUP(B114,'Regiões'!A:B,2,0),"")</f>
        <v>Vale do Paranhana</v>
      </c>
      <c r="D114" s="29" t="s">
        <v>1173</v>
      </c>
      <c r="E114" s="65" t="s">
        <v>485</v>
      </c>
      <c r="F114" s="66"/>
      <c r="G114" s="64" t="s">
        <v>1174</v>
      </c>
      <c r="H114" s="76" t="s">
        <v>578</v>
      </c>
      <c r="I114" s="64" t="s">
        <v>488</v>
      </c>
      <c r="J114" s="64" t="s">
        <v>7</v>
      </c>
      <c r="K114" s="64" t="s">
        <v>84</v>
      </c>
      <c r="L114" s="68">
        <v>100000.0</v>
      </c>
      <c r="M114" s="68"/>
      <c r="N114" s="64" t="s">
        <v>389</v>
      </c>
      <c r="O114" s="64" t="s">
        <v>110</v>
      </c>
      <c r="P114" s="77" t="s">
        <v>600</v>
      </c>
      <c r="Q114" s="75"/>
    </row>
    <row r="115">
      <c r="A115" s="64">
        <v>2020.0</v>
      </c>
      <c r="B115" s="64" t="s">
        <v>886</v>
      </c>
      <c r="C115" s="13" t="str">
        <f>IFERROR(VLOOKUP(B115,'Regiões'!A:B,2,0),"")</f>
        <v>Missões</v>
      </c>
      <c r="D115" s="29" t="s">
        <v>1176</v>
      </c>
      <c r="E115" s="65" t="s">
        <v>1177</v>
      </c>
      <c r="F115" s="66"/>
      <c r="G115" s="64" t="s">
        <v>74</v>
      </c>
      <c r="H115" s="71">
        <v>4.1160005E7</v>
      </c>
      <c r="I115" s="64" t="s">
        <v>488</v>
      </c>
      <c r="J115" s="64" t="s">
        <v>7</v>
      </c>
      <c r="K115" s="64" t="s">
        <v>84</v>
      </c>
      <c r="L115" s="68">
        <v>100000.0</v>
      </c>
      <c r="M115" s="68"/>
      <c r="N115" s="64" t="s">
        <v>490</v>
      </c>
      <c r="O115" s="64" t="s">
        <v>110</v>
      </c>
      <c r="P115" s="65" t="s">
        <v>491</v>
      </c>
      <c r="Q115" s="75"/>
    </row>
    <row r="116">
      <c r="A116" s="64">
        <v>2020.0</v>
      </c>
      <c r="B116" s="64" t="s">
        <v>893</v>
      </c>
      <c r="C116" s="13" t="str">
        <f>IFERROR(VLOOKUP(B116,'Regiões'!A:B,2,0),"")</f>
        <v>Fronteira Oeste</v>
      </c>
      <c r="D116" s="29" t="s">
        <v>1181</v>
      </c>
      <c r="E116" s="65" t="s">
        <v>485</v>
      </c>
      <c r="F116" s="66"/>
      <c r="G116" s="64" t="s">
        <v>1182</v>
      </c>
      <c r="H116" s="71">
        <v>4.1160005E7</v>
      </c>
      <c r="I116" s="64" t="s">
        <v>488</v>
      </c>
      <c r="J116" s="64" t="s">
        <v>7</v>
      </c>
      <c r="K116" s="64" t="s">
        <v>84</v>
      </c>
      <c r="L116" s="68">
        <v>100000.0</v>
      </c>
      <c r="M116" s="68"/>
      <c r="N116" s="64" t="s">
        <v>490</v>
      </c>
      <c r="O116" s="64" t="s">
        <v>110</v>
      </c>
      <c r="P116" s="65" t="s">
        <v>491</v>
      </c>
      <c r="Q116" s="70" t="s">
        <v>1183</v>
      </c>
    </row>
    <row r="117">
      <c r="A117" s="64">
        <v>2020.0</v>
      </c>
      <c r="B117" s="64" t="s">
        <v>333</v>
      </c>
      <c r="C117" s="13" t="str">
        <f>IFERROR(VLOOKUP(B117,'Regiões'!A:B,2,0),"")</f>
        <v>Vale dos Sinos</v>
      </c>
      <c r="D117" s="29" t="s">
        <v>1185</v>
      </c>
      <c r="E117" s="65" t="s">
        <v>14</v>
      </c>
      <c r="F117" s="66"/>
      <c r="G117" s="64" t="s">
        <v>74</v>
      </c>
      <c r="H117" s="71">
        <v>4.1160009E7</v>
      </c>
      <c r="I117" s="64" t="s">
        <v>488</v>
      </c>
      <c r="J117" s="64" t="s">
        <v>7</v>
      </c>
      <c r="K117" s="64" t="s">
        <v>84</v>
      </c>
      <c r="L117" s="68">
        <v>100000.0</v>
      </c>
      <c r="M117" s="68"/>
      <c r="N117" s="64" t="s">
        <v>490</v>
      </c>
      <c r="O117" s="64" t="s">
        <v>110</v>
      </c>
      <c r="P117" s="65" t="s">
        <v>491</v>
      </c>
      <c r="Q117" s="75"/>
    </row>
    <row r="118">
      <c r="A118" s="64">
        <v>2020.0</v>
      </c>
      <c r="B118" s="64" t="s">
        <v>926</v>
      </c>
      <c r="C118" s="13" t="str">
        <f>IFERROR(VLOOKUP(B118,'Regiões'!A:B,2,0),"")</f>
        <v>Metropolitana de Porto Alegre</v>
      </c>
      <c r="D118" s="29" t="s">
        <v>1186</v>
      </c>
      <c r="E118" s="65" t="s">
        <v>14</v>
      </c>
      <c r="F118" s="66"/>
      <c r="G118" s="64" t="s">
        <v>74</v>
      </c>
      <c r="H118" s="71">
        <v>4.1160001E7</v>
      </c>
      <c r="I118" s="64" t="s">
        <v>193</v>
      </c>
      <c r="J118" s="64" t="s">
        <v>7</v>
      </c>
      <c r="K118" s="64" t="s">
        <v>84</v>
      </c>
      <c r="L118" s="68">
        <v>100000.0</v>
      </c>
      <c r="M118" s="68"/>
      <c r="N118" s="64" t="s">
        <v>490</v>
      </c>
      <c r="O118" s="64" t="s">
        <v>110</v>
      </c>
      <c r="P118" s="65" t="s">
        <v>1026</v>
      </c>
      <c r="Q118" s="75"/>
    </row>
    <row r="119">
      <c r="A119" s="64">
        <v>2020.0</v>
      </c>
      <c r="B119" s="64" t="s">
        <v>945</v>
      </c>
      <c r="C119" s="13" t="str">
        <f>IFERROR(VLOOKUP(B119,'Regiões'!A:B,2,0),"")</f>
        <v>Nordeste Riograndense</v>
      </c>
      <c r="D119" s="29" t="s">
        <v>1192</v>
      </c>
      <c r="E119" s="65" t="s">
        <v>14</v>
      </c>
      <c r="F119" s="66"/>
      <c r="G119" s="64" t="s">
        <v>74</v>
      </c>
      <c r="H119" s="71" t="s">
        <v>1204</v>
      </c>
      <c r="I119" s="64" t="s">
        <v>193</v>
      </c>
      <c r="J119" s="64" t="s">
        <v>7</v>
      </c>
      <c r="K119" s="64" t="s">
        <v>84</v>
      </c>
      <c r="L119" s="68">
        <v>100000.0</v>
      </c>
      <c r="M119" s="68"/>
      <c r="N119" s="64" t="s">
        <v>490</v>
      </c>
      <c r="O119" s="64" t="s">
        <v>110</v>
      </c>
      <c r="P119" s="65" t="s">
        <v>1026</v>
      </c>
      <c r="Q119" s="70" t="s">
        <v>1211</v>
      </c>
    </row>
    <row r="120">
      <c r="A120" s="64">
        <v>2020.0</v>
      </c>
      <c r="B120" s="64" t="s">
        <v>966</v>
      </c>
      <c r="C120" s="13" t="str">
        <f>IFERROR(VLOOKUP(B120,'Regiões'!A:B,2,0),"")</f>
        <v>Zona da Produção</v>
      </c>
      <c r="D120" s="29" t="s">
        <v>1214</v>
      </c>
      <c r="E120" s="65" t="s">
        <v>14</v>
      </c>
      <c r="F120" s="66"/>
      <c r="G120" s="64" t="s">
        <v>74</v>
      </c>
      <c r="H120" s="71">
        <v>4.1160001E7</v>
      </c>
      <c r="I120" s="64" t="s">
        <v>193</v>
      </c>
      <c r="J120" s="64" t="s">
        <v>7</v>
      </c>
      <c r="K120" s="64" t="s">
        <v>84</v>
      </c>
      <c r="L120" s="68">
        <v>100000.0</v>
      </c>
      <c r="M120" s="68"/>
      <c r="N120" s="64" t="s">
        <v>490</v>
      </c>
      <c r="O120" s="64" t="s">
        <v>110</v>
      </c>
      <c r="P120" s="65" t="s">
        <v>1138</v>
      </c>
      <c r="Q120" s="70" t="s">
        <v>1217</v>
      </c>
    </row>
    <row r="121">
      <c r="A121" s="64">
        <v>2020.0</v>
      </c>
      <c r="B121" s="64" t="s">
        <v>982</v>
      </c>
      <c r="C121" s="13" t="str">
        <f>IFERROR(VLOOKUP(B121,'Regiões'!A:B,2,0),"")</f>
        <v>Fronteira Oeste</v>
      </c>
      <c r="D121" s="29" t="s">
        <v>1220</v>
      </c>
      <c r="E121" s="65" t="s">
        <v>485</v>
      </c>
      <c r="F121" s="66"/>
      <c r="G121" s="64" t="s">
        <v>1221</v>
      </c>
      <c r="H121" s="71">
        <v>4.1160005E7</v>
      </c>
      <c r="I121" s="64" t="s">
        <v>488</v>
      </c>
      <c r="J121" s="64" t="s">
        <v>7</v>
      </c>
      <c r="K121" s="64" t="s">
        <v>84</v>
      </c>
      <c r="L121" s="68">
        <v>100000.0</v>
      </c>
      <c r="M121" s="68"/>
      <c r="N121" s="64" t="s">
        <v>490</v>
      </c>
      <c r="O121" s="64" t="s">
        <v>110</v>
      </c>
      <c r="P121" s="65" t="s">
        <v>491</v>
      </c>
      <c r="Q121" s="70" t="s">
        <v>1223</v>
      </c>
    </row>
    <row r="122">
      <c r="A122" s="29">
        <v>2021.0</v>
      </c>
      <c r="B122" s="41" t="s">
        <v>62</v>
      </c>
      <c r="C122" s="13" t="str">
        <f>IFERROR(VLOOKUP(B122,'Regiões'!A:B,2,0),"")</f>
        <v>Planalto Médio</v>
      </c>
      <c r="D122" s="29" t="s">
        <v>1224</v>
      </c>
      <c r="E122" s="32" t="s">
        <v>485</v>
      </c>
      <c r="F122" s="42"/>
      <c r="G122" s="41" t="s">
        <v>1180</v>
      </c>
      <c r="H122" s="35">
        <v>4.1160002E7</v>
      </c>
      <c r="I122" s="29" t="s">
        <v>1087</v>
      </c>
      <c r="J122" s="29" t="s">
        <v>7</v>
      </c>
      <c r="K122" s="29" t="s">
        <v>152</v>
      </c>
      <c r="L122" s="37">
        <v>100000.0</v>
      </c>
      <c r="M122" s="37"/>
      <c r="N122" s="29" t="s">
        <v>1062</v>
      </c>
      <c r="O122" s="29" t="s">
        <v>1228</v>
      </c>
      <c r="P122" s="44" t="s">
        <v>1184</v>
      </c>
      <c r="Q122" s="40"/>
    </row>
    <row r="123">
      <c r="A123" s="29">
        <v>2021.0</v>
      </c>
      <c r="B123" s="40" t="s">
        <v>127</v>
      </c>
      <c r="C123" s="13" t="str">
        <f>IFERROR(VLOOKUP(B123,'Regiões'!A:B,2,0),"")</f>
        <v>Metropolitana de Porto Alegre</v>
      </c>
      <c r="D123" s="29" t="s">
        <v>1232</v>
      </c>
      <c r="E123" s="32" t="s">
        <v>485</v>
      </c>
      <c r="F123" s="42"/>
      <c r="G123" s="41" t="s">
        <v>1233</v>
      </c>
      <c r="H123" s="35">
        <v>4.1160002E7</v>
      </c>
      <c r="I123" s="29" t="s">
        <v>1087</v>
      </c>
      <c r="J123" s="29" t="s">
        <v>7</v>
      </c>
      <c r="K123" s="29" t="s">
        <v>152</v>
      </c>
      <c r="L123" s="37">
        <v>100000.0</v>
      </c>
      <c r="M123" s="37"/>
      <c r="N123" s="29" t="s">
        <v>1062</v>
      </c>
      <c r="O123" s="29" t="s">
        <v>110</v>
      </c>
      <c r="P123" s="46" t="s">
        <v>1235</v>
      </c>
      <c r="Q123" s="40"/>
    </row>
    <row r="124">
      <c r="A124" s="47">
        <v>2021.0</v>
      </c>
      <c r="B124" s="230" t="s">
        <v>298</v>
      </c>
      <c r="C124" s="13" t="str">
        <f>IFERROR(VLOOKUP(B124,'Regiões'!A:B,2,0),"")</f>
        <v>Vale do Paranhana</v>
      </c>
      <c r="D124" s="29" t="s">
        <v>1243</v>
      </c>
      <c r="E124" s="49" t="s">
        <v>485</v>
      </c>
      <c r="F124" s="235"/>
      <c r="G124" s="230" t="s">
        <v>1247</v>
      </c>
      <c r="H124" s="237">
        <v>4.1160002E7</v>
      </c>
      <c r="I124" s="47" t="s">
        <v>1087</v>
      </c>
      <c r="J124" s="47" t="s">
        <v>7</v>
      </c>
      <c r="K124" s="47" t="s">
        <v>152</v>
      </c>
      <c r="L124" s="52">
        <v>100000.0</v>
      </c>
      <c r="M124" s="52"/>
      <c r="N124" s="47" t="s">
        <v>1062</v>
      </c>
      <c r="O124" s="47" t="s">
        <v>265</v>
      </c>
      <c r="P124" s="240" t="s">
        <v>1258</v>
      </c>
      <c r="Q124" s="54" t="s">
        <v>1263</v>
      </c>
    </row>
    <row r="125">
      <c r="A125" s="29">
        <v>2022.0</v>
      </c>
      <c r="B125" s="29" t="s">
        <v>779</v>
      </c>
      <c r="C125" s="13" t="str">
        <f>IFERROR(VLOOKUP(B125,'Regiões'!A:B,2,0),"")</f>
        <v>Zona Sul</v>
      </c>
      <c r="D125" s="29" t="s">
        <v>1271</v>
      </c>
      <c r="E125" s="32" t="s">
        <v>485</v>
      </c>
      <c r="F125" s="243"/>
      <c r="G125" s="245" t="s">
        <v>1251</v>
      </c>
      <c r="H125" s="35">
        <v>4.1160003E7</v>
      </c>
      <c r="I125" s="29" t="s">
        <v>1087</v>
      </c>
      <c r="J125" s="29" t="s">
        <v>7</v>
      </c>
      <c r="K125" s="29" t="s">
        <v>152</v>
      </c>
      <c r="L125" s="38">
        <v>100000.0</v>
      </c>
      <c r="M125" s="38"/>
      <c r="N125" s="29" t="s">
        <v>200</v>
      </c>
      <c r="O125" s="29" t="s">
        <v>1277</v>
      </c>
      <c r="P125" s="247" t="s">
        <v>1278</v>
      </c>
      <c r="Q125" s="40"/>
    </row>
    <row r="126">
      <c r="A126" s="29">
        <v>2022.0</v>
      </c>
      <c r="B126" s="40" t="s">
        <v>528</v>
      </c>
      <c r="C126" s="13" t="str">
        <f>IFERROR(VLOOKUP(B126,'Regiões'!A:B,2,0),"")</f>
        <v>Fronteira Oeste</v>
      </c>
      <c r="D126" s="29" t="s">
        <v>1282</v>
      </c>
      <c r="E126" s="32" t="s">
        <v>485</v>
      </c>
      <c r="F126" s="249"/>
      <c r="G126" s="40" t="s">
        <v>1285</v>
      </c>
      <c r="H126" s="35">
        <v>7120004.0</v>
      </c>
      <c r="I126" s="29" t="s">
        <v>488</v>
      </c>
      <c r="J126" s="29" t="s">
        <v>7</v>
      </c>
      <c r="K126" s="29" t="s">
        <v>84</v>
      </c>
      <c r="L126" s="37">
        <v>100000.0</v>
      </c>
      <c r="M126" s="37"/>
      <c r="N126" s="29" t="s">
        <v>1193</v>
      </c>
      <c r="O126" s="47" t="s">
        <v>110</v>
      </c>
      <c r="P126" s="46" t="s">
        <v>1213</v>
      </c>
      <c r="Q126" s="40"/>
    </row>
    <row r="127">
      <c r="A127" s="29">
        <v>2022.0</v>
      </c>
      <c r="B127" s="29" t="s">
        <v>942</v>
      </c>
      <c r="C127" s="13" t="str">
        <f>IFERROR(VLOOKUP(B127,'Regiões'!A:B,2,0),"")</f>
        <v>Vale do Rio Pardo</v>
      </c>
      <c r="D127" s="29" t="s">
        <v>1288</v>
      </c>
      <c r="E127" s="32" t="s">
        <v>485</v>
      </c>
      <c r="F127" s="243"/>
      <c r="G127" s="245" t="s">
        <v>1261</v>
      </c>
      <c r="H127" s="35">
        <v>4.1160003E7</v>
      </c>
      <c r="I127" s="29" t="s">
        <v>1087</v>
      </c>
      <c r="J127" s="29" t="s">
        <v>7</v>
      </c>
      <c r="K127" s="29" t="s">
        <v>152</v>
      </c>
      <c r="L127" s="38">
        <v>100000.0</v>
      </c>
      <c r="M127" s="38"/>
      <c r="N127" s="29" t="s">
        <v>200</v>
      </c>
      <c r="O127" s="29" t="s">
        <v>110</v>
      </c>
      <c r="P127" s="39"/>
      <c r="Q127" s="40"/>
    </row>
    <row r="128">
      <c r="A128" s="13">
        <v>2023.0</v>
      </c>
      <c r="B128" s="55" t="s">
        <v>77</v>
      </c>
      <c r="C128" s="13" t="str">
        <f>IFERROR(VLOOKUP(B128,'Regiões'!A:B,2,0),"")</f>
        <v>Fronteira Noroeste</v>
      </c>
      <c r="D128" s="13" t="s">
        <v>1296</v>
      </c>
      <c r="E128" s="56" t="s">
        <v>360</v>
      </c>
      <c r="F128" s="57"/>
      <c r="G128" s="58" t="s">
        <v>1298</v>
      </c>
      <c r="H128" s="59"/>
      <c r="I128" s="13" t="s">
        <v>373</v>
      </c>
      <c r="J128" s="13" t="s">
        <v>7</v>
      </c>
      <c r="K128" s="13" t="s">
        <v>84</v>
      </c>
      <c r="L128" s="60">
        <v>100000.0</v>
      </c>
      <c r="M128" s="60"/>
      <c r="N128" s="13" t="s">
        <v>389</v>
      </c>
      <c r="O128" s="13" t="s">
        <v>110</v>
      </c>
      <c r="P128" s="61" t="s">
        <v>1301</v>
      </c>
      <c r="Q128" s="62"/>
    </row>
    <row r="129">
      <c r="A129" s="13">
        <v>2023.0</v>
      </c>
      <c r="B129" s="79" t="s">
        <v>275</v>
      </c>
      <c r="C129" s="13" t="str">
        <f>IFERROR(VLOOKUP(B129,'Regiões'!A:B,2,0),"")</f>
        <v>Encosta Superior do Nordeste</v>
      </c>
      <c r="D129" s="13" t="s">
        <v>1305</v>
      </c>
      <c r="E129" s="80" t="s">
        <v>220</v>
      </c>
      <c r="F129" s="81"/>
      <c r="G129" s="79" t="s">
        <v>1306</v>
      </c>
      <c r="H129" s="82"/>
      <c r="I129" s="13" t="s">
        <v>1307</v>
      </c>
      <c r="J129" s="13" t="str">
        <f>LEFT(I129,FIND(" (",I129) - 1)</f>
        <v>Saúde</v>
      </c>
      <c r="K129" s="13" t="s">
        <v>152</v>
      </c>
      <c r="L129" s="83">
        <v>100000.0</v>
      </c>
      <c r="M129" s="83"/>
      <c r="N129" s="13" t="s">
        <v>89</v>
      </c>
      <c r="O129" s="13" t="s">
        <v>110</v>
      </c>
      <c r="P129" s="80" t="s">
        <v>296</v>
      </c>
      <c r="Q129" s="79"/>
    </row>
    <row r="130">
      <c r="A130" s="13">
        <v>2023.0</v>
      </c>
      <c r="B130" s="55" t="s">
        <v>102</v>
      </c>
      <c r="C130" s="13" t="str">
        <f>IFERROR(VLOOKUP(B130,'Regiões'!A:B,2,0),"")</f>
        <v>Vale dos Sinos</v>
      </c>
      <c r="D130" s="13" t="s">
        <v>1319</v>
      </c>
      <c r="E130" s="56" t="s">
        <v>360</v>
      </c>
      <c r="F130" s="57"/>
      <c r="G130" s="58" t="s">
        <v>1321</v>
      </c>
      <c r="H130" s="59"/>
      <c r="I130" s="13" t="s">
        <v>373</v>
      </c>
      <c r="J130" s="13" t="s">
        <v>7</v>
      </c>
      <c r="K130" s="13" t="s">
        <v>84</v>
      </c>
      <c r="L130" s="60">
        <v>100000.0</v>
      </c>
      <c r="M130" s="60"/>
      <c r="N130" s="13" t="s">
        <v>389</v>
      </c>
      <c r="O130" s="13" t="s">
        <v>110</v>
      </c>
      <c r="P130" s="61" t="s">
        <v>1323</v>
      </c>
      <c r="Q130" s="62"/>
    </row>
    <row r="131">
      <c r="A131" s="11">
        <v>2024.0</v>
      </c>
      <c r="B131" s="12" t="s">
        <v>49</v>
      </c>
      <c r="C131" s="13" t="str">
        <f>IFERROR(VLOOKUP(B131,'Regiões'!A:B,2,0),"")</f>
        <v>Centro do Estado</v>
      </c>
      <c r="D131" s="13" t="s">
        <v>1331</v>
      </c>
      <c r="E131" s="15" t="str">
        <f t="shared" ref="E131:E138" si="3">G131&amp;" de "&amp;B131</f>
        <v>Prefeitura Municipal de Nova Palma</v>
      </c>
      <c r="F131" s="17"/>
      <c r="G131" s="18" t="s">
        <v>74</v>
      </c>
      <c r="H131" s="20">
        <v>4.1160001E7</v>
      </c>
      <c r="I131" s="11" t="s">
        <v>334</v>
      </c>
      <c r="J131" s="11" t="s">
        <v>7</v>
      </c>
      <c r="K131" s="21" t="s">
        <v>84</v>
      </c>
      <c r="L131" s="22">
        <v>100000.0</v>
      </c>
      <c r="M131" s="22"/>
      <c r="N131" s="13" t="s">
        <v>89</v>
      </c>
      <c r="O131" s="21"/>
      <c r="P131" s="23"/>
      <c r="Q131" s="24"/>
    </row>
    <row r="132">
      <c r="A132" s="11">
        <v>2024.0</v>
      </c>
      <c r="B132" s="12" t="s">
        <v>252</v>
      </c>
      <c r="C132" s="13" t="str">
        <f>IFERROR(VLOOKUP(B132,'Regiões'!A:B,2,0),"")</f>
        <v>Vale dos Sinos</v>
      </c>
      <c r="D132" s="13" t="s">
        <v>1339</v>
      </c>
      <c r="E132" s="15" t="str">
        <f t="shared" si="3"/>
        <v>Prefeitura Municipal de Presidente Lucena</v>
      </c>
      <c r="F132" s="17"/>
      <c r="G132" s="18" t="s">
        <v>74</v>
      </c>
      <c r="H132" s="20">
        <v>4.1160001E7</v>
      </c>
      <c r="I132" s="11" t="s">
        <v>334</v>
      </c>
      <c r="J132" s="11" t="s">
        <v>7</v>
      </c>
      <c r="K132" s="21" t="s">
        <v>84</v>
      </c>
      <c r="L132" s="22">
        <v>100000.0</v>
      </c>
      <c r="M132" s="22"/>
      <c r="N132" s="13" t="s">
        <v>89</v>
      </c>
      <c r="O132" s="21"/>
      <c r="P132" s="23"/>
      <c r="Q132" s="24"/>
    </row>
    <row r="133">
      <c r="A133" s="11">
        <v>2024.0</v>
      </c>
      <c r="B133" s="12" t="s">
        <v>48</v>
      </c>
      <c r="C133" s="13" t="str">
        <f>IFERROR(VLOOKUP(B133,'Regiões'!A:B,2,0),"")</f>
        <v>Turismo da Serra</v>
      </c>
      <c r="D133" s="13"/>
      <c r="E133" s="15" t="str">
        <f t="shared" si="3"/>
        <v>Prefeitura Municipal de Gramado</v>
      </c>
      <c r="F133" s="17"/>
      <c r="G133" s="18" t="s">
        <v>74</v>
      </c>
      <c r="H133" s="20">
        <v>4.1160002E7</v>
      </c>
      <c r="I133" s="11" t="s">
        <v>903</v>
      </c>
      <c r="J133" s="11" t="s">
        <v>7</v>
      </c>
      <c r="K133" s="21" t="s">
        <v>84</v>
      </c>
      <c r="L133" s="22">
        <v>100000.0</v>
      </c>
      <c r="M133" s="22"/>
      <c r="N133" s="13" t="s">
        <v>89</v>
      </c>
      <c r="O133" s="21"/>
      <c r="P133" s="23"/>
      <c r="Q133" s="24"/>
    </row>
    <row r="134">
      <c r="A134" s="11">
        <v>2024.0</v>
      </c>
      <c r="B134" s="12" t="s">
        <v>879</v>
      </c>
      <c r="C134" s="13" t="str">
        <f>IFERROR(VLOOKUP(B134,'Regiões'!A:B,2,0),"")</f>
        <v>Vale do Rio Pardo</v>
      </c>
      <c r="D134" s="13" t="s">
        <v>1346</v>
      </c>
      <c r="E134" s="15" t="str">
        <f t="shared" si="3"/>
        <v>Prefeitura Municipal de Santa Cruz do Sul</v>
      </c>
      <c r="F134" s="17"/>
      <c r="G134" s="18" t="s">
        <v>74</v>
      </c>
      <c r="H134" s="20">
        <v>4.1160002E7</v>
      </c>
      <c r="I134" s="11" t="s">
        <v>903</v>
      </c>
      <c r="J134" s="11" t="s">
        <v>7</v>
      </c>
      <c r="K134" s="21" t="s">
        <v>84</v>
      </c>
      <c r="L134" s="22">
        <v>100000.0</v>
      </c>
      <c r="M134" s="22"/>
      <c r="N134" s="13" t="s">
        <v>89</v>
      </c>
      <c r="O134" s="21"/>
      <c r="P134" s="23"/>
      <c r="Q134" s="24"/>
    </row>
    <row r="135">
      <c r="A135" s="11">
        <v>2024.0</v>
      </c>
      <c r="B135" s="18" t="s">
        <v>435</v>
      </c>
      <c r="C135" s="13" t="str">
        <f>IFERROR(VLOOKUP(B135,'Regiões'!A:B,2,0),"")</f>
        <v>Vale do Taquari</v>
      </c>
      <c r="D135" s="13" t="s">
        <v>1349</v>
      </c>
      <c r="E135" s="15" t="str">
        <f t="shared" si="3"/>
        <v>Prefeitura Municipal de Venâncio Aires</v>
      </c>
      <c r="F135" s="17"/>
      <c r="G135" s="18" t="s">
        <v>74</v>
      </c>
      <c r="H135" s="20">
        <v>4.1160002E7</v>
      </c>
      <c r="I135" s="11" t="s">
        <v>903</v>
      </c>
      <c r="J135" s="11" t="s">
        <v>7</v>
      </c>
      <c r="K135" s="21" t="s">
        <v>84</v>
      </c>
      <c r="L135" s="22">
        <v>100000.0</v>
      </c>
      <c r="M135" s="22"/>
      <c r="N135" s="13" t="s">
        <v>89</v>
      </c>
      <c r="O135" s="21"/>
      <c r="P135" s="23"/>
      <c r="Q135" s="24"/>
    </row>
    <row r="136">
      <c r="A136" s="11">
        <v>2024.0</v>
      </c>
      <c r="B136" s="18" t="s">
        <v>449</v>
      </c>
      <c r="C136" s="13" t="str">
        <f>IFERROR(VLOOKUP(B136,'Regiões'!A:B,2,0),"")</f>
        <v>Costa Doce</v>
      </c>
      <c r="D136" s="13" t="s">
        <v>1355</v>
      </c>
      <c r="E136" s="15" t="str">
        <f t="shared" si="3"/>
        <v>Prefeitura Municipal de Guaíba</v>
      </c>
      <c r="F136" s="17"/>
      <c r="G136" s="18" t="s">
        <v>74</v>
      </c>
      <c r="H136" s="20">
        <v>4.1160002E7</v>
      </c>
      <c r="I136" s="11" t="s">
        <v>903</v>
      </c>
      <c r="J136" s="11" t="s">
        <v>7</v>
      </c>
      <c r="K136" s="21" t="s">
        <v>84</v>
      </c>
      <c r="L136" s="22">
        <v>100000.0</v>
      </c>
      <c r="M136" s="22"/>
      <c r="N136" s="13" t="s">
        <v>89</v>
      </c>
      <c r="O136" s="21"/>
      <c r="P136" s="23"/>
      <c r="Q136" s="24"/>
    </row>
    <row r="137">
      <c r="A137" s="11">
        <v>2024.0</v>
      </c>
      <c r="B137" s="18" t="s">
        <v>462</v>
      </c>
      <c r="C137" s="13" t="str">
        <f>IFERROR(VLOOKUP(B137,'Regiões'!A:B,2,0),"")</f>
        <v>Vale do Paranhana</v>
      </c>
      <c r="D137" s="13" t="s">
        <v>1359</v>
      </c>
      <c r="E137" s="15" t="str">
        <f t="shared" si="3"/>
        <v>Prefeitura Municipal de Parobé</v>
      </c>
      <c r="F137" s="17"/>
      <c r="G137" s="18" t="s">
        <v>74</v>
      </c>
      <c r="H137" s="20">
        <v>4.1160002E7</v>
      </c>
      <c r="I137" s="11" t="s">
        <v>903</v>
      </c>
      <c r="J137" s="11" t="s">
        <v>7</v>
      </c>
      <c r="K137" s="21" t="s">
        <v>84</v>
      </c>
      <c r="L137" s="22">
        <v>100000.0</v>
      </c>
      <c r="M137" s="22"/>
      <c r="N137" s="13" t="s">
        <v>89</v>
      </c>
      <c r="O137" s="21"/>
      <c r="P137" s="23"/>
      <c r="Q137" s="24"/>
    </row>
    <row r="138">
      <c r="A138" s="11">
        <v>2024.0</v>
      </c>
      <c r="B138" s="12" t="s">
        <v>191</v>
      </c>
      <c r="C138" s="13" t="str">
        <f>IFERROR(VLOOKUP(B138,'Regiões'!A:B,2,0),"")</f>
        <v>Vale do Paranhana</v>
      </c>
      <c r="D138" s="13" t="s">
        <v>1362</v>
      </c>
      <c r="E138" s="15" t="str">
        <f t="shared" si="3"/>
        <v>Prefeitura Municipal de Igrejinha</v>
      </c>
      <c r="F138" s="17"/>
      <c r="G138" s="18" t="s">
        <v>74</v>
      </c>
      <c r="H138" s="20">
        <v>4.1160005E7</v>
      </c>
      <c r="I138" s="11" t="s">
        <v>79</v>
      </c>
      <c r="J138" s="11" t="s">
        <v>79</v>
      </c>
      <c r="K138" s="21" t="s">
        <v>84</v>
      </c>
      <c r="L138" s="22">
        <v>100000.0</v>
      </c>
      <c r="M138" s="22"/>
      <c r="N138" s="13" t="s">
        <v>89</v>
      </c>
      <c r="O138" s="21"/>
      <c r="P138" s="23"/>
      <c r="Q138" s="24"/>
    </row>
    <row r="139">
      <c r="A139" s="11">
        <v>2025.0</v>
      </c>
      <c r="B139" s="18" t="s">
        <v>386</v>
      </c>
      <c r="C139" s="13" t="str">
        <f>IFERROR(VLOOKUP(B139,'Regiões'!A:B,2,0),"")</f>
        <v>Alto Uruguai</v>
      </c>
      <c r="D139" s="13" t="s">
        <v>1368</v>
      </c>
      <c r="E139" s="15" t="s">
        <v>1369</v>
      </c>
      <c r="F139" s="17">
        <v>1.2123735000191E13</v>
      </c>
      <c r="G139" s="18" t="s">
        <v>74</v>
      </c>
      <c r="H139" s="293">
        <v>4.1160003E7</v>
      </c>
      <c r="I139" s="11" t="s">
        <v>9</v>
      </c>
      <c r="J139" s="11" t="s">
        <v>7</v>
      </c>
      <c r="K139" s="21" t="s">
        <v>152</v>
      </c>
      <c r="L139" s="298">
        <v>100000.0</v>
      </c>
      <c r="M139" s="298"/>
      <c r="N139" s="13" t="s">
        <v>89</v>
      </c>
      <c r="O139" s="21"/>
      <c r="P139" s="300"/>
      <c r="Q139" s="24"/>
    </row>
    <row r="140">
      <c r="A140" s="11">
        <v>2025.0</v>
      </c>
      <c r="B140" s="18" t="s">
        <v>386</v>
      </c>
      <c r="C140" s="13" t="str">
        <f>IFERROR(VLOOKUP(B140,'Regiões'!A:B,2,0),"")</f>
        <v>Alto Uruguai</v>
      </c>
      <c r="D140" s="13" t="s">
        <v>1394</v>
      </c>
      <c r="E140" s="15" t="s">
        <v>1369</v>
      </c>
      <c r="F140" s="17">
        <v>1.2123735000191E13</v>
      </c>
      <c r="G140" s="18" t="s">
        <v>74</v>
      </c>
      <c r="H140" s="72">
        <v>4.1160001E7</v>
      </c>
      <c r="I140" s="11" t="s">
        <v>228</v>
      </c>
      <c r="J140" s="11" t="s">
        <v>7</v>
      </c>
      <c r="K140" s="21" t="s">
        <v>84</v>
      </c>
      <c r="L140" s="309">
        <v>100000.0</v>
      </c>
      <c r="M140" s="309"/>
      <c r="N140" s="13" t="s">
        <v>89</v>
      </c>
      <c r="O140" s="21"/>
      <c r="P140" s="312" t="s">
        <v>513</v>
      </c>
      <c r="Q140" s="24"/>
    </row>
    <row r="141">
      <c r="A141" s="11">
        <v>2025.0</v>
      </c>
      <c r="B141" s="18" t="s">
        <v>300</v>
      </c>
      <c r="C141" s="13" t="str">
        <f>IFERROR(VLOOKUP(B141,'Regiões'!A:B,2,0),"")</f>
        <v>Litoral Norte</v>
      </c>
      <c r="D141" s="13" t="s">
        <v>1409</v>
      </c>
      <c r="E141" s="15" t="s">
        <v>1411</v>
      </c>
      <c r="F141" s="17">
        <v>1.1468991000158E13</v>
      </c>
      <c r="G141" s="18" t="s">
        <v>74</v>
      </c>
      <c r="H141" s="72">
        <v>4.1160002E7</v>
      </c>
      <c r="I141" s="11" t="s">
        <v>237</v>
      </c>
      <c r="J141" s="11" t="s">
        <v>7</v>
      </c>
      <c r="K141" s="21" t="s">
        <v>84</v>
      </c>
      <c r="L141" s="309">
        <v>100000.0</v>
      </c>
      <c r="M141" s="309"/>
      <c r="N141" s="13" t="s">
        <v>89</v>
      </c>
      <c r="O141" s="21"/>
      <c r="P141" s="312" t="s">
        <v>1416</v>
      </c>
      <c r="Q141" s="24"/>
    </row>
    <row r="142">
      <c r="A142" s="11">
        <v>2025.0</v>
      </c>
      <c r="B142" s="18" t="s">
        <v>657</v>
      </c>
      <c r="C142" s="13" t="str">
        <f>IFERROR(VLOOKUP(B142,'Regiões'!A:B,2,0),"")</f>
        <v>Zona da Produção</v>
      </c>
      <c r="D142" s="13" t="s">
        <v>1419</v>
      </c>
      <c r="E142" s="15" t="s">
        <v>1420</v>
      </c>
      <c r="F142" s="17">
        <v>1.1708221000135E13</v>
      </c>
      <c r="G142" s="18" t="s">
        <v>74</v>
      </c>
      <c r="H142" s="72">
        <v>4.1160002E7</v>
      </c>
      <c r="I142" s="11" t="s">
        <v>237</v>
      </c>
      <c r="J142" s="11" t="s">
        <v>7</v>
      </c>
      <c r="K142" s="21" t="s">
        <v>84</v>
      </c>
      <c r="L142" s="309">
        <v>100000.0</v>
      </c>
      <c r="M142" s="309"/>
      <c r="N142" s="13" t="s">
        <v>89</v>
      </c>
      <c r="O142" s="21"/>
      <c r="P142" s="312" t="s">
        <v>1422</v>
      </c>
      <c r="Q142" s="24"/>
    </row>
    <row r="143">
      <c r="A143" s="11">
        <v>2025.0</v>
      </c>
      <c r="B143" s="18" t="s">
        <v>657</v>
      </c>
      <c r="C143" s="13" t="str">
        <f>IFERROR(VLOOKUP(B143,'Regiões'!A:B,2,0),"")</f>
        <v>Zona da Produção</v>
      </c>
      <c r="D143" s="13" t="s">
        <v>1424</v>
      </c>
      <c r="E143" s="15" t="s">
        <v>1420</v>
      </c>
      <c r="F143" s="17">
        <v>1.1708221000135E13</v>
      </c>
      <c r="G143" s="18" t="s">
        <v>74</v>
      </c>
      <c r="H143" s="72">
        <v>4.1160002E7</v>
      </c>
      <c r="I143" s="11" t="s">
        <v>237</v>
      </c>
      <c r="J143" s="11" t="s">
        <v>7</v>
      </c>
      <c r="K143" s="21" t="s">
        <v>84</v>
      </c>
      <c r="L143" s="73">
        <v>100000.0</v>
      </c>
      <c r="M143" s="73"/>
      <c r="N143" s="13" t="s">
        <v>89</v>
      </c>
      <c r="O143" s="21"/>
      <c r="P143" s="61" t="s">
        <v>1426</v>
      </c>
      <c r="Q143" s="24"/>
    </row>
    <row r="144">
      <c r="A144" s="11">
        <v>2026.0</v>
      </c>
      <c r="B144" s="18" t="s">
        <v>783</v>
      </c>
      <c r="C144" s="13" t="str">
        <f>IFERROR(VLOOKUP(B144,'Regiões'!A:B,2,0),"")</f>
        <v>Campos de cima da Serra</v>
      </c>
      <c r="D144" s="13"/>
      <c r="E144" s="25" t="s">
        <v>1427</v>
      </c>
      <c r="F144" s="17">
        <v>1.2128072000106E13</v>
      </c>
      <c r="G144" s="18" t="s">
        <v>1428</v>
      </c>
      <c r="H144" s="20">
        <v>4.1160005E7</v>
      </c>
      <c r="I144" s="11" t="s">
        <v>7</v>
      </c>
      <c r="J144" s="11" t="s">
        <v>7</v>
      </c>
      <c r="K144" s="21" t="s">
        <v>1099</v>
      </c>
      <c r="L144" s="22">
        <v>100000.0</v>
      </c>
      <c r="M144" s="22"/>
      <c r="N144" s="11" t="s">
        <v>155</v>
      </c>
      <c r="O144" s="21"/>
      <c r="P144" s="23"/>
      <c r="Q144" s="24"/>
    </row>
    <row r="145">
      <c r="A145" s="11">
        <v>2026.0</v>
      </c>
      <c r="B145" s="18" t="s">
        <v>939</v>
      </c>
      <c r="C145" s="13" t="str">
        <f>IFERROR(VLOOKUP(B145,'Regiões'!A:B,2,0),"")</f>
        <v>Missões</v>
      </c>
      <c r="D145" s="13"/>
      <c r="E145" s="25" t="s">
        <v>1429</v>
      </c>
      <c r="F145" s="17">
        <v>1.210242700018E13</v>
      </c>
      <c r="G145" s="18" t="s">
        <v>1430</v>
      </c>
      <c r="H145" s="20">
        <v>4.1160005E7</v>
      </c>
      <c r="I145" s="11" t="s">
        <v>7</v>
      </c>
      <c r="J145" s="11" t="s">
        <v>7</v>
      </c>
      <c r="K145" s="21" t="s">
        <v>1099</v>
      </c>
      <c r="L145" s="22">
        <v>100000.0</v>
      </c>
      <c r="M145" s="22"/>
      <c r="N145" s="11" t="s">
        <v>155</v>
      </c>
      <c r="O145" s="21"/>
      <c r="P145" s="23"/>
      <c r="Q145" s="24"/>
    </row>
    <row r="146">
      <c r="A146" s="11">
        <v>2026.0</v>
      </c>
      <c r="B146" s="18" t="s">
        <v>246</v>
      </c>
      <c r="C146" s="13" t="str">
        <f>IFERROR(VLOOKUP(B146,'Regiões'!A:B,2,0),"")</f>
        <v>Vale do Taquari</v>
      </c>
      <c r="D146" s="13"/>
      <c r="E146" s="25" t="s">
        <v>1432</v>
      </c>
      <c r="F146" s="17">
        <v>1.1636789000198E13</v>
      </c>
      <c r="G146" s="18"/>
      <c r="H146" s="20">
        <v>4.1160005E7</v>
      </c>
      <c r="I146" s="11" t="s">
        <v>7</v>
      </c>
      <c r="J146" s="11" t="s">
        <v>7</v>
      </c>
      <c r="K146" s="21" t="s">
        <v>1099</v>
      </c>
      <c r="L146" s="22">
        <v>100000.0</v>
      </c>
      <c r="M146" s="22"/>
      <c r="N146" s="11" t="s">
        <v>155</v>
      </c>
      <c r="O146" s="21"/>
      <c r="P146" s="23"/>
      <c r="Q146" s="24"/>
    </row>
    <row r="147">
      <c r="A147" s="11">
        <v>2026.0</v>
      </c>
      <c r="B147" s="18" t="s">
        <v>721</v>
      </c>
      <c r="C147" s="13" t="str">
        <f>IFERROR(VLOOKUP(B147,'Regiões'!A:B,2,0),"")</f>
        <v>Litoral Norte</v>
      </c>
      <c r="D147" s="13"/>
      <c r="E147" s="25" t="s">
        <v>1433</v>
      </c>
      <c r="F147" s="17">
        <v>1.2012797000126E13</v>
      </c>
      <c r="G147" s="18"/>
      <c r="H147" s="20">
        <v>4.1160005E7</v>
      </c>
      <c r="I147" s="11" t="s">
        <v>7</v>
      </c>
      <c r="J147" s="11" t="s">
        <v>7</v>
      </c>
      <c r="K147" s="21" t="s">
        <v>1099</v>
      </c>
      <c r="L147" s="22">
        <v>100000.0</v>
      </c>
      <c r="M147" s="22"/>
      <c r="N147" s="11" t="s">
        <v>155</v>
      </c>
      <c r="O147" s="21"/>
      <c r="P147" s="23"/>
      <c r="Q147" s="24"/>
    </row>
    <row r="148">
      <c r="A148" s="11">
        <v>2026.0</v>
      </c>
      <c r="B148" s="18" t="s">
        <v>765</v>
      </c>
      <c r="C148" s="13" t="str">
        <f>IFERROR(VLOOKUP(B148,'Regiões'!A:B,2,0),"")</f>
        <v>Planalto</v>
      </c>
      <c r="D148" s="13"/>
      <c r="E148" s="25" t="s">
        <v>1438</v>
      </c>
      <c r="F148" s="17">
        <v>1.195148400017E13</v>
      </c>
      <c r="G148" s="18"/>
      <c r="H148" s="20">
        <v>4.1160005E7</v>
      </c>
      <c r="I148" s="11" t="s">
        <v>7</v>
      </c>
      <c r="J148" s="11" t="s">
        <v>7</v>
      </c>
      <c r="K148" s="21" t="s">
        <v>1099</v>
      </c>
      <c r="L148" s="22">
        <v>100000.0</v>
      </c>
      <c r="M148" s="22"/>
      <c r="N148" s="11" t="s">
        <v>155</v>
      </c>
      <c r="O148" s="21"/>
      <c r="P148" s="23"/>
      <c r="Q148" s="24"/>
    </row>
    <row r="149">
      <c r="A149" s="334">
        <v>2022.0</v>
      </c>
      <c r="B149" s="334" t="s">
        <v>952</v>
      </c>
      <c r="C149" s="334" t="str">
        <f>IFERROR(VLOOKUP(B149,'Regiões'!A:B,2,0),"")</f>
        <v>Litoral Norte</v>
      </c>
      <c r="D149" s="334" t="s">
        <v>1443</v>
      </c>
      <c r="E149" s="337" t="s">
        <v>14</v>
      </c>
      <c r="F149" s="341"/>
      <c r="G149" s="334" t="s">
        <v>74</v>
      </c>
      <c r="H149" s="343">
        <v>4.1160002E7</v>
      </c>
      <c r="I149" s="334" t="s">
        <v>193</v>
      </c>
      <c r="J149" s="334" t="s">
        <v>7</v>
      </c>
      <c r="K149" s="334" t="s">
        <v>84</v>
      </c>
      <c r="L149" s="345">
        <v>100139.0</v>
      </c>
      <c r="M149" s="345"/>
      <c r="N149" s="334" t="s">
        <v>200</v>
      </c>
      <c r="O149" s="334" t="s">
        <v>110</v>
      </c>
      <c r="P149" s="347"/>
      <c r="Q149" s="348"/>
    </row>
    <row r="150">
      <c r="A150" s="13">
        <v>2023.0</v>
      </c>
      <c r="B150" s="55" t="s">
        <v>1453</v>
      </c>
      <c r="C150" s="13" t="str">
        <f>IFERROR(VLOOKUP(B150,'Regiões'!A:B,2,0),"")</f>
        <v>Centro do Estado</v>
      </c>
      <c r="D150" s="13" t="s">
        <v>1458</v>
      </c>
      <c r="E150" s="56" t="s">
        <v>485</v>
      </c>
      <c r="F150" s="358"/>
      <c r="G150" s="55" t="s">
        <v>1460</v>
      </c>
      <c r="H150" s="59"/>
      <c r="I150" s="13" t="s">
        <v>1307</v>
      </c>
      <c r="J150" s="13" t="str">
        <f>LEFT(I150,FIND(" (",I150) - 1)</f>
        <v>Saúde</v>
      </c>
      <c r="K150" s="13" t="s">
        <v>152</v>
      </c>
      <c r="L150" s="60">
        <v>100308.0</v>
      </c>
      <c r="M150" s="60"/>
      <c r="N150" s="13" t="s">
        <v>89</v>
      </c>
      <c r="O150" s="13" t="s">
        <v>265</v>
      </c>
      <c r="P150" s="61" t="s">
        <v>1468</v>
      </c>
      <c r="Q150" s="62" t="s">
        <v>1469</v>
      </c>
    </row>
    <row r="151">
      <c r="A151" s="365">
        <v>2021.0</v>
      </c>
      <c r="B151" s="367" t="s">
        <v>54</v>
      </c>
      <c r="C151" s="13" t="str">
        <f>IFERROR(VLOOKUP(B151,'Regiões'!A:B,2,0),"")</f>
        <v>Centro do Estado</v>
      </c>
      <c r="D151" s="29" t="s">
        <v>1473</v>
      </c>
      <c r="E151" s="371" t="s">
        <v>485</v>
      </c>
      <c r="F151" s="372"/>
      <c r="G151" s="367" t="s">
        <v>1162</v>
      </c>
      <c r="H151" s="373">
        <v>4.1160003E7</v>
      </c>
      <c r="I151" s="365" t="s">
        <v>488</v>
      </c>
      <c r="J151" s="365" t="s">
        <v>7</v>
      </c>
      <c r="K151" s="365" t="s">
        <v>84</v>
      </c>
      <c r="L151" s="374">
        <v>102000.0</v>
      </c>
      <c r="M151" s="374"/>
      <c r="N151" s="365" t="s">
        <v>1062</v>
      </c>
      <c r="O151" s="365" t="s">
        <v>1171</v>
      </c>
      <c r="P151" s="376" t="s">
        <v>1172</v>
      </c>
      <c r="Q151" s="367"/>
    </row>
    <row r="152">
      <c r="A152" s="11">
        <v>2025.0</v>
      </c>
      <c r="B152" s="18" t="s">
        <v>338</v>
      </c>
      <c r="C152" s="13" t="str">
        <f>IFERROR(VLOOKUP(B152,'Regiões'!A:B,2,0),"")</f>
        <v>Vale do Rio Caí</v>
      </c>
      <c r="D152" s="13" t="s">
        <v>1488</v>
      </c>
      <c r="E152" s="15" t="s">
        <v>1489</v>
      </c>
      <c r="F152" s="17">
        <v>9.1365718000137E13</v>
      </c>
      <c r="G152" s="12" t="s">
        <v>1489</v>
      </c>
      <c r="H152" s="72">
        <v>4.1160004E7</v>
      </c>
      <c r="I152" s="11" t="s">
        <v>6</v>
      </c>
      <c r="J152" s="11" t="s">
        <v>7</v>
      </c>
      <c r="K152" s="21" t="s">
        <v>152</v>
      </c>
      <c r="L152" s="309">
        <v>102000.0</v>
      </c>
      <c r="M152" s="309"/>
      <c r="N152" s="13" t="s">
        <v>89</v>
      </c>
      <c r="O152" s="21"/>
      <c r="P152" s="56" t="s">
        <v>1490</v>
      </c>
      <c r="Q152" s="24"/>
    </row>
    <row r="153">
      <c r="A153" s="47">
        <v>2021.0</v>
      </c>
      <c r="B153" s="230" t="s">
        <v>816</v>
      </c>
      <c r="C153" s="13" t="str">
        <f>IFERROR(VLOOKUP(B153,'Regiões'!A:B,2,0),"")</f>
        <v>Encosta Superior do Nordeste</v>
      </c>
      <c r="D153" s="29" t="s">
        <v>1493</v>
      </c>
      <c r="E153" s="49"/>
      <c r="F153" s="235"/>
      <c r="G153" s="230" t="s">
        <v>1495</v>
      </c>
      <c r="H153" s="237">
        <v>4.1160002E7</v>
      </c>
      <c r="I153" s="47" t="s">
        <v>1087</v>
      </c>
      <c r="J153" s="47" t="s">
        <v>7</v>
      </c>
      <c r="K153" s="47" t="s">
        <v>152</v>
      </c>
      <c r="L153" s="52">
        <v>105000.0</v>
      </c>
      <c r="M153" s="52"/>
      <c r="N153" s="47" t="s">
        <v>1062</v>
      </c>
      <c r="O153" s="47" t="s">
        <v>1090</v>
      </c>
      <c r="P153" s="384" t="s">
        <v>1498</v>
      </c>
      <c r="Q153" s="54"/>
    </row>
    <row r="154">
      <c r="A154" s="13">
        <v>2023.0</v>
      </c>
      <c r="B154" s="55" t="s">
        <v>117</v>
      </c>
      <c r="C154" s="13" t="str">
        <f>IFERROR(VLOOKUP(B154,'Regiões'!A:B,2,0),"")</f>
        <v>Zona Sul</v>
      </c>
      <c r="D154" s="13" t="s">
        <v>1517</v>
      </c>
      <c r="E154" s="56" t="s">
        <v>485</v>
      </c>
      <c r="F154" s="358"/>
      <c r="G154" s="55" t="s">
        <v>1520</v>
      </c>
      <c r="H154" s="59"/>
      <c r="I154" s="13" t="s">
        <v>1307</v>
      </c>
      <c r="J154" s="13" t="str">
        <f>LEFT(I154,FIND(" (",I154) - 1)</f>
        <v>Saúde</v>
      </c>
      <c r="K154" s="13" t="s">
        <v>152</v>
      </c>
      <c r="L154" s="393">
        <v>105000.0</v>
      </c>
      <c r="M154" s="393"/>
      <c r="N154" s="13" t="s">
        <v>89</v>
      </c>
      <c r="O154" s="13" t="s">
        <v>265</v>
      </c>
      <c r="P154" s="394" t="s">
        <v>1524</v>
      </c>
      <c r="Q154" s="62"/>
    </row>
    <row r="155">
      <c r="A155" s="47">
        <v>2022.0</v>
      </c>
      <c r="B155" s="54" t="s">
        <v>102</v>
      </c>
      <c r="C155" s="13" t="str">
        <f>IFERROR(VLOOKUP(B155,'Regiões'!A:B,2,0),"")</f>
        <v>Vale dos Sinos</v>
      </c>
      <c r="D155" s="29" t="s">
        <v>1531</v>
      </c>
      <c r="E155" s="49" t="s">
        <v>485</v>
      </c>
      <c r="F155" s="396"/>
      <c r="G155" s="54" t="s">
        <v>1480</v>
      </c>
      <c r="H155" s="35">
        <v>7120004.0</v>
      </c>
      <c r="I155" s="29" t="s">
        <v>488</v>
      </c>
      <c r="J155" s="29" t="s">
        <v>7</v>
      </c>
      <c r="K155" s="29" t="s">
        <v>84</v>
      </c>
      <c r="L155" s="52">
        <v>106674.25</v>
      </c>
      <c r="M155" s="52"/>
      <c r="N155" s="29" t="s">
        <v>1516</v>
      </c>
      <c r="O155" s="47" t="s">
        <v>110</v>
      </c>
      <c r="P155" s="46" t="s">
        <v>1213</v>
      </c>
      <c r="Q155" s="54"/>
    </row>
    <row r="156">
      <c r="A156" s="13">
        <v>2023.0</v>
      </c>
      <c r="B156" s="55" t="s">
        <v>816</v>
      </c>
      <c r="C156" s="13" t="str">
        <f>IFERROR(VLOOKUP(B156,'Regiões'!A:B,2,0),"")</f>
        <v>Encosta Superior do Nordeste</v>
      </c>
      <c r="D156" s="13" t="s">
        <v>1535</v>
      </c>
      <c r="E156" s="56" t="s">
        <v>485</v>
      </c>
      <c r="F156" s="358"/>
      <c r="G156" s="55" t="s">
        <v>1495</v>
      </c>
      <c r="H156" s="59"/>
      <c r="I156" s="13" t="s">
        <v>1307</v>
      </c>
      <c r="J156" s="13" t="str">
        <f>LEFT(I156,FIND(" (",I156) - 1)</f>
        <v>Saúde</v>
      </c>
      <c r="K156" s="13" t="s">
        <v>152</v>
      </c>
      <c r="L156" s="393">
        <v>107438.0</v>
      </c>
      <c r="M156" s="393"/>
      <c r="N156" s="13" t="s">
        <v>89</v>
      </c>
      <c r="O156" s="13" t="s">
        <v>265</v>
      </c>
      <c r="P156" s="61" t="s">
        <v>1538</v>
      </c>
      <c r="Q156" s="62"/>
    </row>
    <row r="157">
      <c r="A157" s="11">
        <v>2025.0</v>
      </c>
      <c r="B157" s="18" t="s">
        <v>349</v>
      </c>
      <c r="C157" s="13" t="str">
        <f>IFERROR(VLOOKUP(B157,'Regiões'!A:B,2,0),"")</f>
        <v>Vale do Rio Caí</v>
      </c>
      <c r="D157" s="13" t="s">
        <v>1540</v>
      </c>
      <c r="E157" s="15" t="s">
        <v>1541</v>
      </c>
      <c r="F157" s="17">
        <v>1.3850694000106E13</v>
      </c>
      <c r="G157" s="18" t="s">
        <v>74</v>
      </c>
      <c r="H157" s="293">
        <v>4.1160003E7</v>
      </c>
      <c r="I157" s="11" t="s">
        <v>9</v>
      </c>
      <c r="J157" s="11" t="s">
        <v>7</v>
      </c>
      <c r="K157" s="21" t="s">
        <v>152</v>
      </c>
      <c r="L157" s="298">
        <v>110000.0</v>
      </c>
      <c r="M157" s="298"/>
      <c r="N157" s="13" t="s">
        <v>89</v>
      </c>
      <c r="O157" s="21"/>
      <c r="P157" s="402" t="s">
        <v>1543</v>
      </c>
      <c r="Q157" s="24"/>
    </row>
    <row r="158">
      <c r="A158" s="29">
        <v>2020.0</v>
      </c>
      <c r="B158" s="29" t="s">
        <v>127</v>
      </c>
      <c r="C158" s="13" t="str">
        <f>IFERROR(VLOOKUP(B158,'Regiões'!A:B,2,0),"")</f>
        <v>Metropolitana de Porto Alegre</v>
      </c>
      <c r="D158" s="29" t="s">
        <v>1548</v>
      </c>
      <c r="E158" s="32" t="s">
        <v>139</v>
      </c>
      <c r="F158" s="33"/>
      <c r="G158" s="29" t="s">
        <v>1549</v>
      </c>
      <c r="H158" s="35">
        <v>4.116001E7</v>
      </c>
      <c r="I158" s="29" t="s">
        <v>151</v>
      </c>
      <c r="J158" s="29" t="s">
        <v>27</v>
      </c>
      <c r="K158" s="29" t="s">
        <v>152</v>
      </c>
      <c r="L158" s="37">
        <v>111914.0</v>
      </c>
      <c r="M158" s="37"/>
      <c r="N158" s="29" t="s">
        <v>155</v>
      </c>
      <c r="O158" s="29" t="s">
        <v>1352</v>
      </c>
      <c r="P158" s="32" t="s">
        <v>1353</v>
      </c>
      <c r="Q158" s="29"/>
    </row>
    <row r="159">
      <c r="A159" s="47">
        <v>2021.0</v>
      </c>
      <c r="B159" s="230" t="s">
        <v>400</v>
      </c>
      <c r="C159" s="13" t="str">
        <f>IFERROR(VLOOKUP(B159,'Regiões'!A:B,2,0),"")</f>
        <v>Vale do Paranhana</v>
      </c>
      <c r="D159" s="29" t="s">
        <v>1553</v>
      </c>
      <c r="E159" s="49" t="s">
        <v>485</v>
      </c>
      <c r="F159" s="396"/>
      <c r="G159" s="54" t="s">
        <v>1554</v>
      </c>
      <c r="H159" s="237">
        <v>4.1160002E7</v>
      </c>
      <c r="I159" s="47" t="s">
        <v>1087</v>
      </c>
      <c r="J159" s="47" t="s">
        <v>7</v>
      </c>
      <c r="K159" s="47" t="s">
        <v>152</v>
      </c>
      <c r="L159" s="52">
        <v>112000.0</v>
      </c>
      <c r="M159" s="52"/>
      <c r="N159" s="47" t="s">
        <v>1062</v>
      </c>
      <c r="O159" s="47" t="s">
        <v>110</v>
      </c>
      <c r="P159" s="384" t="s">
        <v>1555</v>
      </c>
      <c r="Q159" s="54"/>
    </row>
    <row r="160">
      <c r="A160" s="64">
        <v>2020.0</v>
      </c>
      <c r="B160" s="64" t="s">
        <v>855</v>
      </c>
      <c r="C160" s="13" t="str">
        <f>IFERROR(VLOOKUP(B160,'Regiões'!A:B,2,0),"")</f>
        <v>Alto Jacuí</v>
      </c>
      <c r="D160" s="29" t="s">
        <v>1557</v>
      </c>
      <c r="E160" s="65" t="s">
        <v>485</v>
      </c>
      <c r="F160" s="66"/>
      <c r="G160" s="64" t="s">
        <v>1558</v>
      </c>
      <c r="H160" s="71">
        <v>4.1160005E7</v>
      </c>
      <c r="I160" s="64" t="s">
        <v>1559</v>
      </c>
      <c r="J160" s="64" t="s">
        <v>7</v>
      </c>
      <c r="K160" s="64" t="s">
        <v>84</v>
      </c>
      <c r="L160" s="68">
        <v>114000.0</v>
      </c>
      <c r="M160" s="68"/>
      <c r="N160" s="64" t="s">
        <v>89</v>
      </c>
      <c r="O160" s="64" t="s">
        <v>110</v>
      </c>
      <c r="P160" s="65" t="s">
        <v>1560</v>
      </c>
      <c r="Q160" s="70"/>
    </row>
    <row r="161">
      <c r="A161" s="365">
        <v>2021.0</v>
      </c>
      <c r="B161" s="367" t="s">
        <v>448</v>
      </c>
      <c r="C161" s="13" t="str">
        <f>IFERROR(VLOOKUP(B161,'Regiões'!A:B,2,0),"")</f>
        <v>Vale do Taquari</v>
      </c>
      <c r="D161" s="29" t="s">
        <v>1562</v>
      </c>
      <c r="E161" s="371" t="s">
        <v>485</v>
      </c>
      <c r="F161" s="372"/>
      <c r="G161" s="367" t="s">
        <v>1324</v>
      </c>
      <c r="H161" s="373">
        <v>4.1160003E7</v>
      </c>
      <c r="I161" s="365" t="s">
        <v>488</v>
      </c>
      <c r="J161" s="365" t="s">
        <v>7</v>
      </c>
      <c r="K161" s="365" t="s">
        <v>84</v>
      </c>
      <c r="L161" s="374">
        <v>114409.0</v>
      </c>
      <c r="M161" s="374"/>
      <c r="N161" s="365" t="s">
        <v>1062</v>
      </c>
      <c r="O161" s="365" t="s">
        <v>1171</v>
      </c>
      <c r="P161" s="376" t="s">
        <v>1328</v>
      </c>
      <c r="Q161" s="367"/>
    </row>
    <row r="162">
      <c r="A162" s="29">
        <v>2022.0</v>
      </c>
      <c r="B162" s="29" t="s">
        <v>851</v>
      </c>
      <c r="C162" s="13" t="str">
        <f>IFERROR(VLOOKUP(B162,'Regiões'!A:B,2,0),"")</f>
        <v>Fronteira Oeste</v>
      </c>
      <c r="D162" s="29" t="s">
        <v>1565</v>
      </c>
      <c r="E162" s="32" t="s">
        <v>485</v>
      </c>
      <c r="F162" s="243"/>
      <c r="G162" s="245" t="s">
        <v>1256</v>
      </c>
      <c r="H162" s="35">
        <v>4.1160003E7</v>
      </c>
      <c r="I162" s="29" t="s">
        <v>1087</v>
      </c>
      <c r="J162" s="29" t="s">
        <v>7</v>
      </c>
      <c r="K162" s="29" t="s">
        <v>152</v>
      </c>
      <c r="L162" s="38">
        <v>117000.0</v>
      </c>
      <c r="M162" s="38"/>
      <c r="N162" s="29" t="s">
        <v>200</v>
      </c>
      <c r="O162" s="29" t="s">
        <v>1082</v>
      </c>
      <c r="P162" s="39"/>
      <c r="Q162" s="40"/>
    </row>
    <row r="163">
      <c r="A163" s="13">
        <v>2023.0</v>
      </c>
      <c r="B163" s="55" t="s">
        <v>559</v>
      </c>
      <c r="C163" s="13" t="str">
        <f>IFERROR(VLOOKUP(B163,'Regiões'!A:B,2,0),"")</f>
        <v>Encosta Superior do Nordeste</v>
      </c>
      <c r="D163" s="13" t="s">
        <v>1578</v>
      </c>
      <c r="E163" s="56" t="s">
        <v>360</v>
      </c>
      <c r="F163" s="57"/>
      <c r="G163" s="58" t="s">
        <v>1580</v>
      </c>
      <c r="H163" s="59"/>
      <c r="I163" s="13" t="s">
        <v>373</v>
      </c>
      <c r="J163" s="13" t="s">
        <v>7</v>
      </c>
      <c r="K163" s="13" t="s">
        <v>84</v>
      </c>
      <c r="L163" s="60">
        <v>119941.01</v>
      </c>
      <c r="M163" s="60"/>
      <c r="N163" s="13" t="s">
        <v>389</v>
      </c>
      <c r="O163" s="13" t="s">
        <v>110</v>
      </c>
      <c r="P163" s="61" t="s">
        <v>1582</v>
      </c>
      <c r="Q163" s="62"/>
    </row>
    <row r="164">
      <c r="A164" s="334">
        <v>2022.0</v>
      </c>
      <c r="B164" s="334" t="s">
        <v>221</v>
      </c>
      <c r="C164" s="334" t="str">
        <f>IFERROR(VLOOKUP(B164,'Regiões'!A:B,2,0),"")</f>
        <v>Centro Serra</v>
      </c>
      <c r="D164" s="334" t="s">
        <v>1585</v>
      </c>
      <c r="E164" s="337" t="s">
        <v>485</v>
      </c>
      <c r="F164" s="420"/>
      <c r="G164" s="422" t="s">
        <v>1270</v>
      </c>
      <c r="H164" s="343">
        <v>4.1160003E7</v>
      </c>
      <c r="I164" s="334" t="s">
        <v>1087</v>
      </c>
      <c r="J164" s="334" t="s">
        <v>7</v>
      </c>
      <c r="K164" s="334" t="s">
        <v>152</v>
      </c>
      <c r="L164" s="345">
        <v>120000.0</v>
      </c>
      <c r="M164" s="345"/>
      <c r="N164" s="334" t="s">
        <v>200</v>
      </c>
      <c r="O164" s="334" t="s">
        <v>1598</v>
      </c>
      <c r="P164" s="347"/>
      <c r="Q164" s="348"/>
    </row>
    <row r="165">
      <c r="A165" s="13">
        <v>2023.0</v>
      </c>
      <c r="B165" s="55" t="s">
        <v>127</v>
      </c>
      <c r="C165" s="13" t="str">
        <f>IFERROR(VLOOKUP(B165,'Regiões'!A:B,2,0),"")</f>
        <v>Metropolitana de Porto Alegre</v>
      </c>
      <c r="D165" s="13" t="s">
        <v>1601</v>
      </c>
      <c r="E165" s="80" t="s">
        <v>485</v>
      </c>
      <c r="F165" s="81"/>
      <c r="G165" s="79" t="s">
        <v>1602</v>
      </c>
      <c r="H165" s="59"/>
      <c r="I165" s="13" t="s">
        <v>373</v>
      </c>
      <c r="J165" s="13" t="str">
        <f>LEFT(I165,FIND(" (",I165) - 1)</f>
        <v>Saúde</v>
      </c>
      <c r="K165" s="13" t="s">
        <v>84</v>
      </c>
      <c r="L165" s="393">
        <v>120000.0</v>
      </c>
      <c r="M165" s="393"/>
      <c r="N165" s="13" t="s">
        <v>89</v>
      </c>
      <c r="O165" s="13" t="s">
        <v>1603</v>
      </c>
      <c r="P165" s="61" t="s">
        <v>1604</v>
      </c>
      <c r="Q165" s="62"/>
    </row>
    <row r="166">
      <c r="A166" s="11">
        <v>2025.0</v>
      </c>
      <c r="B166" s="18" t="s">
        <v>934</v>
      </c>
      <c r="C166" s="13" t="str">
        <f>IFERROR(VLOOKUP(B166,'Regiões'!A:B,2,0),"")</f>
        <v>Encosta Superior do Nordeste</v>
      </c>
      <c r="D166" s="13" t="s">
        <v>1607</v>
      </c>
      <c r="E166" s="15" t="s">
        <v>1608</v>
      </c>
      <c r="F166" s="17">
        <v>9.039716700012E13</v>
      </c>
      <c r="G166" s="12" t="s">
        <v>1608</v>
      </c>
      <c r="H166" s="72">
        <v>4.1160004E7</v>
      </c>
      <c r="I166" s="11" t="s">
        <v>6</v>
      </c>
      <c r="J166" s="11" t="s">
        <v>7</v>
      </c>
      <c r="K166" s="21" t="s">
        <v>152</v>
      </c>
      <c r="L166" s="309">
        <v>120000.0</v>
      </c>
      <c r="M166" s="309"/>
      <c r="N166" s="13" t="s">
        <v>89</v>
      </c>
      <c r="O166" s="21"/>
      <c r="P166" s="56" t="s">
        <v>1609</v>
      </c>
      <c r="Q166" s="24"/>
    </row>
    <row r="167">
      <c r="A167" s="29">
        <v>2020.0</v>
      </c>
      <c r="B167" s="29" t="s">
        <v>127</v>
      </c>
      <c r="C167" s="13" t="str">
        <f>IFERROR(VLOOKUP(B167,'Regiões'!A:B,2,0),"")</f>
        <v>Metropolitana de Porto Alegre</v>
      </c>
      <c r="D167" s="29" t="s">
        <v>290</v>
      </c>
      <c r="E167" s="32" t="s">
        <v>291</v>
      </c>
      <c r="F167" s="33"/>
      <c r="G167" s="29" t="s">
        <v>291</v>
      </c>
      <c r="H167" s="45">
        <v>4.116001E7</v>
      </c>
      <c r="I167" s="29" t="s">
        <v>151</v>
      </c>
      <c r="J167" s="29" t="s">
        <v>27</v>
      </c>
      <c r="K167" s="29" t="s">
        <v>152</v>
      </c>
      <c r="L167" s="37">
        <v>122560.34</v>
      </c>
      <c r="M167" s="37"/>
      <c r="N167" s="29" t="s">
        <v>155</v>
      </c>
      <c r="O167" s="29" t="s">
        <v>305</v>
      </c>
      <c r="P167" s="109" t="s">
        <v>1397</v>
      </c>
      <c r="Q167" s="40"/>
    </row>
    <row r="168">
      <c r="A168" s="13">
        <v>2023.0</v>
      </c>
      <c r="B168" s="79" t="s">
        <v>166</v>
      </c>
      <c r="C168" s="13" t="str">
        <f>IFERROR(VLOOKUP(B168,'Regiões'!A:B,2,0),"")</f>
        <v>Encosta Superior do Nordeste</v>
      </c>
      <c r="D168" s="13" t="s">
        <v>1620</v>
      </c>
      <c r="E168" s="80" t="s">
        <v>220</v>
      </c>
      <c r="F168" s="81"/>
      <c r="G168" s="79" t="s">
        <v>1621</v>
      </c>
      <c r="H168" s="82"/>
      <c r="I168" s="13" t="s">
        <v>1307</v>
      </c>
      <c r="J168" s="13" t="str">
        <f>LEFT(I168,FIND(" (",I168) - 1)</f>
        <v>Saúde</v>
      </c>
      <c r="K168" s="13" t="s">
        <v>152</v>
      </c>
      <c r="L168" s="83">
        <v>130000.0</v>
      </c>
      <c r="M168" s="83"/>
      <c r="N168" s="13" t="s">
        <v>89</v>
      </c>
      <c r="O168" s="13" t="s">
        <v>265</v>
      </c>
      <c r="P168" s="80" t="s">
        <v>186</v>
      </c>
      <c r="Q168" s="79"/>
    </row>
    <row r="169">
      <c r="A169" s="11">
        <v>2025.0</v>
      </c>
      <c r="B169" s="18" t="s">
        <v>70</v>
      </c>
      <c r="C169" s="13" t="str">
        <f>IFERROR(VLOOKUP(B169,'Regiões'!A:B,2,0),"")</f>
        <v>Vale dos Sinos</v>
      </c>
      <c r="D169" s="13" t="s">
        <v>1630</v>
      </c>
      <c r="E169" s="15" t="s">
        <v>1632</v>
      </c>
      <c r="F169" s="17">
        <v>4.99441800097E12</v>
      </c>
      <c r="G169" s="12" t="s">
        <v>1632</v>
      </c>
      <c r="H169" s="72">
        <v>4.1160004E7</v>
      </c>
      <c r="I169" s="11" t="s">
        <v>6</v>
      </c>
      <c r="J169" s="11" t="s">
        <v>7</v>
      </c>
      <c r="K169" s="21" t="s">
        <v>152</v>
      </c>
      <c r="L169" s="309">
        <v>133252.0</v>
      </c>
      <c r="M169" s="309"/>
      <c r="N169" s="13" t="s">
        <v>89</v>
      </c>
      <c r="O169" s="21"/>
      <c r="P169" s="56" t="s">
        <v>1634</v>
      </c>
      <c r="Q169" s="24"/>
    </row>
    <row r="170">
      <c r="A170" s="11">
        <v>2025.0</v>
      </c>
      <c r="B170" s="18" t="s">
        <v>70</v>
      </c>
      <c r="C170" s="13" t="str">
        <f>IFERROR(VLOOKUP(B170,'Regiões'!A:B,2,0),"")</f>
        <v>Vale dos Sinos</v>
      </c>
      <c r="D170" s="13" t="s">
        <v>1636</v>
      </c>
      <c r="E170" s="15" t="s">
        <v>1637</v>
      </c>
      <c r="F170" s="17">
        <v>1.1310266000157E13</v>
      </c>
      <c r="G170" s="18" t="s">
        <v>74</v>
      </c>
      <c r="H170" s="72">
        <v>4.1160002E7</v>
      </c>
      <c r="I170" s="11" t="s">
        <v>237</v>
      </c>
      <c r="J170" s="11" t="s">
        <v>7</v>
      </c>
      <c r="K170" s="21" t="s">
        <v>84</v>
      </c>
      <c r="L170" s="73">
        <v>133252.0</v>
      </c>
      <c r="M170" s="73"/>
      <c r="N170" s="13" t="s">
        <v>89</v>
      </c>
      <c r="O170" s="21"/>
      <c r="P170" s="61" t="s">
        <v>1426</v>
      </c>
      <c r="Q170" s="24"/>
    </row>
    <row r="171">
      <c r="A171" s="29">
        <v>2020.0</v>
      </c>
      <c r="B171" s="29" t="s">
        <v>1499</v>
      </c>
      <c r="C171" s="13" t="str">
        <f>IFERROR(VLOOKUP(B171,'Regiões'!A:B,2,0),"")</f>
        <v/>
      </c>
      <c r="D171" s="29" t="s">
        <v>1638</v>
      </c>
      <c r="E171" s="32" t="s">
        <v>1094</v>
      </c>
      <c r="F171" s="33"/>
      <c r="G171" s="29" t="s">
        <v>1523</v>
      </c>
      <c r="H171" s="45">
        <v>4.1160012E7</v>
      </c>
      <c r="I171" s="29" t="s">
        <v>151</v>
      </c>
      <c r="J171" s="29" t="s">
        <v>27</v>
      </c>
      <c r="K171" s="29" t="s">
        <v>152</v>
      </c>
      <c r="L171" s="37">
        <v>134550.0</v>
      </c>
      <c r="M171" s="37" t="s">
        <v>1640</v>
      </c>
      <c r="N171" s="29" t="s">
        <v>155</v>
      </c>
      <c r="O171" s="29" t="s">
        <v>1641</v>
      </c>
      <c r="P171" s="32" t="s">
        <v>1529</v>
      </c>
      <c r="Q171" s="29"/>
    </row>
    <row r="172">
      <c r="A172" s="29">
        <v>2022.0</v>
      </c>
      <c r="B172" s="29" t="s">
        <v>821</v>
      </c>
      <c r="C172" s="13" t="str">
        <f>IFERROR(VLOOKUP(B172,'Regiões'!A:B,2,0),"")</f>
        <v>Planalto</v>
      </c>
      <c r="D172" s="29" t="s">
        <v>1644</v>
      </c>
      <c r="E172" s="32"/>
      <c r="F172" s="243"/>
      <c r="G172" s="245" t="s">
        <v>1234</v>
      </c>
      <c r="H172" s="35">
        <v>4.1160003E7</v>
      </c>
      <c r="I172" s="29" t="s">
        <v>1087</v>
      </c>
      <c r="J172" s="29" t="s">
        <v>7</v>
      </c>
      <c r="K172" s="29" t="s">
        <v>152</v>
      </c>
      <c r="L172" s="38">
        <v>135000.0</v>
      </c>
      <c r="M172" s="38"/>
      <c r="N172" s="29" t="s">
        <v>200</v>
      </c>
      <c r="O172" s="29" t="s">
        <v>110</v>
      </c>
      <c r="P172" s="39"/>
      <c r="Q172" s="40"/>
    </row>
    <row r="173">
      <c r="A173" s="365">
        <v>2021.0</v>
      </c>
      <c r="B173" s="367" t="s">
        <v>885</v>
      </c>
      <c r="C173" s="13" t="str">
        <f>IFERROR(VLOOKUP(B173,'Regiões'!A:B,2,0),"")</f>
        <v>Centro do Estado</v>
      </c>
      <c r="D173" s="29" t="s">
        <v>1646</v>
      </c>
      <c r="E173" s="371" t="s">
        <v>485</v>
      </c>
      <c r="F173" s="372"/>
      <c r="G173" s="367" t="s">
        <v>1647</v>
      </c>
      <c r="H173" s="373">
        <v>4.1160003E7</v>
      </c>
      <c r="I173" s="365" t="s">
        <v>488</v>
      </c>
      <c r="J173" s="365" t="s">
        <v>7</v>
      </c>
      <c r="K173" s="365" t="s">
        <v>84</v>
      </c>
      <c r="L173" s="374">
        <v>136540.0</v>
      </c>
      <c r="M173" s="374"/>
      <c r="N173" s="365" t="s">
        <v>1062</v>
      </c>
      <c r="O173" s="365" t="s">
        <v>1171</v>
      </c>
      <c r="P173" s="376" t="s">
        <v>1213</v>
      </c>
      <c r="Q173" s="367"/>
    </row>
    <row r="174">
      <c r="A174" s="365">
        <v>2021.0</v>
      </c>
      <c r="B174" s="367" t="s">
        <v>53</v>
      </c>
      <c r="C174" s="13" t="str">
        <f>IFERROR(VLOOKUP(B174,'Regiões'!A:B,2,0),"")</f>
        <v>Vale do Rio Caí</v>
      </c>
      <c r="D174" s="29" t="s">
        <v>1650</v>
      </c>
      <c r="E174" s="371" t="s">
        <v>485</v>
      </c>
      <c r="F174" s="372"/>
      <c r="G174" s="367" t="s">
        <v>1651</v>
      </c>
      <c r="H174" s="373">
        <v>4.1160003E7</v>
      </c>
      <c r="I174" s="365" t="s">
        <v>488</v>
      </c>
      <c r="J174" s="365" t="s">
        <v>7</v>
      </c>
      <c r="K174" s="365" t="s">
        <v>84</v>
      </c>
      <c r="L174" s="374">
        <v>136540.0</v>
      </c>
      <c r="M174" s="374"/>
      <c r="N174" s="365" t="s">
        <v>1062</v>
      </c>
      <c r="O174" s="365" t="s">
        <v>1171</v>
      </c>
      <c r="P174" s="376" t="s">
        <v>1213</v>
      </c>
      <c r="Q174" s="367"/>
    </row>
    <row r="175">
      <c r="A175" s="29">
        <v>2020.0</v>
      </c>
      <c r="B175" s="29" t="s">
        <v>796</v>
      </c>
      <c r="C175" s="13" t="str">
        <f>IFERROR(VLOOKUP(B175,'Regiões'!A:B,2,0),"")</f>
        <v>Encosta Superior do Nordeste</v>
      </c>
      <c r="D175" s="29" t="s">
        <v>1654</v>
      </c>
      <c r="E175" s="32" t="s">
        <v>1065</v>
      </c>
      <c r="F175" s="33"/>
      <c r="G175" s="29" t="s">
        <v>1286</v>
      </c>
      <c r="H175" s="100">
        <v>7.1220004E7</v>
      </c>
      <c r="I175" s="29" t="s">
        <v>151</v>
      </c>
      <c r="J175" s="29" t="s">
        <v>27</v>
      </c>
      <c r="K175" s="29" t="s">
        <v>152</v>
      </c>
      <c r="L175" s="37">
        <v>137569.0</v>
      </c>
      <c r="M175" s="37"/>
      <c r="N175" s="29" t="s">
        <v>389</v>
      </c>
      <c r="O175" s="29" t="s">
        <v>110</v>
      </c>
      <c r="P175" s="32" t="s">
        <v>1287</v>
      </c>
      <c r="Q175" s="40" t="s">
        <v>1509</v>
      </c>
    </row>
    <row r="176">
      <c r="A176" s="11">
        <v>2024.0</v>
      </c>
      <c r="B176" s="12" t="s">
        <v>355</v>
      </c>
      <c r="C176" s="13" t="str">
        <f>IFERROR(VLOOKUP(B176,'Regiões'!A:B,2,0),"")</f>
        <v>Centro do Estado</v>
      </c>
      <c r="D176" s="13" t="s">
        <v>1659</v>
      </c>
      <c r="E176" s="15" t="str">
        <f>G176&amp;" de "&amp;B176</f>
        <v>Prefeitura Municipal de Santa Maria</v>
      </c>
      <c r="F176" s="17"/>
      <c r="G176" s="18" t="s">
        <v>74</v>
      </c>
      <c r="H176" s="20">
        <v>4.1160002E7</v>
      </c>
      <c r="I176" s="11" t="s">
        <v>903</v>
      </c>
      <c r="J176" s="11" t="s">
        <v>7</v>
      </c>
      <c r="K176" s="21" t="s">
        <v>84</v>
      </c>
      <c r="L176" s="22">
        <v>139187.0</v>
      </c>
      <c r="M176" s="22"/>
      <c r="N176" s="13" t="s">
        <v>89</v>
      </c>
      <c r="O176" s="21"/>
      <c r="P176" s="23"/>
      <c r="Q176" s="24"/>
    </row>
    <row r="177">
      <c r="A177" s="64">
        <v>2019.0</v>
      </c>
      <c r="B177" s="64" t="s">
        <v>613</v>
      </c>
      <c r="C177" s="13" t="str">
        <f>IFERROR(VLOOKUP(B177,'Regiões'!A:B,2,0),"")</f>
        <v>Centro do Estado</v>
      </c>
      <c r="D177" s="29" t="s">
        <v>1664</v>
      </c>
      <c r="E177" s="65" t="s">
        <v>1065</v>
      </c>
      <c r="F177" s="66"/>
      <c r="G177" s="64" t="s">
        <v>1451</v>
      </c>
      <c r="H177" s="457"/>
      <c r="I177" s="64" t="s">
        <v>151</v>
      </c>
      <c r="J177" s="64" t="s">
        <v>27</v>
      </c>
      <c r="K177" s="64" t="s">
        <v>152</v>
      </c>
      <c r="L177" s="68">
        <v>140000.0</v>
      </c>
      <c r="M177" s="68"/>
      <c r="N177" s="64" t="s">
        <v>560</v>
      </c>
      <c r="O177" s="64" t="s">
        <v>110</v>
      </c>
      <c r="P177" s="65" t="s">
        <v>1434</v>
      </c>
      <c r="Q177" s="70" t="s">
        <v>1457</v>
      </c>
    </row>
    <row r="178">
      <c r="A178" s="64">
        <v>2019.0</v>
      </c>
      <c r="B178" s="64" t="s">
        <v>797</v>
      </c>
      <c r="C178" s="13" t="str">
        <f>IFERROR(VLOOKUP(B178,'Regiões'!A:B,2,0),"")</f>
        <v>Turismo da Serra</v>
      </c>
      <c r="D178" s="29" t="s">
        <v>1672</v>
      </c>
      <c r="E178" s="65" t="s">
        <v>1065</v>
      </c>
      <c r="F178" s="66"/>
      <c r="G178" s="64" t="s">
        <v>1425</v>
      </c>
      <c r="H178" s="458"/>
      <c r="I178" s="64" t="s">
        <v>151</v>
      </c>
      <c r="J178" s="64" t="s">
        <v>27</v>
      </c>
      <c r="K178" s="64" t="s">
        <v>152</v>
      </c>
      <c r="L178" s="68">
        <v>140000.0</v>
      </c>
      <c r="M178" s="68"/>
      <c r="N178" s="64" t="s">
        <v>560</v>
      </c>
      <c r="O178" s="64" t="s">
        <v>110</v>
      </c>
      <c r="P178" s="65" t="s">
        <v>1434</v>
      </c>
      <c r="Q178" s="70" t="s">
        <v>1457</v>
      </c>
    </row>
    <row r="179">
      <c r="A179" s="64">
        <v>2019.0</v>
      </c>
      <c r="B179" s="64" t="s">
        <v>904</v>
      </c>
      <c r="C179" s="13" t="str">
        <f>IFERROR(VLOOKUP(B179,'Regiões'!A:B,2,0),"")</f>
        <v>Vale do Rio Caí</v>
      </c>
      <c r="D179" s="29" t="s">
        <v>1675</v>
      </c>
      <c r="E179" s="65" t="s">
        <v>139</v>
      </c>
      <c r="F179" s="66"/>
      <c r="G179" s="64" t="s">
        <v>1450</v>
      </c>
      <c r="H179" s="71" t="s">
        <v>1676</v>
      </c>
      <c r="I179" s="64" t="s">
        <v>151</v>
      </c>
      <c r="J179" s="64" t="s">
        <v>27</v>
      </c>
      <c r="K179" s="64" t="s">
        <v>152</v>
      </c>
      <c r="L179" s="68">
        <v>140000.0</v>
      </c>
      <c r="M179" s="68"/>
      <c r="N179" s="64" t="s">
        <v>560</v>
      </c>
      <c r="O179" s="64" t="s">
        <v>110</v>
      </c>
      <c r="P179" s="65" t="s">
        <v>1452</v>
      </c>
      <c r="Q179" s="70" t="s">
        <v>1677</v>
      </c>
    </row>
    <row r="180">
      <c r="A180" s="64">
        <v>2019.0</v>
      </c>
      <c r="B180" s="64" t="s">
        <v>973</v>
      </c>
      <c r="C180" s="13" t="str">
        <f>IFERROR(VLOOKUP(B180,'Regiões'!A:B,2,0),"")</f>
        <v>Nordeste Riograndense</v>
      </c>
      <c r="D180" s="29" t="s">
        <v>1678</v>
      </c>
      <c r="E180" s="65" t="s">
        <v>1065</v>
      </c>
      <c r="F180" s="66"/>
      <c r="G180" s="64" t="s">
        <v>1491</v>
      </c>
      <c r="H180" s="458"/>
      <c r="I180" s="64" t="s">
        <v>151</v>
      </c>
      <c r="J180" s="64" t="s">
        <v>27</v>
      </c>
      <c r="K180" s="64" t="s">
        <v>152</v>
      </c>
      <c r="L180" s="68">
        <v>140000.0</v>
      </c>
      <c r="M180" s="68"/>
      <c r="N180" s="64" t="s">
        <v>560</v>
      </c>
      <c r="O180" s="64" t="s">
        <v>110</v>
      </c>
      <c r="P180" s="65" t="s">
        <v>1434</v>
      </c>
      <c r="Q180" s="70" t="s">
        <v>1457</v>
      </c>
    </row>
    <row r="181">
      <c r="A181" s="29">
        <v>2021.0</v>
      </c>
      <c r="B181" s="64" t="s">
        <v>76</v>
      </c>
      <c r="C181" s="13" t="str">
        <f>IFERROR(VLOOKUP(B181,'Regiões'!A:B,2,0),"")</f>
        <v>Encosta Superior do Nordeste</v>
      </c>
      <c r="D181" s="29" t="s">
        <v>1682</v>
      </c>
      <c r="E181" s="32" t="s">
        <v>485</v>
      </c>
      <c r="F181" s="42"/>
      <c r="G181" s="41" t="s">
        <v>1310</v>
      </c>
      <c r="H181" s="35">
        <v>4.1160002E7</v>
      </c>
      <c r="I181" s="29" t="s">
        <v>1087</v>
      </c>
      <c r="J181" s="29" t="s">
        <v>7</v>
      </c>
      <c r="K181" s="29" t="s">
        <v>152</v>
      </c>
      <c r="L181" s="37">
        <v>140000.0</v>
      </c>
      <c r="M181" s="37"/>
      <c r="N181" s="29" t="s">
        <v>1062</v>
      </c>
      <c r="O181" s="29" t="s">
        <v>110</v>
      </c>
      <c r="P181" s="46" t="s">
        <v>1683</v>
      </c>
      <c r="Q181" s="40"/>
    </row>
    <row r="182">
      <c r="A182" s="47">
        <v>2021.0</v>
      </c>
      <c r="B182" s="230" t="s">
        <v>983</v>
      </c>
      <c r="C182" s="13" t="str">
        <f>IFERROR(VLOOKUP(B182,'Regiões'!A:B,2,0),"")</f>
        <v>Campos de cima da Serra</v>
      </c>
      <c r="D182" s="29" t="s">
        <v>1686</v>
      </c>
      <c r="E182" s="49" t="s">
        <v>485</v>
      </c>
      <c r="F182" s="235"/>
      <c r="G182" s="230" t="s">
        <v>1687</v>
      </c>
      <c r="H182" s="237">
        <v>4.1160002E7</v>
      </c>
      <c r="I182" s="47" t="s">
        <v>1087</v>
      </c>
      <c r="J182" s="47" t="s">
        <v>7</v>
      </c>
      <c r="K182" s="47" t="s">
        <v>152</v>
      </c>
      <c r="L182" s="52">
        <v>140000.0</v>
      </c>
      <c r="M182" s="52"/>
      <c r="N182" s="47" t="s">
        <v>1062</v>
      </c>
      <c r="O182" s="47" t="s">
        <v>110</v>
      </c>
      <c r="P182" s="384" t="s">
        <v>1688</v>
      </c>
      <c r="Q182" s="54"/>
    </row>
    <row r="183">
      <c r="A183" s="13">
        <v>2023.0</v>
      </c>
      <c r="B183" s="79" t="s">
        <v>338</v>
      </c>
      <c r="C183" s="13" t="str">
        <f>IFERROR(VLOOKUP(B183,'Regiões'!A:B,2,0),"")</f>
        <v>Vale do Rio Caí</v>
      </c>
      <c r="D183" s="13" t="s">
        <v>1152</v>
      </c>
      <c r="E183" s="80" t="s">
        <v>220</v>
      </c>
      <c r="F183" s="81"/>
      <c r="G183" s="79" t="s">
        <v>1273</v>
      </c>
      <c r="H183" s="82"/>
      <c r="I183" s="13" t="s">
        <v>958</v>
      </c>
      <c r="J183" s="13" t="str">
        <f t="shared" ref="J183:J186" si="4">LEFT(I183,FIND(" (",I183) - 1)</f>
        <v>Segurança Pública</v>
      </c>
      <c r="K183" s="13" t="s">
        <v>152</v>
      </c>
      <c r="L183" s="83">
        <v>140000.0</v>
      </c>
      <c r="M183" s="83"/>
      <c r="N183" s="13" t="s">
        <v>89</v>
      </c>
      <c r="O183" s="13" t="s">
        <v>110</v>
      </c>
      <c r="P183" s="80" t="s">
        <v>1690</v>
      </c>
      <c r="Q183" s="79"/>
    </row>
    <row r="184">
      <c r="A184" s="13">
        <v>2023.0</v>
      </c>
      <c r="B184" s="55" t="s">
        <v>883</v>
      </c>
      <c r="C184" s="13" t="str">
        <f>IFERROR(VLOOKUP(B184,'Regiões'!A:B,2,0),"")</f>
        <v>Fronteira Noroeste</v>
      </c>
      <c r="D184" s="13" t="s">
        <v>1696</v>
      </c>
      <c r="E184" s="56" t="s">
        <v>360</v>
      </c>
      <c r="F184" s="57"/>
      <c r="G184" s="58" t="s">
        <v>1697</v>
      </c>
      <c r="H184" s="59"/>
      <c r="I184" s="13" t="s">
        <v>373</v>
      </c>
      <c r="J184" s="13" t="str">
        <f t="shared" si="4"/>
        <v>Saúde</v>
      </c>
      <c r="K184" s="13" t="s">
        <v>84</v>
      </c>
      <c r="L184" s="60">
        <v>140000.0</v>
      </c>
      <c r="M184" s="60"/>
      <c r="N184" s="13" t="s">
        <v>389</v>
      </c>
      <c r="O184" s="13" t="s">
        <v>110</v>
      </c>
      <c r="P184" s="61" t="s">
        <v>1698</v>
      </c>
      <c r="Q184" s="62"/>
    </row>
    <row r="185">
      <c r="A185" s="13">
        <v>2023.0</v>
      </c>
      <c r="B185" s="55" t="s">
        <v>551</v>
      </c>
      <c r="C185" s="13" t="str">
        <f>IFERROR(VLOOKUP(B185,'Regiões'!A:B,2,0),"")</f>
        <v>Encosta Superior do Nordeste</v>
      </c>
      <c r="D185" s="13" t="s">
        <v>1699</v>
      </c>
      <c r="E185" s="56" t="s">
        <v>360</v>
      </c>
      <c r="F185" s="57"/>
      <c r="G185" s="58" t="s">
        <v>1701</v>
      </c>
      <c r="H185" s="59"/>
      <c r="I185" s="13" t="s">
        <v>373</v>
      </c>
      <c r="J185" s="13" t="str">
        <f t="shared" si="4"/>
        <v>Saúde</v>
      </c>
      <c r="K185" s="13" t="s">
        <v>84</v>
      </c>
      <c r="L185" s="60">
        <v>140000.0</v>
      </c>
      <c r="M185" s="60"/>
      <c r="N185" s="13" t="s">
        <v>389</v>
      </c>
      <c r="O185" s="13" t="s">
        <v>110</v>
      </c>
      <c r="P185" s="61" t="s">
        <v>1703</v>
      </c>
      <c r="Q185" s="62"/>
    </row>
    <row r="186">
      <c r="A186" s="13">
        <v>2023.0</v>
      </c>
      <c r="B186" s="55" t="s">
        <v>238</v>
      </c>
      <c r="C186" s="13" t="str">
        <f>IFERROR(VLOOKUP(B186,'Regiões'!A:B,2,0),"")</f>
        <v>Zona Sul</v>
      </c>
      <c r="D186" s="13" t="s">
        <v>1706</v>
      </c>
      <c r="E186" s="56" t="s">
        <v>485</v>
      </c>
      <c r="F186" s="358"/>
      <c r="G186" s="55" t="s">
        <v>1708</v>
      </c>
      <c r="H186" s="59"/>
      <c r="I186" s="13" t="s">
        <v>373</v>
      </c>
      <c r="J186" s="13" t="str">
        <f t="shared" si="4"/>
        <v>Saúde</v>
      </c>
      <c r="K186" s="13" t="s">
        <v>84</v>
      </c>
      <c r="L186" s="60">
        <v>140300.0</v>
      </c>
      <c r="M186" s="60"/>
      <c r="N186" s="13" t="s">
        <v>89</v>
      </c>
      <c r="O186" s="13" t="s">
        <v>110</v>
      </c>
      <c r="P186" s="61" t="s">
        <v>1469</v>
      </c>
      <c r="Q186" s="62" t="s">
        <v>1469</v>
      </c>
    </row>
    <row r="187">
      <c r="A187" s="47">
        <v>2021.0</v>
      </c>
      <c r="B187" s="230" t="s">
        <v>607</v>
      </c>
      <c r="C187" s="13" t="str">
        <f>IFERROR(VLOOKUP(B187,'Regiões'!A:B,2,0),"")</f>
        <v>Alto Jacuí</v>
      </c>
      <c r="D187" s="29" t="s">
        <v>1709</v>
      </c>
      <c r="E187" s="49" t="s">
        <v>485</v>
      </c>
      <c r="F187" s="396"/>
      <c r="G187" s="54" t="s">
        <v>1442</v>
      </c>
      <c r="H187" s="237">
        <v>4.1160002E7</v>
      </c>
      <c r="I187" s="47" t="s">
        <v>1087</v>
      </c>
      <c r="J187" s="47" t="s">
        <v>7</v>
      </c>
      <c r="K187" s="47" t="s">
        <v>152</v>
      </c>
      <c r="L187" s="52">
        <v>141478.98</v>
      </c>
      <c r="M187" s="52"/>
      <c r="N187" s="47" t="s">
        <v>1062</v>
      </c>
      <c r="O187" s="47" t="s">
        <v>1710</v>
      </c>
      <c r="P187" s="384" t="s">
        <v>1445</v>
      </c>
      <c r="Q187" s="54"/>
    </row>
    <row r="188">
      <c r="A188" s="11">
        <v>2025.0</v>
      </c>
      <c r="B188" s="18" t="s">
        <v>462</v>
      </c>
      <c r="C188" s="13" t="str">
        <f>IFERROR(VLOOKUP(B188,'Regiões'!A:B,2,0),"")</f>
        <v>Vale do Paranhana</v>
      </c>
      <c r="D188" s="13" t="s">
        <v>1712</v>
      </c>
      <c r="E188" s="15" t="s">
        <v>1714</v>
      </c>
      <c r="F188" s="17">
        <v>8.837312100012E13</v>
      </c>
      <c r="G188" s="12" t="s">
        <v>1714</v>
      </c>
      <c r="H188" s="72">
        <v>4.1160004E7</v>
      </c>
      <c r="I188" s="11" t="s">
        <v>6</v>
      </c>
      <c r="J188" s="11" t="s">
        <v>7</v>
      </c>
      <c r="K188" s="21" t="s">
        <v>152</v>
      </c>
      <c r="L188" s="309">
        <v>141800.0</v>
      </c>
      <c r="M188" s="309"/>
      <c r="N188" s="13" t="s">
        <v>89</v>
      </c>
      <c r="O188" s="21"/>
      <c r="P188" s="56" t="s">
        <v>1716</v>
      </c>
      <c r="Q188" s="24"/>
    </row>
    <row r="189">
      <c r="A189" s="29">
        <v>2021.0</v>
      </c>
      <c r="B189" s="41" t="s">
        <v>115</v>
      </c>
      <c r="C189" s="13" t="str">
        <f>IFERROR(VLOOKUP(B189,'Regiões'!A:B,2,0),"")</f>
        <v>Vale do Taquari</v>
      </c>
      <c r="D189" s="29" t="s">
        <v>1717</v>
      </c>
      <c r="E189" s="32" t="s">
        <v>220</v>
      </c>
      <c r="F189" s="42"/>
      <c r="G189" s="43" t="s">
        <v>74</v>
      </c>
      <c r="H189" s="35">
        <v>4.1160002E7</v>
      </c>
      <c r="I189" s="29" t="s">
        <v>1087</v>
      </c>
      <c r="J189" s="29" t="s">
        <v>7</v>
      </c>
      <c r="K189" s="29" t="s">
        <v>152</v>
      </c>
      <c r="L189" s="475">
        <v>146165.0</v>
      </c>
      <c r="M189" s="475"/>
      <c r="N189" s="29" t="s">
        <v>1062</v>
      </c>
      <c r="O189" s="29" t="s">
        <v>110</v>
      </c>
      <c r="P189" s="46" t="s">
        <v>1635</v>
      </c>
      <c r="Q189" s="40"/>
    </row>
    <row r="190">
      <c r="A190" s="11">
        <v>2024.0</v>
      </c>
      <c r="B190" s="12" t="s">
        <v>239</v>
      </c>
      <c r="C190" s="13" t="str">
        <f>IFERROR(VLOOKUP(B190,'Regiões'!A:B,2,0),"")</f>
        <v>Metropolitana de Porto Alegre</v>
      </c>
      <c r="D190" s="13" t="s">
        <v>1722</v>
      </c>
      <c r="E190" s="15" t="str">
        <f>G190&amp;" de "&amp;B190</f>
        <v>Prefeitura Municipal de Novo Hamburgo</v>
      </c>
      <c r="F190" s="17"/>
      <c r="G190" s="18" t="s">
        <v>74</v>
      </c>
      <c r="H190" s="20">
        <v>4.1160003E7</v>
      </c>
      <c r="I190" s="11" t="s">
        <v>1724</v>
      </c>
      <c r="J190" s="11" t="s">
        <v>7</v>
      </c>
      <c r="K190" s="21" t="s">
        <v>152</v>
      </c>
      <c r="L190" s="22">
        <v>149552.0</v>
      </c>
      <c r="M190" s="22"/>
      <c r="N190" s="13" t="s">
        <v>89</v>
      </c>
      <c r="O190" s="21"/>
      <c r="P190" s="23"/>
      <c r="Q190" s="24"/>
    </row>
    <row r="191">
      <c r="A191" s="29">
        <v>2020.0</v>
      </c>
      <c r="B191" s="29" t="s">
        <v>1499</v>
      </c>
      <c r="C191" s="13" t="str">
        <f>IFERROR(VLOOKUP(B191,'Regiões'!A:B,2,0),"")</f>
        <v/>
      </c>
      <c r="D191" s="29" t="s">
        <v>1726</v>
      </c>
      <c r="E191" s="32" t="s">
        <v>1065</v>
      </c>
      <c r="F191" s="479"/>
      <c r="G191" s="481" t="s">
        <v>1508</v>
      </c>
      <c r="H191" s="45">
        <v>4.1160011E7</v>
      </c>
      <c r="I191" s="29" t="s">
        <v>151</v>
      </c>
      <c r="J191" s="29" t="s">
        <v>27</v>
      </c>
      <c r="K191" s="29" t="s">
        <v>152</v>
      </c>
      <c r="L191" s="37">
        <v>149872.0</v>
      </c>
      <c r="M191" s="37"/>
      <c r="N191" s="29" t="s">
        <v>155</v>
      </c>
      <c r="O191" s="29" t="s">
        <v>1082</v>
      </c>
      <c r="P191" s="483" t="s">
        <v>1521</v>
      </c>
      <c r="Q191" s="40"/>
    </row>
    <row r="192">
      <c r="A192" s="64">
        <v>2020.0</v>
      </c>
      <c r="B192" s="64" t="s">
        <v>141</v>
      </c>
      <c r="C192" s="13" t="str">
        <f>IFERROR(VLOOKUP(B192,'Regiões'!A:B,2,0),"")</f>
        <v>Vale do Taquari</v>
      </c>
      <c r="D192" s="29" t="s">
        <v>1728</v>
      </c>
      <c r="E192" s="65" t="s">
        <v>14</v>
      </c>
      <c r="F192" s="66"/>
      <c r="G192" s="64" t="s">
        <v>74</v>
      </c>
      <c r="H192" s="71">
        <v>4.1160009E7</v>
      </c>
      <c r="I192" s="64" t="s">
        <v>488</v>
      </c>
      <c r="J192" s="64" t="s">
        <v>7</v>
      </c>
      <c r="K192" s="64" t="s">
        <v>84</v>
      </c>
      <c r="L192" s="68">
        <v>150000.0</v>
      </c>
      <c r="M192" s="68"/>
      <c r="N192" s="64" t="s">
        <v>490</v>
      </c>
      <c r="O192" s="64" t="s">
        <v>110</v>
      </c>
      <c r="P192" s="65" t="s">
        <v>491</v>
      </c>
      <c r="Q192" s="70" t="s">
        <v>1545</v>
      </c>
    </row>
    <row r="193">
      <c r="A193" s="64">
        <v>2020.0</v>
      </c>
      <c r="B193" s="64" t="s">
        <v>658</v>
      </c>
      <c r="C193" s="13" t="str">
        <f>IFERROR(VLOOKUP(B193,'Regiões'!A:B,2,0),"")</f>
        <v>Encosta Superior do Nordeste</v>
      </c>
      <c r="D193" s="29" t="s">
        <v>1736</v>
      </c>
      <c r="E193" s="65" t="s">
        <v>14</v>
      </c>
      <c r="F193" s="66"/>
      <c r="G193" s="64" t="s">
        <v>74</v>
      </c>
      <c r="H193" s="71">
        <v>4.1160009E7</v>
      </c>
      <c r="I193" s="64" t="s">
        <v>488</v>
      </c>
      <c r="J193" s="64" t="s">
        <v>7</v>
      </c>
      <c r="K193" s="64" t="s">
        <v>84</v>
      </c>
      <c r="L193" s="68">
        <v>150000.0</v>
      </c>
      <c r="M193" s="68"/>
      <c r="N193" s="64" t="s">
        <v>490</v>
      </c>
      <c r="O193" s="64" t="s">
        <v>110</v>
      </c>
      <c r="P193" s="65" t="s">
        <v>1595</v>
      </c>
      <c r="Q193" s="75"/>
    </row>
    <row r="194">
      <c r="A194" s="64">
        <v>2020.0</v>
      </c>
      <c r="B194" s="64" t="s">
        <v>449</v>
      </c>
      <c r="C194" s="13" t="str">
        <f>IFERROR(VLOOKUP(B194,'Regiões'!A:B,2,0),"")</f>
        <v>Costa Doce</v>
      </c>
      <c r="D194" s="29" t="s">
        <v>1739</v>
      </c>
      <c r="E194" s="65" t="s">
        <v>14</v>
      </c>
      <c r="F194" s="66"/>
      <c r="G194" s="64" t="s">
        <v>74</v>
      </c>
      <c r="H194" s="71">
        <v>4.1160009E7</v>
      </c>
      <c r="I194" s="64" t="s">
        <v>193</v>
      </c>
      <c r="J194" s="64" t="s">
        <v>7</v>
      </c>
      <c r="K194" s="64" t="s">
        <v>84</v>
      </c>
      <c r="L194" s="68">
        <v>150000.0</v>
      </c>
      <c r="M194" s="68"/>
      <c r="N194" s="64" t="s">
        <v>490</v>
      </c>
      <c r="O194" s="64" t="s">
        <v>110</v>
      </c>
      <c r="P194" s="65" t="s">
        <v>1023</v>
      </c>
      <c r="Q194" s="75"/>
    </row>
    <row r="195">
      <c r="A195" s="64">
        <v>2020.0</v>
      </c>
      <c r="B195" s="64" t="s">
        <v>470</v>
      </c>
      <c r="C195" s="13" t="str">
        <f>IFERROR(VLOOKUP(B195,'Regiões'!A:B,2,0),"")</f>
        <v>Nordeste Riograndense</v>
      </c>
      <c r="D195" s="29" t="s">
        <v>1741</v>
      </c>
      <c r="E195" s="65" t="s">
        <v>485</v>
      </c>
      <c r="F195" s="66"/>
      <c r="G195" s="64" t="s">
        <v>1623</v>
      </c>
      <c r="H195" s="71">
        <v>4.1160009E7</v>
      </c>
      <c r="I195" s="64" t="s">
        <v>488</v>
      </c>
      <c r="J195" s="64" t="s">
        <v>7</v>
      </c>
      <c r="K195" s="64" t="s">
        <v>84</v>
      </c>
      <c r="L195" s="68">
        <v>150000.0</v>
      </c>
      <c r="M195" s="68"/>
      <c r="N195" s="64" t="s">
        <v>490</v>
      </c>
      <c r="O195" s="64" t="s">
        <v>110</v>
      </c>
      <c r="P195" s="65" t="s">
        <v>1131</v>
      </c>
      <c r="Q195" s="70" t="s">
        <v>1624</v>
      </c>
    </row>
    <row r="196">
      <c r="A196" s="64">
        <v>2020.0</v>
      </c>
      <c r="B196" s="64" t="s">
        <v>883</v>
      </c>
      <c r="C196" s="13" t="str">
        <f>IFERROR(VLOOKUP(B196,'Regiões'!A:B,2,0),"")</f>
        <v>Fronteira Noroeste</v>
      </c>
      <c r="D196" s="29" t="s">
        <v>1744</v>
      </c>
      <c r="E196" s="65" t="s">
        <v>14</v>
      </c>
      <c r="F196" s="66"/>
      <c r="G196" s="64" t="s">
        <v>74</v>
      </c>
      <c r="H196" s="71">
        <v>4.1160009E7</v>
      </c>
      <c r="I196" s="64" t="s">
        <v>488</v>
      </c>
      <c r="J196" s="64" t="s">
        <v>7</v>
      </c>
      <c r="K196" s="64" t="s">
        <v>84</v>
      </c>
      <c r="L196" s="68">
        <v>150000.0</v>
      </c>
      <c r="M196" s="68"/>
      <c r="N196" s="64" t="s">
        <v>490</v>
      </c>
      <c r="O196" s="64" t="s">
        <v>110</v>
      </c>
      <c r="P196" s="65" t="s">
        <v>491</v>
      </c>
      <c r="Q196" s="75"/>
    </row>
    <row r="197">
      <c r="A197" s="29">
        <v>2022.0</v>
      </c>
      <c r="B197" s="29" t="s">
        <v>119</v>
      </c>
      <c r="C197" s="13" t="str">
        <f>IFERROR(VLOOKUP(B197,'Regiões'!A:B,2,0),"")</f>
        <v>Zona Sul</v>
      </c>
      <c r="D197" s="29" t="s">
        <v>1748</v>
      </c>
      <c r="E197" s="32" t="s">
        <v>485</v>
      </c>
      <c r="F197" s="243"/>
      <c r="G197" s="245" t="s">
        <v>1252</v>
      </c>
      <c r="H197" s="35">
        <v>4.1160003E7</v>
      </c>
      <c r="I197" s="29" t="s">
        <v>1087</v>
      </c>
      <c r="J197" s="29" t="s">
        <v>7</v>
      </c>
      <c r="K197" s="29" t="s">
        <v>152</v>
      </c>
      <c r="L197" s="38">
        <v>150000.0</v>
      </c>
      <c r="M197" s="38"/>
      <c r="N197" s="29" t="s">
        <v>200</v>
      </c>
      <c r="O197" s="29" t="s">
        <v>110</v>
      </c>
      <c r="P197" s="39"/>
      <c r="Q197" s="40"/>
    </row>
    <row r="198">
      <c r="A198" s="47">
        <v>2022.0</v>
      </c>
      <c r="B198" s="54" t="s">
        <v>646</v>
      </c>
      <c r="C198" s="13" t="str">
        <f>IFERROR(VLOOKUP(B198,'Regiões'!A:B,2,0),"")</f>
        <v>Vale do Rio Caí</v>
      </c>
      <c r="D198" s="29" t="s">
        <v>650</v>
      </c>
      <c r="E198" s="49" t="s">
        <v>485</v>
      </c>
      <c r="F198" s="396"/>
      <c r="G198" s="54" t="s">
        <v>652</v>
      </c>
      <c r="H198" s="35">
        <v>7120004.0</v>
      </c>
      <c r="I198" s="29" t="s">
        <v>488</v>
      </c>
      <c r="J198" s="29" t="s">
        <v>7</v>
      </c>
      <c r="K198" s="29" t="s">
        <v>84</v>
      </c>
      <c r="L198" s="52">
        <v>150000.0</v>
      </c>
      <c r="M198" s="52"/>
      <c r="N198" s="29" t="s">
        <v>1193</v>
      </c>
      <c r="O198" s="47" t="s">
        <v>110</v>
      </c>
      <c r="P198" s="46" t="s">
        <v>1213</v>
      </c>
      <c r="Q198" s="54"/>
    </row>
    <row r="199">
      <c r="A199" s="13">
        <v>2023.0</v>
      </c>
      <c r="B199" s="55" t="s">
        <v>779</v>
      </c>
      <c r="C199" s="13" t="str">
        <f>IFERROR(VLOOKUP(B199,'Regiões'!A:B,2,0),"")</f>
        <v>Zona Sul</v>
      </c>
      <c r="D199" s="13" t="s">
        <v>1751</v>
      </c>
      <c r="E199" s="56" t="s">
        <v>485</v>
      </c>
      <c r="F199" s="358"/>
      <c r="G199" s="55" t="s">
        <v>1752</v>
      </c>
      <c r="H199" s="59"/>
      <c r="I199" s="13" t="s">
        <v>1307</v>
      </c>
      <c r="J199" s="13" t="str">
        <f t="shared" ref="J199:J202" si="5">LEFT(I199,FIND(" (",I199) - 1)</f>
        <v>Saúde</v>
      </c>
      <c r="K199" s="13" t="s">
        <v>152</v>
      </c>
      <c r="L199" s="393">
        <v>150000.0</v>
      </c>
      <c r="M199" s="393"/>
      <c r="N199" s="13" t="s">
        <v>89</v>
      </c>
      <c r="O199" s="13" t="s">
        <v>110</v>
      </c>
      <c r="P199" s="61" t="s">
        <v>1755</v>
      </c>
      <c r="Q199" s="62"/>
    </row>
    <row r="200">
      <c r="A200" s="13">
        <v>2023.0</v>
      </c>
      <c r="B200" s="55" t="s">
        <v>953</v>
      </c>
      <c r="C200" s="13" t="str">
        <f>IFERROR(VLOOKUP(B200,'Regiões'!A:B,2,0),"")</f>
        <v>Vale do Taquari</v>
      </c>
      <c r="D200" s="13" t="s">
        <v>1758</v>
      </c>
      <c r="E200" s="56" t="s">
        <v>485</v>
      </c>
      <c r="F200" s="358"/>
      <c r="G200" s="55" t="s">
        <v>1759</v>
      </c>
      <c r="H200" s="59"/>
      <c r="I200" s="13" t="s">
        <v>373</v>
      </c>
      <c r="J200" s="13" t="str">
        <f t="shared" si="5"/>
        <v>Saúde</v>
      </c>
      <c r="K200" s="13" t="s">
        <v>84</v>
      </c>
      <c r="L200" s="60">
        <v>150000.0</v>
      </c>
      <c r="M200" s="60"/>
      <c r="N200" s="13" t="s">
        <v>89</v>
      </c>
      <c r="O200" s="13" t="s">
        <v>1760</v>
      </c>
      <c r="P200" s="61" t="s">
        <v>1469</v>
      </c>
      <c r="Q200" s="62" t="s">
        <v>1469</v>
      </c>
    </row>
    <row r="201">
      <c r="A201" s="13">
        <v>2023.0</v>
      </c>
      <c r="B201" s="79" t="s">
        <v>114</v>
      </c>
      <c r="C201" s="13" t="str">
        <f>IFERROR(VLOOKUP(B201,'Regiões'!A:B,2,0),"")</f>
        <v>Vale do Rio Caí</v>
      </c>
      <c r="D201" s="13" t="s">
        <v>1130</v>
      </c>
      <c r="E201" s="80" t="s">
        <v>220</v>
      </c>
      <c r="F201" s="81"/>
      <c r="G201" s="79" t="s">
        <v>1206</v>
      </c>
      <c r="H201" s="82"/>
      <c r="I201" s="13" t="s">
        <v>958</v>
      </c>
      <c r="J201" s="13" t="str">
        <f t="shared" si="5"/>
        <v>Segurança Pública</v>
      </c>
      <c r="K201" s="13" t="s">
        <v>152</v>
      </c>
      <c r="L201" s="83">
        <v>150000.0</v>
      </c>
      <c r="M201" s="83"/>
      <c r="N201" s="13" t="s">
        <v>89</v>
      </c>
      <c r="O201" s="13" t="s">
        <v>967</v>
      </c>
      <c r="P201" s="80" t="s">
        <v>1762</v>
      </c>
      <c r="Q201" s="79"/>
    </row>
    <row r="202">
      <c r="A202" s="13">
        <v>2023.0</v>
      </c>
      <c r="B202" s="55" t="s">
        <v>355</v>
      </c>
      <c r="C202" s="13" t="str">
        <f>IFERROR(VLOOKUP(B202,'Regiões'!A:B,2,0),"")</f>
        <v>Centro do Estado</v>
      </c>
      <c r="D202" s="13" t="s">
        <v>1765</v>
      </c>
      <c r="E202" s="56" t="s">
        <v>360</v>
      </c>
      <c r="F202" s="57"/>
      <c r="G202" s="58" t="s">
        <v>1766</v>
      </c>
      <c r="H202" s="59"/>
      <c r="I202" s="13" t="s">
        <v>373</v>
      </c>
      <c r="J202" s="13" t="str">
        <f t="shared" si="5"/>
        <v>Saúde</v>
      </c>
      <c r="K202" s="13" t="s">
        <v>84</v>
      </c>
      <c r="L202" s="60">
        <v>150000.0</v>
      </c>
      <c r="M202" s="60"/>
      <c r="N202" s="13" t="s">
        <v>389</v>
      </c>
      <c r="O202" s="13" t="s">
        <v>110</v>
      </c>
      <c r="P202" s="61" t="s">
        <v>1767</v>
      </c>
      <c r="Q202" s="62"/>
    </row>
    <row r="203">
      <c r="A203" s="11">
        <v>2025.0</v>
      </c>
      <c r="B203" s="18" t="s">
        <v>798</v>
      </c>
      <c r="C203" s="13" t="str">
        <f>IFERROR(VLOOKUP(B203,'Regiões'!A:B,2,0),"")</f>
        <v>Encosta Superior do Nordeste</v>
      </c>
      <c r="D203" s="13" t="s">
        <v>1768</v>
      </c>
      <c r="E203" s="15" t="s">
        <v>1769</v>
      </c>
      <c r="F203" s="17">
        <v>9.161680500011E13</v>
      </c>
      <c r="G203" s="12" t="s">
        <v>1769</v>
      </c>
      <c r="H203" s="72">
        <v>4.1160004E7</v>
      </c>
      <c r="I203" s="11" t="s">
        <v>6</v>
      </c>
      <c r="J203" s="11" t="s">
        <v>7</v>
      </c>
      <c r="K203" s="21" t="s">
        <v>152</v>
      </c>
      <c r="L203" s="309">
        <v>150000.0</v>
      </c>
      <c r="M203" s="309"/>
      <c r="N203" s="13" t="s">
        <v>89</v>
      </c>
      <c r="O203" s="21"/>
      <c r="P203" s="402" t="s">
        <v>1771</v>
      </c>
      <c r="Q203" s="24"/>
    </row>
    <row r="204">
      <c r="A204" s="11">
        <v>2025.0</v>
      </c>
      <c r="B204" s="18" t="s">
        <v>76</v>
      </c>
      <c r="C204" s="13" t="str">
        <f>IFERROR(VLOOKUP(B204,'Regiões'!A:B,2,0),"")</f>
        <v>Encosta Superior do Nordeste</v>
      </c>
      <c r="D204" s="13" t="s">
        <v>1773</v>
      </c>
      <c r="E204" s="15" t="s">
        <v>1774</v>
      </c>
      <c r="F204" s="17">
        <v>1.1436612000148E13</v>
      </c>
      <c r="G204" s="18" t="s">
        <v>74</v>
      </c>
      <c r="H204" s="72">
        <v>4.1160002E7</v>
      </c>
      <c r="I204" s="11" t="s">
        <v>237</v>
      </c>
      <c r="J204" s="11" t="s">
        <v>7</v>
      </c>
      <c r="K204" s="21" t="s">
        <v>84</v>
      </c>
      <c r="L204" s="73">
        <v>150000.0</v>
      </c>
      <c r="M204" s="73"/>
      <c r="N204" s="13" t="s">
        <v>89</v>
      </c>
      <c r="O204" s="21"/>
      <c r="P204" s="61" t="s">
        <v>1426</v>
      </c>
      <c r="Q204" s="24"/>
    </row>
    <row r="205">
      <c r="A205" s="11">
        <v>2025.0</v>
      </c>
      <c r="B205" s="18" t="s">
        <v>116</v>
      </c>
      <c r="C205" s="13" t="str">
        <f>IFERROR(VLOOKUP(B205,'Regiões'!A:B,2,0),"")</f>
        <v>Sudoeste do Estado</v>
      </c>
      <c r="D205" s="13" t="s">
        <v>1777</v>
      </c>
      <c r="E205" s="15" t="s">
        <v>1778</v>
      </c>
      <c r="F205" s="17">
        <v>1.182122600017E13</v>
      </c>
      <c r="G205" s="18" t="s">
        <v>74</v>
      </c>
      <c r="H205" s="72">
        <v>4.1160002E7</v>
      </c>
      <c r="I205" s="11" t="s">
        <v>237</v>
      </c>
      <c r="J205" s="11" t="s">
        <v>7</v>
      </c>
      <c r="K205" s="21" t="s">
        <v>84</v>
      </c>
      <c r="L205" s="73">
        <v>150000.0</v>
      </c>
      <c r="M205" s="73"/>
      <c r="N205" s="13" t="s">
        <v>89</v>
      </c>
      <c r="O205" s="21"/>
      <c r="P205" s="61" t="s">
        <v>1426</v>
      </c>
      <c r="Q205" s="24"/>
    </row>
    <row r="206">
      <c r="A206" s="11">
        <v>2025.0</v>
      </c>
      <c r="B206" s="18" t="s">
        <v>798</v>
      </c>
      <c r="C206" s="13" t="str">
        <f>IFERROR(VLOOKUP(B206,'Regiões'!A:B,2,0),"")</f>
        <v>Encosta Superior do Nordeste</v>
      </c>
      <c r="D206" s="13" t="s">
        <v>1780</v>
      </c>
      <c r="E206" s="15" t="s">
        <v>1781</v>
      </c>
      <c r="F206" s="17">
        <v>1.184049000015E13</v>
      </c>
      <c r="G206" s="18" t="s">
        <v>74</v>
      </c>
      <c r="H206" s="72">
        <v>4.1160002E7</v>
      </c>
      <c r="I206" s="11" t="s">
        <v>237</v>
      </c>
      <c r="J206" s="11" t="s">
        <v>7</v>
      </c>
      <c r="K206" s="21" t="s">
        <v>84</v>
      </c>
      <c r="L206" s="73">
        <v>150000.0</v>
      </c>
      <c r="M206" s="73"/>
      <c r="N206" s="13" t="s">
        <v>89</v>
      </c>
      <c r="O206" s="21"/>
      <c r="P206" s="61" t="s">
        <v>1426</v>
      </c>
      <c r="Q206" s="24"/>
    </row>
    <row r="207">
      <c r="A207" s="11">
        <v>2026.0</v>
      </c>
      <c r="B207" s="18" t="s">
        <v>979</v>
      </c>
      <c r="C207" s="13" t="str">
        <f>IFERROR(VLOOKUP(B207,'Regiões'!A:B,2,0),"")</f>
        <v>Missões</v>
      </c>
      <c r="D207" s="13"/>
      <c r="E207" s="25" t="s">
        <v>1783</v>
      </c>
      <c r="F207" s="17">
        <v>1.611538000103E12</v>
      </c>
      <c r="G207" s="18" t="s">
        <v>1784</v>
      </c>
      <c r="H207" s="20">
        <v>4.1160005E7</v>
      </c>
      <c r="I207" s="11" t="s">
        <v>7</v>
      </c>
      <c r="J207" s="11" t="s">
        <v>7</v>
      </c>
      <c r="K207" s="21" t="s">
        <v>1099</v>
      </c>
      <c r="L207" s="22">
        <v>150000.0</v>
      </c>
      <c r="M207" s="22"/>
      <c r="N207" s="11" t="s">
        <v>155</v>
      </c>
      <c r="O207" s="21"/>
      <c r="P207" s="23"/>
      <c r="Q207" s="24"/>
    </row>
    <row r="208">
      <c r="A208" s="11">
        <v>2026.0</v>
      </c>
      <c r="B208" s="18" t="s">
        <v>843</v>
      </c>
      <c r="C208" s="13" t="str">
        <f>IFERROR(VLOOKUP(B208,'Regiões'!A:B,2,0),"")</f>
        <v>Fronteira Noroeste</v>
      </c>
      <c r="D208" s="13"/>
      <c r="E208" s="25" t="s">
        <v>1790</v>
      </c>
      <c r="F208" s="17">
        <v>1.1945207000155E13</v>
      </c>
      <c r="G208" s="18" t="s">
        <v>1791</v>
      </c>
      <c r="H208" s="20">
        <v>4.1160005E7</v>
      </c>
      <c r="I208" s="11" t="s">
        <v>7</v>
      </c>
      <c r="J208" s="11" t="s">
        <v>7</v>
      </c>
      <c r="K208" s="21" t="s">
        <v>1099</v>
      </c>
      <c r="L208" s="22">
        <v>150000.0</v>
      </c>
      <c r="M208" s="22"/>
      <c r="N208" s="11" t="s">
        <v>155</v>
      </c>
      <c r="O208" s="21"/>
      <c r="P208" s="23"/>
      <c r="Q208" s="24"/>
    </row>
    <row r="209">
      <c r="A209" s="11">
        <v>2026.0</v>
      </c>
      <c r="B209" s="18" t="s">
        <v>965</v>
      </c>
      <c r="C209" s="13" t="str">
        <f>IFERROR(VLOOKUP(B209,'Regiões'!A:B,2,0),"")</f>
        <v>Litoral Norte</v>
      </c>
      <c r="D209" s="13"/>
      <c r="E209" s="25" t="s">
        <v>1793</v>
      </c>
      <c r="F209" s="17">
        <v>1.1943264000103E13</v>
      </c>
      <c r="G209" s="18" t="s">
        <v>1795</v>
      </c>
      <c r="H209" s="20">
        <v>4.1160005E7</v>
      </c>
      <c r="I209" s="11" t="s">
        <v>7</v>
      </c>
      <c r="J209" s="11" t="s">
        <v>7</v>
      </c>
      <c r="K209" s="21" t="s">
        <v>1099</v>
      </c>
      <c r="L209" s="22">
        <v>150000.0</v>
      </c>
      <c r="M209" s="22"/>
      <c r="N209" s="11" t="s">
        <v>155</v>
      </c>
      <c r="O209" s="21"/>
      <c r="P209" s="23"/>
      <c r="Q209" s="24"/>
    </row>
    <row r="210">
      <c r="A210" s="11">
        <v>2026.0</v>
      </c>
      <c r="B210" s="18" t="s">
        <v>627</v>
      </c>
      <c r="C210" s="13" t="str">
        <f>IFERROR(VLOOKUP(B210,'Regiões'!A:B,2,0),"")</f>
        <v>Missões</v>
      </c>
      <c r="D210" s="13"/>
      <c r="E210" s="25" t="s">
        <v>1799</v>
      </c>
      <c r="F210" s="17">
        <v>1.0456115000149E13</v>
      </c>
      <c r="G210" s="18" t="s">
        <v>1800</v>
      </c>
      <c r="H210" s="20">
        <v>4.1160005E7</v>
      </c>
      <c r="I210" s="11" t="s">
        <v>7</v>
      </c>
      <c r="J210" s="11" t="s">
        <v>7</v>
      </c>
      <c r="K210" s="21" t="s">
        <v>1099</v>
      </c>
      <c r="L210" s="22">
        <v>150000.0</v>
      </c>
      <c r="M210" s="22"/>
      <c r="N210" s="11" t="s">
        <v>155</v>
      </c>
      <c r="O210" s="21"/>
      <c r="P210" s="23"/>
      <c r="Q210" s="24"/>
    </row>
    <row r="211">
      <c r="A211" s="11">
        <v>2026.0</v>
      </c>
      <c r="B211" s="18" t="s">
        <v>77</v>
      </c>
      <c r="C211" s="13" t="str">
        <f>IFERROR(VLOOKUP(B211,'Regiões'!A:B,2,0),"")</f>
        <v>Fronteira Noroeste</v>
      </c>
      <c r="D211" s="13"/>
      <c r="E211" s="25" t="s">
        <v>1803</v>
      </c>
      <c r="F211" s="17">
        <v>1.1734587000189E13</v>
      </c>
      <c r="G211" s="18"/>
      <c r="H211" s="20">
        <v>4.1160005E7</v>
      </c>
      <c r="I211" s="11" t="s">
        <v>7</v>
      </c>
      <c r="J211" s="11" t="s">
        <v>7</v>
      </c>
      <c r="K211" s="21" t="s">
        <v>1099</v>
      </c>
      <c r="L211" s="22">
        <v>150000.0</v>
      </c>
      <c r="M211" s="22"/>
      <c r="N211" s="11" t="s">
        <v>155</v>
      </c>
      <c r="O211" s="21"/>
      <c r="P211" s="23"/>
      <c r="Q211" s="24"/>
    </row>
    <row r="212">
      <c r="A212" s="11">
        <v>2026.0</v>
      </c>
      <c r="B212" s="18" t="s">
        <v>790</v>
      </c>
      <c r="C212" s="13" t="str">
        <f>IFERROR(VLOOKUP(B212,'Regiões'!A:B,2,0),"")</f>
        <v>Encosta Superior do Nordeste</v>
      </c>
      <c r="D212" s="13"/>
      <c r="E212" s="25" t="s">
        <v>1807</v>
      </c>
      <c r="F212" s="17">
        <v>8.7502894000104E13</v>
      </c>
      <c r="G212" s="18"/>
      <c r="H212" s="20">
        <v>4.1160005E7</v>
      </c>
      <c r="I212" s="11" t="s">
        <v>7</v>
      </c>
      <c r="J212" s="11" t="s">
        <v>7</v>
      </c>
      <c r="K212" s="21" t="s">
        <v>1099</v>
      </c>
      <c r="L212" s="22">
        <v>150000.0</v>
      </c>
      <c r="M212" s="22"/>
      <c r="N212" s="11" t="s">
        <v>155</v>
      </c>
      <c r="O212" s="21"/>
      <c r="P212" s="23"/>
      <c r="Q212" s="24"/>
    </row>
    <row r="213">
      <c r="A213" s="11">
        <v>2026.0</v>
      </c>
      <c r="B213" s="18" t="s">
        <v>855</v>
      </c>
      <c r="C213" s="13" t="str">
        <f>IFERROR(VLOOKUP(B213,'Regiões'!A:B,2,0),"")</f>
        <v>Alto Jacuí</v>
      </c>
      <c r="D213" s="13"/>
      <c r="E213" s="25" t="s">
        <v>1809</v>
      </c>
      <c r="F213" s="17">
        <v>9.1574764000146E13</v>
      </c>
      <c r="G213" s="18"/>
      <c r="H213" s="20">
        <v>4.1160005E7</v>
      </c>
      <c r="I213" s="11" t="s">
        <v>7</v>
      </c>
      <c r="J213" s="11" t="s">
        <v>7</v>
      </c>
      <c r="K213" s="21" t="s">
        <v>1099</v>
      </c>
      <c r="L213" s="22">
        <v>150000.0</v>
      </c>
      <c r="M213" s="22"/>
      <c r="N213" s="11" t="s">
        <v>155</v>
      </c>
      <c r="O213" s="21"/>
      <c r="P213" s="23"/>
      <c r="Q213" s="24"/>
    </row>
    <row r="214">
      <c r="A214" s="11">
        <v>2026.0</v>
      </c>
      <c r="B214" s="18" t="s">
        <v>986</v>
      </c>
      <c r="C214" s="13" t="str">
        <f>IFERROR(VLOOKUP(B214,'Regiões'!A:B,2,0),"")</f>
        <v>Vale do Rio Caí</v>
      </c>
      <c r="D214" s="13"/>
      <c r="E214" s="25" t="s">
        <v>1814</v>
      </c>
      <c r="F214" s="17">
        <v>1.3245103000163E13</v>
      </c>
      <c r="G214" s="18"/>
      <c r="H214" s="20">
        <v>4.1160005E7</v>
      </c>
      <c r="I214" s="11" t="s">
        <v>7</v>
      </c>
      <c r="J214" s="11" t="s">
        <v>7</v>
      </c>
      <c r="K214" s="21" t="s">
        <v>1099</v>
      </c>
      <c r="L214" s="22">
        <v>150000.0</v>
      </c>
      <c r="M214" s="22"/>
      <c r="N214" s="11" t="s">
        <v>155</v>
      </c>
      <c r="O214" s="21"/>
      <c r="P214" s="23"/>
      <c r="Q214" s="24"/>
    </row>
    <row r="215">
      <c r="A215" s="11">
        <v>2025.0</v>
      </c>
      <c r="B215" s="18" t="s">
        <v>932</v>
      </c>
      <c r="C215" s="13" t="str">
        <f>IFERROR(VLOOKUP(B215,'Regiões'!A:B,2,0),"")</f>
        <v>Fronteira Noroeste</v>
      </c>
      <c r="D215" s="13" t="s">
        <v>1817</v>
      </c>
      <c r="E215" s="15" t="s">
        <v>1818</v>
      </c>
      <c r="F215" s="17">
        <v>1.1880389000123E13</v>
      </c>
      <c r="G215" s="18" t="s">
        <v>74</v>
      </c>
      <c r="H215" s="72">
        <v>4.1160001E7</v>
      </c>
      <c r="I215" s="11" t="s">
        <v>228</v>
      </c>
      <c r="J215" s="11" t="s">
        <v>7</v>
      </c>
      <c r="K215" s="21" t="s">
        <v>84</v>
      </c>
      <c r="L215" s="73">
        <v>151050.0</v>
      </c>
      <c r="M215" s="73"/>
      <c r="N215" s="13" t="s">
        <v>89</v>
      </c>
      <c r="O215" s="21"/>
      <c r="P215" s="61" t="s">
        <v>513</v>
      </c>
      <c r="Q215" s="24"/>
    </row>
    <row r="216">
      <c r="A216" s="13">
        <v>2023.0</v>
      </c>
      <c r="B216" s="79" t="s">
        <v>323</v>
      </c>
      <c r="C216" s="13" t="str">
        <f>IFERROR(VLOOKUP(B216,'Regiões'!A:B,2,0),"")</f>
        <v>Vale do Paranhana</v>
      </c>
      <c r="D216" s="13" t="s">
        <v>661</v>
      </c>
      <c r="E216" s="80" t="s">
        <v>220</v>
      </c>
      <c r="F216" s="81"/>
      <c r="G216" s="79" t="s">
        <v>1820</v>
      </c>
      <c r="H216" s="82"/>
      <c r="I216" s="13" t="s">
        <v>1307</v>
      </c>
      <c r="J216" s="13" t="str">
        <f>LEFT(I216,FIND(" (",I216) - 1)</f>
        <v>Saúde</v>
      </c>
      <c r="K216" s="13" t="s">
        <v>152</v>
      </c>
      <c r="L216" s="83">
        <v>152600.0</v>
      </c>
      <c r="M216" s="83"/>
      <c r="N216" s="13" t="s">
        <v>89</v>
      </c>
      <c r="O216" s="13" t="s">
        <v>265</v>
      </c>
      <c r="P216" s="80" t="s">
        <v>351</v>
      </c>
      <c r="Q216" s="79"/>
    </row>
    <row r="217">
      <c r="A217" s="11">
        <v>2025.0</v>
      </c>
      <c r="B217" s="18" t="s">
        <v>922</v>
      </c>
      <c r="C217" s="13" t="str">
        <f>IFERROR(VLOOKUP(B217,'Regiões'!A:B,2,0),"")</f>
        <v>Alto Uruguai</v>
      </c>
      <c r="D217" s="13" t="s">
        <v>1826</v>
      </c>
      <c r="E217" s="15" t="s">
        <v>1827</v>
      </c>
      <c r="F217" s="17">
        <v>1.2006440000135E13</v>
      </c>
      <c r="G217" s="18" t="s">
        <v>74</v>
      </c>
      <c r="H217" s="72">
        <v>4.1160001E7</v>
      </c>
      <c r="I217" s="11" t="s">
        <v>228</v>
      </c>
      <c r="J217" s="11" t="s">
        <v>7</v>
      </c>
      <c r="K217" s="21" t="s">
        <v>84</v>
      </c>
      <c r="L217" s="73">
        <v>154340.0</v>
      </c>
      <c r="M217" s="73"/>
      <c r="N217" s="13" t="s">
        <v>89</v>
      </c>
      <c r="O217" s="21"/>
      <c r="P217" s="61" t="s">
        <v>513</v>
      </c>
      <c r="Q217" s="24"/>
    </row>
    <row r="218">
      <c r="A218" s="11">
        <v>2025.0</v>
      </c>
      <c r="B218" s="18" t="s">
        <v>900</v>
      </c>
      <c r="C218" s="13" t="str">
        <f>IFERROR(VLOOKUP(B218,'Regiões'!A:B,2,0),"")</f>
        <v>Centro do Estado</v>
      </c>
      <c r="D218" s="13" t="s">
        <v>1830</v>
      </c>
      <c r="E218" s="15" t="s">
        <v>1831</v>
      </c>
      <c r="F218" s="17">
        <v>1.3845853000176E13</v>
      </c>
      <c r="G218" s="18" t="s">
        <v>74</v>
      </c>
      <c r="H218" s="72">
        <v>4.1160001E7</v>
      </c>
      <c r="I218" s="11" t="s">
        <v>228</v>
      </c>
      <c r="J218" s="11" t="s">
        <v>7</v>
      </c>
      <c r="K218" s="21" t="s">
        <v>84</v>
      </c>
      <c r="L218" s="73">
        <v>154340.0</v>
      </c>
      <c r="M218" s="73"/>
      <c r="N218" s="13" t="s">
        <v>89</v>
      </c>
      <c r="O218" s="21"/>
      <c r="P218" s="61" t="s">
        <v>513</v>
      </c>
      <c r="Q218" s="24"/>
    </row>
    <row r="219">
      <c r="A219" s="29">
        <v>2020.0</v>
      </c>
      <c r="B219" s="29" t="s">
        <v>1499</v>
      </c>
      <c r="C219" s="13" t="str">
        <f>IFERROR(VLOOKUP(B219,'Regiões'!A:B,2,0),"")</f>
        <v/>
      </c>
      <c r="D219" s="29" t="s">
        <v>1726</v>
      </c>
      <c r="E219" s="32" t="s">
        <v>1065</v>
      </c>
      <c r="F219" s="479"/>
      <c r="G219" s="481" t="s">
        <v>1508</v>
      </c>
      <c r="H219" s="45">
        <v>4.1160011E7</v>
      </c>
      <c r="I219" s="29" t="s">
        <v>151</v>
      </c>
      <c r="J219" s="29" t="s">
        <v>27</v>
      </c>
      <c r="K219" s="29" t="s">
        <v>152</v>
      </c>
      <c r="L219" s="37">
        <v>156000.0</v>
      </c>
      <c r="M219" s="37"/>
      <c r="N219" s="29" t="s">
        <v>155</v>
      </c>
      <c r="O219" s="29" t="s">
        <v>1082</v>
      </c>
      <c r="P219" s="109" t="s">
        <v>1518</v>
      </c>
      <c r="Q219" s="40"/>
    </row>
    <row r="220">
      <c r="A220" s="13">
        <v>2023.0</v>
      </c>
      <c r="B220" s="55" t="s">
        <v>874</v>
      </c>
      <c r="C220" s="13" t="str">
        <f>IFERROR(VLOOKUP(B220,'Regiões'!A:B,2,0),"")</f>
        <v>Nordeste Riograndense</v>
      </c>
      <c r="D220" s="13" t="s">
        <v>1838</v>
      </c>
      <c r="E220" s="56" t="s">
        <v>360</v>
      </c>
      <c r="F220" s="57"/>
      <c r="G220" s="58" t="s">
        <v>1839</v>
      </c>
      <c r="H220" s="59"/>
      <c r="I220" s="13" t="s">
        <v>373</v>
      </c>
      <c r="J220" s="13" t="str">
        <f t="shared" ref="J220:J221" si="6">LEFT(I220,FIND(" (",I220) - 1)</f>
        <v>Saúde</v>
      </c>
      <c r="K220" s="13" t="s">
        <v>84</v>
      </c>
      <c r="L220" s="60">
        <v>160000.0</v>
      </c>
      <c r="M220" s="60"/>
      <c r="N220" s="13" t="s">
        <v>389</v>
      </c>
      <c r="O220" s="13" t="s">
        <v>110</v>
      </c>
      <c r="P220" s="61" t="s">
        <v>1843</v>
      </c>
      <c r="Q220" s="62"/>
    </row>
    <row r="221">
      <c r="A221" s="13">
        <v>2023.0</v>
      </c>
      <c r="B221" s="55" t="s">
        <v>298</v>
      </c>
      <c r="C221" s="13" t="str">
        <f>IFERROR(VLOOKUP(B221,'Regiões'!A:B,2,0),"")</f>
        <v>Vale do Paranhana</v>
      </c>
      <c r="D221" s="13" t="s">
        <v>1845</v>
      </c>
      <c r="E221" s="56" t="s">
        <v>360</v>
      </c>
      <c r="F221" s="57"/>
      <c r="G221" s="58" t="s">
        <v>1846</v>
      </c>
      <c r="H221" s="59"/>
      <c r="I221" s="13" t="s">
        <v>373</v>
      </c>
      <c r="J221" s="13" t="str">
        <f t="shared" si="6"/>
        <v>Saúde</v>
      </c>
      <c r="K221" s="13" t="s">
        <v>84</v>
      </c>
      <c r="L221" s="60">
        <v>160000.0</v>
      </c>
      <c r="M221" s="60"/>
      <c r="N221" s="13" t="s">
        <v>389</v>
      </c>
      <c r="O221" s="13" t="s">
        <v>110</v>
      </c>
      <c r="P221" s="61" t="s">
        <v>1848</v>
      </c>
      <c r="Q221" s="62"/>
    </row>
    <row r="222">
      <c r="A222" s="334">
        <v>2020.0</v>
      </c>
      <c r="B222" s="334" t="s">
        <v>102</v>
      </c>
      <c r="C222" s="334" t="str">
        <f>IFERROR(VLOOKUP(B222,'Regiões'!A:B,2,0),"")</f>
        <v>Vale dos Sinos</v>
      </c>
      <c r="D222" s="334" t="s">
        <v>1850</v>
      </c>
      <c r="E222" s="337" t="s">
        <v>1094</v>
      </c>
      <c r="F222" s="341"/>
      <c r="G222" s="334" t="s">
        <v>1133</v>
      </c>
      <c r="H222" s="511">
        <v>4.1160012E7</v>
      </c>
      <c r="I222" s="334" t="s">
        <v>151</v>
      </c>
      <c r="J222" s="334" t="s">
        <v>27</v>
      </c>
      <c r="K222" s="334" t="s">
        <v>152</v>
      </c>
      <c r="L222" s="513">
        <v>162125.0</v>
      </c>
      <c r="M222" s="513"/>
      <c r="N222" s="334" t="s">
        <v>155</v>
      </c>
      <c r="O222" s="334" t="s">
        <v>110</v>
      </c>
      <c r="P222" s="337" t="s">
        <v>1136</v>
      </c>
      <c r="Q222" s="334"/>
    </row>
    <row r="223">
      <c r="A223" s="29">
        <v>2020.0</v>
      </c>
      <c r="B223" s="29" t="s">
        <v>310</v>
      </c>
      <c r="C223" s="13" t="str">
        <f>IFERROR(VLOOKUP(B223,'Regiões'!A:B,2,0),"")</f>
        <v>Vale dos Sinos</v>
      </c>
      <c r="D223" s="29" t="s">
        <v>1854</v>
      </c>
      <c r="E223" s="32" t="s">
        <v>1094</v>
      </c>
      <c r="F223" s="33"/>
      <c r="G223" s="29" t="s">
        <v>1200</v>
      </c>
      <c r="H223" s="45">
        <v>4.1160012E7</v>
      </c>
      <c r="I223" s="29" t="s">
        <v>151</v>
      </c>
      <c r="J223" s="29" t="s">
        <v>27</v>
      </c>
      <c r="K223" s="29" t="s">
        <v>152</v>
      </c>
      <c r="L223" s="37">
        <v>162125.0</v>
      </c>
      <c r="M223" s="37"/>
      <c r="N223" s="29" t="s">
        <v>155</v>
      </c>
      <c r="O223" s="29" t="s">
        <v>110</v>
      </c>
      <c r="P223" s="32" t="s">
        <v>1136</v>
      </c>
      <c r="Q223" s="29"/>
    </row>
    <row r="224">
      <c r="A224" s="29">
        <v>2020.0</v>
      </c>
      <c r="B224" s="29" t="s">
        <v>632</v>
      </c>
      <c r="C224" s="13" t="str">
        <f>IFERROR(VLOOKUP(B224,'Regiões'!A:B,2,0),"")</f>
        <v>Alto Uruguai</v>
      </c>
      <c r="D224" s="29" t="s">
        <v>1858</v>
      </c>
      <c r="E224" s="32" t="s">
        <v>139</v>
      </c>
      <c r="F224" s="33"/>
      <c r="G224" s="29" t="s">
        <v>1194</v>
      </c>
      <c r="H224" s="35">
        <v>4.116001E7</v>
      </c>
      <c r="I224" s="29" t="s">
        <v>151</v>
      </c>
      <c r="J224" s="29" t="s">
        <v>27</v>
      </c>
      <c r="K224" s="29" t="s">
        <v>152</v>
      </c>
      <c r="L224" s="37">
        <v>162142.85</v>
      </c>
      <c r="M224" s="37"/>
      <c r="N224" s="29" t="s">
        <v>155</v>
      </c>
      <c r="O224" s="29" t="s">
        <v>110</v>
      </c>
      <c r="P224" s="32" t="s">
        <v>1197</v>
      </c>
      <c r="Q224" s="29"/>
    </row>
    <row r="225">
      <c r="A225" s="29">
        <v>2020.0</v>
      </c>
      <c r="B225" s="29" t="s">
        <v>821</v>
      </c>
      <c r="C225" s="13" t="str">
        <f>IFERROR(VLOOKUP(B225,'Regiões'!A:B,2,0),"")</f>
        <v>Planalto</v>
      </c>
      <c r="D225" s="29" t="s">
        <v>1860</v>
      </c>
      <c r="E225" s="32" t="s">
        <v>139</v>
      </c>
      <c r="F225" s="33"/>
      <c r="G225" s="29" t="s">
        <v>1317</v>
      </c>
      <c r="H225" s="35">
        <v>4.116001E7</v>
      </c>
      <c r="I225" s="29" t="s">
        <v>151</v>
      </c>
      <c r="J225" s="29" t="s">
        <v>27</v>
      </c>
      <c r="K225" s="29" t="s">
        <v>152</v>
      </c>
      <c r="L225" s="37">
        <v>162142.85</v>
      </c>
      <c r="M225" s="37"/>
      <c r="N225" s="29" t="s">
        <v>155</v>
      </c>
      <c r="O225" s="47" t="s">
        <v>1862</v>
      </c>
      <c r="P225" s="32" t="s">
        <v>1318</v>
      </c>
      <c r="Q225" s="29"/>
    </row>
    <row r="226">
      <c r="A226" s="29">
        <v>2020.0</v>
      </c>
      <c r="B226" s="29" t="s">
        <v>355</v>
      </c>
      <c r="C226" s="13" t="str">
        <f>IFERROR(VLOOKUP(B226,'Regiões'!A:B,2,0),"")</f>
        <v>Centro do Estado</v>
      </c>
      <c r="D226" s="29" t="s">
        <v>1865</v>
      </c>
      <c r="E226" s="32" t="s">
        <v>139</v>
      </c>
      <c r="F226" s="33"/>
      <c r="G226" s="29" t="s">
        <v>1412</v>
      </c>
      <c r="H226" s="35">
        <v>4.116001E7</v>
      </c>
      <c r="I226" s="29" t="s">
        <v>151</v>
      </c>
      <c r="J226" s="29" t="s">
        <v>27</v>
      </c>
      <c r="K226" s="29" t="s">
        <v>152</v>
      </c>
      <c r="L226" s="37">
        <v>162142.85</v>
      </c>
      <c r="M226" s="37"/>
      <c r="N226" s="29" t="s">
        <v>155</v>
      </c>
      <c r="O226" s="47" t="s">
        <v>1867</v>
      </c>
      <c r="P226" s="32" t="s">
        <v>1413</v>
      </c>
      <c r="Q226" s="29"/>
    </row>
    <row r="227">
      <c r="A227" s="47">
        <v>2021.0</v>
      </c>
      <c r="B227" s="230" t="s">
        <v>551</v>
      </c>
      <c r="C227" s="13" t="str">
        <f>IFERROR(VLOOKUP(B227,'Regiões'!A:B,2,0),"")</f>
        <v>Encosta Superior do Nordeste</v>
      </c>
      <c r="D227" s="29" t="s">
        <v>1870</v>
      </c>
      <c r="E227" s="49" t="s">
        <v>485</v>
      </c>
      <c r="F227" s="235"/>
      <c r="G227" s="230" t="s">
        <v>1871</v>
      </c>
      <c r="H227" s="237">
        <v>4.1160002E7</v>
      </c>
      <c r="I227" s="47" t="s">
        <v>1087</v>
      </c>
      <c r="J227" s="47" t="s">
        <v>7</v>
      </c>
      <c r="K227" s="47" t="s">
        <v>152</v>
      </c>
      <c r="L227" s="52">
        <v>162480.0</v>
      </c>
      <c r="M227" s="52"/>
      <c r="N227" s="47" t="s">
        <v>1062</v>
      </c>
      <c r="O227" s="47" t="s">
        <v>1872</v>
      </c>
      <c r="P227" s="384" t="s">
        <v>1873</v>
      </c>
      <c r="Q227" s="54"/>
    </row>
    <row r="228">
      <c r="A228" s="13">
        <v>2023.0</v>
      </c>
      <c r="B228" s="79" t="s">
        <v>115</v>
      </c>
      <c r="C228" s="13" t="str">
        <f>IFERROR(VLOOKUP(B228,'Regiões'!A:B,2,0),"")</f>
        <v>Vale do Taquari</v>
      </c>
      <c r="D228" s="13" t="s">
        <v>1717</v>
      </c>
      <c r="E228" s="80" t="s">
        <v>220</v>
      </c>
      <c r="F228" s="81"/>
      <c r="G228" s="79" t="s">
        <v>1248</v>
      </c>
      <c r="H228" s="82"/>
      <c r="I228" s="13" t="s">
        <v>958</v>
      </c>
      <c r="J228" s="13" t="str">
        <f>LEFT(I228,FIND(" (",I228) - 1)</f>
        <v>Segurança Pública</v>
      </c>
      <c r="K228" s="13" t="s">
        <v>152</v>
      </c>
      <c r="L228" s="83">
        <v>165000.0</v>
      </c>
      <c r="M228" s="83"/>
      <c r="N228" s="13" t="s">
        <v>89</v>
      </c>
      <c r="O228" s="13" t="s">
        <v>967</v>
      </c>
      <c r="P228" s="80" t="s">
        <v>1876</v>
      </c>
      <c r="Q228" s="79"/>
    </row>
    <row r="229">
      <c r="A229" s="29">
        <v>2021.0</v>
      </c>
      <c r="B229" s="40" t="s">
        <v>1109</v>
      </c>
      <c r="C229" s="29" t="str">
        <f>IFERROR(VLOOKUP(B229,'Regiões'!A:B,2,0),"")</f>
        <v>Encosta Superior do Nordeste</v>
      </c>
      <c r="D229" s="29" t="s">
        <v>1879</v>
      </c>
      <c r="E229" s="32" t="s">
        <v>485</v>
      </c>
      <c r="F229" s="249"/>
      <c r="G229" s="40" t="s">
        <v>1881</v>
      </c>
      <c r="H229" s="35">
        <v>4.1160003E7</v>
      </c>
      <c r="I229" s="29" t="s">
        <v>488</v>
      </c>
      <c r="J229" s="29" t="s">
        <v>7</v>
      </c>
      <c r="K229" s="29" t="s">
        <v>84</v>
      </c>
      <c r="L229" s="37">
        <v>170000.0</v>
      </c>
      <c r="M229" s="37"/>
      <c r="N229" s="29" t="s">
        <v>1062</v>
      </c>
      <c r="O229" s="29" t="s">
        <v>110</v>
      </c>
      <c r="P229" s="46" t="s">
        <v>1213</v>
      </c>
      <c r="Q229" s="40"/>
    </row>
    <row r="230">
      <c r="A230" s="64">
        <v>2020.0</v>
      </c>
      <c r="B230" s="64" t="s">
        <v>494</v>
      </c>
      <c r="C230" s="13" t="str">
        <f>IFERROR(VLOOKUP(B230,'Regiões'!A:B,2,0),"")</f>
        <v>Turismo da Serra</v>
      </c>
      <c r="D230" s="29" t="s">
        <v>1883</v>
      </c>
      <c r="E230" s="65" t="s">
        <v>485</v>
      </c>
      <c r="F230" s="66"/>
      <c r="G230" s="64" t="s">
        <v>1350</v>
      </c>
      <c r="H230" s="76" t="s">
        <v>578</v>
      </c>
      <c r="I230" s="64" t="s">
        <v>488</v>
      </c>
      <c r="J230" s="64" t="s">
        <v>7</v>
      </c>
      <c r="K230" s="64" t="s">
        <v>84</v>
      </c>
      <c r="L230" s="68">
        <v>174741.0</v>
      </c>
      <c r="M230" s="68"/>
      <c r="N230" s="64" t="s">
        <v>389</v>
      </c>
      <c r="O230" s="64" t="s">
        <v>110</v>
      </c>
      <c r="P230" s="65" t="s">
        <v>589</v>
      </c>
      <c r="Q230" s="75"/>
    </row>
    <row r="231">
      <c r="A231" s="334">
        <v>2022.0</v>
      </c>
      <c r="B231" s="334" t="s">
        <v>888</v>
      </c>
      <c r="C231" s="334" t="str">
        <f>IFERROR(VLOOKUP(B231,'Regiões'!A:B,2,0),"")</f>
        <v>Metropolitana de Porto Alegre</v>
      </c>
      <c r="D231" s="334" t="s">
        <v>1885</v>
      </c>
      <c r="E231" s="337" t="s">
        <v>14</v>
      </c>
      <c r="F231" s="341"/>
      <c r="G231" s="334" t="s">
        <v>74</v>
      </c>
      <c r="H231" s="343">
        <v>4.1160002E7</v>
      </c>
      <c r="I231" s="334" t="s">
        <v>193</v>
      </c>
      <c r="J231" s="334" t="s">
        <v>7</v>
      </c>
      <c r="K231" s="334" t="s">
        <v>84</v>
      </c>
      <c r="L231" s="345">
        <v>175000.0</v>
      </c>
      <c r="M231" s="345"/>
      <c r="N231" s="334" t="s">
        <v>200</v>
      </c>
      <c r="O231" s="334" t="s">
        <v>110</v>
      </c>
      <c r="P231" s="347"/>
      <c r="Q231" s="348"/>
    </row>
    <row r="232">
      <c r="A232" s="64">
        <v>2021.0</v>
      </c>
      <c r="B232" s="64" t="s">
        <v>119</v>
      </c>
      <c r="C232" s="13" t="str">
        <f>IFERROR(VLOOKUP(B232,'Regiões'!A:B,2,0),"")</f>
        <v>Zona Sul</v>
      </c>
      <c r="D232" s="29" t="s">
        <v>1890</v>
      </c>
      <c r="E232" s="65" t="s">
        <v>465</v>
      </c>
      <c r="F232" s="66"/>
      <c r="G232" s="64" t="s">
        <v>1322</v>
      </c>
      <c r="H232" s="67">
        <v>4.1160005E7</v>
      </c>
      <c r="I232" s="64" t="s">
        <v>151</v>
      </c>
      <c r="J232" s="64" t="s">
        <v>27</v>
      </c>
      <c r="K232" s="64" t="s">
        <v>152</v>
      </c>
      <c r="L232" s="531">
        <v>180837.86</v>
      </c>
      <c r="M232" s="531"/>
      <c r="N232" s="64" t="s">
        <v>155</v>
      </c>
      <c r="O232" s="64" t="s">
        <v>110</v>
      </c>
      <c r="P232" s="69" t="s">
        <v>1329</v>
      </c>
      <c r="Q232" s="70"/>
    </row>
    <row r="233">
      <c r="A233" s="64">
        <v>2021.0</v>
      </c>
      <c r="B233" s="64" t="s">
        <v>879</v>
      </c>
      <c r="C233" s="13" t="str">
        <f>IFERROR(VLOOKUP(B233,'Regiões'!A:B,2,0),"")</f>
        <v>Vale do Rio Pardo</v>
      </c>
      <c r="D233" s="29" t="s">
        <v>1895</v>
      </c>
      <c r="E233" s="65" t="s">
        <v>465</v>
      </c>
      <c r="F233" s="66"/>
      <c r="G233" s="64" t="s">
        <v>1407</v>
      </c>
      <c r="H233" s="67">
        <v>4.1160005E7</v>
      </c>
      <c r="I233" s="64" t="s">
        <v>151</v>
      </c>
      <c r="J233" s="64" t="s">
        <v>27</v>
      </c>
      <c r="K233" s="64" t="s">
        <v>152</v>
      </c>
      <c r="L233" s="531">
        <v>180837.86</v>
      </c>
      <c r="M233" s="531"/>
      <c r="N233" s="64" t="s">
        <v>155</v>
      </c>
      <c r="O233" s="64" t="s">
        <v>110</v>
      </c>
      <c r="P233" s="69" t="s">
        <v>1408</v>
      </c>
      <c r="Q233" s="70"/>
    </row>
    <row r="234">
      <c r="A234" s="29">
        <v>2021.0</v>
      </c>
      <c r="B234" s="29" t="s">
        <v>1109</v>
      </c>
      <c r="C234" s="13" t="str">
        <f>IFERROR(VLOOKUP(B234,'Regiões'!A:B,2,0),"")</f>
        <v>Encosta Superior do Nordeste</v>
      </c>
      <c r="D234" s="29" t="s">
        <v>1897</v>
      </c>
      <c r="E234" s="32" t="s">
        <v>251</v>
      </c>
      <c r="F234" s="33"/>
      <c r="G234" s="29" t="s">
        <v>1898</v>
      </c>
      <c r="H234" s="45">
        <v>4.1160001E7</v>
      </c>
      <c r="I234" s="29" t="s">
        <v>151</v>
      </c>
      <c r="J234" s="29" t="s">
        <v>27</v>
      </c>
      <c r="K234" s="29" t="s">
        <v>152</v>
      </c>
      <c r="L234" s="37">
        <v>186808.33</v>
      </c>
      <c r="M234" s="37"/>
      <c r="N234" s="29" t="s">
        <v>155</v>
      </c>
      <c r="O234" s="29" t="s">
        <v>265</v>
      </c>
      <c r="P234" s="109" t="s">
        <v>267</v>
      </c>
      <c r="Q234" s="40"/>
    </row>
    <row r="235">
      <c r="A235" s="29">
        <v>2021.0</v>
      </c>
      <c r="B235" s="29" t="s">
        <v>127</v>
      </c>
      <c r="C235" s="13" t="str">
        <f>IFERROR(VLOOKUP(B235,'Regiões'!A:B,2,0),"")</f>
        <v>Metropolitana de Porto Alegre</v>
      </c>
      <c r="D235" s="29" t="s">
        <v>1902</v>
      </c>
      <c r="E235" s="32" t="s">
        <v>251</v>
      </c>
      <c r="F235" s="537"/>
      <c r="G235" s="539" t="s">
        <v>1358</v>
      </c>
      <c r="H235" s="45">
        <v>4.1160001E7</v>
      </c>
      <c r="I235" s="29" t="s">
        <v>151</v>
      </c>
      <c r="J235" s="29" t="s">
        <v>27</v>
      </c>
      <c r="K235" s="29" t="s">
        <v>152</v>
      </c>
      <c r="L235" s="37">
        <v>186808.33</v>
      </c>
      <c r="M235" s="37"/>
      <c r="N235" s="29" t="s">
        <v>155</v>
      </c>
      <c r="O235" s="29" t="s">
        <v>265</v>
      </c>
      <c r="P235" s="109" t="s">
        <v>267</v>
      </c>
      <c r="Q235" s="40"/>
    </row>
    <row r="236">
      <c r="A236" s="29">
        <v>2022.0</v>
      </c>
      <c r="B236" s="29" t="s">
        <v>827</v>
      </c>
      <c r="C236" s="13" t="str">
        <f>IFERROR(VLOOKUP(B236,'Regiões'!A:B,2,0),"")</f>
        <v>Planalto Médio</v>
      </c>
      <c r="D236" s="29" t="s">
        <v>1906</v>
      </c>
      <c r="E236" s="32" t="s">
        <v>485</v>
      </c>
      <c r="F236" s="243"/>
      <c r="G236" s="245" t="s">
        <v>1241</v>
      </c>
      <c r="H236" s="35">
        <v>4.1160003E7</v>
      </c>
      <c r="I236" s="29" t="s">
        <v>1087</v>
      </c>
      <c r="J236" s="29" t="s">
        <v>7</v>
      </c>
      <c r="K236" s="29" t="s">
        <v>152</v>
      </c>
      <c r="L236" s="38">
        <v>187000.0</v>
      </c>
      <c r="M236" s="38"/>
      <c r="N236" s="29" t="s">
        <v>200</v>
      </c>
      <c r="O236" s="29" t="s">
        <v>110</v>
      </c>
      <c r="P236" s="39"/>
      <c r="Q236" s="40"/>
    </row>
    <row r="237">
      <c r="A237" s="13">
        <v>2023.0</v>
      </c>
      <c r="B237" s="55" t="s">
        <v>239</v>
      </c>
      <c r="C237" s="13" t="str">
        <f>IFERROR(VLOOKUP(B237,'Regiões'!A:B,2,0),"")</f>
        <v>Metropolitana de Porto Alegre</v>
      </c>
      <c r="D237" s="13" t="s">
        <v>1911</v>
      </c>
      <c r="E237" s="56" t="s">
        <v>360</v>
      </c>
      <c r="F237" s="57"/>
      <c r="G237" s="58" t="s">
        <v>1912</v>
      </c>
      <c r="H237" s="59"/>
      <c r="I237" s="13" t="s">
        <v>373</v>
      </c>
      <c r="J237" s="13" t="str">
        <f t="shared" ref="J237:J238" si="7">LEFT(I237,FIND(" (",I237) - 1)</f>
        <v>Saúde</v>
      </c>
      <c r="K237" s="13" t="s">
        <v>84</v>
      </c>
      <c r="L237" s="60">
        <v>187480.0</v>
      </c>
      <c r="M237" s="60"/>
      <c r="N237" s="13" t="s">
        <v>389</v>
      </c>
      <c r="O237" s="13" t="s">
        <v>110</v>
      </c>
      <c r="P237" s="61" t="s">
        <v>1913</v>
      </c>
      <c r="Q237" s="62"/>
    </row>
    <row r="238">
      <c r="A238" s="13">
        <v>2023.0</v>
      </c>
      <c r="B238" s="79" t="s">
        <v>141</v>
      </c>
      <c r="C238" s="13" t="str">
        <f>IFERROR(VLOOKUP(B238,'Regiões'!A:B,2,0),"")</f>
        <v>Vale do Taquari</v>
      </c>
      <c r="D238" s="13" t="s">
        <v>1728</v>
      </c>
      <c r="E238" s="80" t="s">
        <v>220</v>
      </c>
      <c r="F238" s="81"/>
      <c r="G238" s="79" t="s">
        <v>1916</v>
      </c>
      <c r="H238" s="82"/>
      <c r="I238" s="13" t="s">
        <v>1307</v>
      </c>
      <c r="J238" s="13" t="str">
        <f t="shared" si="7"/>
        <v>Saúde</v>
      </c>
      <c r="K238" s="13" t="s">
        <v>152</v>
      </c>
      <c r="L238" s="83">
        <v>192000.0</v>
      </c>
      <c r="M238" s="83"/>
      <c r="N238" s="13" t="s">
        <v>89</v>
      </c>
      <c r="O238" s="13" t="s">
        <v>265</v>
      </c>
      <c r="P238" s="80" t="s">
        <v>164</v>
      </c>
      <c r="Q238" s="79"/>
    </row>
    <row r="239">
      <c r="A239" s="11">
        <v>2024.0</v>
      </c>
      <c r="B239" s="18" t="s">
        <v>505</v>
      </c>
      <c r="C239" s="13" t="str">
        <f>IFERROR(VLOOKUP(B239,'Regiões'!A:B,2,0),"")</f>
        <v>Encosta Superior do Nordeste</v>
      </c>
      <c r="D239" s="13" t="s">
        <v>1919</v>
      </c>
      <c r="E239" s="15" t="str">
        <f t="shared" ref="E239:E250" si="8">G239&amp;" de "&amp;B239</f>
        <v>Prefeitura Municipal de Guaporé</v>
      </c>
      <c r="F239" s="17"/>
      <c r="G239" s="18" t="s">
        <v>74</v>
      </c>
      <c r="H239" s="20">
        <v>4.1160003E7</v>
      </c>
      <c r="I239" s="11" t="s">
        <v>1724</v>
      </c>
      <c r="J239" s="11" t="s">
        <v>7</v>
      </c>
      <c r="K239" s="21" t="s">
        <v>152</v>
      </c>
      <c r="L239" s="22">
        <v>194967.0</v>
      </c>
      <c r="M239" s="22"/>
      <c r="N239" s="13" t="s">
        <v>89</v>
      </c>
      <c r="O239" s="21"/>
      <c r="P239" s="23"/>
      <c r="Q239" s="24"/>
    </row>
    <row r="240">
      <c r="A240" s="11">
        <v>2024.0</v>
      </c>
      <c r="B240" s="12" t="s">
        <v>497</v>
      </c>
      <c r="C240" s="13" t="str">
        <f>IFERROR(VLOOKUP(B240,'Regiões'!A:B,2,0),"")</f>
        <v>Centro do Estado</v>
      </c>
      <c r="D240" s="13" t="s">
        <v>1923</v>
      </c>
      <c r="E240" s="15" t="str">
        <f t="shared" si="8"/>
        <v>Prefeitura Municipal de Silveira Martins</v>
      </c>
      <c r="F240" s="17"/>
      <c r="G240" s="18" t="s">
        <v>74</v>
      </c>
      <c r="H240" s="20">
        <v>4.1160003E7</v>
      </c>
      <c r="I240" s="11" t="s">
        <v>1724</v>
      </c>
      <c r="J240" s="11" t="s">
        <v>7</v>
      </c>
      <c r="K240" s="21" t="s">
        <v>152</v>
      </c>
      <c r="L240" s="22">
        <v>195414.0</v>
      </c>
      <c r="M240" s="22"/>
      <c r="N240" s="13" t="s">
        <v>89</v>
      </c>
      <c r="O240" s="21"/>
      <c r="P240" s="23"/>
      <c r="Q240" s="24"/>
    </row>
    <row r="241">
      <c r="A241" s="11">
        <v>2024.0</v>
      </c>
      <c r="B241" s="12" t="s">
        <v>543</v>
      </c>
      <c r="C241" s="13" t="str">
        <f>IFERROR(VLOOKUP(B241,'Regiões'!A:B,2,0),"")</f>
        <v>Vale do Rio Pardo</v>
      </c>
      <c r="D241" s="13" t="s">
        <v>1925</v>
      </c>
      <c r="E241" s="15" t="str">
        <f t="shared" si="8"/>
        <v>Prefeitura Municipal de Rio Pardo</v>
      </c>
      <c r="F241" s="17"/>
      <c r="G241" s="18" t="s">
        <v>74</v>
      </c>
      <c r="H241" s="20">
        <v>4.1160004E7</v>
      </c>
      <c r="I241" s="11" t="s">
        <v>1048</v>
      </c>
      <c r="J241" s="11" t="s">
        <v>7</v>
      </c>
      <c r="K241" s="21" t="s">
        <v>152</v>
      </c>
      <c r="L241" s="22">
        <v>196282.0</v>
      </c>
      <c r="M241" s="22"/>
      <c r="N241" s="13" t="s">
        <v>89</v>
      </c>
      <c r="O241" s="21"/>
      <c r="P241" s="23"/>
      <c r="Q241" s="24"/>
    </row>
    <row r="242">
      <c r="A242" s="11">
        <v>2024.0</v>
      </c>
      <c r="B242" s="12" t="s">
        <v>447</v>
      </c>
      <c r="C242" s="13" t="str">
        <f>IFERROR(VLOOKUP(B242,'Regiões'!A:B,2,0),"")</f>
        <v>Centro Serra</v>
      </c>
      <c r="D242" s="13" t="s">
        <v>1927</v>
      </c>
      <c r="E242" s="15" t="str">
        <f t="shared" si="8"/>
        <v>Prefeitura Municipal de Ibarama</v>
      </c>
      <c r="F242" s="17"/>
      <c r="G242" s="18" t="s">
        <v>74</v>
      </c>
      <c r="H242" s="20">
        <v>4.1160003E7</v>
      </c>
      <c r="I242" s="11" t="s">
        <v>1724</v>
      </c>
      <c r="J242" s="11" t="s">
        <v>7</v>
      </c>
      <c r="K242" s="21" t="s">
        <v>152</v>
      </c>
      <c r="L242" s="22">
        <v>197187.0</v>
      </c>
      <c r="M242" s="22"/>
      <c r="N242" s="13" t="s">
        <v>89</v>
      </c>
      <c r="O242" s="21"/>
      <c r="P242" s="23"/>
      <c r="Q242" s="24"/>
    </row>
    <row r="243">
      <c r="A243" s="11">
        <v>2024.0</v>
      </c>
      <c r="B243" s="12" t="s">
        <v>70</v>
      </c>
      <c r="C243" s="13" t="str">
        <f>IFERROR(VLOOKUP(B243,'Regiões'!A:B,2,0),"")</f>
        <v>Vale dos Sinos</v>
      </c>
      <c r="D243" s="13" t="s">
        <v>1928</v>
      </c>
      <c r="E243" s="15" t="str">
        <f t="shared" si="8"/>
        <v>Prefeitura Municipal de Campo Bom</v>
      </c>
      <c r="F243" s="17"/>
      <c r="G243" s="18" t="s">
        <v>74</v>
      </c>
      <c r="H243" s="20">
        <v>4.1160004E7</v>
      </c>
      <c r="I243" s="11" t="s">
        <v>1048</v>
      </c>
      <c r="J243" s="11" t="s">
        <v>7</v>
      </c>
      <c r="K243" s="21" t="s">
        <v>152</v>
      </c>
      <c r="L243" s="22">
        <v>197918.0</v>
      </c>
      <c r="M243" s="22"/>
      <c r="N243" s="13" t="s">
        <v>89</v>
      </c>
      <c r="O243" s="21"/>
      <c r="P243" s="23"/>
      <c r="Q243" s="24"/>
    </row>
    <row r="244">
      <c r="A244" s="11">
        <v>2024.0</v>
      </c>
      <c r="B244" s="12" t="s">
        <v>216</v>
      </c>
      <c r="C244" s="13" t="str">
        <f>IFERROR(VLOOKUP(B244,'Regiões'!A:B,2,0),"")</f>
        <v>Carbonífera</v>
      </c>
      <c r="D244" s="13" t="s">
        <v>1929</v>
      </c>
      <c r="E244" s="15" t="str">
        <f t="shared" si="8"/>
        <v>Prefeitura Municipal de Charqueadas</v>
      </c>
      <c r="F244" s="17"/>
      <c r="G244" s="18" t="s">
        <v>74</v>
      </c>
      <c r="H244" s="20">
        <v>4.1160004E7</v>
      </c>
      <c r="I244" s="11" t="s">
        <v>1048</v>
      </c>
      <c r="J244" s="11" t="s">
        <v>7</v>
      </c>
      <c r="K244" s="21" t="s">
        <v>152</v>
      </c>
      <c r="L244" s="22">
        <v>199531.0</v>
      </c>
      <c r="M244" s="22"/>
      <c r="N244" s="13" t="s">
        <v>89</v>
      </c>
      <c r="O244" s="21"/>
      <c r="P244" s="23"/>
      <c r="Q244" s="24"/>
    </row>
    <row r="245">
      <c r="A245" s="11">
        <v>2024.0</v>
      </c>
      <c r="B245" s="18" t="s">
        <v>502</v>
      </c>
      <c r="C245" s="13" t="str">
        <f>IFERROR(VLOOKUP(B245,'Regiões'!A:B,2,0),"")</f>
        <v>Carbonífera</v>
      </c>
      <c r="D245" s="13" t="s">
        <v>1931</v>
      </c>
      <c r="E245" s="15" t="str">
        <f t="shared" si="8"/>
        <v>Prefeitura Municipal de General Câmara</v>
      </c>
      <c r="F245" s="17"/>
      <c r="G245" s="18" t="s">
        <v>74</v>
      </c>
      <c r="H245" s="20">
        <v>4.1160003E7</v>
      </c>
      <c r="I245" s="11" t="s">
        <v>1724</v>
      </c>
      <c r="J245" s="11" t="s">
        <v>7</v>
      </c>
      <c r="K245" s="21" t="s">
        <v>152</v>
      </c>
      <c r="L245" s="22">
        <v>199773.0</v>
      </c>
      <c r="M245" s="22"/>
      <c r="N245" s="13" t="s">
        <v>89</v>
      </c>
      <c r="O245" s="21"/>
      <c r="P245" s="23"/>
      <c r="Q245" s="24"/>
    </row>
    <row r="246">
      <c r="A246" s="11">
        <v>2024.0</v>
      </c>
      <c r="B246" s="18" t="s">
        <v>518</v>
      </c>
      <c r="C246" s="13" t="str">
        <f>IFERROR(VLOOKUP(B246,'Regiões'!A:B,2,0),"")</f>
        <v>Zona Sul</v>
      </c>
      <c r="D246" s="13" t="s">
        <v>1932</v>
      </c>
      <c r="E246" s="15" t="str">
        <f t="shared" si="8"/>
        <v>Prefeitura Municipal de São José do Norte</v>
      </c>
      <c r="F246" s="17"/>
      <c r="G246" s="18" t="s">
        <v>74</v>
      </c>
      <c r="H246" s="20">
        <v>4.1160004E7</v>
      </c>
      <c r="I246" s="11" t="s">
        <v>1048</v>
      </c>
      <c r="J246" s="11" t="s">
        <v>7</v>
      </c>
      <c r="K246" s="21" t="s">
        <v>152</v>
      </c>
      <c r="L246" s="22">
        <v>199871.0</v>
      </c>
      <c r="M246" s="22"/>
      <c r="N246" s="13" t="s">
        <v>89</v>
      </c>
      <c r="O246" s="21"/>
      <c r="P246" s="23"/>
      <c r="Q246" s="24"/>
    </row>
    <row r="247">
      <c r="A247" s="11">
        <v>2024.0</v>
      </c>
      <c r="B247" s="12" t="s">
        <v>221</v>
      </c>
      <c r="C247" s="13" t="str">
        <f>IFERROR(VLOOKUP(B247,'Regiões'!A:B,2,0),"")</f>
        <v>Centro Serra</v>
      </c>
      <c r="D247" s="13" t="s">
        <v>1933</v>
      </c>
      <c r="E247" s="15" t="str">
        <f t="shared" si="8"/>
        <v>Prefeitura Municipal de Arroio do Tigre</v>
      </c>
      <c r="F247" s="17"/>
      <c r="G247" s="18" t="s">
        <v>74</v>
      </c>
      <c r="H247" s="20">
        <v>4.1160003E7</v>
      </c>
      <c r="I247" s="11" t="s">
        <v>1724</v>
      </c>
      <c r="J247" s="11" t="s">
        <v>7</v>
      </c>
      <c r="K247" s="21" t="s">
        <v>152</v>
      </c>
      <c r="L247" s="22">
        <v>199918.0</v>
      </c>
      <c r="M247" s="22"/>
      <c r="N247" s="13" t="s">
        <v>89</v>
      </c>
      <c r="O247" s="21"/>
      <c r="P247" s="23"/>
      <c r="Q247" s="24"/>
    </row>
    <row r="248">
      <c r="A248" s="11">
        <v>2024.0</v>
      </c>
      <c r="B248" s="12" t="s">
        <v>141</v>
      </c>
      <c r="C248" s="13" t="str">
        <f>IFERROR(VLOOKUP(B248,'Regiões'!A:B,2,0),"")</f>
        <v>Vale do Taquari</v>
      </c>
      <c r="D248" s="13" t="s">
        <v>1935</v>
      </c>
      <c r="E248" s="15" t="str">
        <f t="shared" si="8"/>
        <v>Prefeitura Municipal de Encantado</v>
      </c>
      <c r="F248" s="17"/>
      <c r="G248" s="18" t="s">
        <v>74</v>
      </c>
      <c r="H248" s="20">
        <v>4.1160003E7</v>
      </c>
      <c r="I248" s="11" t="s">
        <v>1724</v>
      </c>
      <c r="J248" s="11" t="s">
        <v>7</v>
      </c>
      <c r="K248" s="21" t="s">
        <v>152</v>
      </c>
      <c r="L248" s="22">
        <v>199986.0</v>
      </c>
      <c r="M248" s="22"/>
      <c r="N248" s="13" t="s">
        <v>89</v>
      </c>
      <c r="O248" s="21"/>
      <c r="P248" s="23"/>
      <c r="Q248" s="24"/>
    </row>
    <row r="249">
      <c r="A249" s="11">
        <v>2024.0</v>
      </c>
      <c r="B249" s="12" t="s">
        <v>355</v>
      </c>
      <c r="C249" s="13" t="str">
        <f>IFERROR(VLOOKUP(B249,'Regiões'!A:B,2,0),"")</f>
        <v>Centro do Estado</v>
      </c>
      <c r="D249" s="13" t="s">
        <v>1937</v>
      </c>
      <c r="E249" s="15" t="str">
        <f t="shared" si="8"/>
        <v>Prefeitura Municipal de Santa Maria</v>
      </c>
      <c r="F249" s="17"/>
      <c r="G249" s="18" t="s">
        <v>74</v>
      </c>
      <c r="H249" s="20">
        <v>4.1160003E7</v>
      </c>
      <c r="I249" s="11" t="s">
        <v>1724</v>
      </c>
      <c r="J249" s="11" t="s">
        <v>7</v>
      </c>
      <c r="K249" s="21" t="s">
        <v>152</v>
      </c>
      <c r="L249" s="22">
        <v>199989.0</v>
      </c>
      <c r="M249" s="22"/>
      <c r="N249" s="13" t="s">
        <v>89</v>
      </c>
      <c r="O249" s="21"/>
      <c r="P249" s="23"/>
      <c r="Q249" s="24"/>
    </row>
    <row r="250">
      <c r="A250" s="11">
        <v>2024.0</v>
      </c>
      <c r="B250" s="12" t="s">
        <v>508</v>
      </c>
      <c r="C250" s="13" t="str">
        <f>IFERROR(VLOOKUP(B250,'Regiões'!A:B,2,0),"")</f>
        <v>Metropolitana de Porto Alegre</v>
      </c>
      <c r="D250" s="13" t="s">
        <v>1940</v>
      </c>
      <c r="E250" s="15" t="str">
        <f t="shared" si="8"/>
        <v>Prefeitura Municipal de Nova Santa Rita</v>
      </c>
      <c r="F250" s="17"/>
      <c r="G250" s="18" t="s">
        <v>74</v>
      </c>
      <c r="H250" s="20">
        <v>4.1160004E7</v>
      </c>
      <c r="I250" s="11" t="s">
        <v>1048</v>
      </c>
      <c r="J250" s="11" t="s">
        <v>7</v>
      </c>
      <c r="K250" s="21" t="s">
        <v>152</v>
      </c>
      <c r="L250" s="22">
        <v>199999.0</v>
      </c>
      <c r="M250" s="22"/>
      <c r="N250" s="13" t="s">
        <v>89</v>
      </c>
      <c r="O250" s="21"/>
      <c r="P250" s="23"/>
      <c r="Q250" s="24"/>
    </row>
    <row r="251">
      <c r="A251" s="64">
        <v>2020.0</v>
      </c>
      <c r="B251" s="64" t="s">
        <v>1109</v>
      </c>
      <c r="C251" s="13" t="str">
        <f>IFERROR(VLOOKUP(B251,'Regiões'!A:B,2,0),"")</f>
        <v>Encosta Superior do Nordeste</v>
      </c>
      <c r="D251" s="29" t="s">
        <v>1943</v>
      </c>
      <c r="E251" s="65" t="s">
        <v>485</v>
      </c>
      <c r="F251" s="66"/>
      <c r="G251" s="64" t="s">
        <v>1392</v>
      </c>
      <c r="H251" s="71">
        <v>4.1160005E7</v>
      </c>
      <c r="I251" s="64" t="s">
        <v>488</v>
      </c>
      <c r="J251" s="64" t="s">
        <v>7</v>
      </c>
      <c r="K251" s="64" t="s">
        <v>84</v>
      </c>
      <c r="L251" s="68">
        <v>200000.0</v>
      </c>
      <c r="M251" s="68"/>
      <c r="N251" s="64" t="s">
        <v>490</v>
      </c>
      <c r="O251" s="64" t="s">
        <v>110</v>
      </c>
      <c r="P251" s="65" t="s">
        <v>1076</v>
      </c>
      <c r="Q251" s="70" t="s">
        <v>1399</v>
      </c>
    </row>
    <row r="252">
      <c r="A252" s="64">
        <v>2020.0</v>
      </c>
      <c r="B252" s="64" t="s">
        <v>182</v>
      </c>
      <c r="C252" s="13" t="str">
        <f>IFERROR(VLOOKUP(B252,'Regiões'!A:B,2,0),"")</f>
        <v>Encosta Superior do Nordeste</v>
      </c>
      <c r="D252" s="29" t="s">
        <v>1946</v>
      </c>
      <c r="E252" s="65" t="s">
        <v>485</v>
      </c>
      <c r="F252" s="66"/>
      <c r="G252" s="64" t="s">
        <v>1579</v>
      </c>
      <c r="H252" s="71">
        <v>4.1160005E7</v>
      </c>
      <c r="I252" s="64" t="s">
        <v>488</v>
      </c>
      <c r="J252" s="64" t="s">
        <v>7</v>
      </c>
      <c r="K252" s="64" t="s">
        <v>84</v>
      </c>
      <c r="L252" s="68">
        <v>200000.0</v>
      </c>
      <c r="M252" s="68"/>
      <c r="N252" s="64" t="s">
        <v>490</v>
      </c>
      <c r="O252" s="64" t="s">
        <v>110</v>
      </c>
      <c r="P252" s="65" t="s">
        <v>1076</v>
      </c>
      <c r="Q252" s="70" t="s">
        <v>1581</v>
      </c>
    </row>
    <row r="253">
      <c r="A253" s="64">
        <v>2020.0</v>
      </c>
      <c r="B253" s="64" t="s">
        <v>735</v>
      </c>
      <c r="C253" s="13" t="str">
        <f>IFERROR(VLOOKUP(B253,'Regiões'!A:B,2,0),"")</f>
        <v>Centro do Estado</v>
      </c>
      <c r="D253" s="29" t="s">
        <v>1948</v>
      </c>
      <c r="E253" s="65" t="s">
        <v>485</v>
      </c>
      <c r="F253" s="66"/>
      <c r="G253" s="64" t="s">
        <v>1617</v>
      </c>
      <c r="H253" s="71">
        <v>4.1160005E7</v>
      </c>
      <c r="I253" s="64" t="s">
        <v>1559</v>
      </c>
      <c r="J253" s="64" t="s">
        <v>7</v>
      </c>
      <c r="K253" s="64" t="s">
        <v>84</v>
      </c>
      <c r="L253" s="68">
        <v>200000.0</v>
      </c>
      <c r="M253" s="68"/>
      <c r="N253" s="64" t="s">
        <v>490</v>
      </c>
      <c r="O253" s="64" t="s">
        <v>110</v>
      </c>
      <c r="P253" s="65" t="s">
        <v>1618</v>
      </c>
      <c r="Q253" s="70" t="s">
        <v>1619</v>
      </c>
    </row>
    <row r="254">
      <c r="A254" s="64">
        <v>2020.0</v>
      </c>
      <c r="B254" s="64" t="s">
        <v>115</v>
      </c>
      <c r="C254" s="13" t="str">
        <f>IFERROR(VLOOKUP(B254,'Regiões'!A:B,2,0),"")</f>
        <v>Vale do Taquari</v>
      </c>
      <c r="D254" s="29" t="s">
        <v>1951</v>
      </c>
      <c r="E254" s="65" t="s">
        <v>485</v>
      </c>
      <c r="F254" s="66"/>
      <c r="G254" s="64" t="s">
        <v>1625</v>
      </c>
      <c r="H254" s="71">
        <v>4.1160005E7</v>
      </c>
      <c r="I254" s="64" t="s">
        <v>488</v>
      </c>
      <c r="J254" s="64" t="s">
        <v>7</v>
      </c>
      <c r="K254" s="64" t="s">
        <v>84</v>
      </c>
      <c r="L254" s="68">
        <v>200000.0</v>
      </c>
      <c r="M254" s="68"/>
      <c r="N254" s="64" t="s">
        <v>490</v>
      </c>
      <c r="O254" s="64" t="s">
        <v>110</v>
      </c>
      <c r="P254" s="65" t="s">
        <v>1076</v>
      </c>
      <c r="Q254" s="70" t="s">
        <v>1627</v>
      </c>
    </row>
    <row r="255">
      <c r="A255" s="64">
        <v>2020.0</v>
      </c>
      <c r="B255" s="64" t="s">
        <v>239</v>
      </c>
      <c r="C255" s="13" t="str">
        <f>IFERROR(VLOOKUP(B255,'Regiões'!A:B,2,0),"")</f>
        <v>Metropolitana de Porto Alegre</v>
      </c>
      <c r="D255" s="29" t="s">
        <v>1952</v>
      </c>
      <c r="E255" s="65" t="s">
        <v>485</v>
      </c>
      <c r="F255" s="66"/>
      <c r="G255" s="64" t="s">
        <v>1669</v>
      </c>
      <c r="H255" s="71">
        <v>4.1160005E7</v>
      </c>
      <c r="I255" s="64" t="s">
        <v>488</v>
      </c>
      <c r="J255" s="64" t="s">
        <v>7</v>
      </c>
      <c r="K255" s="64" t="s">
        <v>84</v>
      </c>
      <c r="L255" s="68">
        <v>200000.0</v>
      </c>
      <c r="M255" s="68"/>
      <c r="N255" s="64" t="s">
        <v>490</v>
      </c>
      <c r="O255" s="64" t="s">
        <v>110</v>
      </c>
      <c r="P255" s="65" t="s">
        <v>491</v>
      </c>
      <c r="Q255" s="70" t="s">
        <v>1670</v>
      </c>
    </row>
    <row r="256">
      <c r="A256" s="64">
        <v>2020.0</v>
      </c>
      <c r="B256" s="64" t="s">
        <v>875</v>
      </c>
      <c r="C256" s="13" t="str">
        <f>IFERROR(VLOOKUP(B256,'Regiões'!A:B,2,0),"")</f>
        <v>Alto Jacuí</v>
      </c>
      <c r="D256" s="29" t="s">
        <v>1957</v>
      </c>
      <c r="E256" s="65" t="s">
        <v>485</v>
      </c>
      <c r="F256" s="66"/>
      <c r="G256" s="64" t="s">
        <v>1786</v>
      </c>
      <c r="H256" s="71">
        <v>4.1160005E7</v>
      </c>
      <c r="I256" s="64" t="s">
        <v>1559</v>
      </c>
      <c r="J256" s="64" t="s">
        <v>7</v>
      </c>
      <c r="K256" s="64" t="s">
        <v>84</v>
      </c>
      <c r="L256" s="68">
        <v>200000.0</v>
      </c>
      <c r="M256" s="68"/>
      <c r="N256" s="64" t="s">
        <v>89</v>
      </c>
      <c r="O256" s="64" t="s">
        <v>110</v>
      </c>
      <c r="P256" s="65" t="s">
        <v>1560</v>
      </c>
      <c r="Q256" s="70" t="s">
        <v>1787</v>
      </c>
    </row>
    <row r="257">
      <c r="A257" s="581">
        <v>2020.0</v>
      </c>
      <c r="B257" s="581" t="s">
        <v>879</v>
      </c>
      <c r="C257" s="584" t="str">
        <f>IFERROR(VLOOKUP(B257,'Regiões'!A:B,2,0),"")</f>
        <v>Vale do Rio Pardo</v>
      </c>
      <c r="D257" s="585" t="s">
        <v>1960</v>
      </c>
      <c r="E257" s="581" t="s">
        <v>485</v>
      </c>
      <c r="F257" s="586"/>
      <c r="G257" s="581" t="s">
        <v>1789</v>
      </c>
      <c r="H257" s="587">
        <v>4.1160005E7</v>
      </c>
      <c r="I257" s="581" t="s">
        <v>488</v>
      </c>
      <c r="J257" s="581" t="s">
        <v>7</v>
      </c>
      <c r="K257" s="581" t="s">
        <v>84</v>
      </c>
      <c r="L257" s="588">
        <v>200000.0</v>
      </c>
      <c r="M257" s="588"/>
      <c r="N257" s="581" t="s">
        <v>490</v>
      </c>
      <c r="O257" s="581" t="s">
        <v>110</v>
      </c>
      <c r="P257" s="581" t="s">
        <v>491</v>
      </c>
      <c r="Q257" s="589" t="s">
        <v>1792</v>
      </c>
    </row>
    <row r="258">
      <c r="A258" s="64">
        <v>2020.0</v>
      </c>
      <c r="B258" s="64" t="s">
        <v>520</v>
      </c>
      <c r="C258" s="13" t="str">
        <f>IFERROR(VLOOKUP(B258,'Regiões'!A:B,2,0),"")</f>
        <v>Vale dos Sinos</v>
      </c>
      <c r="D258" s="29" t="s">
        <v>1962</v>
      </c>
      <c r="E258" s="65" t="s">
        <v>485</v>
      </c>
      <c r="F258" s="66"/>
      <c r="G258" s="64" t="s">
        <v>1844</v>
      </c>
      <c r="H258" s="71">
        <v>4.1160005E7</v>
      </c>
      <c r="I258" s="64" t="s">
        <v>488</v>
      </c>
      <c r="J258" s="64" t="s">
        <v>7</v>
      </c>
      <c r="K258" s="64" t="s">
        <v>84</v>
      </c>
      <c r="L258" s="68">
        <v>200000.0</v>
      </c>
      <c r="M258" s="68"/>
      <c r="N258" s="64" t="s">
        <v>490</v>
      </c>
      <c r="O258" s="64" t="s">
        <v>110</v>
      </c>
      <c r="P258" s="65" t="s">
        <v>491</v>
      </c>
      <c r="Q258" s="75"/>
    </row>
    <row r="259">
      <c r="A259" s="64">
        <v>2021.0</v>
      </c>
      <c r="B259" s="29" t="s">
        <v>821</v>
      </c>
      <c r="C259" s="13" t="str">
        <f>IFERROR(VLOOKUP(B259,'Regiões'!A:B,2,0),"")</f>
        <v>Planalto</v>
      </c>
      <c r="D259" s="29" t="s">
        <v>1966</v>
      </c>
      <c r="E259" s="65" t="s">
        <v>485</v>
      </c>
      <c r="F259" s="243"/>
      <c r="G259" s="245" t="s">
        <v>1967</v>
      </c>
      <c r="H259" s="35">
        <v>4.1160002E7</v>
      </c>
      <c r="I259" s="29" t="s">
        <v>1087</v>
      </c>
      <c r="J259" s="29" t="s">
        <v>7</v>
      </c>
      <c r="K259" s="64" t="s">
        <v>152</v>
      </c>
      <c r="L259" s="38">
        <v>200000.0</v>
      </c>
      <c r="M259" s="38"/>
      <c r="N259" s="64" t="s">
        <v>155</v>
      </c>
      <c r="O259" s="64" t="s">
        <v>110</v>
      </c>
      <c r="P259" s="39" t="s">
        <v>1968</v>
      </c>
      <c r="Q259" s="40"/>
    </row>
    <row r="260">
      <c r="A260" s="29">
        <v>2021.0</v>
      </c>
      <c r="B260" s="40" t="s">
        <v>842</v>
      </c>
      <c r="C260" s="13" t="str">
        <f>IFERROR(VLOOKUP(B260,'Regiões'!A:B,2,0),"")</f>
        <v>Fronteira Noroeste</v>
      </c>
      <c r="D260" s="29" t="s">
        <v>1969</v>
      </c>
      <c r="E260" s="32"/>
      <c r="F260" s="249"/>
      <c r="G260" s="40"/>
      <c r="H260" s="35"/>
      <c r="I260" s="29"/>
      <c r="J260" s="29"/>
      <c r="K260" s="29"/>
      <c r="L260" s="37">
        <v>200000.0</v>
      </c>
      <c r="M260" s="37"/>
      <c r="N260" s="29" t="s">
        <v>1062</v>
      </c>
      <c r="O260" s="29" t="s">
        <v>1082</v>
      </c>
      <c r="P260" s="46"/>
      <c r="Q260" s="40"/>
    </row>
    <row r="261">
      <c r="A261" s="29">
        <v>2021.0</v>
      </c>
      <c r="B261" s="41" t="s">
        <v>893</v>
      </c>
      <c r="C261" s="13" t="str">
        <f>IFERROR(VLOOKUP(B261,'Regiões'!A:B,2,0),"")</f>
        <v>Fronteira Oeste</v>
      </c>
      <c r="D261" s="29" t="s">
        <v>1972</v>
      </c>
      <c r="E261" s="32" t="s">
        <v>220</v>
      </c>
      <c r="F261" s="42"/>
      <c r="G261" s="43" t="s">
        <v>74</v>
      </c>
      <c r="H261" s="35">
        <v>4.1160002E7</v>
      </c>
      <c r="I261" s="29" t="s">
        <v>1087</v>
      </c>
      <c r="J261" s="29" t="s">
        <v>7</v>
      </c>
      <c r="K261" s="29" t="s">
        <v>152</v>
      </c>
      <c r="L261" s="37">
        <v>200000.0</v>
      </c>
      <c r="M261" s="37"/>
      <c r="N261" s="29" t="s">
        <v>1062</v>
      </c>
      <c r="O261" s="29" t="s">
        <v>110</v>
      </c>
      <c r="P261" s="46" t="s">
        <v>1834</v>
      </c>
      <c r="Q261" s="40"/>
    </row>
    <row r="262">
      <c r="A262" s="47">
        <v>2022.0</v>
      </c>
      <c r="B262" s="54" t="s">
        <v>473</v>
      </c>
      <c r="C262" s="13" t="str">
        <f>IFERROR(VLOOKUP(B262,'Regiões'!A:B,2,0),"")</f>
        <v>Centro do Estado</v>
      </c>
      <c r="D262" s="29" t="s">
        <v>1976</v>
      </c>
      <c r="E262" s="49" t="s">
        <v>485</v>
      </c>
      <c r="F262" s="396"/>
      <c r="G262" s="54" t="s">
        <v>1333</v>
      </c>
      <c r="H262" s="35">
        <v>7120004.0</v>
      </c>
      <c r="I262" s="29" t="s">
        <v>488</v>
      </c>
      <c r="J262" s="29" t="s">
        <v>7</v>
      </c>
      <c r="K262" s="29" t="s">
        <v>84</v>
      </c>
      <c r="L262" s="52">
        <v>200000.0</v>
      </c>
      <c r="M262" s="52"/>
      <c r="N262" s="29" t="s">
        <v>1193</v>
      </c>
      <c r="O262" s="47" t="s">
        <v>110</v>
      </c>
      <c r="P262" s="46" t="s">
        <v>1338</v>
      </c>
      <c r="Q262" s="54"/>
    </row>
    <row r="263">
      <c r="A263" s="47">
        <v>2022.0</v>
      </c>
      <c r="B263" s="54" t="s">
        <v>785</v>
      </c>
      <c r="C263" s="13" t="str">
        <f>IFERROR(VLOOKUP(B263,'Regiões'!A:B,2,0),"")</f>
        <v>Alto Jacuí</v>
      </c>
      <c r="D263" s="29" t="s">
        <v>1978</v>
      </c>
      <c r="E263" s="49" t="s">
        <v>485</v>
      </c>
      <c r="F263" s="396"/>
      <c r="G263" s="54" t="s">
        <v>1653</v>
      </c>
      <c r="H263" s="35">
        <v>7120004.0</v>
      </c>
      <c r="I263" s="29" t="s">
        <v>488</v>
      </c>
      <c r="J263" s="29" t="s">
        <v>7</v>
      </c>
      <c r="K263" s="29" t="s">
        <v>84</v>
      </c>
      <c r="L263" s="52">
        <v>200000.0</v>
      </c>
      <c r="M263" s="52"/>
      <c r="N263" s="29" t="s">
        <v>1193</v>
      </c>
      <c r="O263" s="47" t="s">
        <v>110</v>
      </c>
      <c r="P263" s="46" t="s">
        <v>1981</v>
      </c>
      <c r="Q263" s="54"/>
    </row>
    <row r="264">
      <c r="A264" s="29">
        <v>2022.0</v>
      </c>
      <c r="B264" s="29" t="s">
        <v>875</v>
      </c>
      <c r="C264" s="13" t="str">
        <f>IFERROR(VLOOKUP(B264,'Regiões'!A:B,2,0),"")</f>
        <v>Alto Jacuí</v>
      </c>
      <c r="D264" s="29" t="s">
        <v>1982</v>
      </c>
      <c r="E264" s="32" t="s">
        <v>485</v>
      </c>
      <c r="F264" s="243"/>
      <c r="G264" s="245" t="s">
        <v>1260</v>
      </c>
      <c r="H264" s="35">
        <v>4.1160003E7</v>
      </c>
      <c r="I264" s="29" t="s">
        <v>1087</v>
      </c>
      <c r="J264" s="29" t="s">
        <v>7</v>
      </c>
      <c r="K264" s="29" t="s">
        <v>152</v>
      </c>
      <c r="L264" s="38">
        <v>200000.0</v>
      </c>
      <c r="M264" s="38"/>
      <c r="N264" s="29" t="s">
        <v>200</v>
      </c>
      <c r="O264" s="29" t="s">
        <v>110</v>
      </c>
      <c r="P264" s="39"/>
      <c r="Q264" s="40"/>
    </row>
    <row r="265">
      <c r="A265" s="47">
        <v>2022.0</v>
      </c>
      <c r="B265" s="54" t="s">
        <v>377</v>
      </c>
      <c r="C265" s="13" t="str">
        <f>IFERROR(VLOOKUP(B265,'Regiões'!A:B,2,0),"")</f>
        <v>Missões</v>
      </c>
      <c r="D265" s="29" t="s">
        <v>772</v>
      </c>
      <c r="E265" s="49" t="s">
        <v>485</v>
      </c>
      <c r="F265" s="396"/>
      <c r="G265" s="54" t="s">
        <v>773</v>
      </c>
      <c r="H265" s="35">
        <v>7120004.0</v>
      </c>
      <c r="I265" s="29" t="s">
        <v>488</v>
      </c>
      <c r="J265" s="29" t="s">
        <v>7</v>
      </c>
      <c r="K265" s="29" t="s">
        <v>84</v>
      </c>
      <c r="L265" s="52">
        <v>200000.0</v>
      </c>
      <c r="M265" s="52"/>
      <c r="N265" s="29" t="s">
        <v>1193</v>
      </c>
      <c r="O265" s="47" t="s">
        <v>110</v>
      </c>
      <c r="P265" s="46" t="s">
        <v>1338</v>
      </c>
      <c r="Q265" s="54"/>
    </row>
    <row r="266">
      <c r="A266" s="13">
        <v>2023.0</v>
      </c>
      <c r="B266" s="79" t="s">
        <v>198</v>
      </c>
      <c r="C266" s="13" t="str">
        <f>IFERROR(VLOOKUP(B266,'Regiões'!A:B,2,0),"")</f>
        <v>Vale dos Sinos</v>
      </c>
      <c r="D266" s="13" t="s">
        <v>1986</v>
      </c>
      <c r="E266" s="80" t="s">
        <v>220</v>
      </c>
      <c r="F266" s="81"/>
      <c r="G266" s="79" t="s">
        <v>1987</v>
      </c>
      <c r="H266" s="82"/>
      <c r="I266" s="13" t="s">
        <v>1307</v>
      </c>
      <c r="J266" s="13" t="str">
        <f t="shared" ref="J266:J271" si="9">LEFT(I266,FIND(" (",I266) - 1)</f>
        <v>Saúde</v>
      </c>
      <c r="K266" s="13" t="s">
        <v>152</v>
      </c>
      <c r="L266" s="83">
        <v>200000.0</v>
      </c>
      <c r="M266" s="83"/>
      <c r="N266" s="13" t="s">
        <v>89</v>
      </c>
      <c r="O266" s="13" t="s">
        <v>265</v>
      </c>
      <c r="P266" s="80" t="s">
        <v>272</v>
      </c>
      <c r="Q266" s="79"/>
    </row>
    <row r="267">
      <c r="A267" s="13">
        <v>2023.0</v>
      </c>
      <c r="B267" s="55" t="s">
        <v>623</v>
      </c>
      <c r="C267" s="13" t="str">
        <f>IFERROR(VLOOKUP(B267,'Regiões'!A:B,2,0),"")</f>
        <v>Planalto</v>
      </c>
      <c r="D267" s="13" t="s">
        <v>1772</v>
      </c>
      <c r="E267" s="56" t="s">
        <v>485</v>
      </c>
      <c r="F267" s="358"/>
      <c r="G267" s="55" t="s">
        <v>1989</v>
      </c>
      <c r="H267" s="59">
        <v>4.1160007E7</v>
      </c>
      <c r="I267" s="13" t="s">
        <v>1307</v>
      </c>
      <c r="J267" s="13" t="str">
        <f t="shared" si="9"/>
        <v>Saúde</v>
      </c>
      <c r="K267" s="13" t="s">
        <v>152</v>
      </c>
      <c r="L267" s="393">
        <v>200000.0</v>
      </c>
      <c r="M267" s="393"/>
      <c r="N267" s="13" t="s">
        <v>89</v>
      </c>
      <c r="O267" s="13" t="s">
        <v>265</v>
      </c>
      <c r="P267" s="61" t="s">
        <v>1990</v>
      </c>
      <c r="Q267" s="62"/>
    </row>
    <row r="268">
      <c r="A268" s="13">
        <v>2023.0</v>
      </c>
      <c r="B268" s="55" t="s">
        <v>219</v>
      </c>
      <c r="C268" s="13" t="str">
        <f>IFERROR(VLOOKUP(B268,'Regiões'!A:B,2,0),"")</f>
        <v>Turismo da Serra</v>
      </c>
      <c r="D268" s="13" t="s">
        <v>1802</v>
      </c>
      <c r="E268" s="56" t="s">
        <v>485</v>
      </c>
      <c r="F268" s="358"/>
      <c r="G268" s="55" t="s">
        <v>641</v>
      </c>
      <c r="H268" s="59"/>
      <c r="I268" s="13" t="s">
        <v>1307</v>
      </c>
      <c r="J268" s="13" t="str">
        <f t="shared" si="9"/>
        <v>Saúde</v>
      </c>
      <c r="K268" s="13" t="s">
        <v>152</v>
      </c>
      <c r="L268" s="393">
        <v>200000.0</v>
      </c>
      <c r="M268" s="393"/>
      <c r="N268" s="13" t="s">
        <v>89</v>
      </c>
      <c r="O268" s="13" t="s">
        <v>265</v>
      </c>
      <c r="P268" s="61" t="s">
        <v>1991</v>
      </c>
      <c r="Q268" s="62"/>
    </row>
    <row r="269">
      <c r="A269" s="13">
        <v>2023.0</v>
      </c>
      <c r="B269" s="55" t="s">
        <v>646</v>
      </c>
      <c r="C269" s="13" t="str">
        <f>IFERROR(VLOOKUP(B269,'Regiões'!A:B,2,0),"")</f>
        <v>Vale do Rio Caí</v>
      </c>
      <c r="D269" s="13" t="s">
        <v>1882</v>
      </c>
      <c r="E269" s="56" t="s">
        <v>485</v>
      </c>
      <c r="F269" s="358"/>
      <c r="G269" s="55" t="s">
        <v>1994</v>
      </c>
      <c r="H269" s="59"/>
      <c r="I269" s="13" t="s">
        <v>373</v>
      </c>
      <c r="J269" s="13" t="str">
        <f t="shared" si="9"/>
        <v>Saúde</v>
      </c>
      <c r="K269" s="13" t="s">
        <v>84</v>
      </c>
      <c r="L269" s="60">
        <v>200000.0</v>
      </c>
      <c r="M269" s="60"/>
      <c r="N269" s="13" t="s">
        <v>89</v>
      </c>
      <c r="O269" s="13" t="s">
        <v>967</v>
      </c>
      <c r="P269" s="61" t="s">
        <v>1995</v>
      </c>
      <c r="Q269" s="62"/>
    </row>
    <row r="270">
      <c r="A270" s="13">
        <v>2023.0</v>
      </c>
      <c r="B270" s="55" t="s">
        <v>127</v>
      </c>
      <c r="C270" s="13" t="str">
        <f>IFERROR(VLOOKUP(B270,'Regiões'!A:B,2,0),"")</f>
        <v>Metropolitana de Porto Alegre</v>
      </c>
      <c r="D270" s="13" t="s">
        <v>1996</v>
      </c>
      <c r="E270" s="56" t="s">
        <v>485</v>
      </c>
      <c r="F270" s="358"/>
      <c r="G270" s="55" t="s">
        <v>1998</v>
      </c>
      <c r="H270" s="59"/>
      <c r="I270" s="13" t="s">
        <v>1307</v>
      </c>
      <c r="J270" s="13" t="str">
        <f t="shared" si="9"/>
        <v>Saúde</v>
      </c>
      <c r="K270" s="13" t="s">
        <v>152</v>
      </c>
      <c r="L270" s="393">
        <v>200000.0</v>
      </c>
      <c r="M270" s="393"/>
      <c r="N270" s="13" t="s">
        <v>89</v>
      </c>
      <c r="O270" s="13" t="s">
        <v>265</v>
      </c>
      <c r="P270" s="61" t="s">
        <v>2000</v>
      </c>
      <c r="Q270" s="62" t="s">
        <v>2001</v>
      </c>
    </row>
    <row r="271">
      <c r="A271" s="13">
        <v>2023.0</v>
      </c>
      <c r="B271" s="79" t="s">
        <v>768</v>
      </c>
      <c r="C271" s="13" t="str">
        <f>IFERROR(VLOOKUP(B271,'Regiões'!A:B,2,0),"")</f>
        <v>Nordeste Riograndense</v>
      </c>
      <c r="D271" s="13" t="s">
        <v>2002</v>
      </c>
      <c r="E271" s="80" t="s">
        <v>220</v>
      </c>
      <c r="F271" s="81"/>
      <c r="G271" s="79" t="s">
        <v>1265</v>
      </c>
      <c r="H271" s="82"/>
      <c r="I271" s="13" t="s">
        <v>958</v>
      </c>
      <c r="J271" s="13" t="str">
        <f t="shared" si="9"/>
        <v>Segurança Pública</v>
      </c>
      <c r="K271" s="13" t="s">
        <v>152</v>
      </c>
      <c r="L271" s="83">
        <v>200000.0</v>
      </c>
      <c r="M271" s="83"/>
      <c r="N271" s="13" t="s">
        <v>89</v>
      </c>
      <c r="O271" s="13" t="s">
        <v>265</v>
      </c>
      <c r="P271" s="80" t="s">
        <v>1009</v>
      </c>
      <c r="Q271" s="79"/>
    </row>
    <row r="272">
      <c r="A272" s="11">
        <v>2024.0</v>
      </c>
      <c r="B272" s="18" t="s">
        <v>53</v>
      </c>
      <c r="C272" s="13" t="str">
        <f>IFERROR(VLOOKUP(B272,'Regiões'!A:B,2,0),"")</f>
        <v>Vale do Rio Caí</v>
      </c>
      <c r="D272" s="13" t="s">
        <v>2005</v>
      </c>
      <c r="E272" s="15" t="str">
        <f t="shared" ref="E272:E286" si="10">G272&amp;" de "&amp;B272</f>
        <v>Prefeitura Municipal de São Sebastião do Caí</v>
      </c>
      <c r="F272" s="17"/>
      <c r="G272" s="18" t="s">
        <v>74</v>
      </c>
      <c r="H272" s="20">
        <v>4.1160001E7</v>
      </c>
      <c r="I272" s="11" t="s">
        <v>334</v>
      </c>
      <c r="J272" s="11" t="s">
        <v>7</v>
      </c>
      <c r="K272" s="21" t="s">
        <v>84</v>
      </c>
      <c r="L272" s="22">
        <v>200000.0</v>
      </c>
      <c r="M272" s="22"/>
      <c r="N272" s="13" t="s">
        <v>89</v>
      </c>
      <c r="O272" s="21"/>
      <c r="P272" s="23"/>
      <c r="Q272" s="24"/>
    </row>
    <row r="273">
      <c r="A273" s="11">
        <v>2024.0</v>
      </c>
      <c r="B273" s="12" t="s">
        <v>473</v>
      </c>
      <c r="C273" s="13" t="str">
        <f>IFERROR(VLOOKUP(B273,'Regiões'!A:B,2,0),"")</f>
        <v>Centro do Estado</v>
      </c>
      <c r="D273" s="13" t="s">
        <v>2007</v>
      </c>
      <c r="E273" s="15" t="str">
        <f t="shared" si="10"/>
        <v>Prefeitura Municipal de Cachoeira do Sul</v>
      </c>
      <c r="F273" s="17"/>
      <c r="G273" s="18" t="s">
        <v>74</v>
      </c>
      <c r="H273" s="20">
        <v>4.1160001E7</v>
      </c>
      <c r="I273" s="11" t="s">
        <v>334</v>
      </c>
      <c r="J273" s="11" t="s">
        <v>7</v>
      </c>
      <c r="K273" s="21" t="s">
        <v>84</v>
      </c>
      <c r="L273" s="22">
        <v>200000.0</v>
      </c>
      <c r="M273" s="22"/>
      <c r="N273" s="13" t="s">
        <v>89</v>
      </c>
      <c r="O273" s="21"/>
      <c r="P273" s="23"/>
      <c r="Q273" s="24"/>
    </row>
    <row r="274">
      <c r="A274" s="11">
        <v>2024.0</v>
      </c>
      <c r="B274" s="18" t="s">
        <v>159</v>
      </c>
      <c r="C274" s="13" t="str">
        <f>IFERROR(VLOOKUP(B274,'Regiões'!A:B,2,0),"")</f>
        <v>Vale do Rio Pardo</v>
      </c>
      <c r="D274" s="13" t="s">
        <v>2009</v>
      </c>
      <c r="E274" s="15" t="str">
        <f t="shared" si="10"/>
        <v>Prefeitura Municipal de Candelária</v>
      </c>
      <c r="F274" s="17"/>
      <c r="G274" s="18" t="s">
        <v>74</v>
      </c>
      <c r="H274" s="20">
        <v>4.1160001E7</v>
      </c>
      <c r="I274" s="11" t="s">
        <v>334</v>
      </c>
      <c r="J274" s="11" t="s">
        <v>7</v>
      </c>
      <c r="K274" s="21" t="s">
        <v>84</v>
      </c>
      <c r="L274" s="22">
        <v>200000.0</v>
      </c>
      <c r="M274" s="22"/>
      <c r="N274" s="13" t="s">
        <v>89</v>
      </c>
      <c r="O274" s="21"/>
      <c r="P274" s="23"/>
      <c r="Q274" s="24"/>
    </row>
    <row r="275">
      <c r="A275" s="11">
        <v>2024.0</v>
      </c>
      <c r="B275" s="12" t="s">
        <v>210</v>
      </c>
      <c r="C275" s="13" t="str">
        <f>IFERROR(VLOOKUP(B275,'Regiões'!A:B,2,0),"")</f>
        <v>Vale dos Sinos</v>
      </c>
      <c r="D275" s="13" t="s">
        <v>2012</v>
      </c>
      <c r="E275" s="15" t="str">
        <f t="shared" si="10"/>
        <v>Prefeitura Municipal de Lindolfo Collor</v>
      </c>
      <c r="F275" s="17"/>
      <c r="G275" s="18" t="s">
        <v>74</v>
      </c>
      <c r="H275" s="20">
        <v>4.1160001E7</v>
      </c>
      <c r="I275" s="11" t="s">
        <v>334</v>
      </c>
      <c r="J275" s="11" t="s">
        <v>7</v>
      </c>
      <c r="K275" s="21" t="s">
        <v>84</v>
      </c>
      <c r="L275" s="22">
        <v>200000.0</v>
      </c>
      <c r="M275" s="22"/>
      <c r="N275" s="13" t="s">
        <v>89</v>
      </c>
      <c r="O275" s="21"/>
      <c r="P275" s="23"/>
      <c r="Q275" s="24"/>
    </row>
    <row r="276">
      <c r="A276" s="11">
        <v>2024.0</v>
      </c>
      <c r="B276" s="12" t="s">
        <v>473</v>
      </c>
      <c r="C276" s="13" t="str">
        <f>IFERROR(VLOOKUP(B276,'Regiões'!A:B,2,0),"")</f>
        <v>Centro do Estado</v>
      </c>
      <c r="D276" s="13" t="s">
        <v>2014</v>
      </c>
      <c r="E276" s="15" t="str">
        <f t="shared" si="10"/>
        <v>Prefeitura Municipal de Cachoeira do Sul</v>
      </c>
      <c r="F276" s="17"/>
      <c r="G276" s="18" t="s">
        <v>74</v>
      </c>
      <c r="H276" s="20">
        <v>4.1160002E7</v>
      </c>
      <c r="I276" s="11" t="s">
        <v>903</v>
      </c>
      <c r="J276" s="11" t="s">
        <v>7</v>
      </c>
      <c r="K276" s="21" t="s">
        <v>84</v>
      </c>
      <c r="L276" s="22">
        <v>200000.0</v>
      </c>
      <c r="M276" s="22"/>
      <c r="N276" s="13" t="s">
        <v>89</v>
      </c>
      <c r="O276" s="21"/>
      <c r="P276" s="23"/>
      <c r="Q276" s="24"/>
    </row>
    <row r="277">
      <c r="A277" s="11">
        <v>2024.0</v>
      </c>
      <c r="B277" s="12" t="s">
        <v>70</v>
      </c>
      <c r="C277" s="13" t="str">
        <f>IFERROR(VLOOKUP(B277,'Regiões'!A:B,2,0),"")</f>
        <v>Vale dos Sinos</v>
      </c>
      <c r="D277" s="13" t="s">
        <v>2016</v>
      </c>
      <c r="E277" s="15" t="str">
        <f t="shared" si="10"/>
        <v>Prefeitura Municipal de Campo Bom</v>
      </c>
      <c r="F277" s="17"/>
      <c r="G277" s="18" t="s">
        <v>74</v>
      </c>
      <c r="H277" s="20">
        <v>4.1160002E7</v>
      </c>
      <c r="I277" s="11" t="s">
        <v>903</v>
      </c>
      <c r="J277" s="11" t="s">
        <v>7</v>
      </c>
      <c r="K277" s="21" t="s">
        <v>84</v>
      </c>
      <c r="L277" s="22">
        <v>200000.0</v>
      </c>
      <c r="M277" s="22"/>
      <c r="N277" s="13" t="s">
        <v>89</v>
      </c>
      <c r="O277" s="21"/>
      <c r="P277" s="23"/>
      <c r="Q277" s="24"/>
    </row>
    <row r="278">
      <c r="A278" s="11">
        <v>2024.0</v>
      </c>
      <c r="B278" s="12" t="s">
        <v>165</v>
      </c>
      <c r="C278" s="13" t="str">
        <f>IFERROR(VLOOKUP(B278,'Regiões'!A:B,2,0),"")</f>
        <v>Metropolitana de Porto Alegre</v>
      </c>
      <c r="D278" s="13" t="s">
        <v>2018</v>
      </c>
      <c r="E278" s="15" t="str">
        <f t="shared" si="10"/>
        <v>Prefeitura Municipal de Esteio</v>
      </c>
      <c r="F278" s="17"/>
      <c r="G278" s="18" t="s">
        <v>74</v>
      </c>
      <c r="H278" s="20">
        <v>4.1160002E7</v>
      </c>
      <c r="I278" s="11" t="s">
        <v>903</v>
      </c>
      <c r="J278" s="11" t="s">
        <v>7</v>
      </c>
      <c r="K278" s="21" t="s">
        <v>84</v>
      </c>
      <c r="L278" s="22">
        <v>200000.0</v>
      </c>
      <c r="M278" s="22"/>
      <c r="N278" s="13" t="s">
        <v>89</v>
      </c>
      <c r="O278" s="21"/>
      <c r="P278" s="23"/>
      <c r="Q278" s="24"/>
    </row>
    <row r="279">
      <c r="A279" s="11">
        <v>2024.0</v>
      </c>
      <c r="B279" s="18" t="s">
        <v>452</v>
      </c>
      <c r="C279" s="13" t="str">
        <f>IFERROR(VLOOKUP(B279,'Regiões'!A:B,2,0),"")</f>
        <v>Centro do Estado</v>
      </c>
      <c r="D279" s="13" t="s">
        <v>2021</v>
      </c>
      <c r="E279" s="15" t="str">
        <f t="shared" si="10"/>
        <v>Prefeitura Municipal de Restinga Sêca</v>
      </c>
      <c r="F279" s="17"/>
      <c r="G279" s="18" t="s">
        <v>74</v>
      </c>
      <c r="H279" s="20">
        <v>4.1160002E7</v>
      </c>
      <c r="I279" s="11" t="s">
        <v>903</v>
      </c>
      <c r="J279" s="11" t="s">
        <v>7</v>
      </c>
      <c r="K279" s="21" t="s">
        <v>84</v>
      </c>
      <c r="L279" s="22">
        <v>200000.0</v>
      </c>
      <c r="M279" s="22"/>
      <c r="N279" s="13" t="s">
        <v>89</v>
      </c>
      <c r="O279" s="21"/>
      <c r="P279" s="23"/>
      <c r="Q279" s="24"/>
    </row>
    <row r="280">
      <c r="A280" s="11">
        <v>2024.0</v>
      </c>
      <c r="B280" s="18" t="s">
        <v>53</v>
      </c>
      <c r="C280" s="13" t="str">
        <f>IFERROR(VLOOKUP(B280,'Regiões'!A:B,2,0),"")</f>
        <v>Vale do Rio Caí</v>
      </c>
      <c r="D280" s="13" t="s">
        <v>2023</v>
      </c>
      <c r="E280" s="15" t="str">
        <f t="shared" si="10"/>
        <v>Prefeitura Municipal de São Sebastião do Caí</v>
      </c>
      <c r="F280" s="17"/>
      <c r="G280" s="18" t="s">
        <v>74</v>
      </c>
      <c r="H280" s="20">
        <v>4.1160003E7</v>
      </c>
      <c r="I280" s="11" t="s">
        <v>1724</v>
      </c>
      <c r="J280" s="11" t="s">
        <v>7</v>
      </c>
      <c r="K280" s="21" t="s">
        <v>152</v>
      </c>
      <c r="L280" s="22">
        <v>200000.0</v>
      </c>
      <c r="M280" s="22"/>
      <c r="N280" s="13" t="s">
        <v>89</v>
      </c>
      <c r="O280" s="21"/>
      <c r="P280" s="23"/>
      <c r="Q280" s="24"/>
    </row>
    <row r="281">
      <c r="A281" s="11">
        <v>2024.0</v>
      </c>
      <c r="B281" s="18" t="s">
        <v>472</v>
      </c>
      <c r="C281" s="13" t="str">
        <f>IFERROR(VLOOKUP(B281,'Regiões'!A:B,2,0),"")</f>
        <v>Centro do Estado</v>
      </c>
      <c r="D281" s="13" t="s">
        <v>2027</v>
      </c>
      <c r="E281" s="15" t="str">
        <f t="shared" si="10"/>
        <v>Prefeitura Municipal de São Martinho da Serra</v>
      </c>
      <c r="F281" s="17"/>
      <c r="G281" s="18" t="s">
        <v>74</v>
      </c>
      <c r="H281" s="20">
        <v>4.1160003E7</v>
      </c>
      <c r="I281" s="11" t="s">
        <v>1724</v>
      </c>
      <c r="J281" s="11" t="s">
        <v>7</v>
      </c>
      <c r="K281" s="21" t="s">
        <v>152</v>
      </c>
      <c r="L281" s="22">
        <v>200000.0</v>
      </c>
      <c r="M281" s="22"/>
      <c r="N281" s="13" t="s">
        <v>89</v>
      </c>
      <c r="O281" s="21"/>
      <c r="P281" s="23"/>
      <c r="Q281" s="24"/>
    </row>
    <row r="282">
      <c r="A282" s="11">
        <v>2024.0</v>
      </c>
      <c r="B282" s="18" t="s">
        <v>479</v>
      </c>
      <c r="C282" s="13" t="str">
        <f>IFERROR(VLOOKUP(B282,'Regiões'!A:B,2,0),"")</f>
        <v>Encosta Superior do Nordeste</v>
      </c>
      <c r="D282" s="13" t="s">
        <v>2031</v>
      </c>
      <c r="E282" s="15" t="str">
        <f t="shared" si="10"/>
        <v>Prefeitura Municipal de São Valentim do Sul</v>
      </c>
      <c r="F282" s="17"/>
      <c r="G282" s="18" t="s">
        <v>74</v>
      </c>
      <c r="H282" s="20">
        <v>4.1160003E7</v>
      </c>
      <c r="I282" s="11" t="s">
        <v>1724</v>
      </c>
      <c r="J282" s="11" t="s">
        <v>7</v>
      </c>
      <c r="K282" s="21" t="s">
        <v>152</v>
      </c>
      <c r="L282" s="22">
        <v>200000.0</v>
      </c>
      <c r="M282" s="22"/>
      <c r="N282" s="13" t="s">
        <v>89</v>
      </c>
      <c r="O282" s="21"/>
      <c r="P282" s="23"/>
      <c r="Q282" s="24"/>
    </row>
    <row r="283">
      <c r="A283" s="11">
        <v>2024.0</v>
      </c>
      <c r="B283" s="12" t="s">
        <v>191</v>
      </c>
      <c r="C283" s="13" t="str">
        <f>IFERROR(VLOOKUP(B283,'Regiões'!A:B,2,0),"")</f>
        <v>Vale do Paranhana</v>
      </c>
      <c r="D283" s="13" t="s">
        <v>2033</v>
      </c>
      <c r="E283" s="15" t="str">
        <f t="shared" si="10"/>
        <v>Prefeitura Municipal de Igrejinha</v>
      </c>
      <c r="F283" s="17"/>
      <c r="G283" s="18" t="s">
        <v>74</v>
      </c>
      <c r="H283" s="20">
        <v>4.1160003E7</v>
      </c>
      <c r="I283" s="11" t="s">
        <v>1724</v>
      </c>
      <c r="J283" s="11" t="s">
        <v>7</v>
      </c>
      <c r="K283" s="21" t="s">
        <v>152</v>
      </c>
      <c r="L283" s="22">
        <v>200000.0</v>
      </c>
      <c r="M283" s="22"/>
      <c r="N283" s="13" t="s">
        <v>89</v>
      </c>
      <c r="O283" s="21"/>
      <c r="P283" s="23"/>
      <c r="Q283" s="24"/>
    </row>
    <row r="284">
      <c r="A284" s="11">
        <v>2024.0</v>
      </c>
      <c r="B284" s="12" t="s">
        <v>492</v>
      </c>
      <c r="C284" s="13" t="str">
        <f>IFERROR(VLOOKUP(B284,'Regiões'!A:B,2,0),"")</f>
        <v>Vale do Rio Caí</v>
      </c>
      <c r="D284" s="13" t="s">
        <v>2035</v>
      </c>
      <c r="E284" s="15" t="str">
        <f t="shared" si="10"/>
        <v>Prefeitura Municipal de Pareci Novo</v>
      </c>
      <c r="F284" s="17"/>
      <c r="G284" s="18" t="s">
        <v>74</v>
      </c>
      <c r="H284" s="20">
        <v>4.1160003E7</v>
      </c>
      <c r="I284" s="11" t="s">
        <v>1724</v>
      </c>
      <c r="J284" s="11" t="s">
        <v>7</v>
      </c>
      <c r="K284" s="21" t="s">
        <v>152</v>
      </c>
      <c r="L284" s="22">
        <v>200000.0</v>
      </c>
      <c r="M284" s="22"/>
      <c r="N284" s="13" t="s">
        <v>89</v>
      </c>
      <c r="O284" s="21"/>
      <c r="P284" s="23"/>
      <c r="Q284" s="24"/>
    </row>
    <row r="285">
      <c r="A285" s="11">
        <v>2024.0</v>
      </c>
      <c r="B285" s="12" t="s">
        <v>510</v>
      </c>
      <c r="C285" s="13" t="str">
        <f>IFERROR(VLOOKUP(B285,'Regiões'!A:B,2,0),"")</f>
        <v>Carbonífera</v>
      </c>
      <c r="D285" s="13" t="s">
        <v>2037</v>
      </c>
      <c r="E285" s="15" t="str">
        <f t="shared" si="10"/>
        <v>Prefeitura Municipal de Triunfo</v>
      </c>
      <c r="F285" s="17"/>
      <c r="G285" s="18" t="s">
        <v>74</v>
      </c>
      <c r="H285" s="20">
        <v>4.1160004E7</v>
      </c>
      <c r="I285" s="11" t="s">
        <v>1048</v>
      </c>
      <c r="J285" s="11" t="s">
        <v>7</v>
      </c>
      <c r="K285" s="21" t="s">
        <v>152</v>
      </c>
      <c r="L285" s="22">
        <v>200000.0</v>
      </c>
      <c r="M285" s="22"/>
      <c r="N285" s="13" t="s">
        <v>89</v>
      </c>
      <c r="O285" s="21"/>
      <c r="P285" s="23"/>
      <c r="Q285" s="24"/>
    </row>
    <row r="286">
      <c r="A286" s="11">
        <v>2024.0</v>
      </c>
      <c r="B286" s="18" t="s">
        <v>551</v>
      </c>
      <c r="C286" s="13" t="str">
        <f>IFERROR(VLOOKUP(B286,'Regiões'!A:B,2,0),"")</f>
        <v>Encosta Superior do Nordeste</v>
      </c>
      <c r="D286" s="13" t="s">
        <v>2040</v>
      </c>
      <c r="E286" s="15" t="str">
        <f t="shared" si="10"/>
        <v>Fundo Municipal de saúde de Veranópolis de Veranópolis</v>
      </c>
      <c r="F286" s="17"/>
      <c r="G286" s="18" t="s">
        <v>2041</v>
      </c>
      <c r="H286" s="20">
        <v>4.1160004E7</v>
      </c>
      <c r="I286" s="11" t="s">
        <v>1048</v>
      </c>
      <c r="J286" s="11" t="s">
        <v>7</v>
      </c>
      <c r="K286" s="21" t="s">
        <v>152</v>
      </c>
      <c r="L286" s="22">
        <v>200000.0</v>
      </c>
      <c r="M286" s="22"/>
      <c r="N286" s="13" t="s">
        <v>89</v>
      </c>
      <c r="O286" s="21"/>
      <c r="P286" s="2" t="s">
        <v>2042</v>
      </c>
      <c r="Q286" s="24"/>
    </row>
    <row r="287">
      <c r="A287" s="11">
        <v>2025.0</v>
      </c>
      <c r="B287" s="18" t="s">
        <v>622</v>
      </c>
      <c r="C287" s="13" t="str">
        <f>IFERROR(VLOOKUP(B287,'Regiões'!A:B,2,0),"")</f>
        <v>Vale do Taquari</v>
      </c>
      <c r="D287" s="13" t="s">
        <v>2044</v>
      </c>
      <c r="E287" s="15" t="s">
        <v>2045</v>
      </c>
      <c r="F287" s="17">
        <v>1.2253356000116E13</v>
      </c>
      <c r="G287" s="18" t="s">
        <v>74</v>
      </c>
      <c r="H287" s="293">
        <v>4.1160003E7</v>
      </c>
      <c r="I287" s="11" t="s">
        <v>9</v>
      </c>
      <c r="J287" s="11" t="s">
        <v>7</v>
      </c>
      <c r="K287" s="21" t="s">
        <v>152</v>
      </c>
      <c r="L287" s="298">
        <v>200000.0</v>
      </c>
      <c r="M287" s="298"/>
      <c r="N287" s="13" t="s">
        <v>89</v>
      </c>
      <c r="O287" s="21"/>
      <c r="P287" s="402" t="s">
        <v>1422</v>
      </c>
      <c r="Q287" s="24"/>
    </row>
    <row r="288">
      <c r="A288" s="11">
        <v>2025.0</v>
      </c>
      <c r="B288" s="18" t="s">
        <v>654</v>
      </c>
      <c r="C288" s="13" t="str">
        <f>IFERROR(VLOOKUP(B288,'Regiões'!A:B,2,0),"")</f>
        <v>Alta da Serra do Botucarai</v>
      </c>
      <c r="D288" s="13" t="s">
        <v>2046</v>
      </c>
      <c r="E288" s="15" t="s">
        <v>2047</v>
      </c>
      <c r="F288" s="17">
        <v>1.210053000019E13</v>
      </c>
      <c r="G288" s="18" t="s">
        <v>74</v>
      </c>
      <c r="H288" s="293">
        <v>4.1160003E7</v>
      </c>
      <c r="I288" s="11" t="s">
        <v>9</v>
      </c>
      <c r="J288" s="11" t="s">
        <v>7</v>
      </c>
      <c r="K288" s="21" t="s">
        <v>152</v>
      </c>
      <c r="L288" s="298">
        <v>200000.0</v>
      </c>
      <c r="M288" s="298"/>
      <c r="N288" s="13" t="s">
        <v>89</v>
      </c>
      <c r="O288" s="21"/>
      <c r="P288" s="56" t="s">
        <v>2050</v>
      </c>
      <c r="Q288" s="24"/>
    </row>
    <row r="289">
      <c r="A289" s="11">
        <v>2025.0</v>
      </c>
      <c r="B289" s="18" t="s">
        <v>819</v>
      </c>
      <c r="C289" s="13" t="str">
        <f>IFERROR(VLOOKUP(B289,'Regiões'!A:B,2,0),"")</f>
        <v>Centro Serra</v>
      </c>
      <c r="D289" s="13" t="s">
        <v>2051</v>
      </c>
      <c r="E289" s="15" t="s">
        <v>2052</v>
      </c>
      <c r="F289" s="17">
        <v>1.1991195000103E13</v>
      </c>
      <c r="G289" s="18" t="s">
        <v>74</v>
      </c>
      <c r="H289" s="293">
        <v>4.1160003E7</v>
      </c>
      <c r="I289" s="11" t="s">
        <v>9</v>
      </c>
      <c r="J289" s="11" t="s">
        <v>7</v>
      </c>
      <c r="K289" s="21" t="s">
        <v>152</v>
      </c>
      <c r="L289" s="298">
        <v>200000.0</v>
      </c>
      <c r="M289" s="298"/>
      <c r="N289" s="13" t="s">
        <v>89</v>
      </c>
      <c r="O289" s="21"/>
      <c r="P289" s="402" t="s">
        <v>2054</v>
      </c>
      <c r="Q289" s="24"/>
    </row>
    <row r="290">
      <c r="A290" s="11">
        <v>2025.0</v>
      </c>
      <c r="B290" s="18" t="s">
        <v>831</v>
      </c>
      <c r="C290" s="13" t="str">
        <f>IFERROR(VLOOKUP(B290,'Regiões'!A:B,2,0),"")</f>
        <v>Centro do Estado</v>
      </c>
      <c r="D290" s="13" t="s">
        <v>2056</v>
      </c>
      <c r="E290" s="15" t="s">
        <v>2057</v>
      </c>
      <c r="F290" s="17">
        <v>1.3094599000111E13</v>
      </c>
      <c r="G290" s="18" t="s">
        <v>74</v>
      </c>
      <c r="H290" s="293">
        <v>4.1160003E7</v>
      </c>
      <c r="I290" s="11" t="s">
        <v>9</v>
      </c>
      <c r="J290" s="11" t="s">
        <v>7</v>
      </c>
      <c r="K290" s="21" t="s">
        <v>152</v>
      </c>
      <c r="L290" s="298">
        <v>200000.0</v>
      </c>
      <c r="M290" s="298"/>
      <c r="N290" s="13" t="s">
        <v>89</v>
      </c>
      <c r="O290" s="21"/>
      <c r="P290" s="402" t="s">
        <v>1422</v>
      </c>
      <c r="Q290" s="24"/>
    </row>
    <row r="291">
      <c r="A291" s="11">
        <v>2025.0</v>
      </c>
      <c r="B291" s="18" t="s">
        <v>984</v>
      </c>
      <c r="C291" s="13" t="str">
        <f>IFERROR(VLOOKUP(B291,'Regiões'!A:B,2,0),"")</f>
        <v>Vale do Rio Pardo</v>
      </c>
      <c r="D291" s="13" t="s">
        <v>2058</v>
      </c>
      <c r="E291" s="15" t="s">
        <v>2059</v>
      </c>
      <c r="F291" s="17">
        <v>1.2361661000121E13</v>
      </c>
      <c r="G291" s="18" t="s">
        <v>74</v>
      </c>
      <c r="H291" s="293">
        <v>4.1160003E7</v>
      </c>
      <c r="I291" s="11" t="s">
        <v>9</v>
      </c>
      <c r="J291" s="11" t="s">
        <v>7</v>
      </c>
      <c r="K291" s="21" t="s">
        <v>152</v>
      </c>
      <c r="L291" s="298">
        <v>200000.0</v>
      </c>
      <c r="M291" s="298"/>
      <c r="N291" s="13" t="s">
        <v>89</v>
      </c>
      <c r="O291" s="21"/>
      <c r="P291" s="402" t="s">
        <v>2062</v>
      </c>
      <c r="Q291" s="24"/>
    </row>
    <row r="292">
      <c r="A292" s="11">
        <v>2025.0</v>
      </c>
      <c r="B292" s="18" t="s">
        <v>457</v>
      </c>
      <c r="C292" s="13" t="str">
        <f>IFERROR(VLOOKUP(B292,'Regiões'!A:B,2,0),"")</f>
        <v>Planalto Médio</v>
      </c>
      <c r="D292" s="13" t="s">
        <v>2063</v>
      </c>
      <c r="E292" s="15" t="s">
        <v>2064</v>
      </c>
      <c r="F292" s="17">
        <v>4.216419000136E12</v>
      </c>
      <c r="G292" s="18" t="s">
        <v>74</v>
      </c>
      <c r="H292" s="293">
        <v>4.1160008E7</v>
      </c>
      <c r="I292" s="11" t="s">
        <v>25</v>
      </c>
      <c r="J292" s="11" t="s">
        <v>27</v>
      </c>
      <c r="K292" s="21" t="s">
        <v>152</v>
      </c>
      <c r="L292" s="298">
        <v>200000.0</v>
      </c>
      <c r="M292" s="298"/>
      <c r="N292" s="13" t="s">
        <v>89</v>
      </c>
      <c r="O292" s="21"/>
      <c r="P292" s="402" t="s">
        <v>2065</v>
      </c>
      <c r="Q292" s="24"/>
    </row>
    <row r="293">
      <c r="A293" s="11">
        <v>2025.0</v>
      </c>
      <c r="B293" s="18" t="s">
        <v>379</v>
      </c>
      <c r="C293" s="13" t="str">
        <f>IFERROR(VLOOKUP(B293,'Regiões'!A:B,2,0),"")</f>
        <v>Costa Doce</v>
      </c>
      <c r="D293" s="13" t="s">
        <v>2068</v>
      </c>
      <c r="E293" s="15" t="s">
        <v>2069</v>
      </c>
      <c r="F293" s="17">
        <v>1.3852788000106E13</v>
      </c>
      <c r="G293" s="18" t="s">
        <v>74</v>
      </c>
      <c r="H293" s="293">
        <v>4.1160004E7</v>
      </c>
      <c r="I293" s="11" t="s">
        <v>6</v>
      </c>
      <c r="J293" s="11" t="s">
        <v>7</v>
      </c>
      <c r="K293" s="21" t="s">
        <v>152</v>
      </c>
      <c r="L293" s="298">
        <v>200000.0</v>
      </c>
      <c r="M293" s="298"/>
      <c r="N293" s="13" t="s">
        <v>89</v>
      </c>
      <c r="O293" s="21"/>
      <c r="P293" s="402" t="s">
        <v>2072</v>
      </c>
      <c r="Q293" s="24"/>
    </row>
    <row r="294">
      <c r="A294" s="11">
        <v>2025.0</v>
      </c>
      <c r="B294" s="18" t="s">
        <v>909</v>
      </c>
      <c r="C294" s="13" t="str">
        <f>IFERROR(VLOOKUP(B294,'Regiões'!A:B,2,0),"")</f>
        <v>Zona Sul</v>
      </c>
      <c r="D294" s="13" t="s">
        <v>2073</v>
      </c>
      <c r="E294" s="15" t="s">
        <v>2074</v>
      </c>
      <c r="F294" s="17">
        <v>1.3931745000116E13</v>
      </c>
      <c r="G294" s="18" t="s">
        <v>74</v>
      </c>
      <c r="H294" s="293">
        <v>4.1160004E7</v>
      </c>
      <c r="I294" s="11" t="s">
        <v>6</v>
      </c>
      <c r="J294" s="11" t="s">
        <v>7</v>
      </c>
      <c r="K294" s="21" t="s">
        <v>152</v>
      </c>
      <c r="L294" s="298">
        <v>200000.0</v>
      </c>
      <c r="M294" s="298"/>
      <c r="N294" s="13" t="s">
        <v>89</v>
      </c>
      <c r="O294" s="21"/>
      <c r="P294" s="402" t="s">
        <v>2075</v>
      </c>
      <c r="Q294" s="24"/>
    </row>
    <row r="295">
      <c r="A295" s="11">
        <v>2025.0</v>
      </c>
      <c r="B295" s="18" t="s">
        <v>947</v>
      </c>
      <c r="C295" s="13" t="str">
        <f>IFERROR(VLOOKUP(B295,'Regiões'!A:B,2,0),"")</f>
        <v>Vale do Taquari</v>
      </c>
      <c r="D295" s="13" t="s">
        <v>2078</v>
      </c>
      <c r="E295" s="15" t="s">
        <v>2079</v>
      </c>
      <c r="F295" s="17">
        <v>1.056750600013E13</v>
      </c>
      <c r="G295" s="18" t="s">
        <v>74</v>
      </c>
      <c r="H295" s="293">
        <v>4.1160004E7</v>
      </c>
      <c r="I295" s="11" t="s">
        <v>6</v>
      </c>
      <c r="J295" s="11" t="s">
        <v>7</v>
      </c>
      <c r="K295" s="21" t="s">
        <v>152</v>
      </c>
      <c r="L295" s="298">
        <v>200000.0</v>
      </c>
      <c r="M295" s="298"/>
      <c r="N295" s="13" t="s">
        <v>89</v>
      </c>
      <c r="O295" s="21"/>
      <c r="P295" s="402" t="s">
        <v>2081</v>
      </c>
      <c r="Q295" s="24"/>
    </row>
    <row r="296">
      <c r="A296" s="11">
        <v>2025.0</v>
      </c>
      <c r="B296" s="18" t="s">
        <v>898</v>
      </c>
      <c r="C296" s="13" t="str">
        <f>IFERROR(VLOOKUP(B296,'Regiões'!A:B,2,0),"")</f>
        <v>Carbonífera</v>
      </c>
      <c r="D296" s="13" t="s">
        <v>2083</v>
      </c>
      <c r="E296" s="15" t="s">
        <v>2084</v>
      </c>
      <c r="F296" s="17">
        <v>1.2143932000172E13</v>
      </c>
      <c r="G296" s="18" t="s">
        <v>74</v>
      </c>
      <c r="H296" s="604">
        <v>4.1160004E7</v>
      </c>
      <c r="I296" s="11" t="s">
        <v>6</v>
      </c>
      <c r="J296" s="11" t="s">
        <v>7</v>
      </c>
      <c r="K296" s="21" t="s">
        <v>152</v>
      </c>
      <c r="L296" s="605">
        <v>200000.0</v>
      </c>
      <c r="M296" s="605"/>
      <c r="N296" s="13" t="s">
        <v>89</v>
      </c>
      <c r="O296" s="21"/>
      <c r="P296" s="402" t="s">
        <v>2086</v>
      </c>
      <c r="Q296" s="24"/>
    </row>
    <row r="297">
      <c r="A297" s="11">
        <v>2025.0</v>
      </c>
      <c r="B297" s="18" t="s">
        <v>845</v>
      </c>
      <c r="C297" s="13" t="str">
        <f>IFERROR(VLOOKUP(B297,'Regiões'!A:B,2,0),"")</f>
        <v>Missões</v>
      </c>
      <c r="D297" s="13" t="s">
        <v>2088</v>
      </c>
      <c r="E297" s="15" t="s">
        <v>2089</v>
      </c>
      <c r="F297" s="17">
        <v>8.761787400017E13</v>
      </c>
      <c r="G297" s="12" t="s">
        <v>2089</v>
      </c>
      <c r="H297" s="293">
        <v>4.1160004E7</v>
      </c>
      <c r="I297" s="11" t="s">
        <v>6</v>
      </c>
      <c r="J297" s="11" t="s">
        <v>7</v>
      </c>
      <c r="K297" s="21" t="s">
        <v>152</v>
      </c>
      <c r="L297" s="298">
        <v>200000.0</v>
      </c>
      <c r="M297" s="298"/>
      <c r="N297" s="13" t="s">
        <v>89</v>
      </c>
      <c r="O297" s="21"/>
      <c r="P297" s="402" t="s">
        <v>2091</v>
      </c>
      <c r="Q297" s="24"/>
    </row>
    <row r="298">
      <c r="A298" s="11">
        <v>2025.0</v>
      </c>
      <c r="B298" s="18" t="s">
        <v>847</v>
      </c>
      <c r="C298" s="13" t="str">
        <f>IFERROR(VLOOKUP(B298,'Regiões'!A:B,2,0),"")</f>
        <v>Vale do Taquari</v>
      </c>
      <c r="D298" s="13" t="s">
        <v>2092</v>
      </c>
      <c r="E298" s="15" t="s">
        <v>2093</v>
      </c>
      <c r="F298" s="17">
        <v>8.7317764000789E13</v>
      </c>
      <c r="G298" s="12" t="s">
        <v>2093</v>
      </c>
      <c r="H298" s="293">
        <v>4.1160004E7</v>
      </c>
      <c r="I298" s="11" t="s">
        <v>6</v>
      </c>
      <c r="J298" s="11" t="s">
        <v>7</v>
      </c>
      <c r="K298" s="21" t="s">
        <v>152</v>
      </c>
      <c r="L298" s="298">
        <v>200000.0</v>
      </c>
      <c r="M298" s="298"/>
      <c r="N298" s="13" t="s">
        <v>89</v>
      </c>
      <c r="O298" s="21"/>
      <c r="P298" s="402" t="s">
        <v>2094</v>
      </c>
      <c r="Q298" s="24"/>
    </row>
    <row r="299">
      <c r="A299" s="11">
        <v>2025.0</v>
      </c>
      <c r="B299" s="18" t="s">
        <v>929</v>
      </c>
      <c r="C299" s="13" t="str">
        <f>IFERROR(VLOOKUP(B299,'Regiões'!A:B,2,0),"")</f>
        <v>Zona da Produção</v>
      </c>
      <c r="D299" s="13" t="s">
        <v>2095</v>
      </c>
      <c r="E299" s="15" t="s">
        <v>2096</v>
      </c>
      <c r="F299" s="17">
        <v>8.9286249000119E13</v>
      </c>
      <c r="G299" s="12" t="s">
        <v>2096</v>
      </c>
      <c r="H299" s="293">
        <v>4.1160004E7</v>
      </c>
      <c r="I299" s="11" t="s">
        <v>6</v>
      </c>
      <c r="J299" s="11" t="s">
        <v>7</v>
      </c>
      <c r="K299" s="21" t="s">
        <v>152</v>
      </c>
      <c r="L299" s="298">
        <v>200000.0</v>
      </c>
      <c r="M299" s="298"/>
      <c r="N299" s="13" t="s">
        <v>89</v>
      </c>
      <c r="O299" s="21"/>
      <c r="P299" s="402" t="s">
        <v>2097</v>
      </c>
      <c r="Q299" s="24"/>
    </row>
    <row r="300">
      <c r="A300" s="11">
        <v>2025.0</v>
      </c>
      <c r="B300" s="18" t="s">
        <v>522</v>
      </c>
      <c r="C300" s="13" t="str">
        <f>IFERROR(VLOOKUP(B300,'Regiões'!A:B,2,0),"")</f>
        <v>Vale do Taquari</v>
      </c>
      <c r="D300" s="13" t="s">
        <v>2100</v>
      </c>
      <c r="E300" s="15" t="s">
        <v>2101</v>
      </c>
      <c r="F300" s="17">
        <v>1.196324500013E13</v>
      </c>
      <c r="G300" s="18" t="s">
        <v>74</v>
      </c>
      <c r="H300" s="293">
        <v>4.1160003E7</v>
      </c>
      <c r="I300" s="11" t="s">
        <v>9</v>
      </c>
      <c r="J300" s="11" t="s">
        <v>7</v>
      </c>
      <c r="K300" s="21" t="s">
        <v>152</v>
      </c>
      <c r="L300" s="298">
        <v>200000.0</v>
      </c>
      <c r="M300" s="298"/>
      <c r="N300" s="13" t="s">
        <v>89</v>
      </c>
      <c r="O300" s="21"/>
      <c r="P300" s="300"/>
      <c r="Q300" s="24"/>
    </row>
    <row r="301">
      <c r="A301" s="11">
        <v>2025.0</v>
      </c>
      <c r="B301" s="18" t="s">
        <v>585</v>
      </c>
      <c r="C301" s="13" t="str">
        <f>IFERROR(VLOOKUP(B301,'Regiões'!A:B,2,0),"")</f>
        <v>Vale do Taquari</v>
      </c>
      <c r="D301" s="13"/>
      <c r="E301" s="15" t="s">
        <v>2102</v>
      </c>
      <c r="F301" s="17">
        <v>1.2018688000116E13</v>
      </c>
      <c r="G301" s="18" t="s">
        <v>74</v>
      </c>
      <c r="H301" s="293">
        <v>4.1160003E7</v>
      </c>
      <c r="I301" s="11" t="s">
        <v>9</v>
      </c>
      <c r="J301" s="11" t="s">
        <v>7</v>
      </c>
      <c r="K301" s="21" t="s">
        <v>152</v>
      </c>
      <c r="L301" s="298">
        <v>200000.0</v>
      </c>
      <c r="M301" s="298"/>
      <c r="N301" s="13" t="s">
        <v>89</v>
      </c>
      <c r="O301" s="21"/>
      <c r="P301" s="402" t="s">
        <v>2104</v>
      </c>
      <c r="Q301" s="24"/>
    </row>
    <row r="302">
      <c r="A302" s="11">
        <v>2025.0</v>
      </c>
      <c r="B302" s="18" t="s">
        <v>590</v>
      </c>
      <c r="C302" s="13" t="str">
        <f>IFERROR(VLOOKUP(B302,'Regiões'!A:B,2,0),"")</f>
        <v>Vale do Taquari</v>
      </c>
      <c r="D302" s="13" t="s">
        <v>2105</v>
      </c>
      <c r="E302" s="15" t="s">
        <v>2106</v>
      </c>
      <c r="F302" s="17">
        <v>1.215280500013E13</v>
      </c>
      <c r="G302" s="12" t="s">
        <v>2106</v>
      </c>
      <c r="H302" s="293">
        <v>4.1160003E7</v>
      </c>
      <c r="I302" s="11" t="s">
        <v>9</v>
      </c>
      <c r="J302" s="11" t="s">
        <v>7</v>
      </c>
      <c r="K302" s="21" t="s">
        <v>152</v>
      </c>
      <c r="L302" s="298">
        <v>200000.0</v>
      </c>
      <c r="M302" s="298"/>
      <c r="N302" s="13" t="s">
        <v>89</v>
      </c>
      <c r="O302" s="21"/>
      <c r="P302" s="402" t="s">
        <v>2108</v>
      </c>
      <c r="Q302" s="24"/>
    </row>
    <row r="303">
      <c r="A303" s="11">
        <v>2025.0</v>
      </c>
      <c r="B303" s="18" t="s">
        <v>898</v>
      </c>
      <c r="C303" s="13" t="str">
        <f>IFERROR(VLOOKUP(B303,'Regiões'!A:B,2,0),"")</f>
        <v>Carbonífera</v>
      </c>
      <c r="D303" s="13" t="s">
        <v>2110</v>
      </c>
      <c r="E303" s="15" t="s">
        <v>2111</v>
      </c>
      <c r="F303" s="17">
        <v>9.2741016000416E13</v>
      </c>
      <c r="G303" s="12" t="s">
        <v>2111</v>
      </c>
      <c r="H303" s="293">
        <v>4.1160004E7</v>
      </c>
      <c r="I303" s="11" t="s">
        <v>6</v>
      </c>
      <c r="J303" s="11" t="s">
        <v>7</v>
      </c>
      <c r="K303" s="21" t="s">
        <v>152</v>
      </c>
      <c r="L303" s="298">
        <v>200000.0</v>
      </c>
      <c r="M303" s="298"/>
      <c r="N303" s="13" t="s">
        <v>89</v>
      </c>
      <c r="O303" s="21"/>
      <c r="P303" s="402" t="s">
        <v>2086</v>
      </c>
      <c r="Q303" s="24"/>
    </row>
    <row r="304">
      <c r="A304" s="11">
        <v>2025.0</v>
      </c>
      <c r="B304" s="18" t="s">
        <v>941</v>
      </c>
      <c r="C304" s="13" t="str">
        <f>IFERROR(VLOOKUP(B304,'Regiões'!A:B,2,0),"")</f>
        <v>Alto Uruguai</v>
      </c>
      <c r="D304" s="13" t="s">
        <v>2113</v>
      </c>
      <c r="E304" s="15" t="s">
        <v>2114</v>
      </c>
      <c r="F304" s="17">
        <v>8.7613360000147E13</v>
      </c>
      <c r="G304" s="18" t="s">
        <v>74</v>
      </c>
      <c r="H304" s="293">
        <v>4.1160008E7</v>
      </c>
      <c r="I304" s="11" t="s">
        <v>149</v>
      </c>
      <c r="J304" s="11" t="s">
        <v>7</v>
      </c>
      <c r="K304" s="21" t="s">
        <v>152</v>
      </c>
      <c r="L304" s="298">
        <v>200000.0</v>
      </c>
      <c r="M304" s="298"/>
      <c r="N304" s="13" t="s">
        <v>89</v>
      </c>
      <c r="O304" s="21"/>
      <c r="P304" s="402" t="s">
        <v>2115</v>
      </c>
      <c r="Q304" s="24"/>
    </row>
    <row r="305">
      <c r="A305" s="11">
        <v>2025.0</v>
      </c>
      <c r="B305" s="18" t="s">
        <v>841</v>
      </c>
      <c r="C305" s="13" t="str">
        <f>IFERROR(VLOOKUP(B305,'Regiões'!A:B,2,0),"")</f>
        <v>Alto Uruguai</v>
      </c>
      <c r="D305" s="13" t="s">
        <v>2116</v>
      </c>
      <c r="E305" s="15" t="s">
        <v>2117</v>
      </c>
      <c r="F305" s="17">
        <v>9.3539161000139E13</v>
      </c>
      <c r="G305" s="18" t="s">
        <v>74</v>
      </c>
      <c r="H305" s="293">
        <v>4.1160008E7</v>
      </c>
      <c r="I305" s="11" t="s">
        <v>149</v>
      </c>
      <c r="J305" s="11" t="s">
        <v>7</v>
      </c>
      <c r="K305" s="21" t="s">
        <v>152</v>
      </c>
      <c r="L305" s="298">
        <v>200000.0</v>
      </c>
      <c r="M305" s="298"/>
      <c r="N305" s="13" t="s">
        <v>89</v>
      </c>
      <c r="O305" s="21"/>
      <c r="P305" s="402" t="s">
        <v>2119</v>
      </c>
      <c r="Q305" s="24"/>
    </row>
    <row r="306">
      <c r="A306" s="11">
        <v>2025.0</v>
      </c>
      <c r="B306" s="18" t="s">
        <v>723</v>
      </c>
      <c r="C306" s="13" t="str">
        <f>IFERROR(VLOOKUP(B306,'Regiões'!A:B,2,0),"")</f>
        <v>Centro do Estado</v>
      </c>
      <c r="D306" s="13" t="s">
        <v>2120</v>
      </c>
      <c r="E306" s="15" t="s">
        <v>2121</v>
      </c>
      <c r="F306" s="17">
        <v>9.245717500014E13</v>
      </c>
      <c r="G306" s="18" t="s">
        <v>74</v>
      </c>
      <c r="H306" s="293">
        <v>4.1160008E7</v>
      </c>
      <c r="I306" s="11" t="s">
        <v>149</v>
      </c>
      <c r="J306" s="11" t="s">
        <v>7</v>
      </c>
      <c r="K306" s="21" t="s">
        <v>152</v>
      </c>
      <c r="L306" s="298">
        <v>200000.0</v>
      </c>
      <c r="M306" s="298"/>
      <c r="N306" s="13" t="s">
        <v>89</v>
      </c>
      <c r="O306" s="21"/>
      <c r="P306" s="402" t="s">
        <v>1422</v>
      </c>
      <c r="Q306" s="24"/>
    </row>
    <row r="307">
      <c r="A307" s="11">
        <v>2025.0</v>
      </c>
      <c r="B307" s="18" t="s">
        <v>620</v>
      </c>
      <c r="C307" s="13" t="str">
        <f>IFERROR(VLOOKUP(B307,'Regiões'!A:B,2,0),"")</f>
        <v>Centro do Estado</v>
      </c>
      <c r="D307" s="13" t="s">
        <v>2123</v>
      </c>
      <c r="E307" s="15" t="s">
        <v>2124</v>
      </c>
      <c r="F307" s="17">
        <v>8.748893800018E13</v>
      </c>
      <c r="G307" s="18" t="s">
        <v>74</v>
      </c>
      <c r="H307" s="293">
        <v>4.1160008E7</v>
      </c>
      <c r="I307" s="11" t="s">
        <v>149</v>
      </c>
      <c r="J307" s="11" t="s">
        <v>7</v>
      </c>
      <c r="K307" s="21" t="s">
        <v>152</v>
      </c>
      <c r="L307" s="298">
        <v>200000.0</v>
      </c>
      <c r="M307" s="298"/>
      <c r="N307" s="13" t="s">
        <v>89</v>
      </c>
      <c r="O307" s="21"/>
      <c r="P307" s="402" t="s">
        <v>2125</v>
      </c>
      <c r="Q307" s="24"/>
    </row>
    <row r="308">
      <c r="A308" s="11">
        <v>2025.0</v>
      </c>
      <c r="B308" s="18" t="s">
        <v>838</v>
      </c>
      <c r="C308" s="13" t="str">
        <f>IFERROR(VLOOKUP(B308,'Regiões'!A:B,2,0),"")</f>
        <v>Zona Sul</v>
      </c>
      <c r="D308" s="13" t="s">
        <v>2126</v>
      </c>
      <c r="E308" s="15" t="s">
        <v>2127</v>
      </c>
      <c r="F308" s="17">
        <v>9.2637792000128E13</v>
      </c>
      <c r="G308" s="12" t="s">
        <v>2127</v>
      </c>
      <c r="H308" s="72">
        <v>4.1160004E7</v>
      </c>
      <c r="I308" s="11" t="s">
        <v>6</v>
      </c>
      <c r="J308" s="11" t="s">
        <v>7</v>
      </c>
      <c r="K308" s="21" t="s">
        <v>152</v>
      </c>
      <c r="L308" s="309">
        <v>200000.0</v>
      </c>
      <c r="M308" s="309"/>
      <c r="N308" s="13" t="s">
        <v>89</v>
      </c>
      <c r="O308" s="21"/>
      <c r="P308" s="312" t="s">
        <v>2129</v>
      </c>
      <c r="Q308" s="24"/>
    </row>
    <row r="309">
      <c r="A309" s="11">
        <v>2025.0</v>
      </c>
      <c r="B309" s="18" t="s">
        <v>691</v>
      </c>
      <c r="C309" s="13" t="str">
        <f>IFERROR(VLOOKUP(B309,'Regiões'!A:B,2,0),"")</f>
        <v>Nordeste Riograndense</v>
      </c>
      <c r="D309" s="13" t="s">
        <v>2130</v>
      </c>
      <c r="E309" s="15" t="s">
        <v>2131</v>
      </c>
      <c r="F309" s="17">
        <v>1.2053497000195E13</v>
      </c>
      <c r="G309" s="18" t="s">
        <v>74</v>
      </c>
      <c r="H309" s="72">
        <v>4.1160001E7</v>
      </c>
      <c r="I309" s="11" t="s">
        <v>228</v>
      </c>
      <c r="J309" s="11" t="s">
        <v>7</v>
      </c>
      <c r="K309" s="21" t="s">
        <v>84</v>
      </c>
      <c r="L309" s="309">
        <v>200000.0</v>
      </c>
      <c r="M309" s="309"/>
      <c r="N309" s="13" t="s">
        <v>89</v>
      </c>
      <c r="O309" s="21"/>
      <c r="P309" s="312" t="s">
        <v>1422</v>
      </c>
      <c r="Q309" s="24"/>
    </row>
    <row r="310">
      <c r="A310" s="11">
        <v>2025.0</v>
      </c>
      <c r="B310" s="18" t="s">
        <v>214</v>
      </c>
      <c r="C310" s="13" t="str">
        <f>IFERROR(VLOOKUP(B310,'Regiões'!A:B,2,0),"")</f>
        <v>Carbonífera</v>
      </c>
      <c r="D310" s="13" t="s">
        <v>2132</v>
      </c>
      <c r="E310" s="15" t="s">
        <v>2133</v>
      </c>
      <c r="F310" s="17">
        <v>1.2220162000114E13</v>
      </c>
      <c r="G310" s="18" t="s">
        <v>74</v>
      </c>
      <c r="H310" s="72">
        <v>4.1160001E7</v>
      </c>
      <c r="I310" s="11" t="s">
        <v>228</v>
      </c>
      <c r="J310" s="11" t="s">
        <v>7</v>
      </c>
      <c r="K310" s="21" t="s">
        <v>84</v>
      </c>
      <c r="L310" s="309">
        <v>200000.0</v>
      </c>
      <c r="M310" s="309"/>
      <c r="N310" s="13" t="s">
        <v>89</v>
      </c>
      <c r="O310" s="21"/>
      <c r="P310" s="312" t="s">
        <v>2134</v>
      </c>
      <c r="Q310" s="24"/>
    </row>
    <row r="311">
      <c r="A311" s="11">
        <v>2025.0</v>
      </c>
      <c r="B311" s="18" t="s">
        <v>47</v>
      </c>
      <c r="C311" s="13" t="str">
        <f>IFERROR(VLOOKUP(B311,'Regiões'!A:B,2,0),"")</f>
        <v>Metropolitana de Porto Alegre</v>
      </c>
      <c r="D311" s="13" t="s">
        <v>2135</v>
      </c>
      <c r="E311" s="15" t="s">
        <v>2137</v>
      </c>
      <c r="F311" s="17">
        <v>1.4069503000128E13</v>
      </c>
      <c r="G311" s="18" t="s">
        <v>74</v>
      </c>
      <c r="H311" s="72">
        <v>4.1160002E7</v>
      </c>
      <c r="I311" s="11" t="s">
        <v>237</v>
      </c>
      <c r="J311" s="11" t="s">
        <v>7</v>
      </c>
      <c r="K311" s="21" t="s">
        <v>84</v>
      </c>
      <c r="L311" s="309">
        <v>200000.0</v>
      </c>
      <c r="M311" s="309"/>
      <c r="N311" s="13" t="s">
        <v>89</v>
      </c>
      <c r="O311" s="21"/>
      <c r="P311" s="312" t="s">
        <v>2138</v>
      </c>
      <c r="Q311" s="24"/>
    </row>
    <row r="312">
      <c r="A312" s="11">
        <v>2025.0</v>
      </c>
      <c r="B312" s="18" t="s">
        <v>602</v>
      </c>
      <c r="C312" s="13" t="str">
        <f>IFERROR(VLOOKUP(B312,'Regiões'!A:B,2,0),"")</f>
        <v>Celeiro do Rio Grande</v>
      </c>
      <c r="D312" s="13" t="s">
        <v>2139</v>
      </c>
      <c r="E312" s="15" t="s">
        <v>2140</v>
      </c>
      <c r="F312" s="17">
        <v>1.2007174000165E13</v>
      </c>
      <c r="G312" s="18" t="s">
        <v>74</v>
      </c>
      <c r="H312" s="72">
        <v>4.1160002E7</v>
      </c>
      <c r="I312" s="11" t="s">
        <v>237</v>
      </c>
      <c r="J312" s="11" t="s">
        <v>7</v>
      </c>
      <c r="K312" s="21" t="s">
        <v>84</v>
      </c>
      <c r="L312" s="73">
        <v>200000.0</v>
      </c>
      <c r="M312" s="73"/>
      <c r="N312" s="13" t="s">
        <v>89</v>
      </c>
      <c r="O312" s="21"/>
      <c r="P312" s="61" t="s">
        <v>1426</v>
      </c>
      <c r="Q312" s="24"/>
    </row>
    <row r="313">
      <c r="A313" s="11">
        <v>2025.0</v>
      </c>
      <c r="B313" s="18" t="s">
        <v>353</v>
      </c>
      <c r="C313" s="13" t="str">
        <f>IFERROR(VLOOKUP(B313,'Regiões'!A:B,2,0),"")</f>
        <v>Encosta Superior do Nordeste</v>
      </c>
      <c r="D313" s="13" t="s">
        <v>2141</v>
      </c>
      <c r="E313" s="15" t="s">
        <v>2142</v>
      </c>
      <c r="F313" s="17">
        <v>1.2117217000165E13</v>
      </c>
      <c r="G313" s="18" t="s">
        <v>74</v>
      </c>
      <c r="H313" s="72">
        <v>4.1160002E7</v>
      </c>
      <c r="I313" s="11" t="s">
        <v>237</v>
      </c>
      <c r="J313" s="11" t="s">
        <v>7</v>
      </c>
      <c r="K313" s="21" t="s">
        <v>84</v>
      </c>
      <c r="L313" s="73">
        <v>200000.0</v>
      </c>
      <c r="M313" s="73"/>
      <c r="N313" s="13" t="s">
        <v>89</v>
      </c>
      <c r="O313" s="21"/>
      <c r="P313" s="61" t="s">
        <v>1426</v>
      </c>
      <c r="Q313" s="24"/>
    </row>
    <row r="314">
      <c r="A314" s="11">
        <v>2025.0</v>
      </c>
      <c r="B314" s="18" t="s">
        <v>664</v>
      </c>
      <c r="C314" s="13" t="str">
        <f>IFERROR(VLOOKUP(B314,'Regiões'!A:B,2,0),"")</f>
        <v>Alto Uruguai</v>
      </c>
      <c r="D314" s="13" t="s">
        <v>2143</v>
      </c>
      <c r="E314" s="15" t="s">
        <v>2144</v>
      </c>
      <c r="F314" s="17">
        <v>1.2149128000109E13</v>
      </c>
      <c r="G314" s="18" t="s">
        <v>74</v>
      </c>
      <c r="H314" s="72">
        <v>4.1160002E7</v>
      </c>
      <c r="I314" s="11" t="s">
        <v>237</v>
      </c>
      <c r="J314" s="11" t="s">
        <v>7</v>
      </c>
      <c r="K314" s="21" t="s">
        <v>84</v>
      </c>
      <c r="L314" s="73">
        <v>200000.0</v>
      </c>
      <c r="M314" s="73"/>
      <c r="N314" s="13" t="s">
        <v>89</v>
      </c>
      <c r="O314" s="21"/>
      <c r="P314" s="61" t="s">
        <v>1426</v>
      </c>
      <c r="Q314" s="24"/>
    </row>
    <row r="315">
      <c r="A315" s="11">
        <v>2025.0</v>
      </c>
      <c r="B315" s="18" t="s">
        <v>487</v>
      </c>
      <c r="C315" s="13" t="str">
        <f>IFERROR(VLOOKUP(B315,'Regiões'!A:B,2,0),"")</f>
        <v>Costa Doce</v>
      </c>
      <c r="D315" s="13" t="s">
        <v>2145</v>
      </c>
      <c r="E315" s="15" t="s">
        <v>2146</v>
      </c>
      <c r="F315" s="17">
        <v>1.2623171000156E13</v>
      </c>
      <c r="G315" s="18" t="s">
        <v>74</v>
      </c>
      <c r="H315" s="72">
        <v>4.1160002E7</v>
      </c>
      <c r="I315" s="11" t="s">
        <v>237</v>
      </c>
      <c r="J315" s="11" t="s">
        <v>7</v>
      </c>
      <c r="K315" s="21" t="s">
        <v>84</v>
      </c>
      <c r="L315" s="73">
        <v>200000.0</v>
      </c>
      <c r="M315" s="73"/>
      <c r="N315" s="13" t="s">
        <v>89</v>
      </c>
      <c r="O315" s="21"/>
      <c r="P315" s="61" t="s">
        <v>1426</v>
      </c>
      <c r="Q315" s="24"/>
    </row>
    <row r="316">
      <c r="A316" s="11">
        <v>2025.0</v>
      </c>
      <c r="B316" s="18" t="s">
        <v>47</v>
      </c>
      <c r="C316" s="13" t="str">
        <f>IFERROR(VLOOKUP(B316,'Regiões'!A:B,2,0),"")</f>
        <v>Metropolitana de Porto Alegre</v>
      </c>
      <c r="D316" s="13" t="s">
        <v>2148</v>
      </c>
      <c r="E316" s="15" t="s">
        <v>2137</v>
      </c>
      <c r="F316" s="17">
        <v>1.4069503000128E13</v>
      </c>
      <c r="G316" s="18" t="s">
        <v>74</v>
      </c>
      <c r="H316" s="72">
        <v>4.1160002E7</v>
      </c>
      <c r="I316" s="11" t="s">
        <v>237</v>
      </c>
      <c r="J316" s="11" t="s">
        <v>7</v>
      </c>
      <c r="K316" s="21" t="s">
        <v>84</v>
      </c>
      <c r="L316" s="73">
        <v>200000.0</v>
      </c>
      <c r="M316" s="73"/>
      <c r="N316" s="13" t="s">
        <v>89</v>
      </c>
      <c r="O316" s="21"/>
      <c r="P316" s="61" t="s">
        <v>1426</v>
      </c>
      <c r="Q316" s="24"/>
    </row>
    <row r="317">
      <c r="A317" s="11">
        <v>2025.0</v>
      </c>
      <c r="B317" s="18" t="s">
        <v>691</v>
      </c>
      <c r="C317" s="13" t="str">
        <f>IFERROR(VLOOKUP(B317,'Regiões'!A:B,2,0),"")</f>
        <v>Nordeste Riograndense</v>
      </c>
      <c r="D317" s="13" t="s">
        <v>2151</v>
      </c>
      <c r="E317" s="15" t="s">
        <v>2131</v>
      </c>
      <c r="F317" s="17">
        <v>1.2053497000195E13</v>
      </c>
      <c r="G317" s="18" t="s">
        <v>74</v>
      </c>
      <c r="H317" s="72">
        <v>4.1160001E7</v>
      </c>
      <c r="I317" s="11" t="s">
        <v>228</v>
      </c>
      <c r="J317" s="11" t="s">
        <v>7</v>
      </c>
      <c r="K317" s="21" t="s">
        <v>84</v>
      </c>
      <c r="L317" s="73">
        <v>200000.0</v>
      </c>
      <c r="M317" s="73"/>
      <c r="N317" s="13" t="s">
        <v>89</v>
      </c>
      <c r="O317" s="21"/>
      <c r="P317" s="61" t="s">
        <v>513</v>
      </c>
      <c r="Q317" s="24"/>
    </row>
    <row r="318">
      <c r="A318" s="11">
        <v>2025.0</v>
      </c>
      <c r="B318" s="18" t="s">
        <v>838</v>
      </c>
      <c r="C318" s="13" t="str">
        <f>IFERROR(VLOOKUP(B318,'Regiões'!A:B,2,0),"")</f>
        <v>Zona Sul</v>
      </c>
      <c r="D318" s="13" t="s">
        <v>2153</v>
      </c>
      <c r="E318" s="15" t="s">
        <v>2127</v>
      </c>
      <c r="F318" s="17">
        <v>9.2637792000128E13</v>
      </c>
      <c r="G318" s="12" t="s">
        <v>2127</v>
      </c>
      <c r="H318" s="72">
        <v>4.1160002E7</v>
      </c>
      <c r="I318" s="11" t="s">
        <v>332</v>
      </c>
      <c r="J318" s="11" t="s">
        <v>7</v>
      </c>
      <c r="K318" s="21" t="s">
        <v>152</v>
      </c>
      <c r="L318" s="73">
        <v>200000.0</v>
      </c>
      <c r="M318" s="73"/>
      <c r="N318" s="13" t="s">
        <v>89</v>
      </c>
      <c r="O318" s="21"/>
      <c r="P318" s="61" t="s">
        <v>1426</v>
      </c>
      <c r="Q318" s="24"/>
    </row>
    <row r="319">
      <c r="A319" s="11">
        <v>2025.0</v>
      </c>
      <c r="B319" s="18" t="s">
        <v>788</v>
      </c>
      <c r="C319" s="13" t="str">
        <f>IFERROR(VLOOKUP(B319,'Regiões'!A:B,2,0),"")</f>
        <v>Planalto</v>
      </c>
      <c r="D319" s="13" t="s">
        <v>2155</v>
      </c>
      <c r="E319" s="15" t="s">
        <v>788</v>
      </c>
      <c r="F319" s="17">
        <v>1.2238870000182E13</v>
      </c>
      <c r="G319" s="18"/>
      <c r="H319" s="72">
        <v>4.1160001E7</v>
      </c>
      <c r="I319" s="11" t="s">
        <v>228</v>
      </c>
      <c r="J319" s="11" t="s">
        <v>7</v>
      </c>
      <c r="K319" s="21" t="s">
        <v>84</v>
      </c>
      <c r="L319" s="298">
        <v>200000.0</v>
      </c>
      <c r="M319" s="298"/>
      <c r="N319" s="11" t="s">
        <v>155</v>
      </c>
      <c r="O319" s="21"/>
      <c r="P319" s="61" t="s">
        <v>513</v>
      </c>
      <c r="Q319" s="24"/>
    </row>
    <row r="320">
      <c r="A320" s="11">
        <v>2025.0</v>
      </c>
      <c r="B320" s="18" t="s">
        <v>601</v>
      </c>
      <c r="C320" s="13" t="str">
        <f>IFERROR(VLOOKUP(B320,'Regiões'!A:B,2,0),"")</f>
        <v>Planalto</v>
      </c>
      <c r="D320" s="13" t="s">
        <v>2156</v>
      </c>
      <c r="E320" s="15" t="s">
        <v>601</v>
      </c>
      <c r="F320" s="17">
        <v>1.2360135000147E13</v>
      </c>
      <c r="G320" s="18"/>
      <c r="H320" s="72">
        <v>4.1160001E7</v>
      </c>
      <c r="I320" s="11" t="s">
        <v>228</v>
      </c>
      <c r="J320" s="11" t="s">
        <v>7</v>
      </c>
      <c r="K320" s="21" t="s">
        <v>84</v>
      </c>
      <c r="L320" s="96">
        <v>200000.0</v>
      </c>
      <c r="M320" s="96"/>
      <c r="N320" s="11" t="s">
        <v>155</v>
      </c>
      <c r="O320" s="21"/>
      <c r="P320" s="61" t="s">
        <v>513</v>
      </c>
      <c r="Q320" s="24"/>
    </row>
    <row r="321">
      <c r="A321" s="11">
        <v>2025.0</v>
      </c>
      <c r="B321" s="18" t="s">
        <v>469</v>
      </c>
      <c r="C321" s="13" t="str">
        <f>IFERROR(VLOOKUP(B321,'Regiões'!A:B,2,0),"")</f>
        <v>Centro do Estado</v>
      </c>
      <c r="D321" s="13" t="s">
        <v>2157</v>
      </c>
      <c r="E321" s="15" t="s">
        <v>469</v>
      </c>
      <c r="F321" s="17">
        <v>1.3893378000103E13</v>
      </c>
      <c r="G321" s="18"/>
      <c r="H321" s="72">
        <v>4.1160002E7</v>
      </c>
      <c r="I321" s="11" t="s">
        <v>237</v>
      </c>
      <c r="J321" s="11" t="s">
        <v>7</v>
      </c>
      <c r="K321" s="21" t="s">
        <v>84</v>
      </c>
      <c r="L321" s="96">
        <v>200000.0</v>
      </c>
      <c r="M321" s="96"/>
      <c r="N321" s="11" t="s">
        <v>155</v>
      </c>
      <c r="O321" s="21"/>
      <c r="P321" s="61" t="s">
        <v>1426</v>
      </c>
      <c r="Q321" s="24"/>
    </row>
    <row r="322">
      <c r="A322" s="11">
        <v>2026.0</v>
      </c>
      <c r="B322" s="18" t="s">
        <v>657</v>
      </c>
      <c r="C322" s="13" t="str">
        <f>IFERROR(VLOOKUP(B322,'Regiões'!A:B,2,0),"")</f>
        <v>Zona da Produção</v>
      </c>
      <c r="D322" s="13" t="s">
        <v>2159</v>
      </c>
      <c r="E322" s="25" t="s">
        <v>2160</v>
      </c>
      <c r="F322" s="17">
        <v>9.2404789000164E13</v>
      </c>
      <c r="G322" s="18" t="s">
        <v>2161</v>
      </c>
      <c r="H322" s="20">
        <v>4.1160003E7</v>
      </c>
      <c r="I322" s="11" t="s">
        <v>2162</v>
      </c>
      <c r="J322" s="2" t="s">
        <v>7</v>
      </c>
      <c r="K322" s="21" t="s">
        <v>152</v>
      </c>
      <c r="L322" s="22">
        <v>200000.0</v>
      </c>
      <c r="M322" s="22"/>
      <c r="N322" s="11" t="s">
        <v>155</v>
      </c>
      <c r="O322" s="21"/>
      <c r="P322" s="23"/>
      <c r="Q322" s="24"/>
    </row>
    <row r="323">
      <c r="A323" s="11">
        <v>2026.0</v>
      </c>
      <c r="B323" s="18" t="s">
        <v>685</v>
      </c>
      <c r="C323" s="13" t="str">
        <f>IFERROR(VLOOKUP(B323,'Regiões'!A:B,2,0),"")</f>
        <v>Fronteira Noroeste</v>
      </c>
      <c r="D323" s="13" t="s">
        <v>2163</v>
      </c>
      <c r="E323" s="18" t="s">
        <v>685</v>
      </c>
      <c r="F323" s="17">
        <v>2.1194889000165E13</v>
      </c>
      <c r="G323" s="18" t="s">
        <v>2165</v>
      </c>
      <c r="H323" s="20">
        <v>4.1160003E7</v>
      </c>
      <c r="I323" s="11" t="s">
        <v>2162</v>
      </c>
      <c r="J323" s="2" t="s">
        <v>7</v>
      </c>
      <c r="K323" s="21" t="s">
        <v>152</v>
      </c>
      <c r="L323" s="22">
        <v>200000.0</v>
      </c>
      <c r="M323" s="22"/>
      <c r="N323" s="11" t="s">
        <v>155</v>
      </c>
      <c r="O323" s="21"/>
      <c r="P323" s="23"/>
      <c r="Q323" s="24"/>
    </row>
    <row r="324">
      <c r="A324" s="11">
        <v>2026.0</v>
      </c>
      <c r="B324" s="18" t="s">
        <v>198</v>
      </c>
      <c r="C324" s="13" t="str">
        <f>IFERROR(VLOOKUP(B324,'Regiões'!A:B,2,0),"")</f>
        <v>Vale dos Sinos</v>
      </c>
      <c r="D324" s="13" t="s">
        <v>2166</v>
      </c>
      <c r="E324" s="25" t="s">
        <v>2167</v>
      </c>
      <c r="F324" s="17">
        <v>1.2104575000133E13</v>
      </c>
      <c r="G324" s="18" t="s">
        <v>2168</v>
      </c>
      <c r="H324" s="20">
        <v>4.1160003E7</v>
      </c>
      <c r="I324" s="11" t="s">
        <v>2162</v>
      </c>
      <c r="J324" s="2" t="s">
        <v>7</v>
      </c>
      <c r="K324" s="21" t="s">
        <v>152</v>
      </c>
      <c r="L324" s="22">
        <v>200000.0</v>
      </c>
      <c r="M324" s="22"/>
      <c r="N324" s="11" t="s">
        <v>155</v>
      </c>
      <c r="O324" s="21"/>
      <c r="P324" s="23"/>
      <c r="Q324" s="24"/>
    </row>
    <row r="325">
      <c r="A325" s="11">
        <v>2026.0</v>
      </c>
      <c r="B325" s="18" t="s">
        <v>793</v>
      </c>
      <c r="C325" s="13" t="str">
        <f>IFERROR(VLOOKUP(B325,'Regiões'!A:B,2,0),"")</f>
        <v>Vale do Taquari</v>
      </c>
      <c r="D325" s="13" t="s">
        <v>2169</v>
      </c>
      <c r="E325" s="25" t="s">
        <v>2170</v>
      </c>
      <c r="F325" s="638">
        <v>8.7316618000143E13</v>
      </c>
      <c r="G325" s="639" t="s">
        <v>2167</v>
      </c>
      <c r="H325" s="20">
        <v>4.1160003E7</v>
      </c>
      <c r="I325" s="11" t="s">
        <v>2162</v>
      </c>
      <c r="J325" s="2" t="s">
        <v>7</v>
      </c>
      <c r="K325" s="21" t="s">
        <v>152</v>
      </c>
      <c r="L325" s="22">
        <v>200000.0</v>
      </c>
      <c r="M325" s="22"/>
      <c r="N325" s="11" t="s">
        <v>155</v>
      </c>
      <c r="O325" s="21"/>
      <c r="P325" s="23"/>
      <c r="Q325" s="24"/>
    </row>
    <row r="326">
      <c r="A326" s="11">
        <v>2026.0</v>
      </c>
      <c r="B326" s="18" t="s">
        <v>808</v>
      </c>
      <c r="C326" s="13" t="str">
        <f>IFERROR(VLOOKUP(B326,'Regiões'!A:B,2,0),"")</f>
        <v>Nordeste Riograndense</v>
      </c>
      <c r="D326" s="13" t="s">
        <v>2171</v>
      </c>
      <c r="E326" s="25" t="s">
        <v>2172</v>
      </c>
      <c r="F326" s="17">
        <v>9.1272732000196E13</v>
      </c>
      <c r="G326" s="18" t="s">
        <v>2170</v>
      </c>
      <c r="H326" s="20">
        <v>4.1160003E7</v>
      </c>
      <c r="I326" s="11" t="s">
        <v>2162</v>
      </c>
      <c r="J326" s="2" t="s">
        <v>7</v>
      </c>
      <c r="K326" s="21" t="s">
        <v>152</v>
      </c>
      <c r="L326" s="22">
        <v>200000.0</v>
      </c>
      <c r="M326" s="22"/>
      <c r="N326" s="11" t="s">
        <v>155</v>
      </c>
      <c r="O326" s="21"/>
      <c r="P326" s="23"/>
      <c r="Q326" s="24"/>
    </row>
    <row r="327">
      <c r="A327" s="11">
        <v>2026.0</v>
      </c>
      <c r="B327" s="18" t="s">
        <v>936</v>
      </c>
      <c r="C327" s="13" t="str">
        <f>IFERROR(VLOOKUP(B327,'Regiões'!A:B,2,0),"")</f>
        <v>Alto Uruguai</v>
      </c>
      <c r="D327" s="13" t="s">
        <v>2173</v>
      </c>
      <c r="E327" s="18" t="s">
        <v>936</v>
      </c>
      <c r="F327" s="17">
        <v>9.2025006000131E13</v>
      </c>
      <c r="G327" s="18" t="s">
        <v>2174</v>
      </c>
      <c r="H327" s="20">
        <v>4.1160003E7</v>
      </c>
      <c r="I327" s="11" t="s">
        <v>2162</v>
      </c>
      <c r="J327" s="2" t="s">
        <v>7</v>
      </c>
      <c r="K327" s="21" t="s">
        <v>152</v>
      </c>
      <c r="L327" s="22">
        <v>200000.0</v>
      </c>
      <c r="M327" s="22"/>
      <c r="N327" s="11" t="s">
        <v>155</v>
      </c>
      <c r="O327" s="21"/>
      <c r="P327" s="23"/>
      <c r="Q327" s="24"/>
    </row>
    <row r="328">
      <c r="A328" s="11">
        <v>2026.0</v>
      </c>
      <c r="B328" s="18" t="s">
        <v>945</v>
      </c>
      <c r="C328" s="13" t="str">
        <f>IFERROR(VLOOKUP(B328,'Regiões'!A:B,2,0),"")</f>
        <v>Nordeste Riograndense</v>
      </c>
      <c r="D328" s="13" t="s">
        <v>2175</v>
      </c>
      <c r="E328" s="25" t="s">
        <v>2176</v>
      </c>
      <c r="F328" s="17">
        <v>1.2877385000159E13</v>
      </c>
      <c r="G328" s="18" t="s">
        <v>2177</v>
      </c>
      <c r="H328" s="20">
        <v>4.1160003E7</v>
      </c>
      <c r="I328" s="11" t="s">
        <v>2162</v>
      </c>
      <c r="J328" s="2" t="s">
        <v>7</v>
      </c>
      <c r="K328" s="21" t="s">
        <v>152</v>
      </c>
      <c r="L328" s="22">
        <v>200000.0</v>
      </c>
      <c r="M328" s="22"/>
      <c r="N328" s="11" t="s">
        <v>155</v>
      </c>
      <c r="O328" s="21"/>
      <c r="P328" s="23"/>
      <c r="Q328" s="24"/>
    </row>
    <row r="329">
      <c r="A329" s="11">
        <v>2026.0</v>
      </c>
      <c r="B329" s="18" t="s">
        <v>951</v>
      </c>
      <c r="C329" s="13" t="str">
        <f>IFERROR(VLOOKUP(B329,'Regiões'!A:B,2,0),"")</f>
        <v>Celeiro do Rio Grande</v>
      </c>
      <c r="D329" s="13" t="s">
        <v>2179</v>
      </c>
      <c r="E329" s="25" t="s">
        <v>2180</v>
      </c>
      <c r="F329" s="17">
        <v>8.579164000127E12</v>
      </c>
      <c r="G329" s="18" t="s">
        <v>2176</v>
      </c>
      <c r="H329" s="20">
        <v>4.1160003E7</v>
      </c>
      <c r="I329" s="11" t="s">
        <v>2162</v>
      </c>
      <c r="J329" s="2" t="s">
        <v>7</v>
      </c>
      <c r="K329" s="21" t="s">
        <v>152</v>
      </c>
      <c r="L329" s="22">
        <v>200000.0</v>
      </c>
      <c r="M329" s="22"/>
      <c r="N329" s="11" t="s">
        <v>155</v>
      </c>
      <c r="O329" s="21"/>
      <c r="P329" s="23"/>
      <c r="Q329" s="24"/>
    </row>
    <row r="330">
      <c r="A330" s="11">
        <v>2026.0</v>
      </c>
      <c r="B330" s="18" t="s">
        <v>971</v>
      </c>
      <c r="C330" s="13" t="str">
        <f>IFERROR(VLOOKUP(B330,'Regiões'!A:B,2,0),"")</f>
        <v>Fronteira Noroeste</v>
      </c>
      <c r="D330" s="13" t="s">
        <v>2181</v>
      </c>
      <c r="E330" s="18" t="s">
        <v>971</v>
      </c>
      <c r="F330" s="17">
        <v>8.139573000102E12</v>
      </c>
      <c r="G330" s="18" t="s">
        <v>2182</v>
      </c>
      <c r="H330" s="20">
        <v>4.1160003E7</v>
      </c>
      <c r="I330" s="11" t="s">
        <v>2162</v>
      </c>
      <c r="J330" s="2" t="s">
        <v>7</v>
      </c>
      <c r="K330" s="21" t="s">
        <v>152</v>
      </c>
      <c r="L330" s="22">
        <v>200000.0</v>
      </c>
      <c r="M330" s="22"/>
      <c r="N330" s="11" t="s">
        <v>155</v>
      </c>
      <c r="O330" s="21"/>
      <c r="P330" s="23"/>
      <c r="Q330" s="24"/>
    </row>
    <row r="331">
      <c r="A331" s="11">
        <v>2026.0</v>
      </c>
      <c r="B331" s="18" t="s">
        <v>619</v>
      </c>
      <c r="C331" s="13" t="str">
        <f>IFERROR(VLOOKUP(B331,'Regiões'!A:B,2,0),"")</f>
        <v>Sudoeste do Estado</v>
      </c>
      <c r="D331" s="648" t="s">
        <v>2183</v>
      </c>
      <c r="E331" s="18" t="s">
        <v>619</v>
      </c>
      <c r="F331" s="17">
        <v>1.0566741000198E13</v>
      </c>
      <c r="G331" s="18" t="s">
        <v>2184</v>
      </c>
      <c r="H331" s="20">
        <v>4.1160013E7</v>
      </c>
      <c r="I331" s="11" t="s">
        <v>2185</v>
      </c>
      <c r="J331" s="2" t="s">
        <v>7</v>
      </c>
      <c r="K331" s="21" t="s">
        <v>152</v>
      </c>
      <c r="L331" s="22">
        <v>200000.0</v>
      </c>
      <c r="M331" s="22"/>
      <c r="N331" s="11" t="s">
        <v>155</v>
      </c>
      <c r="O331" s="21"/>
      <c r="P331" s="23"/>
      <c r="Q331" s="24"/>
    </row>
    <row r="332">
      <c r="A332" s="11">
        <v>2026.0</v>
      </c>
      <c r="B332" s="18" t="s">
        <v>639</v>
      </c>
      <c r="C332" s="13" t="str">
        <f>IFERROR(VLOOKUP(B332,'Regiões'!A:B,2,0),"")</f>
        <v>Alto Uruguai</v>
      </c>
      <c r="D332" s="648" t="s">
        <v>2187</v>
      </c>
      <c r="E332" s="18" t="s">
        <v>639</v>
      </c>
      <c r="F332" s="17">
        <v>1.1259700000111E13</v>
      </c>
      <c r="G332" s="18" t="s">
        <v>2177</v>
      </c>
      <c r="H332" s="20">
        <v>4.1160013E7</v>
      </c>
      <c r="I332" s="11" t="s">
        <v>2185</v>
      </c>
      <c r="J332" s="2" t="s">
        <v>7</v>
      </c>
      <c r="K332" s="21" t="s">
        <v>152</v>
      </c>
      <c r="L332" s="22">
        <v>200000.0</v>
      </c>
      <c r="M332" s="22"/>
      <c r="N332" s="11" t="s">
        <v>155</v>
      </c>
      <c r="O332" s="21"/>
      <c r="P332" s="23"/>
      <c r="Q332" s="24"/>
    </row>
    <row r="333">
      <c r="A333" s="11">
        <v>2026.0</v>
      </c>
      <c r="B333" s="18" t="s">
        <v>670</v>
      </c>
      <c r="C333" s="13" t="str">
        <f>IFERROR(VLOOKUP(B333,'Regiões'!A:B,2,0),"")</f>
        <v>Zona da Produção</v>
      </c>
      <c r="D333" s="648" t="s">
        <v>2189</v>
      </c>
      <c r="E333" s="18" t="s">
        <v>670</v>
      </c>
      <c r="F333" s="17">
        <v>1.2366847000173E13</v>
      </c>
      <c r="G333" s="18" t="s">
        <v>2190</v>
      </c>
      <c r="H333" s="20">
        <v>4.1160013E7</v>
      </c>
      <c r="I333" s="11" t="s">
        <v>2185</v>
      </c>
      <c r="J333" s="2" t="s">
        <v>7</v>
      </c>
      <c r="K333" s="21" t="s">
        <v>152</v>
      </c>
      <c r="L333" s="22">
        <v>200000.0</v>
      </c>
      <c r="M333" s="22"/>
      <c r="N333" s="11" t="s">
        <v>155</v>
      </c>
      <c r="O333" s="21"/>
      <c r="P333" s="23"/>
      <c r="Q333" s="24"/>
    </row>
    <row r="334">
      <c r="A334" s="11">
        <v>2026.0</v>
      </c>
      <c r="B334" s="18" t="s">
        <v>792</v>
      </c>
      <c r="C334" s="13" t="str">
        <f>IFERROR(VLOOKUP(B334,'Regiões'!A:B,2,0),"")</f>
        <v>Zona da Produção</v>
      </c>
      <c r="D334" s="648" t="s">
        <v>2191</v>
      </c>
      <c r="E334" s="18" t="s">
        <v>792</v>
      </c>
      <c r="F334" s="17">
        <v>1.1826945000183E13</v>
      </c>
      <c r="G334" s="18" t="s">
        <v>2192</v>
      </c>
      <c r="H334" s="20">
        <v>4.1160013E7</v>
      </c>
      <c r="I334" s="11" t="s">
        <v>2185</v>
      </c>
      <c r="J334" s="2" t="s">
        <v>7</v>
      </c>
      <c r="K334" s="21" t="s">
        <v>152</v>
      </c>
      <c r="L334" s="22">
        <v>200000.0</v>
      </c>
      <c r="M334" s="22"/>
      <c r="N334" s="11" t="s">
        <v>155</v>
      </c>
      <c r="O334" s="21"/>
      <c r="P334" s="23"/>
      <c r="Q334" s="24"/>
    </row>
    <row r="335">
      <c r="A335" s="11">
        <v>2026.0</v>
      </c>
      <c r="B335" s="18" t="s">
        <v>798</v>
      </c>
      <c r="C335" s="13" t="str">
        <f>IFERROR(VLOOKUP(B335,'Regiões'!A:B,2,0),"")</f>
        <v>Encosta Superior do Nordeste</v>
      </c>
      <c r="D335" s="13" t="s">
        <v>2193</v>
      </c>
      <c r="E335" s="18" t="s">
        <v>798</v>
      </c>
      <c r="F335" s="17">
        <v>1.184049000015E13</v>
      </c>
      <c r="G335" s="18" t="s">
        <v>2194</v>
      </c>
      <c r="H335" s="20">
        <v>4.1160013E7</v>
      </c>
      <c r="I335" s="11" t="s">
        <v>2185</v>
      </c>
      <c r="J335" s="2" t="s">
        <v>7</v>
      </c>
      <c r="K335" s="21" t="s">
        <v>152</v>
      </c>
      <c r="L335" s="22">
        <v>200000.0</v>
      </c>
      <c r="M335" s="22"/>
      <c r="N335" s="11" t="s">
        <v>155</v>
      </c>
      <c r="O335" s="21"/>
      <c r="P335" s="23"/>
      <c r="Q335" s="24"/>
    </row>
    <row r="336">
      <c r="A336" s="11">
        <v>2026.0</v>
      </c>
      <c r="B336" s="18" t="s">
        <v>811</v>
      </c>
      <c r="C336" s="13" t="str">
        <f>IFERROR(VLOOKUP(B336,'Regiões'!A:B,2,0),"")</f>
        <v>Zona da Produção</v>
      </c>
      <c r="D336" s="13" t="s">
        <v>2196</v>
      </c>
      <c r="E336" s="18" t="s">
        <v>811</v>
      </c>
      <c r="F336" s="17">
        <v>1.1642039000129E13</v>
      </c>
      <c r="G336" s="18" t="s">
        <v>2197</v>
      </c>
      <c r="H336" s="20">
        <v>4.1160013E7</v>
      </c>
      <c r="I336" s="11" t="s">
        <v>2185</v>
      </c>
      <c r="J336" s="2" t="s">
        <v>7</v>
      </c>
      <c r="K336" s="21" t="s">
        <v>152</v>
      </c>
      <c r="L336" s="22">
        <v>200000.0</v>
      </c>
      <c r="M336" s="22"/>
      <c r="N336" s="11" t="s">
        <v>155</v>
      </c>
      <c r="O336" s="21"/>
      <c r="P336" s="23"/>
      <c r="Q336" s="24"/>
    </row>
    <row r="337">
      <c r="A337" s="11">
        <v>2026.0</v>
      </c>
      <c r="B337" s="18" t="s">
        <v>834</v>
      </c>
      <c r="C337" s="13" t="str">
        <f>IFERROR(VLOOKUP(B337,'Regiões'!A:B,2,0),"")</f>
        <v>Zona Sul</v>
      </c>
      <c r="D337" s="13" t="s">
        <v>2198</v>
      </c>
      <c r="E337" s="18" t="s">
        <v>834</v>
      </c>
      <c r="F337" s="17">
        <v>1.206278600015E13</v>
      </c>
      <c r="G337" s="18" t="s">
        <v>2199</v>
      </c>
      <c r="H337" s="20">
        <v>4.1160013E7</v>
      </c>
      <c r="I337" s="11" t="s">
        <v>2185</v>
      </c>
      <c r="J337" s="2" t="s">
        <v>7</v>
      </c>
      <c r="K337" s="21" t="s">
        <v>152</v>
      </c>
      <c r="L337" s="22">
        <v>200000.0</v>
      </c>
      <c r="M337" s="22"/>
      <c r="N337" s="11" t="s">
        <v>155</v>
      </c>
      <c r="O337" s="21"/>
      <c r="P337" s="23"/>
      <c r="Q337" s="24"/>
    </row>
    <row r="338">
      <c r="A338" s="11">
        <v>2026.0</v>
      </c>
      <c r="B338" s="18" t="s">
        <v>2200</v>
      </c>
      <c r="C338" s="13" t="str">
        <f>IFERROR(VLOOKUP(B338,'Regiões'!A:B,2,0),"")</f>
        <v>Missões</v>
      </c>
      <c r="D338" s="13" t="s">
        <v>2201</v>
      </c>
      <c r="E338" s="18" t="s">
        <v>2200</v>
      </c>
      <c r="F338" s="17">
        <v>1.213743700015E13</v>
      </c>
      <c r="G338" s="18" t="s">
        <v>2203</v>
      </c>
      <c r="H338" s="20">
        <v>4.1160013E7</v>
      </c>
      <c r="I338" s="11" t="s">
        <v>2185</v>
      </c>
      <c r="J338" s="2" t="s">
        <v>7</v>
      </c>
      <c r="K338" s="21" t="s">
        <v>152</v>
      </c>
      <c r="L338" s="22">
        <v>200000.0</v>
      </c>
      <c r="M338" s="22"/>
      <c r="N338" s="11" t="s">
        <v>155</v>
      </c>
      <c r="O338" s="21"/>
      <c r="P338" s="23"/>
      <c r="Q338" s="24"/>
    </row>
    <row r="339">
      <c r="A339" s="11">
        <v>2026.0</v>
      </c>
      <c r="B339" s="18" t="s">
        <v>913</v>
      </c>
      <c r="C339" s="13" t="str">
        <f>IFERROR(VLOOKUP(B339,'Regiões'!A:B,2,0),"")</f>
        <v>Missões</v>
      </c>
      <c r="D339" s="13" t="s">
        <v>2205</v>
      </c>
      <c r="E339" s="18" t="s">
        <v>913</v>
      </c>
      <c r="F339" s="17">
        <v>1.220285400013E13</v>
      </c>
      <c r="G339" s="18" t="s">
        <v>2206</v>
      </c>
      <c r="H339" s="20">
        <v>4.1160013E7</v>
      </c>
      <c r="I339" s="11" t="s">
        <v>2185</v>
      </c>
      <c r="J339" s="2" t="s">
        <v>7</v>
      </c>
      <c r="K339" s="21" t="s">
        <v>152</v>
      </c>
      <c r="L339" s="22">
        <v>200000.0</v>
      </c>
      <c r="M339" s="22"/>
      <c r="N339" s="11" t="s">
        <v>155</v>
      </c>
      <c r="O339" s="21"/>
      <c r="P339" s="23"/>
      <c r="Q339" s="24"/>
    </row>
    <row r="340">
      <c r="A340" s="11">
        <v>2026.0</v>
      </c>
      <c r="B340" s="18" t="s">
        <v>976</v>
      </c>
      <c r="C340" s="13" t="str">
        <f>IFERROR(VLOOKUP(B340,'Regiões'!A:B,2,0),"")</f>
        <v>Fronteira Noroeste</v>
      </c>
      <c r="D340" s="13" t="s">
        <v>2207</v>
      </c>
      <c r="E340" s="18" t="s">
        <v>976</v>
      </c>
      <c r="F340" s="17">
        <v>1.1828168000106E13</v>
      </c>
      <c r="G340" s="18" t="s">
        <v>2184</v>
      </c>
      <c r="H340" s="20">
        <v>4.1160013E7</v>
      </c>
      <c r="I340" s="11" t="s">
        <v>2185</v>
      </c>
      <c r="J340" s="2" t="s">
        <v>7</v>
      </c>
      <c r="K340" s="21" t="s">
        <v>152</v>
      </c>
      <c r="L340" s="22">
        <v>200000.0</v>
      </c>
      <c r="M340" s="22"/>
      <c r="N340" s="11" t="s">
        <v>155</v>
      </c>
      <c r="O340" s="21"/>
      <c r="P340" s="23"/>
      <c r="Q340" s="24"/>
    </row>
    <row r="341">
      <c r="A341" s="11">
        <v>2026.0</v>
      </c>
      <c r="B341" s="18" t="s">
        <v>463</v>
      </c>
      <c r="C341" s="13" t="str">
        <f>IFERROR(VLOOKUP(B341,'Regiões'!A:B,2,0),"")</f>
        <v>Vale do Rio Caí</v>
      </c>
      <c r="D341" s="13"/>
      <c r="E341" s="25" t="s">
        <v>2208</v>
      </c>
      <c r="F341" s="17">
        <v>1.0616321000179E13</v>
      </c>
      <c r="G341" s="18" t="s">
        <v>2209</v>
      </c>
      <c r="H341" s="20">
        <v>4.1160013E7</v>
      </c>
      <c r="I341" s="11" t="s">
        <v>7</v>
      </c>
      <c r="J341" s="11" t="s">
        <v>7</v>
      </c>
      <c r="K341" s="21" t="s">
        <v>2185</v>
      </c>
      <c r="L341" s="22">
        <v>200000.0</v>
      </c>
      <c r="M341" s="22"/>
      <c r="N341" s="11" t="s">
        <v>155</v>
      </c>
      <c r="O341" s="21"/>
      <c r="P341" s="23"/>
      <c r="Q341" s="24"/>
    </row>
    <row r="342">
      <c r="A342" s="11">
        <v>2026.0</v>
      </c>
      <c r="B342" s="18" t="s">
        <v>559</v>
      </c>
      <c r="C342" s="13" t="str">
        <f>IFERROR(VLOOKUP(B342,'Regiões'!A:B,2,0),"")</f>
        <v>Encosta Superior do Nordeste</v>
      </c>
      <c r="D342" s="13"/>
      <c r="E342" s="25" t="s">
        <v>2210</v>
      </c>
      <c r="F342" s="17">
        <v>1.0546325000128E13</v>
      </c>
      <c r="G342" s="18" t="s">
        <v>2211</v>
      </c>
      <c r="H342" s="20">
        <v>4.1160013E7</v>
      </c>
      <c r="I342" s="11" t="s">
        <v>7</v>
      </c>
      <c r="J342" s="11" t="s">
        <v>7</v>
      </c>
      <c r="K342" s="21" t="s">
        <v>2185</v>
      </c>
      <c r="L342" s="22">
        <v>200000.0</v>
      </c>
      <c r="M342" s="22"/>
      <c r="N342" s="11" t="s">
        <v>155</v>
      </c>
      <c r="O342" s="21"/>
      <c r="P342" s="23"/>
      <c r="Q342" s="24"/>
    </row>
    <row r="343">
      <c r="A343" s="11">
        <v>2026.0</v>
      </c>
      <c r="B343" s="18" t="s">
        <v>316</v>
      </c>
      <c r="C343" s="13" t="str">
        <f>IFERROR(VLOOKUP(B343,'Regiões'!A:B,2,0),"")</f>
        <v>Vale do Taquari</v>
      </c>
      <c r="D343" s="13"/>
      <c r="E343" s="25" t="s">
        <v>2212</v>
      </c>
      <c r="F343" s="17">
        <v>1.2075973000179E13</v>
      </c>
      <c r="G343" s="18" t="s">
        <v>2213</v>
      </c>
      <c r="H343" s="20">
        <v>4.1160013E7</v>
      </c>
      <c r="I343" s="11" t="s">
        <v>7</v>
      </c>
      <c r="J343" s="11" t="s">
        <v>7</v>
      </c>
      <c r="K343" s="21" t="s">
        <v>2185</v>
      </c>
      <c r="L343" s="22">
        <v>200000.0</v>
      </c>
      <c r="M343" s="22"/>
      <c r="N343" s="11" t="s">
        <v>155</v>
      </c>
      <c r="O343" s="21"/>
      <c r="P343" s="23"/>
      <c r="Q343" s="24"/>
    </row>
    <row r="344">
      <c r="A344" s="11">
        <v>2026.0</v>
      </c>
      <c r="B344" s="18" t="s">
        <v>623</v>
      </c>
      <c r="C344" s="13" t="str">
        <f>IFERROR(VLOOKUP(B344,'Regiões'!A:B,2,0),"")</f>
        <v>Planalto</v>
      </c>
      <c r="D344" s="13"/>
      <c r="E344" s="25" t="s">
        <v>2215</v>
      </c>
      <c r="F344" s="17">
        <v>8.8417787000132E13</v>
      </c>
      <c r="G344" s="25" t="s">
        <v>2215</v>
      </c>
      <c r="H344" s="20">
        <v>4.1160003E7</v>
      </c>
      <c r="I344" s="11" t="s">
        <v>7</v>
      </c>
      <c r="J344" s="11" t="s">
        <v>7</v>
      </c>
      <c r="K344" s="21" t="s">
        <v>2162</v>
      </c>
      <c r="L344" s="22">
        <v>200000.0</v>
      </c>
      <c r="M344" s="22"/>
      <c r="N344" s="11" t="s">
        <v>155</v>
      </c>
      <c r="O344" s="21"/>
      <c r="P344" s="23"/>
      <c r="Q344" s="24"/>
    </row>
    <row r="345">
      <c r="A345" s="11">
        <v>2026.0</v>
      </c>
      <c r="B345" s="18" t="s">
        <v>141</v>
      </c>
      <c r="C345" s="13" t="str">
        <f>IFERROR(VLOOKUP(B345,'Regiões'!A:B,2,0),"")</f>
        <v>Vale do Taquari</v>
      </c>
      <c r="D345" s="13"/>
      <c r="E345" s="25" t="s">
        <v>2218</v>
      </c>
      <c r="F345" s="17">
        <v>1.2149722000191E13</v>
      </c>
      <c r="G345" s="18" t="s">
        <v>2219</v>
      </c>
      <c r="H345" s="20">
        <v>4.1160013E7</v>
      </c>
      <c r="I345" s="11" t="s">
        <v>7</v>
      </c>
      <c r="J345" s="11" t="s">
        <v>7</v>
      </c>
      <c r="K345" s="21" t="s">
        <v>2185</v>
      </c>
      <c r="L345" s="22">
        <v>200000.0</v>
      </c>
      <c r="M345" s="22"/>
      <c r="N345" s="11" t="s">
        <v>155</v>
      </c>
      <c r="O345" s="21"/>
      <c r="P345" s="23"/>
      <c r="Q345" s="24"/>
    </row>
    <row r="346">
      <c r="A346" s="11">
        <v>2026.0</v>
      </c>
      <c r="B346" s="18" t="s">
        <v>498</v>
      </c>
      <c r="C346" s="13" t="str">
        <f>IFERROR(VLOOKUP(B346,'Regiões'!A:B,2,0),"")</f>
        <v>Campos de cima da Serra</v>
      </c>
      <c r="D346" s="13"/>
      <c r="E346" s="25" t="s">
        <v>2223</v>
      </c>
      <c r="F346" s="17">
        <v>1.2452816000135E13</v>
      </c>
      <c r="G346" s="18"/>
      <c r="H346" s="20">
        <v>4.1160013E7</v>
      </c>
      <c r="I346" s="11" t="s">
        <v>7</v>
      </c>
      <c r="J346" s="11" t="s">
        <v>7</v>
      </c>
      <c r="K346" s="21" t="s">
        <v>2185</v>
      </c>
      <c r="L346" s="22">
        <v>200000.0</v>
      </c>
      <c r="M346" s="22"/>
      <c r="N346" s="11" t="s">
        <v>155</v>
      </c>
      <c r="O346" s="21"/>
      <c r="P346" s="23"/>
      <c r="Q346" s="24"/>
    </row>
    <row r="347">
      <c r="A347" s="29">
        <v>2020.0</v>
      </c>
      <c r="B347" s="29" t="s">
        <v>127</v>
      </c>
      <c r="C347" s="13" t="str">
        <f>IFERROR(VLOOKUP(B347,'Regiões'!A:B,2,0),"")</f>
        <v>Metropolitana de Porto Alegre</v>
      </c>
      <c r="D347" s="29" t="s">
        <v>290</v>
      </c>
      <c r="E347" s="32" t="s">
        <v>291</v>
      </c>
      <c r="F347" s="33"/>
      <c r="G347" s="29" t="s">
        <v>291</v>
      </c>
      <c r="H347" s="45">
        <v>4.116001E7</v>
      </c>
      <c r="I347" s="29" t="s">
        <v>151</v>
      </c>
      <c r="J347" s="29" t="s">
        <v>27</v>
      </c>
      <c r="K347" s="29" t="s">
        <v>152</v>
      </c>
      <c r="L347" s="37">
        <v>200841.17</v>
      </c>
      <c r="M347" s="37"/>
      <c r="N347" s="29" t="s">
        <v>155</v>
      </c>
      <c r="O347" s="29" t="s">
        <v>305</v>
      </c>
      <c r="P347" s="109" t="s">
        <v>1395</v>
      </c>
      <c r="Q347" s="40"/>
    </row>
    <row r="348">
      <c r="A348" s="47">
        <v>2020.0</v>
      </c>
      <c r="B348" s="47" t="s">
        <v>1499</v>
      </c>
      <c r="C348" s="13" t="str">
        <f>IFERROR(VLOOKUP(B348,'Regiões'!A:B,2,0),"")</f>
        <v/>
      </c>
      <c r="D348" s="29" t="s">
        <v>2227</v>
      </c>
      <c r="E348" s="49" t="s">
        <v>1065</v>
      </c>
      <c r="F348" s="50"/>
      <c r="G348" s="47" t="s">
        <v>1500</v>
      </c>
      <c r="H348" s="51">
        <v>4.1160002E7</v>
      </c>
      <c r="I348" s="47" t="s">
        <v>151</v>
      </c>
      <c r="J348" s="47" t="s">
        <v>27</v>
      </c>
      <c r="K348" s="47" t="s">
        <v>152</v>
      </c>
      <c r="L348" s="52">
        <v>201110.34</v>
      </c>
      <c r="M348" s="52" t="s">
        <v>2228</v>
      </c>
      <c r="N348" s="47" t="s">
        <v>155</v>
      </c>
      <c r="O348" s="47" t="s">
        <v>1505</v>
      </c>
      <c r="P348" s="53" t="s">
        <v>1506</v>
      </c>
      <c r="Q348" s="54"/>
    </row>
    <row r="349">
      <c r="A349" s="11">
        <v>2025.0</v>
      </c>
      <c r="B349" s="18" t="s">
        <v>886</v>
      </c>
      <c r="C349" s="13" t="str">
        <f>IFERROR(VLOOKUP(B349,'Regiões'!A:B,2,0),"")</f>
        <v>Missões</v>
      </c>
      <c r="D349" s="13" t="s">
        <v>2229</v>
      </c>
      <c r="E349" s="15" t="s">
        <v>2230</v>
      </c>
      <c r="F349" s="17">
        <v>9.6210471000101E13</v>
      </c>
      <c r="G349" s="12" t="s">
        <v>2230</v>
      </c>
      <c r="H349" s="72">
        <v>4.1160004E7</v>
      </c>
      <c r="I349" s="11" t="s">
        <v>6</v>
      </c>
      <c r="J349" s="11" t="s">
        <v>7</v>
      </c>
      <c r="K349" s="21" t="s">
        <v>152</v>
      </c>
      <c r="L349" s="309">
        <v>202000.0</v>
      </c>
      <c r="M349" s="309"/>
      <c r="N349" s="13" t="s">
        <v>89</v>
      </c>
      <c r="O349" s="21"/>
      <c r="P349" s="56" t="s">
        <v>2232</v>
      </c>
      <c r="Q349" s="24"/>
    </row>
    <row r="350">
      <c r="A350" s="11">
        <v>2025.0</v>
      </c>
      <c r="B350" s="18" t="s">
        <v>333</v>
      </c>
      <c r="C350" s="13" t="str">
        <f>IFERROR(VLOOKUP(B350,'Regiões'!A:B,2,0),"")</f>
        <v>Vale dos Sinos</v>
      </c>
      <c r="D350" s="13" t="s">
        <v>2234</v>
      </c>
      <c r="E350" s="15" t="s">
        <v>2236</v>
      </c>
      <c r="F350" s="17">
        <v>9.727935000017E13</v>
      </c>
      <c r="G350" s="12" t="s">
        <v>2236</v>
      </c>
      <c r="H350" s="72">
        <v>4.1160004E7</v>
      </c>
      <c r="I350" s="11" t="s">
        <v>6</v>
      </c>
      <c r="J350" s="11" t="s">
        <v>7</v>
      </c>
      <c r="K350" s="21" t="s">
        <v>152</v>
      </c>
      <c r="L350" s="309">
        <v>204000.0</v>
      </c>
      <c r="M350" s="309"/>
      <c r="N350" s="13" t="s">
        <v>89</v>
      </c>
      <c r="O350" s="21"/>
      <c r="P350" s="56" t="s">
        <v>2238</v>
      </c>
      <c r="Q350" s="24"/>
    </row>
    <row r="351">
      <c r="A351" s="669">
        <v>2020.0</v>
      </c>
      <c r="B351" s="669" t="s">
        <v>102</v>
      </c>
      <c r="C351" s="13" t="str">
        <f>IFERROR(VLOOKUP(B351,'Regiões'!A:B,2,0),"")</f>
        <v>Vale dos Sinos</v>
      </c>
      <c r="D351" s="29" t="s">
        <v>2240</v>
      </c>
      <c r="E351" s="670" t="s">
        <v>1065</v>
      </c>
      <c r="F351" s="671"/>
      <c r="G351" s="669" t="s">
        <v>1143</v>
      </c>
      <c r="H351" s="672"/>
      <c r="I351" s="669" t="s">
        <v>151</v>
      </c>
      <c r="J351" s="669" t="s">
        <v>27</v>
      </c>
      <c r="K351" s="669" t="s">
        <v>152</v>
      </c>
      <c r="L351" s="673">
        <v>209500.0</v>
      </c>
      <c r="M351" s="673"/>
      <c r="N351" s="669" t="s">
        <v>389</v>
      </c>
      <c r="O351" s="669" t="s">
        <v>1067</v>
      </c>
      <c r="P351" s="670" t="s">
        <v>1144</v>
      </c>
      <c r="Q351" s="674" t="s">
        <v>1509</v>
      </c>
    </row>
    <row r="352">
      <c r="A352" s="365">
        <v>2021.0</v>
      </c>
      <c r="B352" s="367" t="s">
        <v>310</v>
      </c>
      <c r="C352" s="13" t="str">
        <f>IFERROR(VLOOKUP(B352,'Regiões'!A:B,2,0),"")</f>
        <v>Vale dos Sinos</v>
      </c>
      <c r="D352" s="29" t="s">
        <v>997</v>
      </c>
      <c r="E352" s="371" t="s">
        <v>485</v>
      </c>
      <c r="F352" s="372"/>
      <c r="G352" s="367" t="s">
        <v>999</v>
      </c>
      <c r="H352" s="373">
        <v>4.1160003E7</v>
      </c>
      <c r="I352" s="365" t="s">
        <v>488</v>
      </c>
      <c r="J352" s="365" t="s">
        <v>7</v>
      </c>
      <c r="K352" s="365" t="s">
        <v>84</v>
      </c>
      <c r="L352" s="374">
        <v>210000.0</v>
      </c>
      <c r="M352" s="374"/>
      <c r="N352" s="365" t="s">
        <v>1062</v>
      </c>
      <c r="O352" s="365" t="s">
        <v>110</v>
      </c>
      <c r="P352" s="376" t="s">
        <v>1569</v>
      </c>
      <c r="Q352" s="367"/>
    </row>
    <row r="353">
      <c r="A353" s="29">
        <v>2022.0</v>
      </c>
      <c r="B353" s="29" t="s">
        <v>623</v>
      </c>
      <c r="C353" s="13" t="str">
        <f>IFERROR(VLOOKUP(B353,'Regiões'!A:B,2,0),"")</f>
        <v>Planalto</v>
      </c>
      <c r="D353" s="29" t="s">
        <v>2247</v>
      </c>
      <c r="E353" s="32"/>
      <c r="F353" s="243"/>
      <c r="G353" s="245" t="s">
        <v>1237</v>
      </c>
      <c r="H353" s="35">
        <v>4.1160003E7</v>
      </c>
      <c r="I353" s="29" t="s">
        <v>1087</v>
      </c>
      <c r="J353" s="29" t="s">
        <v>7</v>
      </c>
      <c r="K353" s="29" t="s">
        <v>152</v>
      </c>
      <c r="L353" s="38">
        <v>210000.0</v>
      </c>
      <c r="M353" s="38"/>
      <c r="N353" s="29" t="s">
        <v>200</v>
      </c>
      <c r="O353" s="29" t="s">
        <v>2249</v>
      </c>
      <c r="P353" s="39"/>
      <c r="Q353" s="40"/>
    </row>
    <row r="354">
      <c r="A354" s="11">
        <v>2024.0</v>
      </c>
      <c r="B354" s="12" t="s">
        <v>239</v>
      </c>
      <c r="C354" s="13" t="str">
        <f>IFERROR(VLOOKUP(B354,'Regiões'!A:B,2,0),"")</f>
        <v>Metropolitana de Porto Alegre</v>
      </c>
      <c r="D354" s="13" t="s">
        <v>2250</v>
      </c>
      <c r="E354" s="15" t="str">
        <f>G354&amp;" de "&amp;B354</f>
        <v>Prefeitura Municipal de Novo Hamburgo</v>
      </c>
      <c r="F354" s="17"/>
      <c r="G354" s="18" t="s">
        <v>74</v>
      </c>
      <c r="H354" s="20">
        <v>4.1160002E7</v>
      </c>
      <c r="I354" s="11" t="s">
        <v>903</v>
      </c>
      <c r="J354" s="11" t="s">
        <v>7</v>
      </c>
      <c r="K354" s="21" t="s">
        <v>84</v>
      </c>
      <c r="L354" s="22">
        <v>210000.0</v>
      </c>
      <c r="M354" s="22"/>
      <c r="N354" s="13" t="s">
        <v>89</v>
      </c>
      <c r="O354" s="21"/>
      <c r="P354" s="23"/>
      <c r="Q354" s="24"/>
    </row>
    <row r="355">
      <c r="A355" s="64">
        <v>2021.0</v>
      </c>
      <c r="B355" s="64" t="s">
        <v>821</v>
      </c>
      <c r="C355" s="13" t="str">
        <f>IFERROR(VLOOKUP(B355,'Regiões'!A:B,2,0),"")</f>
        <v>Planalto</v>
      </c>
      <c r="D355" s="29" t="s">
        <v>2254</v>
      </c>
      <c r="E355" s="65" t="s">
        <v>1097</v>
      </c>
      <c r="F355" s="66"/>
      <c r="G355" s="64" t="s">
        <v>1097</v>
      </c>
      <c r="H355" s="67">
        <v>4.11660007E8</v>
      </c>
      <c r="I355" s="64" t="s">
        <v>151</v>
      </c>
      <c r="J355" s="64" t="s">
        <v>27</v>
      </c>
      <c r="K355" s="64" t="s">
        <v>152</v>
      </c>
      <c r="L355" s="68">
        <v>212000.06</v>
      </c>
      <c r="M355" s="68"/>
      <c r="N355" s="64" t="s">
        <v>155</v>
      </c>
      <c r="O355" s="64" t="s">
        <v>2255</v>
      </c>
      <c r="P355" s="77" t="s">
        <v>1113</v>
      </c>
      <c r="Q355" s="70"/>
    </row>
    <row r="356">
      <c r="A356" s="11">
        <v>2026.0</v>
      </c>
      <c r="B356" s="18" t="s">
        <v>849</v>
      </c>
      <c r="C356" s="13" t="str">
        <f>IFERROR(VLOOKUP(B356,'Regiões'!A:B,2,0),"")</f>
        <v>Encosta Superior do Nordeste</v>
      </c>
      <c r="D356" s="13" t="s">
        <v>2257</v>
      </c>
      <c r="E356" s="18" t="s">
        <v>849</v>
      </c>
      <c r="F356" s="17">
        <v>1.40975160001E13</v>
      </c>
      <c r="G356" s="18" t="s">
        <v>2258</v>
      </c>
      <c r="H356" s="20">
        <v>4.1160013E7</v>
      </c>
      <c r="I356" s="11" t="s">
        <v>2185</v>
      </c>
      <c r="J356" s="2" t="s">
        <v>7</v>
      </c>
      <c r="K356" s="21" t="s">
        <v>152</v>
      </c>
      <c r="L356" s="22">
        <v>213000.0</v>
      </c>
      <c r="M356" s="22"/>
      <c r="N356" s="11" t="s">
        <v>155</v>
      </c>
      <c r="O356" s="21"/>
      <c r="P356" s="23"/>
      <c r="Q356" s="24"/>
    </row>
    <row r="357">
      <c r="A357" s="11">
        <v>2025.0</v>
      </c>
      <c r="B357" s="18" t="s">
        <v>985</v>
      </c>
      <c r="C357" s="13" t="str">
        <f>IFERROR(VLOOKUP(B357,'Regiões'!A:B,2,0),"")</f>
        <v>Vale do Rio Pardo</v>
      </c>
      <c r="D357" s="13" t="s">
        <v>2260</v>
      </c>
      <c r="E357" s="15" t="s">
        <v>2261</v>
      </c>
      <c r="F357" s="17">
        <v>9.542752200018E13</v>
      </c>
      <c r="G357" s="12" t="s">
        <v>2261</v>
      </c>
      <c r="H357" s="293">
        <v>4.1160004E7</v>
      </c>
      <c r="I357" s="11" t="s">
        <v>6</v>
      </c>
      <c r="J357" s="11" t="s">
        <v>7</v>
      </c>
      <c r="K357" s="21" t="s">
        <v>152</v>
      </c>
      <c r="L357" s="298">
        <v>216400.0</v>
      </c>
      <c r="M357" s="298"/>
      <c r="N357" s="13" t="s">
        <v>89</v>
      </c>
      <c r="O357" s="21"/>
      <c r="P357" s="56" t="s">
        <v>2262</v>
      </c>
      <c r="Q357" s="24"/>
    </row>
    <row r="358">
      <c r="A358" s="47">
        <v>2021.0</v>
      </c>
      <c r="B358" s="230" t="s">
        <v>744</v>
      </c>
      <c r="C358" s="13" t="str">
        <f>IFERROR(VLOOKUP(B358,'Regiões'!A:B,2,0),"")</f>
        <v>Turismo da Serra</v>
      </c>
      <c r="D358" s="29" t="s">
        <v>749</v>
      </c>
      <c r="E358" s="49" t="s">
        <v>485</v>
      </c>
      <c r="F358" s="235"/>
      <c r="G358" s="230" t="s">
        <v>751</v>
      </c>
      <c r="H358" s="237">
        <v>4.1160002E7</v>
      </c>
      <c r="I358" s="47" t="s">
        <v>1087</v>
      </c>
      <c r="J358" s="47" t="s">
        <v>7</v>
      </c>
      <c r="K358" s="47" t="s">
        <v>152</v>
      </c>
      <c r="L358" s="52">
        <v>218250.0</v>
      </c>
      <c r="M358" s="52"/>
      <c r="N358" s="47" t="s">
        <v>1062</v>
      </c>
      <c r="O358" s="47" t="s">
        <v>110</v>
      </c>
      <c r="P358" s="384" t="s">
        <v>1841</v>
      </c>
      <c r="Q358" s="54"/>
    </row>
    <row r="359">
      <c r="A359" s="47">
        <v>2021.0</v>
      </c>
      <c r="B359" s="230" t="s">
        <v>495</v>
      </c>
      <c r="C359" s="13" t="str">
        <f>IFERROR(VLOOKUP(B359,'Regiões'!A:B,2,0),"")</f>
        <v>Celeiro do Rio Grande</v>
      </c>
      <c r="D359" s="29" t="s">
        <v>2267</v>
      </c>
      <c r="E359" s="49" t="s">
        <v>485</v>
      </c>
      <c r="F359" s="235"/>
      <c r="G359" s="230" t="s">
        <v>1824</v>
      </c>
      <c r="H359" s="237">
        <v>4.1160002E7</v>
      </c>
      <c r="I359" s="47" t="s">
        <v>1087</v>
      </c>
      <c r="J359" s="47" t="s">
        <v>7</v>
      </c>
      <c r="K359" s="47" t="s">
        <v>152</v>
      </c>
      <c r="L359" s="52">
        <v>219347.0</v>
      </c>
      <c r="M359" s="52"/>
      <c r="N359" s="47" t="s">
        <v>1062</v>
      </c>
      <c r="O359" s="47" t="s">
        <v>110</v>
      </c>
      <c r="P359" s="384" t="s">
        <v>1828</v>
      </c>
      <c r="Q359" s="54"/>
    </row>
    <row r="360">
      <c r="A360" s="13">
        <v>2023.0</v>
      </c>
      <c r="B360" s="79" t="s">
        <v>70</v>
      </c>
      <c r="C360" s="13" t="str">
        <f>IFERROR(VLOOKUP(B360,'Regiões'!A:B,2,0),"")</f>
        <v>Vale dos Sinos</v>
      </c>
      <c r="D360" s="13" t="s">
        <v>2270</v>
      </c>
      <c r="E360" s="80" t="s">
        <v>220</v>
      </c>
      <c r="F360" s="81"/>
      <c r="G360" s="79" t="s">
        <v>2271</v>
      </c>
      <c r="H360" s="82"/>
      <c r="I360" s="13" t="s">
        <v>1307</v>
      </c>
      <c r="J360" s="13" t="str">
        <f>LEFT(I360,FIND(" (",I360) - 1)</f>
        <v>Saúde</v>
      </c>
      <c r="K360" s="13" t="s">
        <v>152</v>
      </c>
      <c r="L360" s="83">
        <v>220400.0</v>
      </c>
      <c r="M360" s="83"/>
      <c r="N360" s="13" t="s">
        <v>89</v>
      </c>
      <c r="O360" s="13" t="s">
        <v>265</v>
      </c>
      <c r="P360" s="80" t="s">
        <v>109</v>
      </c>
      <c r="Q360" s="79" t="s">
        <v>2274</v>
      </c>
    </row>
    <row r="361">
      <c r="A361" s="29">
        <v>2020.0</v>
      </c>
      <c r="B361" s="29" t="s">
        <v>1499</v>
      </c>
      <c r="C361" s="13" t="str">
        <f>IFERROR(VLOOKUP(B361,'Regiões'!A:B,2,0),"")</f>
        <v/>
      </c>
      <c r="D361" s="29" t="s">
        <v>1726</v>
      </c>
      <c r="E361" s="32" t="s">
        <v>1065</v>
      </c>
      <c r="F361" s="479"/>
      <c r="G361" s="481" t="s">
        <v>1508</v>
      </c>
      <c r="H361" s="45">
        <v>4.1160011E7</v>
      </c>
      <c r="I361" s="29" t="s">
        <v>151</v>
      </c>
      <c r="J361" s="29" t="s">
        <v>27</v>
      </c>
      <c r="K361" s="29" t="s">
        <v>152</v>
      </c>
      <c r="L361" s="37">
        <v>224845.32</v>
      </c>
      <c r="M361" s="37" t="s">
        <v>2275</v>
      </c>
      <c r="N361" s="29" t="s">
        <v>155</v>
      </c>
      <c r="O361" s="29" t="s">
        <v>1512</v>
      </c>
      <c r="P361" s="109" t="s">
        <v>1513</v>
      </c>
      <c r="Q361" s="40"/>
    </row>
    <row r="362">
      <c r="A362" s="11">
        <v>2025.0</v>
      </c>
      <c r="B362" s="18" t="s">
        <v>891</v>
      </c>
      <c r="C362" s="13" t="str">
        <f>IFERROR(VLOOKUP(B362,'Regiões'!A:B,2,0),"")</f>
        <v>Fronteira Noroeste</v>
      </c>
      <c r="D362" s="13" t="s">
        <v>2282</v>
      </c>
      <c r="E362" s="15" t="s">
        <v>2283</v>
      </c>
      <c r="F362" s="17">
        <v>9.6418025000189E13</v>
      </c>
      <c r="G362" s="12" t="s">
        <v>2283</v>
      </c>
      <c r="H362" s="72">
        <v>4.1160004E7</v>
      </c>
      <c r="I362" s="11" t="s">
        <v>6</v>
      </c>
      <c r="J362" s="11" t="s">
        <v>7</v>
      </c>
      <c r="K362" s="21" t="s">
        <v>152</v>
      </c>
      <c r="L362" s="309">
        <v>225000.0</v>
      </c>
      <c r="M362" s="309"/>
      <c r="N362" s="13" t="s">
        <v>89</v>
      </c>
      <c r="O362" s="21"/>
      <c r="P362" s="312" t="s">
        <v>2284</v>
      </c>
      <c r="Q362" s="24"/>
    </row>
    <row r="363">
      <c r="A363" s="11">
        <v>2025.0</v>
      </c>
      <c r="B363" s="18" t="s">
        <v>5</v>
      </c>
      <c r="C363" s="13" t="str">
        <f>IFERROR(VLOOKUP(B363,'Regiões'!A:B,2,0),"")</f>
        <v>Centro Serra</v>
      </c>
      <c r="D363" s="13" t="s">
        <v>2286</v>
      </c>
      <c r="E363" s="15" t="s">
        <v>2287</v>
      </c>
      <c r="F363" s="17">
        <v>1.213771500017E13</v>
      </c>
      <c r="G363" s="18" t="s">
        <v>74</v>
      </c>
      <c r="H363" s="293">
        <v>4.1160003E7</v>
      </c>
      <c r="I363" s="11" t="s">
        <v>9</v>
      </c>
      <c r="J363" s="11" t="s">
        <v>7</v>
      </c>
      <c r="K363" s="21" t="s">
        <v>152</v>
      </c>
      <c r="L363" s="298">
        <v>226169.0</v>
      </c>
      <c r="M363" s="298"/>
      <c r="N363" s="13" t="s">
        <v>89</v>
      </c>
      <c r="O363" s="21"/>
      <c r="P363" s="402" t="s">
        <v>2288</v>
      </c>
      <c r="Q363" s="24"/>
    </row>
    <row r="364">
      <c r="A364" s="11">
        <v>2024.0</v>
      </c>
      <c r="B364" s="18" t="s">
        <v>60</v>
      </c>
      <c r="C364" s="13" t="str">
        <f>IFERROR(VLOOKUP(B364,'Regiões'!A:B,2,0),"")</f>
        <v>Encosta Superior do Nordeste</v>
      </c>
      <c r="D364" s="13" t="s">
        <v>2289</v>
      </c>
      <c r="E364" s="15" t="str">
        <f>G364&amp;" de "&amp;B364</f>
        <v>Prefeitura Municipal de Cotiporã</v>
      </c>
      <c r="F364" s="17"/>
      <c r="G364" s="18" t="s">
        <v>74</v>
      </c>
      <c r="H364" s="20">
        <v>4.1160001E7</v>
      </c>
      <c r="I364" s="11" t="s">
        <v>334</v>
      </c>
      <c r="J364" s="11" t="s">
        <v>7</v>
      </c>
      <c r="K364" s="21" t="s">
        <v>84</v>
      </c>
      <c r="L364" s="22">
        <v>226199.0</v>
      </c>
      <c r="M364" s="22"/>
      <c r="N364" s="13" t="s">
        <v>89</v>
      </c>
      <c r="O364" s="21"/>
      <c r="P364" s="23"/>
      <c r="Q364" s="24"/>
    </row>
    <row r="365">
      <c r="A365" s="11">
        <v>2025.0</v>
      </c>
      <c r="B365" s="18" t="s">
        <v>926</v>
      </c>
      <c r="C365" s="13" t="str">
        <f>IFERROR(VLOOKUP(B365,'Regiões'!A:B,2,0),"")</f>
        <v>Metropolitana de Porto Alegre</v>
      </c>
      <c r="D365" s="13" t="s">
        <v>2291</v>
      </c>
      <c r="E365" s="15" t="s">
        <v>2292</v>
      </c>
      <c r="F365" s="17">
        <v>1.1413810000196E13</v>
      </c>
      <c r="G365" s="18" t="s">
        <v>74</v>
      </c>
      <c r="H365" s="72">
        <v>4.1160004E7</v>
      </c>
      <c r="I365" s="11" t="s">
        <v>6</v>
      </c>
      <c r="J365" s="11" t="s">
        <v>7</v>
      </c>
      <c r="K365" s="21" t="s">
        <v>152</v>
      </c>
      <c r="L365" s="309">
        <v>230000.0</v>
      </c>
      <c r="M365" s="309"/>
      <c r="N365" s="13" t="s">
        <v>89</v>
      </c>
      <c r="O365" s="21"/>
      <c r="P365" s="312" t="s">
        <v>2294</v>
      </c>
      <c r="Q365" s="24"/>
    </row>
    <row r="366">
      <c r="A366" s="47">
        <v>2022.0</v>
      </c>
      <c r="B366" s="695" t="s">
        <v>47</v>
      </c>
      <c r="C366" s="13" t="str">
        <f>IFERROR(VLOOKUP(B366,'Regiões'!A:B,2,0),"")</f>
        <v>Metropolitana de Porto Alegre</v>
      </c>
      <c r="D366" s="29" t="s">
        <v>2296</v>
      </c>
      <c r="E366" s="53" t="s">
        <v>1080</v>
      </c>
      <c r="F366" s="50"/>
      <c r="G366" s="47" t="s">
        <v>1065</v>
      </c>
      <c r="H366" s="237">
        <v>4.1160001E7</v>
      </c>
      <c r="I366" s="47" t="s">
        <v>27</v>
      </c>
      <c r="J366" s="47" t="s">
        <v>27</v>
      </c>
      <c r="K366" s="47" t="s">
        <v>152</v>
      </c>
      <c r="L366" s="696">
        <v>234954.25</v>
      </c>
      <c r="M366" s="696"/>
      <c r="N366" s="47" t="s">
        <v>200</v>
      </c>
      <c r="O366" s="47" t="s">
        <v>265</v>
      </c>
      <c r="P366" s="697" t="s">
        <v>1227</v>
      </c>
      <c r="Q366" s="54"/>
    </row>
    <row r="367">
      <c r="A367" s="47">
        <v>2022.0</v>
      </c>
      <c r="B367" s="698" t="s">
        <v>180</v>
      </c>
      <c r="C367" s="13" t="str">
        <f>IFERROR(VLOOKUP(B367,'Regiões'!A:B,2,0),"")</f>
        <v>Metropolitana de Porto Alegre</v>
      </c>
      <c r="D367" s="29" t="s">
        <v>2301</v>
      </c>
      <c r="E367" s="53" t="s">
        <v>1080</v>
      </c>
      <c r="F367" s="699"/>
      <c r="G367" s="700" t="s">
        <v>2302</v>
      </c>
      <c r="H367" s="237">
        <v>4.1160001E7</v>
      </c>
      <c r="I367" s="47" t="s">
        <v>27</v>
      </c>
      <c r="J367" s="47" t="s">
        <v>27</v>
      </c>
      <c r="K367" s="47" t="s">
        <v>152</v>
      </c>
      <c r="L367" s="696">
        <v>234954.25</v>
      </c>
      <c r="M367" s="696"/>
      <c r="N367" s="47" t="s">
        <v>200</v>
      </c>
      <c r="O367" s="47" t="s">
        <v>110</v>
      </c>
      <c r="P367" s="697" t="s">
        <v>1227</v>
      </c>
      <c r="Q367" s="54"/>
    </row>
    <row r="368">
      <c r="A368" s="47">
        <v>2022.0</v>
      </c>
      <c r="B368" s="695" t="s">
        <v>188</v>
      </c>
      <c r="C368" s="13" t="str">
        <f>IFERROR(VLOOKUP(B368,'Regiões'!A:B,2,0),"")</f>
        <v>Metropolitana de Porto Alegre</v>
      </c>
      <c r="D368" s="29" t="s">
        <v>2304</v>
      </c>
      <c r="E368" s="53" t="s">
        <v>1080</v>
      </c>
      <c r="F368" s="699"/>
      <c r="G368" s="700" t="s">
        <v>139</v>
      </c>
      <c r="H368" s="237">
        <v>4.1160001E7</v>
      </c>
      <c r="I368" s="47" t="s">
        <v>27</v>
      </c>
      <c r="J368" s="47" t="s">
        <v>27</v>
      </c>
      <c r="K368" s="47" t="s">
        <v>152</v>
      </c>
      <c r="L368" s="696">
        <v>234954.25</v>
      </c>
      <c r="M368" s="696"/>
      <c r="N368" s="47" t="s">
        <v>200</v>
      </c>
      <c r="O368" s="47" t="s">
        <v>110</v>
      </c>
      <c r="P368" s="697" t="s">
        <v>1227</v>
      </c>
      <c r="Q368" s="54"/>
    </row>
    <row r="369">
      <c r="A369" s="47">
        <v>2022.0</v>
      </c>
      <c r="B369" s="698" t="s">
        <v>127</v>
      </c>
      <c r="C369" s="13" t="str">
        <f>IFERROR(VLOOKUP(B369,'Regiões'!A:B,2,0),"")</f>
        <v>Metropolitana de Porto Alegre</v>
      </c>
      <c r="D369" s="29" t="s">
        <v>2309</v>
      </c>
      <c r="E369" s="53" t="s">
        <v>1080</v>
      </c>
      <c r="F369" s="699"/>
      <c r="G369" s="700" t="s">
        <v>139</v>
      </c>
      <c r="H369" s="237">
        <v>4.1160001E7</v>
      </c>
      <c r="I369" s="47" t="s">
        <v>27</v>
      </c>
      <c r="J369" s="47" t="s">
        <v>27</v>
      </c>
      <c r="K369" s="47" t="s">
        <v>152</v>
      </c>
      <c r="L369" s="696">
        <v>234954.25</v>
      </c>
      <c r="M369" s="696"/>
      <c r="N369" s="47" t="s">
        <v>200</v>
      </c>
      <c r="O369" s="47" t="s">
        <v>265</v>
      </c>
      <c r="P369" s="697" t="s">
        <v>1227</v>
      </c>
      <c r="Q369" s="54"/>
    </row>
    <row r="370">
      <c r="A370" s="47">
        <v>2022.0</v>
      </c>
      <c r="B370" s="711" t="s">
        <v>127</v>
      </c>
      <c r="C370" s="13" t="str">
        <f>IFERROR(VLOOKUP(B370,'Regiões'!A:B,2,0),"")</f>
        <v>Metropolitana de Porto Alegre</v>
      </c>
      <c r="D370" s="29" t="s">
        <v>2310</v>
      </c>
      <c r="E370" s="53" t="s">
        <v>1080</v>
      </c>
      <c r="F370" s="57"/>
      <c r="G370" s="58" t="s">
        <v>1746</v>
      </c>
      <c r="H370" s="237">
        <v>4.1160001E7</v>
      </c>
      <c r="I370" s="47" t="s">
        <v>27</v>
      </c>
      <c r="J370" s="47" t="s">
        <v>27</v>
      </c>
      <c r="K370" s="47" t="s">
        <v>152</v>
      </c>
      <c r="L370" s="713">
        <v>234954.25</v>
      </c>
      <c r="M370" s="713"/>
      <c r="N370" s="47" t="s">
        <v>200</v>
      </c>
      <c r="O370" s="29" t="s">
        <v>265</v>
      </c>
      <c r="P370" s="714" t="s">
        <v>1227</v>
      </c>
      <c r="Q370" s="54"/>
    </row>
    <row r="371">
      <c r="A371" s="47">
        <v>2022.0</v>
      </c>
      <c r="B371" s="698" t="s">
        <v>520</v>
      </c>
      <c r="C371" s="13" t="str">
        <f>IFERROR(VLOOKUP(B371,'Regiões'!A:B,2,0),"")</f>
        <v>Vale dos Sinos</v>
      </c>
      <c r="D371" s="29" t="s">
        <v>2311</v>
      </c>
      <c r="E371" s="53" t="s">
        <v>1080</v>
      </c>
      <c r="F371" s="699"/>
      <c r="G371" s="700" t="s">
        <v>1849</v>
      </c>
      <c r="H371" s="237">
        <v>4.1160001E7</v>
      </c>
      <c r="I371" s="47" t="s">
        <v>27</v>
      </c>
      <c r="J371" s="47" t="s">
        <v>27</v>
      </c>
      <c r="K371" s="47" t="s">
        <v>152</v>
      </c>
      <c r="L371" s="696">
        <v>234954.25</v>
      </c>
      <c r="M371" s="696"/>
      <c r="N371" s="47" t="s">
        <v>200</v>
      </c>
      <c r="O371" s="47" t="s">
        <v>110</v>
      </c>
      <c r="P371" s="697" t="s">
        <v>1227</v>
      </c>
      <c r="Q371" s="54"/>
    </row>
    <row r="372">
      <c r="A372" s="47">
        <v>2022.0</v>
      </c>
      <c r="B372" s="695" t="s">
        <v>992</v>
      </c>
      <c r="C372" s="13" t="str">
        <f>IFERROR(VLOOKUP(B372,'Regiões'!A:B,2,0),"")</f>
        <v>Metropolitana de Porto Alegre</v>
      </c>
      <c r="D372" s="29" t="s">
        <v>2312</v>
      </c>
      <c r="E372" s="697" t="s">
        <v>1065</v>
      </c>
      <c r="F372" s="699"/>
      <c r="G372" s="700" t="s">
        <v>1080</v>
      </c>
      <c r="H372" s="237">
        <v>4.1160001E7</v>
      </c>
      <c r="I372" s="47" t="s">
        <v>151</v>
      </c>
      <c r="J372" s="47" t="s">
        <v>27</v>
      </c>
      <c r="K372" s="47" t="s">
        <v>152</v>
      </c>
      <c r="L372" s="696">
        <v>234954.25</v>
      </c>
      <c r="M372" s="696"/>
      <c r="N372" s="47" t="s">
        <v>2314</v>
      </c>
      <c r="O372" s="47" t="s">
        <v>1082</v>
      </c>
      <c r="P372" s="697" t="s">
        <v>1227</v>
      </c>
      <c r="Q372" s="54"/>
    </row>
    <row r="373">
      <c r="A373" s="13">
        <v>2023.0</v>
      </c>
      <c r="B373" s="79" t="s">
        <v>797</v>
      </c>
      <c r="C373" s="13" t="str">
        <f>IFERROR(VLOOKUP(B373,'Regiões'!A:B,2,0),"")</f>
        <v>Turismo da Serra</v>
      </c>
      <c r="D373" s="13" t="s">
        <v>801</v>
      </c>
      <c r="E373" s="80" t="s">
        <v>220</v>
      </c>
      <c r="F373" s="81"/>
      <c r="G373" s="79" t="s">
        <v>1440</v>
      </c>
      <c r="H373" s="82">
        <v>4.1160001E7</v>
      </c>
      <c r="I373" s="13" t="s">
        <v>958</v>
      </c>
      <c r="J373" s="13" t="str">
        <f>LEFT(I373,FIND(" (",I373) - 1)</f>
        <v>Segurança Pública</v>
      </c>
      <c r="K373" s="13" t="s">
        <v>152</v>
      </c>
      <c r="L373" s="83">
        <v>235000.0</v>
      </c>
      <c r="M373" s="83"/>
      <c r="N373" s="13" t="s">
        <v>89</v>
      </c>
      <c r="O373" s="13" t="s">
        <v>265</v>
      </c>
      <c r="P373" s="80" t="s">
        <v>1009</v>
      </c>
      <c r="Q373" s="79"/>
    </row>
    <row r="374">
      <c r="A374" s="64">
        <v>2021.0</v>
      </c>
      <c r="B374" s="64" t="s">
        <v>796</v>
      </c>
      <c r="C374" s="13" t="str">
        <f>IFERROR(VLOOKUP(B374,'Regiões'!A:B,2,0),"")</f>
        <v>Encosta Superior do Nordeste</v>
      </c>
      <c r="D374" s="29" t="s">
        <v>2321</v>
      </c>
      <c r="E374" s="65" t="s">
        <v>14</v>
      </c>
      <c r="F374" s="66"/>
      <c r="G374" s="64" t="s">
        <v>74</v>
      </c>
      <c r="H374" s="67">
        <v>4.1160004E7</v>
      </c>
      <c r="I374" s="64" t="s">
        <v>20</v>
      </c>
      <c r="J374" s="29" t="s">
        <v>257</v>
      </c>
      <c r="K374" s="64" t="s">
        <v>152</v>
      </c>
      <c r="L374" s="68">
        <v>238856.0</v>
      </c>
      <c r="M374" s="68"/>
      <c r="N374" s="64" t="s">
        <v>490</v>
      </c>
      <c r="O374" s="723" t="s">
        <v>110</v>
      </c>
      <c r="P374" s="77" t="s">
        <v>1660</v>
      </c>
      <c r="Q374" s="70"/>
    </row>
    <row r="375">
      <c r="A375" s="13">
        <v>2023.0</v>
      </c>
      <c r="B375" s="55" t="s">
        <v>298</v>
      </c>
      <c r="C375" s="13" t="str">
        <f>IFERROR(VLOOKUP(B375,'Regiões'!A:B,2,0),"")</f>
        <v>Vale do Paranhana</v>
      </c>
      <c r="D375" s="13" t="s">
        <v>2032</v>
      </c>
      <c r="E375" s="56" t="s">
        <v>485</v>
      </c>
      <c r="F375" s="358"/>
      <c r="G375" s="55" t="s">
        <v>2322</v>
      </c>
      <c r="H375" s="59"/>
      <c r="I375" s="13" t="s">
        <v>1307</v>
      </c>
      <c r="J375" s="13" t="str">
        <f>LEFT(I375,FIND(" (",I375) - 1)</f>
        <v>Saúde</v>
      </c>
      <c r="K375" s="13" t="s">
        <v>152</v>
      </c>
      <c r="L375" s="393">
        <v>240000.0</v>
      </c>
      <c r="M375" s="393"/>
      <c r="N375" s="13" t="s">
        <v>89</v>
      </c>
      <c r="O375" s="13" t="s">
        <v>265</v>
      </c>
      <c r="P375" s="61" t="s">
        <v>2323</v>
      </c>
      <c r="Q375" s="62"/>
    </row>
    <row r="376">
      <c r="A376" s="11">
        <v>2024.0</v>
      </c>
      <c r="B376" s="18" t="s">
        <v>159</v>
      </c>
      <c r="C376" s="13" t="str">
        <f>IFERROR(VLOOKUP(B376,'Regiões'!A:B,2,0),"")</f>
        <v>Vale do Rio Pardo</v>
      </c>
      <c r="D376" s="13" t="s">
        <v>2324</v>
      </c>
      <c r="E376" s="15" t="str">
        <f>G376&amp;" de "&amp;B376</f>
        <v>Prefeitura Municipal de Candelária</v>
      </c>
      <c r="F376" s="17"/>
      <c r="G376" s="18" t="s">
        <v>74</v>
      </c>
      <c r="H376" s="20">
        <v>4.1160002E7</v>
      </c>
      <c r="I376" s="11" t="s">
        <v>903</v>
      </c>
      <c r="J376" s="11" t="s">
        <v>7</v>
      </c>
      <c r="K376" s="21" t="s">
        <v>84</v>
      </c>
      <c r="L376" s="22">
        <v>240000.0</v>
      </c>
      <c r="M376" s="22"/>
      <c r="N376" s="13" t="s">
        <v>89</v>
      </c>
      <c r="O376" s="21"/>
      <c r="P376" s="23"/>
      <c r="Q376" s="24"/>
    </row>
    <row r="377">
      <c r="A377" s="11">
        <v>2025.0</v>
      </c>
      <c r="B377" s="18" t="s">
        <v>846</v>
      </c>
      <c r="C377" s="13" t="str">
        <f>IFERROR(VLOOKUP(B377,'Regiões'!A:B,2,0),"")</f>
        <v>Vale do Taquari</v>
      </c>
      <c r="D377" s="13" t="s">
        <v>2325</v>
      </c>
      <c r="E377" s="15" t="s">
        <v>2326</v>
      </c>
      <c r="F377" s="17">
        <v>1.1649013000102E13</v>
      </c>
      <c r="G377" s="18" t="s">
        <v>74</v>
      </c>
      <c r="H377" s="293">
        <v>4.1160003E7</v>
      </c>
      <c r="I377" s="11" t="s">
        <v>9</v>
      </c>
      <c r="J377" s="11" t="s">
        <v>7</v>
      </c>
      <c r="K377" s="21" t="s">
        <v>152</v>
      </c>
      <c r="L377" s="298">
        <v>240000.0</v>
      </c>
      <c r="M377" s="298"/>
      <c r="N377" s="13" t="s">
        <v>89</v>
      </c>
      <c r="O377" s="21"/>
      <c r="P377" s="402" t="s">
        <v>2327</v>
      </c>
      <c r="Q377" s="24"/>
    </row>
    <row r="378">
      <c r="A378" s="11">
        <v>2025.0</v>
      </c>
      <c r="B378" s="18" t="s">
        <v>846</v>
      </c>
      <c r="C378" s="13" t="str">
        <f>IFERROR(VLOOKUP(B378,'Regiões'!A:B,2,0),"")</f>
        <v>Vale do Taquari</v>
      </c>
      <c r="D378" s="13" t="s">
        <v>2329</v>
      </c>
      <c r="E378" s="15" t="s">
        <v>2326</v>
      </c>
      <c r="F378" s="17">
        <v>1.1649013000102E13</v>
      </c>
      <c r="G378" s="18" t="s">
        <v>74</v>
      </c>
      <c r="H378" s="72">
        <v>4.1160002E7</v>
      </c>
      <c r="I378" s="11" t="s">
        <v>237</v>
      </c>
      <c r="J378" s="11" t="s">
        <v>7</v>
      </c>
      <c r="K378" s="21" t="s">
        <v>84</v>
      </c>
      <c r="L378" s="73">
        <v>240000.0</v>
      </c>
      <c r="M378" s="73"/>
      <c r="N378" s="13" t="s">
        <v>89</v>
      </c>
      <c r="O378" s="21"/>
      <c r="P378" s="61" t="s">
        <v>1426</v>
      </c>
      <c r="Q378" s="24"/>
    </row>
    <row r="379">
      <c r="A379" s="11">
        <v>2025.0</v>
      </c>
      <c r="B379" s="18" t="s">
        <v>127</v>
      </c>
      <c r="C379" s="13" t="str">
        <f>IFERROR(VLOOKUP(B379,'Regiões'!A:B,2,0),"")</f>
        <v>Metropolitana de Porto Alegre</v>
      </c>
      <c r="D379" s="13"/>
      <c r="E379" s="15" t="s">
        <v>2331</v>
      </c>
      <c r="F379" s="17">
        <v>8.7182846000178E13</v>
      </c>
      <c r="G379" s="18" t="s">
        <v>74</v>
      </c>
      <c r="H379" s="72">
        <v>4.1160002E7</v>
      </c>
      <c r="I379" s="11" t="s">
        <v>237</v>
      </c>
      <c r="J379" s="11" t="s">
        <v>7</v>
      </c>
      <c r="K379" s="21" t="s">
        <v>84</v>
      </c>
      <c r="L379" s="73">
        <v>241800.0</v>
      </c>
      <c r="M379" s="73"/>
      <c r="N379" s="13" t="s">
        <v>89</v>
      </c>
      <c r="O379" s="21"/>
      <c r="P379" s="61" t="s">
        <v>1426</v>
      </c>
      <c r="Q379" s="24"/>
    </row>
    <row r="380">
      <c r="A380" s="11">
        <v>2026.0</v>
      </c>
      <c r="B380" s="18" t="s">
        <v>344</v>
      </c>
      <c r="C380" s="13" t="str">
        <f>IFERROR(VLOOKUP(B380,'Regiões'!A:B,2,0),"")</f>
        <v>Nordeste Riograndense</v>
      </c>
      <c r="D380" s="13" t="s">
        <v>2332</v>
      </c>
      <c r="E380" s="25" t="s">
        <v>2333</v>
      </c>
      <c r="F380" s="17">
        <v>8.8534748000115E13</v>
      </c>
      <c r="G380" s="18" t="s">
        <v>2334</v>
      </c>
      <c r="H380" s="20">
        <v>4.1160003E7</v>
      </c>
      <c r="I380" s="11" t="s">
        <v>2162</v>
      </c>
      <c r="J380" s="2" t="s">
        <v>7</v>
      </c>
      <c r="K380" s="21" t="s">
        <v>152</v>
      </c>
      <c r="L380" s="22">
        <v>242671.0</v>
      </c>
      <c r="M380" s="22"/>
      <c r="N380" s="11" t="s">
        <v>155</v>
      </c>
      <c r="O380" s="21"/>
      <c r="P380" s="23"/>
      <c r="Q380" s="24"/>
    </row>
    <row r="381">
      <c r="A381" s="29">
        <v>2021.0</v>
      </c>
      <c r="B381" s="41" t="s">
        <v>410</v>
      </c>
      <c r="C381" s="13" t="str">
        <f>IFERROR(VLOOKUP(B381,'Regiões'!A:B,2,0),"")</f>
        <v>Alta da Serra do Botucarai</v>
      </c>
      <c r="D381" s="29" t="s">
        <v>2335</v>
      </c>
      <c r="E381" s="65" t="s">
        <v>14</v>
      </c>
      <c r="F381" s="42"/>
      <c r="G381" s="43" t="s">
        <v>74</v>
      </c>
      <c r="H381" s="35">
        <v>4.1160002E7</v>
      </c>
      <c r="I381" s="29" t="s">
        <v>1087</v>
      </c>
      <c r="J381" s="29" t="s">
        <v>7</v>
      </c>
      <c r="K381" s="29" t="s">
        <v>152</v>
      </c>
      <c r="L381" s="37">
        <v>245000.0</v>
      </c>
      <c r="M381" s="37"/>
      <c r="N381" s="29" t="s">
        <v>1062</v>
      </c>
      <c r="O381" s="29" t="s">
        <v>2336</v>
      </c>
      <c r="P381" s="46" t="s">
        <v>1304</v>
      </c>
      <c r="Q381" s="40"/>
    </row>
    <row r="382">
      <c r="A382" s="334">
        <v>2022.0</v>
      </c>
      <c r="B382" s="334" t="s">
        <v>355</v>
      </c>
      <c r="C382" s="334" t="str">
        <f>IFERROR(VLOOKUP(B382,'Regiões'!A:B,2,0),"")</f>
        <v>Centro do Estado</v>
      </c>
      <c r="D382" s="334" t="s">
        <v>2337</v>
      </c>
      <c r="E382" s="337" t="s">
        <v>485</v>
      </c>
      <c r="F382" s="420"/>
      <c r="G382" s="422" t="s">
        <v>1266</v>
      </c>
      <c r="H382" s="343">
        <v>4.1160003E7</v>
      </c>
      <c r="I382" s="334" t="s">
        <v>1087</v>
      </c>
      <c r="J382" s="334" t="s">
        <v>7</v>
      </c>
      <c r="K382" s="334" t="s">
        <v>152</v>
      </c>
      <c r="L382" s="345">
        <v>249303.0</v>
      </c>
      <c r="M382" s="345"/>
      <c r="N382" s="334" t="s">
        <v>200</v>
      </c>
      <c r="O382" s="724" t="s">
        <v>2338</v>
      </c>
      <c r="P382" s="347" t="s">
        <v>1804</v>
      </c>
      <c r="Q382" s="348"/>
    </row>
    <row r="383">
      <c r="A383" s="13">
        <v>2023.0</v>
      </c>
      <c r="B383" s="79" t="s">
        <v>353</v>
      </c>
      <c r="C383" s="13" t="str">
        <f>IFERROR(VLOOKUP(B383,'Regiões'!A:B,2,0),"")</f>
        <v>Encosta Superior do Nordeste</v>
      </c>
      <c r="D383" s="13" t="s">
        <v>2340</v>
      </c>
      <c r="E383" s="80" t="s">
        <v>220</v>
      </c>
      <c r="F383" s="81"/>
      <c r="G383" s="79" t="s">
        <v>2341</v>
      </c>
      <c r="H383" s="82"/>
      <c r="I383" s="13" t="s">
        <v>1307</v>
      </c>
      <c r="J383" s="13" t="str">
        <f>LEFT(I383,FIND(" (",I383) - 1)</f>
        <v>Saúde</v>
      </c>
      <c r="K383" s="13" t="s">
        <v>152</v>
      </c>
      <c r="L383" s="83">
        <v>249320.0</v>
      </c>
      <c r="M383" s="83"/>
      <c r="N383" s="13" t="s">
        <v>89</v>
      </c>
      <c r="O383" s="13" t="s">
        <v>265</v>
      </c>
      <c r="P383" s="80" t="s">
        <v>358</v>
      </c>
      <c r="Q383" s="79"/>
    </row>
    <row r="384">
      <c r="A384" s="11">
        <v>2024.0</v>
      </c>
      <c r="B384" s="12" t="s">
        <v>624</v>
      </c>
      <c r="C384" s="13" t="str">
        <f>IFERROR(VLOOKUP(B384,'Regiões'!A:B,2,0),"")</f>
        <v>Metropolitana de Porto Alegre</v>
      </c>
      <c r="D384" s="13" t="s">
        <v>2345</v>
      </c>
      <c r="E384" s="15" t="str">
        <f>G384&amp;" de "&amp;B384</f>
        <v>Prefeitura Municipal de Eldorado do Sul</v>
      </c>
      <c r="F384" s="17"/>
      <c r="G384" s="18" t="s">
        <v>74</v>
      </c>
      <c r="H384" s="20">
        <v>4.1160003E7</v>
      </c>
      <c r="I384" s="11" t="s">
        <v>1724</v>
      </c>
      <c r="J384" s="11" t="s">
        <v>7</v>
      </c>
      <c r="K384" s="21" t="s">
        <v>152</v>
      </c>
      <c r="L384" s="22">
        <v>249828.0</v>
      </c>
      <c r="M384" s="22"/>
      <c r="N384" s="13" t="s">
        <v>89</v>
      </c>
      <c r="O384" s="21"/>
      <c r="P384" s="23"/>
      <c r="Q384" s="24"/>
    </row>
    <row r="385">
      <c r="A385" s="64">
        <v>2019.0</v>
      </c>
      <c r="B385" s="64" t="s">
        <v>191</v>
      </c>
      <c r="C385" s="13" t="str">
        <f>IFERROR(VLOOKUP(B385,'Regiões'!A:B,2,0),"")</f>
        <v>Vale do Paranhana</v>
      </c>
      <c r="D385" s="29" t="s">
        <v>604</v>
      </c>
      <c r="E385" s="65" t="s">
        <v>485</v>
      </c>
      <c r="F385" s="66"/>
      <c r="G385" s="64" t="s">
        <v>606</v>
      </c>
      <c r="H385" s="71">
        <v>7.1220009E7</v>
      </c>
      <c r="I385" s="64" t="s">
        <v>488</v>
      </c>
      <c r="J385" s="64" t="s">
        <v>7</v>
      </c>
      <c r="K385" s="64" t="s">
        <v>84</v>
      </c>
      <c r="L385" s="68">
        <v>250000.0</v>
      </c>
      <c r="M385" s="68"/>
      <c r="N385" s="64" t="s">
        <v>389</v>
      </c>
      <c r="O385" s="64" t="s">
        <v>110</v>
      </c>
      <c r="P385" s="65" t="s">
        <v>1076</v>
      </c>
      <c r="Q385" s="70" t="s">
        <v>1606</v>
      </c>
    </row>
    <row r="386">
      <c r="A386" s="64">
        <v>2019.0</v>
      </c>
      <c r="B386" s="64" t="s">
        <v>198</v>
      </c>
      <c r="C386" s="13" t="str">
        <f>IFERROR(VLOOKUP(B386,'Regiões'!A:B,2,0),"")</f>
        <v>Vale dos Sinos</v>
      </c>
      <c r="D386" s="29" t="s">
        <v>2350</v>
      </c>
      <c r="E386" s="65" t="s">
        <v>485</v>
      </c>
      <c r="F386" s="66"/>
      <c r="G386" s="64" t="s">
        <v>1610</v>
      </c>
      <c r="H386" s="71">
        <v>7.1220009E7</v>
      </c>
      <c r="I386" s="64" t="s">
        <v>488</v>
      </c>
      <c r="J386" s="64" t="s">
        <v>7</v>
      </c>
      <c r="K386" s="64" t="s">
        <v>84</v>
      </c>
      <c r="L386" s="68">
        <v>250000.0</v>
      </c>
      <c r="M386" s="68"/>
      <c r="N386" s="64" t="s">
        <v>389</v>
      </c>
      <c r="O386" s="64" t="s">
        <v>110</v>
      </c>
      <c r="P386" s="65" t="s">
        <v>1076</v>
      </c>
      <c r="Q386" s="75"/>
    </row>
    <row r="387">
      <c r="A387" s="64">
        <v>2019.0</v>
      </c>
      <c r="B387" s="64" t="s">
        <v>462</v>
      </c>
      <c r="C387" s="13" t="str">
        <f>IFERROR(VLOOKUP(B387,'Regiões'!A:B,2,0),"")</f>
        <v>Vale do Paranhana</v>
      </c>
      <c r="D387" s="29" t="s">
        <v>1104</v>
      </c>
      <c r="E387" s="65" t="s">
        <v>485</v>
      </c>
      <c r="F387" s="66"/>
      <c r="G387" s="64" t="s">
        <v>1105</v>
      </c>
      <c r="H387" s="71">
        <v>7.1220009E7</v>
      </c>
      <c r="I387" s="64" t="s">
        <v>488</v>
      </c>
      <c r="J387" s="64" t="s">
        <v>7</v>
      </c>
      <c r="K387" s="64" t="s">
        <v>84</v>
      </c>
      <c r="L387" s="68">
        <v>250000.0</v>
      </c>
      <c r="M387" s="68"/>
      <c r="N387" s="64" t="s">
        <v>389</v>
      </c>
      <c r="O387" s="64" t="s">
        <v>110</v>
      </c>
      <c r="P387" s="65" t="s">
        <v>1076</v>
      </c>
      <c r="Q387" s="75"/>
    </row>
    <row r="388">
      <c r="A388" s="64">
        <v>2019.0</v>
      </c>
      <c r="B388" s="64" t="s">
        <v>646</v>
      </c>
      <c r="C388" s="13" t="str">
        <f>IFERROR(VLOOKUP(B388,'Regiões'!A:B,2,0),"")</f>
        <v>Vale do Rio Caí</v>
      </c>
      <c r="D388" s="29" t="s">
        <v>650</v>
      </c>
      <c r="E388" s="65" t="s">
        <v>485</v>
      </c>
      <c r="F388" s="66"/>
      <c r="G388" s="64" t="s">
        <v>652</v>
      </c>
      <c r="H388" s="71">
        <v>7.1220009E7</v>
      </c>
      <c r="I388" s="64" t="s">
        <v>488</v>
      </c>
      <c r="J388" s="64" t="s">
        <v>7</v>
      </c>
      <c r="K388" s="64" t="s">
        <v>84</v>
      </c>
      <c r="L388" s="68">
        <v>250000.0</v>
      </c>
      <c r="M388" s="68"/>
      <c r="N388" s="64" t="s">
        <v>389</v>
      </c>
      <c r="O388" s="64" t="s">
        <v>110</v>
      </c>
      <c r="P388" s="65" t="s">
        <v>1076</v>
      </c>
      <c r="Q388" s="75"/>
    </row>
    <row r="389">
      <c r="A389" s="64">
        <v>2019.0</v>
      </c>
      <c r="B389" s="64" t="s">
        <v>673</v>
      </c>
      <c r="C389" s="13" t="str">
        <f>IFERROR(VLOOKUP(B389,'Regiões'!A:B,2,0),"")</f>
        <v>Vale do Paranhana</v>
      </c>
      <c r="D389" s="29" t="s">
        <v>679</v>
      </c>
      <c r="E389" s="65" t="s">
        <v>485</v>
      </c>
      <c r="F389" s="66"/>
      <c r="G389" s="64" t="s">
        <v>682</v>
      </c>
      <c r="H389" s="71">
        <v>7.1220009E7</v>
      </c>
      <c r="I389" s="64" t="s">
        <v>488</v>
      </c>
      <c r="J389" s="64" t="s">
        <v>7</v>
      </c>
      <c r="K389" s="64" t="s">
        <v>84</v>
      </c>
      <c r="L389" s="68">
        <v>250000.0</v>
      </c>
      <c r="M389" s="68"/>
      <c r="N389" s="64" t="s">
        <v>389</v>
      </c>
      <c r="O389" s="64" t="s">
        <v>110</v>
      </c>
      <c r="P389" s="65" t="s">
        <v>1076</v>
      </c>
      <c r="Q389" s="75"/>
    </row>
    <row r="390">
      <c r="A390" s="64">
        <v>2019.0</v>
      </c>
      <c r="B390" s="64" t="s">
        <v>888</v>
      </c>
      <c r="C390" s="13" t="str">
        <f>IFERROR(VLOOKUP(B390,'Regiões'!A:B,2,0),"")</f>
        <v>Metropolitana de Porto Alegre</v>
      </c>
      <c r="D390" s="29" t="s">
        <v>2361</v>
      </c>
      <c r="E390" s="65" t="s">
        <v>485</v>
      </c>
      <c r="F390" s="66"/>
      <c r="G390" s="64" t="s">
        <v>1821</v>
      </c>
      <c r="H390" s="71">
        <v>7.1220009E7</v>
      </c>
      <c r="I390" s="64" t="s">
        <v>488</v>
      </c>
      <c r="J390" s="64" t="s">
        <v>7</v>
      </c>
      <c r="K390" s="64" t="s">
        <v>84</v>
      </c>
      <c r="L390" s="68">
        <v>250000.0</v>
      </c>
      <c r="M390" s="68"/>
      <c r="N390" s="64" t="s">
        <v>389</v>
      </c>
      <c r="O390" s="64" t="s">
        <v>110</v>
      </c>
      <c r="P390" s="65" t="s">
        <v>1076</v>
      </c>
      <c r="Q390" s="70" t="s">
        <v>1822</v>
      </c>
    </row>
    <row r="391">
      <c r="A391" s="64">
        <v>2019.0</v>
      </c>
      <c r="B391" s="64" t="s">
        <v>333</v>
      </c>
      <c r="C391" s="13" t="str">
        <f>IFERROR(VLOOKUP(B391,'Regiões'!A:B,2,0),"")</f>
        <v>Vale dos Sinos</v>
      </c>
      <c r="D391" s="29" t="s">
        <v>2366</v>
      </c>
      <c r="E391" s="65" t="s">
        <v>485</v>
      </c>
      <c r="F391" s="66"/>
      <c r="G391" s="64" t="s">
        <v>2367</v>
      </c>
      <c r="H391" s="71">
        <v>7.1220009E7</v>
      </c>
      <c r="I391" s="64" t="s">
        <v>488</v>
      </c>
      <c r="J391" s="64" t="s">
        <v>7</v>
      </c>
      <c r="K391" s="64" t="s">
        <v>84</v>
      </c>
      <c r="L391" s="68">
        <v>250000.0</v>
      </c>
      <c r="M391" s="68"/>
      <c r="N391" s="64" t="s">
        <v>389</v>
      </c>
      <c r="O391" s="64" t="s">
        <v>110</v>
      </c>
      <c r="P391" s="65" t="s">
        <v>1076</v>
      </c>
      <c r="Q391" s="70" t="s">
        <v>1866</v>
      </c>
    </row>
    <row r="392">
      <c r="A392" s="64">
        <v>2019.0</v>
      </c>
      <c r="B392" s="64" t="s">
        <v>298</v>
      </c>
      <c r="C392" s="13" t="str">
        <f>IFERROR(VLOOKUP(B392,'Regiões'!A:B,2,0),"")</f>
        <v>Vale do Paranhana</v>
      </c>
      <c r="D392" s="29" t="s">
        <v>813</v>
      </c>
      <c r="E392" s="65" t="s">
        <v>485</v>
      </c>
      <c r="F392" s="66"/>
      <c r="G392" s="64" t="s">
        <v>815</v>
      </c>
      <c r="H392" s="71">
        <v>7.1220009E7</v>
      </c>
      <c r="I392" s="64" t="s">
        <v>488</v>
      </c>
      <c r="J392" s="64" t="s">
        <v>7</v>
      </c>
      <c r="K392" s="64" t="s">
        <v>84</v>
      </c>
      <c r="L392" s="68">
        <v>250000.0</v>
      </c>
      <c r="M392" s="68"/>
      <c r="N392" s="64" t="s">
        <v>389</v>
      </c>
      <c r="O392" s="64" t="s">
        <v>110</v>
      </c>
      <c r="P392" s="65" t="s">
        <v>1076</v>
      </c>
      <c r="Q392" s="70" t="s">
        <v>1903</v>
      </c>
    </row>
    <row r="393">
      <c r="A393" s="64">
        <v>2020.0</v>
      </c>
      <c r="B393" s="64" t="s">
        <v>239</v>
      </c>
      <c r="C393" s="13" t="str">
        <f>IFERROR(VLOOKUP(B393,'Regiões'!A:B,2,0),"")</f>
        <v>Metropolitana de Porto Alegre</v>
      </c>
      <c r="D393" s="29" t="s">
        <v>1158</v>
      </c>
      <c r="E393" s="65" t="s">
        <v>485</v>
      </c>
      <c r="F393" s="66"/>
      <c r="G393" s="64" t="s">
        <v>1159</v>
      </c>
      <c r="H393" s="76" t="s">
        <v>578</v>
      </c>
      <c r="I393" s="64" t="s">
        <v>488</v>
      </c>
      <c r="J393" s="64" t="s">
        <v>7</v>
      </c>
      <c r="K393" s="64" t="s">
        <v>84</v>
      </c>
      <c r="L393" s="68">
        <v>250000.0</v>
      </c>
      <c r="M393" s="68"/>
      <c r="N393" s="64" t="s">
        <v>389</v>
      </c>
      <c r="O393" s="64" t="s">
        <v>110</v>
      </c>
      <c r="P393" s="77" t="s">
        <v>600</v>
      </c>
      <c r="Q393" s="75"/>
    </row>
    <row r="394">
      <c r="A394" s="64">
        <v>2020.0</v>
      </c>
      <c r="B394" s="64" t="s">
        <v>520</v>
      </c>
      <c r="C394" s="13" t="str">
        <f>IFERROR(VLOOKUP(B394,'Regiões'!A:B,2,0),"")</f>
        <v>Vale dos Sinos</v>
      </c>
      <c r="D394" s="29" t="s">
        <v>1962</v>
      </c>
      <c r="E394" s="65" t="s">
        <v>485</v>
      </c>
      <c r="F394" s="66"/>
      <c r="G394" s="64" t="s">
        <v>1844</v>
      </c>
      <c r="H394" s="76" t="s">
        <v>578</v>
      </c>
      <c r="I394" s="64" t="s">
        <v>488</v>
      </c>
      <c r="J394" s="64" t="s">
        <v>7</v>
      </c>
      <c r="K394" s="64" t="s">
        <v>84</v>
      </c>
      <c r="L394" s="68">
        <v>250000.0</v>
      </c>
      <c r="M394" s="68"/>
      <c r="N394" s="64" t="s">
        <v>389</v>
      </c>
      <c r="O394" s="64" t="s">
        <v>110</v>
      </c>
      <c r="P394" s="77" t="s">
        <v>600</v>
      </c>
      <c r="Q394" s="75"/>
    </row>
    <row r="395">
      <c r="A395" s="64">
        <v>2020.0</v>
      </c>
      <c r="B395" s="64" t="s">
        <v>821</v>
      </c>
      <c r="C395" s="13" t="str">
        <f>IFERROR(VLOOKUP(B395,'Regiões'!A:B,2,0),"")</f>
        <v>Planalto</v>
      </c>
      <c r="D395" s="29" t="s">
        <v>2390</v>
      </c>
      <c r="E395" s="65" t="s">
        <v>485</v>
      </c>
      <c r="F395" s="66"/>
      <c r="G395" s="64" t="s">
        <v>1692</v>
      </c>
      <c r="H395" s="71">
        <v>4.1160005E7</v>
      </c>
      <c r="I395" s="64" t="s">
        <v>488</v>
      </c>
      <c r="J395" s="64" t="s">
        <v>7</v>
      </c>
      <c r="K395" s="64" t="s">
        <v>84</v>
      </c>
      <c r="L395" s="68">
        <v>250000.0</v>
      </c>
      <c r="M395" s="68"/>
      <c r="N395" s="64" t="s">
        <v>490</v>
      </c>
      <c r="O395" s="64" t="s">
        <v>110</v>
      </c>
      <c r="P395" s="65" t="s">
        <v>491</v>
      </c>
      <c r="Q395" s="70" t="s">
        <v>1695</v>
      </c>
    </row>
    <row r="396">
      <c r="A396" s="64">
        <v>2020.0</v>
      </c>
      <c r="B396" s="64" t="s">
        <v>355</v>
      </c>
      <c r="C396" s="13" t="str">
        <f>IFERROR(VLOOKUP(B396,'Regiões'!A:B,2,0),"")</f>
        <v>Centro do Estado</v>
      </c>
      <c r="D396" s="29" t="s">
        <v>2395</v>
      </c>
      <c r="E396" s="65" t="s">
        <v>485</v>
      </c>
      <c r="F396" s="66"/>
      <c r="G396" s="64" t="s">
        <v>1808</v>
      </c>
      <c r="H396" s="71">
        <v>4.1160005E7</v>
      </c>
      <c r="I396" s="64" t="s">
        <v>488</v>
      </c>
      <c r="J396" s="64" t="s">
        <v>7</v>
      </c>
      <c r="K396" s="64" t="s">
        <v>84</v>
      </c>
      <c r="L396" s="68">
        <v>250000.0</v>
      </c>
      <c r="M396" s="68"/>
      <c r="N396" s="64" t="s">
        <v>490</v>
      </c>
      <c r="O396" s="64" t="s">
        <v>110</v>
      </c>
      <c r="P396" s="65" t="s">
        <v>491</v>
      </c>
      <c r="Q396" s="75"/>
    </row>
    <row r="397">
      <c r="A397" s="64">
        <v>2021.0</v>
      </c>
      <c r="B397" s="64" t="s">
        <v>163</v>
      </c>
      <c r="C397" s="13" t="str">
        <f>IFERROR(VLOOKUP(B397,'Regiões'!A:B,2,0),"")</f>
        <v>Costa Doce</v>
      </c>
      <c r="D397" s="29" t="s">
        <v>2399</v>
      </c>
      <c r="E397" s="65" t="s">
        <v>14</v>
      </c>
      <c r="F397" s="66"/>
      <c r="G397" s="64" t="s">
        <v>74</v>
      </c>
      <c r="H397" s="741">
        <v>4.1160004E7</v>
      </c>
      <c r="I397" s="64" t="s">
        <v>20</v>
      </c>
      <c r="J397" s="29" t="s">
        <v>257</v>
      </c>
      <c r="K397" s="64" t="s">
        <v>152</v>
      </c>
      <c r="L397" s="68">
        <v>250000.0</v>
      </c>
      <c r="M397" s="68"/>
      <c r="N397" s="64" t="s">
        <v>490</v>
      </c>
      <c r="O397" s="723" t="s">
        <v>110</v>
      </c>
      <c r="P397" s="77" t="s">
        <v>1245</v>
      </c>
      <c r="Q397" s="70" t="s">
        <v>1254</v>
      </c>
    </row>
    <row r="398">
      <c r="A398" s="29">
        <v>2021.0</v>
      </c>
      <c r="B398" s="41" t="s">
        <v>549</v>
      </c>
      <c r="C398" s="13" t="str">
        <f>IFERROR(VLOOKUP(B398,'Regiões'!A:B,2,0),"")</f>
        <v>Planalto</v>
      </c>
      <c r="D398" s="29" t="s">
        <v>2403</v>
      </c>
      <c r="E398" s="32" t="s">
        <v>485</v>
      </c>
      <c r="F398" s="42"/>
      <c r="G398" s="41" t="s">
        <v>1384</v>
      </c>
      <c r="H398" s="35">
        <v>4.1160002E7</v>
      </c>
      <c r="I398" s="29" t="s">
        <v>1087</v>
      </c>
      <c r="J398" s="29" t="s">
        <v>7</v>
      </c>
      <c r="K398" s="29" t="s">
        <v>152</v>
      </c>
      <c r="L398" s="37">
        <v>250000.0</v>
      </c>
      <c r="M398" s="37"/>
      <c r="N398" s="29" t="s">
        <v>1062</v>
      </c>
      <c r="O398" s="29" t="s">
        <v>2404</v>
      </c>
      <c r="P398" s="44" t="s">
        <v>1386</v>
      </c>
      <c r="Q398" s="40"/>
    </row>
    <row r="399">
      <c r="A399" s="64">
        <v>2021.0</v>
      </c>
      <c r="B399" s="64" t="s">
        <v>114</v>
      </c>
      <c r="C399" s="13" t="str">
        <f>IFERROR(VLOOKUP(B399,'Regiões'!A:B,2,0),"")</f>
        <v>Vale do Rio Caí</v>
      </c>
      <c r="D399" s="29" t="s">
        <v>1130</v>
      </c>
      <c r="E399" s="65" t="s">
        <v>14</v>
      </c>
      <c r="F399" s="66"/>
      <c r="G399" s="64" t="s">
        <v>74</v>
      </c>
      <c r="H399" s="67">
        <v>4.1160004E7</v>
      </c>
      <c r="I399" s="64" t="s">
        <v>20</v>
      </c>
      <c r="J399" s="29" t="s">
        <v>257</v>
      </c>
      <c r="K399" s="64" t="s">
        <v>152</v>
      </c>
      <c r="L399" s="68">
        <v>250000.0</v>
      </c>
      <c r="M399" s="68"/>
      <c r="N399" s="64" t="s">
        <v>490</v>
      </c>
      <c r="O399" s="723" t="s">
        <v>110</v>
      </c>
      <c r="P399" s="77" t="s">
        <v>1588</v>
      </c>
      <c r="Q399" s="70"/>
    </row>
    <row r="400">
      <c r="A400" s="64">
        <v>2021.0</v>
      </c>
      <c r="B400" s="64" t="s">
        <v>119</v>
      </c>
      <c r="C400" s="13" t="str">
        <f>IFERROR(VLOOKUP(B400,'Regiões'!A:B,2,0),"")</f>
        <v>Zona Sul</v>
      </c>
      <c r="D400" s="29" t="s">
        <v>2409</v>
      </c>
      <c r="E400" s="65" t="s">
        <v>14</v>
      </c>
      <c r="F400" s="66"/>
      <c r="G400" s="64" t="s">
        <v>74</v>
      </c>
      <c r="H400" s="67">
        <v>4.1160004E7</v>
      </c>
      <c r="I400" s="64" t="s">
        <v>20</v>
      </c>
      <c r="J400" s="29" t="s">
        <v>257</v>
      </c>
      <c r="K400" s="64" t="s">
        <v>152</v>
      </c>
      <c r="L400" s="68">
        <v>250000.0</v>
      </c>
      <c r="M400" s="68"/>
      <c r="N400" s="64" t="s">
        <v>490</v>
      </c>
      <c r="O400" s="723" t="s">
        <v>2411</v>
      </c>
      <c r="P400" s="77" t="s">
        <v>1705</v>
      </c>
      <c r="Q400" s="70" t="s">
        <v>1707</v>
      </c>
    </row>
    <row r="401">
      <c r="A401" s="747">
        <v>2021.0</v>
      </c>
      <c r="B401" s="748" t="s">
        <v>879</v>
      </c>
      <c r="C401" s="584" t="str">
        <f>IFERROR(VLOOKUP(B401,'Regiões'!A:B,2,0),"")</f>
        <v>Vale do Rio Pardo</v>
      </c>
      <c r="D401" s="585" t="s">
        <v>1960</v>
      </c>
      <c r="E401" s="747" t="s">
        <v>485</v>
      </c>
      <c r="F401" s="751"/>
      <c r="G401" s="748" t="s">
        <v>1789</v>
      </c>
      <c r="H401" s="752">
        <v>4.1160002E7</v>
      </c>
      <c r="I401" s="747" t="s">
        <v>1087</v>
      </c>
      <c r="J401" s="747" t="s">
        <v>7</v>
      </c>
      <c r="K401" s="747" t="s">
        <v>152</v>
      </c>
      <c r="L401" s="753">
        <v>250000.0</v>
      </c>
      <c r="M401" s="753"/>
      <c r="N401" s="747" t="s">
        <v>1062</v>
      </c>
      <c r="O401" s="747" t="s">
        <v>110</v>
      </c>
      <c r="P401" s="748" t="s">
        <v>1797</v>
      </c>
      <c r="Q401" s="755"/>
    </row>
    <row r="402">
      <c r="A402" s="47">
        <v>2021.0</v>
      </c>
      <c r="B402" s="230" t="s">
        <v>895</v>
      </c>
      <c r="C402" s="13" t="str">
        <f>IFERROR(VLOOKUP(B402,'Regiões'!A:B,2,0),"")</f>
        <v>Centro do Estado</v>
      </c>
      <c r="D402" s="29" t="s">
        <v>2416</v>
      </c>
      <c r="E402" s="49" t="s">
        <v>220</v>
      </c>
      <c r="F402" s="235"/>
      <c r="G402" s="757" t="s">
        <v>74</v>
      </c>
      <c r="H402" s="237">
        <v>4.1160002E7</v>
      </c>
      <c r="I402" s="47" t="s">
        <v>7</v>
      </c>
      <c r="J402" s="47" t="s">
        <v>7</v>
      </c>
      <c r="K402" s="47"/>
      <c r="L402" s="52">
        <v>250000.0</v>
      </c>
      <c r="M402" s="52"/>
      <c r="N402" s="47" t="s">
        <v>1062</v>
      </c>
      <c r="O402" s="47" t="s">
        <v>110</v>
      </c>
      <c r="P402" s="240" t="s">
        <v>1837</v>
      </c>
      <c r="Q402" s="54"/>
    </row>
    <row r="403">
      <c r="A403" s="29">
        <v>2022.0</v>
      </c>
      <c r="B403" s="29" t="s">
        <v>54</v>
      </c>
      <c r="C403" s="13" t="str">
        <f>IFERROR(VLOOKUP(B403,'Regiões'!A:B,2,0),"")</f>
        <v>Centro do Estado</v>
      </c>
      <c r="D403" s="29" t="s">
        <v>2419</v>
      </c>
      <c r="E403" s="32" t="s">
        <v>14</v>
      </c>
      <c r="F403" s="33"/>
      <c r="G403" s="29" t="s">
        <v>74</v>
      </c>
      <c r="H403" s="35">
        <v>4.1160005E7</v>
      </c>
      <c r="I403" s="29" t="s">
        <v>20</v>
      </c>
      <c r="J403" s="29" t="s">
        <v>257</v>
      </c>
      <c r="K403" s="29" t="s">
        <v>152</v>
      </c>
      <c r="L403" s="38">
        <v>250000.0</v>
      </c>
      <c r="M403" s="38"/>
      <c r="N403" s="29" t="s">
        <v>490</v>
      </c>
      <c r="O403" s="29" t="s">
        <v>2420</v>
      </c>
      <c r="P403" s="39" t="s">
        <v>1154</v>
      </c>
      <c r="Q403" s="40"/>
    </row>
    <row r="404">
      <c r="A404" s="29">
        <v>2022.0</v>
      </c>
      <c r="B404" s="29" t="s">
        <v>70</v>
      </c>
      <c r="C404" s="13" t="str">
        <f>IFERROR(VLOOKUP(B404,'Regiões'!A:B,2,0),"")</f>
        <v>Vale dos Sinos</v>
      </c>
      <c r="D404" s="29" t="s">
        <v>2421</v>
      </c>
      <c r="E404" s="65" t="s">
        <v>14</v>
      </c>
      <c r="F404" s="243"/>
      <c r="G404" s="245" t="s">
        <v>1226</v>
      </c>
      <c r="H404" s="35">
        <v>4.1160003E7</v>
      </c>
      <c r="I404" s="29" t="s">
        <v>1087</v>
      </c>
      <c r="J404" s="29" t="s">
        <v>7</v>
      </c>
      <c r="K404" s="29" t="s">
        <v>152</v>
      </c>
      <c r="L404" s="38">
        <v>250000.0</v>
      </c>
      <c r="M404" s="38"/>
      <c r="N404" s="29" t="s">
        <v>200</v>
      </c>
      <c r="O404" s="29" t="s">
        <v>2422</v>
      </c>
      <c r="P404" s="39"/>
      <c r="Q404" s="40"/>
    </row>
    <row r="405">
      <c r="A405" s="29">
        <v>2022.0</v>
      </c>
      <c r="B405" s="29" t="s">
        <v>159</v>
      </c>
      <c r="C405" s="13" t="str">
        <f>IFERROR(VLOOKUP(B405,'Regiões'!A:B,2,0),"")</f>
        <v>Vale do Rio Pardo</v>
      </c>
      <c r="D405" s="29" t="s">
        <v>2423</v>
      </c>
      <c r="E405" s="32" t="s">
        <v>14</v>
      </c>
      <c r="F405" s="33"/>
      <c r="G405" s="29" t="s">
        <v>74</v>
      </c>
      <c r="H405" s="35">
        <v>4.1160005E7</v>
      </c>
      <c r="I405" s="29" t="s">
        <v>20</v>
      </c>
      <c r="J405" s="29" t="s">
        <v>257</v>
      </c>
      <c r="K405" s="29" t="s">
        <v>152</v>
      </c>
      <c r="L405" s="38">
        <v>250000.0</v>
      </c>
      <c r="M405" s="38"/>
      <c r="N405" s="29" t="s">
        <v>490</v>
      </c>
      <c r="O405" s="29" t="s">
        <v>2420</v>
      </c>
      <c r="P405" s="39" t="s">
        <v>1291</v>
      </c>
      <c r="Q405" s="40"/>
    </row>
    <row r="406">
      <c r="A406" s="29">
        <v>2022.0</v>
      </c>
      <c r="B406" s="29" t="s">
        <v>611</v>
      </c>
      <c r="C406" s="13" t="str">
        <f>IFERROR(VLOOKUP(B406,'Regiões'!A:B,2,0),"")</f>
        <v>Celeiro do Rio Grande</v>
      </c>
      <c r="D406" s="29" t="s">
        <v>2424</v>
      </c>
      <c r="E406" s="32" t="s">
        <v>14</v>
      </c>
      <c r="F406" s="33"/>
      <c r="G406" s="29" t="s">
        <v>74</v>
      </c>
      <c r="H406" s="35">
        <v>4.1160005E7</v>
      </c>
      <c r="I406" s="29" t="s">
        <v>20</v>
      </c>
      <c r="J406" s="29" t="s">
        <v>257</v>
      </c>
      <c r="K406" s="29" t="s">
        <v>152</v>
      </c>
      <c r="L406" s="38">
        <v>250000.0</v>
      </c>
      <c r="M406" s="38"/>
      <c r="N406" s="29" t="s">
        <v>490</v>
      </c>
      <c r="O406" s="760" t="s">
        <v>265</v>
      </c>
      <c r="P406" s="53" t="s">
        <v>1332</v>
      </c>
      <c r="Q406" s="40"/>
    </row>
    <row r="407">
      <c r="A407" s="47">
        <v>2022.0</v>
      </c>
      <c r="B407" s="54" t="s">
        <v>182</v>
      </c>
      <c r="C407" s="13" t="str">
        <f>IFERROR(VLOOKUP(B407,'Regiões'!A:B,2,0),"")</f>
        <v>Encosta Superior do Nordeste</v>
      </c>
      <c r="D407" s="29" t="s">
        <v>2429</v>
      </c>
      <c r="E407" s="49" t="s">
        <v>485</v>
      </c>
      <c r="F407" s="396"/>
      <c r="G407" s="54" t="s">
        <v>1583</v>
      </c>
      <c r="H407" s="35">
        <v>7120004.0</v>
      </c>
      <c r="I407" s="29" t="s">
        <v>488</v>
      </c>
      <c r="J407" s="29" t="s">
        <v>7</v>
      </c>
      <c r="K407" s="29" t="s">
        <v>84</v>
      </c>
      <c r="L407" s="52">
        <v>250000.0</v>
      </c>
      <c r="M407" s="52"/>
      <c r="N407" s="29" t="s">
        <v>1193</v>
      </c>
      <c r="O407" s="47" t="s">
        <v>110</v>
      </c>
      <c r="P407" s="46" t="s">
        <v>1213</v>
      </c>
      <c r="Q407" s="54"/>
    </row>
    <row r="408">
      <c r="A408" s="29">
        <v>2022.0</v>
      </c>
      <c r="B408" s="29" t="s">
        <v>755</v>
      </c>
      <c r="C408" s="13" t="str">
        <f>IFERROR(VLOOKUP(B408,'Regiões'!A:B,2,0),"")</f>
        <v>Vale do Rio Caí</v>
      </c>
      <c r="D408" s="29" t="s">
        <v>2432</v>
      </c>
      <c r="E408" s="32" t="s">
        <v>14</v>
      </c>
      <c r="F408" s="33"/>
      <c r="G408" s="29" t="s">
        <v>74</v>
      </c>
      <c r="H408" s="35">
        <v>4.1160005E7</v>
      </c>
      <c r="I408" s="29" t="s">
        <v>20</v>
      </c>
      <c r="J408" s="29" t="s">
        <v>257</v>
      </c>
      <c r="K408" s="29" t="s">
        <v>152</v>
      </c>
      <c r="L408" s="38">
        <v>250000.0</v>
      </c>
      <c r="M408" s="38"/>
      <c r="N408" s="29" t="s">
        <v>490</v>
      </c>
      <c r="O408" s="760" t="s">
        <v>2433</v>
      </c>
      <c r="P408" s="39" t="s">
        <v>1325</v>
      </c>
      <c r="Q408" s="40"/>
    </row>
    <row r="409">
      <c r="A409" s="29">
        <v>2022.0</v>
      </c>
      <c r="B409" s="29" t="s">
        <v>496</v>
      </c>
      <c r="C409" s="13" t="str">
        <f>IFERROR(VLOOKUP(B409,'Regiões'!A:B,2,0),"")</f>
        <v>Vale dos Sinos</v>
      </c>
      <c r="D409" s="29" t="s">
        <v>2434</v>
      </c>
      <c r="E409" s="32" t="s">
        <v>14</v>
      </c>
      <c r="F409" s="33"/>
      <c r="G409" s="29" t="s">
        <v>74</v>
      </c>
      <c r="H409" s="35">
        <v>4.1160005E7</v>
      </c>
      <c r="I409" s="29" t="s">
        <v>20</v>
      </c>
      <c r="J409" s="29" t="s">
        <v>257</v>
      </c>
      <c r="K409" s="29" t="s">
        <v>152</v>
      </c>
      <c r="L409" s="38">
        <v>250000.0</v>
      </c>
      <c r="M409" s="38"/>
      <c r="N409" s="29" t="s">
        <v>490</v>
      </c>
      <c r="O409" s="762" t="s">
        <v>2436</v>
      </c>
      <c r="P409" s="39" t="s">
        <v>1344</v>
      </c>
      <c r="Q409" s="40"/>
    </row>
    <row r="410">
      <c r="A410" s="29">
        <v>2022.0</v>
      </c>
      <c r="B410" s="29" t="s">
        <v>861</v>
      </c>
      <c r="C410" s="13" t="str">
        <f>IFERROR(VLOOKUP(B410,'Regiões'!A:B,2,0),"")</f>
        <v>Zona da Produção</v>
      </c>
      <c r="D410" s="29" t="s">
        <v>2438</v>
      </c>
      <c r="E410" s="65" t="s">
        <v>485</v>
      </c>
      <c r="F410" s="243"/>
      <c r="G410" s="245" t="s">
        <v>2440</v>
      </c>
      <c r="H410" s="35">
        <v>4.1160003E7</v>
      </c>
      <c r="I410" s="29" t="s">
        <v>1087</v>
      </c>
      <c r="J410" s="29" t="s">
        <v>7</v>
      </c>
      <c r="K410" s="29" t="s">
        <v>152</v>
      </c>
      <c r="L410" s="38">
        <v>250000.0</v>
      </c>
      <c r="M410" s="38"/>
      <c r="N410" s="29" t="s">
        <v>200</v>
      </c>
      <c r="O410" s="29" t="s">
        <v>110</v>
      </c>
      <c r="P410" s="39"/>
      <c r="Q410" s="40"/>
    </row>
    <row r="411">
      <c r="A411" s="29">
        <v>2022.0</v>
      </c>
      <c r="B411" s="29" t="s">
        <v>53</v>
      </c>
      <c r="C411" s="13" t="str">
        <f>IFERROR(VLOOKUP(B411,'Regiões'!A:B,2,0),"")</f>
        <v>Vale do Rio Caí</v>
      </c>
      <c r="D411" s="29" t="s">
        <v>2444</v>
      </c>
      <c r="E411" s="32" t="s">
        <v>14</v>
      </c>
      <c r="F411" s="33"/>
      <c r="G411" s="29" t="s">
        <v>74</v>
      </c>
      <c r="H411" s="35">
        <v>4.1160005E7</v>
      </c>
      <c r="I411" s="29" t="s">
        <v>20</v>
      </c>
      <c r="J411" s="29" t="s">
        <v>257</v>
      </c>
      <c r="K411" s="29" t="s">
        <v>152</v>
      </c>
      <c r="L411" s="38">
        <v>250000.0</v>
      </c>
      <c r="M411" s="38"/>
      <c r="N411" s="29" t="s">
        <v>490</v>
      </c>
      <c r="O411" s="29" t="s">
        <v>2420</v>
      </c>
      <c r="P411" s="39" t="s">
        <v>1297</v>
      </c>
      <c r="Q411" s="40"/>
    </row>
    <row r="412">
      <c r="A412" s="29">
        <v>2022.0</v>
      </c>
      <c r="B412" s="769" t="s">
        <v>127</v>
      </c>
      <c r="C412" s="13" t="str">
        <f>IFERROR(VLOOKUP(B412,'Regiões'!A:B,2,0),"")</f>
        <v>Metropolitana de Porto Alegre</v>
      </c>
      <c r="D412" s="29" t="s">
        <v>2450</v>
      </c>
      <c r="E412" s="32" t="s">
        <v>14</v>
      </c>
      <c r="F412" s="243"/>
      <c r="G412" s="245" t="s">
        <v>2452</v>
      </c>
      <c r="H412" s="74"/>
      <c r="I412" s="29" t="s">
        <v>7</v>
      </c>
      <c r="J412" s="29" t="s">
        <v>7</v>
      </c>
      <c r="K412" s="29" t="s">
        <v>152</v>
      </c>
      <c r="L412" s="38">
        <v>250000.0</v>
      </c>
      <c r="M412" s="38"/>
      <c r="N412" s="29" t="s">
        <v>570</v>
      </c>
      <c r="O412" s="29" t="s">
        <v>2453</v>
      </c>
      <c r="P412" s="39" t="s">
        <v>570</v>
      </c>
      <c r="Q412" s="40"/>
    </row>
    <row r="413">
      <c r="A413" s="13">
        <v>2023.0</v>
      </c>
      <c r="B413" s="79" t="s">
        <v>559</v>
      </c>
      <c r="C413" s="13" t="str">
        <f>IFERROR(VLOOKUP(B413,'Regiões'!A:B,2,0),"")</f>
        <v>Encosta Superior do Nordeste</v>
      </c>
      <c r="D413" s="13" t="s">
        <v>2457</v>
      </c>
      <c r="E413" s="80" t="s">
        <v>220</v>
      </c>
      <c r="F413" s="81"/>
      <c r="G413" s="79" t="s">
        <v>2458</v>
      </c>
      <c r="H413" s="82"/>
      <c r="I413" s="13" t="s">
        <v>2460</v>
      </c>
      <c r="J413" s="13" t="str">
        <f t="shared" ref="J413:J422" si="11">LEFT(I413,FIND(" (",I413) - 1)</f>
        <v>Infraestrutura</v>
      </c>
      <c r="K413" s="13" t="s">
        <v>152</v>
      </c>
      <c r="L413" s="771">
        <v>250000.0</v>
      </c>
      <c r="M413" s="771"/>
      <c r="N413" s="13" t="s">
        <v>89</v>
      </c>
      <c r="O413" s="13" t="s">
        <v>265</v>
      </c>
      <c r="P413" s="772" t="s">
        <v>2465</v>
      </c>
      <c r="Q413" s="79"/>
    </row>
    <row r="414">
      <c r="A414" s="13">
        <v>2023.0</v>
      </c>
      <c r="B414" s="79" t="s">
        <v>681</v>
      </c>
      <c r="C414" s="13" t="str">
        <f>IFERROR(VLOOKUP(B414,'Regiões'!A:B,2,0),"")</f>
        <v>Vale do Rio Caí</v>
      </c>
      <c r="D414" s="13" t="s">
        <v>1135</v>
      </c>
      <c r="E414" s="80" t="s">
        <v>220</v>
      </c>
      <c r="F414" s="81"/>
      <c r="G414" s="79" t="s">
        <v>2470</v>
      </c>
      <c r="H414" s="82"/>
      <c r="I414" s="13" t="s">
        <v>2460</v>
      </c>
      <c r="J414" s="13" t="str">
        <f t="shared" si="11"/>
        <v>Infraestrutura</v>
      </c>
      <c r="K414" s="13" t="s">
        <v>152</v>
      </c>
      <c r="L414" s="83">
        <v>250000.0</v>
      </c>
      <c r="M414" s="83"/>
      <c r="N414" s="13" t="s">
        <v>89</v>
      </c>
      <c r="O414" s="13" t="s">
        <v>1574</v>
      </c>
      <c r="P414" s="772" t="s">
        <v>2475</v>
      </c>
      <c r="Q414" s="79"/>
    </row>
    <row r="415">
      <c r="A415" s="13">
        <v>2023.0</v>
      </c>
      <c r="B415" s="79" t="s">
        <v>911</v>
      </c>
      <c r="C415" s="13" t="str">
        <f>IFERROR(VLOOKUP(B415,'Regiões'!A:B,2,0),"")</f>
        <v>Missões</v>
      </c>
      <c r="D415" s="13" t="s">
        <v>2481</v>
      </c>
      <c r="E415" s="80" t="s">
        <v>220</v>
      </c>
      <c r="F415" s="81"/>
      <c r="G415" s="79" t="s">
        <v>2482</v>
      </c>
      <c r="H415" s="82"/>
      <c r="I415" s="13" t="s">
        <v>2460</v>
      </c>
      <c r="J415" s="13" t="str">
        <f t="shared" si="11"/>
        <v>Infraestrutura</v>
      </c>
      <c r="K415" s="13" t="s">
        <v>152</v>
      </c>
      <c r="L415" s="83">
        <v>250000.0</v>
      </c>
      <c r="M415" s="83"/>
      <c r="N415" s="13" t="s">
        <v>89</v>
      </c>
      <c r="O415" s="13" t="s">
        <v>265</v>
      </c>
      <c r="P415" s="80" t="s">
        <v>2485</v>
      </c>
      <c r="Q415" s="79"/>
    </row>
    <row r="416">
      <c r="A416" s="13">
        <v>2023.0</v>
      </c>
      <c r="B416" s="55" t="s">
        <v>499</v>
      </c>
      <c r="C416" s="13" t="str">
        <f>IFERROR(VLOOKUP(B416,'Regiões'!A:B,2,0),"")</f>
        <v>Fronteira Noroeste</v>
      </c>
      <c r="D416" s="13" t="s">
        <v>2489</v>
      </c>
      <c r="E416" s="56" t="s">
        <v>485</v>
      </c>
      <c r="F416" s="358"/>
      <c r="G416" s="55" t="s">
        <v>2491</v>
      </c>
      <c r="H416" s="59"/>
      <c r="I416" s="13" t="s">
        <v>1307</v>
      </c>
      <c r="J416" s="13" t="str">
        <f t="shared" si="11"/>
        <v>Saúde</v>
      </c>
      <c r="K416" s="13" t="s">
        <v>152</v>
      </c>
      <c r="L416" s="393">
        <v>250000.0</v>
      </c>
      <c r="M416" s="393"/>
      <c r="N416" s="13" t="s">
        <v>89</v>
      </c>
      <c r="O416" s="13" t="s">
        <v>265</v>
      </c>
      <c r="P416" s="61" t="s">
        <v>2495</v>
      </c>
      <c r="Q416" s="62"/>
    </row>
    <row r="417">
      <c r="A417" s="13">
        <v>2023.0</v>
      </c>
      <c r="B417" s="55" t="s">
        <v>526</v>
      </c>
      <c r="C417" s="13" t="str">
        <f>IFERROR(VLOOKUP(B417,'Regiões'!A:B,2,0),"")</f>
        <v>Litoral Norte</v>
      </c>
      <c r="D417" s="13" t="s">
        <v>2496</v>
      </c>
      <c r="E417" s="56" t="s">
        <v>485</v>
      </c>
      <c r="F417" s="358"/>
      <c r="G417" s="55" t="s">
        <v>2497</v>
      </c>
      <c r="H417" s="59"/>
      <c r="I417" s="13" t="s">
        <v>1307</v>
      </c>
      <c r="J417" s="13" t="str">
        <f t="shared" si="11"/>
        <v>Saúde</v>
      </c>
      <c r="K417" s="13" t="s">
        <v>152</v>
      </c>
      <c r="L417" s="393">
        <v>250000.0</v>
      </c>
      <c r="M417" s="393"/>
      <c r="N417" s="13" t="s">
        <v>89</v>
      </c>
      <c r="O417" s="13" t="s">
        <v>265</v>
      </c>
      <c r="P417" s="61" t="s">
        <v>2498</v>
      </c>
      <c r="Q417" s="62"/>
    </row>
    <row r="418">
      <c r="A418" s="13">
        <v>2023.0</v>
      </c>
      <c r="B418" s="55" t="s">
        <v>119</v>
      </c>
      <c r="C418" s="13" t="str">
        <f>IFERROR(VLOOKUP(B418,'Regiões'!A:B,2,0),"")</f>
        <v>Zona Sul</v>
      </c>
      <c r="D418" s="13" t="s">
        <v>2499</v>
      </c>
      <c r="E418" s="56" t="s">
        <v>485</v>
      </c>
      <c r="F418" s="358"/>
      <c r="G418" s="55" t="s">
        <v>2500</v>
      </c>
      <c r="H418" s="59"/>
      <c r="I418" s="13" t="s">
        <v>1307</v>
      </c>
      <c r="J418" s="13" t="str">
        <f t="shared" si="11"/>
        <v>Saúde</v>
      </c>
      <c r="K418" s="13" t="s">
        <v>152</v>
      </c>
      <c r="L418" s="393">
        <v>250000.0</v>
      </c>
      <c r="M418" s="393"/>
      <c r="N418" s="13" t="s">
        <v>89</v>
      </c>
      <c r="O418" s="13" t="s">
        <v>265</v>
      </c>
      <c r="P418" s="61" t="s">
        <v>2501</v>
      </c>
      <c r="Q418" s="62"/>
    </row>
    <row r="419">
      <c r="A419" s="13">
        <v>2023.0</v>
      </c>
      <c r="B419" s="55" t="s">
        <v>879</v>
      </c>
      <c r="C419" s="13" t="str">
        <f>IFERROR(VLOOKUP(B419,'Regiões'!A:B,2,0),"")</f>
        <v>Vale do Rio Pardo</v>
      </c>
      <c r="D419" s="13" t="s">
        <v>2502</v>
      </c>
      <c r="E419" s="56" t="s">
        <v>485</v>
      </c>
      <c r="F419" s="358"/>
      <c r="G419" s="55" t="s">
        <v>2503</v>
      </c>
      <c r="H419" s="59"/>
      <c r="I419" s="13" t="s">
        <v>1307</v>
      </c>
      <c r="J419" s="13" t="str">
        <f t="shared" si="11"/>
        <v>Saúde</v>
      </c>
      <c r="K419" s="13" t="s">
        <v>152</v>
      </c>
      <c r="L419" s="393">
        <v>250000.0</v>
      </c>
      <c r="M419" s="393"/>
      <c r="N419" s="13" t="s">
        <v>89</v>
      </c>
      <c r="O419" s="13" t="s">
        <v>265</v>
      </c>
      <c r="P419" s="61" t="s">
        <v>2504</v>
      </c>
      <c r="Q419" s="62"/>
    </row>
    <row r="420">
      <c r="A420" s="13">
        <v>2023.0</v>
      </c>
      <c r="B420" s="55" t="s">
        <v>891</v>
      </c>
      <c r="C420" s="13" t="str">
        <f>IFERROR(VLOOKUP(B420,'Regiões'!A:B,2,0),"")</f>
        <v>Fronteira Noroeste</v>
      </c>
      <c r="D420" s="13" t="s">
        <v>2505</v>
      </c>
      <c r="E420" s="56" t="s">
        <v>485</v>
      </c>
      <c r="F420" s="358"/>
      <c r="G420" s="55" t="s">
        <v>2506</v>
      </c>
      <c r="H420" s="59"/>
      <c r="I420" s="13" t="s">
        <v>1307</v>
      </c>
      <c r="J420" s="13" t="str">
        <f t="shared" si="11"/>
        <v>Saúde</v>
      </c>
      <c r="K420" s="13" t="s">
        <v>152</v>
      </c>
      <c r="L420" s="393">
        <v>250000.0</v>
      </c>
      <c r="M420" s="393"/>
      <c r="N420" s="13" t="s">
        <v>89</v>
      </c>
      <c r="O420" s="13" t="s">
        <v>265</v>
      </c>
      <c r="P420" s="61" t="s">
        <v>2507</v>
      </c>
      <c r="Q420" s="62"/>
    </row>
    <row r="421">
      <c r="A421" s="13">
        <v>2023.0</v>
      </c>
      <c r="B421" s="79" t="s">
        <v>628</v>
      </c>
      <c r="C421" s="13" t="str">
        <f>IFERROR(VLOOKUP(B421,'Regiões'!A:B,2,0),"")</f>
        <v>Alto Uruguai</v>
      </c>
      <c r="D421" s="13" t="s">
        <v>2509</v>
      </c>
      <c r="E421" s="80" t="s">
        <v>220</v>
      </c>
      <c r="F421" s="81"/>
      <c r="G421" s="79" t="s">
        <v>1188</v>
      </c>
      <c r="H421" s="82"/>
      <c r="I421" s="13" t="s">
        <v>958</v>
      </c>
      <c r="J421" s="13" t="str">
        <f t="shared" si="11"/>
        <v>Segurança Pública</v>
      </c>
      <c r="K421" s="13" t="s">
        <v>152</v>
      </c>
      <c r="L421" s="83">
        <v>250000.0</v>
      </c>
      <c r="M421" s="83"/>
      <c r="N421" s="13" t="s">
        <v>89</v>
      </c>
      <c r="O421" s="13" t="s">
        <v>265</v>
      </c>
      <c r="P421" s="80"/>
      <c r="Q421" s="79"/>
    </row>
    <row r="422">
      <c r="A422" s="13">
        <v>2023.0</v>
      </c>
      <c r="B422" s="79" t="s">
        <v>245</v>
      </c>
      <c r="C422" s="13" t="str">
        <f>IFERROR(VLOOKUP(B422,'Regiões'!A:B,2,0),"")</f>
        <v>Turismo da Serra</v>
      </c>
      <c r="D422" s="13" t="s">
        <v>780</v>
      </c>
      <c r="E422" s="80" t="s">
        <v>220</v>
      </c>
      <c r="F422" s="81"/>
      <c r="G422" s="79" t="s">
        <v>1334</v>
      </c>
      <c r="H422" s="82"/>
      <c r="I422" s="13" t="s">
        <v>958</v>
      </c>
      <c r="J422" s="13" t="str">
        <f t="shared" si="11"/>
        <v>Segurança Pública</v>
      </c>
      <c r="K422" s="13" t="s">
        <v>152</v>
      </c>
      <c r="L422" s="83">
        <v>250000.0</v>
      </c>
      <c r="M422" s="83"/>
      <c r="N422" s="13" t="s">
        <v>89</v>
      </c>
      <c r="O422" s="13" t="s">
        <v>265</v>
      </c>
      <c r="P422" s="80" t="s">
        <v>2511</v>
      </c>
      <c r="Q422" s="79"/>
    </row>
    <row r="423">
      <c r="A423" s="11">
        <v>2024.0</v>
      </c>
      <c r="B423" s="12" t="s">
        <v>647</v>
      </c>
      <c r="C423" s="13" t="str">
        <f>IFERROR(VLOOKUP(B423,'Regiões'!A:B,2,0),"")</f>
        <v>Centro do Estado</v>
      </c>
      <c r="D423" s="13" t="s">
        <v>2512</v>
      </c>
      <c r="E423" s="15" t="str">
        <f t="shared" ref="E423:E434" si="12">G423&amp;" de "&amp;B423</f>
        <v>Prefeitura Municipal de Faxinal do Soturno</v>
      </c>
      <c r="F423" s="17"/>
      <c r="G423" s="18" t="s">
        <v>74</v>
      </c>
      <c r="H423" s="20">
        <v>4.1160001E7</v>
      </c>
      <c r="I423" s="11" t="s">
        <v>334</v>
      </c>
      <c r="J423" s="11" t="s">
        <v>7</v>
      </c>
      <c r="K423" s="21" t="s">
        <v>84</v>
      </c>
      <c r="L423" s="22">
        <v>250000.0</v>
      </c>
      <c r="M423" s="22"/>
      <c r="N423" s="13" t="s">
        <v>89</v>
      </c>
      <c r="O423" s="21"/>
      <c r="P423" s="23"/>
      <c r="Q423" s="24"/>
    </row>
    <row r="424">
      <c r="A424" s="11">
        <v>2024.0</v>
      </c>
      <c r="B424" s="12" t="s">
        <v>198</v>
      </c>
      <c r="C424" s="13" t="str">
        <f>IFERROR(VLOOKUP(B424,'Regiões'!A:B,2,0),"")</f>
        <v>Vale dos Sinos</v>
      </c>
      <c r="D424" s="13" t="s">
        <v>2515</v>
      </c>
      <c r="E424" s="15" t="str">
        <f t="shared" si="12"/>
        <v>Prefeitura Municipal de Ivoti</v>
      </c>
      <c r="F424" s="17"/>
      <c r="G424" s="18" t="s">
        <v>74</v>
      </c>
      <c r="H424" s="20">
        <v>4.1160001E7</v>
      </c>
      <c r="I424" s="11" t="s">
        <v>334</v>
      </c>
      <c r="J424" s="11" t="s">
        <v>7</v>
      </c>
      <c r="K424" s="21" t="s">
        <v>84</v>
      </c>
      <c r="L424" s="22">
        <v>250000.0</v>
      </c>
      <c r="M424" s="22"/>
      <c r="N424" s="13" t="s">
        <v>89</v>
      </c>
      <c r="O424" s="21"/>
      <c r="P424" s="23"/>
      <c r="Q424" s="24"/>
    </row>
    <row r="425">
      <c r="A425" s="11">
        <v>2024.0</v>
      </c>
      <c r="B425" s="18" t="s">
        <v>219</v>
      </c>
      <c r="C425" s="13" t="str">
        <f>IFERROR(VLOOKUP(B425,'Regiões'!A:B,2,0),"")</f>
        <v>Turismo da Serra</v>
      </c>
      <c r="D425" s="13" t="s">
        <v>2516</v>
      </c>
      <c r="E425" s="15" t="str">
        <f t="shared" si="12"/>
        <v>Prefeitura Municipal de Nova Petrópolis</v>
      </c>
      <c r="F425" s="17"/>
      <c r="G425" s="18" t="s">
        <v>74</v>
      </c>
      <c r="H425" s="20">
        <v>4.1160001E7</v>
      </c>
      <c r="I425" s="11" t="s">
        <v>334</v>
      </c>
      <c r="J425" s="11" t="s">
        <v>7</v>
      </c>
      <c r="K425" s="21" t="s">
        <v>84</v>
      </c>
      <c r="L425" s="22">
        <v>250000.0</v>
      </c>
      <c r="M425" s="22"/>
      <c r="N425" s="13" t="s">
        <v>89</v>
      </c>
      <c r="O425" s="21"/>
      <c r="P425" s="23"/>
      <c r="Q425" s="24"/>
    </row>
    <row r="426">
      <c r="A426" s="11">
        <v>2024.0</v>
      </c>
      <c r="B426" s="12" t="s">
        <v>820</v>
      </c>
      <c r="C426" s="13" t="str">
        <f>IFERROR(VLOOKUP(B426,'Regiões'!A:B,2,0),"")</f>
        <v>Vale do Rio Pardo</v>
      </c>
      <c r="D426" s="13" t="s">
        <v>2518</v>
      </c>
      <c r="E426" s="15" t="str">
        <f t="shared" si="12"/>
        <v>Prefeitura Municipal de Passo do Sobrado</v>
      </c>
      <c r="F426" s="17"/>
      <c r="G426" s="18" t="s">
        <v>74</v>
      </c>
      <c r="H426" s="20">
        <v>4.1160001E7</v>
      </c>
      <c r="I426" s="11" t="s">
        <v>334</v>
      </c>
      <c r="J426" s="11" t="s">
        <v>7</v>
      </c>
      <c r="K426" s="21" t="s">
        <v>84</v>
      </c>
      <c r="L426" s="22">
        <v>250000.0</v>
      </c>
      <c r="M426" s="22"/>
      <c r="N426" s="13" t="s">
        <v>89</v>
      </c>
      <c r="O426" s="21"/>
      <c r="P426" s="23"/>
      <c r="Q426" s="24"/>
    </row>
    <row r="427">
      <c r="A427" s="11">
        <v>2024.0</v>
      </c>
      <c r="B427" s="12" t="s">
        <v>289</v>
      </c>
      <c r="C427" s="13" t="str">
        <f>IFERROR(VLOOKUP(B427,'Regiões'!A:B,2,0),"")</f>
        <v>Centro Serra</v>
      </c>
      <c r="D427" s="13" t="s">
        <v>2519</v>
      </c>
      <c r="E427" s="15" t="str">
        <f t="shared" si="12"/>
        <v>Prefeitura Municipal de Segredo</v>
      </c>
      <c r="F427" s="17"/>
      <c r="G427" s="18" t="s">
        <v>74</v>
      </c>
      <c r="H427" s="20">
        <v>4.1160001E7</v>
      </c>
      <c r="I427" s="11" t="s">
        <v>334</v>
      </c>
      <c r="J427" s="11" t="s">
        <v>7</v>
      </c>
      <c r="K427" s="21" t="s">
        <v>84</v>
      </c>
      <c r="L427" s="22">
        <v>250000.0</v>
      </c>
      <c r="M427" s="22"/>
      <c r="N427" s="13" t="s">
        <v>89</v>
      </c>
      <c r="O427" s="21"/>
      <c r="P427" s="23"/>
      <c r="Q427" s="24"/>
    </row>
    <row r="428">
      <c r="A428" s="11">
        <v>2024.0</v>
      </c>
      <c r="B428" s="18" t="s">
        <v>298</v>
      </c>
      <c r="C428" s="13" t="str">
        <f>IFERROR(VLOOKUP(B428,'Regiões'!A:B,2,0),"")</f>
        <v>Vale do Paranhana</v>
      </c>
      <c r="D428" s="13" t="s">
        <v>2521</v>
      </c>
      <c r="E428" s="15" t="str">
        <f t="shared" si="12"/>
        <v>Prefeitura Municipal de Três Coroas</v>
      </c>
      <c r="F428" s="17"/>
      <c r="G428" s="18" t="s">
        <v>74</v>
      </c>
      <c r="H428" s="20">
        <v>4.1160001E7</v>
      </c>
      <c r="I428" s="11" t="s">
        <v>334</v>
      </c>
      <c r="J428" s="11" t="s">
        <v>7</v>
      </c>
      <c r="K428" s="21" t="s">
        <v>84</v>
      </c>
      <c r="L428" s="22">
        <v>250000.0</v>
      </c>
      <c r="M428" s="22"/>
      <c r="N428" s="13" t="s">
        <v>89</v>
      </c>
      <c r="O428" s="21"/>
      <c r="P428" s="23"/>
      <c r="Q428" s="24"/>
    </row>
    <row r="429">
      <c r="A429" s="11">
        <v>2024.0</v>
      </c>
      <c r="B429" s="12" t="s">
        <v>355</v>
      </c>
      <c r="C429" s="13" t="str">
        <f>IFERROR(VLOOKUP(B429,'Regiões'!A:B,2,0),"")</f>
        <v>Centro do Estado</v>
      </c>
      <c r="D429" s="13" t="s">
        <v>1937</v>
      </c>
      <c r="E429" s="15" t="str">
        <f t="shared" si="12"/>
        <v>Prefeitura Municipal de Santa Maria</v>
      </c>
      <c r="F429" s="17"/>
      <c r="G429" s="18" t="s">
        <v>74</v>
      </c>
      <c r="H429" s="20">
        <v>4.1160001E7</v>
      </c>
      <c r="I429" s="11" t="s">
        <v>334</v>
      </c>
      <c r="J429" s="11" t="s">
        <v>7</v>
      </c>
      <c r="K429" s="21" t="s">
        <v>84</v>
      </c>
      <c r="L429" s="22">
        <v>250000.0</v>
      </c>
      <c r="M429" s="22"/>
      <c r="N429" s="13" t="s">
        <v>89</v>
      </c>
      <c r="O429" s="21"/>
      <c r="P429" s="23"/>
      <c r="Q429" s="24"/>
    </row>
    <row r="430">
      <c r="A430" s="11">
        <v>2024.0</v>
      </c>
      <c r="B430" s="18" t="s">
        <v>53</v>
      </c>
      <c r="C430" s="13" t="str">
        <f>IFERROR(VLOOKUP(B430,'Regiões'!A:B,2,0),"")</f>
        <v>Vale do Rio Caí</v>
      </c>
      <c r="D430" s="13" t="s">
        <v>2524</v>
      </c>
      <c r="E430" s="15" t="str">
        <f t="shared" si="12"/>
        <v>Prefeitura Municipal de São Sebastião do Caí</v>
      </c>
      <c r="F430" s="17"/>
      <c r="G430" s="18" t="s">
        <v>74</v>
      </c>
      <c r="H430" s="20">
        <v>4.1160002E7</v>
      </c>
      <c r="I430" s="11" t="s">
        <v>903</v>
      </c>
      <c r="J430" s="11" t="s">
        <v>7</v>
      </c>
      <c r="K430" s="21" t="s">
        <v>84</v>
      </c>
      <c r="L430" s="22">
        <v>250000.0</v>
      </c>
      <c r="M430" s="22"/>
      <c r="N430" s="13" t="s">
        <v>89</v>
      </c>
      <c r="O430" s="21"/>
      <c r="P430" s="23"/>
      <c r="Q430" s="24"/>
    </row>
    <row r="431">
      <c r="A431" s="11">
        <v>2024.0</v>
      </c>
      <c r="B431" s="18" t="s">
        <v>76</v>
      </c>
      <c r="C431" s="13" t="str">
        <f>IFERROR(VLOOKUP(B431,'Regiões'!A:B,2,0),"")</f>
        <v>Encosta Superior do Nordeste</v>
      </c>
      <c r="D431" s="13" t="s">
        <v>2525</v>
      </c>
      <c r="E431" s="15" t="str">
        <f t="shared" si="12"/>
        <v>Prefeitura Municipal de Bento Gonçalves</v>
      </c>
      <c r="F431" s="17"/>
      <c r="G431" s="18" t="s">
        <v>74</v>
      </c>
      <c r="H431" s="20">
        <v>4.1160002E7</v>
      </c>
      <c r="I431" s="11" t="s">
        <v>903</v>
      </c>
      <c r="J431" s="11" t="s">
        <v>7</v>
      </c>
      <c r="K431" s="21" t="s">
        <v>84</v>
      </c>
      <c r="L431" s="22">
        <v>250000.0</v>
      </c>
      <c r="M431" s="22"/>
      <c r="N431" s="13" t="s">
        <v>89</v>
      </c>
      <c r="O431" s="21"/>
      <c r="P431" s="23"/>
      <c r="Q431" s="24"/>
    </row>
    <row r="432">
      <c r="A432" s="11">
        <v>2024.0</v>
      </c>
      <c r="B432" s="12" t="s">
        <v>141</v>
      </c>
      <c r="C432" s="13" t="str">
        <f>IFERROR(VLOOKUP(B432,'Regiões'!A:B,2,0),"")</f>
        <v>Vale do Taquari</v>
      </c>
      <c r="D432" s="13" t="s">
        <v>2527</v>
      </c>
      <c r="E432" s="15" t="str">
        <f t="shared" si="12"/>
        <v>Prefeitura Municipal de Encantado</v>
      </c>
      <c r="F432" s="17"/>
      <c r="G432" s="18" t="s">
        <v>74</v>
      </c>
      <c r="H432" s="20">
        <v>4.1160002E7</v>
      </c>
      <c r="I432" s="11" t="s">
        <v>903</v>
      </c>
      <c r="J432" s="11" t="s">
        <v>7</v>
      </c>
      <c r="K432" s="21" t="s">
        <v>84</v>
      </c>
      <c r="L432" s="22">
        <v>250000.0</v>
      </c>
      <c r="M432" s="22"/>
      <c r="N432" s="13" t="s">
        <v>89</v>
      </c>
      <c r="O432" s="21"/>
      <c r="P432" s="23"/>
      <c r="Q432" s="24"/>
    </row>
    <row r="433">
      <c r="A433" s="11">
        <v>2024.0</v>
      </c>
      <c r="B433" s="12" t="s">
        <v>761</v>
      </c>
      <c r="C433" s="13" t="str">
        <f>IFERROR(VLOOKUP(B433,'Regiões'!A:B,2,0),"")</f>
        <v>Vale do Taquari</v>
      </c>
      <c r="D433" s="13" t="s">
        <v>2529</v>
      </c>
      <c r="E433" s="15" t="str">
        <f t="shared" si="12"/>
        <v>Prefeitura Municipal de Marques de Souza</v>
      </c>
      <c r="F433" s="17"/>
      <c r="G433" s="18" t="s">
        <v>74</v>
      </c>
      <c r="H433" s="20">
        <v>4.1160002E7</v>
      </c>
      <c r="I433" s="11" t="s">
        <v>903</v>
      </c>
      <c r="J433" s="11" t="s">
        <v>7</v>
      </c>
      <c r="K433" s="21" t="s">
        <v>84</v>
      </c>
      <c r="L433" s="22">
        <v>250000.0</v>
      </c>
      <c r="M433" s="22"/>
      <c r="N433" s="13" t="s">
        <v>89</v>
      </c>
      <c r="O433" s="21"/>
      <c r="P433" s="23"/>
      <c r="Q433" s="24"/>
    </row>
    <row r="434">
      <c r="A434" s="11">
        <v>2024.0</v>
      </c>
      <c r="B434" s="12" t="s">
        <v>624</v>
      </c>
      <c r="C434" s="13" t="str">
        <f>IFERROR(VLOOKUP(B434,'Regiões'!A:B,2,0),"")</f>
        <v>Metropolitana de Porto Alegre</v>
      </c>
      <c r="D434" s="13" t="s">
        <v>2531</v>
      </c>
      <c r="E434" s="15" t="str">
        <f t="shared" si="12"/>
        <v>Prefeitura Municipal de Eldorado do Sul</v>
      </c>
      <c r="F434" s="17"/>
      <c r="G434" s="18" t="s">
        <v>74</v>
      </c>
      <c r="H434" s="20">
        <v>4.1160005E7</v>
      </c>
      <c r="I434" s="11" t="s">
        <v>79</v>
      </c>
      <c r="J434" s="11" t="s">
        <v>79</v>
      </c>
      <c r="K434" s="21" t="s">
        <v>84</v>
      </c>
      <c r="L434" s="22">
        <v>250000.0</v>
      </c>
      <c r="M434" s="22"/>
      <c r="N434" s="13" t="s">
        <v>89</v>
      </c>
      <c r="O434" s="21"/>
      <c r="P434" s="23"/>
      <c r="Q434" s="24"/>
    </row>
    <row r="435">
      <c r="A435" s="11">
        <v>2025.0</v>
      </c>
      <c r="B435" s="18" t="s">
        <v>518</v>
      </c>
      <c r="C435" s="13" t="str">
        <f>IFERROR(VLOOKUP(B435,'Regiões'!A:B,2,0),"")</f>
        <v>Zona Sul</v>
      </c>
      <c r="D435" s="13" t="s">
        <v>2533</v>
      </c>
      <c r="E435" s="15" t="s">
        <v>2534</v>
      </c>
      <c r="F435" s="17">
        <v>1.2071532000107E13</v>
      </c>
      <c r="G435" s="18" t="s">
        <v>74</v>
      </c>
      <c r="H435" s="293">
        <v>4.1160004E7</v>
      </c>
      <c r="I435" s="11" t="s">
        <v>6</v>
      </c>
      <c r="J435" s="11" t="s">
        <v>7</v>
      </c>
      <c r="K435" s="21" t="s">
        <v>152</v>
      </c>
      <c r="L435" s="298">
        <v>250000.0</v>
      </c>
      <c r="M435" s="298"/>
      <c r="N435" s="13" t="s">
        <v>89</v>
      </c>
      <c r="O435" s="21"/>
      <c r="P435" s="402" t="s">
        <v>2535</v>
      </c>
      <c r="Q435" s="24"/>
    </row>
    <row r="436">
      <c r="A436" s="11">
        <v>2025.0</v>
      </c>
      <c r="B436" s="18" t="s">
        <v>713</v>
      </c>
      <c r="C436" s="13" t="str">
        <f>IFERROR(VLOOKUP(B436,'Regiões'!A:B,2,0),"")</f>
        <v>Zona da Produção</v>
      </c>
      <c r="D436" s="13" t="s">
        <v>2536</v>
      </c>
      <c r="E436" s="15" t="s">
        <v>2537</v>
      </c>
      <c r="F436" s="17">
        <v>1.2364539000109E13</v>
      </c>
      <c r="G436" s="12" t="s">
        <v>2537</v>
      </c>
      <c r="H436" s="293">
        <v>4.1160003E7</v>
      </c>
      <c r="I436" s="11" t="s">
        <v>9</v>
      </c>
      <c r="J436" s="11" t="s">
        <v>7</v>
      </c>
      <c r="K436" s="21" t="s">
        <v>152</v>
      </c>
      <c r="L436" s="298">
        <v>250000.0</v>
      </c>
      <c r="M436" s="298"/>
      <c r="N436" s="13" t="s">
        <v>89</v>
      </c>
      <c r="O436" s="21"/>
      <c r="P436" s="402" t="s">
        <v>2538</v>
      </c>
      <c r="Q436" s="24"/>
    </row>
    <row r="437">
      <c r="A437" s="11">
        <v>2025.0</v>
      </c>
      <c r="B437" s="18" t="s">
        <v>96</v>
      </c>
      <c r="C437" s="13" t="str">
        <f>IFERROR(VLOOKUP(B437,'Regiões'!A:B,2,0),"")</f>
        <v>Zona Sul</v>
      </c>
      <c r="D437" s="13" t="s">
        <v>2539</v>
      </c>
      <c r="E437" s="15" t="s">
        <v>2540</v>
      </c>
      <c r="F437" s="17">
        <v>9.4862265000142E13</v>
      </c>
      <c r="G437" s="12" t="s">
        <v>2540</v>
      </c>
      <c r="H437" s="72">
        <v>4.1160004E7</v>
      </c>
      <c r="I437" s="11" t="s">
        <v>6</v>
      </c>
      <c r="J437" s="11" t="s">
        <v>7</v>
      </c>
      <c r="K437" s="21" t="s">
        <v>152</v>
      </c>
      <c r="L437" s="309">
        <v>250000.0</v>
      </c>
      <c r="M437" s="309"/>
      <c r="N437" s="13" t="s">
        <v>89</v>
      </c>
      <c r="O437" s="21"/>
      <c r="P437" s="56" t="s">
        <v>2541</v>
      </c>
      <c r="Q437" s="24"/>
    </row>
    <row r="438">
      <c r="A438" s="11">
        <v>2026.0</v>
      </c>
      <c r="B438" s="18" t="s">
        <v>634</v>
      </c>
      <c r="C438" s="13" t="str">
        <f>IFERROR(VLOOKUP(B438,'Regiões'!A:B,2,0),"")</f>
        <v>Zona Sul</v>
      </c>
      <c r="D438" s="13" t="s">
        <v>2542</v>
      </c>
      <c r="E438" s="25" t="s">
        <v>2165</v>
      </c>
      <c r="F438" s="17">
        <v>8.965925400012E13</v>
      </c>
      <c r="G438" s="18" t="s">
        <v>2160</v>
      </c>
      <c r="H438" s="20">
        <v>4.1160003E7</v>
      </c>
      <c r="I438" s="11" t="s">
        <v>2162</v>
      </c>
      <c r="J438" s="2" t="s">
        <v>7</v>
      </c>
      <c r="K438" s="21" t="s">
        <v>152</v>
      </c>
      <c r="L438" s="22">
        <v>250000.0</v>
      </c>
      <c r="M438" s="22"/>
      <c r="N438" s="11" t="s">
        <v>155</v>
      </c>
      <c r="O438" s="21"/>
      <c r="P438" s="23"/>
      <c r="Q438" s="24"/>
    </row>
    <row r="439">
      <c r="A439" s="11">
        <v>2026.0</v>
      </c>
      <c r="B439" s="18" t="s">
        <v>468</v>
      </c>
      <c r="C439" s="13" t="str">
        <f>IFERROR(VLOOKUP(B439,'Regiões'!A:B,2,0),"")</f>
        <v>Sudoeste do Estado</v>
      </c>
      <c r="D439" s="648" t="s">
        <v>2543</v>
      </c>
      <c r="E439" s="18" t="s">
        <v>468</v>
      </c>
      <c r="F439" s="17">
        <v>1.1973128000158E13</v>
      </c>
      <c r="G439" s="18" t="s">
        <v>2184</v>
      </c>
      <c r="H439" s="20">
        <v>4.1160013E7</v>
      </c>
      <c r="I439" s="11" t="s">
        <v>2185</v>
      </c>
      <c r="J439" s="2" t="s">
        <v>7</v>
      </c>
      <c r="K439" s="21" t="s">
        <v>152</v>
      </c>
      <c r="L439" s="22">
        <v>250000.0</v>
      </c>
      <c r="M439" s="22"/>
      <c r="N439" s="11" t="s">
        <v>155</v>
      </c>
      <c r="O439" s="21"/>
      <c r="P439" s="23"/>
      <c r="Q439" s="24"/>
    </row>
    <row r="440">
      <c r="A440" s="11">
        <v>2026.0</v>
      </c>
      <c r="B440" s="18" t="s">
        <v>741</v>
      </c>
      <c r="C440" s="13" t="str">
        <f>IFERROR(VLOOKUP(B440,'Regiões'!A:B,2,0),"")</f>
        <v>Alto Jacuí</v>
      </c>
      <c r="D440" s="648" t="s">
        <v>2544</v>
      </c>
      <c r="E440" s="18" t="s">
        <v>741</v>
      </c>
      <c r="F440" s="17">
        <v>1.3540084000106E13</v>
      </c>
      <c r="G440" s="18" t="s">
        <v>2545</v>
      </c>
      <c r="H440" s="20">
        <v>4.1160013E7</v>
      </c>
      <c r="I440" s="11" t="s">
        <v>2185</v>
      </c>
      <c r="J440" s="2" t="s">
        <v>7</v>
      </c>
      <c r="K440" s="21" t="s">
        <v>152</v>
      </c>
      <c r="L440" s="22">
        <v>250000.0</v>
      </c>
      <c r="M440" s="22"/>
      <c r="N440" s="11" t="s">
        <v>155</v>
      </c>
      <c r="O440" s="21"/>
      <c r="P440" s="23"/>
      <c r="Q440" s="24"/>
    </row>
    <row r="441">
      <c r="A441" s="11">
        <v>2026.0</v>
      </c>
      <c r="B441" s="18" t="s">
        <v>744</v>
      </c>
      <c r="C441" s="13" t="str">
        <f>IFERROR(VLOOKUP(B441,'Regiões'!A:B,2,0),"")</f>
        <v>Turismo da Serra</v>
      </c>
      <c r="D441" s="13" t="s">
        <v>2546</v>
      </c>
      <c r="E441" s="18" t="s">
        <v>744</v>
      </c>
      <c r="F441" s="17">
        <v>1.1971665000169E13</v>
      </c>
      <c r="G441" s="18" t="s">
        <v>2184</v>
      </c>
      <c r="H441" s="20">
        <v>4.1160013E7</v>
      </c>
      <c r="I441" s="11" t="s">
        <v>2185</v>
      </c>
      <c r="J441" s="2" t="s">
        <v>7</v>
      </c>
      <c r="K441" s="21" t="s">
        <v>152</v>
      </c>
      <c r="L441" s="22">
        <v>250000.0</v>
      </c>
      <c r="M441" s="22"/>
      <c r="N441" s="11" t="s">
        <v>155</v>
      </c>
      <c r="O441" s="21"/>
      <c r="P441" s="23"/>
      <c r="Q441" s="24"/>
    </row>
    <row r="442">
      <c r="A442" s="11">
        <v>2026.0</v>
      </c>
      <c r="B442" s="18" t="s">
        <v>2548</v>
      </c>
      <c r="C442" s="13" t="str">
        <f>IFERROR(VLOOKUP(B442,'Regiões'!A:B,2,0),"")</f>
        <v/>
      </c>
      <c r="D442" s="13"/>
      <c r="E442" s="25" t="s">
        <v>2549</v>
      </c>
      <c r="F442" s="17">
        <v>5.014488500017E13</v>
      </c>
      <c r="G442" s="18" t="s">
        <v>2551</v>
      </c>
      <c r="H442" s="20">
        <v>7.1220001E7</v>
      </c>
      <c r="I442" s="11" t="s">
        <v>7</v>
      </c>
      <c r="J442" s="11" t="s">
        <v>7</v>
      </c>
      <c r="K442" s="21" t="s">
        <v>2162</v>
      </c>
      <c r="L442" s="22">
        <v>250000.0</v>
      </c>
      <c r="M442" s="22"/>
      <c r="N442" s="11" t="s">
        <v>2552</v>
      </c>
      <c r="O442" s="21"/>
      <c r="P442" s="23"/>
      <c r="Q442" s="24"/>
    </row>
    <row r="443">
      <c r="A443" s="11">
        <v>2026.0</v>
      </c>
      <c r="B443" s="18" t="s">
        <v>76</v>
      </c>
      <c r="C443" s="13" t="str">
        <f>IFERROR(VLOOKUP(B443,'Regiões'!A:B,2,0),"")</f>
        <v>Encosta Superior do Nordeste</v>
      </c>
      <c r="D443" s="13"/>
      <c r="E443" s="25" t="s">
        <v>2553</v>
      </c>
      <c r="F443" s="17">
        <v>8.754744400012E13</v>
      </c>
      <c r="G443" s="25" t="s">
        <v>2553</v>
      </c>
      <c r="H443" s="20">
        <v>7.1220001E7</v>
      </c>
      <c r="I443" s="11" t="s">
        <v>7</v>
      </c>
      <c r="J443" s="11" t="s">
        <v>7</v>
      </c>
      <c r="K443" s="21" t="s">
        <v>2162</v>
      </c>
      <c r="L443" s="22">
        <v>250000.0</v>
      </c>
      <c r="M443" s="22"/>
      <c r="N443" s="11" t="s">
        <v>2552</v>
      </c>
      <c r="O443" s="21"/>
      <c r="P443" s="23"/>
      <c r="Q443" s="24"/>
    </row>
    <row r="444">
      <c r="A444" s="11">
        <v>2026.0</v>
      </c>
      <c r="B444" s="18" t="s">
        <v>191</v>
      </c>
      <c r="C444" s="13" t="str">
        <f>IFERROR(VLOOKUP(B444,'Regiões'!A:B,2,0),"")</f>
        <v>Vale do Paranhana</v>
      </c>
      <c r="D444" s="13"/>
      <c r="E444" s="25" t="s">
        <v>2554</v>
      </c>
      <c r="F444" s="17">
        <v>1.2121651000119E13</v>
      </c>
      <c r="G444" s="18" t="s">
        <v>2556</v>
      </c>
      <c r="H444" s="20">
        <v>7.1220002E7</v>
      </c>
      <c r="I444" s="11" t="s">
        <v>7</v>
      </c>
      <c r="J444" s="11" t="s">
        <v>7</v>
      </c>
      <c r="K444" s="21" t="s">
        <v>2557</v>
      </c>
      <c r="L444" s="22">
        <v>250000.0</v>
      </c>
      <c r="M444" s="22"/>
      <c r="N444" s="11" t="s">
        <v>2552</v>
      </c>
      <c r="O444" s="21"/>
      <c r="P444" s="23"/>
      <c r="Q444" s="24"/>
    </row>
    <row r="445">
      <c r="A445" s="11">
        <v>2026.0</v>
      </c>
      <c r="B445" s="18" t="s">
        <v>127</v>
      </c>
      <c r="C445" s="13" t="str">
        <f>IFERROR(VLOOKUP(B445,'Regiões'!A:B,2,0),"")</f>
        <v>Metropolitana de Porto Alegre</v>
      </c>
      <c r="D445" s="13"/>
      <c r="E445" s="25" t="s">
        <v>2558</v>
      </c>
      <c r="F445" s="17">
        <v>9.2815000000168E13</v>
      </c>
      <c r="G445" s="25" t="s">
        <v>2558</v>
      </c>
      <c r="H445" s="20">
        <v>7.1220001E7</v>
      </c>
      <c r="I445" s="11" t="s">
        <v>7</v>
      </c>
      <c r="J445" s="11" t="s">
        <v>7</v>
      </c>
      <c r="K445" s="21" t="s">
        <v>2162</v>
      </c>
      <c r="L445" s="22">
        <v>250000.0</v>
      </c>
      <c r="M445" s="22"/>
      <c r="N445" s="11" t="s">
        <v>2552</v>
      </c>
      <c r="O445" s="21"/>
      <c r="P445" s="23"/>
      <c r="Q445" s="24"/>
    </row>
    <row r="446">
      <c r="A446" s="11">
        <v>2026.0</v>
      </c>
      <c r="B446" s="18" t="s">
        <v>239</v>
      </c>
      <c r="C446" s="13" t="str">
        <f>IFERROR(VLOOKUP(B446,'Regiões'!A:B,2,0),"")</f>
        <v>Metropolitana de Porto Alegre</v>
      </c>
      <c r="D446" s="13" t="s">
        <v>2559</v>
      </c>
      <c r="E446" s="25" t="s">
        <v>2560</v>
      </c>
      <c r="F446" s="17">
        <v>1.1055682000156E13</v>
      </c>
      <c r="G446" s="25" t="s">
        <v>2560</v>
      </c>
      <c r="H446" s="20">
        <v>7.1220001E7</v>
      </c>
      <c r="I446" s="11" t="s">
        <v>7</v>
      </c>
      <c r="J446" s="11" t="s">
        <v>7</v>
      </c>
      <c r="K446" s="21" t="s">
        <v>2162</v>
      </c>
      <c r="L446" s="22">
        <v>250000.0</v>
      </c>
      <c r="M446" s="22"/>
      <c r="N446" s="11" t="s">
        <v>2552</v>
      </c>
      <c r="O446" s="21"/>
      <c r="P446" s="23"/>
      <c r="Q446" s="24"/>
    </row>
    <row r="447">
      <c r="A447" s="11">
        <v>2026.0</v>
      </c>
      <c r="B447" s="18" t="s">
        <v>48</v>
      </c>
      <c r="C447" s="13" t="str">
        <f>IFERROR(VLOOKUP(B447,'Regiões'!A:B,2,0),"")</f>
        <v>Turismo da Serra</v>
      </c>
      <c r="D447" s="13"/>
      <c r="E447" s="25" t="s">
        <v>2562</v>
      </c>
      <c r="F447" s="17">
        <v>1.1796566000198E13</v>
      </c>
      <c r="G447" s="18" t="s">
        <v>2563</v>
      </c>
      <c r="H447" s="20">
        <v>7.1220002E7</v>
      </c>
      <c r="I447" s="11" t="s">
        <v>7</v>
      </c>
      <c r="J447" s="11" t="s">
        <v>7</v>
      </c>
      <c r="K447" s="21" t="s">
        <v>2557</v>
      </c>
      <c r="L447" s="22">
        <v>250000.0</v>
      </c>
      <c r="M447" s="22"/>
      <c r="N447" s="11" t="s">
        <v>2552</v>
      </c>
      <c r="O447" s="21"/>
      <c r="P447" s="23"/>
      <c r="Q447" s="24"/>
    </row>
    <row r="448">
      <c r="A448" s="13">
        <v>2023.0</v>
      </c>
      <c r="B448" s="79" t="s">
        <v>239</v>
      </c>
      <c r="C448" s="13" t="str">
        <f>IFERROR(VLOOKUP(B448,'Regiões'!A:B,2,0),"")</f>
        <v>Metropolitana de Porto Alegre</v>
      </c>
      <c r="D448" s="13" t="s">
        <v>1952</v>
      </c>
      <c r="E448" s="80" t="s">
        <v>220</v>
      </c>
      <c r="F448" s="81"/>
      <c r="G448" s="79" t="s">
        <v>2564</v>
      </c>
      <c r="H448" s="82"/>
      <c r="I448" s="13" t="s">
        <v>2460</v>
      </c>
      <c r="J448" s="13" t="str">
        <f t="shared" ref="J448:J449" si="13">LEFT(I448,FIND(" (",I448) - 1)</f>
        <v>Infraestrutura</v>
      </c>
      <c r="K448" s="13" t="s">
        <v>152</v>
      </c>
      <c r="L448" s="83">
        <v>250802.2</v>
      </c>
      <c r="M448" s="83"/>
      <c r="N448" s="13" t="s">
        <v>89</v>
      </c>
      <c r="O448" s="13" t="s">
        <v>265</v>
      </c>
      <c r="P448" s="80" t="s">
        <v>2565</v>
      </c>
      <c r="Q448" s="79"/>
    </row>
    <row r="449">
      <c r="A449" s="13">
        <v>2023.0</v>
      </c>
      <c r="B449" s="79" t="s">
        <v>311</v>
      </c>
      <c r="C449" s="13" t="str">
        <f>IFERROR(VLOOKUP(B449,'Regiões'!A:B,2,0),"")</f>
        <v>Vale do Rio Caí</v>
      </c>
      <c r="D449" s="13" t="s">
        <v>1110</v>
      </c>
      <c r="E449" s="80" t="s">
        <v>220</v>
      </c>
      <c r="F449" s="81"/>
      <c r="G449" s="79" t="s">
        <v>2566</v>
      </c>
      <c r="H449" s="82"/>
      <c r="I449" s="13" t="s">
        <v>2460</v>
      </c>
      <c r="J449" s="13" t="str">
        <f t="shared" si="13"/>
        <v>Infraestrutura</v>
      </c>
      <c r="K449" s="13" t="s">
        <v>152</v>
      </c>
      <c r="L449" s="83">
        <v>250847.5</v>
      </c>
      <c r="M449" s="83"/>
      <c r="N449" s="13" t="s">
        <v>89</v>
      </c>
      <c r="O449" s="13" t="s">
        <v>265</v>
      </c>
      <c r="P449" s="80" t="s">
        <v>2567</v>
      </c>
      <c r="Q449" s="79"/>
    </row>
    <row r="450">
      <c r="A450" s="11">
        <v>2025.0</v>
      </c>
      <c r="B450" s="18" t="s">
        <v>449</v>
      </c>
      <c r="C450" s="13" t="str">
        <f>IFERROR(VLOOKUP(B450,'Regiões'!A:B,2,0),"")</f>
        <v>Costa Doce</v>
      </c>
      <c r="D450" s="13" t="s">
        <v>2568</v>
      </c>
      <c r="E450" s="15" t="s">
        <v>2569</v>
      </c>
      <c r="F450" s="17">
        <v>4.994418000546E12</v>
      </c>
      <c r="G450" s="12" t="s">
        <v>2569</v>
      </c>
      <c r="H450" s="72">
        <v>4.1160004E7</v>
      </c>
      <c r="I450" s="11" t="s">
        <v>6</v>
      </c>
      <c r="J450" s="11" t="s">
        <v>7</v>
      </c>
      <c r="K450" s="21" t="s">
        <v>152</v>
      </c>
      <c r="L450" s="309">
        <v>253457.0</v>
      </c>
      <c r="M450" s="309"/>
      <c r="N450" s="13" t="s">
        <v>89</v>
      </c>
      <c r="O450" s="21"/>
      <c r="P450" s="56" t="s">
        <v>2570</v>
      </c>
      <c r="Q450" s="24"/>
    </row>
    <row r="451">
      <c r="A451" s="11">
        <v>2024.0</v>
      </c>
      <c r="B451" s="12" t="s">
        <v>69</v>
      </c>
      <c r="C451" s="13" t="str">
        <f>IFERROR(VLOOKUP(B451,'Regiões'!A:B,2,0),"")</f>
        <v>Vale do Rio Pardo</v>
      </c>
      <c r="D451" s="13" t="s">
        <v>2572</v>
      </c>
      <c r="E451" s="15" t="str">
        <f>G451&amp;" de "&amp;B451</f>
        <v>Prefeitura Municipal de Vera Cruz</v>
      </c>
      <c r="F451" s="17"/>
      <c r="G451" s="18" t="s">
        <v>74</v>
      </c>
      <c r="H451" s="20">
        <v>4.1160001E7</v>
      </c>
      <c r="I451" s="11" t="s">
        <v>334</v>
      </c>
      <c r="J451" s="11" t="s">
        <v>7</v>
      </c>
      <c r="K451" s="21" t="s">
        <v>84</v>
      </c>
      <c r="L451" s="22">
        <v>253755.0</v>
      </c>
      <c r="M451" s="22"/>
      <c r="N451" s="13" t="s">
        <v>89</v>
      </c>
      <c r="O451" s="21"/>
      <c r="P451" s="23"/>
      <c r="Q451" s="24"/>
    </row>
    <row r="452">
      <c r="A452" s="13">
        <v>2023.0</v>
      </c>
      <c r="B452" s="55" t="s">
        <v>468</v>
      </c>
      <c r="C452" s="13" t="str">
        <f>IFERROR(VLOOKUP(B452,'Regiões'!A:B,2,0),"")</f>
        <v>Sudoeste do Estado</v>
      </c>
      <c r="D452" s="13" t="s">
        <v>2573</v>
      </c>
      <c r="E452" s="56" t="s">
        <v>485</v>
      </c>
      <c r="F452" s="358"/>
      <c r="G452" s="55" t="s">
        <v>2574</v>
      </c>
      <c r="H452" s="59"/>
      <c r="I452" s="13" t="s">
        <v>1307</v>
      </c>
      <c r="J452" s="13" t="str">
        <f>LEFT(I452,FIND(" (",I452) - 1)</f>
        <v>Saúde</v>
      </c>
      <c r="K452" s="13" t="s">
        <v>152</v>
      </c>
      <c r="L452" s="393">
        <v>260000.0</v>
      </c>
      <c r="M452" s="393"/>
      <c r="N452" s="13" t="s">
        <v>89</v>
      </c>
      <c r="O452" s="13" t="s">
        <v>265</v>
      </c>
      <c r="P452" s="61" t="s">
        <v>2576</v>
      </c>
      <c r="Q452" s="62"/>
    </row>
    <row r="453">
      <c r="A453" s="11">
        <v>2025.0</v>
      </c>
      <c r="B453" s="18" t="s">
        <v>678</v>
      </c>
      <c r="C453" s="13" t="str">
        <f>IFERROR(VLOOKUP(B453,'Regiões'!A:B,2,0),"")</f>
        <v>Missões</v>
      </c>
      <c r="D453" s="13" t="s">
        <v>2578</v>
      </c>
      <c r="E453" s="15" t="s">
        <v>2579</v>
      </c>
      <c r="F453" s="17">
        <v>9.0456070000141E13</v>
      </c>
      <c r="G453" s="12" t="s">
        <v>2579</v>
      </c>
      <c r="H453" s="293">
        <v>4.1160004E7</v>
      </c>
      <c r="I453" s="11" t="s">
        <v>6</v>
      </c>
      <c r="J453" s="11" t="s">
        <v>7</v>
      </c>
      <c r="K453" s="21" t="s">
        <v>152</v>
      </c>
      <c r="L453" s="298">
        <v>260000.0</v>
      </c>
      <c r="M453" s="298"/>
      <c r="N453" s="13" t="s">
        <v>89</v>
      </c>
      <c r="O453" s="21"/>
      <c r="P453" s="402" t="s">
        <v>2580</v>
      </c>
      <c r="Q453" s="24"/>
    </row>
    <row r="454">
      <c r="A454" s="334">
        <v>2022.0</v>
      </c>
      <c r="B454" s="334" t="s">
        <v>632</v>
      </c>
      <c r="C454" s="334" t="str">
        <f>IFERROR(VLOOKUP(B454,'Regiões'!A:B,2,0),"")</f>
        <v>Alto Uruguai</v>
      </c>
      <c r="D454" s="334" t="s">
        <v>1125</v>
      </c>
      <c r="E454" s="337" t="s">
        <v>485</v>
      </c>
      <c r="F454" s="420"/>
      <c r="G454" s="422" t="s">
        <v>1126</v>
      </c>
      <c r="H454" s="343">
        <v>4.1160003E7</v>
      </c>
      <c r="I454" s="334" t="s">
        <v>1087</v>
      </c>
      <c r="J454" s="334" t="s">
        <v>7</v>
      </c>
      <c r="K454" s="334" t="s">
        <v>152</v>
      </c>
      <c r="L454" s="345">
        <v>260500.0</v>
      </c>
      <c r="M454" s="345"/>
      <c r="N454" s="334" t="s">
        <v>200</v>
      </c>
      <c r="O454" s="334" t="s">
        <v>265</v>
      </c>
      <c r="P454" s="347" t="s">
        <v>1546</v>
      </c>
      <c r="Q454" s="348"/>
    </row>
    <row r="455">
      <c r="A455" s="47">
        <v>2020.0</v>
      </c>
      <c r="B455" s="47" t="s">
        <v>127</v>
      </c>
      <c r="C455" s="13" t="str">
        <f>IFERROR(VLOOKUP(B455,'Regiões'!A:B,2,0),"")</f>
        <v>Metropolitana de Porto Alegre</v>
      </c>
      <c r="D455" s="29" t="s">
        <v>2582</v>
      </c>
      <c r="E455" s="49" t="s">
        <v>139</v>
      </c>
      <c r="F455" s="50"/>
      <c r="G455" s="47" t="s">
        <v>1340</v>
      </c>
      <c r="H455" s="777">
        <v>4.1160006E7</v>
      </c>
      <c r="I455" s="47" t="s">
        <v>151</v>
      </c>
      <c r="J455" s="47" t="s">
        <v>27</v>
      </c>
      <c r="K455" s="47" t="s">
        <v>152</v>
      </c>
      <c r="L455" s="52">
        <v>261914.0</v>
      </c>
      <c r="M455" s="52"/>
      <c r="N455" s="47" t="s">
        <v>155</v>
      </c>
      <c r="O455" s="47" t="s">
        <v>1315</v>
      </c>
      <c r="P455" s="53" t="s">
        <v>1700</v>
      </c>
      <c r="Q455" s="54"/>
    </row>
    <row r="456">
      <c r="A456" s="13">
        <v>2023.0</v>
      </c>
      <c r="B456" s="79" t="s">
        <v>338</v>
      </c>
      <c r="C456" s="13" t="str">
        <f>IFERROR(VLOOKUP(B456,'Regiões'!A:B,2,0),"")</f>
        <v>Vale do Rio Caí</v>
      </c>
      <c r="D456" s="13" t="s">
        <v>1152</v>
      </c>
      <c r="E456" s="80" t="s">
        <v>220</v>
      </c>
      <c r="F456" s="81"/>
      <c r="G456" s="79" t="s">
        <v>1273</v>
      </c>
      <c r="H456" s="82"/>
      <c r="I456" s="13" t="s">
        <v>2460</v>
      </c>
      <c r="J456" s="13" t="str">
        <f>LEFT(I456,FIND(" (",I456) - 1)</f>
        <v>Infraestrutura</v>
      </c>
      <c r="K456" s="13" t="s">
        <v>152</v>
      </c>
      <c r="L456" s="83">
        <v>264000.0</v>
      </c>
      <c r="M456" s="83"/>
      <c r="N456" s="13" t="s">
        <v>89</v>
      </c>
      <c r="O456" s="13" t="s">
        <v>265</v>
      </c>
      <c r="P456" s="80" t="s">
        <v>2583</v>
      </c>
      <c r="Q456" s="79"/>
    </row>
    <row r="457">
      <c r="A457" s="11">
        <v>2024.0</v>
      </c>
      <c r="B457" s="12" t="s">
        <v>545</v>
      </c>
      <c r="C457" s="13" t="str">
        <f>IFERROR(VLOOKUP(B457,'Regiões'!A:B,2,0),"")</f>
        <v>Vale do Taquari</v>
      </c>
      <c r="D457" s="13" t="s">
        <v>2584</v>
      </c>
      <c r="E457" s="15" t="str">
        <f>G457&amp;" de "&amp;B457</f>
        <v>Prefeitura Municipal de Roca Sales</v>
      </c>
      <c r="F457" s="17"/>
      <c r="G457" s="18" t="s">
        <v>74</v>
      </c>
      <c r="H457" s="20">
        <v>4.1160004E7</v>
      </c>
      <c r="I457" s="11" t="s">
        <v>1048</v>
      </c>
      <c r="J457" s="11" t="s">
        <v>7</v>
      </c>
      <c r="K457" s="21" t="s">
        <v>152</v>
      </c>
      <c r="L457" s="22">
        <v>268358.0</v>
      </c>
      <c r="M457" s="22"/>
      <c r="N457" s="13" t="s">
        <v>89</v>
      </c>
      <c r="O457" s="21"/>
      <c r="P457" s="23"/>
      <c r="Q457" s="24"/>
    </row>
    <row r="458">
      <c r="A458" s="11">
        <v>2025.0</v>
      </c>
      <c r="B458" s="18" t="s">
        <v>883</v>
      </c>
      <c r="C458" s="13" t="str">
        <f>IFERROR(VLOOKUP(B458,'Regiões'!A:B,2,0),"")</f>
        <v>Fronteira Noroeste</v>
      </c>
      <c r="D458" s="13" t="s">
        <v>2585</v>
      </c>
      <c r="E458" s="15" t="s">
        <v>2586</v>
      </c>
      <c r="F458" s="17">
        <v>9.5815668000101E13</v>
      </c>
      <c r="G458" s="12" t="s">
        <v>2586</v>
      </c>
      <c r="H458" s="72">
        <v>4.1160004E7</v>
      </c>
      <c r="I458" s="11" t="s">
        <v>6</v>
      </c>
      <c r="J458" s="11" t="s">
        <v>7</v>
      </c>
      <c r="K458" s="21" t="s">
        <v>152</v>
      </c>
      <c r="L458" s="309">
        <v>270000.0</v>
      </c>
      <c r="M458" s="309"/>
      <c r="N458" s="13" t="s">
        <v>89</v>
      </c>
      <c r="O458" s="21"/>
      <c r="P458" s="312" t="s">
        <v>2588</v>
      </c>
      <c r="Q458" s="24"/>
    </row>
    <row r="459">
      <c r="A459" s="11">
        <v>2025.0</v>
      </c>
      <c r="B459" s="18" t="s">
        <v>512</v>
      </c>
      <c r="C459" s="13" t="str">
        <f>IFERROR(VLOOKUP(B459,'Regiões'!A:B,2,0),"")</f>
        <v>Fronteira Noroeste</v>
      </c>
      <c r="D459" s="13" t="s">
        <v>2589</v>
      </c>
      <c r="E459" s="15" t="s">
        <v>2590</v>
      </c>
      <c r="F459" s="17">
        <v>9.6419353000108E13</v>
      </c>
      <c r="G459" s="12" t="s">
        <v>2590</v>
      </c>
      <c r="H459" s="293">
        <v>4.1160004E7</v>
      </c>
      <c r="I459" s="11" t="s">
        <v>6</v>
      </c>
      <c r="J459" s="11" t="s">
        <v>7</v>
      </c>
      <c r="K459" s="21" t="s">
        <v>152</v>
      </c>
      <c r="L459" s="298">
        <v>272138.0</v>
      </c>
      <c r="M459" s="298"/>
      <c r="N459" s="13" t="s">
        <v>89</v>
      </c>
      <c r="O459" s="21"/>
      <c r="P459" s="402" t="s">
        <v>2592</v>
      </c>
      <c r="Q459" s="24"/>
    </row>
    <row r="460">
      <c r="A460" s="11">
        <v>2025.0</v>
      </c>
      <c r="B460" s="18" t="s">
        <v>127</v>
      </c>
      <c r="C460" s="13" t="str">
        <f>IFERROR(VLOOKUP(B460,'Regiões'!A:B,2,0),"")</f>
        <v>Metropolitana de Porto Alegre</v>
      </c>
      <c r="D460" s="13" t="s">
        <v>2593</v>
      </c>
      <c r="E460" s="15" t="s">
        <v>2331</v>
      </c>
      <c r="F460" s="17">
        <v>8.7182846000178E13</v>
      </c>
      <c r="G460" s="18" t="s">
        <v>74</v>
      </c>
      <c r="H460" s="72">
        <v>4.1160002E7</v>
      </c>
      <c r="I460" s="11" t="s">
        <v>237</v>
      </c>
      <c r="J460" s="11" t="s">
        <v>7</v>
      </c>
      <c r="K460" s="21" t="s">
        <v>84</v>
      </c>
      <c r="L460" s="73">
        <v>273811.0</v>
      </c>
      <c r="M460" s="73"/>
      <c r="N460" s="13" t="s">
        <v>89</v>
      </c>
      <c r="O460" s="21"/>
      <c r="P460" s="56" t="s">
        <v>1426</v>
      </c>
      <c r="Q460" s="24"/>
    </row>
    <row r="461">
      <c r="A461" s="11">
        <v>2024.0</v>
      </c>
      <c r="B461" s="12" t="s">
        <v>400</v>
      </c>
      <c r="C461" s="13" t="str">
        <f>IFERROR(VLOOKUP(B461,'Regiões'!A:B,2,0),"")</f>
        <v>Vale do Paranhana</v>
      </c>
      <c r="D461" s="13" t="s">
        <v>2594</v>
      </c>
      <c r="E461" s="15" t="str">
        <f>G461&amp;" de "&amp;B461</f>
        <v>Prefeitura Municipal de Taquara</v>
      </c>
      <c r="F461" s="17"/>
      <c r="G461" s="18" t="s">
        <v>74</v>
      </c>
      <c r="H461" s="20">
        <v>4.1160004E7</v>
      </c>
      <c r="I461" s="11" t="s">
        <v>1048</v>
      </c>
      <c r="J461" s="11" t="s">
        <v>7</v>
      </c>
      <c r="K461" s="21" t="s">
        <v>152</v>
      </c>
      <c r="L461" s="22">
        <v>279569.0</v>
      </c>
      <c r="M461" s="22"/>
      <c r="N461" s="13" t="s">
        <v>89</v>
      </c>
      <c r="O461" s="21"/>
      <c r="P461" s="23"/>
      <c r="Q461" s="24"/>
    </row>
    <row r="462">
      <c r="A462" s="64">
        <v>2020.0</v>
      </c>
      <c r="B462" s="64" t="s">
        <v>127</v>
      </c>
      <c r="C462" s="13" t="str">
        <f>IFERROR(VLOOKUP(B462,'Regiões'!A:B,2,0),"")</f>
        <v>Metropolitana de Porto Alegre</v>
      </c>
      <c r="D462" s="29" t="s">
        <v>2595</v>
      </c>
      <c r="E462" s="65" t="s">
        <v>1097</v>
      </c>
      <c r="F462" s="66"/>
      <c r="G462" s="64" t="s">
        <v>1097</v>
      </c>
      <c r="H462" s="71">
        <v>4.1160007E7</v>
      </c>
      <c r="I462" s="64" t="s">
        <v>151</v>
      </c>
      <c r="J462" s="64" t="s">
        <v>27</v>
      </c>
      <c r="K462" s="64" t="s">
        <v>152</v>
      </c>
      <c r="L462" s="68">
        <v>290000.0</v>
      </c>
      <c r="M462" s="68"/>
      <c r="N462" s="64" t="s">
        <v>155</v>
      </c>
      <c r="O462" s="64" t="s">
        <v>1731</v>
      </c>
      <c r="P462" s="65" t="s">
        <v>1356</v>
      </c>
      <c r="Q462" s="70" t="s">
        <v>1732</v>
      </c>
    </row>
    <row r="463">
      <c r="A463" s="64">
        <v>2020.0</v>
      </c>
      <c r="B463" s="64" t="s">
        <v>355</v>
      </c>
      <c r="C463" s="13" t="str">
        <f>IFERROR(VLOOKUP(B463,'Regiões'!A:B,2,0),"")</f>
        <v>Centro do Estado</v>
      </c>
      <c r="D463" s="29" t="s">
        <v>2596</v>
      </c>
      <c r="E463" s="65" t="s">
        <v>1097</v>
      </c>
      <c r="F463" s="66"/>
      <c r="G463" s="64" t="s">
        <v>1097</v>
      </c>
      <c r="H463" s="67">
        <v>4.1160007E7</v>
      </c>
      <c r="I463" s="64" t="s">
        <v>151</v>
      </c>
      <c r="J463" s="64" t="s">
        <v>27</v>
      </c>
      <c r="K463" s="64" t="s">
        <v>152</v>
      </c>
      <c r="L463" s="68">
        <v>290000.0</v>
      </c>
      <c r="M463" s="68"/>
      <c r="N463" s="64" t="s">
        <v>89</v>
      </c>
      <c r="O463" s="64" t="s">
        <v>2597</v>
      </c>
      <c r="P463" s="65" t="s">
        <v>1415</v>
      </c>
      <c r="Q463" s="70" t="s">
        <v>1732</v>
      </c>
    </row>
    <row r="464">
      <c r="A464" s="11">
        <v>2025.0</v>
      </c>
      <c r="B464" s="18" t="s">
        <v>188</v>
      </c>
      <c r="C464" s="13" t="str">
        <f>IFERROR(VLOOKUP(B464,'Regiões'!A:B,2,0),"")</f>
        <v>Metropolitana de Porto Alegre</v>
      </c>
      <c r="D464" s="13" t="s">
        <v>2598</v>
      </c>
      <c r="E464" s="15" t="s">
        <v>2599</v>
      </c>
      <c r="F464" s="17">
        <v>8.7890992000158E13</v>
      </c>
      <c r="G464" s="18" t="s">
        <v>74</v>
      </c>
      <c r="H464" s="293">
        <v>4.1160008E7</v>
      </c>
      <c r="I464" s="11" t="s">
        <v>25</v>
      </c>
      <c r="J464" s="11" t="s">
        <v>27</v>
      </c>
      <c r="K464" s="21" t="s">
        <v>152</v>
      </c>
      <c r="L464" s="298">
        <v>291960.0</v>
      </c>
      <c r="M464" s="298"/>
      <c r="N464" s="13" t="s">
        <v>89</v>
      </c>
      <c r="O464" s="21"/>
      <c r="P464" s="402" t="s">
        <v>2600</v>
      </c>
      <c r="Q464" s="24"/>
    </row>
    <row r="465">
      <c r="A465" s="334">
        <v>2021.0</v>
      </c>
      <c r="B465" s="334" t="s">
        <v>1047</v>
      </c>
      <c r="C465" s="334" t="str">
        <f>IFERROR(VLOOKUP(B465,'Regiões'!A:B,2,0),"")</f>
        <v/>
      </c>
      <c r="D465" s="334" t="s">
        <v>2601</v>
      </c>
      <c r="E465" s="347" t="s">
        <v>1065</v>
      </c>
      <c r="F465" s="341"/>
      <c r="G465" s="334" t="s">
        <v>1065</v>
      </c>
      <c r="H465" s="343">
        <v>7.1220009E7</v>
      </c>
      <c r="I465" s="334" t="s">
        <v>27</v>
      </c>
      <c r="J465" s="334" t="s">
        <v>27</v>
      </c>
      <c r="K465" s="334" t="s">
        <v>152</v>
      </c>
      <c r="L465" s="345">
        <v>296745.33</v>
      </c>
      <c r="M465" s="345"/>
      <c r="N465" s="334" t="s">
        <v>389</v>
      </c>
      <c r="O465" s="334" t="s">
        <v>1082</v>
      </c>
      <c r="P465" s="347" t="s">
        <v>1078</v>
      </c>
      <c r="Q465" s="348"/>
    </row>
    <row r="466">
      <c r="A466" s="64">
        <v>2020.0</v>
      </c>
      <c r="B466" s="64" t="s">
        <v>1109</v>
      </c>
      <c r="C466" s="13" t="str">
        <f>IFERROR(VLOOKUP(B466,'Regiões'!A:B,2,0),"")</f>
        <v>Encosta Superior do Nordeste</v>
      </c>
      <c r="D466" s="29" t="s">
        <v>2457</v>
      </c>
      <c r="E466" s="65" t="s">
        <v>485</v>
      </c>
      <c r="F466" s="66"/>
      <c r="G466" s="64" t="s">
        <v>1388</v>
      </c>
      <c r="H466" s="71">
        <v>4.1160005E7</v>
      </c>
      <c r="I466" s="64" t="s">
        <v>488</v>
      </c>
      <c r="J466" s="64" t="s">
        <v>7</v>
      </c>
      <c r="K466" s="64" t="s">
        <v>84</v>
      </c>
      <c r="L466" s="68">
        <v>300000.0</v>
      </c>
      <c r="M466" s="68"/>
      <c r="N466" s="64" t="s">
        <v>490</v>
      </c>
      <c r="O466" s="64" t="s">
        <v>110</v>
      </c>
      <c r="P466" s="65" t="s">
        <v>1076</v>
      </c>
      <c r="Q466" s="70" t="s">
        <v>1390</v>
      </c>
    </row>
    <row r="467">
      <c r="A467" s="64">
        <v>2020.0</v>
      </c>
      <c r="B467" s="64" t="s">
        <v>165</v>
      </c>
      <c r="C467" s="13" t="str">
        <f>IFERROR(VLOOKUP(B467,'Regiões'!A:B,2,0),"")</f>
        <v>Metropolitana de Porto Alegre</v>
      </c>
      <c r="D467" s="29" t="s">
        <v>1129</v>
      </c>
      <c r="E467" s="65" t="s">
        <v>14</v>
      </c>
      <c r="F467" s="66"/>
      <c r="G467" s="64" t="s">
        <v>74</v>
      </c>
      <c r="H467" s="71">
        <v>4.1160004E7</v>
      </c>
      <c r="I467" s="64" t="s">
        <v>1572</v>
      </c>
      <c r="J467" s="29" t="s">
        <v>280</v>
      </c>
      <c r="K467" s="64" t="s">
        <v>1573</v>
      </c>
      <c r="L467" s="68">
        <v>300000.0</v>
      </c>
      <c r="M467" s="68"/>
      <c r="N467" s="64" t="s">
        <v>490</v>
      </c>
      <c r="O467" s="64" t="s">
        <v>110</v>
      </c>
      <c r="P467" s="65" t="s">
        <v>1576</v>
      </c>
      <c r="Q467" s="70" t="s">
        <v>1577</v>
      </c>
    </row>
    <row r="468">
      <c r="A468" s="64">
        <v>2020.0</v>
      </c>
      <c r="B468" s="64" t="s">
        <v>115</v>
      </c>
      <c r="C468" s="13" t="str">
        <f>IFERROR(VLOOKUP(B468,'Regiões'!A:B,2,0),"")</f>
        <v>Vale do Taquari</v>
      </c>
      <c r="D468" s="29" t="s">
        <v>1717</v>
      </c>
      <c r="E468" s="65" t="s">
        <v>14</v>
      </c>
      <c r="F468" s="66"/>
      <c r="G468" s="64" t="s">
        <v>74</v>
      </c>
      <c r="H468" s="71">
        <v>4.1160004E7</v>
      </c>
      <c r="I468" s="64" t="s">
        <v>1572</v>
      </c>
      <c r="J468" s="29" t="s">
        <v>280</v>
      </c>
      <c r="K468" s="64" t="s">
        <v>1573</v>
      </c>
      <c r="L468" s="68">
        <v>300000.0</v>
      </c>
      <c r="M468" s="68"/>
      <c r="N468" s="64" t="s">
        <v>490</v>
      </c>
      <c r="O468" s="64" t="s">
        <v>110</v>
      </c>
      <c r="P468" s="65" t="s">
        <v>1576</v>
      </c>
      <c r="Q468" s="70" t="s">
        <v>1577</v>
      </c>
    </row>
    <row r="469">
      <c r="A469" s="64">
        <v>2020.0</v>
      </c>
      <c r="B469" s="64" t="s">
        <v>127</v>
      </c>
      <c r="C469" s="13" t="str">
        <f>IFERROR(VLOOKUP(B469,'Regiões'!A:B,2,0),"")</f>
        <v>Metropolitana de Porto Alegre</v>
      </c>
      <c r="D469" s="29" t="s">
        <v>2604</v>
      </c>
      <c r="E469" s="65" t="s">
        <v>485</v>
      </c>
      <c r="F469" s="66"/>
      <c r="G469" s="64" t="s">
        <v>1735</v>
      </c>
      <c r="H469" s="71">
        <v>4.1160005E7</v>
      </c>
      <c r="I469" s="64" t="s">
        <v>488</v>
      </c>
      <c r="J469" s="64" t="s">
        <v>7</v>
      </c>
      <c r="K469" s="64" t="s">
        <v>84</v>
      </c>
      <c r="L469" s="68">
        <v>300000.0</v>
      </c>
      <c r="M469" s="68"/>
      <c r="N469" s="64" t="s">
        <v>490</v>
      </c>
      <c r="O469" s="64" t="s">
        <v>110</v>
      </c>
      <c r="P469" s="65" t="s">
        <v>491</v>
      </c>
      <c r="Q469" s="70" t="s">
        <v>1737</v>
      </c>
    </row>
    <row r="470">
      <c r="A470" s="64">
        <v>2020.0</v>
      </c>
      <c r="B470" s="64" t="s">
        <v>127</v>
      </c>
      <c r="C470" s="13" t="str">
        <f>IFERROR(VLOOKUP(B470,'Regiões'!A:B,2,0),"")</f>
        <v>Metropolitana de Porto Alegre</v>
      </c>
      <c r="D470" s="29" t="s">
        <v>2607</v>
      </c>
      <c r="E470" s="65" t="s">
        <v>485</v>
      </c>
      <c r="F470" s="66"/>
      <c r="G470" s="64" t="s">
        <v>1738</v>
      </c>
      <c r="H470" s="71">
        <v>4.1160005E7</v>
      </c>
      <c r="I470" s="64" t="s">
        <v>488</v>
      </c>
      <c r="J470" s="64" t="s">
        <v>7</v>
      </c>
      <c r="K470" s="64" t="s">
        <v>84</v>
      </c>
      <c r="L470" s="68">
        <v>300000.0</v>
      </c>
      <c r="M470" s="68"/>
      <c r="N470" s="64" t="s">
        <v>490</v>
      </c>
      <c r="O470" s="64" t="s">
        <v>110</v>
      </c>
      <c r="P470" s="65" t="s">
        <v>491</v>
      </c>
      <c r="Q470" s="75"/>
    </row>
    <row r="471">
      <c r="A471" s="47">
        <v>2022.0</v>
      </c>
      <c r="B471" s="54" t="s">
        <v>71</v>
      </c>
      <c r="C471" s="13" t="str">
        <f>IFERROR(VLOOKUP(B471,'Regiões'!A:B,2,0),"")</f>
        <v>Fronteira Oeste</v>
      </c>
      <c r="D471" s="29" t="s">
        <v>2608</v>
      </c>
      <c r="E471" s="49" t="s">
        <v>485</v>
      </c>
      <c r="F471" s="396"/>
      <c r="G471" s="54" t="s">
        <v>1187</v>
      </c>
      <c r="H471" s="35">
        <v>7120004.0</v>
      </c>
      <c r="I471" s="29" t="s">
        <v>488</v>
      </c>
      <c r="J471" s="29" t="s">
        <v>7</v>
      </c>
      <c r="K471" s="29" t="s">
        <v>84</v>
      </c>
      <c r="L471" s="52">
        <v>300000.0</v>
      </c>
      <c r="M471" s="52"/>
      <c r="N471" s="29" t="s">
        <v>1193</v>
      </c>
      <c r="O471" s="47" t="s">
        <v>110</v>
      </c>
      <c r="P471" s="46" t="s">
        <v>1213</v>
      </c>
      <c r="Q471" s="54"/>
    </row>
    <row r="472">
      <c r="A472" s="29">
        <v>2022.0</v>
      </c>
      <c r="B472" s="29" t="s">
        <v>127</v>
      </c>
      <c r="C472" s="13" t="str">
        <f>IFERROR(VLOOKUP(B472,'Regiões'!A:B,2,0),"")</f>
        <v>Metropolitana de Porto Alegre</v>
      </c>
      <c r="D472" s="29" t="s">
        <v>2610</v>
      </c>
      <c r="E472" s="32"/>
      <c r="F472" s="243"/>
      <c r="G472" s="245" t="s">
        <v>2611</v>
      </c>
      <c r="H472" s="35">
        <v>4.1160009E7</v>
      </c>
      <c r="I472" s="29" t="s">
        <v>27</v>
      </c>
      <c r="J472" s="29" t="s">
        <v>27</v>
      </c>
      <c r="K472" s="29" t="s">
        <v>152</v>
      </c>
      <c r="L472" s="38">
        <v>300000.0</v>
      </c>
      <c r="M472" s="38"/>
      <c r="N472" s="29" t="s">
        <v>200</v>
      </c>
      <c r="O472" s="29" t="s">
        <v>110</v>
      </c>
      <c r="P472" s="39"/>
      <c r="Q472" s="40"/>
    </row>
    <row r="473">
      <c r="A473" s="29">
        <v>2022.0</v>
      </c>
      <c r="B473" s="29" t="s">
        <v>96</v>
      </c>
      <c r="C473" s="13" t="str">
        <f>IFERROR(VLOOKUP(B473,'Regiões'!A:B,2,0),"")</f>
        <v>Zona Sul</v>
      </c>
      <c r="D473" s="29" t="s">
        <v>2612</v>
      </c>
      <c r="E473" s="32" t="s">
        <v>485</v>
      </c>
      <c r="F473" s="243"/>
      <c r="G473" s="245" t="s">
        <v>1257</v>
      </c>
      <c r="H473" s="35">
        <v>4.1160003E7</v>
      </c>
      <c r="I473" s="29" t="s">
        <v>1087</v>
      </c>
      <c r="J473" s="29" t="s">
        <v>7</v>
      </c>
      <c r="K473" s="29" t="s">
        <v>152</v>
      </c>
      <c r="L473" s="38">
        <v>300000.0</v>
      </c>
      <c r="M473" s="38"/>
      <c r="N473" s="29" t="s">
        <v>200</v>
      </c>
      <c r="O473" s="29" t="s">
        <v>1574</v>
      </c>
      <c r="P473" s="39"/>
      <c r="Q473" s="40"/>
    </row>
    <row r="474">
      <c r="A474" s="29">
        <v>2022.0</v>
      </c>
      <c r="B474" s="29" t="s">
        <v>879</v>
      </c>
      <c r="C474" s="13" t="str">
        <f>IFERROR(VLOOKUP(B474,'Regiões'!A:B,2,0),"")</f>
        <v>Vale do Rio Pardo</v>
      </c>
      <c r="D474" s="29" t="s">
        <v>2613</v>
      </c>
      <c r="E474" s="32" t="s">
        <v>485</v>
      </c>
      <c r="F474" s="243"/>
      <c r="G474" s="245" t="s">
        <v>1264</v>
      </c>
      <c r="H474" s="35">
        <v>4.1160003E7</v>
      </c>
      <c r="I474" s="29" t="s">
        <v>1087</v>
      </c>
      <c r="J474" s="29" t="s">
        <v>7</v>
      </c>
      <c r="K474" s="29" t="s">
        <v>152</v>
      </c>
      <c r="L474" s="38">
        <v>300000.0</v>
      </c>
      <c r="M474" s="38"/>
      <c r="N474" s="29" t="s">
        <v>200</v>
      </c>
      <c r="O474" s="29" t="s">
        <v>110</v>
      </c>
      <c r="P474" s="39"/>
      <c r="Q474" s="40"/>
    </row>
    <row r="475">
      <c r="A475" s="29">
        <v>2022.0</v>
      </c>
      <c r="B475" s="29" t="s">
        <v>355</v>
      </c>
      <c r="C475" s="13" t="str">
        <f>IFERROR(VLOOKUP(B475,'Regiões'!A:B,2,0),"")</f>
        <v>Centro do Estado</v>
      </c>
      <c r="D475" s="29" t="s">
        <v>2614</v>
      </c>
      <c r="E475" s="53" t="s">
        <v>1205</v>
      </c>
      <c r="F475" s="243"/>
      <c r="G475" s="245" t="s">
        <v>1421</v>
      </c>
      <c r="H475" s="35">
        <v>4.1160008E7</v>
      </c>
      <c r="I475" s="29" t="s">
        <v>27</v>
      </c>
      <c r="J475" s="29" t="s">
        <v>27</v>
      </c>
      <c r="K475" s="29" t="s">
        <v>152</v>
      </c>
      <c r="L475" s="38">
        <v>300000.0</v>
      </c>
      <c r="M475" s="38"/>
      <c r="N475" s="29" t="s">
        <v>200</v>
      </c>
      <c r="O475" s="29" t="s">
        <v>110</v>
      </c>
      <c r="P475" s="39" t="s">
        <v>1801</v>
      </c>
      <c r="Q475" s="40"/>
    </row>
    <row r="476">
      <c r="A476" s="29">
        <v>2022.0</v>
      </c>
      <c r="B476" s="29" t="s">
        <v>934</v>
      </c>
      <c r="C476" s="13" t="str">
        <f>IFERROR(VLOOKUP(B476,'Regiões'!A:B,2,0),"")</f>
        <v>Encosta Superior do Nordeste</v>
      </c>
      <c r="D476" s="29" t="s">
        <v>2616</v>
      </c>
      <c r="E476" s="32" t="s">
        <v>485</v>
      </c>
      <c r="F476" s="243"/>
      <c r="G476" s="245" t="s">
        <v>1246</v>
      </c>
      <c r="H476" s="35">
        <v>4.1160003E7</v>
      </c>
      <c r="I476" s="29" t="s">
        <v>1087</v>
      </c>
      <c r="J476" s="29" t="s">
        <v>7</v>
      </c>
      <c r="K476" s="29" t="s">
        <v>152</v>
      </c>
      <c r="L476" s="38">
        <v>300000.0</v>
      </c>
      <c r="M476" s="38"/>
      <c r="N476" s="29" t="s">
        <v>200</v>
      </c>
      <c r="O476" s="29" t="s">
        <v>110</v>
      </c>
      <c r="P476" s="39"/>
      <c r="Q476" s="40"/>
    </row>
    <row r="477">
      <c r="A477" s="13">
        <v>2023.0</v>
      </c>
      <c r="B477" s="79" t="s">
        <v>210</v>
      </c>
      <c r="C477" s="13" t="str">
        <f>IFERROR(VLOOKUP(B477,'Regiões'!A:B,2,0),"")</f>
        <v>Vale dos Sinos</v>
      </c>
      <c r="D477" s="13" t="s">
        <v>733</v>
      </c>
      <c r="E477" s="80" t="s">
        <v>220</v>
      </c>
      <c r="F477" s="81"/>
      <c r="G477" s="79" t="s">
        <v>2617</v>
      </c>
      <c r="H477" s="82"/>
      <c r="I477" s="13" t="s">
        <v>2460</v>
      </c>
      <c r="J477" s="13" t="str">
        <f t="shared" ref="J477:J483" si="14">LEFT(I477,FIND(" (",I477) - 1)</f>
        <v>Infraestrutura</v>
      </c>
      <c r="K477" s="13" t="s">
        <v>152</v>
      </c>
      <c r="L477" s="83">
        <v>300000.0</v>
      </c>
      <c r="M477" s="83"/>
      <c r="N477" s="13" t="s">
        <v>89</v>
      </c>
      <c r="O477" s="13" t="s">
        <v>265</v>
      </c>
      <c r="P477" s="80" t="s">
        <v>2620</v>
      </c>
      <c r="Q477" s="79"/>
    </row>
    <row r="478">
      <c r="A478" s="13">
        <v>2023.0</v>
      </c>
      <c r="B478" s="55" t="s">
        <v>180</v>
      </c>
      <c r="C478" s="13" t="str">
        <f>IFERROR(VLOOKUP(B478,'Regiões'!A:B,2,0),"")</f>
        <v>Metropolitana de Porto Alegre</v>
      </c>
      <c r="D478" s="13" t="s">
        <v>1571</v>
      </c>
      <c r="E478" s="56" t="s">
        <v>485</v>
      </c>
      <c r="F478" s="358"/>
      <c r="G478" s="55" t="s">
        <v>2621</v>
      </c>
      <c r="H478" s="59"/>
      <c r="I478" s="13" t="s">
        <v>1307</v>
      </c>
      <c r="J478" s="13" t="str">
        <f t="shared" si="14"/>
        <v>Saúde</v>
      </c>
      <c r="K478" s="13" t="s">
        <v>152</v>
      </c>
      <c r="L478" s="393">
        <v>300000.0</v>
      </c>
      <c r="M478" s="393"/>
      <c r="N478" s="13" t="s">
        <v>89</v>
      </c>
      <c r="O478" s="13" t="s">
        <v>265</v>
      </c>
      <c r="P478" s="61" t="s">
        <v>2622</v>
      </c>
      <c r="Q478" s="62"/>
    </row>
    <row r="479">
      <c r="A479" s="13">
        <v>2023.0</v>
      </c>
      <c r="B479" s="79" t="s">
        <v>112</v>
      </c>
      <c r="C479" s="13" t="str">
        <f>IFERROR(VLOOKUP(B479,'Regiões'!A:B,2,0),"")</f>
        <v>Encosta Superior do Nordeste</v>
      </c>
      <c r="D479" s="13" t="s">
        <v>2457</v>
      </c>
      <c r="E479" s="80" t="s">
        <v>220</v>
      </c>
      <c r="F479" s="81"/>
      <c r="G479" s="79" t="s">
        <v>1226</v>
      </c>
      <c r="H479" s="82"/>
      <c r="I479" s="13" t="s">
        <v>1307</v>
      </c>
      <c r="J479" s="13" t="str">
        <f t="shared" si="14"/>
        <v>Saúde</v>
      </c>
      <c r="K479" s="13" t="s">
        <v>152</v>
      </c>
      <c r="L479" s="771">
        <v>300000.0</v>
      </c>
      <c r="M479" s="771"/>
      <c r="N479" s="13" t="s">
        <v>89</v>
      </c>
      <c r="O479" s="13" t="s">
        <v>110</v>
      </c>
      <c r="P479" s="80" t="s">
        <v>140</v>
      </c>
      <c r="Q479" s="79"/>
    </row>
    <row r="480">
      <c r="A480" s="13">
        <v>2023.0</v>
      </c>
      <c r="B480" s="79" t="s">
        <v>191</v>
      </c>
      <c r="C480" s="13" t="str">
        <f>IFERROR(VLOOKUP(B480,'Regiões'!A:B,2,0),"")</f>
        <v>Vale do Paranhana</v>
      </c>
      <c r="D480" s="13" t="s">
        <v>604</v>
      </c>
      <c r="E480" s="80" t="s">
        <v>220</v>
      </c>
      <c r="F480" s="81"/>
      <c r="G480" s="79" t="s">
        <v>2623</v>
      </c>
      <c r="H480" s="82"/>
      <c r="I480" s="13" t="s">
        <v>1307</v>
      </c>
      <c r="J480" s="13" t="str">
        <f t="shared" si="14"/>
        <v>Saúde</v>
      </c>
      <c r="K480" s="13" t="s">
        <v>152</v>
      </c>
      <c r="L480" s="83">
        <v>300000.0</v>
      </c>
      <c r="M480" s="83"/>
      <c r="N480" s="13" t="s">
        <v>89</v>
      </c>
      <c r="O480" s="13" t="s">
        <v>265</v>
      </c>
      <c r="P480" s="80" t="s">
        <v>244</v>
      </c>
      <c r="Q480" s="79"/>
    </row>
    <row r="481">
      <c r="A481" s="13">
        <v>2023.0</v>
      </c>
      <c r="B481" s="55" t="s">
        <v>838</v>
      </c>
      <c r="C481" s="13" t="str">
        <f>IFERROR(VLOOKUP(B481,'Regiões'!A:B,2,0),"")</f>
        <v>Zona Sul</v>
      </c>
      <c r="D481" s="13" t="s">
        <v>2624</v>
      </c>
      <c r="E481" s="56" t="s">
        <v>485</v>
      </c>
      <c r="F481" s="358"/>
      <c r="G481" s="55" t="s">
        <v>2625</v>
      </c>
      <c r="H481" s="59"/>
      <c r="I481" s="13" t="s">
        <v>1307</v>
      </c>
      <c r="J481" s="13" t="str">
        <f t="shared" si="14"/>
        <v>Saúde</v>
      </c>
      <c r="K481" s="13" t="s">
        <v>152</v>
      </c>
      <c r="L481" s="393">
        <v>300000.0</v>
      </c>
      <c r="M481" s="393"/>
      <c r="N481" s="13" t="s">
        <v>89</v>
      </c>
      <c r="O481" s="13" t="s">
        <v>265</v>
      </c>
      <c r="P481" s="61" t="s">
        <v>2627</v>
      </c>
      <c r="Q481" s="62"/>
    </row>
    <row r="482">
      <c r="A482" s="13">
        <v>2023.0</v>
      </c>
      <c r="B482" s="55" t="s">
        <v>400</v>
      </c>
      <c r="C482" s="13" t="str">
        <f>IFERROR(VLOOKUP(B482,'Regiões'!A:B,2,0),"")</f>
        <v>Vale do Paranhana</v>
      </c>
      <c r="D482" s="13" t="s">
        <v>2026</v>
      </c>
      <c r="E482" s="56" t="s">
        <v>485</v>
      </c>
      <c r="F482" s="358"/>
      <c r="G482" s="55" t="s">
        <v>1174</v>
      </c>
      <c r="H482" s="59"/>
      <c r="I482" s="13" t="s">
        <v>1307</v>
      </c>
      <c r="J482" s="13" t="str">
        <f t="shared" si="14"/>
        <v>Saúde</v>
      </c>
      <c r="K482" s="13" t="s">
        <v>152</v>
      </c>
      <c r="L482" s="393">
        <v>300000.0</v>
      </c>
      <c r="M482" s="393"/>
      <c r="N482" s="13" t="s">
        <v>89</v>
      </c>
      <c r="O482" s="13" t="s">
        <v>265</v>
      </c>
      <c r="P482" s="61" t="s">
        <v>2628</v>
      </c>
      <c r="Q482" s="62"/>
    </row>
    <row r="483">
      <c r="A483" s="13">
        <v>2023.0</v>
      </c>
      <c r="B483" s="79" t="s">
        <v>807</v>
      </c>
      <c r="C483" s="13" t="str">
        <f>IFERROR(VLOOKUP(B483,'Regiões'!A:B,2,0),"")</f>
        <v>Litoral Norte</v>
      </c>
      <c r="D483" s="13" t="s">
        <v>2629</v>
      </c>
      <c r="E483" s="80" t="s">
        <v>220</v>
      </c>
      <c r="F483" s="81"/>
      <c r="G483" s="79" t="s">
        <v>1308</v>
      </c>
      <c r="H483" s="82"/>
      <c r="I483" s="13" t="s">
        <v>958</v>
      </c>
      <c r="J483" s="13" t="str">
        <f t="shared" si="14"/>
        <v>Segurança Pública</v>
      </c>
      <c r="K483" s="13" t="s">
        <v>152</v>
      </c>
      <c r="L483" s="83">
        <v>300000.0</v>
      </c>
      <c r="M483" s="83"/>
      <c r="N483" s="13" t="s">
        <v>89</v>
      </c>
      <c r="O483" s="13" t="s">
        <v>110</v>
      </c>
      <c r="P483" s="80" t="s">
        <v>1762</v>
      </c>
      <c r="Q483" s="79"/>
    </row>
    <row r="484">
      <c r="A484" s="334">
        <v>2023.0</v>
      </c>
      <c r="B484" s="422"/>
      <c r="C484" s="334" t="str">
        <f>IFERROR(VLOOKUP(B484,'Regiões'!A:B,2,0),"")</f>
        <v/>
      </c>
      <c r="D484" s="334"/>
      <c r="E484" s="785"/>
      <c r="F484" s="420"/>
      <c r="G484" s="422" t="s">
        <v>2631</v>
      </c>
      <c r="H484" s="786">
        <v>4.1160003E7</v>
      </c>
      <c r="I484" s="334" t="s">
        <v>27</v>
      </c>
      <c r="J484" s="334" t="s">
        <v>27</v>
      </c>
      <c r="K484" s="334"/>
      <c r="L484" s="787">
        <v>300000.0</v>
      </c>
      <c r="M484" s="787"/>
      <c r="N484" s="334"/>
      <c r="O484" s="334"/>
      <c r="P484" s="347" t="s">
        <v>2633</v>
      </c>
      <c r="Q484" s="788"/>
    </row>
    <row r="485">
      <c r="A485" s="334">
        <v>2023.0</v>
      </c>
      <c r="B485" s="422"/>
      <c r="C485" s="334" t="str">
        <f>IFERROR(VLOOKUP(B485,'Regiões'!A:B,2,0),"")</f>
        <v/>
      </c>
      <c r="D485" s="334"/>
      <c r="E485" s="785"/>
      <c r="F485" s="420"/>
      <c r="G485" s="422" t="s">
        <v>1421</v>
      </c>
      <c r="H485" s="786">
        <v>4.116001E7</v>
      </c>
      <c r="I485" s="334" t="s">
        <v>27</v>
      </c>
      <c r="J485" s="334" t="s">
        <v>27</v>
      </c>
      <c r="K485" s="334"/>
      <c r="L485" s="787">
        <v>300000.0</v>
      </c>
      <c r="M485" s="787"/>
      <c r="N485" s="334"/>
      <c r="O485" s="334"/>
      <c r="P485" s="347"/>
      <c r="Q485" s="788"/>
    </row>
    <row r="486">
      <c r="A486" s="334">
        <v>2023.0</v>
      </c>
      <c r="B486" s="422" t="s">
        <v>898</v>
      </c>
      <c r="C486" s="422"/>
      <c r="D486" s="334"/>
      <c r="E486" s="789" t="s">
        <v>2635</v>
      </c>
      <c r="F486" s="420"/>
      <c r="G486" s="422" t="s">
        <v>2637</v>
      </c>
      <c r="H486" s="790"/>
      <c r="I486" s="334" t="s">
        <v>257</v>
      </c>
      <c r="J486" s="334" t="s">
        <v>257</v>
      </c>
      <c r="K486" s="334" t="s">
        <v>152</v>
      </c>
      <c r="L486" s="787">
        <v>300000.0</v>
      </c>
      <c r="M486" s="787"/>
      <c r="N486" s="334" t="s">
        <v>2639</v>
      </c>
      <c r="O486" s="334" t="s">
        <v>265</v>
      </c>
      <c r="P486" s="347"/>
      <c r="Q486" s="788" t="s">
        <v>2640</v>
      </c>
    </row>
    <row r="487">
      <c r="A487" s="11">
        <v>2024.0</v>
      </c>
      <c r="B487" s="18" t="s">
        <v>82</v>
      </c>
      <c r="C487" s="13" t="str">
        <f>IFERROR(VLOOKUP(B487,'Regiões'!A:B,2,0),"")</f>
        <v>Vale do Rio Caí</v>
      </c>
      <c r="D487" s="13" t="s">
        <v>2641</v>
      </c>
      <c r="E487" s="15" t="str">
        <f t="shared" ref="E487:E497" si="15">G487&amp;" de "&amp;B487</f>
        <v>Prefeitura Municipal de Bom Princípio</v>
      </c>
      <c r="F487" s="17"/>
      <c r="G487" s="18" t="s">
        <v>74</v>
      </c>
      <c r="H487" s="20">
        <v>4.1160001E7</v>
      </c>
      <c r="I487" s="11" t="s">
        <v>334</v>
      </c>
      <c r="J487" s="11" t="s">
        <v>7</v>
      </c>
      <c r="K487" s="21" t="s">
        <v>84</v>
      </c>
      <c r="L487" s="22">
        <v>300000.0</v>
      </c>
      <c r="M487" s="22"/>
      <c r="N487" s="13" t="s">
        <v>89</v>
      </c>
      <c r="O487" s="21"/>
      <c r="P487" s="23"/>
      <c r="Q487" s="24"/>
    </row>
    <row r="488">
      <c r="A488" s="11">
        <v>2024.0</v>
      </c>
      <c r="B488" s="18" t="s">
        <v>102</v>
      </c>
      <c r="C488" s="13" t="str">
        <f>IFERROR(VLOOKUP(B488,'Regiões'!A:B,2,0),"")</f>
        <v>Vale dos Sinos</v>
      </c>
      <c r="D488" s="13" t="s">
        <v>2643</v>
      </c>
      <c r="E488" s="15" t="str">
        <f t="shared" si="15"/>
        <v>Prefeitura Municipal de Dois Irmãos</v>
      </c>
      <c r="F488" s="17"/>
      <c r="G488" s="18" t="s">
        <v>74</v>
      </c>
      <c r="H488" s="20">
        <v>4.1160001E7</v>
      </c>
      <c r="I488" s="11" t="s">
        <v>334</v>
      </c>
      <c r="J488" s="11" t="s">
        <v>7</v>
      </c>
      <c r="K488" s="21" t="s">
        <v>84</v>
      </c>
      <c r="L488" s="22">
        <v>300000.0</v>
      </c>
      <c r="M488" s="22"/>
      <c r="N488" s="13" t="s">
        <v>89</v>
      </c>
      <c r="O488" s="21"/>
      <c r="P488" s="23"/>
      <c r="Q488" s="24"/>
    </row>
    <row r="489">
      <c r="A489" s="11">
        <v>2024.0</v>
      </c>
      <c r="B489" s="12" t="s">
        <v>114</v>
      </c>
      <c r="C489" s="13" t="str">
        <f>IFERROR(VLOOKUP(B489,'Regiões'!A:B,2,0),"")</f>
        <v>Vale do Rio Caí</v>
      </c>
      <c r="D489" s="13" t="s">
        <v>2644</v>
      </c>
      <c r="E489" s="15" t="str">
        <f t="shared" si="15"/>
        <v>Prefeitura Municipal de Feliz</v>
      </c>
      <c r="F489" s="17"/>
      <c r="G489" s="18" t="s">
        <v>74</v>
      </c>
      <c r="H489" s="20">
        <v>4.1160001E7</v>
      </c>
      <c r="I489" s="11" t="s">
        <v>334</v>
      </c>
      <c r="J489" s="11" t="s">
        <v>7</v>
      </c>
      <c r="K489" s="21" t="s">
        <v>84</v>
      </c>
      <c r="L489" s="22">
        <v>300000.0</v>
      </c>
      <c r="M489" s="22"/>
      <c r="N489" s="13" t="s">
        <v>89</v>
      </c>
      <c r="O489" s="21"/>
      <c r="P489" s="23"/>
      <c r="Q489" s="24"/>
    </row>
    <row r="490">
      <c r="A490" s="11">
        <v>2024.0</v>
      </c>
      <c r="B490" s="12" t="s">
        <v>879</v>
      </c>
      <c r="C490" s="13" t="str">
        <f>IFERROR(VLOOKUP(B490,'Regiões'!A:B,2,0),"")</f>
        <v>Vale do Rio Pardo</v>
      </c>
      <c r="D490" s="13" t="s">
        <v>2646</v>
      </c>
      <c r="E490" s="15" t="str">
        <f t="shared" si="15"/>
        <v>Prefeitura Municipal de Santa Cruz do Sul</v>
      </c>
      <c r="F490" s="17"/>
      <c r="G490" s="18" t="s">
        <v>74</v>
      </c>
      <c r="H490" s="20">
        <v>4.1160001E7</v>
      </c>
      <c r="I490" s="11" t="s">
        <v>334</v>
      </c>
      <c r="J490" s="11" t="s">
        <v>7</v>
      </c>
      <c r="K490" s="21" t="s">
        <v>84</v>
      </c>
      <c r="L490" s="22">
        <v>300000.0</v>
      </c>
      <c r="M490" s="22"/>
      <c r="N490" s="13" t="s">
        <v>89</v>
      </c>
      <c r="O490" s="21"/>
      <c r="P490" s="23"/>
      <c r="Q490" s="24"/>
    </row>
    <row r="491">
      <c r="A491" s="11">
        <v>2024.0</v>
      </c>
      <c r="B491" s="12" t="s">
        <v>182</v>
      </c>
      <c r="C491" s="13" t="str">
        <f>IFERROR(VLOOKUP(B491,'Regiões'!A:B,2,0),"")</f>
        <v>Encosta Superior do Nordeste</v>
      </c>
      <c r="D491" s="13" t="s">
        <v>2647</v>
      </c>
      <c r="E491" s="15" t="str">
        <f t="shared" si="15"/>
        <v>Prefeitura Municipal de Farroupilha</v>
      </c>
      <c r="F491" s="17"/>
      <c r="G491" s="18" t="s">
        <v>74</v>
      </c>
      <c r="H491" s="20">
        <v>4.1160001E7</v>
      </c>
      <c r="I491" s="11" t="s">
        <v>334</v>
      </c>
      <c r="J491" s="11" t="s">
        <v>7</v>
      </c>
      <c r="K491" s="21" t="s">
        <v>84</v>
      </c>
      <c r="L491" s="22">
        <v>300000.0</v>
      </c>
      <c r="M491" s="22"/>
      <c r="N491" s="13" t="s">
        <v>89</v>
      </c>
      <c r="O491" s="21"/>
      <c r="P491" s="23"/>
      <c r="Q491" s="24"/>
    </row>
    <row r="492">
      <c r="A492" s="11">
        <v>2024.0</v>
      </c>
      <c r="B492" s="12" t="s">
        <v>206</v>
      </c>
      <c r="C492" s="13" t="str">
        <f>IFERROR(VLOOKUP(B492,'Regiões'!A:B,2,0),"")</f>
        <v>Centro do Estado</v>
      </c>
      <c r="D492" s="13" t="s">
        <v>2648</v>
      </c>
      <c r="E492" s="15" t="str">
        <f t="shared" si="15"/>
        <v>Prefeitura Municipal de Jaguari</v>
      </c>
      <c r="F492" s="17"/>
      <c r="G492" s="18" t="s">
        <v>74</v>
      </c>
      <c r="H492" s="20">
        <v>4.1160001E7</v>
      </c>
      <c r="I492" s="11" t="s">
        <v>334</v>
      </c>
      <c r="J492" s="11" t="s">
        <v>7</v>
      </c>
      <c r="K492" s="21" t="s">
        <v>84</v>
      </c>
      <c r="L492" s="22">
        <v>300000.0</v>
      </c>
      <c r="M492" s="22"/>
      <c r="N492" s="13" t="s">
        <v>89</v>
      </c>
      <c r="O492" s="21"/>
      <c r="P492" s="23"/>
      <c r="Q492" s="24"/>
    </row>
    <row r="493">
      <c r="A493" s="11">
        <v>2024.0</v>
      </c>
      <c r="B493" s="18" t="s">
        <v>245</v>
      </c>
      <c r="C493" s="13" t="str">
        <f>IFERROR(VLOOKUP(B493,'Regiões'!A:B,2,0),"")</f>
        <v>Turismo da Serra</v>
      </c>
      <c r="D493" s="13" t="s">
        <v>2650</v>
      </c>
      <c r="E493" s="15" t="str">
        <f t="shared" si="15"/>
        <v>Prefeitura Municipal de Picada Café</v>
      </c>
      <c r="F493" s="17"/>
      <c r="G493" s="18" t="s">
        <v>74</v>
      </c>
      <c r="H493" s="20">
        <v>4.1160001E7</v>
      </c>
      <c r="I493" s="11" t="s">
        <v>334</v>
      </c>
      <c r="J493" s="11" t="s">
        <v>7</v>
      </c>
      <c r="K493" s="21" t="s">
        <v>84</v>
      </c>
      <c r="L493" s="22">
        <v>300000.0</v>
      </c>
      <c r="M493" s="22"/>
      <c r="N493" s="13" t="s">
        <v>89</v>
      </c>
      <c r="O493" s="21"/>
      <c r="P493" s="23"/>
      <c r="Q493" s="24"/>
    </row>
    <row r="494">
      <c r="A494" s="11">
        <v>2024.0</v>
      </c>
      <c r="B494" s="18" t="s">
        <v>310</v>
      </c>
      <c r="C494" s="13" t="str">
        <f>IFERROR(VLOOKUP(B494,'Regiões'!A:B,2,0),"")</f>
        <v>Vale dos Sinos</v>
      </c>
      <c r="D494" s="13" t="s">
        <v>2651</v>
      </c>
      <c r="E494" s="15" t="str">
        <f t="shared" si="15"/>
        <v>Prefeitura Municipal de Estância Velha</v>
      </c>
      <c r="F494" s="17"/>
      <c r="G494" s="18" t="s">
        <v>74</v>
      </c>
      <c r="H494" s="20">
        <v>4.1160001E7</v>
      </c>
      <c r="I494" s="11" t="s">
        <v>334</v>
      </c>
      <c r="J494" s="11" t="s">
        <v>7</v>
      </c>
      <c r="K494" s="21" t="s">
        <v>84</v>
      </c>
      <c r="L494" s="22">
        <v>300000.0</v>
      </c>
      <c r="M494" s="22"/>
      <c r="N494" s="13" t="s">
        <v>89</v>
      </c>
      <c r="O494" s="21"/>
      <c r="P494" s="23"/>
      <c r="Q494" s="24"/>
    </row>
    <row r="495">
      <c r="A495" s="11">
        <v>2024.0</v>
      </c>
      <c r="B495" s="12" t="s">
        <v>333</v>
      </c>
      <c r="C495" s="13" t="str">
        <f>IFERROR(VLOOKUP(B495,'Regiões'!A:B,2,0),"")</f>
        <v>Vale dos Sinos</v>
      </c>
      <c r="D495" s="13" t="s">
        <v>2652</v>
      </c>
      <c r="E495" s="15" t="str">
        <f t="shared" si="15"/>
        <v>Prefeitura Municipal de Sapiranga</v>
      </c>
      <c r="F495" s="17"/>
      <c r="G495" s="18" t="s">
        <v>74</v>
      </c>
      <c r="H495" s="20">
        <v>4.1160001E7</v>
      </c>
      <c r="I495" s="11" t="s">
        <v>334</v>
      </c>
      <c r="J495" s="11" t="s">
        <v>7</v>
      </c>
      <c r="K495" s="21" t="s">
        <v>84</v>
      </c>
      <c r="L495" s="22">
        <v>300000.0</v>
      </c>
      <c r="M495" s="22"/>
      <c r="N495" s="13" t="s">
        <v>89</v>
      </c>
      <c r="O495" s="21"/>
      <c r="P495" s="23"/>
      <c r="Q495" s="24"/>
    </row>
    <row r="496">
      <c r="A496" s="11">
        <v>2024.0</v>
      </c>
      <c r="B496" s="12" t="s">
        <v>926</v>
      </c>
      <c r="C496" s="13" t="str">
        <f>IFERROR(VLOOKUP(B496,'Regiões'!A:B,2,0),"")</f>
        <v>Metropolitana de Porto Alegre</v>
      </c>
      <c r="D496" s="13" t="s">
        <v>2653</v>
      </c>
      <c r="E496" s="15" t="str">
        <f t="shared" si="15"/>
        <v>Prefeitura Municipal de Sapucaia do Sul</v>
      </c>
      <c r="F496" s="17"/>
      <c r="G496" s="18" t="s">
        <v>74</v>
      </c>
      <c r="H496" s="20">
        <v>4.1160002E7</v>
      </c>
      <c r="I496" s="11" t="s">
        <v>903</v>
      </c>
      <c r="J496" s="11" t="s">
        <v>7</v>
      </c>
      <c r="K496" s="21" t="s">
        <v>84</v>
      </c>
      <c r="L496" s="22">
        <v>300000.0</v>
      </c>
      <c r="M496" s="22"/>
      <c r="N496" s="13" t="s">
        <v>89</v>
      </c>
      <c r="O496" s="21"/>
      <c r="P496" s="23"/>
      <c r="Q496" s="24"/>
    </row>
    <row r="497">
      <c r="A497" s="11">
        <v>2024.0</v>
      </c>
      <c r="B497" s="12" t="s">
        <v>48</v>
      </c>
      <c r="C497" s="13" t="str">
        <f>IFERROR(VLOOKUP(B497,'Regiões'!A:B,2,0),"")</f>
        <v>Turismo da Serra</v>
      </c>
      <c r="D497" s="13" t="s">
        <v>2655</v>
      </c>
      <c r="E497" s="15" t="str">
        <f t="shared" si="15"/>
        <v>Prefeitura Municipal de Gramado</v>
      </c>
      <c r="F497" s="17"/>
      <c r="G497" s="18" t="s">
        <v>74</v>
      </c>
      <c r="H497" s="20">
        <v>4.1160005E7</v>
      </c>
      <c r="I497" s="11" t="s">
        <v>79</v>
      </c>
      <c r="J497" s="11" t="s">
        <v>79</v>
      </c>
      <c r="K497" s="21" t="s">
        <v>84</v>
      </c>
      <c r="L497" s="22">
        <v>300000.0</v>
      </c>
      <c r="M497" s="22"/>
      <c r="N497" s="13" t="s">
        <v>89</v>
      </c>
      <c r="O497" s="21"/>
      <c r="P497" s="23"/>
      <c r="Q497" s="24"/>
    </row>
    <row r="498">
      <c r="A498" s="11">
        <v>2025.0</v>
      </c>
      <c r="B498" s="18" t="s">
        <v>928</v>
      </c>
      <c r="C498" s="13" t="str">
        <f>IFERROR(VLOOKUP(B498,'Regiões'!A:B,2,0),"")</f>
        <v>Zona da Produção</v>
      </c>
      <c r="D498" s="13" t="s">
        <v>2656</v>
      </c>
      <c r="E498" s="15" t="s">
        <v>2657</v>
      </c>
      <c r="F498" s="17">
        <v>1.2123475000154E13</v>
      </c>
      <c r="G498" s="18" t="s">
        <v>74</v>
      </c>
      <c r="H498" s="293">
        <v>4.1160004E7</v>
      </c>
      <c r="I498" s="11" t="s">
        <v>6</v>
      </c>
      <c r="J498" s="11" t="s">
        <v>7</v>
      </c>
      <c r="K498" s="21" t="s">
        <v>152</v>
      </c>
      <c r="L498" s="298">
        <v>300000.0</v>
      </c>
      <c r="M498" s="298"/>
      <c r="N498" s="13" t="s">
        <v>89</v>
      </c>
      <c r="O498" s="21"/>
      <c r="P498" s="402" t="s">
        <v>2658</v>
      </c>
      <c r="Q498" s="24"/>
    </row>
    <row r="499">
      <c r="A499" s="11">
        <v>2025.0</v>
      </c>
      <c r="B499" s="18" t="s">
        <v>323</v>
      </c>
      <c r="C499" s="13" t="str">
        <f>IFERROR(VLOOKUP(B499,'Regiões'!A:B,2,0),"")</f>
        <v>Vale do Paranhana</v>
      </c>
      <c r="D499" s="13" t="s">
        <v>2659</v>
      </c>
      <c r="E499" s="15" t="s">
        <v>2660</v>
      </c>
      <c r="F499" s="17">
        <v>6.1986402001254E13</v>
      </c>
      <c r="G499" s="12" t="s">
        <v>2660</v>
      </c>
      <c r="H499" s="293">
        <v>4.1160004E7</v>
      </c>
      <c r="I499" s="11" t="s">
        <v>6</v>
      </c>
      <c r="J499" s="11" t="s">
        <v>7</v>
      </c>
      <c r="K499" s="21" t="s">
        <v>152</v>
      </c>
      <c r="L499" s="298">
        <v>300000.0</v>
      </c>
      <c r="M499" s="298"/>
      <c r="N499" s="13" t="s">
        <v>89</v>
      </c>
      <c r="O499" s="21"/>
      <c r="P499" s="402" t="s">
        <v>2661</v>
      </c>
      <c r="Q499" s="24"/>
    </row>
    <row r="500">
      <c r="A500" s="11">
        <v>2025.0</v>
      </c>
      <c r="B500" s="18" t="s">
        <v>864</v>
      </c>
      <c r="C500" s="13" t="str">
        <f>IFERROR(VLOOKUP(B500,'Regiões'!A:B,2,0),"")</f>
        <v>Zona da Produção</v>
      </c>
      <c r="D500" s="13" t="s">
        <v>2662</v>
      </c>
      <c r="E500" s="15" t="s">
        <v>2663</v>
      </c>
      <c r="F500" s="17">
        <v>9.7319487000101E13</v>
      </c>
      <c r="G500" s="12" t="s">
        <v>2663</v>
      </c>
      <c r="H500" s="293">
        <v>4.1160004E7</v>
      </c>
      <c r="I500" s="11" t="s">
        <v>6</v>
      </c>
      <c r="J500" s="11" t="s">
        <v>7</v>
      </c>
      <c r="K500" s="21" t="s">
        <v>152</v>
      </c>
      <c r="L500" s="298">
        <v>300000.0</v>
      </c>
      <c r="M500" s="298"/>
      <c r="N500" s="13" t="s">
        <v>89</v>
      </c>
      <c r="O500" s="21"/>
      <c r="P500" s="402" t="s">
        <v>2664</v>
      </c>
      <c r="Q500" s="24"/>
    </row>
    <row r="501">
      <c r="A501" s="11">
        <v>2025.0</v>
      </c>
      <c r="B501" s="18" t="s">
        <v>893</v>
      </c>
      <c r="C501" s="13" t="str">
        <f>IFERROR(VLOOKUP(B501,'Regiões'!A:B,2,0),"")</f>
        <v>Fronteira Oeste</v>
      </c>
      <c r="D501" s="13" t="s">
        <v>2665</v>
      </c>
      <c r="E501" s="15" t="s">
        <v>2666</v>
      </c>
      <c r="F501" s="17">
        <v>9.6488598000189E13</v>
      </c>
      <c r="G501" s="12" t="s">
        <v>2666</v>
      </c>
      <c r="H501" s="293">
        <v>4.1160004E7</v>
      </c>
      <c r="I501" s="11" t="s">
        <v>6</v>
      </c>
      <c r="J501" s="11" t="s">
        <v>7</v>
      </c>
      <c r="K501" s="21" t="s">
        <v>152</v>
      </c>
      <c r="L501" s="298">
        <v>300000.0</v>
      </c>
      <c r="M501" s="298"/>
      <c r="N501" s="13" t="s">
        <v>89</v>
      </c>
      <c r="O501" s="21"/>
      <c r="P501" s="402" t="s">
        <v>2668</v>
      </c>
      <c r="Q501" s="24"/>
    </row>
    <row r="502">
      <c r="A502" s="11">
        <v>2025.0</v>
      </c>
      <c r="B502" s="18" t="s">
        <v>119</v>
      </c>
      <c r="C502" s="13" t="str">
        <f>IFERROR(VLOOKUP(B502,'Regiões'!A:B,2,0),"")</f>
        <v>Zona Sul</v>
      </c>
      <c r="D502" s="13" t="s">
        <v>2669</v>
      </c>
      <c r="E502" s="15" t="s">
        <v>2670</v>
      </c>
      <c r="F502" s="17">
        <v>9.2219070000153E13</v>
      </c>
      <c r="G502" s="12" t="s">
        <v>2670</v>
      </c>
      <c r="H502" s="293">
        <v>4.1160004E7</v>
      </c>
      <c r="I502" s="11" t="s">
        <v>6</v>
      </c>
      <c r="J502" s="11" t="s">
        <v>7</v>
      </c>
      <c r="K502" s="21" t="s">
        <v>152</v>
      </c>
      <c r="L502" s="298">
        <v>300000.0</v>
      </c>
      <c r="M502" s="298"/>
      <c r="N502" s="13" t="s">
        <v>89</v>
      </c>
      <c r="O502" s="21"/>
      <c r="P502" s="56" t="s">
        <v>2671</v>
      </c>
      <c r="Q502" s="24"/>
    </row>
    <row r="503">
      <c r="A503" s="11">
        <v>2025.0</v>
      </c>
      <c r="B503" s="18" t="s">
        <v>897</v>
      </c>
      <c r="C503" s="13" t="str">
        <f>IFERROR(VLOOKUP(B503,'Regiões'!A:B,2,0),"")</f>
        <v>Fronteira Oeste</v>
      </c>
      <c r="D503" s="13" t="s">
        <v>2673</v>
      </c>
      <c r="E503" s="15" t="s">
        <v>2674</v>
      </c>
      <c r="F503" s="17">
        <v>8.876808000017E13</v>
      </c>
      <c r="G503" s="18" t="s">
        <v>74</v>
      </c>
      <c r="H503" s="293">
        <v>4.1160008E7</v>
      </c>
      <c r="I503" s="11" t="s">
        <v>25</v>
      </c>
      <c r="J503" s="11" t="s">
        <v>27</v>
      </c>
      <c r="K503" s="21" t="s">
        <v>152</v>
      </c>
      <c r="L503" s="298">
        <v>300000.0</v>
      </c>
      <c r="M503" s="298"/>
      <c r="N503" s="13" t="s">
        <v>89</v>
      </c>
      <c r="O503" s="21"/>
      <c r="P503" s="402" t="s">
        <v>2675</v>
      </c>
      <c r="Q503" s="24"/>
    </row>
    <row r="504">
      <c r="A504" s="11">
        <v>2025.0</v>
      </c>
      <c r="B504" s="18" t="s">
        <v>323</v>
      </c>
      <c r="C504" s="13" t="str">
        <f>IFERROR(VLOOKUP(B504,'Regiões'!A:B,2,0),"")</f>
        <v>Vale do Paranhana</v>
      </c>
      <c r="D504" s="13" t="s">
        <v>2676</v>
      </c>
      <c r="E504" s="15" t="s">
        <v>2660</v>
      </c>
      <c r="F504" s="17">
        <v>6.1986402001254E13</v>
      </c>
      <c r="G504" s="12" t="s">
        <v>2660</v>
      </c>
      <c r="H504" s="72">
        <v>4.1160002E7</v>
      </c>
      <c r="I504" s="11" t="s">
        <v>332</v>
      </c>
      <c r="J504" s="11" t="s">
        <v>7</v>
      </c>
      <c r="K504" s="21" t="s">
        <v>152</v>
      </c>
      <c r="L504" s="73">
        <v>300000.0</v>
      </c>
      <c r="M504" s="73"/>
      <c r="N504" s="13" t="s">
        <v>89</v>
      </c>
      <c r="O504" s="21"/>
      <c r="P504" s="61" t="s">
        <v>1426</v>
      </c>
      <c r="Q504" s="24"/>
    </row>
    <row r="505">
      <c r="A505" s="11">
        <v>2026.0</v>
      </c>
      <c r="B505" s="18" t="s">
        <v>879</v>
      </c>
      <c r="C505" s="13" t="str">
        <f>IFERROR(VLOOKUP(B505,'Regiões'!A:B,2,0),"")</f>
        <v>Vale do Rio Pardo</v>
      </c>
      <c r="D505" s="13" t="s">
        <v>2678</v>
      </c>
      <c r="E505" s="25" t="s">
        <v>2679</v>
      </c>
      <c r="F505" s="17">
        <v>9.5438412001277E13</v>
      </c>
      <c r="G505" s="18" t="s">
        <v>2680</v>
      </c>
      <c r="H505" s="20">
        <v>4.1160003E7</v>
      </c>
      <c r="I505" s="11" t="s">
        <v>2162</v>
      </c>
      <c r="J505" s="2" t="s">
        <v>7</v>
      </c>
      <c r="K505" s="21" t="s">
        <v>152</v>
      </c>
      <c r="L505" s="22">
        <v>300000.0</v>
      </c>
      <c r="M505" s="22"/>
      <c r="N505" s="11" t="s">
        <v>155</v>
      </c>
      <c r="O505" s="21"/>
      <c r="P505" s="23"/>
      <c r="Q505" s="24"/>
    </row>
    <row r="506">
      <c r="A506" s="11">
        <v>2026.0</v>
      </c>
      <c r="B506" s="18" t="s">
        <v>968</v>
      </c>
      <c r="C506" s="13" t="str">
        <f>IFERROR(VLOOKUP(B506,'Regiões'!A:B,2,0),"")</f>
        <v>Celeiro do Rio Grande</v>
      </c>
      <c r="D506" s="13" t="s">
        <v>2681</v>
      </c>
      <c r="E506" s="25" t="s">
        <v>2182</v>
      </c>
      <c r="F506" s="17">
        <v>9.8110000000149E13</v>
      </c>
      <c r="G506" s="18" t="s">
        <v>2682</v>
      </c>
      <c r="H506" s="20">
        <v>4.1160003E7</v>
      </c>
      <c r="I506" s="11" t="s">
        <v>2162</v>
      </c>
      <c r="J506" s="2" t="s">
        <v>7</v>
      </c>
      <c r="K506" s="21" t="s">
        <v>152</v>
      </c>
      <c r="L506" s="22">
        <v>300000.0</v>
      </c>
      <c r="M506" s="22"/>
      <c r="N506" s="11" t="s">
        <v>155</v>
      </c>
      <c r="O506" s="21"/>
      <c r="P506" s="23"/>
      <c r="Q506" s="24"/>
    </row>
    <row r="507">
      <c r="A507" s="11">
        <v>2026.0</v>
      </c>
      <c r="B507" s="18" t="s">
        <v>789</v>
      </c>
      <c r="C507" s="13" t="str">
        <f>IFERROR(VLOOKUP(B507,'Regiões'!A:B,2,0),"")</f>
        <v>Encosta Superior do Nordeste</v>
      </c>
      <c r="D507" s="648" t="s">
        <v>2683</v>
      </c>
      <c r="E507" s="18" t="s">
        <v>2684</v>
      </c>
      <c r="F507" s="17">
        <v>1.4428126000176E13</v>
      </c>
      <c r="G507" s="18" t="s">
        <v>2194</v>
      </c>
      <c r="H507" s="20">
        <v>4.1160013E7</v>
      </c>
      <c r="I507" s="11" t="s">
        <v>2185</v>
      </c>
      <c r="J507" s="2" t="s">
        <v>7</v>
      </c>
      <c r="K507" s="21" t="s">
        <v>152</v>
      </c>
      <c r="L507" s="22">
        <v>300000.0</v>
      </c>
      <c r="M507" s="22"/>
      <c r="N507" s="11" t="s">
        <v>155</v>
      </c>
      <c r="O507" s="21"/>
      <c r="P507" s="23"/>
      <c r="Q507" s="24"/>
    </row>
    <row r="508">
      <c r="A508" s="11">
        <v>2025.0</v>
      </c>
      <c r="B508" s="18" t="s">
        <v>921</v>
      </c>
      <c r="C508" s="13" t="str">
        <f>IFERROR(VLOOKUP(B508,'Regiões'!A:B,2,0),"")</f>
        <v>Centro do Estado</v>
      </c>
      <c r="D508" s="13" t="s">
        <v>2685</v>
      </c>
      <c r="E508" s="15" t="s">
        <v>2686</v>
      </c>
      <c r="F508" s="17">
        <v>9.7229181000164E13</v>
      </c>
      <c r="G508" s="18" t="s">
        <v>74</v>
      </c>
      <c r="H508" s="293">
        <v>4.1160008E7</v>
      </c>
      <c r="I508" s="11" t="s">
        <v>25</v>
      </c>
      <c r="J508" s="11" t="s">
        <v>27</v>
      </c>
      <c r="K508" s="21" t="s">
        <v>152</v>
      </c>
      <c r="L508" s="298">
        <v>301774.0</v>
      </c>
      <c r="M508" s="298"/>
      <c r="N508" s="13" t="s">
        <v>89</v>
      </c>
      <c r="O508" s="21"/>
      <c r="P508" s="402" t="s">
        <v>2687</v>
      </c>
      <c r="Q508" s="24"/>
    </row>
    <row r="509">
      <c r="A509" s="13">
        <v>2023.0</v>
      </c>
      <c r="B509" s="79" t="s">
        <v>763</v>
      </c>
      <c r="C509" s="13" t="str">
        <f>IFERROR(VLOOKUP(B509,'Regiões'!A:B,2,0),"")</f>
        <v>Centro do Estado</v>
      </c>
      <c r="D509" s="13" t="s">
        <v>2688</v>
      </c>
      <c r="E509" s="80" t="s">
        <v>220</v>
      </c>
      <c r="F509" s="81"/>
      <c r="G509" s="79" t="s">
        <v>2689</v>
      </c>
      <c r="H509" s="82"/>
      <c r="I509" s="13" t="s">
        <v>2460</v>
      </c>
      <c r="J509" s="13" t="str">
        <f t="shared" ref="J509:J510" si="16">LEFT(I509,FIND(" (",I509) - 1)</f>
        <v>Infraestrutura</v>
      </c>
      <c r="K509" s="13" t="s">
        <v>152</v>
      </c>
      <c r="L509" s="83">
        <v>308000.0</v>
      </c>
      <c r="M509" s="83"/>
      <c r="N509" s="13" t="s">
        <v>89</v>
      </c>
      <c r="O509" s="13" t="s">
        <v>265</v>
      </c>
      <c r="P509" s="80" t="s">
        <v>2690</v>
      </c>
      <c r="Q509" s="79"/>
    </row>
    <row r="510">
      <c r="A510" s="13">
        <v>2023.0</v>
      </c>
      <c r="B510" s="55" t="s">
        <v>551</v>
      </c>
      <c r="C510" s="13" t="str">
        <f>IFERROR(VLOOKUP(B510,'Regiões'!A:B,2,0),"")</f>
        <v>Encosta Superior do Nordeste</v>
      </c>
      <c r="D510" s="13" t="s">
        <v>2098</v>
      </c>
      <c r="E510" s="56" t="s">
        <v>485</v>
      </c>
      <c r="F510" s="358"/>
      <c r="G510" s="55" t="s">
        <v>2691</v>
      </c>
      <c r="H510" s="59">
        <v>4.1160007E7</v>
      </c>
      <c r="I510" s="13" t="s">
        <v>1307</v>
      </c>
      <c r="J510" s="13" t="str">
        <f t="shared" si="16"/>
        <v>Saúde</v>
      </c>
      <c r="K510" s="13" t="s">
        <v>152</v>
      </c>
      <c r="L510" s="393">
        <v>309316.0</v>
      </c>
      <c r="M510" s="393"/>
      <c r="N510" s="13" t="s">
        <v>89</v>
      </c>
      <c r="O510" s="13" t="s">
        <v>110</v>
      </c>
      <c r="P510" s="61" t="s">
        <v>2692</v>
      </c>
      <c r="Q510" s="62"/>
    </row>
    <row r="511">
      <c r="A511" s="11">
        <v>2024.0</v>
      </c>
      <c r="B511" s="12" t="s">
        <v>182</v>
      </c>
      <c r="C511" s="13" t="str">
        <f>IFERROR(VLOOKUP(B511,'Regiões'!A:B,2,0),"")</f>
        <v>Encosta Superior do Nordeste</v>
      </c>
      <c r="D511" s="13" t="s">
        <v>2693</v>
      </c>
      <c r="E511" s="15" t="str">
        <f>G511&amp;" de "&amp;B511</f>
        <v>Prefeitura Municipal de Farroupilha</v>
      </c>
      <c r="F511" s="17"/>
      <c r="G511" s="18" t="s">
        <v>74</v>
      </c>
      <c r="H511" s="20">
        <v>4.1160002E7</v>
      </c>
      <c r="I511" s="11" t="s">
        <v>903</v>
      </c>
      <c r="J511" s="11" t="s">
        <v>7</v>
      </c>
      <c r="K511" s="21" t="s">
        <v>84</v>
      </c>
      <c r="L511" s="22">
        <v>310184.0</v>
      </c>
      <c r="M511" s="22"/>
      <c r="N511" s="13" t="s">
        <v>89</v>
      </c>
      <c r="O511" s="21"/>
      <c r="P511" s="23"/>
      <c r="Q511" s="24"/>
    </row>
    <row r="512">
      <c r="A512" s="11">
        <v>2025.0</v>
      </c>
      <c r="B512" s="18" t="s">
        <v>884</v>
      </c>
      <c r="C512" s="13" t="str">
        <f>IFERROR(VLOOKUP(B512,'Regiões'!A:B,2,0),"")</f>
        <v>Encosta Superior do Nordeste</v>
      </c>
      <c r="D512" s="13" t="s">
        <v>2694</v>
      </c>
      <c r="E512" s="15" t="s">
        <v>2695</v>
      </c>
      <c r="F512" s="17">
        <v>1.211295500011E13</v>
      </c>
      <c r="G512" s="18" t="s">
        <v>74</v>
      </c>
      <c r="H512" s="293">
        <v>4.1160003E7</v>
      </c>
      <c r="I512" s="11" t="s">
        <v>9</v>
      </c>
      <c r="J512" s="11" t="s">
        <v>7</v>
      </c>
      <c r="K512" s="21" t="s">
        <v>152</v>
      </c>
      <c r="L512" s="298">
        <v>314200.0</v>
      </c>
      <c r="M512" s="298"/>
      <c r="N512" s="13" t="s">
        <v>89</v>
      </c>
      <c r="O512" s="21"/>
      <c r="P512" s="402" t="s">
        <v>2696</v>
      </c>
      <c r="Q512" s="24"/>
    </row>
    <row r="513">
      <c r="A513" s="11">
        <v>2026.0</v>
      </c>
      <c r="B513" s="18" t="s">
        <v>974</v>
      </c>
      <c r="C513" s="13" t="str">
        <f>IFERROR(VLOOKUP(B513,'Regiões'!A:B,2,0),"")</f>
        <v>Centro do Estado</v>
      </c>
      <c r="D513" s="13" t="s">
        <v>2697</v>
      </c>
      <c r="E513" s="18" t="s">
        <v>974</v>
      </c>
      <c r="F513" s="17">
        <v>1.0441810000137E13</v>
      </c>
      <c r="G513" s="18" t="s">
        <v>2698</v>
      </c>
      <c r="H513" s="20">
        <v>4.1160003E7</v>
      </c>
      <c r="I513" s="11" t="s">
        <v>2162</v>
      </c>
      <c r="J513" s="2" t="s">
        <v>7</v>
      </c>
      <c r="K513" s="21" t="s">
        <v>152</v>
      </c>
      <c r="L513" s="22">
        <v>314200.0</v>
      </c>
      <c r="M513" s="22"/>
      <c r="N513" s="11" t="s">
        <v>155</v>
      </c>
      <c r="O513" s="21"/>
      <c r="P513" s="23"/>
      <c r="Q513" s="24"/>
    </row>
    <row r="514">
      <c r="A514" s="11">
        <v>2026.0</v>
      </c>
      <c r="B514" s="18" t="s">
        <v>822</v>
      </c>
      <c r="C514" s="13" t="str">
        <f>IFERROR(VLOOKUP(B514,'Regiões'!A:B,2,0),"")</f>
        <v>Alto Jacuí</v>
      </c>
      <c r="D514" s="13" t="s">
        <v>2699</v>
      </c>
      <c r="E514" s="18" t="s">
        <v>822</v>
      </c>
      <c r="F514" s="17">
        <v>1.1715379000132E13</v>
      </c>
      <c r="G514" s="18" t="s">
        <v>2184</v>
      </c>
      <c r="H514" s="20">
        <v>4.1160013E7</v>
      </c>
      <c r="I514" s="11" t="s">
        <v>2185</v>
      </c>
      <c r="J514" s="2" t="s">
        <v>7</v>
      </c>
      <c r="K514" s="21" t="s">
        <v>152</v>
      </c>
      <c r="L514" s="22">
        <v>314200.0</v>
      </c>
      <c r="M514" s="22"/>
      <c r="N514" s="11" t="s">
        <v>155</v>
      </c>
      <c r="O514" s="21"/>
      <c r="P514" s="23"/>
      <c r="Q514" s="24"/>
    </row>
    <row r="515">
      <c r="A515" s="11">
        <v>2026.0</v>
      </c>
      <c r="B515" s="18" t="s">
        <v>812</v>
      </c>
      <c r="C515" s="13" t="str">
        <f>IFERROR(VLOOKUP(B515,'Regiões'!A:B,2,0),"")</f>
        <v>Planalto Médio</v>
      </c>
      <c r="D515" s="13" t="s">
        <v>2700</v>
      </c>
      <c r="E515" s="25" t="s">
        <v>2701</v>
      </c>
      <c r="F515" s="17">
        <v>1.2056244000175E13</v>
      </c>
      <c r="G515" s="18" t="s">
        <v>2172</v>
      </c>
      <c r="H515" s="20">
        <v>4.1160003E7</v>
      </c>
      <c r="I515" s="11" t="s">
        <v>2162</v>
      </c>
      <c r="J515" s="2" t="s">
        <v>7</v>
      </c>
      <c r="K515" s="21" t="s">
        <v>152</v>
      </c>
      <c r="L515" s="22">
        <v>317000.0</v>
      </c>
      <c r="M515" s="22"/>
      <c r="N515" s="11" t="s">
        <v>155</v>
      </c>
      <c r="O515" s="21"/>
      <c r="P515" s="23"/>
      <c r="Q515" s="24"/>
    </row>
    <row r="516">
      <c r="A516" s="47">
        <v>2020.0</v>
      </c>
      <c r="B516" s="47" t="s">
        <v>1499</v>
      </c>
      <c r="C516" s="13" t="str">
        <f>IFERROR(VLOOKUP(B516,'Regiões'!A:B,2,0),"")</f>
        <v/>
      </c>
      <c r="D516" s="29" t="s">
        <v>2227</v>
      </c>
      <c r="E516" s="49" t="s">
        <v>1065</v>
      </c>
      <c r="F516" s="50"/>
      <c r="G516" s="47" t="s">
        <v>1500</v>
      </c>
      <c r="H516" s="777">
        <v>4.1160002E7</v>
      </c>
      <c r="I516" s="47" t="s">
        <v>151</v>
      </c>
      <c r="J516" s="47" t="s">
        <v>27</v>
      </c>
      <c r="K516" s="47" t="s">
        <v>152</v>
      </c>
      <c r="L516" s="52">
        <v>317925.0</v>
      </c>
      <c r="M516" s="52"/>
      <c r="N516" s="47" t="s">
        <v>155</v>
      </c>
      <c r="O516" s="47" t="s">
        <v>1501</v>
      </c>
      <c r="P516" s="53" t="s">
        <v>1502</v>
      </c>
      <c r="Q516" s="54"/>
    </row>
    <row r="517">
      <c r="A517" s="13">
        <v>2023.0</v>
      </c>
      <c r="B517" s="55" t="s">
        <v>921</v>
      </c>
      <c r="C517" s="13" t="str">
        <f>IFERROR(VLOOKUP(B517,'Regiões'!A:B,2,0),"")</f>
        <v>Centro do Estado</v>
      </c>
      <c r="D517" s="13" t="s">
        <v>2702</v>
      </c>
      <c r="E517" s="56" t="s">
        <v>485</v>
      </c>
      <c r="F517" s="358"/>
      <c r="G517" s="55" t="s">
        <v>2703</v>
      </c>
      <c r="H517" s="59"/>
      <c r="I517" s="13" t="s">
        <v>1307</v>
      </c>
      <c r="J517" s="13" t="str">
        <f t="shared" ref="J517:J518" si="17">LEFT(I517,FIND(" (",I517) - 1)</f>
        <v>Saúde</v>
      </c>
      <c r="K517" s="13" t="s">
        <v>152</v>
      </c>
      <c r="L517" s="393">
        <v>320000.0</v>
      </c>
      <c r="M517" s="393"/>
      <c r="N517" s="13" t="s">
        <v>89</v>
      </c>
      <c r="O517" s="13" t="s">
        <v>265</v>
      </c>
      <c r="P517" s="61" t="s">
        <v>2704</v>
      </c>
      <c r="Q517" s="62"/>
    </row>
    <row r="518">
      <c r="A518" s="13">
        <v>2023.0</v>
      </c>
      <c r="B518" s="79" t="s">
        <v>400</v>
      </c>
      <c r="C518" s="13" t="str">
        <f>IFERROR(VLOOKUP(B518,'Regiões'!A:B,2,0),"")</f>
        <v>Vale do Paranhana</v>
      </c>
      <c r="D518" s="13" t="s">
        <v>1173</v>
      </c>
      <c r="E518" s="80" t="s">
        <v>220</v>
      </c>
      <c r="F518" s="81"/>
      <c r="G518" s="79" t="s">
        <v>2705</v>
      </c>
      <c r="H518" s="82"/>
      <c r="I518" s="13" t="s">
        <v>1307</v>
      </c>
      <c r="J518" s="13" t="str">
        <f t="shared" si="17"/>
        <v>Saúde</v>
      </c>
      <c r="K518" s="13" t="s">
        <v>152</v>
      </c>
      <c r="L518" s="83">
        <v>320000.0</v>
      </c>
      <c r="M518" s="83"/>
      <c r="N518" s="13" t="s">
        <v>89</v>
      </c>
      <c r="O518" s="13" t="s">
        <v>265</v>
      </c>
      <c r="P518" s="80" t="s">
        <v>425</v>
      </c>
      <c r="Q518" s="79"/>
    </row>
    <row r="519">
      <c r="A519" s="11">
        <v>2025.0</v>
      </c>
      <c r="B519" s="18" t="s">
        <v>115</v>
      </c>
      <c r="C519" s="13" t="str">
        <f>IFERROR(VLOOKUP(B519,'Regiões'!A:B,2,0),"")</f>
        <v>Vale do Taquari</v>
      </c>
      <c r="D519" s="13" t="s">
        <v>2706</v>
      </c>
      <c r="E519" s="15" t="s">
        <v>2707</v>
      </c>
      <c r="F519" s="17">
        <v>8.7297982000103E13</v>
      </c>
      <c r="G519" s="18" t="s">
        <v>74</v>
      </c>
      <c r="H519" s="293">
        <v>4.1160008E7</v>
      </c>
      <c r="I519" s="11" t="s">
        <v>149</v>
      </c>
      <c r="J519" s="11" t="s">
        <v>7</v>
      </c>
      <c r="K519" s="21" t="s">
        <v>152</v>
      </c>
      <c r="L519" s="298">
        <v>323039.0</v>
      </c>
      <c r="M519" s="298"/>
      <c r="N519" s="13" t="s">
        <v>89</v>
      </c>
      <c r="O519" s="21"/>
      <c r="P519" s="402" t="s">
        <v>2708</v>
      </c>
      <c r="Q519" s="24"/>
    </row>
    <row r="520">
      <c r="A520" s="11">
        <v>2026.0</v>
      </c>
      <c r="B520" s="18" t="s">
        <v>882</v>
      </c>
      <c r="C520" s="13" t="str">
        <f>IFERROR(VLOOKUP(B520,'Regiões'!A:B,2,0),"")</f>
        <v>Fronteira Oeste</v>
      </c>
      <c r="D520" s="13" t="s">
        <v>2709</v>
      </c>
      <c r="E520" s="25" t="s">
        <v>2710</v>
      </c>
      <c r="F520" s="17">
        <v>9.6039581000144E13</v>
      </c>
      <c r="G520" s="18" t="s">
        <v>2711</v>
      </c>
      <c r="H520" s="20">
        <v>4.1160003E7</v>
      </c>
      <c r="I520" s="11" t="s">
        <v>2162</v>
      </c>
      <c r="J520" s="2" t="s">
        <v>7</v>
      </c>
      <c r="K520" s="21" t="s">
        <v>152</v>
      </c>
      <c r="L520" s="22">
        <v>323043.0</v>
      </c>
      <c r="M520" s="22"/>
      <c r="N520" s="11" t="s">
        <v>155</v>
      </c>
      <c r="O520" s="21"/>
      <c r="P520" s="23"/>
      <c r="Q520" s="24"/>
    </row>
    <row r="521">
      <c r="A521" s="11">
        <v>2024.0</v>
      </c>
      <c r="B521" s="18" t="s">
        <v>163</v>
      </c>
      <c r="C521" s="13" t="str">
        <f>IFERROR(VLOOKUP(B521,'Regiões'!A:B,2,0),"")</f>
        <v>Costa Doce</v>
      </c>
      <c r="D521" s="13" t="s">
        <v>2712</v>
      </c>
      <c r="E521" s="15" t="str">
        <f>G521&amp;" de "&amp;B521</f>
        <v>Prefeitura Municipal de Arambaré</v>
      </c>
      <c r="F521" s="17"/>
      <c r="G521" s="18" t="s">
        <v>74</v>
      </c>
      <c r="H521" s="20">
        <v>4.1160004E7</v>
      </c>
      <c r="I521" s="11" t="s">
        <v>1048</v>
      </c>
      <c r="J521" s="11" t="s">
        <v>7</v>
      </c>
      <c r="K521" s="21" t="s">
        <v>152</v>
      </c>
      <c r="L521" s="22">
        <v>323812.0</v>
      </c>
      <c r="M521" s="22"/>
      <c r="N521" s="13" t="s">
        <v>89</v>
      </c>
      <c r="O521" s="21"/>
      <c r="P521" s="23"/>
      <c r="Q521" s="24"/>
    </row>
    <row r="522">
      <c r="A522" s="11">
        <v>2026.0</v>
      </c>
      <c r="B522" s="18" t="s">
        <v>47</v>
      </c>
      <c r="C522" s="13" t="str">
        <f>IFERROR(VLOOKUP(B522,'Regiões'!A:B,2,0),"")</f>
        <v>Metropolitana de Porto Alegre</v>
      </c>
      <c r="D522" s="13" t="s">
        <v>2713</v>
      </c>
      <c r="E522" s="25" t="s">
        <v>2334</v>
      </c>
      <c r="F522" s="17">
        <v>1.4069503000128E13</v>
      </c>
      <c r="G522" s="18" t="s">
        <v>2714</v>
      </c>
      <c r="H522" s="20">
        <v>4.1160003E7</v>
      </c>
      <c r="I522" s="11" t="s">
        <v>2162</v>
      </c>
      <c r="J522" s="2" t="s">
        <v>7</v>
      </c>
      <c r="K522" s="21" t="s">
        <v>152</v>
      </c>
      <c r="L522" s="22">
        <v>325116.0</v>
      </c>
      <c r="M522" s="22"/>
      <c r="N522" s="11" t="s">
        <v>155</v>
      </c>
      <c r="O522" s="21"/>
      <c r="P522" s="23"/>
      <c r="Q522" s="24"/>
    </row>
    <row r="523">
      <c r="A523" s="29">
        <v>2021.0</v>
      </c>
      <c r="B523" s="29" t="s">
        <v>543</v>
      </c>
      <c r="C523" s="13" t="str">
        <f>IFERROR(VLOOKUP(B523,'Regiões'!A:B,2,0),"")</f>
        <v>Vale do Rio Pardo</v>
      </c>
      <c r="D523" s="29" t="s">
        <v>2715</v>
      </c>
      <c r="E523" s="39" t="s">
        <v>1094</v>
      </c>
      <c r="F523" s="33"/>
      <c r="G523" s="29" t="s">
        <v>1094</v>
      </c>
      <c r="H523" s="35">
        <v>7.1220009E7</v>
      </c>
      <c r="I523" s="29" t="s">
        <v>27</v>
      </c>
      <c r="J523" s="29" t="s">
        <v>27</v>
      </c>
      <c r="K523" s="29" t="s">
        <v>152</v>
      </c>
      <c r="L523" s="38">
        <v>330000.0</v>
      </c>
      <c r="M523" s="38"/>
      <c r="N523" s="29" t="s">
        <v>389</v>
      </c>
      <c r="O523" s="29" t="s">
        <v>110</v>
      </c>
      <c r="P523" s="39" t="s">
        <v>1367</v>
      </c>
      <c r="Q523" s="40"/>
    </row>
    <row r="524">
      <c r="A524" s="13">
        <v>2023.0</v>
      </c>
      <c r="B524" s="55" t="s">
        <v>632</v>
      </c>
      <c r="C524" s="13" t="str">
        <f>IFERROR(VLOOKUP(B524,'Regiões'!A:B,2,0),"")</f>
        <v>Alto Uruguai</v>
      </c>
      <c r="D524" s="13" t="s">
        <v>1666</v>
      </c>
      <c r="E524" s="56" t="s">
        <v>485</v>
      </c>
      <c r="F524" s="358"/>
      <c r="G524" s="55" t="s">
        <v>2716</v>
      </c>
      <c r="H524" s="59"/>
      <c r="I524" s="13" t="s">
        <v>1307</v>
      </c>
      <c r="J524" s="13" t="str">
        <f t="shared" ref="J524:J525" si="18">LEFT(I524,FIND(" (",I524) - 1)</f>
        <v>Saúde</v>
      </c>
      <c r="K524" s="13" t="s">
        <v>152</v>
      </c>
      <c r="L524" s="393">
        <v>330000.0</v>
      </c>
      <c r="M524" s="393"/>
      <c r="N524" s="13" t="s">
        <v>89</v>
      </c>
      <c r="O524" s="13" t="s">
        <v>265</v>
      </c>
      <c r="P524" s="61" t="s">
        <v>2717</v>
      </c>
      <c r="Q524" s="62"/>
    </row>
    <row r="525">
      <c r="A525" s="13">
        <v>2023.0</v>
      </c>
      <c r="B525" s="55" t="s">
        <v>647</v>
      </c>
      <c r="C525" s="13" t="str">
        <f>IFERROR(VLOOKUP(B525,'Regiões'!A:B,2,0),"")</f>
        <v>Centro do Estado</v>
      </c>
      <c r="D525" s="13" t="s">
        <v>2718</v>
      </c>
      <c r="E525" s="56" t="s">
        <v>485</v>
      </c>
      <c r="F525" s="358"/>
      <c r="G525" s="55" t="s">
        <v>2719</v>
      </c>
      <c r="H525" s="59"/>
      <c r="I525" s="13" t="s">
        <v>1307</v>
      </c>
      <c r="J525" s="13" t="str">
        <f t="shared" si="18"/>
        <v>Saúde</v>
      </c>
      <c r="K525" s="13" t="s">
        <v>152</v>
      </c>
      <c r="L525" s="393">
        <v>330000.0</v>
      </c>
      <c r="M525" s="393"/>
      <c r="N525" s="13" t="s">
        <v>89</v>
      </c>
      <c r="O525" s="13" t="s">
        <v>265</v>
      </c>
      <c r="P525" s="61" t="s">
        <v>2720</v>
      </c>
      <c r="Q525" s="62"/>
    </row>
    <row r="526">
      <c r="A526" s="29">
        <v>2021.0</v>
      </c>
      <c r="B526" s="29" t="s">
        <v>651</v>
      </c>
      <c r="C526" s="13" t="str">
        <f>IFERROR(VLOOKUP(B526,'Regiões'!A:B,2,0),"")</f>
        <v>Encosta Superior do Nordeste</v>
      </c>
      <c r="D526" s="29" t="s">
        <v>1620</v>
      </c>
      <c r="E526" s="32" t="s">
        <v>1094</v>
      </c>
      <c r="F526" s="33"/>
      <c r="G526" s="29" t="s">
        <v>1216</v>
      </c>
      <c r="H526" s="45">
        <v>4.1160001E7</v>
      </c>
      <c r="I526" s="29" t="s">
        <v>151</v>
      </c>
      <c r="J526" s="29" t="s">
        <v>27</v>
      </c>
      <c r="K526" s="29" t="s">
        <v>152</v>
      </c>
      <c r="L526" s="37">
        <v>333333.0</v>
      </c>
      <c r="M526" s="37"/>
      <c r="N526" s="29" t="s">
        <v>155</v>
      </c>
      <c r="O526" s="29" t="s">
        <v>110</v>
      </c>
      <c r="P526" s="109" t="s">
        <v>2721</v>
      </c>
      <c r="Q526" s="40"/>
    </row>
    <row r="527">
      <c r="A527" s="29">
        <v>2021.0</v>
      </c>
      <c r="B527" s="29" t="s">
        <v>666</v>
      </c>
      <c r="C527" s="13" t="str">
        <f>IFERROR(VLOOKUP(B527,'Regiões'!A:B,2,0),"")</f>
        <v>Missões</v>
      </c>
      <c r="D527" s="29" t="s">
        <v>2722</v>
      </c>
      <c r="E527" s="32" t="s">
        <v>1094</v>
      </c>
      <c r="F527" s="33"/>
      <c r="G527" s="29" t="s">
        <v>1238</v>
      </c>
      <c r="H527" s="45">
        <v>4.1160001E7</v>
      </c>
      <c r="I527" s="29" t="s">
        <v>151</v>
      </c>
      <c r="J527" s="29" t="s">
        <v>27</v>
      </c>
      <c r="K527" s="29" t="s">
        <v>152</v>
      </c>
      <c r="L527" s="37">
        <v>333333.0</v>
      </c>
      <c r="M527" s="37"/>
      <c r="N527" s="29" t="s">
        <v>155</v>
      </c>
      <c r="O527" s="29" t="s">
        <v>110</v>
      </c>
      <c r="P527" s="109" t="s">
        <v>1218</v>
      </c>
      <c r="Q527" s="40"/>
    </row>
    <row r="528">
      <c r="A528" s="29">
        <v>2021.0</v>
      </c>
      <c r="B528" s="29" t="s">
        <v>198</v>
      </c>
      <c r="C528" s="13" t="str">
        <f>IFERROR(VLOOKUP(B528,'Regiões'!A:B,2,0),"")</f>
        <v>Vale dos Sinos</v>
      </c>
      <c r="D528" s="29" t="s">
        <v>2723</v>
      </c>
      <c r="E528" s="32" t="s">
        <v>1094</v>
      </c>
      <c r="F528" s="33"/>
      <c r="G528" s="29" t="s">
        <v>1242</v>
      </c>
      <c r="H528" s="45">
        <v>4.1160001E7</v>
      </c>
      <c r="I528" s="29" t="s">
        <v>151</v>
      </c>
      <c r="J528" s="29" t="s">
        <v>27</v>
      </c>
      <c r="K528" s="29" t="s">
        <v>152</v>
      </c>
      <c r="L528" s="37">
        <v>333333.0</v>
      </c>
      <c r="M528" s="37"/>
      <c r="N528" s="29" t="s">
        <v>155</v>
      </c>
      <c r="O528" s="29" t="s">
        <v>110</v>
      </c>
      <c r="P528" s="109" t="s">
        <v>1218</v>
      </c>
      <c r="Q528" s="40"/>
    </row>
    <row r="529">
      <c r="A529" s="11">
        <v>2023.0</v>
      </c>
      <c r="B529" s="18" t="s">
        <v>96</v>
      </c>
      <c r="C529" s="13"/>
      <c r="D529" s="13" t="s">
        <v>99</v>
      </c>
      <c r="E529" s="25" t="s">
        <v>100</v>
      </c>
      <c r="F529" s="17"/>
      <c r="G529" s="18" t="s">
        <v>100</v>
      </c>
      <c r="H529" s="20">
        <v>4.1160009E7</v>
      </c>
      <c r="I529" s="11" t="s">
        <v>27</v>
      </c>
      <c r="J529" s="11" t="s">
        <v>27</v>
      </c>
      <c r="K529" s="21" t="s">
        <v>152</v>
      </c>
      <c r="L529" s="26">
        <v>333800.0</v>
      </c>
      <c r="M529" s="26"/>
      <c r="N529" s="11" t="s">
        <v>89</v>
      </c>
      <c r="O529" s="21" t="s">
        <v>110</v>
      </c>
      <c r="P529" s="23"/>
      <c r="Q529" s="24"/>
    </row>
    <row r="530">
      <c r="A530" s="334">
        <v>2023.0</v>
      </c>
      <c r="B530" s="422"/>
      <c r="C530" s="334" t="str">
        <f>IFERROR(VLOOKUP(B530,'Regiões'!A:B,2,0),"")</f>
        <v/>
      </c>
      <c r="D530" s="334"/>
      <c r="E530" s="785"/>
      <c r="F530" s="420"/>
      <c r="G530" s="422" t="s">
        <v>1403</v>
      </c>
      <c r="H530" s="786">
        <v>4.1160009E7</v>
      </c>
      <c r="I530" s="334" t="s">
        <v>27</v>
      </c>
      <c r="J530" s="334" t="s">
        <v>27</v>
      </c>
      <c r="K530" s="334"/>
      <c r="L530" s="787">
        <v>335000.0</v>
      </c>
      <c r="M530" s="787"/>
      <c r="N530" s="334"/>
      <c r="O530" s="334" t="s">
        <v>2725</v>
      </c>
      <c r="P530" s="347" t="s">
        <v>2726</v>
      </c>
      <c r="Q530" s="788"/>
    </row>
    <row r="531">
      <c r="A531" s="13">
        <v>2023.0</v>
      </c>
      <c r="B531" s="55" t="s">
        <v>198</v>
      </c>
      <c r="C531" s="13" t="str">
        <f>IFERROR(VLOOKUP(B531,'Regiões'!A:B,2,0),"")</f>
        <v>Vale dos Sinos</v>
      </c>
      <c r="D531" s="13" t="s">
        <v>1740</v>
      </c>
      <c r="E531" s="56" t="s">
        <v>485</v>
      </c>
      <c r="F531" s="358"/>
      <c r="G531" s="55" t="s">
        <v>2727</v>
      </c>
      <c r="H531" s="59"/>
      <c r="I531" s="13" t="s">
        <v>1307</v>
      </c>
      <c r="J531" s="13" t="str">
        <f>LEFT(I531,FIND(" (",I531) - 1)</f>
        <v>Saúde</v>
      </c>
      <c r="K531" s="13" t="s">
        <v>152</v>
      </c>
      <c r="L531" s="60">
        <v>340000.0</v>
      </c>
      <c r="M531" s="60"/>
      <c r="N531" s="13" t="s">
        <v>89</v>
      </c>
      <c r="O531" s="13" t="s">
        <v>265</v>
      </c>
      <c r="P531" s="61" t="s">
        <v>2728</v>
      </c>
      <c r="Q531" s="62"/>
    </row>
    <row r="532">
      <c r="A532" s="11">
        <v>2025.0</v>
      </c>
      <c r="B532" s="18" t="s">
        <v>818</v>
      </c>
      <c r="C532" s="13" t="str">
        <f>IFERROR(VLOOKUP(B532,'Regiões'!A:B,2,0),"")</f>
        <v>Centro do Estado</v>
      </c>
      <c r="D532" s="13" t="s">
        <v>2729</v>
      </c>
      <c r="E532" s="15" t="s">
        <v>2730</v>
      </c>
      <c r="F532" s="17">
        <v>1.2991728000101E13</v>
      </c>
      <c r="G532" s="18" t="s">
        <v>74</v>
      </c>
      <c r="H532" s="293">
        <v>4.1160004E7</v>
      </c>
      <c r="I532" s="11" t="s">
        <v>6</v>
      </c>
      <c r="J532" s="11" t="s">
        <v>7</v>
      </c>
      <c r="K532" s="21" t="s">
        <v>152</v>
      </c>
      <c r="L532" s="298">
        <v>340000.0</v>
      </c>
      <c r="M532" s="298"/>
      <c r="N532" s="13" t="s">
        <v>89</v>
      </c>
      <c r="O532" s="21"/>
      <c r="P532" s="402" t="s">
        <v>2731</v>
      </c>
      <c r="Q532" s="24"/>
    </row>
    <row r="533">
      <c r="A533" s="29">
        <v>2021.0</v>
      </c>
      <c r="B533" s="41" t="s">
        <v>798</v>
      </c>
      <c r="C533" s="13" t="str">
        <f>IFERROR(VLOOKUP(B533,'Regiões'!A:B,2,0),"")</f>
        <v>Encosta Superior do Nordeste</v>
      </c>
      <c r="D533" s="29" t="s">
        <v>2732</v>
      </c>
      <c r="E533" s="32" t="s">
        <v>220</v>
      </c>
      <c r="F533" s="42"/>
      <c r="G533" s="43" t="s">
        <v>74</v>
      </c>
      <c r="H533" s="45">
        <v>4.1160003E7</v>
      </c>
      <c r="I533" s="29" t="s">
        <v>488</v>
      </c>
      <c r="J533" s="29" t="s">
        <v>7</v>
      </c>
      <c r="K533" s="29" t="s">
        <v>84</v>
      </c>
      <c r="L533" s="37">
        <v>350000.0</v>
      </c>
      <c r="M533" s="37"/>
      <c r="N533" s="29" t="s">
        <v>1062</v>
      </c>
      <c r="O533" s="29" t="s">
        <v>110</v>
      </c>
      <c r="P533" s="46" t="s">
        <v>1667</v>
      </c>
      <c r="Q533" s="40"/>
    </row>
    <row r="534">
      <c r="A534" s="29">
        <v>2022.0</v>
      </c>
      <c r="B534" s="29" t="s">
        <v>116</v>
      </c>
      <c r="C534" s="13" t="str">
        <f>IFERROR(VLOOKUP(B534,'Regiões'!A:B,2,0),"")</f>
        <v>Sudoeste do Estado</v>
      </c>
      <c r="D534" s="29" t="s">
        <v>2733</v>
      </c>
      <c r="E534" s="53" t="s">
        <v>1195</v>
      </c>
      <c r="F534" s="243"/>
      <c r="G534" s="245" t="s">
        <v>1195</v>
      </c>
      <c r="H534" s="35">
        <v>4.1160004E7</v>
      </c>
      <c r="I534" s="29" t="s">
        <v>280</v>
      </c>
      <c r="J534" s="29" t="s">
        <v>280</v>
      </c>
      <c r="K534" s="29" t="s">
        <v>152</v>
      </c>
      <c r="L534" s="38">
        <v>350000.0</v>
      </c>
      <c r="M534" s="38"/>
      <c r="N534" s="29" t="s">
        <v>200</v>
      </c>
      <c r="O534" s="29" t="s">
        <v>2734</v>
      </c>
      <c r="P534" s="39" t="s">
        <v>2735</v>
      </c>
      <c r="Q534" s="40"/>
    </row>
    <row r="535">
      <c r="A535" s="47">
        <v>2022.0</v>
      </c>
      <c r="B535" s="54" t="s">
        <v>1109</v>
      </c>
      <c r="C535" s="13" t="str">
        <f>IFERROR(VLOOKUP(B535,'Regiões'!A:B,2,0),"")</f>
        <v>Encosta Superior do Nordeste</v>
      </c>
      <c r="D535" s="29" t="s">
        <v>1943</v>
      </c>
      <c r="E535" s="49" t="s">
        <v>485</v>
      </c>
      <c r="F535" s="396"/>
      <c r="G535" s="54" t="s">
        <v>1392</v>
      </c>
      <c r="H535" s="35">
        <v>7120004.0</v>
      </c>
      <c r="I535" s="29" t="s">
        <v>488</v>
      </c>
      <c r="J535" s="29" t="s">
        <v>7</v>
      </c>
      <c r="K535" s="29" t="s">
        <v>84</v>
      </c>
      <c r="L535" s="52">
        <v>350000.0</v>
      </c>
      <c r="M535" s="52"/>
      <c r="N535" s="29" t="s">
        <v>1193</v>
      </c>
      <c r="O535" s="47" t="s">
        <v>110</v>
      </c>
      <c r="P535" s="46" t="s">
        <v>1213</v>
      </c>
      <c r="Q535" s="54"/>
    </row>
    <row r="536">
      <c r="A536" s="29">
        <v>2022.0</v>
      </c>
      <c r="B536" s="29" t="s">
        <v>127</v>
      </c>
      <c r="C536" s="13" t="str">
        <f>IFERROR(VLOOKUP(B536,'Regiões'!A:B,2,0),"")</f>
        <v>Metropolitana de Porto Alegre</v>
      </c>
      <c r="D536" s="29" t="s">
        <v>2736</v>
      </c>
      <c r="E536" s="53" t="s">
        <v>1096</v>
      </c>
      <c r="F536" s="243"/>
      <c r="G536" s="245" t="s">
        <v>1096</v>
      </c>
      <c r="H536" s="35">
        <v>4.1160006E7</v>
      </c>
      <c r="I536" s="29" t="s">
        <v>280</v>
      </c>
      <c r="J536" s="29" t="s">
        <v>280</v>
      </c>
      <c r="K536" s="29" t="s">
        <v>152</v>
      </c>
      <c r="L536" s="38">
        <v>350000.0</v>
      </c>
      <c r="M536" s="38"/>
      <c r="N536" s="29" t="s">
        <v>200</v>
      </c>
      <c r="O536" s="29" t="s">
        <v>110</v>
      </c>
      <c r="P536" s="39"/>
      <c r="Q536" s="40"/>
    </row>
    <row r="537">
      <c r="A537" s="29">
        <v>2022.0</v>
      </c>
      <c r="B537" s="29" t="s">
        <v>96</v>
      </c>
      <c r="C537" s="13" t="str">
        <f>IFERROR(VLOOKUP(B537,'Regiões'!A:B,2,0),"")</f>
        <v>Zona Sul</v>
      </c>
      <c r="D537" s="29" t="s">
        <v>2737</v>
      </c>
      <c r="E537" s="53" t="s">
        <v>1201</v>
      </c>
      <c r="F537" s="57"/>
      <c r="G537" s="58" t="s">
        <v>1403</v>
      </c>
      <c r="H537" s="35">
        <v>4.116001E7</v>
      </c>
      <c r="I537" s="58" t="s">
        <v>1403</v>
      </c>
      <c r="J537" s="58" t="s">
        <v>27</v>
      </c>
      <c r="K537" s="29"/>
      <c r="L537" s="38">
        <v>350000.0</v>
      </c>
      <c r="M537" s="38"/>
      <c r="N537" s="29" t="s">
        <v>200</v>
      </c>
      <c r="O537" s="29" t="s">
        <v>110</v>
      </c>
      <c r="P537" s="39"/>
      <c r="Q537" s="40"/>
    </row>
    <row r="538">
      <c r="A538" s="13">
        <v>2023.0</v>
      </c>
      <c r="B538" s="79" t="s">
        <v>888</v>
      </c>
      <c r="C538" s="13" t="str">
        <f>IFERROR(VLOOKUP(B538,'Regiões'!A:B,2,0),"")</f>
        <v>Metropolitana de Porto Alegre</v>
      </c>
      <c r="D538" s="13" t="s">
        <v>2361</v>
      </c>
      <c r="E538" s="80" t="s">
        <v>220</v>
      </c>
      <c r="F538" s="81"/>
      <c r="G538" s="79" t="s">
        <v>1446</v>
      </c>
      <c r="H538" s="82"/>
      <c r="I538" s="13" t="s">
        <v>958</v>
      </c>
      <c r="J538" s="13" t="str">
        <f>LEFT(I538,FIND(" (",I538) - 1)</f>
        <v>Segurança Pública</v>
      </c>
      <c r="K538" s="13" t="s">
        <v>152</v>
      </c>
      <c r="L538" s="83">
        <v>350000.0</v>
      </c>
      <c r="M538" s="83"/>
      <c r="N538" s="13" t="s">
        <v>89</v>
      </c>
      <c r="O538" s="13" t="s">
        <v>265</v>
      </c>
      <c r="P538" s="80" t="s">
        <v>1191</v>
      </c>
      <c r="Q538" s="79"/>
    </row>
    <row r="539">
      <c r="A539" s="11">
        <v>2024.0</v>
      </c>
      <c r="B539" s="12" t="s">
        <v>559</v>
      </c>
      <c r="C539" s="13" t="str">
        <f>IFERROR(VLOOKUP(B539,'Regiões'!A:B,2,0),"")</f>
        <v>Encosta Superior do Nordeste</v>
      </c>
      <c r="D539" s="13" t="s">
        <v>2740</v>
      </c>
      <c r="E539" s="15" t="str">
        <f>G539&amp;" de "&amp;B539</f>
        <v>Prefeitura Municipal de Caxias do Sul</v>
      </c>
      <c r="F539" s="17"/>
      <c r="G539" s="18" t="s">
        <v>74</v>
      </c>
      <c r="H539" s="20">
        <v>4.1160004E7</v>
      </c>
      <c r="I539" s="11" t="s">
        <v>1048</v>
      </c>
      <c r="J539" s="11" t="s">
        <v>7</v>
      </c>
      <c r="K539" s="21" t="s">
        <v>152</v>
      </c>
      <c r="L539" s="22">
        <v>350000.0</v>
      </c>
      <c r="M539" s="22"/>
      <c r="N539" s="13" t="s">
        <v>89</v>
      </c>
      <c r="O539" s="21"/>
      <c r="P539" s="23"/>
      <c r="Q539" s="24"/>
    </row>
    <row r="540">
      <c r="A540" s="13">
        <v>2023.0</v>
      </c>
      <c r="B540" s="79" t="s">
        <v>619</v>
      </c>
      <c r="C540" s="13" t="str">
        <f>IFERROR(VLOOKUP(B540,'Regiões'!A:B,2,0),"")</f>
        <v>Sudoeste do Estado</v>
      </c>
      <c r="D540" s="13" t="s">
        <v>1015</v>
      </c>
      <c r="E540" s="80" t="s">
        <v>220</v>
      </c>
      <c r="F540" s="81"/>
      <c r="G540" s="79" t="s">
        <v>2743</v>
      </c>
      <c r="H540" s="82"/>
      <c r="I540" s="13" t="s">
        <v>2460</v>
      </c>
      <c r="J540" s="13" t="str">
        <f t="shared" ref="J540:J541" si="19">LEFT(I540,FIND(" (",I540) - 1)</f>
        <v>Infraestrutura</v>
      </c>
      <c r="K540" s="13" t="s">
        <v>152</v>
      </c>
      <c r="L540" s="83">
        <v>352000.0</v>
      </c>
      <c r="M540" s="83"/>
      <c r="N540" s="13" t="s">
        <v>89</v>
      </c>
      <c r="O540" s="13" t="s">
        <v>265</v>
      </c>
      <c r="P540" s="80" t="s">
        <v>2744</v>
      </c>
      <c r="Q540" s="79"/>
    </row>
    <row r="541">
      <c r="A541" s="13">
        <v>2023.0</v>
      </c>
      <c r="B541" s="79" t="s">
        <v>492</v>
      </c>
      <c r="C541" s="13" t="str">
        <f>IFERROR(VLOOKUP(B541,'Regiões'!A:B,2,0),"")</f>
        <v>Vale do Rio Caí</v>
      </c>
      <c r="D541" s="13" t="s">
        <v>2745</v>
      </c>
      <c r="E541" s="80" t="s">
        <v>220</v>
      </c>
      <c r="F541" s="81"/>
      <c r="G541" s="79" t="s">
        <v>2746</v>
      </c>
      <c r="H541" s="82"/>
      <c r="I541" s="13" t="s">
        <v>2460</v>
      </c>
      <c r="J541" s="13" t="str">
        <f t="shared" si="19"/>
        <v>Infraestrutura</v>
      </c>
      <c r="K541" s="13" t="s">
        <v>152</v>
      </c>
      <c r="L541" s="83">
        <v>352000.0</v>
      </c>
      <c r="M541" s="83"/>
      <c r="N541" s="13" t="s">
        <v>89</v>
      </c>
      <c r="O541" s="13" t="s">
        <v>265</v>
      </c>
      <c r="P541" s="80" t="s">
        <v>2748</v>
      </c>
      <c r="Q541" s="79"/>
    </row>
    <row r="542">
      <c r="A542" s="11">
        <v>2025.0</v>
      </c>
      <c r="B542" s="18" t="s">
        <v>71</v>
      </c>
      <c r="C542" s="13" t="str">
        <f>IFERROR(VLOOKUP(B542,'Regiões'!A:B,2,0),"")</f>
        <v>Fronteira Oeste</v>
      </c>
      <c r="D542" s="13" t="s">
        <v>2749</v>
      </c>
      <c r="E542" s="15" t="s">
        <v>2750</v>
      </c>
      <c r="F542" s="17">
        <v>8.7200929000142E13</v>
      </c>
      <c r="G542" s="12" t="s">
        <v>2750</v>
      </c>
      <c r="H542" s="72">
        <v>4.1160004E7</v>
      </c>
      <c r="I542" s="11" t="s">
        <v>6</v>
      </c>
      <c r="J542" s="11" t="s">
        <v>7</v>
      </c>
      <c r="K542" s="21" t="s">
        <v>152</v>
      </c>
      <c r="L542" s="309">
        <v>355411.0</v>
      </c>
      <c r="M542" s="309"/>
      <c r="N542" s="13" t="s">
        <v>89</v>
      </c>
      <c r="O542" s="21"/>
      <c r="P542" s="56" t="s">
        <v>2752</v>
      </c>
      <c r="Q542" s="24"/>
    </row>
    <row r="543">
      <c r="A543" s="47">
        <v>2020.0</v>
      </c>
      <c r="B543" s="47" t="s">
        <v>127</v>
      </c>
      <c r="C543" s="13" t="str">
        <f>IFERROR(VLOOKUP(B543,'Regiões'!A:B,2,0),"")</f>
        <v>Metropolitana de Porto Alegre</v>
      </c>
      <c r="D543" s="29" t="s">
        <v>290</v>
      </c>
      <c r="E543" s="49" t="s">
        <v>291</v>
      </c>
      <c r="F543" s="50"/>
      <c r="G543" s="47" t="s">
        <v>291</v>
      </c>
      <c r="H543" s="51">
        <v>4.1160008E7</v>
      </c>
      <c r="I543" s="47" t="s">
        <v>151</v>
      </c>
      <c r="J543" s="47" t="s">
        <v>27</v>
      </c>
      <c r="K543" s="47" t="s">
        <v>152</v>
      </c>
      <c r="L543" s="52">
        <v>355975.13</v>
      </c>
      <c r="M543" s="52" t="s">
        <v>2754</v>
      </c>
      <c r="N543" s="47" t="s">
        <v>155</v>
      </c>
      <c r="O543" s="47" t="s">
        <v>1377</v>
      </c>
      <c r="P543" s="53" t="s">
        <v>1378</v>
      </c>
      <c r="Q543" s="54"/>
    </row>
    <row r="544">
      <c r="A544" s="11">
        <v>2026.0</v>
      </c>
      <c r="B544" s="18" t="s">
        <v>883</v>
      </c>
      <c r="C544" s="13" t="str">
        <f>IFERROR(VLOOKUP(B544,'Regiões'!A:B,2,0),"")</f>
        <v>Fronteira Noroeste</v>
      </c>
      <c r="D544" s="13" t="s">
        <v>2758</v>
      </c>
      <c r="E544" s="25" t="s">
        <v>2711</v>
      </c>
      <c r="F544" s="17">
        <v>9.5815668000284E13</v>
      </c>
      <c r="G544" s="18" t="s">
        <v>2679</v>
      </c>
      <c r="H544" s="20">
        <v>4.1160003E7</v>
      </c>
      <c r="I544" s="11" t="s">
        <v>2162</v>
      </c>
      <c r="J544" s="2" t="s">
        <v>7</v>
      </c>
      <c r="K544" s="21" t="s">
        <v>152</v>
      </c>
      <c r="L544" s="22">
        <v>356219.0</v>
      </c>
      <c r="M544" s="22"/>
      <c r="N544" s="11" t="s">
        <v>155</v>
      </c>
      <c r="O544" s="21"/>
      <c r="P544" s="23"/>
      <c r="Q544" s="24"/>
    </row>
    <row r="545">
      <c r="A545" s="334">
        <v>2021.0</v>
      </c>
      <c r="B545" s="334" t="s">
        <v>1047</v>
      </c>
      <c r="C545" s="334" t="str">
        <f>IFERROR(VLOOKUP(B545,'Regiões'!A:B,2,0),"")</f>
        <v/>
      </c>
      <c r="D545" s="334" t="s">
        <v>2601</v>
      </c>
      <c r="E545" s="347" t="s">
        <v>1065</v>
      </c>
      <c r="F545" s="341"/>
      <c r="G545" s="334" t="s">
        <v>1065</v>
      </c>
      <c r="H545" s="343">
        <v>7.1220009E7</v>
      </c>
      <c r="I545" s="334" t="s">
        <v>27</v>
      </c>
      <c r="J545" s="334" t="s">
        <v>27</v>
      </c>
      <c r="K545" s="334" t="s">
        <v>152</v>
      </c>
      <c r="L545" s="345">
        <v>358785.0</v>
      </c>
      <c r="M545" s="345"/>
      <c r="N545" s="334" t="s">
        <v>389</v>
      </c>
      <c r="O545" s="334" t="s">
        <v>1082</v>
      </c>
      <c r="P545" s="347" t="s">
        <v>1071</v>
      </c>
      <c r="Q545" s="348"/>
    </row>
    <row r="546">
      <c r="A546" s="13">
        <v>2023.0</v>
      </c>
      <c r="B546" s="55" t="s">
        <v>505</v>
      </c>
      <c r="C546" s="13" t="str">
        <f>IFERROR(VLOOKUP(B546,'Regiões'!A:B,2,0),"")</f>
        <v>Encosta Superior do Nordeste</v>
      </c>
      <c r="D546" s="13" t="s">
        <v>2762</v>
      </c>
      <c r="E546" s="56" t="s">
        <v>485</v>
      </c>
      <c r="F546" s="358"/>
      <c r="G546" s="55" t="s">
        <v>2763</v>
      </c>
      <c r="H546" s="59"/>
      <c r="I546" s="13" t="s">
        <v>1307</v>
      </c>
      <c r="J546" s="13" t="str">
        <f t="shared" ref="J546:J547" si="20">LEFT(I546,FIND(" (",I546) - 1)</f>
        <v>Saúde</v>
      </c>
      <c r="K546" s="13" t="s">
        <v>152</v>
      </c>
      <c r="L546" s="393">
        <v>359148.0</v>
      </c>
      <c r="M546" s="393"/>
      <c r="N546" s="13" t="s">
        <v>89</v>
      </c>
      <c r="O546" s="13" t="s">
        <v>265</v>
      </c>
      <c r="P546" s="61" t="s">
        <v>2764</v>
      </c>
      <c r="Q546" s="62"/>
    </row>
    <row r="547">
      <c r="A547" s="13">
        <v>2023.0</v>
      </c>
      <c r="B547" s="55" t="s">
        <v>879</v>
      </c>
      <c r="C547" s="13" t="str">
        <f>IFERROR(VLOOKUP(B547,'Regiões'!A:B,2,0),"")</f>
        <v>Vale do Rio Pardo</v>
      </c>
      <c r="D547" s="13" t="s">
        <v>2765</v>
      </c>
      <c r="E547" s="56" t="s">
        <v>485</v>
      </c>
      <c r="F547" s="358"/>
      <c r="G547" s="55" t="s">
        <v>2766</v>
      </c>
      <c r="H547" s="59"/>
      <c r="I547" s="13" t="s">
        <v>1307</v>
      </c>
      <c r="J547" s="13" t="str">
        <f t="shared" si="20"/>
        <v>Saúde</v>
      </c>
      <c r="K547" s="13" t="s">
        <v>152</v>
      </c>
      <c r="L547" s="393">
        <v>359148.0</v>
      </c>
      <c r="M547" s="393"/>
      <c r="N547" s="13" t="s">
        <v>89</v>
      </c>
      <c r="O547" s="13" t="s">
        <v>265</v>
      </c>
      <c r="P547" s="61" t="s">
        <v>2767</v>
      </c>
      <c r="Q547" s="62"/>
    </row>
    <row r="548">
      <c r="A548" s="64">
        <v>2020.0</v>
      </c>
      <c r="B548" s="64" t="s">
        <v>127</v>
      </c>
      <c r="C548" s="13" t="str">
        <f>IFERROR(VLOOKUP(B548,'Regiões'!A:B,2,0),"")</f>
        <v>Metropolitana de Porto Alegre</v>
      </c>
      <c r="D548" s="29" t="s">
        <v>2770</v>
      </c>
      <c r="E548" s="65" t="s">
        <v>485</v>
      </c>
      <c r="F548" s="66"/>
      <c r="G548" s="64" t="s">
        <v>1239</v>
      </c>
      <c r="H548" s="71">
        <v>4.1160005E7</v>
      </c>
      <c r="I548" s="64" t="s">
        <v>488</v>
      </c>
      <c r="J548" s="64" t="s">
        <v>7</v>
      </c>
      <c r="K548" s="64" t="s">
        <v>84</v>
      </c>
      <c r="L548" s="68">
        <v>360000.0</v>
      </c>
      <c r="M548" s="68"/>
      <c r="N548" s="64" t="s">
        <v>490</v>
      </c>
      <c r="O548" s="64" t="s">
        <v>110</v>
      </c>
      <c r="P548" s="65" t="s">
        <v>491</v>
      </c>
      <c r="Q548" s="75"/>
    </row>
    <row r="549">
      <c r="A549" s="29">
        <v>2022.0</v>
      </c>
      <c r="B549" s="29" t="s">
        <v>333</v>
      </c>
      <c r="C549" s="13" t="str">
        <f>IFERROR(VLOOKUP(B549,'Regiões'!A:B,2,0),"")</f>
        <v>Vale dos Sinos</v>
      </c>
      <c r="D549" s="29" t="s">
        <v>2772</v>
      </c>
      <c r="E549" s="32" t="s">
        <v>485</v>
      </c>
      <c r="F549" s="243"/>
      <c r="G549" s="245" t="s">
        <v>1269</v>
      </c>
      <c r="H549" s="35">
        <v>4.1160003E7</v>
      </c>
      <c r="I549" s="29" t="s">
        <v>1087</v>
      </c>
      <c r="J549" s="29" t="s">
        <v>7</v>
      </c>
      <c r="K549" s="29" t="s">
        <v>152</v>
      </c>
      <c r="L549" s="38">
        <v>360000.0</v>
      </c>
      <c r="M549" s="38"/>
      <c r="N549" s="29" t="s">
        <v>200</v>
      </c>
      <c r="O549" s="29" t="s">
        <v>110</v>
      </c>
      <c r="P549" s="39"/>
      <c r="Q549" s="40"/>
    </row>
    <row r="550">
      <c r="A550" s="11">
        <v>2025.0</v>
      </c>
      <c r="B550" s="18" t="s">
        <v>526</v>
      </c>
      <c r="C550" s="13" t="str">
        <f>IFERROR(VLOOKUP(B550,'Regiões'!A:B,2,0),"")</f>
        <v>Litoral Norte</v>
      </c>
      <c r="D550" s="13" t="s">
        <v>2775</v>
      </c>
      <c r="E550" s="15" t="s">
        <v>2776</v>
      </c>
      <c r="F550" s="17">
        <v>8.8625686003768E13</v>
      </c>
      <c r="G550" s="12" t="s">
        <v>2776</v>
      </c>
      <c r="H550" s="293">
        <v>4.1160004E7</v>
      </c>
      <c r="I550" s="11" t="s">
        <v>6</v>
      </c>
      <c r="J550" s="11" t="s">
        <v>7</v>
      </c>
      <c r="K550" s="21" t="s">
        <v>152</v>
      </c>
      <c r="L550" s="298">
        <v>360000.0</v>
      </c>
      <c r="M550" s="298"/>
      <c r="N550" s="13" t="s">
        <v>89</v>
      </c>
      <c r="O550" s="21"/>
      <c r="P550" s="402" t="s">
        <v>2777</v>
      </c>
      <c r="Q550" s="24"/>
    </row>
    <row r="551">
      <c r="A551" s="11">
        <v>2025.0</v>
      </c>
      <c r="B551" s="18" t="s">
        <v>516</v>
      </c>
      <c r="C551" s="13" t="str">
        <f>IFERROR(VLOOKUP(B551,'Regiões'!A:B,2,0),"")</f>
        <v>Zona Sul</v>
      </c>
      <c r="D551" s="13" t="s">
        <v>2779</v>
      </c>
      <c r="E551" s="15" t="s">
        <v>2781</v>
      </c>
      <c r="F551" s="17">
        <v>1.2268064000157E13</v>
      </c>
      <c r="G551" s="18" t="s">
        <v>74</v>
      </c>
      <c r="H551" s="293">
        <v>4.1160004E7</v>
      </c>
      <c r="I551" s="11" t="s">
        <v>6</v>
      </c>
      <c r="J551" s="11" t="s">
        <v>7</v>
      </c>
      <c r="K551" s="21" t="s">
        <v>152</v>
      </c>
      <c r="L551" s="298">
        <v>361500.0</v>
      </c>
      <c r="M551" s="298"/>
      <c r="N551" s="13" t="s">
        <v>89</v>
      </c>
      <c r="O551" s="21"/>
      <c r="P551" s="402" t="s">
        <v>2783</v>
      </c>
      <c r="Q551" s="24"/>
    </row>
    <row r="552">
      <c r="A552" s="13">
        <v>2023.0</v>
      </c>
      <c r="B552" s="55" t="s">
        <v>449</v>
      </c>
      <c r="C552" s="13" t="str">
        <f>IFERROR(VLOOKUP(B552,'Regiões'!A:B,2,0),"")</f>
        <v>Costa Doce</v>
      </c>
      <c r="D552" s="13" t="s">
        <v>2785</v>
      </c>
      <c r="E552" s="56" t="s">
        <v>485</v>
      </c>
      <c r="F552" s="358"/>
      <c r="G552" s="55" t="s">
        <v>2786</v>
      </c>
      <c r="H552" s="59"/>
      <c r="I552" s="13" t="s">
        <v>1307</v>
      </c>
      <c r="J552" s="13" t="str">
        <f t="shared" ref="J552:J553" si="21">LEFT(I552,FIND(" (",I552) - 1)</f>
        <v>Saúde</v>
      </c>
      <c r="K552" s="13" t="s">
        <v>152</v>
      </c>
      <c r="L552" s="393">
        <v>364000.0</v>
      </c>
      <c r="M552" s="393"/>
      <c r="N552" s="13" t="s">
        <v>89</v>
      </c>
      <c r="O552" s="13" t="s">
        <v>265</v>
      </c>
      <c r="P552" s="61" t="s">
        <v>2787</v>
      </c>
      <c r="Q552" s="62" t="s">
        <v>2788</v>
      </c>
    </row>
    <row r="553">
      <c r="A553" s="13">
        <v>2023.0</v>
      </c>
      <c r="B553" s="79" t="s">
        <v>191</v>
      </c>
      <c r="C553" s="13" t="str">
        <f>IFERROR(VLOOKUP(B553,'Regiões'!A:B,2,0),"")</f>
        <v>Vale do Paranhana</v>
      </c>
      <c r="D553" s="13" t="s">
        <v>604</v>
      </c>
      <c r="E553" s="80" t="s">
        <v>220</v>
      </c>
      <c r="F553" s="81"/>
      <c r="G553" s="79" t="s">
        <v>2623</v>
      </c>
      <c r="H553" s="82"/>
      <c r="I553" s="13" t="s">
        <v>2460</v>
      </c>
      <c r="J553" s="13" t="str">
        <f t="shared" si="21"/>
        <v>Infraestrutura</v>
      </c>
      <c r="K553" s="13" t="s">
        <v>152</v>
      </c>
      <c r="L553" s="83">
        <v>366314.0</v>
      </c>
      <c r="M553" s="83"/>
      <c r="N553" s="13" t="s">
        <v>89</v>
      </c>
      <c r="O553" s="13" t="s">
        <v>265</v>
      </c>
      <c r="P553" s="80" t="s">
        <v>2790</v>
      </c>
      <c r="Q553" s="79"/>
    </row>
    <row r="554">
      <c r="A554" s="29">
        <v>2022.0</v>
      </c>
      <c r="B554" s="29" t="s">
        <v>298</v>
      </c>
      <c r="C554" s="13" t="str">
        <f>IFERROR(VLOOKUP(B554,'Regiões'!A:B,2,0),"")</f>
        <v>Vale do Paranhana</v>
      </c>
      <c r="D554" s="29" t="s">
        <v>2791</v>
      </c>
      <c r="E554" s="32" t="s">
        <v>485</v>
      </c>
      <c r="F554" s="243"/>
      <c r="G554" s="245" t="s">
        <v>1250</v>
      </c>
      <c r="H554" s="35">
        <v>4.1160003E7</v>
      </c>
      <c r="I554" s="29" t="s">
        <v>1087</v>
      </c>
      <c r="J554" s="29" t="s">
        <v>7</v>
      </c>
      <c r="K554" s="29" t="s">
        <v>152</v>
      </c>
      <c r="L554" s="38">
        <v>367500.0</v>
      </c>
      <c r="M554" s="38"/>
      <c r="N554" s="29" t="s">
        <v>200</v>
      </c>
      <c r="O554" s="29" t="s">
        <v>265</v>
      </c>
      <c r="P554" s="240" t="s">
        <v>1263</v>
      </c>
      <c r="Q554" s="40"/>
    </row>
    <row r="555">
      <c r="A555" s="11">
        <v>2025.0</v>
      </c>
      <c r="B555" s="18" t="s">
        <v>879</v>
      </c>
      <c r="C555" s="13" t="str">
        <f>IFERROR(VLOOKUP(B555,'Regiões'!A:B,2,0),"")</f>
        <v>Vale do Rio Pardo</v>
      </c>
      <c r="D555" s="13" t="s">
        <v>2792</v>
      </c>
      <c r="E555" s="15" t="s">
        <v>2793</v>
      </c>
      <c r="F555" s="17">
        <v>1.1776182000103E13</v>
      </c>
      <c r="G555" s="18" t="s">
        <v>74</v>
      </c>
      <c r="H555" s="293">
        <v>4.1160004E7</v>
      </c>
      <c r="I555" s="11" t="s">
        <v>6</v>
      </c>
      <c r="J555" s="11" t="s">
        <v>7</v>
      </c>
      <c r="K555" s="21" t="s">
        <v>152</v>
      </c>
      <c r="L555" s="298">
        <v>372527.0</v>
      </c>
      <c r="M555" s="298"/>
      <c r="N555" s="13" t="s">
        <v>89</v>
      </c>
      <c r="O555" s="21"/>
      <c r="P555" s="402" t="s">
        <v>2794</v>
      </c>
      <c r="Q555" s="24"/>
    </row>
    <row r="556">
      <c r="A556" s="11">
        <v>2024.0</v>
      </c>
      <c r="B556" s="12" t="s">
        <v>651</v>
      </c>
      <c r="C556" s="13" t="str">
        <f>IFERROR(VLOOKUP(B556,'Regiões'!A:B,2,0),"")</f>
        <v>Encosta Superior do Nordeste</v>
      </c>
      <c r="D556" s="13" t="s">
        <v>2795</v>
      </c>
      <c r="E556" s="15" t="str">
        <f t="shared" ref="E556:E561" si="22">G556&amp;" de "&amp;B556</f>
        <v>Prefeitura Municipal de Flores da Cunha</v>
      </c>
      <c r="F556" s="17"/>
      <c r="G556" s="18" t="s">
        <v>74</v>
      </c>
      <c r="H556" s="20">
        <v>4.1160005E7</v>
      </c>
      <c r="I556" s="11" t="s">
        <v>20</v>
      </c>
      <c r="J556" s="11" t="s">
        <v>20</v>
      </c>
      <c r="K556" s="21" t="s">
        <v>152</v>
      </c>
      <c r="L556" s="22">
        <v>384205.0</v>
      </c>
      <c r="M556" s="22"/>
      <c r="N556" s="13" t="s">
        <v>89</v>
      </c>
      <c r="O556" s="21"/>
      <c r="P556" s="23"/>
      <c r="Q556" s="24"/>
    </row>
    <row r="557">
      <c r="A557" s="11">
        <v>2024.0</v>
      </c>
      <c r="B557" s="12" t="s">
        <v>458</v>
      </c>
      <c r="C557" s="13" t="str">
        <f>IFERROR(VLOOKUP(B557,'Regiões'!A:B,2,0),"")</f>
        <v>Vale do Taquari</v>
      </c>
      <c r="D557" s="13" t="s">
        <v>910</v>
      </c>
      <c r="E557" s="15" t="str">
        <f t="shared" si="22"/>
        <v>Prefeitura Municipal de Imigrante</v>
      </c>
      <c r="F557" s="17"/>
      <c r="G557" s="18" t="s">
        <v>74</v>
      </c>
      <c r="H557" s="20">
        <v>4.1160005E7</v>
      </c>
      <c r="I557" s="11" t="s">
        <v>20</v>
      </c>
      <c r="J557" s="11" t="s">
        <v>20</v>
      </c>
      <c r="K557" s="21" t="s">
        <v>152</v>
      </c>
      <c r="L557" s="22">
        <v>384205.0</v>
      </c>
      <c r="M557" s="22"/>
      <c r="N557" s="13" t="s">
        <v>89</v>
      </c>
      <c r="O557" s="21"/>
      <c r="P557" s="23"/>
      <c r="Q557" s="24"/>
    </row>
    <row r="558">
      <c r="A558" s="11">
        <v>2024.0</v>
      </c>
      <c r="B558" s="18" t="s">
        <v>575</v>
      </c>
      <c r="C558" s="13" t="str">
        <f>IFERROR(VLOOKUP(B558,'Regiões'!A:B,2,0),"")</f>
        <v>Litoral Norte</v>
      </c>
      <c r="D558" s="13" t="s">
        <v>2796</v>
      </c>
      <c r="E558" s="15" t="str">
        <f t="shared" si="22"/>
        <v>Prefeitura Municipal de Maquiné</v>
      </c>
      <c r="F558" s="17"/>
      <c r="G558" s="18" t="s">
        <v>74</v>
      </c>
      <c r="H558" s="20">
        <v>4.1160005E7</v>
      </c>
      <c r="I558" s="11" t="s">
        <v>20</v>
      </c>
      <c r="J558" s="11" t="s">
        <v>20</v>
      </c>
      <c r="K558" s="21" t="s">
        <v>152</v>
      </c>
      <c r="L558" s="22">
        <v>384205.0</v>
      </c>
      <c r="M558" s="22"/>
      <c r="N558" s="13" t="s">
        <v>89</v>
      </c>
      <c r="O558" s="21"/>
      <c r="P558" s="23" t="s">
        <v>2798</v>
      </c>
      <c r="Q558" s="24"/>
    </row>
    <row r="559">
      <c r="A559" s="11">
        <v>2024.0</v>
      </c>
      <c r="B559" s="12" t="s">
        <v>535</v>
      </c>
      <c r="C559" s="13" t="str">
        <f>IFERROR(VLOOKUP(B559,'Regiões'!A:B,2,0),"")</f>
        <v>Vale do Taquari</v>
      </c>
      <c r="D559" s="13" t="s">
        <v>2799</v>
      </c>
      <c r="E559" s="15" t="str">
        <f t="shared" si="22"/>
        <v>Prefeitura Municipal de Relvado</v>
      </c>
      <c r="F559" s="17"/>
      <c r="G559" s="18" t="s">
        <v>74</v>
      </c>
      <c r="H559" s="20">
        <v>4.1160005E7</v>
      </c>
      <c r="I559" s="11" t="s">
        <v>20</v>
      </c>
      <c r="J559" s="11" t="s">
        <v>20</v>
      </c>
      <c r="K559" s="21" t="s">
        <v>152</v>
      </c>
      <c r="L559" s="22">
        <v>384205.0</v>
      </c>
      <c r="M559" s="22"/>
      <c r="N559" s="13" t="s">
        <v>89</v>
      </c>
      <c r="O559" s="21"/>
      <c r="P559" s="23"/>
      <c r="Q559" s="24"/>
    </row>
    <row r="560">
      <c r="A560" s="11">
        <v>2024.0</v>
      </c>
      <c r="B560" s="18" t="s">
        <v>472</v>
      </c>
      <c r="C560" s="13" t="str">
        <f>IFERROR(VLOOKUP(B560,'Regiões'!A:B,2,0),"")</f>
        <v>Centro do Estado</v>
      </c>
      <c r="D560" s="13" t="s">
        <v>2800</v>
      </c>
      <c r="E560" s="15" t="str">
        <f t="shared" si="22"/>
        <v>Prefeitura Municipal de São Martinho da Serra</v>
      </c>
      <c r="F560" s="17"/>
      <c r="G560" s="18" t="s">
        <v>74</v>
      </c>
      <c r="H560" s="20">
        <v>4.1160005E7</v>
      </c>
      <c r="I560" s="11" t="s">
        <v>20</v>
      </c>
      <c r="J560" s="11" t="s">
        <v>20</v>
      </c>
      <c r="K560" s="21" t="s">
        <v>152</v>
      </c>
      <c r="L560" s="22">
        <v>384205.0</v>
      </c>
      <c r="M560" s="22"/>
      <c r="N560" s="13" t="s">
        <v>89</v>
      </c>
      <c r="O560" s="21"/>
      <c r="P560" s="23"/>
      <c r="Q560" s="24"/>
    </row>
    <row r="561">
      <c r="A561" s="11">
        <v>2024.0</v>
      </c>
      <c r="B561" s="12" t="s">
        <v>582</v>
      </c>
      <c r="C561" s="13" t="str">
        <f>IFERROR(VLOOKUP(B561,'Regiões'!A:B,2,0),"")</f>
        <v>Centro Serra</v>
      </c>
      <c r="D561" s="13" t="s">
        <v>2802</v>
      </c>
      <c r="E561" s="15" t="str">
        <f t="shared" si="22"/>
        <v>Prefeitura Municipal de Sobradinho</v>
      </c>
      <c r="F561" s="17"/>
      <c r="G561" s="18" t="s">
        <v>74</v>
      </c>
      <c r="H561" s="20">
        <v>4.1160005E7</v>
      </c>
      <c r="I561" s="11" t="s">
        <v>20</v>
      </c>
      <c r="J561" s="11" t="s">
        <v>20</v>
      </c>
      <c r="K561" s="21" t="s">
        <v>152</v>
      </c>
      <c r="L561" s="22">
        <v>384205.0</v>
      </c>
      <c r="M561" s="22"/>
      <c r="N561" s="13" t="s">
        <v>89</v>
      </c>
      <c r="O561" s="21"/>
      <c r="P561" s="23"/>
      <c r="Q561" s="24"/>
    </row>
    <row r="562">
      <c r="A562" s="47">
        <v>2022.0</v>
      </c>
      <c r="B562" s="698" t="s">
        <v>102</v>
      </c>
      <c r="C562" s="13" t="str">
        <f>IFERROR(VLOOKUP(B562,'Regiões'!A:B,2,0),"")</f>
        <v>Vale dos Sinos</v>
      </c>
      <c r="D562" s="29" t="s">
        <v>2805</v>
      </c>
      <c r="E562" s="53" t="s">
        <v>1080</v>
      </c>
      <c r="F562" s="699"/>
      <c r="G562" s="700" t="s">
        <v>139</v>
      </c>
      <c r="H562" s="237">
        <v>4.1160001E7</v>
      </c>
      <c r="I562" s="47" t="s">
        <v>151</v>
      </c>
      <c r="J562" s="47" t="s">
        <v>27</v>
      </c>
      <c r="K562" s="47" t="s">
        <v>152</v>
      </c>
      <c r="L562" s="696">
        <v>384370.17</v>
      </c>
      <c r="M562" s="696"/>
      <c r="N562" s="47" t="s">
        <v>389</v>
      </c>
      <c r="O562" s="47" t="s">
        <v>1534</v>
      </c>
      <c r="P562" s="697" t="s">
        <v>1341</v>
      </c>
      <c r="Q562" s="54"/>
    </row>
    <row r="563">
      <c r="A563" s="47">
        <v>2022.0</v>
      </c>
      <c r="B563" s="695" t="s">
        <v>123</v>
      </c>
      <c r="C563" s="13" t="str">
        <f>IFERROR(VLOOKUP(B563,'Regiões'!A:B,2,0),"")</f>
        <v>Metropolitana de Porto Alegre</v>
      </c>
      <c r="D563" s="29" t="s">
        <v>2808</v>
      </c>
      <c r="E563" s="53" t="s">
        <v>1080</v>
      </c>
      <c r="F563" s="50"/>
      <c r="G563" s="47" t="s">
        <v>1065</v>
      </c>
      <c r="H563" s="237">
        <v>4.1160001E7</v>
      </c>
      <c r="I563" s="47" t="s">
        <v>27</v>
      </c>
      <c r="J563" s="47" t="s">
        <v>27</v>
      </c>
      <c r="K563" s="47" t="s">
        <v>152</v>
      </c>
      <c r="L563" s="696">
        <v>384370.17</v>
      </c>
      <c r="M563" s="696"/>
      <c r="N563" s="47" t="s">
        <v>200</v>
      </c>
      <c r="O563" s="47" t="s">
        <v>2809</v>
      </c>
      <c r="P563" s="697" t="s">
        <v>1341</v>
      </c>
      <c r="Q563" s="54"/>
    </row>
    <row r="564">
      <c r="A564" s="47">
        <v>2022.0</v>
      </c>
      <c r="B564" s="695" t="s">
        <v>657</v>
      </c>
      <c r="C564" s="13" t="str">
        <f>IFERROR(VLOOKUP(B564,'Regiões'!A:B,2,0),"")</f>
        <v>Zona da Produção</v>
      </c>
      <c r="D564" s="29" t="s">
        <v>2811</v>
      </c>
      <c r="E564" s="53" t="s">
        <v>1080</v>
      </c>
      <c r="F564" s="845"/>
      <c r="G564" s="695" t="s">
        <v>1065</v>
      </c>
      <c r="H564" s="51">
        <v>4.1160001E7</v>
      </c>
      <c r="I564" s="47" t="s">
        <v>27</v>
      </c>
      <c r="J564" s="47" t="s">
        <v>27</v>
      </c>
      <c r="K564" s="47" t="s">
        <v>152</v>
      </c>
      <c r="L564" s="696">
        <v>384370.17</v>
      </c>
      <c r="M564" s="696"/>
      <c r="N564" s="47" t="s">
        <v>2813</v>
      </c>
      <c r="O564" s="47" t="s">
        <v>265</v>
      </c>
      <c r="P564" s="697" t="s">
        <v>1341</v>
      </c>
      <c r="Q564" s="54" t="s">
        <v>2814</v>
      </c>
    </row>
    <row r="565">
      <c r="A565" s="47">
        <v>2022.0</v>
      </c>
      <c r="B565" s="695" t="s">
        <v>333</v>
      </c>
      <c r="C565" s="13" t="str">
        <f>IFERROR(VLOOKUP(B565,'Regiões'!A:B,2,0),"")</f>
        <v>Vale dos Sinos</v>
      </c>
      <c r="D565" s="29" t="s">
        <v>2815</v>
      </c>
      <c r="E565" s="53" t="s">
        <v>1080</v>
      </c>
      <c r="F565" s="699"/>
      <c r="G565" s="700" t="s">
        <v>139</v>
      </c>
      <c r="H565" s="237">
        <v>4.1160001E7</v>
      </c>
      <c r="I565" s="47" t="s">
        <v>27</v>
      </c>
      <c r="J565" s="47" t="s">
        <v>27</v>
      </c>
      <c r="K565" s="47" t="s">
        <v>152</v>
      </c>
      <c r="L565" s="696">
        <v>384370.17</v>
      </c>
      <c r="M565" s="696"/>
      <c r="N565" s="47" t="s">
        <v>200</v>
      </c>
      <c r="O565" s="47" t="s">
        <v>110</v>
      </c>
      <c r="P565" s="697" t="s">
        <v>1341</v>
      </c>
      <c r="Q565" s="54"/>
    </row>
    <row r="566">
      <c r="A566" s="47">
        <v>2022.0</v>
      </c>
      <c r="B566" s="698" t="s">
        <v>960</v>
      </c>
      <c r="C566" s="13" t="str">
        <f>IFERROR(VLOOKUP(B566,'Regiões'!A:B,2,0),"")</f>
        <v>Litoral Norte</v>
      </c>
      <c r="D566" s="29" t="s">
        <v>2816</v>
      </c>
      <c r="E566" s="53" t="s">
        <v>1080</v>
      </c>
      <c r="F566" s="699"/>
      <c r="G566" s="700" t="s">
        <v>1900</v>
      </c>
      <c r="H566" s="237">
        <v>4.1160001E7</v>
      </c>
      <c r="I566" s="47" t="s">
        <v>27</v>
      </c>
      <c r="J566" s="47" t="s">
        <v>27</v>
      </c>
      <c r="K566" s="47" t="s">
        <v>152</v>
      </c>
      <c r="L566" s="696">
        <v>384370.17</v>
      </c>
      <c r="M566" s="696"/>
      <c r="N566" s="47" t="s">
        <v>200</v>
      </c>
      <c r="O566" s="47" t="s">
        <v>265</v>
      </c>
      <c r="P566" s="697" t="s">
        <v>1341</v>
      </c>
      <c r="Q566" s="54"/>
    </row>
    <row r="567">
      <c r="A567" s="11">
        <v>2026.0</v>
      </c>
      <c r="B567" s="18" t="s">
        <v>546</v>
      </c>
      <c r="C567" s="13" t="str">
        <f>IFERROR(VLOOKUP(B567,'Regiões'!A:B,2,0),"")</f>
        <v>Alto Uruguai</v>
      </c>
      <c r="D567" s="13"/>
      <c r="E567" s="25" t="s">
        <v>2818</v>
      </c>
      <c r="F567" s="17">
        <v>1.201400000012E13</v>
      </c>
      <c r="G567" s="18" t="s">
        <v>2819</v>
      </c>
      <c r="H567" s="20">
        <v>4.1160013E7</v>
      </c>
      <c r="I567" s="11" t="s">
        <v>7</v>
      </c>
      <c r="J567" s="11" t="s">
        <v>7</v>
      </c>
      <c r="K567" s="21" t="s">
        <v>2185</v>
      </c>
      <c r="L567" s="22">
        <v>390000.0</v>
      </c>
      <c r="M567" s="22"/>
      <c r="N567" s="11" t="s">
        <v>155</v>
      </c>
      <c r="O567" s="21"/>
      <c r="P567" s="23"/>
      <c r="Q567" s="24"/>
    </row>
    <row r="568">
      <c r="A568" s="11">
        <v>2026.0</v>
      </c>
      <c r="B568" s="18" t="s">
        <v>964</v>
      </c>
      <c r="C568" s="13" t="str">
        <f>IFERROR(VLOOKUP(B568,'Regiões'!A:B,2,0),"")</f>
        <v>Fronteira Noroeste</v>
      </c>
      <c r="D568" s="13" t="s">
        <v>2820</v>
      </c>
      <c r="E568" s="25" t="s">
        <v>2682</v>
      </c>
      <c r="F568" s="17">
        <v>9.296286900072E13</v>
      </c>
      <c r="G568" s="18" t="s">
        <v>2821</v>
      </c>
      <c r="H568" s="20">
        <v>4.1160003E7</v>
      </c>
      <c r="I568" s="11" t="s">
        <v>2162</v>
      </c>
      <c r="J568" s="2" t="s">
        <v>7</v>
      </c>
      <c r="K568" s="21" t="s">
        <v>152</v>
      </c>
      <c r="L568" s="22">
        <v>393334.0</v>
      </c>
      <c r="M568" s="22"/>
      <c r="N568" s="11" t="s">
        <v>155</v>
      </c>
      <c r="O568" s="21"/>
      <c r="P568" s="23"/>
      <c r="Q568" s="24"/>
    </row>
    <row r="569">
      <c r="A569" s="11">
        <v>2024.0</v>
      </c>
      <c r="B569" s="12" t="s">
        <v>123</v>
      </c>
      <c r="C569" s="13" t="str">
        <f>IFERROR(VLOOKUP(B569,'Regiões'!A:B,2,0),"")</f>
        <v>Metropolitana de Porto Alegre</v>
      </c>
      <c r="D569" s="13" t="s">
        <v>2823</v>
      </c>
      <c r="E569" s="15" t="str">
        <f t="shared" ref="E569:E572" si="23">G569&amp;" de "&amp;B569</f>
        <v>Prefeitura Municipal de Cachoeirinha</v>
      </c>
      <c r="F569" s="17"/>
      <c r="G569" s="18" t="s">
        <v>74</v>
      </c>
      <c r="H569" s="20">
        <v>4.1160004E7</v>
      </c>
      <c r="I569" s="11" t="s">
        <v>1048</v>
      </c>
      <c r="J569" s="11" t="s">
        <v>7</v>
      </c>
      <c r="K569" s="21" t="s">
        <v>152</v>
      </c>
      <c r="L569" s="22">
        <v>398907.0</v>
      </c>
      <c r="M569" s="22"/>
      <c r="N569" s="13" t="s">
        <v>89</v>
      </c>
      <c r="O569" s="21"/>
      <c r="P569" s="23"/>
      <c r="Q569" s="24"/>
    </row>
    <row r="570">
      <c r="A570" s="11">
        <v>2024.0</v>
      </c>
      <c r="B570" s="12" t="s">
        <v>879</v>
      </c>
      <c r="C570" s="13" t="str">
        <f>IFERROR(VLOOKUP(B570,'Regiões'!A:B,2,0),"")</f>
        <v>Vale do Rio Pardo</v>
      </c>
      <c r="D570" s="13" t="s">
        <v>2828</v>
      </c>
      <c r="E570" s="15" t="str">
        <f t="shared" si="23"/>
        <v>Prefeitura Municipal de Santa Cruz do Sul</v>
      </c>
      <c r="F570" s="17"/>
      <c r="G570" s="18" t="s">
        <v>74</v>
      </c>
      <c r="H570" s="20">
        <v>4.1160004E7</v>
      </c>
      <c r="I570" s="11" t="s">
        <v>1048</v>
      </c>
      <c r="J570" s="11" t="s">
        <v>7</v>
      </c>
      <c r="K570" s="21" t="s">
        <v>152</v>
      </c>
      <c r="L570" s="22">
        <v>399815.0</v>
      </c>
      <c r="M570" s="22"/>
      <c r="N570" s="13" t="s">
        <v>89</v>
      </c>
      <c r="O570" s="21"/>
      <c r="P570" s="23"/>
      <c r="Q570" s="24"/>
    </row>
    <row r="571">
      <c r="A571" s="11">
        <v>2024.0</v>
      </c>
      <c r="B571" s="18" t="s">
        <v>449</v>
      </c>
      <c r="C571" s="13" t="str">
        <f>IFERROR(VLOOKUP(B571,'Regiões'!A:B,2,0),"")</f>
        <v>Costa Doce</v>
      </c>
      <c r="D571" s="13" t="s">
        <v>2833</v>
      </c>
      <c r="E571" s="15" t="str">
        <f t="shared" si="23"/>
        <v>Prefeitura Municipal de Guaíba</v>
      </c>
      <c r="F571" s="17"/>
      <c r="G571" s="18" t="s">
        <v>74</v>
      </c>
      <c r="H571" s="20">
        <v>4.1160004E7</v>
      </c>
      <c r="I571" s="11" t="s">
        <v>1048</v>
      </c>
      <c r="J571" s="11" t="s">
        <v>7</v>
      </c>
      <c r="K571" s="21" t="s">
        <v>152</v>
      </c>
      <c r="L571" s="22">
        <v>399839.0</v>
      </c>
      <c r="M571" s="22"/>
      <c r="N571" s="13" t="s">
        <v>89</v>
      </c>
      <c r="O571" s="21"/>
      <c r="P571" s="23"/>
      <c r="Q571" s="24"/>
    </row>
    <row r="572">
      <c r="A572" s="11">
        <v>2024.0</v>
      </c>
      <c r="B572" s="12" t="s">
        <v>96</v>
      </c>
      <c r="C572" s="13" t="str">
        <f>IFERROR(VLOOKUP(B572,'Regiões'!A:B,2,0),"")</f>
        <v>Zona Sul</v>
      </c>
      <c r="D572" s="13" t="s">
        <v>2835</v>
      </c>
      <c r="E572" s="15" t="str">
        <f t="shared" si="23"/>
        <v>Prefeitura Municipal de Rio Grande</v>
      </c>
      <c r="F572" s="17"/>
      <c r="G572" s="18" t="s">
        <v>74</v>
      </c>
      <c r="H572" s="20">
        <v>4.1160004E7</v>
      </c>
      <c r="I572" s="11" t="s">
        <v>1048</v>
      </c>
      <c r="J572" s="11" t="s">
        <v>7</v>
      </c>
      <c r="K572" s="21" t="s">
        <v>152</v>
      </c>
      <c r="L572" s="22">
        <v>399989.0</v>
      </c>
      <c r="M572" s="22"/>
      <c r="N572" s="13" t="s">
        <v>89</v>
      </c>
      <c r="O572" s="21"/>
      <c r="P572" s="23"/>
      <c r="Q572" s="24"/>
    </row>
    <row r="573">
      <c r="A573" s="29">
        <v>2021.0</v>
      </c>
      <c r="B573" s="41" t="s">
        <v>544</v>
      </c>
      <c r="C573" s="13" t="str">
        <f>IFERROR(VLOOKUP(B573,'Regiões'!A:B,2,0),"")</f>
        <v>Encosta Superior do Nordeste</v>
      </c>
      <c r="D573" s="29" t="s">
        <v>2839</v>
      </c>
      <c r="E573" s="32" t="s">
        <v>485</v>
      </c>
      <c r="F573" s="42"/>
      <c r="G573" s="41" t="s">
        <v>1381</v>
      </c>
      <c r="H573" s="45">
        <v>4.1160003E7</v>
      </c>
      <c r="I573" s="29" t="s">
        <v>488</v>
      </c>
      <c r="J573" s="29" t="s">
        <v>7</v>
      </c>
      <c r="K573" s="29" t="s">
        <v>84</v>
      </c>
      <c r="L573" s="37">
        <v>400000.0</v>
      </c>
      <c r="M573" s="37"/>
      <c r="N573" s="29" t="s">
        <v>1062</v>
      </c>
      <c r="O573" s="29" t="s">
        <v>1315</v>
      </c>
      <c r="P573" s="46" t="s">
        <v>1383</v>
      </c>
      <c r="Q573" s="40"/>
    </row>
    <row r="574">
      <c r="A574" s="29">
        <v>2021.0</v>
      </c>
      <c r="B574" s="41" t="s">
        <v>593</v>
      </c>
      <c r="C574" s="13" t="str">
        <f>IFERROR(VLOOKUP(B574,'Regiões'!A:B,2,0),"")</f>
        <v>Vale do Taquari</v>
      </c>
      <c r="D574" s="29" t="s">
        <v>2843</v>
      </c>
      <c r="E574" s="32"/>
      <c r="F574" s="42"/>
      <c r="G574" s="41" t="s">
        <v>1495</v>
      </c>
      <c r="H574" s="854"/>
      <c r="I574" s="29" t="s">
        <v>7</v>
      </c>
      <c r="J574" s="29" t="s">
        <v>7</v>
      </c>
      <c r="K574" s="29"/>
      <c r="L574" s="37">
        <v>400000.0</v>
      </c>
      <c r="M574" s="37"/>
      <c r="N574" s="29" t="s">
        <v>1062</v>
      </c>
      <c r="O574" s="29" t="s">
        <v>110</v>
      </c>
      <c r="P574" s="46" t="s">
        <v>1649</v>
      </c>
      <c r="Q574" s="40"/>
    </row>
    <row r="575">
      <c r="A575" s="29">
        <v>2021.0</v>
      </c>
      <c r="B575" s="29" t="s">
        <v>127</v>
      </c>
      <c r="C575" s="13" t="str">
        <f>IFERROR(VLOOKUP(B575,'Regiões'!A:B,2,0),"")</f>
        <v>Metropolitana de Porto Alegre</v>
      </c>
      <c r="D575" s="29" t="s">
        <v>290</v>
      </c>
      <c r="E575" s="32" t="s">
        <v>291</v>
      </c>
      <c r="F575" s="33"/>
      <c r="G575" s="29" t="s">
        <v>291</v>
      </c>
      <c r="H575" s="45">
        <v>4.1160001E7</v>
      </c>
      <c r="I575" s="29" t="s">
        <v>151</v>
      </c>
      <c r="J575" s="29" t="s">
        <v>27</v>
      </c>
      <c r="K575" s="29" t="s">
        <v>152</v>
      </c>
      <c r="L575" s="37">
        <v>400000.0</v>
      </c>
      <c r="M575" s="37"/>
      <c r="N575" s="29" t="s">
        <v>155</v>
      </c>
      <c r="O575" s="29" t="s">
        <v>265</v>
      </c>
      <c r="P575" s="109" t="s">
        <v>1401</v>
      </c>
      <c r="Q575" s="40"/>
    </row>
    <row r="576">
      <c r="A576" s="13">
        <v>2023.0</v>
      </c>
      <c r="B576" s="79" t="s">
        <v>888</v>
      </c>
      <c r="C576" s="13" t="str">
        <f>IFERROR(VLOOKUP(B576,'Regiões'!A:B,2,0),"")</f>
        <v>Metropolitana de Porto Alegre</v>
      </c>
      <c r="D576" s="13" t="s">
        <v>2361</v>
      </c>
      <c r="E576" s="80" t="s">
        <v>220</v>
      </c>
      <c r="F576" s="81"/>
      <c r="G576" s="79" t="s">
        <v>1446</v>
      </c>
      <c r="H576" s="82"/>
      <c r="I576" s="13" t="s">
        <v>2460</v>
      </c>
      <c r="J576" s="13" t="str">
        <f t="shared" ref="J576:J578" si="24">LEFT(I576,FIND(" (",I576) - 1)</f>
        <v>Infraestrutura</v>
      </c>
      <c r="K576" s="13" t="s">
        <v>152</v>
      </c>
      <c r="L576" s="83">
        <v>400000.0</v>
      </c>
      <c r="M576" s="83"/>
      <c r="N576" s="13" t="s">
        <v>89</v>
      </c>
      <c r="O576" s="13" t="s">
        <v>265</v>
      </c>
      <c r="P576" s="80" t="s">
        <v>2849</v>
      </c>
      <c r="Q576" s="79"/>
    </row>
    <row r="577">
      <c r="A577" s="13">
        <v>2023.0</v>
      </c>
      <c r="B577" s="79" t="s">
        <v>252</v>
      </c>
      <c r="C577" s="13" t="str">
        <f>IFERROR(VLOOKUP(B577,'Regiões'!A:B,2,0),"")</f>
        <v>Vale dos Sinos</v>
      </c>
      <c r="D577" s="13" t="s">
        <v>791</v>
      </c>
      <c r="E577" s="80" t="s">
        <v>220</v>
      </c>
      <c r="F577" s="81"/>
      <c r="G577" s="79" t="s">
        <v>2851</v>
      </c>
      <c r="H577" s="82"/>
      <c r="I577" s="13" t="s">
        <v>1307</v>
      </c>
      <c r="J577" s="13" t="str">
        <f t="shared" si="24"/>
        <v>Saúde</v>
      </c>
      <c r="K577" s="13" t="s">
        <v>152</v>
      </c>
      <c r="L577" s="83">
        <v>400000.0</v>
      </c>
      <c r="M577" s="83"/>
      <c r="N577" s="13" t="s">
        <v>89</v>
      </c>
      <c r="O577" s="13" t="s">
        <v>265</v>
      </c>
      <c r="P577" s="80" t="s">
        <v>322</v>
      </c>
      <c r="Q577" s="79"/>
    </row>
    <row r="578">
      <c r="A578" s="13">
        <v>2023.0</v>
      </c>
      <c r="B578" s="79" t="s">
        <v>945</v>
      </c>
      <c r="C578" s="13" t="str">
        <f>IFERROR(VLOOKUP(B578,'Regiões'!A:B,2,0),"")</f>
        <v>Nordeste Riograndense</v>
      </c>
      <c r="D578" s="13" t="s">
        <v>1192</v>
      </c>
      <c r="E578" s="80" t="s">
        <v>220</v>
      </c>
      <c r="F578" s="81"/>
      <c r="G578" s="79" t="s">
        <v>1481</v>
      </c>
      <c r="H578" s="82"/>
      <c r="I578" s="13" t="s">
        <v>958</v>
      </c>
      <c r="J578" s="13" t="str">
        <f t="shared" si="24"/>
        <v>Segurança Pública</v>
      </c>
      <c r="K578" s="13" t="s">
        <v>152</v>
      </c>
      <c r="L578" s="83">
        <v>400000.0</v>
      </c>
      <c r="M578" s="83"/>
      <c r="N578" s="13" t="s">
        <v>89</v>
      </c>
      <c r="O578" s="13" t="s">
        <v>110</v>
      </c>
      <c r="P578" s="80" t="s">
        <v>2855</v>
      </c>
      <c r="Q578" s="79"/>
    </row>
    <row r="579">
      <c r="A579" s="11">
        <v>2024.0</v>
      </c>
      <c r="B579" s="12" t="s">
        <v>47</v>
      </c>
      <c r="C579" s="13" t="str">
        <f>IFERROR(VLOOKUP(B579,'Regiões'!A:B,2,0),"")</f>
        <v>Metropolitana de Porto Alegre</v>
      </c>
      <c r="D579" s="13" t="s">
        <v>2858</v>
      </c>
      <c r="E579" s="15" t="str">
        <f t="shared" ref="E579:E581" si="25">G579&amp;" de "&amp;B579</f>
        <v>Prefeitura Municipal de Alvorada</v>
      </c>
      <c r="F579" s="17"/>
      <c r="G579" s="18" t="s">
        <v>74</v>
      </c>
      <c r="H579" s="20">
        <v>4.1160001E7</v>
      </c>
      <c r="I579" s="11" t="s">
        <v>334</v>
      </c>
      <c r="J579" s="11" t="s">
        <v>7</v>
      </c>
      <c r="K579" s="21" t="s">
        <v>84</v>
      </c>
      <c r="L579" s="22">
        <v>400000.0</v>
      </c>
      <c r="M579" s="22"/>
      <c r="N579" s="13" t="s">
        <v>89</v>
      </c>
      <c r="O579" s="21"/>
      <c r="P579" s="23"/>
      <c r="Q579" s="24"/>
    </row>
    <row r="580">
      <c r="A580" s="11">
        <v>2024.0</v>
      </c>
      <c r="B580" s="12" t="s">
        <v>191</v>
      </c>
      <c r="C580" s="13" t="str">
        <f>IFERROR(VLOOKUP(B580,'Regiões'!A:B,2,0),"")</f>
        <v>Vale do Paranhana</v>
      </c>
      <c r="D580" s="13" t="s">
        <v>2860</v>
      </c>
      <c r="E580" s="15" t="str">
        <f t="shared" si="25"/>
        <v>Prefeitura Municipal de Igrejinha</v>
      </c>
      <c r="F580" s="17"/>
      <c r="G580" s="18" t="s">
        <v>74</v>
      </c>
      <c r="H580" s="20">
        <v>4.1160001E7</v>
      </c>
      <c r="I580" s="11" t="s">
        <v>334</v>
      </c>
      <c r="J580" s="11" t="s">
        <v>7</v>
      </c>
      <c r="K580" s="21" t="s">
        <v>84</v>
      </c>
      <c r="L580" s="22">
        <v>400000.0</v>
      </c>
      <c r="M580" s="22"/>
      <c r="N580" s="13" t="s">
        <v>89</v>
      </c>
      <c r="O580" s="21"/>
      <c r="P580" s="23"/>
      <c r="Q580" s="24"/>
    </row>
    <row r="581">
      <c r="A581" s="11">
        <v>2024.0</v>
      </c>
      <c r="B581" s="18" t="s">
        <v>377</v>
      </c>
      <c r="C581" s="13" t="str">
        <f>IFERROR(VLOOKUP(B581,'Regiões'!A:B,2,0),"")</f>
        <v>Missões</v>
      </c>
      <c r="D581" s="13" t="s">
        <v>2862</v>
      </c>
      <c r="E581" s="15" t="str">
        <f t="shared" si="25"/>
        <v>Prefeitura Municipal de São Luiz Gonzaga</v>
      </c>
      <c r="F581" s="17"/>
      <c r="G581" s="18" t="s">
        <v>74</v>
      </c>
      <c r="H581" s="20">
        <v>4.1160001E7</v>
      </c>
      <c r="I581" s="11" t="s">
        <v>334</v>
      </c>
      <c r="J581" s="11" t="s">
        <v>7</v>
      </c>
      <c r="K581" s="21" t="s">
        <v>84</v>
      </c>
      <c r="L581" s="22">
        <v>400000.0</v>
      </c>
      <c r="M581" s="22"/>
      <c r="N581" s="13" t="s">
        <v>89</v>
      </c>
      <c r="O581" s="21"/>
      <c r="P581" s="23"/>
      <c r="Q581" s="24"/>
    </row>
    <row r="582">
      <c r="A582" s="11">
        <v>2025.0</v>
      </c>
      <c r="B582" s="18" t="s">
        <v>942</v>
      </c>
      <c r="C582" s="13" t="str">
        <f>IFERROR(VLOOKUP(B582,'Regiões'!A:B,2,0),"")</f>
        <v>Vale do Rio Pardo</v>
      </c>
      <c r="D582" s="13" t="s">
        <v>2864</v>
      </c>
      <c r="E582" s="15" t="s">
        <v>2865</v>
      </c>
      <c r="F582" s="17">
        <v>9.4577632000166E13</v>
      </c>
      <c r="G582" s="18" t="s">
        <v>74</v>
      </c>
      <c r="H582" s="293">
        <v>4.1160005E7</v>
      </c>
      <c r="I582" s="11" t="s">
        <v>18</v>
      </c>
      <c r="J582" s="11" t="s">
        <v>20</v>
      </c>
      <c r="K582" s="21" t="s">
        <v>152</v>
      </c>
      <c r="L582" s="298">
        <v>400000.0</v>
      </c>
      <c r="M582" s="298"/>
      <c r="N582" s="13" t="s">
        <v>89</v>
      </c>
      <c r="O582" s="21"/>
      <c r="P582" s="402" t="s">
        <v>2869</v>
      </c>
      <c r="Q582" s="24"/>
    </row>
    <row r="583">
      <c r="A583" s="11">
        <v>2025.0</v>
      </c>
      <c r="B583" s="18" t="s">
        <v>632</v>
      </c>
      <c r="C583" s="13" t="str">
        <f>IFERROR(VLOOKUP(B583,'Regiões'!A:B,2,0),"")</f>
        <v>Alto Uruguai</v>
      </c>
      <c r="D583" s="13" t="s">
        <v>2873</v>
      </c>
      <c r="E583" s="15" t="s">
        <v>2874</v>
      </c>
      <c r="F583" s="17">
        <v>8.761347700012E13</v>
      </c>
      <c r="G583" s="18" t="s">
        <v>74</v>
      </c>
      <c r="H583" s="293">
        <v>4.1160005E7</v>
      </c>
      <c r="I583" s="11" t="s">
        <v>18</v>
      </c>
      <c r="J583" s="11" t="s">
        <v>20</v>
      </c>
      <c r="K583" s="21" t="s">
        <v>152</v>
      </c>
      <c r="L583" s="298">
        <v>400000.0</v>
      </c>
      <c r="M583" s="298"/>
      <c r="N583" s="13" t="s">
        <v>89</v>
      </c>
      <c r="O583" s="21"/>
      <c r="P583" s="56" t="s">
        <v>2877</v>
      </c>
      <c r="Q583" s="24"/>
    </row>
    <row r="584">
      <c r="A584" s="11">
        <v>2025.0</v>
      </c>
      <c r="B584" s="18" t="s">
        <v>439</v>
      </c>
      <c r="C584" s="13" t="str">
        <f>IFERROR(VLOOKUP(B584,'Regiões'!A:B,2,0),"")</f>
        <v>Alta da Serra do Botucarai</v>
      </c>
      <c r="D584" s="13" t="s">
        <v>2878</v>
      </c>
      <c r="E584" s="15" t="s">
        <v>2879</v>
      </c>
      <c r="F584" s="17">
        <v>8.7612743000109E13</v>
      </c>
      <c r="G584" s="18" t="s">
        <v>74</v>
      </c>
      <c r="H584" s="293">
        <v>4.1160005E7</v>
      </c>
      <c r="I584" s="11" t="s">
        <v>18</v>
      </c>
      <c r="J584" s="11" t="s">
        <v>20</v>
      </c>
      <c r="K584" s="21" t="s">
        <v>152</v>
      </c>
      <c r="L584" s="298">
        <v>400000.0</v>
      </c>
      <c r="M584" s="298"/>
      <c r="N584" s="13" t="s">
        <v>89</v>
      </c>
      <c r="O584" s="21"/>
      <c r="P584" s="402" t="s">
        <v>2881</v>
      </c>
      <c r="Q584" s="24"/>
    </row>
    <row r="585">
      <c r="A585" s="11">
        <v>2025.0</v>
      </c>
      <c r="B585" s="18" t="s">
        <v>843</v>
      </c>
      <c r="C585" s="13" t="str">
        <f>IFERROR(VLOOKUP(B585,'Regiões'!A:B,2,0),"")</f>
        <v>Fronteira Noroeste</v>
      </c>
      <c r="D585" s="13" t="s">
        <v>2883</v>
      </c>
      <c r="E585" s="15" t="s">
        <v>2884</v>
      </c>
      <c r="F585" s="17">
        <v>9.3845519000151E13</v>
      </c>
      <c r="G585" s="18" t="s">
        <v>74</v>
      </c>
      <c r="H585" s="293">
        <v>4.1160005E7</v>
      </c>
      <c r="I585" s="11" t="s">
        <v>18</v>
      </c>
      <c r="J585" s="11" t="s">
        <v>20</v>
      </c>
      <c r="K585" s="21" t="s">
        <v>152</v>
      </c>
      <c r="L585" s="298">
        <v>400000.0</v>
      </c>
      <c r="M585" s="298"/>
      <c r="N585" s="13" t="s">
        <v>89</v>
      </c>
      <c r="O585" s="21"/>
      <c r="P585" s="56" t="s">
        <v>2887</v>
      </c>
      <c r="Q585" s="24"/>
    </row>
    <row r="586">
      <c r="A586" s="11">
        <v>2025.0</v>
      </c>
      <c r="B586" s="18" t="s">
        <v>885</v>
      </c>
      <c r="C586" s="13" t="str">
        <f>IFERROR(VLOOKUP(B586,'Regiões'!A:B,2,0),"")</f>
        <v>Centro do Estado</v>
      </c>
      <c r="D586" s="13" t="s">
        <v>2889</v>
      </c>
      <c r="E586" s="15" t="s">
        <v>2890</v>
      </c>
      <c r="F586" s="17">
        <v>8.789774000015E13</v>
      </c>
      <c r="G586" s="18" t="s">
        <v>74</v>
      </c>
      <c r="H586" s="293">
        <v>4.1160005E7</v>
      </c>
      <c r="I586" s="11" t="s">
        <v>18</v>
      </c>
      <c r="J586" s="11" t="s">
        <v>20</v>
      </c>
      <c r="K586" s="21" t="s">
        <v>152</v>
      </c>
      <c r="L586" s="298">
        <v>400000.0</v>
      </c>
      <c r="M586" s="298"/>
      <c r="N586" s="13" t="s">
        <v>89</v>
      </c>
      <c r="O586" s="21"/>
      <c r="P586" s="402" t="s">
        <v>2891</v>
      </c>
      <c r="Q586" s="24"/>
    </row>
    <row r="587">
      <c r="A587" s="11">
        <v>2025.0</v>
      </c>
      <c r="B587" s="18" t="s">
        <v>400</v>
      </c>
      <c r="C587" s="13" t="str">
        <f>IFERROR(VLOOKUP(B587,'Regiões'!A:B,2,0),"")</f>
        <v>Vale do Paranhana</v>
      </c>
      <c r="D587" s="13" t="s">
        <v>2893</v>
      </c>
      <c r="E587" s="15" t="s">
        <v>2894</v>
      </c>
      <c r="F587" s="17">
        <v>9.7761407000173E13</v>
      </c>
      <c r="G587" s="18" t="s">
        <v>74</v>
      </c>
      <c r="H587" s="293">
        <v>4.1160005E7</v>
      </c>
      <c r="I587" s="11" t="s">
        <v>18</v>
      </c>
      <c r="J587" s="11" t="s">
        <v>20</v>
      </c>
      <c r="K587" s="21" t="s">
        <v>152</v>
      </c>
      <c r="L587" s="298">
        <v>400000.0</v>
      </c>
      <c r="M587" s="298"/>
      <c r="N587" s="13" t="s">
        <v>89</v>
      </c>
      <c r="O587" s="21"/>
      <c r="P587" s="402" t="s">
        <v>2896</v>
      </c>
      <c r="Q587" s="24"/>
    </row>
    <row r="588">
      <c r="A588" s="11">
        <v>2025.0</v>
      </c>
      <c r="B588" s="18" t="s">
        <v>355</v>
      </c>
      <c r="C588" s="13" t="str">
        <f>IFERROR(VLOOKUP(B588,'Regiões'!A:B,2,0),"")</f>
        <v>Centro do Estado</v>
      </c>
      <c r="D588" s="13" t="s">
        <v>1937</v>
      </c>
      <c r="E588" s="15" t="s">
        <v>2899</v>
      </c>
      <c r="F588" s="17">
        <v>8.84883660001E13</v>
      </c>
      <c r="G588" s="18" t="s">
        <v>74</v>
      </c>
      <c r="H588" s="293">
        <v>4.1160008E7</v>
      </c>
      <c r="I588" s="11" t="s">
        <v>25</v>
      </c>
      <c r="J588" s="11" t="s">
        <v>27</v>
      </c>
      <c r="K588" s="21" t="s">
        <v>152</v>
      </c>
      <c r="L588" s="298">
        <v>400000.0</v>
      </c>
      <c r="M588" s="298"/>
      <c r="N588" s="13" t="s">
        <v>89</v>
      </c>
      <c r="O588" s="21"/>
      <c r="P588" s="402" t="s">
        <v>2901</v>
      </c>
      <c r="Q588" s="24"/>
    </row>
    <row r="589">
      <c r="A589" s="11">
        <v>2025.0</v>
      </c>
      <c r="B589" s="18" t="s">
        <v>886</v>
      </c>
      <c r="C589" s="13" t="str">
        <f>IFERROR(VLOOKUP(B589,'Regiões'!A:B,2,0),"")</f>
        <v>Missões</v>
      </c>
      <c r="D589" s="13" t="s">
        <v>2903</v>
      </c>
      <c r="E589" s="15" t="s">
        <v>2904</v>
      </c>
      <c r="F589" s="17">
        <v>8.7613071000148E13</v>
      </c>
      <c r="G589" s="18" t="s">
        <v>74</v>
      </c>
      <c r="H589" s="72">
        <v>4.1160008E7</v>
      </c>
      <c r="I589" s="11" t="s">
        <v>25</v>
      </c>
      <c r="J589" s="11" t="s">
        <v>27</v>
      </c>
      <c r="K589" s="21" t="s">
        <v>152</v>
      </c>
      <c r="L589" s="860">
        <v>400000.0</v>
      </c>
      <c r="M589" s="860"/>
      <c r="N589" s="13" t="s">
        <v>89</v>
      </c>
      <c r="O589" s="21"/>
      <c r="P589" s="56" t="s">
        <v>2906</v>
      </c>
      <c r="Q589" s="24"/>
    </row>
    <row r="590">
      <c r="A590" s="11">
        <v>2025.0</v>
      </c>
      <c r="B590" s="18" t="s">
        <v>982</v>
      </c>
      <c r="C590" s="13" t="str">
        <f>IFERROR(VLOOKUP(B590,'Regiões'!A:B,2,0),"")</f>
        <v>Fronteira Oeste</v>
      </c>
      <c r="D590" s="13" t="s">
        <v>2907</v>
      </c>
      <c r="E590" s="15" t="s">
        <v>2909</v>
      </c>
      <c r="F590" s="17">
        <v>8.8131164000107E13</v>
      </c>
      <c r="G590" s="18" t="s">
        <v>74</v>
      </c>
      <c r="H590" s="72">
        <v>4.1160008E7</v>
      </c>
      <c r="I590" s="11" t="s">
        <v>25</v>
      </c>
      <c r="J590" s="11" t="s">
        <v>27</v>
      </c>
      <c r="K590" s="21" t="s">
        <v>152</v>
      </c>
      <c r="L590" s="860">
        <v>400000.0</v>
      </c>
      <c r="M590" s="860"/>
      <c r="N590" s="13" t="s">
        <v>89</v>
      </c>
      <c r="O590" s="21"/>
      <c r="P590" s="312" t="s">
        <v>2910</v>
      </c>
      <c r="Q590" s="24"/>
    </row>
    <row r="591">
      <c r="A591" s="11">
        <v>2025.0</v>
      </c>
      <c r="B591" s="18" t="s">
        <v>990</v>
      </c>
      <c r="C591" s="13" t="str">
        <f>IFERROR(VLOOKUP(B591,'Regiões'!A:B,2,0),"")</f>
        <v>Vale do Taquari</v>
      </c>
      <c r="D591" s="13" t="s">
        <v>2912</v>
      </c>
      <c r="E591" s="15" t="s">
        <v>2913</v>
      </c>
      <c r="F591" s="17">
        <v>1.611117000174E12</v>
      </c>
      <c r="G591" s="18" t="s">
        <v>74</v>
      </c>
      <c r="H591" s="72">
        <v>4.1160007E7</v>
      </c>
      <c r="I591" s="11" t="s">
        <v>274</v>
      </c>
      <c r="J591" s="11" t="s">
        <v>27</v>
      </c>
      <c r="K591" s="21" t="s">
        <v>152</v>
      </c>
      <c r="L591" s="860">
        <v>400000.0</v>
      </c>
      <c r="M591" s="860"/>
      <c r="N591" s="13" t="s">
        <v>89</v>
      </c>
      <c r="O591" s="21"/>
      <c r="P591" s="862"/>
      <c r="Q591" s="24"/>
    </row>
    <row r="592">
      <c r="A592" s="11">
        <v>2026.0</v>
      </c>
      <c r="B592" s="18" t="s">
        <v>111</v>
      </c>
      <c r="C592" s="13" t="str">
        <f>IFERROR(VLOOKUP(B592,'Regiões'!A:B,2,0),"")</f>
        <v>Vale do Rio Caí</v>
      </c>
      <c r="D592" s="13" t="s">
        <v>2915</v>
      </c>
      <c r="E592" s="18" t="s">
        <v>111</v>
      </c>
      <c r="F592" s="17">
        <v>9.2123926000192E13</v>
      </c>
      <c r="G592" s="18"/>
      <c r="H592" s="20">
        <v>4.1160012E7</v>
      </c>
      <c r="I592" s="11" t="s">
        <v>20</v>
      </c>
      <c r="J592" s="865" t="s">
        <v>20</v>
      </c>
      <c r="K592" s="21" t="s">
        <v>152</v>
      </c>
      <c r="L592" s="22">
        <v>400000.0</v>
      </c>
      <c r="M592" s="22"/>
      <c r="N592" s="11" t="s">
        <v>155</v>
      </c>
      <c r="O592" s="21"/>
      <c r="P592" s="23"/>
      <c r="Q592" s="24"/>
    </row>
    <row r="593">
      <c r="A593" s="11">
        <v>2026.0</v>
      </c>
      <c r="B593" s="18" t="s">
        <v>453</v>
      </c>
      <c r="C593" s="13" t="str">
        <f>IFERROR(VLOOKUP(B593,'Regiões'!A:B,2,0),"")</f>
        <v>Missões</v>
      </c>
      <c r="D593" s="13" t="s">
        <v>2921</v>
      </c>
      <c r="E593" s="18" t="s">
        <v>453</v>
      </c>
      <c r="F593" s="17">
        <v>8.7613014000169E13</v>
      </c>
      <c r="G593" s="18" t="s">
        <v>2922</v>
      </c>
      <c r="H593" s="20">
        <v>4.1160012E7</v>
      </c>
      <c r="I593" s="11" t="s">
        <v>20</v>
      </c>
      <c r="J593" s="865" t="s">
        <v>20</v>
      </c>
      <c r="K593" s="21" t="s">
        <v>152</v>
      </c>
      <c r="L593" s="22">
        <v>400000.0</v>
      </c>
      <c r="M593" s="22"/>
      <c r="N593" s="11" t="s">
        <v>155</v>
      </c>
      <c r="O593" s="21"/>
      <c r="P593" s="23"/>
      <c r="Q593" s="24"/>
    </row>
    <row r="594">
      <c r="A594" s="11">
        <v>2026.0</v>
      </c>
      <c r="B594" s="18" t="s">
        <v>499</v>
      </c>
      <c r="C594" s="13" t="str">
        <f>IFERROR(VLOOKUP(B594,'Regiões'!A:B,2,0),"")</f>
        <v>Fronteira Noroeste</v>
      </c>
      <c r="D594" s="13" t="s">
        <v>2924</v>
      </c>
      <c r="E594" s="18" t="s">
        <v>499</v>
      </c>
      <c r="F594" s="17">
        <v>8.761285900013E13</v>
      </c>
      <c r="G594" s="18" t="s">
        <v>2925</v>
      </c>
      <c r="H594" s="20">
        <v>4.1160012E7</v>
      </c>
      <c r="I594" s="11" t="s">
        <v>20</v>
      </c>
      <c r="J594" s="865" t="s">
        <v>20</v>
      </c>
      <c r="K594" s="21" t="s">
        <v>152</v>
      </c>
      <c r="L594" s="22">
        <v>400000.0</v>
      </c>
      <c r="M594" s="22"/>
      <c r="N594" s="11" t="s">
        <v>155</v>
      </c>
      <c r="O594" s="21"/>
      <c r="P594" s="23"/>
      <c r="Q594" s="24"/>
    </row>
    <row r="595">
      <c r="A595" s="11">
        <v>2026.0</v>
      </c>
      <c r="B595" s="18" t="s">
        <v>534</v>
      </c>
      <c r="C595" s="13" t="str">
        <f>IFERROR(VLOOKUP(B595,'Regiões'!A:B,2,0),"")</f>
        <v>Vale do Rio Caí</v>
      </c>
      <c r="D595" s="13" t="s">
        <v>2926</v>
      </c>
      <c r="E595" s="18" t="s">
        <v>534</v>
      </c>
      <c r="F595" s="17">
        <v>9.2122720000148E13</v>
      </c>
      <c r="G595" s="18" t="s">
        <v>2927</v>
      </c>
      <c r="H595" s="20">
        <v>4.1160012E7</v>
      </c>
      <c r="I595" s="11" t="s">
        <v>20</v>
      </c>
      <c r="J595" s="865" t="s">
        <v>20</v>
      </c>
      <c r="K595" s="21" t="s">
        <v>152</v>
      </c>
      <c r="L595" s="22">
        <v>400000.0</v>
      </c>
      <c r="M595" s="22"/>
      <c r="N595" s="11" t="s">
        <v>155</v>
      </c>
      <c r="O595" s="21"/>
      <c r="P595" s="23"/>
      <c r="Q595" s="24"/>
    </row>
    <row r="596">
      <c r="A596" s="11">
        <v>2026.0</v>
      </c>
      <c r="B596" s="18" t="s">
        <v>549</v>
      </c>
      <c r="C596" s="13" t="str">
        <f>IFERROR(VLOOKUP(B596,'Regiões'!A:B,2,0),"")</f>
        <v>Planalto</v>
      </c>
      <c r="D596" s="13" t="s">
        <v>2930</v>
      </c>
      <c r="E596" s="18" t="s">
        <v>549</v>
      </c>
      <c r="F596" s="17">
        <v>8.7596623000157E13</v>
      </c>
      <c r="G596" s="18" t="s">
        <v>2932</v>
      </c>
      <c r="H596" s="20">
        <v>4.1160012E7</v>
      </c>
      <c r="I596" s="11" t="s">
        <v>20</v>
      </c>
      <c r="J596" s="865" t="s">
        <v>20</v>
      </c>
      <c r="K596" s="21" t="s">
        <v>152</v>
      </c>
      <c r="L596" s="22">
        <v>400000.0</v>
      </c>
      <c r="M596" s="22"/>
      <c r="N596" s="11" t="s">
        <v>155</v>
      </c>
      <c r="O596" s="21"/>
      <c r="P596" s="23"/>
      <c r="Q596" s="24"/>
    </row>
    <row r="597">
      <c r="A597" s="11">
        <v>2026.0</v>
      </c>
      <c r="B597" s="18" t="s">
        <v>691</v>
      </c>
      <c r="C597" s="13" t="str">
        <f>IFERROR(VLOOKUP(B597,'Regiões'!A:B,2,0),"")</f>
        <v>Nordeste Riograndense</v>
      </c>
      <c r="D597" s="13" t="s">
        <v>2933</v>
      </c>
      <c r="E597" s="18" t="s">
        <v>691</v>
      </c>
      <c r="F597" s="17">
        <v>8.7613592000103E13</v>
      </c>
      <c r="G597" s="18" t="s">
        <v>2935</v>
      </c>
      <c r="H597" s="20">
        <v>4.1160012E7</v>
      </c>
      <c r="I597" s="11" t="s">
        <v>20</v>
      </c>
      <c r="J597" s="865" t="s">
        <v>20</v>
      </c>
      <c r="K597" s="21" t="s">
        <v>152</v>
      </c>
      <c r="L597" s="22">
        <v>400000.0</v>
      </c>
      <c r="M597" s="22"/>
      <c r="N597" s="11" t="s">
        <v>155</v>
      </c>
      <c r="O597" s="21"/>
      <c r="P597" s="23"/>
      <c r="Q597" s="24"/>
    </row>
    <row r="598">
      <c r="A598" s="11">
        <v>2026.0</v>
      </c>
      <c r="B598" s="18" t="s">
        <v>496</v>
      </c>
      <c r="C598" s="13" t="str">
        <f>IFERROR(VLOOKUP(B598,'Regiões'!A:B,2,0),"")</f>
        <v>Vale dos Sinos</v>
      </c>
      <c r="D598" s="13" t="s">
        <v>1052</v>
      </c>
      <c r="E598" s="18" t="s">
        <v>496</v>
      </c>
      <c r="F598" s="17">
        <v>9.470762700012E13</v>
      </c>
      <c r="G598" s="18" t="s">
        <v>2937</v>
      </c>
      <c r="H598" s="20">
        <v>4.1160012E7</v>
      </c>
      <c r="I598" s="11" t="s">
        <v>20</v>
      </c>
      <c r="J598" s="865" t="s">
        <v>20</v>
      </c>
      <c r="K598" s="21" t="s">
        <v>152</v>
      </c>
      <c r="L598" s="22">
        <v>400000.0</v>
      </c>
      <c r="M598" s="22"/>
      <c r="N598" s="11" t="s">
        <v>155</v>
      </c>
      <c r="O598" s="21"/>
      <c r="P598" s="23"/>
      <c r="Q598" s="24"/>
    </row>
    <row r="599">
      <c r="A599" s="11">
        <v>2026.0</v>
      </c>
      <c r="B599" s="18" t="s">
        <v>782</v>
      </c>
      <c r="C599" s="13" t="str">
        <f>IFERROR(VLOOKUP(B599,'Regiões'!A:B,2,0),"")</f>
        <v>Litoral Norte</v>
      </c>
      <c r="D599" s="13" t="s">
        <v>2939</v>
      </c>
      <c r="E599" s="18" t="s">
        <v>782</v>
      </c>
      <c r="F599" s="17">
        <v>8.800092200014E13</v>
      </c>
      <c r="G599" s="18" t="s">
        <v>2940</v>
      </c>
      <c r="H599" s="20">
        <v>4.1160012E7</v>
      </c>
      <c r="I599" s="11" t="s">
        <v>20</v>
      </c>
      <c r="J599" s="865" t="s">
        <v>20</v>
      </c>
      <c r="K599" s="21" t="s">
        <v>152</v>
      </c>
      <c r="L599" s="22">
        <v>400000.0</v>
      </c>
      <c r="M599" s="22"/>
      <c r="N599" s="11" t="s">
        <v>155</v>
      </c>
      <c r="O599" s="21"/>
      <c r="P599" s="875" t="s">
        <v>2941</v>
      </c>
      <c r="Q599" s="24"/>
    </row>
    <row r="600">
      <c r="A600" s="11">
        <v>2026.0</v>
      </c>
      <c r="B600" s="18" t="s">
        <v>821</v>
      </c>
      <c r="C600" s="13" t="str">
        <f>IFERROR(VLOOKUP(B600,'Regiões'!A:B,2,0),"")</f>
        <v>Planalto</v>
      </c>
      <c r="D600" s="13" t="s">
        <v>2942</v>
      </c>
      <c r="E600" s="18" t="s">
        <v>821</v>
      </c>
      <c r="F600" s="17">
        <v>8.761253700019E13</v>
      </c>
      <c r="G600" s="18" t="s">
        <v>2943</v>
      </c>
      <c r="H600" s="20">
        <v>4.1160012E7</v>
      </c>
      <c r="I600" s="11" t="s">
        <v>20</v>
      </c>
      <c r="J600" s="865" t="s">
        <v>20</v>
      </c>
      <c r="K600" s="21" t="s">
        <v>152</v>
      </c>
      <c r="L600" s="22">
        <v>400000.0</v>
      </c>
      <c r="M600" s="22"/>
      <c r="N600" s="11" t="s">
        <v>155</v>
      </c>
      <c r="O600" s="21"/>
      <c r="P600" s="23"/>
      <c r="Q600" s="24"/>
    </row>
    <row r="601">
      <c r="A601" s="11">
        <v>2026.0</v>
      </c>
      <c r="B601" s="18" t="s">
        <v>885</v>
      </c>
      <c r="C601" s="13" t="str">
        <f>IFERROR(VLOOKUP(B601,'Regiões'!A:B,2,0),"")</f>
        <v>Centro do Estado</v>
      </c>
      <c r="D601" s="13" t="s">
        <v>2945</v>
      </c>
      <c r="E601" s="18" t="s">
        <v>885</v>
      </c>
      <c r="F601" s="17">
        <v>8.789774000015E13</v>
      </c>
      <c r="G601" s="18" t="s">
        <v>2946</v>
      </c>
      <c r="H601" s="20">
        <v>4.1160012E7</v>
      </c>
      <c r="I601" s="11" t="s">
        <v>20</v>
      </c>
      <c r="J601" s="865" t="s">
        <v>20</v>
      </c>
      <c r="K601" s="21" t="s">
        <v>152</v>
      </c>
      <c r="L601" s="22">
        <v>400000.0</v>
      </c>
      <c r="M601" s="22"/>
      <c r="N601" s="11" t="s">
        <v>155</v>
      </c>
      <c r="O601" s="21"/>
      <c r="P601" s="23"/>
      <c r="Q601" s="24"/>
    </row>
    <row r="602">
      <c r="A602" s="11">
        <v>2026.0</v>
      </c>
      <c r="B602" s="18" t="s">
        <v>900</v>
      </c>
      <c r="C602" s="13" t="str">
        <f>IFERROR(VLOOKUP(B602,'Regiões'!A:B,2,0),"")</f>
        <v>Centro do Estado</v>
      </c>
      <c r="D602" s="13" t="s">
        <v>2947</v>
      </c>
      <c r="E602" s="18" t="s">
        <v>900</v>
      </c>
      <c r="F602" s="17">
        <v>9.444424700014E13</v>
      </c>
      <c r="G602" s="18" t="s">
        <v>2948</v>
      </c>
      <c r="H602" s="20">
        <v>4.1160012E7</v>
      </c>
      <c r="I602" s="11" t="s">
        <v>20</v>
      </c>
      <c r="J602" s="865" t="s">
        <v>20</v>
      </c>
      <c r="K602" s="21" t="s">
        <v>152</v>
      </c>
      <c r="L602" s="22">
        <v>400000.0</v>
      </c>
      <c r="M602" s="22"/>
      <c r="N602" s="11" t="s">
        <v>155</v>
      </c>
      <c r="O602" s="21"/>
      <c r="P602" s="23"/>
      <c r="Q602" s="24"/>
    </row>
    <row r="603">
      <c r="A603" s="11">
        <v>2026.0</v>
      </c>
      <c r="B603" s="18" t="s">
        <v>920</v>
      </c>
      <c r="C603" s="13" t="str">
        <f>IFERROR(VLOOKUP(B603,'Regiões'!A:B,2,0),"")</f>
        <v>Centro do Estado</v>
      </c>
      <c r="D603" s="13" t="s">
        <v>2953</v>
      </c>
      <c r="E603" s="18" t="s">
        <v>920</v>
      </c>
      <c r="F603" s="17">
        <v>8.7489910000168E13</v>
      </c>
      <c r="G603" s="18" t="s">
        <v>2955</v>
      </c>
      <c r="H603" s="20">
        <v>4.1160012E7</v>
      </c>
      <c r="I603" s="11" t="s">
        <v>20</v>
      </c>
      <c r="J603" s="865" t="s">
        <v>20</v>
      </c>
      <c r="K603" s="21" t="s">
        <v>152</v>
      </c>
      <c r="L603" s="22">
        <v>400000.0</v>
      </c>
      <c r="M603" s="22"/>
      <c r="N603" s="11" t="s">
        <v>155</v>
      </c>
      <c r="O603" s="21"/>
      <c r="P603" s="23"/>
      <c r="Q603" s="24"/>
    </row>
    <row r="604">
      <c r="A604" s="11">
        <v>2026.0</v>
      </c>
      <c r="B604" s="18" t="s">
        <v>516</v>
      </c>
      <c r="C604" s="13" t="str">
        <f>IFERROR(VLOOKUP(B604,'Regiões'!A:B,2,0),"")</f>
        <v>Zona Sul</v>
      </c>
      <c r="D604" s="13" t="s">
        <v>2958</v>
      </c>
      <c r="E604" s="25" t="s">
        <v>2161</v>
      </c>
      <c r="F604" s="17">
        <v>8.8239074000126E13</v>
      </c>
      <c r="G604" s="18" t="s">
        <v>2333</v>
      </c>
      <c r="H604" s="20">
        <v>4.1160003E7</v>
      </c>
      <c r="I604" s="11" t="s">
        <v>2162</v>
      </c>
      <c r="J604" s="2" t="s">
        <v>7</v>
      </c>
      <c r="K604" s="21" t="s">
        <v>152</v>
      </c>
      <c r="L604" s="22">
        <v>400000.0</v>
      </c>
      <c r="M604" s="22"/>
      <c r="N604" s="11" t="s">
        <v>155</v>
      </c>
      <c r="O604" s="21"/>
      <c r="P604" s="23"/>
      <c r="Q604" s="24"/>
    </row>
    <row r="605">
      <c r="A605" s="11">
        <v>2026.0</v>
      </c>
      <c r="B605" s="18" t="s">
        <v>46</v>
      </c>
      <c r="C605" s="13" t="str">
        <f>IFERROR(VLOOKUP(B605,'Regiões'!A:B,2,0),"")</f>
        <v>Sudoeste do Estado</v>
      </c>
      <c r="D605" s="13" t="s">
        <v>2960</v>
      </c>
      <c r="E605" s="18" t="s">
        <v>46</v>
      </c>
      <c r="F605" s="17">
        <v>4.217437000132E12</v>
      </c>
      <c r="G605" s="18" t="s">
        <v>2961</v>
      </c>
      <c r="H605" s="20">
        <v>4.1160008E7</v>
      </c>
      <c r="I605" s="11" t="s">
        <v>2963</v>
      </c>
      <c r="J605" s="2" t="s">
        <v>27</v>
      </c>
      <c r="K605" s="887" t="s">
        <v>2964</v>
      </c>
      <c r="L605" s="22">
        <v>400000.0</v>
      </c>
      <c r="M605" s="22"/>
      <c r="N605" s="11" t="s">
        <v>155</v>
      </c>
      <c r="O605" s="21"/>
      <c r="P605" s="23"/>
      <c r="Q605" s="24"/>
    </row>
    <row r="606">
      <c r="A606" s="11">
        <v>2026.0</v>
      </c>
      <c r="B606" s="18" t="s">
        <v>50</v>
      </c>
      <c r="C606" s="13" t="str">
        <f>IFERROR(VLOOKUP(B606,'Regiões'!A:B,2,0),"")</f>
        <v>Nordeste Riograndense</v>
      </c>
      <c r="D606" s="13" t="s">
        <v>2966</v>
      </c>
      <c r="E606" s="18" t="s">
        <v>50</v>
      </c>
      <c r="F606" s="17">
        <v>9.2406495000171E13</v>
      </c>
      <c r="G606" s="18" t="s">
        <v>2967</v>
      </c>
      <c r="H606" s="20">
        <v>4.1160008E7</v>
      </c>
      <c r="I606" s="11" t="s">
        <v>2963</v>
      </c>
      <c r="J606" s="2" t="s">
        <v>27</v>
      </c>
      <c r="K606" s="887" t="s">
        <v>2964</v>
      </c>
      <c r="L606" s="22">
        <v>400000.0</v>
      </c>
      <c r="M606" s="22"/>
      <c r="N606" s="11" t="s">
        <v>155</v>
      </c>
      <c r="O606" s="21"/>
      <c r="P606" s="23"/>
      <c r="Q606" s="24"/>
    </row>
    <row r="607">
      <c r="A607" s="11">
        <v>2026.0</v>
      </c>
      <c r="B607" s="18" t="s">
        <v>150</v>
      </c>
      <c r="C607" s="13" t="str">
        <f>IFERROR(VLOOKUP(B607,'Regiões'!A:B,2,0),"")</f>
        <v>Vale do Taquari</v>
      </c>
      <c r="D607" s="13" t="s">
        <v>2970</v>
      </c>
      <c r="E607" s="18" t="s">
        <v>150</v>
      </c>
      <c r="F607" s="17">
        <v>8.7261509000176E13</v>
      </c>
      <c r="G607" s="18" t="s">
        <v>2971</v>
      </c>
      <c r="H607" s="20">
        <v>4.1160008E7</v>
      </c>
      <c r="I607" s="11" t="s">
        <v>2963</v>
      </c>
      <c r="J607" s="2" t="s">
        <v>27</v>
      </c>
      <c r="K607" s="887" t="s">
        <v>2964</v>
      </c>
      <c r="L607" s="22">
        <v>400000.0</v>
      </c>
      <c r="M607" s="22"/>
      <c r="N607" s="11" t="s">
        <v>155</v>
      </c>
      <c r="O607" s="21"/>
      <c r="P607" s="23"/>
      <c r="Q607" s="24"/>
    </row>
    <row r="608">
      <c r="A608" s="11">
        <v>2026.0</v>
      </c>
      <c r="B608" s="18" t="s">
        <v>572</v>
      </c>
      <c r="C608" s="13" t="str">
        <f>IFERROR(VLOOKUP(B608,'Regiões'!A:B,2,0),"")</f>
        <v>Missões</v>
      </c>
      <c r="D608" s="13" t="s">
        <v>2972</v>
      </c>
      <c r="E608" s="18" t="s">
        <v>572</v>
      </c>
      <c r="F608" s="17">
        <v>8.7612990000105E13</v>
      </c>
      <c r="G608" s="18" t="s">
        <v>2973</v>
      </c>
      <c r="H608" s="20">
        <v>4.1160008E7</v>
      </c>
      <c r="I608" s="11" t="s">
        <v>2963</v>
      </c>
      <c r="J608" s="2" t="s">
        <v>27</v>
      </c>
      <c r="K608" s="887" t="s">
        <v>2964</v>
      </c>
      <c r="L608" s="22">
        <v>400000.0</v>
      </c>
      <c r="M608" s="22"/>
      <c r="N608" s="11" t="s">
        <v>155</v>
      </c>
      <c r="O608" s="21"/>
      <c r="P608" s="23"/>
      <c r="Q608" s="24"/>
    </row>
    <row r="609">
      <c r="A609" s="11">
        <v>2026.0</v>
      </c>
      <c r="B609" s="18" t="s">
        <v>588</v>
      </c>
      <c r="C609" s="13" t="str">
        <f>IFERROR(VLOOKUP(B609,'Regiões'!A:B,2,0),"")</f>
        <v>Zona da Produção</v>
      </c>
      <c r="D609" s="13" t="s">
        <v>2974</v>
      </c>
      <c r="E609" s="18" t="s">
        <v>588</v>
      </c>
      <c r="F609" s="17">
        <v>8.7708889000144E13</v>
      </c>
      <c r="G609" s="18" t="s">
        <v>2975</v>
      </c>
      <c r="H609" s="20">
        <v>4.1160008E7</v>
      </c>
      <c r="I609" s="11" t="s">
        <v>2963</v>
      </c>
      <c r="J609" s="2" t="s">
        <v>27</v>
      </c>
      <c r="K609" s="887" t="s">
        <v>2964</v>
      </c>
      <c r="L609" s="22">
        <v>400000.0</v>
      </c>
      <c r="M609" s="22"/>
      <c r="N609" s="11" t="s">
        <v>155</v>
      </c>
      <c r="O609" s="21"/>
      <c r="P609" s="23"/>
      <c r="Q609" s="24"/>
    </row>
    <row r="610">
      <c r="A610" s="11">
        <v>2026.0</v>
      </c>
      <c r="B610" s="18" t="s">
        <v>165</v>
      </c>
      <c r="C610" s="13" t="str">
        <f>IFERROR(VLOOKUP(B610,'Regiões'!A:B,2,0),"")</f>
        <v>Metropolitana de Porto Alegre</v>
      </c>
      <c r="D610" s="13" t="s">
        <v>2018</v>
      </c>
      <c r="E610" s="18" t="s">
        <v>165</v>
      </c>
      <c r="F610" s="17">
        <v>8.8150495000186E13</v>
      </c>
      <c r="G610" s="18" t="s">
        <v>2978</v>
      </c>
      <c r="H610" s="20">
        <v>4.1160008E7</v>
      </c>
      <c r="I610" s="11" t="s">
        <v>2963</v>
      </c>
      <c r="J610" s="2" t="s">
        <v>27</v>
      </c>
      <c r="K610" s="887" t="s">
        <v>2964</v>
      </c>
      <c r="L610" s="22">
        <v>400000.0</v>
      </c>
      <c r="M610" s="22"/>
      <c r="N610" s="11" t="s">
        <v>155</v>
      </c>
      <c r="O610" s="21"/>
      <c r="P610" s="23"/>
      <c r="Q610" s="24"/>
    </row>
    <row r="611">
      <c r="A611" s="11">
        <v>2026.0</v>
      </c>
      <c r="B611" s="18" t="s">
        <v>727</v>
      </c>
      <c r="C611" s="13" t="str">
        <f>IFERROR(VLOOKUP(B611,'Regiões'!A:B,2,0),"")</f>
        <v>Alto Uruguai</v>
      </c>
      <c r="D611" s="13" t="s">
        <v>2982</v>
      </c>
      <c r="E611" s="18" t="s">
        <v>727</v>
      </c>
      <c r="F611" s="17">
        <v>8.7613394000131E13</v>
      </c>
      <c r="G611" s="18" t="s">
        <v>2983</v>
      </c>
      <c r="H611" s="20">
        <v>4.1160008E7</v>
      </c>
      <c r="I611" s="11" t="s">
        <v>2963</v>
      </c>
      <c r="J611" s="2" t="s">
        <v>27</v>
      </c>
      <c r="K611" s="887" t="s">
        <v>2964</v>
      </c>
      <c r="L611" s="22">
        <v>400000.0</v>
      </c>
      <c r="M611" s="22"/>
      <c r="N611" s="11" t="s">
        <v>155</v>
      </c>
      <c r="O611" s="21"/>
      <c r="P611" s="23"/>
      <c r="Q611" s="24"/>
    </row>
    <row r="612">
      <c r="A612" s="11">
        <v>2026.0</v>
      </c>
      <c r="B612" s="18" t="s">
        <v>746</v>
      </c>
      <c r="C612" s="13" t="str">
        <f>IFERROR(VLOOKUP(B612,'Regiões'!A:B,2,0),"")</f>
        <v>Sudoeste do Estado</v>
      </c>
      <c r="D612" s="13" t="s">
        <v>2984</v>
      </c>
      <c r="E612" s="18" t="s">
        <v>746</v>
      </c>
      <c r="F612" s="17">
        <v>8.8201298000149E13</v>
      </c>
      <c r="G612" s="18" t="s">
        <v>2985</v>
      </c>
      <c r="H612" s="20">
        <v>4.1160008E7</v>
      </c>
      <c r="I612" s="11" t="s">
        <v>2963</v>
      </c>
      <c r="J612" s="2" t="s">
        <v>27</v>
      </c>
      <c r="K612" s="887" t="s">
        <v>2964</v>
      </c>
      <c r="L612" s="22">
        <v>400000.0</v>
      </c>
      <c r="M612" s="22"/>
      <c r="N612" s="11" t="s">
        <v>155</v>
      </c>
      <c r="O612" s="21"/>
      <c r="P612" s="23"/>
      <c r="Q612" s="24"/>
    </row>
    <row r="613">
      <c r="A613" s="11">
        <v>2026.0</v>
      </c>
      <c r="B613" s="18" t="s">
        <v>750</v>
      </c>
      <c r="C613" s="13" t="str">
        <f>IFERROR(VLOOKUP(B613,'Regiões'!A:B,2,0),"")</f>
        <v>Nordeste Riograndense</v>
      </c>
      <c r="D613" s="13" t="s">
        <v>2986</v>
      </c>
      <c r="E613" s="18" t="s">
        <v>750</v>
      </c>
      <c r="F613" s="17">
        <v>8.7613576000102E13</v>
      </c>
      <c r="G613" s="18" t="s">
        <v>2987</v>
      </c>
      <c r="H613" s="20">
        <v>4.1160008E7</v>
      </c>
      <c r="I613" s="11" t="s">
        <v>2963</v>
      </c>
      <c r="J613" s="2" t="s">
        <v>27</v>
      </c>
      <c r="K613" s="887" t="s">
        <v>2964</v>
      </c>
      <c r="L613" s="22">
        <v>400000.0</v>
      </c>
      <c r="M613" s="22"/>
      <c r="N613" s="11" t="s">
        <v>155</v>
      </c>
      <c r="O613" s="21"/>
      <c r="P613" s="23"/>
      <c r="Q613" s="24"/>
    </row>
    <row r="614">
      <c r="A614" s="11">
        <v>2026.0</v>
      </c>
      <c r="B614" s="18" t="s">
        <v>816</v>
      </c>
      <c r="C614" s="13" t="str">
        <f>IFERROR(VLOOKUP(B614,'Regiões'!A:B,2,0),"")</f>
        <v>Encosta Superior do Nordeste</v>
      </c>
      <c r="D614" s="13" t="s">
        <v>2989</v>
      </c>
      <c r="E614" s="18" t="s">
        <v>816</v>
      </c>
      <c r="F614" s="17">
        <v>8.750288600015E13</v>
      </c>
      <c r="G614" s="18" t="s">
        <v>2990</v>
      </c>
      <c r="H614" s="20">
        <v>4.1160008E7</v>
      </c>
      <c r="I614" s="11" t="s">
        <v>2963</v>
      </c>
      <c r="J614" s="2" t="s">
        <v>27</v>
      </c>
      <c r="K614" s="887" t="s">
        <v>2964</v>
      </c>
      <c r="L614" s="22">
        <v>400000.0</v>
      </c>
      <c r="M614" s="22"/>
      <c r="N614" s="11" t="s">
        <v>155</v>
      </c>
      <c r="O614" s="21"/>
      <c r="P614" s="23"/>
      <c r="Q614" s="24"/>
    </row>
    <row r="615">
      <c r="A615" s="11">
        <v>2026.0</v>
      </c>
      <c r="B615" s="18" t="s">
        <v>353</v>
      </c>
      <c r="C615" s="13" t="str">
        <f>IFERROR(VLOOKUP(B615,'Regiões'!A:B,2,0),"")</f>
        <v>Encosta Superior do Nordeste</v>
      </c>
      <c r="D615" s="13"/>
      <c r="E615" s="18" t="s">
        <v>353</v>
      </c>
      <c r="F615" s="17">
        <v>8.8818299000137E13</v>
      </c>
      <c r="G615" s="18" t="s">
        <v>2992</v>
      </c>
      <c r="H615" s="20">
        <v>4.1160008E7</v>
      </c>
      <c r="I615" s="11" t="s">
        <v>2963</v>
      </c>
      <c r="J615" s="2" t="s">
        <v>27</v>
      </c>
      <c r="K615" s="887" t="s">
        <v>2964</v>
      </c>
      <c r="L615" s="22">
        <v>400000.0</v>
      </c>
      <c r="M615" s="22"/>
      <c r="N615" s="11" t="s">
        <v>155</v>
      </c>
      <c r="O615" s="21"/>
      <c r="P615" s="23"/>
      <c r="Q615" s="24"/>
    </row>
    <row r="616">
      <c r="A616" s="11">
        <v>2026.0</v>
      </c>
      <c r="B616" s="18" t="s">
        <v>970</v>
      </c>
      <c r="C616" s="13" t="str">
        <f>IFERROR(VLOOKUP(B616,'Regiões'!A:B,2,0),"")</f>
        <v>Zona da Produção</v>
      </c>
      <c r="D616" s="13" t="s">
        <v>2993</v>
      </c>
      <c r="E616" s="18" t="s">
        <v>970</v>
      </c>
      <c r="F616" s="17">
        <v>9.2399211000167E13</v>
      </c>
      <c r="G616" s="18" t="s">
        <v>2994</v>
      </c>
      <c r="H616" s="20">
        <v>4.1160008E7</v>
      </c>
      <c r="I616" s="11" t="s">
        <v>2963</v>
      </c>
      <c r="J616" s="2" t="s">
        <v>27</v>
      </c>
      <c r="K616" s="887" t="s">
        <v>2964</v>
      </c>
      <c r="L616" s="22">
        <v>400000.0</v>
      </c>
      <c r="M616" s="22"/>
      <c r="N616" s="11" t="s">
        <v>155</v>
      </c>
      <c r="O616" s="21"/>
      <c r="P616" s="23"/>
      <c r="Q616" s="24"/>
    </row>
    <row r="617">
      <c r="A617" s="11">
        <v>2026.0</v>
      </c>
      <c r="B617" s="18" t="s">
        <v>992</v>
      </c>
      <c r="C617" s="13" t="str">
        <f>IFERROR(VLOOKUP(B617,'Regiões'!A:B,2,0),"")</f>
        <v>Metropolitana de Porto Alegre</v>
      </c>
      <c r="D617" s="13" t="s">
        <v>2996</v>
      </c>
      <c r="E617" s="18" t="s">
        <v>992</v>
      </c>
      <c r="F617" s="17">
        <v>8.8000914000101E13</v>
      </c>
      <c r="G617" s="18" t="s">
        <v>2997</v>
      </c>
      <c r="H617" s="20">
        <v>4.1160008E7</v>
      </c>
      <c r="I617" s="11" t="s">
        <v>2963</v>
      </c>
      <c r="J617" s="2" t="s">
        <v>27</v>
      </c>
      <c r="K617" s="887" t="s">
        <v>2964</v>
      </c>
      <c r="L617" s="22">
        <v>400000.0</v>
      </c>
      <c r="M617" s="22"/>
      <c r="N617" s="11" t="s">
        <v>155</v>
      </c>
      <c r="O617" s="21"/>
      <c r="P617" s="23"/>
      <c r="Q617" s="24"/>
    </row>
    <row r="618">
      <c r="A618" s="11">
        <v>2026.0</v>
      </c>
      <c r="B618" s="18" t="s">
        <v>651</v>
      </c>
      <c r="C618" s="13" t="str">
        <f>IFERROR(VLOOKUP(B618,'Regiões'!A:B,2,0),"")</f>
        <v>Encosta Superior do Nordeste</v>
      </c>
      <c r="D618" s="13"/>
      <c r="E618" s="25" t="s">
        <v>2999</v>
      </c>
      <c r="F618" s="17">
        <v>8.7843819000107E13</v>
      </c>
      <c r="G618" s="18" t="s">
        <v>3001</v>
      </c>
      <c r="H618" s="20">
        <v>4.1160012E7</v>
      </c>
      <c r="I618" s="11" t="s">
        <v>20</v>
      </c>
      <c r="J618" s="11" t="s">
        <v>20</v>
      </c>
      <c r="K618" s="21" t="s">
        <v>20</v>
      </c>
      <c r="L618" s="22">
        <v>400000.0</v>
      </c>
      <c r="M618" s="22"/>
      <c r="N618" s="11" t="s">
        <v>155</v>
      </c>
      <c r="O618" s="21"/>
      <c r="P618" s="23"/>
      <c r="Q618" s="24"/>
    </row>
    <row r="619">
      <c r="A619" s="11">
        <v>2026.0</v>
      </c>
      <c r="B619" s="18" t="s">
        <v>610</v>
      </c>
      <c r="C619" s="13" t="str">
        <f>IFERROR(VLOOKUP(B619,'Regiões'!A:B,2,0),"")</f>
        <v>Planalto</v>
      </c>
      <c r="D619" s="13"/>
      <c r="E619" s="25" t="s">
        <v>3003</v>
      </c>
      <c r="F619" s="17">
        <v>8.820308800019E13</v>
      </c>
      <c r="G619" s="18" t="s">
        <v>3004</v>
      </c>
      <c r="H619" s="20">
        <v>4.1160012E7</v>
      </c>
      <c r="I619" s="11" t="s">
        <v>20</v>
      </c>
      <c r="J619" s="11" t="s">
        <v>20</v>
      </c>
      <c r="K619" s="21" t="s">
        <v>20</v>
      </c>
      <c r="L619" s="22">
        <v>400000.0</v>
      </c>
      <c r="M619" s="22"/>
      <c r="N619" s="11" t="s">
        <v>155</v>
      </c>
      <c r="O619" s="21"/>
      <c r="P619" s="23"/>
      <c r="Q619" s="24"/>
    </row>
    <row r="620">
      <c r="A620" s="11">
        <v>2026.0</v>
      </c>
      <c r="B620" s="18" t="s">
        <v>219</v>
      </c>
      <c r="C620" s="13" t="str">
        <f>IFERROR(VLOOKUP(B620,'Regiões'!A:B,2,0),"")</f>
        <v>Turismo da Serra</v>
      </c>
      <c r="D620" s="13"/>
      <c r="E620" s="25" t="s">
        <v>3007</v>
      </c>
      <c r="F620" s="17">
        <v>8.85727480001E13</v>
      </c>
      <c r="G620" s="18" t="s">
        <v>3008</v>
      </c>
      <c r="H620" s="20">
        <v>4.1160008E7</v>
      </c>
      <c r="I620" s="11" t="s">
        <v>27</v>
      </c>
      <c r="J620" s="11" t="s">
        <v>27</v>
      </c>
      <c r="K620" s="21" t="s">
        <v>3010</v>
      </c>
      <c r="L620" s="22">
        <v>400000.0</v>
      </c>
      <c r="M620" s="22"/>
      <c r="N620" s="11" t="s">
        <v>155</v>
      </c>
      <c r="O620" s="21"/>
      <c r="P620" s="23"/>
      <c r="Q620" s="24"/>
    </row>
    <row r="621">
      <c r="A621" s="11">
        <v>2025.0</v>
      </c>
      <c r="B621" s="18" t="s">
        <v>812</v>
      </c>
      <c r="C621" s="13" t="str">
        <f>IFERROR(VLOOKUP(B621,'Regiões'!A:B,2,0),"")</f>
        <v>Planalto Médio</v>
      </c>
      <c r="D621" s="13" t="s">
        <v>3012</v>
      </c>
      <c r="E621" s="15" t="s">
        <v>3013</v>
      </c>
      <c r="F621" s="17">
        <v>8.8702089000189E13</v>
      </c>
      <c r="G621" s="18" t="s">
        <v>74</v>
      </c>
      <c r="H621" s="293">
        <v>4.1160008E7</v>
      </c>
      <c r="I621" s="11" t="s">
        <v>25</v>
      </c>
      <c r="J621" s="11" t="s">
        <v>27</v>
      </c>
      <c r="K621" s="21" t="s">
        <v>152</v>
      </c>
      <c r="L621" s="298">
        <v>400333.0</v>
      </c>
      <c r="M621" s="298"/>
      <c r="N621" s="13" t="s">
        <v>89</v>
      </c>
      <c r="O621" s="21"/>
      <c r="P621" s="402" t="s">
        <v>3016</v>
      </c>
      <c r="Q621" s="24"/>
    </row>
    <row r="622">
      <c r="A622" s="11">
        <v>2025.0</v>
      </c>
      <c r="B622" s="18" t="s">
        <v>696</v>
      </c>
      <c r="C622" s="13" t="str">
        <f>IFERROR(VLOOKUP(B622,'Regiões'!A:B,2,0),"")</f>
        <v>Alto Jacuí</v>
      </c>
      <c r="D622" s="13" t="s">
        <v>3018</v>
      </c>
      <c r="E622" s="15" t="s">
        <v>3019</v>
      </c>
      <c r="F622" s="17">
        <v>7.964977000178E12</v>
      </c>
      <c r="G622" s="12" t="s">
        <v>3019</v>
      </c>
      <c r="H622" s="293">
        <v>4.1160004E7</v>
      </c>
      <c r="I622" s="11" t="s">
        <v>6</v>
      </c>
      <c r="J622" s="11" t="s">
        <v>7</v>
      </c>
      <c r="K622" s="21" t="s">
        <v>152</v>
      </c>
      <c r="L622" s="298">
        <v>402250.0</v>
      </c>
      <c r="M622" s="298"/>
      <c r="N622" s="13" t="s">
        <v>89</v>
      </c>
      <c r="O622" s="21"/>
      <c r="P622" s="402" t="s">
        <v>3021</v>
      </c>
      <c r="Q622" s="24"/>
    </row>
    <row r="623">
      <c r="A623" s="11">
        <v>2026.0</v>
      </c>
      <c r="B623" s="18" t="s">
        <v>355</v>
      </c>
      <c r="C623" s="13" t="str">
        <f>IFERROR(VLOOKUP(B623,'Regiões'!A:B,2,0),"")</f>
        <v>Centro do Estado</v>
      </c>
      <c r="D623" s="13"/>
      <c r="E623" s="25" t="s">
        <v>3023</v>
      </c>
      <c r="F623" s="17">
        <v>8.84883660001E13</v>
      </c>
      <c r="G623" s="18" t="s">
        <v>3024</v>
      </c>
      <c r="H623" s="20">
        <v>4.1160008E7</v>
      </c>
      <c r="I623" s="11" t="s">
        <v>27</v>
      </c>
      <c r="J623" s="11" t="s">
        <v>27</v>
      </c>
      <c r="K623" s="21" t="s">
        <v>3010</v>
      </c>
      <c r="L623" s="22">
        <v>405600.0</v>
      </c>
      <c r="M623" s="22"/>
      <c r="N623" s="11" t="s">
        <v>155</v>
      </c>
      <c r="O623" s="21"/>
      <c r="P623" s="23"/>
      <c r="Q623" s="24"/>
    </row>
    <row r="624">
      <c r="A624" s="11">
        <v>2024.0</v>
      </c>
      <c r="B624" s="12" t="s">
        <v>48</v>
      </c>
      <c r="C624" s="13" t="str">
        <f>IFERROR(VLOOKUP(B624,'Regiões'!A:B,2,0),"")</f>
        <v>Turismo da Serra</v>
      </c>
      <c r="D624" s="13" t="s">
        <v>67</v>
      </c>
      <c r="E624" s="15" t="str">
        <f>G624&amp;" de "&amp;B624</f>
        <v>Prefeitura Municipal de Gramado</v>
      </c>
      <c r="F624" s="17"/>
      <c r="G624" s="18" t="s">
        <v>74</v>
      </c>
      <c r="H624" s="20">
        <v>4.1160001E7</v>
      </c>
      <c r="I624" s="11" t="s">
        <v>334</v>
      </c>
      <c r="J624" s="11" t="s">
        <v>7</v>
      </c>
      <c r="K624" s="21" t="s">
        <v>84</v>
      </c>
      <c r="L624" s="22">
        <v>406811.0</v>
      </c>
      <c r="M624" s="22"/>
      <c r="N624" s="13" t="s">
        <v>89</v>
      </c>
      <c r="O624" s="21"/>
      <c r="P624" s="23"/>
      <c r="Q624" s="24"/>
    </row>
    <row r="625">
      <c r="A625" s="13">
        <v>2023.0</v>
      </c>
      <c r="B625" s="55" t="s">
        <v>487</v>
      </c>
      <c r="C625" s="13" t="str">
        <f>IFERROR(VLOOKUP(B625,'Regiões'!A:B,2,0),"")</f>
        <v>Costa Doce</v>
      </c>
      <c r="D625" s="13" t="s">
        <v>3027</v>
      </c>
      <c r="E625" s="56" t="s">
        <v>485</v>
      </c>
      <c r="F625" s="358"/>
      <c r="G625" s="55" t="s">
        <v>3028</v>
      </c>
      <c r="H625" s="59"/>
      <c r="I625" s="13" t="s">
        <v>1307</v>
      </c>
      <c r="J625" s="13" t="str">
        <f>LEFT(I625,FIND(" (",I625) - 1)</f>
        <v>Saúde</v>
      </c>
      <c r="K625" s="13" t="s">
        <v>152</v>
      </c>
      <c r="L625" s="393">
        <v>410780.0</v>
      </c>
      <c r="M625" s="393"/>
      <c r="N625" s="13" t="s">
        <v>89</v>
      </c>
      <c r="O625" s="13" t="s">
        <v>265</v>
      </c>
      <c r="P625" s="61" t="s">
        <v>3029</v>
      </c>
      <c r="Q625" s="62"/>
    </row>
    <row r="626">
      <c r="A626" s="11">
        <v>2026.0</v>
      </c>
      <c r="B626" s="18" t="s">
        <v>921</v>
      </c>
      <c r="C626" s="13" t="str">
        <f>IFERROR(VLOOKUP(B626,'Regiões'!A:B,2,0),"")</f>
        <v>Centro do Estado</v>
      </c>
      <c r="D626" s="13"/>
      <c r="E626" s="25" t="s">
        <v>2174</v>
      </c>
      <c r="F626" s="17">
        <v>9.7227383000177E13</v>
      </c>
      <c r="G626" s="18" t="s">
        <v>3030</v>
      </c>
      <c r="H626" s="20">
        <v>4.1160003E7</v>
      </c>
      <c r="I626" s="11" t="s">
        <v>2162</v>
      </c>
      <c r="J626" s="2" t="s">
        <v>7</v>
      </c>
      <c r="K626" s="21" t="s">
        <v>152</v>
      </c>
      <c r="L626" s="22">
        <v>420000.0</v>
      </c>
      <c r="M626" s="22"/>
      <c r="N626" s="11" t="s">
        <v>155</v>
      </c>
      <c r="O626" s="21"/>
      <c r="P626" s="23"/>
      <c r="Q626" s="24"/>
    </row>
    <row r="627">
      <c r="A627" s="13">
        <v>2023.0</v>
      </c>
      <c r="B627" s="79" t="s">
        <v>928</v>
      </c>
      <c r="C627" s="13" t="str">
        <f>IFERROR(VLOOKUP(B627,'Regiões'!A:B,2,0),"")</f>
        <v>Zona da Produção</v>
      </c>
      <c r="D627" s="13" t="s">
        <v>3032</v>
      </c>
      <c r="E627" s="80" t="s">
        <v>220</v>
      </c>
      <c r="F627" s="81"/>
      <c r="G627" s="79" t="s">
        <v>1470</v>
      </c>
      <c r="H627" s="82"/>
      <c r="I627" s="13" t="s">
        <v>958</v>
      </c>
      <c r="J627" s="13" t="str">
        <f t="shared" ref="J627:J628" si="26">LEFT(I627,FIND(" (",I627) - 1)</f>
        <v>Segurança Pública</v>
      </c>
      <c r="K627" s="13" t="s">
        <v>152</v>
      </c>
      <c r="L627" s="83">
        <v>428000.0</v>
      </c>
      <c r="M627" s="83"/>
      <c r="N627" s="13" t="s">
        <v>89</v>
      </c>
      <c r="O627" s="13" t="s">
        <v>110</v>
      </c>
      <c r="P627" s="80" t="s">
        <v>3033</v>
      </c>
      <c r="Q627" s="79"/>
    </row>
    <row r="628">
      <c r="A628" s="13">
        <v>2023.0</v>
      </c>
      <c r="B628" s="79" t="s">
        <v>544</v>
      </c>
      <c r="C628" s="13" t="str">
        <f>IFERROR(VLOOKUP(B628,'Regiões'!A:B,2,0),"")</f>
        <v>Encosta Superior do Nordeste</v>
      </c>
      <c r="D628" s="13" t="s">
        <v>2839</v>
      </c>
      <c r="E628" s="80" t="s">
        <v>220</v>
      </c>
      <c r="F628" s="81"/>
      <c r="G628" s="79" t="s">
        <v>3034</v>
      </c>
      <c r="H628" s="82"/>
      <c r="I628" s="13" t="s">
        <v>2460</v>
      </c>
      <c r="J628" s="13" t="str">
        <f t="shared" si="26"/>
        <v>Infraestrutura</v>
      </c>
      <c r="K628" s="13" t="s">
        <v>152</v>
      </c>
      <c r="L628" s="83">
        <v>440000.0</v>
      </c>
      <c r="M628" s="83"/>
      <c r="N628" s="13" t="s">
        <v>89</v>
      </c>
      <c r="O628" s="13" t="s">
        <v>265</v>
      </c>
      <c r="P628" s="772" t="s">
        <v>3035</v>
      </c>
      <c r="Q628" s="79"/>
    </row>
    <row r="629">
      <c r="A629" s="29">
        <v>2022.0</v>
      </c>
      <c r="B629" s="29" t="s">
        <v>435</v>
      </c>
      <c r="C629" s="13" t="str">
        <f>IFERROR(VLOOKUP(B629,'Regiões'!A:B,2,0),"")</f>
        <v>Vale do Taquari</v>
      </c>
      <c r="D629" s="29" t="s">
        <v>3036</v>
      </c>
      <c r="E629" s="32" t="s">
        <v>485</v>
      </c>
      <c r="F629" s="243"/>
      <c r="G629" s="245" t="s">
        <v>1272</v>
      </c>
      <c r="H629" s="35">
        <v>4.1160003E7</v>
      </c>
      <c r="I629" s="29" t="s">
        <v>1087</v>
      </c>
      <c r="J629" s="29" t="s">
        <v>7</v>
      </c>
      <c r="K629" s="29" t="s">
        <v>152</v>
      </c>
      <c r="L629" s="38">
        <v>450000.0</v>
      </c>
      <c r="M629" s="38"/>
      <c r="N629" s="29" t="s">
        <v>200</v>
      </c>
      <c r="O629" s="29" t="s">
        <v>110</v>
      </c>
      <c r="P629" s="39"/>
      <c r="Q629" s="40"/>
    </row>
    <row r="630">
      <c r="A630" s="13">
        <v>2023.0</v>
      </c>
      <c r="B630" s="79" t="s">
        <v>496</v>
      </c>
      <c r="C630" s="13" t="str">
        <f>IFERROR(VLOOKUP(B630,'Regiões'!A:B,2,0),"")</f>
        <v>Vale dos Sinos</v>
      </c>
      <c r="D630" s="13" t="s">
        <v>2434</v>
      </c>
      <c r="E630" s="80" t="s">
        <v>220</v>
      </c>
      <c r="F630" s="81"/>
      <c r="G630" s="79" t="s">
        <v>1279</v>
      </c>
      <c r="H630" s="82"/>
      <c r="I630" s="13" t="s">
        <v>958</v>
      </c>
      <c r="J630" s="13" t="str">
        <f t="shared" ref="J630:J631" si="27">LEFT(I630,FIND(" (",I630) - 1)</f>
        <v>Segurança Pública</v>
      </c>
      <c r="K630" s="13" t="s">
        <v>152</v>
      </c>
      <c r="L630" s="83">
        <v>450000.0</v>
      </c>
      <c r="M630" s="83"/>
      <c r="N630" s="13" t="s">
        <v>89</v>
      </c>
      <c r="O630" s="13" t="s">
        <v>265</v>
      </c>
      <c r="P630" s="80" t="s">
        <v>1009</v>
      </c>
      <c r="Q630" s="79"/>
    </row>
    <row r="631">
      <c r="A631" s="13">
        <v>2023.0</v>
      </c>
      <c r="B631" s="79" t="s">
        <v>219</v>
      </c>
      <c r="C631" s="13" t="str">
        <f>IFERROR(VLOOKUP(B631,'Regiões'!A:B,2,0),"")</f>
        <v>Turismo da Serra</v>
      </c>
      <c r="D631" s="13" t="s">
        <v>640</v>
      </c>
      <c r="E631" s="80" t="s">
        <v>220</v>
      </c>
      <c r="F631" s="81"/>
      <c r="G631" s="79" t="s">
        <v>1290</v>
      </c>
      <c r="H631" s="82"/>
      <c r="I631" s="13" t="s">
        <v>958</v>
      </c>
      <c r="J631" s="13" t="str">
        <f t="shared" si="27"/>
        <v>Segurança Pública</v>
      </c>
      <c r="K631" s="13" t="s">
        <v>152</v>
      </c>
      <c r="L631" s="83">
        <v>450000.0</v>
      </c>
      <c r="M631" s="83"/>
      <c r="N631" s="13" t="s">
        <v>89</v>
      </c>
      <c r="O631" s="13" t="s">
        <v>265</v>
      </c>
      <c r="P631" s="80" t="s">
        <v>2511</v>
      </c>
      <c r="Q631" s="79"/>
    </row>
    <row r="632">
      <c r="A632" s="11">
        <v>2025.0</v>
      </c>
      <c r="B632" s="18" t="s">
        <v>964</v>
      </c>
      <c r="C632" s="13" t="str">
        <f>IFERROR(VLOOKUP(B632,'Regiões'!A:B,2,0),"")</f>
        <v>Fronteira Noroeste</v>
      </c>
      <c r="D632" s="13" t="s">
        <v>3040</v>
      </c>
      <c r="E632" s="15" t="s">
        <v>3041</v>
      </c>
      <c r="F632" s="17">
        <v>8.7612800000141E13</v>
      </c>
      <c r="G632" s="18" t="s">
        <v>74</v>
      </c>
      <c r="H632" s="72">
        <v>4.1160008E7</v>
      </c>
      <c r="I632" s="11" t="s">
        <v>256</v>
      </c>
      <c r="J632" s="11" t="s">
        <v>257</v>
      </c>
      <c r="K632" s="21" t="s">
        <v>152</v>
      </c>
      <c r="L632" s="860">
        <v>450000.0</v>
      </c>
      <c r="M632" s="860"/>
      <c r="N632" s="13" t="s">
        <v>89</v>
      </c>
      <c r="O632" s="21"/>
      <c r="P632" s="312" t="s">
        <v>3042</v>
      </c>
      <c r="Q632" s="24"/>
    </row>
    <row r="633">
      <c r="A633" s="11">
        <v>2025.0</v>
      </c>
      <c r="B633" s="18" t="s">
        <v>119</v>
      </c>
      <c r="C633" s="13" t="str">
        <f>IFERROR(VLOOKUP(B633,'Regiões'!A:B,2,0),"")</f>
        <v>Zona Sul</v>
      </c>
      <c r="D633" s="13" t="s">
        <v>3043</v>
      </c>
      <c r="E633" s="15" t="s">
        <v>3044</v>
      </c>
      <c r="F633" s="17">
        <v>9.2238914000294E13</v>
      </c>
      <c r="G633" s="12" t="s">
        <v>3044</v>
      </c>
      <c r="H633" s="293">
        <v>4.1160004E7</v>
      </c>
      <c r="I633" s="11" t="s">
        <v>6</v>
      </c>
      <c r="J633" s="11" t="s">
        <v>7</v>
      </c>
      <c r="K633" s="21" t="s">
        <v>152</v>
      </c>
      <c r="L633" s="298">
        <v>451752.0</v>
      </c>
      <c r="M633" s="298"/>
      <c r="N633" s="13" t="s">
        <v>89</v>
      </c>
      <c r="O633" s="21"/>
      <c r="P633" s="402" t="s">
        <v>3045</v>
      </c>
      <c r="Q633" s="24"/>
    </row>
    <row r="634">
      <c r="A634" s="11">
        <v>2025.0</v>
      </c>
      <c r="B634" s="18" t="s">
        <v>607</v>
      </c>
      <c r="C634" s="13" t="str">
        <f>IFERROR(VLOOKUP(B634,'Regiões'!A:B,2,0),"")</f>
        <v>Alto Jacuí</v>
      </c>
      <c r="D634" s="13" t="s">
        <v>3046</v>
      </c>
      <c r="E634" s="15" t="s">
        <v>3047</v>
      </c>
      <c r="F634" s="17">
        <v>8.8775390000112E13</v>
      </c>
      <c r="G634" s="18" t="s">
        <v>74</v>
      </c>
      <c r="H634" s="72">
        <v>4.1160008E7</v>
      </c>
      <c r="I634" s="11" t="s">
        <v>25</v>
      </c>
      <c r="J634" s="11" t="s">
        <v>27</v>
      </c>
      <c r="K634" s="21" t="s">
        <v>152</v>
      </c>
      <c r="L634" s="860">
        <v>477000.0</v>
      </c>
      <c r="M634" s="860"/>
      <c r="N634" s="13" t="s">
        <v>89</v>
      </c>
      <c r="O634" s="21"/>
      <c r="P634" s="312" t="s">
        <v>3049</v>
      </c>
      <c r="Q634" s="24"/>
    </row>
    <row r="635">
      <c r="A635" s="13">
        <v>2023.0</v>
      </c>
      <c r="B635" s="79" t="s">
        <v>926</v>
      </c>
      <c r="C635" s="13" t="str">
        <f>IFERROR(VLOOKUP(B635,'Regiões'!A:B,2,0),"")</f>
        <v>Metropolitana de Porto Alegre</v>
      </c>
      <c r="D635" s="13" t="s">
        <v>1186</v>
      </c>
      <c r="E635" s="80" t="s">
        <v>220</v>
      </c>
      <c r="F635" s="81"/>
      <c r="G635" s="79" t="s">
        <v>1465</v>
      </c>
      <c r="H635" s="82"/>
      <c r="I635" s="13" t="s">
        <v>958</v>
      </c>
      <c r="J635" s="13" t="str">
        <f>LEFT(I635,FIND(" (",I635) - 1)</f>
        <v>Segurança Pública</v>
      </c>
      <c r="K635" s="13" t="s">
        <v>152</v>
      </c>
      <c r="L635" s="83">
        <v>481000.0</v>
      </c>
      <c r="M635" s="83"/>
      <c r="N635" s="13" t="s">
        <v>89</v>
      </c>
      <c r="O635" s="13" t="s">
        <v>110</v>
      </c>
      <c r="P635" s="80" t="s">
        <v>3033</v>
      </c>
      <c r="Q635" s="79"/>
    </row>
    <row r="636">
      <c r="A636" s="11">
        <v>2024.0</v>
      </c>
      <c r="B636" s="12" t="s">
        <v>248</v>
      </c>
      <c r="C636" s="13" t="str">
        <f>IFERROR(VLOOKUP(B636,'Regiões'!A:B,2,0),"")</f>
        <v>Encosta Superior do Nordeste</v>
      </c>
      <c r="D636" s="13" t="s">
        <v>3054</v>
      </c>
      <c r="E636" s="15" t="str">
        <f t="shared" ref="E636:E637" si="28">G636&amp;" de "&amp;B636</f>
        <v>Prefeitura Municipal de Dois Lajeados</v>
      </c>
      <c r="F636" s="17"/>
      <c r="G636" s="18" t="s">
        <v>74</v>
      </c>
      <c r="H636" s="20">
        <v>4.1160005E7</v>
      </c>
      <c r="I636" s="11" t="s">
        <v>20</v>
      </c>
      <c r="J636" s="11" t="s">
        <v>20</v>
      </c>
      <c r="K636" s="21" t="s">
        <v>152</v>
      </c>
      <c r="L636" s="22">
        <v>481104.0</v>
      </c>
      <c r="M636" s="22"/>
      <c r="N636" s="13" t="s">
        <v>89</v>
      </c>
      <c r="O636" s="21"/>
      <c r="P636" s="23"/>
      <c r="Q636" s="24"/>
    </row>
    <row r="637">
      <c r="A637" s="11">
        <v>2024.0</v>
      </c>
      <c r="B637" s="18" t="s">
        <v>593</v>
      </c>
      <c r="C637" s="13" t="str">
        <f>IFERROR(VLOOKUP(B637,'Regiões'!A:B,2,0),"")</f>
        <v>Vale do Taquari</v>
      </c>
      <c r="D637" s="13" t="s">
        <v>3055</v>
      </c>
      <c r="E637" s="15" t="str">
        <f t="shared" si="28"/>
        <v>Prefeitura Municipal de Muçum</v>
      </c>
      <c r="F637" s="17"/>
      <c r="G637" s="18" t="s">
        <v>74</v>
      </c>
      <c r="H637" s="20">
        <v>4.1160005E7</v>
      </c>
      <c r="I637" s="11" t="s">
        <v>20</v>
      </c>
      <c r="J637" s="11" t="s">
        <v>20</v>
      </c>
      <c r="K637" s="21" t="s">
        <v>152</v>
      </c>
      <c r="L637" s="22">
        <v>481104.0</v>
      </c>
      <c r="M637" s="22"/>
      <c r="N637" s="13" t="s">
        <v>89</v>
      </c>
      <c r="O637" s="21"/>
      <c r="P637" s="23"/>
      <c r="Q637" s="24"/>
    </row>
    <row r="638">
      <c r="A638" s="11">
        <v>2023.0</v>
      </c>
      <c r="B638" s="18" t="s">
        <v>71</v>
      </c>
      <c r="C638" s="13"/>
      <c r="D638" s="13" t="s">
        <v>3056</v>
      </c>
      <c r="E638" s="25" t="s">
        <v>2611</v>
      </c>
      <c r="F638" s="17"/>
      <c r="G638" s="18" t="s">
        <v>2611</v>
      </c>
      <c r="H638" s="20">
        <v>4.1160003E7</v>
      </c>
      <c r="I638" s="11" t="s">
        <v>27</v>
      </c>
      <c r="J638" s="11" t="s">
        <v>27</v>
      </c>
      <c r="K638" s="21" t="s">
        <v>152</v>
      </c>
      <c r="L638" s="26">
        <v>488762.0</v>
      </c>
      <c r="M638" s="26"/>
      <c r="N638" s="11" t="s">
        <v>89</v>
      </c>
      <c r="O638" s="21" t="s">
        <v>3058</v>
      </c>
      <c r="P638" s="915" t="s">
        <v>3059</v>
      </c>
      <c r="Q638" s="24" t="s">
        <v>3059</v>
      </c>
    </row>
    <row r="639">
      <c r="A639" s="11">
        <v>2025.0</v>
      </c>
      <c r="B639" s="18" t="s">
        <v>239</v>
      </c>
      <c r="C639" s="13" t="str">
        <f>IFERROR(VLOOKUP(B639,'Regiões'!A:B,2,0),"")</f>
        <v>Metropolitana de Porto Alegre</v>
      </c>
      <c r="D639" s="13" t="s">
        <v>2559</v>
      </c>
      <c r="E639" s="15" t="s">
        <v>3063</v>
      </c>
      <c r="F639" s="17">
        <v>1.1416036000177E13</v>
      </c>
      <c r="G639" s="18" t="s">
        <v>74</v>
      </c>
      <c r="H639" s="72">
        <v>4.1160002E7</v>
      </c>
      <c r="I639" s="11" t="s">
        <v>237</v>
      </c>
      <c r="J639" s="11" t="s">
        <v>7</v>
      </c>
      <c r="K639" s="21" t="s">
        <v>84</v>
      </c>
      <c r="L639" s="73">
        <v>496989.0</v>
      </c>
      <c r="M639" s="73"/>
      <c r="N639" s="13" t="s">
        <v>89</v>
      </c>
      <c r="O639" s="21"/>
      <c r="P639" s="61" t="s">
        <v>1426</v>
      </c>
      <c r="Q639" s="24"/>
    </row>
    <row r="640">
      <c r="A640" s="11">
        <v>2024.0</v>
      </c>
      <c r="B640" s="18" t="s">
        <v>76</v>
      </c>
      <c r="C640" s="13" t="str">
        <f>IFERROR(VLOOKUP(B640,'Regiões'!A:B,2,0),"")</f>
        <v>Encosta Superior do Nordeste</v>
      </c>
      <c r="D640" s="13" t="s">
        <v>2525</v>
      </c>
      <c r="E640" s="15" t="str">
        <f>G640&amp;" de "&amp;B640</f>
        <v>Prefeitura Municipal de Bento Gonçalves</v>
      </c>
      <c r="F640" s="17"/>
      <c r="G640" s="18" t="s">
        <v>74</v>
      </c>
      <c r="H640" s="20">
        <v>4.1160004E7</v>
      </c>
      <c r="I640" s="11" t="s">
        <v>1048</v>
      </c>
      <c r="J640" s="11" t="s">
        <v>7</v>
      </c>
      <c r="K640" s="21" t="s">
        <v>152</v>
      </c>
      <c r="L640" s="22">
        <v>499893.0</v>
      </c>
      <c r="M640" s="22"/>
      <c r="N640" s="13" t="s">
        <v>89</v>
      </c>
      <c r="O640" s="21"/>
      <c r="P640" s="23"/>
      <c r="Q640" s="24"/>
    </row>
    <row r="641">
      <c r="A641" s="29">
        <v>2022.0</v>
      </c>
      <c r="B641" s="760" t="s">
        <v>504</v>
      </c>
      <c r="C641" s="13" t="str">
        <f>IFERROR(VLOOKUP(B641,'Regiões'!A:B,2,0),"")</f>
        <v>Alto Uruguai</v>
      </c>
      <c r="D641" s="29" t="s">
        <v>3065</v>
      </c>
      <c r="E641" s="32"/>
      <c r="F641" s="243"/>
      <c r="G641" s="245" t="s">
        <v>1142</v>
      </c>
      <c r="H641" s="74"/>
      <c r="I641" s="29" t="s">
        <v>257</v>
      </c>
      <c r="J641" s="29" t="s">
        <v>257</v>
      </c>
      <c r="K641" s="29" t="s">
        <v>152</v>
      </c>
      <c r="L641" s="38">
        <v>500000.0</v>
      </c>
      <c r="M641" s="38"/>
      <c r="N641" s="29" t="s">
        <v>570</v>
      </c>
      <c r="O641" s="29" t="s">
        <v>1082</v>
      </c>
      <c r="P641" s="39"/>
      <c r="Q641" s="40"/>
    </row>
    <row r="642">
      <c r="A642" s="29">
        <v>2022.0</v>
      </c>
      <c r="B642" s="29" t="s">
        <v>48</v>
      </c>
      <c r="C642" s="13" t="str">
        <f>IFERROR(VLOOKUP(B642,'Regiões'!A:B,2,0),"")</f>
        <v>Turismo da Serra</v>
      </c>
      <c r="D642" s="29" t="s">
        <v>3070</v>
      </c>
      <c r="E642" s="32" t="s">
        <v>14</v>
      </c>
      <c r="F642" s="33"/>
      <c r="G642" s="29" t="s">
        <v>74</v>
      </c>
      <c r="H642" s="35">
        <v>4.1160007E7</v>
      </c>
      <c r="I642" s="29" t="s">
        <v>1210</v>
      </c>
      <c r="J642" s="29" t="s">
        <v>257</v>
      </c>
      <c r="K642" s="29" t="s">
        <v>152</v>
      </c>
      <c r="L642" s="38">
        <v>500000.0</v>
      </c>
      <c r="M642" s="38"/>
      <c r="N642" s="29" t="s">
        <v>200</v>
      </c>
      <c r="O642" s="29" t="s">
        <v>110</v>
      </c>
      <c r="P642" s="39" t="s">
        <v>3071</v>
      </c>
      <c r="Q642" s="40"/>
    </row>
    <row r="643">
      <c r="A643" s="47">
        <v>2022.0</v>
      </c>
      <c r="B643" s="54" t="s">
        <v>338</v>
      </c>
      <c r="C643" s="13" t="str">
        <f>IFERROR(VLOOKUP(B643,'Regiões'!A:B,2,0),"")</f>
        <v>Vale do Rio Caí</v>
      </c>
      <c r="D643" s="29" t="s">
        <v>3072</v>
      </c>
      <c r="E643" s="49" t="s">
        <v>485</v>
      </c>
      <c r="F643" s="396"/>
      <c r="G643" s="54" t="s">
        <v>1642</v>
      </c>
      <c r="H643" s="35">
        <v>7120004.0</v>
      </c>
      <c r="I643" s="29" t="s">
        <v>488</v>
      </c>
      <c r="J643" s="29" t="s">
        <v>7</v>
      </c>
      <c r="K643" s="29" t="s">
        <v>84</v>
      </c>
      <c r="L643" s="52">
        <v>500000.0</v>
      </c>
      <c r="M643" s="52"/>
      <c r="N643" s="29" t="s">
        <v>1193</v>
      </c>
      <c r="O643" s="47" t="s">
        <v>110</v>
      </c>
      <c r="P643" s="46" t="s">
        <v>1213</v>
      </c>
      <c r="Q643" s="54"/>
    </row>
    <row r="644">
      <c r="A644" s="29">
        <v>2022.0</v>
      </c>
      <c r="B644" s="29" t="s">
        <v>757</v>
      </c>
      <c r="C644" s="13" t="str">
        <f>IFERROR(VLOOKUP(B644,'Regiões'!A:B,2,0),"")</f>
        <v>Vale dos Sinos</v>
      </c>
      <c r="D644" s="29" t="s">
        <v>1028</v>
      </c>
      <c r="E644" s="32" t="s">
        <v>14</v>
      </c>
      <c r="F644" s="33"/>
      <c r="G644" s="29" t="s">
        <v>74</v>
      </c>
      <c r="H644" s="35">
        <v>4.1160007E7</v>
      </c>
      <c r="I644" s="29" t="s">
        <v>1210</v>
      </c>
      <c r="J644" s="29" t="s">
        <v>257</v>
      </c>
      <c r="K644" s="29" t="s">
        <v>152</v>
      </c>
      <c r="L644" s="38">
        <v>500000.0</v>
      </c>
      <c r="M644" s="38"/>
      <c r="N644" s="29" t="s">
        <v>200</v>
      </c>
      <c r="O644" s="29" t="s">
        <v>110</v>
      </c>
      <c r="P644" s="39" t="s">
        <v>3076</v>
      </c>
      <c r="Q644" s="40"/>
    </row>
    <row r="645">
      <c r="A645" s="29">
        <v>2022.0</v>
      </c>
      <c r="B645" s="29" t="s">
        <v>127</v>
      </c>
      <c r="C645" s="13" t="str">
        <f>IFERROR(VLOOKUP(B645,'Regiões'!A:B,2,0),"")</f>
        <v>Metropolitana de Porto Alegre</v>
      </c>
      <c r="D645" s="29" t="s">
        <v>3077</v>
      </c>
      <c r="E645" s="32" t="s">
        <v>485</v>
      </c>
      <c r="F645" s="243"/>
      <c r="G645" s="245" t="s">
        <v>1255</v>
      </c>
      <c r="H645" s="35">
        <v>4.1160003E7</v>
      </c>
      <c r="I645" s="29" t="s">
        <v>1087</v>
      </c>
      <c r="J645" s="29" t="s">
        <v>7</v>
      </c>
      <c r="K645" s="29" t="s">
        <v>152</v>
      </c>
      <c r="L645" s="38">
        <v>500000.0</v>
      </c>
      <c r="M645" s="38"/>
      <c r="N645" s="29" t="s">
        <v>200</v>
      </c>
      <c r="O645" s="29" t="s">
        <v>3078</v>
      </c>
      <c r="P645" s="39"/>
      <c r="Q645" s="40"/>
    </row>
    <row r="646">
      <c r="A646" s="29">
        <v>2022.0</v>
      </c>
      <c r="B646" s="29" t="s">
        <v>520</v>
      </c>
      <c r="C646" s="13" t="str">
        <f>IFERROR(VLOOKUP(B646,'Regiões'!A:B,2,0),"")</f>
        <v>Vale dos Sinos</v>
      </c>
      <c r="D646" s="29" t="s">
        <v>3079</v>
      </c>
      <c r="E646" s="65" t="s">
        <v>1097</v>
      </c>
      <c r="F646" s="66"/>
      <c r="G646" s="64" t="s">
        <v>1097</v>
      </c>
      <c r="H646" s="74"/>
      <c r="I646" s="64" t="s">
        <v>151</v>
      </c>
      <c r="J646" s="64" t="s">
        <v>27</v>
      </c>
      <c r="K646" s="29" t="s">
        <v>152</v>
      </c>
      <c r="L646" s="38">
        <v>500000.0</v>
      </c>
      <c r="M646" s="38"/>
      <c r="N646" s="29" t="s">
        <v>570</v>
      </c>
      <c r="O646" s="29" t="s">
        <v>1574</v>
      </c>
      <c r="P646" s="39" t="s">
        <v>1852</v>
      </c>
      <c r="Q646" s="40"/>
    </row>
    <row r="647">
      <c r="A647" s="29">
        <v>2022.0</v>
      </c>
      <c r="B647" s="760" t="s">
        <v>960</v>
      </c>
      <c r="C647" s="13" t="str">
        <f>IFERROR(VLOOKUP(B647,'Regiões'!A:B,2,0),"")</f>
        <v>Litoral Norte</v>
      </c>
      <c r="D647" s="29" t="s">
        <v>3080</v>
      </c>
      <c r="E647" s="32"/>
      <c r="F647" s="243"/>
      <c r="G647" s="245" t="s">
        <v>1145</v>
      </c>
      <c r="H647" s="74"/>
      <c r="I647" s="29" t="s">
        <v>257</v>
      </c>
      <c r="J647" s="29" t="s">
        <v>257</v>
      </c>
      <c r="K647" s="29"/>
      <c r="L647" s="38">
        <v>500000.0</v>
      </c>
      <c r="M647" s="38"/>
      <c r="N647" s="29" t="s">
        <v>570</v>
      </c>
      <c r="O647" s="29" t="s">
        <v>265</v>
      </c>
      <c r="P647" s="39"/>
      <c r="Q647" s="40"/>
    </row>
    <row r="648">
      <c r="A648" s="13">
        <v>2023.0</v>
      </c>
      <c r="B648" s="55" t="s">
        <v>607</v>
      </c>
      <c r="C648" s="13" t="str">
        <f>IFERROR(VLOOKUP(B648,'Regiões'!A:B,2,0),"")</f>
        <v>Alto Jacuí</v>
      </c>
      <c r="D648" s="13" t="s">
        <v>3082</v>
      </c>
      <c r="E648" s="56" t="s">
        <v>485</v>
      </c>
      <c r="F648" s="358"/>
      <c r="G648" s="55" t="s">
        <v>3083</v>
      </c>
      <c r="H648" s="59"/>
      <c r="I648" s="13" t="s">
        <v>373</v>
      </c>
      <c r="J648" s="13" t="str">
        <f t="shared" ref="J648:J650" si="29">LEFT(I648,FIND(" (",I648) - 1)</f>
        <v>Saúde</v>
      </c>
      <c r="K648" s="13" t="s">
        <v>84</v>
      </c>
      <c r="L648" s="393">
        <v>500000.0</v>
      </c>
      <c r="M648" s="393"/>
      <c r="N648" s="13" t="s">
        <v>89</v>
      </c>
      <c r="O648" s="13" t="s">
        <v>265</v>
      </c>
      <c r="P648" s="61" t="s">
        <v>3086</v>
      </c>
      <c r="Q648" s="62"/>
    </row>
    <row r="649">
      <c r="A649" s="47">
        <v>2023.0</v>
      </c>
      <c r="B649" s="245" t="s">
        <v>355</v>
      </c>
      <c r="C649" s="47" t="str">
        <f>IFERROR(VLOOKUP(B649,'Regiões'!A:B,2,0),"")</f>
        <v>Centro do Estado</v>
      </c>
      <c r="D649" s="47" t="s">
        <v>3087</v>
      </c>
      <c r="E649" s="53" t="s">
        <v>485</v>
      </c>
      <c r="F649" s="243"/>
      <c r="G649" s="245" t="s">
        <v>3088</v>
      </c>
      <c r="H649" s="51"/>
      <c r="I649" s="47" t="s">
        <v>1307</v>
      </c>
      <c r="J649" s="47" t="str">
        <f t="shared" si="29"/>
        <v>Saúde</v>
      </c>
      <c r="K649" s="47" t="s">
        <v>152</v>
      </c>
      <c r="L649" s="919">
        <v>500000.0</v>
      </c>
      <c r="M649" s="919"/>
      <c r="N649" s="47" t="s">
        <v>89</v>
      </c>
      <c r="O649" s="724" t="s">
        <v>3089</v>
      </c>
      <c r="P649" s="920" t="s">
        <v>3090</v>
      </c>
      <c r="Q649" s="921" t="s">
        <v>3091</v>
      </c>
    </row>
    <row r="650">
      <c r="A650" s="13">
        <v>2023.0</v>
      </c>
      <c r="B650" s="55" t="s">
        <v>3092</v>
      </c>
      <c r="C650" s="13" t="str">
        <f>IFERROR(VLOOKUP(B650,'Regiões'!A:B,2,0),"")</f>
        <v>Zona Sul</v>
      </c>
      <c r="D650" s="13" t="s">
        <v>3094</v>
      </c>
      <c r="E650" s="56" t="s">
        <v>485</v>
      </c>
      <c r="F650" s="358"/>
      <c r="G650" s="55" t="s">
        <v>3095</v>
      </c>
      <c r="H650" s="59"/>
      <c r="I650" s="13" t="s">
        <v>373</v>
      </c>
      <c r="J650" s="13" t="str">
        <f t="shared" si="29"/>
        <v>Saúde</v>
      </c>
      <c r="K650" s="13" t="s">
        <v>84</v>
      </c>
      <c r="L650" s="60">
        <v>500000.0</v>
      </c>
      <c r="M650" s="60"/>
      <c r="N650" s="13" t="s">
        <v>89</v>
      </c>
      <c r="O650" s="13" t="s">
        <v>265</v>
      </c>
      <c r="P650" s="61" t="s">
        <v>1469</v>
      </c>
      <c r="Q650" s="62" t="s">
        <v>1469</v>
      </c>
    </row>
    <row r="651">
      <c r="A651" s="334">
        <v>2023.0</v>
      </c>
      <c r="B651" s="422"/>
      <c r="C651" s="334" t="str">
        <f>IFERROR(VLOOKUP(B651,'Regiões'!A:B,2,0),"")</f>
        <v/>
      </c>
      <c r="D651" s="334"/>
      <c r="E651" s="785"/>
      <c r="F651" s="420"/>
      <c r="G651" s="422" t="s">
        <v>3098</v>
      </c>
      <c r="H651" s="786">
        <v>4.1160005E7</v>
      </c>
      <c r="I651" s="334" t="s">
        <v>27</v>
      </c>
      <c r="J651" s="334" t="s">
        <v>27</v>
      </c>
      <c r="K651" s="334"/>
      <c r="L651" s="787">
        <v>500000.0</v>
      </c>
      <c r="M651" s="787"/>
      <c r="N651" s="334"/>
      <c r="O651" s="334"/>
      <c r="P651" s="347"/>
      <c r="Q651" s="788"/>
    </row>
    <row r="652">
      <c r="A652" s="334">
        <v>2023.0</v>
      </c>
      <c r="B652" s="422"/>
      <c r="C652" s="334" t="str">
        <f>IFERROR(VLOOKUP(B652,'Regiões'!A:B,2,0),"")</f>
        <v/>
      </c>
      <c r="D652" s="334"/>
      <c r="E652" s="785"/>
      <c r="F652" s="420"/>
      <c r="G652" s="422" t="s">
        <v>3099</v>
      </c>
      <c r="H652" s="786">
        <v>4.1160008E7</v>
      </c>
      <c r="I652" s="334" t="s">
        <v>27</v>
      </c>
      <c r="J652" s="334" t="s">
        <v>27</v>
      </c>
      <c r="K652" s="334"/>
      <c r="L652" s="787">
        <v>500000.0</v>
      </c>
      <c r="M652" s="787"/>
      <c r="N652" s="334"/>
      <c r="O652" s="334"/>
      <c r="P652" s="347"/>
      <c r="Q652" s="788"/>
    </row>
    <row r="653">
      <c r="A653" s="334">
        <v>2023.0</v>
      </c>
      <c r="B653" s="422" t="s">
        <v>883</v>
      </c>
      <c r="C653" s="422"/>
      <c r="D653" s="334" t="s">
        <v>3101</v>
      </c>
      <c r="E653" s="785"/>
      <c r="F653" s="420"/>
      <c r="G653" s="422" t="s">
        <v>3102</v>
      </c>
      <c r="H653" s="790"/>
      <c r="I653" s="334" t="s">
        <v>257</v>
      </c>
      <c r="J653" s="334" t="s">
        <v>257</v>
      </c>
      <c r="K653" s="334" t="s">
        <v>152</v>
      </c>
      <c r="L653" s="787">
        <v>500000.0</v>
      </c>
      <c r="M653" s="787"/>
      <c r="N653" s="334" t="s">
        <v>2639</v>
      </c>
      <c r="O653" s="334" t="s">
        <v>265</v>
      </c>
      <c r="P653" s="347"/>
      <c r="Q653" s="788" t="s">
        <v>2640</v>
      </c>
    </row>
    <row r="654">
      <c r="A654" s="11">
        <v>2024.0</v>
      </c>
      <c r="B654" s="18" t="s">
        <v>76</v>
      </c>
      <c r="C654" s="13" t="str">
        <f>IFERROR(VLOOKUP(B654,'Regiões'!A:B,2,0),"")</f>
        <v>Encosta Superior do Nordeste</v>
      </c>
      <c r="D654" s="13" t="s">
        <v>3105</v>
      </c>
      <c r="E654" s="15" t="str">
        <f t="shared" ref="E654:E656" si="30">G654&amp;" de "&amp;B654</f>
        <v>Prefeitura Municipal de Bento Gonçalves</v>
      </c>
      <c r="F654" s="17"/>
      <c r="G654" s="18" t="s">
        <v>74</v>
      </c>
      <c r="H654" s="20">
        <v>4.1160001E7</v>
      </c>
      <c r="I654" s="11" t="s">
        <v>334</v>
      </c>
      <c r="J654" s="11" t="s">
        <v>7</v>
      </c>
      <c r="K654" s="21" t="s">
        <v>84</v>
      </c>
      <c r="L654" s="22">
        <v>500000.0</v>
      </c>
      <c r="M654" s="22"/>
      <c r="N654" s="13" t="s">
        <v>89</v>
      </c>
      <c r="O654" s="21"/>
      <c r="P654" s="23"/>
      <c r="Q654" s="24"/>
    </row>
    <row r="655">
      <c r="A655" s="11">
        <v>2024.0</v>
      </c>
      <c r="B655" s="12" t="s">
        <v>119</v>
      </c>
      <c r="C655" s="13" t="str">
        <f>IFERROR(VLOOKUP(B655,'Regiões'!A:B,2,0),"")</f>
        <v>Zona Sul</v>
      </c>
      <c r="D655" s="13" t="s">
        <v>3109</v>
      </c>
      <c r="E655" s="15" t="str">
        <f t="shared" si="30"/>
        <v>Prefeitura Municipal de Pelotas</v>
      </c>
      <c r="F655" s="17"/>
      <c r="G655" s="18" t="s">
        <v>74</v>
      </c>
      <c r="H655" s="20">
        <v>4.1160001E7</v>
      </c>
      <c r="I655" s="11" t="s">
        <v>334</v>
      </c>
      <c r="J655" s="11" t="s">
        <v>7</v>
      </c>
      <c r="K655" s="21" t="s">
        <v>84</v>
      </c>
      <c r="L655" s="22">
        <v>500000.0</v>
      </c>
      <c r="M655" s="22"/>
      <c r="N655" s="13" t="s">
        <v>89</v>
      </c>
      <c r="O655" s="21"/>
      <c r="P655" s="23"/>
      <c r="Q655" s="24"/>
    </row>
    <row r="656">
      <c r="A656" s="11">
        <v>2024.0</v>
      </c>
      <c r="B656" s="12" t="s">
        <v>192</v>
      </c>
      <c r="C656" s="13" t="str">
        <f>IFERROR(VLOOKUP(B656,'Regiões'!A:B,2,0),"")</f>
        <v>Vale do Taquari</v>
      </c>
      <c r="D656" s="13" t="s">
        <v>3111</v>
      </c>
      <c r="E656" s="15" t="str">
        <f t="shared" si="30"/>
        <v>Prefeitura Municipal de Arroio do Meio</v>
      </c>
      <c r="F656" s="17"/>
      <c r="G656" s="18" t="s">
        <v>74</v>
      </c>
      <c r="H656" s="20">
        <v>4.1160005E7</v>
      </c>
      <c r="I656" s="11" t="s">
        <v>79</v>
      </c>
      <c r="J656" s="11" t="s">
        <v>79</v>
      </c>
      <c r="K656" s="21" t="s">
        <v>84</v>
      </c>
      <c r="L656" s="22">
        <v>500000.0</v>
      </c>
      <c r="M656" s="22"/>
      <c r="N656" s="13" t="s">
        <v>89</v>
      </c>
      <c r="O656" s="21"/>
      <c r="P656" s="23"/>
      <c r="Q656" s="24"/>
    </row>
    <row r="657">
      <c r="A657" s="11">
        <v>2025.0</v>
      </c>
      <c r="B657" s="18" t="s">
        <v>673</v>
      </c>
      <c r="C657" s="13" t="str">
        <f>IFERROR(VLOOKUP(B657,'Regiões'!A:B,2,0),"")</f>
        <v>Vale do Paranhana</v>
      </c>
      <c r="D657" s="13" t="s">
        <v>3112</v>
      </c>
      <c r="E657" s="15" t="s">
        <v>3113</v>
      </c>
      <c r="F657" s="17">
        <v>9.0936956000192E13</v>
      </c>
      <c r="G657" s="18" t="s">
        <v>74</v>
      </c>
      <c r="H657" s="293">
        <v>4.1160005E7</v>
      </c>
      <c r="I657" s="11" t="s">
        <v>18</v>
      </c>
      <c r="J657" s="11" t="s">
        <v>20</v>
      </c>
      <c r="K657" s="21" t="s">
        <v>152</v>
      </c>
      <c r="L657" s="298">
        <v>500000.0</v>
      </c>
      <c r="M657" s="298"/>
      <c r="N657" s="13" t="s">
        <v>89</v>
      </c>
      <c r="O657" s="21"/>
      <c r="P657" s="56" t="s">
        <v>3114</v>
      </c>
      <c r="Q657" s="24"/>
    </row>
    <row r="658">
      <c r="A658" s="11">
        <v>2025.0</v>
      </c>
      <c r="B658" s="18" t="s">
        <v>153</v>
      </c>
      <c r="C658" s="13" t="str">
        <f>IFERROR(VLOOKUP(B658,'Regiões'!A:B,2,0),"")</f>
        <v>Encosta Superior do Nordeste</v>
      </c>
      <c r="D658" s="13" t="s">
        <v>3116</v>
      </c>
      <c r="E658" s="15" t="s">
        <v>3117</v>
      </c>
      <c r="F658" s="17">
        <v>8.7277000000111E13</v>
      </c>
      <c r="G658" s="12" t="s">
        <v>3117</v>
      </c>
      <c r="H658" s="293">
        <v>4.1160004E7</v>
      </c>
      <c r="I658" s="11" t="s">
        <v>6</v>
      </c>
      <c r="J658" s="11" t="s">
        <v>7</v>
      </c>
      <c r="K658" s="21" t="s">
        <v>152</v>
      </c>
      <c r="L658" s="298">
        <v>500000.0</v>
      </c>
      <c r="M658" s="298"/>
      <c r="N658" s="13" t="s">
        <v>89</v>
      </c>
      <c r="O658" s="21"/>
      <c r="P658" s="402" t="s">
        <v>3119</v>
      </c>
      <c r="Q658" s="24"/>
    </row>
    <row r="659">
      <c r="A659" s="11">
        <v>2025.0</v>
      </c>
      <c r="B659" s="18" t="s">
        <v>311</v>
      </c>
      <c r="C659" s="13" t="str">
        <f>IFERROR(VLOOKUP(B659,'Regiões'!A:B,2,0),"")</f>
        <v>Vale do Rio Caí</v>
      </c>
      <c r="D659" s="13" t="s">
        <v>3121</v>
      </c>
      <c r="E659" s="15" t="s">
        <v>3123</v>
      </c>
      <c r="F659" s="17">
        <v>9.1693325000152E13</v>
      </c>
      <c r="G659" s="18" t="s">
        <v>74</v>
      </c>
      <c r="H659" s="293">
        <v>4.1160005E7</v>
      </c>
      <c r="I659" s="11" t="s">
        <v>18</v>
      </c>
      <c r="J659" s="11" t="s">
        <v>20</v>
      </c>
      <c r="K659" s="21" t="s">
        <v>152</v>
      </c>
      <c r="L659" s="298">
        <v>500000.0</v>
      </c>
      <c r="M659" s="298"/>
      <c r="N659" s="13" t="s">
        <v>89</v>
      </c>
      <c r="O659" s="21"/>
      <c r="P659" s="402" t="s">
        <v>3124</v>
      </c>
      <c r="Q659" s="24"/>
    </row>
    <row r="660">
      <c r="A660" s="11">
        <v>2025.0</v>
      </c>
      <c r="B660" s="18" t="s">
        <v>703</v>
      </c>
      <c r="C660" s="13" t="str">
        <f>IFERROR(VLOOKUP(B660,'Regiões'!A:B,2,0),"")</f>
        <v>Litoral Norte</v>
      </c>
      <c r="D660" s="13" t="s">
        <v>3125</v>
      </c>
      <c r="E660" s="15" t="s">
        <v>3126</v>
      </c>
      <c r="F660" s="17">
        <v>9.0256652000184E13</v>
      </c>
      <c r="G660" s="18" t="s">
        <v>74</v>
      </c>
      <c r="H660" s="293">
        <v>4.1160005E7</v>
      </c>
      <c r="I660" s="11" t="s">
        <v>18</v>
      </c>
      <c r="J660" s="11" t="s">
        <v>20</v>
      </c>
      <c r="K660" s="21" t="s">
        <v>152</v>
      </c>
      <c r="L660" s="298">
        <v>500000.0</v>
      </c>
      <c r="M660" s="298"/>
      <c r="N660" s="13" t="s">
        <v>89</v>
      </c>
      <c r="O660" s="21"/>
      <c r="P660" s="402" t="s">
        <v>3127</v>
      </c>
      <c r="Q660" s="24"/>
    </row>
    <row r="661">
      <c r="A661" s="11">
        <v>2025.0</v>
      </c>
      <c r="B661" s="18" t="s">
        <v>842</v>
      </c>
      <c r="C661" s="13" t="str">
        <f>IFERROR(VLOOKUP(B661,'Regiões'!A:B,2,0),"")</f>
        <v>Fronteira Noroeste</v>
      </c>
      <c r="D661" s="13" t="s">
        <v>3128</v>
      </c>
      <c r="E661" s="15" t="s">
        <v>3129</v>
      </c>
      <c r="F661" s="17">
        <v>8.76136590001E13</v>
      </c>
      <c r="G661" s="18" t="s">
        <v>74</v>
      </c>
      <c r="H661" s="293">
        <v>4.1160005E7</v>
      </c>
      <c r="I661" s="11" t="s">
        <v>18</v>
      </c>
      <c r="J661" s="11" t="s">
        <v>20</v>
      </c>
      <c r="K661" s="21" t="s">
        <v>152</v>
      </c>
      <c r="L661" s="298">
        <v>500000.0</v>
      </c>
      <c r="M661" s="298"/>
      <c r="N661" s="13" t="s">
        <v>89</v>
      </c>
      <c r="O661" s="21"/>
      <c r="P661" s="402" t="s">
        <v>3130</v>
      </c>
      <c r="Q661" s="24"/>
    </row>
    <row r="662">
      <c r="A662" s="11">
        <v>2025.0</v>
      </c>
      <c r="B662" s="18" t="s">
        <v>298</v>
      </c>
      <c r="C662" s="13" t="str">
        <f>IFERROR(VLOOKUP(B662,'Regiões'!A:B,2,0),"")</f>
        <v>Vale do Paranhana</v>
      </c>
      <c r="D662" s="13" t="s">
        <v>3131</v>
      </c>
      <c r="E662" s="15" t="s">
        <v>3132</v>
      </c>
      <c r="F662" s="17">
        <v>8.8199971000153E13</v>
      </c>
      <c r="G662" s="18" t="s">
        <v>74</v>
      </c>
      <c r="H662" s="293">
        <v>4.1160005E7</v>
      </c>
      <c r="I662" s="11" t="s">
        <v>18</v>
      </c>
      <c r="J662" s="11" t="s">
        <v>20</v>
      </c>
      <c r="K662" s="21" t="s">
        <v>152</v>
      </c>
      <c r="L662" s="298">
        <v>500000.0</v>
      </c>
      <c r="M662" s="298"/>
      <c r="N662" s="13" t="s">
        <v>89</v>
      </c>
      <c r="O662" s="21"/>
      <c r="P662" s="402" t="s">
        <v>3133</v>
      </c>
      <c r="Q662" s="24"/>
    </row>
    <row r="663">
      <c r="A663" s="11">
        <v>2025.0</v>
      </c>
      <c r="B663" s="18" t="s">
        <v>983</v>
      </c>
      <c r="C663" s="13" t="str">
        <f>IFERROR(VLOOKUP(B663,'Regiões'!A:B,2,0),"")</f>
        <v>Campos de cima da Serra</v>
      </c>
      <c r="D663" s="13" t="s">
        <v>3134</v>
      </c>
      <c r="E663" s="15" t="s">
        <v>3135</v>
      </c>
      <c r="F663" s="17">
        <v>8.7866745000116E13</v>
      </c>
      <c r="G663" s="18" t="s">
        <v>74</v>
      </c>
      <c r="H663" s="293">
        <v>4.1160005E7</v>
      </c>
      <c r="I663" s="11" t="s">
        <v>18</v>
      </c>
      <c r="J663" s="11" t="s">
        <v>20</v>
      </c>
      <c r="K663" s="21" t="s">
        <v>152</v>
      </c>
      <c r="L663" s="298">
        <v>500000.0</v>
      </c>
      <c r="M663" s="298"/>
      <c r="N663" s="13" t="s">
        <v>89</v>
      </c>
      <c r="O663" s="21"/>
      <c r="P663" s="402" t="s">
        <v>3136</v>
      </c>
      <c r="Q663" s="24"/>
    </row>
    <row r="664">
      <c r="A664" s="11">
        <v>2025.0</v>
      </c>
      <c r="B664" s="18" t="s">
        <v>609</v>
      </c>
      <c r="C664" s="13" t="str">
        <f>IFERROR(VLOOKUP(B664,'Regiões'!A:B,2,0),"")</f>
        <v>Vale do Taquari</v>
      </c>
      <c r="D664" s="13" t="s">
        <v>3137</v>
      </c>
      <c r="E664" s="15" t="s">
        <v>3138</v>
      </c>
      <c r="F664" s="17">
        <v>9.1154898000108E13</v>
      </c>
      <c r="G664" s="12" t="s">
        <v>3138</v>
      </c>
      <c r="H664" s="293">
        <v>4.1160004E7</v>
      </c>
      <c r="I664" s="11" t="s">
        <v>6</v>
      </c>
      <c r="J664" s="11" t="s">
        <v>7</v>
      </c>
      <c r="K664" s="21" t="s">
        <v>152</v>
      </c>
      <c r="L664" s="298">
        <v>500000.0</v>
      </c>
      <c r="M664" s="298"/>
      <c r="N664" s="13" t="s">
        <v>89</v>
      </c>
      <c r="O664" s="21"/>
      <c r="P664" s="402" t="s">
        <v>3139</v>
      </c>
      <c r="Q664" s="24"/>
    </row>
    <row r="665">
      <c r="A665" s="11">
        <v>2025.0</v>
      </c>
      <c r="B665" s="18" t="s">
        <v>180</v>
      </c>
      <c r="C665" s="13" t="str">
        <f>IFERROR(VLOOKUP(B665,'Regiões'!A:B,2,0),"")</f>
        <v>Metropolitana de Porto Alegre</v>
      </c>
      <c r="D665" s="13" t="s">
        <v>3140</v>
      </c>
      <c r="E665" s="15" t="s">
        <v>3141</v>
      </c>
      <c r="F665" s="17">
        <v>8.8577416000118E13</v>
      </c>
      <c r="G665" s="18" t="s">
        <v>74</v>
      </c>
      <c r="H665" s="293">
        <v>4.1160008E7</v>
      </c>
      <c r="I665" s="11" t="s">
        <v>25</v>
      </c>
      <c r="J665" s="11" t="s">
        <v>27</v>
      </c>
      <c r="K665" s="21" t="s">
        <v>152</v>
      </c>
      <c r="L665" s="298">
        <v>500000.0</v>
      </c>
      <c r="M665" s="298"/>
      <c r="N665" s="13" t="s">
        <v>89</v>
      </c>
      <c r="O665" s="21"/>
      <c r="P665" s="402" t="s">
        <v>3142</v>
      </c>
      <c r="Q665" s="24"/>
    </row>
    <row r="666">
      <c r="A666" s="11">
        <v>2025.0</v>
      </c>
      <c r="B666" s="18" t="s">
        <v>127</v>
      </c>
      <c r="C666" s="13" t="str">
        <f>IFERROR(VLOOKUP(B666,'Regiões'!A:B,2,0),"")</f>
        <v>Metropolitana de Porto Alegre</v>
      </c>
      <c r="D666" s="13" t="s">
        <v>3143</v>
      </c>
      <c r="E666" s="15" t="s">
        <v>3144</v>
      </c>
      <c r="F666" s="17">
        <v>8.8630413000109E13</v>
      </c>
      <c r="G666" s="12" t="s">
        <v>3144</v>
      </c>
      <c r="H666" s="72">
        <v>4.1160004E7</v>
      </c>
      <c r="I666" s="11" t="s">
        <v>6</v>
      </c>
      <c r="J666" s="11" t="s">
        <v>7</v>
      </c>
      <c r="K666" s="21" t="s">
        <v>152</v>
      </c>
      <c r="L666" s="309">
        <v>500000.0</v>
      </c>
      <c r="M666" s="309"/>
      <c r="N666" s="13" t="s">
        <v>89</v>
      </c>
      <c r="O666" s="21"/>
      <c r="P666" s="312" t="s">
        <v>3146</v>
      </c>
      <c r="Q666" s="24"/>
    </row>
    <row r="667">
      <c r="A667" s="11">
        <v>2025.0</v>
      </c>
      <c r="B667" s="18" t="s">
        <v>515</v>
      </c>
      <c r="C667" s="13" t="str">
        <f>IFERROR(VLOOKUP(B667,'Regiões'!A:B,2,0),"")</f>
        <v>Turismo da Serra</v>
      </c>
      <c r="D667" s="13" t="s">
        <v>3149</v>
      </c>
      <c r="E667" s="15" t="s">
        <v>3150</v>
      </c>
      <c r="F667" s="17">
        <v>8.8585518000185E13</v>
      </c>
      <c r="G667" s="18" t="s">
        <v>74</v>
      </c>
      <c r="H667" s="72">
        <v>4.1160008E7</v>
      </c>
      <c r="I667" s="11" t="s">
        <v>25</v>
      </c>
      <c r="J667" s="11" t="s">
        <v>27</v>
      </c>
      <c r="K667" s="21" t="s">
        <v>152</v>
      </c>
      <c r="L667" s="860">
        <v>500000.0</v>
      </c>
      <c r="M667" s="860"/>
      <c r="N667" s="13" t="s">
        <v>89</v>
      </c>
      <c r="O667" s="21"/>
      <c r="P667" s="56" t="s">
        <v>3152</v>
      </c>
      <c r="Q667" s="24"/>
    </row>
    <row r="668">
      <c r="A668" s="11">
        <v>2025.0</v>
      </c>
      <c r="B668" s="18" t="s">
        <v>116</v>
      </c>
      <c r="C668" s="13" t="str">
        <f>IFERROR(VLOOKUP(B668,'Regiões'!A:B,2,0),"")</f>
        <v>Sudoeste do Estado</v>
      </c>
      <c r="D668" s="13" t="s">
        <v>3153</v>
      </c>
      <c r="E668" s="15" t="s">
        <v>3154</v>
      </c>
      <c r="F668" s="17">
        <v>9.341233000122E12</v>
      </c>
      <c r="G668" s="15" t="s">
        <v>3154</v>
      </c>
      <c r="H668" s="72">
        <v>4.1160006E7</v>
      </c>
      <c r="I668" s="11" t="s">
        <v>278</v>
      </c>
      <c r="J668" s="11" t="s">
        <v>280</v>
      </c>
      <c r="K668" s="21" t="s">
        <v>152</v>
      </c>
      <c r="L668" s="309">
        <v>500000.0</v>
      </c>
      <c r="M668" s="309"/>
      <c r="N668" s="13" t="s">
        <v>89</v>
      </c>
      <c r="O668" s="21"/>
      <c r="P668" s="862"/>
      <c r="Q668" s="24"/>
    </row>
    <row r="669">
      <c r="A669" s="11">
        <v>2026.0</v>
      </c>
      <c r="B669" s="18" t="s">
        <v>127</v>
      </c>
      <c r="C669" s="13" t="str">
        <f>IFERROR(VLOOKUP(B669,'Regiões'!A:B,2,0),"")</f>
        <v>Metropolitana de Porto Alegre</v>
      </c>
      <c r="D669" s="13" t="s">
        <v>3155</v>
      </c>
      <c r="E669" s="18" t="s">
        <v>127</v>
      </c>
      <c r="F669" s="17">
        <v>9.296356000016E13</v>
      </c>
      <c r="G669" s="18" t="s">
        <v>3156</v>
      </c>
      <c r="H669" s="20">
        <v>4.1160012E7</v>
      </c>
      <c r="I669" s="11" t="s">
        <v>20</v>
      </c>
      <c r="J669" s="865" t="s">
        <v>20</v>
      </c>
      <c r="K669" s="21" t="s">
        <v>152</v>
      </c>
      <c r="L669" s="22">
        <v>500000.0</v>
      </c>
      <c r="M669" s="22"/>
      <c r="N669" s="11" t="s">
        <v>155</v>
      </c>
      <c r="O669" s="21"/>
      <c r="P669" s="23"/>
      <c r="Q669" s="24"/>
    </row>
    <row r="670">
      <c r="A670" s="11">
        <v>2026.0</v>
      </c>
      <c r="B670" s="18" t="s">
        <v>886</v>
      </c>
      <c r="C670" s="13" t="str">
        <f>IFERROR(VLOOKUP(B670,'Regiões'!A:B,2,0),"")</f>
        <v>Missões</v>
      </c>
      <c r="D670" s="13" t="s">
        <v>3157</v>
      </c>
      <c r="E670" s="25" t="s">
        <v>3030</v>
      </c>
      <c r="F670" s="17">
        <v>9.6210471000101E13</v>
      </c>
      <c r="G670" s="18" t="s">
        <v>2710</v>
      </c>
      <c r="H670" s="20">
        <v>4.1160003E7</v>
      </c>
      <c r="I670" s="11" t="s">
        <v>2162</v>
      </c>
      <c r="J670" s="2" t="s">
        <v>7</v>
      </c>
      <c r="K670" s="21" t="s">
        <v>152</v>
      </c>
      <c r="L670" s="22">
        <v>500000.0</v>
      </c>
      <c r="M670" s="22"/>
      <c r="N670" s="11" t="s">
        <v>155</v>
      </c>
      <c r="O670" s="21"/>
      <c r="P670" s="23"/>
      <c r="Q670" s="24"/>
    </row>
    <row r="671">
      <c r="A671" s="11">
        <v>2026.0</v>
      </c>
      <c r="B671" s="18" t="s">
        <v>982</v>
      </c>
      <c r="C671" s="13" t="str">
        <f>IFERROR(VLOOKUP(B671,'Regiões'!A:B,2,0),"")</f>
        <v>Fronteira Oeste</v>
      </c>
      <c r="D671" s="648" t="s">
        <v>3161</v>
      </c>
      <c r="E671" s="18" t="s">
        <v>982</v>
      </c>
      <c r="F671" s="17">
        <v>1.1343066000109E13</v>
      </c>
      <c r="G671" s="18" t="s">
        <v>2184</v>
      </c>
      <c r="H671" s="20">
        <v>4.1160003E7</v>
      </c>
      <c r="I671" s="11" t="s">
        <v>2162</v>
      </c>
      <c r="J671" s="2" t="s">
        <v>7</v>
      </c>
      <c r="K671" s="21" t="s">
        <v>152</v>
      </c>
      <c r="L671" s="22">
        <v>500000.0</v>
      </c>
      <c r="M671" s="22"/>
      <c r="N671" s="11" t="s">
        <v>155</v>
      </c>
      <c r="O671" s="21"/>
      <c r="P671" s="23"/>
      <c r="Q671" s="24"/>
    </row>
    <row r="672">
      <c r="A672" s="11">
        <v>2026.0</v>
      </c>
      <c r="B672" s="18" t="s">
        <v>239</v>
      </c>
      <c r="C672" s="13" t="str">
        <f>IFERROR(VLOOKUP(B672,'Regiões'!A:B,2,0),"")</f>
        <v>Metropolitana de Porto Alegre</v>
      </c>
      <c r="D672" s="13" t="s">
        <v>3164</v>
      </c>
      <c r="E672" s="18" t="s">
        <v>239</v>
      </c>
      <c r="F672" s="17">
        <v>8.825487500016E13</v>
      </c>
      <c r="G672" s="18" t="s">
        <v>3165</v>
      </c>
      <c r="H672" s="20">
        <v>4.1160008E7</v>
      </c>
      <c r="I672" s="11" t="s">
        <v>3166</v>
      </c>
      <c r="J672" s="2" t="s">
        <v>257</v>
      </c>
      <c r="K672" s="887" t="s">
        <v>2964</v>
      </c>
      <c r="L672" s="22">
        <v>500000.0</v>
      </c>
      <c r="M672" s="22" t="s">
        <v>3167</v>
      </c>
      <c r="N672" s="11" t="s">
        <v>155</v>
      </c>
      <c r="O672" s="21"/>
      <c r="P672" s="924" t="s">
        <v>3168</v>
      </c>
      <c r="Q672" s="24"/>
    </row>
    <row r="673">
      <c r="A673" s="11">
        <v>2026.0</v>
      </c>
      <c r="B673" s="18" t="s">
        <v>647</v>
      </c>
      <c r="C673" s="13" t="str">
        <f>IFERROR(VLOOKUP(B673,'Regiões'!A:B,2,0),"")</f>
        <v>Centro do Estado</v>
      </c>
      <c r="D673" s="13"/>
      <c r="E673" s="25" t="s">
        <v>3169</v>
      </c>
      <c r="F673" s="17">
        <v>8.989133700014E13</v>
      </c>
      <c r="G673" s="25" t="s">
        <v>3169</v>
      </c>
      <c r="H673" s="20">
        <v>4.1160003E7</v>
      </c>
      <c r="I673" s="11" t="s">
        <v>7</v>
      </c>
      <c r="J673" s="11" t="s">
        <v>7</v>
      </c>
      <c r="K673" s="21" t="s">
        <v>2162</v>
      </c>
      <c r="L673" s="22">
        <v>500000.0</v>
      </c>
      <c r="M673" s="22"/>
      <c r="N673" s="11" t="s">
        <v>155</v>
      </c>
      <c r="O673" s="21"/>
      <c r="P673" s="23"/>
      <c r="Q673" s="24"/>
    </row>
    <row r="674">
      <c r="A674" s="11">
        <v>2026.0</v>
      </c>
      <c r="B674" s="18" t="s">
        <v>102</v>
      </c>
      <c r="C674" s="13" t="str">
        <f>IFERROR(VLOOKUP(B674,'Regiões'!A:B,2,0),"")</f>
        <v>Vale dos Sinos</v>
      </c>
      <c r="D674" s="13"/>
      <c r="E674" s="25" t="s">
        <v>3170</v>
      </c>
      <c r="F674" s="17">
        <v>1.1437296000129E13</v>
      </c>
      <c r="G674" s="18" t="s">
        <v>3171</v>
      </c>
      <c r="H674" s="20">
        <v>7.1220002E7</v>
      </c>
      <c r="I674" s="11" t="s">
        <v>7</v>
      </c>
      <c r="J674" s="11" t="s">
        <v>7</v>
      </c>
      <c r="K674" s="21" t="s">
        <v>2557</v>
      </c>
      <c r="L674" s="22">
        <v>500000.0</v>
      </c>
      <c r="M674" s="22"/>
      <c r="N674" s="11" t="s">
        <v>2552</v>
      </c>
      <c r="O674" s="21"/>
      <c r="P674" s="23"/>
      <c r="Q674" s="24"/>
    </row>
    <row r="675">
      <c r="A675" s="11">
        <v>2026.0</v>
      </c>
      <c r="B675" s="18" t="s">
        <v>735</v>
      </c>
      <c r="C675" s="13" t="str">
        <f>IFERROR(VLOOKUP(B675,'Regiões'!A:B,2,0),"")</f>
        <v>Centro do Estado</v>
      </c>
      <c r="D675" s="13"/>
      <c r="E675" s="25" t="s">
        <v>3174</v>
      </c>
      <c r="F675" s="17">
        <v>9.102456200012E13</v>
      </c>
      <c r="G675" s="18"/>
      <c r="H675" s="20">
        <v>4.1160003E7</v>
      </c>
      <c r="I675" s="11" t="s">
        <v>7</v>
      </c>
      <c r="J675" s="11" t="s">
        <v>7</v>
      </c>
      <c r="K675" s="21" t="s">
        <v>2162</v>
      </c>
      <c r="L675" s="22">
        <v>500000.0</v>
      </c>
      <c r="M675" s="22"/>
      <c r="N675" s="11" t="s">
        <v>155</v>
      </c>
      <c r="O675" s="21"/>
      <c r="P675" s="23"/>
      <c r="Q675" s="24"/>
    </row>
    <row r="676">
      <c r="A676" s="13">
        <v>2023.0</v>
      </c>
      <c r="B676" s="79" t="s">
        <v>355</v>
      </c>
      <c r="C676" s="13" t="str">
        <f>IFERROR(VLOOKUP(B676,'Regiões'!A:B,2,0),"")</f>
        <v>Centro do Estado</v>
      </c>
      <c r="D676" s="13" t="s">
        <v>2395</v>
      </c>
      <c r="E676" s="80" t="s">
        <v>220</v>
      </c>
      <c r="F676" s="81"/>
      <c r="G676" s="79" t="s">
        <v>3177</v>
      </c>
      <c r="H676" s="82">
        <v>4.1160006E7</v>
      </c>
      <c r="I676" s="13" t="s">
        <v>2460</v>
      </c>
      <c r="J676" s="13" t="str">
        <f>LEFT(I676,FIND(" (",I676) - 1)</f>
        <v>Infraestrutura</v>
      </c>
      <c r="K676" s="13" t="s">
        <v>152</v>
      </c>
      <c r="L676" s="926">
        <v>504861.0</v>
      </c>
      <c r="M676" s="926"/>
      <c r="N676" s="13" t="s">
        <v>89</v>
      </c>
      <c r="O676" s="13" t="s">
        <v>265</v>
      </c>
      <c r="P676" s="80" t="s">
        <v>3180</v>
      </c>
      <c r="Q676" s="79"/>
    </row>
    <row r="677">
      <c r="A677" s="11">
        <v>2024.0</v>
      </c>
      <c r="B677" s="12" t="s">
        <v>165</v>
      </c>
      <c r="C677" s="13" t="str">
        <f>IFERROR(VLOOKUP(B677,'Regiões'!A:B,2,0),"")</f>
        <v>Metropolitana de Porto Alegre</v>
      </c>
      <c r="D677" s="13" t="s">
        <v>3181</v>
      </c>
      <c r="E677" s="15" t="str">
        <f>G677&amp;" de "&amp;B677</f>
        <v>Prefeitura Municipal de Esteio</v>
      </c>
      <c r="F677" s="17"/>
      <c r="G677" s="18" t="s">
        <v>74</v>
      </c>
      <c r="H677" s="20">
        <v>4.1160001E7</v>
      </c>
      <c r="I677" s="11" t="s">
        <v>334</v>
      </c>
      <c r="J677" s="11" t="s">
        <v>7</v>
      </c>
      <c r="K677" s="21" t="s">
        <v>84</v>
      </c>
      <c r="L677" s="22">
        <v>520000.0</v>
      </c>
      <c r="M677" s="22"/>
      <c r="N677" s="13" t="s">
        <v>89</v>
      </c>
      <c r="O677" s="21"/>
      <c r="P677" s="23"/>
      <c r="Q677" s="24"/>
    </row>
    <row r="678">
      <c r="A678" s="11">
        <v>2026.0</v>
      </c>
      <c r="B678" s="18" t="s">
        <v>692</v>
      </c>
      <c r="C678" s="13" t="str">
        <f>IFERROR(VLOOKUP(B678,'Regiões'!A:B,2,0),"")</f>
        <v>Nordeste Riograndense</v>
      </c>
      <c r="D678" s="13" t="s">
        <v>3182</v>
      </c>
      <c r="E678" s="18" t="s">
        <v>692</v>
      </c>
      <c r="F678" s="17">
        <v>1.170740500018E13</v>
      </c>
      <c r="G678" s="18" t="s">
        <v>3183</v>
      </c>
      <c r="H678" s="20">
        <v>4.1160003E7</v>
      </c>
      <c r="I678" s="11" t="s">
        <v>2162</v>
      </c>
      <c r="J678" s="2" t="s">
        <v>7</v>
      </c>
      <c r="K678" s="21" t="s">
        <v>152</v>
      </c>
      <c r="L678" s="22">
        <v>520000.0</v>
      </c>
      <c r="M678" s="22"/>
      <c r="N678" s="11" t="s">
        <v>155</v>
      </c>
      <c r="O678" s="21"/>
      <c r="P678" s="23"/>
      <c r="Q678" s="24"/>
    </row>
    <row r="679">
      <c r="A679" s="13">
        <v>2023.0</v>
      </c>
      <c r="B679" s="55" t="s">
        <v>71</v>
      </c>
      <c r="C679" s="13" t="str">
        <f>IFERROR(VLOOKUP(B679,'Regiões'!A:B,2,0),"")</f>
        <v>Fronteira Oeste</v>
      </c>
      <c r="D679" s="13" t="s">
        <v>3186</v>
      </c>
      <c r="E679" s="56" t="s">
        <v>485</v>
      </c>
      <c r="F679" s="358"/>
      <c r="G679" s="55" t="s">
        <v>3187</v>
      </c>
      <c r="H679" s="59"/>
      <c r="I679" s="13" t="s">
        <v>1307</v>
      </c>
      <c r="J679" s="13" t="str">
        <f t="shared" ref="J679:J680" si="31">LEFT(I679,FIND(" (",I679) - 1)</f>
        <v>Saúde</v>
      </c>
      <c r="K679" s="13" t="s">
        <v>152</v>
      </c>
      <c r="L679" s="393">
        <v>540000.0</v>
      </c>
      <c r="M679" s="393"/>
      <c r="N679" s="13" t="s">
        <v>89</v>
      </c>
      <c r="O679" s="13" t="s">
        <v>265</v>
      </c>
      <c r="P679" s="61" t="s">
        <v>3188</v>
      </c>
      <c r="Q679" s="62" t="s">
        <v>3189</v>
      </c>
    </row>
    <row r="680">
      <c r="A680" s="13">
        <v>2023.0</v>
      </c>
      <c r="B680" s="79" t="s">
        <v>102</v>
      </c>
      <c r="C680" s="13" t="str">
        <f>IFERROR(VLOOKUP(B680,'Regiões'!A:B,2,0),"")</f>
        <v>Vale dos Sinos</v>
      </c>
      <c r="D680" s="13" t="s">
        <v>3191</v>
      </c>
      <c r="E680" s="80" t="s">
        <v>220</v>
      </c>
      <c r="F680" s="81"/>
      <c r="G680" s="79" t="s">
        <v>1151</v>
      </c>
      <c r="H680" s="82"/>
      <c r="I680" s="13" t="s">
        <v>958</v>
      </c>
      <c r="J680" s="13" t="str">
        <f t="shared" si="31"/>
        <v>Segurança Pública</v>
      </c>
      <c r="K680" s="13" t="s">
        <v>152</v>
      </c>
      <c r="L680" s="83">
        <v>540000.0</v>
      </c>
      <c r="M680" s="83"/>
      <c r="N680" s="13" t="s">
        <v>89</v>
      </c>
      <c r="O680" s="13" t="s">
        <v>110</v>
      </c>
      <c r="P680" s="80" t="s">
        <v>3192</v>
      </c>
      <c r="Q680" s="79"/>
    </row>
    <row r="681">
      <c r="A681" s="11">
        <v>2025.0</v>
      </c>
      <c r="B681" s="18" t="s">
        <v>888</v>
      </c>
      <c r="C681" s="13" t="str">
        <f>IFERROR(VLOOKUP(B681,'Regiões'!A:B,2,0),"")</f>
        <v>Metropolitana de Porto Alegre</v>
      </c>
      <c r="D681" s="13" t="s">
        <v>3193</v>
      </c>
      <c r="E681" s="15" t="s">
        <v>3194</v>
      </c>
      <c r="F681" s="17">
        <v>8.8814199000132E13</v>
      </c>
      <c r="G681" s="18" t="s">
        <v>74</v>
      </c>
      <c r="H681" s="72">
        <v>4.1160005E7</v>
      </c>
      <c r="I681" s="11" t="s">
        <v>18</v>
      </c>
      <c r="J681" s="11" t="s">
        <v>20</v>
      </c>
      <c r="K681" s="21" t="s">
        <v>152</v>
      </c>
      <c r="L681" s="309">
        <v>547160.0</v>
      </c>
      <c r="M681" s="309"/>
      <c r="N681" s="13" t="s">
        <v>89</v>
      </c>
      <c r="O681" s="21"/>
      <c r="P681" s="56" t="s">
        <v>3195</v>
      </c>
      <c r="Q681" s="24"/>
    </row>
    <row r="682">
      <c r="A682" s="11">
        <v>2026.0</v>
      </c>
      <c r="B682" s="18" t="s">
        <v>119</v>
      </c>
      <c r="C682" s="13" t="str">
        <f>IFERROR(VLOOKUP(B682,'Regiões'!A:B,2,0),"")</f>
        <v>Zona Sul</v>
      </c>
      <c r="D682" s="13" t="s">
        <v>3196</v>
      </c>
      <c r="E682" s="25" t="s">
        <v>2680</v>
      </c>
      <c r="F682" s="17">
        <v>1.5126437000143E13</v>
      </c>
      <c r="G682" s="18" t="s">
        <v>2701</v>
      </c>
      <c r="H682" s="20">
        <v>4.1160003E7</v>
      </c>
      <c r="I682" s="11" t="s">
        <v>2162</v>
      </c>
      <c r="J682" s="2" t="s">
        <v>7</v>
      </c>
      <c r="K682" s="21" t="s">
        <v>152</v>
      </c>
      <c r="L682" s="22">
        <v>548000.0</v>
      </c>
      <c r="M682" s="22"/>
      <c r="N682" s="11" t="s">
        <v>155</v>
      </c>
      <c r="O682" s="21"/>
      <c r="P682" s="23"/>
      <c r="Q682" s="24"/>
    </row>
    <row r="683">
      <c r="A683" s="13">
        <v>2023.0</v>
      </c>
      <c r="B683" s="79" t="s">
        <v>651</v>
      </c>
      <c r="C683" s="13" t="str">
        <f>IFERROR(VLOOKUP(B683,'Regiões'!A:B,2,0),"")</f>
        <v>Encosta Superior do Nordeste</v>
      </c>
      <c r="D683" s="13" t="s">
        <v>1620</v>
      </c>
      <c r="E683" s="80" t="s">
        <v>220</v>
      </c>
      <c r="F683" s="81"/>
      <c r="G683" s="79" t="s">
        <v>3199</v>
      </c>
      <c r="H683" s="82"/>
      <c r="I683" s="13" t="s">
        <v>2460</v>
      </c>
      <c r="J683" s="13" t="str">
        <f t="shared" ref="J683:J684" si="32">LEFT(I683,FIND(" (",I683) - 1)</f>
        <v>Infraestrutura</v>
      </c>
      <c r="K683" s="13" t="s">
        <v>152</v>
      </c>
      <c r="L683" s="83">
        <v>566314.0</v>
      </c>
      <c r="M683" s="83"/>
      <c r="N683" s="13" t="s">
        <v>89</v>
      </c>
      <c r="O683" s="13" t="s">
        <v>265</v>
      </c>
      <c r="P683" s="772"/>
      <c r="Q683" s="79"/>
    </row>
    <row r="684">
      <c r="A684" s="13">
        <v>2023.0</v>
      </c>
      <c r="B684" s="79" t="s">
        <v>188</v>
      </c>
      <c r="C684" s="13" t="str">
        <f>IFERROR(VLOOKUP(B684,'Regiões'!A:B,2,0),"")</f>
        <v>Metropolitana de Porto Alegre</v>
      </c>
      <c r="D684" s="13" t="s">
        <v>2304</v>
      </c>
      <c r="E684" s="80" t="s">
        <v>220</v>
      </c>
      <c r="F684" s="81"/>
      <c r="G684" s="79" t="s">
        <v>3200</v>
      </c>
      <c r="H684" s="82"/>
      <c r="I684" s="13" t="s">
        <v>1307</v>
      </c>
      <c r="J684" s="13" t="str">
        <f t="shared" si="32"/>
        <v>Saúde</v>
      </c>
      <c r="K684" s="13" t="s">
        <v>152</v>
      </c>
      <c r="L684" s="83">
        <v>569226.0</v>
      </c>
      <c r="M684" s="83"/>
      <c r="N684" s="13" t="s">
        <v>89</v>
      </c>
      <c r="O684" s="13" t="s">
        <v>110</v>
      </c>
      <c r="P684" s="80" t="s">
        <v>217</v>
      </c>
      <c r="Q684" s="79" t="s">
        <v>3201</v>
      </c>
    </row>
    <row r="685">
      <c r="A685" s="29">
        <v>2022.0</v>
      </c>
      <c r="B685" s="29" t="s">
        <v>127</v>
      </c>
      <c r="C685" s="13" t="str">
        <f>IFERROR(VLOOKUP(B685,'Regiões'!A:B,2,0),"")</f>
        <v>Metropolitana de Porto Alegre</v>
      </c>
      <c r="D685" s="29" t="s">
        <v>3202</v>
      </c>
      <c r="E685" s="32"/>
      <c r="F685" s="243"/>
      <c r="G685" s="245" t="s">
        <v>1236</v>
      </c>
      <c r="H685" s="35">
        <v>4.1160003E7</v>
      </c>
      <c r="I685" s="29" t="s">
        <v>1087</v>
      </c>
      <c r="J685" s="29" t="s">
        <v>7</v>
      </c>
      <c r="K685" s="29" t="s">
        <v>152</v>
      </c>
      <c r="L685" s="38">
        <v>569347.0</v>
      </c>
      <c r="M685" s="38"/>
      <c r="N685" s="29" t="s">
        <v>200</v>
      </c>
      <c r="O685" s="29" t="s">
        <v>3203</v>
      </c>
      <c r="P685" s="39"/>
      <c r="Q685" s="40"/>
    </row>
    <row r="686">
      <c r="A686" s="29">
        <v>2021.0</v>
      </c>
      <c r="B686" s="40" t="s">
        <v>198</v>
      </c>
      <c r="C686" s="13" t="str">
        <f>IFERROR(VLOOKUP(B686,'Regiões'!A:B,2,0),"")</f>
        <v>Vale dos Sinos</v>
      </c>
      <c r="D686" s="29" t="s">
        <v>3206</v>
      </c>
      <c r="E686" s="32" t="s">
        <v>485</v>
      </c>
      <c r="F686" s="249"/>
      <c r="G686" s="40" t="s">
        <v>1613</v>
      </c>
      <c r="H686" s="35">
        <v>4.1160002E7</v>
      </c>
      <c r="I686" s="29" t="s">
        <v>1087</v>
      </c>
      <c r="J686" s="29" t="s">
        <v>7</v>
      </c>
      <c r="K686" s="29" t="s">
        <v>152</v>
      </c>
      <c r="L686" s="37">
        <v>570714.02</v>
      </c>
      <c r="M686" s="37"/>
      <c r="N686" s="29" t="s">
        <v>1062</v>
      </c>
      <c r="O686" s="29" t="s">
        <v>3207</v>
      </c>
      <c r="P686" s="44" t="s">
        <v>1615</v>
      </c>
      <c r="Q686" s="40"/>
    </row>
    <row r="687">
      <c r="A687" s="13">
        <v>2023.0</v>
      </c>
      <c r="B687" s="55" t="s">
        <v>76</v>
      </c>
      <c r="C687" s="13" t="str">
        <f>IFERROR(VLOOKUP(B687,'Regiões'!A:B,2,0),"")</f>
        <v>Encosta Superior do Nordeste</v>
      </c>
      <c r="D687" s="13" t="s">
        <v>3209</v>
      </c>
      <c r="E687" s="56" t="s">
        <v>485</v>
      </c>
      <c r="F687" s="358"/>
      <c r="G687" s="55" t="s">
        <v>3210</v>
      </c>
      <c r="H687" s="59"/>
      <c r="I687" s="13" t="s">
        <v>1307</v>
      </c>
      <c r="J687" s="13" t="str">
        <f>LEFT(I687,FIND(" (",I687) - 1)</f>
        <v>Saúde</v>
      </c>
      <c r="K687" s="13" t="s">
        <v>152</v>
      </c>
      <c r="L687" s="393">
        <v>571380.0</v>
      </c>
      <c r="M687" s="393"/>
      <c r="N687" s="13" t="s">
        <v>89</v>
      </c>
      <c r="O687" s="13" t="s">
        <v>265</v>
      </c>
      <c r="P687" s="61" t="s">
        <v>3211</v>
      </c>
      <c r="Q687" s="62"/>
    </row>
    <row r="688">
      <c r="A688" s="11">
        <v>2024.0</v>
      </c>
      <c r="B688" s="12" t="s">
        <v>470</v>
      </c>
      <c r="C688" s="13" t="str">
        <f>IFERROR(VLOOKUP(B688,'Regiões'!A:B,2,0),"")</f>
        <v>Nordeste Riograndense</v>
      </c>
      <c r="D688" s="13" t="s">
        <v>3212</v>
      </c>
      <c r="E688" s="15" t="str">
        <f>G688&amp;" de "&amp;B688</f>
        <v>Prefeitura Municipal de Lagoa Vermelha</v>
      </c>
      <c r="F688" s="17"/>
      <c r="G688" s="18" t="s">
        <v>74</v>
      </c>
      <c r="H688" s="20">
        <v>4.1160005E7</v>
      </c>
      <c r="I688" s="11" t="s">
        <v>20</v>
      </c>
      <c r="J688" s="11" t="s">
        <v>20</v>
      </c>
      <c r="K688" s="21" t="s">
        <v>152</v>
      </c>
      <c r="L688" s="22">
        <v>578003.0</v>
      </c>
      <c r="M688" s="22"/>
      <c r="N688" s="13" t="s">
        <v>89</v>
      </c>
      <c r="O688" s="21"/>
      <c r="P688" s="23"/>
      <c r="Q688" s="24"/>
    </row>
    <row r="689">
      <c r="A689" s="13">
        <v>2023.0</v>
      </c>
      <c r="B689" s="79" t="s">
        <v>310</v>
      </c>
      <c r="C689" s="13" t="str">
        <f>IFERROR(VLOOKUP(B689,'Regiões'!A:B,2,0),"")</f>
        <v>Vale dos Sinos</v>
      </c>
      <c r="D689" s="13" t="s">
        <v>997</v>
      </c>
      <c r="E689" s="80" t="s">
        <v>220</v>
      </c>
      <c r="F689" s="81"/>
      <c r="G689" s="79" t="s">
        <v>3213</v>
      </c>
      <c r="H689" s="82"/>
      <c r="I689" s="13" t="s">
        <v>2460</v>
      </c>
      <c r="J689" s="13" t="str">
        <f>LEFT(I689,FIND(" (",I689) - 1)</f>
        <v>Infraestrutura</v>
      </c>
      <c r="K689" s="13" t="s">
        <v>152</v>
      </c>
      <c r="L689" s="83">
        <v>582816.77</v>
      </c>
      <c r="M689" s="83"/>
      <c r="N689" s="13" t="s">
        <v>89</v>
      </c>
      <c r="O689" s="13" t="s">
        <v>265</v>
      </c>
      <c r="P689" s="80" t="s">
        <v>3215</v>
      </c>
      <c r="Q689" s="79"/>
    </row>
    <row r="690">
      <c r="A690" s="11">
        <v>2024.0</v>
      </c>
      <c r="B690" s="12" t="s">
        <v>239</v>
      </c>
      <c r="C690" s="13" t="str">
        <f>IFERROR(VLOOKUP(B690,'Regiões'!A:B,2,0),"")</f>
        <v>Metropolitana de Porto Alegre</v>
      </c>
      <c r="D690" s="13" t="s">
        <v>3164</v>
      </c>
      <c r="E690" s="15" t="str">
        <f t="shared" ref="E690:E691" si="33">G690&amp;" de "&amp;B690</f>
        <v>Prefeitura Municipal de Novo Hamburgo</v>
      </c>
      <c r="F690" s="17"/>
      <c r="G690" s="18" t="s">
        <v>74</v>
      </c>
      <c r="H690" s="20">
        <v>4.1160004E7</v>
      </c>
      <c r="I690" s="11" t="s">
        <v>1048</v>
      </c>
      <c r="J690" s="11" t="s">
        <v>7</v>
      </c>
      <c r="K690" s="21" t="s">
        <v>152</v>
      </c>
      <c r="L690" s="22">
        <v>599790.0</v>
      </c>
      <c r="M690" s="22"/>
      <c r="N690" s="13" t="s">
        <v>89</v>
      </c>
      <c r="O690" s="21"/>
      <c r="P690" s="23"/>
      <c r="Q690" s="24"/>
    </row>
    <row r="691">
      <c r="A691" s="11">
        <v>2024.0</v>
      </c>
      <c r="B691" s="12" t="s">
        <v>338</v>
      </c>
      <c r="C691" s="13" t="str">
        <f>IFERROR(VLOOKUP(B691,'Regiões'!A:B,2,0),"")</f>
        <v>Vale do Rio Caí</v>
      </c>
      <c r="D691" s="13" t="s">
        <v>3217</v>
      </c>
      <c r="E691" s="15" t="str">
        <f t="shared" si="33"/>
        <v>Prefeitura Municipal de Montenegro</v>
      </c>
      <c r="F691" s="17"/>
      <c r="G691" s="18" t="s">
        <v>74</v>
      </c>
      <c r="H691" s="20">
        <v>4.1160001E7</v>
      </c>
      <c r="I691" s="11" t="s">
        <v>334</v>
      </c>
      <c r="J691" s="11" t="s">
        <v>7</v>
      </c>
      <c r="K691" s="21" t="s">
        <v>84</v>
      </c>
      <c r="L691" s="22">
        <v>600000.0</v>
      </c>
      <c r="M691" s="22"/>
      <c r="N691" s="13" t="s">
        <v>89</v>
      </c>
      <c r="O691" s="21"/>
      <c r="P691" s="23"/>
      <c r="Q691" s="24"/>
    </row>
    <row r="692">
      <c r="A692" s="334">
        <v>2022.0</v>
      </c>
      <c r="B692" s="334" t="s">
        <v>180</v>
      </c>
      <c r="C692" s="334" t="str">
        <f>IFERROR(VLOOKUP(B692,'Regiões'!A:B,2,0),"")</f>
        <v>Metropolitana de Porto Alegre</v>
      </c>
      <c r="D692" s="334" t="s">
        <v>3218</v>
      </c>
      <c r="E692" s="337" t="s">
        <v>14</v>
      </c>
      <c r="F692" s="420"/>
      <c r="G692" s="422" t="s">
        <v>1226</v>
      </c>
      <c r="H692" s="343">
        <v>4.1160003E7</v>
      </c>
      <c r="I692" s="334" t="s">
        <v>1087</v>
      </c>
      <c r="J692" s="334" t="s">
        <v>7</v>
      </c>
      <c r="K692" s="334" t="s">
        <v>152</v>
      </c>
      <c r="L692" s="345">
        <v>610000.0</v>
      </c>
      <c r="M692" s="345"/>
      <c r="N692" s="334" t="s">
        <v>200</v>
      </c>
      <c r="O692" s="334" t="s">
        <v>110</v>
      </c>
      <c r="P692" s="347"/>
      <c r="Q692" s="348"/>
    </row>
    <row r="693">
      <c r="A693" s="13">
        <v>2023.0</v>
      </c>
      <c r="B693" s="55" t="s">
        <v>127</v>
      </c>
      <c r="C693" s="13" t="str">
        <f>IFERROR(VLOOKUP(B693,'Regiões'!A:B,2,0),"")</f>
        <v>Metropolitana de Porto Alegre</v>
      </c>
      <c r="D693" s="13" t="s">
        <v>3221</v>
      </c>
      <c r="E693" s="56" t="s">
        <v>485</v>
      </c>
      <c r="F693" s="358"/>
      <c r="G693" s="55" t="s">
        <v>3222</v>
      </c>
      <c r="H693" s="59"/>
      <c r="I693" s="13" t="s">
        <v>1307</v>
      </c>
      <c r="J693" s="13" t="str">
        <f t="shared" ref="J693:J695" si="34">LEFT(I693,FIND(" (",I693) - 1)</f>
        <v>Saúde</v>
      </c>
      <c r="K693" s="13" t="s">
        <v>152</v>
      </c>
      <c r="L693" s="393">
        <v>611805.0</v>
      </c>
      <c r="M693" s="393"/>
      <c r="N693" s="13" t="s">
        <v>89</v>
      </c>
      <c r="O693" s="13" t="s">
        <v>265</v>
      </c>
      <c r="P693" s="61" t="s">
        <v>3223</v>
      </c>
      <c r="Q693" s="62"/>
    </row>
    <row r="694">
      <c r="A694" s="13">
        <v>2023.0</v>
      </c>
      <c r="B694" s="79" t="s">
        <v>192</v>
      </c>
      <c r="C694" s="13" t="str">
        <f>IFERROR(VLOOKUP(B694,'Regiões'!A:B,2,0),"")</f>
        <v>Vale do Taquari</v>
      </c>
      <c r="D694" s="13" t="s">
        <v>1106</v>
      </c>
      <c r="E694" s="80" t="s">
        <v>220</v>
      </c>
      <c r="F694" s="81"/>
      <c r="G694" s="79" t="s">
        <v>3224</v>
      </c>
      <c r="H694" s="82"/>
      <c r="I694" s="13" t="s">
        <v>2460</v>
      </c>
      <c r="J694" s="13" t="str">
        <f t="shared" si="34"/>
        <v>Infraestrutura</v>
      </c>
      <c r="K694" s="13" t="s">
        <v>152</v>
      </c>
      <c r="L694" s="83">
        <v>617183.23</v>
      </c>
      <c r="M694" s="83"/>
      <c r="N694" s="13" t="s">
        <v>89</v>
      </c>
      <c r="O694" s="13" t="s">
        <v>265</v>
      </c>
      <c r="P694" s="80" t="s">
        <v>3225</v>
      </c>
      <c r="Q694" s="79"/>
    </row>
    <row r="695">
      <c r="A695" s="13">
        <v>2024.0</v>
      </c>
      <c r="B695" s="79" t="s">
        <v>112</v>
      </c>
      <c r="C695" s="13" t="str">
        <f>IFERROR(VLOOKUP(B695,'Regiões'!A:B,2,0),"")</f>
        <v>Encosta Superior do Nordeste</v>
      </c>
      <c r="D695" s="13" t="s">
        <v>2457</v>
      </c>
      <c r="E695" s="80" t="s">
        <v>485</v>
      </c>
      <c r="F695" s="81"/>
      <c r="G695" s="79" t="s">
        <v>3226</v>
      </c>
      <c r="H695" s="82"/>
      <c r="I695" s="13" t="s">
        <v>1307</v>
      </c>
      <c r="J695" s="13" t="str">
        <f t="shared" si="34"/>
        <v>Saúde</v>
      </c>
      <c r="K695" s="13" t="s">
        <v>152</v>
      </c>
      <c r="L695" s="928">
        <v>630000.0</v>
      </c>
      <c r="M695" s="928"/>
      <c r="N695" s="13" t="s">
        <v>89</v>
      </c>
      <c r="O695" s="13" t="s">
        <v>1082</v>
      </c>
      <c r="P695" s="80" t="s">
        <v>3229</v>
      </c>
      <c r="Q695" s="79"/>
    </row>
    <row r="696">
      <c r="A696" s="11">
        <v>2025.0</v>
      </c>
      <c r="B696" s="18" t="s">
        <v>703</v>
      </c>
      <c r="C696" s="13" t="str">
        <f>IFERROR(VLOOKUP(B696,'Regiões'!A:B,2,0),"")</f>
        <v>Litoral Norte</v>
      </c>
      <c r="D696" s="13" t="s">
        <v>3231</v>
      </c>
      <c r="E696" s="15" t="s">
        <v>3232</v>
      </c>
      <c r="F696" s="17">
        <v>1.2908765000103E13</v>
      </c>
      <c r="G696" s="18" t="s">
        <v>74</v>
      </c>
      <c r="H696" s="293">
        <v>4.1160004E7</v>
      </c>
      <c r="I696" s="11" t="s">
        <v>6</v>
      </c>
      <c r="J696" s="11" t="s">
        <v>7</v>
      </c>
      <c r="K696" s="21" t="s">
        <v>152</v>
      </c>
      <c r="L696" s="298">
        <v>637334.0</v>
      </c>
      <c r="M696" s="298"/>
      <c r="N696" s="13" t="s">
        <v>89</v>
      </c>
      <c r="O696" s="21"/>
      <c r="P696" s="402" t="s">
        <v>3233</v>
      </c>
      <c r="Q696" s="24"/>
    </row>
    <row r="697">
      <c r="A697" s="334">
        <v>2022.0</v>
      </c>
      <c r="B697" s="334" t="s">
        <v>333</v>
      </c>
      <c r="C697" s="334" t="str">
        <f>IFERROR(VLOOKUP(B697,'Regiões'!A:B,2,0),"")</f>
        <v>Vale dos Sinos</v>
      </c>
      <c r="D697" s="334" t="s">
        <v>3234</v>
      </c>
      <c r="E697" s="337"/>
      <c r="F697" s="420"/>
      <c r="G697" s="422" t="s">
        <v>1226</v>
      </c>
      <c r="H697" s="343">
        <v>4.1160003E7</v>
      </c>
      <c r="I697" s="334" t="s">
        <v>1087</v>
      </c>
      <c r="J697" s="334" t="s">
        <v>7</v>
      </c>
      <c r="K697" s="334" t="s">
        <v>152</v>
      </c>
      <c r="L697" s="345">
        <v>650000.0</v>
      </c>
      <c r="M697" s="345"/>
      <c r="N697" s="334" t="s">
        <v>200</v>
      </c>
      <c r="O697" s="334" t="s">
        <v>110</v>
      </c>
      <c r="P697" s="347"/>
      <c r="Q697" s="348"/>
    </row>
    <row r="698">
      <c r="A698" s="11">
        <v>2025.0</v>
      </c>
      <c r="B698" s="18" t="s">
        <v>127</v>
      </c>
      <c r="C698" s="13" t="str">
        <f>IFERROR(VLOOKUP(B698,'Regiões'!A:B,2,0),"")</f>
        <v>Metropolitana de Porto Alegre</v>
      </c>
      <c r="D698" s="13" t="s">
        <v>3235</v>
      </c>
      <c r="E698" s="15" t="s">
        <v>3236</v>
      </c>
      <c r="F698" s="17">
        <v>8.702051700012E13</v>
      </c>
      <c r="G698" s="12" t="s">
        <v>3236</v>
      </c>
      <c r="H698" s="293">
        <v>4.1160004E7</v>
      </c>
      <c r="I698" s="11" t="s">
        <v>6</v>
      </c>
      <c r="J698" s="11" t="s">
        <v>7</v>
      </c>
      <c r="K698" s="21" t="s">
        <v>152</v>
      </c>
      <c r="L698" s="298">
        <v>650000.0</v>
      </c>
      <c r="M698" s="298"/>
      <c r="N698" s="13" t="s">
        <v>89</v>
      </c>
      <c r="O698" s="21"/>
      <c r="P698" s="402" t="s">
        <v>3237</v>
      </c>
      <c r="Q698" s="24"/>
    </row>
    <row r="699">
      <c r="A699" s="11">
        <v>2025.0</v>
      </c>
      <c r="B699" s="18" t="s">
        <v>821</v>
      </c>
      <c r="C699" s="13" t="str">
        <f>IFERROR(VLOOKUP(B699,'Regiões'!A:B,2,0),"")</f>
        <v>Planalto</v>
      </c>
      <c r="D699" s="13" t="s">
        <v>3239</v>
      </c>
      <c r="E699" s="15" t="s">
        <v>3240</v>
      </c>
      <c r="F699" s="17">
        <v>8.761253700019E13</v>
      </c>
      <c r="G699" s="18" t="s">
        <v>74</v>
      </c>
      <c r="H699" s="72">
        <v>4.1160008E7</v>
      </c>
      <c r="I699" s="11" t="s">
        <v>25</v>
      </c>
      <c r="J699" s="11" t="s">
        <v>27</v>
      </c>
      <c r="K699" s="21" t="s">
        <v>152</v>
      </c>
      <c r="L699" s="860">
        <v>655000.0</v>
      </c>
      <c r="M699" s="860"/>
      <c r="N699" s="13" t="s">
        <v>89</v>
      </c>
      <c r="O699" s="21"/>
      <c r="P699" s="312" t="s">
        <v>3241</v>
      </c>
      <c r="Q699" s="24"/>
    </row>
    <row r="700">
      <c r="A700" s="11">
        <v>2026.0</v>
      </c>
      <c r="B700" s="18" t="s">
        <v>953</v>
      </c>
      <c r="C700" s="13" t="str">
        <f>IFERROR(VLOOKUP(B700,'Regiões'!A:B,2,0),"")</f>
        <v>Vale do Taquari</v>
      </c>
      <c r="D700" s="13"/>
      <c r="E700" s="25" t="s">
        <v>2821</v>
      </c>
      <c r="F700" s="17">
        <v>8.9781173000106E13</v>
      </c>
      <c r="G700" s="18" t="s">
        <v>2180</v>
      </c>
      <c r="H700" s="20">
        <v>4.1160003E7</v>
      </c>
      <c r="I700" s="11" t="s">
        <v>2162</v>
      </c>
      <c r="J700" s="2" t="s">
        <v>7</v>
      </c>
      <c r="K700" s="21" t="s">
        <v>152</v>
      </c>
      <c r="L700" s="22">
        <v>663093.0</v>
      </c>
      <c r="M700" s="22"/>
      <c r="N700" s="11" t="s">
        <v>155</v>
      </c>
      <c r="O700" s="21"/>
      <c r="P700" s="23"/>
      <c r="Q700" s="24"/>
    </row>
    <row r="701">
      <c r="A701" s="13">
        <v>2023.0</v>
      </c>
      <c r="B701" s="55" t="s">
        <v>821</v>
      </c>
      <c r="C701" s="13" t="str">
        <f>IFERROR(VLOOKUP(B701,'Regiões'!A:B,2,0),"")</f>
        <v>Planalto</v>
      </c>
      <c r="D701" s="13" t="s">
        <v>1855</v>
      </c>
      <c r="E701" s="56" t="s">
        <v>485</v>
      </c>
      <c r="F701" s="358"/>
      <c r="G701" s="55" t="s">
        <v>3242</v>
      </c>
      <c r="H701" s="59"/>
      <c r="I701" s="13" t="s">
        <v>1307</v>
      </c>
      <c r="J701" s="13" t="str">
        <f>LEFT(I701,FIND(" (",I701) - 1)</f>
        <v>Saúde</v>
      </c>
      <c r="K701" s="13" t="s">
        <v>152</v>
      </c>
      <c r="L701" s="393">
        <v>690000.0</v>
      </c>
      <c r="M701" s="393"/>
      <c r="N701" s="13" t="s">
        <v>89</v>
      </c>
      <c r="O701" s="13" t="s">
        <v>110</v>
      </c>
      <c r="P701" s="61" t="s">
        <v>3243</v>
      </c>
      <c r="Q701" s="62"/>
    </row>
    <row r="702">
      <c r="A702" s="334">
        <v>2021.0</v>
      </c>
      <c r="B702" s="334" t="s">
        <v>1047</v>
      </c>
      <c r="C702" s="334" t="str">
        <f>IFERROR(VLOOKUP(B702,'Regiões'!A:B,2,0),"")</f>
        <v/>
      </c>
      <c r="D702" s="334" t="s">
        <v>3245</v>
      </c>
      <c r="E702" s="347" t="s">
        <v>139</v>
      </c>
      <c r="F702" s="341"/>
      <c r="G702" s="334" t="s">
        <v>139</v>
      </c>
      <c r="H702" s="343">
        <v>7.1220009E7</v>
      </c>
      <c r="I702" s="334" t="s">
        <v>27</v>
      </c>
      <c r="J702" s="334" t="s">
        <v>27</v>
      </c>
      <c r="K702" s="334" t="s">
        <v>152</v>
      </c>
      <c r="L702" s="345">
        <v>700000.0</v>
      </c>
      <c r="M702" s="345"/>
      <c r="N702" s="334" t="s">
        <v>389</v>
      </c>
      <c r="O702" s="334" t="s">
        <v>1082</v>
      </c>
      <c r="P702" s="347" t="s">
        <v>1053</v>
      </c>
      <c r="Q702" s="348"/>
    </row>
    <row r="703">
      <c r="A703" s="11">
        <v>2025.0</v>
      </c>
      <c r="B703" s="18" t="s">
        <v>76</v>
      </c>
      <c r="C703" s="13" t="str">
        <f>IFERROR(VLOOKUP(B703,'Regiões'!A:B,2,0),"")</f>
        <v>Encosta Superior do Nordeste</v>
      </c>
      <c r="D703" s="13" t="s">
        <v>3247</v>
      </c>
      <c r="E703" s="15" t="s">
        <v>3248</v>
      </c>
      <c r="F703" s="17">
        <v>8.754744400012E13</v>
      </c>
      <c r="G703" s="12" t="s">
        <v>3248</v>
      </c>
      <c r="H703" s="72">
        <v>4.1160004E7</v>
      </c>
      <c r="I703" s="11" t="s">
        <v>6</v>
      </c>
      <c r="J703" s="11" t="s">
        <v>7</v>
      </c>
      <c r="K703" s="21" t="s">
        <v>152</v>
      </c>
      <c r="L703" s="309">
        <v>708199.0</v>
      </c>
      <c r="M703" s="309"/>
      <c r="N703" s="13" t="s">
        <v>89</v>
      </c>
      <c r="O703" s="21"/>
      <c r="P703" s="312" t="s">
        <v>3249</v>
      </c>
      <c r="Q703" s="24"/>
    </row>
    <row r="704">
      <c r="A704" s="11">
        <v>2025.0</v>
      </c>
      <c r="B704" s="18" t="s">
        <v>76</v>
      </c>
      <c r="C704" s="13" t="str">
        <f>IFERROR(VLOOKUP(B704,'Regiões'!A:B,2,0),"")</f>
        <v>Encosta Superior do Nordeste</v>
      </c>
      <c r="D704" s="13" t="s">
        <v>3251</v>
      </c>
      <c r="E704" s="15" t="s">
        <v>3248</v>
      </c>
      <c r="F704" s="17">
        <v>8.754744400012E13</v>
      </c>
      <c r="G704" s="12" t="s">
        <v>3248</v>
      </c>
      <c r="H704" s="72">
        <v>4.1160002E7</v>
      </c>
      <c r="I704" s="11" t="s">
        <v>332</v>
      </c>
      <c r="J704" s="11" t="s">
        <v>7</v>
      </c>
      <c r="K704" s="21" t="s">
        <v>152</v>
      </c>
      <c r="L704" s="73">
        <v>708199.0</v>
      </c>
      <c r="M704" s="73"/>
      <c r="N704" s="13" t="s">
        <v>89</v>
      </c>
      <c r="O704" s="21"/>
      <c r="P704" s="61" t="s">
        <v>1426</v>
      </c>
      <c r="Q704" s="24"/>
    </row>
    <row r="705">
      <c r="A705" s="29">
        <v>2022.0</v>
      </c>
      <c r="B705" s="29" t="s">
        <v>821</v>
      </c>
      <c r="C705" s="13" t="str">
        <f>IFERROR(VLOOKUP(B705,'Regiões'!A:B,2,0),"")</f>
        <v>Planalto</v>
      </c>
      <c r="D705" s="29" t="s">
        <v>3253</v>
      </c>
      <c r="E705" s="65" t="s">
        <v>485</v>
      </c>
      <c r="F705" s="243"/>
      <c r="G705" s="245" t="s">
        <v>1215</v>
      </c>
      <c r="H705" s="35">
        <v>4.1160003E7</v>
      </c>
      <c r="I705" s="29" t="s">
        <v>1087</v>
      </c>
      <c r="J705" s="29" t="s">
        <v>7</v>
      </c>
      <c r="K705" s="29" t="s">
        <v>152</v>
      </c>
      <c r="L705" s="38">
        <v>720000.0</v>
      </c>
      <c r="M705" s="38"/>
      <c r="N705" s="29" t="s">
        <v>200</v>
      </c>
      <c r="O705" s="29" t="s">
        <v>110</v>
      </c>
      <c r="P705" s="39" t="s">
        <v>3255</v>
      </c>
      <c r="Q705" s="40"/>
    </row>
    <row r="706">
      <c r="A706" s="11">
        <v>2025.0</v>
      </c>
      <c r="B706" s="18" t="s">
        <v>642</v>
      </c>
      <c r="C706" s="13" t="str">
        <f>IFERROR(VLOOKUP(B706,'Regiões'!A:B,2,0),"")</f>
        <v>Vale do Taquari</v>
      </c>
      <c r="D706" s="13" t="s">
        <v>3256</v>
      </c>
      <c r="E706" s="15" t="s">
        <v>3257</v>
      </c>
      <c r="F706" s="17">
        <v>1.1262866000197E13</v>
      </c>
      <c r="G706" s="12" t="s">
        <v>3257</v>
      </c>
      <c r="H706" s="604">
        <v>4.1160004E7</v>
      </c>
      <c r="I706" s="11" t="s">
        <v>6</v>
      </c>
      <c r="J706" s="11" t="s">
        <v>7</v>
      </c>
      <c r="K706" s="21" t="s">
        <v>152</v>
      </c>
      <c r="L706" s="605">
        <v>750000.0</v>
      </c>
      <c r="M706" s="605"/>
      <c r="N706" s="13" t="s">
        <v>89</v>
      </c>
      <c r="O706" s="21"/>
      <c r="P706" s="931" t="s">
        <v>3258</v>
      </c>
      <c r="Q706" s="24"/>
    </row>
    <row r="707">
      <c r="A707" s="29">
        <v>2022.0</v>
      </c>
      <c r="B707" s="29" t="s">
        <v>127</v>
      </c>
      <c r="C707" s="13" t="str">
        <f>IFERROR(VLOOKUP(B707,'Regiões'!A:B,2,0),"")</f>
        <v>Metropolitana de Porto Alegre</v>
      </c>
      <c r="D707" s="29" t="s">
        <v>2770</v>
      </c>
      <c r="E707" s="32" t="s">
        <v>485</v>
      </c>
      <c r="F707" s="66"/>
      <c r="G707" s="64" t="s">
        <v>1239</v>
      </c>
      <c r="H707" s="35">
        <v>4.1160003E7</v>
      </c>
      <c r="I707" s="29" t="s">
        <v>1087</v>
      </c>
      <c r="J707" s="29" t="s">
        <v>7</v>
      </c>
      <c r="K707" s="29" t="s">
        <v>152</v>
      </c>
      <c r="L707" s="38">
        <v>776319.0</v>
      </c>
      <c r="M707" s="38"/>
      <c r="N707" s="29" t="s">
        <v>200</v>
      </c>
      <c r="O707" s="29" t="s">
        <v>110</v>
      </c>
      <c r="P707" s="39"/>
      <c r="Q707" s="40"/>
    </row>
    <row r="708">
      <c r="A708" s="13">
        <v>2023.0</v>
      </c>
      <c r="B708" s="79" t="s">
        <v>219</v>
      </c>
      <c r="C708" s="13" t="str">
        <f>IFERROR(VLOOKUP(B708,'Regiões'!A:B,2,0),"")</f>
        <v>Turismo da Serra</v>
      </c>
      <c r="D708" s="13" t="s">
        <v>640</v>
      </c>
      <c r="E708" s="80" t="s">
        <v>220</v>
      </c>
      <c r="F708" s="81"/>
      <c r="G708" s="79" t="s">
        <v>1290</v>
      </c>
      <c r="H708" s="82"/>
      <c r="I708" s="13" t="s">
        <v>2460</v>
      </c>
      <c r="J708" s="13" t="str">
        <f>LEFT(I708,FIND(" (",I708) - 1)</f>
        <v>Infraestrutura</v>
      </c>
      <c r="K708" s="13" t="s">
        <v>152</v>
      </c>
      <c r="L708" s="83">
        <v>800000.0</v>
      </c>
      <c r="M708" s="83"/>
      <c r="N708" s="13" t="s">
        <v>89</v>
      </c>
      <c r="O708" s="13" t="s">
        <v>265</v>
      </c>
      <c r="P708" s="80" t="s">
        <v>3263</v>
      </c>
      <c r="Q708" s="79"/>
    </row>
    <row r="709">
      <c r="A709" s="11">
        <v>2024.0</v>
      </c>
      <c r="B709" s="12" t="s">
        <v>115</v>
      </c>
      <c r="C709" s="13" t="str">
        <f>IFERROR(VLOOKUP(B709,'Regiões'!A:B,2,0),"")</f>
        <v>Vale do Taquari</v>
      </c>
      <c r="D709" s="13" t="s">
        <v>3266</v>
      </c>
      <c r="E709" s="15" t="str">
        <f>G709&amp;" de "&amp;B709</f>
        <v>Prefeitura Municipal de Lajeado</v>
      </c>
      <c r="F709" s="17"/>
      <c r="G709" s="18" t="s">
        <v>74</v>
      </c>
      <c r="H709" s="20">
        <v>4.1160001E7</v>
      </c>
      <c r="I709" s="11" t="s">
        <v>334</v>
      </c>
      <c r="J709" s="11" t="s">
        <v>7</v>
      </c>
      <c r="K709" s="21" t="s">
        <v>84</v>
      </c>
      <c r="L709" s="22">
        <v>800000.0</v>
      </c>
      <c r="M709" s="22"/>
      <c r="N709" s="13" t="s">
        <v>89</v>
      </c>
      <c r="O709" s="21"/>
      <c r="P709" s="23"/>
      <c r="Q709" s="24"/>
    </row>
    <row r="710">
      <c r="A710" s="13">
        <v>2023.0</v>
      </c>
      <c r="B710" s="79" t="s">
        <v>333</v>
      </c>
      <c r="C710" s="13" t="str">
        <f>IFERROR(VLOOKUP(B710,'Regiões'!A:B,2,0),"")</f>
        <v>Vale dos Sinos</v>
      </c>
      <c r="D710" s="13" t="s">
        <v>2366</v>
      </c>
      <c r="E710" s="80" t="s">
        <v>220</v>
      </c>
      <c r="F710" s="81"/>
      <c r="G710" s="79" t="s">
        <v>3267</v>
      </c>
      <c r="H710" s="82"/>
      <c r="I710" s="13" t="s">
        <v>1307</v>
      </c>
      <c r="J710" s="13" t="str">
        <f>LEFT(I710,FIND(" (",I710) - 1)</f>
        <v>Saúde</v>
      </c>
      <c r="K710" s="13" t="s">
        <v>152</v>
      </c>
      <c r="L710" s="932">
        <v>843316.0</v>
      </c>
      <c r="M710" s="932"/>
      <c r="N710" s="13" t="s">
        <v>89</v>
      </c>
      <c r="O710" s="13" t="s">
        <v>110</v>
      </c>
      <c r="P710" s="80" t="s">
        <v>398</v>
      </c>
      <c r="Q710" s="79"/>
    </row>
    <row r="711">
      <c r="A711" s="11">
        <v>2025.0</v>
      </c>
      <c r="B711" s="18" t="s">
        <v>538</v>
      </c>
      <c r="C711" s="13" t="str">
        <f>IFERROR(VLOOKUP(B711,'Regiões'!A:B,2,0),"")</f>
        <v>Alto Jacuí</v>
      </c>
      <c r="D711" s="13" t="s">
        <v>3271</v>
      </c>
      <c r="E711" s="15" t="s">
        <v>3272</v>
      </c>
      <c r="F711" s="17">
        <v>8.8450234000181E13</v>
      </c>
      <c r="G711" s="12" t="s">
        <v>3272</v>
      </c>
      <c r="H711" s="293">
        <v>4.1160004E7</v>
      </c>
      <c r="I711" s="11" t="s">
        <v>6</v>
      </c>
      <c r="J711" s="11" t="s">
        <v>7</v>
      </c>
      <c r="K711" s="21" t="s">
        <v>152</v>
      </c>
      <c r="L711" s="298">
        <v>850000.0</v>
      </c>
      <c r="M711" s="298"/>
      <c r="N711" s="13" t="s">
        <v>89</v>
      </c>
      <c r="O711" s="21"/>
      <c r="P711" s="402" t="s">
        <v>3273</v>
      </c>
      <c r="Q711" s="24"/>
    </row>
    <row r="712">
      <c r="A712" s="334">
        <v>2023.0</v>
      </c>
      <c r="B712" s="422"/>
      <c r="C712" s="334" t="str">
        <f>IFERROR(VLOOKUP(B712,'Regiões'!A:B,2,0),"")</f>
        <v/>
      </c>
      <c r="D712" s="334"/>
      <c r="E712" s="785"/>
      <c r="F712" s="420"/>
      <c r="G712" s="422" t="s">
        <v>3275</v>
      </c>
      <c r="H712" s="786">
        <v>4.1160002E7</v>
      </c>
      <c r="I712" s="334" t="s">
        <v>373</v>
      </c>
      <c r="J712" s="334" t="s">
        <v>373</v>
      </c>
      <c r="K712" s="334"/>
      <c r="L712" s="787">
        <v>852450.0</v>
      </c>
      <c r="M712" s="787"/>
      <c r="N712" s="334"/>
      <c r="O712" s="334"/>
      <c r="P712" s="347"/>
      <c r="Q712" s="788"/>
    </row>
    <row r="713">
      <c r="A713" s="13">
        <v>2023.0</v>
      </c>
      <c r="B713" s="55" t="s">
        <v>928</v>
      </c>
      <c r="C713" s="13" t="str">
        <f>IFERROR(VLOOKUP(B713,'Regiões'!A:B,2,0),"")</f>
        <v>Zona da Produção</v>
      </c>
      <c r="D713" s="13" t="s">
        <v>3278</v>
      </c>
      <c r="E713" s="56" t="s">
        <v>485</v>
      </c>
      <c r="F713" s="358"/>
      <c r="G713" s="55" t="s">
        <v>3280</v>
      </c>
      <c r="H713" s="59"/>
      <c r="I713" s="13" t="s">
        <v>373</v>
      </c>
      <c r="J713" s="13" t="str">
        <f>LEFT(I713,FIND(" (",I713) - 1)</f>
        <v>Saúde</v>
      </c>
      <c r="K713" s="13" t="s">
        <v>84</v>
      </c>
      <c r="L713" s="60">
        <v>870000.0</v>
      </c>
      <c r="M713" s="60"/>
      <c r="N713" s="13" t="s">
        <v>89</v>
      </c>
      <c r="O713" s="13" t="s">
        <v>265</v>
      </c>
      <c r="P713" s="61" t="s">
        <v>1469</v>
      </c>
      <c r="Q713" s="62" t="s">
        <v>1469</v>
      </c>
    </row>
    <row r="714">
      <c r="A714" s="29">
        <v>2021.0</v>
      </c>
      <c r="B714" s="29" t="s">
        <v>127</v>
      </c>
      <c r="C714" s="13" t="str">
        <f>IFERROR(VLOOKUP(B714,'Regiões'!A:B,2,0),"")</f>
        <v>Metropolitana de Porto Alegre</v>
      </c>
      <c r="D714" s="29" t="s">
        <v>3281</v>
      </c>
      <c r="E714" s="32" t="s">
        <v>485</v>
      </c>
      <c r="F714" s="249"/>
      <c r="G714" s="40" t="s">
        <v>1086</v>
      </c>
      <c r="H714" s="35">
        <v>4.1160002E7</v>
      </c>
      <c r="I714" s="29" t="s">
        <v>1087</v>
      </c>
      <c r="J714" s="29" t="s">
        <v>7</v>
      </c>
      <c r="K714" s="29" t="s">
        <v>152</v>
      </c>
      <c r="L714" s="37">
        <v>987650.0</v>
      </c>
      <c r="M714" s="37"/>
      <c r="N714" s="29" t="s">
        <v>1062</v>
      </c>
      <c r="O714" s="29" t="s">
        <v>3282</v>
      </c>
      <c r="P714" s="44" t="s">
        <v>1091</v>
      </c>
      <c r="Q714" s="40"/>
    </row>
    <row r="715">
      <c r="A715" s="11">
        <v>2024.0</v>
      </c>
      <c r="B715" s="12" t="s">
        <v>180</v>
      </c>
      <c r="C715" s="13" t="str">
        <f>IFERROR(VLOOKUP(B715,'Regiões'!A:B,2,0),"")</f>
        <v>Metropolitana de Porto Alegre</v>
      </c>
      <c r="D715" s="13" t="s">
        <v>3140</v>
      </c>
      <c r="E715" s="15" t="str">
        <f t="shared" ref="E715:E716" si="35">G715&amp;" de "&amp;B715</f>
        <v>Prefeitura Municipal de Canoas</v>
      </c>
      <c r="F715" s="17"/>
      <c r="G715" s="18" t="s">
        <v>74</v>
      </c>
      <c r="H715" s="20">
        <v>4.1160004E7</v>
      </c>
      <c r="I715" s="11" t="s">
        <v>1048</v>
      </c>
      <c r="J715" s="11" t="s">
        <v>7</v>
      </c>
      <c r="K715" s="21" t="s">
        <v>152</v>
      </c>
      <c r="L715" s="22">
        <v>999625.0</v>
      </c>
      <c r="M715" s="22"/>
      <c r="N715" s="13" t="s">
        <v>89</v>
      </c>
      <c r="O715" s="21"/>
      <c r="P715" s="23"/>
      <c r="Q715" s="24"/>
    </row>
    <row r="716">
      <c r="A716" s="11">
        <v>2024.0</v>
      </c>
      <c r="B716" s="18" t="s">
        <v>520</v>
      </c>
      <c r="C716" s="13" t="str">
        <f>IFERROR(VLOOKUP(B716,'Regiões'!A:B,2,0),"")</f>
        <v>Vale dos Sinos</v>
      </c>
      <c r="D716" s="13" t="s">
        <v>3283</v>
      </c>
      <c r="E716" s="15" t="str">
        <f t="shared" si="35"/>
        <v>Prefeitura Municipal de São Leopoldo</v>
      </c>
      <c r="F716" s="17"/>
      <c r="G716" s="18" t="s">
        <v>74</v>
      </c>
      <c r="H716" s="20">
        <v>4.1160004E7</v>
      </c>
      <c r="I716" s="11" t="s">
        <v>1048</v>
      </c>
      <c r="J716" s="11" t="s">
        <v>7</v>
      </c>
      <c r="K716" s="21" t="s">
        <v>152</v>
      </c>
      <c r="L716" s="22">
        <v>999787.0</v>
      </c>
      <c r="M716" s="22"/>
      <c r="N716" s="13" t="s">
        <v>89</v>
      </c>
      <c r="O716" s="21"/>
      <c r="P716" s="23"/>
      <c r="Q716" s="24"/>
    </row>
    <row r="717">
      <c r="A717" s="29">
        <v>2021.0</v>
      </c>
      <c r="B717" s="64" t="s">
        <v>76</v>
      </c>
      <c r="C717" s="13" t="str">
        <f>IFERROR(VLOOKUP(B717,'Regiões'!A:B,2,0),"")</f>
        <v>Encosta Superior do Nordeste</v>
      </c>
      <c r="D717" s="29" t="s">
        <v>3286</v>
      </c>
      <c r="E717" s="32" t="s">
        <v>1313</v>
      </c>
      <c r="F717" s="42"/>
      <c r="G717" s="41" t="s">
        <v>1314</v>
      </c>
      <c r="H717" s="45">
        <v>4.1160003E7</v>
      </c>
      <c r="I717" s="29" t="s">
        <v>488</v>
      </c>
      <c r="J717" s="29" t="s">
        <v>7</v>
      </c>
      <c r="K717" s="29" t="s">
        <v>84</v>
      </c>
      <c r="L717" s="37">
        <v>1000000.0</v>
      </c>
      <c r="M717" s="37"/>
      <c r="N717" s="29" t="s">
        <v>1062</v>
      </c>
      <c r="O717" s="29" t="s">
        <v>110</v>
      </c>
      <c r="P717" s="46" t="s">
        <v>1316</v>
      </c>
      <c r="Q717" s="40"/>
    </row>
    <row r="718">
      <c r="A718" s="29">
        <v>2021.0</v>
      </c>
      <c r="B718" s="29" t="s">
        <v>1499</v>
      </c>
      <c r="C718" s="13" t="str">
        <f>IFERROR(VLOOKUP(B718,'Regiões'!A:B,2,0),"")</f>
        <v/>
      </c>
      <c r="D718" s="29" t="s">
        <v>3288</v>
      </c>
      <c r="E718" s="32" t="s">
        <v>1065</v>
      </c>
      <c r="F718" s="33"/>
      <c r="G718" s="29" t="s">
        <v>3289</v>
      </c>
      <c r="H718" s="45">
        <v>4.1160001E7</v>
      </c>
      <c r="I718" s="29" t="s">
        <v>151</v>
      </c>
      <c r="J718" s="29" t="s">
        <v>27</v>
      </c>
      <c r="K718" s="29" t="s">
        <v>152</v>
      </c>
      <c r="L718" s="37">
        <v>1000000.0</v>
      </c>
      <c r="M718" s="37"/>
      <c r="N718" s="29" t="s">
        <v>155</v>
      </c>
      <c r="O718" s="29" t="s">
        <v>1082</v>
      </c>
      <c r="P718" s="109" t="s">
        <v>1533</v>
      </c>
      <c r="Q718" s="40"/>
    </row>
    <row r="719">
      <c r="A719" s="334">
        <v>2022.0</v>
      </c>
      <c r="B719" s="334" t="s">
        <v>239</v>
      </c>
      <c r="C719" s="334" t="str">
        <f>IFERROR(VLOOKUP(B719,'Regiões'!A:B,2,0),"")</f>
        <v>Metropolitana de Porto Alegre</v>
      </c>
      <c r="D719" s="334" t="s">
        <v>3290</v>
      </c>
      <c r="E719" s="337"/>
      <c r="F719" s="420"/>
      <c r="G719" s="422" t="s">
        <v>1226</v>
      </c>
      <c r="H719" s="343">
        <v>4.1160003E7</v>
      </c>
      <c r="I719" s="334" t="s">
        <v>1087</v>
      </c>
      <c r="J719" s="334" t="s">
        <v>7</v>
      </c>
      <c r="K719" s="334" t="s">
        <v>152</v>
      </c>
      <c r="L719" s="345">
        <v>1000000.0</v>
      </c>
      <c r="M719" s="345"/>
      <c r="N719" s="334" t="s">
        <v>200</v>
      </c>
      <c r="O719" s="334" t="s">
        <v>110</v>
      </c>
      <c r="P719" s="347"/>
      <c r="Q719" s="348"/>
    </row>
    <row r="720">
      <c r="A720" s="29">
        <v>2022.0</v>
      </c>
      <c r="B720" s="29" t="s">
        <v>127</v>
      </c>
      <c r="C720" s="13" t="str">
        <f>IFERROR(VLOOKUP(B720,'Regiões'!A:B,2,0),"")</f>
        <v>Metropolitana de Porto Alegre</v>
      </c>
      <c r="D720" s="29" t="s">
        <v>3292</v>
      </c>
      <c r="E720" s="32"/>
      <c r="F720" s="243"/>
      <c r="G720" s="245" t="s">
        <v>1148</v>
      </c>
      <c r="H720" s="74"/>
      <c r="I720" s="29" t="s">
        <v>257</v>
      </c>
      <c r="J720" s="29" t="s">
        <v>257</v>
      </c>
      <c r="K720" s="29" t="s">
        <v>152</v>
      </c>
      <c r="L720" s="38">
        <v>1000000.0</v>
      </c>
      <c r="M720" s="38"/>
      <c r="N720" s="29" t="s">
        <v>570</v>
      </c>
      <c r="O720" s="29" t="s">
        <v>1082</v>
      </c>
      <c r="P720" s="39"/>
      <c r="Q720" s="40"/>
    </row>
    <row r="721">
      <c r="A721" s="13">
        <v>2023.0</v>
      </c>
      <c r="B721" s="79" t="s">
        <v>102</v>
      </c>
      <c r="C721" s="13" t="str">
        <f>IFERROR(VLOOKUP(B721,'Regiões'!A:B,2,0),"")</f>
        <v>Vale dos Sinos</v>
      </c>
      <c r="D721" s="13" t="s">
        <v>3191</v>
      </c>
      <c r="E721" s="80" t="s">
        <v>220</v>
      </c>
      <c r="F721" s="81"/>
      <c r="G721" s="79" t="s">
        <v>1151</v>
      </c>
      <c r="H721" s="82"/>
      <c r="I721" s="13" t="s">
        <v>2460</v>
      </c>
      <c r="J721" s="13" t="str">
        <f>LEFT(I721,FIND(" (",I721) - 1)</f>
        <v>Infraestrutura</v>
      </c>
      <c r="K721" s="13" t="s">
        <v>152</v>
      </c>
      <c r="L721" s="83">
        <v>1000000.0</v>
      </c>
      <c r="M721" s="83"/>
      <c r="N721" s="13" t="s">
        <v>89</v>
      </c>
      <c r="O721" s="13" t="s">
        <v>265</v>
      </c>
      <c r="P721" s="80" t="s">
        <v>3295</v>
      </c>
      <c r="Q721" s="79"/>
    </row>
    <row r="722">
      <c r="A722" s="334">
        <v>2023.0</v>
      </c>
      <c r="B722" s="422" t="s">
        <v>504</v>
      </c>
      <c r="C722" s="422"/>
      <c r="D722" s="334"/>
      <c r="E722" s="789" t="s">
        <v>3296</v>
      </c>
      <c r="F722" s="420"/>
      <c r="G722" s="422" t="s">
        <v>3297</v>
      </c>
      <c r="H722" s="790"/>
      <c r="I722" s="334" t="s">
        <v>3298</v>
      </c>
      <c r="J722" s="334" t="s">
        <v>20</v>
      </c>
      <c r="K722" s="334" t="s">
        <v>152</v>
      </c>
      <c r="L722" s="787">
        <v>1000000.0</v>
      </c>
      <c r="M722" s="787"/>
      <c r="N722" s="334" t="s">
        <v>2639</v>
      </c>
      <c r="O722" s="334" t="s">
        <v>265</v>
      </c>
      <c r="P722" s="347"/>
      <c r="Q722" s="788" t="s">
        <v>2640</v>
      </c>
    </row>
    <row r="723">
      <c r="A723" s="334">
        <v>2023.0</v>
      </c>
      <c r="B723" s="422" t="s">
        <v>141</v>
      </c>
      <c r="C723" s="422"/>
      <c r="D723" s="334"/>
      <c r="E723" s="789" t="s">
        <v>1916</v>
      </c>
      <c r="F723" s="420"/>
      <c r="G723" s="422" t="s">
        <v>3299</v>
      </c>
      <c r="H723" s="790"/>
      <c r="I723" s="334" t="s">
        <v>257</v>
      </c>
      <c r="J723" s="334" t="s">
        <v>257</v>
      </c>
      <c r="K723" s="334" t="s">
        <v>152</v>
      </c>
      <c r="L723" s="787">
        <v>1000000.0</v>
      </c>
      <c r="M723" s="787"/>
      <c r="N723" s="334" t="s">
        <v>2639</v>
      </c>
      <c r="O723" s="334" t="s">
        <v>265</v>
      </c>
      <c r="P723" s="347"/>
      <c r="Q723" s="788" t="s">
        <v>2640</v>
      </c>
    </row>
    <row r="724">
      <c r="A724" s="334">
        <v>2023.0</v>
      </c>
      <c r="B724" s="422" t="s">
        <v>698</v>
      </c>
      <c r="C724" s="422"/>
      <c r="D724" s="334"/>
      <c r="E724" s="789" t="s">
        <v>3300</v>
      </c>
      <c r="F724" s="420"/>
      <c r="G724" s="422" t="s">
        <v>3301</v>
      </c>
      <c r="H724" s="790"/>
      <c r="I724" s="334" t="s">
        <v>257</v>
      </c>
      <c r="J724" s="334" t="s">
        <v>257</v>
      </c>
      <c r="K724" s="334" t="s">
        <v>152</v>
      </c>
      <c r="L724" s="787">
        <v>1000000.0</v>
      </c>
      <c r="M724" s="787"/>
      <c r="N724" s="334" t="s">
        <v>2639</v>
      </c>
      <c r="O724" s="334" t="s">
        <v>265</v>
      </c>
      <c r="P724" s="347"/>
      <c r="Q724" s="788" t="s">
        <v>2640</v>
      </c>
    </row>
    <row r="725">
      <c r="A725" s="334">
        <v>2023.0</v>
      </c>
      <c r="B725" s="422" t="s">
        <v>3302</v>
      </c>
      <c r="C725" s="422"/>
      <c r="D725" s="334"/>
      <c r="E725" s="785"/>
      <c r="F725" s="420"/>
      <c r="G725" s="422" t="s">
        <v>3303</v>
      </c>
      <c r="H725" s="790"/>
      <c r="I725" s="334" t="s">
        <v>257</v>
      </c>
      <c r="J725" s="334" t="s">
        <v>257</v>
      </c>
      <c r="K725" s="334" t="s">
        <v>152</v>
      </c>
      <c r="L725" s="787">
        <v>1000000.0</v>
      </c>
      <c r="M725" s="787"/>
      <c r="N725" s="334" t="s">
        <v>2639</v>
      </c>
      <c r="O725" s="334" t="s">
        <v>1082</v>
      </c>
      <c r="P725" s="347"/>
      <c r="Q725" s="788" t="s">
        <v>2640</v>
      </c>
    </row>
    <row r="726">
      <c r="A726" s="11">
        <v>2024.0</v>
      </c>
      <c r="B726" s="12" t="s">
        <v>127</v>
      </c>
      <c r="C726" s="13" t="str">
        <f>IFERROR(VLOOKUP(B726,'Regiões'!A:B,2,0),"")</f>
        <v>Metropolitana de Porto Alegre</v>
      </c>
      <c r="D726" s="13" t="s">
        <v>3304</v>
      </c>
      <c r="E726" s="15" t="str">
        <f>G726&amp;" de "&amp;B726</f>
        <v>Prefeitura Municipal de Porto Alegre</v>
      </c>
      <c r="F726" s="17"/>
      <c r="G726" s="18" t="s">
        <v>74</v>
      </c>
      <c r="H726" s="20">
        <v>4.1160001E7</v>
      </c>
      <c r="I726" s="11" t="s">
        <v>334</v>
      </c>
      <c r="J726" s="11" t="s">
        <v>7</v>
      </c>
      <c r="K726" s="21" t="s">
        <v>84</v>
      </c>
      <c r="L726" s="22">
        <v>1000000.0</v>
      </c>
      <c r="M726" s="22"/>
      <c r="N726" s="13" t="s">
        <v>89</v>
      </c>
      <c r="O726" s="21"/>
      <c r="P726" s="23"/>
      <c r="Q726" s="24"/>
    </row>
    <row r="727">
      <c r="A727" s="11">
        <v>2025.0</v>
      </c>
      <c r="B727" s="18" t="s">
        <v>559</v>
      </c>
      <c r="C727" s="13" t="str">
        <f>IFERROR(VLOOKUP(B727,'Regiões'!A:B,2,0),"")</f>
        <v>Encosta Superior do Nordeste</v>
      </c>
      <c r="D727" s="13" t="s">
        <v>3308</v>
      </c>
      <c r="E727" s="15" t="s">
        <v>3310</v>
      </c>
      <c r="F727" s="17">
        <v>8.8830609000139E13</v>
      </c>
      <c r="G727" s="18" t="s">
        <v>74</v>
      </c>
      <c r="H727" s="293">
        <v>4.1160005E7</v>
      </c>
      <c r="I727" s="11" t="s">
        <v>18</v>
      </c>
      <c r="J727" s="11" t="s">
        <v>20</v>
      </c>
      <c r="K727" s="21" t="s">
        <v>152</v>
      </c>
      <c r="L727" s="298">
        <v>1000000.0</v>
      </c>
      <c r="M727" s="298"/>
      <c r="N727" s="13" t="s">
        <v>89</v>
      </c>
      <c r="O727" s="21"/>
      <c r="P727" s="402" t="s">
        <v>3311</v>
      </c>
      <c r="Q727" s="24"/>
    </row>
    <row r="728">
      <c r="A728" s="11">
        <v>2025.0</v>
      </c>
      <c r="B728" s="18" t="s">
        <v>127</v>
      </c>
      <c r="C728" s="13" t="str">
        <f>IFERROR(VLOOKUP(B728,'Regiões'!A:B,2,0),"")</f>
        <v>Metropolitana de Porto Alegre</v>
      </c>
      <c r="D728" s="13" t="s">
        <v>3314</v>
      </c>
      <c r="E728" s="15" t="s">
        <v>3315</v>
      </c>
      <c r="F728" s="17">
        <v>9.296356000016E13</v>
      </c>
      <c r="G728" s="18" t="s">
        <v>74</v>
      </c>
      <c r="H728" s="293">
        <v>4.1160008E7</v>
      </c>
      <c r="I728" s="11" t="s">
        <v>25</v>
      </c>
      <c r="J728" s="11" t="s">
        <v>27</v>
      </c>
      <c r="K728" s="21" t="s">
        <v>152</v>
      </c>
      <c r="L728" s="298">
        <v>1000000.0</v>
      </c>
      <c r="M728" s="298"/>
      <c r="N728" s="13" t="s">
        <v>89</v>
      </c>
      <c r="O728" s="21"/>
      <c r="P728" s="402" t="s">
        <v>3316</v>
      </c>
      <c r="Q728" s="24"/>
    </row>
    <row r="729">
      <c r="A729" s="11">
        <v>2026.0</v>
      </c>
      <c r="B729" s="18" t="s">
        <v>127</v>
      </c>
      <c r="C729" s="13" t="str">
        <f>IFERROR(VLOOKUP(B729,'Regiões'!A:B,2,0),"")</f>
        <v>Metropolitana de Porto Alegre</v>
      </c>
      <c r="D729" s="13" t="s">
        <v>3317</v>
      </c>
      <c r="E729" s="18" t="s">
        <v>127</v>
      </c>
      <c r="F729" s="17">
        <v>9.296356000016E13</v>
      </c>
      <c r="G729" s="18" t="s">
        <v>3156</v>
      </c>
      <c r="H729" s="20">
        <v>4.1160008E7</v>
      </c>
      <c r="I729" s="11" t="s">
        <v>2963</v>
      </c>
      <c r="J729" s="2" t="s">
        <v>27</v>
      </c>
      <c r="K729" s="887" t="s">
        <v>2964</v>
      </c>
      <c r="L729" s="22">
        <v>1000000.0</v>
      </c>
      <c r="M729" s="22"/>
      <c r="N729" s="11" t="s">
        <v>155</v>
      </c>
      <c r="O729" s="21"/>
      <c r="P729" s="935"/>
      <c r="Q729" s="24"/>
    </row>
    <row r="730">
      <c r="A730" s="11">
        <v>2024.0</v>
      </c>
      <c r="B730" s="12" t="s">
        <v>496</v>
      </c>
      <c r="C730" s="13" t="str">
        <f>IFERROR(VLOOKUP(B730,'Regiões'!A:B,2,0),"")</f>
        <v>Vale dos Sinos</v>
      </c>
      <c r="D730" s="13" t="s">
        <v>1052</v>
      </c>
      <c r="E730" s="15" t="str">
        <f>G730&amp;" de "&amp;B730</f>
        <v>Prefeitura Municipal de Morro Reuter</v>
      </c>
      <c r="F730" s="17"/>
      <c r="G730" s="18" t="s">
        <v>74</v>
      </c>
      <c r="H730" s="20">
        <v>4.1160005E7</v>
      </c>
      <c r="I730" s="11" t="s">
        <v>20</v>
      </c>
      <c r="J730" s="11" t="s">
        <v>20</v>
      </c>
      <c r="K730" s="21" t="s">
        <v>152</v>
      </c>
      <c r="L730" s="22">
        <v>1078487.0</v>
      </c>
      <c r="M730" s="22"/>
      <c r="N730" s="13" t="s">
        <v>89</v>
      </c>
      <c r="O730" s="21"/>
      <c r="P730" s="23"/>
      <c r="Q730" s="24"/>
    </row>
    <row r="731">
      <c r="A731" s="29">
        <v>2022.0</v>
      </c>
      <c r="B731" s="29" t="s">
        <v>198</v>
      </c>
      <c r="C731" s="13" t="str">
        <f>IFERROR(VLOOKUP(B731,'Regiões'!A:B,2,0),"")</f>
        <v>Vale dos Sinos</v>
      </c>
      <c r="D731" s="29" t="s">
        <v>1986</v>
      </c>
      <c r="E731" s="32" t="s">
        <v>14</v>
      </c>
      <c r="F731" s="33"/>
      <c r="G731" s="29" t="s">
        <v>74</v>
      </c>
      <c r="H731" s="35">
        <v>4.1160007E7</v>
      </c>
      <c r="I731" s="29" t="s">
        <v>1210</v>
      </c>
      <c r="J731" s="29" t="s">
        <v>257</v>
      </c>
      <c r="K731" s="29" t="s">
        <v>152</v>
      </c>
      <c r="L731" s="38">
        <v>1139365.0</v>
      </c>
      <c r="M731" s="38"/>
      <c r="N731" s="29" t="s">
        <v>200</v>
      </c>
      <c r="O731" s="29" t="s">
        <v>110</v>
      </c>
      <c r="P731" s="39" t="s">
        <v>3321</v>
      </c>
      <c r="Q731" s="40"/>
    </row>
    <row r="732">
      <c r="A732" s="13">
        <v>2024.0</v>
      </c>
      <c r="B732" s="79" t="s">
        <v>112</v>
      </c>
      <c r="C732" s="13" t="str">
        <f>IFERROR(VLOOKUP(B732,'Regiões'!A:B,2,0),"")</f>
        <v>Encosta Superior do Nordeste</v>
      </c>
      <c r="D732" s="13" t="s">
        <v>3323</v>
      </c>
      <c r="E732" s="80" t="s">
        <v>2458</v>
      </c>
      <c r="F732" s="81"/>
      <c r="G732" s="79" t="s">
        <v>2458</v>
      </c>
      <c r="H732" s="82"/>
      <c r="I732" s="13" t="s">
        <v>2460</v>
      </c>
      <c r="J732" s="13" t="str">
        <f>LEFT(I732,FIND(" (",I732) - 1)</f>
        <v>Infraestrutura</v>
      </c>
      <c r="K732" s="13" t="s">
        <v>152</v>
      </c>
      <c r="L732" s="928">
        <v>1300000.0</v>
      </c>
      <c r="M732" s="928"/>
      <c r="N732" s="13" t="s">
        <v>89</v>
      </c>
      <c r="O732" s="13" t="s">
        <v>265</v>
      </c>
      <c r="P732" s="80" t="s">
        <v>3327</v>
      </c>
      <c r="Q732" s="79"/>
    </row>
    <row r="733">
      <c r="A733" s="334">
        <v>2023.0</v>
      </c>
      <c r="B733" s="422" t="s">
        <v>48</v>
      </c>
      <c r="C733" s="422"/>
      <c r="D733" s="334"/>
      <c r="E733" s="789" t="s">
        <v>2563</v>
      </c>
      <c r="F733" s="420"/>
      <c r="G733" s="422" t="s">
        <v>3329</v>
      </c>
      <c r="H733" s="786" t="s">
        <v>3330</v>
      </c>
      <c r="I733" s="334" t="s">
        <v>257</v>
      </c>
      <c r="J733" s="334" t="s">
        <v>257</v>
      </c>
      <c r="K733" s="334" t="s">
        <v>152</v>
      </c>
      <c r="L733" s="787">
        <v>1500000.0</v>
      </c>
      <c r="M733" s="787"/>
      <c r="N733" s="334" t="s">
        <v>2639</v>
      </c>
      <c r="O733" s="334" t="s">
        <v>265</v>
      </c>
      <c r="P733" s="347" t="s">
        <v>570</v>
      </c>
      <c r="Q733" s="788" t="s">
        <v>2640</v>
      </c>
    </row>
    <row r="734">
      <c r="A734" s="64">
        <v>2020.0</v>
      </c>
      <c r="B734" s="64" t="s">
        <v>102</v>
      </c>
      <c r="C734" s="13" t="str">
        <f>IFERROR(VLOOKUP(B734,'Regiões'!A:B,2,0),"")</f>
        <v>Vale dos Sinos</v>
      </c>
      <c r="D734" s="29" t="s">
        <v>1531</v>
      </c>
      <c r="E734" s="65" t="s">
        <v>485</v>
      </c>
      <c r="F734" s="66"/>
      <c r="G734" s="64" t="s">
        <v>1480</v>
      </c>
      <c r="H734" s="76" t="s">
        <v>578</v>
      </c>
      <c r="I734" s="64" t="s">
        <v>488</v>
      </c>
      <c r="J734" s="64" t="s">
        <v>7</v>
      </c>
      <c r="K734" s="64" t="s">
        <v>152</v>
      </c>
      <c r="L734" s="68">
        <v>1874000.0</v>
      </c>
      <c r="M734" s="68"/>
      <c r="N734" s="64" t="s">
        <v>389</v>
      </c>
      <c r="O734" s="64" t="s">
        <v>110</v>
      </c>
      <c r="P734" s="65" t="s">
        <v>1483</v>
      </c>
      <c r="Q734" s="941" t="s">
        <v>1484</v>
      </c>
    </row>
    <row r="735">
      <c r="A735" s="29">
        <v>2021.0</v>
      </c>
      <c r="B735" s="760" t="s">
        <v>102</v>
      </c>
      <c r="C735" s="13" t="str">
        <f>IFERROR(VLOOKUP(B735,'Regiões'!A:B,2,0),"")</f>
        <v>Vale dos Sinos</v>
      </c>
      <c r="D735" s="29" t="s">
        <v>3191</v>
      </c>
      <c r="E735" s="32" t="s">
        <v>14</v>
      </c>
      <c r="F735" s="33"/>
      <c r="G735" s="29" t="s">
        <v>3341</v>
      </c>
      <c r="H735" s="35">
        <v>4.1160006E7</v>
      </c>
      <c r="I735" s="29" t="s">
        <v>1210</v>
      </c>
      <c r="J735" s="29" t="s">
        <v>257</v>
      </c>
      <c r="K735" s="29" t="s">
        <v>152</v>
      </c>
      <c r="L735" s="38">
        <v>2693000.0</v>
      </c>
      <c r="M735" s="38"/>
      <c r="N735" s="29" t="s">
        <v>200</v>
      </c>
      <c r="O735" s="64" t="s">
        <v>3342</v>
      </c>
      <c r="P735" s="39" t="s">
        <v>3343</v>
      </c>
      <c r="Q735" s="40" t="s">
        <v>3344</v>
      </c>
    </row>
    <row r="736">
      <c r="A736" s="29">
        <v>2020.0</v>
      </c>
      <c r="B736" s="760" t="s">
        <v>102</v>
      </c>
      <c r="C736" s="13" t="str">
        <f>IFERROR(VLOOKUP(B736,'Regiões'!A:B,2,0),"")</f>
        <v>Vale dos Sinos</v>
      </c>
      <c r="D736" s="29" t="s">
        <v>3346</v>
      </c>
      <c r="E736" s="32" t="s">
        <v>14</v>
      </c>
      <c r="F736" s="33"/>
      <c r="G736" s="29" t="s">
        <v>3347</v>
      </c>
      <c r="H736" s="35">
        <v>4.1160003E7</v>
      </c>
      <c r="I736" s="29" t="s">
        <v>3348</v>
      </c>
      <c r="J736" s="29" t="s">
        <v>257</v>
      </c>
      <c r="K736" s="29" t="s">
        <v>152</v>
      </c>
      <c r="L736" s="38">
        <v>3780227.0</v>
      </c>
      <c r="M736" s="38"/>
      <c r="N736" s="29" t="s">
        <v>200</v>
      </c>
      <c r="O736" s="943" t="s">
        <v>110</v>
      </c>
      <c r="P736" s="39" t="s">
        <v>3351</v>
      </c>
      <c r="Q736" s="40" t="s">
        <v>3352</v>
      </c>
    </row>
    <row r="737">
      <c r="A737" s="64">
        <v>2021.0</v>
      </c>
      <c r="B737" s="64" t="s">
        <v>1109</v>
      </c>
      <c r="C737" s="13" t="str">
        <f>IFERROR(VLOOKUP(B737,'Regiões'!A:B,2,0),"")</f>
        <v>Encosta Superior do Nordeste</v>
      </c>
      <c r="D737" s="29" t="s">
        <v>3356</v>
      </c>
      <c r="E737" s="65" t="s">
        <v>1097</v>
      </c>
      <c r="F737" s="66"/>
      <c r="G737" s="64" t="s">
        <v>1097</v>
      </c>
      <c r="H737" s="67">
        <v>4.11660007E8</v>
      </c>
      <c r="I737" s="29" t="s">
        <v>151</v>
      </c>
      <c r="J737" s="29" t="s">
        <v>27</v>
      </c>
      <c r="K737" s="64" t="s">
        <v>152</v>
      </c>
      <c r="L737" s="68">
        <v>1.5299294E7</v>
      </c>
      <c r="M737" s="68"/>
      <c r="N737" s="64" t="s">
        <v>155</v>
      </c>
      <c r="O737" s="64" t="s">
        <v>3357</v>
      </c>
      <c r="P737" s="69" t="s">
        <v>1113</v>
      </c>
      <c r="Q737" s="70"/>
    </row>
    <row r="738">
      <c r="A738" s="11">
        <v>2023.0</v>
      </c>
      <c r="B738" s="18" t="s">
        <v>48</v>
      </c>
      <c r="C738" s="13"/>
      <c r="D738" s="29" t="s">
        <v>3070</v>
      </c>
      <c r="E738" s="25" t="s">
        <v>14</v>
      </c>
      <c r="F738" s="17"/>
      <c r="G738" s="18" t="s">
        <v>1226</v>
      </c>
      <c r="H738" s="20">
        <v>4.1160007E7</v>
      </c>
      <c r="I738" s="11" t="s">
        <v>1307</v>
      </c>
      <c r="J738" s="11" t="s">
        <v>7</v>
      </c>
      <c r="K738" s="21" t="s">
        <v>152</v>
      </c>
      <c r="L738" s="26" t="s">
        <v>1910</v>
      </c>
      <c r="M738" s="26"/>
      <c r="N738" s="11" t="s">
        <v>89</v>
      </c>
      <c r="O738" s="21" t="s">
        <v>265</v>
      </c>
      <c r="P738" s="23" t="s">
        <v>3363</v>
      </c>
      <c r="Q738" s="762" t="s">
        <v>3363</v>
      </c>
    </row>
    <row r="739">
      <c r="A739" s="64">
        <v>2020.0</v>
      </c>
      <c r="B739" s="64" t="s">
        <v>180</v>
      </c>
      <c r="C739" s="13" t="str">
        <f>IFERROR(VLOOKUP(B739,'Regiões'!A:B,2,0),"")</f>
        <v>Metropolitana de Porto Alegre</v>
      </c>
      <c r="D739" s="29" t="s">
        <v>3368</v>
      </c>
      <c r="E739" s="65" t="s">
        <v>485</v>
      </c>
      <c r="F739" s="66"/>
      <c r="G739" s="64" t="s">
        <v>1372</v>
      </c>
      <c r="H739" s="71">
        <v>4.1160005E7</v>
      </c>
      <c r="I739" s="64" t="s">
        <v>488</v>
      </c>
      <c r="J739" s="64" t="s">
        <v>7</v>
      </c>
      <c r="K739" s="64" t="s">
        <v>84</v>
      </c>
      <c r="L739" s="68" t="s">
        <v>3369</v>
      </c>
      <c r="M739" s="68"/>
      <c r="N739" s="64" t="s">
        <v>89</v>
      </c>
      <c r="O739" s="64" t="s">
        <v>110</v>
      </c>
      <c r="P739" s="65" t="s">
        <v>705</v>
      </c>
      <c r="Q739" s="70" t="s">
        <v>1374</v>
      </c>
    </row>
    <row r="740">
      <c r="A740" s="11">
        <v>2025.0</v>
      </c>
      <c r="B740" s="18" t="s">
        <v>783</v>
      </c>
      <c r="C740" s="13" t="str">
        <f>IFERROR(VLOOKUP(B740,'Regiões'!A:B,2,0),"")</f>
        <v>Campos de cima da Serra</v>
      </c>
      <c r="D740" s="13" t="s">
        <v>3370</v>
      </c>
      <c r="E740" s="15" t="s">
        <v>783</v>
      </c>
      <c r="F740" s="17">
        <v>1.62171400018E12</v>
      </c>
      <c r="G740" s="18"/>
      <c r="H740" s="72"/>
      <c r="I740" s="11" t="s">
        <v>27</v>
      </c>
      <c r="J740" s="11" t="s">
        <v>27</v>
      </c>
      <c r="K740" s="21" t="s">
        <v>152</v>
      </c>
      <c r="L740" s="96" t="s">
        <v>3371</v>
      </c>
      <c r="M740" s="96"/>
      <c r="N740" s="11" t="s">
        <v>570</v>
      </c>
      <c r="O740" s="21"/>
      <c r="P740" s="61" t="s">
        <v>3372</v>
      </c>
      <c r="Q740" s="24"/>
    </row>
    <row r="741">
      <c r="A741" s="11">
        <v>2025.0</v>
      </c>
      <c r="B741" s="18" t="s">
        <v>586</v>
      </c>
      <c r="C741" s="13" t="str">
        <f>IFERROR(VLOOKUP(B741,'Regiões'!A:B,2,0),"")</f>
        <v>Alto Jacuí</v>
      </c>
      <c r="D741" s="13" t="s">
        <v>3374</v>
      </c>
      <c r="E741" s="15" t="s">
        <v>586</v>
      </c>
      <c r="F741" s="17">
        <v>8.761352700017E13</v>
      </c>
      <c r="G741" s="18"/>
      <c r="H741" s="72"/>
      <c r="I741" s="11" t="s">
        <v>27</v>
      </c>
      <c r="J741" s="11" t="s">
        <v>27</v>
      </c>
      <c r="K741" s="21" t="s">
        <v>152</v>
      </c>
      <c r="L741" s="96" t="s">
        <v>3371</v>
      </c>
      <c r="M741" s="96"/>
      <c r="N741" s="11" t="s">
        <v>570</v>
      </c>
      <c r="O741" s="21"/>
      <c r="P741" s="61" t="s">
        <v>3372</v>
      </c>
      <c r="Q741" s="24"/>
    </row>
    <row r="742">
      <c r="A742" s="11">
        <v>2025.0</v>
      </c>
      <c r="B742" s="18" t="s">
        <v>798</v>
      </c>
      <c r="C742" s="13" t="str">
        <f>IFERROR(VLOOKUP(B742,'Regiões'!A:B,2,0),"")</f>
        <v>Encosta Superior do Nordeste</v>
      </c>
      <c r="D742" s="13" t="s">
        <v>3375</v>
      </c>
      <c r="E742" s="15" t="s">
        <v>798</v>
      </c>
      <c r="F742" s="17">
        <v>9.1618439000138E13</v>
      </c>
      <c r="G742" s="18"/>
      <c r="H742" s="72"/>
      <c r="I742" s="11" t="s">
        <v>27</v>
      </c>
      <c r="J742" s="11" t="s">
        <v>27</v>
      </c>
      <c r="K742" s="21" t="s">
        <v>152</v>
      </c>
      <c r="L742" s="96" t="s">
        <v>3371</v>
      </c>
      <c r="M742" s="96"/>
      <c r="N742" s="11" t="s">
        <v>570</v>
      </c>
      <c r="O742" s="21"/>
      <c r="P742" s="61" t="s">
        <v>3372</v>
      </c>
      <c r="Q742" s="24"/>
    </row>
    <row r="743">
      <c r="A743" s="11">
        <v>2025.0</v>
      </c>
      <c r="B743" s="18" t="s">
        <v>62</v>
      </c>
      <c r="C743" s="13" t="str">
        <f>IFERROR(VLOOKUP(B743,'Regiões'!A:B,2,0),"")</f>
        <v>Planalto Médio</v>
      </c>
      <c r="D743" s="13" t="s">
        <v>3378</v>
      </c>
      <c r="E743" s="15" t="s">
        <v>62</v>
      </c>
      <c r="F743" s="17">
        <v>8.7613253000119E13</v>
      </c>
      <c r="G743" s="18"/>
      <c r="H743" s="72"/>
      <c r="I743" s="11" t="s">
        <v>27</v>
      </c>
      <c r="J743" s="11" t="s">
        <v>27</v>
      </c>
      <c r="K743" s="21" t="s">
        <v>152</v>
      </c>
      <c r="L743" s="96" t="s">
        <v>3371</v>
      </c>
      <c r="M743" s="96"/>
      <c r="N743" s="11" t="s">
        <v>570</v>
      </c>
      <c r="O743" s="21"/>
      <c r="P743" s="61" t="s">
        <v>3372</v>
      </c>
      <c r="Q743" s="24"/>
    </row>
    <row r="744">
      <c r="A744" s="11">
        <v>2025.0</v>
      </c>
      <c r="B744" s="18" t="s">
        <v>429</v>
      </c>
      <c r="C744" s="13" t="str">
        <f>IFERROR(VLOOKUP(B744,'Regiões'!A:B,2,0),"")</f>
        <v>Alta da Serra do Botucarai</v>
      </c>
      <c r="D744" s="13" t="s">
        <v>3379</v>
      </c>
      <c r="E744" s="15" t="s">
        <v>429</v>
      </c>
      <c r="F744" s="17">
        <v>9.2406164000131E13</v>
      </c>
      <c r="G744" s="18"/>
      <c r="H744" s="72"/>
      <c r="I744" s="11" t="s">
        <v>27</v>
      </c>
      <c r="J744" s="11" t="s">
        <v>27</v>
      </c>
      <c r="K744" s="21" t="s">
        <v>152</v>
      </c>
      <c r="L744" s="96" t="s">
        <v>3371</v>
      </c>
      <c r="M744" s="96"/>
      <c r="N744" s="11" t="s">
        <v>570</v>
      </c>
      <c r="O744" s="21"/>
      <c r="P744" s="61" t="s">
        <v>3372</v>
      </c>
      <c r="Q744" s="24"/>
    </row>
    <row r="745">
      <c r="A745" s="11">
        <v>2025.0</v>
      </c>
      <c r="B745" s="18" t="s">
        <v>1006</v>
      </c>
      <c r="C745" s="13" t="str">
        <f>IFERROR(VLOOKUP(B745,'Regiões'!A:B,2,0),"")</f>
        <v>Litoral Norte</v>
      </c>
      <c r="D745" s="13" t="s">
        <v>3382</v>
      </c>
      <c r="E745" s="15" t="s">
        <v>3383</v>
      </c>
      <c r="F745" s="17">
        <v>9.4436474000124E13</v>
      </c>
      <c r="G745" s="18"/>
      <c r="H745" s="72"/>
      <c r="I745" s="11" t="s">
        <v>27</v>
      </c>
      <c r="J745" s="11" t="s">
        <v>27</v>
      </c>
      <c r="K745" s="21" t="s">
        <v>152</v>
      </c>
      <c r="L745" s="96" t="s">
        <v>3371</v>
      </c>
      <c r="M745" s="96"/>
      <c r="N745" s="11" t="s">
        <v>570</v>
      </c>
      <c r="O745" s="21"/>
      <c r="P745" s="61" t="s">
        <v>3372</v>
      </c>
      <c r="Q745" s="24"/>
    </row>
    <row r="746">
      <c r="A746" s="11">
        <v>2025.0</v>
      </c>
      <c r="B746" s="18" t="s">
        <v>862</v>
      </c>
      <c r="C746" s="13" t="str">
        <f>IFERROR(VLOOKUP(B746,'Regiões'!A:B,2,0),"")</f>
        <v>Missões</v>
      </c>
      <c r="D746" s="13" t="s">
        <v>3386</v>
      </c>
      <c r="E746" s="15" t="s">
        <v>3387</v>
      </c>
      <c r="F746" s="17">
        <v>4.203896000167E12</v>
      </c>
      <c r="G746" s="18"/>
      <c r="H746" s="72"/>
      <c r="I746" s="11" t="s">
        <v>27</v>
      </c>
      <c r="J746" s="11" t="s">
        <v>27</v>
      </c>
      <c r="K746" s="21" t="s">
        <v>152</v>
      </c>
      <c r="L746" s="96" t="s">
        <v>3371</v>
      </c>
      <c r="M746" s="96"/>
      <c r="N746" s="11" t="s">
        <v>570</v>
      </c>
      <c r="O746" s="21"/>
      <c r="P746" s="61" t="s">
        <v>3372</v>
      </c>
      <c r="Q746" s="24"/>
    </row>
    <row r="747">
      <c r="A747" s="11">
        <v>2025.0</v>
      </c>
      <c r="B747" s="18" t="s">
        <v>505</v>
      </c>
      <c r="C747" s="13" t="str">
        <f>IFERROR(VLOOKUP(B747,'Regiões'!A:B,2,0),"")</f>
        <v>Encosta Superior do Nordeste</v>
      </c>
      <c r="D747" s="13" t="s">
        <v>3388</v>
      </c>
      <c r="E747" s="15" t="s">
        <v>505</v>
      </c>
      <c r="F747" s="17">
        <v>8.7862397000109E13</v>
      </c>
      <c r="G747" s="18"/>
      <c r="H747" s="72"/>
      <c r="I747" s="11" t="s">
        <v>27</v>
      </c>
      <c r="J747" s="11" t="s">
        <v>27</v>
      </c>
      <c r="K747" s="21" t="s">
        <v>152</v>
      </c>
      <c r="L747" s="96" t="s">
        <v>3371</v>
      </c>
      <c r="M747" s="96"/>
      <c r="N747" s="11" t="s">
        <v>570</v>
      </c>
      <c r="O747" s="21"/>
      <c r="P747" s="61" t="s">
        <v>3372</v>
      </c>
      <c r="Q747" s="24"/>
    </row>
    <row r="748">
      <c r="A748" s="11">
        <v>2025.0</v>
      </c>
      <c r="B748" s="18" t="s">
        <v>785</v>
      </c>
      <c r="C748" s="13" t="str">
        <f>IFERROR(VLOOKUP(B748,'Regiões'!A:B,2,0),"")</f>
        <v>Alto Jacuí</v>
      </c>
      <c r="D748" s="13" t="s">
        <v>3389</v>
      </c>
      <c r="E748" s="15" t="s">
        <v>3390</v>
      </c>
      <c r="F748" s="17">
        <v>8.7613519000123E13</v>
      </c>
      <c r="G748" s="18"/>
      <c r="H748" s="72"/>
      <c r="I748" s="11" t="s">
        <v>27</v>
      </c>
      <c r="J748" s="11" t="s">
        <v>27</v>
      </c>
      <c r="K748" s="21" t="s">
        <v>152</v>
      </c>
      <c r="L748" s="96" t="s">
        <v>3371</v>
      </c>
      <c r="M748" s="96"/>
      <c r="N748" s="11" t="s">
        <v>570</v>
      </c>
      <c r="O748" s="21"/>
      <c r="P748" s="61" t="s">
        <v>3372</v>
      </c>
      <c r="Q748" s="24"/>
    </row>
    <row r="749">
      <c r="A749" s="11">
        <v>2025.0</v>
      </c>
      <c r="B749" s="18" t="s">
        <v>883</v>
      </c>
      <c r="C749" s="13" t="str">
        <f>IFERROR(VLOOKUP(B749,'Regiões'!A:B,2,0),"")</f>
        <v>Fronteira Noroeste</v>
      </c>
      <c r="D749" s="13" t="s">
        <v>3391</v>
      </c>
      <c r="E749" s="15" t="s">
        <v>883</v>
      </c>
      <c r="F749" s="17">
        <v>8.8546890000182E13</v>
      </c>
      <c r="G749" s="18"/>
      <c r="H749" s="72"/>
      <c r="I749" s="11" t="s">
        <v>27</v>
      </c>
      <c r="J749" s="11" t="s">
        <v>27</v>
      </c>
      <c r="K749" s="21" t="s">
        <v>152</v>
      </c>
      <c r="L749" s="96" t="s">
        <v>3371</v>
      </c>
      <c r="M749" s="96"/>
      <c r="N749" s="11" t="s">
        <v>570</v>
      </c>
      <c r="O749" s="21"/>
      <c r="P749" s="61" t="s">
        <v>3372</v>
      </c>
      <c r="Q749" s="24"/>
    </row>
    <row r="750">
      <c r="A750" s="11">
        <v>2025.0</v>
      </c>
      <c r="B750" s="18" t="s">
        <v>582</v>
      </c>
      <c r="C750" s="13" t="str">
        <f>IFERROR(VLOOKUP(B750,'Regiões'!A:B,2,0),"")</f>
        <v>Centro Serra</v>
      </c>
      <c r="D750" s="13" t="s">
        <v>3395</v>
      </c>
      <c r="E750" s="15" t="s">
        <v>582</v>
      </c>
      <c r="F750" s="17">
        <v>8.7592861000194E13</v>
      </c>
      <c r="G750" s="18"/>
      <c r="H750" s="72"/>
      <c r="I750" s="11" t="s">
        <v>27</v>
      </c>
      <c r="J750" s="11" t="s">
        <v>27</v>
      </c>
      <c r="K750" s="21" t="s">
        <v>152</v>
      </c>
      <c r="L750" s="96" t="s">
        <v>3371</v>
      </c>
      <c r="M750" s="96"/>
      <c r="N750" s="11" t="s">
        <v>570</v>
      </c>
      <c r="O750" s="21"/>
      <c r="P750" s="61" t="s">
        <v>3372</v>
      </c>
      <c r="Q750" s="24"/>
    </row>
    <row r="751">
      <c r="A751" s="11">
        <v>2025.0</v>
      </c>
      <c r="B751" s="18" t="s">
        <v>102</v>
      </c>
      <c r="C751" s="13" t="str">
        <f>IFERROR(VLOOKUP(B751,'Regiões'!A:B,2,0),"")</f>
        <v>Vale dos Sinos</v>
      </c>
      <c r="D751" s="13" t="s">
        <v>3398</v>
      </c>
      <c r="E751" s="15" t="s">
        <v>102</v>
      </c>
      <c r="F751" s="17">
        <v>8.8254891000153E13</v>
      </c>
      <c r="G751" s="18"/>
      <c r="H751" s="72"/>
      <c r="I751" s="11" t="s">
        <v>27</v>
      </c>
      <c r="J751" s="11" t="s">
        <v>27</v>
      </c>
      <c r="K751" s="21" t="s">
        <v>152</v>
      </c>
      <c r="L751" s="96" t="s">
        <v>3399</v>
      </c>
      <c r="M751" s="96"/>
      <c r="N751" s="11" t="s">
        <v>570</v>
      </c>
      <c r="O751" s="21"/>
      <c r="P751" s="61" t="s">
        <v>3400</v>
      </c>
      <c r="Q751" s="24"/>
    </row>
    <row r="752">
      <c r="A752" s="11">
        <v>2025.0</v>
      </c>
      <c r="B752" s="18" t="s">
        <v>976</v>
      </c>
      <c r="C752" s="13" t="str">
        <f>IFERROR(VLOOKUP(B752,'Regiões'!A:B,2,0),"")</f>
        <v>Fronteira Noroeste</v>
      </c>
      <c r="D752" s="13" t="s">
        <v>2207</v>
      </c>
      <c r="E752" s="15" t="s">
        <v>976</v>
      </c>
      <c r="F752" s="17">
        <v>8.7613634000106E13</v>
      </c>
      <c r="G752" s="18"/>
      <c r="H752" s="72"/>
      <c r="I752" s="11" t="s">
        <v>27</v>
      </c>
      <c r="J752" s="11" t="s">
        <v>27</v>
      </c>
      <c r="K752" s="21" t="s">
        <v>152</v>
      </c>
      <c r="L752" s="96" t="s">
        <v>3402</v>
      </c>
      <c r="M752" s="96"/>
      <c r="N752" s="11" t="s">
        <v>570</v>
      </c>
      <c r="O752" s="21"/>
      <c r="P752" s="61" t="s">
        <v>3403</v>
      </c>
      <c r="Q752" s="24"/>
    </row>
    <row r="753">
      <c r="A753" s="11">
        <v>2025.0</v>
      </c>
      <c r="B753" s="18" t="s">
        <v>46</v>
      </c>
      <c r="C753" s="13" t="str">
        <f>IFERROR(VLOOKUP(B753,'Regiões'!A:B,2,0),"")</f>
        <v>Sudoeste do Estado</v>
      </c>
      <c r="D753" s="13" t="s">
        <v>3404</v>
      </c>
      <c r="E753" s="15" t="s">
        <v>46</v>
      </c>
      <c r="F753" s="17">
        <v>4.217437000213E12</v>
      </c>
      <c r="G753" s="18"/>
      <c r="H753" s="72"/>
      <c r="I753" s="11" t="s">
        <v>27</v>
      </c>
      <c r="J753" s="11" t="s">
        <v>27</v>
      </c>
      <c r="K753" s="21" t="s">
        <v>152</v>
      </c>
      <c r="L753" s="96" t="s">
        <v>3402</v>
      </c>
      <c r="M753" s="96"/>
      <c r="N753" s="11" t="s">
        <v>570</v>
      </c>
      <c r="O753" s="21"/>
      <c r="P753" s="61" t="s">
        <v>3403</v>
      </c>
      <c r="Q753" s="24"/>
    </row>
    <row r="754">
      <c r="A754" s="11">
        <v>2025.0</v>
      </c>
      <c r="B754" s="18" t="s">
        <v>448</v>
      </c>
      <c r="C754" s="13" t="str">
        <f>IFERROR(VLOOKUP(B754,'Regiões'!A:B,2,0),"")</f>
        <v>Vale do Taquari</v>
      </c>
      <c r="D754" s="13" t="s">
        <v>3405</v>
      </c>
      <c r="E754" s="15" t="s">
        <v>3406</v>
      </c>
      <c r="F754" s="17">
        <v>8.7242707000192E13</v>
      </c>
      <c r="G754" s="18"/>
      <c r="H754" s="72"/>
      <c r="I754" s="11" t="s">
        <v>27</v>
      </c>
      <c r="J754" s="11" t="s">
        <v>27</v>
      </c>
      <c r="K754" s="21" t="s">
        <v>152</v>
      </c>
      <c r="L754" s="96" t="s">
        <v>3407</v>
      </c>
      <c r="M754" s="96"/>
      <c r="N754" s="11" t="s">
        <v>570</v>
      </c>
      <c r="O754" s="21"/>
      <c r="P754" s="61" t="s">
        <v>3372</v>
      </c>
      <c r="Q754" s="24"/>
    </row>
    <row r="755">
      <c r="A755" s="334">
        <v>2020.0</v>
      </c>
      <c r="B755" s="334" t="s">
        <v>102</v>
      </c>
      <c r="C755" s="334" t="str">
        <f>IFERROR(VLOOKUP(B755,'Regiões'!A:B,2,0),"")</f>
        <v>Vale dos Sinos</v>
      </c>
      <c r="D755" s="334" t="s">
        <v>1850</v>
      </c>
      <c r="E755" s="337" t="s">
        <v>1094</v>
      </c>
      <c r="F755" s="341"/>
      <c r="G755" s="334" t="s">
        <v>1133</v>
      </c>
      <c r="H755" s="511">
        <v>4.1160012E7</v>
      </c>
      <c r="I755" s="334" t="s">
        <v>151</v>
      </c>
      <c r="J755" s="334" t="s">
        <v>27</v>
      </c>
      <c r="K755" s="334" t="s">
        <v>152</v>
      </c>
      <c r="L755" s="513"/>
      <c r="M755" s="513"/>
      <c r="N755" s="334" t="s">
        <v>155</v>
      </c>
      <c r="O755" s="334" t="s">
        <v>110</v>
      </c>
      <c r="P755" s="337" t="s">
        <v>1479</v>
      </c>
      <c r="Q755" s="334"/>
    </row>
    <row r="756">
      <c r="A756" s="11">
        <v>2024.0</v>
      </c>
      <c r="B756" s="12" t="s">
        <v>192</v>
      </c>
      <c r="C756" s="13" t="str">
        <f>IFERROR(VLOOKUP(B756,'Regiões'!A:B,2,0),"")</f>
        <v>Vale do Taquari</v>
      </c>
      <c r="D756" s="13" t="s">
        <v>3408</v>
      </c>
      <c r="E756" s="15" t="str">
        <f t="shared" ref="E756:E765" si="36">G756&amp;" de "&amp;B756</f>
        <v>Prefeitura Municipal de Arroio do Meio</v>
      </c>
      <c r="F756" s="17"/>
      <c r="G756" s="18" t="s">
        <v>74</v>
      </c>
      <c r="H756" s="20">
        <v>4.1160005E7</v>
      </c>
      <c r="I756" s="11" t="s">
        <v>79</v>
      </c>
      <c r="J756" s="11" t="s">
        <v>79</v>
      </c>
      <c r="K756" s="21" t="s">
        <v>84</v>
      </c>
      <c r="L756" s="22"/>
      <c r="M756" s="22"/>
      <c r="N756" s="13" t="s">
        <v>89</v>
      </c>
      <c r="O756" s="21"/>
      <c r="P756" s="23"/>
      <c r="Q756" s="24"/>
    </row>
    <row r="757">
      <c r="A757" s="11">
        <v>2024.0</v>
      </c>
      <c r="B757" s="12" t="s">
        <v>559</v>
      </c>
      <c r="C757" s="13" t="str">
        <f>IFERROR(VLOOKUP(B757,'Regiões'!A:B,2,0),"")</f>
        <v>Encosta Superior do Nordeste</v>
      </c>
      <c r="D757" s="13" t="s">
        <v>3411</v>
      </c>
      <c r="E757" s="15" t="str">
        <f t="shared" si="36"/>
        <v>Prefeitura Municipal de Caxias do Sul</v>
      </c>
      <c r="F757" s="17"/>
      <c r="G757" s="18" t="s">
        <v>74</v>
      </c>
      <c r="H757" s="20">
        <v>4.1160005E7</v>
      </c>
      <c r="I757" s="11" t="s">
        <v>20</v>
      </c>
      <c r="J757" s="11" t="s">
        <v>20</v>
      </c>
      <c r="K757" s="21" t="s">
        <v>152</v>
      </c>
      <c r="L757" s="22"/>
      <c r="M757" s="22"/>
      <c r="N757" s="13" t="s">
        <v>89</v>
      </c>
      <c r="O757" s="21"/>
      <c r="P757" s="23"/>
      <c r="Q757" s="24"/>
    </row>
    <row r="758">
      <c r="A758" s="11">
        <v>2024.0</v>
      </c>
      <c r="B758" s="12" t="s">
        <v>248</v>
      </c>
      <c r="C758" s="13" t="str">
        <f>IFERROR(VLOOKUP(B758,'Regiões'!A:B,2,0),"")</f>
        <v>Encosta Superior do Nordeste</v>
      </c>
      <c r="D758" s="13" t="s">
        <v>3412</v>
      </c>
      <c r="E758" s="15" t="str">
        <f t="shared" si="36"/>
        <v>Prefeitura Municipal de Dois Lajeados</v>
      </c>
      <c r="F758" s="17"/>
      <c r="G758" s="18" t="s">
        <v>74</v>
      </c>
      <c r="H758" s="20">
        <v>4.1160005E7</v>
      </c>
      <c r="I758" s="11" t="s">
        <v>20</v>
      </c>
      <c r="J758" s="11" t="s">
        <v>20</v>
      </c>
      <c r="K758" s="21" t="s">
        <v>152</v>
      </c>
      <c r="L758" s="22"/>
      <c r="M758" s="22"/>
      <c r="N758" s="13" t="s">
        <v>89</v>
      </c>
      <c r="O758" s="21"/>
      <c r="P758" s="23"/>
      <c r="Q758" s="24"/>
    </row>
    <row r="759">
      <c r="A759" s="11">
        <v>2024.0</v>
      </c>
      <c r="B759" s="12" t="s">
        <v>651</v>
      </c>
      <c r="C759" s="13" t="str">
        <f>IFERROR(VLOOKUP(B759,'Regiões'!A:B,2,0),"")</f>
        <v>Encosta Superior do Nordeste</v>
      </c>
      <c r="D759" s="13" t="s">
        <v>3415</v>
      </c>
      <c r="E759" s="15" t="str">
        <f t="shared" si="36"/>
        <v>Prefeitura Municipal de Flores da Cunha</v>
      </c>
      <c r="F759" s="17"/>
      <c r="G759" s="18" t="s">
        <v>74</v>
      </c>
      <c r="H759" s="20">
        <v>4.1160005E7</v>
      </c>
      <c r="I759" s="11" t="s">
        <v>20</v>
      </c>
      <c r="J759" s="11" t="s">
        <v>20</v>
      </c>
      <c r="K759" s="21" t="s">
        <v>152</v>
      </c>
      <c r="L759" s="22"/>
      <c r="M759" s="22"/>
      <c r="N759" s="13" t="s">
        <v>89</v>
      </c>
      <c r="O759" s="21"/>
      <c r="P759" s="23"/>
      <c r="Q759" s="24"/>
    </row>
    <row r="760">
      <c r="A760" s="11">
        <v>2024.0</v>
      </c>
      <c r="B760" s="12" t="s">
        <v>470</v>
      </c>
      <c r="C760" s="13" t="str">
        <f>IFERROR(VLOOKUP(B760,'Regiões'!A:B,2,0),"")</f>
        <v>Nordeste Riograndense</v>
      </c>
      <c r="D760" s="13" t="s">
        <v>3417</v>
      </c>
      <c r="E760" s="15" t="str">
        <f t="shared" si="36"/>
        <v>Prefeitura Municipal de Lagoa Vermelha</v>
      </c>
      <c r="F760" s="17"/>
      <c r="G760" s="18" t="s">
        <v>74</v>
      </c>
      <c r="H760" s="20">
        <v>4.1160005E7</v>
      </c>
      <c r="I760" s="11" t="s">
        <v>20</v>
      </c>
      <c r="J760" s="11" t="s">
        <v>20</v>
      </c>
      <c r="K760" s="21" t="s">
        <v>152</v>
      </c>
      <c r="L760" s="22"/>
      <c r="M760" s="22"/>
      <c r="N760" s="13" t="s">
        <v>89</v>
      </c>
      <c r="O760" s="21"/>
      <c r="P760" s="23"/>
      <c r="Q760" s="24"/>
    </row>
    <row r="761">
      <c r="A761" s="11">
        <v>2024.0</v>
      </c>
      <c r="B761" s="12" t="s">
        <v>496</v>
      </c>
      <c r="C761" s="13" t="str">
        <f>IFERROR(VLOOKUP(B761,'Regiões'!A:B,2,0),"")</f>
        <v>Vale dos Sinos</v>
      </c>
      <c r="D761" s="13" t="s">
        <v>1052</v>
      </c>
      <c r="E761" s="15" t="str">
        <f t="shared" si="36"/>
        <v>Prefeitura Municipal de Morro Reuter</v>
      </c>
      <c r="F761" s="17"/>
      <c r="G761" s="18" t="s">
        <v>74</v>
      </c>
      <c r="H761" s="20">
        <v>4.1160005E7</v>
      </c>
      <c r="I761" s="11" t="s">
        <v>20</v>
      </c>
      <c r="J761" s="11" t="s">
        <v>20</v>
      </c>
      <c r="K761" s="21" t="s">
        <v>152</v>
      </c>
      <c r="L761" s="22"/>
      <c r="M761" s="22"/>
      <c r="N761" s="13" t="s">
        <v>89</v>
      </c>
      <c r="O761" s="21"/>
      <c r="P761" s="23"/>
      <c r="Q761" s="24"/>
    </row>
    <row r="762">
      <c r="A762" s="11">
        <v>2024.0</v>
      </c>
      <c r="B762" s="18" t="s">
        <v>593</v>
      </c>
      <c r="C762" s="13" t="str">
        <f>IFERROR(VLOOKUP(B762,'Regiões'!A:B,2,0),"")</f>
        <v>Vale do Taquari</v>
      </c>
      <c r="D762" s="13" t="s">
        <v>3418</v>
      </c>
      <c r="E762" s="15" t="str">
        <f t="shared" si="36"/>
        <v>Prefeitura Municipal de Muçum</v>
      </c>
      <c r="F762" s="17"/>
      <c r="G762" s="18" t="s">
        <v>74</v>
      </c>
      <c r="H762" s="20">
        <v>4.1160005E7</v>
      </c>
      <c r="I762" s="11" t="s">
        <v>20</v>
      </c>
      <c r="J762" s="11" t="s">
        <v>20</v>
      </c>
      <c r="K762" s="21" t="s">
        <v>152</v>
      </c>
      <c r="L762" s="22"/>
      <c r="M762" s="22"/>
      <c r="N762" s="13" t="s">
        <v>89</v>
      </c>
      <c r="O762" s="21"/>
      <c r="P762" s="23"/>
      <c r="Q762" s="24"/>
    </row>
    <row r="763">
      <c r="A763" s="11">
        <v>2024.0</v>
      </c>
      <c r="B763" s="12" t="s">
        <v>535</v>
      </c>
      <c r="C763" s="13" t="str">
        <f>IFERROR(VLOOKUP(B763,'Regiões'!A:B,2,0),"")</f>
        <v>Vale do Taquari</v>
      </c>
      <c r="D763" s="13" t="s">
        <v>2799</v>
      </c>
      <c r="E763" s="15" t="str">
        <f t="shared" si="36"/>
        <v>Prefeitura Municipal de Relvado</v>
      </c>
      <c r="F763" s="17"/>
      <c r="G763" s="18" t="s">
        <v>74</v>
      </c>
      <c r="H763" s="20">
        <v>4.1160005E7</v>
      </c>
      <c r="I763" s="11" t="s">
        <v>20</v>
      </c>
      <c r="J763" s="11" t="s">
        <v>20</v>
      </c>
      <c r="K763" s="21" t="s">
        <v>152</v>
      </c>
      <c r="L763" s="22"/>
      <c r="M763" s="22"/>
      <c r="N763" s="13" t="s">
        <v>89</v>
      </c>
      <c r="O763" s="21"/>
      <c r="P763" s="23"/>
      <c r="Q763" s="24"/>
    </row>
    <row r="764">
      <c r="A764" s="11">
        <v>2024.0</v>
      </c>
      <c r="B764" s="18" t="s">
        <v>472</v>
      </c>
      <c r="C764" s="13" t="str">
        <f>IFERROR(VLOOKUP(B764,'Regiões'!A:B,2,0),"")</f>
        <v>Centro do Estado</v>
      </c>
      <c r="D764" s="13" t="s">
        <v>2800</v>
      </c>
      <c r="E764" s="15" t="str">
        <f t="shared" si="36"/>
        <v>Prefeitura Municipal de São Martinho da Serra</v>
      </c>
      <c r="F764" s="17"/>
      <c r="G764" s="18" t="s">
        <v>74</v>
      </c>
      <c r="H764" s="20">
        <v>4.1160005E7</v>
      </c>
      <c r="I764" s="11" t="s">
        <v>20</v>
      </c>
      <c r="J764" s="11" t="s">
        <v>20</v>
      </c>
      <c r="K764" s="21" t="s">
        <v>152</v>
      </c>
      <c r="L764" s="22"/>
      <c r="M764" s="22"/>
      <c r="N764" s="13" t="s">
        <v>89</v>
      </c>
      <c r="O764" s="21"/>
      <c r="P764" s="23"/>
      <c r="Q764" s="24"/>
    </row>
    <row r="765">
      <c r="A765" s="11">
        <v>2024.0</v>
      </c>
      <c r="B765" s="12" t="s">
        <v>582</v>
      </c>
      <c r="C765" s="13" t="str">
        <f>IFERROR(VLOOKUP(B765,'Regiões'!A:B,2,0),"")</f>
        <v>Centro Serra</v>
      </c>
      <c r="D765" s="13" t="s">
        <v>3424</v>
      </c>
      <c r="E765" s="15" t="str">
        <f t="shared" si="36"/>
        <v>Prefeitura Municipal de Sobradinho</v>
      </c>
      <c r="F765" s="17"/>
      <c r="G765" s="18" t="s">
        <v>74</v>
      </c>
      <c r="H765" s="20">
        <v>4.1160005E7</v>
      </c>
      <c r="I765" s="11" t="s">
        <v>20</v>
      </c>
      <c r="J765" s="11" t="s">
        <v>20</v>
      </c>
      <c r="K765" s="21" t="s">
        <v>152</v>
      </c>
      <c r="L765" s="22"/>
      <c r="M765" s="22"/>
      <c r="N765" s="13" t="s">
        <v>89</v>
      </c>
      <c r="O765" s="21"/>
      <c r="P765" s="23"/>
      <c r="Q765" s="24"/>
    </row>
    <row r="766">
      <c r="A766" s="11"/>
      <c r="B766" s="18"/>
      <c r="C766" s="13"/>
      <c r="D766" s="13"/>
      <c r="E766" s="15"/>
      <c r="F766" s="17"/>
      <c r="G766" s="18"/>
      <c r="H766" s="72"/>
      <c r="I766" s="11"/>
      <c r="J766" s="11"/>
      <c r="K766" s="21"/>
      <c r="L766" s="96"/>
      <c r="M766" s="96"/>
      <c r="N766" s="11"/>
      <c r="O766" s="21"/>
      <c r="P766" s="61"/>
      <c r="Q766" s="24"/>
    </row>
    <row r="767">
      <c r="A767" s="11"/>
      <c r="B767" s="18"/>
      <c r="C767" s="13"/>
      <c r="D767" s="13"/>
      <c r="E767" s="15"/>
      <c r="F767" s="17"/>
      <c r="G767" s="18"/>
      <c r="H767" s="20"/>
      <c r="I767" s="11"/>
      <c r="J767" s="11"/>
      <c r="K767" s="21"/>
      <c r="L767" s="22"/>
      <c r="M767" s="22"/>
      <c r="N767" s="11"/>
      <c r="O767" s="21"/>
      <c r="P767" s="23"/>
      <c r="Q767" s="24"/>
    </row>
    <row r="768">
      <c r="A768" s="3"/>
      <c r="B768" s="950"/>
      <c r="C768" s="584"/>
      <c r="D768" s="584"/>
      <c r="E768" s="951"/>
      <c r="F768" s="952"/>
      <c r="G768" s="950"/>
      <c r="H768" s="953"/>
      <c r="I768" s="3"/>
      <c r="J768" s="3"/>
      <c r="K768" s="955"/>
      <c r="L768" s="956"/>
      <c r="M768" s="956"/>
      <c r="N768" s="3"/>
      <c r="O768" s="955"/>
      <c r="P768" s="957"/>
      <c r="Q768" s="958"/>
    </row>
    <row r="769">
      <c r="A769" s="3"/>
      <c r="B769" s="950"/>
      <c r="C769" s="584"/>
      <c r="D769" s="584"/>
      <c r="E769" s="951"/>
      <c r="F769" s="952"/>
      <c r="G769" s="950"/>
      <c r="H769" s="953"/>
      <c r="I769" s="3"/>
      <c r="J769" s="3"/>
      <c r="K769" s="955"/>
      <c r="L769" s="956"/>
      <c r="M769" s="956"/>
      <c r="N769" s="3"/>
      <c r="O769" s="955"/>
      <c r="P769" s="957"/>
      <c r="Q769" s="958"/>
    </row>
    <row r="770">
      <c r="A770" s="3"/>
      <c r="B770" s="950"/>
      <c r="C770" s="584"/>
      <c r="D770" s="584"/>
      <c r="E770" s="951"/>
      <c r="F770" s="952"/>
      <c r="G770" s="950"/>
      <c r="H770" s="953"/>
      <c r="I770" s="3"/>
      <c r="J770" s="3"/>
      <c r="K770" s="955"/>
      <c r="L770" s="956"/>
      <c r="M770" s="956"/>
      <c r="N770" s="3"/>
      <c r="O770" s="955"/>
      <c r="P770" s="957"/>
      <c r="Q770" s="958"/>
    </row>
    <row r="771">
      <c r="A771" s="3"/>
      <c r="B771" s="950"/>
      <c r="C771" s="584"/>
      <c r="D771" s="584"/>
      <c r="E771" s="951"/>
      <c r="F771" s="952"/>
      <c r="G771" s="950"/>
      <c r="H771" s="953"/>
      <c r="I771" s="3"/>
      <c r="J771" s="3"/>
      <c r="K771" s="955"/>
      <c r="L771" s="956"/>
      <c r="M771" s="956"/>
      <c r="N771" s="3"/>
      <c r="O771" s="955"/>
      <c r="P771" s="957"/>
      <c r="Q771" s="958"/>
    </row>
    <row r="772">
      <c r="A772" s="3"/>
      <c r="B772" s="950"/>
      <c r="C772" s="584"/>
      <c r="D772" s="584"/>
      <c r="E772" s="951"/>
      <c r="F772" s="952"/>
      <c r="G772" s="950"/>
      <c r="H772" s="953"/>
      <c r="I772" s="3"/>
      <c r="J772" s="3"/>
      <c r="K772" s="955"/>
      <c r="L772" s="956"/>
      <c r="M772" s="956"/>
      <c r="N772" s="3"/>
      <c r="O772" s="955"/>
      <c r="P772" s="957"/>
      <c r="Q772" s="958"/>
    </row>
    <row r="773">
      <c r="A773" s="3"/>
      <c r="B773" s="950"/>
      <c r="C773" s="584"/>
      <c r="D773" s="584"/>
      <c r="E773" s="951"/>
      <c r="F773" s="952"/>
      <c r="G773" s="950"/>
      <c r="H773" s="953"/>
      <c r="I773" s="3"/>
      <c r="J773" s="3"/>
      <c r="K773" s="955"/>
      <c r="L773" s="956"/>
      <c r="M773" s="956"/>
      <c r="N773" s="3"/>
      <c r="O773" s="955"/>
      <c r="P773" s="957"/>
      <c r="Q773" s="958"/>
    </row>
    <row r="774">
      <c r="A774" s="3"/>
      <c r="B774" s="950"/>
      <c r="C774" s="584"/>
      <c r="D774" s="584"/>
      <c r="E774" s="951"/>
      <c r="F774" s="952"/>
      <c r="G774" s="950"/>
      <c r="H774" s="953"/>
      <c r="I774" s="3"/>
      <c r="J774" s="3"/>
      <c r="K774" s="955"/>
      <c r="L774" s="956"/>
      <c r="M774" s="956"/>
      <c r="N774" s="3"/>
      <c r="O774" s="955"/>
      <c r="P774" s="957"/>
      <c r="Q774" s="958"/>
    </row>
    <row r="775">
      <c r="A775" s="3"/>
      <c r="B775" s="950"/>
      <c r="C775" s="584"/>
      <c r="D775" s="584"/>
      <c r="E775" s="951"/>
      <c r="F775" s="952"/>
      <c r="G775" s="950"/>
      <c r="H775" s="953"/>
      <c r="I775" s="3"/>
      <c r="J775" s="3"/>
      <c r="K775" s="955"/>
      <c r="L775" s="956"/>
      <c r="M775" s="956"/>
      <c r="N775" s="3"/>
      <c r="O775" s="955"/>
      <c r="P775" s="957"/>
      <c r="Q775" s="958"/>
    </row>
    <row r="776">
      <c r="A776" s="3"/>
      <c r="B776" s="950"/>
      <c r="C776" s="584"/>
      <c r="D776" s="584"/>
      <c r="E776" s="951"/>
      <c r="F776" s="952"/>
      <c r="G776" s="950"/>
      <c r="H776" s="953"/>
      <c r="I776" s="3"/>
      <c r="J776" s="3"/>
      <c r="K776" s="955"/>
      <c r="L776" s="956"/>
      <c r="M776" s="956"/>
      <c r="N776" s="3"/>
      <c r="O776" s="955"/>
      <c r="P776" s="957"/>
      <c r="Q776" s="958"/>
    </row>
    <row r="777">
      <c r="A777" s="3"/>
      <c r="B777" s="950"/>
      <c r="C777" s="584"/>
      <c r="D777" s="584"/>
      <c r="E777" s="951"/>
      <c r="F777" s="952"/>
      <c r="G777" s="950"/>
      <c r="H777" s="953"/>
      <c r="I777" s="3"/>
      <c r="J777" s="3"/>
      <c r="K777" s="955"/>
      <c r="L777" s="956"/>
      <c r="M777" s="956"/>
      <c r="N777" s="3"/>
      <c r="O777" s="955"/>
      <c r="P777" s="957"/>
      <c r="Q777" s="958"/>
    </row>
    <row r="778">
      <c r="A778" s="3"/>
      <c r="B778" s="950"/>
      <c r="C778" s="584"/>
      <c r="D778" s="584"/>
      <c r="E778" s="951"/>
      <c r="F778" s="952"/>
      <c r="G778" s="950"/>
      <c r="H778" s="953"/>
      <c r="I778" s="3"/>
      <c r="J778" s="3"/>
      <c r="K778" s="955"/>
      <c r="L778" s="956"/>
      <c r="M778" s="956"/>
      <c r="N778" s="3"/>
      <c r="O778" s="955"/>
      <c r="P778" s="957"/>
      <c r="Q778" s="958"/>
    </row>
    <row r="779">
      <c r="A779" s="3"/>
      <c r="B779" s="950"/>
      <c r="C779" s="584"/>
      <c r="D779" s="584"/>
      <c r="E779" s="951"/>
      <c r="F779" s="952"/>
      <c r="G779" s="950"/>
      <c r="H779" s="953"/>
      <c r="I779" s="3"/>
      <c r="J779" s="3"/>
      <c r="K779" s="955"/>
      <c r="L779" s="956"/>
      <c r="M779" s="956"/>
      <c r="N779" s="3"/>
      <c r="O779" s="955"/>
      <c r="P779" s="957"/>
      <c r="Q779" s="958"/>
    </row>
    <row r="780">
      <c r="A780" s="3"/>
      <c r="B780" s="950"/>
      <c r="C780" s="584"/>
      <c r="D780" s="584"/>
      <c r="E780" s="951"/>
      <c r="F780" s="952"/>
      <c r="G780" s="950"/>
      <c r="H780" s="953"/>
      <c r="I780" s="3"/>
      <c r="J780" s="3"/>
      <c r="K780" s="955"/>
      <c r="L780" s="956"/>
      <c r="M780" s="956"/>
      <c r="N780" s="3"/>
      <c r="O780" s="955"/>
      <c r="P780" s="957"/>
      <c r="Q780" s="958"/>
    </row>
    <row r="781">
      <c r="A781" s="3"/>
      <c r="B781" s="950"/>
      <c r="C781" s="584"/>
      <c r="D781" s="584"/>
      <c r="E781" s="951"/>
      <c r="F781" s="952"/>
      <c r="G781" s="950"/>
      <c r="H781" s="953"/>
      <c r="I781" s="3"/>
      <c r="J781" s="3"/>
      <c r="K781" s="955"/>
      <c r="L781" s="956"/>
      <c r="M781" s="956"/>
      <c r="N781" s="3"/>
      <c r="O781" s="955"/>
      <c r="P781" s="957"/>
      <c r="Q781" s="958"/>
    </row>
    <row r="782">
      <c r="A782" s="3"/>
      <c r="B782" s="950"/>
      <c r="C782" s="584"/>
      <c r="D782" s="584"/>
      <c r="E782" s="951"/>
      <c r="F782" s="952"/>
      <c r="G782" s="950"/>
      <c r="H782" s="953"/>
      <c r="I782" s="3"/>
      <c r="J782" s="3"/>
      <c r="K782" s="955"/>
      <c r="L782" s="956"/>
      <c r="M782" s="956"/>
      <c r="N782" s="3"/>
      <c r="O782" s="955"/>
      <c r="P782" s="957"/>
      <c r="Q782" s="958"/>
    </row>
    <row r="783">
      <c r="A783" s="3"/>
      <c r="B783" s="950"/>
      <c r="C783" s="584"/>
      <c r="D783" s="584"/>
      <c r="E783" s="951"/>
      <c r="F783" s="952"/>
      <c r="G783" s="950"/>
      <c r="H783" s="953"/>
      <c r="I783" s="3"/>
      <c r="J783" s="3"/>
      <c r="K783" s="955"/>
      <c r="L783" s="956"/>
      <c r="M783" s="956"/>
      <c r="N783" s="3"/>
      <c r="O783" s="955"/>
      <c r="P783" s="957"/>
      <c r="Q783" s="958"/>
    </row>
    <row r="784">
      <c r="A784" s="3"/>
      <c r="B784" s="950"/>
      <c r="C784" s="584"/>
      <c r="D784" s="584"/>
      <c r="E784" s="951"/>
      <c r="F784" s="952"/>
      <c r="G784" s="950"/>
      <c r="H784" s="953"/>
      <c r="I784" s="3"/>
      <c r="J784" s="3"/>
      <c r="K784" s="955"/>
      <c r="L784" s="956"/>
      <c r="M784" s="956"/>
      <c r="N784" s="3"/>
      <c r="O784" s="955"/>
      <c r="P784" s="957"/>
      <c r="Q784" s="958"/>
    </row>
    <row r="785">
      <c r="A785" s="3"/>
      <c r="B785" s="950"/>
      <c r="C785" s="584"/>
      <c r="D785" s="584"/>
      <c r="E785" s="951"/>
      <c r="F785" s="952"/>
      <c r="G785" s="950"/>
      <c r="H785" s="953"/>
      <c r="I785" s="3"/>
      <c r="J785" s="3"/>
      <c r="K785" s="955"/>
      <c r="L785" s="956"/>
      <c r="M785" s="956"/>
      <c r="N785" s="3"/>
      <c r="O785" s="955"/>
      <c r="P785" s="957"/>
      <c r="Q785" s="958"/>
    </row>
    <row r="786">
      <c r="A786" s="3"/>
      <c r="B786" s="950"/>
      <c r="C786" s="584"/>
      <c r="D786" s="584"/>
      <c r="E786" s="951"/>
      <c r="F786" s="952"/>
      <c r="G786" s="950"/>
      <c r="H786" s="953"/>
      <c r="I786" s="3"/>
      <c r="J786" s="3"/>
      <c r="K786" s="955"/>
      <c r="L786" s="956"/>
      <c r="M786" s="956"/>
      <c r="N786" s="3"/>
      <c r="O786" s="955"/>
      <c r="P786" s="957"/>
      <c r="Q786" s="958"/>
    </row>
    <row r="787">
      <c r="A787" s="3"/>
      <c r="B787" s="950"/>
      <c r="C787" s="584"/>
      <c r="D787" s="584"/>
      <c r="E787" s="951"/>
      <c r="F787" s="952"/>
      <c r="G787" s="950"/>
      <c r="H787" s="953"/>
      <c r="I787" s="3"/>
      <c r="J787" s="3"/>
      <c r="K787" s="955"/>
      <c r="L787" s="956"/>
      <c r="M787" s="956"/>
      <c r="N787" s="3"/>
      <c r="O787" s="955"/>
      <c r="P787" s="957"/>
      <c r="Q787" s="958"/>
    </row>
    <row r="788">
      <c r="A788" s="3"/>
      <c r="B788" s="950"/>
      <c r="C788" s="584"/>
      <c r="D788" s="584"/>
      <c r="E788" s="951"/>
      <c r="F788" s="952"/>
      <c r="G788" s="950"/>
      <c r="H788" s="953"/>
      <c r="I788" s="3"/>
      <c r="J788" s="3"/>
      <c r="K788" s="955"/>
      <c r="L788" s="956"/>
      <c r="M788" s="956"/>
      <c r="N788" s="3"/>
      <c r="O788" s="955"/>
      <c r="P788" s="957"/>
      <c r="Q788" s="958"/>
    </row>
    <row r="789">
      <c r="A789" s="3"/>
      <c r="B789" s="950"/>
      <c r="C789" s="584"/>
      <c r="D789" s="584"/>
      <c r="E789" s="951"/>
      <c r="F789" s="952"/>
      <c r="G789" s="950"/>
      <c r="H789" s="953"/>
      <c r="I789" s="3"/>
      <c r="J789" s="3"/>
      <c r="K789" s="955"/>
      <c r="L789" s="956"/>
      <c r="M789" s="956"/>
      <c r="N789" s="3"/>
      <c r="O789" s="955"/>
      <c r="P789" s="957"/>
      <c r="Q789" s="958"/>
    </row>
    <row r="790">
      <c r="A790" s="3"/>
      <c r="B790" s="950"/>
      <c r="C790" s="584"/>
      <c r="D790" s="584"/>
      <c r="E790" s="951"/>
      <c r="F790" s="952"/>
      <c r="G790" s="950"/>
      <c r="H790" s="953"/>
      <c r="I790" s="3"/>
      <c r="J790" s="3"/>
      <c r="K790" s="955"/>
      <c r="L790" s="956"/>
      <c r="M790" s="956"/>
      <c r="N790" s="3"/>
      <c r="O790" s="955"/>
      <c r="P790" s="957"/>
      <c r="Q790" s="958"/>
    </row>
    <row r="791">
      <c r="A791" s="3"/>
      <c r="B791" s="950"/>
      <c r="C791" s="584"/>
      <c r="D791" s="584"/>
      <c r="E791" s="951"/>
      <c r="F791" s="952"/>
      <c r="G791" s="950"/>
      <c r="H791" s="953"/>
      <c r="I791" s="3"/>
      <c r="J791" s="3"/>
      <c r="K791" s="955"/>
      <c r="L791" s="956"/>
      <c r="M791" s="956"/>
      <c r="N791" s="3"/>
      <c r="O791" s="955"/>
      <c r="P791" s="957"/>
      <c r="Q791" s="958"/>
    </row>
    <row r="792">
      <c r="A792" s="3"/>
      <c r="B792" s="950"/>
      <c r="C792" s="584"/>
      <c r="D792" s="584"/>
      <c r="E792" s="951"/>
      <c r="F792" s="952"/>
      <c r="G792" s="950"/>
      <c r="H792" s="953"/>
      <c r="I792" s="3"/>
      <c r="J792" s="3"/>
      <c r="K792" s="955"/>
      <c r="L792" s="956"/>
      <c r="M792" s="956"/>
      <c r="N792" s="3"/>
      <c r="O792" s="955"/>
      <c r="P792" s="957"/>
      <c r="Q792" s="958"/>
    </row>
    <row r="793">
      <c r="A793" s="3"/>
      <c r="B793" s="950"/>
      <c r="C793" s="584"/>
      <c r="D793" s="584"/>
      <c r="E793" s="951"/>
      <c r="F793" s="952"/>
      <c r="G793" s="950"/>
      <c r="H793" s="953"/>
      <c r="I793" s="3"/>
      <c r="J793" s="3"/>
      <c r="K793" s="955"/>
      <c r="L793" s="956"/>
      <c r="M793" s="956"/>
      <c r="N793" s="3"/>
      <c r="O793" s="955"/>
      <c r="P793" s="957"/>
      <c r="Q793" s="958"/>
    </row>
    <row r="794">
      <c r="A794" s="3"/>
      <c r="B794" s="950"/>
      <c r="C794" s="584"/>
      <c r="D794" s="584"/>
      <c r="E794" s="951"/>
      <c r="F794" s="952"/>
      <c r="G794" s="950"/>
      <c r="H794" s="953"/>
      <c r="I794" s="3"/>
      <c r="J794" s="3"/>
      <c r="K794" s="955"/>
      <c r="L794" s="956"/>
      <c r="M794" s="956"/>
      <c r="N794" s="3"/>
      <c r="O794" s="955"/>
      <c r="P794" s="957"/>
      <c r="Q794" s="958"/>
    </row>
    <row r="795">
      <c r="A795" s="3"/>
      <c r="B795" s="950"/>
      <c r="C795" s="584"/>
      <c r="D795" s="584"/>
      <c r="E795" s="951"/>
      <c r="F795" s="952"/>
      <c r="G795" s="950"/>
      <c r="H795" s="953"/>
      <c r="I795" s="3"/>
      <c r="J795" s="3"/>
      <c r="K795" s="955"/>
      <c r="L795" s="956"/>
      <c r="M795" s="956"/>
      <c r="N795" s="3"/>
      <c r="O795" s="955"/>
      <c r="P795" s="957"/>
      <c r="Q795" s="958"/>
    </row>
    <row r="796">
      <c r="A796" s="3"/>
      <c r="B796" s="950"/>
      <c r="C796" s="584"/>
      <c r="D796" s="584"/>
      <c r="E796" s="951"/>
      <c r="F796" s="952"/>
      <c r="G796" s="950"/>
      <c r="H796" s="953"/>
      <c r="I796" s="3"/>
      <c r="J796" s="3"/>
      <c r="K796" s="955"/>
      <c r="L796" s="956"/>
      <c r="M796" s="956"/>
      <c r="N796" s="3"/>
      <c r="O796" s="955"/>
      <c r="P796" s="957"/>
      <c r="Q796" s="958"/>
    </row>
    <row r="797">
      <c r="A797" s="3"/>
      <c r="B797" s="950"/>
      <c r="C797" s="584"/>
      <c r="D797" s="584"/>
      <c r="E797" s="951"/>
      <c r="F797" s="952"/>
      <c r="G797" s="950"/>
      <c r="H797" s="953"/>
      <c r="I797" s="3"/>
      <c r="J797" s="3"/>
      <c r="K797" s="955"/>
      <c r="L797" s="956"/>
      <c r="M797" s="956"/>
      <c r="N797" s="3"/>
      <c r="O797" s="955"/>
      <c r="P797" s="957"/>
      <c r="Q797" s="958"/>
    </row>
    <row r="798">
      <c r="A798" s="3"/>
      <c r="B798" s="950"/>
      <c r="C798" s="584"/>
      <c r="D798" s="584"/>
      <c r="E798" s="951"/>
      <c r="F798" s="952"/>
      <c r="G798" s="950"/>
      <c r="H798" s="953"/>
      <c r="I798" s="3"/>
      <c r="J798" s="3"/>
      <c r="K798" s="955"/>
      <c r="L798" s="956"/>
      <c r="M798" s="956"/>
      <c r="N798" s="3"/>
      <c r="O798" s="955"/>
      <c r="P798" s="957"/>
      <c r="Q798" s="958"/>
    </row>
    <row r="799">
      <c r="A799" s="3"/>
      <c r="B799" s="950"/>
      <c r="C799" s="584"/>
      <c r="D799" s="584"/>
      <c r="E799" s="951"/>
      <c r="F799" s="952"/>
      <c r="G799" s="950"/>
      <c r="H799" s="953"/>
      <c r="I799" s="3"/>
      <c r="J799" s="3"/>
      <c r="K799" s="955"/>
      <c r="L799" s="956"/>
      <c r="M799" s="956"/>
      <c r="N799" s="3"/>
      <c r="O799" s="955"/>
      <c r="P799" s="957"/>
      <c r="Q799" s="958"/>
    </row>
    <row r="800">
      <c r="A800" s="3"/>
      <c r="B800" s="950"/>
      <c r="C800" s="584"/>
      <c r="D800" s="584"/>
      <c r="E800" s="951"/>
      <c r="F800" s="952"/>
      <c r="G800" s="950"/>
      <c r="H800" s="953"/>
      <c r="I800" s="3"/>
      <c r="J800" s="3"/>
      <c r="K800" s="955"/>
      <c r="L800" s="956"/>
      <c r="M800" s="956"/>
      <c r="N800" s="3"/>
      <c r="O800" s="955"/>
      <c r="P800" s="957"/>
      <c r="Q800" s="958"/>
    </row>
    <row r="801">
      <c r="A801" s="3"/>
      <c r="B801" s="950"/>
      <c r="C801" s="584"/>
      <c r="D801" s="584"/>
      <c r="E801" s="951"/>
      <c r="F801" s="952"/>
      <c r="G801" s="950"/>
      <c r="H801" s="953"/>
      <c r="I801" s="3"/>
      <c r="J801" s="3"/>
      <c r="K801" s="955"/>
      <c r="L801" s="956"/>
      <c r="M801" s="956"/>
      <c r="N801" s="3"/>
      <c r="O801" s="955"/>
      <c r="P801" s="957"/>
      <c r="Q801" s="958"/>
    </row>
    <row r="802">
      <c r="A802" s="3"/>
      <c r="B802" s="950"/>
      <c r="C802" s="584"/>
      <c r="D802" s="584"/>
      <c r="E802" s="951"/>
      <c r="F802" s="952"/>
      <c r="G802" s="950"/>
      <c r="H802" s="953"/>
      <c r="I802" s="3"/>
      <c r="J802" s="3"/>
      <c r="K802" s="955"/>
      <c r="L802" s="956"/>
      <c r="M802" s="956"/>
      <c r="N802" s="3"/>
      <c r="O802" s="955"/>
      <c r="P802" s="957"/>
      <c r="Q802" s="958"/>
    </row>
    <row r="803">
      <c r="A803" s="3"/>
      <c r="B803" s="950"/>
      <c r="C803" s="584"/>
      <c r="D803" s="584"/>
      <c r="E803" s="951"/>
      <c r="F803" s="952"/>
      <c r="G803" s="950"/>
      <c r="H803" s="953"/>
      <c r="I803" s="3"/>
      <c r="J803" s="3"/>
      <c r="K803" s="955"/>
      <c r="L803" s="956"/>
      <c r="M803" s="956"/>
      <c r="N803" s="3"/>
      <c r="O803" s="955"/>
      <c r="P803" s="957"/>
      <c r="Q803" s="958"/>
    </row>
    <row r="804">
      <c r="A804" s="3"/>
      <c r="B804" s="950"/>
      <c r="C804" s="584"/>
      <c r="D804" s="584"/>
      <c r="E804" s="951"/>
      <c r="F804" s="952"/>
      <c r="G804" s="950"/>
      <c r="H804" s="953"/>
      <c r="I804" s="3"/>
      <c r="J804" s="3"/>
      <c r="K804" s="955"/>
      <c r="L804" s="956"/>
      <c r="M804" s="956"/>
      <c r="N804" s="3"/>
      <c r="O804" s="955"/>
      <c r="P804" s="957"/>
      <c r="Q804" s="958"/>
    </row>
    <row r="805">
      <c r="A805" s="3"/>
      <c r="B805" s="950"/>
      <c r="C805" s="584"/>
      <c r="D805" s="584"/>
      <c r="E805" s="951"/>
      <c r="F805" s="952"/>
      <c r="G805" s="950"/>
      <c r="H805" s="953"/>
      <c r="I805" s="3"/>
      <c r="J805" s="3"/>
      <c r="K805" s="955"/>
      <c r="L805" s="956"/>
      <c r="M805" s="956"/>
      <c r="N805" s="3"/>
      <c r="O805" s="955"/>
      <c r="P805" s="957"/>
      <c r="Q805" s="958"/>
    </row>
    <row r="806">
      <c r="A806" s="3"/>
      <c r="B806" s="950"/>
      <c r="C806" s="584"/>
      <c r="D806" s="584"/>
      <c r="E806" s="951"/>
      <c r="F806" s="952"/>
      <c r="G806" s="950"/>
      <c r="H806" s="953"/>
      <c r="I806" s="3"/>
      <c r="J806" s="3"/>
      <c r="K806" s="955"/>
      <c r="L806" s="956"/>
      <c r="M806" s="956"/>
      <c r="N806" s="3"/>
      <c r="O806" s="955"/>
      <c r="P806" s="957"/>
      <c r="Q806" s="958"/>
    </row>
    <row r="807">
      <c r="A807" s="3"/>
      <c r="B807" s="950"/>
      <c r="C807" s="584"/>
      <c r="D807" s="584"/>
      <c r="E807" s="951"/>
      <c r="F807" s="952"/>
      <c r="G807" s="950"/>
      <c r="H807" s="953"/>
      <c r="I807" s="3"/>
      <c r="J807" s="3"/>
      <c r="K807" s="955"/>
      <c r="L807" s="956"/>
      <c r="M807" s="956"/>
      <c r="N807" s="3"/>
      <c r="O807" s="955"/>
      <c r="P807" s="957"/>
      <c r="Q807" s="958"/>
    </row>
    <row r="808">
      <c r="A808" s="3"/>
      <c r="B808" s="950"/>
      <c r="C808" s="584"/>
      <c r="D808" s="584"/>
      <c r="E808" s="951"/>
      <c r="F808" s="952"/>
      <c r="G808" s="950"/>
      <c r="H808" s="953"/>
      <c r="I808" s="3"/>
      <c r="J808" s="3"/>
      <c r="K808" s="955"/>
      <c r="L808" s="956"/>
      <c r="M808" s="956"/>
      <c r="N808" s="3"/>
      <c r="O808" s="955"/>
      <c r="P808" s="957"/>
      <c r="Q808" s="958"/>
    </row>
    <row r="809">
      <c r="A809" s="3"/>
      <c r="B809" s="950"/>
      <c r="C809" s="584"/>
      <c r="D809" s="584"/>
      <c r="E809" s="951"/>
      <c r="F809" s="952"/>
      <c r="G809" s="950"/>
      <c r="H809" s="953"/>
      <c r="I809" s="3"/>
      <c r="J809" s="3"/>
      <c r="K809" s="955"/>
      <c r="L809" s="956"/>
      <c r="M809" s="956"/>
      <c r="N809" s="3"/>
      <c r="O809" s="955"/>
      <c r="P809" s="957"/>
      <c r="Q809" s="958"/>
    </row>
    <row r="810">
      <c r="A810" s="3"/>
      <c r="B810" s="950"/>
      <c r="C810" s="584"/>
      <c r="D810" s="584"/>
      <c r="E810" s="951"/>
      <c r="F810" s="952"/>
      <c r="G810" s="950"/>
      <c r="H810" s="953"/>
      <c r="I810" s="3"/>
      <c r="J810" s="3"/>
      <c r="K810" s="955"/>
      <c r="L810" s="956"/>
      <c r="M810" s="956"/>
      <c r="N810" s="3"/>
      <c r="O810" s="955"/>
      <c r="P810" s="957"/>
      <c r="Q810" s="958"/>
    </row>
    <row r="811">
      <c r="A811" s="3"/>
      <c r="B811" s="950"/>
      <c r="C811" s="584"/>
      <c r="D811" s="584"/>
      <c r="E811" s="951"/>
      <c r="F811" s="952"/>
      <c r="G811" s="950"/>
      <c r="H811" s="953"/>
      <c r="I811" s="3"/>
      <c r="J811" s="3"/>
      <c r="K811" s="955"/>
      <c r="L811" s="956"/>
      <c r="M811" s="956"/>
      <c r="N811" s="3"/>
      <c r="O811" s="955"/>
      <c r="P811" s="957"/>
      <c r="Q811" s="958"/>
    </row>
    <row r="812">
      <c r="A812" s="3"/>
      <c r="B812" s="950"/>
      <c r="C812" s="584"/>
      <c r="D812" s="584"/>
      <c r="E812" s="951"/>
      <c r="F812" s="952"/>
      <c r="G812" s="950"/>
      <c r="H812" s="953"/>
      <c r="I812" s="3"/>
      <c r="J812" s="3"/>
      <c r="K812" s="955"/>
      <c r="L812" s="956"/>
      <c r="M812" s="956"/>
      <c r="N812" s="3"/>
      <c r="O812" s="955"/>
      <c r="P812" s="957"/>
      <c r="Q812" s="958"/>
    </row>
    <row r="813">
      <c r="A813" s="3"/>
      <c r="B813" s="950"/>
      <c r="C813" s="584"/>
      <c r="D813" s="584"/>
      <c r="E813" s="951"/>
      <c r="F813" s="952"/>
      <c r="G813" s="950"/>
      <c r="H813" s="953"/>
      <c r="I813" s="3"/>
      <c r="J813" s="3"/>
      <c r="K813" s="955"/>
      <c r="L813" s="956"/>
      <c r="M813" s="956"/>
      <c r="N813" s="3"/>
      <c r="O813" s="955"/>
      <c r="P813" s="957"/>
      <c r="Q813" s="958"/>
    </row>
    <row r="814">
      <c r="A814" s="3"/>
      <c r="B814" s="950"/>
      <c r="C814" s="584"/>
      <c r="D814" s="584"/>
      <c r="E814" s="951"/>
      <c r="F814" s="952"/>
      <c r="G814" s="950"/>
      <c r="H814" s="953"/>
      <c r="I814" s="3"/>
      <c r="J814" s="3"/>
      <c r="K814" s="955"/>
      <c r="L814" s="956"/>
      <c r="M814" s="956"/>
      <c r="N814" s="3"/>
      <c r="O814" s="955"/>
      <c r="P814" s="957"/>
      <c r="Q814" s="958"/>
    </row>
    <row r="815">
      <c r="A815" s="3"/>
      <c r="B815" s="950"/>
      <c r="C815" s="584"/>
      <c r="D815" s="584"/>
      <c r="E815" s="951"/>
      <c r="F815" s="952"/>
      <c r="G815" s="950"/>
      <c r="H815" s="953"/>
      <c r="I815" s="3"/>
      <c r="J815" s="3"/>
      <c r="K815" s="955"/>
      <c r="L815" s="956"/>
      <c r="M815" s="956"/>
      <c r="N815" s="3"/>
      <c r="O815" s="955"/>
      <c r="P815" s="957"/>
      <c r="Q815" s="958"/>
    </row>
    <row r="816">
      <c r="A816" s="3"/>
      <c r="B816" s="950"/>
      <c r="C816" s="584"/>
      <c r="D816" s="584"/>
      <c r="E816" s="951"/>
      <c r="F816" s="952"/>
      <c r="G816" s="950"/>
      <c r="H816" s="953"/>
      <c r="I816" s="3"/>
      <c r="J816" s="3"/>
      <c r="K816" s="955"/>
      <c r="L816" s="956"/>
      <c r="M816" s="956"/>
      <c r="N816" s="3"/>
      <c r="O816" s="955"/>
      <c r="P816" s="957"/>
      <c r="Q816" s="958"/>
    </row>
    <row r="817">
      <c r="A817" s="3"/>
      <c r="B817" s="950"/>
      <c r="C817" s="584"/>
      <c r="D817" s="584"/>
      <c r="E817" s="951"/>
      <c r="F817" s="952"/>
      <c r="G817" s="950"/>
      <c r="H817" s="953"/>
      <c r="I817" s="3"/>
      <c r="J817" s="3"/>
      <c r="K817" s="955"/>
      <c r="L817" s="956"/>
      <c r="M817" s="956"/>
      <c r="N817" s="3"/>
      <c r="O817" s="955"/>
      <c r="P817" s="957"/>
      <c r="Q817" s="958"/>
    </row>
    <row r="818">
      <c r="A818" s="3"/>
      <c r="B818" s="950"/>
      <c r="C818" s="584"/>
      <c r="D818" s="584"/>
      <c r="E818" s="951"/>
      <c r="F818" s="952"/>
      <c r="G818" s="950"/>
      <c r="H818" s="953"/>
      <c r="I818" s="3"/>
      <c r="J818" s="3"/>
      <c r="K818" s="955"/>
      <c r="L818" s="956"/>
      <c r="M818" s="956"/>
      <c r="N818" s="3"/>
      <c r="O818" s="955"/>
      <c r="P818" s="957"/>
      <c r="Q818" s="958"/>
    </row>
    <row r="819">
      <c r="A819" s="3"/>
      <c r="B819" s="950"/>
      <c r="C819" s="584"/>
      <c r="D819" s="584"/>
      <c r="E819" s="951"/>
      <c r="F819" s="952"/>
      <c r="G819" s="950"/>
      <c r="H819" s="953"/>
      <c r="I819" s="3"/>
      <c r="J819" s="3"/>
      <c r="K819" s="955"/>
      <c r="L819" s="956"/>
      <c r="M819" s="956"/>
      <c r="N819" s="3"/>
      <c r="O819" s="955"/>
      <c r="P819" s="957"/>
      <c r="Q819" s="958"/>
    </row>
    <row r="820">
      <c r="A820" s="3"/>
      <c r="B820" s="950"/>
      <c r="C820" s="584"/>
      <c r="D820" s="584"/>
      <c r="E820" s="951"/>
      <c r="F820" s="952"/>
      <c r="G820" s="950"/>
      <c r="H820" s="953"/>
      <c r="I820" s="3"/>
      <c r="J820" s="3"/>
      <c r="K820" s="955"/>
      <c r="L820" s="956"/>
      <c r="M820" s="956"/>
      <c r="N820" s="3"/>
      <c r="O820" s="955"/>
      <c r="P820" s="957"/>
      <c r="Q820" s="958"/>
    </row>
    <row r="821">
      <c r="A821" s="3"/>
      <c r="B821" s="950"/>
      <c r="C821" s="584"/>
      <c r="D821" s="584"/>
      <c r="E821" s="951"/>
      <c r="F821" s="952"/>
      <c r="G821" s="950"/>
      <c r="H821" s="953"/>
      <c r="I821" s="3"/>
      <c r="J821" s="3"/>
      <c r="K821" s="955"/>
      <c r="L821" s="956"/>
      <c r="M821" s="956"/>
      <c r="N821" s="3"/>
      <c r="O821" s="955"/>
      <c r="P821" s="957"/>
      <c r="Q821" s="958"/>
    </row>
    <row r="822">
      <c r="A822" s="3"/>
      <c r="B822" s="950"/>
      <c r="C822" s="584"/>
      <c r="D822" s="584"/>
      <c r="E822" s="951"/>
      <c r="F822" s="952"/>
      <c r="G822" s="950"/>
      <c r="H822" s="953"/>
      <c r="I822" s="3"/>
      <c r="J822" s="3"/>
      <c r="K822" s="955"/>
      <c r="L822" s="956"/>
      <c r="M822" s="956"/>
      <c r="N822" s="3"/>
      <c r="O822" s="955"/>
      <c r="P822" s="957"/>
      <c r="Q822" s="958"/>
    </row>
    <row r="823">
      <c r="A823" s="3"/>
      <c r="B823" s="950"/>
      <c r="C823" s="584"/>
      <c r="D823" s="584"/>
      <c r="E823" s="951"/>
      <c r="F823" s="952"/>
      <c r="G823" s="950"/>
      <c r="H823" s="953"/>
      <c r="I823" s="3"/>
      <c r="J823" s="3"/>
      <c r="K823" s="955"/>
      <c r="L823" s="956"/>
      <c r="M823" s="956"/>
      <c r="N823" s="3"/>
      <c r="O823" s="955"/>
      <c r="P823" s="957"/>
      <c r="Q823" s="958"/>
    </row>
    <row r="824">
      <c r="A824" s="3"/>
      <c r="B824" s="950"/>
      <c r="C824" s="584"/>
      <c r="D824" s="584"/>
      <c r="E824" s="951"/>
      <c r="F824" s="952"/>
      <c r="G824" s="950"/>
      <c r="H824" s="953"/>
      <c r="I824" s="3"/>
      <c r="J824" s="3"/>
      <c r="K824" s="955"/>
      <c r="L824" s="956"/>
      <c r="M824" s="956"/>
      <c r="N824" s="3"/>
      <c r="O824" s="955"/>
      <c r="P824" s="957"/>
      <c r="Q824" s="958"/>
    </row>
    <row r="825">
      <c r="A825" s="3"/>
      <c r="B825" s="950"/>
      <c r="C825" s="584"/>
      <c r="D825" s="584"/>
      <c r="E825" s="951"/>
      <c r="F825" s="952"/>
      <c r="G825" s="950"/>
      <c r="H825" s="953"/>
      <c r="I825" s="3"/>
      <c r="J825" s="3"/>
      <c r="K825" s="955"/>
      <c r="L825" s="956"/>
      <c r="M825" s="956"/>
      <c r="N825" s="3"/>
      <c r="O825" s="955"/>
      <c r="P825" s="957"/>
      <c r="Q825" s="958"/>
    </row>
    <row r="826">
      <c r="A826" s="3"/>
      <c r="B826" s="950"/>
      <c r="C826" s="584"/>
      <c r="D826" s="584"/>
      <c r="E826" s="951"/>
      <c r="F826" s="952"/>
      <c r="G826" s="950"/>
      <c r="H826" s="953"/>
      <c r="I826" s="3"/>
      <c r="J826" s="3"/>
      <c r="K826" s="955"/>
      <c r="L826" s="956"/>
      <c r="M826" s="956"/>
      <c r="N826" s="3"/>
      <c r="O826" s="955"/>
      <c r="P826" s="957"/>
      <c r="Q826" s="958"/>
    </row>
    <row r="827">
      <c r="A827" s="3"/>
      <c r="B827" s="950"/>
      <c r="C827" s="584"/>
      <c r="D827" s="584"/>
      <c r="E827" s="951"/>
      <c r="F827" s="952"/>
      <c r="G827" s="950"/>
      <c r="H827" s="953"/>
      <c r="I827" s="3"/>
      <c r="J827" s="3"/>
      <c r="K827" s="955"/>
      <c r="L827" s="956"/>
      <c r="M827" s="956"/>
      <c r="N827" s="3"/>
      <c r="O827" s="955"/>
      <c r="P827" s="957"/>
      <c r="Q827" s="958"/>
    </row>
    <row r="828">
      <c r="A828" s="3"/>
      <c r="B828" s="950"/>
      <c r="C828" s="584"/>
      <c r="D828" s="584"/>
      <c r="E828" s="951"/>
      <c r="F828" s="952"/>
      <c r="G828" s="950"/>
      <c r="H828" s="953"/>
      <c r="I828" s="3"/>
      <c r="J828" s="3"/>
      <c r="K828" s="955"/>
      <c r="L828" s="956"/>
      <c r="M828" s="956"/>
      <c r="N828" s="3"/>
      <c r="O828" s="955"/>
      <c r="P828" s="957"/>
      <c r="Q828" s="958"/>
    </row>
    <row r="829">
      <c r="A829" s="3"/>
      <c r="B829" s="950"/>
      <c r="C829" s="584"/>
      <c r="D829" s="584"/>
      <c r="E829" s="951"/>
      <c r="F829" s="952"/>
      <c r="G829" s="950"/>
      <c r="H829" s="953"/>
      <c r="I829" s="3"/>
      <c r="J829" s="3"/>
      <c r="K829" s="955"/>
      <c r="L829" s="956"/>
      <c r="M829" s="956"/>
      <c r="N829" s="3"/>
      <c r="O829" s="955"/>
      <c r="P829" s="957"/>
      <c r="Q829" s="958"/>
    </row>
    <row r="830">
      <c r="A830" s="3"/>
      <c r="B830" s="950"/>
      <c r="C830" s="584"/>
      <c r="D830" s="584"/>
      <c r="E830" s="951"/>
      <c r="F830" s="952"/>
      <c r="G830" s="950"/>
      <c r="H830" s="953"/>
      <c r="I830" s="3"/>
      <c r="J830" s="3"/>
      <c r="K830" s="955"/>
      <c r="L830" s="956"/>
      <c r="M830" s="956"/>
      <c r="N830" s="3"/>
      <c r="O830" s="955"/>
      <c r="P830" s="957"/>
      <c r="Q830" s="958"/>
    </row>
    <row r="831">
      <c r="A831" s="3"/>
      <c r="B831" s="950"/>
      <c r="C831" s="584"/>
      <c r="D831" s="584"/>
      <c r="E831" s="951"/>
      <c r="F831" s="952"/>
      <c r="G831" s="950"/>
      <c r="H831" s="953"/>
      <c r="I831" s="3"/>
      <c r="J831" s="3"/>
      <c r="K831" s="955"/>
      <c r="L831" s="956"/>
      <c r="M831" s="956"/>
      <c r="N831" s="3"/>
      <c r="O831" s="955"/>
      <c r="P831" s="957"/>
      <c r="Q831" s="958"/>
    </row>
    <row r="832">
      <c r="A832" s="3"/>
      <c r="B832" s="950"/>
      <c r="C832" s="584"/>
      <c r="D832" s="584"/>
      <c r="E832" s="951"/>
      <c r="F832" s="952"/>
      <c r="G832" s="950"/>
      <c r="H832" s="953"/>
      <c r="I832" s="3"/>
      <c r="J832" s="3"/>
      <c r="K832" s="955"/>
      <c r="L832" s="956"/>
      <c r="M832" s="956"/>
      <c r="N832" s="3"/>
      <c r="O832" s="955"/>
      <c r="P832" s="957"/>
      <c r="Q832" s="958"/>
    </row>
    <row r="833">
      <c r="A833" s="3"/>
      <c r="B833" s="950"/>
      <c r="C833" s="584"/>
      <c r="D833" s="584"/>
      <c r="E833" s="951"/>
      <c r="F833" s="952"/>
      <c r="G833" s="950"/>
      <c r="H833" s="953"/>
      <c r="I833" s="3"/>
      <c r="J833" s="3"/>
      <c r="K833" s="955"/>
      <c r="L833" s="956"/>
      <c r="M833" s="956"/>
      <c r="N833" s="3"/>
      <c r="O833" s="955"/>
      <c r="P833" s="957"/>
      <c r="Q833" s="958"/>
    </row>
    <row r="834">
      <c r="A834" s="3"/>
      <c r="B834" s="950"/>
      <c r="C834" s="584"/>
      <c r="D834" s="584"/>
      <c r="E834" s="951"/>
      <c r="F834" s="952"/>
      <c r="G834" s="950"/>
      <c r="H834" s="953"/>
      <c r="I834" s="3"/>
      <c r="J834" s="3"/>
      <c r="K834" s="955"/>
      <c r="L834" s="956"/>
      <c r="M834" s="956"/>
      <c r="N834" s="3"/>
      <c r="O834" s="955"/>
      <c r="P834" s="957"/>
      <c r="Q834" s="958"/>
    </row>
    <row r="835">
      <c r="A835" s="3"/>
      <c r="B835" s="950"/>
      <c r="C835" s="584"/>
      <c r="D835" s="584"/>
      <c r="E835" s="951"/>
      <c r="F835" s="952"/>
      <c r="G835" s="950"/>
      <c r="H835" s="953"/>
      <c r="I835" s="3"/>
      <c r="J835" s="3"/>
      <c r="K835" s="955"/>
      <c r="L835" s="956"/>
      <c r="M835" s="956"/>
      <c r="N835" s="3"/>
      <c r="O835" s="955"/>
      <c r="P835" s="957"/>
      <c r="Q835" s="958"/>
    </row>
    <row r="836">
      <c r="A836" s="3"/>
      <c r="B836" s="950"/>
      <c r="C836" s="584"/>
      <c r="D836" s="584"/>
      <c r="E836" s="951"/>
      <c r="F836" s="952"/>
      <c r="G836" s="950"/>
      <c r="H836" s="953"/>
      <c r="I836" s="3"/>
      <c r="J836" s="3"/>
      <c r="K836" s="955"/>
      <c r="L836" s="956"/>
      <c r="M836" s="956"/>
      <c r="N836" s="3"/>
      <c r="O836" s="955"/>
      <c r="P836" s="957"/>
      <c r="Q836" s="958"/>
    </row>
    <row r="837">
      <c r="A837" s="3"/>
      <c r="B837" s="950"/>
      <c r="C837" s="584"/>
      <c r="D837" s="584"/>
      <c r="E837" s="951"/>
      <c r="F837" s="952"/>
      <c r="G837" s="950"/>
      <c r="H837" s="953"/>
      <c r="I837" s="3"/>
      <c r="J837" s="3"/>
      <c r="K837" s="955"/>
      <c r="L837" s="956"/>
      <c r="M837" s="956"/>
      <c r="N837" s="3"/>
      <c r="O837" s="955"/>
      <c r="P837" s="957"/>
      <c r="Q837" s="958"/>
    </row>
    <row r="838">
      <c r="A838" s="3"/>
      <c r="B838" s="950"/>
      <c r="C838" s="584"/>
      <c r="D838" s="584"/>
      <c r="E838" s="951"/>
      <c r="F838" s="952"/>
      <c r="G838" s="950"/>
      <c r="H838" s="953"/>
      <c r="I838" s="3"/>
      <c r="J838" s="3"/>
      <c r="K838" s="955"/>
      <c r="L838" s="956"/>
      <c r="M838" s="956"/>
      <c r="N838" s="3"/>
      <c r="O838" s="955"/>
      <c r="P838" s="957"/>
      <c r="Q838" s="958"/>
    </row>
    <row r="839">
      <c r="A839" s="3"/>
      <c r="B839" s="950"/>
      <c r="C839" s="584"/>
      <c r="D839" s="584"/>
      <c r="E839" s="951"/>
      <c r="F839" s="952"/>
      <c r="G839" s="950"/>
      <c r="H839" s="953"/>
      <c r="I839" s="3"/>
      <c r="J839" s="3"/>
      <c r="K839" s="955"/>
      <c r="L839" s="956"/>
      <c r="M839" s="956"/>
      <c r="N839" s="3"/>
      <c r="O839" s="955"/>
      <c r="P839" s="957"/>
      <c r="Q839" s="958"/>
    </row>
    <row r="840">
      <c r="A840" s="3"/>
      <c r="B840" s="950"/>
      <c r="C840" s="584"/>
      <c r="D840" s="584"/>
      <c r="E840" s="951"/>
      <c r="F840" s="952"/>
      <c r="G840" s="950"/>
      <c r="H840" s="953"/>
      <c r="I840" s="3"/>
      <c r="J840" s="3"/>
      <c r="K840" s="955"/>
      <c r="L840" s="956"/>
      <c r="M840" s="956"/>
      <c r="N840" s="3"/>
      <c r="O840" s="955"/>
      <c r="P840" s="957"/>
      <c r="Q840" s="958"/>
    </row>
    <row r="841">
      <c r="A841" s="3"/>
      <c r="B841" s="950"/>
      <c r="C841" s="584"/>
      <c r="D841" s="584"/>
      <c r="E841" s="951"/>
      <c r="F841" s="952"/>
      <c r="G841" s="950"/>
      <c r="H841" s="953"/>
      <c r="I841" s="3"/>
      <c r="J841" s="3"/>
      <c r="K841" s="955"/>
      <c r="L841" s="956"/>
      <c r="M841" s="956"/>
      <c r="N841" s="3"/>
      <c r="O841" s="955"/>
      <c r="P841" s="957"/>
      <c r="Q841" s="958"/>
    </row>
    <row r="842">
      <c r="A842" s="3"/>
      <c r="B842" s="950"/>
      <c r="C842" s="584"/>
      <c r="D842" s="584"/>
      <c r="E842" s="951"/>
      <c r="F842" s="952"/>
      <c r="G842" s="950"/>
      <c r="H842" s="953"/>
      <c r="I842" s="3"/>
      <c r="J842" s="3"/>
      <c r="K842" s="955"/>
      <c r="L842" s="956"/>
      <c r="M842" s="956"/>
      <c r="N842" s="3"/>
      <c r="O842" s="955"/>
      <c r="P842" s="957"/>
      <c r="Q842" s="958"/>
    </row>
    <row r="843">
      <c r="A843" s="3"/>
      <c r="B843" s="950"/>
      <c r="C843" s="584"/>
      <c r="D843" s="584"/>
      <c r="E843" s="951"/>
      <c r="F843" s="952"/>
      <c r="G843" s="950"/>
      <c r="H843" s="953"/>
      <c r="I843" s="3"/>
      <c r="J843" s="3"/>
      <c r="K843" s="955"/>
      <c r="L843" s="956"/>
      <c r="M843" s="956"/>
      <c r="N843" s="3"/>
      <c r="O843" s="955"/>
      <c r="P843" s="957"/>
      <c r="Q843" s="958"/>
    </row>
    <row r="844">
      <c r="A844" s="3"/>
      <c r="B844" s="950"/>
      <c r="C844" s="584"/>
      <c r="D844" s="584"/>
      <c r="E844" s="951"/>
      <c r="F844" s="952"/>
      <c r="G844" s="950"/>
      <c r="H844" s="953"/>
      <c r="I844" s="3"/>
      <c r="J844" s="3"/>
      <c r="K844" s="955"/>
      <c r="L844" s="956"/>
      <c r="M844" s="956"/>
      <c r="N844" s="3"/>
      <c r="O844" s="955"/>
      <c r="P844" s="957"/>
      <c r="Q844" s="958"/>
    </row>
    <row r="845">
      <c r="A845" s="3"/>
      <c r="B845" s="950"/>
      <c r="C845" s="584"/>
      <c r="D845" s="584"/>
      <c r="E845" s="951"/>
      <c r="F845" s="952"/>
      <c r="G845" s="950"/>
      <c r="H845" s="953"/>
      <c r="I845" s="3"/>
      <c r="J845" s="3"/>
      <c r="K845" s="955"/>
      <c r="L845" s="956"/>
      <c r="M845" s="956"/>
      <c r="N845" s="3"/>
      <c r="O845" s="955"/>
      <c r="P845" s="957"/>
      <c r="Q845" s="958"/>
    </row>
    <row r="846">
      <c r="A846" s="3"/>
      <c r="B846" s="950"/>
      <c r="C846" s="584"/>
      <c r="D846" s="584"/>
      <c r="E846" s="951"/>
      <c r="F846" s="952"/>
      <c r="G846" s="950"/>
      <c r="H846" s="953"/>
      <c r="I846" s="3"/>
      <c r="J846" s="3"/>
      <c r="K846" s="955"/>
      <c r="L846" s="956"/>
      <c r="M846" s="956"/>
      <c r="N846" s="3"/>
      <c r="O846" s="955"/>
      <c r="P846" s="957"/>
      <c r="Q846" s="958"/>
    </row>
    <row r="847">
      <c r="A847" s="3"/>
      <c r="B847" s="950"/>
      <c r="C847" s="584"/>
      <c r="D847" s="584"/>
      <c r="E847" s="951"/>
      <c r="F847" s="952"/>
      <c r="G847" s="950"/>
      <c r="H847" s="953"/>
      <c r="I847" s="3"/>
      <c r="J847" s="3"/>
      <c r="K847" s="955"/>
      <c r="L847" s="956"/>
      <c r="M847" s="956"/>
      <c r="N847" s="3"/>
      <c r="O847" s="955"/>
      <c r="P847" s="957"/>
      <c r="Q847" s="958"/>
    </row>
    <row r="848">
      <c r="A848" s="3"/>
      <c r="B848" s="950"/>
      <c r="C848" s="584"/>
      <c r="D848" s="584"/>
      <c r="E848" s="951"/>
      <c r="F848" s="952"/>
      <c r="G848" s="950"/>
      <c r="H848" s="953"/>
      <c r="I848" s="3"/>
      <c r="J848" s="3"/>
      <c r="K848" s="955"/>
      <c r="L848" s="956"/>
      <c r="M848" s="956"/>
      <c r="N848" s="3"/>
      <c r="O848" s="955"/>
      <c r="P848" s="957"/>
      <c r="Q848" s="958"/>
    </row>
    <row r="849">
      <c r="A849" s="3"/>
      <c r="B849" s="950"/>
      <c r="C849" s="584"/>
      <c r="D849" s="584"/>
      <c r="E849" s="951"/>
      <c r="F849" s="952"/>
      <c r="G849" s="950"/>
      <c r="H849" s="953"/>
      <c r="I849" s="3"/>
      <c r="J849" s="3"/>
      <c r="K849" s="955"/>
      <c r="L849" s="956"/>
      <c r="M849" s="956"/>
      <c r="N849" s="3"/>
      <c r="O849" s="955"/>
      <c r="P849" s="957"/>
      <c r="Q849" s="958"/>
    </row>
    <row r="850">
      <c r="A850" s="3"/>
      <c r="B850" s="950"/>
      <c r="C850" s="584"/>
      <c r="D850" s="584"/>
      <c r="E850" s="951"/>
      <c r="F850" s="952"/>
      <c r="G850" s="950"/>
      <c r="H850" s="953"/>
      <c r="I850" s="3"/>
      <c r="J850" s="3"/>
      <c r="K850" s="955"/>
      <c r="L850" s="956"/>
      <c r="M850" s="956"/>
      <c r="N850" s="3"/>
      <c r="O850" s="955"/>
      <c r="P850" s="957"/>
      <c r="Q850" s="958"/>
    </row>
    <row r="851">
      <c r="A851" s="3"/>
      <c r="B851" s="950"/>
      <c r="C851" s="584"/>
      <c r="D851" s="584"/>
      <c r="E851" s="951"/>
      <c r="F851" s="952"/>
      <c r="G851" s="950"/>
      <c r="H851" s="953"/>
      <c r="I851" s="3"/>
      <c r="J851" s="3"/>
      <c r="K851" s="955"/>
      <c r="L851" s="956"/>
      <c r="M851" s="956"/>
      <c r="N851" s="3"/>
      <c r="O851" s="955"/>
      <c r="P851" s="957"/>
      <c r="Q851" s="958"/>
    </row>
    <row r="852">
      <c r="A852" s="3"/>
      <c r="B852" s="950"/>
      <c r="C852" s="584"/>
      <c r="D852" s="584"/>
      <c r="E852" s="951"/>
      <c r="F852" s="952"/>
      <c r="G852" s="950"/>
      <c r="H852" s="953"/>
      <c r="I852" s="3"/>
      <c r="J852" s="3"/>
      <c r="K852" s="955"/>
      <c r="L852" s="956"/>
      <c r="M852" s="956"/>
      <c r="N852" s="3"/>
      <c r="O852" s="955"/>
      <c r="P852" s="957"/>
      <c r="Q852" s="958"/>
    </row>
    <row r="853">
      <c r="A853" s="3"/>
      <c r="B853" s="950"/>
      <c r="C853" s="584"/>
      <c r="D853" s="584"/>
      <c r="E853" s="951"/>
      <c r="F853" s="952"/>
      <c r="G853" s="950"/>
      <c r="H853" s="953"/>
      <c r="I853" s="3"/>
      <c r="J853" s="3"/>
      <c r="K853" s="955"/>
      <c r="L853" s="956"/>
      <c r="M853" s="956"/>
      <c r="N853" s="3"/>
      <c r="O853" s="955"/>
      <c r="P853" s="957"/>
      <c r="Q853" s="958"/>
    </row>
    <row r="854">
      <c r="A854" s="3"/>
      <c r="B854" s="950"/>
      <c r="C854" s="584"/>
      <c r="D854" s="584"/>
      <c r="E854" s="951"/>
      <c r="F854" s="952"/>
      <c r="G854" s="950"/>
      <c r="H854" s="953"/>
      <c r="I854" s="3"/>
      <c r="J854" s="3"/>
      <c r="K854" s="955"/>
      <c r="L854" s="956"/>
      <c r="M854" s="956"/>
      <c r="N854" s="3"/>
      <c r="O854" s="955"/>
      <c r="P854" s="957"/>
      <c r="Q854" s="958"/>
    </row>
    <row r="855">
      <c r="A855" s="3"/>
      <c r="B855" s="950"/>
      <c r="C855" s="584"/>
      <c r="D855" s="584"/>
      <c r="E855" s="951"/>
      <c r="F855" s="952"/>
      <c r="G855" s="950"/>
      <c r="H855" s="953"/>
      <c r="I855" s="3"/>
      <c r="J855" s="3"/>
      <c r="K855" s="955"/>
      <c r="L855" s="956"/>
      <c r="M855" s="956"/>
      <c r="N855" s="3"/>
      <c r="O855" s="955"/>
      <c r="P855" s="957"/>
      <c r="Q855" s="958"/>
    </row>
    <row r="856">
      <c r="A856" s="3"/>
      <c r="B856" s="950"/>
      <c r="C856" s="584"/>
      <c r="D856" s="584"/>
      <c r="E856" s="951"/>
      <c r="F856" s="952"/>
      <c r="G856" s="950"/>
      <c r="H856" s="953"/>
      <c r="I856" s="3"/>
      <c r="J856" s="3"/>
      <c r="K856" s="955"/>
      <c r="L856" s="956"/>
      <c r="M856" s="956"/>
      <c r="N856" s="3"/>
      <c r="O856" s="955"/>
      <c r="P856" s="957"/>
      <c r="Q856" s="958"/>
    </row>
    <row r="857">
      <c r="A857" s="3"/>
      <c r="B857" s="950"/>
      <c r="C857" s="584"/>
      <c r="D857" s="584"/>
      <c r="E857" s="951"/>
      <c r="F857" s="952"/>
      <c r="G857" s="950"/>
      <c r="H857" s="953"/>
      <c r="I857" s="3"/>
      <c r="J857" s="3"/>
      <c r="K857" s="955"/>
      <c r="L857" s="956"/>
      <c r="M857" s="956"/>
      <c r="N857" s="3"/>
      <c r="O857" s="955"/>
      <c r="P857" s="957"/>
      <c r="Q857" s="958"/>
    </row>
    <row r="858">
      <c r="A858" s="3"/>
      <c r="B858" s="950"/>
      <c r="C858" s="584"/>
      <c r="D858" s="584"/>
      <c r="E858" s="951"/>
      <c r="F858" s="952"/>
      <c r="G858" s="950"/>
      <c r="H858" s="953"/>
      <c r="I858" s="3"/>
      <c r="J858" s="3"/>
      <c r="K858" s="955"/>
      <c r="L858" s="956"/>
      <c r="M858" s="956"/>
      <c r="N858" s="3"/>
      <c r="O858" s="955"/>
      <c r="P858" s="957"/>
      <c r="Q858" s="958"/>
    </row>
    <row r="859">
      <c r="A859" s="3"/>
      <c r="B859" s="950"/>
      <c r="C859" s="584"/>
      <c r="D859" s="584"/>
      <c r="E859" s="951"/>
      <c r="F859" s="952"/>
      <c r="G859" s="950"/>
      <c r="H859" s="953"/>
      <c r="I859" s="3"/>
      <c r="J859" s="3"/>
      <c r="K859" s="955"/>
      <c r="L859" s="956"/>
      <c r="M859" s="956"/>
      <c r="N859" s="3"/>
      <c r="O859" s="955"/>
      <c r="P859" s="957"/>
      <c r="Q859" s="958"/>
    </row>
    <row r="860">
      <c r="A860" s="3"/>
      <c r="B860" s="950"/>
      <c r="C860" s="584"/>
      <c r="D860" s="584"/>
      <c r="E860" s="951"/>
      <c r="F860" s="952"/>
      <c r="G860" s="950"/>
      <c r="H860" s="953"/>
      <c r="I860" s="3"/>
      <c r="J860" s="3"/>
      <c r="K860" s="955"/>
      <c r="L860" s="956"/>
      <c r="M860" s="956"/>
      <c r="N860" s="3"/>
      <c r="O860" s="955"/>
      <c r="P860" s="957"/>
      <c r="Q860" s="958"/>
    </row>
    <row r="861">
      <c r="A861" s="3"/>
      <c r="B861" s="950"/>
      <c r="C861" s="584"/>
      <c r="D861" s="584"/>
      <c r="E861" s="951"/>
      <c r="F861" s="952"/>
      <c r="G861" s="950"/>
      <c r="H861" s="953"/>
      <c r="I861" s="3"/>
      <c r="J861" s="3"/>
      <c r="K861" s="955"/>
      <c r="L861" s="956"/>
      <c r="M861" s="956"/>
      <c r="N861" s="3"/>
      <c r="O861" s="955"/>
      <c r="P861" s="957"/>
      <c r="Q861" s="958"/>
    </row>
    <row r="862">
      <c r="A862" s="3"/>
      <c r="B862" s="950"/>
      <c r="C862" s="584"/>
      <c r="D862" s="584"/>
      <c r="E862" s="951"/>
      <c r="F862" s="952"/>
      <c r="G862" s="950"/>
      <c r="H862" s="953"/>
      <c r="I862" s="3"/>
      <c r="J862" s="3"/>
      <c r="K862" s="955"/>
      <c r="L862" s="956"/>
      <c r="M862" s="956"/>
      <c r="N862" s="3"/>
      <c r="O862" s="955"/>
      <c r="P862" s="957"/>
      <c r="Q862" s="958"/>
    </row>
    <row r="863">
      <c r="A863" s="3"/>
      <c r="B863" s="950"/>
      <c r="C863" s="584"/>
      <c r="D863" s="584"/>
      <c r="E863" s="951"/>
      <c r="F863" s="952"/>
      <c r="G863" s="950"/>
      <c r="H863" s="953"/>
      <c r="I863" s="3"/>
      <c r="J863" s="3"/>
      <c r="K863" s="955"/>
      <c r="L863" s="956"/>
      <c r="M863" s="956"/>
      <c r="N863" s="3"/>
      <c r="O863" s="955"/>
      <c r="P863" s="957"/>
      <c r="Q863" s="958"/>
    </row>
    <row r="864">
      <c r="A864" s="3"/>
      <c r="B864" s="950"/>
      <c r="C864" s="584"/>
      <c r="D864" s="584"/>
      <c r="E864" s="951"/>
      <c r="F864" s="952"/>
      <c r="G864" s="950"/>
      <c r="H864" s="953"/>
      <c r="I864" s="3"/>
      <c r="J864" s="3"/>
      <c r="K864" s="955"/>
      <c r="L864" s="956"/>
      <c r="M864" s="956"/>
      <c r="N864" s="3"/>
      <c r="O864" s="955"/>
      <c r="P864" s="957"/>
      <c r="Q864" s="958"/>
    </row>
    <row r="865">
      <c r="A865" s="3"/>
      <c r="B865" s="950"/>
      <c r="C865" s="584"/>
      <c r="D865" s="584"/>
      <c r="E865" s="951"/>
      <c r="F865" s="952"/>
      <c r="G865" s="950"/>
      <c r="H865" s="953"/>
      <c r="I865" s="3"/>
      <c r="J865" s="3"/>
      <c r="K865" s="955"/>
      <c r="L865" s="956"/>
      <c r="M865" s="956"/>
      <c r="N865" s="3"/>
      <c r="O865" s="955"/>
      <c r="P865" s="957"/>
      <c r="Q865" s="958"/>
    </row>
    <row r="866">
      <c r="A866" s="3"/>
      <c r="B866" s="950"/>
      <c r="C866" s="584"/>
      <c r="D866" s="584"/>
      <c r="E866" s="951"/>
      <c r="F866" s="952"/>
      <c r="G866" s="950"/>
      <c r="H866" s="953"/>
      <c r="I866" s="3"/>
      <c r="J866" s="3"/>
      <c r="K866" s="955"/>
      <c r="L866" s="956"/>
      <c r="M866" s="956"/>
      <c r="N866" s="3"/>
      <c r="O866" s="955"/>
      <c r="P866" s="957"/>
      <c r="Q866" s="958"/>
    </row>
    <row r="867">
      <c r="A867" s="3"/>
      <c r="B867" s="950"/>
      <c r="C867" s="584"/>
      <c r="D867" s="584"/>
      <c r="E867" s="951"/>
      <c r="F867" s="952"/>
      <c r="G867" s="950"/>
      <c r="H867" s="953"/>
      <c r="I867" s="3"/>
      <c r="J867" s="3"/>
      <c r="K867" s="955"/>
      <c r="L867" s="956"/>
      <c r="M867" s="956"/>
      <c r="N867" s="3"/>
      <c r="O867" s="955"/>
      <c r="P867" s="957"/>
      <c r="Q867" s="958"/>
    </row>
    <row r="868">
      <c r="A868" s="3"/>
      <c r="B868" s="950"/>
      <c r="C868" s="584"/>
      <c r="D868" s="584"/>
      <c r="E868" s="951"/>
      <c r="F868" s="952"/>
      <c r="G868" s="950"/>
      <c r="H868" s="953"/>
      <c r="I868" s="3"/>
      <c r="J868" s="3"/>
      <c r="K868" s="955"/>
      <c r="L868" s="956"/>
      <c r="M868" s="956"/>
      <c r="N868" s="3"/>
      <c r="O868" s="955"/>
      <c r="P868" s="957"/>
      <c r="Q868" s="958"/>
    </row>
    <row r="869">
      <c r="A869" s="3"/>
      <c r="B869" s="950"/>
      <c r="C869" s="584"/>
      <c r="D869" s="584"/>
      <c r="E869" s="951"/>
      <c r="F869" s="952"/>
      <c r="G869" s="950"/>
      <c r="H869" s="953"/>
      <c r="I869" s="3"/>
      <c r="J869" s="3"/>
      <c r="K869" s="955"/>
      <c r="L869" s="956"/>
      <c r="M869" s="956"/>
      <c r="N869" s="3"/>
      <c r="O869" s="955"/>
      <c r="P869" s="957"/>
      <c r="Q869" s="958"/>
    </row>
    <row r="870">
      <c r="A870" s="3"/>
      <c r="B870" s="950"/>
      <c r="C870" s="584"/>
      <c r="D870" s="584"/>
      <c r="E870" s="951"/>
      <c r="F870" s="952"/>
      <c r="G870" s="950"/>
      <c r="H870" s="953"/>
      <c r="I870" s="3"/>
      <c r="J870" s="3"/>
      <c r="K870" s="955"/>
      <c r="L870" s="956"/>
      <c r="M870" s="956"/>
      <c r="N870" s="3"/>
      <c r="O870" s="955"/>
      <c r="P870" s="957"/>
      <c r="Q870" s="958"/>
    </row>
    <row r="871">
      <c r="A871" s="3"/>
      <c r="B871" s="950"/>
      <c r="C871" s="584"/>
      <c r="D871" s="584"/>
      <c r="E871" s="951"/>
      <c r="F871" s="952"/>
      <c r="G871" s="950"/>
      <c r="H871" s="953"/>
      <c r="I871" s="3"/>
      <c r="J871" s="3"/>
      <c r="K871" s="955"/>
      <c r="L871" s="956"/>
      <c r="M871" s="956"/>
      <c r="N871" s="3"/>
      <c r="O871" s="955"/>
      <c r="P871" s="957"/>
      <c r="Q871" s="958"/>
    </row>
    <row r="872">
      <c r="A872" s="3"/>
      <c r="B872" s="950"/>
      <c r="C872" s="584"/>
      <c r="D872" s="584"/>
      <c r="E872" s="951"/>
      <c r="F872" s="952"/>
      <c r="G872" s="950"/>
      <c r="H872" s="953"/>
      <c r="I872" s="3"/>
      <c r="J872" s="3"/>
      <c r="K872" s="955"/>
      <c r="L872" s="956"/>
      <c r="M872" s="956"/>
      <c r="N872" s="3"/>
      <c r="O872" s="955"/>
      <c r="P872" s="957"/>
      <c r="Q872" s="958"/>
    </row>
    <row r="873">
      <c r="A873" s="3"/>
      <c r="B873" s="950"/>
      <c r="C873" s="584"/>
      <c r="D873" s="584"/>
      <c r="E873" s="951"/>
      <c r="F873" s="952"/>
      <c r="G873" s="950"/>
      <c r="H873" s="953"/>
      <c r="I873" s="3"/>
      <c r="J873" s="3"/>
      <c r="K873" s="955"/>
      <c r="L873" s="956"/>
      <c r="M873" s="956"/>
      <c r="N873" s="3"/>
      <c r="O873" s="955"/>
      <c r="P873" s="957"/>
      <c r="Q873" s="958"/>
    </row>
    <row r="874">
      <c r="A874" s="3"/>
      <c r="B874" s="950"/>
      <c r="C874" s="584"/>
      <c r="D874" s="584"/>
      <c r="E874" s="951"/>
      <c r="F874" s="952"/>
      <c r="G874" s="950"/>
      <c r="H874" s="953"/>
      <c r="I874" s="3"/>
      <c r="J874" s="3"/>
      <c r="K874" s="955"/>
      <c r="L874" s="956"/>
      <c r="M874" s="956"/>
      <c r="N874" s="3"/>
      <c r="O874" s="955"/>
      <c r="P874" s="957"/>
      <c r="Q874" s="958"/>
    </row>
    <row r="875">
      <c r="A875" s="3"/>
      <c r="B875" s="950"/>
      <c r="C875" s="584"/>
      <c r="D875" s="584"/>
      <c r="E875" s="951"/>
      <c r="F875" s="952"/>
      <c r="G875" s="950"/>
      <c r="H875" s="953"/>
      <c r="I875" s="3"/>
      <c r="J875" s="3"/>
      <c r="K875" s="955"/>
      <c r="L875" s="956"/>
      <c r="M875" s="956"/>
      <c r="N875" s="3"/>
      <c r="O875" s="955"/>
      <c r="P875" s="957"/>
      <c r="Q875" s="958"/>
    </row>
    <row r="876">
      <c r="A876" s="3"/>
      <c r="B876" s="950"/>
      <c r="C876" s="584"/>
      <c r="D876" s="584"/>
      <c r="E876" s="951"/>
      <c r="F876" s="952"/>
      <c r="G876" s="950"/>
      <c r="H876" s="953"/>
      <c r="I876" s="3"/>
      <c r="J876" s="3"/>
      <c r="K876" s="955"/>
      <c r="L876" s="956"/>
      <c r="M876" s="956"/>
      <c r="N876" s="3"/>
      <c r="O876" s="955"/>
      <c r="P876" s="957"/>
      <c r="Q876" s="958"/>
    </row>
    <row r="877">
      <c r="A877" s="3"/>
      <c r="B877" s="950"/>
      <c r="C877" s="584"/>
      <c r="D877" s="584"/>
      <c r="E877" s="951"/>
      <c r="F877" s="952"/>
      <c r="G877" s="950"/>
      <c r="H877" s="953"/>
      <c r="I877" s="3"/>
      <c r="J877" s="3"/>
      <c r="K877" s="955"/>
      <c r="L877" s="956"/>
      <c r="M877" s="956"/>
      <c r="N877" s="3"/>
      <c r="O877" s="955"/>
      <c r="P877" s="957"/>
      <c r="Q877" s="958"/>
    </row>
    <row r="878">
      <c r="A878" s="3"/>
      <c r="B878" s="950"/>
      <c r="C878" s="584"/>
      <c r="D878" s="584"/>
      <c r="E878" s="951"/>
      <c r="F878" s="952"/>
      <c r="G878" s="950"/>
      <c r="H878" s="953"/>
      <c r="I878" s="3"/>
      <c r="J878" s="3"/>
      <c r="K878" s="955"/>
      <c r="L878" s="956"/>
      <c r="M878" s="956"/>
      <c r="N878" s="3"/>
      <c r="O878" s="955"/>
      <c r="P878" s="957"/>
      <c r="Q878" s="958"/>
    </row>
    <row r="879">
      <c r="A879" s="3"/>
      <c r="B879" s="950"/>
      <c r="C879" s="584"/>
      <c r="D879" s="584"/>
      <c r="E879" s="951"/>
      <c r="F879" s="952"/>
      <c r="G879" s="950"/>
      <c r="H879" s="953"/>
      <c r="I879" s="3"/>
      <c r="J879" s="3"/>
      <c r="K879" s="955"/>
      <c r="L879" s="956"/>
      <c r="M879" s="956"/>
      <c r="N879" s="3"/>
      <c r="O879" s="955"/>
      <c r="P879" s="957"/>
      <c r="Q879" s="958"/>
    </row>
    <row r="880">
      <c r="A880" s="3"/>
      <c r="B880" s="950"/>
      <c r="C880" s="584"/>
      <c r="D880" s="584"/>
      <c r="E880" s="951"/>
      <c r="F880" s="952"/>
      <c r="G880" s="950"/>
      <c r="H880" s="953"/>
      <c r="I880" s="3"/>
      <c r="J880" s="3"/>
      <c r="K880" s="955"/>
      <c r="L880" s="956"/>
      <c r="M880" s="956"/>
      <c r="N880" s="3"/>
      <c r="O880" s="955"/>
      <c r="P880" s="957"/>
      <c r="Q880" s="958"/>
    </row>
    <row r="881">
      <c r="A881" s="3"/>
      <c r="B881" s="950"/>
      <c r="C881" s="584"/>
      <c r="D881" s="584"/>
      <c r="E881" s="951"/>
      <c r="F881" s="952"/>
      <c r="G881" s="950"/>
      <c r="H881" s="953"/>
      <c r="I881" s="3"/>
      <c r="J881" s="3"/>
      <c r="K881" s="955"/>
      <c r="L881" s="956"/>
      <c r="M881" s="956"/>
      <c r="N881" s="3"/>
      <c r="O881" s="955"/>
      <c r="P881" s="957"/>
      <c r="Q881" s="958"/>
    </row>
    <row r="882">
      <c r="A882" s="3"/>
      <c r="B882" s="950"/>
      <c r="C882" s="584"/>
      <c r="D882" s="584"/>
      <c r="E882" s="951"/>
      <c r="F882" s="952"/>
      <c r="G882" s="950"/>
      <c r="H882" s="953"/>
      <c r="I882" s="3"/>
      <c r="J882" s="3"/>
      <c r="K882" s="955"/>
      <c r="L882" s="956"/>
      <c r="M882" s="956"/>
      <c r="N882" s="3"/>
      <c r="O882" s="955"/>
      <c r="P882" s="957"/>
      <c r="Q882" s="958"/>
    </row>
    <row r="883">
      <c r="A883" s="3"/>
      <c r="B883" s="950"/>
      <c r="C883" s="584"/>
      <c r="D883" s="584"/>
      <c r="E883" s="951"/>
      <c r="F883" s="952"/>
      <c r="G883" s="950"/>
      <c r="H883" s="953"/>
      <c r="I883" s="3"/>
      <c r="J883" s="3"/>
      <c r="K883" s="955"/>
      <c r="L883" s="956"/>
      <c r="M883" s="956"/>
      <c r="N883" s="3"/>
      <c r="O883" s="955"/>
      <c r="P883" s="957"/>
      <c r="Q883" s="958"/>
    </row>
    <row r="884">
      <c r="A884" s="3"/>
      <c r="B884" s="950"/>
      <c r="C884" s="584"/>
      <c r="D884" s="584"/>
      <c r="E884" s="951"/>
      <c r="F884" s="952"/>
      <c r="G884" s="950"/>
      <c r="H884" s="953"/>
      <c r="I884" s="3"/>
      <c r="J884" s="3"/>
      <c r="K884" s="955"/>
      <c r="L884" s="956"/>
      <c r="M884" s="956"/>
      <c r="N884" s="3"/>
      <c r="O884" s="955"/>
      <c r="P884" s="957"/>
      <c r="Q884" s="958"/>
    </row>
    <row r="885">
      <c r="A885" s="3"/>
      <c r="B885" s="950"/>
      <c r="C885" s="584"/>
      <c r="D885" s="584"/>
      <c r="E885" s="951"/>
      <c r="F885" s="952"/>
      <c r="G885" s="950"/>
      <c r="H885" s="953"/>
      <c r="I885" s="3"/>
      <c r="J885" s="3"/>
      <c r="K885" s="955"/>
      <c r="L885" s="956"/>
      <c r="M885" s="956"/>
      <c r="N885" s="3"/>
      <c r="O885" s="955"/>
      <c r="P885" s="957"/>
      <c r="Q885" s="958"/>
    </row>
    <row r="886">
      <c r="A886" s="3"/>
      <c r="B886" s="950"/>
      <c r="C886" s="584"/>
      <c r="D886" s="584"/>
      <c r="E886" s="951"/>
      <c r="F886" s="952"/>
      <c r="G886" s="950"/>
      <c r="H886" s="953"/>
      <c r="I886" s="3"/>
      <c r="J886" s="3"/>
      <c r="K886" s="955"/>
      <c r="L886" s="956"/>
      <c r="M886" s="956"/>
      <c r="N886" s="3"/>
      <c r="O886" s="955"/>
      <c r="P886" s="957"/>
      <c r="Q886" s="958"/>
    </row>
    <row r="887">
      <c r="A887" s="3"/>
      <c r="B887" s="950"/>
      <c r="C887" s="584"/>
      <c r="D887" s="584"/>
      <c r="E887" s="951"/>
      <c r="F887" s="952"/>
      <c r="G887" s="950"/>
      <c r="H887" s="953"/>
      <c r="I887" s="3"/>
      <c r="J887" s="3"/>
      <c r="K887" s="955"/>
      <c r="L887" s="956"/>
      <c r="M887" s="956"/>
      <c r="N887" s="3"/>
      <c r="O887" s="955"/>
      <c r="P887" s="957"/>
      <c r="Q887" s="958"/>
    </row>
    <row r="888">
      <c r="A888" s="3"/>
      <c r="B888" s="950"/>
      <c r="C888" s="584"/>
      <c r="D888" s="584"/>
      <c r="E888" s="951"/>
      <c r="F888" s="952"/>
      <c r="G888" s="950"/>
      <c r="H888" s="953"/>
      <c r="I888" s="3"/>
      <c r="J888" s="3"/>
      <c r="K888" s="955"/>
      <c r="L888" s="956"/>
      <c r="M888" s="956"/>
      <c r="N888" s="3"/>
      <c r="O888" s="955"/>
      <c r="P888" s="957"/>
      <c r="Q888" s="958"/>
    </row>
    <row r="889">
      <c r="A889" s="3"/>
      <c r="B889" s="950"/>
      <c r="C889" s="584"/>
      <c r="D889" s="584"/>
      <c r="E889" s="951"/>
      <c r="F889" s="952"/>
      <c r="G889" s="950"/>
      <c r="H889" s="953"/>
      <c r="I889" s="3"/>
      <c r="J889" s="3"/>
      <c r="K889" s="955"/>
      <c r="L889" s="956"/>
      <c r="M889" s="956"/>
      <c r="N889" s="3"/>
      <c r="O889" s="955"/>
      <c r="P889" s="957"/>
      <c r="Q889" s="958"/>
    </row>
    <row r="890">
      <c r="A890" s="3"/>
      <c r="B890" s="950"/>
      <c r="C890" s="584"/>
      <c r="D890" s="584"/>
      <c r="E890" s="951"/>
      <c r="F890" s="952"/>
      <c r="G890" s="950"/>
      <c r="H890" s="953"/>
      <c r="I890" s="3"/>
      <c r="J890" s="3"/>
      <c r="K890" s="955"/>
      <c r="L890" s="956"/>
      <c r="M890" s="956"/>
      <c r="N890" s="3"/>
      <c r="O890" s="955"/>
      <c r="P890" s="957"/>
      <c r="Q890" s="958"/>
    </row>
    <row r="891">
      <c r="A891" s="3"/>
      <c r="B891" s="950"/>
      <c r="C891" s="584"/>
      <c r="D891" s="584"/>
      <c r="E891" s="951"/>
      <c r="F891" s="952"/>
      <c r="G891" s="950"/>
      <c r="H891" s="953"/>
      <c r="I891" s="3"/>
      <c r="J891" s="3"/>
      <c r="K891" s="955"/>
      <c r="L891" s="956"/>
      <c r="M891" s="956"/>
      <c r="N891" s="3"/>
      <c r="O891" s="955"/>
      <c r="P891" s="957"/>
      <c r="Q891" s="958"/>
    </row>
    <row r="892">
      <c r="A892" s="3"/>
      <c r="B892" s="950"/>
      <c r="C892" s="584"/>
      <c r="D892" s="584"/>
      <c r="E892" s="951"/>
      <c r="F892" s="952"/>
      <c r="G892" s="950"/>
      <c r="H892" s="953"/>
      <c r="I892" s="3"/>
      <c r="J892" s="3"/>
      <c r="K892" s="955"/>
      <c r="L892" s="956"/>
      <c r="M892" s="956"/>
      <c r="N892" s="3"/>
      <c r="O892" s="955"/>
      <c r="P892" s="957"/>
      <c r="Q892" s="958"/>
    </row>
    <row r="893">
      <c r="A893" s="3"/>
      <c r="B893" s="950"/>
      <c r="C893" s="584"/>
      <c r="D893" s="584"/>
      <c r="E893" s="951"/>
      <c r="F893" s="952"/>
      <c r="G893" s="950"/>
      <c r="H893" s="953"/>
      <c r="I893" s="3"/>
      <c r="J893" s="3"/>
      <c r="K893" s="955"/>
      <c r="L893" s="956"/>
      <c r="M893" s="956"/>
      <c r="N893" s="3"/>
      <c r="O893" s="955"/>
      <c r="P893" s="957"/>
      <c r="Q893" s="958"/>
    </row>
    <row r="894">
      <c r="A894" s="3"/>
      <c r="B894" s="950"/>
      <c r="C894" s="584"/>
      <c r="D894" s="584"/>
      <c r="E894" s="951"/>
      <c r="F894" s="952"/>
      <c r="G894" s="950"/>
      <c r="H894" s="953"/>
      <c r="I894" s="3"/>
      <c r="J894" s="3"/>
      <c r="K894" s="955"/>
      <c r="L894" s="956"/>
      <c r="M894" s="956"/>
      <c r="N894" s="3"/>
      <c r="O894" s="955"/>
      <c r="P894" s="957"/>
      <c r="Q894" s="958"/>
    </row>
    <row r="895">
      <c r="A895" s="3"/>
      <c r="B895" s="950"/>
      <c r="C895" s="584"/>
      <c r="D895" s="584"/>
      <c r="E895" s="951"/>
      <c r="F895" s="952"/>
      <c r="G895" s="950"/>
      <c r="H895" s="953"/>
      <c r="I895" s="3"/>
      <c r="J895" s="3"/>
      <c r="K895" s="955"/>
      <c r="L895" s="956"/>
      <c r="M895" s="956"/>
      <c r="N895" s="3"/>
      <c r="O895" s="955"/>
      <c r="P895" s="957"/>
      <c r="Q895" s="958"/>
    </row>
    <row r="896">
      <c r="A896" s="3"/>
      <c r="B896" s="950"/>
      <c r="C896" s="584"/>
      <c r="D896" s="584"/>
      <c r="E896" s="951"/>
      <c r="F896" s="952"/>
      <c r="G896" s="950"/>
      <c r="H896" s="953"/>
      <c r="I896" s="3"/>
      <c r="J896" s="3"/>
      <c r="K896" s="955"/>
      <c r="L896" s="956"/>
      <c r="M896" s="956"/>
      <c r="N896" s="3"/>
      <c r="O896" s="955"/>
      <c r="P896" s="957"/>
      <c r="Q896" s="958"/>
    </row>
    <row r="897">
      <c r="A897" s="3"/>
      <c r="B897" s="950"/>
      <c r="C897" s="584"/>
      <c r="D897" s="584"/>
      <c r="E897" s="951"/>
      <c r="F897" s="952"/>
      <c r="G897" s="950"/>
      <c r="H897" s="953"/>
      <c r="I897" s="3"/>
      <c r="J897" s="3"/>
      <c r="K897" s="955"/>
      <c r="L897" s="956"/>
      <c r="M897" s="956"/>
      <c r="N897" s="3"/>
      <c r="O897" s="955"/>
      <c r="P897" s="957"/>
      <c r="Q897" s="958"/>
    </row>
    <row r="898">
      <c r="A898" s="3"/>
      <c r="B898" s="950"/>
      <c r="C898" s="584"/>
      <c r="D898" s="584"/>
      <c r="E898" s="951"/>
      <c r="F898" s="952"/>
      <c r="G898" s="950"/>
      <c r="H898" s="953"/>
      <c r="I898" s="3"/>
      <c r="J898" s="3"/>
      <c r="K898" s="955"/>
      <c r="L898" s="956"/>
      <c r="M898" s="956"/>
      <c r="N898" s="3"/>
      <c r="O898" s="955"/>
      <c r="P898" s="957"/>
      <c r="Q898" s="958"/>
    </row>
    <row r="899">
      <c r="A899" s="3"/>
      <c r="B899" s="950"/>
      <c r="C899" s="584"/>
      <c r="D899" s="584"/>
      <c r="E899" s="951"/>
      <c r="F899" s="952"/>
      <c r="G899" s="950"/>
      <c r="H899" s="953"/>
      <c r="I899" s="3"/>
      <c r="J899" s="3"/>
      <c r="K899" s="955"/>
      <c r="L899" s="956"/>
      <c r="M899" s="956"/>
      <c r="N899" s="3"/>
      <c r="O899" s="955"/>
      <c r="P899" s="957"/>
      <c r="Q899" s="958"/>
    </row>
    <row r="900">
      <c r="A900" s="3"/>
      <c r="B900" s="950"/>
      <c r="C900" s="584"/>
      <c r="D900" s="584"/>
      <c r="E900" s="951"/>
      <c r="F900" s="952"/>
      <c r="G900" s="950"/>
      <c r="H900" s="953"/>
      <c r="I900" s="3"/>
      <c r="J900" s="3"/>
      <c r="K900" s="955"/>
      <c r="L900" s="956"/>
      <c r="M900" s="956"/>
      <c r="N900" s="3"/>
      <c r="O900" s="955"/>
      <c r="P900" s="957"/>
      <c r="Q900" s="958"/>
    </row>
    <row r="901">
      <c r="A901" s="3"/>
      <c r="B901" s="950"/>
      <c r="C901" s="584"/>
      <c r="D901" s="584"/>
      <c r="E901" s="951"/>
      <c r="F901" s="952"/>
      <c r="G901" s="950"/>
      <c r="H901" s="953"/>
      <c r="I901" s="3"/>
      <c r="J901" s="3"/>
      <c r="K901" s="955"/>
      <c r="L901" s="956"/>
      <c r="M901" s="956"/>
      <c r="N901" s="3"/>
      <c r="O901" s="955"/>
      <c r="P901" s="957"/>
      <c r="Q901" s="958"/>
    </row>
    <row r="902">
      <c r="A902" s="3"/>
      <c r="B902" s="950"/>
      <c r="C902" s="584"/>
      <c r="D902" s="584"/>
      <c r="E902" s="951"/>
      <c r="F902" s="952"/>
      <c r="G902" s="950"/>
      <c r="H902" s="953"/>
      <c r="I902" s="3"/>
      <c r="J902" s="3"/>
      <c r="K902" s="955"/>
      <c r="L902" s="956"/>
      <c r="M902" s="956"/>
      <c r="N902" s="3"/>
      <c r="O902" s="955"/>
      <c r="P902" s="957"/>
      <c r="Q902" s="958"/>
    </row>
    <row r="903">
      <c r="A903" s="3"/>
      <c r="B903" s="950"/>
      <c r="C903" s="584"/>
      <c r="D903" s="584"/>
      <c r="E903" s="951"/>
      <c r="F903" s="952"/>
      <c r="G903" s="950"/>
      <c r="H903" s="953"/>
      <c r="I903" s="3"/>
      <c r="J903" s="3"/>
      <c r="K903" s="955"/>
      <c r="L903" s="956"/>
      <c r="M903" s="956"/>
      <c r="N903" s="3"/>
      <c r="O903" s="955"/>
      <c r="P903" s="957"/>
      <c r="Q903" s="958"/>
    </row>
    <row r="904">
      <c r="A904" s="3"/>
      <c r="B904" s="950"/>
      <c r="C904" s="584"/>
      <c r="D904" s="584"/>
      <c r="E904" s="951"/>
      <c r="F904" s="952"/>
      <c r="G904" s="950"/>
      <c r="H904" s="953"/>
      <c r="I904" s="3"/>
      <c r="J904" s="3"/>
      <c r="K904" s="955"/>
      <c r="L904" s="956"/>
      <c r="M904" s="956"/>
      <c r="N904" s="3"/>
      <c r="O904" s="955"/>
      <c r="P904" s="957"/>
      <c r="Q904" s="958"/>
    </row>
    <row r="905">
      <c r="A905" s="3"/>
      <c r="B905" s="950"/>
      <c r="C905" s="584"/>
      <c r="D905" s="584"/>
      <c r="E905" s="951"/>
      <c r="F905" s="952"/>
      <c r="G905" s="950"/>
      <c r="H905" s="953"/>
      <c r="I905" s="3"/>
      <c r="J905" s="3"/>
      <c r="K905" s="955"/>
      <c r="L905" s="956"/>
      <c r="M905" s="956"/>
      <c r="N905" s="3"/>
      <c r="O905" s="955"/>
      <c r="P905" s="957"/>
      <c r="Q905" s="958"/>
    </row>
    <row r="906">
      <c r="A906" s="3"/>
      <c r="B906" s="950"/>
      <c r="C906" s="584"/>
      <c r="D906" s="584"/>
      <c r="E906" s="951"/>
      <c r="F906" s="952"/>
      <c r="G906" s="950"/>
      <c r="H906" s="953"/>
      <c r="I906" s="3"/>
      <c r="J906" s="3"/>
      <c r="K906" s="955"/>
      <c r="L906" s="956"/>
      <c r="M906" s="956"/>
      <c r="N906" s="3"/>
      <c r="O906" s="955"/>
      <c r="P906" s="957"/>
      <c r="Q906" s="958"/>
    </row>
    <row r="907">
      <c r="A907" s="3"/>
      <c r="B907" s="950"/>
      <c r="C907" s="584"/>
      <c r="D907" s="584"/>
      <c r="E907" s="951"/>
      <c r="F907" s="952"/>
      <c r="G907" s="950"/>
      <c r="H907" s="953"/>
      <c r="I907" s="3"/>
      <c r="J907" s="3"/>
      <c r="K907" s="955"/>
      <c r="L907" s="956"/>
      <c r="M907" s="956"/>
      <c r="N907" s="3"/>
      <c r="O907" s="955"/>
      <c r="P907" s="957"/>
      <c r="Q907" s="958"/>
    </row>
    <row r="908">
      <c r="A908" s="3"/>
      <c r="B908" s="950"/>
      <c r="C908" s="584"/>
      <c r="D908" s="584"/>
      <c r="E908" s="951"/>
      <c r="F908" s="952"/>
      <c r="G908" s="950"/>
      <c r="H908" s="953"/>
      <c r="I908" s="3"/>
      <c r="J908" s="3"/>
      <c r="K908" s="955"/>
      <c r="L908" s="956"/>
      <c r="M908" s="956"/>
      <c r="N908" s="3"/>
      <c r="O908" s="955"/>
      <c r="P908" s="957"/>
      <c r="Q908" s="958"/>
    </row>
    <row r="909">
      <c r="A909" s="3"/>
      <c r="B909" s="950"/>
      <c r="C909" s="584"/>
      <c r="D909" s="584"/>
      <c r="E909" s="951"/>
      <c r="F909" s="952"/>
      <c r="G909" s="950"/>
      <c r="H909" s="953"/>
      <c r="I909" s="3"/>
      <c r="J909" s="3"/>
      <c r="K909" s="955"/>
      <c r="L909" s="956"/>
      <c r="M909" s="956"/>
      <c r="N909" s="3"/>
      <c r="O909" s="955"/>
      <c r="P909" s="957"/>
      <c r="Q909" s="958"/>
    </row>
    <row r="910">
      <c r="A910" s="3"/>
      <c r="B910" s="950"/>
      <c r="C910" s="584"/>
      <c r="D910" s="584"/>
      <c r="E910" s="951"/>
      <c r="F910" s="952"/>
      <c r="G910" s="950"/>
      <c r="H910" s="953"/>
      <c r="I910" s="3"/>
      <c r="J910" s="3"/>
      <c r="K910" s="955"/>
      <c r="L910" s="956"/>
      <c r="M910" s="956"/>
      <c r="N910" s="3"/>
      <c r="O910" s="955"/>
      <c r="P910" s="957"/>
      <c r="Q910" s="958"/>
    </row>
    <row r="911">
      <c r="A911" s="3"/>
      <c r="B911" s="950"/>
      <c r="C911" s="584"/>
      <c r="D911" s="584"/>
      <c r="E911" s="951"/>
      <c r="F911" s="952"/>
      <c r="G911" s="950"/>
      <c r="H911" s="953"/>
      <c r="I911" s="3"/>
      <c r="J911" s="3"/>
      <c r="K911" s="955"/>
      <c r="L911" s="956"/>
      <c r="M911" s="956"/>
      <c r="N911" s="3"/>
      <c r="O911" s="955"/>
      <c r="P911" s="957"/>
      <c r="Q911" s="958"/>
    </row>
    <row r="912">
      <c r="A912" s="3"/>
      <c r="B912" s="950"/>
      <c r="C912" s="584"/>
      <c r="D912" s="584"/>
      <c r="E912" s="951"/>
      <c r="F912" s="952"/>
      <c r="G912" s="950"/>
      <c r="H912" s="953"/>
      <c r="I912" s="3"/>
      <c r="J912" s="3"/>
      <c r="K912" s="955"/>
      <c r="L912" s="956"/>
      <c r="M912" s="956"/>
      <c r="N912" s="3"/>
      <c r="O912" s="955"/>
      <c r="P912" s="957"/>
      <c r="Q912" s="958"/>
    </row>
    <row r="913">
      <c r="A913" s="3"/>
      <c r="B913" s="950"/>
      <c r="C913" s="584"/>
      <c r="D913" s="584"/>
      <c r="E913" s="951"/>
      <c r="F913" s="952"/>
      <c r="G913" s="950"/>
      <c r="H913" s="953"/>
      <c r="I913" s="3"/>
      <c r="J913" s="3"/>
      <c r="K913" s="955"/>
      <c r="L913" s="956"/>
      <c r="M913" s="956"/>
      <c r="N913" s="3"/>
      <c r="O913" s="955"/>
      <c r="P913" s="957"/>
      <c r="Q913" s="958"/>
    </row>
    <row r="914">
      <c r="A914" s="3"/>
      <c r="B914" s="950"/>
      <c r="C914" s="584"/>
      <c r="D914" s="584"/>
      <c r="E914" s="951"/>
      <c r="F914" s="952"/>
      <c r="G914" s="950"/>
      <c r="H914" s="953"/>
      <c r="I914" s="3"/>
      <c r="J914" s="3"/>
      <c r="K914" s="955"/>
      <c r="L914" s="956"/>
      <c r="M914" s="956"/>
      <c r="N914" s="3"/>
      <c r="O914" s="955"/>
      <c r="P914" s="957"/>
      <c r="Q914" s="958"/>
    </row>
    <row r="915">
      <c r="A915" s="3"/>
      <c r="B915" s="950"/>
      <c r="C915" s="584"/>
      <c r="D915" s="584"/>
      <c r="E915" s="951"/>
      <c r="F915" s="952"/>
      <c r="G915" s="950"/>
      <c r="H915" s="953"/>
      <c r="I915" s="3"/>
      <c r="J915" s="3"/>
      <c r="K915" s="955"/>
      <c r="L915" s="956"/>
      <c r="M915" s="956"/>
      <c r="N915" s="3"/>
      <c r="O915" s="955"/>
      <c r="P915" s="957"/>
      <c r="Q915" s="958"/>
    </row>
    <row r="916">
      <c r="A916" s="3"/>
      <c r="B916" s="950"/>
      <c r="C916" s="584"/>
      <c r="D916" s="584"/>
      <c r="E916" s="951"/>
      <c r="F916" s="952"/>
      <c r="G916" s="950"/>
      <c r="H916" s="953"/>
      <c r="I916" s="3"/>
      <c r="J916" s="3"/>
      <c r="K916" s="955"/>
      <c r="L916" s="956"/>
      <c r="M916" s="956"/>
      <c r="N916" s="3"/>
      <c r="O916" s="955"/>
      <c r="P916" s="957"/>
      <c r="Q916" s="958"/>
    </row>
    <row r="917">
      <c r="A917" s="3"/>
      <c r="B917" s="950"/>
      <c r="C917" s="584"/>
      <c r="D917" s="584"/>
      <c r="E917" s="951"/>
      <c r="F917" s="952"/>
      <c r="G917" s="950"/>
      <c r="H917" s="953"/>
      <c r="I917" s="3"/>
      <c r="J917" s="3"/>
      <c r="K917" s="955"/>
      <c r="L917" s="956"/>
      <c r="M917" s="956"/>
      <c r="N917" s="3"/>
      <c r="O917" s="955"/>
      <c r="P917" s="957"/>
      <c r="Q917" s="958"/>
    </row>
    <row r="918">
      <c r="A918" s="3"/>
      <c r="B918" s="950"/>
      <c r="C918" s="584"/>
      <c r="D918" s="584"/>
      <c r="E918" s="951"/>
      <c r="F918" s="952"/>
      <c r="G918" s="950"/>
      <c r="H918" s="953"/>
      <c r="I918" s="3"/>
      <c r="J918" s="3"/>
      <c r="K918" s="955"/>
      <c r="L918" s="956"/>
      <c r="M918" s="956"/>
      <c r="N918" s="3"/>
      <c r="O918" s="955"/>
      <c r="P918" s="957"/>
      <c r="Q918" s="958"/>
    </row>
    <row r="919">
      <c r="A919" s="3"/>
      <c r="B919" s="950"/>
      <c r="C919" s="584"/>
      <c r="D919" s="584"/>
      <c r="E919" s="951"/>
      <c r="F919" s="952"/>
      <c r="G919" s="950"/>
      <c r="H919" s="953"/>
      <c r="I919" s="3"/>
      <c r="J919" s="3"/>
      <c r="K919" s="955"/>
      <c r="L919" s="956"/>
      <c r="M919" s="956"/>
      <c r="N919" s="3"/>
      <c r="O919" s="955"/>
      <c r="P919" s="957"/>
      <c r="Q919" s="958"/>
    </row>
    <row r="920">
      <c r="A920" s="3"/>
      <c r="B920" s="950"/>
      <c r="C920" s="584"/>
      <c r="D920" s="584"/>
      <c r="E920" s="951"/>
      <c r="F920" s="952"/>
      <c r="G920" s="950"/>
      <c r="H920" s="953"/>
      <c r="I920" s="3"/>
      <c r="J920" s="3"/>
      <c r="K920" s="955"/>
      <c r="L920" s="956"/>
      <c r="M920" s="956"/>
      <c r="N920" s="3"/>
      <c r="O920" s="955"/>
      <c r="P920" s="957"/>
      <c r="Q920" s="958"/>
    </row>
    <row r="921">
      <c r="A921" s="3"/>
      <c r="B921" s="950"/>
      <c r="C921" s="584"/>
      <c r="D921" s="584"/>
      <c r="E921" s="951"/>
      <c r="F921" s="952"/>
      <c r="G921" s="950"/>
      <c r="H921" s="953"/>
      <c r="I921" s="3"/>
      <c r="J921" s="3"/>
      <c r="K921" s="955"/>
      <c r="L921" s="956"/>
      <c r="M921" s="956"/>
      <c r="N921" s="3"/>
      <c r="O921" s="955"/>
      <c r="P921" s="957"/>
      <c r="Q921" s="958"/>
    </row>
    <row r="922">
      <c r="A922" s="3"/>
      <c r="B922" s="950"/>
      <c r="C922" s="584"/>
      <c r="D922" s="584"/>
      <c r="E922" s="951"/>
      <c r="F922" s="952"/>
      <c r="G922" s="950"/>
      <c r="H922" s="953"/>
      <c r="I922" s="3"/>
      <c r="J922" s="3"/>
      <c r="K922" s="955"/>
      <c r="L922" s="956"/>
      <c r="M922" s="956"/>
      <c r="N922" s="3"/>
      <c r="O922" s="955"/>
      <c r="P922" s="957"/>
      <c r="Q922" s="958"/>
    </row>
    <row r="923">
      <c r="A923" s="3"/>
      <c r="B923" s="950"/>
      <c r="C923" s="584"/>
      <c r="D923" s="584"/>
      <c r="E923" s="951"/>
      <c r="F923" s="952"/>
      <c r="G923" s="950"/>
      <c r="H923" s="953"/>
      <c r="I923" s="3"/>
      <c r="J923" s="3"/>
      <c r="K923" s="955"/>
      <c r="L923" s="956"/>
      <c r="M923" s="956"/>
      <c r="N923" s="3"/>
      <c r="O923" s="955"/>
      <c r="P923" s="957"/>
      <c r="Q923" s="958"/>
    </row>
    <row r="924">
      <c r="A924" s="3"/>
      <c r="B924" s="950"/>
      <c r="C924" s="584"/>
      <c r="D924" s="584"/>
      <c r="E924" s="951"/>
      <c r="F924" s="952"/>
      <c r="G924" s="950"/>
      <c r="H924" s="953"/>
      <c r="I924" s="3"/>
      <c r="J924" s="3"/>
      <c r="K924" s="955"/>
      <c r="L924" s="956"/>
      <c r="M924" s="956"/>
      <c r="N924" s="3"/>
      <c r="O924" s="955"/>
      <c r="P924" s="957"/>
      <c r="Q924" s="958"/>
    </row>
    <row r="925">
      <c r="A925" s="3"/>
      <c r="B925" s="950"/>
      <c r="C925" s="584"/>
      <c r="D925" s="584"/>
      <c r="E925" s="951"/>
      <c r="F925" s="952"/>
      <c r="G925" s="950"/>
      <c r="H925" s="953"/>
      <c r="I925" s="3"/>
      <c r="J925" s="3"/>
      <c r="K925" s="955"/>
      <c r="L925" s="956"/>
      <c r="M925" s="956"/>
      <c r="N925" s="3"/>
      <c r="O925" s="955"/>
      <c r="P925" s="957"/>
      <c r="Q925" s="958"/>
    </row>
    <row r="926">
      <c r="A926" s="3"/>
      <c r="B926" s="950"/>
      <c r="C926" s="584"/>
      <c r="D926" s="584"/>
      <c r="E926" s="951"/>
      <c r="F926" s="952"/>
      <c r="G926" s="950"/>
      <c r="H926" s="953"/>
      <c r="I926" s="3"/>
      <c r="J926" s="3"/>
      <c r="K926" s="955"/>
      <c r="L926" s="956"/>
      <c r="M926" s="956"/>
      <c r="N926" s="3"/>
      <c r="O926" s="955"/>
      <c r="P926" s="957"/>
      <c r="Q926" s="958"/>
    </row>
    <row r="927">
      <c r="A927" s="3"/>
      <c r="B927" s="950"/>
      <c r="C927" s="584"/>
      <c r="D927" s="584"/>
      <c r="E927" s="951"/>
      <c r="F927" s="952"/>
      <c r="G927" s="950"/>
      <c r="H927" s="953"/>
      <c r="I927" s="3"/>
      <c r="J927" s="3"/>
      <c r="K927" s="955"/>
      <c r="L927" s="956"/>
      <c r="M927" s="956"/>
      <c r="N927" s="3"/>
      <c r="O927" s="955"/>
      <c r="P927" s="957"/>
      <c r="Q927" s="958"/>
    </row>
    <row r="928">
      <c r="A928" s="3"/>
      <c r="B928" s="950"/>
      <c r="C928" s="584"/>
      <c r="D928" s="584"/>
      <c r="E928" s="951"/>
      <c r="F928" s="952"/>
      <c r="G928" s="950"/>
      <c r="H928" s="953"/>
      <c r="I928" s="3"/>
      <c r="J928" s="3"/>
      <c r="K928" s="955"/>
      <c r="L928" s="956"/>
      <c r="M928" s="956"/>
      <c r="N928" s="3"/>
      <c r="O928" s="955"/>
      <c r="P928" s="957"/>
      <c r="Q928" s="958"/>
    </row>
    <row r="929">
      <c r="A929" s="3"/>
      <c r="B929" s="950"/>
      <c r="C929" s="584"/>
      <c r="D929" s="584"/>
      <c r="E929" s="951"/>
      <c r="F929" s="952"/>
      <c r="G929" s="950"/>
      <c r="H929" s="953"/>
      <c r="I929" s="3"/>
      <c r="J929" s="3"/>
      <c r="K929" s="955"/>
      <c r="L929" s="956"/>
      <c r="M929" s="956"/>
      <c r="N929" s="3"/>
      <c r="O929" s="955"/>
      <c r="P929" s="957"/>
      <c r="Q929" s="958"/>
    </row>
    <row r="930">
      <c r="A930" s="3"/>
      <c r="B930" s="950"/>
      <c r="C930" s="584"/>
      <c r="D930" s="584"/>
      <c r="E930" s="951"/>
      <c r="F930" s="952"/>
      <c r="G930" s="950"/>
      <c r="H930" s="953"/>
      <c r="I930" s="3"/>
      <c r="J930" s="3"/>
      <c r="K930" s="955"/>
      <c r="L930" s="956"/>
      <c r="M930" s="956"/>
      <c r="N930" s="3"/>
      <c r="O930" s="955"/>
      <c r="P930" s="957"/>
      <c r="Q930" s="958"/>
    </row>
    <row r="931">
      <c r="A931" s="3"/>
      <c r="B931" s="950"/>
      <c r="C931" s="584"/>
      <c r="D931" s="584"/>
      <c r="E931" s="951"/>
      <c r="F931" s="952"/>
      <c r="G931" s="950"/>
      <c r="H931" s="953"/>
      <c r="I931" s="3"/>
      <c r="J931" s="3"/>
      <c r="K931" s="955"/>
      <c r="L931" s="956"/>
      <c r="M931" s="956"/>
      <c r="N931" s="3"/>
      <c r="O931" s="955"/>
      <c r="P931" s="957"/>
      <c r="Q931" s="958"/>
    </row>
    <row r="932">
      <c r="A932" s="3"/>
      <c r="B932" s="950"/>
      <c r="C932" s="584"/>
      <c r="D932" s="584"/>
      <c r="E932" s="951"/>
      <c r="F932" s="952"/>
      <c r="G932" s="950"/>
      <c r="H932" s="953"/>
      <c r="I932" s="3"/>
      <c r="J932" s="3"/>
      <c r="K932" s="955"/>
      <c r="L932" s="956"/>
      <c r="M932" s="956"/>
      <c r="N932" s="3"/>
      <c r="O932" s="955"/>
      <c r="P932" s="957"/>
      <c r="Q932" s="958"/>
    </row>
    <row r="933">
      <c r="A933" s="3"/>
      <c r="B933" s="950"/>
      <c r="C933" s="584"/>
      <c r="D933" s="584"/>
      <c r="E933" s="951"/>
      <c r="F933" s="952"/>
      <c r="G933" s="950"/>
      <c r="H933" s="953"/>
      <c r="I933" s="3"/>
      <c r="J933" s="3"/>
      <c r="K933" s="955"/>
      <c r="L933" s="956"/>
      <c r="M933" s="956"/>
      <c r="N933" s="3"/>
      <c r="O933" s="955"/>
      <c r="P933" s="957"/>
      <c r="Q933" s="958"/>
    </row>
    <row r="934">
      <c r="A934" s="3"/>
      <c r="B934" s="950"/>
      <c r="C934" s="584"/>
      <c r="D934" s="584"/>
      <c r="E934" s="951"/>
      <c r="F934" s="952"/>
      <c r="G934" s="950"/>
      <c r="H934" s="953"/>
      <c r="I934" s="3"/>
      <c r="J934" s="3"/>
      <c r="K934" s="955"/>
      <c r="L934" s="956"/>
      <c r="M934" s="956"/>
      <c r="N934" s="3"/>
      <c r="O934" s="955"/>
      <c r="P934" s="957"/>
      <c r="Q934" s="958"/>
    </row>
    <row r="935">
      <c r="A935" s="3"/>
      <c r="B935" s="950"/>
      <c r="C935" s="584"/>
      <c r="D935" s="584"/>
      <c r="E935" s="951"/>
      <c r="F935" s="952"/>
      <c r="G935" s="950"/>
      <c r="H935" s="953"/>
      <c r="I935" s="3"/>
      <c r="J935" s="3"/>
      <c r="K935" s="955"/>
      <c r="L935" s="956"/>
      <c r="M935" s="956"/>
      <c r="N935" s="3"/>
      <c r="O935" s="955"/>
      <c r="P935" s="957"/>
      <c r="Q935" s="958"/>
    </row>
    <row r="936">
      <c r="A936" s="3"/>
      <c r="B936" s="950"/>
      <c r="C936" s="584"/>
      <c r="D936" s="584"/>
      <c r="E936" s="951"/>
      <c r="F936" s="952"/>
      <c r="G936" s="950"/>
      <c r="H936" s="953"/>
      <c r="I936" s="3"/>
      <c r="J936" s="3"/>
      <c r="K936" s="955"/>
      <c r="L936" s="956"/>
      <c r="M936" s="956"/>
      <c r="N936" s="3"/>
      <c r="O936" s="955"/>
      <c r="P936" s="957"/>
      <c r="Q936" s="958"/>
    </row>
    <row r="937">
      <c r="A937" s="3"/>
      <c r="B937" s="950"/>
      <c r="C937" s="584"/>
      <c r="D937" s="584"/>
      <c r="E937" s="951"/>
      <c r="F937" s="952"/>
      <c r="G937" s="950"/>
      <c r="H937" s="953"/>
      <c r="I937" s="3"/>
      <c r="J937" s="3"/>
      <c r="K937" s="955"/>
      <c r="L937" s="956"/>
      <c r="M937" s="956"/>
      <c r="N937" s="3"/>
      <c r="O937" s="955"/>
      <c r="P937" s="957"/>
      <c r="Q937" s="958"/>
    </row>
    <row r="938">
      <c r="A938" s="3"/>
      <c r="B938" s="950"/>
      <c r="C938" s="584"/>
      <c r="D938" s="584"/>
      <c r="E938" s="951"/>
      <c r="F938" s="952"/>
      <c r="G938" s="950"/>
      <c r="H938" s="953"/>
      <c r="I938" s="3"/>
      <c r="J938" s="3"/>
      <c r="K938" s="955"/>
      <c r="L938" s="956"/>
      <c r="M938" s="956"/>
      <c r="N938" s="3"/>
      <c r="O938" s="955"/>
      <c r="P938" s="957"/>
      <c r="Q938" s="958"/>
    </row>
    <row r="939">
      <c r="A939" s="3"/>
      <c r="B939" s="950"/>
      <c r="C939" s="584"/>
      <c r="D939" s="584"/>
      <c r="E939" s="951"/>
      <c r="F939" s="952"/>
      <c r="G939" s="950"/>
      <c r="H939" s="953"/>
      <c r="I939" s="3"/>
      <c r="J939" s="3"/>
      <c r="K939" s="955"/>
      <c r="L939" s="956"/>
      <c r="M939" s="956"/>
      <c r="N939" s="3"/>
      <c r="O939" s="955"/>
      <c r="P939" s="957"/>
      <c r="Q939" s="958"/>
    </row>
    <row r="940">
      <c r="A940" s="3"/>
      <c r="B940" s="950"/>
      <c r="C940" s="584"/>
      <c r="D940" s="584"/>
      <c r="E940" s="951"/>
      <c r="F940" s="952"/>
      <c r="G940" s="950"/>
      <c r="H940" s="953"/>
      <c r="I940" s="3"/>
      <c r="J940" s="3"/>
      <c r="K940" s="955"/>
      <c r="L940" s="956"/>
      <c r="M940" s="956"/>
      <c r="N940" s="3"/>
      <c r="O940" s="955"/>
      <c r="P940" s="957"/>
      <c r="Q940" s="958"/>
    </row>
    <row r="941">
      <c r="A941" s="3"/>
      <c r="B941" s="950"/>
      <c r="C941" s="584"/>
      <c r="D941" s="584"/>
      <c r="E941" s="951"/>
      <c r="F941" s="952"/>
      <c r="G941" s="950"/>
      <c r="H941" s="953"/>
      <c r="I941" s="3"/>
      <c r="J941" s="3"/>
      <c r="K941" s="955"/>
      <c r="L941" s="956"/>
      <c r="M941" s="956"/>
      <c r="N941" s="3"/>
      <c r="O941" s="955"/>
      <c r="P941" s="957"/>
      <c r="Q941" s="958"/>
    </row>
    <row r="942">
      <c r="A942" s="3"/>
      <c r="B942" s="950"/>
      <c r="C942" s="584"/>
      <c r="D942" s="584"/>
      <c r="E942" s="951"/>
      <c r="F942" s="952"/>
      <c r="G942" s="950"/>
      <c r="H942" s="953"/>
      <c r="I942" s="3"/>
      <c r="J942" s="3"/>
      <c r="K942" s="955"/>
      <c r="L942" s="956"/>
      <c r="M942" s="956"/>
      <c r="N942" s="3"/>
      <c r="O942" s="955"/>
      <c r="P942" s="957"/>
      <c r="Q942" s="958"/>
    </row>
    <row r="943">
      <c r="A943" s="3"/>
      <c r="B943" s="950"/>
      <c r="C943" s="584"/>
      <c r="D943" s="584"/>
      <c r="E943" s="951"/>
      <c r="F943" s="952"/>
      <c r="G943" s="950"/>
      <c r="H943" s="953"/>
      <c r="I943" s="3"/>
      <c r="J943" s="3"/>
      <c r="K943" s="955"/>
      <c r="L943" s="956"/>
      <c r="M943" s="956"/>
      <c r="N943" s="3"/>
      <c r="O943" s="955"/>
      <c r="P943" s="957"/>
      <c r="Q943" s="958"/>
    </row>
    <row r="944">
      <c r="A944" s="3"/>
      <c r="B944" s="950"/>
      <c r="C944" s="584"/>
      <c r="D944" s="584"/>
      <c r="E944" s="951"/>
      <c r="F944" s="952"/>
      <c r="G944" s="950"/>
      <c r="H944" s="953"/>
      <c r="I944" s="3"/>
      <c r="J944" s="3"/>
      <c r="K944" s="955"/>
      <c r="L944" s="956"/>
      <c r="M944" s="956"/>
      <c r="N944" s="3"/>
      <c r="O944" s="955"/>
      <c r="P944" s="957"/>
      <c r="Q944" s="958"/>
    </row>
    <row r="945">
      <c r="A945" s="3"/>
      <c r="B945" s="950"/>
      <c r="C945" s="584"/>
      <c r="D945" s="584"/>
      <c r="E945" s="951"/>
      <c r="F945" s="952"/>
      <c r="G945" s="950"/>
      <c r="H945" s="953"/>
      <c r="I945" s="3"/>
      <c r="J945" s="3"/>
      <c r="K945" s="955"/>
      <c r="L945" s="956"/>
      <c r="M945" s="956"/>
      <c r="N945" s="3"/>
      <c r="O945" s="955"/>
      <c r="P945" s="957"/>
      <c r="Q945" s="958"/>
    </row>
    <row r="946">
      <c r="A946" s="3"/>
      <c r="B946" s="950"/>
      <c r="C946" s="584"/>
      <c r="D946" s="584"/>
      <c r="E946" s="951"/>
      <c r="F946" s="952"/>
      <c r="G946" s="950"/>
      <c r="H946" s="953"/>
      <c r="I946" s="3"/>
      <c r="J946" s="3"/>
      <c r="K946" s="955"/>
      <c r="L946" s="956"/>
      <c r="M946" s="956"/>
      <c r="N946" s="3"/>
      <c r="O946" s="955"/>
      <c r="P946" s="957"/>
      <c r="Q946" s="958"/>
    </row>
    <row r="947">
      <c r="A947" s="3"/>
      <c r="B947" s="950"/>
      <c r="C947" s="584"/>
      <c r="D947" s="584"/>
      <c r="E947" s="951"/>
      <c r="F947" s="952"/>
      <c r="G947" s="950"/>
      <c r="H947" s="953"/>
      <c r="I947" s="3"/>
      <c r="J947" s="3"/>
      <c r="K947" s="955"/>
      <c r="L947" s="956"/>
      <c r="M947" s="956"/>
      <c r="N947" s="3"/>
      <c r="O947" s="955"/>
      <c r="P947" s="957"/>
      <c r="Q947" s="958"/>
    </row>
    <row r="948">
      <c r="A948" s="3"/>
      <c r="B948" s="950"/>
      <c r="C948" s="584"/>
      <c r="D948" s="584"/>
      <c r="E948" s="951"/>
      <c r="F948" s="952"/>
      <c r="G948" s="950"/>
      <c r="H948" s="953"/>
      <c r="I948" s="3"/>
      <c r="J948" s="3"/>
      <c r="K948" s="955"/>
      <c r="L948" s="956"/>
      <c r="M948" s="956"/>
      <c r="N948" s="3"/>
      <c r="O948" s="955"/>
      <c r="P948" s="957"/>
      <c r="Q948" s="958"/>
    </row>
    <row r="949">
      <c r="A949" s="3"/>
      <c r="B949" s="950"/>
      <c r="C949" s="584"/>
      <c r="D949" s="584"/>
      <c r="E949" s="951"/>
      <c r="F949" s="952"/>
      <c r="G949" s="950"/>
      <c r="H949" s="953"/>
      <c r="I949" s="3"/>
      <c r="J949" s="3"/>
      <c r="K949" s="955"/>
      <c r="L949" s="956"/>
      <c r="M949" s="956"/>
      <c r="N949" s="3"/>
      <c r="O949" s="955"/>
      <c r="P949" s="957"/>
      <c r="Q949" s="958"/>
    </row>
    <row r="950">
      <c r="A950" s="3"/>
      <c r="B950" s="950"/>
      <c r="C950" s="584"/>
      <c r="D950" s="584"/>
      <c r="E950" s="951"/>
      <c r="F950" s="952"/>
      <c r="G950" s="950"/>
      <c r="H950" s="953"/>
      <c r="I950" s="3"/>
      <c r="J950" s="3"/>
      <c r="K950" s="955"/>
      <c r="L950" s="956"/>
      <c r="M950" s="956"/>
      <c r="N950" s="3"/>
      <c r="O950" s="955"/>
      <c r="P950" s="957"/>
      <c r="Q950" s="958"/>
    </row>
    <row r="951">
      <c r="A951" s="3"/>
      <c r="B951" s="950"/>
      <c r="C951" s="584"/>
      <c r="D951" s="584"/>
      <c r="E951" s="951"/>
      <c r="F951" s="952"/>
      <c r="G951" s="950"/>
      <c r="H951" s="953"/>
      <c r="I951" s="3"/>
      <c r="J951" s="3"/>
      <c r="K951" s="955"/>
      <c r="L951" s="956"/>
      <c r="M951" s="956"/>
      <c r="N951" s="3"/>
      <c r="O951" s="955"/>
      <c r="P951" s="957"/>
      <c r="Q951" s="958"/>
    </row>
    <row r="952">
      <c r="A952" s="3"/>
      <c r="B952" s="950"/>
      <c r="C952" s="584"/>
      <c r="D952" s="584"/>
      <c r="E952" s="951"/>
      <c r="F952" s="952"/>
      <c r="G952" s="950"/>
      <c r="H952" s="953"/>
      <c r="I952" s="3"/>
      <c r="J952" s="3"/>
      <c r="K952" s="955"/>
      <c r="L952" s="956"/>
      <c r="M952" s="956"/>
      <c r="N952" s="3"/>
      <c r="O952" s="955"/>
      <c r="P952" s="957"/>
      <c r="Q952" s="958"/>
    </row>
    <row r="953">
      <c r="A953" s="3"/>
      <c r="B953" s="950"/>
      <c r="C953" s="584"/>
      <c r="D953" s="584"/>
      <c r="E953" s="951"/>
      <c r="F953" s="952"/>
      <c r="G953" s="950"/>
      <c r="H953" s="953"/>
      <c r="I953" s="3"/>
      <c r="J953" s="3"/>
      <c r="K953" s="955"/>
      <c r="L953" s="956"/>
      <c r="M953" s="956"/>
      <c r="N953" s="3"/>
      <c r="O953" s="955"/>
      <c r="P953" s="957"/>
      <c r="Q953" s="958"/>
    </row>
    <row r="954">
      <c r="A954" s="3"/>
      <c r="B954" s="950"/>
      <c r="C954" s="584"/>
      <c r="D954" s="584"/>
      <c r="E954" s="951"/>
      <c r="F954" s="952"/>
      <c r="G954" s="950"/>
      <c r="H954" s="953"/>
      <c r="I954" s="3"/>
      <c r="J954" s="3"/>
      <c r="K954" s="955"/>
      <c r="L954" s="956"/>
      <c r="M954" s="956"/>
      <c r="N954" s="3"/>
      <c r="O954" s="955"/>
      <c r="P954" s="957"/>
      <c r="Q954" s="958"/>
    </row>
    <row r="955">
      <c r="A955" s="3"/>
      <c r="B955" s="950"/>
      <c r="C955" s="584"/>
      <c r="D955" s="584"/>
      <c r="E955" s="951"/>
      <c r="F955" s="952"/>
      <c r="G955" s="950"/>
      <c r="H955" s="953"/>
      <c r="I955" s="3"/>
      <c r="J955" s="3"/>
      <c r="K955" s="955"/>
      <c r="L955" s="956"/>
      <c r="M955" s="956"/>
      <c r="N955" s="3"/>
      <c r="O955" s="955"/>
      <c r="P955" s="957"/>
      <c r="Q955" s="958"/>
    </row>
    <row r="956">
      <c r="A956" s="3"/>
      <c r="B956" s="950"/>
      <c r="C956" s="584"/>
      <c r="D956" s="584"/>
      <c r="E956" s="951"/>
      <c r="F956" s="952"/>
      <c r="G956" s="950"/>
      <c r="H956" s="953"/>
      <c r="I956" s="3"/>
      <c r="J956" s="3"/>
      <c r="K956" s="955"/>
      <c r="L956" s="956"/>
      <c r="M956" s="956"/>
      <c r="N956" s="3"/>
      <c r="O956" s="955"/>
      <c r="P956" s="957"/>
      <c r="Q956" s="958"/>
    </row>
    <row r="957">
      <c r="A957" s="3"/>
      <c r="B957" s="950"/>
      <c r="C957" s="584"/>
      <c r="D957" s="584"/>
      <c r="E957" s="951"/>
      <c r="F957" s="952"/>
      <c r="G957" s="950"/>
      <c r="H957" s="953"/>
      <c r="I957" s="3"/>
      <c r="J957" s="3"/>
      <c r="K957" s="955"/>
      <c r="L957" s="956"/>
      <c r="M957" s="956"/>
      <c r="N957" s="3"/>
      <c r="O957" s="955"/>
      <c r="P957" s="957"/>
      <c r="Q957" s="958"/>
    </row>
    <row r="958">
      <c r="A958" s="3"/>
      <c r="B958" s="950"/>
      <c r="C958" s="584"/>
      <c r="D958" s="584"/>
      <c r="E958" s="951"/>
      <c r="F958" s="952"/>
      <c r="G958" s="950"/>
      <c r="H958" s="953"/>
      <c r="I958" s="3"/>
      <c r="J958" s="3"/>
      <c r="K958" s="955"/>
      <c r="L958" s="956"/>
      <c r="M958" s="956"/>
      <c r="N958" s="3"/>
      <c r="O958" s="955"/>
      <c r="P958" s="957"/>
      <c r="Q958" s="958"/>
    </row>
    <row r="959">
      <c r="A959" s="3"/>
      <c r="B959" s="950"/>
      <c r="C959" s="584"/>
      <c r="D959" s="584"/>
      <c r="E959" s="951"/>
      <c r="F959" s="952"/>
      <c r="G959" s="950"/>
      <c r="H959" s="953"/>
      <c r="I959" s="3"/>
      <c r="J959" s="3"/>
      <c r="K959" s="955"/>
      <c r="L959" s="956"/>
      <c r="M959" s="956"/>
      <c r="N959" s="3"/>
      <c r="O959" s="955"/>
      <c r="P959" s="957"/>
      <c r="Q959" s="958"/>
    </row>
    <row r="960">
      <c r="A960" s="3"/>
      <c r="B960" s="950"/>
      <c r="C960" s="584"/>
      <c r="D960" s="584"/>
      <c r="E960" s="951"/>
      <c r="F960" s="952"/>
      <c r="G960" s="950"/>
      <c r="H960" s="953"/>
      <c r="I960" s="3"/>
      <c r="J960" s="3"/>
      <c r="K960" s="955"/>
      <c r="L960" s="956"/>
      <c r="M960" s="956"/>
      <c r="N960" s="3"/>
      <c r="O960" s="955"/>
      <c r="P960" s="957"/>
      <c r="Q960" s="958"/>
    </row>
    <row r="961">
      <c r="A961" s="3"/>
      <c r="B961" s="950"/>
      <c r="C961" s="584"/>
      <c r="D961" s="584"/>
      <c r="E961" s="951"/>
      <c r="F961" s="952"/>
      <c r="G961" s="950"/>
      <c r="H961" s="953"/>
      <c r="I961" s="3"/>
      <c r="J961" s="3"/>
      <c r="K961" s="955"/>
      <c r="L961" s="956"/>
      <c r="M961" s="956"/>
      <c r="N961" s="3"/>
      <c r="O961" s="955"/>
      <c r="P961" s="957"/>
      <c r="Q961" s="958"/>
    </row>
    <row r="962">
      <c r="A962" s="3"/>
      <c r="B962" s="950"/>
      <c r="C962" s="584"/>
      <c r="D962" s="584"/>
      <c r="E962" s="951"/>
      <c r="F962" s="952"/>
      <c r="G962" s="950"/>
      <c r="H962" s="953"/>
      <c r="I962" s="3"/>
      <c r="J962" s="3"/>
      <c r="K962" s="955"/>
      <c r="L962" s="956"/>
      <c r="M962" s="956"/>
      <c r="N962" s="3"/>
      <c r="O962" s="955"/>
      <c r="P962" s="957"/>
      <c r="Q962" s="958"/>
    </row>
    <row r="963">
      <c r="A963" s="3"/>
      <c r="B963" s="950"/>
      <c r="C963" s="584"/>
      <c r="D963" s="584"/>
      <c r="E963" s="951"/>
      <c r="F963" s="952"/>
      <c r="G963" s="950"/>
      <c r="H963" s="953"/>
      <c r="I963" s="3"/>
      <c r="J963" s="3"/>
      <c r="K963" s="955"/>
      <c r="L963" s="956"/>
      <c r="M963" s="956"/>
      <c r="N963" s="3"/>
      <c r="O963" s="955"/>
      <c r="P963" s="957"/>
      <c r="Q963" s="958"/>
    </row>
    <row r="964">
      <c r="A964" s="3"/>
      <c r="B964" s="950"/>
      <c r="C964" s="584"/>
      <c r="D964" s="584"/>
      <c r="E964" s="951"/>
      <c r="F964" s="952"/>
      <c r="G964" s="950"/>
      <c r="H964" s="953"/>
      <c r="I964" s="3"/>
      <c r="J964" s="3"/>
      <c r="K964" s="955"/>
      <c r="L964" s="956"/>
      <c r="M964" s="956"/>
      <c r="N964" s="3"/>
      <c r="O964" s="955"/>
      <c r="P964" s="957"/>
      <c r="Q964" s="958"/>
    </row>
    <row r="965">
      <c r="A965" s="3"/>
      <c r="B965" s="950"/>
      <c r="C965" s="584"/>
      <c r="D965" s="584"/>
      <c r="E965" s="951"/>
      <c r="F965" s="952"/>
      <c r="G965" s="950"/>
      <c r="H965" s="953"/>
      <c r="I965" s="3"/>
      <c r="J965" s="3"/>
      <c r="K965" s="955"/>
      <c r="L965" s="956"/>
      <c r="M965" s="956"/>
      <c r="N965" s="3"/>
      <c r="O965" s="955"/>
      <c r="P965" s="957"/>
      <c r="Q965" s="958"/>
    </row>
    <row r="966">
      <c r="A966" s="3"/>
      <c r="B966" s="950"/>
      <c r="C966" s="584"/>
      <c r="D966" s="584"/>
      <c r="E966" s="951"/>
      <c r="F966" s="952"/>
      <c r="G966" s="950"/>
      <c r="H966" s="953"/>
      <c r="I966" s="3"/>
      <c r="J966" s="3"/>
      <c r="K966" s="955"/>
      <c r="L966" s="956"/>
      <c r="M966" s="956"/>
      <c r="N966" s="3"/>
      <c r="O966" s="955"/>
      <c r="P966" s="957"/>
      <c r="Q966" s="958"/>
    </row>
    <row r="967">
      <c r="A967" s="3"/>
      <c r="B967" s="950"/>
      <c r="C967" s="584"/>
      <c r="D967" s="584"/>
      <c r="E967" s="951"/>
      <c r="F967" s="952"/>
      <c r="G967" s="950"/>
      <c r="H967" s="953"/>
      <c r="I967" s="3"/>
      <c r="J967" s="3"/>
      <c r="K967" s="955"/>
      <c r="L967" s="956"/>
      <c r="M967" s="956"/>
      <c r="N967" s="3"/>
      <c r="O967" s="955"/>
      <c r="P967" s="957"/>
      <c r="Q967" s="958"/>
    </row>
    <row r="968">
      <c r="A968" s="3"/>
      <c r="B968" s="950"/>
      <c r="C968" s="584"/>
      <c r="D968" s="584"/>
      <c r="E968" s="951"/>
      <c r="F968" s="952"/>
      <c r="G968" s="950"/>
      <c r="H968" s="953"/>
      <c r="I968" s="3"/>
      <c r="J968" s="3"/>
      <c r="K968" s="955"/>
      <c r="L968" s="956"/>
      <c r="M968" s="956"/>
      <c r="N968" s="3"/>
      <c r="O968" s="955"/>
      <c r="P968" s="957"/>
      <c r="Q968" s="958"/>
    </row>
    <row r="969">
      <c r="A969" s="3"/>
      <c r="B969" s="950"/>
      <c r="C969" s="584"/>
      <c r="D969" s="584"/>
      <c r="E969" s="951"/>
      <c r="F969" s="952"/>
      <c r="G969" s="950"/>
      <c r="H969" s="953"/>
      <c r="I969" s="3"/>
      <c r="J969" s="3"/>
      <c r="K969" s="955"/>
      <c r="L969" s="956"/>
      <c r="M969" s="956"/>
      <c r="N969" s="3"/>
      <c r="O969" s="955"/>
      <c r="P969" s="957"/>
      <c r="Q969" s="958"/>
    </row>
    <row r="970">
      <c r="A970" s="3"/>
      <c r="B970" s="950"/>
      <c r="C970" s="584"/>
      <c r="D970" s="584"/>
      <c r="E970" s="951"/>
      <c r="F970" s="952"/>
      <c r="G970" s="950"/>
      <c r="H970" s="953"/>
      <c r="I970" s="3"/>
      <c r="J970" s="3"/>
      <c r="K970" s="955"/>
      <c r="L970" s="956"/>
      <c r="M970" s="956"/>
      <c r="N970" s="3"/>
      <c r="O970" s="955"/>
      <c r="P970" s="957"/>
      <c r="Q970" s="958"/>
    </row>
    <row r="971">
      <c r="A971" s="3"/>
      <c r="B971" s="950"/>
      <c r="C971" s="584"/>
      <c r="D971" s="584"/>
      <c r="E971" s="951"/>
      <c r="F971" s="952"/>
      <c r="G971" s="950"/>
      <c r="H971" s="953"/>
      <c r="I971" s="3"/>
      <c r="J971" s="3"/>
      <c r="K971" s="955"/>
      <c r="L971" s="956"/>
      <c r="M971" s="956"/>
      <c r="N971" s="3"/>
      <c r="O971" s="955"/>
      <c r="P971" s="957"/>
      <c r="Q971" s="958"/>
    </row>
    <row r="972">
      <c r="A972" s="3"/>
      <c r="B972" s="950"/>
      <c r="C972" s="584"/>
      <c r="D972" s="584"/>
      <c r="E972" s="951"/>
      <c r="F972" s="952"/>
      <c r="G972" s="950"/>
      <c r="H972" s="953"/>
      <c r="I972" s="3"/>
      <c r="J972" s="3"/>
      <c r="K972" s="955"/>
      <c r="L972" s="956"/>
      <c r="M972" s="956"/>
      <c r="N972" s="3"/>
      <c r="O972" s="955"/>
      <c r="P972" s="957"/>
      <c r="Q972" s="958"/>
    </row>
    <row r="973">
      <c r="A973" s="3"/>
      <c r="B973" s="950"/>
      <c r="C973" s="584"/>
      <c r="D973" s="584"/>
      <c r="E973" s="951"/>
      <c r="F973" s="952"/>
      <c r="G973" s="950"/>
      <c r="H973" s="953"/>
      <c r="I973" s="3"/>
      <c r="J973" s="3"/>
      <c r="K973" s="955"/>
      <c r="L973" s="956"/>
      <c r="M973" s="956"/>
      <c r="N973" s="3"/>
      <c r="O973" s="955"/>
      <c r="P973" s="957"/>
      <c r="Q973" s="958"/>
    </row>
    <row r="974">
      <c r="A974" s="3"/>
      <c r="B974" s="950"/>
      <c r="C974" s="584"/>
      <c r="D974" s="584"/>
      <c r="E974" s="951"/>
      <c r="F974" s="952"/>
      <c r="G974" s="950"/>
      <c r="H974" s="953"/>
      <c r="I974" s="3"/>
      <c r="J974" s="3"/>
      <c r="K974" s="955"/>
      <c r="L974" s="956"/>
      <c r="M974" s="956"/>
      <c r="N974" s="3"/>
      <c r="O974" s="955"/>
      <c r="P974" s="957"/>
      <c r="Q974" s="958"/>
    </row>
    <row r="975">
      <c r="A975" s="3"/>
      <c r="B975" s="950"/>
      <c r="C975" s="584"/>
      <c r="D975" s="584"/>
      <c r="E975" s="951"/>
      <c r="F975" s="952"/>
      <c r="G975" s="950"/>
      <c r="H975" s="953"/>
      <c r="I975" s="3"/>
      <c r="J975" s="3"/>
      <c r="K975" s="955"/>
      <c r="L975" s="956"/>
      <c r="M975" s="956"/>
      <c r="N975" s="3"/>
      <c r="O975" s="955"/>
      <c r="P975" s="957"/>
      <c r="Q975" s="958"/>
    </row>
    <row r="976">
      <c r="A976" s="3"/>
      <c r="B976" s="950"/>
      <c r="C976" s="584"/>
      <c r="D976" s="584"/>
      <c r="E976" s="951"/>
      <c r="F976" s="952"/>
      <c r="G976" s="950"/>
      <c r="H976" s="953"/>
      <c r="I976" s="3"/>
      <c r="J976" s="3"/>
      <c r="K976" s="955"/>
      <c r="L976" s="956"/>
      <c r="M976" s="956"/>
      <c r="N976" s="3"/>
      <c r="O976" s="955"/>
      <c r="P976" s="957"/>
      <c r="Q976" s="958"/>
    </row>
    <row r="977">
      <c r="A977" s="3"/>
      <c r="B977" s="950"/>
      <c r="C977" s="584"/>
      <c r="D977" s="584"/>
      <c r="E977" s="951"/>
      <c r="F977" s="952"/>
      <c r="G977" s="950"/>
      <c r="H977" s="953"/>
      <c r="I977" s="3"/>
      <c r="J977" s="3"/>
      <c r="K977" s="955"/>
      <c r="L977" s="956"/>
      <c r="M977" s="956"/>
      <c r="N977" s="3"/>
      <c r="O977" s="955"/>
      <c r="P977" s="957"/>
      <c r="Q977" s="958"/>
    </row>
    <row r="978">
      <c r="A978" s="3"/>
      <c r="B978" s="950"/>
      <c r="C978" s="584"/>
      <c r="D978" s="584"/>
      <c r="E978" s="951"/>
      <c r="F978" s="952"/>
      <c r="G978" s="950"/>
      <c r="H978" s="953"/>
      <c r="I978" s="3"/>
      <c r="J978" s="3"/>
      <c r="K978" s="955"/>
      <c r="L978" s="956"/>
      <c r="M978" s="956"/>
      <c r="N978" s="3"/>
      <c r="O978" s="955"/>
      <c r="P978" s="957"/>
      <c r="Q978" s="958"/>
    </row>
    <row r="979">
      <c r="A979" s="3"/>
      <c r="B979" s="950"/>
      <c r="C979" s="584"/>
      <c r="D979" s="584"/>
      <c r="E979" s="951"/>
      <c r="F979" s="952"/>
      <c r="G979" s="950"/>
      <c r="H979" s="953"/>
      <c r="I979" s="3"/>
      <c r="J979" s="3"/>
      <c r="K979" s="955"/>
      <c r="L979" s="956"/>
      <c r="M979" s="956"/>
      <c r="N979" s="3"/>
      <c r="O979" s="955"/>
      <c r="P979" s="957"/>
      <c r="Q979" s="958"/>
    </row>
    <row r="980">
      <c r="A980" s="3"/>
      <c r="B980" s="950"/>
      <c r="C980" s="584"/>
      <c r="D980" s="584"/>
      <c r="E980" s="951"/>
      <c r="F980" s="952"/>
      <c r="G980" s="950"/>
      <c r="H980" s="953"/>
      <c r="I980" s="3"/>
      <c r="J980" s="3"/>
      <c r="K980" s="955"/>
      <c r="L980" s="956"/>
      <c r="M980" s="956"/>
      <c r="N980" s="3"/>
      <c r="O980" s="955"/>
      <c r="P980" s="957"/>
      <c r="Q980" s="958"/>
    </row>
    <row r="981">
      <c r="A981" s="3"/>
      <c r="B981" s="950"/>
      <c r="C981" s="584"/>
      <c r="D981" s="584"/>
      <c r="E981" s="951"/>
      <c r="F981" s="952"/>
      <c r="G981" s="950"/>
      <c r="H981" s="953"/>
      <c r="I981" s="3"/>
      <c r="J981" s="3"/>
      <c r="K981" s="955"/>
      <c r="L981" s="956"/>
      <c r="M981" s="956"/>
      <c r="N981" s="3"/>
      <c r="O981" s="955"/>
      <c r="P981" s="957"/>
      <c r="Q981" s="958"/>
    </row>
    <row r="982">
      <c r="A982" s="3"/>
      <c r="B982" s="950"/>
      <c r="C982" s="584"/>
      <c r="D982" s="584"/>
      <c r="E982" s="951"/>
      <c r="F982" s="952"/>
      <c r="G982" s="950"/>
      <c r="H982" s="953"/>
      <c r="I982" s="3"/>
      <c r="J982" s="3"/>
      <c r="K982" s="955"/>
      <c r="L982" s="956"/>
      <c r="M982" s="956"/>
      <c r="N982" s="3"/>
      <c r="O982" s="955"/>
      <c r="P982" s="957"/>
      <c r="Q982" s="958"/>
    </row>
    <row r="983">
      <c r="A983" s="3"/>
      <c r="B983" s="950"/>
      <c r="C983" s="584"/>
      <c r="D983" s="584"/>
      <c r="E983" s="951"/>
      <c r="F983" s="952"/>
      <c r="G983" s="950"/>
      <c r="H983" s="953"/>
      <c r="I983" s="3"/>
      <c r="J983" s="3"/>
      <c r="K983" s="955"/>
      <c r="L983" s="956"/>
      <c r="M983" s="956"/>
      <c r="N983" s="3"/>
      <c r="O983" s="955"/>
      <c r="P983" s="957"/>
      <c r="Q983" s="958"/>
    </row>
    <row r="984">
      <c r="A984" s="3"/>
      <c r="B984" s="950"/>
      <c r="C984" s="584"/>
      <c r="D984" s="584"/>
      <c r="E984" s="951"/>
      <c r="F984" s="952"/>
      <c r="G984" s="950"/>
      <c r="H984" s="953"/>
      <c r="I984" s="3"/>
      <c r="J984" s="3"/>
      <c r="K984" s="955"/>
      <c r="L984" s="956"/>
      <c r="M984" s="956"/>
      <c r="N984" s="3"/>
      <c r="O984" s="955"/>
      <c r="P984" s="957"/>
      <c r="Q984" s="958"/>
    </row>
    <row r="985">
      <c r="A985" s="3"/>
      <c r="B985" s="950"/>
      <c r="C985" s="584"/>
      <c r="D985" s="584"/>
      <c r="E985" s="951"/>
      <c r="F985" s="952"/>
      <c r="G985" s="950"/>
      <c r="H985" s="953"/>
      <c r="I985" s="3"/>
      <c r="J985" s="3"/>
      <c r="K985" s="955"/>
      <c r="L985" s="956"/>
      <c r="M985" s="956"/>
      <c r="N985" s="3"/>
      <c r="O985" s="955"/>
      <c r="P985" s="957"/>
      <c r="Q985" s="958"/>
    </row>
    <row r="986">
      <c r="A986" s="3"/>
      <c r="B986" s="950"/>
      <c r="C986" s="584"/>
      <c r="D986" s="584"/>
      <c r="E986" s="951"/>
      <c r="F986" s="952"/>
      <c r="G986" s="950"/>
      <c r="H986" s="953"/>
      <c r="I986" s="3"/>
      <c r="J986" s="3"/>
      <c r="K986" s="955"/>
      <c r="L986" s="956"/>
      <c r="M986" s="956"/>
      <c r="N986" s="3"/>
      <c r="O986" s="955"/>
      <c r="P986" s="957"/>
      <c r="Q986" s="958"/>
    </row>
    <row r="987">
      <c r="A987" s="3"/>
      <c r="B987" s="950"/>
      <c r="C987" s="584"/>
      <c r="D987" s="584"/>
      <c r="E987" s="951"/>
      <c r="F987" s="952"/>
      <c r="G987" s="950"/>
      <c r="H987" s="953"/>
      <c r="I987" s="3"/>
      <c r="J987" s="3"/>
      <c r="K987" s="955"/>
      <c r="L987" s="956"/>
      <c r="M987" s="956"/>
      <c r="N987" s="3"/>
      <c r="O987" s="955"/>
      <c r="P987" s="957"/>
      <c r="Q987" s="958"/>
    </row>
    <row r="988">
      <c r="A988" s="3"/>
      <c r="B988" s="950"/>
      <c r="C988" s="584"/>
      <c r="D988" s="584"/>
      <c r="E988" s="951"/>
      <c r="F988" s="952"/>
      <c r="G988" s="950"/>
      <c r="H988" s="953"/>
      <c r="I988" s="3"/>
      <c r="J988" s="3"/>
      <c r="K988" s="955"/>
      <c r="L988" s="956"/>
      <c r="M988" s="956"/>
      <c r="N988" s="3"/>
      <c r="O988" s="955"/>
      <c r="P988" s="957"/>
      <c r="Q988" s="958"/>
    </row>
    <row r="989">
      <c r="A989" s="3"/>
      <c r="B989" s="950"/>
      <c r="C989" s="584"/>
      <c r="D989" s="584"/>
      <c r="E989" s="951"/>
      <c r="F989" s="952"/>
      <c r="G989" s="950"/>
      <c r="H989" s="953"/>
      <c r="I989" s="3"/>
      <c r="J989" s="3"/>
      <c r="K989" s="955"/>
      <c r="L989" s="956"/>
      <c r="M989" s="956"/>
      <c r="N989" s="3"/>
      <c r="O989" s="955"/>
      <c r="P989" s="957"/>
      <c r="Q989" s="958"/>
    </row>
    <row r="990">
      <c r="A990" s="3"/>
      <c r="B990" s="950"/>
      <c r="C990" s="584"/>
      <c r="D990" s="584"/>
      <c r="E990" s="951"/>
      <c r="F990" s="952"/>
      <c r="G990" s="950"/>
      <c r="H990" s="953"/>
      <c r="I990" s="3"/>
      <c r="J990" s="3"/>
      <c r="K990" s="955"/>
      <c r="L990" s="956"/>
      <c r="M990" s="956"/>
      <c r="N990" s="3"/>
      <c r="O990" s="955"/>
      <c r="P990" s="957"/>
      <c r="Q990" s="958"/>
    </row>
    <row r="991">
      <c r="A991" s="3"/>
      <c r="B991" s="950"/>
      <c r="C991" s="584"/>
      <c r="D991" s="584"/>
      <c r="E991" s="951"/>
      <c r="F991" s="952"/>
      <c r="G991" s="950"/>
      <c r="H991" s="953"/>
      <c r="I991" s="3"/>
      <c r="J991" s="3"/>
      <c r="K991" s="955"/>
      <c r="L991" s="956"/>
      <c r="M991" s="956"/>
      <c r="N991" s="3"/>
      <c r="O991" s="955"/>
      <c r="P991" s="957"/>
      <c r="Q991" s="958"/>
    </row>
    <row r="992">
      <c r="A992" s="3"/>
      <c r="B992" s="950"/>
      <c r="C992" s="584"/>
      <c r="D992" s="584"/>
      <c r="E992" s="951"/>
      <c r="F992" s="952"/>
      <c r="G992" s="950"/>
      <c r="H992" s="953"/>
      <c r="I992" s="3"/>
      <c r="J992" s="3"/>
      <c r="K992" s="955"/>
      <c r="L992" s="956"/>
      <c r="M992" s="956"/>
      <c r="N992" s="3"/>
      <c r="O992" s="955"/>
      <c r="P992" s="957"/>
      <c r="Q992" s="958"/>
    </row>
    <row r="993">
      <c r="A993" s="3"/>
      <c r="B993" s="950"/>
      <c r="C993" s="584"/>
      <c r="D993" s="584"/>
      <c r="E993" s="951"/>
      <c r="F993" s="952"/>
      <c r="G993" s="950"/>
      <c r="H993" s="953"/>
      <c r="I993" s="3"/>
      <c r="J993" s="3"/>
      <c r="K993" s="955"/>
      <c r="L993" s="956"/>
      <c r="M993" s="956"/>
      <c r="N993" s="3"/>
      <c r="O993" s="955"/>
      <c r="P993" s="957"/>
      <c r="Q993" s="958"/>
    </row>
    <row r="994">
      <c r="A994" s="3"/>
      <c r="B994" s="950"/>
      <c r="C994" s="584"/>
      <c r="D994" s="584"/>
      <c r="E994" s="951"/>
      <c r="F994" s="952"/>
      <c r="G994" s="950"/>
      <c r="H994" s="953"/>
      <c r="I994" s="3"/>
      <c r="J994" s="3"/>
      <c r="K994" s="955"/>
      <c r="L994" s="956"/>
      <c r="M994" s="956"/>
      <c r="N994" s="3"/>
      <c r="O994" s="955"/>
      <c r="P994" s="957"/>
      <c r="Q994" s="958"/>
    </row>
    <row r="995">
      <c r="A995" s="3"/>
      <c r="B995" s="950"/>
      <c r="C995" s="584"/>
      <c r="D995" s="584"/>
      <c r="E995" s="951"/>
      <c r="F995" s="952"/>
      <c r="G995" s="950"/>
      <c r="H995" s="953"/>
      <c r="I995" s="3"/>
      <c r="J995" s="3"/>
      <c r="K995" s="955"/>
      <c r="L995" s="956"/>
      <c r="M995" s="956"/>
      <c r="N995" s="3"/>
      <c r="O995" s="955"/>
      <c r="P995" s="957"/>
      <c r="Q995" s="958"/>
    </row>
    <row r="996">
      <c r="A996" s="3"/>
      <c r="B996" s="950"/>
      <c r="C996" s="584"/>
      <c r="D996" s="584"/>
      <c r="E996" s="951"/>
      <c r="F996" s="952"/>
      <c r="G996" s="950"/>
      <c r="H996" s="953"/>
      <c r="I996" s="3"/>
      <c r="J996" s="3"/>
      <c r="K996" s="955"/>
      <c r="L996" s="956"/>
      <c r="M996" s="956"/>
      <c r="N996" s="3"/>
      <c r="O996" s="955"/>
      <c r="P996" s="957"/>
      <c r="Q996" s="958"/>
    </row>
    <row r="997">
      <c r="A997" s="3"/>
      <c r="B997" s="950"/>
      <c r="C997" s="584"/>
      <c r="D997" s="584"/>
      <c r="E997" s="951"/>
      <c r="F997" s="952"/>
      <c r="G997" s="950"/>
      <c r="H997" s="953"/>
      <c r="I997" s="3"/>
      <c r="J997" s="3"/>
      <c r="K997" s="955"/>
      <c r="L997" s="956"/>
      <c r="M997" s="956"/>
      <c r="N997" s="3"/>
      <c r="O997" s="955"/>
      <c r="P997" s="957"/>
      <c r="Q997" s="958"/>
    </row>
    <row r="998">
      <c r="A998" s="3"/>
      <c r="B998" s="950"/>
      <c r="C998" s="584"/>
      <c r="D998" s="584"/>
      <c r="E998" s="951"/>
      <c r="F998" s="952"/>
      <c r="G998" s="950"/>
      <c r="H998" s="953"/>
      <c r="I998" s="3"/>
      <c r="J998" s="3"/>
      <c r="K998" s="955"/>
      <c r="L998" s="956"/>
      <c r="M998" s="956"/>
      <c r="N998" s="3"/>
      <c r="O998" s="955"/>
      <c r="P998" s="957"/>
      <c r="Q998" s="958"/>
    </row>
    <row r="999">
      <c r="A999" s="3"/>
      <c r="B999" s="950"/>
      <c r="C999" s="584"/>
      <c r="D999" s="584"/>
      <c r="E999" s="951"/>
      <c r="F999" s="952"/>
      <c r="G999" s="950"/>
      <c r="H999" s="953"/>
      <c r="I999" s="3"/>
      <c r="J999" s="3"/>
      <c r="K999" s="955"/>
      <c r="L999" s="956"/>
      <c r="M999" s="956"/>
      <c r="N999" s="3"/>
      <c r="O999" s="955"/>
      <c r="P999" s="957"/>
      <c r="Q999" s="958"/>
    </row>
    <row r="1000">
      <c r="A1000" s="3"/>
      <c r="B1000" s="950"/>
      <c r="C1000" s="584"/>
      <c r="D1000" s="584"/>
      <c r="E1000" s="951"/>
      <c r="F1000" s="952"/>
      <c r="G1000" s="950"/>
      <c r="H1000" s="953"/>
      <c r="I1000" s="3"/>
      <c r="J1000" s="3"/>
      <c r="K1000" s="955"/>
      <c r="L1000" s="956"/>
      <c r="M1000" s="956"/>
      <c r="N1000" s="3"/>
      <c r="O1000" s="955"/>
      <c r="P1000" s="957"/>
      <c r="Q1000" s="958"/>
    </row>
    <row r="1001">
      <c r="A1001" s="3"/>
      <c r="B1001" s="950"/>
      <c r="C1001" s="584"/>
      <c r="D1001" s="584"/>
      <c r="E1001" s="951"/>
      <c r="F1001" s="952"/>
      <c r="G1001" s="950"/>
      <c r="H1001" s="953"/>
      <c r="I1001" s="3"/>
      <c r="J1001" s="3"/>
      <c r="K1001" s="955"/>
      <c r="L1001" s="956"/>
      <c r="M1001" s="956"/>
      <c r="N1001" s="3"/>
      <c r="O1001" s="955"/>
      <c r="P1001" s="957"/>
      <c r="Q1001" s="958"/>
    </row>
    <row r="1002">
      <c r="A1002" s="3"/>
      <c r="B1002" s="950"/>
      <c r="C1002" s="584"/>
      <c r="D1002" s="584"/>
      <c r="E1002" s="951"/>
      <c r="F1002" s="952"/>
      <c r="G1002" s="950"/>
      <c r="H1002" s="953"/>
      <c r="I1002" s="3"/>
      <c r="J1002" s="3"/>
      <c r="K1002" s="955"/>
      <c r="L1002" s="956"/>
      <c r="M1002" s="956"/>
      <c r="N1002" s="3"/>
      <c r="O1002" s="955"/>
      <c r="P1002" s="957"/>
      <c r="Q1002" s="958"/>
    </row>
    <row r="1003">
      <c r="A1003" s="3"/>
      <c r="B1003" s="950"/>
      <c r="C1003" s="584"/>
      <c r="D1003" s="584"/>
      <c r="E1003" s="951"/>
      <c r="F1003" s="952"/>
      <c r="G1003" s="950"/>
      <c r="H1003" s="953"/>
      <c r="I1003" s="3"/>
      <c r="J1003" s="3"/>
      <c r="K1003" s="955"/>
      <c r="L1003" s="956"/>
      <c r="M1003" s="956"/>
      <c r="N1003" s="3"/>
      <c r="O1003" s="955"/>
      <c r="P1003" s="957"/>
      <c r="Q1003" s="958"/>
    </row>
    <row r="1004">
      <c r="A1004" s="3"/>
      <c r="B1004" s="950"/>
      <c r="C1004" s="584"/>
      <c r="D1004" s="584"/>
      <c r="E1004" s="951"/>
      <c r="F1004" s="952"/>
      <c r="G1004" s="950"/>
      <c r="H1004" s="953"/>
      <c r="I1004" s="3"/>
      <c r="J1004" s="3"/>
      <c r="K1004" s="955"/>
      <c r="L1004" s="956"/>
      <c r="M1004" s="956"/>
      <c r="N1004" s="3"/>
      <c r="O1004" s="955"/>
      <c r="P1004" s="957"/>
      <c r="Q1004" s="958"/>
    </row>
    <row r="1005">
      <c r="A1005" s="3"/>
      <c r="B1005" s="950"/>
      <c r="C1005" s="584"/>
      <c r="D1005" s="584"/>
      <c r="E1005" s="951"/>
      <c r="F1005" s="952"/>
      <c r="G1005" s="950"/>
      <c r="H1005" s="953"/>
      <c r="I1005" s="3"/>
      <c r="J1005" s="3"/>
      <c r="K1005" s="955"/>
      <c r="L1005" s="956"/>
      <c r="M1005" s="956"/>
      <c r="N1005" s="3"/>
      <c r="O1005" s="955"/>
      <c r="P1005" s="957"/>
      <c r="Q1005" s="958"/>
    </row>
    <row r="1006">
      <c r="A1006" s="3"/>
      <c r="B1006" s="950"/>
      <c r="C1006" s="584"/>
      <c r="D1006" s="584"/>
      <c r="E1006" s="951"/>
      <c r="F1006" s="952"/>
      <c r="G1006" s="950"/>
      <c r="H1006" s="953"/>
      <c r="I1006" s="3"/>
      <c r="J1006" s="3"/>
      <c r="K1006" s="955"/>
      <c r="L1006" s="956"/>
      <c r="M1006" s="956"/>
      <c r="N1006" s="3"/>
      <c r="O1006" s="955"/>
      <c r="P1006" s="957"/>
      <c r="Q1006" s="958"/>
    </row>
    <row r="1007">
      <c r="A1007" s="3"/>
      <c r="B1007" s="950"/>
      <c r="C1007" s="584"/>
      <c r="D1007" s="584"/>
      <c r="E1007" s="951"/>
      <c r="F1007" s="952"/>
      <c r="G1007" s="950"/>
      <c r="H1007" s="953"/>
      <c r="I1007" s="3"/>
      <c r="J1007" s="3"/>
      <c r="K1007" s="955"/>
      <c r="L1007" s="956"/>
      <c r="M1007" s="956"/>
      <c r="N1007" s="3"/>
      <c r="O1007" s="955"/>
      <c r="P1007" s="957"/>
      <c r="Q1007" s="958"/>
    </row>
    <row r="1008">
      <c r="A1008" s="3"/>
      <c r="B1008" s="950"/>
      <c r="C1008" s="584"/>
      <c r="D1008" s="584"/>
      <c r="E1008" s="951"/>
      <c r="F1008" s="952"/>
      <c r="G1008" s="950"/>
      <c r="H1008" s="953"/>
      <c r="I1008" s="3"/>
      <c r="J1008" s="3"/>
      <c r="K1008" s="955"/>
      <c r="L1008" s="956"/>
      <c r="M1008" s="956"/>
      <c r="N1008" s="3"/>
      <c r="O1008" s="955"/>
      <c r="P1008" s="957"/>
      <c r="Q1008" s="958"/>
    </row>
    <row r="1009">
      <c r="A1009" s="3"/>
      <c r="B1009" s="950"/>
      <c r="C1009" s="584"/>
      <c r="D1009" s="584"/>
      <c r="E1009" s="951"/>
      <c r="F1009" s="952"/>
      <c r="G1009" s="950"/>
      <c r="H1009" s="953"/>
      <c r="I1009" s="3"/>
      <c r="J1009" s="3"/>
      <c r="K1009" s="955"/>
      <c r="L1009" s="956"/>
      <c r="M1009" s="956"/>
      <c r="N1009" s="3"/>
      <c r="O1009" s="955"/>
      <c r="P1009" s="957"/>
      <c r="Q1009" s="958"/>
    </row>
    <row r="1010">
      <c r="A1010" s="3"/>
      <c r="B1010" s="950"/>
      <c r="C1010" s="584"/>
      <c r="D1010" s="584"/>
      <c r="E1010" s="951"/>
      <c r="F1010" s="952"/>
      <c r="G1010" s="950"/>
      <c r="H1010" s="953"/>
      <c r="I1010" s="3"/>
      <c r="J1010" s="3"/>
      <c r="K1010" s="955"/>
      <c r="L1010" s="956"/>
      <c r="M1010" s="956"/>
      <c r="N1010" s="3"/>
      <c r="O1010" s="955"/>
      <c r="P1010" s="957"/>
      <c r="Q1010" s="958"/>
    </row>
    <row r="1011">
      <c r="A1011" s="3"/>
      <c r="B1011" s="950"/>
      <c r="C1011" s="584"/>
      <c r="D1011" s="584"/>
      <c r="E1011" s="951"/>
      <c r="F1011" s="952"/>
      <c r="G1011" s="950"/>
      <c r="H1011" s="953"/>
      <c r="I1011" s="3"/>
      <c r="J1011" s="3"/>
      <c r="K1011" s="955"/>
      <c r="L1011" s="956"/>
      <c r="M1011" s="956"/>
      <c r="N1011" s="3"/>
      <c r="O1011" s="955"/>
      <c r="P1011" s="957"/>
      <c r="Q1011" s="958"/>
    </row>
    <row r="1012">
      <c r="A1012" s="3"/>
      <c r="B1012" s="950"/>
      <c r="C1012" s="584"/>
      <c r="D1012" s="584"/>
      <c r="E1012" s="951"/>
      <c r="F1012" s="952"/>
      <c r="G1012" s="950"/>
      <c r="H1012" s="953"/>
      <c r="I1012" s="3"/>
      <c r="J1012" s="3"/>
      <c r="K1012" s="955"/>
      <c r="L1012" s="956"/>
      <c r="M1012" s="956"/>
      <c r="N1012" s="3"/>
      <c r="O1012" s="955"/>
      <c r="P1012" s="957"/>
      <c r="Q1012" s="958"/>
    </row>
    <row r="1013">
      <c r="A1013" s="3"/>
      <c r="B1013" s="950"/>
      <c r="C1013" s="584"/>
      <c r="D1013" s="584"/>
      <c r="E1013" s="951"/>
      <c r="F1013" s="952"/>
      <c r="G1013" s="950"/>
      <c r="H1013" s="953"/>
      <c r="I1013" s="3"/>
      <c r="J1013" s="3"/>
      <c r="K1013" s="955"/>
      <c r="L1013" s="956"/>
      <c r="M1013" s="956"/>
      <c r="N1013" s="3"/>
      <c r="O1013" s="955"/>
      <c r="P1013" s="957"/>
      <c r="Q1013" s="958"/>
    </row>
    <row r="1014">
      <c r="A1014" s="3"/>
      <c r="B1014" s="950"/>
      <c r="C1014" s="584"/>
      <c r="D1014" s="584"/>
      <c r="E1014" s="951"/>
      <c r="F1014" s="952"/>
      <c r="G1014" s="950"/>
      <c r="H1014" s="953"/>
      <c r="I1014" s="3"/>
      <c r="J1014" s="3"/>
      <c r="K1014" s="955"/>
      <c r="L1014" s="956"/>
      <c r="M1014" s="956"/>
      <c r="N1014" s="3"/>
      <c r="O1014" s="955"/>
      <c r="P1014" s="957"/>
      <c r="Q1014" s="958"/>
    </row>
    <row r="1015">
      <c r="A1015" s="3"/>
      <c r="B1015" s="950"/>
      <c r="C1015" s="584"/>
      <c r="D1015" s="584"/>
      <c r="E1015" s="951"/>
      <c r="F1015" s="952"/>
      <c r="G1015" s="950"/>
      <c r="H1015" s="953"/>
      <c r="I1015" s="3"/>
      <c r="J1015" s="3"/>
      <c r="K1015" s="955"/>
      <c r="L1015" s="956"/>
      <c r="M1015" s="956"/>
      <c r="N1015" s="3"/>
      <c r="O1015" s="955"/>
      <c r="P1015" s="957"/>
      <c r="Q1015" s="958"/>
    </row>
    <row r="1016">
      <c r="A1016" s="3"/>
      <c r="B1016" s="950"/>
      <c r="C1016" s="584"/>
      <c r="D1016" s="584"/>
      <c r="E1016" s="951"/>
      <c r="F1016" s="952"/>
      <c r="G1016" s="950"/>
      <c r="H1016" s="953"/>
      <c r="I1016" s="3"/>
      <c r="J1016" s="3"/>
      <c r="K1016" s="955"/>
      <c r="L1016" s="956"/>
      <c r="M1016" s="956"/>
      <c r="N1016" s="3"/>
      <c r="O1016" s="955"/>
      <c r="P1016" s="957"/>
      <c r="Q1016" s="958"/>
    </row>
    <row r="1017">
      <c r="A1017" s="3"/>
      <c r="B1017" s="950"/>
      <c r="C1017" s="584"/>
      <c r="D1017" s="584"/>
      <c r="E1017" s="951"/>
      <c r="F1017" s="952"/>
      <c r="G1017" s="950"/>
      <c r="H1017" s="953"/>
      <c r="I1017" s="3"/>
      <c r="J1017" s="3"/>
      <c r="K1017" s="955"/>
      <c r="L1017" s="956"/>
      <c r="M1017" s="956"/>
      <c r="N1017" s="3"/>
      <c r="O1017" s="955"/>
      <c r="P1017" s="957"/>
      <c r="Q1017" s="958"/>
    </row>
    <row r="1018">
      <c r="A1018" s="3"/>
      <c r="B1018" s="950"/>
      <c r="C1018" s="584"/>
      <c r="D1018" s="584"/>
      <c r="E1018" s="951"/>
      <c r="F1018" s="952"/>
      <c r="G1018" s="950"/>
      <c r="H1018" s="953"/>
      <c r="I1018" s="3"/>
      <c r="J1018" s="3"/>
      <c r="K1018" s="955"/>
      <c r="L1018" s="956"/>
      <c r="M1018" s="956"/>
      <c r="N1018" s="3"/>
      <c r="O1018" s="955"/>
      <c r="P1018" s="957"/>
      <c r="Q1018" s="958"/>
    </row>
    <row r="1019">
      <c r="A1019" s="3"/>
      <c r="B1019" s="950"/>
      <c r="C1019" s="584"/>
      <c r="D1019" s="584"/>
      <c r="E1019" s="951"/>
      <c r="F1019" s="952"/>
      <c r="G1019" s="950"/>
      <c r="H1019" s="953"/>
      <c r="I1019" s="3"/>
      <c r="J1019" s="3"/>
      <c r="K1019" s="955"/>
      <c r="L1019" s="956"/>
      <c r="M1019" s="956"/>
      <c r="N1019" s="3"/>
      <c r="O1019" s="955"/>
      <c r="P1019" s="957"/>
      <c r="Q1019" s="958"/>
    </row>
    <row r="1020">
      <c r="A1020" s="3"/>
      <c r="B1020" s="950"/>
      <c r="C1020" s="584"/>
      <c r="D1020" s="584"/>
      <c r="E1020" s="951"/>
      <c r="F1020" s="952"/>
      <c r="G1020" s="950"/>
      <c r="H1020" s="953"/>
      <c r="I1020" s="3"/>
      <c r="J1020" s="3"/>
      <c r="K1020" s="955"/>
      <c r="L1020" s="956"/>
      <c r="M1020" s="956"/>
      <c r="N1020" s="3"/>
      <c r="O1020" s="955"/>
      <c r="P1020" s="957"/>
      <c r="Q1020" s="958"/>
    </row>
    <row r="1021">
      <c r="A1021" s="3"/>
      <c r="B1021" s="950"/>
      <c r="C1021" s="584"/>
      <c r="D1021" s="584"/>
      <c r="E1021" s="951"/>
      <c r="F1021" s="952"/>
      <c r="G1021" s="950"/>
      <c r="H1021" s="953"/>
      <c r="I1021" s="3"/>
      <c r="J1021" s="3"/>
      <c r="K1021" s="955"/>
      <c r="L1021" s="956"/>
      <c r="M1021" s="956"/>
      <c r="N1021" s="3"/>
      <c r="O1021" s="955"/>
      <c r="P1021" s="957"/>
      <c r="Q1021" s="958"/>
    </row>
    <row r="1022">
      <c r="A1022" s="3"/>
      <c r="B1022" s="950"/>
      <c r="C1022" s="584"/>
      <c r="D1022" s="584"/>
      <c r="E1022" s="951"/>
      <c r="F1022" s="952"/>
      <c r="G1022" s="950"/>
      <c r="H1022" s="953"/>
      <c r="I1022" s="3"/>
      <c r="J1022" s="3"/>
      <c r="K1022" s="955"/>
      <c r="L1022" s="956"/>
      <c r="M1022" s="956"/>
      <c r="N1022" s="3"/>
      <c r="O1022" s="955"/>
      <c r="P1022" s="957"/>
      <c r="Q1022" s="958"/>
    </row>
    <row r="1023">
      <c r="A1023" s="3"/>
      <c r="B1023" s="950"/>
      <c r="C1023" s="584"/>
      <c r="D1023" s="584"/>
      <c r="E1023" s="951"/>
      <c r="F1023" s="952"/>
      <c r="G1023" s="950"/>
      <c r="H1023" s="953"/>
      <c r="I1023" s="3"/>
      <c r="J1023" s="3"/>
      <c r="K1023" s="955"/>
      <c r="L1023" s="956"/>
      <c r="M1023" s="956"/>
      <c r="N1023" s="3"/>
      <c r="O1023" s="955"/>
      <c r="P1023" s="957"/>
      <c r="Q1023" s="958"/>
    </row>
    <row r="1024">
      <c r="A1024" s="3"/>
      <c r="B1024" s="950"/>
      <c r="C1024" s="584"/>
      <c r="D1024" s="584"/>
      <c r="E1024" s="951"/>
      <c r="F1024" s="952"/>
      <c r="G1024" s="950"/>
      <c r="H1024" s="953"/>
      <c r="I1024" s="3"/>
      <c r="J1024" s="3"/>
      <c r="K1024" s="955"/>
      <c r="L1024" s="956"/>
      <c r="M1024" s="956"/>
      <c r="N1024" s="3"/>
      <c r="O1024" s="955"/>
      <c r="P1024" s="957"/>
      <c r="Q1024" s="958"/>
    </row>
    <row r="1025">
      <c r="A1025" s="3"/>
      <c r="B1025" s="950"/>
      <c r="C1025" s="584"/>
      <c r="D1025" s="584"/>
      <c r="E1025" s="951"/>
      <c r="F1025" s="952"/>
      <c r="G1025" s="950"/>
      <c r="H1025" s="953"/>
      <c r="I1025" s="3"/>
      <c r="J1025" s="3"/>
      <c r="K1025" s="955"/>
      <c r="L1025" s="956"/>
      <c r="M1025" s="956"/>
      <c r="N1025" s="3"/>
      <c r="O1025" s="955"/>
      <c r="P1025" s="957"/>
      <c r="Q1025" s="958"/>
    </row>
    <row r="1026">
      <c r="A1026" s="3"/>
      <c r="B1026" s="950"/>
      <c r="C1026" s="584"/>
      <c r="D1026" s="584"/>
      <c r="E1026" s="951"/>
      <c r="F1026" s="952"/>
      <c r="G1026" s="950"/>
      <c r="H1026" s="953"/>
      <c r="I1026" s="3"/>
      <c r="J1026" s="3"/>
      <c r="K1026" s="955"/>
      <c r="L1026" s="956"/>
      <c r="M1026" s="956"/>
      <c r="N1026" s="3"/>
      <c r="O1026" s="955"/>
      <c r="P1026" s="957"/>
      <c r="Q1026" s="958"/>
    </row>
    <row r="1027">
      <c r="A1027" s="3"/>
      <c r="B1027" s="950"/>
      <c r="C1027" s="584"/>
      <c r="D1027" s="584"/>
      <c r="E1027" s="951"/>
      <c r="F1027" s="952"/>
      <c r="G1027" s="950"/>
      <c r="H1027" s="953"/>
      <c r="I1027" s="3"/>
      <c r="J1027" s="3"/>
      <c r="K1027" s="955"/>
      <c r="L1027" s="956"/>
      <c r="M1027" s="956"/>
      <c r="N1027" s="3"/>
      <c r="O1027" s="955"/>
      <c r="P1027" s="957"/>
      <c r="Q1027" s="958"/>
    </row>
    <row r="1028">
      <c r="A1028" s="3"/>
      <c r="B1028" s="950"/>
      <c r="C1028" s="584"/>
      <c r="D1028" s="584"/>
      <c r="E1028" s="951"/>
      <c r="F1028" s="952"/>
      <c r="G1028" s="950"/>
      <c r="H1028" s="953"/>
      <c r="I1028" s="3"/>
      <c r="J1028" s="3"/>
      <c r="K1028" s="955"/>
      <c r="L1028" s="956"/>
      <c r="M1028" s="956"/>
      <c r="N1028" s="3"/>
      <c r="O1028" s="955"/>
      <c r="P1028" s="957"/>
      <c r="Q1028" s="958"/>
    </row>
    <row r="1029">
      <c r="A1029" s="3"/>
      <c r="B1029" s="950"/>
      <c r="C1029" s="584"/>
      <c r="D1029" s="584"/>
      <c r="E1029" s="951"/>
      <c r="F1029" s="952"/>
      <c r="G1029" s="950"/>
      <c r="H1029" s="953"/>
      <c r="I1029" s="3"/>
      <c r="J1029" s="3"/>
      <c r="K1029" s="955"/>
      <c r="L1029" s="956"/>
      <c r="M1029" s="956"/>
      <c r="N1029" s="3"/>
      <c r="O1029" s="955"/>
      <c r="P1029" s="957"/>
      <c r="Q1029" s="958"/>
    </row>
    <row r="1030">
      <c r="A1030" s="3"/>
      <c r="B1030" s="950"/>
      <c r="C1030" s="584"/>
      <c r="D1030" s="584"/>
      <c r="E1030" s="951"/>
      <c r="F1030" s="952"/>
      <c r="G1030" s="950"/>
      <c r="H1030" s="953"/>
      <c r="I1030" s="3"/>
      <c r="J1030" s="3"/>
      <c r="K1030" s="955"/>
      <c r="L1030" s="956"/>
      <c r="M1030" s="956"/>
      <c r="N1030" s="3"/>
      <c r="O1030" s="955"/>
      <c r="P1030" s="957"/>
      <c r="Q1030" s="958"/>
    </row>
    <row r="1031">
      <c r="A1031" s="3"/>
      <c r="B1031" s="950"/>
      <c r="C1031" s="584"/>
      <c r="D1031" s="584"/>
      <c r="E1031" s="951"/>
      <c r="F1031" s="952"/>
      <c r="G1031" s="950"/>
      <c r="H1031" s="953"/>
      <c r="I1031" s="3"/>
      <c r="J1031" s="3"/>
      <c r="K1031" s="955"/>
      <c r="L1031" s="956"/>
      <c r="M1031" s="956"/>
      <c r="N1031" s="3"/>
      <c r="O1031" s="955"/>
      <c r="P1031" s="957"/>
      <c r="Q1031" s="958"/>
    </row>
    <row r="1032">
      <c r="A1032" s="3"/>
      <c r="B1032" s="950"/>
      <c r="C1032" s="584"/>
      <c r="D1032" s="584"/>
      <c r="E1032" s="951"/>
      <c r="F1032" s="952"/>
      <c r="G1032" s="950"/>
      <c r="H1032" s="953"/>
      <c r="I1032" s="3"/>
      <c r="J1032" s="3"/>
      <c r="K1032" s="955"/>
      <c r="L1032" s="956"/>
      <c r="M1032" s="956"/>
      <c r="N1032" s="3"/>
      <c r="O1032" s="955"/>
      <c r="P1032" s="957"/>
      <c r="Q1032" s="958"/>
    </row>
    <row r="1033">
      <c r="A1033" s="3"/>
      <c r="B1033" s="950"/>
      <c r="C1033" s="584"/>
      <c r="D1033" s="584"/>
      <c r="E1033" s="951"/>
      <c r="F1033" s="952"/>
      <c r="G1033" s="950"/>
      <c r="H1033" s="953"/>
      <c r="I1033" s="3"/>
      <c r="J1033" s="3"/>
      <c r="K1033" s="955"/>
      <c r="L1033" s="956"/>
      <c r="M1033" s="956"/>
      <c r="N1033" s="3"/>
      <c r="O1033" s="955"/>
      <c r="P1033" s="957"/>
      <c r="Q1033" s="958"/>
    </row>
    <row r="1034">
      <c r="A1034" s="3"/>
      <c r="B1034" s="950"/>
      <c r="C1034" s="584"/>
      <c r="D1034" s="584"/>
      <c r="E1034" s="951"/>
      <c r="F1034" s="952"/>
      <c r="G1034" s="950"/>
      <c r="H1034" s="953"/>
      <c r="I1034" s="3"/>
      <c r="J1034" s="3"/>
      <c r="K1034" s="955"/>
      <c r="L1034" s="956"/>
      <c r="M1034" s="956"/>
      <c r="N1034" s="3"/>
      <c r="O1034" s="955"/>
      <c r="P1034" s="957"/>
      <c r="Q1034" s="958"/>
    </row>
    <row r="1035">
      <c r="A1035" s="3"/>
      <c r="B1035" s="950"/>
      <c r="C1035" s="584"/>
      <c r="D1035" s="584"/>
      <c r="E1035" s="951"/>
      <c r="F1035" s="952"/>
      <c r="G1035" s="950"/>
      <c r="H1035" s="953"/>
      <c r="I1035" s="3"/>
      <c r="J1035" s="3"/>
      <c r="K1035" s="955"/>
      <c r="L1035" s="956"/>
      <c r="M1035" s="956"/>
      <c r="N1035" s="3"/>
      <c r="O1035" s="955"/>
      <c r="P1035" s="957"/>
      <c r="Q1035" s="958"/>
    </row>
    <row r="1036">
      <c r="A1036" s="3"/>
      <c r="B1036" s="950"/>
      <c r="C1036" s="584"/>
      <c r="D1036" s="584"/>
      <c r="E1036" s="951"/>
      <c r="F1036" s="952"/>
      <c r="G1036" s="950"/>
      <c r="H1036" s="953"/>
      <c r="I1036" s="3"/>
      <c r="J1036" s="3"/>
      <c r="K1036" s="955"/>
      <c r="L1036" s="956"/>
      <c r="M1036" s="956"/>
      <c r="N1036" s="3"/>
      <c r="O1036" s="955"/>
      <c r="P1036" s="957"/>
      <c r="Q1036" s="958"/>
    </row>
    <row r="1037">
      <c r="A1037" s="3"/>
      <c r="B1037" s="950"/>
      <c r="C1037" s="584"/>
      <c r="D1037" s="584"/>
      <c r="E1037" s="951"/>
      <c r="F1037" s="952"/>
      <c r="G1037" s="950"/>
      <c r="H1037" s="953"/>
      <c r="I1037" s="3"/>
      <c r="J1037" s="3"/>
      <c r="K1037" s="955"/>
      <c r="L1037" s="956"/>
      <c r="M1037" s="956"/>
      <c r="N1037" s="3"/>
      <c r="O1037" s="955"/>
      <c r="P1037" s="957"/>
      <c r="Q1037" s="958"/>
    </row>
    <row r="1038">
      <c r="A1038" s="3"/>
      <c r="B1038" s="950"/>
      <c r="C1038" s="584"/>
      <c r="D1038" s="584"/>
      <c r="E1038" s="951"/>
      <c r="F1038" s="952"/>
      <c r="G1038" s="950"/>
      <c r="H1038" s="953"/>
      <c r="I1038" s="3"/>
      <c r="J1038" s="3"/>
      <c r="K1038" s="955"/>
      <c r="L1038" s="956"/>
      <c r="M1038" s="956"/>
      <c r="N1038" s="3"/>
      <c r="O1038" s="955"/>
      <c r="P1038" s="957"/>
      <c r="Q1038" s="958"/>
    </row>
    <row r="1039">
      <c r="A1039" s="3"/>
      <c r="B1039" s="950"/>
      <c r="C1039" s="584"/>
      <c r="D1039" s="584"/>
      <c r="E1039" s="951"/>
      <c r="F1039" s="952"/>
      <c r="G1039" s="950"/>
      <c r="H1039" s="953"/>
      <c r="I1039" s="3"/>
      <c r="J1039" s="3"/>
      <c r="K1039" s="955"/>
      <c r="L1039" s="956"/>
      <c r="M1039" s="956"/>
      <c r="N1039" s="3"/>
      <c r="O1039" s="955"/>
      <c r="P1039" s="957"/>
      <c r="Q1039" s="958"/>
    </row>
    <row r="1040">
      <c r="A1040" s="3"/>
      <c r="B1040" s="950"/>
      <c r="C1040" s="584"/>
      <c r="D1040" s="584"/>
      <c r="E1040" s="951"/>
      <c r="F1040" s="952"/>
      <c r="G1040" s="950"/>
      <c r="H1040" s="953"/>
      <c r="I1040" s="3"/>
      <c r="J1040" s="3"/>
      <c r="K1040" s="955"/>
      <c r="L1040" s="956"/>
      <c r="M1040" s="956"/>
      <c r="N1040" s="3"/>
      <c r="O1040" s="955"/>
      <c r="P1040" s="957"/>
      <c r="Q1040" s="958"/>
    </row>
    <row r="1041">
      <c r="A1041" s="3"/>
      <c r="B1041" s="950"/>
      <c r="C1041" s="584"/>
      <c r="D1041" s="584"/>
      <c r="E1041" s="951"/>
      <c r="F1041" s="952"/>
      <c r="G1041" s="950"/>
      <c r="H1041" s="953"/>
      <c r="I1041" s="3"/>
      <c r="J1041" s="3"/>
      <c r="K1041" s="955"/>
      <c r="L1041" s="956"/>
      <c r="M1041" s="956"/>
      <c r="N1041" s="3"/>
      <c r="O1041" s="955"/>
      <c r="P1041" s="957"/>
      <c r="Q1041" s="958"/>
    </row>
    <row r="1042">
      <c r="A1042" s="3"/>
      <c r="B1042" s="950"/>
      <c r="C1042" s="584"/>
      <c r="D1042" s="584"/>
      <c r="E1042" s="951"/>
      <c r="F1042" s="952"/>
      <c r="G1042" s="950"/>
      <c r="H1042" s="953"/>
      <c r="I1042" s="3"/>
      <c r="J1042" s="3"/>
      <c r="K1042" s="955"/>
      <c r="L1042" s="956"/>
      <c r="M1042" s="956"/>
      <c r="N1042" s="3"/>
      <c r="O1042" s="955"/>
      <c r="P1042" s="957"/>
      <c r="Q1042" s="958"/>
    </row>
    <row r="1043">
      <c r="A1043" s="3"/>
      <c r="B1043" s="950"/>
      <c r="C1043" s="584"/>
      <c r="D1043" s="584"/>
      <c r="E1043" s="951"/>
      <c r="F1043" s="952"/>
      <c r="G1043" s="950"/>
      <c r="H1043" s="953"/>
      <c r="I1043" s="3"/>
      <c r="J1043" s="3"/>
      <c r="K1043" s="955"/>
      <c r="L1043" s="956"/>
      <c r="M1043" s="956"/>
      <c r="N1043" s="3"/>
      <c r="O1043" s="955"/>
      <c r="P1043" s="957"/>
      <c r="Q1043" s="958"/>
    </row>
    <row r="1044">
      <c r="A1044" s="3"/>
      <c r="B1044" s="950"/>
      <c r="C1044" s="584"/>
      <c r="D1044" s="584"/>
      <c r="E1044" s="951"/>
      <c r="F1044" s="952"/>
      <c r="G1044" s="950"/>
      <c r="H1044" s="953"/>
      <c r="I1044" s="3"/>
      <c r="J1044" s="3"/>
      <c r="K1044" s="955"/>
      <c r="L1044" s="956"/>
      <c r="M1044" s="956"/>
      <c r="N1044" s="3"/>
      <c r="O1044" s="955"/>
      <c r="P1044" s="957"/>
      <c r="Q1044" s="958"/>
    </row>
    <row r="1045">
      <c r="A1045" s="3"/>
      <c r="B1045" s="950"/>
      <c r="C1045" s="584"/>
      <c r="D1045" s="584"/>
      <c r="E1045" s="951"/>
      <c r="F1045" s="952"/>
      <c r="G1045" s="950"/>
      <c r="H1045" s="953"/>
      <c r="I1045" s="3"/>
      <c r="J1045" s="3"/>
      <c r="K1045" s="955"/>
      <c r="L1045" s="956"/>
      <c r="M1045" s="956"/>
      <c r="N1045" s="3"/>
      <c r="O1045" s="955"/>
      <c r="P1045" s="957"/>
      <c r="Q1045" s="958"/>
    </row>
    <row r="1046">
      <c r="A1046" s="3"/>
      <c r="B1046" s="950"/>
      <c r="C1046" s="584"/>
      <c r="D1046" s="584"/>
      <c r="E1046" s="951"/>
      <c r="F1046" s="952"/>
      <c r="G1046" s="950"/>
      <c r="H1046" s="953"/>
      <c r="I1046" s="3"/>
      <c r="J1046" s="3"/>
      <c r="K1046" s="955"/>
      <c r="L1046" s="956"/>
      <c r="M1046" s="956"/>
      <c r="N1046" s="3"/>
      <c r="O1046" s="955"/>
      <c r="P1046" s="957"/>
      <c r="Q1046" s="958"/>
    </row>
    <row r="1047">
      <c r="A1047" s="3"/>
      <c r="B1047" s="950"/>
      <c r="C1047" s="584"/>
      <c r="D1047" s="584"/>
      <c r="E1047" s="951"/>
      <c r="F1047" s="952"/>
      <c r="G1047" s="950"/>
      <c r="H1047" s="953"/>
      <c r="I1047" s="3"/>
      <c r="J1047" s="3"/>
      <c r="K1047" s="955"/>
      <c r="L1047" s="956"/>
      <c r="M1047" s="956"/>
      <c r="N1047" s="3"/>
      <c r="O1047" s="955"/>
      <c r="P1047" s="957"/>
      <c r="Q1047" s="958"/>
    </row>
    <row r="1048">
      <c r="A1048" s="3"/>
      <c r="B1048" s="950"/>
      <c r="C1048" s="584"/>
      <c r="D1048" s="584"/>
      <c r="E1048" s="951"/>
      <c r="F1048" s="952"/>
      <c r="G1048" s="950"/>
      <c r="H1048" s="953"/>
      <c r="I1048" s="3"/>
      <c r="J1048" s="3"/>
      <c r="K1048" s="955"/>
      <c r="L1048" s="956"/>
      <c r="M1048" s="956"/>
      <c r="N1048" s="3"/>
      <c r="O1048" s="955"/>
      <c r="P1048" s="957"/>
      <c r="Q1048" s="958"/>
    </row>
    <row r="1049">
      <c r="A1049" s="3"/>
      <c r="B1049" s="950"/>
      <c r="C1049" s="584"/>
      <c r="D1049" s="584"/>
      <c r="E1049" s="951"/>
      <c r="F1049" s="952"/>
      <c r="G1049" s="950"/>
      <c r="H1049" s="953"/>
      <c r="I1049" s="3"/>
      <c r="J1049" s="3"/>
      <c r="K1049" s="955"/>
      <c r="L1049" s="956"/>
      <c r="M1049" s="956"/>
      <c r="N1049" s="3"/>
      <c r="O1049" s="955"/>
      <c r="P1049" s="957"/>
      <c r="Q1049" s="958"/>
    </row>
    <row r="1050">
      <c r="A1050" s="3"/>
      <c r="B1050" s="950"/>
      <c r="C1050" s="584"/>
      <c r="D1050" s="584"/>
      <c r="E1050" s="951"/>
      <c r="F1050" s="952"/>
      <c r="G1050" s="950"/>
      <c r="H1050" s="953"/>
      <c r="I1050" s="3"/>
      <c r="J1050" s="3"/>
      <c r="K1050" s="955"/>
      <c r="L1050" s="956"/>
      <c r="M1050" s="956"/>
      <c r="N1050" s="3"/>
      <c r="O1050" s="955"/>
      <c r="P1050" s="957"/>
      <c r="Q1050" s="958"/>
    </row>
    <row r="1051">
      <c r="A1051" s="3"/>
      <c r="B1051" s="950"/>
      <c r="C1051" s="584"/>
      <c r="D1051" s="584"/>
      <c r="E1051" s="951"/>
      <c r="F1051" s="952"/>
      <c r="G1051" s="950"/>
      <c r="H1051" s="953"/>
      <c r="I1051" s="3"/>
      <c r="J1051" s="3"/>
      <c r="K1051" s="955"/>
      <c r="L1051" s="956"/>
      <c r="M1051" s="956"/>
      <c r="N1051" s="3"/>
      <c r="O1051" s="955"/>
      <c r="P1051" s="957"/>
      <c r="Q1051" s="958"/>
    </row>
    <row r="1052">
      <c r="A1052" s="3"/>
      <c r="B1052" s="950"/>
      <c r="C1052" s="584"/>
      <c r="D1052" s="584"/>
      <c r="E1052" s="951"/>
      <c r="F1052" s="952"/>
      <c r="G1052" s="950"/>
      <c r="H1052" s="953"/>
      <c r="I1052" s="3"/>
      <c r="J1052" s="3"/>
      <c r="K1052" s="955"/>
      <c r="L1052" s="956"/>
      <c r="M1052" s="956"/>
      <c r="N1052" s="3"/>
      <c r="O1052" s="955"/>
      <c r="P1052" s="957"/>
      <c r="Q1052" s="958"/>
    </row>
    <row r="1053">
      <c r="A1053" s="3"/>
      <c r="B1053" s="950"/>
      <c r="C1053" s="584"/>
      <c r="D1053" s="584"/>
      <c r="E1053" s="951"/>
      <c r="F1053" s="952"/>
      <c r="G1053" s="950"/>
      <c r="H1053" s="953"/>
      <c r="I1053" s="3"/>
      <c r="J1053" s="3"/>
      <c r="K1053" s="955"/>
      <c r="L1053" s="956"/>
      <c r="M1053" s="956"/>
      <c r="N1053" s="3"/>
      <c r="O1053" s="955"/>
      <c r="P1053" s="957"/>
      <c r="Q1053" s="958"/>
    </row>
    <row r="1054">
      <c r="A1054" s="3"/>
      <c r="B1054" s="950"/>
      <c r="C1054" s="584"/>
      <c r="D1054" s="584"/>
      <c r="E1054" s="951"/>
      <c r="F1054" s="952"/>
      <c r="G1054" s="950"/>
      <c r="H1054" s="953"/>
      <c r="I1054" s="3"/>
      <c r="J1054" s="3"/>
      <c r="K1054" s="955"/>
      <c r="L1054" s="956"/>
      <c r="M1054" s="956"/>
      <c r="N1054" s="3"/>
      <c r="O1054" s="955"/>
      <c r="P1054" s="957"/>
      <c r="Q1054" s="958"/>
    </row>
    <row r="1055">
      <c r="A1055" s="3"/>
      <c r="B1055" s="950"/>
      <c r="C1055" s="584"/>
      <c r="D1055" s="584"/>
      <c r="E1055" s="951"/>
      <c r="F1055" s="952"/>
      <c r="G1055" s="950"/>
      <c r="H1055" s="953"/>
      <c r="I1055" s="3"/>
      <c r="J1055" s="3"/>
      <c r="K1055" s="955"/>
      <c r="L1055" s="956"/>
      <c r="M1055" s="956"/>
      <c r="N1055" s="3"/>
      <c r="O1055" s="955"/>
      <c r="P1055" s="957"/>
      <c r="Q1055" s="958"/>
    </row>
    <row r="1056">
      <c r="A1056" s="3"/>
      <c r="B1056" s="950"/>
      <c r="C1056" s="584"/>
      <c r="D1056" s="584"/>
      <c r="E1056" s="951"/>
      <c r="F1056" s="952"/>
      <c r="G1056" s="950"/>
      <c r="H1056" s="953"/>
      <c r="I1056" s="3"/>
      <c r="J1056" s="3"/>
      <c r="K1056" s="955"/>
      <c r="L1056" s="956"/>
      <c r="M1056" s="956"/>
      <c r="N1056" s="3"/>
      <c r="O1056" s="955"/>
      <c r="P1056" s="957"/>
      <c r="Q1056" s="958"/>
    </row>
    <row r="1057">
      <c r="A1057" s="3"/>
      <c r="B1057" s="950"/>
      <c r="C1057" s="584"/>
      <c r="D1057" s="584"/>
      <c r="E1057" s="951"/>
      <c r="F1057" s="952"/>
      <c r="G1057" s="950"/>
      <c r="H1057" s="953"/>
      <c r="I1057" s="3"/>
      <c r="J1057" s="3"/>
      <c r="K1057" s="955"/>
      <c r="L1057" s="956"/>
      <c r="M1057" s="956"/>
      <c r="N1057" s="3"/>
      <c r="O1057" s="955"/>
      <c r="P1057" s="957"/>
      <c r="Q1057" s="958"/>
    </row>
    <row r="1058">
      <c r="A1058" s="3"/>
      <c r="B1058" s="950"/>
      <c r="C1058" s="584"/>
      <c r="D1058" s="584"/>
      <c r="E1058" s="951"/>
      <c r="F1058" s="952"/>
      <c r="G1058" s="950"/>
      <c r="H1058" s="953"/>
      <c r="I1058" s="3"/>
      <c r="J1058" s="3"/>
      <c r="K1058" s="955"/>
      <c r="L1058" s="956"/>
      <c r="M1058" s="956"/>
      <c r="N1058" s="3"/>
      <c r="O1058" s="955"/>
      <c r="P1058" s="957"/>
      <c r="Q1058" s="958"/>
    </row>
    <row r="1059">
      <c r="A1059" s="3"/>
      <c r="B1059" s="950"/>
      <c r="C1059" s="584"/>
      <c r="D1059" s="584"/>
      <c r="E1059" s="951"/>
      <c r="F1059" s="952"/>
      <c r="G1059" s="950"/>
      <c r="H1059" s="953"/>
      <c r="I1059" s="3"/>
      <c r="J1059" s="3"/>
      <c r="K1059" s="955"/>
      <c r="L1059" s="956"/>
      <c r="M1059" s="956"/>
      <c r="N1059" s="3"/>
      <c r="O1059" s="955"/>
      <c r="P1059" s="957"/>
      <c r="Q1059" s="958"/>
    </row>
    <row r="1060">
      <c r="A1060" s="3"/>
      <c r="B1060" s="950"/>
      <c r="C1060" s="584"/>
      <c r="D1060" s="584"/>
      <c r="E1060" s="951"/>
      <c r="F1060" s="952"/>
      <c r="G1060" s="950"/>
      <c r="H1060" s="953"/>
      <c r="I1060" s="3"/>
      <c r="J1060" s="3"/>
      <c r="K1060" s="955"/>
      <c r="L1060" s="956"/>
      <c r="M1060" s="956"/>
      <c r="N1060" s="3"/>
      <c r="O1060" s="955"/>
      <c r="P1060" s="957"/>
      <c r="Q1060" s="958"/>
    </row>
    <row r="1061">
      <c r="A1061" s="3"/>
      <c r="B1061" s="950"/>
      <c r="C1061" s="584"/>
      <c r="D1061" s="584"/>
      <c r="E1061" s="951"/>
      <c r="F1061" s="952"/>
      <c r="G1061" s="950"/>
      <c r="H1061" s="953"/>
      <c r="I1061" s="3"/>
      <c r="J1061" s="3"/>
      <c r="K1061" s="955"/>
      <c r="L1061" s="956"/>
      <c r="M1061" s="956"/>
      <c r="N1061" s="3"/>
      <c r="O1061" s="955"/>
      <c r="P1061" s="957"/>
      <c r="Q1061" s="958"/>
    </row>
    <row r="1062">
      <c r="A1062" s="3"/>
      <c r="B1062" s="950"/>
      <c r="C1062" s="584"/>
      <c r="D1062" s="584"/>
      <c r="E1062" s="951"/>
      <c r="F1062" s="952"/>
      <c r="G1062" s="950"/>
      <c r="H1062" s="953"/>
      <c r="I1062" s="3"/>
      <c r="J1062" s="3"/>
      <c r="K1062" s="955"/>
      <c r="L1062" s="956"/>
      <c r="M1062" s="956"/>
      <c r="N1062" s="3"/>
      <c r="O1062" s="955"/>
      <c r="P1062" s="957"/>
      <c r="Q1062" s="958"/>
    </row>
    <row r="1063">
      <c r="A1063" s="3"/>
      <c r="B1063" s="950"/>
      <c r="C1063" s="584"/>
      <c r="D1063" s="584"/>
      <c r="E1063" s="951"/>
      <c r="F1063" s="952"/>
      <c r="G1063" s="950"/>
      <c r="H1063" s="953"/>
      <c r="I1063" s="3"/>
      <c r="J1063" s="3"/>
      <c r="K1063" s="955"/>
      <c r="L1063" s="956"/>
      <c r="M1063" s="956"/>
      <c r="N1063" s="3"/>
      <c r="O1063" s="955"/>
      <c r="P1063" s="957"/>
      <c r="Q1063" s="958"/>
    </row>
    <row r="1064">
      <c r="A1064" s="3"/>
      <c r="B1064" s="950"/>
      <c r="C1064" s="584"/>
      <c r="D1064" s="584"/>
      <c r="E1064" s="951"/>
      <c r="F1064" s="952"/>
      <c r="G1064" s="950"/>
      <c r="H1064" s="953"/>
      <c r="I1064" s="3"/>
      <c r="J1064" s="3"/>
      <c r="K1064" s="955"/>
      <c r="L1064" s="956"/>
      <c r="M1064" s="956"/>
      <c r="N1064" s="3"/>
      <c r="O1064" s="955"/>
      <c r="P1064" s="957"/>
      <c r="Q1064" s="958"/>
    </row>
    <row r="1065">
      <c r="A1065" s="3"/>
      <c r="B1065" s="950"/>
      <c r="C1065" s="584"/>
      <c r="D1065" s="584"/>
      <c r="E1065" s="951"/>
      <c r="F1065" s="952"/>
      <c r="G1065" s="950"/>
      <c r="H1065" s="953"/>
      <c r="I1065" s="3"/>
      <c r="J1065" s="3"/>
      <c r="K1065" s="955"/>
      <c r="L1065" s="956"/>
      <c r="M1065" s="956"/>
      <c r="N1065" s="3"/>
      <c r="O1065" s="955"/>
      <c r="P1065" s="957"/>
      <c r="Q1065" s="958"/>
    </row>
    <row r="1066">
      <c r="A1066" s="3"/>
      <c r="B1066" s="950"/>
      <c r="C1066" s="584"/>
      <c r="D1066" s="584"/>
      <c r="E1066" s="951"/>
      <c r="F1066" s="952"/>
      <c r="G1066" s="950"/>
      <c r="H1066" s="953"/>
      <c r="I1066" s="3"/>
      <c r="J1066" s="3"/>
      <c r="K1066" s="955"/>
      <c r="L1066" s="956"/>
      <c r="M1066" s="956"/>
      <c r="N1066" s="3"/>
      <c r="O1066" s="955"/>
      <c r="P1066" s="957"/>
      <c r="Q1066" s="958"/>
    </row>
    <row r="1067">
      <c r="A1067" s="3"/>
      <c r="B1067" s="950"/>
      <c r="C1067" s="584"/>
      <c r="D1067" s="584"/>
      <c r="E1067" s="951"/>
      <c r="F1067" s="952"/>
      <c r="G1067" s="950"/>
      <c r="H1067" s="953"/>
      <c r="I1067" s="3"/>
      <c r="J1067" s="3"/>
      <c r="K1067" s="955"/>
      <c r="L1067" s="956"/>
      <c r="M1067" s="956"/>
      <c r="N1067" s="3"/>
      <c r="O1067" s="955"/>
      <c r="P1067" s="957"/>
      <c r="Q1067" s="958"/>
    </row>
    <row r="1068">
      <c r="A1068" s="3"/>
      <c r="B1068" s="950"/>
      <c r="C1068" s="584"/>
      <c r="D1068" s="584"/>
      <c r="E1068" s="951"/>
      <c r="F1068" s="952"/>
      <c r="G1068" s="950"/>
      <c r="H1068" s="953"/>
      <c r="I1068" s="3"/>
      <c r="J1068" s="3"/>
      <c r="K1068" s="955"/>
      <c r="L1068" s="956"/>
      <c r="M1068" s="956"/>
      <c r="N1068" s="3"/>
      <c r="O1068" s="955"/>
      <c r="P1068" s="957"/>
      <c r="Q1068" s="958"/>
    </row>
    <row r="1069">
      <c r="A1069" s="3"/>
      <c r="B1069" s="950"/>
      <c r="C1069" s="584"/>
      <c r="D1069" s="584"/>
      <c r="E1069" s="951"/>
      <c r="F1069" s="952"/>
      <c r="G1069" s="950"/>
      <c r="H1069" s="953"/>
      <c r="I1069" s="3"/>
      <c r="J1069" s="3"/>
      <c r="K1069" s="955"/>
      <c r="L1069" s="956"/>
      <c r="M1069" s="956"/>
      <c r="N1069" s="3"/>
      <c r="O1069" s="955"/>
      <c r="P1069" s="957"/>
      <c r="Q1069" s="958"/>
    </row>
    <row r="1070">
      <c r="A1070" s="3"/>
      <c r="B1070" s="950"/>
      <c r="C1070" s="584"/>
      <c r="D1070" s="584"/>
      <c r="E1070" s="951"/>
      <c r="F1070" s="952"/>
      <c r="G1070" s="950"/>
      <c r="H1070" s="953"/>
      <c r="I1070" s="3"/>
      <c r="J1070" s="3"/>
      <c r="K1070" s="955"/>
      <c r="L1070" s="956"/>
      <c r="M1070" s="956"/>
      <c r="N1070" s="3"/>
      <c r="O1070" s="955"/>
      <c r="P1070" s="957"/>
      <c r="Q1070" s="958"/>
    </row>
    <row r="1071">
      <c r="A1071" s="3"/>
      <c r="B1071" s="950"/>
      <c r="C1071" s="584"/>
      <c r="D1071" s="584"/>
      <c r="E1071" s="951"/>
      <c r="F1071" s="952"/>
      <c r="G1071" s="950"/>
      <c r="H1071" s="953"/>
      <c r="I1071" s="3"/>
      <c r="J1071" s="3"/>
      <c r="K1071" s="955"/>
      <c r="L1071" s="956"/>
      <c r="M1071" s="956"/>
      <c r="N1071" s="3"/>
      <c r="O1071" s="955"/>
      <c r="P1071" s="957"/>
      <c r="Q1071" s="958"/>
    </row>
    <row r="1072">
      <c r="A1072" s="3"/>
      <c r="B1072" s="950"/>
      <c r="C1072" s="584"/>
      <c r="D1072" s="584"/>
      <c r="E1072" s="951"/>
      <c r="F1072" s="952"/>
      <c r="G1072" s="950"/>
      <c r="H1072" s="953"/>
      <c r="I1072" s="3"/>
      <c r="J1072" s="3"/>
      <c r="K1072" s="955"/>
      <c r="L1072" s="956"/>
      <c r="M1072" s="956"/>
      <c r="N1072" s="3"/>
      <c r="O1072" s="955"/>
      <c r="P1072" s="957"/>
      <c r="Q1072" s="958"/>
    </row>
    <row r="1073">
      <c r="A1073" s="3"/>
      <c r="B1073" s="950"/>
      <c r="C1073" s="584"/>
      <c r="D1073" s="584"/>
      <c r="E1073" s="951"/>
      <c r="F1073" s="952"/>
      <c r="G1073" s="950"/>
      <c r="H1073" s="953"/>
      <c r="I1073" s="3"/>
      <c r="J1073" s="3"/>
      <c r="K1073" s="955"/>
      <c r="L1073" s="956"/>
      <c r="M1073" s="956"/>
      <c r="N1073" s="3"/>
      <c r="O1073" s="955"/>
      <c r="P1073" s="957"/>
      <c r="Q1073" s="958"/>
    </row>
    <row r="1074">
      <c r="A1074" s="3"/>
      <c r="B1074" s="950"/>
      <c r="C1074" s="584"/>
      <c r="D1074" s="584"/>
      <c r="E1074" s="951"/>
      <c r="F1074" s="952"/>
      <c r="G1074" s="950"/>
      <c r="H1074" s="953"/>
      <c r="I1074" s="3"/>
      <c r="J1074" s="3"/>
      <c r="K1074" s="955"/>
      <c r="L1074" s="956"/>
      <c r="M1074" s="956"/>
      <c r="N1074" s="3"/>
      <c r="O1074" s="955"/>
      <c r="P1074" s="957"/>
      <c r="Q1074" s="958"/>
    </row>
    <row r="1075">
      <c r="A1075" s="3"/>
      <c r="B1075" s="950"/>
      <c r="C1075" s="584"/>
      <c r="D1075" s="584"/>
      <c r="E1075" s="951"/>
      <c r="F1075" s="952"/>
      <c r="G1075" s="950"/>
      <c r="H1075" s="953"/>
      <c r="I1075" s="3"/>
      <c r="J1075" s="3"/>
      <c r="K1075" s="955"/>
      <c r="L1075" s="956"/>
      <c r="M1075" s="956"/>
      <c r="N1075" s="3"/>
      <c r="O1075" s="955"/>
      <c r="P1075" s="957"/>
      <c r="Q1075" s="958"/>
    </row>
    <row r="1076">
      <c r="A1076" s="3"/>
      <c r="B1076" s="950"/>
      <c r="C1076" s="584"/>
      <c r="D1076" s="584"/>
      <c r="E1076" s="951"/>
      <c r="F1076" s="952"/>
      <c r="G1076" s="950"/>
      <c r="H1076" s="953"/>
      <c r="I1076" s="3"/>
      <c r="J1076" s="3"/>
      <c r="K1076" s="955"/>
      <c r="L1076" s="956"/>
      <c r="M1076" s="956"/>
      <c r="N1076" s="3"/>
      <c r="O1076" s="955"/>
      <c r="P1076" s="957"/>
      <c r="Q1076" s="958"/>
    </row>
    <row r="1077">
      <c r="A1077" s="3"/>
      <c r="B1077" s="950"/>
      <c r="C1077" s="584"/>
      <c r="D1077" s="584"/>
      <c r="E1077" s="951"/>
      <c r="F1077" s="952"/>
      <c r="G1077" s="950"/>
      <c r="H1077" s="953"/>
      <c r="I1077" s="3"/>
      <c r="J1077" s="3"/>
      <c r="K1077" s="955"/>
      <c r="L1077" s="956"/>
      <c r="M1077" s="956"/>
      <c r="N1077" s="3"/>
      <c r="O1077" s="955"/>
      <c r="P1077" s="957"/>
      <c r="Q1077" s="958"/>
    </row>
    <row r="1078">
      <c r="A1078" s="3"/>
      <c r="B1078" s="950"/>
      <c r="C1078" s="584"/>
      <c r="D1078" s="584"/>
      <c r="E1078" s="951"/>
      <c r="F1078" s="952"/>
      <c r="G1078" s="950"/>
      <c r="H1078" s="953"/>
      <c r="I1078" s="3"/>
      <c r="J1078" s="3"/>
      <c r="K1078" s="955"/>
      <c r="L1078" s="956"/>
      <c r="M1078" s="956"/>
      <c r="N1078" s="3"/>
      <c r="O1078" s="955"/>
      <c r="P1078" s="957"/>
      <c r="Q1078" s="958"/>
    </row>
    <row r="1079">
      <c r="A1079" s="3"/>
      <c r="B1079" s="950"/>
      <c r="C1079" s="584"/>
      <c r="D1079" s="584"/>
      <c r="E1079" s="951"/>
      <c r="F1079" s="952"/>
      <c r="G1079" s="950"/>
      <c r="H1079" s="953"/>
      <c r="I1079" s="3"/>
      <c r="J1079" s="3"/>
      <c r="K1079" s="955"/>
      <c r="L1079" s="956"/>
      <c r="M1079" s="956"/>
      <c r="N1079" s="3"/>
      <c r="O1079" s="955"/>
      <c r="P1079" s="957"/>
      <c r="Q1079" s="958"/>
    </row>
    <row r="1080">
      <c r="A1080" s="3"/>
      <c r="B1080" s="950"/>
      <c r="C1080" s="584"/>
      <c r="D1080" s="584"/>
      <c r="E1080" s="951"/>
      <c r="F1080" s="952"/>
      <c r="G1080" s="950"/>
      <c r="H1080" s="953"/>
      <c r="I1080" s="3"/>
      <c r="J1080" s="3"/>
      <c r="K1080" s="955"/>
      <c r="L1080" s="956"/>
      <c r="M1080" s="956"/>
      <c r="N1080" s="3"/>
      <c r="O1080" s="955"/>
      <c r="P1080" s="957"/>
      <c r="Q1080" s="958"/>
    </row>
    <row r="1081">
      <c r="A1081" s="3"/>
      <c r="B1081" s="950"/>
      <c r="C1081" s="584"/>
      <c r="D1081" s="584"/>
      <c r="E1081" s="951"/>
      <c r="F1081" s="952"/>
      <c r="G1081" s="950"/>
      <c r="H1081" s="953"/>
      <c r="I1081" s="3"/>
      <c r="J1081" s="3"/>
      <c r="K1081" s="955"/>
      <c r="L1081" s="956"/>
      <c r="M1081" s="956"/>
      <c r="N1081" s="3"/>
      <c r="O1081" s="955"/>
      <c r="P1081" s="957"/>
      <c r="Q1081" s="958"/>
    </row>
    <row r="1082">
      <c r="A1082" s="3"/>
      <c r="B1082" s="950"/>
      <c r="C1082" s="584"/>
      <c r="D1082" s="584"/>
      <c r="E1082" s="951"/>
      <c r="F1082" s="952"/>
      <c r="G1082" s="950"/>
      <c r="H1082" s="953"/>
      <c r="I1082" s="3"/>
      <c r="J1082" s="3"/>
      <c r="K1082" s="955"/>
      <c r="L1082" s="956"/>
      <c r="M1082" s="956"/>
      <c r="N1082" s="3"/>
      <c r="O1082" s="955"/>
      <c r="P1082" s="957"/>
      <c r="Q1082" s="958"/>
    </row>
    <row r="1083">
      <c r="A1083" s="3"/>
      <c r="B1083" s="950"/>
      <c r="C1083" s="584"/>
      <c r="D1083" s="584"/>
      <c r="E1083" s="951"/>
      <c r="F1083" s="952"/>
      <c r="G1083" s="950"/>
      <c r="H1083" s="953"/>
      <c r="I1083" s="3"/>
      <c r="J1083" s="3"/>
      <c r="K1083" s="955"/>
      <c r="L1083" s="956"/>
      <c r="M1083" s="956"/>
      <c r="N1083" s="3"/>
      <c r="O1083" s="955"/>
      <c r="P1083" s="957"/>
      <c r="Q1083" s="958"/>
    </row>
    <row r="1084">
      <c r="A1084" s="3"/>
      <c r="B1084" s="950"/>
      <c r="C1084" s="584"/>
      <c r="D1084" s="584"/>
      <c r="E1084" s="951"/>
      <c r="F1084" s="952"/>
      <c r="G1084" s="950"/>
      <c r="H1084" s="953"/>
      <c r="I1084" s="3"/>
      <c r="J1084" s="3"/>
      <c r="K1084" s="955"/>
      <c r="L1084" s="956"/>
      <c r="M1084" s="956"/>
      <c r="N1084" s="3"/>
      <c r="O1084" s="955"/>
      <c r="P1084" s="957"/>
      <c r="Q1084" s="958"/>
    </row>
    <row r="1085">
      <c r="A1085" s="3"/>
      <c r="B1085" s="950"/>
      <c r="C1085" s="584"/>
      <c r="D1085" s="584"/>
      <c r="E1085" s="951"/>
      <c r="F1085" s="952"/>
      <c r="G1085" s="950"/>
      <c r="H1085" s="953"/>
      <c r="I1085" s="3"/>
      <c r="J1085" s="3"/>
      <c r="K1085" s="955"/>
      <c r="L1085" s="956"/>
      <c r="M1085" s="956"/>
      <c r="N1085" s="3"/>
      <c r="O1085" s="955"/>
      <c r="P1085" s="957"/>
      <c r="Q1085" s="958"/>
    </row>
    <row r="1086">
      <c r="A1086" s="3"/>
      <c r="B1086" s="950"/>
      <c r="C1086" s="584"/>
      <c r="D1086" s="584"/>
      <c r="E1086" s="951"/>
      <c r="F1086" s="952"/>
      <c r="G1086" s="950"/>
      <c r="H1086" s="953"/>
      <c r="I1086" s="3"/>
      <c r="J1086" s="3"/>
      <c r="K1086" s="955"/>
      <c r="L1086" s="956"/>
      <c r="M1086" s="956"/>
      <c r="N1086" s="3"/>
      <c r="O1086" s="955"/>
      <c r="P1086" s="957"/>
      <c r="Q1086" s="958"/>
    </row>
    <row r="1087">
      <c r="A1087" s="3"/>
      <c r="B1087" s="950"/>
      <c r="C1087" s="584"/>
      <c r="D1087" s="584"/>
      <c r="E1087" s="951"/>
      <c r="F1087" s="952"/>
      <c r="G1087" s="950"/>
      <c r="H1087" s="953"/>
      <c r="I1087" s="3"/>
      <c r="J1087" s="3"/>
      <c r="K1087" s="955"/>
      <c r="L1087" s="956"/>
      <c r="M1087" s="956"/>
      <c r="N1087" s="3"/>
      <c r="O1087" s="955"/>
      <c r="P1087" s="957"/>
      <c r="Q1087" s="958"/>
    </row>
    <row r="1088">
      <c r="A1088" s="3"/>
      <c r="B1088" s="950"/>
      <c r="C1088" s="584"/>
      <c r="D1088" s="584"/>
      <c r="E1088" s="951"/>
      <c r="F1088" s="952"/>
      <c r="G1088" s="950"/>
      <c r="H1088" s="953"/>
      <c r="I1088" s="3"/>
      <c r="J1088" s="3"/>
      <c r="K1088" s="955"/>
      <c r="L1088" s="956"/>
      <c r="M1088" s="956"/>
      <c r="N1088" s="3"/>
      <c r="O1088" s="955"/>
      <c r="P1088" s="957"/>
      <c r="Q1088" s="958"/>
    </row>
    <row r="1089">
      <c r="A1089" s="3"/>
      <c r="B1089" s="950"/>
      <c r="C1089" s="584"/>
      <c r="D1089" s="584"/>
      <c r="E1089" s="951"/>
      <c r="F1089" s="952"/>
      <c r="G1089" s="950"/>
      <c r="H1089" s="953"/>
      <c r="I1089" s="3"/>
      <c r="J1089" s="3"/>
      <c r="K1089" s="955"/>
      <c r="L1089" s="956"/>
      <c r="M1089" s="956"/>
      <c r="N1089" s="3"/>
      <c r="O1089" s="955"/>
      <c r="P1089" s="957"/>
      <c r="Q1089" s="958"/>
    </row>
    <row r="1090">
      <c r="A1090" s="3"/>
      <c r="B1090" s="950"/>
      <c r="C1090" s="584"/>
      <c r="D1090" s="584"/>
      <c r="E1090" s="951"/>
      <c r="F1090" s="952"/>
      <c r="G1090" s="950"/>
      <c r="H1090" s="953"/>
      <c r="I1090" s="3"/>
      <c r="J1090" s="3"/>
      <c r="K1090" s="955"/>
      <c r="L1090" s="956"/>
      <c r="M1090" s="956"/>
      <c r="N1090" s="3"/>
      <c r="O1090" s="955"/>
      <c r="P1090" s="957"/>
      <c r="Q1090" s="958"/>
    </row>
    <row r="1091">
      <c r="A1091" s="3"/>
      <c r="B1091" s="950"/>
      <c r="C1091" s="584"/>
      <c r="D1091" s="584"/>
      <c r="E1091" s="951"/>
      <c r="F1091" s="952"/>
      <c r="G1091" s="950"/>
      <c r="H1091" s="953"/>
      <c r="I1091" s="3"/>
      <c r="J1091" s="3"/>
      <c r="K1091" s="955"/>
      <c r="L1091" s="956"/>
      <c r="M1091" s="956"/>
      <c r="N1091" s="3"/>
      <c r="O1091" s="955"/>
      <c r="P1091" s="957"/>
      <c r="Q1091" s="958"/>
    </row>
    <row r="1092">
      <c r="A1092" s="3"/>
      <c r="B1092" s="950"/>
      <c r="C1092" s="584"/>
      <c r="D1092" s="584"/>
      <c r="E1092" s="951"/>
      <c r="F1092" s="952"/>
      <c r="G1092" s="950"/>
      <c r="H1092" s="953"/>
      <c r="I1092" s="3"/>
      <c r="J1092" s="3"/>
      <c r="K1092" s="955"/>
      <c r="L1092" s="956"/>
      <c r="M1092" s="956"/>
      <c r="N1092" s="3"/>
      <c r="O1092" s="955"/>
      <c r="P1092" s="957"/>
      <c r="Q1092" s="958"/>
    </row>
    <row r="1093">
      <c r="A1093" s="3"/>
      <c r="B1093" s="950"/>
      <c r="C1093" s="584"/>
      <c r="D1093" s="584"/>
      <c r="E1093" s="951"/>
      <c r="F1093" s="952"/>
      <c r="G1093" s="950"/>
      <c r="H1093" s="953"/>
      <c r="I1093" s="3"/>
      <c r="J1093" s="3"/>
      <c r="K1093" s="955"/>
      <c r="L1093" s="956"/>
      <c r="M1093" s="956"/>
      <c r="N1093" s="3"/>
      <c r="O1093" s="955"/>
      <c r="P1093" s="957"/>
      <c r="Q1093" s="958"/>
    </row>
    <row r="1094">
      <c r="A1094" s="3"/>
      <c r="B1094" s="950"/>
      <c r="C1094" s="584"/>
      <c r="D1094" s="584"/>
      <c r="E1094" s="951"/>
      <c r="F1094" s="952"/>
      <c r="G1094" s="950"/>
      <c r="H1094" s="953"/>
      <c r="I1094" s="3"/>
      <c r="J1094" s="3"/>
      <c r="K1094" s="955"/>
      <c r="L1094" s="956"/>
      <c r="M1094" s="956"/>
      <c r="N1094" s="3"/>
      <c r="O1094" s="955"/>
      <c r="P1094" s="957"/>
      <c r="Q1094" s="958"/>
    </row>
    <row r="1095">
      <c r="A1095" s="3"/>
      <c r="B1095" s="950"/>
      <c r="C1095" s="584"/>
      <c r="D1095" s="584"/>
      <c r="E1095" s="951"/>
      <c r="F1095" s="952"/>
      <c r="G1095" s="950"/>
      <c r="H1095" s="953"/>
      <c r="I1095" s="3"/>
      <c r="J1095" s="3"/>
      <c r="K1095" s="955"/>
      <c r="L1095" s="956"/>
      <c r="M1095" s="956"/>
      <c r="N1095" s="3"/>
      <c r="O1095" s="955"/>
      <c r="P1095" s="957"/>
      <c r="Q1095" s="958"/>
    </row>
    <row r="1096">
      <c r="A1096" s="3"/>
      <c r="B1096" s="950"/>
      <c r="C1096" s="584"/>
      <c r="D1096" s="584"/>
      <c r="E1096" s="951"/>
      <c r="F1096" s="952"/>
      <c r="G1096" s="950"/>
      <c r="H1096" s="953"/>
      <c r="I1096" s="3"/>
      <c r="J1096" s="3"/>
      <c r="K1096" s="955"/>
      <c r="L1096" s="956"/>
      <c r="M1096" s="956"/>
      <c r="N1096" s="3"/>
      <c r="O1096" s="955"/>
      <c r="P1096" s="957"/>
      <c r="Q1096" s="958"/>
    </row>
    <row r="1097">
      <c r="A1097" s="3"/>
      <c r="B1097" s="950"/>
      <c r="C1097" s="584"/>
      <c r="D1097" s="584"/>
      <c r="E1097" s="951"/>
      <c r="F1097" s="952"/>
      <c r="G1097" s="950"/>
      <c r="H1097" s="953"/>
      <c r="I1097" s="3"/>
      <c r="J1097" s="3"/>
      <c r="K1097" s="955"/>
      <c r="L1097" s="956"/>
      <c r="M1097" s="956"/>
      <c r="N1097" s="3"/>
      <c r="O1097" s="955"/>
      <c r="P1097" s="957"/>
      <c r="Q1097" s="958"/>
    </row>
    <row r="1098">
      <c r="A1098" s="3"/>
      <c r="B1098" s="950"/>
      <c r="C1098" s="584"/>
      <c r="D1098" s="584"/>
      <c r="E1098" s="951"/>
      <c r="F1098" s="952"/>
      <c r="G1098" s="950"/>
      <c r="H1098" s="953"/>
      <c r="I1098" s="3"/>
      <c r="J1098" s="3"/>
      <c r="K1098" s="955"/>
      <c r="L1098" s="956"/>
      <c r="M1098" s="956"/>
      <c r="N1098" s="3"/>
      <c r="O1098" s="955"/>
      <c r="P1098" s="957"/>
      <c r="Q1098" s="958"/>
    </row>
    <row r="1099">
      <c r="A1099" s="3"/>
      <c r="B1099" s="950"/>
      <c r="C1099" s="584"/>
      <c r="D1099" s="584"/>
      <c r="E1099" s="951"/>
      <c r="F1099" s="952"/>
      <c r="G1099" s="950"/>
      <c r="H1099" s="953"/>
      <c r="I1099" s="3"/>
      <c r="J1099" s="3"/>
      <c r="K1099" s="955"/>
      <c r="L1099" s="956"/>
      <c r="M1099" s="956"/>
      <c r="N1099" s="3"/>
      <c r="O1099" s="955"/>
      <c r="P1099" s="957"/>
      <c r="Q1099" s="958"/>
    </row>
    <row r="1100">
      <c r="A1100" s="3"/>
      <c r="B1100" s="950"/>
      <c r="C1100" s="584"/>
      <c r="D1100" s="584"/>
      <c r="E1100" s="951"/>
      <c r="F1100" s="952"/>
      <c r="G1100" s="950"/>
      <c r="H1100" s="953"/>
      <c r="I1100" s="3"/>
      <c r="J1100" s="3"/>
      <c r="K1100" s="955"/>
      <c r="L1100" s="956"/>
      <c r="M1100" s="956"/>
      <c r="N1100" s="3"/>
      <c r="O1100" s="955"/>
      <c r="P1100" s="957"/>
      <c r="Q1100" s="958"/>
    </row>
    <row r="1101">
      <c r="A1101" s="3"/>
      <c r="B1101" s="950"/>
      <c r="C1101" s="584"/>
      <c r="D1101" s="584"/>
      <c r="E1101" s="951"/>
      <c r="F1101" s="952"/>
      <c r="G1101" s="950"/>
      <c r="H1101" s="953"/>
      <c r="I1101" s="3"/>
      <c r="J1101" s="3"/>
      <c r="K1101" s="955"/>
      <c r="L1101" s="956"/>
      <c r="M1101" s="956"/>
      <c r="N1101" s="3"/>
      <c r="O1101" s="955"/>
      <c r="P1101" s="957"/>
      <c r="Q1101" s="958"/>
    </row>
    <row r="1102">
      <c r="A1102" s="3"/>
      <c r="B1102" s="950"/>
      <c r="C1102" s="584"/>
      <c r="D1102" s="584"/>
      <c r="E1102" s="951"/>
      <c r="F1102" s="952"/>
      <c r="G1102" s="950"/>
      <c r="H1102" s="953"/>
      <c r="I1102" s="3"/>
      <c r="J1102" s="3"/>
      <c r="K1102" s="955"/>
      <c r="L1102" s="956"/>
      <c r="M1102" s="956"/>
      <c r="N1102" s="3"/>
      <c r="O1102" s="955"/>
      <c r="P1102" s="957"/>
      <c r="Q1102" s="958"/>
    </row>
    <row r="1103">
      <c r="A1103" s="3"/>
      <c r="B1103" s="950"/>
      <c r="C1103" s="584"/>
      <c r="D1103" s="584"/>
      <c r="E1103" s="951"/>
      <c r="F1103" s="952"/>
      <c r="G1103" s="950"/>
      <c r="H1103" s="953"/>
      <c r="I1103" s="3"/>
      <c r="J1103" s="3"/>
      <c r="K1103" s="955"/>
      <c r="L1103" s="956"/>
      <c r="M1103" s="956"/>
      <c r="N1103" s="3"/>
      <c r="O1103" s="955"/>
      <c r="P1103" s="957"/>
      <c r="Q1103" s="958"/>
    </row>
    <row r="1104">
      <c r="A1104" s="3"/>
      <c r="B1104" s="950"/>
      <c r="C1104" s="584"/>
      <c r="D1104" s="584"/>
      <c r="E1104" s="951"/>
      <c r="F1104" s="952"/>
      <c r="G1104" s="950"/>
      <c r="H1104" s="953"/>
      <c r="I1104" s="3"/>
      <c r="J1104" s="3"/>
      <c r="K1104" s="955"/>
      <c r="L1104" s="956"/>
      <c r="M1104" s="956"/>
      <c r="N1104" s="3"/>
      <c r="O1104" s="955"/>
      <c r="P1104" s="957"/>
      <c r="Q1104" s="958"/>
    </row>
    <row r="1105">
      <c r="A1105" s="3"/>
      <c r="B1105" s="950"/>
      <c r="C1105" s="584"/>
      <c r="D1105" s="584"/>
      <c r="E1105" s="951"/>
      <c r="F1105" s="952"/>
      <c r="G1105" s="950"/>
      <c r="H1105" s="953"/>
      <c r="I1105" s="3"/>
      <c r="J1105" s="3"/>
      <c r="K1105" s="955"/>
      <c r="L1105" s="956"/>
      <c r="M1105" s="956"/>
      <c r="N1105" s="3"/>
      <c r="O1105" s="955"/>
      <c r="P1105" s="957"/>
      <c r="Q1105" s="958"/>
    </row>
    <row r="1106">
      <c r="A1106" s="3"/>
      <c r="B1106" s="950"/>
      <c r="C1106" s="584"/>
      <c r="D1106" s="584"/>
      <c r="E1106" s="951"/>
      <c r="F1106" s="952"/>
      <c r="G1106" s="950"/>
      <c r="H1106" s="953"/>
      <c r="I1106" s="3"/>
      <c r="J1106" s="3"/>
      <c r="K1106" s="955"/>
      <c r="L1106" s="956"/>
      <c r="M1106" s="956"/>
      <c r="N1106" s="3"/>
      <c r="O1106" s="955"/>
      <c r="P1106" s="957"/>
      <c r="Q1106" s="958"/>
    </row>
    <row r="1107">
      <c r="A1107" s="3"/>
      <c r="B1107" s="950"/>
      <c r="C1107" s="584"/>
      <c r="D1107" s="584"/>
      <c r="E1107" s="951"/>
      <c r="F1107" s="952"/>
      <c r="G1107" s="950"/>
      <c r="H1107" s="953"/>
      <c r="I1107" s="3"/>
      <c r="J1107" s="3"/>
      <c r="K1107" s="955"/>
      <c r="L1107" s="956"/>
      <c r="M1107" s="956"/>
      <c r="N1107" s="3"/>
      <c r="O1107" s="955"/>
      <c r="P1107" s="957"/>
      <c r="Q1107" s="958"/>
    </row>
    <row r="1108">
      <c r="A1108" s="3"/>
      <c r="B1108" s="950"/>
      <c r="C1108" s="584"/>
      <c r="D1108" s="584"/>
      <c r="E1108" s="951"/>
      <c r="F1108" s="952"/>
      <c r="G1108" s="950"/>
      <c r="H1108" s="953"/>
      <c r="I1108" s="3"/>
      <c r="J1108" s="3"/>
      <c r="K1108" s="955"/>
      <c r="L1108" s="956"/>
      <c r="M1108" s="956"/>
      <c r="N1108" s="3"/>
      <c r="O1108" s="955"/>
      <c r="P1108" s="957"/>
      <c r="Q1108" s="958"/>
    </row>
    <row r="1109">
      <c r="A1109" s="3"/>
      <c r="B1109" s="950"/>
      <c r="C1109" s="584"/>
      <c r="D1109" s="584"/>
      <c r="E1109" s="951"/>
      <c r="F1109" s="952"/>
      <c r="G1109" s="950"/>
      <c r="H1109" s="953"/>
      <c r="I1109" s="3"/>
      <c r="J1109" s="3"/>
      <c r="K1109" s="955"/>
      <c r="L1109" s="956"/>
      <c r="M1109" s="956"/>
      <c r="N1109" s="3"/>
      <c r="O1109" s="955"/>
      <c r="P1109" s="957"/>
      <c r="Q1109" s="958"/>
    </row>
    <row r="1110">
      <c r="A1110" s="3"/>
      <c r="B1110" s="950"/>
      <c r="C1110" s="584"/>
      <c r="D1110" s="584"/>
      <c r="E1110" s="951"/>
      <c r="F1110" s="952"/>
      <c r="G1110" s="950"/>
      <c r="H1110" s="953"/>
      <c r="I1110" s="3"/>
      <c r="J1110" s="3"/>
      <c r="K1110" s="955"/>
      <c r="L1110" s="956"/>
      <c r="M1110" s="956"/>
      <c r="N1110" s="3"/>
      <c r="O1110" s="955"/>
      <c r="P1110" s="957"/>
      <c r="Q1110" s="958"/>
    </row>
    <row r="1111">
      <c r="A1111" s="3"/>
      <c r="B1111" s="950"/>
      <c r="C1111" s="584"/>
      <c r="D1111" s="584"/>
      <c r="E1111" s="951"/>
      <c r="F1111" s="952"/>
      <c r="G1111" s="950"/>
      <c r="H1111" s="953"/>
      <c r="I1111" s="3"/>
      <c r="J1111" s="3"/>
      <c r="K1111" s="955"/>
      <c r="L1111" s="956"/>
      <c r="M1111" s="956"/>
      <c r="N1111" s="3"/>
      <c r="O1111" s="955"/>
      <c r="P1111" s="957"/>
      <c r="Q1111" s="958"/>
    </row>
    <row r="1112">
      <c r="A1112" s="3"/>
      <c r="B1112" s="950"/>
      <c r="C1112" s="584"/>
      <c r="D1112" s="584"/>
      <c r="E1112" s="951"/>
      <c r="F1112" s="952"/>
      <c r="G1112" s="950"/>
      <c r="H1112" s="953"/>
      <c r="I1112" s="3"/>
      <c r="J1112" s="3"/>
      <c r="K1112" s="955"/>
      <c r="L1112" s="956"/>
      <c r="M1112" s="956"/>
      <c r="N1112" s="3"/>
      <c r="O1112" s="955"/>
      <c r="P1112" s="957"/>
      <c r="Q1112" s="958"/>
    </row>
    <row r="1113">
      <c r="A1113" s="3"/>
      <c r="B1113" s="950"/>
      <c r="C1113" s="584"/>
      <c r="D1113" s="584"/>
      <c r="E1113" s="951"/>
      <c r="F1113" s="952"/>
      <c r="G1113" s="950"/>
      <c r="H1113" s="953"/>
      <c r="I1113" s="3"/>
      <c r="J1113" s="3"/>
      <c r="K1113" s="955"/>
      <c r="L1113" s="956"/>
      <c r="M1113" s="956"/>
      <c r="N1113" s="3"/>
      <c r="O1113" s="955"/>
      <c r="P1113" s="957"/>
      <c r="Q1113" s="958"/>
    </row>
    <row r="1114">
      <c r="A1114" s="3"/>
      <c r="B1114" s="950"/>
      <c r="C1114" s="584"/>
      <c r="D1114" s="584"/>
      <c r="E1114" s="951"/>
      <c r="F1114" s="952"/>
      <c r="G1114" s="950"/>
      <c r="H1114" s="953"/>
      <c r="I1114" s="3"/>
      <c r="J1114" s="3"/>
      <c r="K1114" s="955"/>
      <c r="L1114" s="956"/>
      <c r="M1114" s="956"/>
      <c r="N1114" s="3"/>
      <c r="O1114" s="955"/>
      <c r="P1114" s="957"/>
      <c r="Q1114" s="958"/>
    </row>
    <row r="1115">
      <c r="A1115" s="3"/>
      <c r="B1115" s="950"/>
      <c r="C1115" s="584"/>
      <c r="D1115" s="584"/>
      <c r="E1115" s="951"/>
      <c r="F1115" s="952"/>
      <c r="G1115" s="950"/>
      <c r="H1115" s="953"/>
      <c r="I1115" s="3"/>
      <c r="J1115" s="3"/>
      <c r="K1115" s="955"/>
      <c r="L1115" s="956"/>
      <c r="M1115" s="956"/>
      <c r="N1115" s="3"/>
      <c r="O1115" s="955"/>
      <c r="P1115" s="957"/>
      <c r="Q1115" s="958"/>
    </row>
    <row r="1116">
      <c r="A1116" s="3"/>
      <c r="B1116" s="950"/>
      <c r="C1116" s="584"/>
      <c r="D1116" s="584"/>
      <c r="E1116" s="951"/>
      <c r="F1116" s="952"/>
      <c r="G1116" s="950"/>
      <c r="H1116" s="953"/>
      <c r="I1116" s="3"/>
      <c r="J1116" s="3"/>
      <c r="K1116" s="955"/>
      <c r="L1116" s="956"/>
      <c r="M1116" s="956"/>
      <c r="N1116" s="3"/>
      <c r="O1116" s="955"/>
      <c r="P1116" s="957"/>
      <c r="Q1116" s="958"/>
    </row>
    <row r="1117">
      <c r="A1117" s="3"/>
      <c r="B1117" s="950"/>
      <c r="C1117" s="584"/>
      <c r="D1117" s="584"/>
      <c r="E1117" s="951"/>
      <c r="F1117" s="952"/>
      <c r="G1117" s="950"/>
      <c r="H1117" s="953"/>
      <c r="I1117" s="3"/>
      <c r="J1117" s="3"/>
      <c r="K1117" s="955"/>
      <c r="L1117" s="956"/>
      <c r="M1117" s="956"/>
      <c r="N1117" s="3"/>
      <c r="O1117" s="955"/>
      <c r="P1117" s="957"/>
      <c r="Q1117" s="958"/>
    </row>
    <row r="1118">
      <c r="A1118" s="3"/>
      <c r="B1118" s="950"/>
      <c r="C1118" s="584"/>
      <c r="D1118" s="584"/>
      <c r="E1118" s="951"/>
      <c r="F1118" s="952"/>
      <c r="G1118" s="950"/>
      <c r="H1118" s="953"/>
      <c r="I1118" s="3"/>
      <c r="J1118" s="3"/>
      <c r="K1118" s="955"/>
      <c r="L1118" s="956"/>
      <c r="M1118" s="956"/>
      <c r="N1118" s="3"/>
      <c r="O1118" s="955"/>
      <c r="P1118" s="957"/>
      <c r="Q1118" s="958"/>
    </row>
    <row r="1119">
      <c r="A1119" s="3"/>
      <c r="B1119" s="950"/>
      <c r="C1119" s="584"/>
      <c r="D1119" s="584"/>
      <c r="E1119" s="951"/>
      <c r="F1119" s="952"/>
      <c r="G1119" s="950"/>
      <c r="H1119" s="953"/>
      <c r="I1119" s="3"/>
      <c r="J1119" s="3"/>
      <c r="K1119" s="955"/>
      <c r="L1119" s="956"/>
      <c r="M1119" s="956"/>
      <c r="N1119" s="3"/>
      <c r="O1119" s="955"/>
      <c r="P1119" s="957"/>
      <c r="Q1119" s="958"/>
    </row>
    <row r="1120">
      <c r="A1120" s="3"/>
      <c r="B1120" s="950"/>
      <c r="C1120" s="584"/>
      <c r="D1120" s="584"/>
      <c r="E1120" s="951"/>
      <c r="F1120" s="952"/>
      <c r="G1120" s="950"/>
      <c r="H1120" s="953"/>
      <c r="I1120" s="3"/>
      <c r="J1120" s="3"/>
      <c r="K1120" s="955"/>
      <c r="L1120" s="956"/>
      <c r="M1120" s="956"/>
      <c r="N1120" s="3"/>
      <c r="O1120" s="955"/>
      <c r="P1120" s="957"/>
      <c r="Q1120" s="958"/>
    </row>
    <row r="1121">
      <c r="A1121" s="3"/>
      <c r="B1121" s="950"/>
      <c r="C1121" s="584"/>
      <c r="D1121" s="584"/>
      <c r="E1121" s="951"/>
      <c r="F1121" s="952"/>
      <c r="G1121" s="950"/>
      <c r="H1121" s="953"/>
      <c r="I1121" s="3"/>
      <c r="J1121" s="3"/>
      <c r="K1121" s="955"/>
      <c r="L1121" s="956"/>
      <c r="M1121" s="956"/>
      <c r="N1121" s="3"/>
      <c r="O1121" s="955"/>
      <c r="P1121" s="957"/>
      <c r="Q1121" s="958"/>
    </row>
    <row r="1122">
      <c r="A1122" s="3"/>
      <c r="B1122" s="950"/>
      <c r="C1122" s="584"/>
      <c r="D1122" s="584"/>
      <c r="E1122" s="951"/>
      <c r="F1122" s="952"/>
      <c r="G1122" s="950"/>
      <c r="H1122" s="953"/>
      <c r="I1122" s="3"/>
      <c r="J1122" s="3"/>
      <c r="K1122" s="955"/>
      <c r="L1122" s="956"/>
      <c r="M1122" s="956"/>
      <c r="N1122" s="3"/>
      <c r="O1122" s="955"/>
      <c r="P1122" s="957"/>
      <c r="Q1122" s="958"/>
    </row>
    <row r="1123">
      <c r="A1123" s="3"/>
      <c r="B1123" s="950"/>
      <c r="C1123" s="584"/>
      <c r="D1123" s="584"/>
      <c r="E1123" s="951"/>
      <c r="F1123" s="952"/>
      <c r="G1123" s="950"/>
      <c r="H1123" s="953"/>
      <c r="I1123" s="3"/>
      <c r="J1123" s="3"/>
      <c r="K1123" s="955"/>
      <c r="L1123" s="956"/>
      <c r="M1123" s="956"/>
      <c r="N1123" s="3"/>
      <c r="O1123" s="955"/>
      <c r="P1123" s="957"/>
      <c r="Q1123" s="958"/>
    </row>
    <row r="1124">
      <c r="A1124" s="3"/>
      <c r="B1124" s="950"/>
      <c r="C1124" s="584"/>
      <c r="D1124" s="584"/>
      <c r="E1124" s="951"/>
      <c r="F1124" s="952"/>
      <c r="G1124" s="950"/>
      <c r="H1124" s="953"/>
      <c r="I1124" s="3"/>
      <c r="J1124" s="3"/>
      <c r="K1124" s="955"/>
      <c r="L1124" s="956"/>
      <c r="M1124" s="956"/>
      <c r="N1124" s="3"/>
      <c r="O1124" s="955"/>
      <c r="P1124" s="957"/>
      <c r="Q1124" s="958"/>
    </row>
    <row r="1125">
      <c r="A1125" s="3"/>
      <c r="B1125" s="950"/>
      <c r="C1125" s="584"/>
      <c r="D1125" s="584"/>
      <c r="E1125" s="951"/>
      <c r="F1125" s="952"/>
      <c r="G1125" s="950"/>
      <c r="H1125" s="953"/>
      <c r="I1125" s="3"/>
      <c r="J1125" s="3"/>
      <c r="K1125" s="955"/>
      <c r="L1125" s="956"/>
      <c r="M1125" s="956"/>
      <c r="N1125" s="3"/>
      <c r="O1125" s="955"/>
      <c r="P1125" s="957"/>
      <c r="Q1125" s="958"/>
    </row>
    <row r="1126">
      <c r="A1126" s="3"/>
      <c r="B1126" s="950"/>
      <c r="C1126" s="584"/>
      <c r="D1126" s="584"/>
      <c r="E1126" s="951"/>
      <c r="F1126" s="952"/>
      <c r="G1126" s="950"/>
      <c r="H1126" s="953"/>
      <c r="I1126" s="3"/>
      <c r="J1126" s="3"/>
      <c r="K1126" s="955"/>
      <c r="L1126" s="956"/>
      <c r="M1126" s="956"/>
      <c r="N1126" s="3"/>
      <c r="O1126" s="955"/>
      <c r="P1126" s="957"/>
      <c r="Q1126" s="958"/>
    </row>
    <row r="1127">
      <c r="A1127" s="3"/>
      <c r="B1127" s="950"/>
      <c r="C1127" s="584"/>
      <c r="D1127" s="584"/>
      <c r="E1127" s="951"/>
      <c r="F1127" s="952"/>
      <c r="G1127" s="950"/>
      <c r="H1127" s="953"/>
      <c r="I1127" s="3"/>
      <c r="J1127" s="3"/>
      <c r="K1127" s="955"/>
      <c r="L1127" s="956"/>
      <c r="M1127" s="956"/>
      <c r="N1127" s="3"/>
      <c r="O1127" s="955"/>
      <c r="P1127" s="957"/>
      <c r="Q1127" s="958"/>
    </row>
    <row r="1128">
      <c r="A1128" s="3"/>
      <c r="B1128" s="950"/>
      <c r="C1128" s="584"/>
      <c r="D1128" s="584"/>
      <c r="E1128" s="951"/>
      <c r="F1128" s="952"/>
      <c r="G1128" s="950"/>
      <c r="H1128" s="953"/>
      <c r="I1128" s="3"/>
      <c r="J1128" s="3"/>
      <c r="K1128" s="955"/>
      <c r="L1128" s="956"/>
      <c r="M1128" s="956"/>
      <c r="N1128" s="3"/>
      <c r="O1128" s="955"/>
      <c r="P1128" s="957"/>
      <c r="Q1128" s="958"/>
    </row>
    <row r="1129">
      <c r="A1129" s="3"/>
      <c r="B1129" s="950"/>
      <c r="C1129" s="584"/>
      <c r="D1129" s="584"/>
      <c r="E1129" s="951"/>
      <c r="F1129" s="952"/>
      <c r="G1129" s="950"/>
      <c r="H1129" s="953"/>
      <c r="I1129" s="3"/>
      <c r="J1129" s="3"/>
      <c r="K1129" s="955"/>
      <c r="L1129" s="956"/>
      <c r="M1129" s="956"/>
      <c r="N1129" s="3"/>
      <c r="O1129" s="955"/>
      <c r="P1129" s="957"/>
      <c r="Q1129" s="958"/>
    </row>
    <row r="1130">
      <c r="A1130" s="3"/>
      <c r="B1130" s="950"/>
      <c r="C1130" s="584"/>
      <c r="D1130" s="584"/>
      <c r="E1130" s="951"/>
      <c r="F1130" s="952"/>
      <c r="G1130" s="950"/>
      <c r="H1130" s="953"/>
      <c r="I1130" s="3"/>
      <c r="J1130" s="3"/>
      <c r="K1130" s="955"/>
      <c r="L1130" s="956"/>
      <c r="M1130" s="956"/>
      <c r="N1130" s="3"/>
      <c r="O1130" s="955"/>
      <c r="P1130" s="957"/>
      <c r="Q1130" s="958"/>
    </row>
    <row r="1131">
      <c r="A1131" s="3"/>
      <c r="B1131" s="950"/>
      <c r="C1131" s="584"/>
      <c r="D1131" s="584"/>
      <c r="E1131" s="951"/>
      <c r="F1131" s="952"/>
      <c r="G1131" s="950"/>
      <c r="H1131" s="953"/>
      <c r="I1131" s="3"/>
      <c r="J1131" s="3"/>
      <c r="K1131" s="955"/>
      <c r="L1131" s="956"/>
      <c r="M1131" s="956"/>
      <c r="N1131" s="3"/>
      <c r="O1131" s="955"/>
      <c r="P1131" s="957"/>
      <c r="Q1131" s="958"/>
    </row>
    <row r="1132">
      <c r="A1132" s="3"/>
      <c r="B1132" s="950"/>
      <c r="C1132" s="584"/>
      <c r="D1132" s="584"/>
      <c r="E1132" s="951"/>
      <c r="F1132" s="952"/>
      <c r="G1132" s="950"/>
      <c r="H1132" s="953"/>
      <c r="I1132" s="3"/>
      <c r="J1132" s="3"/>
      <c r="K1132" s="955"/>
      <c r="L1132" s="956"/>
      <c r="M1132" s="956"/>
      <c r="N1132" s="3"/>
      <c r="O1132" s="955"/>
      <c r="P1132" s="957"/>
      <c r="Q1132" s="958"/>
    </row>
    <row r="1133">
      <c r="A1133" s="3"/>
      <c r="B1133" s="950"/>
      <c r="C1133" s="584"/>
      <c r="D1133" s="584"/>
      <c r="E1133" s="951"/>
      <c r="F1133" s="952"/>
      <c r="G1133" s="950"/>
      <c r="H1133" s="953"/>
      <c r="I1133" s="3"/>
      <c r="J1133" s="3"/>
      <c r="K1133" s="955"/>
      <c r="L1133" s="956"/>
      <c r="M1133" s="956"/>
      <c r="N1133" s="3"/>
      <c r="O1133" s="955"/>
      <c r="P1133" s="957"/>
      <c r="Q1133" s="958"/>
    </row>
    <row r="1134">
      <c r="A1134" s="3"/>
      <c r="B1134" s="950"/>
      <c r="C1134" s="584"/>
      <c r="D1134" s="584"/>
      <c r="E1134" s="951"/>
      <c r="F1134" s="952"/>
      <c r="G1134" s="950"/>
      <c r="H1134" s="953"/>
      <c r="I1134" s="3"/>
      <c r="J1134" s="3"/>
      <c r="K1134" s="955"/>
      <c r="L1134" s="956"/>
      <c r="M1134" s="956"/>
      <c r="N1134" s="3"/>
      <c r="O1134" s="955"/>
      <c r="P1134" s="957"/>
      <c r="Q1134" s="958"/>
    </row>
    <row r="1135">
      <c r="A1135" s="3"/>
      <c r="B1135" s="950"/>
      <c r="C1135" s="584"/>
      <c r="D1135" s="584"/>
      <c r="E1135" s="951"/>
      <c r="F1135" s="952"/>
      <c r="G1135" s="950"/>
      <c r="H1135" s="953"/>
      <c r="I1135" s="3"/>
      <c r="J1135" s="3"/>
      <c r="K1135" s="955"/>
      <c r="L1135" s="956"/>
      <c r="M1135" s="956"/>
      <c r="N1135" s="3"/>
      <c r="O1135" s="955"/>
      <c r="P1135" s="957"/>
      <c r="Q1135" s="958"/>
    </row>
    <row r="1136">
      <c r="A1136" s="3"/>
      <c r="B1136" s="950"/>
      <c r="C1136" s="584"/>
      <c r="D1136" s="584"/>
      <c r="E1136" s="951"/>
      <c r="F1136" s="952"/>
      <c r="G1136" s="950"/>
      <c r="H1136" s="953"/>
      <c r="I1136" s="3"/>
      <c r="J1136" s="3"/>
      <c r="K1136" s="955"/>
      <c r="L1136" s="956"/>
      <c r="M1136" s="956"/>
      <c r="N1136" s="3"/>
      <c r="O1136" s="955"/>
      <c r="P1136" s="957"/>
      <c r="Q1136" s="958"/>
    </row>
    <row r="1137">
      <c r="A1137" s="3"/>
      <c r="B1137" s="950"/>
      <c r="C1137" s="584"/>
      <c r="D1137" s="584"/>
      <c r="E1137" s="951"/>
      <c r="F1137" s="952"/>
      <c r="G1137" s="950"/>
      <c r="H1137" s="953"/>
      <c r="I1137" s="3"/>
      <c r="J1137" s="3"/>
      <c r="K1137" s="955"/>
      <c r="L1137" s="956"/>
      <c r="M1137" s="956"/>
      <c r="N1137" s="3"/>
      <c r="O1137" s="955"/>
      <c r="P1137" s="957"/>
      <c r="Q1137" s="958"/>
    </row>
    <row r="1138">
      <c r="A1138" s="3"/>
      <c r="B1138" s="950"/>
      <c r="C1138" s="584"/>
      <c r="D1138" s="584"/>
      <c r="E1138" s="951"/>
      <c r="F1138" s="952"/>
      <c r="G1138" s="950"/>
      <c r="H1138" s="953"/>
      <c r="I1138" s="3"/>
      <c r="J1138" s="3"/>
      <c r="K1138" s="955"/>
      <c r="L1138" s="956"/>
      <c r="M1138" s="956"/>
      <c r="N1138" s="3"/>
      <c r="O1138" s="955"/>
      <c r="P1138" s="957"/>
      <c r="Q1138" s="958"/>
    </row>
    <row r="1139">
      <c r="A1139" s="3"/>
      <c r="B1139" s="950"/>
      <c r="C1139" s="584"/>
      <c r="D1139" s="584"/>
      <c r="E1139" s="951"/>
      <c r="F1139" s="952"/>
      <c r="G1139" s="950"/>
      <c r="H1139" s="953"/>
      <c r="I1139" s="3"/>
      <c r="J1139" s="3"/>
      <c r="K1139" s="955"/>
      <c r="L1139" s="956"/>
      <c r="M1139" s="956"/>
      <c r="N1139" s="3"/>
      <c r="O1139" s="955"/>
      <c r="P1139" s="957"/>
      <c r="Q1139" s="958"/>
    </row>
    <row r="1140">
      <c r="A1140" s="3"/>
      <c r="B1140" s="950"/>
      <c r="C1140" s="584"/>
      <c r="D1140" s="584"/>
      <c r="E1140" s="951"/>
      <c r="F1140" s="952"/>
      <c r="G1140" s="950"/>
      <c r="H1140" s="953"/>
      <c r="I1140" s="3"/>
      <c r="J1140" s="3"/>
      <c r="K1140" s="955"/>
      <c r="L1140" s="956"/>
      <c r="M1140" s="956"/>
      <c r="N1140" s="3"/>
      <c r="O1140" s="955"/>
      <c r="P1140" s="957"/>
      <c r="Q1140" s="958"/>
    </row>
    <row r="1141">
      <c r="A1141" s="3"/>
      <c r="B1141" s="950"/>
      <c r="C1141" s="584"/>
      <c r="D1141" s="584"/>
      <c r="E1141" s="951"/>
      <c r="F1141" s="952"/>
      <c r="G1141" s="950"/>
      <c r="H1141" s="953"/>
      <c r="I1141" s="3"/>
      <c r="J1141" s="3"/>
      <c r="K1141" s="955"/>
      <c r="L1141" s="956"/>
      <c r="M1141" s="956"/>
      <c r="N1141" s="3"/>
      <c r="O1141" s="955"/>
      <c r="P1141" s="957"/>
      <c r="Q1141" s="958"/>
    </row>
    <row r="1142">
      <c r="A1142" s="3"/>
      <c r="B1142" s="950"/>
      <c r="C1142" s="584"/>
      <c r="D1142" s="584"/>
      <c r="E1142" s="951"/>
      <c r="F1142" s="952"/>
      <c r="G1142" s="950"/>
      <c r="H1142" s="953"/>
      <c r="I1142" s="3"/>
      <c r="J1142" s="3"/>
      <c r="K1142" s="955"/>
      <c r="L1142" s="956"/>
      <c r="M1142" s="956"/>
      <c r="N1142" s="3"/>
      <c r="O1142" s="955"/>
      <c r="P1142" s="957"/>
      <c r="Q1142" s="958"/>
    </row>
    <row r="1143">
      <c r="A1143" s="3"/>
      <c r="B1143" s="950"/>
      <c r="C1143" s="584"/>
      <c r="D1143" s="584"/>
      <c r="E1143" s="951"/>
      <c r="F1143" s="952"/>
      <c r="G1143" s="950"/>
      <c r="H1143" s="953"/>
      <c r="I1143" s="3"/>
      <c r="J1143" s="3"/>
      <c r="K1143" s="955"/>
      <c r="L1143" s="956"/>
      <c r="M1143" s="956"/>
      <c r="N1143" s="3"/>
      <c r="O1143" s="955"/>
      <c r="P1143" s="957"/>
      <c r="Q1143" s="958"/>
    </row>
    <row r="1144">
      <c r="A1144" s="3"/>
      <c r="B1144" s="950"/>
      <c r="C1144" s="584"/>
      <c r="D1144" s="584"/>
      <c r="E1144" s="951"/>
      <c r="F1144" s="952"/>
      <c r="G1144" s="950"/>
      <c r="H1144" s="953"/>
      <c r="I1144" s="3"/>
      <c r="J1144" s="3"/>
      <c r="K1144" s="955"/>
      <c r="L1144" s="956"/>
      <c r="M1144" s="956"/>
      <c r="N1144" s="3"/>
      <c r="O1144" s="955"/>
      <c r="P1144" s="957"/>
      <c r="Q1144" s="958"/>
    </row>
    <row r="1145">
      <c r="A1145" s="3"/>
      <c r="B1145" s="950"/>
      <c r="C1145" s="584"/>
      <c r="D1145" s="584"/>
      <c r="E1145" s="951"/>
      <c r="F1145" s="952"/>
      <c r="G1145" s="950"/>
      <c r="H1145" s="953"/>
      <c r="I1145" s="3"/>
      <c r="J1145" s="3"/>
      <c r="K1145" s="955"/>
      <c r="L1145" s="956"/>
      <c r="M1145" s="956"/>
      <c r="N1145" s="3"/>
      <c r="O1145" s="955"/>
      <c r="P1145" s="957"/>
      <c r="Q1145" s="958"/>
    </row>
    <row r="1146">
      <c r="A1146" s="3"/>
      <c r="B1146" s="950"/>
      <c r="C1146" s="584"/>
      <c r="D1146" s="584"/>
      <c r="E1146" s="951"/>
      <c r="F1146" s="952"/>
      <c r="G1146" s="950"/>
      <c r="H1146" s="953"/>
      <c r="I1146" s="3"/>
      <c r="J1146" s="3"/>
      <c r="K1146" s="955"/>
      <c r="L1146" s="956"/>
      <c r="M1146" s="956"/>
      <c r="N1146" s="3"/>
      <c r="O1146" s="955"/>
      <c r="P1146" s="957"/>
      <c r="Q1146" s="958"/>
    </row>
    <row r="1147">
      <c r="A1147" s="3"/>
      <c r="B1147" s="950"/>
      <c r="C1147" s="584"/>
      <c r="D1147" s="584"/>
      <c r="E1147" s="951"/>
      <c r="F1147" s="952"/>
      <c r="G1147" s="950"/>
      <c r="H1147" s="953"/>
      <c r="I1147" s="3"/>
      <c r="J1147" s="3"/>
      <c r="K1147" s="955"/>
      <c r="L1147" s="956"/>
      <c r="M1147" s="956"/>
      <c r="N1147" s="3"/>
      <c r="O1147" s="955"/>
      <c r="P1147" s="957"/>
      <c r="Q1147" s="958"/>
    </row>
    <row r="1148">
      <c r="A1148" s="3"/>
      <c r="B1148" s="950"/>
      <c r="C1148" s="584"/>
      <c r="D1148" s="584"/>
      <c r="E1148" s="951"/>
      <c r="F1148" s="952"/>
      <c r="G1148" s="950"/>
      <c r="H1148" s="953"/>
      <c r="I1148" s="3"/>
      <c r="J1148" s="3"/>
      <c r="K1148" s="955"/>
      <c r="L1148" s="956"/>
      <c r="M1148" s="956"/>
      <c r="N1148" s="3"/>
      <c r="O1148" s="955"/>
      <c r="P1148" s="957"/>
      <c r="Q1148" s="958"/>
    </row>
    <row r="1149">
      <c r="A1149" s="3"/>
      <c r="B1149" s="950"/>
      <c r="C1149" s="584"/>
      <c r="D1149" s="584"/>
      <c r="E1149" s="951"/>
      <c r="F1149" s="952"/>
      <c r="G1149" s="950"/>
      <c r="H1149" s="953"/>
      <c r="I1149" s="3"/>
      <c r="J1149" s="3"/>
      <c r="K1149" s="955"/>
      <c r="L1149" s="956"/>
      <c r="M1149" s="956"/>
      <c r="N1149" s="3"/>
      <c r="O1149" s="955"/>
      <c r="P1149" s="957"/>
      <c r="Q1149" s="958"/>
    </row>
    <row r="1150">
      <c r="A1150" s="3"/>
      <c r="B1150" s="950"/>
      <c r="C1150" s="584"/>
      <c r="D1150" s="584"/>
      <c r="E1150" s="951"/>
      <c r="F1150" s="952"/>
      <c r="G1150" s="950"/>
      <c r="H1150" s="953"/>
      <c r="I1150" s="3"/>
      <c r="J1150" s="3"/>
      <c r="K1150" s="955"/>
      <c r="L1150" s="956"/>
      <c r="M1150" s="956"/>
      <c r="N1150" s="3"/>
      <c r="O1150" s="955"/>
      <c r="P1150" s="957"/>
      <c r="Q1150" s="958"/>
    </row>
    <row r="1151">
      <c r="A1151" s="3"/>
      <c r="B1151" s="950"/>
      <c r="C1151" s="584"/>
      <c r="D1151" s="584"/>
      <c r="E1151" s="951"/>
      <c r="F1151" s="952"/>
      <c r="G1151" s="950"/>
      <c r="H1151" s="953"/>
      <c r="I1151" s="3"/>
      <c r="J1151" s="3"/>
      <c r="K1151" s="955"/>
      <c r="L1151" s="956"/>
      <c r="M1151" s="956"/>
      <c r="N1151" s="3"/>
      <c r="O1151" s="955"/>
      <c r="P1151" s="957"/>
      <c r="Q1151" s="958"/>
    </row>
    <row r="1152">
      <c r="A1152" s="3"/>
      <c r="B1152" s="950"/>
      <c r="C1152" s="584"/>
      <c r="D1152" s="584"/>
      <c r="E1152" s="951"/>
      <c r="F1152" s="952"/>
      <c r="G1152" s="950"/>
      <c r="H1152" s="953"/>
      <c r="I1152" s="3"/>
      <c r="J1152" s="3"/>
      <c r="K1152" s="955"/>
      <c r="L1152" s="956"/>
      <c r="M1152" s="956"/>
      <c r="N1152" s="3"/>
      <c r="O1152" s="955"/>
      <c r="P1152" s="957"/>
      <c r="Q1152" s="958"/>
    </row>
    <row r="1153">
      <c r="A1153" s="3"/>
      <c r="B1153" s="950"/>
      <c r="C1153" s="584"/>
      <c r="D1153" s="584"/>
      <c r="E1153" s="951"/>
      <c r="F1153" s="952"/>
      <c r="G1153" s="950"/>
      <c r="H1153" s="953"/>
      <c r="I1153" s="3"/>
      <c r="J1153" s="3"/>
      <c r="K1153" s="955"/>
      <c r="L1153" s="956"/>
      <c r="M1153" s="956"/>
      <c r="N1153" s="3"/>
      <c r="O1153" s="955"/>
      <c r="P1153" s="957"/>
      <c r="Q1153" s="958"/>
    </row>
    <row r="1154">
      <c r="A1154" s="3"/>
      <c r="B1154" s="950"/>
      <c r="C1154" s="584"/>
      <c r="D1154" s="584"/>
      <c r="E1154" s="951"/>
      <c r="F1154" s="952"/>
      <c r="G1154" s="950"/>
      <c r="H1154" s="953"/>
      <c r="I1154" s="3"/>
      <c r="J1154" s="3"/>
      <c r="K1154" s="955"/>
      <c r="L1154" s="956"/>
      <c r="M1154" s="956"/>
      <c r="N1154" s="3"/>
      <c r="O1154" s="955"/>
      <c r="P1154" s="957"/>
      <c r="Q1154" s="958"/>
    </row>
    <row r="1155">
      <c r="A1155" s="3"/>
      <c r="B1155" s="950"/>
      <c r="C1155" s="584"/>
      <c r="D1155" s="584"/>
      <c r="E1155" s="951"/>
      <c r="F1155" s="952"/>
      <c r="G1155" s="950"/>
      <c r="H1155" s="953"/>
      <c r="I1155" s="3"/>
      <c r="J1155" s="3"/>
      <c r="K1155" s="955"/>
      <c r="L1155" s="956"/>
      <c r="M1155" s="956"/>
      <c r="N1155" s="3"/>
      <c r="O1155" s="955"/>
      <c r="P1155" s="957"/>
      <c r="Q1155" s="958"/>
    </row>
    <row r="1156">
      <c r="A1156" s="3"/>
      <c r="B1156" s="950"/>
      <c r="C1156" s="584"/>
      <c r="D1156" s="584"/>
      <c r="E1156" s="951"/>
      <c r="F1156" s="952"/>
      <c r="G1156" s="950"/>
      <c r="H1156" s="953"/>
      <c r="I1156" s="3"/>
      <c r="J1156" s="3"/>
      <c r="K1156" s="955"/>
      <c r="L1156" s="956"/>
      <c r="M1156" s="956"/>
      <c r="N1156" s="3"/>
      <c r="O1156" s="955"/>
      <c r="P1156" s="957"/>
      <c r="Q1156" s="958"/>
    </row>
    <row r="1157">
      <c r="A1157" s="3"/>
      <c r="B1157" s="950"/>
      <c r="C1157" s="584"/>
      <c r="D1157" s="584"/>
      <c r="E1157" s="951"/>
      <c r="F1157" s="952"/>
      <c r="G1157" s="950"/>
      <c r="H1157" s="953"/>
      <c r="I1157" s="3"/>
      <c r="J1157" s="3"/>
      <c r="K1157" s="955"/>
      <c r="L1157" s="956"/>
      <c r="M1157" s="956"/>
      <c r="N1157" s="3"/>
      <c r="O1157" s="955"/>
      <c r="P1157" s="957"/>
      <c r="Q1157" s="958"/>
    </row>
    <row r="1158">
      <c r="A1158" s="3"/>
      <c r="B1158" s="950"/>
      <c r="C1158" s="584"/>
      <c r="D1158" s="584"/>
      <c r="E1158" s="951"/>
      <c r="F1158" s="952"/>
      <c r="G1158" s="950"/>
      <c r="H1158" s="953"/>
      <c r="I1158" s="3"/>
      <c r="J1158" s="3"/>
      <c r="K1158" s="955"/>
      <c r="L1158" s="956"/>
      <c r="M1158" s="956"/>
      <c r="N1158" s="3"/>
      <c r="O1158" s="955"/>
      <c r="P1158" s="957"/>
      <c r="Q1158" s="958"/>
    </row>
    <row r="1159">
      <c r="A1159" s="3"/>
      <c r="B1159" s="950"/>
      <c r="C1159" s="584"/>
      <c r="D1159" s="584"/>
      <c r="E1159" s="951"/>
      <c r="F1159" s="952"/>
      <c r="G1159" s="950"/>
      <c r="H1159" s="953"/>
      <c r="I1159" s="3"/>
      <c r="J1159" s="3"/>
      <c r="K1159" s="955"/>
      <c r="L1159" s="956"/>
      <c r="M1159" s="956"/>
      <c r="N1159" s="3"/>
      <c r="O1159" s="955"/>
      <c r="P1159" s="957"/>
      <c r="Q1159" s="958"/>
    </row>
    <row r="1160">
      <c r="A1160" s="3"/>
      <c r="B1160" s="950"/>
      <c r="C1160" s="584"/>
      <c r="D1160" s="584"/>
      <c r="E1160" s="951"/>
      <c r="F1160" s="952"/>
      <c r="G1160" s="950"/>
      <c r="H1160" s="953"/>
      <c r="I1160" s="3"/>
      <c r="J1160" s="3"/>
      <c r="K1160" s="955"/>
      <c r="L1160" s="956"/>
      <c r="M1160" s="956"/>
      <c r="N1160" s="3"/>
      <c r="O1160" s="955"/>
      <c r="P1160" s="957"/>
      <c r="Q1160" s="958"/>
    </row>
    <row r="1161">
      <c r="A1161" s="3"/>
      <c r="B1161" s="950"/>
      <c r="C1161" s="584"/>
      <c r="D1161" s="584"/>
      <c r="E1161" s="951"/>
      <c r="F1161" s="952"/>
      <c r="G1161" s="950"/>
      <c r="H1161" s="953"/>
      <c r="I1161" s="3"/>
      <c r="J1161" s="3"/>
      <c r="K1161" s="955"/>
      <c r="L1161" s="956"/>
      <c r="M1161" s="956"/>
      <c r="N1161" s="3"/>
      <c r="O1161" s="955"/>
      <c r="P1161" s="957"/>
      <c r="Q1161" s="958"/>
    </row>
    <row r="1162">
      <c r="A1162" s="3"/>
      <c r="B1162" s="950"/>
      <c r="C1162" s="584"/>
      <c r="D1162" s="584"/>
      <c r="E1162" s="951"/>
      <c r="F1162" s="952"/>
      <c r="G1162" s="950"/>
      <c r="H1162" s="953"/>
      <c r="I1162" s="3"/>
      <c r="J1162" s="3"/>
      <c r="K1162" s="955"/>
      <c r="L1162" s="956"/>
      <c r="M1162" s="956"/>
      <c r="N1162" s="3"/>
      <c r="O1162" s="955"/>
      <c r="P1162" s="957"/>
      <c r="Q1162" s="958"/>
    </row>
    <row r="1163">
      <c r="A1163" s="3"/>
      <c r="B1163" s="950"/>
      <c r="C1163" s="584"/>
      <c r="D1163" s="584"/>
      <c r="E1163" s="951"/>
      <c r="F1163" s="952"/>
      <c r="G1163" s="950"/>
      <c r="H1163" s="953"/>
      <c r="I1163" s="3"/>
      <c r="J1163" s="3"/>
      <c r="K1163" s="955"/>
      <c r="L1163" s="956"/>
      <c r="M1163" s="956"/>
      <c r="N1163" s="3"/>
      <c r="O1163" s="955"/>
      <c r="P1163" s="957"/>
      <c r="Q1163" s="958"/>
    </row>
    <row r="1164">
      <c r="A1164" s="3"/>
      <c r="B1164" s="950"/>
      <c r="C1164" s="584"/>
      <c r="D1164" s="584"/>
      <c r="E1164" s="951"/>
      <c r="F1164" s="952"/>
      <c r="G1164" s="950"/>
      <c r="H1164" s="953"/>
      <c r="I1164" s="3"/>
      <c r="J1164" s="3"/>
      <c r="K1164" s="955"/>
      <c r="L1164" s="956"/>
      <c r="M1164" s="956"/>
      <c r="N1164" s="3"/>
      <c r="O1164" s="955"/>
      <c r="P1164" s="957"/>
      <c r="Q1164" s="958"/>
    </row>
    <row r="1165">
      <c r="A1165" s="3"/>
      <c r="B1165" s="950"/>
      <c r="C1165" s="584"/>
      <c r="D1165" s="584"/>
      <c r="E1165" s="951"/>
      <c r="F1165" s="952"/>
      <c r="G1165" s="950"/>
      <c r="H1165" s="953"/>
      <c r="I1165" s="3"/>
      <c r="J1165" s="3"/>
      <c r="K1165" s="955"/>
      <c r="L1165" s="956"/>
      <c r="M1165" s="956"/>
      <c r="N1165" s="3"/>
      <c r="O1165" s="955"/>
      <c r="P1165" s="957"/>
      <c r="Q1165" s="958"/>
    </row>
    <row r="1166">
      <c r="A1166" s="3"/>
      <c r="B1166" s="950"/>
      <c r="C1166" s="584"/>
      <c r="D1166" s="584"/>
      <c r="E1166" s="951"/>
      <c r="F1166" s="952"/>
      <c r="G1166" s="950"/>
      <c r="H1166" s="953"/>
      <c r="I1166" s="3"/>
      <c r="J1166" s="3"/>
      <c r="K1166" s="955"/>
      <c r="L1166" s="956"/>
      <c r="M1166" s="956"/>
      <c r="N1166" s="3"/>
      <c r="O1166" s="955"/>
      <c r="P1166" s="957"/>
      <c r="Q1166" s="958"/>
    </row>
    <row r="1167">
      <c r="A1167" s="3"/>
      <c r="B1167" s="950"/>
      <c r="C1167" s="584"/>
      <c r="D1167" s="584"/>
      <c r="E1167" s="951"/>
      <c r="F1167" s="952"/>
      <c r="G1167" s="950"/>
      <c r="H1167" s="953"/>
      <c r="I1167" s="3"/>
      <c r="J1167" s="3"/>
      <c r="K1167" s="955"/>
      <c r="L1167" s="956"/>
      <c r="M1167" s="956"/>
      <c r="N1167" s="3"/>
      <c r="O1167" s="955"/>
      <c r="P1167" s="957"/>
      <c r="Q1167" s="958"/>
    </row>
    <row r="1168">
      <c r="A1168" s="3"/>
      <c r="B1168" s="950"/>
      <c r="C1168" s="584"/>
      <c r="D1168" s="584"/>
      <c r="E1168" s="951"/>
      <c r="F1168" s="952"/>
      <c r="G1168" s="950"/>
      <c r="H1168" s="953"/>
      <c r="I1168" s="3"/>
      <c r="J1168" s="3"/>
      <c r="K1168" s="955"/>
      <c r="L1168" s="956"/>
      <c r="M1168" s="956"/>
      <c r="N1168" s="3"/>
      <c r="O1168" s="955"/>
      <c r="P1168" s="957"/>
      <c r="Q1168" s="958"/>
    </row>
    <row r="1169">
      <c r="A1169" s="3"/>
      <c r="B1169" s="950"/>
      <c r="C1169" s="584"/>
      <c r="D1169" s="584"/>
      <c r="E1169" s="951"/>
      <c r="F1169" s="952"/>
      <c r="G1169" s="950"/>
      <c r="H1169" s="953"/>
      <c r="I1169" s="3"/>
      <c r="J1169" s="3"/>
      <c r="K1169" s="955"/>
      <c r="L1169" s="956"/>
      <c r="M1169" s="956"/>
      <c r="N1169" s="3"/>
      <c r="O1169" s="955"/>
      <c r="P1169" s="957"/>
      <c r="Q1169" s="958"/>
    </row>
    <row r="1170">
      <c r="A1170" s="3"/>
      <c r="B1170" s="950"/>
      <c r="C1170" s="584"/>
      <c r="D1170" s="584"/>
      <c r="E1170" s="951"/>
      <c r="F1170" s="952"/>
      <c r="G1170" s="950"/>
      <c r="H1170" s="953"/>
      <c r="I1170" s="3"/>
      <c r="J1170" s="3"/>
      <c r="K1170" s="955"/>
      <c r="L1170" s="956"/>
      <c r="M1170" s="956"/>
      <c r="N1170" s="3"/>
      <c r="O1170" s="955"/>
      <c r="P1170" s="957"/>
      <c r="Q1170" s="958"/>
    </row>
    <row r="1171">
      <c r="A1171" s="3"/>
      <c r="B1171" s="950"/>
      <c r="C1171" s="584"/>
      <c r="D1171" s="584"/>
      <c r="E1171" s="951"/>
      <c r="F1171" s="952"/>
      <c r="G1171" s="950"/>
      <c r="H1171" s="953"/>
      <c r="I1171" s="3"/>
      <c r="J1171" s="3"/>
      <c r="K1171" s="955"/>
      <c r="L1171" s="956"/>
      <c r="M1171" s="956"/>
      <c r="N1171" s="3"/>
      <c r="O1171" s="955"/>
      <c r="P1171" s="957"/>
      <c r="Q1171" s="958"/>
    </row>
    <row r="1172">
      <c r="A1172" s="3"/>
      <c r="B1172" s="950"/>
      <c r="C1172" s="584"/>
      <c r="D1172" s="584"/>
      <c r="E1172" s="951"/>
      <c r="F1172" s="952"/>
      <c r="G1172" s="950"/>
      <c r="H1172" s="953"/>
      <c r="I1172" s="3"/>
      <c r="J1172" s="3"/>
      <c r="K1172" s="955"/>
      <c r="L1172" s="956"/>
      <c r="M1172" s="956"/>
      <c r="N1172" s="3"/>
      <c r="O1172" s="955"/>
      <c r="P1172" s="957"/>
      <c r="Q1172" s="958"/>
    </row>
    <row r="1173">
      <c r="A1173" s="3"/>
      <c r="B1173" s="950"/>
      <c r="C1173" s="584"/>
      <c r="D1173" s="584"/>
      <c r="E1173" s="951"/>
      <c r="F1173" s="952"/>
      <c r="G1173" s="950"/>
      <c r="H1173" s="953"/>
      <c r="I1173" s="3"/>
      <c r="J1173" s="3"/>
      <c r="K1173" s="955"/>
      <c r="L1173" s="956"/>
      <c r="M1173" s="956"/>
      <c r="N1173" s="3"/>
      <c r="O1173" s="955"/>
      <c r="P1173" s="957"/>
      <c r="Q1173" s="958"/>
    </row>
    <row r="1174">
      <c r="A1174" s="3"/>
      <c r="B1174" s="950"/>
      <c r="C1174" s="584"/>
      <c r="D1174" s="584"/>
      <c r="E1174" s="951"/>
      <c r="F1174" s="952"/>
      <c r="G1174" s="950"/>
      <c r="H1174" s="953"/>
      <c r="I1174" s="3"/>
      <c r="J1174" s="3"/>
      <c r="K1174" s="955"/>
      <c r="L1174" s="956"/>
      <c r="M1174" s="956"/>
      <c r="N1174" s="3"/>
      <c r="O1174" s="955"/>
      <c r="P1174" s="957"/>
      <c r="Q1174" s="958"/>
    </row>
    <row r="1175">
      <c r="A1175" s="3"/>
      <c r="B1175" s="950"/>
      <c r="C1175" s="584"/>
      <c r="D1175" s="584"/>
      <c r="E1175" s="951"/>
      <c r="F1175" s="952"/>
      <c r="G1175" s="950"/>
      <c r="H1175" s="953"/>
      <c r="I1175" s="3"/>
      <c r="J1175" s="3"/>
      <c r="K1175" s="955"/>
      <c r="L1175" s="956"/>
      <c r="M1175" s="956"/>
      <c r="N1175" s="3"/>
      <c r="O1175" s="955"/>
      <c r="P1175" s="957"/>
      <c r="Q1175" s="958"/>
    </row>
    <row r="1176">
      <c r="A1176" s="3"/>
      <c r="B1176" s="950"/>
      <c r="C1176" s="584"/>
      <c r="D1176" s="584"/>
      <c r="E1176" s="951"/>
      <c r="F1176" s="952"/>
      <c r="G1176" s="950"/>
      <c r="H1176" s="953"/>
      <c r="I1176" s="3"/>
      <c r="J1176" s="3"/>
      <c r="K1176" s="955"/>
      <c r="L1176" s="956"/>
      <c r="M1176" s="956"/>
      <c r="N1176" s="3"/>
      <c r="O1176" s="955"/>
      <c r="P1176" s="957"/>
      <c r="Q1176" s="958"/>
    </row>
    <row r="1177">
      <c r="A1177" s="3"/>
      <c r="B1177" s="950"/>
      <c r="C1177" s="584"/>
      <c r="D1177" s="584"/>
      <c r="E1177" s="951"/>
      <c r="F1177" s="952"/>
      <c r="G1177" s="950"/>
      <c r="H1177" s="953"/>
      <c r="I1177" s="3"/>
      <c r="J1177" s="3"/>
      <c r="K1177" s="955"/>
      <c r="L1177" s="956"/>
      <c r="M1177" s="956"/>
      <c r="N1177" s="3"/>
      <c r="O1177" s="955"/>
      <c r="P1177" s="957"/>
      <c r="Q1177" s="958"/>
    </row>
    <row r="1178">
      <c r="A1178" s="3"/>
      <c r="B1178" s="950"/>
      <c r="C1178" s="584"/>
      <c r="D1178" s="584"/>
      <c r="E1178" s="951"/>
      <c r="F1178" s="952"/>
      <c r="G1178" s="950"/>
      <c r="H1178" s="953"/>
      <c r="I1178" s="3"/>
      <c r="J1178" s="3"/>
      <c r="K1178" s="955"/>
      <c r="L1178" s="956"/>
      <c r="M1178" s="956"/>
      <c r="N1178" s="3"/>
      <c r="O1178" s="955"/>
      <c r="P1178" s="957"/>
      <c r="Q1178" s="958"/>
    </row>
    <row r="1179">
      <c r="A1179" s="3"/>
      <c r="B1179" s="950"/>
      <c r="C1179" s="584"/>
      <c r="D1179" s="584"/>
      <c r="E1179" s="951"/>
      <c r="F1179" s="952"/>
      <c r="G1179" s="950"/>
      <c r="H1179" s="953"/>
      <c r="I1179" s="3"/>
      <c r="J1179" s="3"/>
      <c r="K1179" s="955"/>
      <c r="L1179" s="956"/>
      <c r="M1179" s="956"/>
      <c r="N1179" s="3"/>
      <c r="O1179" s="955"/>
      <c r="P1179" s="957"/>
      <c r="Q1179" s="958"/>
    </row>
    <row r="1180">
      <c r="A1180" s="3"/>
      <c r="B1180" s="950"/>
      <c r="C1180" s="584"/>
      <c r="D1180" s="584"/>
      <c r="E1180" s="951"/>
      <c r="F1180" s="952"/>
      <c r="G1180" s="950"/>
      <c r="H1180" s="953"/>
      <c r="I1180" s="3"/>
      <c r="J1180" s="3"/>
      <c r="K1180" s="955"/>
      <c r="L1180" s="956"/>
      <c r="M1180" s="956"/>
      <c r="N1180" s="3"/>
      <c r="O1180" s="955"/>
      <c r="P1180" s="957"/>
      <c r="Q1180" s="958"/>
    </row>
    <row r="1181">
      <c r="A1181" s="3"/>
      <c r="B1181" s="950"/>
      <c r="C1181" s="584"/>
      <c r="D1181" s="584"/>
      <c r="E1181" s="951"/>
      <c r="F1181" s="952"/>
      <c r="G1181" s="950"/>
      <c r="H1181" s="953"/>
      <c r="I1181" s="3"/>
      <c r="J1181" s="3"/>
      <c r="K1181" s="955"/>
      <c r="L1181" s="956"/>
      <c r="M1181" s="956"/>
      <c r="N1181" s="3"/>
      <c r="O1181" s="955"/>
      <c r="P1181" s="957"/>
      <c r="Q1181" s="958"/>
    </row>
    <row r="1182">
      <c r="A1182" s="3"/>
      <c r="B1182" s="950"/>
      <c r="C1182" s="584"/>
      <c r="D1182" s="584"/>
      <c r="E1182" s="951"/>
      <c r="F1182" s="952"/>
      <c r="G1182" s="950"/>
      <c r="H1182" s="953"/>
      <c r="I1182" s="3"/>
      <c r="J1182" s="3"/>
      <c r="K1182" s="955"/>
      <c r="L1182" s="956"/>
      <c r="M1182" s="956"/>
      <c r="N1182" s="3"/>
      <c r="O1182" s="955"/>
      <c r="P1182" s="957"/>
      <c r="Q1182" s="958"/>
    </row>
    <row r="1183">
      <c r="A1183" s="3"/>
      <c r="B1183" s="950"/>
      <c r="C1183" s="584"/>
      <c r="D1183" s="584"/>
      <c r="E1183" s="951"/>
      <c r="F1183" s="952"/>
      <c r="G1183" s="950"/>
      <c r="H1183" s="953"/>
      <c r="I1183" s="3"/>
      <c r="J1183" s="3"/>
      <c r="K1183" s="955"/>
      <c r="L1183" s="956"/>
      <c r="M1183" s="956"/>
      <c r="N1183" s="3"/>
      <c r="O1183" s="955"/>
      <c r="P1183" s="957"/>
      <c r="Q1183" s="958"/>
    </row>
    <row r="1184">
      <c r="A1184" s="3"/>
      <c r="B1184" s="950"/>
      <c r="C1184" s="584"/>
      <c r="D1184" s="584"/>
      <c r="E1184" s="951"/>
      <c r="F1184" s="952"/>
      <c r="G1184" s="950"/>
      <c r="H1184" s="953"/>
      <c r="I1184" s="3"/>
      <c r="J1184" s="3"/>
      <c r="K1184" s="955"/>
      <c r="L1184" s="956"/>
      <c r="M1184" s="956"/>
      <c r="N1184" s="3"/>
      <c r="O1184" s="955"/>
      <c r="P1184" s="957"/>
      <c r="Q1184" s="958"/>
    </row>
    <row r="1185">
      <c r="A1185" s="3"/>
      <c r="B1185" s="950"/>
      <c r="C1185" s="584"/>
      <c r="D1185" s="584"/>
      <c r="E1185" s="951"/>
      <c r="F1185" s="952"/>
      <c r="G1185" s="950"/>
      <c r="H1185" s="953"/>
      <c r="I1185" s="3"/>
      <c r="J1185" s="3"/>
      <c r="K1185" s="955"/>
      <c r="L1185" s="956"/>
      <c r="M1185" s="956"/>
      <c r="N1185" s="3"/>
      <c r="O1185" s="955"/>
      <c r="P1185" s="957"/>
      <c r="Q1185" s="958"/>
    </row>
    <row r="1186">
      <c r="A1186" s="3"/>
      <c r="B1186" s="950"/>
      <c r="C1186" s="584"/>
      <c r="D1186" s="584"/>
      <c r="E1186" s="951"/>
      <c r="F1186" s="952"/>
      <c r="G1186" s="950"/>
      <c r="H1186" s="953"/>
      <c r="I1186" s="3"/>
      <c r="J1186" s="3"/>
      <c r="K1186" s="955"/>
      <c r="L1186" s="956"/>
      <c r="M1186" s="956"/>
      <c r="N1186" s="3"/>
      <c r="O1186" s="955"/>
      <c r="P1186" s="957"/>
      <c r="Q1186" s="958"/>
    </row>
    <row r="1187">
      <c r="A1187" s="3"/>
      <c r="B1187" s="950"/>
      <c r="C1187" s="584"/>
      <c r="D1187" s="584"/>
      <c r="E1187" s="951"/>
      <c r="F1187" s="952"/>
      <c r="G1187" s="950"/>
      <c r="H1187" s="953"/>
      <c r="I1187" s="3"/>
      <c r="J1187" s="3"/>
      <c r="K1187" s="955"/>
      <c r="L1187" s="956"/>
      <c r="M1187" s="956"/>
      <c r="N1187" s="3"/>
      <c r="O1187" s="955"/>
      <c r="P1187" s="957"/>
      <c r="Q1187" s="958"/>
    </row>
    <row r="1188">
      <c r="A1188" s="3"/>
      <c r="B1188" s="950"/>
      <c r="C1188" s="584"/>
      <c r="D1188" s="584"/>
      <c r="E1188" s="951"/>
      <c r="F1188" s="952"/>
      <c r="G1188" s="950"/>
      <c r="H1188" s="953"/>
      <c r="I1188" s="3"/>
      <c r="J1188" s="3"/>
      <c r="K1188" s="955"/>
      <c r="L1188" s="956"/>
      <c r="M1188" s="956"/>
      <c r="N1188" s="3"/>
      <c r="O1188" s="955"/>
      <c r="P1188" s="957"/>
      <c r="Q1188" s="958"/>
    </row>
    <row r="1189">
      <c r="A1189" s="3"/>
      <c r="B1189" s="950"/>
      <c r="C1189" s="584"/>
      <c r="D1189" s="584"/>
      <c r="E1189" s="951"/>
      <c r="F1189" s="952"/>
      <c r="G1189" s="950"/>
      <c r="H1189" s="953"/>
      <c r="I1189" s="3"/>
      <c r="J1189" s="3"/>
      <c r="K1189" s="955"/>
      <c r="L1189" s="956"/>
      <c r="M1189" s="956"/>
      <c r="N1189" s="3"/>
      <c r="O1189" s="955"/>
      <c r="P1189" s="957"/>
      <c r="Q1189" s="958"/>
    </row>
    <row r="1190">
      <c r="A1190" s="3"/>
      <c r="B1190" s="950"/>
      <c r="C1190" s="584"/>
      <c r="D1190" s="584"/>
      <c r="E1190" s="951"/>
      <c r="F1190" s="952"/>
      <c r="G1190" s="950"/>
      <c r="H1190" s="953"/>
      <c r="I1190" s="3"/>
      <c r="J1190" s="3"/>
      <c r="K1190" s="955"/>
      <c r="L1190" s="956"/>
      <c r="M1190" s="956"/>
      <c r="N1190" s="3"/>
      <c r="O1190" s="955"/>
      <c r="P1190" s="957"/>
      <c r="Q1190" s="958"/>
    </row>
    <row r="1191">
      <c r="A1191" s="3"/>
      <c r="B1191" s="950"/>
      <c r="C1191" s="584"/>
      <c r="D1191" s="584"/>
      <c r="E1191" s="951"/>
      <c r="F1191" s="952"/>
      <c r="G1191" s="950"/>
      <c r="H1191" s="953"/>
      <c r="I1191" s="3"/>
      <c r="J1191" s="3"/>
      <c r="K1191" s="955"/>
      <c r="L1191" s="956"/>
      <c r="M1191" s="956"/>
      <c r="N1191" s="3"/>
      <c r="O1191" s="955"/>
      <c r="P1191" s="957"/>
      <c r="Q1191" s="958"/>
    </row>
    <row r="1192">
      <c r="A1192" s="3"/>
      <c r="B1192" s="950"/>
      <c r="C1192" s="584"/>
      <c r="D1192" s="584"/>
      <c r="E1192" s="951"/>
      <c r="F1192" s="952"/>
      <c r="G1192" s="950"/>
      <c r="H1192" s="953"/>
      <c r="I1192" s="3"/>
      <c r="J1192" s="3"/>
      <c r="K1192" s="955"/>
      <c r="L1192" s="956"/>
      <c r="M1192" s="956"/>
      <c r="N1192" s="3"/>
      <c r="O1192" s="955"/>
      <c r="P1192" s="957"/>
      <c r="Q1192" s="958"/>
    </row>
    <row r="1193">
      <c r="A1193" s="3"/>
      <c r="B1193" s="950"/>
      <c r="C1193" s="584"/>
      <c r="D1193" s="584"/>
      <c r="E1193" s="951"/>
      <c r="F1193" s="952"/>
      <c r="G1193" s="950"/>
      <c r="H1193" s="953"/>
      <c r="I1193" s="3"/>
      <c r="J1193" s="3"/>
      <c r="K1193" s="955"/>
      <c r="L1193" s="956"/>
      <c r="M1193" s="956"/>
      <c r="N1193" s="3"/>
      <c r="O1193" s="955"/>
      <c r="P1193" s="957"/>
      <c r="Q1193" s="958"/>
    </row>
    <row r="1194">
      <c r="A1194" s="3"/>
      <c r="B1194" s="950"/>
      <c r="C1194" s="584"/>
      <c r="D1194" s="584"/>
      <c r="E1194" s="951"/>
      <c r="F1194" s="952"/>
      <c r="G1194" s="950"/>
      <c r="H1194" s="953"/>
      <c r="I1194" s="3"/>
      <c r="J1194" s="3"/>
      <c r="K1194" s="955"/>
      <c r="L1194" s="956"/>
      <c r="M1194" s="956"/>
      <c r="N1194" s="3"/>
      <c r="O1194" s="955"/>
      <c r="P1194" s="957"/>
      <c r="Q1194" s="958"/>
    </row>
    <row r="1195">
      <c r="A1195" s="3"/>
      <c r="B1195" s="950"/>
      <c r="C1195" s="584"/>
      <c r="D1195" s="584"/>
      <c r="E1195" s="951"/>
      <c r="F1195" s="952"/>
      <c r="G1195" s="950"/>
      <c r="H1195" s="953"/>
      <c r="I1195" s="3"/>
      <c r="J1195" s="3"/>
      <c r="K1195" s="955"/>
      <c r="L1195" s="956"/>
      <c r="M1195" s="956"/>
      <c r="N1195" s="3"/>
      <c r="O1195" s="955"/>
      <c r="P1195" s="957"/>
      <c r="Q1195" s="958"/>
    </row>
    <row r="1196">
      <c r="A1196" s="3"/>
      <c r="B1196" s="950"/>
      <c r="C1196" s="584"/>
      <c r="D1196" s="584"/>
      <c r="E1196" s="951"/>
      <c r="F1196" s="952"/>
      <c r="G1196" s="950"/>
      <c r="H1196" s="953"/>
      <c r="I1196" s="3"/>
      <c r="J1196" s="3"/>
      <c r="K1196" s="955"/>
      <c r="L1196" s="956"/>
      <c r="M1196" s="956"/>
      <c r="N1196" s="3"/>
      <c r="O1196" s="955"/>
      <c r="P1196" s="957"/>
      <c r="Q1196" s="958"/>
    </row>
    <row r="1197">
      <c r="A1197" s="3"/>
      <c r="B1197" s="950"/>
      <c r="C1197" s="584"/>
      <c r="D1197" s="584"/>
      <c r="E1197" s="951"/>
      <c r="F1197" s="952"/>
      <c r="G1197" s="950"/>
      <c r="H1197" s="953"/>
      <c r="I1197" s="3"/>
      <c r="J1197" s="3"/>
      <c r="K1197" s="955"/>
      <c r="L1197" s="956"/>
      <c r="M1197" s="956"/>
      <c r="N1197" s="3"/>
      <c r="O1197" s="955"/>
      <c r="P1197" s="957"/>
      <c r="Q1197" s="958"/>
    </row>
    <row r="1198">
      <c r="A1198" s="3"/>
      <c r="B1198" s="950"/>
      <c r="C1198" s="584"/>
      <c r="D1198" s="584"/>
      <c r="E1198" s="951"/>
      <c r="F1198" s="952"/>
      <c r="G1198" s="950"/>
      <c r="H1198" s="953"/>
      <c r="I1198" s="3"/>
      <c r="J1198" s="3"/>
      <c r="K1198" s="955"/>
      <c r="L1198" s="956"/>
      <c r="M1198" s="956"/>
      <c r="N1198" s="3"/>
      <c r="O1198" s="955"/>
      <c r="P1198" s="957"/>
      <c r="Q1198" s="958"/>
    </row>
    <row r="1199">
      <c r="A1199" s="3"/>
      <c r="B1199" s="950"/>
      <c r="C1199" s="584"/>
      <c r="D1199" s="584"/>
      <c r="E1199" s="951"/>
      <c r="F1199" s="952"/>
      <c r="G1199" s="950"/>
      <c r="H1199" s="953"/>
      <c r="I1199" s="3"/>
      <c r="J1199" s="3"/>
      <c r="K1199" s="955"/>
      <c r="L1199" s="956"/>
      <c r="M1199" s="956"/>
      <c r="N1199" s="3"/>
      <c r="O1199" s="955"/>
      <c r="P1199" s="957"/>
      <c r="Q1199" s="958"/>
    </row>
    <row r="1200">
      <c r="A1200" s="3"/>
      <c r="B1200" s="950"/>
      <c r="C1200" s="584"/>
      <c r="D1200" s="584"/>
      <c r="E1200" s="951"/>
      <c r="F1200" s="952"/>
      <c r="G1200" s="950"/>
      <c r="H1200" s="953"/>
      <c r="I1200" s="3"/>
      <c r="J1200" s="3"/>
      <c r="K1200" s="955"/>
      <c r="L1200" s="956"/>
      <c r="M1200" s="956"/>
      <c r="N1200" s="3"/>
      <c r="O1200" s="955"/>
      <c r="P1200" s="957"/>
      <c r="Q1200" s="958"/>
    </row>
    <row r="1201">
      <c r="A1201" s="3"/>
      <c r="B1201" s="950"/>
      <c r="C1201" s="584"/>
      <c r="D1201" s="584"/>
      <c r="E1201" s="951"/>
      <c r="F1201" s="952"/>
      <c r="G1201" s="950"/>
      <c r="H1201" s="953"/>
      <c r="I1201" s="3"/>
      <c r="J1201" s="3"/>
      <c r="K1201" s="955"/>
      <c r="L1201" s="956"/>
      <c r="M1201" s="956"/>
      <c r="N1201" s="3"/>
      <c r="O1201" s="955"/>
      <c r="P1201" s="957"/>
      <c r="Q1201" s="958"/>
    </row>
    <row r="1202">
      <c r="A1202" s="3"/>
      <c r="B1202" s="950"/>
      <c r="C1202" s="584"/>
      <c r="D1202" s="584"/>
      <c r="E1202" s="951"/>
      <c r="F1202" s="952"/>
      <c r="G1202" s="950"/>
      <c r="H1202" s="953"/>
      <c r="I1202" s="3"/>
      <c r="J1202" s="3"/>
      <c r="K1202" s="955"/>
      <c r="L1202" s="956"/>
      <c r="M1202" s="956"/>
      <c r="N1202" s="3"/>
      <c r="O1202" s="955"/>
      <c r="P1202" s="957"/>
      <c r="Q1202" s="958"/>
    </row>
    <row r="1203">
      <c r="A1203" s="3"/>
      <c r="B1203" s="950"/>
      <c r="C1203" s="584"/>
      <c r="D1203" s="584"/>
      <c r="E1203" s="951"/>
      <c r="F1203" s="952"/>
      <c r="G1203" s="950"/>
      <c r="H1203" s="953"/>
      <c r="I1203" s="3"/>
      <c r="J1203" s="3"/>
      <c r="K1203" s="955"/>
      <c r="L1203" s="956"/>
      <c r="M1203" s="956"/>
      <c r="N1203" s="3"/>
      <c r="O1203" s="955"/>
      <c r="P1203" s="957"/>
      <c r="Q1203" s="958"/>
    </row>
    <row r="1204">
      <c r="A1204" s="3"/>
      <c r="B1204" s="950"/>
      <c r="C1204" s="584"/>
      <c r="D1204" s="584"/>
      <c r="E1204" s="951"/>
      <c r="F1204" s="952"/>
      <c r="G1204" s="950"/>
      <c r="H1204" s="953"/>
      <c r="I1204" s="3"/>
      <c r="J1204" s="3"/>
      <c r="K1204" s="955"/>
      <c r="L1204" s="956"/>
      <c r="M1204" s="956"/>
      <c r="N1204" s="3"/>
      <c r="O1204" s="955"/>
      <c r="P1204" s="957"/>
      <c r="Q1204" s="958"/>
    </row>
    <row r="1205">
      <c r="A1205" s="3"/>
      <c r="B1205" s="950"/>
      <c r="C1205" s="584"/>
      <c r="D1205" s="584"/>
      <c r="E1205" s="951"/>
      <c r="F1205" s="952"/>
      <c r="G1205" s="950"/>
      <c r="H1205" s="953"/>
      <c r="I1205" s="3"/>
      <c r="J1205" s="3"/>
      <c r="K1205" s="955"/>
      <c r="L1205" s="956"/>
      <c r="M1205" s="956"/>
      <c r="N1205" s="3"/>
      <c r="O1205" s="955"/>
      <c r="P1205" s="957"/>
      <c r="Q1205" s="958"/>
    </row>
    <row r="1206">
      <c r="A1206" s="3"/>
      <c r="B1206" s="950"/>
      <c r="C1206" s="584"/>
      <c r="D1206" s="584"/>
      <c r="E1206" s="951"/>
      <c r="F1206" s="952"/>
      <c r="G1206" s="950"/>
      <c r="H1206" s="953"/>
      <c r="I1206" s="3"/>
      <c r="J1206" s="3"/>
      <c r="K1206" s="955"/>
      <c r="L1206" s="956"/>
      <c r="M1206" s="956"/>
      <c r="N1206" s="3"/>
      <c r="O1206" s="955"/>
      <c r="P1206" s="957"/>
      <c r="Q1206" s="958"/>
    </row>
    <row r="1207">
      <c r="A1207" s="3"/>
      <c r="B1207" s="950"/>
      <c r="C1207" s="584"/>
      <c r="D1207" s="584"/>
      <c r="E1207" s="951"/>
      <c r="F1207" s="952"/>
      <c r="G1207" s="950"/>
      <c r="H1207" s="953"/>
      <c r="I1207" s="3"/>
      <c r="J1207" s="3"/>
      <c r="K1207" s="955"/>
      <c r="L1207" s="956"/>
      <c r="M1207" s="956"/>
      <c r="N1207" s="3"/>
      <c r="O1207" s="955"/>
      <c r="P1207" s="957"/>
      <c r="Q1207" s="958"/>
    </row>
    <row r="1208">
      <c r="A1208" s="3"/>
      <c r="B1208" s="950"/>
      <c r="C1208" s="584"/>
      <c r="D1208" s="584"/>
      <c r="E1208" s="951"/>
      <c r="F1208" s="952"/>
      <c r="G1208" s="950"/>
      <c r="H1208" s="953"/>
      <c r="I1208" s="3"/>
      <c r="J1208" s="3"/>
      <c r="K1208" s="955"/>
      <c r="L1208" s="956"/>
      <c r="M1208" s="956"/>
      <c r="N1208" s="3"/>
      <c r="O1208" s="955"/>
      <c r="P1208" s="957"/>
      <c r="Q1208" s="958"/>
    </row>
    <row r="1209">
      <c r="A1209" s="3"/>
      <c r="B1209" s="950"/>
      <c r="C1209" s="584"/>
      <c r="D1209" s="584"/>
      <c r="E1209" s="951"/>
      <c r="F1209" s="952"/>
      <c r="G1209" s="950"/>
      <c r="H1209" s="953"/>
      <c r="I1209" s="3"/>
      <c r="J1209" s="3"/>
      <c r="K1209" s="955"/>
      <c r="L1209" s="956"/>
      <c r="M1209" s="956"/>
      <c r="N1209" s="3"/>
      <c r="O1209" s="955"/>
      <c r="P1209" s="957"/>
      <c r="Q1209" s="958"/>
    </row>
    <row r="1210">
      <c r="A1210" s="3"/>
      <c r="B1210" s="950"/>
      <c r="C1210" s="584"/>
      <c r="D1210" s="584"/>
      <c r="E1210" s="951"/>
      <c r="F1210" s="952"/>
      <c r="G1210" s="950"/>
      <c r="H1210" s="953"/>
      <c r="I1210" s="3"/>
      <c r="J1210" s="3"/>
      <c r="K1210" s="955"/>
      <c r="L1210" s="956"/>
      <c r="M1210" s="956"/>
      <c r="N1210" s="3"/>
      <c r="O1210" s="955"/>
      <c r="P1210" s="957"/>
      <c r="Q1210" s="958"/>
    </row>
    <row r="1211">
      <c r="A1211" s="3"/>
      <c r="B1211" s="950"/>
      <c r="C1211" s="584"/>
      <c r="D1211" s="584"/>
      <c r="E1211" s="951"/>
      <c r="F1211" s="952"/>
      <c r="G1211" s="950"/>
      <c r="H1211" s="953"/>
      <c r="I1211" s="3"/>
      <c r="J1211" s="3"/>
      <c r="K1211" s="955"/>
      <c r="L1211" s="956"/>
      <c r="M1211" s="956"/>
      <c r="N1211" s="3"/>
      <c r="O1211" s="955"/>
      <c r="P1211" s="957"/>
      <c r="Q1211" s="958"/>
    </row>
    <row r="1212">
      <c r="A1212" s="3"/>
      <c r="B1212" s="950"/>
      <c r="C1212" s="584"/>
      <c r="D1212" s="584"/>
      <c r="E1212" s="951"/>
      <c r="F1212" s="952"/>
      <c r="G1212" s="950"/>
      <c r="H1212" s="953"/>
      <c r="I1212" s="3"/>
      <c r="J1212" s="3"/>
      <c r="K1212" s="955"/>
      <c r="L1212" s="956"/>
      <c r="M1212" s="956"/>
      <c r="N1212" s="3"/>
      <c r="O1212" s="955"/>
      <c r="P1212" s="957"/>
      <c r="Q1212" s="958"/>
    </row>
    <row r="1213">
      <c r="A1213" s="3"/>
      <c r="B1213" s="950"/>
      <c r="C1213" s="584"/>
      <c r="D1213" s="584"/>
      <c r="E1213" s="951"/>
      <c r="F1213" s="952"/>
      <c r="G1213" s="950"/>
      <c r="H1213" s="953"/>
      <c r="I1213" s="3"/>
      <c r="J1213" s="3"/>
      <c r="K1213" s="955"/>
      <c r="L1213" s="956"/>
      <c r="M1213" s="956"/>
      <c r="N1213" s="3"/>
      <c r="O1213" s="955"/>
      <c r="P1213" s="957"/>
      <c r="Q1213" s="958"/>
    </row>
    <row r="1214">
      <c r="A1214" s="3"/>
      <c r="B1214" s="950"/>
      <c r="C1214" s="584"/>
      <c r="D1214" s="584"/>
      <c r="E1214" s="951"/>
      <c r="F1214" s="952"/>
      <c r="G1214" s="950"/>
      <c r="H1214" s="953"/>
      <c r="I1214" s="3"/>
      <c r="J1214" s="3"/>
      <c r="K1214" s="955"/>
      <c r="L1214" s="956"/>
      <c r="M1214" s="956"/>
      <c r="N1214" s="3"/>
      <c r="O1214" s="955"/>
      <c r="P1214" s="957"/>
      <c r="Q1214" s="958"/>
    </row>
    <row r="1215">
      <c r="A1215" s="3"/>
      <c r="B1215" s="950"/>
      <c r="C1215" s="584"/>
      <c r="D1215" s="584"/>
      <c r="E1215" s="951"/>
      <c r="F1215" s="952"/>
      <c r="G1215" s="950"/>
      <c r="H1215" s="953"/>
      <c r="I1215" s="3"/>
      <c r="J1215" s="3"/>
      <c r="K1215" s="955"/>
      <c r="L1215" s="956"/>
      <c r="M1215" s="956"/>
      <c r="N1215" s="3"/>
      <c r="O1215" s="955"/>
      <c r="P1215" s="957"/>
      <c r="Q1215" s="958"/>
    </row>
    <row r="1216">
      <c r="A1216" s="3"/>
      <c r="B1216" s="950"/>
      <c r="C1216" s="584"/>
      <c r="D1216" s="584"/>
      <c r="E1216" s="951"/>
      <c r="F1216" s="952"/>
      <c r="G1216" s="950"/>
      <c r="H1216" s="953"/>
      <c r="I1216" s="3"/>
      <c r="J1216" s="3"/>
      <c r="K1216" s="955"/>
      <c r="L1216" s="956"/>
      <c r="M1216" s="956"/>
      <c r="N1216" s="3"/>
      <c r="O1216" s="955"/>
      <c r="P1216" s="957"/>
      <c r="Q1216" s="958"/>
    </row>
    <row r="1217">
      <c r="A1217" s="3"/>
      <c r="B1217" s="950"/>
      <c r="C1217" s="584"/>
      <c r="D1217" s="584"/>
      <c r="E1217" s="951"/>
      <c r="F1217" s="952"/>
      <c r="G1217" s="950"/>
      <c r="H1217" s="953"/>
      <c r="I1217" s="3"/>
      <c r="J1217" s="3"/>
      <c r="K1217" s="955"/>
      <c r="L1217" s="956"/>
      <c r="M1217" s="956"/>
      <c r="N1217" s="3"/>
      <c r="O1217" s="955"/>
      <c r="P1217" s="957"/>
      <c r="Q1217" s="958"/>
    </row>
    <row r="1218">
      <c r="A1218" s="3"/>
      <c r="B1218" s="950"/>
      <c r="C1218" s="584"/>
      <c r="D1218" s="584"/>
      <c r="E1218" s="951"/>
      <c r="F1218" s="952"/>
      <c r="G1218" s="950"/>
      <c r="H1218" s="953"/>
      <c r="I1218" s="3"/>
      <c r="J1218" s="3"/>
      <c r="K1218" s="955"/>
      <c r="L1218" s="956"/>
      <c r="M1218" s="956"/>
      <c r="N1218" s="3"/>
      <c r="O1218" s="955"/>
      <c r="P1218" s="957"/>
      <c r="Q1218" s="958"/>
    </row>
    <row r="1219">
      <c r="A1219" s="3"/>
      <c r="B1219" s="950"/>
      <c r="C1219" s="584"/>
      <c r="D1219" s="584"/>
      <c r="E1219" s="951"/>
      <c r="F1219" s="952"/>
      <c r="G1219" s="950"/>
      <c r="H1219" s="953"/>
      <c r="I1219" s="3"/>
      <c r="J1219" s="3"/>
      <c r="K1219" s="955"/>
      <c r="L1219" s="956"/>
      <c r="M1219" s="956"/>
      <c r="N1219" s="3"/>
      <c r="O1219" s="955"/>
      <c r="P1219" s="957"/>
      <c r="Q1219" s="958"/>
    </row>
    <row r="1220">
      <c r="A1220" s="3"/>
      <c r="B1220" s="950"/>
      <c r="C1220" s="584"/>
      <c r="D1220" s="584"/>
      <c r="E1220" s="951"/>
      <c r="F1220" s="952"/>
      <c r="G1220" s="950"/>
      <c r="H1220" s="953"/>
      <c r="I1220" s="3"/>
      <c r="J1220" s="3"/>
      <c r="K1220" s="955"/>
      <c r="L1220" s="956"/>
      <c r="M1220" s="956"/>
      <c r="N1220" s="3"/>
      <c r="O1220" s="955"/>
      <c r="P1220" s="957"/>
      <c r="Q1220" s="958"/>
    </row>
    <row r="1221">
      <c r="A1221" s="3"/>
      <c r="B1221" s="950"/>
      <c r="C1221" s="584"/>
      <c r="D1221" s="584"/>
      <c r="E1221" s="951"/>
      <c r="F1221" s="952"/>
      <c r="G1221" s="950"/>
      <c r="H1221" s="953"/>
      <c r="I1221" s="3"/>
      <c r="J1221" s="3"/>
      <c r="K1221" s="955"/>
      <c r="L1221" s="956"/>
      <c r="M1221" s="956"/>
      <c r="N1221" s="3"/>
      <c r="O1221" s="955"/>
      <c r="P1221" s="957"/>
      <c r="Q1221" s="958"/>
    </row>
    <row r="1222">
      <c r="A1222" s="3"/>
      <c r="B1222" s="950"/>
      <c r="C1222" s="584"/>
      <c r="D1222" s="584"/>
      <c r="E1222" s="951"/>
      <c r="F1222" s="952"/>
      <c r="G1222" s="950"/>
      <c r="H1222" s="953"/>
      <c r="I1222" s="3"/>
      <c r="J1222" s="3"/>
      <c r="K1222" s="955"/>
      <c r="L1222" s="956"/>
      <c r="M1222" s="956"/>
      <c r="N1222" s="3"/>
      <c r="O1222" s="955"/>
      <c r="P1222" s="957"/>
      <c r="Q1222" s="958"/>
    </row>
    <row r="1223">
      <c r="A1223" s="3"/>
      <c r="B1223" s="950"/>
      <c r="C1223" s="584"/>
      <c r="D1223" s="584"/>
      <c r="E1223" s="951"/>
      <c r="F1223" s="952"/>
      <c r="G1223" s="950"/>
      <c r="H1223" s="953"/>
      <c r="I1223" s="3"/>
      <c r="J1223" s="3"/>
      <c r="K1223" s="955"/>
      <c r="L1223" s="956"/>
      <c r="M1223" s="956"/>
      <c r="N1223" s="3"/>
      <c r="O1223" s="955"/>
      <c r="P1223" s="957"/>
      <c r="Q1223" s="958"/>
    </row>
    <row r="1224">
      <c r="A1224" s="3"/>
      <c r="B1224" s="950"/>
      <c r="C1224" s="584"/>
      <c r="D1224" s="584"/>
      <c r="E1224" s="951"/>
      <c r="F1224" s="952"/>
      <c r="G1224" s="950"/>
      <c r="H1224" s="953"/>
      <c r="I1224" s="3"/>
      <c r="J1224" s="3"/>
      <c r="K1224" s="955"/>
      <c r="L1224" s="956"/>
      <c r="M1224" s="956"/>
      <c r="N1224" s="3"/>
      <c r="O1224" s="955"/>
      <c r="P1224" s="957"/>
      <c r="Q1224" s="958"/>
    </row>
    <row r="1225">
      <c r="A1225" s="3"/>
      <c r="B1225" s="950"/>
      <c r="C1225" s="584"/>
      <c r="D1225" s="584"/>
      <c r="E1225" s="951"/>
      <c r="F1225" s="952"/>
      <c r="G1225" s="950"/>
      <c r="H1225" s="953"/>
      <c r="I1225" s="3"/>
      <c r="J1225" s="3"/>
      <c r="K1225" s="955"/>
      <c r="L1225" s="956"/>
      <c r="M1225" s="956"/>
      <c r="N1225" s="3"/>
      <c r="O1225" s="955"/>
      <c r="P1225" s="957"/>
      <c r="Q1225" s="958"/>
    </row>
    <row r="1226">
      <c r="A1226" s="3"/>
      <c r="B1226" s="950"/>
      <c r="C1226" s="584"/>
      <c r="D1226" s="584"/>
      <c r="E1226" s="951"/>
      <c r="F1226" s="952"/>
      <c r="G1226" s="950"/>
      <c r="H1226" s="953"/>
      <c r="I1226" s="3"/>
      <c r="J1226" s="3"/>
      <c r="K1226" s="955"/>
      <c r="L1226" s="956"/>
      <c r="M1226" s="956"/>
      <c r="N1226" s="3"/>
      <c r="O1226" s="955"/>
      <c r="P1226" s="957"/>
      <c r="Q1226" s="958"/>
    </row>
    <row r="1227">
      <c r="A1227" s="3"/>
      <c r="B1227" s="950"/>
      <c r="C1227" s="584"/>
      <c r="D1227" s="584"/>
      <c r="E1227" s="951"/>
      <c r="F1227" s="952"/>
      <c r="G1227" s="950"/>
      <c r="H1227" s="953"/>
      <c r="I1227" s="3"/>
      <c r="J1227" s="3"/>
      <c r="K1227" s="955"/>
      <c r="L1227" s="956"/>
      <c r="M1227" s="956"/>
      <c r="N1227" s="3"/>
      <c r="O1227" s="955"/>
      <c r="P1227" s="957"/>
      <c r="Q1227" s="958"/>
    </row>
    <row r="1228">
      <c r="A1228" s="3"/>
      <c r="B1228" s="950"/>
      <c r="C1228" s="584"/>
      <c r="D1228" s="584"/>
      <c r="E1228" s="951"/>
      <c r="F1228" s="952"/>
      <c r="G1228" s="950"/>
      <c r="H1228" s="953"/>
      <c r="I1228" s="3"/>
      <c r="J1228" s="3"/>
      <c r="K1228" s="955"/>
      <c r="L1228" s="956"/>
      <c r="M1228" s="956"/>
      <c r="N1228" s="3"/>
      <c r="O1228" s="955"/>
      <c r="P1228" s="957"/>
      <c r="Q1228" s="958"/>
    </row>
    <row r="1229">
      <c r="A1229" s="3"/>
      <c r="B1229" s="950"/>
      <c r="C1229" s="584"/>
      <c r="D1229" s="584"/>
      <c r="E1229" s="951"/>
      <c r="F1229" s="952"/>
      <c r="G1229" s="950"/>
      <c r="H1229" s="953"/>
      <c r="I1229" s="3"/>
      <c r="J1229" s="3"/>
      <c r="K1229" s="955"/>
      <c r="L1229" s="956"/>
      <c r="M1229" s="956"/>
      <c r="N1229" s="3"/>
      <c r="O1229" s="955"/>
      <c r="P1229" s="957"/>
      <c r="Q1229" s="958"/>
    </row>
    <row r="1230">
      <c r="A1230" s="3"/>
      <c r="B1230" s="950"/>
      <c r="C1230" s="584"/>
      <c r="D1230" s="584"/>
      <c r="E1230" s="951"/>
      <c r="F1230" s="952"/>
      <c r="G1230" s="950"/>
      <c r="H1230" s="953"/>
      <c r="I1230" s="3"/>
      <c r="J1230" s="3"/>
      <c r="K1230" s="955"/>
      <c r="L1230" s="956"/>
      <c r="M1230" s="956"/>
      <c r="N1230" s="3"/>
      <c r="O1230" s="955"/>
      <c r="P1230" s="957"/>
      <c r="Q1230" s="958"/>
    </row>
    <row r="1231">
      <c r="A1231" s="3"/>
      <c r="B1231" s="950"/>
      <c r="C1231" s="584"/>
      <c r="D1231" s="584"/>
      <c r="E1231" s="951"/>
      <c r="F1231" s="952"/>
      <c r="G1231" s="950"/>
      <c r="H1231" s="953"/>
      <c r="I1231" s="3"/>
      <c r="J1231" s="3"/>
      <c r="K1231" s="955"/>
      <c r="L1231" s="956"/>
      <c r="M1231" s="956"/>
      <c r="N1231" s="3"/>
      <c r="O1231" s="955"/>
      <c r="P1231" s="957"/>
      <c r="Q1231" s="958"/>
    </row>
    <row r="1232">
      <c r="A1232" s="3"/>
      <c r="B1232" s="950"/>
      <c r="C1232" s="584"/>
      <c r="D1232" s="584"/>
      <c r="E1232" s="951"/>
      <c r="F1232" s="952"/>
      <c r="G1232" s="950"/>
      <c r="H1232" s="953"/>
      <c r="I1232" s="3"/>
      <c r="J1232" s="3"/>
      <c r="K1232" s="955"/>
      <c r="L1232" s="956"/>
      <c r="M1232" s="956"/>
      <c r="N1232" s="3"/>
      <c r="O1232" s="955"/>
      <c r="P1232" s="957"/>
      <c r="Q1232" s="958"/>
    </row>
    <row r="1233">
      <c r="A1233" s="3"/>
      <c r="B1233" s="950"/>
      <c r="C1233" s="584"/>
      <c r="D1233" s="584"/>
      <c r="E1233" s="951"/>
      <c r="F1233" s="952"/>
      <c r="G1233" s="950"/>
      <c r="H1233" s="953"/>
      <c r="I1233" s="3"/>
      <c r="J1233" s="3"/>
      <c r="K1233" s="955"/>
      <c r="L1233" s="956"/>
      <c r="M1233" s="956"/>
      <c r="N1233" s="3"/>
      <c r="O1233" s="955"/>
      <c r="P1233" s="957"/>
      <c r="Q1233" s="958"/>
    </row>
    <row r="1234">
      <c r="A1234" s="3"/>
      <c r="B1234" s="950"/>
      <c r="C1234" s="584"/>
      <c r="D1234" s="584"/>
      <c r="E1234" s="951"/>
      <c r="F1234" s="952"/>
      <c r="G1234" s="950"/>
      <c r="H1234" s="953"/>
      <c r="I1234" s="3"/>
      <c r="J1234" s="3"/>
      <c r="K1234" s="955"/>
      <c r="L1234" s="956"/>
      <c r="M1234" s="956"/>
      <c r="N1234" s="3"/>
      <c r="O1234" s="955"/>
      <c r="P1234" s="957"/>
      <c r="Q1234" s="958"/>
    </row>
    <row r="1235">
      <c r="A1235" s="3"/>
      <c r="B1235" s="950"/>
      <c r="C1235" s="584"/>
      <c r="D1235" s="584"/>
      <c r="E1235" s="951"/>
      <c r="F1235" s="952"/>
      <c r="G1235" s="950"/>
      <c r="H1235" s="953"/>
      <c r="I1235" s="3"/>
      <c r="J1235" s="3"/>
      <c r="K1235" s="955"/>
      <c r="L1235" s="956"/>
      <c r="M1235" s="956"/>
      <c r="N1235" s="3"/>
      <c r="O1235" s="955"/>
      <c r="P1235" s="957"/>
      <c r="Q1235" s="958"/>
    </row>
    <row r="1236">
      <c r="A1236" s="3"/>
      <c r="B1236" s="950"/>
      <c r="C1236" s="584"/>
      <c r="D1236" s="584"/>
      <c r="E1236" s="951"/>
      <c r="F1236" s="952"/>
      <c r="G1236" s="950"/>
      <c r="H1236" s="953"/>
      <c r="I1236" s="3"/>
      <c r="J1236" s="3"/>
      <c r="K1236" s="955"/>
      <c r="L1236" s="956"/>
      <c r="M1236" s="956"/>
      <c r="N1236" s="3"/>
      <c r="O1236" s="955"/>
      <c r="P1236" s="957"/>
      <c r="Q1236" s="958"/>
    </row>
    <row r="1237">
      <c r="A1237" s="3"/>
      <c r="B1237" s="950"/>
      <c r="C1237" s="584"/>
      <c r="D1237" s="584"/>
      <c r="E1237" s="951"/>
      <c r="F1237" s="952"/>
      <c r="G1237" s="950"/>
      <c r="H1237" s="953"/>
      <c r="I1237" s="3"/>
      <c r="J1237" s="3"/>
      <c r="K1237" s="955"/>
      <c r="L1237" s="956"/>
      <c r="M1237" s="956"/>
      <c r="N1237" s="3"/>
      <c r="O1237" s="955"/>
      <c r="P1237" s="957"/>
      <c r="Q1237" s="958"/>
    </row>
    <row r="1238">
      <c r="A1238" s="3"/>
      <c r="B1238" s="950"/>
      <c r="C1238" s="584"/>
      <c r="D1238" s="584"/>
      <c r="E1238" s="951"/>
      <c r="F1238" s="952"/>
      <c r="G1238" s="950"/>
      <c r="H1238" s="953"/>
      <c r="I1238" s="3"/>
      <c r="J1238" s="3"/>
      <c r="K1238" s="955"/>
      <c r="L1238" s="956"/>
      <c r="M1238" s="956"/>
      <c r="N1238" s="3"/>
      <c r="O1238" s="955"/>
      <c r="P1238" s="957"/>
      <c r="Q1238" s="958"/>
    </row>
    <row r="1239">
      <c r="A1239" s="3"/>
      <c r="B1239" s="950"/>
      <c r="C1239" s="584"/>
      <c r="D1239" s="584"/>
      <c r="E1239" s="951"/>
      <c r="F1239" s="952"/>
      <c r="G1239" s="950"/>
      <c r="H1239" s="953"/>
      <c r="I1239" s="3"/>
      <c r="J1239" s="3"/>
      <c r="K1239" s="955"/>
      <c r="L1239" s="956"/>
      <c r="M1239" s="956"/>
      <c r="N1239" s="3"/>
      <c r="O1239" s="955"/>
      <c r="P1239" s="957"/>
      <c r="Q1239" s="958"/>
    </row>
    <row r="1240">
      <c r="A1240" s="3"/>
      <c r="B1240" s="950"/>
      <c r="C1240" s="584"/>
      <c r="D1240" s="584"/>
      <c r="E1240" s="951"/>
      <c r="F1240" s="952"/>
      <c r="G1240" s="950"/>
      <c r="H1240" s="953"/>
      <c r="I1240" s="3"/>
      <c r="J1240" s="3"/>
      <c r="K1240" s="955"/>
      <c r="L1240" s="956"/>
      <c r="M1240" s="956"/>
      <c r="N1240" s="3"/>
      <c r="O1240" s="955"/>
      <c r="P1240" s="957"/>
      <c r="Q1240" s="958"/>
    </row>
    <row r="1241">
      <c r="A1241" s="3"/>
      <c r="B1241" s="950"/>
      <c r="C1241" s="584"/>
      <c r="D1241" s="584"/>
      <c r="E1241" s="951"/>
      <c r="F1241" s="952"/>
      <c r="G1241" s="950"/>
      <c r="H1241" s="953"/>
      <c r="I1241" s="3"/>
      <c r="J1241" s="3"/>
      <c r="K1241" s="955"/>
      <c r="L1241" s="956"/>
      <c r="M1241" s="956"/>
      <c r="N1241" s="3"/>
      <c r="O1241" s="955"/>
      <c r="P1241" s="957"/>
      <c r="Q1241" s="958"/>
    </row>
    <row r="1242">
      <c r="A1242" s="3"/>
      <c r="B1242" s="950"/>
      <c r="C1242" s="584"/>
      <c r="D1242" s="584"/>
      <c r="E1242" s="951"/>
      <c r="F1242" s="952"/>
      <c r="G1242" s="950"/>
      <c r="H1242" s="953"/>
      <c r="I1242" s="3"/>
      <c r="J1242" s="3"/>
      <c r="K1242" s="955"/>
      <c r="L1242" s="956"/>
      <c r="M1242" s="956"/>
      <c r="N1242" s="3"/>
      <c r="O1242" s="955"/>
      <c r="P1242" s="957"/>
      <c r="Q1242" s="958"/>
    </row>
    <row r="1243">
      <c r="A1243" s="3"/>
      <c r="B1243" s="950"/>
      <c r="C1243" s="584"/>
      <c r="D1243" s="584"/>
      <c r="E1243" s="951"/>
      <c r="F1243" s="952"/>
      <c r="G1243" s="950"/>
      <c r="H1243" s="953"/>
      <c r="I1243" s="3"/>
      <c r="J1243" s="3"/>
      <c r="K1243" s="955"/>
      <c r="L1243" s="956"/>
      <c r="M1243" s="956"/>
      <c r="N1243" s="3"/>
      <c r="O1243" s="955"/>
      <c r="P1243" s="957"/>
      <c r="Q1243" s="958"/>
    </row>
    <row r="1244">
      <c r="A1244" s="3"/>
      <c r="B1244" s="950"/>
      <c r="C1244" s="584"/>
      <c r="D1244" s="584"/>
      <c r="E1244" s="951"/>
      <c r="F1244" s="952"/>
      <c r="G1244" s="950"/>
      <c r="H1244" s="953"/>
      <c r="I1244" s="3"/>
      <c r="J1244" s="3"/>
      <c r="K1244" s="955"/>
      <c r="L1244" s="956"/>
      <c r="M1244" s="956"/>
      <c r="N1244" s="3"/>
      <c r="O1244" s="955"/>
      <c r="P1244" s="957"/>
      <c r="Q1244" s="958"/>
    </row>
    <row r="1245">
      <c r="A1245" s="3"/>
      <c r="B1245" s="950"/>
      <c r="C1245" s="584"/>
      <c r="D1245" s="584"/>
      <c r="E1245" s="951"/>
      <c r="F1245" s="952"/>
      <c r="G1245" s="950"/>
      <c r="H1245" s="953"/>
      <c r="I1245" s="3"/>
      <c r="J1245" s="3"/>
      <c r="K1245" s="955"/>
      <c r="L1245" s="956"/>
      <c r="M1245" s="956"/>
      <c r="N1245" s="3"/>
      <c r="O1245" s="955"/>
      <c r="P1245" s="957"/>
      <c r="Q1245" s="958"/>
    </row>
    <row r="1246">
      <c r="A1246" s="3"/>
      <c r="B1246" s="950"/>
      <c r="C1246" s="584"/>
      <c r="D1246" s="584"/>
      <c r="E1246" s="951"/>
      <c r="F1246" s="952"/>
      <c r="G1246" s="950"/>
      <c r="H1246" s="953"/>
      <c r="I1246" s="3"/>
      <c r="J1246" s="3"/>
      <c r="K1246" s="955"/>
      <c r="L1246" s="956"/>
      <c r="M1246" s="956"/>
      <c r="N1246" s="3"/>
      <c r="O1246" s="955"/>
      <c r="P1246" s="957"/>
      <c r="Q1246" s="958"/>
    </row>
    <row r="1247">
      <c r="A1247" s="3"/>
      <c r="B1247" s="950"/>
      <c r="C1247" s="584"/>
      <c r="D1247" s="584"/>
      <c r="E1247" s="951"/>
      <c r="F1247" s="952"/>
      <c r="G1247" s="950"/>
      <c r="H1247" s="953"/>
      <c r="I1247" s="3"/>
      <c r="J1247" s="3"/>
      <c r="K1247" s="955"/>
      <c r="L1247" s="956"/>
      <c r="M1247" s="956"/>
      <c r="N1247" s="3"/>
      <c r="O1247" s="955"/>
      <c r="P1247" s="957"/>
      <c r="Q1247" s="958"/>
    </row>
    <row r="1248">
      <c r="A1248" s="3"/>
      <c r="B1248" s="950"/>
      <c r="C1248" s="584"/>
      <c r="D1248" s="584"/>
      <c r="E1248" s="951"/>
      <c r="F1248" s="952"/>
      <c r="G1248" s="950"/>
      <c r="H1248" s="953"/>
      <c r="I1248" s="3"/>
      <c r="J1248" s="3"/>
      <c r="K1248" s="955"/>
      <c r="L1248" s="956"/>
      <c r="M1248" s="956"/>
      <c r="N1248" s="3"/>
      <c r="O1248" s="955"/>
      <c r="P1248" s="957"/>
      <c r="Q1248" s="958"/>
    </row>
    <row r="1249">
      <c r="A1249" s="3"/>
      <c r="B1249" s="950"/>
      <c r="C1249" s="584"/>
      <c r="D1249" s="584"/>
      <c r="E1249" s="951"/>
      <c r="F1249" s="952"/>
      <c r="G1249" s="950"/>
      <c r="H1249" s="953"/>
      <c r="I1249" s="3"/>
      <c r="J1249" s="3"/>
      <c r="K1249" s="955"/>
      <c r="L1249" s="956"/>
      <c r="M1249" s="956"/>
      <c r="N1249" s="3"/>
      <c r="O1249" s="955"/>
      <c r="P1249" s="957"/>
      <c r="Q1249" s="958"/>
    </row>
    <row r="1250">
      <c r="A1250" s="3"/>
      <c r="B1250" s="950"/>
      <c r="C1250" s="584"/>
      <c r="D1250" s="584"/>
      <c r="E1250" s="951"/>
      <c r="F1250" s="952"/>
      <c r="G1250" s="950"/>
      <c r="H1250" s="953"/>
      <c r="I1250" s="3"/>
      <c r="J1250" s="3"/>
      <c r="K1250" s="955"/>
      <c r="L1250" s="956"/>
      <c r="M1250" s="956"/>
      <c r="N1250" s="3"/>
      <c r="O1250" s="955"/>
      <c r="P1250" s="957"/>
      <c r="Q1250" s="958"/>
    </row>
    <row r="1251">
      <c r="A1251" s="3"/>
      <c r="B1251" s="950"/>
      <c r="C1251" s="584"/>
      <c r="D1251" s="584"/>
      <c r="E1251" s="951"/>
      <c r="F1251" s="952"/>
      <c r="G1251" s="950"/>
      <c r="H1251" s="953"/>
      <c r="I1251" s="3"/>
      <c r="J1251" s="3"/>
      <c r="K1251" s="955"/>
      <c r="L1251" s="956"/>
      <c r="M1251" s="956"/>
      <c r="N1251" s="3"/>
      <c r="O1251" s="955"/>
      <c r="P1251" s="957"/>
      <c r="Q1251" s="958"/>
    </row>
    <row r="1252">
      <c r="A1252" s="3"/>
      <c r="B1252" s="950"/>
      <c r="C1252" s="584"/>
      <c r="D1252" s="584"/>
      <c r="E1252" s="951"/>
      <c r="F1252" s="952"/>
      <c r="G1252" s="950"/>
      <c r="H1252" s="953"/>
      <c r="I1252" s="3"/>
      <c r="J1252" s="3"/>
      <c r="K1252" s="955"/>
      <c r="L1252" s="956"/>
      <c r="M1252" s="956"/>
      <c r="N1252" s="3"/>
      <c r="O1252" s="955"/>
      <c r="P1252" s="957"/>
      <c r="Q1252" s="958"/>
    </row>
    <row r="1253">
      <c r="A1253" s="3"/>
      <c r="B1253" s="950"/>
      <c r="C1253" s="584"/>
      <c r="D1253" s="584"/>
      <c r="E1253" s="951"/>
      <c r="F1253" s="952"/>
      <c r="G1253" s="950"/>
      <c r="H1253" s="953"/>
      <c r="I1253" s="3"/>
      <c r="J1253" s="3"/>
      <c r="K1253" s="955"/>
      <c r="L1253" s="956"/>
      <c r="M1253" s="956"/>
      <c r="N1253" s="3"/>
      <c r="O1253" s="955"/>
      <c r="P1253" s="957"/>
      <c r="Q1253" s="958"/>
    </row>
    <row r="1254">
      <c r="A1254" s="3"/>
      <c r="B1254" s="950"/>
      <c r="C1254" s="584"/>
      <c r="D1254" s="584"/>
      <c r="E1254" s="951"/>
      <c r="F1254" s="952"/>
      <c r="G1254" s="950"/>
      <c r="H1254" s="953"/>
      <c r="I1254" s="3"/>
      <c r="J1254" s="3"/>
      <c r="K1254" s="955"/>
      <c r="L1254" s="956"/>
      <c r="M1254" s="956"/>
      <c r="N1254" s="3"/>
      <c r="O1254" s="955"/>
      <c r="P1254" s="957"/>
      <c r="Q1254" s="958"/>
    </row>
    <row r="1255">
      <c r="A1255" s="3"/>
      <c r="B1255" s="950"/>
      <c r="C1255" s="584"/>
      <c r="D1255" s="584"/>
      <c r="E1255" s="951"/>
      <c r="F1255" s="952"/>
      <c r="G1255" s="950"/>
      <c r="H1255" s="953"/>
      <c r="I1255" s="3"/>
      <c r="J1255" s="3"/>
      <c r="K1255" s="955"/>
      <c r="L1255" s="956"/>
      <c r="M1255" s="956"/>
      <c r="N1255" s="3"/>
      <c r="O1255" s="955"/>
      <c r="P1255" s="957"/>
      <c r="Q1255" s="958"/>
    </row>
    <row r="1256">
      <c r="A1256" s="3"/>
      <c r="B1256" s="950"/>
      <c r="C1256" s="584"/>
      <c r="D1256" s="584"/>
      <c r="E1256" s="951"/>
      <c r="F1256" s="952"/>
      <c r="G1256" s="950"/>
      <c r="H1256" s="953"/>
      <c r="I1256" s="3"/>
      <c r="J1256" s="3"/>
      <c r="K1256" s="955"/>
      <c r="L1256" s="956"/>
      <c r="M1256" s="956"/>
      <c r="N1256" s="3"/>
      <c r="O1256" s="955"/>
      <c r="P1256" s="957"/>
      <c r="Q1256" s="958"/>
    </row>
    <row r="1257">
      <c r="A1257" s="3"/>
      <c r="B1257" s="950"/>
      <c r="C1257" s="584"/>
      <c r="D1257" s="584"/>
      <c r="E1257" s="951"/>
      <c r="F1257" s="952"/>
      <c r="G1257" s="950"/>
      <c r="H1257" s="953"/>
      <c r="I1257" s="3"/>
      <c r="J1257" s="3"/>
      <c r="K1257" s="955"/>
      <c r="L1257" s="956"/>
      <c r="M1257" s="956"/>
      <c r="N1257" s="3"/>
      <c r="O1257" s="955"/>
      <c r="P1257" s="957"/>
      <c r="Q1257" s="958"/>
    </row>
    <row r="1258">
      <c r="A1258" s="3"/>
      <c r="B1258" s="950"/>
      <c r="C1258" s="584"/>
      <c r="D1258" s="584"/>
      <c r="E1258" s="951"/>
      <c r="F1258" s="952"/>
      <c r="G1258" s="950"/>
      <c r="H1258" s="953"/>
      <c r="I1258" s="3"/>
      <c r="J1258" s="3"/>
      <c r="K1258" s="955"/>
      <c r="L1258" s="956"/>
      <c r="M1258" s="956"/>
      <c r="N1258" s="3"/>
      <c r="O1258" s="955"/>
      <c r="P1258" s="957"/>
      <c r="Q1258" s="958"/>
    </row>
    <row r="1259">
      <c r="A1259" s="3"/>
      <c r="B1259" s="950"/>
      <c r="C1259" s="584"/>
      <c r="D1259" s="584"/>
      <c r="E1259" s="951"/>
      <c r="F1259" s="952"/>
      <c r="G1259" s="950"/>
      <c r="H1259" s="953"/>
      <c r="I1259" s="3"/>
      <c r="J1259" s="3"/>
      <c r="K1259" s="955"/>
      <c r="L1259" s="956"/>
      <c r="M1259" s="956"/>
      <c r="N1259" s="3"/>
      <c r="O1259" s="955"/>
      <c r="P1259" s="957"/>
      <c r="Q1259" s="958"/>
    </row>
    <row r="1260">
      <c r="A1260" s="3"/>
      <c r="B1260" s="950"/>
      <c r="C1260" s="584"/>
      <c r="D1260" s="584"/>
      <c r="E1260" s="951"/>
      <c r="F1260" s="952"/>
      <c r="G1260" s="950"/>
      <c r="H1260" s="953"/>
      <c r="I1260" s="3"/>
      <c r="J1260" s="3"/>
      <c r="K1260" s="955"/>
      <c r="L1260" s="956"/>
      <c r="M1260" s="956"/>
      <c r="N1260" s="3"/>
      <c r="O1260" s="955"/>
      <c r="P1260" s="957"/>
      <c r="Q1260" s="958"/>
    </row>
    <row r="1261">
      <c r="A1261" s="3"/>
      <c r="B1261" s="950"/>
      <c r="C1261" s="584"/>
      <c r="D1261" s="584"/>
      <c r="E1261" s="951"/>
      <c r="F1261" s="952"/>
      <c r="G1261" s="950"/>
      <c r="H1261" s="953"/>
      <c r="I1261" s="3"/>
      <c r="J1261" s="3"/>
      <c r="K1261" s="955"/>
      <c r="L1261" s="956"/>
      <c r="M1261" s="956"/>
      <c r="N1261" s="3"/>
      <c r="O1261" s="955"/>
      <c r="P1261" s="957"/>
      <c r="Q1261" s="958"/>
    </row>
    <row r="1262">
      <c r="A1262" s="3"/>
      <c r="B1262" s="950"/>
      <c r="C1262" s="584"/>
      <c r="D1262" s="584"/>
      <c r="E1262" s="951"/>
      <c r="F1262" s="952"/>
      <c r="G1262" s="950"/>
      <c r="H1262" s="953"/>
      <c r="I1262" s="3"/>
      <c r="J1262" s="3"/>
      <c r="K1262" s="955"/>
      <c r="L1262" s="956"/>
      <c r="M1262" s="956"/>
      <c r="N1262" s="3"/>
      <c r="O1262" s="955"/>
      <c r="P1262" s="957"/>
      <c r="Q1262" s="958"/>
    </row>
    <row r="1263">
      <c r="A1263" s="3"/>
      <c r="B1263" s="950"/>
      <c r="C1263" s="584"/>
      <c r="D1263" s="584"/>
      <c r="E1263" s="951"/>
      <c r="F1263" s="952"/>
      <c r="G1263" s="950"/>
      <c r="H1263" s="953"/>
      <c r="I1263" s="3"/>
      <c r="J1263" s="3"/>
      <c r="K1263" s="955"/>
      <c r="L1263" s="956"/>
      <c r="M1263" s="956"/>
      <c r="N1263" s="3"/>
      <c r="O1263" s="955"/>
      <c r="P1263" s="957"/>
      <c r="Q1263" s="958"/>
    </row>
    <row r="1264">
      <c r="A1264" s="3"/>
      <c r="B1264" s="950"/>
      <c r="C1264" s="584"/>
      <c r="D1264" s="584"/>
      <c r="E1264" s="951"/>
      <c r="F1264" s="952"/>
      <c r="G1264" s="950"/>
      <c r="H1264" s="953"/>
      <c r="I1264" s="3"/>
      <c r="J1264" s="3"/>
      <c r="K1264" s="955"/>
      <c r="L1264" s="956"/>
      <c r="M1264" s="956"/>
      <c r="N1264" s="3"/>
      <c r="O1264" s="955"/>
      <c r="P1264" s="957"/>
      <c r="Q1264" s="958"/>
    </row>
    <row r="1265">
      <c r="A1265" s="3"/>
      <c r="B1265" s="950"/>
      <c r="C1265" s="584"/>
      <c r="D1265" s="584"/>
      <c r="E1265" s="951"/>
      <c r="F1265" s="952"/>
      <c r="G1265" s="950"/>
      <c r="H1265" s="953"/>
      <c r="I1265" s="3"/>
      <c r="J1265" s="3"/>
      <c r="K1265" s="955"/>
      <c r="L1265" s="956"/>
      <c r="M1265" s="956"/>
      <c r="N1265" s="3"/>
      <c r="O1265" s="955"/>
      <c r="P1265" s="957"/>
      <c r="Q1265" s="958"/>
    </row>
    <row r="1266">
      <c r="A1266" s="3"/>
      <c r="B1266" s="950"/>
      <c r="C1266" s="584"/>
      <c r="D1266" s="584"/>
      <c r="E1266" s="951"/>
      <c r="F1266" s="952"/>
      <c r="G1266" s="950"/>
      <c r="H1266" s="953"/>
      <c r="I1266" s="3"/>
      <c r="J1266" s="3"/>
      <c r="K1266" s="955"/>
      <c r="L1266" s="956"/>
      <c r="M1266" s="956"/>
      <c r="N1266" s="3"/>
      <c r="O1266" s="955"/>
      <c r="P1266" s="957"/>
      <c r="Q1266" s="958"/>
    </row>
    <row r="1267">
      <c r="A1267" s="3"/>
      <c r="B1267" s="950"/>
      <c r="C1267" s="584"/>
      <c r="D1267" s="584"/>
      <c r="E1267" s="951"/>
      <c r="F1267" s="952"/>
      <c r="G1267" s="950"/>
      <c r="H1267" s="953"/>
      <c r="I1267" s="3"/>
      <c r="J1267" s="3"/>
      <c r="K1267" s="955"/>
      <c r="L1267" s="956"/>
      <c r="M1267" s="956"/>
      <c r="N1267" s="3"/>
      <c r="O1267" s="955"/>
      <c r="P1267" s="957"/>
      <c r="Q1267" s="958"/>
    </row>
    <row r="1268">
      <c r="A1268" s="3"/>
      <c r="B1268" s="950"/>
      <c r="C1268" s="584"/>
      <c r="D1268" s="584"/>
      <c r="E1268" s="951"/>
      <c r="F1268" s="952"/>
      <c r="G1268" s="950"/>
      <c r="H1268" s="953"/>
      <c r="I1268" s="3"/>
      <c r="J1268" s="3"/>
      <c r="K1268" s="955"/>
      <c r="L1268" s="956"/>
      <c r="M1268" s="956"/>
      <c r="N1268" s="3"/>
      <c r="O1268" s="955"/>
      <c r="P1268" s="957"/>
      <c r="Q1268" s="958"/>
    </row>
    <row r="1269">
      <c r="A1269" s="3"/>
      <c r="B1269" s="950"/>
      <c r="C1269" s="584"/>
      <c r="D1269" s="584"/>
      <c r="E1269" s="951"/>
      <c r="F1269" s="952"/>
      <c r="G1269" s="950"/>
      <c r="H1269" s="953"/>
      <c r="I1269" s="3"/>
      <c r="J1269" s="3"/>
      <c r="K1269" s="955"/>
      <c r="L1269" s="956"/>
      <c r="M1269" s="956"/>
      <c r="N1269" s="3"/>
      <c r="O1269" s="955"/>
      <c r="P1269" s="957"/>
      <c r="Q1269" s="958"/>
    </row>
    <row r="1270">
      <c r="A1270" s="3"/>
      <c r="B1270" s="950"/>
      <c r="C1270" s="584"/>
      <c r="D1270" s="584"/>
      <c r="E1270" s="951"/>
      <c r="F1270" s="952"/>
      <c r="G1270" s="950"/>
      <c r="H1270" s="953"/>
      <c r="I1270" s="3"/>
      <c r="J1270" s="3"/>
      <c r="K1270" s="955"/>
      <c r="L1270" s="956"/>
      <c r="M1270" s="956"/>
      <c r="N1270" s="3"/>
      <c r="O1270" s="955"/>
      <c r="P1270" s="957"/>
      <c r="Q1270" s="958"/>
    </row>
    <row r="1271">
      <c r="A1271" s="3"/>
      <c r="B1271" s="950"/>
      <c r="C1271" s="584"/>
      <c r="D1271" s="584"/>
      <c r="E1271" s="951"/>
      <c r="F1271" s="952"/>
      <c r="G1271" s="950"/>
      <c r="H1271" s="953"/>
      <c r="I1271" s="3"/>
      <c r="J1271" s="3"/>
      <c r="K1271" s="955"/>
      <c r="L1271" s="956"/>
      <c r="M1271" s="956"/>
      <c r="N1271" s="3"/>
      <c r="O1271" s="955"/>
      <c r="P1271" s="957"/>
      <c r="Q1271" s="958"/>
    </row>
    <row r="1272">
      <c r="A1272" s="3"/>
      <c r="B1272" s="950"/>
      <c r="C1272" s="584"/>
      <c r="D1272" s="584"/>
      <c r="E1272" s="951"/>
      <c r="F1272" s="952"/>
      <c r="G1272" s="950"/>
      <c r="H1272" s="953"/>
      <c r="I1272" s="3"/>
      <c r="J1272" s="3"/>
      <c r="K1272" s="955"/>
      <c r="L1272" s="956"/>
      <c r="M1272" s="956"/>
      <c r="N1272" s="3"/>
      <c r="O1272" s="955"/>
      <c r="P1272" s="957"/>
      <c r="Q1272" s="958"/>
    </row>
    <row r="1273">
      <c r="A1273" s="3"/>
      <c r="B1273" s="950"/>
      <c r="C1273" s="584"/>
      <c r="D1273" s="584"/>
      <c r="E1273" s="951"/>
      <c r="F1273" s="952"/>
      <c r="G1273" s="950"/>
      <c r="H1273" s="953"/>
      <c r="I1273" s="3"/>
      <c r="J1273" s="3"/>
      <c r="K1273" s="955"/>
      <c r="L1273" s="956"/>
      <c r="M1273" s="956"/>
      <c r="N1273" s="3"/>
      <c r="O1273" s="955"/>
      <c r="P1273" s="957"/>
      <c r="Q1273" s="958"/>
    </row>
    <row r="1274">
      <c r="A1274" s="3"/>
      <c r="B1274" s="950"/>
      <c r="C1274" s="584"/>
      <c r="D1274" s="584"/>
      <c r="E1274" s="951"/>
      <c r="F1274" s="952"/>
      <c r="G1274" s="950"/>
      <c r="H1274" s="953"/>
      <c r="I1274" s="3"/>
      <c r="J1274" s="3"/>
      <c r="K1274" s="955"/>
      <c r="L1274" s="956"/>
      <c r="M1274" s="956"/>
      <c r="N1274" s="3"/>
      <c r="O1274" s="955"/>
      <c r="P1274" s="957"/>
      <c r="Q1274" s="958"/>
    </row>
    <row r="1275">
      <c r="A1275" s="3"/>
      <c r="B1275" s="950"/>
      <c r="C1275" s="584"/>
      <c r="D1275" s="584"/>
      <c r="E1275" s="951"/>
      <c r="F1275" s="952"/>
      <c r="G1275" s="950"/>
      <c r="H1275" s="953"/>
      <c r="I1275" s="3"/>
      <c r="J1275" s="3"/>
      <c r="K1275" s="955"/>
      <c r="L1275" s="956"/>
      <c r="M1275" s="956"/>
      <c r="N1275" s="3"/>
      <c r="O1275" s="955"/>
      <c r="P1275" s="957"/>
      <c r="Q1275" s="958"/>
    </row>
    <row r="1276">
      <c r="A1276" s="3"/>
      <c r="B1276" s="950"/>
      <c r="C1276" s="584"/>
      <c r="D1276" s="584"/>
      <c r="E1276" s="951"/>
      <c r="F1276" s="952"/>
      <c r="G1276" s="950"/>
      <c r="H1276" s="953"/>
      <c r="I1276" s="3"/>
      <c r="J1276" s="3"/>
      <c r="K1276" s="955"/>
      <c r="L1276" s="956"/>
      <c r="M1276" s="956"/>
      <c r="N1276" s="3"/>
      <c r="O1276" s="955"/>
      <c r="P1276" s="957"/>
      <c r="Q1276" s="958"/>
    </row>
    <row r="1277">
      <c r="A1277" s="3"/>
      <c r="B1277" s="950"/>
      <c r="C1277" s="584"/>
      <c r="D1277" s="584"/>
      <c r="E1277" s="951"/>
      <c r="F1277" s="952"/>
      <c r="G1277" s="950"/>
      <c r="H1277" s="953"/>
      <c r="I1277" s="3"/>
      <c r="J1277" s="3"/>
      <c r="K1277" s="955"/>
      <c r="L1277" s="956"/>
      <c r="M1277" s="956"/>
      <c r="N1277" s="3"/>
      <c r="O1277" s="955"/>
      <c r="P1277" s="957"/>
      <c r="Q1277" s="958"/>
    </row>
    <row r="1278">
      <c r="A1278" s="3"/>
      <c r="B1278" s="950"/>
      <c r="C1278" s="584"/>
      <c r="D1278" s="584"/>
      <c r="E1278" s="951"/>
      <c r="F1278" s="952"/>
      <c r="G1278" s="950"/>
      <c r="H1278" s="953"/>
      <c r="I1278" s="3"/>
      <c r="J1278" s="3"/>
      <c r="K1278" s="955"/>
      <c r="L1278" s="956"/>
      <c r="M1278" s="956"/>
      <c r="N1278" s="3"/>
      <c r="O1278" s="955"/>
      <c r="P1278" s="957"/>
      <c r="Q1278" s="958"/>
    </row>
    <row r="1279">
      <c r="A1279" s="3"/>
      <c r="B1279" s="950"/>
      <c r="C1279" s="584"/>
      <c r="D1279" s="584"/>
      <c r="E1279" s="951"/>
      <c r="F1279" s="952"/>
      <c r="G1279" s="950"/>
      <c r="H1279" s="953"/>
      <c r="I1279" s="3"/>
      <c r="J1279" s="3"/>
      <c r="K1279" s="955"/>
      <c r="L1279" s="956"/>
      <c r="M1279" s="956"/>
      <c r="N1279" s="3"/>
      <c r="O1279" s="955"/>
      <c r="P1279" s="957"/>
      <c r="Q1279" s="958"/>
    </row>
    <row r="1280">
      <c r="A1280" s="3"/>
      <c r="B1280" s="950"/>
      <c r="C1280" s="584"/>
      <c r="D1280" s="584"/>
      <c r="E1280" s="951"/>
      <c r="F1280" s="952"/>
      <c r="G1280" s="950"/>
      <c r="H1280" s="953"/>
      <c r="I1280" s="3"/>
      <c r="J1280" s="3"/>
      <c r="K1280" s="955"/>
      <c r="L1280" s="956"/>
      <c r="M1280" s="956"/>
      <c r="N1280" s="3"/>
      <c r="O1280" s="955"/>
      <c r="P1280" s="957"/>
      <c r="Q1280" s="958"/>
    </row>
    <row r="1281">
      <c r="A1281" s="3"/>
      <c r="B1281" s="950"/>
      <c r="C1281" s="584"/>
      <c r="D1281" s="584"/>
      <c r="E1281" s="951"/>
      <c r="F1281" s="952"/>
      <c r="G1281" s="950"/>
      <c r="H1281" s="953"/>
      <c r="I1281" s="3"/>
      <c r="J1281" s="3"/>
      <c r="K1281" s="955"/>
      <c r="L1281" s="956"/>
      <c r="M1281" s="956"/>
      <c r="N1281" s="3"/>
      <c r="O1281" s="955"/>
      <c r="P1281" s="957"/>
      <c r="Q1281" s="958"/>
    </row>
    <row r="1282">
      <c r="A1282" s="3"/>
      <c r="B1282" s="950"/>
      <c r="C1282" s="584"/>
      <c r="D1282" s="584"/>
      <c r="E1282" s="951"/>
      <c r="F1282" s="952"/>
      <c r="G1282" s="950"/>
      <c r="H1282" s="953"/>
      <c r="I1282" s="3"/>
      <c r="J1282" s="3"/>
      <c r="K1282" s="955"/>
      <c r="L1282" s="956"/>
      <c r="M1282" s="956"/>
      <c r="N1282" s="3"/>
      <c r="O1282" s="955"/>
      <c r="P1282" s="957"/>
      <c r="Q1282" s="958"/>
    </row>
    <row r="1283">
      <c r="A1283" s="3"/>
      <c r="B1283" s="950"/>
      <c r="C1283" s="584"/>
      <c r="D1283" s="584"/>
      <c r="E1283" s="951"/>
      <c r="F1283" s="952"/>
      <c r="G1283" s="950"/>
      <c r="H1283" s="953"/>
      <c r="I1283" s="3"/>
      <c r="J1283" s="3"/>
      <c r="K1283" s="955"/>
      <c r="L1283" s="956"/>
      <c r="M1283" s="956"/>
      <c r="N1283" s="3"/>
      <c r="O1283" s="955"/>
      <c r="P1283" s="957"/>
      <c r="Q1283" s="958"/>
    </row>
    <row r="1284">
      <c r="A1284" s="3"/>
      <c r="B1284" s="950"/>
      <c r="C1284" s="584"/>
      <c r="D1284" s="584"/>
      <c r="E1284" s="951"/>
      <c r="F1284" s="952"/>
      <c r="G1284" s="950"/>
      <c r="H1284" s="953"/>
      <c r="I1284" s="3"/>
      <c r="J1284" s="3"/>
      <c r="K1284" s="955"/>
      <c r="L1284" s="956"/>
      <c r="M1284" s="956"/>
      <c r="N1284" s="3"/>
      <c r="O1284" s="955"/>
      <c r="P1284" s="957"/>
      <c r="Q1284" s="958"/>
    </row>
    <row r="1285">
      <c r="A1285" s="3"/>
      <c r="B1285" s="950"/>
      <c r="C1285" s="584"/>
      <c r="D1285" s="584"/>
      <c r="E1285" s="951"/>
      <c r="F1285" s="952"/>
      <c r="G1285" s="950"/>
      <c r="H1285" s="953"/>
      <c r="I1285" s="3"/>
      <c r="J1285" s="3"/>
      <c r="K1285" s="955"/>
      <c r="L1285" s="956"/>
      <c r="M1285" s="956"/>
      <c r="N1285" s="3"/>
      <c r="O1285" s="955"/>
      <c r="P1285" s="957"/>
      <c r="Q1285" s="958"/>
    </row>
    <row r="1286">
      <c r="A1286" s="3"/>
      <c r="B1286" s="950"/>
      <c r="C1286" s="584"/>
      <c r="D1286" s="584"/>
      <c r="E1286" s="951"/>
      <c r="F1286" s="952"/>
      <c r="G1286" s="950"/>
      <c r="H1286" s="953"/>
      <c r="I1286" s="3"/>
      <c r="J1286" s="3"/>
      <c r="K1286" s="955"/>
      <c r="L1286" s="956"/>
      <c r="M1286" s="956"/>
      <c r="N1286" s="3"/>
      <c r="O1286" s="955"/>
      <c r="P1286" s="957"/>
      <c r="Q1286" s="958"/>
    </row>
    <row r="1287">
      <c r="A1287" s="3"/>
      <c r="B1287" s="950"/>
      <c r="C1287" s="584"/>
      <c r="D1287" s="584"/>
      <c r="E1287" s="951"/>
      <c r="F1287" s="952"/>
      <c r="G1287" s="950"/>
      <c r="H1287" s="953"/>
      <c r="I1287" s="3"/>
      <c r="J1287" s="3"/>
      <c r="K1287" s="955"/>
      <c r="L1287" s="956"/>
      <c r="M1287" s="956"/>
      <c r="N1287" s="3"/>
      <c r="O1287" s="955"/>
      <c r="P1287" s="957"/>
      <c r="Q1287" s="958"/>
    </row>
    <row r="1288">
      <c r="A1288" s="3"/>
      <c r="B1288" s="950"/>
      <c r="C1288" s="584"/>
      <c r="D1288" s="584"/>
      <c r="E1288" s="951"/>
      <c r="F1288" s="952"/>
      <c r="G1288" s="950"/>
      <c r="H1288" s="953"/>
      <c r="I1288" s="3"/>
      <c r="J1288" s="3"/>
      <c r="K1288" s="955"/>
      <c r="L1288" s="956"/>
      <c r="M1288" s="956"/>
      <c r="N1288" s="3"/>
      <c r="O1288" s="955"/>
      <c r="P1288" s="957"/>
      <c r="Q1288" s="958"/>
    </row>
    <row r="1289">
      <c r="A1289" s="3"/>
      <c r="B1289" s="950"/>
      <c r="C1289" s="584"/>
      <c r="D1289" s="584"/>
      <c r="E1289" s="951"/>
      <c r="F1289" s="952"/>
      <c r="G1289" s="950"/>
      <c r="H1289" s="953"/>
      <c r="I1289" s="3"/>
      <c r="J1289" s="3"/>
      <c r="K1289" s="955"/>
      <c r="L1289" s="956"/>
      <c r="M1289" s="956"/>
      <c r="N1289" s="3"/>
      <c r="O1289" s="955"/>
      <c r="P1289" s="957"/>
      <c r="Q1289" s="958"/>
    </row>
    <row r="1290">
      <c r="A1290" s="3"/>
      <c r="B1290" s="950"/>
      <c r="C1290" s="584"/>
      <c r="D1290" s="584"/>
      <c r="E1290" s="951"/>
      <c r="F1290" s="952"/>
      <c r="G1290" s="950"/>
      <c r="H1290" s="953"/>
      <c r="I1290" s="3"/>
      <c r="J1290" s="3"/>
      <c r="K1290" s="955"/>
      <c r="L1290" s="956"/>
      <c r="M1290" s="956"/>
      <c r="N1290" s="3"/>
      <c r="O1290" s="955"/>
      <c r="P1290" s="957"/>
      <c r="Q1290" s="958"/>
    </row>
    <row r="1291">
      <c r="A1291" s="3"/>
      <c r="B1291" s="950"/>
      <c r="C1291" s="584"/>
      <c r="D1291" s="584"/>
      <c r="E1291" s="951"/>
      <c r="F1291" s="952"/>
      <c r="G1291" s="950"/>
      <c r="H1291" s="953"/>
      <c r="I1291" s="3"/>
      <c r="J1291" s="3"/>
      <c r="K1291" s="955"/>
      <c r="L1291" s="956"/>
      <c r="M1291" s="956"/>
      <c r="N1291" s="3"/>
      <c r="O1291" s="955"/>
      <c r="P1291" s="957"/>
      <c r="Q1291" s="958"/>
    </row>
    <row r="1292">
      <c r="A1292" s="3"/>
      <c r="B1292" s="950"/>
      <c r="C1292" s="584"/>
      <c r="D1292" s="584"/>
      <c r="E1292" s="951"/>
      <c r="F1292" s="952"/>
      <c r="G1292" s="950"/>
      <c r="H1292" s="953"/>
      <c r="I1292" s="3"/>
      <c r="J1292" s="3"/>
      <c r="K1292" s="955"/>
      <c r="L1292" s="956"/>
      <c r="M1292" s="956"/>
      <c r="N1292" s="3"/>
      <c r="O1292" s="955"/>
      <c r="P1292" s="957"/>
      <c r="Q1292" s="958"/>
    </row>
    <row r="1293">
      <c r="A1293" s="3"/>
      <c r="B1293" s="950"/>
      <c r="C1293" s="584"/>
      <c r="D1293" s="584"/>
      <c r="E1293" s="951"/>
      <c r="F1293" s="952"/>
      <c r="G1293" s="950"/>
      <c r="H1293" s="953"/>
      <c r="I1293" s="3"/>
      <c r="J1293" s="3"/>
      <c r="K1293" s="955"/>
      <c r="L1293" s="956"/>
      <c r="M1293" s="956"/>
      <c r="N1293" s="3"/>
      <c r="O1293" s="955"/>
      <c r="P1293" s="957"/>
      <c r="Q1293" s="958"/>
    </row>
    <row r="1294">
      <c r="A1294" s="3"/>
      <c r="B1294" s="950"/>
      <c r="C1294" s="584"/>
      <c r="D1294" s="584"/>
      <c r="E1294" s="951"/>
      <c r="F1294" s="952"/>
      <c r="G1294" s="950"/>
      <c r="H1294" s="953"/>
      <c r="I1294" s="3"/>
      <c r="J1294" s="3"/>
      <c r="K1294" s="955"/>
      <c r="L1294" s="956"/>
      <c r="M1294" s="956"/>
      <c r="N1294" s="3"/>
      <c r="O1294" s="955"/>
      <c r="P1294" s="957"/>
      <c r="Q1294" s="958"/>
    </row>
    <row r="1295">
      <c r="A1295" s="3"/>
      <c r="B1295" s="950"/>
      <c r="C1295" s="584"/>
      <c r="D1295" s="584"/>
      <c r="E1295" s="951"/>
      <c r="F1295" s="952"/>
      <c r="G1295" s="950"/>
      <c r="H1295" s="953"/>
      <c r="I1295" s="3"/>
      <c r="J1295" s="3"/>
      <c r="K1295" s="955"/>
      <c r="L1295" s="956"/>
      <c r="M1295" s="956"/>
      <c r="N1295" s="3"/>
      <c r="O1295" s="955"/>
      <c r="P1295" s="957"/>
      <c r="Q1295" s="958"/>
    </row>
    <row r="1296">
      <c r="A1296" s="3"/>
      <c r="B1296" s="950"/>
      <c r="C1296" s="584"/>
      <c r="D1296" s="584"/>
      <c r="E1296" s="951"/>
      <c r="F1296" s="952"/>
      <c r="G1296" s="950"/>
      <c r="H1296" s="953"/>
      <c r="I1296" s="3"/>
      <c r="J1296" s="3"/>
      <c r="K1296" s="955"/>
      <c r="L1296" s="956"/>
      <c r="M1296" s="956"/>
      <c r="N1296" s="3"/>
      <c r="O1296" s="955"/>
      <c r="P1296" s="957"/>
      <c r="Q1296" s="958"/>
    </row>
    <row r="1297">
      <c r="A1297" s="3"/>
      <c r="B1297" s="950"/>
      <c r="C1297" s="584"/>
      <c r="D1297" s="584"/>
      <c r="E1297" s="951"/>
      <c r="F1297" s="952"/>
      <c r="G1297" s="950"/>
      <c r="H1297" s="953"/>
      <c r="I1297" s="3"/>
      <c r="J1297" s="3"/>
      <c r="K1297" s="955"/>
      <c r="L1297" s="956"/>
      <c r="M1297" s="956"/>
      <c r="N1297" s="3"/>
      <c r="O1297" s="955"/>
      <c r="P1297" s="957"/>
      <c r="Q1297" s="958"/>
    </row>
    <row r="1298">
      <c r="A1298" s="3"/>
      <c r="B1298" s="950"/>
      <c r="C1298" s="584"/>
      <c r="D1298" s="584"/>
      <c r="E1298" s="951"/>
      <c r="F1298" s="952"/>
      <c r="G1298" s="950"/>
      <c r="H1298" s="953"/>
      <c r="I1298" s="3"/>
      <c r="J1298" s="3"/>
      <c r="K1298" s="955"/>
      <c r="L1298" s="956"/>
      <c r="M1298" s="956"/>
      <c r="N1298" s="3"/>
      <c r="O1298" s="955"/>
      <c r="P1298" s="957"/>
      <c r="Q1298" s="958"/>
    </row>
    <row r="1299">
      <c r="A1299" s="3"/>
      <c r="B1299" s="950"/>
      <c r="C1299" s="584"/>
      <c r="D1299" s="584"/>
      <c r="E1299" s="951"/>
      <c r="F1299" s="952"/>
      <c r="G1299" s="950"/>
      <c r="H1299" s="953"/>
      <c r="I1299" s="3"/>
      <c r="J1299" s="3"/>
      <c r="K1299" s="955"/>
      <c r="L1299" s="956"/>
      <c r="M1299" s="956"/>
      <c r="N1299" s="3"/>
      <c r="O1299" s="955"/>
      <c r="P1299" s="957"/>
      <c r="Q1299" s="958"/>
    </row>
    <row r="1300">
      <c r="A1300" s="3"/>
      <c r="B1300" s="950"/>
      <c r="C1300" s="584"/>
      <c r="D1300" s="584"/>
      <c r="E1300" s="951"/>
      <c r="F1300" s="952"/>
      <c r="G1300" s="950"/>
      <c r="H1300" s="953"/>
      <c r="I1300" s="3"/>
      <c r="J1300" s="3"/>
      <c r="K1300" s="955"/>
      <c r="L1300" s="956"/>
      <c r="M1300" s="956"/>
      <c r="N1300" s="3"/>
      <c r="O1300" s="955"/>
      <c r="P1300" s="957"/>
      <c r="Q1300" s="958"/>
    </row>
    <row r="1301">
      <c r="A1301" s="3"/>
      <c r="B1301" s="950"/>
      <c r="C1301" s="584"/>
      <c r="D1301" s="584"/>
      <c r="E1301" s="951"/>
      <c r="F1301" s="952"/>
      <c r="G1301" s="950"/>
      <c r="H1301" s="953"/>
      <c r="I1301" s="3"/>
      <c r="J1301" s="3"/>
      <c r="K1301" s="955"/>
      <c r="L1301" s="956"/>
      <c r="M1301" s="956"/>
      <c r="N1301" s="3"/>
      <c r="O1301" s="955"/>
      <c r="P1301" s="957"/>
      <c r="Q1301" s="958"/>
    </row>
    <row r="1302">
      <c r="A1302" s="3"/>
      <c r="B1302" s="950"/>
      <c r="C1302" s="584"/>
      <c r="D1302" s="584"/>
      <c r="E1302" s="951"/>
      <c r="F1302" s="952"/>
      <c r="G1302" s="950"/>
      <c r="H1302" s="953"/>
      <c r="I1302" s="3"/>
      <c r="J1302" s="3"/>
      <c r="K1302" s="955"/>
      <c r="L1302" s="956"/>
      <c r="M1302" s="956"/>
      <c r="N1302" s="3"/>
      <c r="O1302" s="955"/>
      <c r="P1302" s="957"/>
      <c r="Q1302" s="958"/>
    </row>
    <row r="1303">
      <c r="A1303" s="3"/>
      <c r="B1303" s="950"/>
      <c r="C1303" s="584"/>
      <c r="D1303" s="584"/>
      <c r="E1303" s="951"/>
      <c r="F1303" s="952"/>
      <c r="G1303" s="950"/>
      <c r="H1303" s="953"/>
      <c r="I1303" s="3"/>
      <c r="J1303" s="3"/>
      <c r="K1303" s="955"/>
      <c r="L1303" s="956"/>
      <c r="M1303" s="956"/>
      <c r="N1303" s="3"/>
      <c r="O1303" s="955"/>
      <c r="P1303" s="957"/>
      <c r="Q1303" s="958"/>
    </row>
    <row r="1304">
      <c r="A1304" s="3"/>
      <c r="B1304" s="950"/>
      <c r="C1304" s="584"/>
      <c r="D1304" s="584"/>
      <c r="E1304" s="951"/>
      <c r="F1304" s="952"/>
      <c r="G1304" s="950"/>
      <c r="H1304" s="953"/>
      <c r="I1304" s="3"/>
      <c r="J1304" s="3"/>
      <c r="K1304" s="955"/>
      <c r="L1304" s="956"/>
      <c r="M1304" s="956"/>
      <c r="N1304" s="3"/>
      <c r="O1304" s="955"/>
      <c r="P1304" s="957"/>
      <c r="Q1304" s="958"/>
    </row>
    <row r="1305">
      <c r="A1305" s="3"/>
      <c r="B1305" s="950"/>
      <c r="C1305" s="584"/>
      <c r="D1305" s="584"/>
      <c r="E1305" s="951"/>
      <c r="F1305" s="952"/>
      <c r="G1305" s="950"/>
      <c r="H1305" s="953"/>
      <c r="I1305" s="3"/>
      <c r="J1305" s="3"/>
      <c r="K1305" s="955"/>
      <c r="L1305" s="956"/>
      <c r="M1305" s="956"/>
      <c r="N1305" s="3"/>
      <c r="O1305" s="955"/>
      <c r="P1305" s="957"/>
      <c r="Q1305" s="958"/>
    </row>
    <row r="1306">
      <c r="A1306" s="3"/>
      <c r="B1306" s="950"/>
      <c r="C1306" s="584"/>
      <c r="D1306" s="584"/>
      <c r="E1306" s="951"/>
      <c r="F1306" s="952"/>
      <c r="G1306" s="950"/>
      <c r="H1306" s="953"/>
      <c r="I1306" s="3"/>
      <c r="J1306" s="3"/>
      <c r="K1306" s="955"/>
      <c r="L1306" s="956"/>
      <c r="M1306" s="956"/>
      <c r="N1306" s="3"/>
      <c r="O1306" s="955"/>
      <c r="P1306" s="957"/>
      <c r="Q1306" s="958"/>
    </row>
    <row r="1307">
      <c r="A1307" s="3"/>
      <c r="B1307" s="950"/>
      <c r="C1307" s="584"/>
      <c r="D1307" s="584"/>
      <c r="E1307" s="951"/>
      <c r="F1307" s="952"/>
      <c r="G1307" s="950"/>
      <c r="H1307" s="953"/>
      <c r="I1307" s="3"/>
      <c r="J1307" s="3"/>
      <c r="K1307" s="955"/>
      <c r="L1307" s="956"/>
      <c r="M1307" s="956"/>
      <c r="N1307" s="3"/>
      <c r="O1307" s="955"/>
      <c r="P1307" s="957"/>
      <c r="Q1307" s="958"/>
    </row>
    <row r="1308">
      <c r="A1308" s="3"/>
      <c r="B1308" s="950"/>
      <c r="C1308" s="584"/>
      <c r="D1308" s="584"/>
      <c r="E1308" s="951"/>
      <c r="F1308" s="952"/>
      <c r="G1308" s="950"/>
      <c r="H1308" s="953"/>
      <c r="I1308" s="3"/>
      <c r="J1308" s="3"/>
      <c r="K1308" s="955"/>
      <c r="L1308" s="956"/>
      <c r="M1308" s="956"/>
      <c r="N1308" s="3"/>
      <c r="O1308" s="955"/>
      <c r="P1308" s="957"/>
      <c r="Q1308" s="958"/>
    </row>
    <row r="1309">
      <c r="A1309" s="3"/>
      <c r="B1309" s="950"/>
      <c r="C1309" s="584"/>
      <c r="D1309" s="584"/>
      <c r="E1309" s="951"/>
      <c r="F1309" s="952"/>
      <c r="G1309" s="950"/>
      <c r="H1309" s="953"/>
      <c r="I1309" s="3"/>
      <c r="J1309" s="3"/>
      <c r="K1309" s="955"/>
      <c r="L1309" s="956"/>
      <c r="M1309" s="956"/>
      <c r="N1309" s="3"/>
      <c r="O1309" s="955"/>
      <c r="P1309" s="957"/>
      <c r="Q1309" s="958"/>
    </row>
    <row r="1310">
      <c r="A1310" s="3"/>
      <c r="B1310" s="950"/>
      <c r="C1310" s="584"/>
      <c r="D1310" s="584"/>
      <c r="E1310" s="951"/>
      <c r="F1310" s="952"/>
      <c r="G1310" s="950"/>
      <c r="H1310" s="953"/>
      <c r="I1310" s="3"/>
      <c r="J1310" s="3"/>
      <c r="K1310" s="955"/>
      <c r="L1310" s="956"/>
      <c r="M1310" s="956"/>
      <c r="N1310" s="3"/>
      <c r="O1310" s="955"/>
      <c r="P1310" s="957"/>
      <c r="Q1310" s="958"/>
    </row>
    <row r="1311">
      <c r="A1311" s="3"/>
      <c r="B1311" s="950"/>
      <c r="C1311" s="584"/>
      <c r="D1311" s="584"/>
      <c r="E1311" s="951"/>
      <c r="F1311" s="952"/>
      <c r="G1311" s="950"/>
      <c r="H1311" s="953"/>
      <c r="I1311" s="3"/>
      <c r="J1311" s="3"/>
      <c r="K1311" s="955"/>
      <c r="L1311" s="956"/>
      <c r="M1311" s="956"/>
      <c r="N1311" s="3"/>
      <c r="O1311" s="955"/>
      <c r="P1311" s="957"/>
      <c r="Q1311" s="958"/>
    </row>
    <row r="1312">
      <c r="A1312" s="3"/>
      <c r="B1312" s="950"/>
      <c r="C1312" s="584"/>
      <c r="D1312" s="584"/>
      <c r="E1312" s="951"/>
      <c r="F1312" s="952"/>
      <c r="G1312" s="950"/>
      <c r="H1312" s="953"/>
      <c r="I1312" s="3"/>
      <c r="J1312" s="3"/>
      <c r="K1312" s="955"/>
      <c r="L1312" s="956"/>
      <c r="M1312" s="956"/>
      <c r="N1312" s="3"/>
      <c r="O1312" s="955"/>
      <c r="P1312" s="957"/>
      <c r="Q1312" s="958"/>
    </row>
    <row r="1313">
      <c r="A1313" s="3"/>
      <c r="B1313" s="950"/>
      <c r="C1313" s="584"/>
      <c r="D1313" s="584"/>
      <c r="E1313" s="951"/>
      <c r="F1313" s="952"/>
      <c r="G1313" s="950"/>
      <c r="H1313" s="953"/>
      <c r="I1313" s="3"/>
      <c r="J1313" s="3"/>
      <c r="K1313" s="955"/>
      <c r="L1313" s="956"/>
      <c r="M1313" s="956"/>
      <c r="N1313" s="3"/>
      <c r="O1313" s="955"/>
      <c r="P1313" s="957"/>
      <c r="Q1313" s="958"/>
    </row>
    <row r="1314">
      <c r="A1314" s="3"/>
      <c r="B1314" s="950"/>
      <c r="C1314" s="584"/>
      <c r="D1314" s="584"/>
      <c r="E1314" s="951"/>
      <c r="F1314" s="952"/>
      <c r="G1314" s="950"/>
      <c r="H1314" s="953"/>
      <c r="I1314" s="3"/>
      <c r="J1314" s="3"/>
      <c r="K1314" s="955"/>
      <c r="L1314" s="956"/>
      <c r="M1314" s="956"/>
      <c r="N1314" s="3"/>
      <c r="O1314" s="955"/>
      <c r="P1314" s="957"/>
      <c r="Q1314" s="958"/>
    </row>
    <row r="1315">
      <c r="A1315" s="3"/>
      <c r="B1315" s="950"/>
      <c r="C1315" s="584"/>
      <c r="D1315" s="584"/>
      <c r="E1315" s="951"/>
      <c r="F1315" s="952"/>
      <c r="G1315" s="950"/>
      <c r="H1315" s="953"/>
      <c r="I1315" s="3"/>
      <c r="J1315" s="3"/>
      <c r="K1315" s="955"/>
      <c r="L1315" s="956"/>
      <c r="M1315" s="956"/>
      <c r="N1315" s="3"/>
      <c r="O1315" s="955"/>
      <c r="P1315" s="957"/>
      <c r="Q1315" s="958"/>
    </row>
    <row r="1316">
      <c r="A1316" s="3"/>
      <c r="B1316" s="950"/>
      <c r="C1316" s="584"/>
      <c r="D1316" s="584"/>
      <c r="E1316" s="951"/>
      <c r="F1316" s="952"/>
      <c r="G1316" s="950"/>
      <c r="H1316" s="953"/>
      <c r="I1316" s="3"/>
      <c r="J1316" s="3"/>
      <c r="K1316" s="955"/>
      <c r="L1316" s="956"/>
      <c r="M1316" s="956"/>
      <c r="N1316" s="3"/>
      <c r="O1316" s="955"/>
      <c r="P1316" s="957"/>
      <c r="Q1316" s="958"/>
    </row>
    <row r="1317">
      <c r="A1317" s="3"/>
      <c r="B1317" s="950"/>
      <c r="C1317" s="584"/>
      <c r="D1317" s="584"/>
      <c r="E1317" s="951"/>
      <c r="F1317" s="952"/>
      <c r="G1317" s="950"/>
      <c r="H1317" s="953"/>
      <c r="I1317" s="3"/>
      <c r="J1317" s="3"/>
      <c r="K1317" s="955"/>
      <c r="L1317" s="956"/>
      <c r="M1317" s="956"/>
      <c r="N1317" s="3"/>
      <c r="O1317" s="955"/>
      <c r="P1317" s="957"/>
      <c r="Q1317" s="958"/>
    </row>
    <row r="1318">
      <c r="A1318" s="3"/>
      <c r="B1318" s="950"/>
      <c r="C1318" s="584"/>
      <c r="D1318" s="584"/>
      <c r="E1318" s="951"/>
      <c r="F1318" s="952"/>
      <c r="G1318" s="950"/>
      <c r="H1318" s="953"/>
      <c r="I1318" s="3"/>
      <c r="J1318" s="3"/>
      <c r="K1318" s="955"/>
      <c r="L1318" s="956"/>
      <c r="M1318" s="956"/>
      <c r="N1318" s="3"/>
      <c r="O1318" s="955"/>
      <c r="P1318" s="957"/>
      <c r="Q1318" s="958"/>
    </row>
    <row r="1319">
      <c r="A1319" s="3"/>
      <c r="B1319" s="950"/>
      <c r="C1319" s="584"/>
      <c r="D1319" s="584"/>
      <c r="E1319" s="951"/>
      <c r="F1319" s="952"/>
      <c r="G1319" s="950"/>
      <c r="H1319" s="953"/>
      <c r="I1319" s="3"/>
      <c r="J1319" s="3"/>
      <c r="K1319" s="955"/>
      <c r="L1319" s="956"/>
      <c r="M1319" s="956"/>
      <c r="N1319" s="3"/>
      <c r="O1319" s="955"/>
      <c r="P1319" s="957"/>
      <c r="Q1319" s="958"/>
    </row>
    <row r="1320">
      <c r="A1320" s="3"/>
      <c r="B1320" s="950"/>
      <c r="C1320" s="584"/>
      <c r="D1320" s="584"/>
      <c r="E1320" s="951"/>
      <c r="F1320" s="952"/>
      <c r="G1320" s="950"/>
      <c r="H1320" s="953"/>
      <c r="I1320" s="3"/>
      <c r="J1320" s="3"/>
      <c r="K1320" s="955"/>
      <c r="L1320" s="956"/>
      <c r="M1320" s="956"/>
      <c r="N1320" s="3"/>
      <c r="O1320" s="955"/>
      <c r="P1320" s="957"/>
      <c r="Q1320" s="958"/>
    </row>
    <row r="1321">
      <c r="A1321" s="3"/>
      <c r="B1321" s="950"/>
      <c r="C1321" s="584"/>
      <c r="D1321" s="584"/>
      <c r="E1321" s="951"/>
      <c r="F1321" s="952"/>
      <c r="G1321" s="950"/>
      <c r="H1321" s="953"/>
      <c r="I1321" s="3"/>
      <c r="J1321" s="3"/>
      <c r="K1321" s="955"/>
      <c r="L1321" s="956"/>
      <c r="M1321" s="956"/>
      <c r="N1321" s="3"/>
      <c r="O1321" s="955"/>
      <c r="P1321" s="957"/>
      <c r="Q1321" s="958"/>
    </row>
    <row r="1322">
      <c r="A1322" s="3"/>
      <c r="B1322" s="950"/>
      <c r="C1322" s="584"/>
      <c r="D1322" s="584"/>
      <c r="E1322" s="951"/>
      <c r="F1322" s="952"/>
      <c r="G1322" s="950"/>
      <c r="H1322" s="953"/>
      <c r="I1322" s="3"/>
      <c r="J1322" s="3"/>
      <c r="K1322" s="955"/>
      <c r="L1322" s="956"/>
      <c r="M1322" s="956"/>
      <c r="N1322" s="3"/>
      <c r="O1322" s="955"/>
      <c r="P1322" s="957"/>
      <c r="Q1322" s="958"/>
    </row>
    <row r="1323">
      <c r="A1323" s="3"/>
      <c r="B1323" s="950"/>
      <c r="C1323" s="584"/>
      <c r="D1323" s="584"/>
      <c r="E1323" s="951"/>
      <c r="F1323" s="952"/>
      <c r="G1323" s="950"/>
      <c r="H1323" s="953"/>
      <c r="I1323" s="3"/>
      <c r="J1323" s="3"/>
      <c r="K1323" s="955"/>
      <c r="L1323" s="956"/>
      <c r="M1323" s="956"/>
      <c r="N1323" s="3"/>
      <c r="O1323" s="955"/>
      <c r="P1323" s="957"/>
      <c r="Q1323" s="958"/>
    </row>
    <row r="1324">
      <c r="A1324" s="3"/>
      <c r="B1324" s="950"/>
      <c r="C1324" s="584"/>
      <c r="D1324" s="584"/>
      <c r="E1324" s="951"/>
      <c r="F1324" s="952"/>
      <c r="G1324" s="950"/>
      <c r="H1324" s="953"/>
      <c r="I1324" s="3"/>
      <c r="J1324" s="3"/>
      <c r="K1324" s="955"/>
      <c r="L1324" s="956"/>
      <c r="M1324" s="956"/>
      <c r="N1324" s="3"/>
      <c r="O1324" s="955"/>
      <c r="P1324" s="957"/>
      <c r="Q1324" s="958"/>
    </row>
    <row r="1325">
      <c r="A1325" s="3"/>
      <c r="B1325" s="950"/>
      <c r="C1325" s="584"/>
      <c r="D1325" s="584"/>
      <c r="E1325" s="951"/>
      <c r="F1325" s="952"/>
      <c r="G1325" s="950"/>
      <c r="H1325" s="953"/>
      <c r="I1325" s="3"/>
      <c r="J1325" s="3"/>
      <c r="K1325" s="955"/>
      <c r="L1325" s="956"/>
      <c r="M1325" s="956"/>
      <c r="N1325" s="3"/>
      <c r="O1325" s="955"/>
      <c r="P1325" s="957"/>
      <c r="Q1325" s="958"/>
    </row>
    <row r="1326">
      <c r="A1326" s="3"/>
      <c r="B1326" s="950"/>
      <c r="C1326" s="584"/>
      <c r="D1326" s="584"/>
      <c r="E1326" s="951"/>
      <c r="F1326" s="952"/>
      <c r="G1326" s="950"/>
      <c r="H1326" s="953"/>
      <c r="I1326" s="3"/>
      <c r="J1326" s="3"/>
      <c r="K1326" s="955"/>
      <c r="L1326" s="956"/>
      <c r="M1326" s="956"/>
      <c r="N1326" s="3"/>
      <c r="O1326" s="955"/>
      <c r="P1326" s="957"/>
      <c r="Q1326" s="958"/>
    </row>
    <row r="1327">
      <c r="A1327" s="3"/>
      <c r="B1327" s="950"/>
      <c r="C1327" s="584"/>
      <c r="D1327" s="584"/>
      <c r="E1327" s="951"/>
      <c r="F1327" s="952"/>
      <c r="G1327" s="950"/>
      <c r="H1327" s="953"/>
      <c r="I1327" s="3"/>
      <c r="J1327" s="3"/>
      <c r="K1327" s="955"/>
      <c r="L1327" s="956"/>
      <c r="M1327" s="956"/>
      <c r="N1327" s="3"/>
      <c r="O1327" s="955"/>
      <c r="P1327" s="957"/>
      <c r="Q1327" s="958"/>
    </row>
    <row r="1328">
      <c r="A1328" s="3"/>
      <c r="B1328" s="950"/>
      <c r="C1328" s="584"/>
      <c r="D1328" s="584"/>
      <c r="E1328" s="951"/>
      <c r="F1328" s="952"/>
      <c r="G1328" s="950"/>
      <c r="H1328" s="953"/>
      <c r="I1328" s="3"/>
      <c r="J1328" s="3"/>
      <c r="K1328" s="955"/>
      <c r="L1328" s="956"/>
      <c r="M1328" s="956"/>
      <c r="N1328" s="3"/>
      <c r="O1328" s="955"/>
      <c r="P1328" s="957"/>
      <c r="Q1328" s="958"/>
    </row>
    <row r="1329">
      <c r="A1329" s="3"/>
      <c r="B1329" s="950"/>
      <c r="C1329" s="584"/>
      <c r="D1329" s="584"/>
      <c r="E1329" s="951"/>
      <c r="F1329" s="952"/>
      <c r="G1329" s="950"/>
      <c r="H1329" s="953"/>
      <c r="I1329" s="3"/>
      <c r="J1329" s="3"/>
      <c r="K1329" s="955"/>
      <c r="L1329" s="956"/>
      <c r="M1329" s="956"/>
      <c r="N1329" s="3"/>
      <c r="O1329" s="955"/>
      <c r="P1329" s="957"/>
      <c r="Q1329" s="958"/>
    </row>
    <row r="1330">
      <c r="A1330" s="3"/>
      <c r="B1330" s="950"/>
      <c r="C1330" s="584"/>
      <c r="D1330" s="584"/>
      <c r="E1330" s="951"/>
      <c r="F1330" s="952"/>
      <c r="G1330" s="950"/>
      <c r="H1330" s="953"/>
      <c r="I1330" s="3"/>
      <c r="J1330" s="3"/>
      <c r="K1330" s="955"/>
      <c r="L1330" s="956"/>
      <c r="M1330" s="956"/>
      <c r="N1330" s="3"/>
      <c r="O1330" s="955"/>
      <c r="P1330" s="957"/>
      <c r="Q1330" s="958"/>
    </row>
    <row r="1331">
      <c r="A1331" s="3"/>
      <c r="B1331" s="950"/>
      <c r="C1331" s="584"/>
      <c r="D1331" s="584"/>
      <c r="E1331" s="951"/>
      <c r="F1331" s="952"/>
      <c r="G1331" s="950"/>
      <c r="H1331" s="953"/>
      <c r="I1331" s="3"/>
      <c r="J1331" s="3"/>
      <c r="K1331" s="955"/>
      <c r="L1331" s="956"/>
      <c r="M1331" s="956"/>
      <c r="N1331" s="3"/>
      <c r="O1331" s="955"/>
      <c r="P1331" s="957"/>
      <c r="Q1331" s="958"/>
    </row>
    <row r="1332">
      <c r="A1332" s="3"/>
      <c r="B1332" s="950"/>
      <c r="C1332" s="584"/>
      <c r="D1332" s="584"/>
      <c r="E1332" s="951"/>
      <c r="F1332" s="952"/>
      <c r="G1332" s="950"/>
      <c r="H1332" s="953"/>
      <c r="I1332" s="3"/>
      <c r="J1332" s="3"/>
      <c r="K1332" s="955"/>
      <c r="L1332" s="956"/>
      <c r="M1332" s="956"/>
      <c r="N1332" s="3"/>
      <c r="O1332" s="955"/>
      <c r="P1332" s="957"/>
      <c r="Q1332" s="958"/>
    </row>
    <row r="1333">
      <c r="A1333" s="3"/>
      <c r="B1333" s="950"/>
      <c r="C1333" s="584"/>
      <c r="D1333" s="584"/>
      <c r="E1333" s="951"/>
      <c r="F1333" s="952"/>
      <c r="G1333" s="950"/>
      <c r="H1333" s="953"/>
      <c r="I1333" s="3"/>
      <c r="J1333" s="3"/>
      <c r="K1333" s="955"/>
      <c r="L1333" s="956"/>
      <c r="M1333" s="956"/>
      <c r="N1333" s="3"/>
      <c r="O1333" s="955"/>
      <c r="P1333" s="957"/>
      <c r="Q1333" s="958"/>
    </row>
    <row r="1334">
      <c r="A1334" s="3"/>
      <c r="B1334" s="950"/>
      <c r="C1334" s="584"/>
      <c r="D1334" s="584"/>
      <c r="E1334" s="951"/>
      <c r="F1334" s="952"/>
      <c r="G1334" s="950"/>
      <c r="H1334" s="953"/>
      <c r="I1334" s="3"/>
      <c r="J1334" s="3"/>
      <c r="K1334" s="955"/>
      <c r="L1334" s="956"/>
      <c r="M1334" s="956"/>
      <c r="N1334" s="3"/>
      <c r="O1334" s="955"/>
      <c r="P1334" s="957"/>
      <c r="Q1334" s="958"/>
    </row>
    <row r="1335">
      <c r="A1335" s="3"/>
      <c r="B1335" s="950"/>
      <c r="C1335" s="584"/>
      <c r="D1335" s="584"/>
      <c r="E1335" s="951"/>
      <c r="F1335" s="952"/>
      <c r="G1335" s="950"/>
      <c r="H1335" s="953"/>
      <c r="I1335" s="3"/>
      <c r="J1335" s="3"/>
      <c r="K1335" s="955"/>
      <c r="L1335" s="956"/>
      <c r="M1335" s="956"/>
      <c r="N1335" s="3"/>
      <c r="O1335" s="955"/>
      <c r="P1335" s="957"/>
      <c r="Q1335" s="958"/>
    </row>
    <row r="1336">
      <c r="A1336" s="3"/>
      <c r="B1336" s="950"/>
      <c r="C1336" s="584"/>
      <c r="D1336" s="584"/>
      <c r="E1336" s="951"/>
      <c r="F1336" s="952"/>
      <c r="G1336" s="950"/>
      <c r="H1336" s="953"/>
      <c r="I1336" s="3"/>
      <c r="J1336" s="3"/>
      <c r="K1336" s="955"/>
      <c r="L1336" s="956"/>
      <c r="M1336" s="956"/>
      <c r="N1336" s="3"/>
      <c r="O1336" s="955"/>
      <c r="P1336" s="957"/>
      <c r="Q1336" s="958"/>
    </row>
    <row r="1337">
      <c r="A1337" s="3"/>
      <c r="B1337" s="950"/>
      <c r="C1337" s="584"/>
      <c r="D1337" s="584"/>
      <c r="E1337" s="951"/>
      <c r="F1337" s="952"/>
      <c r="G1337" s="950"/>
      <c r="H1337" s="953"/>
      <c r="I1337" s="3"/>
      <c r="J1337" s="3"/>
      <c r="K1337" s="955"/>
      <c r="L1337" s="956"/>
      <c r="M1337" s="956"/>
      <c r="N1337" s="3"/>
      <c r="O1337" s="955"/>
      <c r="P1337" s="957"/>
      <c r="Q1337" s="958"/>
    </row>
    <row r="1338">
      <c r="A1338" s="3"/>
      <c r="B1338" s="950"/>
      <c r="C1338" s="584"/>
      <c r="D1338" s="584"/>
      <c r="E1338" s="951"/>
      <c r="F1338" s="952"/>
      <c r="G1338" s="950"/>
      <c r="H1338" s="953"/>
      <c r="I1338" s="3"/>
      <c r="J1338" s="3"/>
      <c r="K1338" s="955"/>
      <c r="L1338" s="956"/>
      <c r="M1338" s="956"/>
      <c r="N1338" s="3"/>
      <c r="O1338" s="955"/>
      <c r="P1338" s="957"/>
      <c r="Q1338" s="958"/>
    </row>
    <row r="1339">
      <c r="A1339" s="3"/>
      <c r="B1339" s="950"/>
      <c r="C1339" s="584"/>
      <c r="D1339" s="584"/>
      <c r="E1339" s="951"/>
      <c r="F1339" s="952"/>
      <c r="G1339" s="950"/>
      <c r="H1339" s="953"/>
      <c r="I1339" s="3"/>
      <c r="J1339" s="3"/>
      <c r="K1339" s="955"/>
      <c r="L1339" s="956"/>
      <c r="M1339" s="956"/>
      <c r="N1339" s="3"/>
      <c r="O1339" s="955"/>
      <c r="P1339" s="957"/>
      <c r="Q1339" s="958"/>
    </row>
    <row r="1340">
      <c r="A1340" s="3"/>
      <c r="B1340" s="950"/>
      <c r="C1340" s="584"/>
      <c r="D1340" s="584"/>
      <c r="E1340" s="951"/>
      <c r="F1340" s="952"/>
      <c r="G1340" s="950"/>
      <c r="H1340" s="953"/>
      <c r="I1340" s="3"/>
      <c r="J1340" s="3"/>
      <c r="K1340" s="955"/>
      <c r="L1340" s="956"/>
      <c r="M1340" s="956"/>
      <c r="N1340" s="3"/>
      <c r="O1340" s="955"/>
      <c r="P1340" s="957"/>
      <c r="Q1340" s="958"/>
    </row>
    <row r="1341">
      <c r="A1341" s="3"/>
      <c r="B1341" s="950"/>
      <c r="C1341" s="584"/>
      <c r="D1341" s="584"/>
      <c r="E1341" s="951"/>
      <c r="F1341" s="952"/>
      <c r="G1341" s="950"/>
      <c r="H1341" s="953"/>
      <c r="I1341" s="3"/>
      <c r="J1341" s="3"/>
      <c r="K1341" s="955"/>
      <c r="L1341" s="956"/>
      <c r="M1341" s="956"/>
      <c r="N1341" s="3"/>
      <c r="O1341" s="955"/>
      <c r="P1341" s="957"/>
      <c r="Q1341" s="958"/>
    </row>
    <row r="1342">
      <c r="A1342" s="3"/>
      <c r="B1342" s="950"/>
      <c r="C1342" s="584"/>
      <c r="D1342" s="584"/>
      <c r="E1342" s="951"/>
      <c r="F1342" s="952"/>
      <c r="G1342" s="950"/>
      <c r="H1342" s="953"/>
      <c r="I1342" s="3"/>
      <c r="J1342" s="3"/>
      <c r="K1342" s="955"/>
      <c r="L1342" s="956"/>
      <c r="M1342" s="956"/>
      <c r="N1342" s="3"/>
      <c r="O1342" s="955"/>
      <c r="P1342" s="957"/>
      <c r="Q1342" s="958"/>
    </row>
    <row r="1343">
      <c r="A1343" s="3"/>
      <c r="B1343" s="950"/>
      <c r="C1343" s="584"/>
      <c r="D1343" s="584"/>
      <c r="E1343" s="951"/>
      <c r="F1343" s="952"/>
      <c r="G1343" s="950"/>
      <c r="H1343" s="953"/>
      <c r="I1343" s="3"/>
      <c r="J1343" s="3"/>
      <c r="K1343" s="955"/>
      <c r="L1343" s="956"/>
      <c r="M1343" s="956"/>
      <c r="N1343" s="3"/>
      <c r="O1343" s="955"/>
      <c r="P1343" s="957"/>
      <c r="Q1343" s="958"/>
    </row>
    <row r="1344">
      <c r="A1344" s="3"/>
      <c r="B1344" s="950"/>
      <c r="C1344" s="584"/>
      <c r="D1344" s="584"/>
      <c r="E1344" s="951"/>
      <c r="F1344" s="952"/>
      <c r="G1344" s="950"/>
      <c r="H1344" s="953"/>
      <c r="I1344" s="3"/>
      <c r="J1344" s="3"/>
      <c r="K1344" s="955"/>
      <c r="L1344" s="956"/>
      <c r="M1344" s="956"/>
      <c r="N1344" s="3"/>
      <c r="O1344" s="955"/>
      <c r="P1344" s="957"/>
      <c r="Q1344" s="958"/>
    </row>
    <row r="1345">
      <c r="A1345" s="3"/>
      <c r="B1345" s="950"/>
      <c r="C1345" s="584"/>
      <c r="D1345" s="584"/>
      <c r="E1345" s="951"/>
      <c r="F1345" s="952"/>
      <c r="G1345" s="950"/>
      <c r="H1345" s="953"/>
      <c r="I1345" s="3"/>
      <c r="J1345" s="3"/>
      <c r="K1345" s="955"/>
      <c r="L1345" s="956"/>
      <c r="M1345" s="956"/>
      <c r="N1345" s="3"/>
      <c r="O1345" s="955"/>
      <c r="P1345" s="957"/>
      <c r="Q1345" s="958"/>
    </row>
    <row r="1346">
      <c r="A1346" s="3"/>
      <c r="B1346" s="950"/>
      <c r="C1346" s="584"/>
      <c r="D1346" s="584"/>
      <c r="E1346" s="951"/>
      <c r="F1346" s="952"/>
      <c r="G1346" s="950"/>
      <c r="H1346" s="953"/>
      <c r="I1346" s="3"/>
      <c r="J1346" s="3"/>
      <c r="K1346" s="955"/>
      <c r="L1346" s="956"/>
      <c r="M1346" s="956"/>
      <c r="N1346" s="3"/>
      <c r="O1346" s="955"/>
      <c r="P1346" s="957"/>
      <c r="Q1346" s="958"/>
    </row>
    <row r="1347">
      <c r="A1347" s="3"/>
      <c r="B1347" s="950"/>
      <c r="C1347" s="584"/>
      <c r="D1347" s="584"/>
      <c r="E1347" s="951"/>
      <c r="F1347" s="952"/>
      <c r="G1347" s="950"/>
      <c r="H1347" s="953"/>
      <c r="I1347" s="3"/>
      <c r="J1347" s="3"/>
      <c r="K1347" s="955"/>
      <c r="L1347" s="956"/>
      <c r="M1347" s="956"/>
      <c r="N1347" s="3"/>
      <c r="O1347" s="955"/>
      <c r="P1347" s="957"/>
      <c r="Q1347" s="958"/>
    </row>
    <row r="1348">
      <c r="A1348" s="3"/>
      <c r="B1348" s="950"/>
      <c r="C1348" s="584"/>
      <c r="D1348" s="584"/>
      <c r="E1348" s="951"/>
      <c r="F1348" s="952"/>
      <c r="G1348" s="950"/>
      <c r="H1348" s="953"/>
      <c r="I1348" s="3"/>
      <c r="J1348" s="3"/>
      <c r="K1348" s="955"/>
      <c r="L1348" s="956"/>
      <c r="M1348" s="956"/>
      <c r="N1348" s="3"/>
      <c r="O1348" s="955"/>
      <c r="P1348" s="957"/>
      <c r="Q1348" s="958"/>
    </row>
    <row r="1349">
      <c r="A1349" s="3"/>
      <c r="B1349" s="950"/>
      <c r="C1349" s="584"/>
      <c r="D1349" s="584"/>
      <c r="E1349" s="951"/>
      <c r="F1349" s="952"/>
      <c r="G1349" s="950"/>
      <c r="H1349" s="953"/>
      <c r="I1349" s="3"/>
      <c r="J1349" s="3"/>
      <c r="K1349" s="955"/>
      <c r="L1349" s="956"/>
      <c r="M1349" s="956"/>
      <c r="N1349" s="3"/>
      <c r="O1349" s="955"/>
      <c r="P1349" s="957"/>
      <c r="Q1349" s="958"/>
    </row>
    <row r="1350">
      <c r="A1350" s="3"/>
      <c r="B1350" s="950"/>
      <c r="C1350" s="584"/>
      <c r="D1350" s="584"/>
      <c r="E1350" s="951"/>
      <c r="F1350" s="952"/>
      <c r="G1350" s="950"/>
      <c r="H1350" s="953"/>
      <c r="I1350" s="3"/>
      <c r="J1350" s="3"/>
      <c r="K1350" s="955"/>
      <c r="L1350" s="956"/>
      <c r="M1350" s="956"/>
      <c r="N1350" s="3"/>
      <c r="O1350" s="955"/>
      <c r="P1350" s="957"/>
      <c r="Q1350" s="958"/>
    </row>
    <row r="1351">
      <c r="A1351" s="3"/>
      <c r="B1351" s="950"/>
      <c r="C1351" s="584"/>
      <c r="D1351" s="584"/>
      <c r="E1351" s="951"/>
      <c r="F1351" s="952"/>
      <c r="G1351" s="950"/>
      <c r="H1351" s="953"/>
      <c r="I1351" s="3"/>
      <c r="J1351" s="3"/>
      <c r="K1351" s="955"/>
      <c r="L1351" s="956"/>
      <c r="M1351" s="956"/>
      <c r="N1351" s="3"/>
      <c r="O1351" s="955"/>
      <c r="P1351" s="957"/>
      <c r="Q1351" s="958"/>
    </row>
    <row r="1352">
      <c r="A1352" s="3"/>
      <c r="B1352" s="950"/>
      <c r="C1352" s="584"/>
      <c r="D1352" s="584"/>
      <c r="E1352" s="951"/>
      <c r="F1352" s="952"/>
      <c r="G1352" s="950"/>
      <c r="H1352" s="953"/>
      <c r="I1352" s="3"/>
      <c r="J1352" s="3"/>
      <c r="K1352" s="955"/>
      <c r="L1352" s="956"/>
      <c r="M1352" s="956"/>
      <c r="N1352" s="3"/>
      <c r="O1352" s="955"/>
      <c r="P1352" s="957"/>
      <c r="Q1352" s="958"/>
    </row>
    <row r="1353">
      <c r="A1353" s="3"/>
      <c r="B1353" s="950"/>
      <c r="C1353" s="584"/>
      <c r="D1353" s="584"/>
      <c r="E1353" s="951"/>
      <c r="F1353" s="952"/>
      <c r="G1353" s="950"/>
      <c r="H1353" s="953"/>
      <c r="I1353" s="3"/>
      <c r="J1353" s="3"/>
      <c r="K1353" s="955"/>
      <c r="L1353" s="956"/>
      <c r="M1353" s="956"/>
      <c r="N1353" s="3"/>
      <c r="O1353" s="955"/>
      <c r="P1353" s="957"/>
      <c r="Q1353" s="958"/>
    </row>
    <row r="1354">
      <c r="A1354" s="3"/>
      <c r="B1354" s="950"/>
      <c r="C1354" s="584"/>
      <c r="D1354" s="584"/>
      <c r="E1354" s="951"/>
      <c r="F1354" s="952"/>
      <c r="G1354" s="950"/>
      <c r="H1354" s="953"/>
      <c r="I1354" s="3"/>
      <c r="J1354" s="3"/>
      <c r="K1354" s="955"/>
      <c r="L1354" s="956"/>
      <c r="M1354" s="956"/>
      <c r="N1354" s="3"/>
      <c r="O1354" s="955"/>
      <c r="P1354" s="957"/>
      <c r="Q1354" s="958"/>
    </row>
    <row r="1355">
      <c r="A1355" s="3"/>
      <c r="B1355" s="950"/>
      <c r="C1355" s="584"/>
      <c r="D1355" s="584"/>
      <c r="E1355" s="951"/>
      <c r="F1355" s="952"/>
      <c r="G1355" s="950"/>
      <c r="H1355" s="953"/>
      <c r="I1355" s="3"/>
      <c r="J1355" s="3"/>
      <c r="K1355" s="955"/>
      <c r="L1355" s="956"/>
      <c r="M1355" s="956"/>
      <c r="N1355" s="3"/>
      <c r="O1355" s="955"/>
      <c r="P1355" s="957"/>
      <c r="Q1355" s="958"/>
    </row>
    <row r="1356">
      <c r="A1356" s="3"/>
      <c r="B1356" s="950"/>
      <c r="C1356" s="584"/>
      <c r="D1356" s="584"/>
      <c r="E1356" s="951"/>
      <c r="F1356" s="952"/>
      <c r="G1356" s="950"/>
      <c r="H1356" s="953"/>
      <c r="I1356" s="3"/>
      <c r="J1356" s="3"/>
      <c r="K1356" s="955"/>
      <c r="L1356" s="956"/>
      <c r="M1356" s="956"/>
      <c r="N1356" s="3"/>
      <c r="O1356" s="955"/>
      <c r="P1356" s="957"/>
      <c r="Q1356" s="958"/>
    </row>
    <row r="1357">
      <c r="A1357" s="3"/>
      <c r="B1357" s="950"/>
      <c r="C1357" s="584"/>
      <c r="D1357" s="584"/>
      <c r="E1357" s="951"/>
      <c r="F1357" s="952"/>
      <c r="G1357" s="950"/>
      <c r="H1357" s="953"/>
      <c r="I1357" s="3"/>
      <c r="J1357" s="3"/>
      <c r="K1357" s="955"/>
      <c r="L1357" s="956"/>
      <c r="M1357" s="956"/>
      <c r="N1357" s="3"/>
      <c r="O1357" s="955"/>
      <c r="P1357" s="957"/>
      <c r="Q1357" s="958"/>
    </row>
    <row r="1358">
      <c r="A1358" s="3"/>
      <c r="B1358" s="950"/>
      <c r="C1358" s="584"/>
      <c r="D1358" s="584"/>
      <c r="E1358" s="951"/>
      <c r="F1358" s="952"/>
      <c r="G1358" s="950"/>
      <c r="H1358" s="953"/>
      <c r="I1358" s="3"/>
      <c r="J1358" s="3"/>
      <c r="K1358" s="955"/>
      <c r="L1358" s="956"/>
      <c r="M1358" s="956"/>
      <c r="N1358" s="3"/>
      <c r="O1358" s="955"/>
      <c r="P1358" s="957"/>
      <c r="Q1358" s="958"/>
    </row>
    <row r="1359">
      <c r="A1359" s="3"/>
      <c r="B1359" s="950"/>
      <c r="C1359" s="584"/>
      <c r="D1359" s="584"/>
      <c r="E1359" s="951"/>
      <c r="F1359" s="952"/>
      <c r="G1359" s="950"/>
      <c r="H1359" s="953"/>
      <c r="I1359" s="3"/>
      <c r="J1359" s="3"/>
      <c r="K1359" s="955"/>
      <c r="L1359" s="956"/>
      <c r="M1359" s="956"/>
      <c r="N1359" s="3"/>
      <c r="O1359" s="955"/>
      <c r="P1359" s="957"/>
      <c r="Q1359" s="958"/>
    </row>
    <row r="1360">
      <c r="A1360" s="3"/>
      <c r="B1360" s="950"/>
      <c r="C1360" s="584"/>
      <c r="D1360" s="584"/>
      <c r="E1360" s="951"/>
      <c r="F1360" s="952"/>
      <c r="G1360" s="950"/>
      <c r="H1360" s="953"/>
      <c r="I1360" s="3"/>
      <c r="J1360" s="3"/>
      <c r="K1360" s="955"/>
      <c r="L1360" s="956"/>
      <c r="M1360" s="956"/>
      <c r="N1360" s="3"/>
      <c r="O1360" s="955"/>
      <c r="P1360" s="957"/>
      <c r="Q1360" s="958"/>
    </row>
    <row r="1361">
      <c r="A1361" s="3"/>
      <c r="B1361" s="950"/>
      <c r="C1361" s="584"/>
      <c r="D1361" s="584"/>
      <c r="E1361" s="951"/>
      <c r="F1361" s="952"/>
      <c r="G1361" s="950"/>
      <c r="H1361" s="953"/>
      <c r="I1361" s="3"/>
      <c r="J1361" s="3"/>
      <c r="K1361" s="955"/>
      <c r="L1361" s="956"/>
      <c r="M1361" s="956"/>
      <c r="N1361" s="3"/>
      <c r="O1361" s="955"/>
      <c r="P1361" s="957"/>
      <c r="Q1361" s="958"/>
    </row>
    <row r="1362">
      <c r="A1362" s="3"/>
      <c r="B1362" s="950"/>
      <c r="C1362" s="584"/>
      <c r="D1362" s="584"/>
      <c r="E1362" s="951"/>
      <c r="F1362" s="952"/>
      <c r="G1362" s="950"/>
      <c r="H1362" s="953"/>
      <c r="I1362" s="3"/>
      <c r="J1362" s="3"/>
      <c r="K1362" s="955"/>
      <c r="L1362" s="956"/>
      <c r="M1362" s="956"/>
      <c r="N1362" s="3"/>
      <c r="O1362" s="955"/>
      <c r="P1362" s="957"/>
      <c r="Q1362" s="958"/>
    </row>
    <row r="1363">
      <c r="A1363" s="3"/>
      <c r="B1363" s="950"/>
      <c r="C1363" s="584"/>
      <c r="D1363" s="584"/>
      <c r="E1363" s="951"/>
      <c r="F1363" s="952"/>
      <c r="G1363" s="950"/>
      <c r="H1363" s="953"/>
      <c r="I1363" s="3"/>
      <c r="J1363" s="3"/>
      <c r="K1363" s="955"/>
      <c r="L1363" s="956"/>
      <c r="M1363" s="956"/>
      <c r="N1363" s="3"/>
      <c r="O1363" s="955"/>
      <c r="P1363" s="957"/>
      <c r="Q1363" s="958"/>
    </row>
    <row r="1364">
      <c r="A1364" s="3"/>
      <c r="B1364" s="950"/>
      <c r="C1364" s="584"/>
      <c r="D1364" s="584"/>
      <c r="E1364" s="951"/>
      <c r="F1364" s="952"/>
      <c r="G1364" s="950"/>
      <c r="H1364" s="953"/>
      <c r="I1364" s="3"/>
      <c r="J1364" s="3"/>
      <c r="K1364" s="955"/>
      <c r="L1364" s="956"/>
      <c r="M1364" s="956"/>
      <c r="N1364" s="3"/>
      <c r="O1364" s="955"/>
      <c r="P1364" s="957"/>
      <c r="Q1364" s="958"/>
    </row>
    <row r="1365">
      <c r="A1365" s="3"/>
      <c r="B1365" s="950"/>
      <c r="C1365" s="584"/>
      <c r="D1365" s="584"/>
      <c r="E1365" s="951"/>
      <c r="F1365" s="952"/>
      <c r="G1365" s="950"/>
      <c r="H1365" s="953"/>
      <c r="I1365" s="3"/>
      <c r="J1365" s="3"/>
      <c r="K1365" s="955"/>
      <c r="L1365" s="956"/>
      <c r="M1365" s="956"/>
      <c r="N1365" s="3"/>
      <c r="O1365" s="955"/>
      <c r="P1365" s="957"/>
      <c r="Q1365" s="958"/>
    </row>
    <row r="1366">
      <c r="A1366" s="3"/>
      <c r="B1366" s="950"/>
      <c r="C1366" s="584"/>
      <c r="D1366" s="584"/>
      <c r="E1366" s="951"/>
      <c r="F1366" s="952"/>
      <c r="G1366" s="950"/>
      <c r="H1366" s="953"/>
      <c r="I1366" s="3"/>
      <c r="J1366" s="3"/>
      <c r="K1366" s="955"/>
      <c r="L1366" s="956"/>
      <c r="M1366" s="956"/>
      <c r="N1366" s="3"/>
      <c r="O1366" s="955"/>
      <c r="P1366" s="957"/>
      <c r="Q1366" s="958"/>
    </row>
    <row r="1367">
      <c r="A1367" s="3"/>
      <c r="B1367" s="950"/>
      <c r="C1367" s="584"/>
      <c r="D1367" s="584"/>
      <c r="E1367" s="951"/>
      <c r="F1367" s="952"/>
      <c r="G1367" s="950"/>
      <c r="H1367" s="953"/>
      <c r="I1367" s="3"/>
      <c r="J1367" s="3"/>
      <c r="K1367" s="955"/>
      <c r="L1367" s="956"/>
      <c r="M1367" s="956"/>
      <c r="N1367" s="3"/>
      <c r="O1367" s="955"/>
      <c r="P1367" s="957"/>
      <c r="Q1367" s="958"/>
    </row>
    <row r="1368">
      <c r="A1368" s="3"/>
      <c r="B1368" s="950"/>
      <c r="C1368" s="584"/>
      <c r="D1368" s="584"/>
      <c r="E1368" s="951"/>
      <c r="F1368" s="952"/>
      <c r="G1368" s="950"/>
      <c r="H1368" s="953"/>
      <c r="I1368" s="3"/>
      <c r="J1368" s="3"/>
      <c r="K1368" s="955"/>
      <c r="L1368" s="956"/>
      <c r="M1368" s="956"/>
      <c r="N1368" s="3"/>
      <c r="O1368" s="955"/>
      <c r="P1368" s="957"/>
      <c r="Q1368" s="958"/>
    </row>
    <row r="1369">
      <c r="A1369" s="3"/>
      <c r="B1369" s="950"/>
      <c r="C1369" s="584"/>
      <c r="D1369" s="584"/>
      <c r="E1369" s="951"/>
      <c r="F1369" s="952"/>
      <c r="G1369" s="950"/>
      <c r="H1369" s="953"/>
      <c r="I1369" s="3"/>
      <c r="J1369" s="3"/>
      <c r="K1369" s="955"/>
      <c r="L1369" s="956"/>
      <c r="M1369" s="956"/>
      <c r="N1369" s="3"/>
      <c r="O1369" s="955"/>
      <c r="P1369" s="957"/>
      <c r="Q1369" s="958"/>
    </row>
    <row r="1370">
      <c r="A1370" s="3"/>
      <c r="B1370" s="950"/>
      <c r="C1370" s="584"/>
      <c r="D1370" s="584"/>
      <c r="E1370" s="951"/>
      <c r="F1370" s="952"/>
      <c r="G1370" s="950"/>
      <c r="H1370" s="953"/>
      <c r="I1370" s="3"/>
      <c r="J1370" s="3"/>
      <c r="K1370" s="955"/>
      <c r="L1370" s="956"/>
      <c r="M1370" s="956"/>
      <c r="N1370" s="3"/>
      <c r="O1370" s="955"/>
      <c r="P1370" s="957"/>
      <c r="Q1370" s="958"/>
    </row>
    <row r="1371">
      <c r="A1371" s="3"/>
      <c r="B1371" s="950"/>
      <c r="C1371" s="584"/>
      <c r="D1371" s="584"/>
      <c r="E1371" s="951"/>
      <c r="F1371" s="952"/>
      <c r="G1371" s="950"/>
      <c r="H1371" s="953"/>
      <c r="I1371" s="3"/>
      <c r="J1371" s="3"/>
      <c r="K1371" s="955"/>
      <c r="L1371" s="956"/>
      <c r="M1371" s="956"/>
      <c r="N1371" s="3"/>
      <c r="O1371" s="955"/>
      <c r="P1371" s="957"/>
      <c r="Q1371" s="958"/>
    </row>
    <row r="1372">
      <c r="A1372" s="3"/>
      <c r="B1372" s="950"/>
      <c r="C1372" s="584"/>
      <c r="D1372" s="584"/>
      <c r="E1372" s="951"/>
      <c r="F1372" s="952"/>
      <c r="G1372" s="950"/>
      <c r="H1372" s="953"/>
      <c r="I1372" s="3"/>
      <c r="J1372" s="3"/>
      <c r="K1372" s="955"/>
      <c r="L1372" s="956"/>
      <c r="M1372" s="956"/>
      <c r="N1372" s="3"/>
      <c r="O1372" s="955"/>
      <c r="P1372" s="957"/>
      <c r="Q1372" s="958"/>
    </row>
    <row r="1373">
      <c r="A1373" s="3"/>
      <c r="B1373" s="950"/>
      <c r="C1373" s="584"/>
      <c r="D1373" s="584"/>
      <c r="E1373" s="951"/>
      <c r="F1373" s="952"/>
      <c r="G1373" s="950"/>
      <c r="H1373" s="953"/>
      <c r="I1373" s="3"/>
      <c r="J1373" s="3"/>
      <c r="K1373" s="955"/>
      <c r="L1373" s="956"/>
      <c r="M1373" s="956"/>
      <c r="N1373" s="3"/>
      <c r="O1373" s="955"/>
      <c r="P1373" s="957"/>
      <c r="Q1373" s="958"/>
    </row>
    <row r="1374">
      <c r="A1374" s="3"/>
      <c r="B1374" s="950"/>
      <c r="C1374" s="584"/>
      <c r="D1374" s="584"/>
      <c r="E1374" s="951"/>
      <c r="F1374" s="952"/>
      <c r="G1374" s="950"/>
      <c r="H1374" s="953"/>
      <c r="I1374" s="3"/>
      <c r="J1374" s="3"/>
      <c r="K1374" s="955"/>
      <c r="L1374" s="956"/>
      <c r="M1374" s="956"/>
      <c r="N1374" s="3"/>
      <c r="O1374" s="955"/>
      <c r="P1374" s="957"/>
      <c r="Q1374" s="958"/>
    </row>
    <row r="1375">
      <c r="A1375" s="3"/>
      <c r="B1375" s="950"/>
      <c r="C1375" s="584"/>
      <c r="D1375" s="584"/>
      <c r="E1375" s="951"/>
      <c r="F1375" s="952"/>
      <c r="G1375" s="950"/>
      <c r="H1375" s="953"/>
      <c r="I1375" s="3"/>
      <c r="J1375" s="3"/>
      <c r="K1375" s="955"/>
      <c r="L1375" s="956"/>
      <c r="M1375" s="956"/>
      <c r="N1375" s="3"/>
      <c r="O1375" s="955"/>
      <c r="P1375" s="957"/>
      <c r="Q1375" s="958"/>
    </row>
    <row r="1376">
      <c r="A1376" s="3"/>
      <c r="B1376" s="950"/>
      <c r="C1376" s="584"/>
      <c r="D1376" s="584"/>
      <c r="E1376" s="951"/>
      <c r="F1376" s="952"/>
      <c r="G1376" s="950"/>
      <c r="H1376" s="953"/>
      <c r="I1376" s="3"/>
      <c r="J1376" s="3"/>
      <c r="K1376" s="955"/>
      <c r="L1376" s="956"/>
      <c r="M1376" s="956"/>
      <c r="N1376" s="3"/>
      <c r="O1376" s="955"/>
      <c r="P1376" s="957"/>
      <c r="Q1376" s="958"/>
    </row>
    <row r="1377">
      <c r="A1377" s="3"/>
      <c r="B1377" s="950"/>
      <c r="C1377" s="584"/>
      <c r="D1377" s="584"/>
      <c r="E1377" s="951"/>
      <c r="F1377" s="952"/>
      <c r="G1377" s="950"/>
      <c r="H1377" s="953"/>
      <c r="I1377" s="3"/>
      <c r="J1377" s="3"/>
      <c r="K1377" s="955"/>
      <c r="L1377" s="956"/>
      <c r="M1377" s="956"/>
      <c r="N1377" s="3"/>
      <c r="O1377" s="955"/>
      <c r="P1377" s="957"/>
      <c r="Q1377" s="958"/>
    </row>
    <row r="1378">
      <c r="A1378" s="3"/>
      <c r="B1378" s="950"/>
      <c r="C1378" s="584"/>
      <c r="D1378" s="584"/>
      <c r="E1378" s="951"/>
      <c r="F1378" s="952"/>
      <c r="G1378" s="950"/>
      <c r="H1378" s="953"/>
      <c r="I1378" s="3"/>
      <c r="J1378" s="3"/>
      <c r="K1378" s="955"/>
      <c r="L1378" s="956"/>
      <c r="M1378" s="956"/>
      <c r="N1378" s="3"/>
      <c r="O1378" s="955"/>
      <c r="P1378" s="957"/>
      <c r="Q1378" s="958"/>
    </row>
    <row r="1379">
      <c r="A1379" s="3"/>
      <c r="B1379" s="950"/>
      <c r="C1379" s="584"/>
      <c r="D1379" s="584"/>
      <c r="E1379" s="951"/>
      <c r="F1379" s="952"/>
      <c r="G1379" s="950"/>
      <c r="H1379" s="953"/>
      <c r="I1379" s="3"/>
      <c r="J1379" s="3"/>
      <c r="K1379" s="955"/>
      <c r="L1379" s="956"/>
      <c r="M1379" s="956"/>
      <c r="N1379" s="3"/>
      <c r="O1379" s="955"/>
      <c r="P1379" s="957"/>
      <c r="Q1379" s="958"/>
    </row>
    <row r="1380">
      <c r="A1380" s="3"/>
      <c r="B1380" s="950"/>
      <c r="C1380" s="584"/>
      <c r="D1380" s="584"/>
      <c r="E1380" s="951"/>
      <c r="F1380" s="952"/>
      <c r="G1380" s="950"/>
      <c r="H1380" s="953"/>
      <c r="I1380" s="3"/>
      <c r="J1380" s="3"/>
      <c r="K1380" s="955"/>
      <c r="L1380" s="956"/>
      <c r="M1380" s="956"/>
      <c r="N1380" s="3"/>
      <c r="O1380" s="955"/>
      <c r="P1380" s="957"/>
      <c r="Q1380" s="958"/>
    </row>
    <row r="1381">
      <c r="A1381" s="3"/>
      <c r="B1381" s="950"/>
      <c r="C1381" s="584"/>
      <c r="D1381" s="584"/>
      <c r="E1381" s="951"/>
      <c r="F1381" s="952"/>
      <c r="G1381" s="950"/>
      <c r="H1381" s="953"/>
      <c r="I1381" s="3"/>
      <c r="J1381" s="3"/>
      <c r="K1381" s="955"/>
      <c r="L1381" s="956"/>
      <c r="M1381" s="956"/>
      <c r="N1381" s="3"/>
      <c r="O1381" s="955"/>
      <c r="P1381" s="957"/>
      <c r="Q1381" s="958"/>
    </row>
    <row r="1382">
      <c r="A1382" s="3"/>
      <c r="B1382" s="950"/>
      <c r="C1382" s="584"/>
      <c r="D1382" s="584"/>
      <c r="E1382" s="951"/>
      <c r="F1382" s="952"/>
      <c r="G1382" s="950"/>
      <c r="H1382" s="953"/>
      <c r="I1382" s="3"/>
      <c r="J1382" s="3"/>
      <c r="K1382" s="955"/>
      <c r="L1382" s="956"/>
      <c r="M1382" s="956"/>
      <c r="N1382" s="3"/>
      <c r="O1382" s="955"/>
      <c r="P1382" s="957"/>
      <c r="Q1382" s="958"/>
    </row>
    <row r="1383">
      <c r="A1383" s="3"/>
      <c r="B1383" s="950"/>
      <c r="C1383" s="584"/>
      <c r="D1383" s="584"/>
      <c r="E1383" s="951"/>
      <c r="F1383" s="952"/>
      <c r="G1383" s="950"/>
      <c r="H1383" s="953"/>
      <c r="I1383" s="3"/>
      <c r="J1383" s="3"/>
      <c r="K1383" s="955"/>
      <c r="L1383" s="956"/>
      <c r="M1383" s="956"/>
      <c r="N1383" s="3"/>
      <c r="O1383" s="955"/>
      <c r="P1383" s="957"/>
      <c r="Q1383" s="958"/>
    </row>
    <row r="1384">
      <c r="A1384" s="3"/>
      <c r="B1384" s="950"/>
      <c r="C1384" s="584"/>
      <c r="D1384" s="584"/>
      <c r="E1384" s="951"/>
      <c r="F1384" s="952"/>
      <c r="G1384" s="950"/>
      <c r="H1384" s="953"/>
      <c r="I1384" s="3"/>
      <c r="J1384" s="3"/>
      <c r="K1384" s="955"/>
      <c r="L1384" s="956"/>
      <c r="M1384" s="956"/>
      <c r="N1384" s="3"/>
      <c r="O1384" s="955"/>
      <c r="P1384" s="957"/>
      <c r="Q1384" s="958"/>
    </row>
    <row r="1385">
      <c r="A1385" s="3"/>
      <c r="B1385" s="950"/>
      <c r="C1385" s="584"/>
      <c r="D1385" s="584"/>
      <c r="E1385" s="951"/>
      <c r="F1385" s="952"/>
      <c r="G1385" s="950"/>
      <c r="H1385" s="953"/>
      <c r="I1385" s="3"/>
      <c r="J1385" s="3"/>
      <c r="K1385" s="955"/>
      <c r="L1385" s="956"/>
      <c r="M1385" s="956"/>
      <c r="N1385" s="3"/>
      <c r="O1385" s="955"/>
      <c r="P1385" s="957"/>
      <c r="Q1385" s="958"/>
    </row>
    <row r="1386">
      <c r="A1386" s="3"/>
      <c r="B1386" s="950"/>
      <c r="C1386" s="584"/>
      <c r="D1386" s="584"/>
      <c r="E1386" s="951"/>
      <c r="F1386" s="952"/>
      <c r="G1386" s="950"/>
      <c r="H1386" s="953"/>
      <c r="I1386" s="3"/>
      <c r="J1386" s="3"/>
      <c r="K1386" s="955"/>
      <c r="L1386" s="956"/>
      <c r="M1386" s="956"/>
      <c r="N1386" s="3"/>
      <c r="O1386" s="955"/>
      <c r="P1386" s="957"/>
      <c r="Q1386" s="958"/>
    </row>
    <row r="1387">
      <c r="A1387" s="3"/>
      <c r="B1387" s="950"/>
      <c r="C1387" s="584"/>
      <c r="D1387" s="584"/>
      <c r="E1387" s="951"/>
      <c r="F1387" s="952"/>
      <c r="G1387" s="950"/>
      <c r="H1387" s="953"/>
      <c r="I1387" s="3"/>
      <c r="J1387" s="3"/>
      <c r="K1387" s="955"/>
      <c r="L1387" s="956"/>
      <c r="M1387" s="956"/>
      <c r="N1387" s="3"/>
      <c r="O1387" s="955"/>
      <c r="P1387" s="957"/>
      <c r="Q1387" s="958"/>
    </row>
    <row r="1388">
      <c r="A1388" s="3"/>
      <c r="B1388" s="950"/>
      <c r="C1388" s="584"/>
      <c r="D1388" s="584"/>
      <c r="E1388" s="951"/>
      <c r="F1388" s="952"/>
      <c r="G1388" s="950"/>
      <c r="H1388" s="953"/>
      <c r="I1388" s="3"/>
      <c r="J1388" s="3"/>
      <c r="K1388" s="955"/>
      <c r="L1388" s="956"/>
      <c r="M1388" s="956"/>
      <c r="N1388" s="3"/>
      <c r="O1388" s="955"/>
      <c r="P1388" s="957"/>
      <c r="Q1388" s="958"/>
    </row>
    <row r="1389">
      <c r="A1389" s="3"/>
      <c r="B1389" s="950"/>
      <c r="C1389" s="584"/>
      <c r="D1389" s="584"/>
      <c r="E1389" s="951"/>
      <c r="F1389" s="952"/>
      <c r="G1389" s="950"/>
      <c r="H1389" s="953"/>
      <c r="I1389" s="3"/>
      <c r="J1389" s="3"/>
      <c r="K1389" s="955"/>
      <c r="L1389" s="956"/>
      <c r="M1389" s="956"/>
      <c r="N1389" s="3"/>
      <c r="O1389" s="955"/>
      <c r="P1389" s="957"/>
      <c r="Q1389" s="958"/>
    </row>
    <row r="1390">
      <c r="A1390" s="3"/>
      <c r="B1390" s="950"/>
      <c r="C1390" s="584"/>
      <c r="D1390" s="584"/>
      <c r="E1390" s="951"/>
      <c r="F1390" s="952"/>
      <c r="G1390" s="950"/>
      <c r="H1390" s="953"/>
      <c r="I1390" s="3"/>
      <c r="J1390" s="3"/>
      <c r="K1390" s="955"/>
      <c r="L1390" s="956"/>
      <c r="M1390" s="956"/>
      <c r="N1390" s="3"/>
      <c r="O1390" s="955"/>
      <c r="P1390" s="957"/>
      <c r="Q1390" s="958"/>
    </row>
    <row r="1391">
      <c r="A1391" s="3"/>
      <c r="B1391" s="950"/>
      <c r="C1391" s="584"/>
      <c r="D1391" s="584"/>
      <c r="E1391" s="951"/>
      <c r="F1391" s="952"/>
      <c r="G1391" s="950"/>
      <c r="H1391" s="953"/>
      <c r="I1391" s="3"/>
      <c r="J1391" s="3"/>
      <c r="K1391" s="955"/>
      <c r="L1391" s="956"/>
      <c r="M1391" s="956"/>
      <c r="N1391" s="3"/>
      <c r="O1391" s="955"/>
      <c r="P1391" s="957"/>
      <c r="Q1391" s="958"/>
    </row>
    <row r="1392">
      <c r="A1392" s="3"/>
      <c r="B1392" s="950"/>
      <c r="C1392" s="584"/>
      <c r="D1392" s="584"/>
      <c r="E1392" s="951"/>
      <c r="F1392" s="952"/>
      <c r="G1392" s="950"/>
      <c r="H1392" s="953"/>
      <c r="I1392" s="3"/>
      <c r="J1392" s="3"/>
      <c r="K1392" s="955"/>
      <c r="L1392" s="956"/>
      <c r="M1392" s="956"/>
      <c r="N1392" s="3"/>
      <c r="O1392" s="955"/>
      <c r="P1392" s="957"/>
      <c r="Q1392" s="958"/>
    </row>
    <row r="1393">
      <c r="A1393" s="3"/>
      <c r="B1393" s="950"/>
      <c r="C1393" s="584"/>
      <c r="D1393" s="584"/>
      <c r="E1393" s="951"/>
      <c r="F1393" s="952"/>
      <c r="G1393" s="950"/>
      <c r="H1393" s="953"/>
      <c r="I1393" s="3"/>
      <c r="J1393" s="3"/>
      <c r="K1393" s="955"/>
      <c r="L1393" s="956"/>
      <c r="M1393" s="956"/>
      <c r="N1393" s="3"/>
      <c r="O1393" s="955"/>
      <c r="P1393" s="957"/>
      <c r="Q1393" s="958"/>
    </row>
    <row r="1394">
      <c r="A1394" s="3"/>
      <c r="B1394" s="950"/>
      <c r="C1394" s="584"/>
      <c r="D1394" s="584"/>
      <c r="E1394" s="951"/>
      <c r="F1394" s="952"/>
      <c r="G1394" s="950"/>
      <c r="H1394" s="953"/>
      <c r="I1394" s="3"/>
      <c r="J1394" s="3"/>
      <c r="K1394" s="955"/>
      <c r="L1394" s="956"/>
      <c r="M1394" s="956"/>
      <c r="N1394" s="3"/>
      <c r="O1394" s="955"/>
      <c r="P1394" s="957"/>
      <c r="Q1394" s="958"/>
    </row>
    <row r="1395">
      <c r="A1395" s="3"/>
      <c r="B1395" s="950"/>
      <c r="C1395" s="584"/>
      <c r="D1395" s="584"/>
      <c r="E1395" s="951"/>
      <c r="F1395" s="952"/>
      <c r="G1395" s="950"/>
      <c r="H1395" s="953"/>
      <c r="I1395" s="3"/>
      <c r="J1395" s="3"/>
      <c r="K1395" s="955"/>
      <c r="L1395" s="956"/>
      <c r="M1395" s="956"/>
      <c r="N1395" s="3"/>
      <c r="O1395" s="955"/>
      <c r="P1395" s="957"/>
      <c r="Q1395" s="958"/>
    </row>
    <row r="1396">
      <c r="A1396" s="3"/>
      <c r="B1396" s="950"/>
      <c r="C1396" s="584"/>
      <c r="D1396" s="584"/>
      <c r="E1396" s="951"/>
      <c r="F1396" s="952"/>
      <c r="G1396" s="950"/>
      <c r="H1396" s="953"/>
      <c r="I1396" s="3"/>
      <c r="J1396" s="3"/>
      <c r="K1396" s="955"/>
      <c r="L1396" s="956"/>
      <c r="M1396" s="956"/>
      <c r="N1396" s="3"/>
      <c r="O1396" s="955"/>
      <c r="P1396" s="957"/>
      <c r="Q1396" s="958"/>
    </row>
    <row r="1397">
      <c r="A1397" s="3"/>
      <c r="B1397" s="950"/>
      <c r="C1397" s="584"/>
      <c r="D1397" s="584"/>
      <c r="E1397" s="951"/>
      <c r="F1397" s="952"/>
      <c r="G1397" s="950"/>
      <c r="H1397" s="953"/>
      <c r="I1397" s="3"/>
      <c r="J1397" s="3"/>
      <c r="K1397" s="955"/>
      <c r="L1397" s="956"/>
      <c r="M1397" s="956"/>
      <c r="N1397" s="3"/>
      <c r="O1397" s="955"/>
      <c r="P1397" s="957"/>
      <c r="Q1397" s="958"/>
    </row>
    <row r="1398">
      <c r="A1398" s="3"/>
      <c r="B1398" s="950"/>
      <c r="C1398" s="584"/>
      <c r="D1398" s="584"/>
      <c r="E1398" s="951"/>
      <c r="F1398" s="952"/>
      <c r="G1398" s="950"/>
      <c r="H1398" s="953"/>
      <c r="I1398" s="3"/>
      <c r="J1398" s="3"/>
      <c r="K1398" s="955"/>
      <c r="L1398" s="956"/>
      <c r="M1398" s="956"/>
      <c r="N1398" s="3"/>
      <c r="O1398" s="955"/>
      <c r="P1398" s="957"/>
      <c r="Q1398" s="958"/>
    </row>
    <row r="1399">
      <c r="A1399" s="3"/>
      <c r="B1399" s="950"/>
      <c r="C1399" s="584"/>
      <c r="D1399" s="584"/>
      <c r="E1399" s="951"/>
      <c r="F1399" s="952"/>
      <c r="G1399" s="950"/>
      <c r="H1399" s="953"/>
      <c r="I1399" s="3"/>
      <c r="J1399" s="3"/>
      <c r="K1399" s="955"/>
      <c r="L1399" s="956"/>
      <c r="M1399" s="956"/>
      <c r="N1399" s="3"/>
      <c r="O1399" s="955"/>
      <c r="P1399" s="957"/>
      <c r="Q1399" s="958"/>
    </row>
    <row r="1400">
      <c r="A1400" s="3"/>
      <c r="B1400" s="950"/>
      <c r="C1400" s="584"/>
      <c r="D1400" s="584"/>
      <c r="E1400" s="951"/>
      <c r="F1400" s="952"/>
      <c r="G1400" s="950"/>
      <c r="H1400" s="953"/>
      <c r="I1400" s="3"/>
      <c r="J1400" s="3"/>
      <c r="K1400" s="955"/>
      <c r="L1400" s="956"/>
      <c r="M1400" s="956"/>
      <c r="N1400" s="3"/>
      <c r="O1400" s="955"/>
      <c r="P1400" s="957"/>
      <c r="Q1400" s="958"/>
    </row>
    <row r="1401">
      <c r="A1401" s="3"/>
      <c r="B1401" s="950"/>
      <c r="C1401" s="584"/>
      <c r="D1401" s="584"/>
      <c r="E1401" s="951"/>
      <c r="F1401" s="952"/>
      <c r="G1401" s="950"/>
      <c r="H1401" s="953"/>
      <c r="I1401" s="3"/>
      <c r="J1401" s="3"/>
      <c r="K1401" s="955"/>
      <c r="L1401" s="956"/>
      <c r="M1401" s="956"/>
      <c r="N1401" s="3"/>
      <c r="O1401" s="955"/>
      <c r="P1401" s="957"/>
      <c r="Q1401" s="958"/>
    </row>
    <row r="1402">
      <c r="A1402" s="3"/>
      <c r="B1402" s="950"/>
      <c r="C1402" s="584"/>
      <c r="D1402" s="584"/>
      <c r="E1402" s="951"/>
      <c r="F1402" s="952"/>
      <c r="G1402" s="950"/>
      <c r="H1402" s="953"/>
      <c r="I1402" s="3"/>
      <c r="J1402" s="3"/>
      <c r="K1402" s="955"/>
      <c r="L1402" s="956"/>
      <c r="M1402" s="956"/>
      <c r="N1402" s="3"/>
      <c r="O1402" s="955"/>
      <c r="P1402" s="957"/>
      <c r="Q1402" s="958"/>
    </row>
    <row r="1403">
      <c r="A1403" s="3"/>
      <c r="B1403" s="950"/>
      <c r="C1403" s="584"/>
      <c r="D1403" s="584"/>
      <c r="E1403" s="951"/>
      <c r="F1403" s="952"/>
      <c r="G1403" s="950"/>
      <c r="H1403" s="953"/>
      <c r="I1403" s="3"/>
      <c r="J1403" s="3"/>
      <c r="K1403" s="955"/>
      <c r="L1403" s="956"/>
      <c r="M1403" s="956"/>
      <c r="N1403" s="3"/>
      <c r="O1403" s="955"/>
      <c r="P1403" s="957"/>
      <c r="Q1403" s="958"/>
    </row>
    <row r="1404">
      <c r="A1404" s="3"/>
      <c r="B1404" s="950"/>
      <c r="C1404" s="584"/>
      <c r="D1404" s="584"/>
      <c r="E1404" s="951"/>
      <c r="F1404" s="952"/>
      <c r="G1404" s="950"/>
      <c r="H1404" s="953"/>
      <c r="I1404" s="3"/>
      <c r="J1404" s="3"/>
      <c r="K1404" s="955"/>
      <c r="L1404" s="956"/>
      <c r="M1404" s="956"/>
      <c r="N1404" s="3"/>
      <c r="O1404" s="955"/>
      <c r="P1404" s="957"/>
      <c r="Q1404" s="958"/>
    </row>
    <row r="1405">
      <c r="A1405" s="3"/>
      <c r="B1405" s="950"/>
      <c r="C1405" s="584"/>
      <c r="D1405" s="584"/>
      <c r="E1405" s="951"/>
      <c r="F1405" s="952"/>
      <c r="G1405" s="950"/>
      <c r="H1405" s="953"/>
      <c r="I1405" s="3"/>
      <c r="J1405" s="3"/>
      <c r="K1405" s="955"/>
      <c r="L1405" s="956"/>
      <c r="M1405" s="956"/>
      <c r="N1405" s="3"/>
      <c r="O1405" s="955"/>
      <c r="P1405" s="957"/>
      <c r="Q1405" s="958"/>
    </row>
    <row r="1406">
      <c r="A1406" s="3"/>
      <c r="B1406" s="950"/>
      <c r="C1406" s="584"/>
      <c r="D1406" s="584"/>
      <c r="E1406" s="951"/>
      <c r="F1406" s="952"/>
      <c r="G1406" s="950"/>
      <c r="H1406" s="953"/>
      <c r="I1406" s="3"/>
      <c r="J1406" s="3"/>
      <c r="K1406" s="955"/>
      <c r="L1406" s="956"/>
      <c r="M1406" s="956"/>
      <c r="N1406" s="3"/>
      <c r="O1406" s="955"/>
      <c r="P1406" s="957"/>
      <c r="Q1406" s="958"/>
    </row>
    <row r="1407">
      <c r="A1407" s="3"/>
      <c r="B1407" s="950"/>
      <c r="C1407" s="584"/>
      <c r="D1407" s="584"/>
      <c r="E1407" s="951"/>
      <c r="F1407" s="952"/>
      <c r="G1407" s="950"/>
      <c r="H1407" s="953"/>
      <c r="I1407" s="3"/>
      <c r="J1407" s="3"/>
      <c r="K1407" s="955"/>
      <c r="L1407" s="956"/>
      <c r="M1407" s="956"/>
      <c r="N1407" s="3"/>
      <c r="O1407" s="955"/>
      <c r="P1407" s="957"/>
      <c r="Q1407" s="958"/>
    </row>
    <row r="1408">
      <c r="A1408" s="3"/>
      <c r="B1408" s="950"/>
      <c r="C1408" s="584"/>
      <c r="D1408" s="584"/>
      <c r="E1408" s="951"/>
      <c r="F1408" s="952"/>
      <c r="G1408" s="950"/>
      <c r="H1408" s="953"/>
      <c r="I1408" s="3"/>
      <c r="J1408" s="3"/>
      <c r="K1408" s="955"/>
      <c r="L1408" s="956"/>
      <c r="M1408" s="956"/>
      <c r="N1408" s="3"/>
      <c r="O1408" s="955"/>
      <c r="P1408" s="957"/>
      <c r="Q1408" s="958"/>
    </row>
    <row r="1409">
      <c r="A1409" s="3"/>
      <c r="B1409" s="950"/>
      <c r="C1409" s="584"/>
      <c r="D1409" s="584"/>
      <c r="E1409" s="951"/>
      <c r="F1409" s="952"/>
      <c r="G1409" s="950"/>
      <c r="H1409" s="953"/>
      <c r="I1409" s="3"/>
      <c r="J1409" s="3"/>
      <c r="K1409" s="955"/>
      <c r="L1409" s="956"/>
      <c r="M1409" s="956"/>
      <c r="N1409" s="3"/>
      <c r="O1409" s="955"/>
      <c r="P1409" s="957"/>
      <c r="Q1409" s="958"/>
    </row>
    <row r="1410">
      <c r="A1410" s="3"/>
      <c r="B1410" s="950"/>
      <c r="C1410" s="584"/>
      <c r="D1410" s="584"/>
      <c r="E1410" s="951"/>
      <c r="F1410" s="952"/>
      <c r="G1410" s="950"/>
      <c r="H1410" s="953"/>
      <c r="I1410" s="3"/>
      <c r="J1410" s="3"/>
      <c r="K1410" s="955"/>
      <c r="L1410" s="956"/>
      <c r="M1410" s="956"/>
      <c r="N1410" s="3"/>
      <c r="O1410" s="955"/>
      <c r="P1410" s="957"/>
      <c r="Q1410" s="958"/>
    </row>
    <row r="1411">
      <c r="A1411" s="3"/>
      <c r="B1411" s="950"/>
      <c r="C1411" s="584"/>
      <c r="D1411" s="584"/>
      <c r="E1411" s="951"/>
      <c r="F1411" s="952"/>
      <c r="G1411" s="950"/>
      <c r="H1411" s="953"/>
      <c r="I1411" s="3"/>
      <c r="J1411" s="3"/>
      <c r="K1411" s="955"/>
      <c r="L1411" s="956"/>
      <c r="M1411" s="956"/>
      <c r="N1411" s="3"/>
      <c r="O1411" s="955"/>
      <c r="P1411" s="957"/>
      <c r="Q1411" s="958"/>
    </row>
    <row r="1412">
      <c r="A1412" s="3"/>
      <c r="B1412" s="950"/>
      <c r="C1412" s="584"/>
      <c r="D1412" s="584"/>
      <c r="E1412" s="951"/>
      <c r="F1412" s="952"/>
      <c r="G1412" s="950"/>
      <c r="H1412" s="953"/>
      <c r="I1412" s="3"/>
      <c r="J1412" s="3"/>
      <c r="K1412" s="955"/>
      <c r="L1412" s="956"/>
      <c r="M1412" s="956"/>
      <c r="N1412" s="3"/>
      <c r="O1412" s="955"/>
      <c r="P1412" s="957"/>
      <c r="Q1412" s="958"/>
    </row>
    <row r="1413">
      <c r="A1413" s="3"/>
      <c r="B1413" s="950"/>
      <c r="C1413" s="584"/>
      <c r="D1413" s="584"/>
      <c r="E1413" s="951"/>
      <c r="F1413" s="952"/>
      <c r="G1413" s="950"/>
      <c r="H1413" s="953"/>
      <c r="I1413" s="3"/>
      <c r="J1413" s="3"/>
      <c r="K1413" s="955"/>
      <c r="L1413" s="956"/>
      <c r="M1413" s="956"/>
      <c r="N1413" s="3"/>
      <c r="O1413" s="955"/>
      <c r="P1413" s="957"/>
      <c r="Q1413" s="958"/>
    </row>
    <row r="1414">
      <c r="A1414" s="3"/>
      <c r="B1414" s="950"/>
      <c r="C1414" s="584"/>
      <c r="D1414" s="584"/>
      <c r="E1414" s="951"/>
      <c r="F1414" s="952"/>
      <c r="G1414" s="950"/>
      <c r="H1414" s="953"/>
      <c r="I1414" s="3"/>
      <c r="J1414" s="3"/>
      <c r="K1414" s="955"/>
      <c r="L1414" s="956"/>
      <c r="M1414" s="956"/>
      <c r="N1414" s="3"/>
      <c r="O1414" s="955"/>
      <c r="P1414" s="957"/>
      <c r="Q1414" s="958"/>
    </row>
    <row r="1415">
      <c r="A1415" s="3"/>
      <c r="B1415" s="950"/>
      <c r="C1415" s="584"/>
      <c r="D1415" s="584"/>
      <c r="E1415" s="951"/>
      <c r="F1415" s="952"/>
      <c r="G1415" s="950"/>
      <c r="H1415" s="953"/>
      <c r="I1415" s="3"/>
      <c r="J1415" s="3"/>
      <c r="K1415" s="955"/>
      <c r="L1415" s="956"/>
      <c r="M1415" s="956"/>
      <c r="N1415" s="3"/>
      <c r="O1415" s="955"/>
      <c r="P1415" s="957"/>
      <c r="Q1415" s="958"/>
    </row>
    <row r="1416">
      <c r="A1416" s="3"/>
      <c r="B1416" s="950"/>
      <c r="C1416" s="584"/>
      <c r="D1416" s="584"/>
      <c r="E1416" s="951"/>
      <c r="F1416" s="952"/>
      <c r="G1416" s="950"/>
      <c r="H1416" s="953"/>
      <c r="I1416" s="3"/>
      <c r="J1416" s="3"/>
      <c r="K1416" s="955"/>
      <c r="L1416" s="956"/>
      <c r="M1416" s="956"/>
      <c r="N1416" s="3"/>
      <c r="O1416" s="955"/>
      <c r="P1416" s="957"/>
      <c r="Q1416" s="958"/>
    </row>
    <row r="1417">
      <c r="A1417" s="3"/>
      <c r="B1417" s="950"/>
      <c r="C1417" s="584"/>
      <c r="D1417" s="584"/>
      <c r="E1417" s="951"/>
      <c r="F1417" s="952"/>
      <c r="G1417" s="950"/>
      <c r="H1417" s="953"/>
      <c r="I1417" s="3"/>
      <c r="J1417" s="3"/>
      <c r="K1417" s="955"/>
      <c r="L1417" s="956"/>
      <c r="M1417" s="956"/>
      <c r="N1417" s="3"/>
      <c r="O1417" s="955"/>
      <c r="P1417" s="957"/>
      <c r="Q1417" s="958"/>
    </row>
    <row r="1418">
      <c r="A1418" s="3"/>
      <c r="B1418" s="950"/>
      <c r="C1418" s="584"/>
      <c r="D1418" s="584"/>
      <c r="E1418" s="951"/>
      <c r="F1418" s="952"/>
      <c r="G1418" s="950"/>
      <c r="H1418" s="953"/>
      <c r="I1418" s="3"/>
      <c r="J1418" s="3"/>
      <c r="K1418" s="955"/>
      <c r="L1418" s="956"/>
      <c r="M1418" s="956"/>
      <c r="N1418" s="3"/>
      <c r="O1418" s="955"/>
      <c r="P1418" s="957"/>
      <c r="Q1418" s="958"/>
    </row>
    <row r="1419">
      <c r="A1419" s="3"/>
      <c r="B1419" s="950"/>
      <c r="C1419" s="584"/>
      <c r="D1419" s="584"/>
      <c r="E1419" s="951"/>
      <c r="F1419" s="952"/>
      <c r="G1419" s="950"/>
      <c r="H1419" s="953"/>
      <c r="I1419" s="3"/>
      <c r="J1419" s="3"/>
      <c r="K1419" s="955"/>
      <c r="L1419" s="956"/>
      <c r="M1419" s="956"/>
      <c r="N1419" s="3"/>
      <c r="O1419" s="955"/>
      <c r="P1419" s="957"/>
      <c r="Q1419" s="958"/>
    </row>
    <row r="1420">
      <c r="A1420" s="3"/>
      <c r="B1420" s="950"/>
      <c r="C1420" s="584"/>
      <c r="D1420" s="584"/>
      <c r="E1420" s="951"/>
      <c r="F1420" s="952"/>
      <c r="G1420" s="950"/>
      <c r="H1420" s="953"/>
      <c r="I1420" s="3"/>
      <c r="J1420" s="3"/>
      <c r="K1420" s="955"/>
      <c r="L1420" s="956"/>
      <c r="M1420" s="956"/>
      <c r="N1420" s="3"/>
      <c r="O1420" s="955"/>
      <c r="P1420" s="957"/>
      <c r="Q1420" s="958"/>
    </row>
    <row r="1421">
      <c r="A1421" s="3"/>
      <c r="B1421" s="950"/>
      <c r="C1421" s="584"/>
      <c r="D1421" s="584"/>
      <c r="E1421" s="951"/>
      <c r="F1421" s="952"/>
      <c r="G1421" s="950"/>
      <c r="H1421" s="953"/>
      <c r="I1421" s="3"/>
      <c r="J1421" s="3"/>
      <c r="K1421" s="955"/>
      <c r="L1421" s="956"/>
      <c r="M1421" s="956"/>
      <c r="N1421" s="3"/>
      <c r="O1421" s="955"/>
      <c r="P1421" s="957"/>
      <c r="Q1421" s="958"/>
    </row>
    <row r="1422">
      <c r="A1422" s="3"/>
      <c r="B1422" s="950"/>
      <c r="C1422" s="584"/>
      <c r="D1422" s="584"/>
      <c r="E1422" s="951"/>
      <c r="F1422" s="952"/>
      <c r="G1422" s="950"/>
      <c r="H1422" s="953"/>
      <c r="I1422" s="3"/>
      <c r="J1422" s="3"/>
      <c r="K1422" s="955"/>
      <c r="L1422" s="956"/>
      <c r="M1422" s="956"/>
      <c r="N1422" s="3"/>
      <c r="O1422" s="955"/>
      <c r="P1422" s="957"/>
      <c r="Q1422" s="958"/>
    </row>
    <row r="1423">
      <c r="A1423" s="3"/>
      <c r="B1423" s="950"/>
      <c r="C1423" s="584"/>
      <c r="D1423" s="584"/>
      <c r="E1423" s="951"/>
      <c r="F1423" s="952"/>
      <c r="G1423" s="950"/>
      <c r="H1423" s="953"/>
      <c r="I1423" s="3"/>
      <c r="J1423" s="3"/>
      <c r="K1423" s="955"/>
      <c r="L1423" s="956"/>
      <c r="M1423" s="956"/>
      <c r="N1423" s="3"/>
      <c r="O1423" s="955"/>
      <c r="P1423" s="957"/>
      <c r="Q1423" s="958"/>
    </row>
    <row r="1424">
      <c r="A1424" s="3"/>
      <c r="B1424" s="950"/>
      <c r="C1424" s="584"/>
      <c r="D1424" s="584"/>
      <c r="E1424" s="951"/>
      <c r="F1424" s="952"/>
      <c r="G1424" s="950"/>
      <c r="H1424" s="953"/>
      <c r="I1424" s="3"/>
      <c r="J1424" s="3"/>
      <c r="K1424" s="955"/>
      <c r="L1424" s="956"/>
      <c r="M1424" s="956"/>
      <c r="N1424" s="3"/>
      <c r="O1424" s="955"/>
      <c r="P1424" s="957"/>
      <c r="Q1424" s="958"/>
    </row>
    <row r="1425">
      <c r="A1425" s="3"/>
      <c r="B1425" s="950"/>
      <c r="C1425" s="584"/>
      <c r="D1425" s="584"/>
      <c r="E1425" s="951"/>
      <c r="F1425" s="952"/>
      <c r="G1425" s="950"/>
      <c r="H1425" s="953"/>
      <c r="I1425" s="3"/>
      <c r="J1425" s="3"/>
      <c r="K1425" s="955"/>
      <c r="L1425" s="956"/>
      <c r="M1425" s="956"/>
      <c r="N1425" s="3"/>
      <c r="O1425" s="955"/>
      <c r="P1425" s="957"/>
      <c r="Q1425" s="958"/>
    </row>
    <row r="1426">
      <c r="A1426" s="3"/>
      <c r="B1426" s="950"/>
      <c r="C1426" s="584"/>
      <c r="D1426" s="584"/>
      <c r="E1426" s="951"/>
      <c r="F1426" s="952"/>
      <c r="G1426" s="950"/>
      <c r="H1426" s="953"/>
      <c r="I1426" s="3"/>
      <c r="J1426" s="3"/>
      <c r="K1426" s="955"/>
      <c r="L1426" s="956"/>
      <c r="M1426" s="956"/>
      <c r="N1426" s="3"/>
      <c r="O1426" s="955"/>
      <c r="P1426" s="957"/>
      <c r="Q1426" s="958"/>
    </row>
    <row r="1427">
      <c r="A1427" s="3"/>
      <c r="B1427" s="950"/>
      <c r="C1427" s="584"/>
      <c r="D1427" s="584"/>
      <c r="E1427" s="951"/>
      <c r="F1427" s="952"/>
      <c r="G1427" s="950"/>
      <c r="H1427" s="953"/>
      <c r="I1427" s="3"/>
      <c r="J1427" s="3"/>
      <c r="K1427" s="955"/>
      <c r="L1427" s="956"/>
      <c r="M1427" s="956"/>
      <c r="N1427" s="3"/>
      <c r="O1427" s="955"/>
      <c r="P1427" s="957"/>
      <c r="Q1427" s="958"/>
    </row>
    <row r="1428">
      <c r="A1428" s="3"/>
      <c r="B1428" s="950"/>
      <c r="C1428" s="584"/>
      <c r="D1428" s="584"/>
      <c r="E1428" s="951"/>
      <c r="F1428" s="952"/>
      <c r="G1428" s="950"/>
      <c r="H1428" s="953"/>
      <c r="I1428" s="3"/>
      <c r="J1428" s="3"/>
      <c r="K1428" s="955"/>
      <c r="L1428" s="956"/>
      <c r="M1428" s="956"/>
      <c r="N1428" s="3"/>
      <c r="O1428" s="955"/>
      <c r="P1428" s="957"/>
      <c r="Q1428" s="958"/>
    </row>
    <row r="1429">
      <c r="A1429" s="3"/>
      <c r="B1429" s="950"/>
      <c r="C1429" s="584"/>
      <c r="D1429" s="584"/>
      <c r="E1429" s="951"/>
      <c r="F1429" s="952"/>
      <c r="G1429" s="950"/>
      <c r="H1429" s="953"/>
      <c r="I1429" s="3"/>
      <c r="J1429" s="3"/>
      <c r="K1429" s="955"/>
      <c r="L1429" s="956"/>
      <c r="M1429" s="956"/>
      <c r="N1429" s="3"/>
      <c r="O1429" s="955"/>
      <c r="P1429" s="957"/>
      <c r="Q1429" s="958"/>
    </row>
    <row r="1430">
      <c r="A1430" s="3"/>
      <c r="B1430" s="950"/>
      <c r="C1430" s="584"/>
      <c r="D1430" s="584"/>
      <c r="E1430" s="951"/>
      <c r="F1430" s="952"/>
      <c r="G1430" s="950"/>
      <c r="H1430" s="953"/>
      <c r="I1430" s="3"/>
      <c r="J1430" s="3"/>
      <c r="K1430" s="955"/>
      <c r="L1430" s="956"/>
      <c r="M1430" s="956"/>
      <c r="N1430" s="3"/>
      <c r="O1430" s="955"/>
      <c r="P1430" s="957"/>
      <c r="Q1430" s="958"/>
    </row>
    <row r="1431">
      <c r="A1431" s="3"/>
      <c r="B1431" s="950"/>
      <c r="C1431" s="584"/>
      <c r="D1431" s="584"/>
      <c r="E1431" s="951"/>
      <c r="F1431" s="952"/>
      <c r="G1431" s="950"/>
      <c r="H1431" s="953"/>
      <c r="I1431" s="3"/>
      <c r="J1431" s="3"/>
      <c r="K1431" s="955"/>
      <c r="L1431" s="956"/>
      <c r="M1431" s="956"/>
      <c r="N1431" s="3"/>
      <c r="O1431" s="955"/>
      <c r="P1431" s="957"/>
      <c r="Q1431" s="958"/>
    </row>
    <row r="1432">
      <c r="A1432" s="3"/>
      <c r="B1432" s="950"/>
      <c r="C1432" s="584"/>
      <c r="D1432" s="584"/>
      <c r="E1432" s="951"/>
      <c r="F1432" s="952"/>
      <c r="G1432" s="950"/>
      <c r="H1432" s="953"/>
      <c r="I1432" s="3"/>
      <c r="J1432" s="3"/>
      <c r="K1432" s="955"/>
      <c r="L1432" s="956"/>
      <c r="M1432" s="956"/>
      <c r="N1432" s="3"/>
      <c r="O1432" s="955"/>
      <c r="P1432" s="957"/>
      <c r="Q1432" s="958"/>
    </row>
    <row r="1433">
      <c r="A1433" s="3"/>
      <c r="B1433" s="950"/>
      <c r="C1433" s="584"/>
      <c r="D1433" s="584"/>
      <c r="E1433" s="951"/>
      <c r="F1433" s="952"/>
      <c r="G1433" s="950"/>
      <c r="H1433" s="953"/>
      <c r="I1433" s="3"/>
      <c r="J1433" s="3"/>
      <c r="K1433" s="955"/>
      <c r="L1433" s="956"/>
      <c r="M1433" s="956"/>
      <c r="N1433" s="3"/>
      <c r="O1433" s="955"/>
      <c r="P1433" s="957"/>
      <c r="Q1433" s="958"/>
    </row>
    <row r="1434">
      <c r="A1434" s="3"/>
      <c r="B1434" s="950"/>
      <c r="C1434" s="584"/>
      <c r="D1434" s="584"/>
      <c r="E1434" s="951"/>
      <c r="F1434" s="952"/>
      <c r="G1434" s="950"/>
      <c r="H1434" s="953"/>
      <c r="I1434" s="3"/>
      <c r="J1434" s="3"/>
      <c r="K1434" s="955"/>
      <c r="L1434" s="956"/>
      <c r="M1434" s="956"/>
      <c r="N1434" s="3"/>
      <c r="O1434" s="955"/>
      <c r="P1434" s="957"/>
      <c r="Q1434" s="958"/>
    </row>
    <row r="1435">
      <c r="A1435" s="3"/>
      <c r="B1435" s="950"/>
      <c r="C1435" s="584"/>
      <c r="D1435" s="584"/>
      <c r="E1435" s="951"/>
      <c r="F1435" s="952"/>
      <c r="G1435" s="950"/>
      <c r="H1435" s="953"/>
      <c r="I1435" s="3"/>
      <c r="J1435" s="3"/>
      <c r="K1435" s="955"/>
      <c r="L1435" s="956"/>
      <c r="M1435" s="956"/>
      <c r="N1435" s="3"/>
      <c r="O1435" s="955"/>
      <c r="P1435" s="957"/>
      <c r="Q1435" s="958"/>
    </row>
    <row r="1436">
      <c r="A1436" s="3"/>
      <c r="B1436" s="950"/>
      <c r="C1436" s="584"/>
      <c r="D1436" s="584"/>
      <c r="E1436" s="951"/>
      <c r="F1436" s="952"/>
      <c r="G1436" s="950"/>
      <c r="H1436" s="953"/>
      <c r="I1436" s="3"/>
      <c r="J1436" s="3"/>
      <c r="K1436" s="955"/>
      <c r="L1436" s="956"/>
      <c r="M1436" s="956"/>
      <c r="N1436" s="3"/>
      <c r="O1436" s="955"/>
      <c r="P1436" s="957"/>
      <c r="Q1436" s="958"/>
    </row>
    <row r="1437">
      <c r="A1437" s="3"/>
      <c r="B1437" s="950"/>
      <c r="C1437" s="584"/>
      <c r="D1437" s="584"/>
      <c r="E1437" s="951"/>
      <c r="F1437" s="952"/>
      <c r="G1437" s="950"/>
      <c r="H1437" s="953"/>
      <c r="I1437" s="3"/>
      <c r="J1437" s="3"/>
      <c r="K1437" s="955"/>
      <c r="L1437" s="956"/>
      <c r="M1437" s="956"/>
      <c r="N1437" s="3"/>
      <c r="O1437" s="955"/>
      <c r="P1437" s="957"/>
      <c r="Q1437" s="958"/>
    </row>
    <row r="1438">
      <c r="A1438" s="3"/>
      <c r="B1438" s="950"/>
      <c r="C1438" s="584"/>
      <c r="D1438" s="584"/>
      <c r="E1438" s="951"/>
      <c r="F1438" s="952"/>
      <c r="G1438" s="950"/>
      <c r="H1438" s="953"/>
      <c r="I1438" s="3"/>
      <c r="J1438" s="3"/>
      <c r="K1438" s="955"/>
      <c r="L1438" s="956"/>
      <c r="M1438" s="956"/>
      <c r="N1438" s="3"/>
      <c r="O1438" s="955"/>
      <c r="P1438" s="957"/>
      <c r="Q1438" s="958"/>
    </row>
    <row r="1439">
      <c r="A1439" s="3"/>
      <c r="B1439" s="950"/>
      <c r="C1439" s="584"/>
      <c r="D1439" s="584"/>
      <c r="E1439" s="951"/>
      <c r="F1439" s="952"/>
      <c r="G1439" s="950"/>
      <c r="H1439" s="953"/>
      <c r="I1439" s="3"/>
      <c r="J1439" s="3"/>
      <c r="K1439" s="955"/>
      <c r="L1439" s="956"/>
      <c r="M1439" s="956"/>
      <c r="N1439" s="3"/>
      <c r="O1439" s="955"/>
      <c r="P1439" s="957"/>
      <c r="Q1439" s="958"/>
    </row>
    <row r="1440">
      <c r="A1440" s="3"/>
      <c r="B1440" s="950"/>
      <c r="C1440" s="584"/>
      <c r="D1440" s="584"/>
      <c r="E1440" s="951"/>
      <c r="F1440" s="952"/>
      <c r="G1440" s="950"/>
      <c r="H1440" s="953"/>
      <c r="I1440" s="3"/>
      <c r="J1440" s="3"/>
      <c r="K1440" s="955"/>
      <c r="L1440" s="956"/>
      <c r="M1440" s="956"/>
      <c r="N1440" s="3"/>
      <c r="O1440" s="955"/>
      <c r="P1440" s="957"/>
      <c r="Q1440" s="958"/>
    </row>
    <row r="1441">
      <c r="A1441" s="3"/>
      <c r="B1441" s="950"/>
      <c r="C1441" s="584"/>
      <c r="D1441" s="584"/>
      <c r="E1441" s="951"/>
      <c r="F1441" s="952"/>
      <c r="G1441" s="950"/>
      <c r="H1441" s="953"/>
      <c r="I1441" s="3"/>
      <c r="J1441" s="3"/>
      <c r="K1441" s="955"/>
      <c r="L1441" s="956"/>
      <c r="M1441" s="956"/>
      <c r="N1441" s="3"/>
      <c r="O1441" s="955"/>
      <c r="P1441" s="957"/>
      <c r="Q1441" s="958"/>
    </row>
    <row r="1442">
      <c r="A1442" s="3"/>
      <c r="B1442" s="950"/>
      <c r="C1442" s="584"/>
      <c r="D1442" s="584"/>
      <c r="E1442" s="951"/>
      <c r="F1442" s="952"/>
      <c r="G1442" s="950"/>
      <c r="H1442" s="953"/>
      <c r="I1442" s="3"/>
      <c r="J1442" s="3"/>
      <c r="K1442" s="955"/>
      <c r="L1442" s="956"/>
      <c r="M1442" s="956"/>
      <c r="N1442" s="3"/>
      <c r="O1442" s="955"/>
      <c r="P1442" s="957"/>
      <c r="Q1442" s="958"/>
    </row>
    <row r="1443">
      <c r="A1443" s="3"/>
      <c r="B1443" s="950"/>
      <c r="C1443" s="584"/>
      <c r="D1443" s="584"/>
      <c r="E1443" s="951"/>
      <c r="F1443" s="952"/>
      <c r="G1443" s="950"/>
      <c r="H1443" s="953"/>
      <c r="I1443" s="3"/>
      <c r="J1443" s="3"/>
      <c r="K1443" s="955"/>
      <c r="L1443" s="956"/>
      <c r="M1443" s="956"/>
      <c r="N1443" s="3"/>
      <c r="O1443" s="955"/>
      <c r="P1443" s="957"/>
      <c r="Q1443" s="958"/>
    </row>
    <row r="1444">
      <c r="A1444" s="3"/>
      <c r="B1444" s="950"/>
      <c r="C1444" s="584"/>
      <c r="D1444" s="584"/>
      <c r="E1444" s="951"/>
      <c r="F1444" s="952"/>
      <c r="G1444" s="950"/>
      <c r="H1444" s="953"/>
      <c r="I1444" s="3"/>
      <c r="J1444" s="3"/>
      <c r="K1444" s="955"/>
      <c r="L1444" s="956"/>
      <c r="M1444" s="956"/>
      <c r="N1444" s="3"/>
      <c r="O1444" s="955"/>
      <c r="P1444" s="957"/>
      <c r="Q1444" s="958"/>
    </row>
    <row r="1445">
      <c r="A1445" s="3"/>
      <c r="B1445" s="950"/>
      <c r="C1445" s="584"/>
      <c r="D1445" s="584"/>
      <c r="E1445" s="951"/>
      <c r="F1445" s="952"/>
      <c r="G1445" s="950"/>
      <c r="H1445" s="953"/>
      <c r="I1445" s="3"/>
      <c r="J1445" s="3"/>
      <c r="K1445" s="955"/>
      <c r="L1445" s="956"/>
      <c r="M1445" s="956"/>
      <c r="N1445" s="3"/>
      <c r="O1445" s="955"/>
      <c r="P1445" s="957"/>
      <c r="Q1445" s="958"/>
    </row>
    <row r="1446">
      <c r="A1446" s="3"/>
      <c r="B1446" s="950"/>
      <c r="C1446" s="584"/>
      <c r="D1446" s="584"/>
      <c r="E1446" s="951"/>
      <c r="F1446" s="952"/>
      <c r="G1446" s="950"/>
      <c r="H1446" s="953"/>
      <c r="I1446" s="3"/>
      <c r="J1446" s="3"/>
      <c r="K1446" s="955"/>
      <c r="L1446" s="956"/>
      <c r="M1446" s="956"/>
      <c r="N1446" s="3"/>
      <c r="O1446" s="955"/>
      <c r="P1446" s="957"/>
      <c r="Q1446" s="958"/>
    </row>
    <row r="1447">
      <c r="A1447" s="3"/>
      <c r="B1447" s="950"/>
      <c r="C1447" s="584"/>
      <c r="D1447" s="584"/>
      <c r="E1447" s="951"/>
      <c r="F1447" s="952"/>
      <c r="G1447" s="950"/>
      <c r="H1447" s="953"/>
      <c r="I1447" s="3"/>
      <c r="J1447" s="3"/>
      <c r="K1447" s="955"/>
      <c r="L1447" s="956"/>
      <c r="M1447" s="956"/>
      <c r="N1447" s="3"/>
      <c r="O1447" s="955"/>
      <c r="P1447" s="957"/>
      <c r="Q1447" s="958"/>
    </row>
    <row r="1448">
      <c r="A1448" s="3"/>
      <c r="B1448" s="950"/>
      <c r="C1448" s="584"/>
      <c r="D1448" s="584"/>
      <c r="E1448" s="951"/>
      <c r="F1448" s="952"/>
      <c r="G1448" s="950"/>
      <c r="H1448" s="953"/>
      <c r="I1448" s="3"/>
      <c r="J1448" s="3"/>
      <c r="K1448" s="955"/>
      <c r="L1448" s="956"/>
      <c r="M1448" s="956"/>
      <c r="N1448" s="3"/>
      <c r="O1448" s="955"/>
      <c r="P1448" s="957"/>
      <c r="Q1448" s="958"/>
    </row>
    <row r="1449">
      <c r="A1449" s="3"/>
      <c r="B1449" s="950"/>
      <c r="C1449" s="584"/>
      <c r="D1449" s="584"/>
      <c r="E1449" s="951"/>
      <c r="F1449" s="952"/>
      <c r="G1449" s="950"/>
      <c r="H1449" s="953"/>
      <c r="I1449" s="3"/>
      <c r="J1449" s="3"/>
      <c r="K1449" s="955"/>
      <c r="L1449" s="956"/>
      <c r="M1449" s="956"/>
      <c r="N1449" s="3"/>
      <c r="O1449" s="955"/>
      <c r="P1449" s="957"/>
      <c r="Q1449" s="958"/>
    </row>
    <row r="1450">
      <c r="A1450" s="3"/>
      <c r="B1450" s="950"/>
      <c r="C1450" s="584"/>
      <c r="D1450" s="584"/>
      <c r="E1450" s="951"/>
      <c r="F1450" s="952"/>
      <c r="G1450" s="950"/>
      <c r="H1450" s="953"/>
      <c r="I1450" s="3"/>
      <c r="J1450" s="3"/>
      <c r="K1450" s="955"/>
      <c r="L1450" s="956"/>
      <c r="M1450" s="956"/>
      <c r="N1450" s="3"/>
      <c r="O1450" s="955"/>
      <c r="P1450" s="957"/>
      <c r="Q1450" s="958"/>
    </row>
    <row r="1451">
      <c r="A1451" s="3"/>
      <c r="B1451" s="950"/>
      <c r="C1451" s="584"/>
      <c r="D1451" s="584"/>
      <c r="E1451" s="951"/>
      <c r="F1451" s="952"/>
      <c r="G1451" s="950"/>
      <c r="H1451" s="953"/>
      <c r="I1451" s="3"/>
      <c r="J1451" s="3"/>
      <c r="K1451" s="955"/>
      <c r="L1451" s="956"/>
      <c r="M1451" s="956"/>
      <c r="N1451" s="3"/>
      <c r="O1451" s="955"/>
      <c r="P1451" s="957"/>
      <c r="Q1451" s="958"/>
    </row>
    <row r="1452">
      <c r="A1452" s="3"/>
      <c r="B1452" s="950"/>
      <c r="C1452" s="584"/>
      <c r="D1452" s="584"/>
      <c r="E1452" s="951"/>
      <c r="F1452" s="952"/>
      <c r="G1452" s="950"/>
      <c r="H1452" s="953"/>
      <c r="I1452" s="3"/>
      <c r="J1452" s="3"/>
      <c r="K1452" s="955"/>
      <c r="L1452" s="956"/>
      <c r="M1452" s="956"/>
      <c r="N1452" s="3"/>
      <c r="O1452" s="955"/>
      <c r="P1452" s="957"/>
      <c r="Q1452" s="958"/>
    </row>
    <row r="1453">
      <c r="A1453" s="3"/>
      <c r="B1453" s="950"/>
      <c r="C1453" s="584"/>
      <c r="D1453" s="584"/>
      <c r="E1453" s="951"/>
      <c r="F1453" s="952"/>
      <c r="G1453" s="950"/>
      <c r="H1453" s="953"/>
      <c r="I1453" s="3"/>
      <c r="J1453" s="3"/>
      <c r="K1453" s="955"/>
      <c r="L1453" s="956"/>
      <c r="M1453" s="956"/>
      <c r="N1453" s="3"/>
      <c r="O1453" s="955"/>
      <c r="P1453" s="957"/>
      <c r="Q1453" s="958"/>
    </row>
    <row r="1454">
      <c r="A1454" s="3"/>
      <c r="B1454" s="950"/>
      <c r="C1454" s="584"/>
      <c r="D1454" s="584"/>
      <c r="E1454" s="951"/>
      <c r="F1454" s="952"/>
      <c r="G1454" s="950"/>
      <c r="H1454" s="953"/>
      <c r="I1454" s="3"/>
      <c r="J1454" s="3"/>
      <c r="K1454" s="955"/>
      <c r="L1454" s="956"/>
      <c r="M1454" s="956"/>
      <c r="N1454" s="3"/>
      <c r="O1454" s="955"/>
      <c r="P1454" s="957"/>
      <c r="Q1454" s="958"/>
    </row>
    <row r="1455">
      <c r="A1455" s="3"/>
      <c r="B1455" s="950"/>
      <c r="C1455" s="584"/>
      <c r="D1455" s="584"/>
      <c r="E1455" s="951"/>
      <c r="F1455" s="952"/>
      <c r="G1455" s="950"/>
      <c r="H1455" s="953"/>
      <c r="I1455" s="3"/>
      <c r="J1455" s="3"/>
      <c r="K1455" s="955"/>
      <c r="L1455" s="956"/>
      <c r="M1455" s="956"/>
      <c r="N1455" s="3"/>
      <c r="O1455" s="955"/>
      <c r="P1455" s="957"/>
      <c r="Q1455" s="958"/>
    </row>
    <row r="1456">
      <c r="A1456" s="3"/>
      <c r="B1456" s="950"/>
      <c r="C1456" s="584"/>
      <c r="D1456" s="584"/>
      <c r="E1456" s="951"/>
      <c r="F1456" s="952"/>
      <c r="G1456" s="950"/>
      <c r="H1456" s="953"/>
      <c r="I1456" s="3"/>
      <c r="J1456" s="3"/>
      <c r="K1456" s="955"/>
      <c r="L1456" s="956"/>
      <c r="M1456" s="956"/>
      <c r="N1456" s="3"/>
      <c r="O1456" s="955"/>
      <c r="P1456" s="957"/>
      <c r="Q1456" s="958"/>
    </row>
    <row r="1457">
      <c r="A1457" s="3"/>
      <c r="B1457" s="950"/>
      <c r="C1457" s="584"/>
      <c r="D1457" s="584"/>
      <c r="E1457" s="951"/>
      <c r="F1457" s="952"/>
      <c r="G1457" s="950"/>
      <c r="H1457" s="953"/>
      <c r="I1457" s="3"/>
      <c r="J1457" s="3"/>
      <c r="K1457" s="955"/>
      <c r="L1457" s="956"/>
      <c r="M1457" s="956"/>
      <c r="N1457" s="3"/>
      <c r="O1457" s="955"/>
      <c r="P1457" s="957"/>
      <c r="Q1457" s="958"/>
    </row>
    <row r="1458">
      <c r="A1458" s="3"/>
      <c r="B1458" s="950"/>
      <c r="C1458" s="584"/>
      <c r="D1458" s="584"/>
      <c r="E1458" s="951"/>
      <c r="F1458" s="952"/>
      <c r="G1458" s="950"/>
      <c r="H1458" s="953"/>
      <c r="I1458" s="3"/>
      <c r="J1458" s="3"/>
      <c r="K1458" s="955"/>
      <c r="L1458" s="956"/>
      <c r="M1458" s="956"/>
      <c r="N1458" s="3"/>
      <c r="O1458" s="955"/>
      <c r="P1458" s="957"/>
      <c r="Q1458" s="958"/>
    </row>
    <row r="1459">
      <c r="A1459" s="3"/>
      <c r="B1459" s="950"/>
      <c r="C1459" s="584"/>
      <c r="D1459" s="584"/>
      <c r="E1459" s="951"/>
      <c r="F1459" s="952"/>
      <c r="G1459" s="950"/>
      <c r="H1459" s="953"/>
      <c r="I1459" s="3"/>
      <c r="J1459" s="3"/>
      <c r="K1459" s="955"/>
      <c r="L1459" s="956"/>
      <c r="M1459" s="956"/>
      <c r="N1459" s="3"/>
      <c r="O1459" s="955"/>
      <c r="P1459" s="957"/>
      <c r="Q1459" s="958"/>
    </row>
    <row r="1460">
      <c r="A1460" s="3"/>
      <c r="B1460" s="950"/>
      <c r="C1460" s="584"/>
      <c r="D1460" s="584"/>
      <c r="E1460" s="951"/>
      <c r="F1460" s="952"/>
      <c r="G1460" s="950"/>
      <c r="H1460" s="953"/>
      <c r="I1460" s="3"/>
      <c r="J1460" s="3"/>
      <c r="K1460" s="955"/>
      <c r="L1460" s="956"/>
      <c r="M1460" s="956"/>
      <c r="N1460" s="3"/>
      <c r="O1460" s="955"/>
      <c r="P1460" s="957"/>
      <c r="Q1460" s="958"/>
    </row>
    <row r="1461">
      <c r="A1461" s="3"/>
      <c r="B1461" s="950"/>
      <c r="C1461" s="584"/>
      <c r="D1461" s="584"/>
      <c r="E1461" s="951"/>
      <c r="F1461" s="952"/>
      <c r="G1461" s="950"/>
      <c r="H1461" s="953"/>
      <c r="I1461" s="3"/>
      <c r="J1461" s="3"/>
      <c r="K1461" s="955"/>
      <c r="L1461" s="956"/>
      <c r="M1461" s="956"/>
      <c r="N1461" s="3"/>
      <c r="O1461" s="955"/>
      <c r="P1461" s="957"/>
      <c r="Q1461" s="958"/>
    </row>
    <row r="1462">
      <c r="A1462" s="3"/>
      <c r="B1462" s="950"/>
      <c r="C1462" s="584"/>
      <c r="D1462" s="584"/>
      <c r="E1462" s="951"/>
      <c r="F1462" s="952"/>
      <c r="G1462" s="950"/>
      <c r="H1462" s="953"/>
      <c r="I1462" s="3"/>
      <c r="J1462" s="3"/>
      <c r="K1462" s="955"/>
      <c r="L1462" s="956"/>
      <c r="M1462" s="956"/>
      <c r="N1462" s="3"/>
      <c r="O1462" s="955"/>
      <c r="P1462" s="957"/>
      <c r="Q1462" s="958"/>
    </row>
    <row r="1463">
      <c r="A1463" s="3"/>
      <c r="B1463" s="950"/>
      <c r="C1463" s="584"/>
      <c r="D1463" s="584"/>
      <c r="E1463" s="951"/>
      <c r="F1463" s="952"/>
      <c r="G1463" s="950"/>
      <c r="H1463" s="953"/>
      <c r="I1463" s="3"/>
      <c r="J1463" s="3"/>
      <c r="K1463" s="955"/>
      <c r="L1463" s="956"/>
      <c r="M1463" s="956"/>
      <c r="N1463" s="3"/>
      <c r="O1463" s="955"/>
      <c r="P1463" s="957"/>
      <c r="Q1463" s="958"/>
    </row>
    <row r="1464">
      <c r="A1464" s="3"/>
      <c r="B1464" s="950"/>
      <c r="C1464" s="584"/>
      <c r="D1464" s="584"/>
      <c r="E1464" s="951"/>
      <c r="F1464" s="952"/>
      <c r="G1464" s="950"/>
      <c r="H1464" s="953"/>
      <c r="I1464" s="3"/>
      <c r="J1464" s="3"/>
      <c r="K1464" s="955"/>
      <c r="L1464" s="956"/>
      <c r="M1464" s="956"/>
      <c r="N1464" s="3"/>
      <c r="O1464" s="955"/>
      <c r="P1464" s="957"/>
      <c r="Q1464" s="958"/>
    </row>
    <row r="1465">
      <c r="A1465" s="3"/>
      <c r="B1465" s="950"/>
      <c r="C1465" s="584"/>
      <c r="D1465" s="584"/>
      <c r="E1465" s="951"/>
      <c r="F1465" s="952"/>
      <c r="G1465" s="950"/>
      <c r="H1465" s="953"/>
      <c r="I1465" s="3"/>
      <c r="J1465" s="3"/>
      <c r="K1465" s="955"/>
      <c r="L1465" s="956"/>
      <c r="M1465" s="956"/>
      <c r="N1465" s="3"/>
      <c r="O1465" s="955"/>
      <c r="P1465" s="957"/>
      <c r="Q1465" s="958"/>
    </row>
    <row r="1466">
      <c r="A1466" s="3"/>
      <c r="B1466" s="950"/>
      <c r="C1466" s="584"/>
      <c r="D1466" s="584"/>
      <c r="E1466" s="951"/>
      <c r="F1466" s="952"/>
      <c r="G1466" s="950"/>
      <c r="H1466" s="953"/>
      <c r="I1466" s="3"/>
      <c r="J1466" s="3"/>
      <c r="K1466" s="955"/>
      <c r="L1466" s="956"/>
      <c r="M1466" s="956"/>
      <c r="N1466" s="3"/>
      <c r="O1466" s="955"/>
      <c r="P1466" s="957"/>
      <c r="Q1466" s="958"/>
    </row>
    <row r="1467">
      <c r="A1467" s="3"/>
      <c r="B1467" s="950"/>
      <c r="C1467" s="584"/>
      <c r="D1467" s="584"/>
      <c r="E1467" s="951"/>
      <c r="F1467" s="952"/>
      <c r="G1467" s="950"/>
      <c r="H1467" s="953"/>
      <c r="I1467" s="3"/>
      <c r="J1467" s="3"/>
      <c r="K1467" s="955"/>
      <c r="L1467" s="956"/>
      <c r="M1467" s="956"/>
      <c r="N1467" s="3"/>
      <c r="O1467" s="955"/>
      <c r="P1467" s="957"/>
      <c r="Q1467" s="958"/>
    </row>
    <row r="1468">
      <c r="A1468" s="3"/>
      <c r="B1468" s="950"/>
      <c r="C1468" s="584"/>
      <c r="D1468" s="584"/>
      <c r="E1468" s="951"/>
      <c r="F1468" s="952"/>
      <c r="G1468" s="950"/>
      <c r="H1468" s="953"/>
      <c r="I1468" s="3"/>
      <c r="J1468" s="3"/>
      <c r="K1468" s="955"/>
      <c r="L1468" s="956"/>
      <c r="M1468" s="956"/>
      <c r="N1468" s="3"/>
      <c r="O1468" s="955"/>
      <c r="P1468" s="957"/>
      <c r="Q1468" s="958"/>
    </row>
    <row r="1469">
      <c r="A1469" s="3"/>
      <c r="B1469" s="950"/>
      <c r="C1469" s="584"/>
      <c r="D1469" s="584"/>
      <c r="E1469" s="951"/>
      <c r="F1469" s="952"/>
      <c r="G1469" s="950"/>
      <c r="H1469" s="953"/>
      <c r="I1469" s="3"/>
      <c r="J1469" s="3"/>
      <c r="K1469" s="955"/>
      <c r="L1469" s="956"/>
      <c r="M1469" s="956"/>
      <c r="N1469" s="3"/>
      <c r="O1469" s="955"/>
      <c r="P1469" s="957"/>
      <c r="Q1469" s="958"/>
    </row>
    <row r="1470">
      <c r="A1470" s="3"/>
      <c r="B1470" s="950"/>
      <c r="C1470" s="584"/>
      <c r="D1470" s="584"/>
      <c r="E1470" s="951"/>
      <c r="F1470" s="952"/>
      <c r="G1470" s="950"/>
      <c r="H1470" s="953"/>
      <c r="I1470" s="3"/>
      <c r="J1470" s="3"/>
      <c r="K1470" s="955"/>
      <c r="L1470" s="956"/>
      <c r="M1470" s="956"/>
      <c r="N1470" s="3"/>
      <c r="O1470" s="955"/>
      <c r="P1470" s="957"/>
      <c r="Q1470" s="958"/>
    </row>
    <row r="1471">
      <c r="A1471" s="3"/>
      <c r="B1471" s="950"/>
      <c r="C1471" s="584"/>
      <c r="D1471" s="584"/>
      <c r="E1471" s="951"/>
      <c r="F1471" s="952"/>
      <c r="G1471" s="950"/>
      <c r="H1471" s="953"/>
      <c r="I1471" s="3"/>
      <c r="J1471" s="3"/>
      <c r="K1471" s="955"/>
      <c r="L1471" s="956"/>
      <c r="M1471" s="956"/>
      <c r="N1471" s="3"/>
      <c r="O1471" s="955"/>
      <c r="P1471" s="957"/>
      <c r="Q1471" s="958"/>
    </row>
    <row r="1472">
      <c r="A1472" s="3"/>
      <c r="B1472" s="950"/>
      <c r="C1472" s="584"/>
      <c r="D1472" s="584"/>
      <c r="E1472" s="951"/>
      <c r="F1472" s="952"/>
      <c r="G1472" s="950"/>
      <c r="H1472" s="953"/>
      <c r="I1472" s="3"/>
      <c r="J1472" s="3"/>
      <c r="K1472" s="955"/>
      <c r="L1472" s="956"/>
      <c r="M1472" s="956"/>
      <c r="N1472" s="3"/>
      <c r="O1472" s="955"/>
      <c r="P1472" s="957"/>
      <c r="Q1472" s="958"/>
    </row>
    <row r="1473">
      <c r="A1473" s="3"/>
      <c r="B1473" s="950"/>
      <c r="C1473" s="584"/>
      <c r="D1473" s="584"/>
      <c r="E1473" s="951"/>
      <c r="F1473" s="952"/>
      <c r="G1473" s="950"/>
      <c r="H1473" s="953"/>
      <c r="I1473" s="3"/>
      <c r="J1473" s="3"/>
      <c r="K1473" s="955"/>
      <c r="L1473" s="956"/>
      <c r="M1473" s="956"/>
      <c r="N1473" s="3"/>
      <c r="O1473" s="955"/>
      <c r="P1473" s="957"/>
      <c r="Q1473" s="958"/>
    </row>
    <row r="1474">
      <c r="A1474" s="3"/>
      <c r="B1474" s="950"/>
      <c r="C1474" s="584"/>
      <c r="D1474" s="584"/>
      <c r="E1474" s="951"/>
      <c r="F1474" s="952"/>
      <c r="G1474" s="950"/>
      <c r="H1474" s="953"/>
      <c r="I1474" s="3"/>
      <c r="J1474" s="3"/>
      <c r="K1474" s="955"/>
      <c r="L1474" s="956"/>
      <c r="M1474" s="956"/>
      <c r="N1474" s="3"/>
      <c r="O1474" s="955"/>
      <c r="P1474" s="957"/>
      <c r="Q1474" s="958"/>
    </row>
    <row r="1475">
      <c r="A1475" s="3"/>
      <c r="B1475" s="950"/>
      <c r="C1475" s="584"/>
      <c r="D1475" s="584"/>
      <c r="E1475" s="951"/>
      <c r="F1475" s="952"/>
      <c r="G1475" s="950"/>
      <c r="H1475" s="953"/>
      <c r="I1475" s="3"/>
      <c r="J1475" s="3"/>
      <c r="K1475" s="955"/>
      <c r="L1475" s="956"/>
      <c r="M1475" s="956"/>
      <c r="N1475" s="3"/>
      <c r="O1475" s="955"/>
      <c r="P1475" s="957"/>
      <c r="Q1475" s="958"/>
    </row>
    <row r="1476">
      <c r="A1476" s="3"/>
      <c r="B1476" s="950"/>
      <c r="C1476" s="584"/>
      <c r="D1476" s="584"/>
      <c r="E1476" s="951"/>
      <c r="F1476" s="952"/>
      <c r="G1476" s="950"/>
      <c r="H1476" s="953"/>
      <c r="I1476" s="3"/>
      <c r="J1476" s="3"/>
      <c r="K1476" s="955"/>
      <c r="L1476" s="956"/>
      <c r="M1476" s="956"/>
      <c r="N1476" s="3"/>
      <c r="O1476" s="955"/>
      <c r="P1476" s="957"/>
      <c r="Q1476" s="958"/>
    </row>
    <row r="1477">
      <c r="A1477" s="3"/>
      <c r="B1477" s="950"/>
      <c r="C1477" s="584"/>
      <c r="D1477" s="584"/>
      <c r="E1477" s="951"/>
      <c r="F1477" s="952"/>
      <c r="G1477" s="950"/>
      <c r="H1477" s="953"/>
      <c r="I1477" s="3"/>
      <c r="J1477" s="3"/>
      <c r="K1477" s="955"/>
      <c r="L1477" s="956"/>
      <c r="M1477" s="956"/>
      <c r="N1477" s="3"/>
      <c r="O1477" s="955"/>
      <c r="P1477" s="957"/>
      <c r="Q1477" s="958"/>
    </row>
    <row r="1478">
      <c r="A1478" s="3"/>
      <c r="B1478" s="950"/>
      <c r="C1478" s="584"/>
      <c r="D1478" s="584"/>
      <c r="E1478" s="951"/>
      <c r="F1478" s="952"/>
      <c r="G1478" s="950"/>
      <c r="H1478" s="953"/>
      <c r="I1478" s="3"/>
      <c r="J1478" s="3"/>
      <c r="K1478" s="955"/>
      <c r="L1478" s="956"/>
      <c r="M1478" s="956"/>
      <c r="N1478" s="3"/>
      <c r="O1478" s="955"/>
      <c r="P1478" s="957"/>
      <c r="Q1478" s="958"/>
    </row>
    <row r="1479">
      <c r="A1479" s="3"/>
      <c r="B1479" s="950"/>
      <c r="C1479" s="584"/>
      <c r="D1479" s="584"/>
      <c r="E1479" s="951"/>
      <c r="F1479" s="952"/>
      <c r="G1479" s="950"/>
      <c r="H1479" s="953"/>
      <c r="I1479" s="3"/>
      <c r="J1479" s="3"/>
      <c r="K1479" s="955"/>
      <c r="L1479" s="956"/>
      <c r="M1479" s="956"/>
      <c r="N1479" s="3"/>
      <c r="O1479" s="955"/>
      <c r="P1479" s="957"/>
      <c r="Q1479" s="958"/>
    </row>
    <row r="1480">
      <c r="A1480" s="3"/>
      <c r="B1480" s="950"/>
      <c r="C1480" s="584"/>
      <c r="D1480" s="584"/>
      <c r="E1480" s="951"/>
      <c r="F1480" s="952"/>
      <c r="G1480" s="950"/>
      <c r="H1480" s="953"/>
      <c r="I1480" s="3"/>
      <c r="J1480" s="3"/>
      <c r="K1480" s="955"/>
      <c r="L1480" s="956"/>
      <c r="M1480" s="956"/>
      <c r="N1480" s="3"/>
      <c r="O1480" s="955"/>
      <c r="P1480" s="957"/>
      <c r="Q1480" s="958"/>
    </row>
    <row r="1481">
      <c r="A1481" s="3"/>
      <c r="B1481" s="950"/>
      <c r="C1481" s="584"/>
      <c r="D1481" s="584"/>
      <c r="E1481" s="951"/>
      <c r="F1481" s="952"/>
      <c r="G1481" s="950"/>
      <c r="H1481" s="953"/>
      <c r="I1481" s="3"/>
      <c r="J1481" s="3"/>
      <c r="K1481" s="955"/>
      <c r="L1481" s="956"/>
      <c r="M1481" s="956"/>
      <c r="N1481" s="3"/>
      <c r="O1481" s="955"/>
      <c r="P1481" s="957"/>
      <c r="Q1481" s="958"/>
    </row>
    <row r="1482">
      <c r="A1482" s="3"/>
      <c r="B1482" s="950"/>
      <c r="C1482" s="584"/>
      <c r="D1482" s="584"/>
      <c r="E1482" s="951"/>
      <c r="F1482" s="952"/>
      <c r="G1482" s="950"/>
      <c r="H1482" s="953"/>
      <c r="I1482" s="3"/>
      <c r="J1482" s="3"/>
      <c r="K1482" s="955"/>
      <c r="L1482" s="956"/>
      <c r="M1482" s="956"/>
      <c r="N1482" s="3"/>
      <c r="O1482" s="955"/>
      <c r="P1482" s="957"/>
      <c r="Q1482" s="958"/>
    </row>
    <row r="1483">
      <c r="A1483" s="3"/>
      <c r="B1483" s="950"/>
      <c r="C1483" s="584"/>
      <c r="D1483" s="584"/>
      <c r="E1483" s="951"/>
      <c r="F1483" s="952"/>
      <c r="G1483" s="950"/>
      <c r="H1483" s="953"/>
      <c r="I1483" s="3"/>
      <c r="J1483" s="3"/>
      <c r="K1483" s="955"/>
      <c r="L1483" s="956"/>
      <c r="M1483" s="956"/>
      <c r="N1483" s="3"/>
      <c r="O1483" s="955"/>
      <c r="P1483" s="957"/>
      <c r="Q1483" s="958"/>
    </row>
    <row r="1484">
      <c r="A1484" s="3"/>
      <c r="B1484" s="950"/>
      <c r="C1484" s="584"/>
      <c r="D1484" s="584"/>
      <c r="E1484" s="951"/>
      <c r="F1484" s="952"/>
      <c r="G1484" s="950"/>
      <c r="H1484" s="953"/>
      <c r="I1484" s="3"/>
      <c r="J1484" s="3"/>
      <c r="K1484" s="955"/>
      <c r="L1484" s="956"/>
      <c r="M1484" s="956"/>
      <c r="N1484" s="3"/>
      <c r="O1484" s="955"/>
      <c r="P1484" s="957"/>
      <c r="Q1484" s="958"/>
    </row>
    <row r="1485">
      <c r="A1485" s="3"/>
      <c r="B1485" s="950"/>
      <c r="C1485" s="584"/>
      <c r="D1485" s="584"/>
      <c r="E1485" s="951"/>
      <c r="F1485" s="952"/>
      <c r="G1485" s="950"/>
      <c r="H1485" s="953"/>
      <c r="I1485" s="3"/>
      <c r="J1485" s="3"/>
      <c r="K1485" s="955"/>
      <c r="L1485" s="956"/>
      <c r="M1485" s="956"/>
      <c r="N1485" s="3"/>
      <c r="O1485" s="955"/>
      <c r="P1485" s="957"/>
      <c r="Q1485" s="958"/>
    </row>
    <row r="1486">
      <c r="A1486" s="3"/>
      <c r="B1486" s="950"/>
      <c r="C1486" s="584"/>
      <c r="D1486" s="584"/>
      <c r="E1486" s="951"/>
      <c r="F1486" s="952"/>
      <c r="G1486" s="950"/>
      <c r="H1486" s="953"/>
      <c r="I1486" s="3"/>
      <c r="J1486" s="3"/>
      <c r="K1486" s="955"/>
      <c r="L1486" s="956"/>
      <c r="M1486" s="956"/>
      <c r="N1486" s="3"/>
      <c r="O1486" s="955"/>
      <c r="P1486" s="957"/>
      <c r="Q1486" s="958"/>
    </row>
    <row r="1487">
      <c r="A1487" s="3"/>
      <c r="B1487" s="950"/>
      <c r="C1487" s="584"/>
      <c r="D1487" s="584"/>
      <c r="E1487" s="951"/>
      <c r="F1487" s="952"/>
      <c r="G1487" s="950"/>
      <c r="H1487" s="953"/>
      <c r="I1487" s="3"/>
      <c r="J1487" s="3"/>
      <c r="K1487" s="955"/>
      <c r="L1487" s="956"/>
      <c r="M1487" s="956"/>
      <c r="N1487" s="3"/>
      <c r="O1487" s="955"/>
      <c r="P1487" s="957"/>
      <c r="Q1487" s="958"/>
    </row>
    <row r="1488">
      <c r="A1488" s="3"/>
      <c r="B1488" s="950"/>
      <c r="C1488" s="584"/>
      <c r="D1488" s="584"/>
      <c r="E1488" s="951"/>
      <c r="F1488" s="952"/>
      <c r="G1488" s="950"/>
      <c r="H1488" s="953"/>
      <c r="I1488" s="3"/>
      <c r="J1488" s="3"/>
      <c r="K1488" s="955"/>
      <c r="L1488" s="956"/>
      <c r="M1488" s="956"/>
      <c r="N1488" s="3"/>
      <c r="O1488" s="955"/>
      <c r="P1488" s="957"/>
      <c r="Q1488" s="958"/>
    </row>
    <row r="1489">
      <c r="A1489" s="3"/>
      <c r="B1489" s="950"/>
      <c r="C1489" s="584"/>
      <c r="D1489" s="584"/>
      <c r="E1489" s="951"/>
      <c r="F1489" s="952"/>
      <c r="G1489" s="950"/>
      <c r="H1489" s="953"/>
      <c r="I1489" s="3"/>
      <c r="J1489" s="3"/>
      <c r="K1489" s="955"/>
      <c r="L1489" s="956"/>
      <c r="M1489" s="956"/>
      <c r="N1489" s="3"/>
      <c r="O1489" s="955"/>
      <c r="P1489" s="957"/>
      <c r="Q1489" s="958"/>
    </row>
    <row r="1490">
      <c r="A1490" s="3"/>
      <c r="B1490" s="950"/>
      <c r="C1490" s="584"/>
      <c r="D1490" s="584"/>
      <c r="E1490" s="951"/>
      <c r="F1490" s="952"/>
      <c r="G1490" s="950"/>
      <c r="H1490" s="953"/>
      <c r="I1490" s="3"/>
      <c r="J1490" s="3"/>
      <c r="K1490" s="955"/>
      <c r="L1490" s="956"/>
      <c r="M1490" s="956"/>
      <c r="N1490" s="3"/>
      <c r="O1490" s="955"/>
      <c r="P1490" s="957"/>
      <c r="Q1490" s="958"/>
    </row>
    <row r="1491">
      <c r="A1491" s="3"/>
      <c r="B1491" s="950"/>
      <c r="C1491" s="584"/>
      <c r="D1491" s="584"/>
      <c r="E1491" s="951"/>
      <c r="F1491" s="952"/>
      <c r="G1491" s="950"/>
      <c r="H1491" s="953"/>
      <c r="I1491" s="3"/>
      <c r="J1491" s="3"/>
      <c r="K1491" s="955"/>
      <c r="L1491" s="956"/>
      <c r="M1491" s="956"/>
      <c r="N1491" s="3"/>
      <c r="O1491" s="955"/>
      <c r="P1491" s="957"/>
      <c r="Q1491" s="958"/>
    </row>
    <row r="1492">
      <c r="A1492" s="3"/>
      <c r="B1492" s="950"/>
      <c r="C1492" s="584"/>
      <c r="D1492" s="584"/>
      <c r="E1492" s="951"/>
      <c r="F1492" s="952"/>
      <c r="G1492" s="950"/>
      <c r="H1492" s="953"/>
      <c r="I1492" s="3"/>
      <c r="J1492" s="3"/>
      <c r="K1492" s="955"/>
      <c r="L1492" s="956"/>
      <c r="M1492" s="956"/>
      <c r="N1492" s="3"/>
      <c r="O1492" s="955"/>
      <c r="P1492" s="957"/>
      <c r="Q1492" s="958"/>
    </row>
    <row r="1493">
      <c r="A1493" s="3"/>
      <c r="B1493" s="950"/>
      <c r="C1493" s="584"/>
      <c r="D1493" s="584"/>
      <c r="E1493" s="951"/>
      <c r="F1493" s="952"/>
      <c r="G1493" s="950"/>
      <c r="H1493" s="953"/>
      <c r="I1493" s="3"/>
      <c r="J1493" s="3"/>
      <c r="K1493" s="955"/>
      <c r="L1493" s="956"/>
      <c r="M1493" s="956"/>
      <c r="N1493" s="3"/>
      <c r="O1493" s="955"/>
      <c r="P1493" s="957"/>
      <c r="Q1493" s="958"/>
    </row>
    <row r="1494">
      <c r="A1494" s="3"/>
      <c r="B1494" s="950"/>
      <c r="C1494" s="584"/>
      <c r="D1494" s="584"/>
      <c r="E1494" s="951"/>
      <c r="F1494" s="952"/>
      <c r="G1494" s="950"/>
      <c r="H1494" s="953"/>
      <c r="I1494" s="3"/>
      <c r="J1494" s="3"/>
      <c r="K1494" s="955"/>
      <c r="L1494" s="956"/>
      <c r="M1494" s="956"/>
      <c r="N1494" s="3"/>
      <c r="O1494" s="955"/>
      <c r="P1494" s="957"/>
      <c r="Q1494" s="958"/>
    </row>
    <row r="1495">
      <c r="A1495" s="3"/>
      <c r="B1495" s="950"/>
      <c r="C1495" s="584"/>
      <c r="D1495" s="584"/>
      <c r="E1495" s="951"/>
      <c r="F1495" s="952"/>
      <c r="G1495" s="950"/>
      <c r="H1495" s="953"/>
      <c r="I1495" s="3"/>
      <c r="J1495" s="3"/>
      <c r="K1495" s="955"/>
      <c r="L1495" s="956"/>
      <c r="M1495" s="956"/>
      <c r="N1495" s="3"/>
      <c r="O1495" s="955"/>
      <c r="P1495" s="957"/>
      <c r="Q1495" s="958"/>
    </row>
    <row r="1496">
      <c r="A1496" s="3"/>
      <c r="B1496" s="950"/>
      <c r="C1496" s="584"/>
      <c r="D1496" s="584"/>
      <c r="E1496" s="951"/>
      <c r="F1496" s="952"/>
      <c r="G1496" s="950"/>
      <c r="H1496" s="953"/>
      <c r="I1496" s="3"/>
      <c r="J1496" s="3"/>
      <c r="K1496" s="955"/>
      <c r="L1496" s="956"/>
      <c r="M1496" s="956"/>
      <c r="N1496" s="3"/>
      <c r="O1496" s="955"/>
      <c r="P1496" s="957"/>
      <c r="Q1496" s="958"/>
    </row>
    <row r="1497">
      <c r="A1497" s="3"/>
      <c r="B1497" s="950"/>
      <c r="C1497" s="584"/>
      <c r="D1497" s="584"/>
      <c r="E1497" s="951"/>
      <c r="F1497" s="952"/>
      <c r="G1497" s="950"/>
      <c r="H1497" s="953"/>
      <c r="I1497" s="3"/>
      <c r="J1497" s="3"/>
      <c r="K1497" s="955"/>
      <c r="L1497" s="956"/>
      <c r="M1497" s="956"/>
      <c r="N1497" s="3"/>
      <c r="O1497" s="955"/>
      <c r="P1497" s="957"/>
      <c r="Q1497" s="958"/>
    </row>
    <row r="1498">
      <c r="A1498" s="3"/>
      <c r="B1498" s="950"/>
      <c r="C1498" s="584"/>
      <c r="D1498" s="584"/>
      <c r="E1498" s="951"/>
      <c r="F1498" s="952"/>
      <c r="G1498" s="950"/>
      <c r="H1498" s="953"/>
      <c r="I1498" s="3"/>
      <c r="J1498" s="3"/>
      <c r="K1498" s="955"/>
      <c r="L1498" s="956"/>
      <c r="M1498" s="956"/>
      <c r="N1498" s="3"/>
      <c r="O1498" s="955"/>
      <c r="P1498" s="957"/>
      <c r="Q1498" s="958"/>
    </row>
    <row r="1499">
      <c r="A1499" s="3"/>
      <c r="B1499" s="950"/>
      <c r="C1499" s="584"/>
      <c r="D1499" s="584"/>
      <c r="E1499" s="951"/>
      <c r="F1499" s="952"/>
      <c r="G1499" s="950"/>
      <c r="H1499" s="953"/>
      <c r="I1499" s="3"/>
      <c r="J1499" s="3"/>
      <c r="K1499" s="955"/>
      <c r="L1499" s="956"/>
      <c r="M1499" s="956"/>
      <c r="N1499" s="3"/>
      <c r="O1499" s="955"/>
      <c r="P1499" s="957"/>
      <c r="Q1499" s="958"/>
    </row>
    <row r="1500">
      <c r="A1500" s="3"/>
      <c r="B1500" s="950"/>
      <c r="C1500" s="584"/>
      <c r="D1500" s="584"/>
      <c r="E1500" s="951"/>
      <c r="F1500" s="952"/>
      <c r="G1500" s="950"/>
      <c r="H1500" s="953"/>
      <c r="I1500" s="3"/>
      <c r="J1500" s="3"/>
      <c r="K1500" s="955"/>
      <c r="L1500" s="956"/>
      <c r="M1500" s="956"/>
      <c r="N1500" s="3"/>
      <c r="O1500" s="955"/>
      <c r="P1500" s="957"/>
      <c r="Q1500" s="958"/>
    </row>
    <row r="1501">
      <c r="A1501" s="3"/>
      <c r="B1501" s="950"/>
      <c r="C1501" s="584"/>
      <c r="D1501" s="584"/>
      <c r="E1501" s="951"/>
      <c r="F1501" s="952"/>
      <c r="G1501" s="950"/>
      <c r="H1501" s="953"/>
      <c r="I1501" s="3"/>
      <c r="J1501" s="3"/>
      <c r="K1501" s="955"/>
      <c r="L1501" s="956"/>
      <c r="M1501" s="956"/>
      <c r="N1501" s="3"/>
      <c r="O1501" s="955"/>
      <c r="P1501" s="957"/>
      <c r="Q1501" s="958"/>
    </row>
    <row r="1502">
      <c r="A1502" s="3"/>
      <c r="B1502" s="950"/>
      <c r="C1502" s="584"/>
      <c r="D1502" s="584"/>
      <c r="E1502" s="951"/>
      <c r="F1502" s="952"/>
      <c r="G1502" s="950"/>
      <c r="H1502" s="953"/>
      <c r="I1502" s="3"/>
      <c r="J1502" s="3"/>
      <c r="K1502" s="955"/>
      <c r="L1502" s="956"/>
      <c r="M1502" s="956"/>
      <c r="N1502" s="3"/>
      <c r="O1502" s="955"/>
      <c r="P1502" s="957"/>
      <c r="Q1502" s="958"/>
    </row>
    <row r="1503">
      <c r="A1503" s="3"/>
      <c r="B1503" s="950"/>
      <c r="C1503" s="584"/>
      <c r="D1503" s="584"/>
      <c r="E1503" s="951"/>
      <c r="F1503" s="952"/>
      <c r="G1503" s="950"/>
      <c r="H1503" s="953"/>
      <c r="I1503" s="3"/>
      <c r="J1503" s="3"/>
      <c r="K1503" s="955"/>
      <c r="L1503" s="956"/>
      <c r="M1503" s="956"/>
      <c r="N1503" s="3"/>
      <c r="O1503" s="955"/>
      <c r="P1503" s="957"/>
      <c r="Q1503" s="958"/>
    </row>
    <row r="1504">
      <c r="A1504" s="3"/>
      <c r="B1504" s="950"/>
      <c r="C1504" s="584"/>
      <c r="D1504" s="584"/>
      <c r="E1504" s="951"/>
      <c r="F1504" s="952"/>
      <c r="G1504" s="950"/>
      <c r="H1504" s="953"/>
      <c r="I1504" s="3"/>
      <c r="J1504" s="3"/>
      <c r="K1504" s="955"/>
      <c r="L1504" s="956"/>
      <c r="M1504" s="956"/>
      <c r="N1504" s="3"/>
      <c r="O1504" s="955"/>
      <c r="P1504" s="957"/>
      <c r="Q1504" s="958"/>
    </row>
    <row r="1505">
      <c r="A1505" s="3"/>
      <c r="B1505" s="950"/>
      <c r="C1505" s="584"/>
      <c r="D1505" s="584"/>
      <c r="E1505" s="951"/>
      <c r="F1505" s="952"/>
      <c r="G1505" s="950"/>
      <c r="H1505" s="953"/>
      <c r="I1505" s="3"/>
      <c r="J1505" s="3"/>
      <c r="K1505" s="955"/>
      <c r="L1505" s="956"/>
      <c r="M1505" s="956"/>
      <c r="N1505" s="3"/>
      <c r="O1505" s="955"/>
      <c r="P1505" s="957"/>
      <c r="Q1505" s="958"/>
    </row>
    <row r="1506">
      <c r="A1506" s="3"/>
      <c r="B1506" s="950"/>
      <c r="C1506" s="584"/>
      <c r="D1506" s="584"/>
      <c r="E1506" s="951"/>
      <c r="F1506" s="952"/>
      <c r="G1506" s="950"/>
      <c r="H1506" s="953"/>
      <c r="I1506" s="3"/>
      <c r="J1506" s="3"/>
      <c r="K1506" s="955"/>
      <c r="L1506" s="956"/>
      <c r="M1506" s="956"/>
      <c r="N1506" s="3"/>
      <c r="O1506" s="955"/>
      <c r="P1506" s="957"/>
      <c r="Q1506" s="958"/>
    </row>
    <row r="1507">
      <c r="A1507" s="3"/>
      <c r="B1507" s="950"/>
      <c r="C1507" s="584"/>
      <c r="D1507" s="584"/>
      <c r="E1507" s="951"/>
      <c r="F1507" s="952"/>
      <c r="G1507" s="950"/>
      <c r="H1507" s="953"/>
      <c r="I1507" s="3"/>
      <c r="J1507" s="3"/>
      <c r="K1507" s="955"/>
      <c r="L1507" s="956"/>
      <c r="M1507" s="956"/>
      <c r="N1507" s="3"/>
      <c r="O1507" s="955"/>
      <c r="P1507" s="957"/>
      <c r="Q1507" s="958"/>
    </row>
    <row r="1508">
      <c r="A1508" s="3"/>
      <c r="B1508" s="950"/>
      <c r="C1508" s="584"/>
      <c r="D1508" s="584"/>
      <c r="E1508" s="951"/>
      <c r="F1508" s="952"/>
      <c r="G1508" s="950"/>
      <c r="H1508" s="953"/>
      <c r="I1508" s="3"/>
      <c r="J1508" s="3"/>
      <c r="K1508" s="955"/>
      <c r="L1508" s="956"/>
      <c r="M1508" s="956"/>
      <c r="N1508" s="3"/>
      <c r="O1508" s="955"/>
      <c r="P1508" s="957"/>
      <c r="Q1508" s="958"/>
    </row>
    <row r="1509">
      <c r="A1509" s="3"/>
      <c r="B1509" s="950"/>
      <c r="C1509" s="584"/>
      <c r="D1509" s="584"/>
      <c r="E1509" s="951"/>
      <c r="F1509" s="952"/>
      <c r="G1509" s="950"/>
      <c r="H1509" s="953"/>
      <c r="I1509" s="3"/>
      <c r="J1509" s="3"/>
      <c r="K1509" s="955"/>
      <c r="L1509" s="956"/>
      <c r="M1509" s="956"/>
      <c r="N1509" s="3"/>
      <c r="O1509" s="955"/>
      <c r="P1509" s="957"/>
      <c r="Q1509" s="958"/>
    </row>
    <row r="1510">
      <c r="A1510" s="3"/>
      <c r="B1510" s="950"/>
      <c r="C1510" s="584"/>
      <c r="D1510" s="584"/>
      <c r="E1510" s="951"/>
      <c r="F1510" s="952"/>
      <c r="G1510" s="950"/>
      <c r="H1510" s="953"/>
      <c r="I1510" s="3"/>
      <c r="J1510" s="3"/>
      <c r="K1510" s="955"/>
      <c r="L1510" s="956"/>
      <c r="M1510" s="956"/>
      <c r="N1510" s="3"/>
      <c r="O1510" s="955"/>
      <c r="P1510" s="957"/>
      <c r="Q1510" s="958"/>
    </row>
    <row r="1511">
      <c r="A1511" s="3"/>
      <c r="B1511" s="950"/>
      <c r="C1511" s="584"/>
      <c r="D1511" s="584"/>
      <c r="E1511" s="951"/>
      <c r="F1511" s="952"/>
      <c r="G1511" s="950"/>
      <c r="H1511" s="953"/>
      <c r="I1511" s="3"/>
      <c r="J1511" s="3"/>
      <c r="K1511" s="955"/>
      <c r="L1511" s="956"/>
      <c r="M1511" s="956"/>
      <c r="N1511" s="3"/>
      <c r="O1511" s="955"/>
      <c r="P1511" s="957"/>
      <c r="Q1511" s="958"/>
    </row>
    <row r="1512">
      <c r="A1512" s="3"/>
      <c r="B1512" s="950"/>
      <c r="C1512" s="584"/>
      <c r="D1512" s="584"/>
      <c r="E1512" s="951"/>
      <c r="F1512" s="952"/>
      <c r="G1512" s="950"/>
      <c r="H1512" s="953"/>
      <c r="I1512" s="3"/>
      <c r="J1512" s="3"/>
      <c r="K1512" s="955"/>
      <c r="L1512" s="956"/>
      <c r="M1512" s="956"/>
      <c r="N1512" s="3"/>
      <c r="O1512" s="955"/>
      <c r="P1512" s="957"/>
      <c r="Q1512" s="958"/>
    </row>
    <row r="1513">
      <c r="A1513" s="3"/>
      <c r="B1513" s="950"/>
      <c r="C1513" s="584"/>
      <c r="D1513" s="584"/>
      <c r="E1513" s="951"/>
      <c r="F1513" s="952"/>
      <c r="G1513" s="950"/>
      <c r="H1513" s="953"/>
      <c r="I1513" s="3"/>
      <c r="J1513" s="3"/>
      <c r="K1513" s="955"/>
      <c r="L1513" s="956"/>
      <c r="M1513" s="956"/>
      <c r="N1513" s="3"/>
      <c r="O1513" s="955"/>
      <c r="P1513" s="957"/>
      <c r="Q1513" s="958"/>
    </row>
    <row r="1514">
      <c r="A1514" s="3"/>
      <c r="B1514" s="950"/>
      <c r="C1514" s="584"/>
      <c r="D1514" s="584"/>
      <c r="E1514" s="951"/>
      <c r="F1514" s="952"/>
      <c r="G1514" s="950"/>
      <c r="H1514" s="953"/>
      <c r="I1514" s="3"/>
      <c r="J1514" s="3"/>
      <c r="K1514" s="955"/>
      <c r="L1514" s="956"/>
      <c r="M1514" s="956"/>
      <c r="N1514" s="3"/>
      <c r="O1514" s="955"/>
      <c r="P1514" s="957"/>
      <c r="Q1514" s="958"/>
    </row>
    <row r="1515">
      <c r="A1515" s="3"/>
      <c r="B1515" s="950"/>
      <c r="C1515" s="584"/>
      <c r="D1515" s="584"/>
      <c r="E1515" s="951"/>
      <c r="F1515" s="952"/>
      <c r="G1515" s="950"/>
      <c r="H1515" s="953"/>
      <c r="I1515" s="3"/>
      <c r="J1515" s="3"/>
      <c r="K1515" s="955"/>
      <c r="L1515" s="956"/>
      <c r="M1515" s="956"/>
      <c r="N1515" s="3"/>
      <c r="O1515" s="955"/>
      <c r="P1515" s="957"/>
      <c r="Q1515" s="958"/>
    </row>
    <row r="1516">
      <c r="A1516" s="3"/>
      <c r="B1516" s="950"/>
      <c r="C1516" s="584"/>
      <c r="D1516" s="584"/>
      <c r="E1516" s="951"/>
      <c r="F1516" s="952"/>
      <c r="G1516" s="950"/>
      <c r="H1516" s="953"/>
      <c r="I1516" s="3"/>
      <c r="J1516" s="3"/>
      <c r="K1516" s="955"/>
      <c r="L1516" s="956"/>
      <c r="M1516" s="956"/>
      <c r="N1516" s="3"/>
      <c r="O1516" s="955"/>
      <c r="P1516" s="957"/>
      <c r="Q1516" s="958"/>
    </row>
    <row r="1517">
      <c r="A1517" s="3"/>
      <c r="B1517" s="950"/>
      <c r="C1517" s="584"/>
      <c r="D1517" s="584"/>
      <c r="E1517" s="951"/>
      <c r="F1517" s="952"/>
      <c r="G1517" s="950"/>
      <c r="H1517" s="953"/>
      <c r="I1517" s="3"/>
      <c r="J1517" s="3"/>
      <c r="K1517" s="955"/>
      <c r="L1517" s="956"/>
      <c r="M1517" s="956"/>
      <c r="N1517" s="3"/>
      <c r="O1517" s="955"/>
      <c r="P1517" s="957"/>
      <c r="Q1517" s="958"/>
    </row>
    <row r="1518">
      <c r="A1518" s="3"/>
      <c r="B1518" s="950"/>
      <c r="C1518" s="584"/>
      <c r="D1518" s="584"/>
      <c r="E1518" s="951"/>
      <c r="F1518" s="952"/>
      <c r="G1518" s="950"/>
      <c r="H1518" s="953"/>
      <c r="I1518" s="3"/>
      <c r="J1518" s="3"/>
      <c r="K1518" s="955"/>
      <c r="L1518" s="956"/>
      <c r="M1518" s="956"/>
      <c r="N1518" s="3"/>
      <c r="O1518" s="955"/>
      <c r="P1518" s="957"/>
      <c r="Q1518" s="958"/>
    </row>
    <row r="1519">
      <c r="A1519" s="3"/>
      <c r="B1519" s="950"/>
      <c r="C1519" s="584"/>
      <c r="D1519" s="584"/>
      <c r="E1519" s="951"/>
      <c r="F1519" s="952"/>
      <c r="G1519" s="950"/>
      <c r="H1519" s="953"/>
      <c r="I1519" s="3"/>
      <c r="J1519" s="3"/>
      <c r="K1519" s="955"/>
      <c r="L1519" s="956"/>
      <c r="M1519" s="956"/>
      <c r="N1519" s="3"/>
      <c r="O1519" s="955"/>
      <c r="P1519" s="957"/>
      <c r="Q1519" s="958"/>
    </row>
    <row r="1520">
      <c r="A1520" s="3"/>
      <c r="B1520" s="950"/>
      <c r="C1520" s="584"/>
      <c r="D1520" s="584"/>
      <c r="E1520" s="951"/>
      <c r="F1520" s="952"/>
      <c r="G1520" s="950"/>
      <c r="H1520" s="953"/>
      <c r="I1520" s="3"/>
      <c r="J1520" s="3"/>
      <c r="K1520" s="955"/>
      <c r="L1520" s="956"/>
      <c r="M1520" s="956"/>
      <c r="N1520" s="3"/>
      <c r="O1520" s="955"/>
      <c r="P1520" s="957"/>
      <c r="Q1520" s="958"/>
    </row>
    <row r="1521">
      <c r="A1521" s="3"/>
      <c r="B1521" s="950"/>
      <c r="C1521" s="584"/>
      <c r="D1521" s="584"/>
      <c r="E1521" s="951"/>
      <c r="F1521" s="952"/>
      <c r="G1521" s="950"/>
      <c r="H1521" s="953"/>
      <c r="I1521" s="3"/>
      <c r="J1521" s="3"/>
      <c r="K1521" s="955"/>
      <c r="L1521" s="956"/>
      <c r="M1521" s="956"/>
      <c r="N1521" s="3"/>
      <c r="O1521" s="955"/>
      <c r="P1521" s="957"/>
      <c r="Q1521" s="958"/>
    </row>
    <row r="1522">
      <c r="A1522" s="3"/>
      <c r="B1522" s="950"/>
      <c r="C1522" s="584"/>
      <c r="D1522" s="584"/>
      <c r="E1522" s="951"/>
      <c r="F1522" s="952"/>
      <c r="G1522" s="950"/>
      <c r="H1522" s="953"/>
      <c r="I1522" s="3"/>
      <c r="J1522" s="3"/>
      <c r="K1522" s="955"/>
      <c r="L1522" s="956"/>
      <c r="M1522" s="956"/>
      <c r="N1522" s="3"/>
      <c r="O1522" s="955"/>
      <c r="P1522" s="957"/>
      <c r="Q1522" s="958"/>
    </row>
    <row r="1523">
      <c r="A1523" s="3"/>
      <c r="B1523" s="950"/>
      <c r="C1523" s="584"/>
      <c r="D1523" s="584"/>
      <c r="E1523" s="951"/>
      <c r="F1523" s="952"/>
      <c r="G1523" s="950"/>
      <c r="H1523" s="953"/>
      <c r="I1523" s="3"/>
      <c r="J1523" s="3"/>
      <c r="K1523" s="955"/>
      <c r="L1523" s="956"/>
      <c r="M1523" s="956"/>
      <c r="N1523" s="3"/>
      <c r="O1523" s="955"/>
      <c r="P1523" s="957"/>
      <c r="Q1523" s="958"/>
    </row>
    <row r="1524">
      <c r="A1524" s="3"/>
      <c r="B1524" s="950"/>
      <c r="C1524" s="584"/>
      <c r="D1524" s="584"/>
      <c r="E1524" s="951"/>
      <c r="F1524" s="952"/>
      <c r="G1524" s="950"/>
      <c r="H1524" s="953"/>
      <c r="I1524" s="3"/>
      <c r="J1524" s="3"/>
      <c r="K1524" s="955"/>
      <c r="L1524" s="956"/>
      <c r="M1524" s="956"/>
      <c r="N1524" s="3"/>
      <c r="O1524" s="955"/>
      <c r="P1524" s="957"/>
      <c r="Q1524" s="958"/>
    </row>
    <row r="1525">
      <c r="A1525" s="3"/>
      <c r="B1525" s="950"/>
      <c r="C1525" s="584"/>
      <c r="D1525" s="584"/>
      <c r="E1525" s="951"/>
      <c r="F1525" s="952"/>
      <c r="G1525" s="950"/>
      <c r="H1525" s="953"/>
      <c r="I1525" s="3"/>
      <c r="J1525" s="3"/>
      <c r="K1525" s="955"/>
      <c r="L1525" s="956"/>
      <c r="M1525" s="956"/>
      <c r="N1525" s="3"/>
      <c r="O1525" s="955"/>
      <c r="P1525" s="957"/>
      <c r="Q1525" s="958"/>
    </row>
    <row r="1526">
      <c r="A1526" s="3"/>
      <c r="B1526" s="950"/>
      <c r="C1526" s="584"/>
      <c r="D1526" s="584"/>
      <c r="E1526" s="951"/>
      <c r="F1526" s="952"/>
      <c r="G1526" s="950"/>
      <c r="H1526" s="953"/>
      <c r="I1526" s="3"/>
      <c r="J1526" s="3"/>
      <c r="K1526" s="955"/>
      <c r="L1526" s="956"/>
      <c r="M1526" s="956"/>
      <c r="N1526" s="3"/>
      <c r="O1526" s="955"/>
      <c r="P1526" s="957"/>
      <c r="Q1526" s="958"/>
    </row>
    <row r="1527">
      <c r="A1527" s="3"/>
      <c r="B1527" s="950"/>
      <c r="C1527" s="584"/>
      <c r="D1527" s="584"/>
      <c r="E1527" s="951"/>
      <c r="F1527" s="952"/>
      <c r="G1527" s="950"/>
      <c r="H1527" s="953"/>
      <c r="I1527" s="3"/>
      <c r="J1527" s="3"/>
      <c r="K1527" s="955"/>
      <c r="L1527" s="956"/>
      <c r="M1527" s="956"/>
      <c r="N1527" s="3"/>
      <c r="O1527" s="955"/>
      <c r="P1527" s="957"/>
      <c r="Q1527" s="958"/>
    </row>
    <row r="1528">
      <c r="A1528" s="3"/>
      <c r="B1528" s="950"/>
      <c r="C1528" s="584"/>
      <c r="D1528" s="584"/>
      <c r="E1528" s="951"/>
      <c r="F1528" s="952"/>
      <c r="G1528" s="950"/>
      <c r="H1528" s="953"/>
      <c r="I1528" s="3"/>
      <c r="J1528" s="3"/>
      <c r="K1528" s="955"/>
      <c r="L1528" s="956"/>
      <c r="M1528" s="956"/>
      <c r="N1528" s="3"/>
      <c r="O1528" s="955"/>
      <c r="P1528" s="957"/>
      <c r="Q1528" s="958"/>
    </row>
    <row r="1529">
      <c r="A1529" s="3"/>
      <c r="B1529" s="950"/>
      <c r="C1529" s="584"/>
      <c r="D1529" s="584"/>
      <c r="E1529" s="951"/>
      <c r="F1529" s="952"/>
      <c r="G1529" s="950"/>
      <c r="H1529" s="953"/>
      <c r="I1529" s="3"/>
      <c r="J1529" s="3"/>
      <c r="K1529" s="955"/>
      <c r="L1529" s="956"/>
      <c r="M1529" s="956"/>
      <c r="N1529" s="3"/>
      <c r="O1529" s="955"/>
      <c r="P1529" s="957"/>
      <c r="Q1529" s="958"/>
    </row>
    <row r="1530">
      <c r="A1530" s="3"/>
      <c r="B1530" s="950"/>
      <c r="C1530" s="584"/>
      <c r="D1530" s="584"/>
      <c r="E1530" s="951"/>
      <c r="F1530" s="952"/>
      <c r="G1530" s="950"/>
      <c r="H1530" s="953"/>
      <c r="I1530" s="3"/>
      <c r="J1530" s="3"/>
      <c r="K1530" s="955"/>
      <c r="L1530" s="956"/>
      <c r="M1530" s="956"/>
      <c r="N1530" s="3"/>
      <c r="O1530" s="955"/>
      <c r="P1530" s="957"/>
      <c r="Q1530" s="958"/>
    </row>
    <row r="1531">
      <c r="A1531" s="3"/>
      <c r="B1531" s="950"/>
      <c r="C1531" s="584"/>
      <c r="D1531" s="584"/>
      <c r="E1531" s="951"/>
      <c r="F1531" s="952"/>
      <c r="G1531" s="950"/>
      <c r="H1531" s="953"/>
      <c r="I1531" s="3"/>
      <c r="J1531" s="3"/>
      <c r="K1531" s="955"/>
      <c r="L1531" s="956"/>
      <c r="M1531" s="956"/>
      <c r="N1531" s="3"/>
      <c r="O1531" s="955"/>
      <c r="P1531" s="957"/>
      <c r="Q1531" s="958"/>
    </row>
    <row r="1532">
      <c r="A1532" s="3"/>
      <c r="B1532" s="950"/>
      <c r="C1532" s="584"/>
      <c r="D1532" s="584"/>
      <c r="E1532" s="951"/>
      <c r="F1532" s="952"/>
      <c r="G1532" s="950"/>
      <c r="H1532" s="953"/>
      <c r="I1532" s="3"/>
      <c r="J1532" s="3"/>
      <c r="K1532" s="955"/>
      <c r="L1532" s="956"/>
      <c r="M1532" s="956"/>
      <c r="N1532" s="3"/>
      <c r="O1532" s="955"/>
      <c r="P1532" s="957"/>
      <c r="Q1532" s="958"/>
    </row>
    <row r="1533">
      <c r="A1533" s="3"/>
      <c r="B1533" s="950"/>
      <c r="C1533" s="584"/>
      <c r="D1533" s="584"/>
      <c r="E1533" s="951"/>
      <c r="F1533" s="952"/>
      <c r="G1533" s="950"/>
      <c r="H1533" s="953"/>
      <c r="I1533" s="3"/>
      <c r="J1533" s="3"/>
      <c r="K1533" s="955"/>
      <c r="L1533" s="956"/>
      <c r="M1533" s="956"/>
      <c r="N1533" s="3"/>
      <c r="O1533" s="955"/>
      <c r="P1533" s="957"/>
      <c r="Q1533" s="958"/>
    </row>
    <row r="1534">
      <c r="A1534" s="3"/>
      <c r="B1534" s="950"/>
      <c r="C1534" s="584"/>
      <c r="D1534" s="584"/>
      <c r="E1534" s="951"/>
      <c r="F1534" s="952"/>
      <c r="G1534" s="950"/>
      <c r="H1534" s="953"/>
      <c r="I1534" s="3"/>
      <c r="J1534" s="3"/>
      <c r="K1534" s="955"/>
      <c r="L1534" s="956"/>
      <c r="M1534" s="956"/>
      <c r="N1534" s="3"/>
      <c r="O1534" s="955"/>
      <c r="P1534" s="957"/>
      <c r="Q1534" s="958"/>
    </row>
    <row r="1535">
      <c r="A1535" s="3"/>
      <c r="B1535" s="950"/>
      <c r="C1535" s="584"/>
      <c r="D1535" s="584"/>
      <c r="E1535" s="951"/>
      <c r="F1535" s="952"/>
      <c r="G1535" s="950"/>
      <c r="H1535" s="953"/>
      <c r="I1535" s="3"/>
      <c r="J1535" s="3"/>
      <c r="K1535" s="955"/>
      <c r="L1535" s="956"/>
      <c r="M1535" s="956"/>
      <c r="N1535" s="3"/>
      <c r="O1535" s="955"/>
      <c r="P1535" s="957"/>
      <c r="Q1535" s="958"/>
    </row>
    <row r="1536">
      <c r="A1536" s="3"/>
      <c r="B1536" s="950"/>
      <c r="C1536" s="584"/>
      <c r="D1536" s="584"/>
      <c r="E1536" s="951"/>
      <c r="F1536" s="952"/>
      <c r="G1536" s="950"/>
      <c r="H1536" s="953"/>
      <c r="I1536" s="3"/>
      <c r="J1536" s="3"/>
      <c r="K1536" s="955"/>
      <c r="L1536" s="956"/>
      <c r="M1536" s="956"/>
      <c r="N1536" s="3"/>
      <c r="O1536" s="955"/>
      <c r="P1536" s="957"/>
      <c r="Q1536" s="958"/>
    </row>
    <row r="1537">
      <c r="A1537" s="3"/>
      <c r="B1537" s="950"/>
      <c r="C1537" s="584"/>
      <c r="D1537" s="584"/>
      <c r="E1537" s="951"/>
      <c r="F1537" s="952"/>
      <c r="G1537" s="950"/>
      <c r="H1537" s="953"/>
      <c r="I1537" s="3"/>
      <c r="J1537" s="3"/>
      <c r="K1537" s="955"/>
      <c r="L1537" s="956"/>
      <c r="M1537" s="956"/>
      <c r="N1537" s="3"/>
      <c r="O1537" s="955"/>
      <c r="P1537" s="957"/>
      <c r="Q1537" s="958"/>
    </row>
    <row r="1538">
      <c r="A1538" s="3"/>
      <c r="B1538" s="950"/>
      <c r="C1538" s="584"/>
      <c r="D1538" s="584"/>
      <c r="E1538" s="951"/>
      <c r="F1538" s="952"/>
      <c r="G1538" s="950"/>
      <c r="H1538" s="953"/>
      <c r="I1538" s="3"/>
      <c r="J1538" s="3"/>
      <c r="K1538" s="955"/>
      <c r="L1538" s="956"/>
      <c r="M1538" s="956"/>
      <c r="N1538" s="3"/>
      <c r="O1538" s="955"/>
      <c r="P1538" s="957"/>
      <c r="Q1538" s="958"/>
    </row>
    <row r="1539">
      <c r="A1539" s="3"/>
      <c r="B1539" s="950"/>
      <c r="C1539" s="584"/>
      <c r="D1539" s="584"/>
      <c r="E1539" s="951"/>
      <c r="F1539" s="952"/>
      <c r="G1539" s="950"/>
      <c r="H1539" s="953"/>
      <c r="I1539" s="3"/>
      <c r="J1539" s="3"/>
      <c r="K1539" s="955"/>
      <c r="L1539" s="956"/>
      <c r="M1539" s="956"/>
      <c r="N1539" s="3"/>
      <c r="O1539" s="955"/>
      <c r="P1539" s="957"/>
      <c r="Q1539" s="958"/>
    </row>
    <row r="1540">
      <c r="A1540" s="3"/>
      <c r="B1540" s="950"/>
      <c r="C1540" s="584"/>
      <c r="D1540" s="584"/>
      <c r="E1540" s="951"/>
      <c r="F1540" s="952"/>
      <c r="G1540" s="950"/>
      <c r="H1540" s="953"/>
      <c r="I1540" s="3"/>
      <c r="J1540" s="3"/>
      <c r="K1540" s="955"/>
      <c r="L1540" s="956"/>
      <c r="M1540" s="956"/>
      <c r="N1540" s="3"/>
      <c r="O1540" s="955"/>
      <c r="P1540" s="957"/>
      <c r="Q1540" s="958"/>
    </row>
    <row r="1541">
      <c r="A1541" s="3"/>
      <c r="B1541" s="950"/>
      <c r="C1541" s="584"/>
      <c r="D1541" s="584"/>
      <c r="E1541" s="951"/>
      <c r="F1541" s="952"/>
      <c r="G1541" s="950"/>
      <c r="H1541" s="953"/>
      <c r="I1541" s="3"/>
      <c r="J1541" s="3"/>
      <c r="K1541" s="955"/>
      <c r="L1541" s="956"/>
      <c r="M1541" s="956"/>
      <c r="N1541" s="3"/>
      <c r="O1541" s="955"/>
      <c r="P1541" s="957"/>
      <c r="Q1541" s="958"/>
    </row>
    <row r="1542">
      <c r="A1542" s="3"/>
      <c r="B1542" s="950"/>
      <c r="C1542" s="584"/>
      <c r="D1542" s="584"/>
      <c r="E1542" s="951"/>
      <c r="F1542" s="952"/>
      <c r="G1542" s="950"/>
      <c r="H1542" s="953"/>
      <c r="I1542" s="3"/>
      <c r="J1542" s="3"/>
      <c r="K1542" s="955"/>
      <c r="L1542" s="956"/>
      <c r="M1542" s="956"/>
      <c r="N1542" s="3"/>
      <c r="O1542" s="955"/>
      <c r="P1542" s="957"/>
      <c r="Q1542" s="958"/>
    </row>
    <row r="1543">
      <c r="A1543" s="3"/>
      <c r="B1543" s="950"/>
      <c r="C1543" s="584"/>
      <c r="D1543" s="584"/>
      <c r="E1543" s="951"/>
      <c r="F1543" s="952"/>
      <c r="G1543" s="950"/>
      <c r="H1543" s="953"/>
      <c r="I1543" s="3"/>
      <c r="J1543" s="3"/>
      <c r="K1543" s="955"/>
      <c r="L1543" s="956"/>
      <c r="M1543" s="956"/>
      <c r="N1543" s="3"/>
      <c r="O1543" s="955"/>
      <c r="P1543" s="957"/>
      <c r="Q1543" s="958"/>
    </row>
    <row r="1544">
      <c r="A1544" s="3"/>
      <c r="B1544" s="950"/>
      <c r="C1544" s="584"/>
      <c r="D1544" s="584"/>
      <c r="E1544" s="951"/>
      <c r="F1544" s="952"/>
      <c r="G1544" s="950"/>
      <c r="H1544" s="953"/>
      <c r="I1544" s="3"/>
      <c r="J1544" s="3"/>
      <c r="K1544" s="955"/>
      <c r="L1544" s="956"/>
      <c r="M1544" s="956"/>
      <c r="N1544" s="3"/>
      <c r="O1544" s="955"/>
      <c r="P1544" s="957"/>
      <c r="Q1544" s="958"/>
    </row>
    <row r="1545">
      <c r="A1545" s="3"/>
      <c r="B1545" s="950"/>
      <c r="C1545" s="584"/>
      <c r="D1545" s="584"/>
      <c r="E1545" s="951"/>
      <c r="F1545" s="952"/>
      <c r="G1545" s="950"/>
      <c r="H1545" s="953"/>
      <c r="I1545" s="3"/>
      <c r="J1545" s="3"/>
      <c r="K1545" s="955"/>
      <c r="L1545" s="956"/>
      <c r="M1545" s="956"/>
      <c r="N1545" s="3"/>
      <c r="O1545" s="955"/>
      <c r="P1545" s="957"/>
      <c r="Q1545" s="958"/>
    </row>
    <row r="1546">
      <c r="A1546" s="3"/>
      <c r="B1546" s="950"/>
      <c r="C1546" s="584"/>
      <c r="D1546" s="584"/>
      <c r="E1546" s="951"/>
      <c r="F1546" s="952"/>
      <c r="G1546" s="950"/>
      <c r="H1546" s="953"/>
      <c r="I1546" s="3"/>
      <c r="J1546" s="3"/>
      <c r="K1546" s="955"/>
      <c r="L1546" s="956"/>
      <c r="M1546" s="956"/>
      <c r="N1546" s="3"/>
      <c r="O1546" s="955"/>
      <c r="P1546" s="957"/>
      <c r="Q1546" s="958"/>
    </row>
    <row r="1547">
      <c r="A1547" s="3"/>
      <c r="B1547" s="950"/>
      <c r="C1547" s="584"/>
      <c r="D1547" s="584"/>
      <c r="E1547" s="951"/>
      <c r="F1547" s="952"/>
      <c r="G1547" s="950"/>
      <c r="H1547" s="953"/>
      <c r="I1547" s="3"/>
      <c r="J1547" s="3"/>
      <c r="K1547" s="955"/>
      <c r="L1547" s="956"/>
      <c r="M1547" s="956"/>
      <c r="N1547" s="3"/>
      <c r="O1547" s="955"/>
      <c r="P1547" s="957"/>
      <c r="Q1547" s="958"/>
    </row>
    <row r="1548">
      <c r="A1548" s="3"/>
      <c r="B1548" s="950"/>
      <c r="C1548" s="584"/>
      <c r="D1548" s="584"/>
      <c r="E1548" s="951"/>
      <c r="F1548" s="952"/>
      <c r="G1548" s="950"/>
      <c r="H1548" s="953"/>
      <c r="I1548" s="3"/>
      <c r="J1548" s="3"/>
      <c r="K1548" s="955"/>
      <c r="L1548" s="956"/>
      <c r="M1548" s="956"/>
      <c r="N1548" s="3"/>
      <c r="O1548" s="955"/>
      <c r="P1548" s="957"/>
      <c r="Q1548" s="958"/>
    </row>
    <row r="1549">
      <c r="A1549" s="3"/>
      <c r="B1549" s="950"/>
      <c r="C1549" s="584"/>
      <c r="D1549" s="584"/>
      <c r="E1549" s="951"/>
      <c r="F1549" s="952"/>
      <c r="G1549" s="950"/>
      <c r="H1549" s="953"/>
      <c r="I1549" s="3"/>
      <c r="J1549" s="3"/>
      <c r="K1549" s="955"/>
      <c r="L1549" s="956"/>
      <c r="M1549" s="956"/>
      <c r="N1549" s="3"/>
      <c r="O1549" s="955"/>
      <c r="P1549" s="957"/>
      <c r="Q1549" s="958"/>
    </row>
    <row r="1550">
      <c r="A1550" s="3"/>
      <c r="B1550" s="950"/>
      <c r="C1550" s="584"/>
      <c r="D1550" s="584"/>
      <c r="E1550" s="951"/>
      <c r="F1550" s="952"/>
      <c r="G1550" s="950"/>
      <c r="H1550" s="953"/>
      <c r="I1550" s="3"/>
      <c r="J1550" s="3"/>
      <c r="K1550" s="955"/>
      <c r="L1550" s="956"/>
      <c r="M1550" s="956"/>
      <c r="N1550" s="3"/>
      <c r="O1550" s="955"/>
      <c r="P1550" s="957"/>
      <c r="Q1550" s="958"/>
    </row>
    <row r="1551">
      <c r="A1551" s="3"/>
      <c r="B1551" s="950"/>
      <c r="C1551" s="584"/>
      <c r="D1551" s="584"/>
      <c r="E1551" s="951"/>
      <c r="F1551" s="952"/>
      <c r="G1551" s="950"/>
      <c r="H1551" s="953"/>
      <c r="I1551" s="3"/>
      <c r="J1551" s="3"/>
      <c r="K1551" s="955"/>
      <c r="L1551" s="956"/>
      <c r="M1551" s="956"/>
      <c r="N1551" s="3"/>
      <c r="O1551" s="955"/>
      <c r="P1551" s="957"/>
      <c r="Q1551" s="958"/>
    </row>
    <row r="1552">
      <c r="A1552" s="3"/>
      <c r="B1552" s="950"/>
      <c r="C1552" s="584"/>
      <c r="D1552" s="584"/>
      <c r="E1552" s="951"/>
      <c r="F1552" s="952"/>
      <c r="G1552" s="950"/>
      <c r="H1552" s="953"/>
      <c r="I1552" s="3"/>
      <c r="J1552" s="3"/>
      <c r="K1552" s="955"/>
      <c r="L1552" s="956"/>
      <c r="M1552" s="956"/>
      <c r="N1552" s="3"/>
      <c r="O1552" s="955"/>
      <c r="P1552" s="957"/>
      <c r="Q1552" s="958"/>
    </row>
    <row r="1553">
      <c r="A1553" s="3"/>
      <c r="B1553" s="950"/>
      <c r="C1553" s="584"/>
      <c r="D1553" s="584"/>
      <c r="E1553" s="951"/>
      <c r="F1553" s="952"/>
      <c r="G1553" s="950"/>
      <c r="H1553" s="953"/>
      <c r="I1553" s="3"/>
      <c r="J1553" s="3"/>
      <c r="K1553" s="955"/>
      <c r="L1553" s="956"/>
      <c r="M1553" s="956"/>
      <c r="N1553" s="3"/>
      <c r="O1553" s="955"/>
      <c r="P1553" s="957"/>
      <c r="Q1553" s="958"/>
    </row>
    <row r="1554">
      <c r="A1554" s="3"/>
      <c r="B1554" s="950"/>
      <c r="C1554" s="584"/>
      <c r="D1554" s="584"/>
      <c r="E1554" s="951"/>
      <c r="F1554" s="952"/>
      <c r="G1554" s="950"/>
      <c r="H1554" s="953"/>
      <c r="I1554" s="3"/>
      <c r="J1554" s="3"/>
      <c r="K1554" s="955"/>
      <c r="L1554" s="956"/>
      <c r="M1554" s="956"/>
      <c r="N1554" s="3"/>
      <c r="O1554" s="955"/>
      <c r="P1554" s="957"/>
      <c r="Q1554" s="958"/>
    </row>
    <row r="1555">
      <c r="A1555" s="3"/>
      <c r="B1555" s="950"/>
      <c r="C1555" s="584"/>
      <c r="D1555" s="584"/>
      <c r="E1555" s="951"/>
      <c r="F1555" s="952"/>
      <c r="G1555" s="950"/>
      <c r="H1555" s="953"/>
      <c r="I1555" s="3"/>
      <c r="J1555" s="3"/>
      <c r="K1555" s="955"/>
      <c r="L1555" s="956"/>
      <c r="M1555" s="956"/>
      <c r="N1555" s="3"/>
      <c r="O1555" s="955"/>
      <c r="P1555" s="957"/>
      <c r="Q1555" s="958"/>
    </row>
    <row r="1556">
      <c r="A1556" s="3"/>
      <c r="B1556" s="950"/>
      <c r="C1556" s="584"/>
      <c r="D1556" s="584"/>
      <c r="E1556" s="951"/>
      <c r="F1556" s="952"/>
      <c r="G1556" s="950"/>
      <c r="H1556" s="953"/>
      <c r="I1556" s="3"/>
      <c r="J1556" s="3"/>
      <c r="K1556" s="955"/>
      <c r="L1556" s="956"/>
      <c r="M1556" s="956"/>
      <c r="N1556" s="3"/>
      <c r="O1556" s="955"/>
      <c r="P1556" s="957"/>
      <c r="Q1556" s="958"/>
    </row>
    <row r="1557">
      <c r="A1557" s="3"/>
      <c r="B1557" s="950"/>
      <c r="C1557" s="584"/>
      <c r="D1557" s="584"/>
      <c r="E1557" s="951"/>
      <c r="F1557" s="952"/>
      <c r="G1557" s="950"/>
      <c r="H1557" s="953"/>
      <c r="I1557" s="3"/>
      <c r="J1557" s="3"/>
      <c r="K1557" s="955"/>
      <c r="L1557" s="956"/>
      <c r="M1557" s="956"/>
      <c r="N1557" s="3"/>
      <c r="O1557" s="955"/>
      <c r="P1557" s="957"/>
      <c r="Q1557" s="958"/>
    </row>
    <row r="1558">
      <c r="A1558" s="3"/>
      <c r="B1558" s="950"/>
      <c r="C1558" s="584"/>
      <c r="D1558" s="584"/>
      <c r="E1558" s="951"/>
      <c r="F1558" s="952"/>
      <c r="G1558" s="950"/>
      <c r="H1558" s="953"/>
      <c r="I1558" s="3"/>
      <c r="J1558" s="3"/>
      <c r="K1558" s="955"/>
      <c r="L1558" s="956"/>
      <c r="M1558" s="956"/>
      <c r="N1558" s="3"/>
      <c r="O1558" s="955"/>
      <c r="P1558" s="957"/>
      <c r="Q1558" s="958"/>
    </row>
    <row r="1559">
      <c r="A1559" s="3"/>
      <c r="B1559" s="950"/>
      <c r="C1559" s="584"/>
      <c r="D1559" s="584"/>
      <c r="E1559" s="951"/>
      <c r="F1559" s="952"/>
      <c r="G1559" s="950"/>
      <c r="H1559" s="953"/>
      <c r="I1559" s="3"/>
      <c r="J1559" s="3"/>
      <c r="K1559" s="955"/>
      <c r="L1559" s="956"/>
      <c r="M1559" s="956"/>
      <c r="N1559" s="3"/>
      <c r="O1559" s="955"/>
      <c r="P1559" s="957"/>
      <c r="Q1559" s="958"/>
    </row>
    <row r="1560">
      <c r="A1560" s="3"/>
      <c r="B1560" s="950"/>
      <c r="C1560" s="584"/>
      <c r="D1560" s="584"/>
      <c r="E1560" s="951"/>
      <c r="F1560" s="952"/>
      <c r="G1560" s="950"/>
      <c r="H1560" s="953"/>
      <c r="I1560" s="3"/>
      <c r="J1560" s="3"/>
      <c r="K1560" s="955"/>
      <c r="L1560" s="956"/>
      <c r="M1560" s="956"/>
      <c r="N1560" s="3"/>
      <c r="O1560" s="955"/>
      <c r="P1560" s="957"/>
      <c r="Q1560" s="958"/>
    </row>
    <row r="1561">
      <c r="A1561" s="3"/>
      <c r="B1561" s="950"/>
      <c r="C1561" s="584"/>
      <c r="D1561" s="584"/>
      <c r="E1561" s="951"/>
      <c r="F1561" s="952"/>
      <c r="G1561" s="950"/>
      <c r="H1561" s="953"/>
      <c r="I1561" s="3"/>
      <c r="J1561" s="3"/>
      <c r="K1561" s="955"/>
      <c r="L1561" s="956"/>
      <c r="M1561" s="956"/>
      <c r="N1561" s="3"/>
      <c r="O1561" s="955"/>
      <c r="P1561" s="957"/>
      <c r="Q1561" s="958"/>
    </row>
    <row r="1562">
      <c r="A1562" s="3"/>
      <c r="B1562" s="950"/>
      <c r="C1562" s="584"/>
      <c r="D1562" s="584"/>
      <c r="E1562" s="951"/>
      <c r="F1562" s="952"/>
      <c r="G1562" s="950"/>
      <c r="H1562" s="953"/>
      <c r="I1562" s="3"/>
      <c r="J1562" s="3"/>
      <c r="K1562" s="955"/>
      <c r="L1562" s="956"/>
      <c r="M1562" s="956"/>
      <c r="N1562" s="3"/>
      <c r="O1562" s="955"/>
      <c r="P1562" s="957"/>
      <c r="Q1562" s="958"/>
    </row>
    <row r="1563">
      <c r="A1563" s="3"/>
      <c r="B1563" s="950"/>
      <c r="C1563" s="584"/>
      <c r="D1563" s="584"/>
      <c r="E1563" s="951"/>
      <c r="F1563" s="952"/>
      <c r="G1563" s="950"/>
      <c r="H1563" s="953"/>
      <c r="I1563" s="3"/>
      <c r="J1563" s="3"/>
      <c r="K1563" s="955"/>
      <c r="L1563" s="956"/>
      <c r="M1563" s="956"/>
      <c r="N1563" s="3"/>
      <c r="O1563" s="955"/>
      <c r="P1563" s="957"/>
      <c r="Q1563" s="958"/>
    </row>
    <row r="1564">
      <c r="A1564" s="3"/>
      <c r="B1564" s="950"/>
      <c r="C1564" s="584"/>
      <c r="D1564" s="584"/>
      <c r="E1564" s="951"/>
      <c r="F1564" s="952"/>
      <c r="G1564" s="950"/>
      <c r="H1564" s="953"/>
      <c r="I1564" s="3"/>
      <c r="J1564" s="3"/>
      <c r="K1564" s="955"/>
      <c r="L1564" s="956"/>
      <c r="M1564" s="956"/>
      <c r="N1564" s="3"/>
      <c r="O1564" s="955"/>
      <c r="P1564" s="957"/>
      <c r="Q1564" s="958"/>
    </row>
    <row r="1565">
      <c r="A1565" s="3"/>
      <c r="B1565" s="950"/>
      <c r="C1565" s="584"/>
      <c r="D1565" s="584"/>
      <c r="E1565" s="951"/>
      <c r="F1565" s="952"/>
      <c r="G1565" s="950"/>
      <c r="H1565" s="953"/>
      <c r="I1565" s="3"/>
      <c r="J1565" s="3"/>
      <c r="K1565" s="955"/>
      <c r="L1565" s="956"/>
      <c r="M1565" s="956"/>
      <c r="N1565" s="3"/>
      <c r="O1565" s="955"/>
      <c r="P1565" s="957"/>
      <c r="Q1565" s="958"/>
    </row>
    <row r="1566">
      <c r="A1566" s="3"/>
      <c r="B1566" s="950"/>
      <c r="C1566" s="584"/>
      <c r="D1566" s="584"/>
      <c r="E1566" s="951"/>
      <c r="F1566" s="952"/>
      <c r="G1566" s="950"/>
      <c r="H1566" s="953"/>
      <c r="I1566" s="3"/>
      <c r="J1566" s="3"/>
      <c r="K1566" s="955"/>
      <c r="L1566" s="956"/>
      <c r="M1566" s="956"/>
      <c r="N1566" s="3"/>
      <c r="O1566" s="955"/>
      <c r="P1566" s="957"/>
      <c r="Q1566" s="958"/>
    </row>
    <row r="1567">
      <c r="A1567" s="3"/>
      <c r="B1567" s="950"/>
      <c r="C1567" s="584"/>
      <c r="D1567" s="584"/>
      <c r="E1567" s="951"/>
      <c r="F1567" s="952"/>
      <c r="G1567" s="950"/>
      <c r="H1567" s="953"/>
      <c r="I1567" s="3"/>
      <c r="J1567" s="3"/>
      <c r="K1567" s="955"/>
      <c r="L1567" s="956"/>
      <c r="M1567" s="956"/>
      <c r="N1567" s="3"/>
      <c r="O1567" s="955"/>
      <c r="P1567" s="957"/>
      <c r="Q1567" s="958"/>
    </row>
    <row r="1568">
      <c r="A1568" s="3"/>
      <c r="B1568" s="950"/>
      <c r="C1568" s="584"/>
      <c r="D1568" s="584"/>
      <c r="E1568" s="951"/>
      <c r="F1568" s="952"/>
      <c r="G1568" s="950"/>
      <c r="H1568" s="953"/>
      <c r="I1568" s="3"/>
      <c r="J1568" s="3"/>
      <c r="K1568" s="955"/>
      <c r="L1568" s="956"/>
      <c r="M1568" s="956"/>
      <c r="N1568" s="3"/>
      <c r="O1568" s="955"/>
      <c r="P1568" s="957"/>
      <c r="Q1568" s="958"/>
    </row>
    <row r="1569">
      <c r="A1569" s="3"/>
      <c r="B1569" s="950"/>
      <c r="C1569" s="584"/>
      <c r="D1569" s="584"/>
      <c r="E1569" s="951"/>
      <c r="F1569" s="952"/>
      <c r="G1569" s="950"/>
      <c r="H1569" s="953"/>
      <c r="I1569" s="3"/>
      <c r="J1569" s="3"/>
      <c r="K1569" s="955"/>
      <c r="L1569" s="956"/>
      <c r="M1569" s="956"/>
      <c r="N1569" s="3"/>
      <c r="O1569" s="955"/>
      <c r="P1569" s="957"/>
      <c r="Q1569" s="958"/>
    </row>
    <row r="1570">
      <c r="A1570" s="3"/>
      <c r="B1570" s="950"/>
      <c r="C1570" s="584"/>
      <c r="D1570" s="584"/>
      <c r="E1570" s="951"/>
      <c r="F1570" s="952"/>
      <c r="G1570" s="950"/>
      <c r="H1570" s="953"/>
      <c r="I1570" s="3"/>
      <c r="J1570" s="3"/>
      <c r="K1570" s="955"/>
      <c r="L1570" s="956"/>
      <c r="M1570" s="956"/>
      <c r="N1570" s="3"/>
      <c r="O1570" s="955"/>
      <c r="P1570" s="957"/>
      <c r="Q1570" s="958"/>
    </row>
    <row r="1571">
      <c r="A1571" s="3"/>
      <c r="B1571" s="950"/>
      <c r="C1571" s="584"/>
      <c r="D1571" s="584"/>
      <c r="E1571" s="951"/>
      <c r="F1571" s="952"/>
      <c r="G1571" s="950"/>
      <c r="H1571" s="953"/>
      <c r="I1571" s="3"/>
      <c r="J1571" s="3"/>
      <c r="K1571" s="955"/>
      <c r="L1571" s="956"/>
      <c r="M1571" s="956"/>
      <c r="N1571" s="3"/>
      <c r="O1571" s="955"/>
      <c r="P1571" s="957"/>
      <c r="Q1571" s="958"/>
    </row>
    <row r="1572">
      <c r="A1572" s="3"/>
      <c r="B1572" s="950"/>
      <c r="C1572" s="584"/>
      <c r="D1572" s="584"/>
      <c r="E1572" s="951"/>
      <c r="F1572" s="952"/>
      <c r="G1572" s="950"/>
      <c r="H1572" s="953"/>
      <c r="I1572" s="3"/>
      <c r="J1572" s="3"/>
      <c r="K1572" s="955"/>
      <c r="L1572" s="956"/>
      <c r="M1572" s="956"/>
      <c r="N1572" s="3"/>
      <c r="O1572" s="955"/>
      <c r="P1572" s="957"/>
      <c r="Q1572" s="958"/>
    </row>
    <row r="1573">
      <c r="A1573" s="3"/>
      <c r="B1573" s="950"/>
      <c r="C1573" s="584"/>
      <c r="D1573" s="584"/>
      <c r="E1573" s="951"/>
      <c r="F1573" s="952"/>
      <c r="G1573" s="950"/>
      <c r="H1573" s="953"/>
      <c r="I1573" s="3"/>
      <c r="J1573" s="3"/>
      <c r="K1573" s="955"/>
      <c r="L1573" s="956"/>
      <c r="M1573" s="956"/>
      <c r="N1573" s="3"/>
      <c r="O1573" s="955"/>
      <c r="P1573" s="957"/>
      <c r="Q1573" s="958"/>
    </row>
    <row r="1574">
      <c r="A1574" s="3"/>
      <c r="B1574" s="950"/>
      <c r="C1574" s="584"/>
      <c r="D1574" s="584"/>
      <c r="E1574" s="951"/>
      <c r="F1574" s="952"/>
      <c r="G1574" s="950"/>
      <c r="H1574" s="953"/>
      <c r="I1574" s="3"/>
      <c r="J1574" s="3"/>
      <c r="K1574" s="955"/>
      <c r="L1574" s="956"/>
      <c r="M1574" s="956"/>
      <c r="N1574" s="3"/>
      <c r="O1574" s="955"/>
      <c r="P1574" s="957"/>
      <c r="Q1574" s="958"/>
    </row>
    <row r="1575">
      <c r="A1575" s="3"/>
      <c r="B1575" s="950"/>
      <c r="C1575" s="584"/>
      <c r="D1575" s="584"/>
      <c r="E1575" s="951"/>
      <c r="F1575" s="952"/>
      <c r="G1575" s="950"/>
      <c r="H1575" s="953"/>
      <c r="I1575" s="3"/>
      <c r="J1575" s="3"/>
      <c r="K1575" s="955"/>
      <c r="L1575" s="956"/>
      <c r="M1575" s="956"/>
      <c r="N1575" s="3"/>
      <c r="O1575" s="955"/>
      <c r="P1575" s="957"/>
      <c r="Q1575" s="958"/>
    </row>
    <row r="1576">
      <c r="A1576" s="3"/>
      <c r="B1576" s="950"/>
      <c r="C1576" s="584"/>
      <c r="D1576" s="584"/>
      <c r="E1576" s="951"/>
      <c r="F1576" s="952"/>
      <c r="G1576" s="950"/>
      <c r="H1576" s="953"/>
      <c r="I1576" s="3"/>
      <c r="J1576" s="3"/>
      <c r="K1576" s="955"/>
      <c r="L1576" s="956"/>
      <c r="M1576" s="956"/>
      <c r="N1576" s="3"/>
      <c r="O1576" s="955"/>
      <c r="P1576" s="957"/>
      <c r="Q1576" s="958"/>
    </row>
    <row r="1577">
      <c r="A1577" s="3"/>
      <c r="B1577" s="950"/>
      <c r="C1577" s="584"/>
      <c r="D1577" s="584"/>
      <c r="E1577" s="951"/>
      <c r="F1577" s="952"/>
      <c r="G1577" s="950"/>
      <c r="H1577" s="953"/>
      <c r="I1577" s="3"/>
      <c r="J1577" s="3"/>
      <c r="K1577" s="955"/>
      <c r="L1577" s="956"/>
      <c r="M1577" s="956"/>
      <c r="N1577" s="3"/>
      <c r="O1577" s="955"/>
      <c r="P1577" s="957"/>
      <c r="Q1577" s="958"/>
    </row>
    <row r="1578">
      <c r="A1578" s="3"/>
      <c r="B1578" s="950"/>
      <c r="C1578" s="584"/>
      <c r="D1578" s="584"/>
      <c r="E1578" s="951"/>
      <c r="F1578" s="952"/>
      <c r="G1578" s="950"/>
      <c r="H1578" s="953"/>
      <c r="I1578" s="3"/>
      <c r="J1578" s="3"/>
      <c r="K1578" s="955"/>
      <c r="L1578" s="956"/>
      <c r="M1578" s="956"/>
      <c r="N1578" s="3"/>
      <c r="O1578" s="955"/>
      <c r="P1578" s="957"/>
      <c r="Q1578" s="958"/>
    </row>
    <row r="1579">
      <c r="A1579" s="3"/>
      <c r="B1579" s="950"/>
      <c r="C1579" s="584"/>
      <c r="D1579" s="584"/>
      <c r="E1579" s="951"/>
      <c r="F1579" s="952"/>
      <c r="G1579" s="950"/>
      <c r="H1579" s="953"/>
      <c r="I1579" s="3"/>
      <c r="J1579" s="3"/>
      <c r="K1579" s="955"/>
      <c r="L1579" s="956"/>
      <c r="M1579" s="956"/>
      <c r="N1579" s="3"/>
      <c r="O1579" s="955"/>
      <c r="P1579" s="957"/>
      <c r="Q1579" s="958"/>
    </row>
    <row r="1580">
      <c r="A1580" s="3"/>
      <c r="B1580" s="950"/>
      <c r="C1580" s="584"/>
      <c r="D1580" s="584"/>
      <c r="E1580" s="951"/>
      <c r="F1580" s="952"/>
      <c r="G1580" s="950"/>
      <c r="H1580" s="953"/>
      <c r="I1580" s="3"/>
      <c r="J1580" s="3"/>
      <c r="K1580" s="955"/>
      <c r="L1580" s="956"/>
      <c r="M1580" s="956"/>
      <c r="N1580" s="3"/>
      <c r="O1580" s="955"/>
      <c r="P1580" s="957"/>
      <c r="Q1580" s="958"/>
    </row>
    <row r="1581">
      <c r="A1581" s="3"/>
      <c r="B1581" s="950"/>
      <c r="C1581" s="584"/>
      <c r="D1581" s="584"/>
      <c r="E1581" s="951"/>
      <c r="F1581" s="952"/>
      <c r="G1581" s="950"/>
      <c r="H1581" s="953"/>
      <c r="I1581" s="3"/>
      <c r="J1581" s="3"/>
      <c r="K1581" s="955"/>
      <c r="L1581" s="956"/>
      <c r="M1581" s="956"/>
      <c r="N1581" s="3"/>
      <c r="O1581" s="955"/>
      <c r="P1581" s="957"/>
      <c r="Q1581" s="958"/>
    </row>
    <row r="1582">
      <c r="A1582" s="3"/>
      <c r="B1582" s="950"/>
      <c r="C1582" s="584"/>
      <c r="D1582" s="584"/>
      <c r="E1582" s="951"/>
      <c r="F1582" s="952"/>
      <c r="G1582" s="950"/>
      <c r="H1582" s="953"/>
      <c r="I1582" s="3"/>
      <c r="J1582" s="3"/>
      <c r="K1582" s="955"/>
      <c r="L1582" s="956"/>
      <c r="M1582" s="956"/>
      <c r="N1582" s="3"/>
      <c r="O1582" s="955"/>
      <c r="P1582" s="957"/>
      <c r="Q1582" s="958"/>
    </row>
    <row r="1583">
      <c r="A1583" s="3"/>
      <c r="B1583" s="950"/>
      <c r="C1583" s="584"/>
      <c r="D1583" s="584"/>
      <c r="E1583" s="951"/>
      <c r="F1583" s="952"/>
      <c r="G1583" s="950"/>
      <c r="H1583" s="953"/>
      <c r="I1583" s="3"/>
      <c r="J1583" s="3"/>
      <c r="K1583" s="955"/>
      <c r="L1583" s="956"/>
      <c r="M1583" s="956"/>
      <c r="N1583" s="3"/>
      <c r="O1583" s="955"/>
      <c r="P1583" s="957"/>
      <c r="Q1583" s="958"/>
    </row>
    <row r="1584">
      <c r="A1584" s="3"/>
      <c r="B1584" s="950"/>
      <c r="C1584" s="584"/>
      <c r="D1584" s="584"/>
      <c r="E1584" s="951"/>
      <c r="F1584" s="952"/>
      <c r="G1584" s="950"/>
      <c r="H1584" s="953"/>
      <c r="I1584" s="3"/>
      <c r="J1584" s="3"/>
      <c r="K1584" s="955"/>
      <c r="L1584" s="956"/>
      <c r="M1584" s="956"/>
      <c r="N1584" s="3"/>
      <c r="O1584" s="955"/>
      <c r="P1584" s="957"/>
      <c r="Q1584" s="958"/>
    </row>
    <row r="1585">
      <c r="A1585" s="3"/>
      <c r="B1585" s="950"/>
      <c r="C1585" s="584"/>
      <c r="D1585" s="584"/>
      <c r="E1585" s="951"/>
      <c r="F1585" s="952"/>
      <c r="G1585" s="950"/>
      <c r="H1585" s="953"/>
      <c r="I1585" s="3"/>
      <c r="J1585" s="3"/>
      <c r="K1585" s="955"/>
      <c r="L1585" s="956"/>
      <c r="M1585" s="956"/>
      <c r="N1585" s="3"/>
      <c r="O1585" s="955"/>
      <c r="P1585" s="957"/>
      <c r="Q1585" s="958"/>
    </row>
    <row r="1586">
      <c r="A1586" s="3"/>
      <c r="B1586" s="950"/>
      <c r="C1586" s="584"/>
      <c r="D1586" s="584"/>
      <c r="E1586" s="951"/>
      <c r="F1586" s="952"/>
      <c r="G1586" s="950"/>
      <c r="H1586" s="953"/>
      <c r="I1586" s="3"/>
      <c r="J1586" s="3"/>
      <c r="K1586" s="955"/>
      <c r="L1586" s="956"/>
      <c r="M1586" s="956"/>
      <c r="N1586" s="3"/>
      <c r="O1586" s="955"/>
      <c r="P1586" s="957"/>
      <c r="Q1586" s="958"/>
    </row>
    <row r="1587">
      <c r="A1587" s="3"/>
      <c r="B1587" s="950"/>
      <c r="C1587" s="584"/>
      <c r="D1587" s="584"/>
      <c r="E1587" s="951"/>
      <c r="F1587" s="952"/>
      <c r="G1587" s="950"/>
      <c r="H1587" s="953"/>
      <c r="I1587" s="3"/>
      <c r="J1587" s="3"/>
      <c r="K1587" s="955"/>
      <c r="L1587" s="956"/>
      <c r="M1587" s="956"/>
      <c r="N1587" s="3"/>
      <c r="O1587" s="955"/>
      <c r="P1587" s="957"/>
      <c r="Q1587" s="958"/>
    </row>
    <row r="1588">
      <c r="A1588" s="3"/>
      <c r="B1588" s="950"/>
      <c r="C1588" s="584"/>
      <c r="D1588" s="584"/>
      <c r="E1588" s="951"/>
      <c r="F1588" s="952"/>
      <c r="G1588" s="950"/>
      <c r="H1588" s="953"/>
      <c r="I1588" s="3"/>
      <c r="J1588" s="3"/>
      <c r="K1588" s="955"/>
      <c r="L1588" s="956"/>
      <c r="M1588" s="956"/>
      <c r="N1588" s="3"/>
      <c r="O1588" s="955"/>
      <c r="P1588" s="957"/>
      <c r="Q1588" s="958"/>
    </row>
    <row r="1589">
      <c r="A1589" s="3"/>
      <c r="B1589" s="950"/>
      <c r="C1589" s="584"/>
      <c r="D1589" s="584"/>
      <c r="E1589" s="951"/>
      <c r="F1589" s="952"/>
      <c r="G1589" s="950"/>
      <c r="H1589" s="953"/>
      <c r="I1589" s="3"/>
      <c r="J1589" s="3"/>
      <c r="K1589" s="955"/>
      <c r="L1589" s="956"/>
      <c r="M1589" s="956"/>
      <c r="N1589" s="3"/>
      <c r="O1589" s="955"/>
      <c r="P1589" s="957"/>
      <c r="Q1589" s="958"/>
    </row>
    <row r="1590">
      <c r="A1590" s="3"/>
      <c r="B1590" s="950"/>
      <c r="C1590" s="584"/>
      <c r="D1590" s="584"/>
      <c r="E1590" s="951"/>
      <c r="F1590" s="952"/>
      <c r="G1590" s="950"/>
      <c r="H1590" s="953"/>
      <c r="I1590" s="3"/>
      <c r="J1590" s="3"/>
      <c r="K1590" s="955"/>
      <c r="L1590" s="956"/>
      <c r="M1590" s="956"/>
      <c r="N1590" s="3"/>
      <c r="O1590" s="955"/>
      <c r="P1590" s="957"/>
      <c r="Q1590" s="958"/>
    </row>
    <row r="1591">
      <c r="A1591" s="3"/>
      <c r="B1591" s="950"/>
      <c r="C1591" s="584"/>
      <c r="D1591" s="584"/>
      <c r="E1591" s="951"/>
      <c r="F1591" s="952"/>
      <c r="G1591" s="950"/>
      <c r="H1591" s="953"/>
      <c r="I1591" s="3"/>
      <c r="J1591" s="3"/>
      <c r="K1591" s="955"/>
      <c r="L1591" s="956"/>
      <c r="M1591" s="956"/>
      <c r="N1591" s="3"/>
      <c r="O1591" s="955"/>
      <c r="P1591" s="957"/>
      <c r="Q1591" s="958"/>
    </row>
    <row r="1592">
      <c r="A1592" s="3"/>
      <c r="B1592" s="950"/>
      <c r="C1592" s="584"/>
      <c r="D1592" s="584"/>
      <c r="E1592" s="951"/>
      <c r="F1592" s="952"/>
      <c r="G1592" s="950"/>
      <c r="H1592" s="953"/>
      <c r="I1592" s="3"/>
      <c r="J1592" s="3"/>
      <c r="K1592" s="955"/>
      <c r="L1592" s="956"/>
      <c r="M1592" s="956"/>
      <c r="N1592" s="3"/>
      <c r="O1592" s="955"/>
      <c r="P1592" s="957"/>
      <c r="Q1592" s="958"/>
    </row>
    <row r="1593">
      <c r="A1593" s="3"/>
      <c r="B1593" s="950"/>
      <c r="C1593" s="584"/>
      <c r="D1593" s="584"/>
      <c r="E1593" s="951"/>
      <c r="F1593" s="952"/>
      <c r="G1593" s="950"/>
      <c r="H1593" s="953"/>
      <c r="I1593" s="3"/>
      <c r="J1593" s="3"/>
      <c r="K1593" s="955"/>
      <c r="L1593" s="956"/>
      <c r="M1593" s="956"/>
      <c r="N1593" s="3"/>
      <c r="O1593" s="955"/>
      <c r="P1593" s="957"/>
      <c r="Q1593" s="958"/>
    </row>
    <row r="1594">
      <c r="A1594" s="3"/>
      <c r="B1594" s="950"/>
      <c r="C1594" s="584"/>
      <c r="D1594" s="584"/>
      <c r="E1594" s="951"/>
      <c r="F1594" s="952"/>
      <c r="G1594" s="950"/>
      <c r="H1594" s="953"/>
      <c r="I1594" s="3"/>
      <c r="J1594" s="3"/>
      <c r="K1594" s="955"/>
      <c r="L1594" s="956"/>
      <c r="M1594" s="956"/>
      <c r="N1594" s="3"/>
      <c r="O1594" s="955"/>
      <c r="P1594" s="957"/>
      <c r="Q1594" s="958"/>
    </row>
    <row r="1595">
      <c r="A1595" s="3"/>
      <c r="B1595" s="950"/>
      <c r="C1595" s="584"/>
      <c r="D1595" s="584"/>
      <c r="E1595" s="951"/>
      <c r="F1595" s="952"/>
      <c r="G1595" s="950"/>
      <c r="H1595" s="953"/>
      <c r="I1595" s="3"/>
      <c r="J1595" s="3"/>
      <c r="K1595" s="955"/>
      <c r="L1595" s="956"/>
      <c r="M1595" s="956"/>
      <c r="N1595" s="3"/>
      <c r="O1595" s="955"/>
      <c r="P1595" s="957"/>
      <c r="Q1595" s="958"/>
    </row>
    <row r="1596">
      <c r="A1596" s="3"/>
      <c r="B1596" s="950"/>
      <c r="C1596" s="584"/>
      <c r="D1596" s="584"/>
      <c r="E1596" s="951"/>
      <c r="F1596" s="952"/>
      <c r="G1596" s="950"/>
      <c r="H1596" s="953"/>
      <c r="I1596" s="3"/>
      <c r="J1596" s="3"/>
      <c r="K1596" s="955"/>
      <c r="L1596" s="956"/>
      <c r="M1596" s="956"/>
      <c r="N1596" s="3"/>
      <c r="O1596" s="955"/>
      <c r="P1596" s="957"/>
      <c r="Q1596" s="958"/>
    </row>
    <row r="1597">
      <c r="A1597" s="3"/>
      <c r="B1597" s="950"/>
      <c r="C1597" s="584"/>
      <c r="D1597" s="584"/>
      <c r="E1597" s="951"/>
      <c r="F1597" s="952"/>
      <c r="G1597" s="950"/>
      <c r="H1597" s="953"/>
      <c r="I1597" s="3"/>
      <c r="J1597" s="3"/>
      <c r="K1597" s="955"/>
      <c r="L1597" s="956"/>
      <c r="M1597" s="956"/>
      <c r="N1597" s="3"/>
      <c r="O1597" s="955"/>
      <c r="P1597" s="957"/>
      <c r="Q1597" s="958"/>
    </row>
    <row r="1598">
      <c r="A1598" s="3"/>
      <c r="B1598" s="950"/>
      <c r="C1598" s="584"/>
      <c r="D1598" s="584"/>
      <c r="E1598" s="951"/>
      <c r="F1598" s="952"/>
      <c r="G1598" s="950"/>
      <c r="H1598" s="953"/>
      <c r="I1598" s="3"/>
      <c r="J1598" s="3"/>
      <c r="K1598" s="955"/>
      <c r="L1598" s="956"/>
      <c r="M1598" s="956"/>
      <c r="N1598" s="3"/>
      <c r="O1598" s="955"/>
      <c r="P1598" s="957"/>
      <c r="Q1598" s="958"/>
    </row>
    <row r="1599">
      <c r="A1599" s="3"/>
      <c r="B1599" s="950"/>
      <c r="C1599" s="584"/>
      <c r="D1599" s="584"/>
      <c r="E1599" s="951"/>
      <c r="F1599" s="952"/>
      <c r="G1599" s="950"/>
      <c r="H1599" s="953"/>
      <c r="I1599" s="3"/>
      <c r="J1599" s="3"/>
      <c r="K1599" s="955"/>
      <c r="L1599" s="956"/>
      <c r="M1599" s="956"/>
      <c r="N1599" s="3"/>
      <c r="O1599" s="955"/>
      <c r="P1599" s="957"/>
      <c r="Q1599" s="958"/>
    </row>
    <row r="1600">
      <c r="A1600" s="3"/>
      <c r="B1600" s="950"/>
      <c r="C1600" s="584"/>
      <c r="D1600" s="584"/>
      <c r="E1600" s="951"/>
      <c r="F1600" s="952"/>
      <c r="G1600" s="950"/>
      <c r="H1600" s="953"/>
      <c r="I1600" s="3"/>
      <c r="J1600" s="3"/>
      <c r="K1600" s="955"/>
      <c r="L1600" s="956"/>
      <c r="M1600" s="956"/>
      <c r="N1600" s="3"/>
      <c r="O1600" s="955"/>
      <c r="P1600" s="957"/>
      <c r="Q1600" s="958"/>
    </row>
    <row r="1601">
      <c r="A1601" s="3"/>
      <c r="B1601" s="950"/>
      <c r="C1601" s="584"/>
      <c r="D1601" s="584"/>
      <c r="E1601" s="951"/>
      <c r="F1601" s="952"/>
      <c r="G1601" s="950"/>
      <c r="H1601" s="953"/>
      <c r="I1601" s="3"/>
      <c r="J1601" s="3"/>
      <c r="K1601" s="955"/>
      <c r="L1601" s="956"/>
      <c r="M1601" s="956"/>
      <c r="N1601" s="3"/>
      <c r="O1601" s="955"/>
      <c r="P1601" s="957"/>
      <c r="Q1601" s="958"/>
    </row>
    <row r="1602">
      <c r="A1602" s="3"/>
      <c r="B1602" s="950"/>
      <c r="C1602" s="584"/>
      <c r="D1602" s="584"/>
      <c r="E1602" s="951"/>
      <c r="F1602" s="952"/>
      <c r="G1602" s="950"/>
      <c r="H1602" s="953"/>
      <c r="I1602" s="3"/>
      <c r="J1602" s="3"/>
      <c r="K1602" s="955"/>
      <c r="L1602" s="956"/>
      <c r="M1602" s="956"/>
      <c r="N1602" s="3"/>
      <c r="O1602" s="955"/>
      <c r="P1602" s="957"/>
      <c r="Q1602" s="958"/>
    </row>
    <row r="1603">
      <c r="A1603" s="3"/>
      <c r="B1603" s="950"/>
      <c r="C1603" s="584"/>
      <c r="D1603" s="584"/>
      <c r="E1603" s="951"/>
      <c r="F1603" s="952"/>
      <c r="G1603" s="950"/>
      <c r="H1603" s="953"/>
      <c r="I1603" s="3"/>
      <c r="J1603" s="3"/>
      <c r="K1603" s="955"/>
      <c r="L1603" s="956"/>
      <c r="M1603" s="956"/>
      <c r="N1603" s="3"/>
      <c r="O1603" s="955"/>
      <c r="P1603" s="957"/>
      <c r="Q1603" s="958"/>
    </row>
    <row r="1604">
      <c r="A1604" s="3"/>
      <c r="B1604" s="950"/>
      <c r="C1604" s="584"/>
      <c r="D1604" s="584"/>
      <c r="E1604" s="951"/>
      <c r="F1604" s="952"/>
      <c r="G1604" s="950"/>
      <c r="H1604" s="953"/>
      <c r="I1604" s="3"/>
      <c r="J1604" s="3"/>
      <c r="K1604" s="955"/>
      <c r="L1604" s="956"/>
      <c r="M1604" s="956"/>
      <c r="N1604" s="3"/>
      <c r="O1604" s="955"/>
      <c r="P1604" s="957"/>
      <c r="Q1604" s="958"/>
    </row>
    <row r="1605">
      <c r="A1605" s="3"/>
      <c r="B1605" s="950"/>
      <c r="C1605" s="584"/>
      <c r="D1605" s="584"/>
      <c r="E1605" s="951"/>
      <c r="F1605" s="952"/>
      <c r="G1605" s="950"/>
      <c r="H1605" s="953"/>
      <c r="I1605" s="3"/>
      <c r="J1605" s="3"/>
      <c r="K1605" s="955"/>
      <c r="L1605" s="956"/>
      <c r="M1605" s="956"/>
      <c r="N1605" s="3"/>
      <c r="O1605" s="955"/>
      <c r="P1605" s="957"/>
      <c r="Q1605" s="958"/>
    </row>
    <row r="1606">
      <c r="A1606" s="3"/>
      <c r="B1606" s="950"/>
      <c r="C1606" s="584"/>
      <c r="D1606" s="584"/>
      <c r="E1606" s="951"/>
      <c r="F1606" s="952"/>
      <c r="G1606" s="950"/>
      <c r="H1606" s="953"/>
      <c r="I1606" s="3"/>
      <c r="J1606" s="3"/>
      <c r="K1606" s="955"/>
      <c r="L1606" s="956"/>
      <c r="M1606" s="956"/>
      <c r="N1606" s="3"/>
      <c r="O1606" s="955"/>
      <c r="P1606" s="957"/>
      <c r="Q1606" s="958"/>
    </row>
    <row r="1607">
      <c r="A1607" s="3"/>
      <c r="B1607" s="950"/>
      <c r="C1607" s="584"/>
      <c r="D1607" s="584"/>
      <c r="E1607" s="951"/>
      <c r="F1607" s="952"/>
      <c r="G1607" s="950"/>
      <c r="H1607" s="953"/>
      <c r="I1607" s="3"/>
      <c r="J1607" s="3"/>
      <c r="K1607" s="955"/>
      <c r="L1607" s="956"/>
      <c r="M1607" s="956"/>
      <c r="N1607" s="3"/>
      <c r="O1607" s="955"/>
      <c r="P1607" s="957"/>
      <c r="Q1607" s="958"/>
    </row>
    <row r="1608">
      <c r="A1608" s="3"/>
      <c r="B1608" s="950"/>
      <c r="C1608" s="584"/>
      <c r="D1608" s="584"/>
      <c r="E1608" s="951"/>
      <c r="F1608" s="952"/>
      <c r="G1608" s="950"/>
      <c r="H1608" s="953"/>
      <c r="I1608" s="3"/>
      <c r="J1608" s="3"/>
      <c r="K1608" s="955"/>
      <c r="L1608" s="956"/>
      <c r="M1608" s="956"/>
      <c r="N1608" s="3"/>
      <c r="O1608" s="955"/>
      <c r="P1608" s="957"/>
      <c r="Q1608" s="958"/>
    </row>
    <row r="1609">
      <c r="A1609" s="3"/>
      <c r="B1609" s="950"/>
      <c r="C1609" s="584"/>
      <c r="D1609" s="584"/>
      <c r="E1609" s="951"/>
      <c r="F1609" s="952"/>
      <c r="G1609" s="950"/>
      <c r="H1609" s="953"/>
      <c r="I1609" s="3"/>
      <c r="J1609" s="3"/>
      <c r="K1609" s="955"/>
      <c r="L1609" s="956"/>
      <c r="M1609" s="956"/>
      <c r="N1609" s="3"/>
      <c r="O1609" s="955"/>
      <c r="P1609" s="957"/>
      <c r="Q1609" s="958"/>
    </row>
    <row r="1610">
      <c r="A1610" s="3"/>
      <c r="B1610" s="950"/>
      <c r="C1610" s="584"/>
      <c r="D1610" s="584"/>
      <c r="E1610" s="951"/>
      <c r="F1610" s="952"/>
      <c r="G1610" s="950"/>
      <c r="H1610" s="953"/>
      <c r="I1610" s="3"/>
      <c r="J1610" s="3"/>
      <c r="K1610" s="955"/>
      <c r="L1610" s="956"/>
      <c r="M1610" s="956"/>
      <c r="N1610" s="3"/>
      <c r="O1610" s="955"/>
      <c r="P1610" s="957"/>
      <c r="Q1610" s="958"/>
    </row>
    <row r="1611">
      <c r="A1611" s="3"/>
      <c r="B1611" s="950"/>
      <c r="C1611" s="584"/>
      <c r="D1611" s="584"/>
      <c r="E1611" s="951"/>
      <c r="F1611" s="952"/>
      <c r="G1611" s="950"/>
      <c r="H1611" s="953"/>
      <c r="I1611" s="3"/>
      <c r="J1611" s="3"/>
      <c r="K1611" s="955"/>
      <c r="L1611" s="956"/>
      <c r="M1611" s="956"/>
      <c r="N1611" s="3"/>
      <c r="O1611" s="955"/>
      <c r="P1611" s="957"/>
      <c r="Q1611" s="958"/>
    </row>
    <row r="1612">
      <c r="A1612" s="3"/>
      <c r="B1612" s="950"/>
      <c r="C1612" s="584"/>
      <c r="D1612" s="584"/>
      <c r="E1612" s="951"/>
      <c r="F1612" s="952"/>
      <c r="G1612" s="950"/>
      <c r="H1612" s="953"/>
      <c r="I1612" s="3"/>
      <c r="J1612" s="3"/>
      <c r="K1612" s="955"/>
      <c r="L1612" s="956"/>
      <c r="M1612" s="956"/>
      <c r="N1612" s="3"/>
      <c r="O1612" s="955"/>
      <c r="P1612" s="957"/>
      <c r="Q1612" s="958"/>
    </row>
    <row r="1613">
      <c r="A1613" s="3"/>
      <c r="B1613" s="950"/>
      <c r="C1613" s="584"/>
      <c r="D1613" s="584"/>
      <c r="E1613" s="951"/>
      <c r="F1613" s="952"/>
      <c r="G1613" s="950"/>
      <c r="H1613" s="953"/>
      <c r="I1613" s="3"/>
      <c r="J1613" s="3"/>
      <c r="K1613" s="955"/>
      <c r="L1613" s="956"/>
      <c r="M1613" s="956"/>
      <c r="N1613" s="3"/>
      <c r="O1613" s="955"/>
      <c r="P1613" s="957"/>
      <c r="Q1613" s="958"/>
    </row>
    <row r="1614">
      <c r="A1614" s="3"/>
      <c r="B1614" s="950"/>
      <c r="C1614" s="584"/>
      <c r="D1614" s="584"/>
      <c r="E1614" s="951"/>
      <c r="F1614" s="952"/>
      <c r="G1614" s="950"/>
      <c r="H1614" s="953"/>
      <c r="I1614" s="3"/>
      <c r="J1614" s="3"/>
      <c r="K1614" s="955"/>
      <c r="L1614" s="956"/>
      <c r="M1614" s="956"/>
      <c r="N1614" s="3"/>
      <c r="O1614" s="955"/>
      <c r="P1614" s="957"/>
      <c r="Q1614" s="958"/>
    </row>
    <row r="1615">
      <c r="A1615" s="3"/>
      <c r="B1615" s="950"/>
      <c r="C1615" s="584"/>
      <c r="D1615" s="584"/>
      <c r="E1615" s="951"/>
      <c r="F1615" s="952"/>
      <c r="G1615" s="950"/>
      <c r="H1615" s="953"/>
      <c r="I1615" s="3"/>
      <c r="J1615" s="3"/>
      <c r="K1615" s="955"/>
      <c r="L1615" s="956"/>
      <c r="M1615" s="956"/>
      <c r="N1615" s="3"/>
      <c r="O1615" s="955"/>
      <c r="P1615" s="957"/>
      <c r="Q1615" s="958"/>
    </row>
    <row r="1616">
      <c r="A1616" s="3"/>
      <c r="B1616" s="950"/>
      <c r="C1616" s="584"/>
      <c r="D1616" s="584"/>
      <c r="E1616" s="951"/>
      <c r="F1616" s="952"/>
      <c r="G1616" s="950"/>
      <c r="H1616" s="953"/>
      <c r="I1616" s="3"/>
      <c r="J1616" s="3"/>
      <c r="K1616" s="955"/>
      <c r="L1616" s="956"/>
      <c r="M1616" s="956"/>
      <c r="N1616" s="3"/>
      <c r="O1616" s="955"/>
      <c r="P1616" s="957"/>
      <c r="Q1616" s="958"/>
    </row>
    <row r="1617">
      <c r="A1617" s="3"/>
      <c r="B1617" s="950"/>
      <c r="C1617" s="584"/>
      <c r="D1617" s="584"/>
      <c r="E1617" s="951"/>
      <c r="F1617" s="952"/>
      <c r="G1617" s="950"/>
      <c r="H1617" s="953"/>
      <c r="I1617" s="3"/>
      <c r="J1617" s="3"/>
      <c r="K1617" s="955"/>
      <c r="L1617" s="956"/>
      <c r="M1617" s="956"/>
      <c r="N1617" s="3"/>
      <c r="O1617" s="955"/>
      <c r="P1617" s="957"/>
      <c r="Q1617" s="958"/>
    </row>
    <row r="1618">
      <c r="A1618" s="3"/>
      <c r="B1618" s="950"/>
      <c r="C1618" s="584"/>
      <c r="D1618" s="584"/>
      <c r="E1618" s="951"/>
      <c r="F1618" s="952"/>
      <c r="G1618" s="950"/>
      <c r="H1618" s="953"/>
      <c r="I1618" s="3"/>
      <c r="J1618" s="3"/>
      <c r="K1618" s="955"/>
      <c r="L1618" s="956"/>
      <c r="M1618" s="956"/>
      <c r="N1618" s="3"/>
      <c r="O1618" s="955"/>
      <c r="P1618" s="957"/>
      <c r="Q1618" s="958"/>
    </row>
    <row r="1619">
      <c r="A1619" s="3"/>
      <c r="B1619" s="950"/>
      <c r="C1619" s="584"/>
      <c r="D1619" s="584"/>
      <c r="E1619" s="951"/>
      <c r="F1619" s="952"/>
      <c r="G1619" s="950"/>
      <c r="H1619" s="953"/>
      <c r="I1619" s="3"/>
      <c r="J1619" s="3"/>
      <c r="K1619" s="955"/>
      <c r="L1619" s="956"/>
      <c r="M1619" s="956"/>
      <c r="N1619" s="3"/>
      <c r="O1619" s="955"/>
      <c r="P1619" s="957"/>
      <c r="Q1619" s="958"/>
    </row>
    <row r="1620">
      <c r="A1620" s="3"/>
      <c r="B1620" s="950"/>
      <c r="C1620" s="584"/>
      <c r="D1620" s="584"/>
      <c r="E1620" s="951"/>
      <c r="F1620" s="952"/>
      <c r="G1620" s="950"/>
      <c r="H1620" s="953"/>
      <c r="I1620" s="3"/>
      <c r="J1620" s="3"/>
      <c r="K1620" s="955"/>
      <c r="L1620" s="956"/>
      <c r="M1620" s="956"/>
      <c r="N1620" s="3"/>
      <c r="O1620" s="955"/>
      <c r="P1620" s="957"/>
      <c r="Q1620" s="958"/>
    </row>
    <row r="1621">
      <c r="A1621" s="3"/>
      <c r="B1621" s="950"/>
      <c r="C1621" s="584"/>
      <c r="D1621" s="584"/>
      <c r="E1621" s="951"/>
      <c r="F1621" s="952"/>
      <c r="G1621" s="950"/>
      <c r="H1621" s="953"/>
      <c r="I1621" s="3"/>
      <c r="J1621" s="3"/>
      <c r="K1621" s="955"/>
      <c r="L1621" s="956"/>
      <c r="M1621" s="956"/>
      <c r="N1621" s="3"/>
      <c r="O1621" s="955"/>
      <c r="P1621" s="957"/>
      <c r="Q1621" s="958"/>
    </row>
    <row r="1622">
      <c r="A1622" s="3"/>
      <c r="B1622" s="950"/>
      <c r="C1622" s="584"/>
      <c r="D1622" s="584"/>
      <c r="E1622" s="951"/>
      <c r="F1622" s="952"/>
      <c r="G1622" s="950"/>
      <c r="H1622" s="953"/>
      <c r="I1622" s="3"/>
      <c r="J1622" s="3"/>
      <c r="K1622" s="955"/>
      <c r="L1622" s="956"/>
      <c r="M1622" s="956"/>
      <c r="N1622" s="3"/>
      <c r="O1622" s="955"/>
      <c r="P1622" s="957"/>
      <c r="Q1622" s="958"/>
    </row>
    <row r="1623">
      <c r="A1623" s="3"/>
      <c r="B1623" s="950"/>
      <c r="C1623" s="584"/>
      <c r="D1623" s="584"/>
      <c r="E1623" s="951"/>
      <c r="F1623" s="952"/>
      <c r="G1623" s="950"/>
      <c r="H1623" s="953"/>
      <c r="I1623" s="3"/>
      <c r="J1623" s="3"/>
      <c r="K1623" s="955"/>
      <c r="L1623" s="956"/>
      <c r="M1623" s="956"/>
      <c r="N1623" s="3"/>
      <c r="O1623" s="955"/>
      <c r="P1623" s="957"/>
      <c r="Q1623" s="958"/>
    </row>
    <row r="1624">
      <c r="A1624" s="3"/>
      <c r="B1624" s="950"/>
      <c r="C1624" s="584"/>
      <c r="D1624" s="584"/>
      <c r="E1624" s="951"/>
      <c r="F1624" s="952"/>
      <c r="G1624" s="950"/>
      <c r="H1624" s="953"/>
      <c r="I1624" s="3"/>
      <c r="J1624" s="3"/>
      <c r="K1624" s="955"/>
      <c r="L1624" s="956"/>
      <c r="M1624" s="956"/>
      <c r="N1624" s="3"/>
      <c r="O1624" s="955"/>
      <c r="P1624" s="957"/>
      <c r="Q1624" s="958"/>
    </row>
    <row r="1625">
      <c r="A1625" s="3"/>
      <c r="B1625" s="950"/>
      <c r="C1625" s="584"/>
      <c r="D1625" s="584"/>
      <c r="E1625" s="951"/>
      <c r="F1625" s="952"/>
      <c r="G1625" s="950"/>
      <c r="H1625" s="953"/>
      <c r="I1625" s="3"/>
      <c r="J1625" s="3"/>
      <c r="K1625" s="955"/>
      <c r="L1625" s="956"/>
      <c r="M1625" s="956"/>
      <c r="N1625" s="3"/>
      <c r="O1625" s="955"/>
      <c r="P1625" s="957"/>
      <c r="Q1625" s="958"/>
    </row>
    <row r="1626">
      <c r="A1626" s="3"/>
      <c r="B1626" s="950"/>
      <c r="C1626" s="584"/>
      <c r="D1626" s="584"/>
      <c r="E1626" s="951"/>
      <c r="F1626" s="952"/>
      <c r="G1626" s="950"/>
      <c r="H1626" s="953"/>
      <c r="I1626" s="3"/>
      <c r="J1626" s="3"/>
      <c r="K1626" s="955"/>
      <c r="L1626" s="956"/>
      <c r="M1626" s="956"/>
      <c r="N1626" s="3"/>
      <c r="O1626" s="955"/>
      <c r="P1626" s="957"/>
      <c r="Q1626" s="958"/>
    </row>
    <row r="1627">
      <c r="A1627" s="3"/>
      <c r="B1627" s="950"/>
      <c r="C1627" s="584"/>
      <c r="D1627" s="584"/>
      <c r="E1627" s="951"/>
      <c r="F1627" s="952"/>
      <c r="G1627" s="950"/>
      <c r="H1627" s="953"/>
      <c r="I1627" s="3"/>
      <c r="J1627" s="3"/>
      <c r="K1627" s="955"/>
      <c r="L1627" s="956"/>
      <c r="M1627" s="956"/>
      <c r="N1627" s="3"/>
      <c r="O1627" s="955"/>
      <c r="P1627" s="957"/>
      <c r="Q1627" s="958"/>
    </row>
    <row r="1628">
      <c r="A1628" s="3"/>
      <c r="B1628" s="950"/>
      <c r="C1628" s="584"/>
      <c r="D1628" s="584"/>
      <c r="E1628" s="951"/>
      <c r="F1628" s="952"/>
      <c r="G1628" s="950"/>
      <c r="H1628" s="953"/>
      <c r="I1628" s="3"/>
      <c r="J1628" s="3"/>
      <c r="K1628" s="955"/>
      <c r="L1628" s="956"/>
      <c r="M1628" s="956"/>
      <c r="N1628" s="3"/>
      <c r="O1628" s="955"/>
      <c r="P1628" s="957"/>
      <c r="Q1628" s="958"/>
    </row>
    <row r="1629">
      <c r="A1629" s="3"/>
      <c r="B1629" s="950"/>
      <c r="C1629" s="584"/>
      <c r="D1629" s="584"/>
      <c r="E1629" s="951"/>
      <c r="F1629" s="952"/>
      <c r="G1629" s="950"/>
      <c r="H1629" s="953"/>
      <c r="I1629" s="3"/>
      <c r="J1629" s="3"/>
      <c r="K1629" s="955"/>
      <c r="L1629" s="956"/>
      <c r="M1629" s="956"/>
      <c r="N1629" s="3"/>
      <c r="O1629" s="955"/>
      <c r="P1629" s="957"/>
      <c r="Q1629" s="958"/>
    </row>
    <row r="1630">
      <c r="A1630" s="3"/>
      <c r="B1630" s="950"/>
      <c r="C1630" s="584"/>
      <c r="D1630" s="584"/>
      <c r="E1630" s="951"/>
      <c r="F1630" s="952"/>
      <c r="G1630" s="950"/>
      <c r="H1630" s="953"/>
      <c r="I1630" s="3"/>
      <c r="J1630" s="3"/>
      <c r="K1630" s="955"/>
      <c r="L1630" s="956"/>
      <c r="M1630" s="956"/>
      <c r="N1630" s="3"/>
      <c r="O1630" s="955"/>
      <c r="P1630" s="957"/>
      <c r="Q1630" s="958"/>
    </row>
    <row r="1631">
      <c r="A1631" s="3"/>
      <c r="B1631" s="950"/>
      <c r="C1631" s="584"/>
      <c r="D1631" s="584"/>
      <c r="E1631" s="951"/>
      <c r="F1631" s="952"/>
      <c r="G1631" s="950"/>
      <c r="H1631" s="953"/>
      <c r="I1631" s="3"/>
      <c r="J1631" s="3"/>
      <c r="K1631" s="955"/>
      <c r="L1631" s="956"/>
      <c r="M1631" s="956"/>
      <c r="N1631" s="3"/>
      <c r="O1631" s="955"/>
      <c r="P1631" s="957"/>
      <c r="Q1631" s="958"/>
    </row>
    <row r="1632">
      <c r="A1632" s="3"/>
      <c r="B1632" s="950"/>
      <c r="C1632" s="584"/>
      <c r="D1632" s="584"/>
      <c r="E1632" s="951"/>
      <c r="F1632" s="952"/>
      <c r="G1632" s="950"/>
      <c r="H1632" s="953"/>
      <c r="I1632" s="3"/>
      <c r="J1632" s="3"/>
      <c r="K1632" s="955"/>
      <c r="L1632" s="956"/>
      <c r="M1632" s="956"/>
      <c r="N1632" s="3"/>
      <c r="O1632" s="955"/>
      <c r="P1632" s="957"/>
      <c r="Q1632" s="958"/>
    </row>
    <row r="1633">
      <c r="A1633" s="3"/>
      <c r="B1633" s="950"/>
      <c r="C1633" s="584"/>
      <c r="D1633" s="584"/>
      <c r="E1633" s="951"/>
      <c r="F1633" s="952"/>
      <c r="G1633" s="950"/>
      <c r="H1633" s="953"/>
      <c r="I1633" s="3"/>
      <c r="J1633" s="3"/>
      <c r="K1633" s="955"/>
      <c r="L1633" s="956"/>
      <c r="M1633" s="956"/>
      <c r="N1633" s="3"/>
      <c r="O1633" s="955"/>
      <c r="P1633" s="957"/>
      <c r="Q1633" s="958"/>
    </row>
    <row r="1634">
      <c r="A1634" s="3"/>
      <c r="B1634" s="950"/>
      <c r="C1634" s="584"/>
      <c r="D1634" s="584"/>
      <c r="E1634" s="951"/>
      <c r="F1634" s="952"/>
      <c r="G1634" s="950"/>
      <c r="H1634" s="953"/>
      <c r="I1634" s="3"/>
      <c r="J1634" s="3"/>
      <c r="K1634" s="955"/>
      <c r="L1634" s="956"/>
      <c r="M1634" s="956"/>
      <c r="N1634" s="3"/>
      <c r="O1634" s="955"/>
      <c r="P1634" s="957"/>
      <c r="Q1634" s="958"/>
    </row>
    <row r="1635">
      <c r="A1635" s="3"/>
      <c r="B1635" s="950"/>
      <c r="C1635" s="584"/>
      <c r="D1635" s="584"/>
      <c r="E1635" s="951"/>
      <c r="F1635" s="952"/>
      <c r="G1635" s="950"/>
      <c r="H1635" s="953"/>
      <c r="I1635" s="3"/>
      <c r="J1635" s="3"/>
      <c r="K1635" s="955"/>
      <c r="L1635" s="956"/>
      <c r="M1635" s="956"/>
      <c r="N1635" s="3"/>
      <c r="O1635" s="955"/>
      <c r="P1635" s="957"/>
      <c r="Q1635" s="958"/>
    </row>
    <row r="1636">
      <c r="A1636" s="3"/>
      <c r="B1636" s="950"/>
      <c r="C1636" s="584"/>
      <c r="D1636" s="584"/>
      <c r="E1636" s="951"/>
      <c r="F1636" s="952"/>
      <c r="G1636" s="950"/>
      <c r="H1636" s="953"/>
      <c r="I1636" s="3"/>
      <c r="J1636" s="3"/>
      <c r="K1636" s="955"/>
      <c r="L1636" s="956"/>
      <c r="M1636" s="956"/>
      <c r="N1636" s="3"/>
      <c r="O1636" s="955"/>
      <c r="P1636" s="957"/>
      <c r="Q1636" s="958"/>
    </row>
    <row r="1637">
      <c r="A1637" s="3"/>
      <c r="B1637" s="950"/>
      <c r="C1637" s="584"/>
      <c r="D1637" s="584"/>
      <c r="E1637" s="951"/>
      <c r="F1637" s="952"/>
      <c r="G1637" s="950"/>
      <c r="H1637" s="953"/>
      <c r="I1637" s="3"/>
      <c r="J1637" s="3"/>
      <c r="K1637" s="955"/>
      <c r="L1637" s="956"/>
      <c r="M1637" s="956"/>
      <c r="N1637" s="3"/>
      <c r="O1637" s="955"/>
      <c r="P1637" s="957"/>
      <c r="Q1637" s="958"/>
    </row>
    <row r="1638">
      <c r="A1638" s="3"/>
      <c r="B1638" s="950"/>
      <c r="C1638" s="584"/>
      <c r="D1638" s="584"/>
      <c r="E1638" s="951"/>
      <c r="F1638" s="952"/>
      <c r="G1638" s="950"/>
      <c r="H1638" s="953"/>
      <c r="I1638" s="3"/>
      <c r="J1638" s="3"/>
      <c r="K1638" s="955"/>
      <c r="L1638" s="956"/>
      <c r="M1638" s="956"/>
      <c r="N1638" s="3"/>
      <c r="O1638" s="955"/>
      <c r="P1638" s="957"/>
      <c r="Q1638" s="958"/>
    </row>
    <row r="1639">
      <c r="A1639" s="3"/>
      <c r="B1639" s="950"/>
      <c r="C1639" s="584"/>
      <c r="D1639" s="584"/>
      <c r="E1639" s="951"/>
      <c r="F1639" s="952"/>
      <c r="G1639" s="950"/>
      <c r="H1639" s="953"/>
      <c r="I1639" s="3"/>
      <c r="J1639" s="3"/>
      <c r="K1639" s="955"/>
      <c r="L1639" s="956"/>
      <c r="M1639" s="956"/>
      <c r="N1639" s="3"/>
      <c r="O1639" s="955"/>
      <c r="P1639" s="957"/>
      <c r="Q1639" s="958"/>
    </row>
    <row r="1640">
      <c r="A1640" s="3"/>
      <c r="B1640" s="950"/>
      <c r="C1640" s="584"/>
      <c r="D1640" s="584"/>
      <c r="E1640" s="951"/>
      <c r="F1640" s="952"/>
      <c r="G1640" s="950"/>
      <c r="H1640" s="953"/>
      <c r="I1640" s="3"/>
      <c r="J1640" s="3"/>
      <c r="K1640" s="955"/>
      <c r="L1640" s="956"/>
      <c r="M1640" s="956"/>
      <c r="N1640" s="3"/>
      <c r="O1640" s="955"/>
      <c r="P1640" s="957"/>
      <c r="Q1640" s="958"/>
    </row>
    <row r="1641">
      <c r="A1641" s="3"/>
      <c r="B1641" s="950"/>
      <c r="C1641" s="584"/>
      <c r="D1641" s="584"/>
      <c r="E1641" s="951"/>
      <c r="F1641" s="952"/>
      <c r="G1641" s="950"/>
      <c r="H1641" s="953"/>
      <c r="I1641" s="3"/>
      <c r="J1641" s="3"/>
      <c r="K1641" s="955"/>
      <c r="L1641" s="956"/>
      <c r="M1641" s="956"/>
      <c r="N1641" s="3"/>
      <c r="O1641" s="955"/>
      <c r="P1641" s="957"/>
      <c r="Q1641" s="958"/>
    </row>
    <row r="1642">
      <c r="A1642" s="3"/>
      <c r="B1642" s="950"/>
      <c r="C1642" s="584"/>
      <c r="D1642" s="584"/>
      <c r="E1642" s="951"/>
      <c r="F1642" s="952"/>
      <c r="G1642" s="950"/>
      <c r="H1642" s="953"/>
      <c r="I1642" s="3"/>
      <c r="J1642" s="3"/>
      <c r="K1642" s="955"/>
      <c r="L1642" s="956"/>
      <c r="M1642" s="956"/>
      <c r="N1642" s="3"/>
      <c r="O1642" s="955"/>
      <c r="P1642" s="957"/>
      <c r="Q1642" s="958"/>
    </row>
    <row r="1643">
      <c r="A1643" s="3"/>
      <c r="B1643" s="950"/>
      <c r="C1643" s="584"/>
      <c r="D1643" s="584"/>
      <c r="E1643" s="951"/>
      <c r="F1643" s="952"/>
      <c r="G1643" s="950"/>
      <c r="H1643" s="953"/>
      <c r="I1643" s="3"/>
      <c r="J1643" s="3"/>
      <c r="K1643" s="955"/>
      <c r="L1643" s="956"/>
      <c r="M1643" s="956"/>
      <c r="N1643" s="3"/>
      <c r="O1643" s="955"/>
      <c r="P1643" s="957"/>
      <c r="Q1643" s="958"/>
    </row>
    <row r="1644">
      <c r="A1644" s="3"/>
      <c r="B1644" s="950"/>
      <c r="C1644" s="584"/>
      <c r="D1644" s="584"/>
      <c r="E1644" s="951"/>
      <c r="F1644" s="952"/>
      <c r="G1644" s="950"/>
      <c r="H1644" s="953"/>
      <c r="I1644" s="3"/>
      <c r="J1644" s="3"/>
      <c r="K1644" s="955"/>
      <c r="L1644" s="956"/>
      <c r="M1644" s="956"/>
      <c r="N1644" s="3"/>
      <c r="O1644" s="955"/>
      <c r="P1644" s="957"/>
      <c r="Q1644" s="958"/>
    </row>
    <row r="1645">
      <c r="A1645" s="3"/>
      <c r="B1645" s="950"/>
      <c r="C1645" s="584"/>
      <c r="D1645" s="584"/>
      <c r="E1645" s="951"/>
      <c r="F1645" s="952"/>
      <c r="G1645" s="950"/>
      <c r="H1645" s="953"/>
      <c r="I1645" s="3"/>
      <c r="J1645" s="3"/>
      <c r="K1645" s="955"/>
      <c r="L1645" s="956"/>
      <c r="M1645" s="956"/>
      <c r="N1645" s="3"/>
      <c r="O1645" s="955"/>
      <c r="P1645" s="957"/>
      <c r="Q1645" s="958"/>
    </row>
    <row r="1646">
      <c r="A1646" s="3"/>
      <c r="B1646" s="950"/>
      <c r="C1646" s="584"/>
      <c r="D1646" s="584"/>
      <c r="E1646" s="951"/>
      <c r="F1646" s="952"/>
      <c r="G1646" s="950"/>
      <c r="H1646" s="953"/>
      <c r="I1646" s="3"/>
      <c r="J1646" s="3"/>
      <c r="K1646" s="955"/>
      <c r="L1646" s="956"/>
      <c r="M1646" s="956"/>
      <c r="N1646" s="3"/>
      <c r="O1646" s="955"/>
      <c r="P1646" s="957"/>
      <c r="Q1646" s="958"/>
    </row>
    <row r="1647">
      <c r="A1647" s="3"/>
      <c r="B1647" s="950"/>
      <c r="C1647" s="584"/>
      <c r="D1647" s="584"/>
      <c r="E1647" s="951"/>
      <c r="F1647" s="952"/>
      <c r="G1647" s="950"/>
      <c r="H1647" s="953"/>
      <c r="I1647" s="3"/>
      <c r="J1647" s="3"/>
      <c r="K1647" s="955"/>
      <c r="L1647" s="956"/>
      <c r="M1647" s="956"/>
      <c r="N1647" s="3"/>
      <c r="O1647" s="955"/>
      <c r="P1647" s="957"/>
      <c r="Q1647" s="958"/>
    </row>
    <row r="1648">
      <c r="A1648" s="3"/>
      <c r="B1648" s="950"/>
      <c r="C1648" s="584"/>
      <c r="D1648" s="584"/>
      <c r="E1648" s="951"/>
      <c r="F1648" s="952"/>
      <c r="G1648" s="950"/>
      <c r="H1648" s="953"/>
      <c r="I1648" s="3"/>
      <c r="J1648" s="3"/>
      <c r="K1648" s="955"/>
      <c r="L1648" s="956"/>
      <c r="M1648" s="956"/>
      <c r="N1648" s="3"/>
      <c r="O1648" s="955"/>
      <c r="P1648" s="957"/>
      <c r="Q1648" s="958"/>
    </row>
    <row r="1649">
      <c r="A1649" s="3"/>
      <c r="B1649" s="950"/>
      <c r="C1649" s="584"/>
      <c r="D1649" s="584"/>
      <c r="E1649" s="951"/>
      <c r="F1649" s="952"/>
      <c r="G1649" s="950"/>
      <c r="H1649" s="953"/>
      <c r="I1649" s="3"/>
      <c r="J1649" s="3"/>
      <c r="K1649" s="955"/>
      <c r="L1649" s="956"/>
      <c r="M1649" s="956"/>
      <c r="N1649" s="3"/>
      <c r="O1649" s="955"/>
      <c r="P1649" s="957"/>
      <c r="Q1649" s="958"/>
    </row>
    <row r="1650">
      <c r="A1650" s="3"/>
      <c r="B1650" s="950"/>
      <c r="C1650" s="584"/>
      <c r="D1650" s="584"/>
      <c r="E1650" s="951"/>
      <c r="F1650" s="952"/>
      <c r="G1650" s="950"/>
      <c r="H1650" s="953"/>
      <c r="I1650" s="3"/>
      <c r="J1650" s="3"/>
      <c r="K1650" s="955"/>
      <c r="L1650" s="956"/>
      <c r="M1650" s="956"/>
      <c r="N1650" s="3"/>
      <c r="O1650" s="955"/>
      <c r="P1650" s="957"/>
      <c r="Q1650" s="958"/>
    </row>
    <row r="1651">
      <c r="A1651" s="3"/>
      <c r="B1651" s="950"/>
      <c r="C1651" s="584"/>
      <c r="D1651" s="584"/>
      <c r="E1651" s="951"/>
      <c r="F1651" s="952"/>
      <c r="G1651" s="950"/>
      <c r="H1651" s="953"/>
      <c r="I1651" s="3"/>
      <c r="J1651" s="3"/>
      <c r="K1651" s="955"/>
      <c r="L1651" s="956"/>
      <c r="M1651" s="956"/>
      <c r="N1651" s="3"/>
      <c r="O1651" s="955"/>
      <c r="P1651" s="957"/>
      <c r="Q1651" s="958"/>
    </row>
    <row r="1652">
      <c r="A1652" s="3"/>
      <c r="B1652" s="950"/>
      <c r="C1652" s="584"/>
      <c r="D1652" s="584"/>
      <c r="E1652" s="951"/>
      <c r="F1652" s="952"/>
      <c r="G1652" s="950"/>
      <c r="H1652" s="953"/>
      <c r="I1652" s="3"/>
      <c r="J1652" s="3"/>
      <c r="K1652" s="955"/>
      <c r="L1652" s="956"/>
      <c r="M1652" s="956"/>
      <c r="N1652" s="3"/>
      <c r="O1652" s="955"/>
      <c r="P1652" s="957"/>
      <c r="Q1652" s="958"/>
    </row>
    <row r="1653">
      <c r="A1653" s="3"/>
      <c r="B1653" s="950"/>
      <c r="C1653" s="584"/>
      <c r="D1653" s="584"/>
      <c r="E1653" s="951"/>
      <c r="F1653" s="952"/>
      <c r="G1653" s="950"/>
      <c r="H1653" s="953"/>
      <c r="I1653" s="3"/>
      <c r="J1653" s="3"/>
      <c r="K1653" s="955"/>
      <c r="L1653" s="956"/>
      <c r="M1653" s="956"/>
      <c r="N1653" s="3"/>
      <c r="O1653" s="955"/>
      <c r="P1653" s="957"/>
      <c r="Q1653" s="958"/>
    </row>
    <row r="1654">
      <c r="A1654" s="3"/>
      <c r="B1654" s="950"/>
      <c r="C1654" s="584"/>
      <c r="D1654" s="584"/>
      <c r="E1654" s="951"/>
      <c r="F1654" s="952"/>
      <c r="G1654" s="950"/>
      <c r="H1654" s="953"/>
      <c r="I1654" s="3"/>
      <c r="J1654" s="3"/>
      <c r="K1654" s="955"/>
      <c r="L1654" s="956"/>
      <c r="M1654" s="956"/>
      <c r="N1654" s="3"/>
      <c r="O1654" s="955"/>
      <c r="P1654" s="957"/>
      <c r="Q1654" s="958"/>
    </row>
    <row r="1655">
      <c r="A1655" s="3"/>
      <c r="B1655" s="950"/>
      <c r="C1655" s="584"/>
      <c r="D1655" s="584"/>
      <c r="E1655" s="951"/>
      <c r="F1655" s="952"/>
      <c r="G1655" s="950"/>
      <c r="H1655" s="953"/>
      <c r="I1655" s="3"/>
      <c r="J1655" s="3"/>
      <c r="K1655" s="955"/>
      <c r="L1655" s="956"/>
      <c r="M1655" s="956"/>
      <c r="N1655" s="3"/>
      <c r="O1655" s="955"/>
      <c r="P1655" s="957"/>
      <c r="Q1655" s="958"/>
    </row>
    <row r="1656">
      <c r="A1656" s="3"/>
      <c r="B1656" s="950"/>
      <c r="C1656" s="584"/>
      <c r="D1656" s="584"/>
      <c r="E1656" s="951"/>
      <c r="F1656" s="952"/>
      <c r="G1656" s="950"/>
      <c r="H1656" s="953"/>
      <c r="I1656" s="3"/>
      <c r="J1656" s="3"/>
      <c r="K1656" s="955"/>
      <c r="L1656" s="956"/>
      <c r="M1656" s="956"/>
      <c r="N1656" s="3"/>
      <c r="O1656" s="955"/>
      <c r="P1656" s="957"/>
      <c r="Q1656" s="958"/>
    </row>
    <row r="1657">
      <c r="A1657" s="3"/>
      <c r="B1657" s="950"/>
      <c r="C1657" s="584"/>
      <c r="D1657" s="584"/>
      <c r="E1657" s="951"/>
      <c r="F1657" s="952"/>
      <c r="G1657" s="950"/>
      <c r="H1657" s="953"/>
      <c r="I1657" s="3"/>
      <c r="J1657" s="3"/>
      <c r="K1657" s="955"/>
      <c r="L1657" s="956"/>
      <c r="M1657" s="956"/>
      <c r="N1657" s="3"/>
      <c r="O1657" s="955"/>
      <c r="P1657" s="957"/>
      <c r="Q1657" s="958"/>
    </row>
    <row r="1658">
      <c r="A1658" s="3"/>
      <c r="B1658" s="950"/>
      <c r="C1658" s="584"/>
      <c r="D1658" s="584"/>
      <c r="E1658" s="951"/>
      <c r="F1658" s="952"/>
      <c r="G1658" s="950"/>
      <c r="H1658" s="953"/>
      <c r="I1658" s="3"/>
      <c r="J1658" s="3"/>
      <c r="K1658" s="955"/>
      <c r="L1658" s="956"/>
      <c r="M1658" s="956"/>
      <c r="N1658" s="3"/>
      <c r="O1658" s="955"/>
      <c r="P1658" s="957"/>
      <c r="Q1658" s="958"/>
    </row>
    <row r="1659">
      <c r="A1659" s="3"/>
      <c r="B1659" s="950"/>
      <c r="C1659" s="584"/>
      <c r="D1659" s="584"/>
      <c r="E1659" s="951"/>
      <c r="F1659" s="952"/>
      <c r="G1659" s="950"/>
      <c r="H1659" s="953"/>
      <c r="I1659" s="3"/>
      <c r="J1659" s="3"/>
      <c r="K1659" s="955"/>
      <c r="L1659" s="956"/>
      <c r="M1659" s="956"/>
      <c r="N1659" s="3"/>
      <c r="O1659" s="955"/>
      <c r="P1659" s="957"/>
      <c r="Q1659" s="958"/>
    </row>
    <row r="1660">
      <c r="A1660" s="3"/>
      <c r="B1660" s="950"/>
      <c r="C1660" s="584"/>
      <c r="D1660" s="584"/>
      <c r="E1660" s="951"/>
      <c r="F1660" s="952"/>
      <c r="G1660" s="950"/>
      <c r="H1660" s="953"/>
      <c r="I1660" s="3"/>
      <c r="J1660" s="3"/>
      <c r="K1660" s="955"/>
      <c r="L1660" s="956"/>
      <c r="M1660" s="956"/>
      <c r="N1660" s="3"/>
      <c r="O1660" s="955"/>
      <c r="P1660" s="957"/>
      <c r="Q1660" s="958"/>
    </row>
    <row r="1661">
      <c r="A1661" s="3"/>
      <c r="B1661" s="950"/>
      <c r="C1661" s="584"/>
      <c r="D1661" s="584"/>
      <c r="E1661" s="951"/>
      <c r="F1661" s="952"/>
      <c r="G1661" s="950"/>
      <c r="H1661" s="953"/>
      <c r="I1661" s="3"/>
      <c r="J1661" s="3"/>
      <c r="K1661" s="955"/>
      <c r="L1661" s="956"/>
      <c r="M1661" s="956"/>
      <c r="N1661" s="3"/>
      <c r="O1661" s="955"/>
      <c r="P1661" s="957"/>
      <c r="Q1661" s="958"/>
    </row>
    <row r="1662">
      <c r="A1662" s="3"/>
      <c r="B1662" s="950"/>
      <c r="C1662" s="584"/>
      <c r="D1662" s="584"/>
      <c r="E1662" s="951"/>
      <c r="F1662" s="952"/>
      <c r="G1662" s="950"/>
      <c r="H1662" s="953"/>
      <c r="I1662" s="3"/>
      <c r="J1662" s="3"/>
      <c r="K1662" s="955"/>
      <c r="L1662" s="956"/>
      <c r="M1662" s="956"/>
      <c r="N1662" s="3"/>
      <c r="O1662" s="955"/>
      <c r="P1662" s="957"/>
      <c r="Q1662" s="958"/>
    </row>
    <row r="1663">
      <c r="A1663" s="3"/>
      <c r="B1663" s="950"/>
      <c r="C1663" s="584"/>
      <c r="D1663" s="584"/>
      <c r="E1663" s="951"/>
      <c r="F1663" s="952"/>
      <c r="G1663" s="950"/>
      <c r="H1663" s="953"/>
      <c r="I1663" s="3"/>
      <c r="J1663" s="3"/>
      <c r="K1663" s="955"/>
      <c r="L1663" s="956"/>
      <c r="M1663" s="956"/>
      <c r="N1663" s="3"/>
      <c r="O1663" s="955"/>
      <c r="P1663" s="957"/>
      <c r="Q1663" s="958"/>
    </row>
    <row r="1664">
      <c r="A1664" s="3"/>
      <c r="B1664" s="950"/>
      <c r="C1664" s="584"/>
      <c r="D1664" s="584"/>
      <c r="E1664" s="951"/>
      <c r="F1664" s="952"/>
      <c r="G1664" s="950"/>
      <c r="H1664" s="953"/>
      <c r="I1664" s="3"/>
      <c r="J1664" s="3"/>
      <c r="K1664" s="955"/>
      <c r="L1664" s="956"/>
      <c r="M1664" s="956"/>
      <c r="N1664" s="3"/>
      <c r="O1664" s="955"/>
      <c r="P1664" s="957"/>
      <c r="Q1664" s="958"/>
    </row>
    <row r="1665">
      <c r="A1665" s="3"/>
      <c r="B1665" s="950"/>
      <c r="C1665" s="584"/>
      <c r="D1665" s="584"/>
      <c r="E1665" s="951"/>
      <c r="F1665" s="952"/>
      <c r="G1665" s="950"/>
      <c r="H1665" s="953"/>
      <c r="I1665" s="3"/>
      <c r="J1665" s="3"/>
      <c r="K1665" s="955"/>
      <c r="L1665" s="956"/>
      <c r="M1665" s="956"/>
      <c r="N1665" s="3"/>
      <c r="O1665" s="955"/>
      <c r="P1665" s="957"/>
      <c r="Q1665" s="958"/>
    </row>
    <row r="1666">
      <c r="A1666" s="3"/>
      <c r="B1666" s="950"/>
      <c r="C1666" s="584"/>
      <c r="D1666" s="584"/>
      <c r="E1666" s="951"/>
      <c r="F1666" s="952"/>
      <c r="G1666" s="950"/>
      <c r="H1666" s="953"/>
      <c r="I1666" s="3"/>
      <c r="J1666" s="3"/>
      <c r="K1666" s="955"/>
      <c r="L1666" s="956"/>
      <c r="M1666" s="956"/>
      <c r="N1666" s="3"/>
      <c r="O1666" s="955"/>
      <c r="P1666" s="957"/>
      <c r="Q1666" s="958"/>
    </row>
    <row r="1667">
      <c r="A1667" s="3"/>
      <c r="B1667" s="950"/>
      <c r="C1667" s="584"/>
      <c r="D1667" s="584"/>
      <c r="E1667" s="951"/>
      <c r="F1667" s="952"/>
      <c r="G1667" s="950"/>
      <c r="H1667" s="953"/>
      <c r="I1667" s="3"/>
      <c r="J1667" s="3"/>
      <c r="K1667" s="955"/>
      <c r="L1667" s="956"/>
      <c r="M1667" s="956"/>
      <c r="N1667" s="3"/>
      <c r="O1667" s="955"/>
      <c r="P1667" s="957"/>
      <c r="Q1667" s="958"/>
    </row>
    <row r="1668">
      <c r="A1668" s="3"/>
      <c r="B1668" s="950"/>
      <c r="C1668" s="584"/>
      <c r="D1668" s="584"/>
      <c r="E1668" s="951"/>
      <c r="F1668" s="952"/>
      <c r="G1668" s="950"/>
      <c r="H1668" s="953"/>
      <c r="I1668" s="3"/>
      <c r="J1668" s="3"/>
      <c r="K1668" s="955"/>
      <c r="L1668" s="956"/>
      <c r="M1668" s="956"/>
      <c r="N1668" s="3"/>
      <c r="O1668" s="955"/>
      <c r="P1668" s="957"/>
      <c r="Q1668" s="958"/>
    </row>
    <row r="1669">
      <c r="A1669" s="3"/>
      <c r="B1669" s="950"/>
      <c r="C1669" s="584"/>
      <c r="D1669" s="584"/>
      <c r="E1669" s="951"/>
      <c r="F1669" s="952"/>
      <c r="G1669" s="950"/>
      <c r="H1669" s="953"/>
      <c r="I1669" s="3"/>
      <c r="J1669" s="3"/>
      <c r="K1669" s="955"/>
      <c r="L1669" s="956"/>
      <c r="M1669" s="956"/>
      <c r="N1669" s="3"/>
      <c r="O1669" s="955"/>
      <c r="P1669" s="957"/>
      <c r="Q1669" s="958"/>
    </row>
    <row r="1670">
      <c r="A1670" s="3"/>
      <c r="B1670" s="950"/>
      <c r="C1670" s="584"/>
      <c r="D1670" s="584"/>
      <c r="E1670" s="951"/>
      <c r="F1670" s="952"/>
      <c r="G1670" s="950"/>
      <c r="H1670" s="953"/>
      <c r="I1670" s="3"/>
      <c r="J1670" s="3"/>
      <c r="K1670" s="955"/>
      <c r="L1670" s="956"/>
      <c r="M1670" s="956"/>
      <c r="N1670" s="3"/>
      <c r="O1670" s="955"/>
      <c r="P1670" s="957"/>
      <c r="Q1670" s="958"/>
    </row>
    <row r="1671">
      <c r="A1671" s="3"/>
      <c r="B1671" s="950"/>
      <c r="C1671" s="584"/>
      <c r="D1671" s="584"/>
      <c r="E1671" s="951"/>
      <c r="F1671" s="952"/>
      <c r="G1671" s="950"/>
      <c r="H1671" s="953"/>
      <c r="I1671" s="3"/>
      <c r="J1671" s="3"/>
      <c r="K1671" s="955"/>
      <c r="L1671" s="956"/>
      <c r="M1671" s="956"/>
      <c r="N1671" s="3"/>
      <c r="O1671" s="955"/>
      <c r="P1671" s="957"/>
      <c r="Q1671" s="958"/>
    </row>
    <row r="1672">
      <c r="A1672" s="3"/>
      <c r="B1672" s="950"/>
      <c r="C1672" s="584"/>
      <c r="D1672" s="584"/>
      <c r="E1672" s="951"/>
      <c r="F1672" s="952"/>
      <c r="G1672" s="950"/>
      <c r="H1672" s="953"/>
      <c r="I1672" s="3"/>
      <c r="J1672" s="3"/>
      <c r="K1672" s="955"/>
      <c r="L1672" s="956"/>
      <c r="M1672" s="956"/>
      <c r="N1672" s="3"/>
      <c r="O1672" s="955"/>
      <c r="P1672" s="957"/>
      <c r="Q1672" s="958"/>
    </row>
    <row r="1673">
      <c r="A1673" s="3"/>
      <c r="B1673" s="950"/>
      <c r="C1673" s="584"/>
      <c r="D1673" s="584"/>
      <c r="E1673" s="951"/>
      <c r="F1673" s="952"/>
      <c r="G1673" s="950"/>
      <c r="H1673" s="953"/>
      <c r="I1673" s="3"/>
      <c r="J1673" s="3"/>
      <c r="K1673" s="955"/>
      <c r="L1673" s="956"/>
      <c r="M1673" s="956"/>
      <c r="N1673" s="3"/>
      <c r="O1673" s="955"/>
      <c r="P1673" s="957"/>
      <c r="Q1673" s="958"/>
    </row>
    <row r="1674">
      <c r="A1674" s="3"/>
      <c r="B1674" s="950"/>
      <c r="C1674" s="584"/>
      <c r="D1674" s="584"/>
      <c r="E1674" s="951"/>
      <c r="F1674" s="952"/>
      <c r="G1674" s="950"/>
      <c r="H1674" s="953"/>
      <c r="I1674" s="3"/>
      <c r="J1674" s="3"/>
      <c r="K1674" s="955"/>
      <c r="L1674" s="956"/>
      <c r="M1674" s="956"/>
      <c r="N1674" s="3"/>
      <c r="O1674" s="955"/>
      <c r="P1674" s="957"/>
      <c r="Q1674" s="958"/>
    </row>
    <row r="1675">
      <c r="A1675" s="3"/>
      <c r="B1675" s="950"/>
      <c r="C1675" s="584"/>
      <c r="D1675" s="584"/>
      <c r="E1675" s="951"/>
      <c r="F1675" s="952"/>
      <c r="G1675" s="950"/>
      <c r="H1675" s="953"/>
      <c r="I1675" s="3"/>
      <c r="J1675" s="3"/>
      <c r="K1675" s="955"/>
      <c r="L1675" s="956"/>
      <c r="M1675" s="956"/>
      <c r="N1675" s="3"/>
      <c r="O1675" s="955"/>
      <c r="P1675" s="957"/>
      <c r="Q1675" s="958"/>
    </row>
    <row r="1676">
      <c r="A1676" s="3"/>
      <c r="B1676" s="950"/>
      <c r="C1676" s="584"/>
      <c r="D1676" s="584"/>
      <c r="E1676" s="951"/>
      <c r="F1676" s="952"/>
      <c r="G1676" s="950"/>
      <c r="H1676" s="953"/>
      <c r="I1676" s="3"/>
      <c r="J1676" s="3"/>
      <c r="K1676" s="955"/>
      <c r="L1676" s="956"/>
      <c r="M1676" s="956"/>
      <c r="N1676" s="3"/>
      <c r="O1676" s="955"/>
      <c r="P1676" s="957"/>
      <c r="Q1676" s="958"/>
    </row>
    <row r="1677">
      <c r="A1677" s="3"/>
      <c r="B1677" s="950"/>
      <c r="C1677" s="584"/>
      <c r="D1677" s="584"/>
      <c r="E1677" s="951"/>
      <c r="F1677" s="952"/>
      <c r="G1677" s="950"/>
      <c r="H1677" s="953"/>
      <c r="I1677" s="3"/>
      <c r="J1677" s="3"/>
      <c r="K1677" s="955"/>
      <c r="L1677" s="956"/>
      <c r="M1677" s="956"/>
      <c r="N1677" s="3"/>
      <c r="O1677" s="955"/>
      <c r="P1677" s="957"/>
      <c r="Q1677" s="958"/>
    </row>
    <row r="1678">
      <c r="A1678" s="3"/>
      <c r="B1678" s="950"/>
      <c r="C1678" s="584"/>
      <c r="D1678" s="584"/>
      <c r="E1678" s="951"/>
      <c r="F1678" s="952"/>
      <c r="G1678" s="950"/>
      <c r="H1678" s="953"/>
      <c r="I1678" s="3"/>
      <c r="J1678" s="3"/>
      <c r="K1678" s="955"/>
      <c r="L1678" s="956"/>
      <c r="M1678" s="956"/>
      <c r="N1678" s="3"/>
      <c r="O1678" s="955"/>
      <c r="P1678" s="957"/>
      <c r="Q1678" s="958"/>
    </row>
    <row r="1679">
      <c r="A1679" s="3"/>
      <c r="B1679" s="950"/>
      <c r="C1679" s="584"/>
      <c r="D1679" s="584"/>
      <c r="E1679" s="951"/>
      <c r="F1679" s="952"/>
      <c r="G1679" s="950"/>
      <c r="H1679" s="953"/>
      <c r="I1679" s="3"/>
      <c r="J1679" s="3"/>
      <c r="K1679" s="955"/>
      <c r="L1679" s="956"/>
      <c r="M1679" s="956"/>
      <c r="N1679" s="3"/>
      <c r="O1679" s="955"/>
      <c r="P1679" s="957"/>
      <c r="Q1679" s="958"/>
    </row>
    <row r="1680">
      <c r="A1680" s="3"/>
      <c r="B1680" s="950"/>
      <c r="C1680" s="584"/>
      <c r="D1680" s="584"/>
      <c r="E1680" s="951"/>
      <c r="F1680" s="952"/>
      <c r="G1680" s="950"/>
      <c r="H1680" s="953"/>
      <c r="I1680" s="3"/>
      <c r="J1680" s="3"/>
      <c r="K1680" s="955"/>
      <c r="L1680" s="956"/>
      <c r="M1680" s="956"/>
      <c r="N1680" s="3"/>
      <c r="O1680" s="955"/>
      <c r="P1680" s="957"/>
      <c r="Q1680" s="958"/>
    </row>
    <row r="1681">
      <c r="A1681" s="3"/>
      <c r="B1681" s="950"/>
      <c r="C1681" s="584"/>
      <c r="D1681" s="584"/>
      <c r="E1681" s="951"/>
      <c r="F1681" s="952"/>
      <c r="G1681" s="950"/>
      <c r="H1681" s="953"/>
      <c r="I1681" s="3"/>
      <c r="J1681" s="3"/>
      <c r="K1681" s="955"/>
      <c r="L1681" s="956"/>
      <c r="M1681" s="956"/>
      <c r="N1681" s="3"/>
      <c r="O1681" s="955"/>
      <c r="P1681" s="957"/>
      <c r="Q1681" s="958"/>
    </row>
  </sheetData>
  <autoFilter ref="$A$1:$Q$765"/>
  <hyperlinks>
    <hyperlink r:id="rId4" location="page=6" ref="H28"/>
    <hyperlink r:id="rId5" location="page=6" ref="H29"/>
    <hyperlink r:id="rId6" location="page=6" ref="H30"/>
    <hyperlink r:id="rId7" location="page=6" ref="H31"/>
    <hyperlink r:id="rId8" location="page=6" ref="H32"/>
    <hyperlink r:id="rId9" location="page=6" ref="H33"/>
    <hyperlink r:id="rId10" location="page=6" ref="H34"/>
    <hyperlink r:id="rId11" location="page=6" ref="H35"/>
    <hyperlink r:id="rId12" location="page=6" ref="H36"/>
    <hyperlink r:id="rId13" location="page=6" ref="H37"/>
    <hyperlink r:id="rId14" location="page=6" ref="H39"/>
    <hyperlink r:id="rId15" location="page=6" ref="H40"/>
    <hyperlink r:id="rId16" location="page=6" ref="H41"/>
    <hyperlink r:id="rId17" location="page=6" ref="H42"/>
    <hyperlink r:id="rId18" location="page=6" ref="H43"/>
    <hyperlink r:id="rId19" location="page=6" ref="H44"/>
    <hyperlink r:id="rId20" location="page=6" ref="H45"/>
    <hyperlink r:id="rId21" location="page=6" ref="H46"/>
    <hyperlink r:id="rId22" location="page=6" ref="H47"/>
    <hyperlink r:id="rId23" location="page=6" ref="H48"/>
    <hyperlink r:id="rId24" location="page=6" ref="H62"/>
    <hyperlink r:id="rId25" location="page=6" ref="H81"/>
    <hyperlink r:id="rId26" location="page=6" ref="H91"/>
    <hyperlink r:id="rId27" location="page=6" ref="H92"/>
    <hyperlink r:id="rId28" location="page=6" ref="H113"/>
    <hyperlink r:id="rId29" location="page=6" ref="H114"/>
    <hyperlink r:id="rId30" location="page=6" ref="H230"/>
    <hyperlink r:id="rId31" location="page=6" ref="H393"/>
    <hyperlink r:id="rId32" location="page=6" ref="H394"/>
    <hyperlink r:id="rId33" location="page=6" ref="H734"/>
  </hyperlinks>
  <printOptions gridLines="1" horizontalCentered="1"/>
  <pageMargins bottom="0.75" footer="0.0" header="0.0" left="0.7" right="0.7" top="0.75"/>
  <pageSetup fitToHeight="0" paperSize="9" cellComments="atEnd" orientation="landscape" pageOrder="overThenDown"/>
  <drawing r:id="rId34"/>
  <legacy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5.38"/>
  </cols>
  <sheetData>
    <row r="1">
      <c r="A1" s="3" t="s">
        <v>1</v>
      </c>
      <c r="B1" s="3"/>
    </row>
    <row r="2">
      <c r="A2" s="3" t="s">
        <v>6</v>
      </c>
      <c r="B2" s="3" t="s">
        <v>7</v>
      </c>
      <c r="C2" s="2">
        <v>1.0</v>
      </c>
    </row>
    <row r="3">
      <c r="A3" s="3" t="s">
        <v>6</v>
      </c>
      <c r="B3" s="3" t="s">
        <v>7</v>
      </c>
      <c r="C3" s="2">
        <v>2.0</v>
      </c>
    </row>
    <row r="4">
      <c r="A4" s="3" t="s">
        <v>9</v>
      </c>
      <c r="B4" s="3" t="s">
        <v>7</v>
      </c>
      <c r="C4" s="2">
        <v>3.0</v>
      </c>
    </row>
    <row r="5">
      <c r="A5" s="3" t="s">
        <v>9</v>
      </c>
      <c r="B5" s="3" t="s">
        <v>7</v>
      </c>
      <c r="C5" s="2">
        <v>4.0</v>
      </c>
    </row>
    <row r="6">
      <c r="A6" s="3" t="s">
        <v>9</v>
      </c>
      <c r="B6" s="3" t="s">
        <v>7</v>
      </c>
      <c r="C6" s="2">
        <v>5.0</v>
      </c>
    </row>
    <row r="7">
      <c r="A7" s="3" t="s">
        <v>9</v>
      </c>
      <c r="B7" s="3" t="s">
        <v>7</v>
      </c>
      <c r="C7" s="2">
        <v>6.0</v>
      </c>
    </row>
    <row r="8">
      <c r="A8" s="3" t="s">
        <v>9</v>
      </c>
      <c r="B8" s="3" t="s">
        <v>7</v>
      </c>
      <c r="C8" s="2">
        <v>7.0</v>
      </c>
    </row>
    <row r="9">
      <c r="A9" s="3" t="s">
        <v>9</v>
      </c>
      <c r="B9" s="3" t="s">
        <v>7</v>
      </c>
      <c r="C9" s="2">
        <v>8.0</v>
      </c>
    </row>
    <row r="10">
      <c r="A10" s="3" t="s">
        <v>9</v>
      </c>
      <c r="B10" s="3" t="s">
        <v>7</v>
      </c>
      <c r="C10" s="2">
        <v>9.0</v>
      </c>
    </row>
    <row r="11">
      <c r="A11" s="3" t="s">
        <v>9</v>
      </c>
      <c r="B11" s="3" t="s">
        <v>7</v>
      </c>
      <c r="C11" s="2">
        <v>10.0</v>
      </c>
    </row>
    <row r="12">
      <c r="A12" s="3" t="s">
        <v>9</v>
      </c>
      <c r="B12" s="3" t="s">
        <v>7</v>
      </c>
      <c r="C12" s="2">
        <v>11.0</v>
      </c>
    </row>
    <row r="13">
      <c r="A13" s="3" t="s">
        <v>18</v>
      </c>
      <c r="B13" s="3" t="s">
        <v>20</v>
      </c>
      <c r="C13" s="2">
        <v>12.0</v>
      </c>
    </row>
    <row r="14">
      <c r="A14" s="3" t="s">
        <v>18</v>
      </c>
      <c r="B14" s="3" t="s">
        <v>20</v>
      </c>
      <c r="C14" s="2">
        <v>13.0</v>
      </c>
    </row>
    <row r="15">
      <c r="A15" s="3" t="s">
        <v>18</v>
      </c>
      <c r="B15" s="3" t="s">
        <v>20</v>
      </c>
      <c r="C15" s="2">
        <v>14.0</v>
      </c>
    </row>
    <row r="16">
      <c r="A16" s="3" t="s">
        <v>25</v>
      </c>
      <c r="B16" s="3" t="s">
        <v>27</v>
      </c>
      <c r="C16" s="2">
        <v>15.0</v>
      </c>
    </row>
    <row r="17">
      <c r="A17" s="3" t="s">
        <v>6</v>
      </c>
      <c r="B17" s="3" t="s">
        <v>7</v>
      </c>
      <c r="C17" s="2">
        <v>16.0</v>
      </c>
    </row>
    <row r="18">
      <c r="A18" s="3" t="s">
        <v>6</v>
      </c>
      <c r="B18" s="3" t="s">
        <v>7</v>
      </c>
      <c r="C18" s="2">
        <v>17.0</v>
      </c>
    </row>
    <row r="19">
      <c r="A19" s="3" t="s">
        <v>6</v>
      </c>
      <c r="B19" s="3" t="s">
        <v>7</v>
      </c>
      <c r="C19" s="2">
        <v>18.0</v>
      </c>
    </row>
    <row r="20">
      <c r="A20" s="3" t="s">
        <v>6</v>
      </c>
      <c r="B20" s="3" t="s">
        <v>7</v>
      </c>
      <c r="C20" s="2">
        <v>19.0</v>
      </c>
    </row>
    <row r="21">
      <c r="A21" s="3" t="s">
        <v>6</v>
      </c>
      <c r="B21" s="3" t="s">
        <v>7</v>
      </c>
      <c r="C21" s="2">
        <v>20.0</v>
      </c>
    </row>
    <row r="22">
      <c r="A22" s="3" t="s">
        <v>6</v>
      </c>
      <c r="B22" s="3" t="s">
        <v>7</v>
      </c>
      <c r="C22" s="2">
        <v>21.0</v>
      </c>
    </row>
    <row r="23">
      <c r="A23" s="3" t="s">
        <v>6</v>
      </c>
      <c r="B23" s="3" t="s">
        <v>7</v>
      </c>
      <c r="C23" s="2">
        <v>22.0</v>
      </c>
    </row>
    <row r="24">
      <c r="A24" s="3" t="s">
        <v>6</v>
      </c>
      <c r="B24" s="3" t="s">
        <v>7</v>
      </c>
      <c r="C24" s="2">
        <v>23.0</v>
      </c>
    </row>
    <row r="25">
      <c r="A25" s="3" t="s">
        <v>6</v>
      </c>
      <c r="B25" s="3" t="s">
        <v>7</v>
      </c>
      <c r="C25" s="2">
        <v>24.0</v>
      </c>
    </row>
    <row r="26">
      <c r="A26" s="3" t="s">
        <v>6</v>
      </c>
      <c r="B26" s="3" t="s">
        <v>7</v>
      </c>
      <c r="C26" s="2">
        <v>25.0</v>
      </c>
    </row>
    <row r="27">
      <c r="A27" s="3" t="s">
        <v>6</v>
      </c>
      <c r="B27" s="3" t="s">
        <v>7</v>
      </c>
      <c r="C27" s="2">
        <v>26.0</v>
      </c>
    </row>
    <row r="28">
      <c r="A28" s="3" t="s">
        <v>6</v>
      </c>
      <c r="B28" s="3" t="s">
        <v>7</v>
      </c>
      <c r="C28" s="2">
        <v>27.0</v>
      </c>
    </row>
    <row r="29">
      <c r="A29" s="3" t="s">
        <v>6</v>
      </c>
      <c r="B29" s="3" t="s">
        <v>7</v>
      </c>
      <c r="C29" s="2">
        <v>28.0</v>
      </c>
    </row>
    <row r="30">
      <c r="A30" s="3" t="s">
        <v>6</v>
      </c>
      <c r="B30" s="3" t="s">
        <v>7</v>
      </c>
      <c r="C30" s="2">
        <v>29.0</v>
      </c>
    </row>
    <row r="31">
      <c r="A31" s="3" t="s">
        <v>6</v>
      </c>
      <c r="B31" s="3" t="s">
        <v>7</v>
      </c>
      <c r="C31" s="2">
        <v>30.0</v>
      </c>
    </row>
    <row r="32">
      <c r="A32" s="3" t="s">
        <v>6</v>
      </c>
      <c r="B32" s="3" t="s">
        <v>7</v>
      </c>
      <c r="C32" s="2">
        <v>31.0</v>
      </c>
    </row>
    <row r="33">
      <c r="A33" s="3" t="s">
        <v>6</v>
      </c>
      <c r="B33" s="3" t="s">
        <v>7</v>
      </c>
      <c r="C33" s="2">
        <v>32.0</v>
      </c>
    </row>
    <row r="34">
      <c r="A34" s="3" t="s">
        <v>6</v>
      </c>
      <c r="B34" s="3" t="s">
        <v>7</v>
      </c>
      <c r="C34" s="2">
        <v>33.0</v>
      </c>
    </row>
    <row r="35">
      <c r="A35" s="3" t="s">
        <v>6</v>
      </c>
      <c r="B35" s="3" t="s">
        <v>7</v>
      </c>
      <c r="C35" s="2">
        <v>34.0</v>
      </c>
    </row>
    <row r="36">
      <c r="A36" s="3" t="s">
        <v>6</v>
      </c>
      <c r="B36" s="3" t="s">
        <v>7</v>
      </c>
      <c r="C36" s="2">
        <v>35.0</v>
      </c>
    </row>
    <row r="37">
      <c r="A37" s="3" t="s">
        <v>6</v>
      </c>
      <c r="B37" s="3" t="s">
        <v>7</v>
      </c>
      <c r="C37" s="2">
        <v>36.0</v>
      </c>
    </row>
    <row r="38">
      <c r="A38" s="3" t="s">
        <v>6</v>
      </c>
      <c r="B38" s="3" t="s">
        <v>7</v>
      </c>
      <c r="C38" s="2">
        <v>37.0</v>
      </c>
    </row>
    <row r="39">
      <c r="A39" s="3" t="s">
        <v>6</v>
      </c>
      <c r="B39" s="3" t="s">
        <v>7</v>
      </c>
      <c r="C39" s="2">
        <v>38.0</v>
      </c>
    </row>
    <row r="40">
      <c r="A40" s="3" t="s">
        <v>9</v>
      </c>
      <c r="B40" s="3" t="s">
        <v>7</v>
      </c>
      <c r="C40" s="2">
        <v>39.0</v>
      </c>
    </row>
    <row r="41">
      <c r="A41" s="3" t="s">
        <v>9</v>
      </c>
      <c r="B41" s="3" t="s">
        <v>7</v>
      </c>
      <c r="C41" s="2">
        <v>40.0</v>
      </c>
    </row>
    <row r="42">
      <c r="A42" s="3" t="s">
        <v>9</v>
      </c>
      <c r="B42" s="3" t="s">
        <v>7</v>
      </c>
      <c r="C42" s="2">
        <v>41.0</v>
      </c>
    </row>
    <row r="43">
      <c r="A43" s="3" t="s">
        <v>9</v>
      </c>
      <c r="B43" s="3" t="s">
        <v>7</v>
      </c>
      <c r="C43" s="2">
        <v>42.0</v>
      </c>
    </row>
    <row r="44">
      <c r="A44" s="3" t="s">
        <v>6</v>
      </c>
      <c r="B44" s="3" t="s">
        <v>7</v>
      </c>
      <c r="C44" s="2">
        <v>43.0</v>
      </c>
    </row>
    <row r="45">
      <c r="A45" s="3" t="s">
        <v>6</v>
      </c>
      <c r="B45" s="3" t="s">
        <v>7</v>
      </c>
      <c r="C45" s="2">
        <v>44.0</v>
      </c>
    </row>
    <row r="46">
      <c r="A46" s="3" t="s">
        <v>18</v>
      </c>
      <c r="B46" s="3" t="s">
        <v>20</v>
      </c>
      <c r="C46" s="2">
        <v>45.0</v>
      </c>
    </row>
    <row r="47">
      <c r="A47" s="3" t="s">
        <v>18</v>
      </c>
      <c r="B47" s="3" t="s">
        <v>20</v>
      </c>
      <c r="C47" s="2">
        <v>46.0</v>
      </c>
    </row>
    <row r="48">
      <c r="A48" s="3" t="s">
        <v>18</v>
      </c>
      <c r="B48" s="3" t="s">
        <v>20</v>
      </c>
      <c r="C48" s="2">
        <v>47.0</v>
      </c>
    </row>
    <row r="49">
      <c r="A49" s="3" t="s">
        <v>18</v>
      </c>
      <c r="B49" s="3" t="s">
        <v>20</v>
      </c>
      <c r="C49" s="2">
        <v>48.0</v>
      </c>
    </row>
    <row r="50">
      <c r="A50" s="3" t="s">
        <v>18</v>
      </c>
      <c r="B50" s="3" t="s">
        <v>20</v>
      </c>
      <c r="C50" s="2">
        <v>49.0</v>
      </c>
    </row>
    <row r="51">
      <c r="A51" s="3" t="s">
        <v>18</v>
      </c>
      <c r="B51" s="3" t="s">
        <v>20</v>
      </c>
      <c r="C51" s="2">
        <v>50.0</v>
      </c>
    </row>
    <row r="52">
      <c r="A52" s="3" t="s">
        <v>18</v>
      </c>
      <c r="B52" s="3" t="s">
        <v>20</v>
      </c>
      <c r="C52" s="2">
        <v>51.0</v>
      </c>
    </row>
    <row r="53">
      <c r="A53" s="3" t="s">
        <v>18</v>
      </c>
      <c r="B53" s="3" t="s">
        <v>20</v>
      </c>
      <c r="C53" s="2">
        <v>52.0</v>
      </c>
    </row>
    <row r="54">
      <c r="A54" s="3" t="s">
        <v>18</v>
      </c>
      <c r="B54" s="3" t="s">
        <v>20</v>
      </c>
      <c r="C54" s="2">
        <v>53.0</v>
      </c>
    </row>
    <row r="55">
      <c r="A55" s="3" t="s">
        <v>18</v>
      </c>
      <c r="B55" s="3" t="s">
        <v>20</v>
      </c>
      <c r="C55" s="2">
        <v>54.0</v>
      </c>
    </row>
    <row r="56">
      <c r="A56" s="3" t="s">
        <v>6</v>
      </c>
      <c r="B56" s="3" t="s">
        <v>7</v>
      </c>
      <c r="C56" s="2">
        <v>55.0</v>
      </c>
    </row>
    <row r="57">
      <c r="A57" s="3" t="s">
        <v>6</v>
      </c>
      <c r="B57" s="3" t="s">
        <v>7</v>
      </c>
      <c r="C57" s="2">
        <v>56.0</v>
      </c>
    </row>
    <row r="58">
      <c r="A58" s="3" t="s">
        <v>9</v>
      </c>
      <c r="B58" s="3" t="s">
        <v>7</v>
      </c>
      <c r="C58" s="2">
        <v>57.0</v>
      </c>
    </row>
    <row r="59">
      <c r="A59" s="3" t="s">
        <v>149</v>
      </c>
      <c r="B59" s="3" t="s">
        <v>7</v>
      </c>
      <c r="C59" s="2">
        <v>58.0</v>
      </c>
    </row>
    <row r="60">
      <c r="A60" s="3" t="s">
        <v>149</v>
      </c>
      <c r="B60" s="3" t="s">
        <v>7</v>
      </c>
      <c r="C60" s="2">
        <v>59.0</v>
      </c>
    </row>
    <row r="61">
      <c r="A61" s="3" t="s">
        <v>149</v>
      </c>
      <c r="B61" s="3" t="s">
        <v>7</v>
      </c>
      <c r="C61" s="2">
        <v>60.0</v>
      </c>
    </row>
    <row r="62">
      <c r="A62" s="3" t="s">
        <v>149</v>
      </c>
      <c r="B62" s="3" t="s">
        <v>7</v>
      </c>
      <c r="C62" s="2">
        <v>61.0</v>
      </c>
    </row>
    <row r="63">
      <c r="A63" s="3" t="s">
        <v>149</v>
      </c>
      <c r="B63" s="3" t="s">
        <v>7</v>
      </c>
      <c r="C63" s="2">
        <v>62.0</v>
      </c>
    </row>
    <row r="64">
      <c r="A64" s="3" t="s">
        <v>25</v>
      </c>
      <c r="B64" s="3" t="s">
        <v>27</v>
      </c>
      <c r="C64" s="2">
        <v>63.0</v>
      </c>
    </row>
    <row r="65">
      <c r="A65" s="3" t="s">
        <v>25</v>
      </c>
      <c r="B65" s="3" t="s">
        <v>27</v>
      </c>
      <c r="C65" s="2">
        <v>64.0</v>
      </c>
    </row>
    <row r="66">
      <c r="A66" s="3" t="s">
        <v>25</v>
      </c>
      <c r="B66" s="3" t="s">
        <v>27</v>
      </c>
      <c r="C66" s="2">
        <v>65.0</v>
      </c>
    </row>
    <row r="67">
      <c r="A67" s="3" t="s">
        <v>25</v>
      </c>
      <c r="B67" s="3" t="s">
        <v>27</v>
      </c>
      <c r="C67" s="2">
        <v>66.0</v>
      </c>
    </row>
    <row r="68">
      <c r="A68" s="3" t="s">
        <v>25</v>
      </c>
      <c r="B68" s="3" t="s">
        <v>27</v>
      </c>
      <c r="C68" s="2">
        <v>67.0</v>
      </c>
    </row>
    <row r="69">
      <c r="A69" s="3" t="s">
        <v>25</v>
      </c>
      <c r="B69" s="3" t="s">
        <v>27</v>
      </c>
      <c r="C69" s="2">
        <v>68.0</v>
      </c>
    </row>
    <row r="70">
      <c r="A70" s="3" t="s">
        <v>25</v>
      </c>
      <c r="B70" s="3" t="s">
        <v>27</v>
      </c>
      <c r="C70" s="2">
        <v>69.0</v>
      </c>
    </row>
    <row r="71">
      <c r="A71" s="3" t="s">
        <v>6</v>
      </c>
      <c r="B71" s="3" t="s">
        <v>7</v>
      </c>
      <c r="C71" s="2">
        <v>70.0</v>
      </c>
    </row>
    <row r="72">
      <c r="A72" s="3" t="s">
        <v>6</v>
      </c>
      <c r="B72" s="3" t="s">
        <v>7</v>
      </c>
      <c r="C72" s="2">
        <v>71.0</v>
      </c>
    </row>
    <row r="73">
      <c r="A73" s="3" t="s">
        <v>6</v>
      </c>
      <c r="B73" s="3" t="s">
        <v>7</v>
      </c>
      <c r="C73" s="2">
        <v>72.0</v>
      </c>
    </row>
    <row r="74">
      <c r="A74" s="3" t="s">
        <v>6</v>
      </c>
      <c r="B74" s="3" t="s">
        <v>7</v>
      </c>
      <c r="C74" s="2">
        <v>73.0</v>
      </c>
    </row>
    <row r="75">
      <c r="A75" s="3" t="s">
        <v>6</v>
      </c>
      <c r="B75" s="3" t="s">
        <v>7</v>
      </c>
      <c r="C75" s="2">
        <v>74.0</v>
      </c>
    </row>
    <row r="76">
      <c r="A76" s="3" t="s">
        <v>6</v>
      </c>
      <c r="B76" s="3" t="s">
        <v>7</v>
      </c>
      <c r="C76" s="2">
        <v>75.0</v>
      </c>
    </row>
    <row r="77">
      <c r="A77" s="3" t="s">
        <v>6</v>
      </c>
      <c r="B77" s="3" t="s">
        <v>7</v>
      </c>
      <c r="C77" s="2">
        <v>76.0</v>
      </c>
    </row>
    <row r="78">
      <c r="A78" s="3" t="s">
        <v>6</v>
      </c>
      <c r="B78" s="3" t="s">
        <v>7</v>
      </c>
      <c r="C78" s="2">
        <v>77.0</v>
      </c>
    </row>
    <row r="79">
      <c r="A79" s="3" t="s">
        <v>6</v>
      </c>
      <c r="B79" s="3" t="s">
        <v>7</v>
      </c>
      <c r="C79" s="2">
        <v>78.0</v>
      </c>
    </row>
    <row r="80">
      <c r="A80" s="3" t="s">
        <v>6</v>
      </c>
      <c r="B80" s="3" t="s">
        <v>7</v>
      </c>
      <c r="C80" s="2">
        <v>79.0</v>
      </c>
    </row>
    <row r="81">
      <c r="A81" s="3" t="s">
        <v>6</v>
      </c>
      <c r="B81" s="3" t="s">
        <v>7</v>
      </c>
      <c r="C81" s="2">
        <v>80.0</v>
      </c>
    </row>
    <row r="82">
      <c r="A82" s="3" t="s">
        <v>6</v>
      </c>
      <c r="B82" s="3" t="s">
        <v>7</v>
      </c>
      <c r="C82" s="2">
        <v>81.0</v>
      </c>
    </row>
    <row r="83">
      <c r="A83" s="3" t="s">
        <v>6</v>
      </c>
      <c r="B83" s="3" t="s">
        <v>7</v>
      </c>
      <c r="C83" s="2">
        <v>82.0</v>
      </c>
    </row>
    <row r="84">
      <c r="A84" s="3" t="s">
        <v>6</v>
      </c>
      <c r="B84" s="3" t="s">
        <v>7</v>
      </c>
      <c r="C84" s="2">
        <v>83.0</v>
      </c>
    </row>
    <row r="85">
      <c r="A85" s="3" t="s">
        <v>6</v>
      </c>
      <c r="B85" s="3" t="s">
        <v>7</v>
      </c>
      <c r="C85" s="2">
        <v>84.0</v>
      </c>
    </row>
    <row r="86">
      <c r="A86" s="3" t="s">
        <v>6</v>
      </c>
      <c r="B86" s="3" t="s">
        <v>7</v>
      </c>
      <c r="C86" s="2">
        <v>85.0</v>
      </c>
    </row>
    <row r="87">
      <c r="A87" s="3" t="s">
        <v>228</v>
      </c>
      <c r="B87" s="3" t="s">
        <v>7</v>
      </c>
      <c r="C87" s="2">
        <v>86.0</v>
      </c>
    </row>
    <row r="88">
      <c r="A88" s="3" t="s">
        <v>228</v>
      </c>
      <c r="B88" s="3" t="s">
        <v>7</v>
      </c>
      <c r="C88" s="2">
        <v>87.0</v>
      </c>
    </row>
    <row r="89">
      <c r="A89" s="3" t="s">
        <v>228</v>
      </c>
      <c r="B89" s="3" t="s">
        <v>7</v>
      </c>
      <c r="C89" s="2">
        <v>88.0</v>
      </c>
    </row>
    <row r="90">
      <c r="A90" s="3" t="s">
        <v>237</v>
      </c>
      <c r="B90" s="3" t="s">
        <v>7</v>
      </c>
      <c r="C90" s="2">
        <v>89.0</v>
      </c>
    </row>
    <row r="91">
      <c r="A91" s="3" t="s">
        <v>237</v>
      </c>
      <c r="B91" s="3" t="s">
        <v>7</v>
      </c>
      <c r="C91" s="2">
        <v>90.0</v>
      </c>
    </row>
    <row r="92">
      <c r="A92" s="3" t="s">
        <v>237</v>
      </c>
      <c r="B92" s="3" t="s">
        <v>7</v>
      </c>
      <c r="C92" s="2">
        <v>91.0</v>
      </c>
    </row>
    <row r="93">
      <c r="A93" s="3" t="s">
        <v>25</v>
      </c>
      <c r="B93" s="3" t="s">
        <v>27</v>
      </c>
      <c r="C93" s="2">
        <v>92.0</v>
      </c>
    </row>
    <row r="94">
      <c r="A94" s="3" t="s">
        <v>256</v>
      </c>
      <c r="B94" s="3" t="s">
        <v>257</v>
      </c>
      <c r="C94" s="2">
        <v>93.0</v>
      </c>
    </row>
    <row r="95">
      <c r="A95" s="3" t="s">
        <v>25</v>
      </c>
      <c r="B95" s="3" t="s">
        <v>27</v>
      </c>
      <c r="C95" s="2">
        <v>94.0</v>
      </c>
    </row>
    <row r="96">
      <c r="A96" s="3" t="s">
        <v>25</v>
      </c>
      <c r="B96" s="3" t="s">
        <v>27</v>
      </c>
      <c r="C96" s="2">
        <v>95.0</v>
      </c>
    </row>
    <row r="97">
      <c r="A97" s="3" t="s">
        <v>25</v>
      </c>
      <c r="B97" s="3" t="s">
        <v>27</v>
      </c>
      <c r="C97" s="2">
        <v>96.0</v>
      </c>
    </row>
    <row r="98">
      <c r="A98" s="3" t="s">
        <v>25</v>
      </c>
      <c r="B98" s="3" t="s">
        <v>27</v>
      </c>
      <c r="C98" s="2">
        <v>97.0</v>
      </c>
    </row>
    <row r="99">
      <c r="A99" s="3" t="s">
        <v>274</v>
      </c>
      <c r="B99" s="3" t="s">
        <v>27</v>
      </c>
      <c r="C99" s="2">
        <v>98.0</v>
      </c>
    </row>
    <row r="100">
      <c r="A100" s="3" t="s">
        <v>278</v>
      </c>
      <c r="B100" s="3" t="s">
        <v>280</v>
      </c>
      <c r="C100" s="2">
        <v>99.0</v>
      </c>
    </row>
    <row r="101">
      <c r="A101" s="3" t="s">
        <v>18</v>
      </c>
      <c r="B101" s="3" t="s">
        <v>20</v>
      </c>
      <c r="C101" s="2">
        <v>100.0</v>
      </c>
    </row>
    <row r="102">
      <c r="A102" s="3" t="s">
        <v>237</v>
      </c>
      <c r="B102" s="3" t="s">
        <v>7</v>
      </c>
      <c r="C102" s="2">
        <v>101.0</v>
      </c>
    </row>
    <row r="103">
      <c r="A103" s="3" t="s">
        <v>237</v>
      </c>
      <c r="B103" s="3" t="s">
        <v>7</v>
      </c>
      <c r="C103" s="2">
        <v>102.0</v>
      </c>
    </row>
    <row r="104">
      <c r="A104" s="3" t="s">
        <v>237</v>
      </c>
      <c r="B104" s="3" t="s">
        <v>7</v>
      </c>
      <c r="C104" s="2">
        <v>103.0</v>
      </c>
    </row>
    <row r="105">
      <c r="A105" s="3" t="s">
        <v>237</v>
      </c>
      <c r="B105" s="3" t="s">
        <v>7</v>
      </c>
      <c r="C105" s="2">
        <v>104.0</v>
      </c>
    </row>
    <row r="106">
      <c r="A106" s="3" t="s">
        <v>237</v>
      </c>
      <c r="B106" s="3" t="s">
        <v>7</v>
      </c>
      <c r="C106" s="2">
        <v>105.0</v>
      </c>
    </row>
    <row r="107">
      <c r="A107" s="3" t="s">
        <v>237</v>
      </c>
      <c r="B107" s="3" t="s">
        <v>7</v>
      </c>
      <c r="C107" s="2">
        <v>106.0</v>
      </c>
    </row>
    <row r="108">
      <c r="A108" s="3" t="s">
        <v>237</v>
      </c>
      <c r="B108" s="3" t="s">
        <v>7</v>
      </c>
      <c r="C108" s="2">
        <v>107.0</v>
      </c>
    </row>
    <row r="109">
      <c r="A109" s="3" t="s">
        <v>237</v>
      </c>
      <c r="B109" s="3" t="s">
        <v>7</v>
      </c>
      <c r="C109" s="2">
        <v>108.0</v>
      </c>
    </row>
    <row r="110">
      <c r="A110" s="3" t="s">
        <v>237</v>
      </c>
      <c r="B110" s="3" t="s">
        <v>7</v>
      </c>
      <c r="C110" s="2">
        <v>109.0</v>
      </c>
    </row>
    <row r="111">
      <c r="A111" s="3" t="s">
        <v>237</v>
      </c>
      <c r="B111" s="3" t="s">
        <v>7</v>
      </c>
      <c r="C111" s="2">
        <v>110.0</v>
      </c>
    </row>
    <row r="112">
      <c r="A112" s="3" t="s">
        <v>237</v>
      </c>
      <c r="B112" s="3" t="s">
        <v>7</v>
      </c>
      <c r="C112" s="2">
        <v>111.0</v>
      </c>
    </row>
    <row r="113">
      <c r="A113" s="3" t="s">
        <v>237</v>
      </c>
      <c r="B113" s="3" t="s">
        <v>7</v>
      </c>
      <c r="C113" s="2">
        <v>112.0</v>
      </c>
    </row>
    <row r="114">
      <c r="A114" s="3" t="s">
        <v>237</v>
      </c>
      <c r="B114" s="3" t="s">
        <v>7</v>
      </c>
      <c r="C114" s="2">
        <v>113.0</v>
      </c>
    </row>
    <row r="115">
      <c r="A115" s="3" t="s">
        <v>237</v>
      </c>
      <c r="B115" s="3" t="s">
        <v>7</v>
      </c>
      <c r="C115" s="2">
        <v>114.0</v>
      </c>
    </row>
    <row r="116">
      <c r="A116" s="3" t="s">
        <v>228</v>
      </c>
      <c r="B116" s="3" t="s">
        <v>7</v>
      </c>
      <c r="C116" s="2">
        <v>115.0</v>
      </c>
    </row>
    <row r="117">
      <c r="A117" s="3" t="s">
        <v>228</v>
      </c>
      <c r="B117" s="3" t="s">
        <v>7</v>
      </c>
      <c r="C117" s="2">
        <v>116.0</v>
      </c>
    </row>
    <row r="118">
      <c r="A118" s="3" t="s">
        <v>228</v>
      </c>
      <c r="B118" s="3" t="s">
        <v>7</v>
      </c>
      <c r="C118" s="2">
        <v>117.0</v>
      </c>
    </row>
    <row r="119">
      <c r="A119" s="3" t="s">
        <v>228</v>
      </c>
      <c r="B119" s="3" t="s">
        <v>7</v>
      </c>
      <c r="C119" s="2">
        <v>118.0</v>
      </c>
    </row>
    <row r="120">
      <c r="A120" s="3" t="s">
        <v>228</v>
      </c>
      <c r="B120" s="3" t="s">
        <v>7</v>
      </c>
      <c r="C120" s="2">
        <v>119.0</v>
      </c>
    </row>
    <row r="121">
      <c r="A121" s="3" t="s">
        <v>237</v>
      </c>
      <c r="B121" s="3" t="s">
        <v>7</v>
      </c>
      <c r="C121" s="2">
        <v>120.0</v>
      </c>
    </row>
    <row r="122">
      <c r="A122" s="3" t="s">
        <v>332</v>
      </c>
      <c r="B122" s="3" t="s">
        <v>7</v>
      </c>
      <c r="C122" s="2">
        <v>121.0</v>
      </c>
    </row>
    <row r="123">
      <c r="A123" s="3" t="s">
        <v>332</v>
      </c>
      <c r="B123" s="3" t="s">
        <v>7</v>
      </c>
      <c r="C123" s="2">
        <v>122.0</v>
      </c>
    </row>
    <row r="124">
      <c r="A124" s="3" t="s">
        <v>332</v>
      </c>
      <c r="B124" s="3" t="s">
        <v>7</v>
      </c>
      <c r="C124" s="2">
        <v>123.0</v>
      </c>
    </row>
    <row r="125">
      <c r="A125" s="3" t="s">
        <v>27</v>
      </c>
      <c r="B125" s="3" t="s">
        <v>27</v>
      </c>
      <c r="C125" s="2">
        <v>124.0</v>
      </c>
    </row>
    <row r="126">
      <c r="A126" s="3" t="s">
        <v>27</v>
      </c>
      <c r="B126" s="3" t="s">
        <v>27</v>
      </c>
      <c r="C126" s="2">
        <v>125.0</v>
      </c>
    </row>
    <row r="127">
      <c r="A127" s="3" t="s">
        <v>27</v>
      </c>
      <c r="B127" s="3" t="s">
        <v>27</v>
      </c>
      <c r="C127" s="2">
        <v>126.0</v>
      </c>
    </row>
    <row r="128">
      <c r="A128" s="3" t="s">
        <v>27</v>
      </c>
      <c r="B128" s="3" t="s">
        <v>27</v>
      </c>
      <c r="C128" s="2">
        <v>127.0</v>
      </c>
    </row>
    <row r="129">
      <c r="A129" s="3" t="s">
        <v>27</v>
      </c>
      <c r="B129" s="3" t="s">
        <v>27</v>
      </c>
      <c r="C129" s="2">
        <v>128.0</v>
      </c>
    </row>
    <row r="130">
      <c r="A130" s="3" t="s">
        <v>27</v>
      </c>
      <c r="B130" s="3" t="s">
        <v>27</v>
      </c>
      <c r="C130" s="2">
        <v>129.0</v>
      </c>
    </row>
    <row r="131">
      <c r="A131" s="3" t="s">
        <v>27</v>
      </c>
      <c r="B131" s="3" t="s">
        <v>27</v>
      </c>
      <c r="C131" s="2">
        <v>130.0</v>
      </c>
    </row>
    <row r="132">
      <c r="A132" s="3" t="s">
        <v>27</v>
      </c>
      <c r="B132" s="3" t="s">
        <v>27</v>
      </c>
      <c r="C132" s="2">
        <v>131.0</v>
      </c>
    </row>
    <row r="133">
      <c r="A133" s="3" t="s">
        <v>27</v>
      </c>
      <c r="B133" s="3" t="s">
        <v>27</v>
      </c>
      <c r="C133" s="2">
        <v>132.0</v>
      </c>
    </row>
    <row r="134">
      <c r="A134" s="3" t="s">
        <v>27</v>
      </c>
      <c r="B134" s="3" t="s">
        <v>27</v>
      </c>
      <c r="C134" s="2">
        <v>133.0</v>
      </c>
    </row>
    <row r="135">
      <c r="A135" s="3" t="s">
        <v>27</v>
      </c>
      <c r="B135" s="3" t="s">
        <v>27</v>
      </c>
      <c r="C135" s="2">
        <v>134.0</v>
      </c>
    </row>
    <row r="136">
      <c r="A136" s="3" t="s">
        <v>27</v>
      </c>
      <c r="B136" s="3" t="s">
        <v>27</v>
      </c>
      <c r="C136" s="2">
        <v>135.0</v>
      </c>
    </row>
    <row r="137">
      <c r="A137" s="3" t="s">
        <v>27</v>
      </c>
      <c r="B137" s="3" t="s">
        <v>27</v>
      </c>
      <c r="C137" s="2">
        <v>136.0</v>
      </c>
    </row>
    <row r="138">
      <c r="A138" s="3" t="s">
        <v>27</v>
      </c>
      <c r="B138" s="3" t="s">
        <v>27</v>
      </c>
      <c r="C138" s="2">
        <v>137.0</v>
      </c>
    </row>
    <row r="139">
      <c r="A139" s="3" t="s">
        <v>27</v>
      </c>
      <c r="B139" s="3" t="s">
        <v>27</v>
      </c>
      <c r="C139" s="2">
        <v>138.0</v>
      </c>
    </row>
    <row r="140">
      <c r="A140" s="3" t="s">
        <v>27</v>
      </c>
      <c r="B140" s="3" t="s">
        <v>27</v>
      </c>
      <c r="C140" s="2">
        <v>139.0</v>
      </c>
    </row>
    <row r="141">
      <c r="A141" s="3" t="s">
        <v>228</v>
      </c>
      <c r="B141" s="3" t="s">
        <v>7</v>
      </c>
      <c r="C141" s="2">
        <v>140.0</v>
      </c>
    </row>
    <row r="142">
      <c r="A142" s="3" t="s">
        <v>228</v>
      </c>
      <c r="B142" s="3" t="s">
        <v>7</v>
      </c>
      <c r="C142" s="2">
        <v>141.0</v>
      </c>
    </row>
    <row r="143">
      <c r="A143" s="3" t="s">
        <v>228</v>
      </c>
      <c r="B143" s="3" t="s">
        <v>7</v>
      </c>
      <c r="C143" s="2">
        <v>142.0</v>
      </c>
    </row>
    <row r="144">
      <c r="A144" s="3" t="s">
        <v>237</v>
      </c>
      <c r="B144" s="3" t="s">
        <v>7</v>
      </c>
      <c r="C144" s="2">
        <v>143.0</v>
      </c>
    </row>
    <row r="145">
      <c r="A145" s="63"/>
      <c r="B145" s="63"/>
    </row>
    <row r="146">
      <c r="A146" s="63"/>
      <c r="B146" s="63"/>
    </row>
    <row r="147">
      <c r="A147" s="63"/>
      <c r="B147" s="63"/>
    </row>
    <row r="148">
      <c r="A148" s="63"/>
      <c r="B148" s="63"/>
    </row>
    <row r="149">
      <c r="A149" s="63"/>
      <c r="B149" s="63"/>
    </row>
    <row r="150">
      <c r="A150" s="63"/>
      <c r="B150" s="63"/>
    </row>
    <row r="151">
      <c r="A151" s="63"/>
      <c r="B151" s="63"/>
    </row>
    <row r="152">
      <c r="A152" s="63"/>
      <c r="B152" s="63"/>
    </row>
    <row r="153">
      <c r="A153" s="63"/>
      <c r="B153" s="63"/>
    </row>
    <row r="154">
      <c r="A154" s="63"/>
      <c r="B154" s="63"/>
    </row>
    <row r="155">
      <c r="A155" s="63"/>
      <c r="B155" s="63"/>
    </row>
    <row r="156">
      <c r="A156" s="63"/>
      <c r="B156" s="63"/>
    </row>
    <row r="157">
      <c r="A157" s="63"/>
      <c r="B157" s="63"/>
    </row>
    <row r="158">
      <c r="A158" s="63"/>
      <c r="B158" s="63"/>
    </row>
    <row r="159">
      <c r="A159" s="63"/>
      <c r="B159" s="63"/>
    </row>
    <row r="160">
      <c r="A160" s="63"/>
      <c r="B160" s="63"/>
    </row>
    <row r="161">
      <c r="A161" s="63"/>
      <c r="B161" s="63"/>
    </row>
    <row r="162">
      <c r="A162" s="63"/>
      <c r="B162" s="63"/>
    </row>
    <row r="163">
      <c r="A163" s="63"/>
      <c r="B163" s="63"/>
    </row>
    <row r="164">
      <c r="A164" s="63"/>
      <c r="B164" s="63"/>
    </row>
    <row r="165">
      <c r="A165" s="63"/>
      <c r="B165" s="63"/>
    </row>
    <row r="166">
      <c r="A166" s="63"/>
      <c r="B166" s="63"/>
    </row>
    <row r="167">
      <c r="A167" s="63"/>
      <c r="B167" s="63"/>
    </row>
    <row r="168">
      <c r="A168" s="63"/>
      <c r="B168" s="63"/>
    </row>
    <row r="169">
      <c r="A169" s="63"/>
      <c r="B169" s="63"/>
    </row>
    <row r="170">
      <c r="A170" s="63"/>
      <c r="B170" s="63"/>
    </row>
    <row r="171">
      <c r="A171" s="63"/>
      <c r="B171" s="63"/>
    </row>
    <row r="172">
      <c r="A172" s="63"/>
      <c r="B172" s="63"/>
    </row>
    <row r="173">
      <c r="A173" s="63"/>
      <c r="B173" s="63"/>
    </row>
    <row r="174">
      <c r="A174" s="63"/>
      <c r="B174" s="63"/>
    </row>
    <row r="175">
      <c r="A175" s="63"/>
      <c r="B175" s="63"/>
    </row>
    <row r="176">
      <c r="A176" s="63"/>
      <c r="B176" s="63"/>
    </row>
    <row r="177">
      <c r="A177" s="63"/>
      <c r="B177" s="63"/>
    </row>
    <row r="178">
      <c r="A178" s="63"/>
      <c r="B178" s="63"/>
    </row>
    <row r="179">
      <c r="A179" s="63"/>
      <c r="B179" s="63"/>
    </row>
    <row r="180">
      <c r="A180" s="63"/>
      <c r="B180" s="63"/>
    </row>
    <row r="181">
      <c r="A181" s="63"/>
      <c r="B181" s="63"/>
    </row>
    <row r="182">
      <c r="A182" s="63"/>
      <c r="B182" s="63"/>
    </row>
    <row r="183">
      <c r="A183" s="63"/>
      <c r="B183" s="63"/>
    </row>
    <row r="184">
      <c r="A184" s="63"/>
      <c r="B184" s="63"/>
    </row>
    <row r="185">
      <c r="A185" s="63"/>
      <c r="B185" s="63"/>
    </row>
    <row r="186">
      <c r="A186" s="63"/>
      <c r="B186" s="63"/>
    </row>
    <row r="187">
      <c r="A187" s="63"/>
      <c r="B187" s="63"/>
    </row>
    <row r="188">
      <c r="A188" s="63"/>
      <c r="B188" s="63"/>
    </row>
    <row r="189">
      <c r="A189" s="63"/>
      <c r="B189" s="63"/>
    </row>
    <row r="190">
      <c r="A190" s="63"/>
      <c r="B190" s="63"/>
    </row>
    <row r="191">
      <c r="A191" s="63"/>
      <c r="B191" s="63"/>
    </row>
    <row r="192">
      <c r="A192" s="63"/>
      <c r="B192" s="63"/>
    </row>
    <row r="193">
      <c r="A193" s="63"/>
      <c r="B193" s="63"/>
    </row>
    <row r="194">
      <c r="A194" s="63"/>
      <c r="B194" s="63"/>
    </row>
    <row r="195">
      <c r="A195" s="63"/>
      <c r="B195" s="63"/>
    </row>
    <row r="196">
      <c r="A196" s="63"/>
      <c r="B196" s="63"/>
    </row>
    <row r="197">
      <c r="A197" s="63"/>
      <c r="B197" s="63"/>
    </row>
    <row r="198">
      <c r="A198" s="63"/>
      <c r="B198" s="63"/>
    </row>
    <row r="199">
      <c r="A199" s="63"/>
      <c r="B199" s="63"/>
    </row>
    <row r="200">
      <c r="A200" s="63"/>
      <c r="B200" s="63"/>
    </row>
    <row r="201">
      <c r="A201" s="63"/>
      <c r="B201" s="63"/>
    </row>
    <row r="202">
      <c r="A202" s="63"/>
      <c r="B202" s="63"/>
    </row>
    <row r="203">
      <c r="A203" s="63"/>
      <c r="B203" s="63"/>
    </row>
    <row r="204">
      <c r="A204" s="63"/>
      <c r="B204" s="63"/>
    </row>
    <row r="205">
      <c r="A205" s="63"/>
      <c r="B205" s="63"/>
    </row>
    <row r="206">
      <c r="A206" s="63"/>
      <c r="B206" s="63"/>
    </row>
    <row r="207">
      <c r="A207" s="63"/>
      <c r="B207" s="63"/>
    </row>
    <row r="208">
      <c r="A208" s="63"/>
      <c r="B208" s="63"/>
    </row>
    <row r="209">
      <c r="A209" s="63"/>
      <c r="B209" s="63"/>
    </row>
    <row r="210">
      <c r="A210" s="63"/>
      <c r="B210" s="63"/>
    </row>
    <row r="211">
      <c r="A211" s="63"/>
      <c r="B211" s="63"/>
    </row>
    <row r="212">
      <c r="A212" s="63"/>
      <c r="B212" s="63"/>
    </row>
    <row r="213">
      <c r="A213" s="63"/>
      <c r="B213" s="63"/>
    </row>
    <row r="214">
      <c r="A214" s="63"/>
      <c r="B214" s="63"/>
    </row>
    <row r="215">
      <c r="A215" s="63"/>
      <c r="B215" s="63"/>
    </row>
    <row r="216">
      <c r="A216" s="63"/>
      <c r="B216" s="63"/>
    </row>
    <row r="217">
      <c r="A217" s="63"/>
      <c r="B217" s="63"/>
    </row>
    <row r="218">
      <c r="A218" s="63"/>
      <c r="B218" s="63"/>
    </row>
    <row r="219">
      <c r="A219" s="63"/>
      <c r="B219" s="63"/>
    </row>
    <row r="220">
      <c r="A220" s="63"/>
      <c r="B220" s="63"/>
    </row>
    <row r="221">
      <c r="A221" s="63"/>
      <c r="B221" s="63"/>
    </row>
    <row r="222">
      <c r="A222" s="63"/>
      <c r="B222" s="63"/>
    </row>
    <row r="223">
      <c r="A223" s="63"/>
      <c r="B223" s="63"/>
    </row>
    <row r="224">
      <c r="A224" s="63"/>
      <c r="B224" s="63"/>
    </row>
    <row r="225">
      <c r="A225" s="63"/>
      <c r="B225" s="63"/>
    </row>
    <row r="226">
      <c r="A226" s="63"/>
      <c r="B226" s="63"/>
    </row>
    <row r="227">
      <c r="A227" s="63"/>
      <c r="B227" s="63"/>
    </row>
    <row r="228">
      <c r="A228" s="63"/>
      <c r="B228" s="63"/>
    </row>
    <row r="229">
      <c r="A229" s="63"/>
      <c r="B229" s="63"/>
    </row>
    <row r="230">
      <c r="A230" s="63"/>
      <c r="B230" s="63"/>
    </row>
    <row r="231">
      <c r="A231" s="63"/>
      <c r="B231" s="63"/>
    </row>
    <row r="232">
      <c r="A232" s="63"/>
      <c r="B232" s="63"/>
    </row>
    <row r="233">
      <c r="A233" s="63"/>
      <c r="B233" s="63"/>
    </row>
    <row r="234">
      <c r="A234" s="63"/>
      <c r="B234" s="63"/>
    </row>
    <row r="235">
      <c r="A235" s="63"/>
      <c r="B235" s="63"/>
    </row>
    <row r="236">
      <c r="A236" s="63"/>
      <c r="B236" s="63"/>
    </row>
    <row r="237">
      <c r="A237" s="63"/>
      <c r="B237" s="63"/>
    </row>
    <row r="238">
      <c r="A238" s="63"/>
      <c r="B238" s="63"/>
    </row>
    <row r="239">
      <c r="A239" s="63"/>
      <c r="B239" s="63"/>
    </row>
    <row r="240">
      <c r="A240" s="63"/>
      <c r="B240" s="63"/>
    </row>
    <row r="241">
      <c r="A241" s="63"/>
      <c r="B241" s="63"/>
    </row>
    <row r="242">
      <c r="A242" s="63"/>
      <c r="B242" s="63"/>
    </row>
    <row r="243">
      <c r="A243" s="63"/>
      <c r="B243" s="63"/>
    </row>
    <row r="244">
      <c r="A244" s="63"/>
      <c r="B244" s="63"/>
    </row>
    <row r="245">
      <c r="A245" s="63"/>
      <c r="B245" s="63"/>
    </row>
    <row r="246">
      <c r="A246" s="63"/>
      <c r="B246" s="63"/>
    </row>
    <row r="247">
      <c r="A247" s="63"/>
      <c r="B247" s="63"/>
    </row>
    <row r="248">
      <c r="A248" s="63"/>
      <c r="B248" s="63"/>
    </row>
    <row r="249">
      <c r="A249" s="63"/>
      <c r="B249" s="63"/>
    </row>
    <row r="250">
      <c r="A250" s="63"/>
      <c r="B250" s="63"/>
    </row>
    <row r="251">
      <c r="A251" s="63"/>
      <c r="B251" s="63"/>
    </row>
    <row r="252">
      <c r="A252" s="63"/>
      <c r="B252" s="63"/>
    </row>
    <row r="253">
      <c r="A253" s="63"/>
      <c r="B253" s="63"/>
    </row>
    <row r="254">
      <c r="A254" s="63"/>
      <c r="B254" s="63"/>
    </row>
    <row r="255">
      <c r="A255" s="63"/>
      <c r="B255" s="63"/>
    </row>
    <row r="256">
      <c r="A256" s="63"/>
      <c r="B256" s="63"/>
    </row>
    <row r="257">
      <c r="A257" s="63"/>
      <c r="B257" s="63"/>
    </row>
    <row r="258">
      <c r="A258" s="63"/>
      <c r="B258" s="63"/>
    </row>
    <row r="259">
      <c r="A259" s="63"/>
      <c r="B259" s="63"/>
    </row>
    <row r="260">
      <c r="A260" s="63"/>
      <c r="B260" s="63"/>
    </row>
    <row r="261">
      <c r="A261" s="63"/>
      <c r="B261" s="63"/>
    </row>
    <row r="262">
      <c r="A262" s="63"/>
      <c r="B262" s="63"/>
    </row>
    <row r="263">
      <c r="A263" s="63"/>
      <c r="B263" s="63"/>
    </row>
    <row r="264">
      <c r="A264" s="63"/>
      <c r="B264" s="63"/>
    </row>
    <row r="265">
      <c r="A265" s="63"/>
      <c r="B265" s="63"/>
    </row>
    <row r="266">
      <c r="A266" s="63"/>
      <c r="B266" s="63"/>
    </row>
    <row r="267">
      <c r="A267" s="63"/>
      <c r="B267" s="63"/>
    </row>
    <row r="268">
      <c r="A268" s="63"/>
      <c r="B268" s="63"/>
    </row>
    <row r="269">
      <c r="A269" s="63"/>
      <c r="B269" s="63"/>
    </row>
    <row r="270">
      <c r="A270" s="63"/>
      <c r="B270" s="63"/>
    </row>
    <row r="271">
      <c r="A271" s="63"/>
      <c r="B271" s="63"/>
    </row>
    <row r="272">
      <c r="A272" s="63"/>
      <c r="B272" s="63"/>
    </row>
    <row r="273">
      <c r="A273" s="63"/>
      <c r="B273" s="63"/>
    </row>
    <row r="274">
      <c r="A274" s="63"/>
      <c r="B274" s="63"/>
    </row>
    <row r="275">
      <c r="A275" s="63"/>
      <c r="B275" s="63"/>
    </row>
    <row r="276">
      <c r="A276" s="63"/>
      <c r="B276" s="63"/>
    </row>
    <row r="277">
      <c r="A277" s="63"/>
      <c r="B277" s="63"/>
    </row>
    <row r="278">
      <c r="A278" s="63"/>
      <c r="B278" s="63"/>
    </row>
    <row r="279">
      <c r="A279" s="63"/>
      <c r="B279" s="63"/>
    </row>
    <row r="280">
      <c r="A280" s="63"/>
      <c r="B280" s="63"/>
    </row>
    <row r="281">
      <c r="A281" s="63"/>
      <c r="B281" s="63"/>
    </row>
    <row r="282">
      <c r="A282" s="63"/>
      <c r="B282" s="63"/>
    </row>
    <row r="283">
      <c r="A283" s="63"/>
      <c r="B283" s="63"/>
    </row>
    <row r="284">
      <c r="A284" s="63"/>
      <c r="B284" s="63"/>
    </row>
    <row r="285">
      <c r="A285" s="63"/>
      <c r="B285" s="63"/>
    </row>
    <row r="286">
      <c r="A286" s="63"/>
      <c r="B286" s="63"/>
    </row>
    <row r="287">
      <c r="A287" s="63"/>
      <c r="B287" s="63"/>
    </row>
    <row r="288">
      <c r="A288" s="63"/>
      <c r="B288" s="63"/>
    </row>
    <row r="289">
      <c r="A289" s="63"/>
      <c r="B289" s="63"/>
    </row>
    <row r="290">
      <c r="A290" s="63"/>
      <c r="B290" s="63"/>
    </row>
    <row r="291">
      <c r="A291" s="63"/>
      <c r="B291" s="63"/>
    </row>
    <row r="292">
      <c r="A292" s="63"/>
      <c r="B292" s="63"/>
    </row>
    <row r="293">
      <c r="A293" s="63"/>
      <c r="B293" s="63"/>
    </row>
    <row r="294">
      <c r="A294" s="63"/>
      <c r="B294" s="63"/>
    </row>
    <row r="295">
      <c r="A295" s="63"/>
      <c r="B295" s="63"/>
    </row>
    <row r="296">
      <c r="A296" s="63"/>
      <c r="B296" s="63"/>
    </row>
    <row r="297">
      <c r="A297" s="63"/>
      <c r="B297" s="63"/>
    </row>
    <row r="298">
      <c r="A298" s="63"/>
      <c r="B298" s="63"/>
    </row>
    <row r="299">
      <c r="A299" s="63"/>
      <c r="B299" s="63"/>
    </row>
    <row r="300">
      <c r="A300" s="63"/>
      <c r="B300" s="63"/>
    </row>
    <row r="301">
      <c r="A301" s="63"/>
      <c r="B301" s="63"/>
    </row>
    <row r="302">
      <c r="A302" s="63"/>
      <c r="B302" s="63"/>
    </row>
    <row r="303">
      <c r="A303" s="63"/>
      <c r="B303" s="63"/>
    </row>
    <row r="304">
      <c r="A304" s="63"/>
      <c r="B304" s="63"/>
    </row>
    <row r="305">
      <c r="A305" s="63"/>
      <c r="B305" s="63"/>
    </row>
    <row r="306">
      <c r="A306" s="63"/>
      <c r="B306" s="63"/>
    </row>
    <row r="307">
      <c r="A307" s="63"/>
      <c r="B307" s="63"/>
    </row>
    <row r="308">
      <c r="A308" s="63"/>
      <c r="B308" s="63"/>
    </row>
    <row r="309">
      <c r="A309" s="63"/>
      <c r="B309" s="63"/>
    </row>
    <row r="310">
      <c r="A310" s="63"/>
      <c r="B310" s="63"/>
    </row>
    <row r="311">
      <c r="A311" s="63"/>
      <c r="B311" s="63"/>
    </row>
    <row r="312">
      <c r="A312" s="63"/>
      <c r="B312" s="63"/>
    </row>
    <row r="313">
      <c r="A313" s="63"/>
      <c r="B313" s="63"/>
    </row>
    <row r="314">
      <c r="A314" s="63"/>
      <c r="B314" s="63"/>
    </row>
    <row r="315">
      <c r="A315" s="63"/>
      <c r="B315" s="63"/>
    </row>
    <row r="316">
      <c r="A316" s="63"/>
      <c r="B316" s="63"/>
    </row>
    <row r="317">
      <c r="A317" s="63"/>
      <c r="B317" s="63"/>
    </row>
    <row r="318">
      <c r="A318" s="63"/>
      <c r="B318" s="63"/>
    </row>
    <row r="319">
      <c r="A319" s="63"/>
      <c r="B319" s="63"/>
    </row>
    <row r="320">
      <c r="A320" s="63"/>
      <c r="B320" s="63"/>
    </row>
    <row r="321">
      <c r="A321" s="63"/>
      <c r="B321" s="63"/>
    </row>
    <row r="322">
      <c r="A322" s="63"/>
      <c r="B322" s="63"/>
    </row>
    <row r="323">
      <c r="A323" s="63"/>
      <c r="B323" s="63"/>
    </row>
    <row r="324">
      <c r="A324" s="63"/>
      <c r="B324" s="63"/>
    </row>
    <row r="325">
      <c r="A325" s="63"/>
      <c r="B325" s="63"/>
    </row>
    <row r="326">
      <c r="A326" s="63"/>
      <c r="B326" s="63"/>
    </row>
    <row r="327">
      <c r="A327" s="63"/>
      <c r="B327" s="63"/>
    </row>
    <row r="328">
      <c r="A328" s="63"/>
      <c r="B328" s="63"/>
    </row>
    <row r="329">
      <c r="A329" s="63"/>
      <c r="B329" s="63"/>
    </row>
    <row r="330">
      <c r="A330" s="63"/>
      <c r="B330" s="63"/>
    </row>
    <row r="331">
      <c r="A331" s="63"/>
      <c r="B331" s="63"/>
    </row>
    <row r="332">
      <c r="A332" s="63"/>
      <c r="B332" s="63"/>
    </row>
    <row r="333">
      <c r="A333" s="63"/>
      <c r="B333" s="63"/>
    </row>
    <row r="334">
      <c r="A334" s="63"/>
      <c r="B334" s="63"/>
    </row>
    <row r="335">
      <c r="A335" s="63"/>
      <c r="B335" s="63"/>
    </row>
    <row r="336">
      <c r="A336" s="63"/>
      <c r="B336" s="63"/>
    </row>
    <row r="337">
      <c r="A337" s="63"/>
      <c r="B337" s="63"/>
    </row>
    <row r="338">
      <c r="A338" s="63"/>
      <c r="B338" s="63"/>
    </row>
    <row r="339">
      <c r="A339" s="63"/>
      <c r="B339" s="63"/>
    </row>
    <row r="340">
      <c r="A340" s="63"/>
      <c r="B340" s="63"/>
    </row>
    <row r="341">
      <c r="A341" s="63"/>
      <c r="B341" s="63"/>
    </row>
    <row r="342">
      <c r="A342" s="63"/>
      <c r="B342" s="63"/>
    </row>
    <row r="343">
      <c r="A343" s="63"/>
      <c r="B343" s="63"/>
    </row>
    <row r="344">
      <c r="A344" s="63"/>
      <c r="B344" s="63"/>
    </row>
    <row r="345">
      <c r="A345" s="63"/>
      <c r="B345" s="63"/>
    </row>
    <row r="346">
      <c r="A346" s="63"/>
      <c r="B346" s="63"/>
    </row>
    <row r="347">
      <c r="A347" s="63"/>
      <c r="B347" s="63"/>
    </row>
    <row r="348">
      <c r="A348" s="63"/>
      <c r="B348" s="63"/>
    </row>
    <row r="349">
      <c r="A349" s="63"/>
      <c r="B349" s="63"/>
    </row>
    <row r="350">
      <c r="A350" s="63"/>
      <c r="B350" s="63"/>
    </row>
    <row r="351">
      <c r="A351" s="63"/>
      <c r="B351" s="63"/>
    </row>
    <row r="352">
      <c r="A352" s="63"/>
      <c r="B352" s="63"/>
    </row>
    <row r="353">
      <c r="A353" s="63"/>
      <c r="B353" s="63"/>
    </row>
    <row r="354">
      <c r="A354" s="63"/>
      <c r="B354" s="63"/>
    </row>
    <row r="355">
      <c r="A355" s="63"/>
      <c r="B355" s="63"/>
    </row>
    <row r="356">
      <c r="A356" s="63"/>
      <c r="B356" s="63"/>
    </row>
    <row r="357">
      <c r="A357" s="63"/>
      <c r="B357" s="63"/>
    </row>
    <row r="358">
      <c r="A358" s="63"/>
      <c r="B358" s="63"/>
    </row>
    <row r="359">
      <c r="A359" s="63"/>
      <c r="B359" s="63"/>
    </row>
    <row r="360">
      <c r="A360" s="63"/>
      <c r="B360" s="63"/>
    </row>
    <row r="361">
      <c r="A361" s="63"/>
      <c r="B361" s="63"/>
    </row>
    <row r="362">
      <c r="A362" s="63"/>
      <c r="B362" s="63"/>
    </row>
    <row r="363">
      <c r="A363" s="63"/>
      <c r="B363" s="63"/>
    </row>
    <row r="364">
      <c r="A364" s="63"/>
      <c r="B364" s="63"/>
    </row>
    <row r="365">
      <c r="A365" s="63"/>
      <c r="B365" s="63"/>
    </row>
    <row r="366">
      <c r="A366" s="63"/>
      <c r="B366" s="63"/>
    </row>
    <row r="367">
      <c r="A367" s="63"/>
      <c r="B367" s="63"/>
    </row>
    <row r="368">
      <c r="A368" s="63"/>
      <c r="B368" s="63"/>
    </row>
    <row r="369">
      <c r="A369" s="63"/>
      <c r="B369" s="63"/>
    </row>
    <row r="370">
      <c r="A370" s="63"/>
      <c r="B370" s="63"/>
    </row>
    <row r="371">
      <c r="A371" s="63"/>
      <c r="B371" s="63"/>
    </row>
    <row r="372">
      <c r="A372" s="63"/>
      <c r="B372" s="63"/>
    </row>
    <row r="373">
      <c r="A373" s="63"/>
      <c r="B373" s="63"/>
    </row>
    <row r="374">
      <c r="A374" s="63"/>
      <c r="B374" s="63"/>
    </row>
    <row r="375">
      <c r="A375" s="63"/>
      <c r="B375" s="63"/>
    </row>
    <row r="376">
      <c r="A376" s="63"/>
      <c r="B376" s="63"/>
    </row>
    <row r="377">
      <c r="A377" s="63"/>
      <c r="B377" s="63"/>
    </row>
    <row r="378">
      <c r="A378" s="63"/>
      <c r="B378" s="63"/>
    </row>
    <row r="379">
      <c r="A379" s="63"/>
      <c r="B379" s="63"/>
    </row>
    <row r="380">
      <c r="A380" s="63"/>
      <c r="B380" s="63"/>
    </row>
    <row r="381">
      <c r="A381" s="63"/>
      <c r="B381" s="63"/>
    </row>
    <row r="382">
      <c r="A382" s="63"/>
      <c r="B382" s="63"/>
    </row>
    <row r="383">
      <c r="A383" s="63"/>
      <c r="B383" s="63"/>
    </row>
    <row r="384">
      <c r="A384" s="63"/>
      <c r="B384" s="63"/>
    </row>
    <row r="385">
      <c r="A385" s="63"/>
      <c r="B385" s="63"/>
    </row>
    <row r="386">
      <c r="A386" s="63"/>
      <c r="B386" s="63"/>
    </row>
    <row r="387">
      <c r="A387" s="63"/>
      <c r="B387" s="63"/>
    </row>
    <row r="388">
      <c r="A388" s="63"/>
      <c r="B388" s="63"/>
    </row>
    <row r="389">
      <c r="A389" s="63"/>
      <c r="B389" s="63"/>
    </row>
    <row r="390">
      <c r="A390" s="63"/>
      <c r="B390" s="63"/>
    </row>
    <row r="391">
      <c r="A391" s="63"/>
      <c r="B391" s="63"/>
    </row>
    <row r="392">
      <c r="A392" s="63"/>
      <c r="B392" s="63"/>
    </row>
    <row r="393">
      <c r="A393" s="63"/>
      <c r="B393" s="63"/>
    </row>
    <row r="394">
      <c r="A394" s="63"/>
      <c r="B394" s="63"/>
    </row>
    <row r="395">
      <c r="A395" s="63"/>
      <c r="B395" s="63"/>
    </row>
    <row r="396">
      <c r="A396" s="63"/>
      <c r="B396" s="63"/>
    </row>
    <row r="397">
      <c r="A397" s="63"/>
      <c r="B397" s="63"/>
    </row>
    <row r="398">
      <c r="A398" s="63"/>
      <c r="B398" s="63"/>
    </row>
    <row r="399">
      <c r="A399" s="63"/>
      <c r="B399" s="63"/>
    </row>
    <row r="400">
      <c r="A400" s="63"/>
      <c r="B400" s="63"/>
    </row>
    <row r="401">
      <c r="A401" s="63"/>
      <c r="B401" s="63"/>
    </row>
    <row r="402">
      <c r="A402" s="63"/>
      <c r="B402" s="63"/>
    </row>
    <row r="403">
      <c r="A403" s="63"/>
      <c r="B403" s="63"/>
    </row>
    <row r="404">
      <c r="A404" s="63"/>
      <c r="B404" s="63"/>
    </row>
    <row r="405">
      <c r="A405" s="63"/>
      <c r="B405" s="63"/>
    </row>
    <row r="406">
      <c r="A406" s="63"/>
      <c r="B406" s="63"/>
    </row>
    <row r="407">
      <c r="A407" s="63"/>
      <c r="B407" s="63"/>
    </row>
    <row r="408">
      <c r="A408" s="63"/>
      <c r="B408" s="63"/>
    </row>
    <row r="409">
      <c r="A409" s="63"/>
      <c r="B409" s="63"/>
    </row>
    <row r="410">
      <c r="A410" s="63"/>
      <c r="B410" s="63"/>
    </row>
    <row r="411">
      <c r="A411" s="63"/>
      <c r="B411" s="63"/>
    </row>
    <row r="412">
      <c r="A412" s="63"/>
      <c r="B412" s="63"/>
    </row>
    <row r="413">
      <c r="A413" s="63"/>
      <c r="B413" s="63"/>
    </row>
    <row r="414">
      <c r="A414" s="63"/>
      <c r="B414" s="63"/>
    </row>
    <row r="415">
      <c r="A415" s="63"/>
      <c r="B415" s="63"/>
    </row>
    <row r="416">
      <c r="A416" s="63"/>
      <c r="B416" s="63"/>
    </row>
    <row r="417">
      <c r="A417" s="63"/>
      <c r="B417" s="63"/>
    </row>
    <row r="418">
      <c r="A418" s="63"/>
      <c r="B418" s="63"/>
    </row>
    <row r="419">
      <c r="A419" s="63"/>
      <c r="B419" s="63"/>
    </row>
    <row r="420">
      <c r="A420" s="63"/>
      <c r="B420" s="63"/>
    </row>
    <row r="421">
      <c r="A421" s="63"/>
      <c r="B421" s="63"/>
    </row>
    <row r="422">
      <c r="A422" s="63"/>
      <c r="B422" s="63"/>
    </row>
    <row r="423">
      <c r="A423" s="63"/>
      <c r="B423" s="63"/>
    </row>
    <row r="424">
      <c r="A424" s="63"/>
      <c r="B424" s="63"/>
    </row>
    <row r="425">
      <c r="A425" s="63"/>
      <c r="B425" s="63"/>
    </row>
    <row r="426">
      <c r="A426" s="63"/>
      <c r="B426" s="63"/>
    </row>
    <row r="427">
      <c r="A427" s="63"/>
      <c r="B427" s="63"/>
    </row>
    <row r="428">
      <c r="A428" s="63"/>
      <c r="B428" s="63"/>
    </row>
    <row r="429">
      <c r="A429" s="63"/>
      <c r="B429" s="63"/>
    </row>
    <row r="430">
      <c r="A430" s="63"/>
      <c r="B430" s="63"/>
    </row>
    <row r="431">
      <c r="A431" s="63"/>
      <c r="B431" s="63"/>
    </row>
    <row r="432">
      <c r="A432" s="63"/>
      <c r="B432" s="63"/>
    </row>
    <row r="433">
      <c r="A433" s="63"/>
      <c r="B433" s="63"/>
    </row>
    <row r="434">
      <c r="A434" s="63"/>
      <c r="B434" s="63"/>
    </row>
    <row r="435">
      <c r="A435" s="63"/>
      <c r="B435" s="63"/>
    </row>
    <row r="436">
      <c r="A436" s="63"/>
      <c r="B436" s="63"/>
    </row>
    <row r="437">
      <c r="A437" s="63"/>
      <c r="B437" s="63"/>
    </row>
    <row r="438">
      <c r="A438" s="63"/>
      <c r="B438" s="63"/>
    </row>
    <row r="439">
      <c r="A439" s="63"/>
      <c r="B439" s="63"/>
    </row>
    <row r="440">
      <c r="A440" s="63"/>
      <c r="B440" s="63"/>
    </row>
    <row r="441">
      <c r="A441" s="63"/>
      <c r="B441" s="63"/>
    </row>
    <row r="442">
      <c r="A442" s="63"/>
      <c r="B442" s="63"/>
    </row>
    <row r="443">
      <c r="A443" s="63"/>
      <c r="B443" s="63"/>
    </row>
    <row r="444">
      <c r="A444" s="63"/>
      <c r="B444" s="63"/>
    </row>
    <row r="445">
      <c r="A445" s="63"/>
      <c r="B445" s="63"/>
    </row>
    <row r="446">
      <c r="A446" s="63"/>
      <c r="B446" s="63"/>
    </row>
    <row r="447">
      <c r="A447" s="63"/>
      <c r="B447" s="63"/>
    </row>
    <row r="448">
      <c r="A448" s="63"/>
      <c r="B448" s="63"/>
    </row>
    <row r="449">
      <c r="A449" s="63"/>
      <c r="B449" s="63"/>
    </row>
    <row r="450">
      <c r="A450" s="63"/>
      <c r="B450" s="63"/>
    </row>
    <row r="451">
      <c r="A451" s="63"/>
      <c r="B451" s="63"/>
    </row>
    <row r="452">
      <c r="A452" s="63"/>
      <c r="B452" s="63"/>
    </row>
    <row r="453">
      <c r="A453" s="63"/>
      <c r="B453" s="63"/>
    </row>
    <row r="454">
      <c r="A454" s="63"/>
      <c r="B454" s="63"/>
    </row>
    <row r="455">
      <c r="A455" s="63"/>
      <c r="B455" s="63"/>
    </row>
    <row r="456">
      <c r="A456" s="63"/>
      <c r="B456" s="63"/>
    </row>
    <row r="457">
      <c r="A457" s="63"/>
      <c r="B457" s="63"/>
    </row>
    <row r="458">
      <c r="A458" s="63"/>
      <c r="B458" s="63"/>
    </row>
    <row r="459">
      <c r="A459" s="63"/>
      <c r="B459" s="63"/>
    </row>
    <row r="460">
      <c r="A460" s="63"/>
      <c r="B460" s="63"/>
    </row>
    <row r="461">
      <c r="A461" s="63"/>
      <c r="B461" s="63"/>
    </row>
    <row r="462">
      <c r="A462" s="63"/>
      <c r="B462" s="63"/>
    </row>
    <row r="463">
      <c r="A463" s="63"/>
      <c r="B463" s="63"/>
    </row>
    <row r="464">
      <c r="A464" s="63"/>
      <c r="B464" s="63"/>
    </row>
    <row r="465">
      <c r="A465" s="63"/>
      <c r="B465" s="63"/>
    </row>
    <row r="466">
      <c r="A466" s="63"/>
      <c r="B466" s="63"/>
    </row>
    <row r="467">
      <c r="A467" s="63"/>
      <c r="B467" s="63"/>
    </row>
    <row r="468">
      <c r="A468" s="63"/>
      <c r="B468" s="63"/>
    </row>
    <row r="469">
      <c r="A469" s="63"/>
      <c r="B469" s="63"/>
    </row>
    <row r="470">
      <c r="A470" s="63"/>
      <c r="B470" s="63"/>
    </row>
    <row r="471">
      <c r="A471" s="63"/>
      <c r="B471" s="63"/>
    </row>
    <row r="472">
      <c r="A472" s="63"/>
      <c r="B472" s="63"/>
    </row>
    <row r="473">
      <c r="A473" s="63"/>
      <c r="B473" s="63"/>
    </row>
    <row r="474">
      <c r="A474" s="63"/>
      <c r="B474" s="63"/>
    </row>
    <row r="475">
      <c r="A475" s="63"/>
      <c r="B475" s="63"/>
    </row>
    <row r="476">
      <c r="A476" s="63"/>
      <c r="B476" s="63"/>
    </row>
    <row r="477">
      <c r="A477" s="63"/>
      <c r="B477" s="63"/>
    </row>
    <row r="478">
      <c r="A478" s="63"/>
      <c r="B478" s="63"/>
    </row>
    <row r="479">
      <c r="A479" s="63"/>
      <c r="B479" s="63"/>
    </row>
    <row r="480">
      <c r="A480" s="63"/>
      <c r="B480" s="63"/>
    </row>
    <row r="481">
      <c r="A481" s="63"/>
      <c r="B481" s="63"/>
    </row>
    <row r="482">
      <c r="A482" s="63"/>
      <c r="B482" s="63"/>
    </row>
    <row r="483">
      <c r="A483" s="63"/>
      <c r="B483" s="63"/>
    </row>
    <row r="484">
      <c r="A484" s="63"/>
      <c r="B484" s="63"/>
    </row>
    <row r="485">
      <c r="A485" s="63"/>
      <c r="B485" s="63"/>
    </row>
    <row r="486">
      <c r="A486" s="63"/>
      <c r="B486" s="63"/>
    </row>
    <row r="487">
      <c r="A487" s="63"/>
      <c r="B487" s="63"/>
    </row>
    <row r="488">
      <c r="A488" s="63"/>
      <c r="B488" s="63"/>
    </row>
    <row r="489">
      <c r="A489" s="63"/>
      <c r="B489" s="63"/>
    </row>
    <row r="490">
      <c r="A490" s="63"/>
      <c r="B490" s="63"/>
    </row>
    <row r="491">
      <c r="A491" s="63"/>
      <c r="B491" s="63"/>
    </row>
    <row r="492">
      <c r="A492" s="63"/>
      <c r="B492" s="63"/>
    </row>
    <row r="493">
      <c r="A493" s="63"/>
      <c r="B493" s="63"/>
    </row>
    <row r="494">
      <c r="A494" s="63"/>
      <c r="B494" s="63"/>
    </row>
    <row r="495">
      <c r="A495" s="63"/>
      <c r="B495" s="63"/>
    </row>
    <row r="496">
      <c r="A496" s="63"/>
      <c r="B496" s="63"/>
    </row>
    <row r="497">
      <c r="A497" s="63"/>
      <c r="B497" s="63"/>
    </row>
    <row r="498">
      <c r="A498" s="63"/>
      <c r="B498" s="63"/>
    </row>
    <row r="499">
      <c r="A499" s="63"/>
      <c r="B499" s="63"/>
    </row>
    <row r="500">
      <c r="A500" s="63"/>
      <c r="B500" s="63"/>
    </row>
    <row r="501">
      <c r="A501" s="63"/>
      <c r="B501" s="63"/>
    </row>
    <row r="502">
      <c r="A502" s="63"/>
      <c r="B502" s="63"/>
    </row>
    <row r="503">
      <c r="A503" s="63"/>
      <c r="B503" s="63"/>
    </row>
    <row r="504">
      <c r="A504" s="63"/>
      <c r="B504" s="63"/>
    </row>
    <row r="505">
      <c r="A505" s="63"/>
      <c r="B505" s="63"/>
    </row>
    <row r="506">
      <c r="A506" s="63"/>
      <c r="B506" s="63"/>
    </row>
    <row r="507">
      <c r="A507" s="63"/>
      <c r="B507" s="63"/>
    </row>
    <row r="508">
      <c r="A508" s="63"/>
      <c r="B508" s="63"/>
    </row>
    <row r="509">
      <c r="A509" s="63"/>
      <c r="B509" s="63"/>
    </row>
    <row r="510">
      <c r="A510" s="63"/>
      <c r="B510" s="63"/>
    </row>
    <row r="511">
      <c r="A511" s="63"/>
      <c r="B511" s="63"/>
    </row>
    <row r="512">
      <c r="A512" s="63"/>
      <c r="B512" s="63"/>
    </row>
    <row r="513">
      <c r="A513" s="63"/>
      <c r="B513" s="63"/>
    </row>
    <row r="514">
      <c r="A514" s="63"/>
      <c r="B514" s="63"/>
    </row>
    <row r="515">
      <c r="A515" s="63"/>
      <c r="B515" s="63"/>
    </row>
    <row r="516">
      <c r="A516" s="63"/>
      <c r="B516" s="63"/>
    </row>
    <row r="517">
      <c r="A517" s="63"/>
      <c r="B517" s="63"/>
    </row>
    <row r="518">
      <c r="A518" s="63"/>
      <c r="B518" s="63"/>
    </row>
    <row r="519">
      <c r="A519" s="63"/>
      <c r="B519" s="63"/>
    </row>
    <row r="520">
      <c r="A520" s="63"/>
      <c r="B520" s="63"/>
    </row>
    <row r="521">
      <c r="A521" s="63"/>
      <c r="B521" s="63"/>
    </row>
    <row r="522">
      <c r="A522" s="63"/>
      <c r="B522" s="63"/>
    </row>
    <row r="523">
      <c r="A523" s="63"/>
      <c r="B523" s="63"/>
    </row>
    <row r="524">
      <c r="A524" s="63"/>
      <c r="B524" s="63"/>
    </row>
    <row r="525">
      <c r="A525" s="63"/>
      <c r="B525" s="63"/>
    </row>
    <row r="526">
      <c r="A526" s="63"/>
      <c r="B526" s="63"/>
    </row>
    <row r="527">
      <c r="A527" s="63"/>
      <c r="B527" s="63"/>
    </row>
    <row r="528">
      <c r="A528" s="63"/>
      <c r="B528" s="63"/>
    </row>
    <row r="529">
      <c r="A529" s="63"/>
      <c r="B529" s="63"/>
    </row>
    <row r="530">
      <c r="A530" s="63"/>
      <c r="B530" s="63"/>
    </row>
    <row r="531">
      <c r="A531" s="63"/>
      <c r="B531" s="63"/>
    </row>
    <row r="532">
      <c r="A532" s="63"/>
      <c r="B532" s="63"/>
    </row>
    <row r="533">
      <c r="A533" s="63"/>
      <c r="B533" s="63"/>
    </row>
    <row r="534">
      <c r="A534" s="63"/>
      <c r="B534" s="63"/>
    </row>
    <row r="535">
      <c r="A535" s="63"/>
      <c r="B535" s="63"/>
    </row>
    <row r="536">
      <c r="A536" s="63"/>
      <c r="B536" s="63"/>
    </row>
    <row r="537">
      <c r="A537" s="63"/>
      <c r="B537" s="63"/>
    </row>
    <row r="538">
      <c r="A538" s="63"/>
      <c r="B538" s="63"/>
    </row>
    <row r="539">
      <c r="A539" s="63"/>
      <c r="B539" s="63"/>
    </row>
    <row r="540">
      <c r="A540" s="63"/>
      <c r="B540" s="63"/>
    </row>
    <row r="541">
      <c r="A541" s="63"/>
      <c r="B541" s="63"/>
    </row>
    <row r="542">
      <c r="A542" s="63"/>
      <c r="B542" s="63"/>
    </row>
    <row r="543">
      <c r="A543" s="63"/>
      <c r="B543" s="63"/>
    </row>
    <row r="544">
      <c r="A544" s="63"/>
      <c r="B544" s="63"/>
    </row>
    <row r="545">
      <c r="A545" s="63"/>
      <c r="B545" s="63"/>
    </row>
    <row r="546">
      <c r="A546" s="63"/>
      <c r="B546" s="63"/>
    </row>
    <row r="547">
      <c r="A547" s="63"/>
      <c r="B547" s="63"/>
    </row>
    <row r="548">
      <c r="A548" s="63"/>
      <c r="B548" s="63"/>
    </row>
    <row r="549">
      <c r="A549" s="63"/>
      <c r="B549" s="63"/>
    </row>
    <row r="550">
      <c r="A550" s="63"/>
      <c r="B550" s="63"/>
    </row>
    <row r="551">
      <c r="A551" s="63"/>
      <c r="B551" s="63"/>
    </row>
    <row r="552">
      <c r="A552" s="63"/>
      <c r="B552" s="63"/>
    </row>
    <row r="553">
      <c r="A553" s="63"/>
      <c r="B553" s="63"/>
    </row>
    <row r="554">
      <c r="A554" s="63"/>
      <c r="B554" s="63"/>
    </row>
    <row r="555">
      <c r="A555" s="63"/>
      <c r="B555" s="63"/>
    </row>
    <row r="556">
      <c r="A556" s="63"/>
      <c r="B556" s="63"/>
    </row>
    <row r="557">
      <c r="A557" s="63"/>
      <c r="B557" s="63"/>
    </row>
    <row r="558">
      <c r="A558" s="63"/>
      <c r="B558" s="63"/>
    </row>
    <row r="559">
      <c r="A559" s="63"/>
      <c r="B559" s="63"/>
    </row>
    <row r="560">
      <c r="A560" s="63"/>
      <c r="B560" s="63"/>
    </row>
    <row r="561">
      <c r="A561" s="63"/>
      <c r="B561" s="63"/>
    </row>
    <row r="562">
      <c r="A562" s="63"/>
      <c r="B562" s="63"/>
    </row>
    <row r="563">
      <c r="A563" s="63"/>
      <c r="B563" s="63"/>
    </row>
    <row r="564">
      <c r="A564" s="63"/>
      <c r="B564" s="63"/>
    </row>
    <row r="565">
      <c r="A565" s="63"/>
      <c r="B565" s="63"/>
    </row>
    <row r="566">
      <c r="A566" s="63"/>
      <c r="B566" s="63"/>
    </row>
    <row r="567">
      <c r="A567" s="63"/>
      <c r="B567" s="63"/>
    </row>
    <row r="568">
      <c r="A568" s="63"/>
      <c r="B568" s="63"/>
    </row>
    <row r="569">
      <c r="A569" s="63"/>
      <c r="B569" s="63"/>
    </row>
    <row r="570">
      <c r="A570" s="63"/>
      <c r="B570" s="63"/>
    </row>
    <row r="571">
      <c r="A571" s="63"/>
      <c r="B571" s="63"/>
    </row>
    <row r="572">
      <c r="A572" s="63"/>
      <c r="B572" s="63"/>
    </row>
    <row r="573">
      <c r="A573" s="63"/>
      <c r="B573" s="63"/>
    </row>
    <row r="574">
      <c r="A574" s="63"/>
      <c r="B574" s="63"/>
    </row>
    <row r="575">
      <c r="A575" s="63"/>
      <c r="B575" s="63"/>
    </row>
    <row r="576">
      <c r="A576" s="63"/>
      <c r="B576" s="63"/>
    </row>
    <row r="577">
      <c r="A577" s="63"/>
      <c r="B577" s="63"/>
    </row>
    <row r="578">
      <c r="A578" s="63"/>
      <c r="B578" s="63"/>
    </row>
    <row r="579">
      <c r="A579" s="63"/>
      <c r="B579" s="63"/>
    </row>
    <row r="580">
      <c r="A580" s="63"/>
      <c r="B580" s="63"/>
    </row>
    <row r="581">
      <c r="A581" s="63"/>
      <c r="B581" s="63"/>
    </row>
    <row r="582">
      <c r="A582" s="63"/>
      <c r="B582" s="63"/>
    </row>
    <row r="583">
      <c r="A583" s="63"/>
      <c r="B583" s="63"/>
    </row>
    <row r="584">
      <c r="A584" s="63"/>
      <c r="B584" s="63"/>
    </row>
    <row r="585">
      <c r="A585" s="63"/>
      <c r="B585" s="63"/>
    </row>
    <row r="586">
      <c r="A586" s="63"/>
      <c r="B586" s="63"/>
    </row>
    <row r="587">
      <c r="A587" s="63"/>
      <c r="B587" s="63"/>
    </row>
    <row r="588">
      <c r="A588" s="63"/>
      <c r="B588" s="63"/>
    </row>
    <row r="589">
      <c r="A589" s="63"/>
      <c r="B589" s="63"/>
    </row>
    <row r="590">
      <c r="A590" s="63"/>
      <c r="B590" s="63"/>
    </row>
    <row r="591">
      <c r="A591" s="63"/>
      <c r="B591" s="63"/>
    </row>
    <row r="592">
      <c r="A592" s="63"/>
      <c r="B592" s="63"/>
    </row>
    <row r="593">
      <c r="A593" s="63"/>
      <c r="B593" s="63"/>
    </row>
    <row r="594">
      <c r="A594" s="63"/>
      <c r="B594" s="63"/>
    </row>
    <row r="595">
      <c r="A595" s="63"/>
      <c r="B595" s="63"/>
    </row>
    <row r="596">
      <c r="A596" s="63"/>
      <c r="B596" s="63"/>
    </row>
    <row r="597">
      <c r="A597" s="63"/>
      <c r="B597" s="63"/>
    </row>
    <row r="598">
      <c r="A598" s="63"/>
      <c r="B598" s="63"/>
    </row>
    <row r="599">
      <c r="A599" s="63"/>
      <c r="B599" s="63"/>
    </row>
    <row r="600">
      <c r="A600" s="63"/>
      <c r="B600" s="63"/>
    </row>
    <row r="601">
      <c r="A601" s="63"/>
      <c r="B601" s="63"/>
    </row>
    <row r="602">
      <c r="A602" s="63"/>
      <c r="B602" s="63"/>
    </row>
    <row r="603">
      <c r="A603" s="63"/>
      <c r="B603" s="63"/>
    </row>
    <row r="604">
      <c r="A604" s="63"/>
      <c r="B604" s="63"/>
    </row>
    <row r="605">
      <c r="A605" s="63"/>
      <c r="B605" s="63"/>
    </row>
    <row r="606">
      <c r="A606" s="63"/>
      <c r="B606" s="63"/>
    </row>
    <row r="607">
      <c r="A607" s="63"/>
      <c r="B607" s="63"/>
    </row>
    <row r="608">
      <c r="A608" s="63"/>
      <c r="B608" s="63"/>
    </row>
    <row r="609">
      <c r="A609" s="63"/>
      <c r="B609" s="63"/>
    </row>
    <row r="610">
      <c r="A610" s="63"/>
      <c r="B610" s="63"/>
    </row>
    <row r="611">
      <c r="A611" s="63"/>
      <c r="B611" s="63"/>
    </row>
    <row r="612">
      <c r="A612" s="63"/>
      <c r="B612" s="63"/>
    </row>
    <row r="613">
      <c r="A613" s="63"/>
      <c r="B613" s="63"/>
    </row>
    <row r="614">
      <c r="A614" s="63"/>
      <c r="B614" s="63"/>
    </row>
    <row r="615">
      <c r="A615" s="63"/>
      <c r="B615" s="63"/>
    </row>
    <row r="616">
      <c r="A616" s="63"/>
      <c r="B616" s="63"/>
    </row>
    <row r="617">
      <c r="A617" s="63"/>
      <c r="B617" s="63"/>
    </row>
    <row r="618">
      <c r="A618" s="63"/>
      <c r="B618" s="63"/>
    </row>
    <row r="619">
      <c r="A619" s="63"/>
      <c r="B619" s="63"/>
    </row>
    <row r="620">
      <c r="A620" s="63"/>
      <c r="B620" s="63"/>
    </row>
    <row r="621">
      <c r="A621" s="63"/>
      <c r="B621" s="63"/>
    </row>
    <row r="622">
      <c r="A622" s="63"/>
      <c r="B622" s="63"/>
    </row>
    <row r="623">
      <c r="A623" s="63"/>
      <c r="B623" s="63"/>
    </row>
    <row r="624">
      <c r="A624" s="63"/>
      <c r="B624" s="63"/>
    </row>
    <row r="625">
      <c r="A625" s="63"/>
      <c r="B625" s="63"/>
    </row>
    <row r="626">
      <c r="A626" s="63"/>
      <c r="B626" s="63"/>
    </row>
    <row r="627">
      <c r="A627" s="63"/>
      <c r="B627" s="63"/>
    </row>
    <row r="628">
      <c r="A628" s="63"/>
      <c r="B628" s="63"/>
    </row>
    <row r="629">
      <c r="A629" s="63"/>
      <c r="B629" s="63"/>
    </row>
    <row r="630">
      <c r="A630" s="63"/>
      <c r="B630" s="63"/>
    </row>
    <row r="631">
      <c r="A631" s="63"/>
      <c r="B631" s="63"/>
    </row>
    <row r="632">
      <c r="A632" s="63"/>
      <c r="B632" s="63"/>
    </row>
    <row r="633">
      <c r="A633" s="63"/>
      <c r="B633" s="63"/>
    </row>
    <row r="634">
      <c r="A634" s="63"/>
      <c r="B634" s="63"/>
    </row>
    <row r="635">
      <c r="A635" s="63"/>
      <c r="B635" s="63"/>
    </row>
    <row r="636">
      <c r="A636" s="63"/>
      <c r="B636" s="63"/>
    </row>
    <row r="637">
      <c r="A637" s="63"/>
      <c r="B637" s="63"/>
    </row>
    <row r="638">
      <c r="A638" s="63"/>
      <c r="B638" s="63"/>
    </row>
    <row r="639">
      <c r="A639" s="63"/>
      <c r="B639" s="63"/>
    </row>
    <row r="640">
      <c r="A640" s="63"/>
      <c r="B640" s="63"/>
    </row>
    <row r="641">
      <c r="A641" s="63"/>
      <c r="B641" s="63"/>
    </row>
    <row r="642">
      <c r="A642" s="63"/>
      <c r="B642" s="63"/>
    </row>
    <row r="643">
      <c r="A643" s="63"/>
      <c r="B643" s="63"/>
    </row>
    <row r="644">
      <c r="A644" s="63"/>
      <c r="B644" s="63"/>
    </row>
    <row r="645">
      <c r="A645" s="63"/>
      <c r="B645" s="63"/>
    </row>
    <row r="646">
      <c r="A646" s="63"/>
      <c r="B646" s="63"/>
    </row>
    <row r="647">
      <c r="A647" s="63"/>
      <c r="B647" s="63"/>
    </row>
    <row r="648">
      <c r="A648" s="63"/>
      <c r="B648" s="63"/>
    </row>
    <row r="649">
      <c r="A649" s="63"/>
      <c r="B649" s="63"/>
    </row>
    <row r="650">
      <c r="A650" s="63"/>
      <c r="B650" s="63"/>
    </row>
    <row r="651">
      <c r="A651" s="63"/>
      <c r="B651" s="63"/>
    </row>
    <row r="652">
      <c r="A652" s="63"/>
      <c r="B652" s="63"/>
    </row>
    <row r="653">
      <c r="A653" s="63"/>
      <c r="B653" s="63"/>
    </row>
    <row r="654">
      <c r="A654" s="63"/>
      <c r="B654" s="63"/>
    </row>
    <row r="655">
      <c r="A655" s="63"/>
      <c r="B655" s="63"/>
    </row>
    <row r="656">
      <c r="A656" s="63"/>
      <c r="B656" s="63"/>
    </row>
    <row r="657">
      <c r="A657" s="63"/>
      <c r="B657" s="63"/>
    </row>
    <row r="658">
      <c r="A658" s="63"/>
      <c r="B658" s="63"/>
    </row>
    <row r="659">
      <c r="A659" s="63"/>
      <c r="B659" s="63"/>
    </row>
    <row r="660">
      <c r="A660" s="63"/>
      <c r="B660" s="63"/>
    </row>
    <row r="661">
      <c r="A661" s="63"/>
      <c r="B661" s="63"/>
    </row>
    <row r="662">
      <c r="A662" s="63"/>
      <c r="B662" s="63"/>
    </row>
    <row r="663">
      <c r="A663" s="63"/>
      <c r="B663" s="63"/>
    </row>
    <row r="664">
      <c r="A664" s="63"/>
      <c r="B664" s="63"/>
    </row>
    <row r="665">
      <c r="A665" s="63"/>
      <c r="B665" s="63"/>
    </row>
    <row r="666">
      <c r="A666" s="63"/>
      <c r="B666" s="63"/>
    </row>
    <row r="667">
      <c r="A667" s="63"/>
      <c r="B667" s="63"/>
    </row>
    <row r="668">
      <c r="A668" s="63"/>
      <c r="B668" s="63"/>
    </row>
    <row r="669">
      <c r="A669" s="63"/>
      <c r="B669" s="63"/>
    </row>
    <row r="670">
      <c r="A670" s="63"/>
      <c r="B670" s="63"/>
    </row>
    <row r="671">
      <c r="A671" s="63"/>
      <c r="B671" s="63"/>
    </row>
    <row r="672">
      <c r="A672" s="63"/>
      <c r="B672" s="63"/>
    </row>
    <row r="673">
      <c r="A673" s="63"/>
      <c r="B673" s="63"/>
    </row>
    <row r="674">
      <c r="A674" s="63"/>
      <c r="B674" s="63"/>
    </row>
    <row r="675">
      <c r="A675" s="63"/>
      <c r="B675" s="63"/>
    </row>
    <row r="676">
      <c r="A676" s="63"/>
      <c r="B676" s="63"/>
    </row>
    <row r="677">
      <c r="A677" s="63"/>
      <c r="B677" s="63"/>
    </row>
    <row r="678">
      <c r="A678" s="63"/>
      <c r="B678" s="63"/>
    </row>
    <row r="679">
      <c r="A679" s="63"/>
      <c r="B679" s="63"/>
    </row>
    <row r="680">
      <c r="A680" s="63"/>
      <c r="B680" s="63"/>
    </row>
    <row r="681">
      <c r="A681" s="63"/>
      <c r="B681" s="63"/>
    </row>
    <row r="682">
      <c r="A682" s="63"/>
      <c r="B682" s="63"/>
    </row>
    <row r="683">
      <c r="A683" s="63"/>
      <c r="B683" s="63"/>
    </row>
    <row r="684">
      <c r="A684" s="63"/>
      <c r="B684" s="63"/>
    </row>
    <row r="685">
      <c r="A685" s="63"/>
      <c r="B685" s="63"/>
    </row>
    <row r="686">
      <c r="A686" s="63"/>
      <c r="B686" s="63"/>
    </row>
    <row r="687">
      <c r="A687" s="63"/>
      <c r="B687" s="63"/>
    </row>
    <row r="688">
      <c r="A688" s="63"/>
      <c r="B688" s="63"/>
    </row>
    <row r="689">
      <c r="A689" s="63"/>
      <c r="B689" s="63"/>
    </row>
    <row r="690">
      <c r="A690" s="63"/>
      <c r="B690" s="63"/>
    </row>
    <row r="691">
      <c r="A691" s="63"/>
      <c r="B691" s="63"/>
    </row>
    <row r="692">
      <c r="A692" s="63"/>
      <c r="B692" s="63"/>
    </row>
    <row r="693">
      <c r="A693" s="63"/>
      <c r="B693" s="63"/>
    </row>
    <row r="694">
      <c r="A694" s="63"/>
      <c r="B694" s="63"/>
    </row>
    <row r="695">
      <c r="A695" s="63"/>
      <c r="B695" s="63"/>
    </row>
    <row r="696">
      <c r="A696" s="63"/>
      <c r="B696" s="63"/>
    </row>
    <row r="697">
      <c r="A697" s="63"/>
      <c r="B697" s="63"/>
    </row>
    <row r="698">
      <c r="A698" s="63"/>
      <c r="B698" s="63"/>
    </row>
    <row r="699">
      <c r="A699" s="63"/>
      <c r="B699" s="63"/>
    </row>
    <row r="700">
      <c r="A700" s="63"/>
      <c r="B700" s="63"/>
    </row>
    <row r="701">
      <c r="A701" s="63"/>
      <c r="B701" s="63"/>
    </row>
    <row r="702">
      <c r="A702" s="63"/>
      <c r="B702" s="63"/>
    </row>
    <row r="703">
      <c r="A703" s="63"/>
      <c r="B703" s="63"/>
    </row>
    <row r="704">
      <c r="A704" s="63"/>
      <c r="B704" s="63"/>
    </row>
    <row r="705">
      <c r="A705" s="63"/>
      <c r="B705" s="63"/>
    </row>
    <row r="706">
      <c r="A706" s="63"/>
      <c r="B706" s="63"/>
    </row>
    <row r="707">
      <c r="A707" s="63"/>
      <c r="B707" s="63"/>
    </row>
    <row r="708">
      <c r="A708" s="63"/>
      <c r="B708" s="63"/>
    </row>
    <row r="709">
      <c r="A709" s="63"/>
      <c r="B709" s="63"/>
    </row>
    <row r="710">
      <c r="A710" s="63"/>
      <c r="B710" s="63"/>
    </row>
    <row r="711">
      <c r="A711" s="63"/>
      <c r="B711" s="63"/>
    </row>
    <row r="712">
      <c r="A712" s="63"/>
      <c r="B712" s="63"/>
    </row>
    <row r="713">
      <c r="A713" s="63"/>
      <c r="B713" s="63"/>
    </row>
    <row r="714">
      <c r="A714" s="63"/>
      <c r="B714" s="63"/>
    </row>
    <row r="715">
      <c r="A715" s="63"/>
      <c r="B715" s="63"/>
    </row>
    <row r="716">
      <c r="A716" s="63"/>
      <c r="B716" s="63"/>
    </row>
    <row r="717">
      <c r="A717" s="63"/>
      <c r="B717" s="63"/>
    </row>
    <row r="718">
      <c r="A718" s="63"/>
      <c r="B718" s="63"/>
    </row>
    <row r="719">
      <c r="A719" s="63"/>
      <c r="B719" s="63"/>
    </row>
    <row r="720">
      <c r="A720" s="63"/>
      <c r="B720" s="63"/>
    </row>
    <row r="721">
      <c r="A721" s="63"/>
      <c r="B721" s="63"/>
    </row>
    <row r="722">
      <c r="A722" s="63"/>
      <c r="B722" s="63"/>
    </row>
    <row r="723">
      <c r="A723" s="63"/>
      <c r="B723" s="63"/>
    </row>
    <row r="724">
      <c r="A724" s="63"/>
      <c r="B724" s="63"/>
    </row>
    <row r="725">
      <c r="A725" s="63"/>
      <c r="B725" s="63"/>
    </row>
    <row r="726">
      <c r="A726" s="63"/>
      <c r="B726" s="63"/>
    </row>
    <row r="727">
      <c r="A727" s="63"/>
      <c r="B727" s="63"/>
    </row>
    <row r="728">
      <c r="A728" s="63"/>
      <c r="B728" s="63"/>
    </row>
    <row r="729">
      <c r="A729" s="63"/>
      <c r="B729" s="63"/>
    </row>
    <row r="730">
      <c r="A730" s="63"/>
      <c r="B730" s="63"/>
    </row>
    <row r="731">
      <c r="A731" s="63"/>
      <c r="B731" s="63"/>
    </row>
    <row r="732">
      <c r="A732" s="63"/>
      <c r="B732" s="63"/>
    </row>
    <row r="733">
      <c r="A733" s="63"/>
      <c r="B733" s="63"/>
    </row>
    <row r="734">
      <c r="A734" s="63"/>
      <c r="B734" s="63"/>
    </row>
    <row r="735">
      <c r="A735" s="63"/>
      <c r="B735" s="63"/>
    </row>
    <row r="736">
      <c r="A736" s="63"/>
      <c r="B736" s="63"/>
    </row>
    <row r="737">
      <c r="A737" s="63"/>
      <c r="B737" s="63"/>
    </row>
    <row r="738">
      <c r="A738" s="63"/>
      <c r="B738" s="63"/>
    </row>
    <row r="739">
      <c r="A739" s="63"/>
      <c r="B739" s="63"/>
    </row>
    <row r="740">
      <c r="A740" s="63"/>
      <c r="B740" s="63"/>
    </row>
    <row r="741">
      <c r="A741" s="63"/>
      <c r="B741" s="63"/>
    </row>
    <row r="742">
      <c r="A742" s="63"/>
      <c r="B742" s="63"/>
    </row>
    <row r="743">
      <c r="A743" s="63"/>
      <c r="B743" s="63"/>
    </row>
    <row r="744">
      <c r="A744" s="63"/>
      <c r="B744" s="63"/>
    </row>
    <row r="745">
      <c r="A745" s="63"/>
      <c r="B745" s="63"/>
    </row>
    <row r="746">
      <c r="A746" s="63"/>
      <c r="B746" s="63"/>
    </row>
    <row r="747">
      <c r="A747" s="63"/>
      <c r="B747" s="63"/>
    </row>
    <row r="748">
      <c r="A748" s="63"/>
      <c r="B748" s="63"/>
    </row>
    <row r="749">
      <c r="A749" s="63"/>
      <c r="B749" s="63"/>
    </row>
    <row r="750">
      <c r="A750" s="63"/>
      <c r="B750" s="63"/>
    </row>
    <row r="751">
      <c r="A751" s="63"/>
      <c r="B751" s="63"/>
    </row>
    <row r="752">
      <c r="A752" s="63"/>
      <c r="B752" s="63"/>
    </row>
    <row r="753">
      <c r="A753" s="63"/>
      <c r="B753" s="63"/>
    </row>
    <row r="754">
      <c r="A754" s="63"/>
      <c r="B754" s="63"/>
    </row>
    <row r="755">
      <c r="A755" s="63"/>
      <c r="B755" s="63"/>
    </row>
    <row r="756">
      <c r="A756" s="63"/>
      <c r="B756" s="63"/>
    </row>
    <row r="757">
      <c r="A757" s="63"/>
      <c r="B757" s="63"/>
    </row>
    <row r="758">
      <c r="A758" s="63"/>
      <c r="B758" s="63"/>
    </row>
    <row r="759">
      <c r="A759" s="63"/>
      <c r="B759" s="63"/>
    </row>
    <row r="760">
      <c r="A760" s="63"/>
      <c r="B760" s="63"/>
    </row>
    <row r="761">
      <c r="A761" s="63"/>
      <c r="B761" s="63"/>
    </row>
    <row r="762">
      <c r="A762" s="63"/>
      <c r="B762" s="63"/>
    </row>
    <row r="763">
      <c r="A763" s="63"/>
      <c r="B763" s="63"/>
    </row>
    <row r="764">
      <c r="A764" s="63"/>
      <c r="B764" s="63"/>
    </row>
    <row r="765">
      <c r="A765" s="63"/>
      <c r="B765" s="63"/>
    </row>
    <row r="766">
      <c r="A766" s="63"/>
      <c r="B766" s="63"/>
    </row>
    <row r="767">
      <c r="A767" s="63"/>
      <c r="B767" s="63"/>
    </row>
    <row r="768">
      <c r="A768" s="63"/>
      <c r="B768" s="63"/>
    </row>
    <row r="769">
      <c r="A769" s="63"/>
      <c r="B769" s="63"/>
    </row>
    <row r="770">
      <c r="A770" s="63"/>
      <c r="B770" s="63"/>
    </row>
    <row r="771">
      <c r="A771" s="63"/>
      <c r="B771" s="63"/>
    </row>
    <row r="772">
      <c r="A772" s="63"/>
      <c r="B772" s="63"/>
    </row>
    <row r="773">
      <c r="A773" s="63"/>
      <c r="B773" s="63"/>
    </row>
    <row r="774">
      <c r="A774" s="63"/>
      <c r="B774" s="63"/>
    </row>
    <row r="775">
      <c r="A775" s="63"/>
      <c r="B775" s="63"/>
    </row>
    <row r="776">
      <c r="A776" s="63"/>
      <c r="B776" s="63"/>
    </row>
    <row r="777">
      <c r="A777" s="63"/>
      <c r="B777" s="63"/>
    </row>
    <row r="778">
      <c r="A778" s="63"/>
      <c r="B778" s="63"/>
    </row>
    <row r="779">
      <c r="A779" s="63"/>
      <c r="B779" s="63"/>
    </row>
    <row r="780">
      <c r="A780" s="63"/>
      <c r="B780" s="63"/>
    </row>
    <row r="781">
      <c r="A781" s="63"/>
      <c r="B781" s="63"/>
    </row>
    <row r="782">
      <c r="A782" s="63"/>
      <c r="B782" s="63"/>
    </row>
    <row r="783">
      <c r="A783" s="63"/>
      <c r="B783" s="63"/>
    </row>
    <row r="784">
      <c r="A784" s="63"/>
      <c r="B784" s="63"/>
    </row>
    <row r="785">
      <c r="A785" s="63"/>
      <c r="B785" s="63"/>
    </row>
    <row r="786">
      <c r="A786" s="63"/>
      <c r="B786" s="63"/>
    </row>
    <row r="787">
      <c r="A787" s="63"/>
      <c r="B787" s="63"/>
    </row>
    <row r="788">
      <c r="A788" s="63"/>
      <c r="B788" s="63"/>
    </row>
    <row r="789">
      <c r="A789" s="63"/>
      <c r="B789" s="63"/>
    </row>
    <row r="790">
      <c r="A790" s="63"/>
      <c r="B790" s="63"/>
    </row>
    <row r="791">
      <c r="A791" s="63"/>
      <c r="B791" s="63"/>
    </row>
    <row r="792">
      <c r="A792" s="63"/>
      <c r="B792" s="63"/>
    </row>
    <row r="793">
      <c r="A793" s="63"/>
      <c r="B793" s="63"/>
    </row>
    <row r="794">
      <c r="A794" s="63"/>
      <c r="B794" s="63"/>
    </row>
    <row r="795">
      <c r="A795" s="63"/>
      <c r="B795" s="63"/>
    </row>
    <row r="796">
      <c r="A796" s="63"/>
      <c r="B796" s="63"/>
    </row>
    <row r="797">
      <c r="A797" s="63"/>
      <c r="B797" s="63"/>
    </row>
    <row r="798">
      <c r="A798" s="63"/>
      <c r="B798" s="63"/>
    </row>
    <row r="799">
      <c r="A799" s="63"/>
      <c r="B799" s="63"/>
    </row>
    <row r="800">
      <c r="A800" s="63"/>
      <c r="B800" s="63"/>
    </row>
    <row r="801">
      <c r="A801" s="63"/>
      <c r="B801" s="63"/>
    </row>
    <row r="802">
      <c r="A802" s="63"/>
      <c r="B802" s="63"/>
    </row>
    <row r="803">
      <c r="A803" s="63"/>
      <c r="B803" s="63"/>
    </row>
    <row r="804">
      <c r="A804" s="63"/>
      <c r="B804" s="63"/>
    </row>
    <row r="805">
      <c r="A805" s="63"/>
      <c r="B805" s="63"/>
    </row>
    <row r="806">
      <c r="A806" s="63"/>
      <c r="B806" s="63"/>
    </row>
    <row r="807">
      <c r="A807" s="63"/>
      <c r="B807" s="63"/>
    </row>
    <row r="808">
      <c r="A808" s="63"/>
      <c r="B808" s="63"/>
    </row>
    <row r="809">
      <c r="A809" s="63"/>
      <c r="B809" s="63"/>
    </row>
    <row r="810">
      <c r="A810" s="63"/>
      <c r="B810" s="63"/>
    </row>
    <row r="811">
      <c r="A811" s="63"/>
      <c r="B811" s="63"/>
    </row>
    <row r="812">
      <c r="A812" s="63"/>
      <c r="B812" s="63"/>
    </row>
    <row r="813">
      <c r="A813" s="63"/>
      <c r="B813" s="63"/>
    </row>
    <row r="814">
      <c r="A814" s="63"/>
      <c r="B814" s="63"/>
    </row>
    <row r="815">
      <c r="A815" s="63"/>
      <c r="B815" s="63"/>
    </row>
    <row r="816">
      <c r="A816" s="63"/>
      <c r="B816" s="63"/>
    </row>
    <row r="817">
      <c r="A817" s="63"/>
      <c r="B817" s="63"/>
    </row>
    <row r="818">
      <c r="A818" s="63"/>
      <c r="B818" s="63"/>
    </row>
    <row r="819">
      <c r="A819" s="63"/>
      <c r="B819" s="63"/>
    </row>
    <row r="820">
      <c r="A820" s="63"/>
      <c r="B820" s="63"/>
    </row>
    <row r="821">
      <c r="A821" s="63"/>
      <c r="B821" s="63"/>
    </row>
    <row r="822">
      <c r="A822" s="63"/>
      <c r="B822" s="63"/>
    </row>
    <row r="823">
      <c r="A823" s="63"/>
      <c r="B823" s="63"/>
    </row>
    <row r="824">
      <c r="A824" s="63"/>
      <c r="B824" s="63"/>
    </row>
    <row r="825">
      <c r="A825" s="63"/>
      <c r="B825" s="63"/>
    </row>
    <row r="826">
      <c r="A826" s="63"/>
      <c r="B826" s="63"/>
    </row>
    <row r="827">
      <c r="A827" s="63"/>
      <c r="B827" s="63"/>
    </row>
    <row r="828">
      <c r="A828" s="63"/>
      <c r="B828" s="63"/>
    </row>
    <row r="829">
      <c r="A829" s="63"/>
      <c r="B829" s="63"/>
    </row>
    <row r="830">
      <c r="A830" s="63"/>
      <c r="B830" s="63"/>
    </row>
    <row r="831">
      <c r="A831" s="63"/>
      <c r="B831" s="63"/>
    </row>
    <row r="832">
      <c r="A832" s="63"/>
      <c r="B832" s="63"/>
    </row>
    <row r="833">
      <c r="A833" s="63"/>
      <c r="B833" s="63"/>
    </row>
    <row r="834">
      <c r="A834" s="63"/>
      <c r="B834" s="63"/>
    </row>
    <row r="835">
      <c r="A835" s="63"/>
      <c r="B835" s="63"/>
    </row>
    <row r="836">
      <c r="A836" s="63"/>
      <c r="B836" s="63"/>
    </row>
    <row r="837">
      <c r="A837" s="63"/>
      <c r="B837" s="63"/>
    </row>
    <row r="838">
      <c r="A838" s="63"/>
      <c r="B838" s="63"/>
    </row>
    <row r="839">
      <c r="A839" s="63"/>
      <c r="B839" s="63"/>
    </row>
    <row r="840">
      <c r="A840" s="63"/>
      <c r="B840" s="63"/>
    </row>
    <row r="841">
      <c r="A841" s="63"/>
      <c r="B841" s="63"/>
    </row>
    <row r="842">
      <c r="A842" s="63"/>
      <c r="B842" s="63"/>
    </row>
    <row r="843">
      <c r="A843" s="63"/>
      <c r="B843" s="63"/>
    </row>
    <row r="844">
      <c r="A844" s="63"/>
      <c r="B844" s="63"/>
    </row>
    <row r="845">
      <c r="A845" s="63"/>
      <c r="B845" s="63"/>
    </row>
    <row r="846">
      <c r="A846" s="63"/>
      <c r="B846" s="63"/>
    </row>
    <row r="847">
      <c r="A847" s="63"/>
      <c r="B847" s="63"/>
    </row>
    <row r="848">
      <c r="A848" s="63"/>
      <c r="B848" s="63"/>
    </row>
    <row r="849">
      <c r="A849" s="63"/>
      <c r="B849" s="63"/>
    </row>
    <row r="850">
      <c r="A850" s="63"/>
      <c r="B850" s="63"/>
    </row>
    <row r="851">
      <c r="A851" s="63"/>
      <c r="B851" s="63"/>
    </row>
    <row r="852">
      <c r="A852" s="63"/>
      <c r="B852" s="63"/>
    </row>
    <row r="853">
      <c r="A853" s="63"/>
      <c r="B853" s="63"/>
    </row>
    <row r="854">
      <c r="A854" s="63"/>
      <c r="B854" s="63"/>
    </row>
    <row r="855">
      <c r="A855" s="63"/>
      <c r="B855" s="63"/>
    </row>
    <row r="856">
      <c r="A856" s="63"/>
      <c r="B856" s="63"/>
    </row>
    <row r="857">
      <c r="A857" s="63"/>
      <c r="B857" s="63"/>
    </row>
    <row r="858">
      <c r="A858" s="63"/>
      <c r="B858" s="63"/>
    </row>
    <row r="859">
      <c r="A859" s="63"/>
      <c r="B859" s="63"/>
    </row>
    <row r="860">
      <c r="A860" s="63"/>
      <c r="B860" s="63"/>
    </row>
    <row r="861">
      <c r="A861" s="63"/>
      <c r="B861" s="63"/>
    </row>
    <row r="862">
      <c r="A862" s="63"/>
      <c r="B862" s="63"/>
    </row>
    <row r="863">
      <c r="A863" s="63"/>
      <c r="B863" s="63"/>
    </row>
    <row r="864">
      <c r="A864" s="63"/>
      <c r="B864" s="63"/>
    </row>
    <row r="865">
      <c r="A865" s="63"/>
      <c r="B865" s="63"/>
    </row>
    <row r="866">
      <c r="A866" s="63"/>
      <c r="B866" s="63"/>
    </row>
    <row r="867">
      <c r="A867" s="63"/>
      <c r="B867" s="63"/>
    </row>
    <row r="868">
      <c r="A868" s="63"/>
      <c r="B868" s="63"/>
    </row>
    <row r="869">
      <c r="A869" s="63"/>
      <c r="B869" s="63"/>
    </row>
    <row r="870">
      <c r="A870" s="63"/>
      <c r="B870" s="63"/>
    </row>
    <row r="871">
      <c r="A871" s="63"/>
      <c r="B871" s="63"/>
    </row>
    <row r="872">
      <c r="A872" s="63"/>
      <c r="B872" s="63"/>
    </row>
    <row r="873">
      <c r="A873" s="63"/>
      <c r="B873" s="63"/>
    </row>
    <row r="874">
      <c r="A874" s="63"/>
      <c r="B874" s="63"/>
    </row>
    <row r="875">
      <c r="A875" s="63"/>
      <c r="B875" s="63"/>
    </row>
    <row r="876">
      <c r="A876" s="63"/>
      <c r="B876" s="63"/>
    </row>
    <row r="877">
      <c r="A877" s="63"/>
      <c r="B877" s="63"/>
    </row>
    <row r="878">
      <c r="A878" s="63"/>
      <c r="B878" s="63"/>
    </row>
    <row r="879">
      <c r="A879" s="63"/>
      <c r="B879" s="63"/>
    </row>
    <row r="880">
      <c r="A880" s="63"/>
      <c r="B880" s="63"/>
    </row>
    <row r="881">
      <c r="A881" s="63"/>
      <c r="B881" s="63"/>
    </row>
    <row r="882">
      <c r="A882" s="63"/>
      <c r="B882" s="63"/>
    </row>
    <row r="883">
      <c r="A883" s="63"/>
      <c r="B883" s="63"/>
    </row>
    <row r="884">
      <c r="A884" s="63"/>
      <c r="B884" s="63"/>
    </row>
    <row r="885">
      <c r="A885" s="63"/>
      <c r="B885" s="63"/>
    </row>
    <row r="886">
      <c r="A886" s="63"/>
      <c r="B886" s="63"/>
    </row>
    <row r="887">
      <c r="A887" s="63"/>
      <c r="B887" s="63"/>
    </row>
    <row r="888">
      <c r="A888" s="63"/>
      <c r="B888" s="63"/>
    </row>
    <row r="889">
      <c r="A889" s="63"/>
      <c r="B889" s="63"/>
    </row>
    <row r="890">
      <c r="A890" s="63"/>
      <c r="B890" s="63"/>
    </row>
    <row r="891">
      <c r="A891" s="63"/>
      <c r="B891" s="63"/>
    </row>
    <row r="892">
      <c r="A892" s="63"/>
      <c r="B892" s="63"/>
    </row>
    <row r="893">
      <c r="A893" s="63"/>
      <c r="B893" s="63"/>
    </row>
    <row r="894">
      <c r="A894" s="63"/>
      <c r="B894" s="63"/>
    </row>
    <row r="895">
      <c r="A895" s="63"/>
      <c r="B895" s="63"/>
    </row>
    <row r="896">
      <c r="A896" s="63"/>
      <c r="B896" s="63"/>
    </row>
    <row r="897">
      <c r="A897" s="63"/>
      <c r="B897" s="63"/>
    </row>
    <row r="898">
      <c r="A898" s="63"/>
      <c r="B898" s="63"/>
    </row>
    <row r="899">
      <c r="A899" s="63"/>
      <c r="B899" s="63"/>
    </row>
    <row r="900">
      <c r="A900" s="63"/>
      <c r="B900" s="63"/>
    </row>
    <row r="901">
      <c r="A901" s="63"/>
      <c r="B901" s="63"/>
    </row>
    <row r="902">
      <c r="A902" s="63"/>
      <c r="B902" s="63"/>
    </row>
    <row r="903">
      <c r="A903" s="63"/>
      <c r="B903" s="63"/>
    </row>
    <row r="904">
      <c r="A904" s="63"/>
      <c r="B904" s="63"/>
    </row>
    <row r="905">
      <c r="A905" s="63"/>
      <c r="B905" s="63"/>
    </row>
    <row r="906">
      <c r="A906" s="63"/>
      <c r="B906" s="63"/>
    </row>
    <row r="907">
      <c r="A907" s="63"/>
      <c r="B907" s="63"/>
    </row>
    <row r="908">
      <c r="A908" s="63"/>
      <c r="B908" s="63"/>
    </row>
    <row r="909">
      <c r="A909" s="63"/>
      <c r="B909" s="63"/>
    </row>
    <row r="910">
      <c r="A910" s="63"/>
      <c r="B910" s="63"/>
    </row>
    <row r="911">
      <c r="A911" s="63"/>
      <c r="B911" s="63"/>
    </row>
    <row r="912">
      <c r="A912" s="63"/>
      <c r="B912" s="63"/>
    </row>
    <row r="913">
      <c r="A913" s="63"/>
      <c r="B913" s="63"/>
    </row>
    <row r="914">
      <c r="A914" s="63"/>
      <c r="B914" s="63"/>
    </row>
    <row r="915">
      <c r="A915" s="63"/>
      <c r="B915" s="63"/>
    </row>
    <row r="916">
      <c r="A916" s="63"/>
      <c r="B916" s="63"/>
    </row>
    <row r="917">
      <c r="A917" s="63"/>
      <c r="B917" s="63"/>
    </row>
    <row r="918">
      <c r="A918" s="63"/>
      <c r="B918" s="63"/>
    </row>
    <row r="919">
      <c r="A919" s="63"/>
      <c r="B919" s="63"/>
    </row>
    <row r="920">
      <c r="A920" s="63"/>
      <c r="B920" s="63"/>
    </row>
    <row r="921">
      <c r="A921" s="63"/>
      <c r="B921" s="63"/>
    </row>
    <row r="922">
      <c r="A922" s="63"/>
      <c r="B922" s="63"/>
    </row>
    <row r="923">
      <c r="A923" s="63"/>
      <c r="B923" s="63"/>
    </row>
    <row r="924">
      <c r="A924" s="63"/>
      <c r="B924" s="63"/>
    </row>
    <row r="925">
      <c r="A925" s="63"/>
      <c r="B925" s="63"/>
    </row>
    <row r="926">
      <c r="A926" s="63"/>
      <c r="B926" s="63"/>
    </row>
    <row r="927">
      <c r="A927" s="63"/>
      <c r="B927" s="63"/>
    </row>
    <row r="928">
      <c r="A928" s="63"/>
      <c r="B928" s="63"/>
    </row>
    <row r="929">
      <c r="A929" s="63"/>
      <c r="B929" s="63"/>
    </row>
    <row r="930">
      <c r="A930" s="63"/>
      <c r="B930" s="63"/>
    </row>
    <row r="931">
      <c r="A931" s="63"/>
      <c r="B931" s="63"/>
    </row>
    <row r="932">
      <c r="A932" s="63"/>
      <c r="B932" s="63"/>
    </row>
    <row r="933">
      <c r="A933" s="63"/>
      <c r="B933" s="63"/>
    </row>
    <row r="934">
      <c r="A934" s="63"/>
      <c r="B934" s="63"/>
    </row>
    <row r="935">
      <c r="A935" s="63"/>
      <c r="B935" s="63"/>
    </row>
    <row r="936">
      <c r="A936" s="63"/>
      <c r="B936" s="63"/>
    </row>
    <row r="937">
      <c r="A937" s="63"/>
      <c r="B937" s="63"/>
    </row>
    <row r="938">
      <c r="A938" s="63"/>
      <c r="B938" s="63"/>
    </row>
    <row r="939">
      <c r="A939" s="63"/>
      <c r="B939" s="63"/>
    </row>
    <row r="940">
      <c r="A940" s="63"/>
      <c r="B940" s="63"/>
    </row>
    <row r="941">
      <c r="A941" s="63"/>
      <c r="B941" s="63"/>
    </row>
    <row r="942">
      <c r="A942" s="63"/>
      <c r="B942" s="63"/>
    </row>
    <row r="943">
      <c r="A943" s="63"/>
      <c r="B943" s="63"/>
    </row>
    <row r="944">
      <c r="A944" s="63"/>
      <c r="B944" s="63"/>
    </row>
    <row r="945">
      <c r="A945" s="63"/>
      <c r="B945" s="63"/>
    </row>
    <row r="946">
      <c r="A946" s="63"/>
      <c r="B946" s="63"/>
    </row>
    <row r="947">
      <c r="A947" s="63"/>
      <c r="B947" s="63"/>
    </row>
    <row r="948">
      <c r="A948" s="63"/>
      <c r="B948" s="63"/>
    </row>
    <row r="949">
      <c r="A949" s="63"/>
      <c r="B949" s="63"/>
    </row>
    <row r="950">
      <c r="A950" s="63"/>
      <c r="B950" s="63"/>
    </row>
    <row r="951">
      <c r="A951" s="63"/>
      <c r="B951" s="63"/>
    </row>
    <row r="952">
      <c r="A952" s="63"/>
      <c r="B952" s="63"/>
    </row>
    <row r="953">
      <c r="A953" s="63"/>
      <c r="B953" s="63"/>
    </row>
    <row r="954">
      <c r="A954" s="63"/>
      <c r="B954" s="63"/>
    </row>
    <row r="955">
      <c r="A955" s="63"/>
      <c r="B955" s="63"/>
    </row>
    <row r="956">
      <c r="A956" s="63"/>
      <c r="B956" s="63"/>
    </row>
    <row r="957">
      <c r="A957" s="63"/>
      <c r="B957" s="63"/>
    </row>
    <row r="958">
      <c r="A958" s="63"/>
      <c r="B958" s="63"/>
    </row>
    <row r="959">
      <c r="A959" s="63"/>
      <c r="B959" s="63"/>
    </row>
    <row r="960">
      <c r="A960" s="63"/>
      <c r="B960" s="63"/>
    </row>
    <row r="961">
      <c r="A961" s="63"/>
      <c r="B961" s="63"/>
    </row>
    <row r="962">
      <c r="A962" s="63"/>
      <c r="B962" s="63"/>
    </row>
    <row r="963">
      <c r="A963" s="63"/>
      <c r="B963" s="63"/>
    </row>
    <row r="964">
      <c r="A964" s="63"/>
      <c r="B964" s="63"/>
    </row>
    <row r="965">
      <c r="A965" s="63"/>
      <c r="B965" s="63"/>
    </row>
    <row r="966">
      <c r="A966" s="63"/>
      <c r="B966" s="63"/>
    </row>
    <row r="967">
      <c r="A967" s="63"/>
      <c r="B967" s="63"/>
    </row>
    <row r="968">
      <c r="A968" s="63"/>
      <c r="B968" s="63"/>
    </row>
    <row r="969">
      <c r="A969" s="63"/>
      <c r="B969" s="63"/>
    </row>
    <row r="970">
      <c r="A970" s="63"/>
      <c r="B970" s="63"/>
    </row>
    <row r="971">
      <c r="A971" s="63"/>
      <c r="B971" s="63"/>
    </row>
    <row r="972">
      <c r="A972" s="63"/>
      <c r="B972" s="63"/>
    </row>
    <row r="973">
      <c r="A973" s="63"/>
      <c r="B973" s="63"/>
    </row>
    <row r="974">
      <c r="A974" s="63"/>
      <c r="B974" s="63"/>
    </row>
    <row r="975">
      <c r="A975" s="63"/>
      <c r="B975" s="63"/>
    </row>
    <row r="976">
      <c r="A976" s="63"/>
      <c r="B976" s="63"/>
    </row>
    <row r="977">
      <c r="A977" s="63"/>
      <c r="B977" s="63"/>
    </row>
    <row r="978">
      <c r="A978" s="63"/>
      <c r="B978" s="63"/>
    </row>
    <row r="979">
      <c r="A979" s="63"/>
      <c r="B979" s="63"/>
    </row>
    <row r="980">
      <c r="A980" s="63"/>
      <c r="B980" s="63"/>
    </row>
    <row r="981">
      <c r="A981" s="63"/>
      <c r="B981" s="63"/>
    </row>
    <row r="982">
      <c r="A982" s="63"/>
      <c r="B982" s="63"/>
    </row>
    <row r="983">
      <c r="A983" s="63"/>
      <c r="B983" s="63"/>
    </row>
    <row r="984">
      <c r="A984" s="63"/>
      <c r="B984" s="63"/>
    </row>
    <row r="985">
      <c r="A985" s="63"/>
      <c r="B985" s="63"/>
    </row>
    <row r="986">
      <c r="A986" s="63"/>
      <c r="B986" s="63"/>
    </row>
    <row r="987">
      <c r="A987" s="63"/>
      <c r="B987" s="63"/>
    </row>
    <row r="988">
      <c r="A988" s="63"/>
      <c r="B988" s="63"/>
    </row>
    <row r="989">
      <c r="A989" s="63"/>
      <c r="B989" s="63"/>
    </row>
    <row r="990">
      <c r="A990" s="63"/>
      <c r="B990" s="63"/>
    </row>
    <row r="991">
      <c r="A991" s="63"/>
      <c r="B991" s="63"/>
    </row>
    <row r="992">
      <c r="A992" s="63"/>
      <c r="B992" s="63"/>
    </row>
    <row r="993">
      <c r="A993" s="63"/>
      <c r="B993" s="63"/>
    </row>
    <row r="994">
      <c r="A994" s="63"/>
      <c r="B994" s="63"/>
    </row>
    <row r="995">
      <c r="A995" s="63"/>
      <c r="B995" s="63"/>
    </row>
    <row r="996">
      <c r="A996" s="63"/>
      <c r="B996" s="63"/>
    </row>
    <row r="997">
      <c r="A997" s="63"/>
      <c r="B997" s="63"/>
    </row>
    <row r="998">
      <c r="A998" s="63"/>
      <c r="B998" s="63"/>
    </row>
    <row r="999">
      <c r="A999" s="63"/>
      <c r="B999" s="63"/>
    </row>
    <row r="1000">
      <c r="A1000" s="63"/>
      <c r="B1000" s="63"/>
    </row>
    <row r="1001">
      <c r="A1001" s="63"/>
      <c r="B1001" s="63"/>
    </row>
  </sheetData>
  <autoFilter ref="$A$1:$C$1001">
    <sortState ref="A1:C1001">
      <sortCondition ref="C1:C1001"/>
      <sortCondition ref="A1:A100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9" max="9" width="18.0"/>
  </cols>
  <sheetData>
    <row r="1">
      <c r="A1" s="2" t="s">
        <v>2</v>
      </c>
      <c r="B1" s="2" t="s">
        <v>4</v>
      </c>
      <c r="E1" s="2"/>
    </row>
    <row r="2">
      <c r="A2" s="2" t="s">
        <v>5</v>
      </c>
      <c r="B2" s="9" t="str">
        <f t="shared" ref="B2:B3" si="1">VLOOKUP(A2,E:E,1,0)</f>
        <v>Cerro Branco</v>
      </c>
      <c r="C2" s="2">
        <v>1.0</v>
      </c>
      <c r="E2" s="2" t="s">
        <v>46</v>
      </c>
      <c r="I2" s="2" t="s">
        <v>47</v>
      </c>
      <c r="J2" s="2">
        <v>17.0</v>
      </c>
    </row>
    <row r="3">
      <c r="A3" s="2" t="s">
        <v>49</v>
      </c>
      <c r="B3" s="9" t="str">
        <f t="shared" si="1"/>
        <v>Nova Palma</v>
      </c>
      <c r="C3" s="2">
        <v>2.0</v>
      </c>
      <c r="E3" s="2" t="s">
        <v>50</v>
      </c>
      <c r="I3" s="2" t="s">
        <v>47</v>
      </c>
      <c r="J3" s="2">
        <v>84.0</v>
      </c>
    </row>
    <row r="4">
      <c r="A4" s="2" t="s">
        <v>52</v>
      </c>
      <c r="B4" s="2" t="s">
        <v>53</v>
      </c>
      <c r="C4" s="2">
        <v>3.0</v>
      </c>
      <c r="E4" s="2" t="s">
        <v>54</v>
      </c>
      <c r="I4" s="2" t="s">
        <v>56</v>
      </c>
      <c r="J4" s="2">
        <v>85.0</v>
      </c>
    </row>
    <row r="5">
      <c r="A5" s="2" t="s">
        <v>58</v>
      </c>
      <c r="B5" s="2" t="s">
        <v>60</v>
      </c>
      <c r="C5" s="2">
        <v>4.0</v>
      </c>
      <c r="E5" s="2" t="s">
        <v>62</v>
      </c>
      <c r="I5" s="2" t="s">
        <v>66</v>
      </c>
      <c r="J5" s="2">
        <v>95.0</v>
      </c>
    </row>
    <row r="6">
      <c r="A6" s="2" t="s">
        <v>48</v>
      </c>
      <c r="B6" s="9" t="str">
        <f t="shared" ref="B6:B7" si="2">VLOOKUP(A6,E:E,1,0)</f>
        <v>Gramado</v>
      </c>
      <c r="C6" s="2">
        <v>5.0</v>
      </c>
      <c r="E6" s="2" t="s">
        <v>68</v>
      </c>
      <c r="I6" s="2" t="s">
        <v>66</v>
      </c>
      <c r="J6" s="2">
        <v>99.0</v>
      </c>
    </row>
    <row r="7">
      <c r="A7" s="2" t="s">
        <v>69</v>
      </c>
      <c r="B7" s="9" t="str">
        <f t="shared" si="2"/>
        <v>Vera Cruz</v>
      </c>
      <c r="C7" s="2">
        <v>6.0</v>
      </c>
      <c r="E7" s="2" t="s">
        <v>71</v>
      </c>
      <c r="I7" s="2" t="s">
        <v>73</v>
      </c>
      <c r="J7" s="2">
        <v>62.0</v>
      </c>
    </row>
    <row r="8">
      <c r="A8" s="2" t="s">
        <v>75</v>
      </c>
      <c r="B8" s="2" t="s">
        <v>76</v>
      </c>
      <c r="C8" s="2">
        <v>7.0</v>
      </c>
      <c r="E8" s="2" t="s">
        <v>77</v>
      </c>
      <c r="I8" s="2" t="s">
        <v>75</v>
      </c>
      <c r="J8" s="2">
        <v>7.0</v>
      </c>
    </row>
    <row r="9">
      <c r="A9" s="2" t="s">
        <v>81</v>
      </c>
      <c r="B9" s="2" t="s">
        <v>82</v>
      </c>
      <c r="C9" s="2">
        <v>8.0</v>
      </c>
      <c r="E9" s="2" t="s">
        <v>85</v>
      </c>
      <c r="I9" s="2" t="s">
        <v>75</v>
      </c>
      <c r="J9" s="2">
        <v>42.0</v>
      </c>
    </row>
    <row r="10">
      <c r="A10" s="2" t="s">
        <v>87</v>
      </c>
      <c r="B10" s="9" t="str">
        <f>VLOOKUP(A10,E:E,1,0)</f>
        <v>Cachoeira do Sul</v>
      </c>
      <c r="C10" s="2">
        <v>9.0</v>
      </c>
      <c r="E10" s="2" t="s">
        <v>97</v>
      </c>
      <c r="I10" s="2" t="s">
        <v>75</v>
      </c>
      <c r="J10" s="2">
        <v>76.0</v>
      </c>
    </row>
    <row r="11">
      <c r="A11" s="2" t="s">
        <v>101</v>
      </c>
      <c r="B11" s="2" t="s">
        <v>102</v>
      </c>
      <c r="C11" s="2">
        <v>10.0</v>
      </c>
      <c r="E11" s="2" t="s">
        <v>103</v>
      </c>
      <c r="I11" s="2" t="s">
        <v>81</v>
      </c>
      <c r="J11" s="2">
        <v>8.0</v>
      </c>
    </row>
    <row r="12">
      <c r="A12" s="2" t="s">
        <v>105</v>
      </c>
      <c r="B12" s="9" t="str">
        <f t="shared" ref="B12:B18" si="3">VLOOKUP(A12,E:E,1,0)</f>
        <v>Faxinal do Soturno</v>
      </c>
      <c r="C12" s="2">
        <v>11.0</v>
      </c>
      <c r="E12" s="2" t="s">
        <v>111</v>
      </c>
      <c r="I12" s="2" t="s">
        <v>81</v>
      </c>
      <c r="J12" s="2">
        <v>43.0</v>
      </c>
    </row>
    <row r="13">
      <c r="A13" s="2" t="s">
        <v>114</v>
      </c>
      <c r="B13" s="9" t="str">
        <f t="shared" si="3"/>
        <v>Feliz</v>
      </c>
      <c r="C13" s="2">
        <v>12.0</v>
      </c>
      <c r="E13" s="2" t="s">
        <v>47</v>
      </c>
      <c r="I13" s="2" t="s">
        <v>87</v>
      </c>
      <c r="J13" s="2">
        <v>9.0</v>
      </c>
    </row>
    <row r="14">
      <c r="A14" s="2" t="s">
        <v>115</v>
      </c>
      <c r="B14" s="9" t="str">
        <f t="shared" si="3"/>
        <v>Lajeado</v>
      </c>
      <c r="C14" s="2">
        <v>13.0</v>
      </c>
      <c r="E14" s="2" t="s">
        <v>117</v>
      </c>
      <c r="I14" s="2" t="s">
        <v>87</v>
      </c>
      <c r="J14" s="2">
        <v>44.0</v>
      </c>
    </row>
    <row r="15">
      <c r="A15" s="2" t="s">
        <v>119</v>
      </c>
      <c r="B15" s="9" t="str">
        <f t="shared" si="3"/>
        <v>Pelotas</v>
      </c>
      <c r="C15" s="2">
        <v>14.0</v>
      </c>
      <c r="E15" s="2" t="s">
        <v>122</v>
      </c>
      <c r="I15" s="2" t="s">
        <v>123</v>
      </c>
      <c r="J15" s="2">
        <v>74.0</v>
      </c>
    </row>
    <row r="16">
      <c r="A16" s="2" t="s">
        <v>127</v>
      </c>
      <c r="B16" s="9" t="str">
        <f t="shared" si="3"/>
        <v>Porto Alegre</v>
      </c>
      <c r="C16" s="2">
        <v>15.0</v>
      </c>
      <c r="E16" s="2" t="s">
        <v>133</v>
      </c>
      <c r="I16" s="2" t="s">
        <v>70</v>
      </c>
      <c r="J16" s="2">
        <v>49.0</v>
      </c>
    </row>
    <row r="17">
      <c r="A17" s="2" t="s">
        <v>147</v>
      </c>
      <c r="B17" s="9" t="str">
        <f t="shared" si="3"/>
        <v>Santa Cruz do Sul</v>
      </c>
      <c r="C17" s="2">
        <v>16.0</v>
      </c>
      <c r="E17" s="2" t="s">
        <v>150</v>
      </c>
      <c r="I17" s="2" t="s">
        <v>70</v>
      </c>
      <c r="J17" s="2">
        <v>86.0</v>
      </c>
    </row>
    <row r="18">
      <c r="A18" s="2" t="s">
        <v>47</v>
      </c>
      <c r="B18" s="9" t="str">
        <f t="shared" si="3"/>
        <v>Alvorada</v>
      </c>
      <c r="C18" s="2">
        <v>17.0</v>
      </c>
      <c r="E18" s="2" t="s">
        <v>153</v>
      </c>
      <c r="I18" s="2" t="s">
        <v>154</v>
      </c>
      <c r="J18" s="2">
        <v>18.0</v>
      </c>
    </row>
    <row r="19">
      <c r="A19" s="2" t="s">
        <v>154</v>
      </c>
      <c r="B19" s="2" t="s">
        <v>159</v>
      </c>
      <c r="C19" s="2">
        <v>18.0</v>
      </c>
      <c r="E19" s="2" t="s">
        <v>163</v>
      </c>
      <c r="I19" s="2" t="s">
        <v>154</v>
      </c>
      <c r="J19" s="2">
        <v>50.0</v>
      </c>
    </row>
    <row r="20">
      <c r="A20" s="2" t="s">
        <v>165</v>
      </c>
      <c r="B20" s="9" t="str">
        <f t="shared" ref="B20:B25" si="4">VLOOKUP(A20,E:E,1,0)</f>
        <v>Esteio</v>
      </c>
      <c r="C20" s="2">
        <v>19.0</v>
      </c>
      <c r="E20" s="2" t="s">
        <v>178</v>
      </c>
      <c r="I20" s="2" t="s">
        <v>180</v>
      </c>
      <c r="J20" s="2">
        <v>87.0</v>
      </c>
    </row>
    <row r="21">
      <c r="A21" s="2" t="s">
        <v>182</v>
      </c>
      <c r="B21" s="9" t="str">
        <f t="shared" si="4"/>
        <v>Farroupilha</v>
      </c>
      <c r="C21" s="2">
        <v>20.0</v>
      </c>
      <c r="E21" s="2" t="s">
        <v>187</v>
      </c>
      <c r="I21" s="2" t="s">
        <v>112</v>
      </c>
      <c r="J21" s="2">
        <v>88.0</v>
      </c>
    </row>
    <row r="22">
      <c r="A22" s="2" t="s">
        <v>191</v>
      </c>
      <c r="B22" s="9" t="str">
        <f t="shared" si="4"/>
        <v>Igrejinha</v>
      </c>
      <c r="C22" s="2">
        <v>21.0</v>
      </c>
      <c r="E22" s="2" t="s">
        <v>192</v>
      </c>
      <c r="I22" s="2" t="s">
        <v>112</v>
      </c>
      <c r="J22" s="2">
        <v>110.0</v>
      </c>
    </row>
    <row r="23">
      <c r="A23" s="2" t="s">
        <v>198</v>
      </c>
      <c r="B23" s="9" t="str">
        <f t="shared" si="4"/>
        <v>Ivoti</v>
      </c>
      <c r="C23" s="2">
        <v>22.0</v>
      </c>
      <c r="E23" s="2" t="s">
        <v>202</v>
      </c>
      <c r="I23" s="2" t="s">
        <v>112</v>
      </c>
      <c r="J23" s="2">
        <v>121.0</v>
      </c>
    </row>
    <row r="24">
      <c r="A24" s="2" t="s">
        <v>206</v>
      </c>
      <c r="B24" s="9" t="str">
        <f t="shared" si="4"/>
        <v>Jaguari</v>
      </c>
      <c r="C24" s="2">
        <v>23.0</v>
      </c>
      <c r="E24" s="2" t="s">
        <v>209</v>
      </c>
      <c r="I24" s="2" t="s">
        <v>5</v>
      </c>
      <c r="J24" s="2">
        <v>1.0</v>
      </c>
    </row>
    <row r="25">
      <c r="A25" s="2" t="s">
        <v>210</v>
      </c>
      <c r="B25" s="9" t="str">
        <f t="shared" si="4"/>
        <v>Lindolfo Collor</v>
      </c>
      <c r="C25" s="2">
        <v>24.0</v>
      </c>
      <c r="E25" s="2" t="s">
        <v>214</v>
      </c>
      <c r="I25" s="2" t="s">
        <v>216</v>
      </c>
      <c r="J25" s="2">
        <v>83.0</v>
      </c>
    </row>
    <row r="26">
      <c r="A26" s="2" t="s">
        <v>218</v>
      </c>
      <c r="B26" s="2" t="s">
        <v>219</v>
      </c>
      <c r="C26" s="2">
        <v>25.0</v>
      </c>
      <c r="E26" s="2" t="s">
        <v>221</v>
      </c>
      <c r="I26" s="2" t="s">
        <v>58</v>
      </c>
      <c r="J26" s="2">
        <v>4.0</v>
      </c>
    </row>
    <row r="27">
      <c r="A27" s="2" t="s">
        <v>223</v>
      </c>
      <c r="B27" s="9" t="str">
        <f>VLOOKUP(A27,E:E,1,0)</f>
        <v>Passo do Sobrado</v>
      </c>
      <c r="C27" s="2">
        <v>26.0</v>
      </c>
      <c r="E27" s="2" t="s">
        <v>238</v>
      </c>
      <c r="I27" s="2" t="s">
        <v>101</v>
      </c>
      <c r="J27" s="2">
        <v>10.0</v>
      </c>
    </row>
    <row r="28">
      <c r="A28" s="2" t="s">
        <v>242</v>
      </c>
      <c r="B28" s="2" t="s">
        <v>245</v>
      </c>
      <c r="C28" s="2">
        <v>27.0</v>
      </c>
      <c r="E28" s="2" t="s">
        <v>246</v>
      </c>
      <c r="I28" s="2" t="s">
        <v>248</v>
      </c>
      <c r="J28" s="2">
        <v>101.0</v>
      </c>
    </row>
    <row r="29">
      <c r="A29" s="2" t="s">
        <v>252</v>
      </c>
      <c r="B29" s="9" t="str">
        <f>VLOOKUP(A29,E:E,1,0)</f>
        <v>Presidente Lucena</v>
      </c>
      <c r="C29" s="2">
        <v>28.0</v>
      </c>
      <c r="E29" s="2" t="s">
        <v>273</v>
      </c>
      <c r="I29" s="2" t="s">
        <v>248</v>
      </c>
      <c r="J29" s="2">
        <v>111.0</v>
      </c>
    </row>
    <row r="30">
      <c r="A30" s="2" t="s">
        <v>277</v>
      </c>
      <c r="B30" s="2" t="s">
        <v>281</v>
      </c>
      <c r="C30" s="2">
        <v>29.0</v>
      </c>
      <c r="E30" s="2" t="s">
        <v>284</v>
      </c>
      <c r="I30" s="2" t="s">
        <v>286</v>
      </c>
      <c r="J30" s="2">
        <v>65.0</v>
      </c>
    </row>
    <row r="31">
      <c r="A31" s="2" t="s">
        <v>289</v>
      </c>
      <c r="B31" s="9" t="str">
        <f>VLOOKUP(A31,E:E,1,0)</f>
        <v>Segredo</v>
      </c>
      <c r="C31" s="2">
        <v>30.0</v>
      </c>
      <c r="E31" s="2" t="s">
        <v>116</v>
      </c>
      <c r="I31" s="2" t="s">
        <v>286</v>
      </c>
      <c r="J31" s="2">
        <v>96.0</v>
      </c>
    </row>
    <row r="32">
      <c r="A32" s="2" t="s">
        <v>297</v>
      </c>
      <c r="B32" s="2" t="s">
        <v>298</v>
      </c>
      <c r="C32" s="2">
        <v>31.0</v>
      </c>
      <c r="E32" s="2" t="s">
        <v>300</v>
      </c>
      <c r="I32" s="2" t="s">
        <v>141</v>
      </c>
      <c r="J32" s="2">
        <v>55.0</v>
      </c>
    </row>
    <row r="33">
      <c r="A33" s="2" t="s">
        <v>307</v>
      </c>
      <c r="B33" s="2" t="s">
        <v>310</v>
      </c>
      <c r="C33" s="2">
        <v>32.0</v>
      </c>
      <c r="E33" s="2" t="s">
        <v>311</v>
      </c>
      <c r="I33" s="2" t="s">
        <v>141</v>
      </c>
      <c r="J33" s="2">
        <v>70.0</v>
      </c>
    </row>
    <row r="34">
      <c r="A34" s="2" t="s">
        <v>316</v>
      </c>
      <c r="B34" s="9" t="str">
        <f t="shared" ref="B34:B36" si="5">VLOOKUP(A34,E:E,1,0)</f>
        <v>Putinga</v>
      </c>
      <c r="C34" s="2">
        <v>33.0</v>
      </c>
      <c r="E34" s="2" t="s">
        <v>175</v>
      </c>
      <c r="I34" s="2" t="s">
        <v>307</v>
      </c>
      <c r="J34" s="2">
        <v>32.0</v>
      </c>
    </row>
    <row r="35">
      <c r="A35" s="2" t="s">
        <v>333</v>
      </c>
      <c r="B35" s="9" t="str">
        <f t="shared" si="5"/>
        <v>Sapiranga</v>
      </c>
      <c r="C35" s="2">
        <v>34.0</v>
      </c>
      <c r="E35" s="2" t="s">
        <v>335</v>
      </c>
      <c r="I35" s="2" t="s">
        <v>165</v>
      </c>
      <c r="J35" s="2">
        <v>19.0</v>
      </c>
    </row>
    <row r="36">
      <c r="A36" s="2" t="s">
        <v>338</v>
      </c>
      <c r="B36" s="9" t="str">
        <f t="shared" si="5"/>
        <v>Montenegro</v>
      </c>
      <c r="C36" s="2">
        <v>35.0</v>
      </c>
      <c r="E36" s="2" t="s">
        <v>344</v>
      </c>
      <c r="I36" s="2" t="s">
        <v>165</v>
      </c>
      <c r="J36" s="2">
        <v>51.0</v>
      </c>
    </row>
    <row r="37">
      <c r="A37" s="2" t="s">
        <v>347</v>
      </c>
      <c r="B37" s="2" t="s">
        <v>349</v>
      </c>
      <c r="C37" s="2">
        <v>36.0</v>
      </c>
      <c r="E37" s="2" t="s">
        <v>352</v>
      </c>
      <c r="I37" s="2" t="s">
        <v>182</v>
      </c>
      <c r="J37" s="2">
        <v>20.0</v>
      </c>
    </row>
    <row r="38">
      <c r="A38" s="2" t="s">
        <v>355</v>
      </c>
      <c r="B38" s="9" t="str">
        <f>VLOOKUP(A38,E:E,1,0)</f>
        <v>Santa Maria</v>
      </c>
      <c r="C38" s="2">
        <v>37.0</v>
      </c>
      <c r="E38" s="2" t="s">
        <v>374</v>
      </c>
      <c r="I38" s="2" t="s">
        <v>182</v>
      </c>
      <c r="J38" s="2">
        <v>52.0</v>
      </c>
    </row>
    <row r="39">
      <c r="A39" s="2" t="s">
        <v>376</v>
      </c>
      <c r="B39" s="2" t="s">
        <v>377</v>
      </c>
      <c r="C39" s="2">
        <v>38.0</v>
      </c>
      <c r="E39" s="2" t="s">
        <v>379</v>
      </c>
      <c r="I39" s="2" t="s">
        <v>105</v>
      </c>
      <c r="J39" s="2">
        <v>11.0</v>
      </c>
    </row>
    <row r="40">
      <c r="A40" s="2" t="s">
        <v>52</v>
      </c>
      <c r="B40" s="2" t="s">
        <v>53</v>
      </c>
      <c r="C40" s="2">
        <v>39.0</v>
      </c>
      <c r="E40" s="2" t="s">
        <v>386</v>
      </c>
      <c r="I40" s="2" t="s">
        <v>114</v>
      </c>
      <c r="J40" s="2">
        <v>12.0</v>
      </c>
    </row>
    <row r="41">
      <c r="A41" s="2" t="s">
        <v>48</v>
      </c>
      <c r="B41" s="9" t="str">
        <f t="shared" ref="B41:B42" si="6">VLOOKUP(A41,E:E,1,0)</f>
        <v>Gramado</v>
      </c>
      <c r="C41" s="2">
        <v>40.0</v>
      </c>
      <c r="E41" s="2" t="s">
        <v>399</v>
      </c>
      <c r="I41" s="2" t="s">
        <v>166</v>
      </c>
      <c r="J41" s="2">
        <v>102.0</v>
      </c>
    </row>
    <row r="42">
      <c r="A42" s="2" t="s">
        <v>404</v>
      </c>
      <c r="B42" s="9" t="str">
        <f t="shared" si="6"/>
        <v>Forquetinha</v>
      </c>
      <c r="C42" s="2">
        <v>41.0</v>
      </c>
      <c r="E42" s="2" t="s">
        <v>410</v>
      </c>
      <c r="I42" s="2" t="s">
        <v>166</v>
      </c>
      <c r="J42" s="2">
        <v>112.0</v>
      </c>
    </row>
    <row r="43">
      <c r="A43" s="2" t="s">
        <v>75</v>
      </c>
      <c r="B43" s="2" t="s">
        <v>76</v>
      </c>
      <c r="C43" s="2">
        <v>42.0</v>
      </c>
      <c r="E43" s="2" t="s">
        <v>416</v>
      </c>
      <c r="I43" s="2" t="s">
        <v>404</v>
      </c>
      <c r="J43" s="2">
        <v>41.0</v>
      </c>
    </row>
    <row r="44">
      <c r="A44" s="2" t="s">
        <v>81</v>
      </c>
      <c r="B44" s="2" t="s">
        <v>82</v>
      </c>
      <c r="C44" s="2">
        <v>43.0</v>
      </c>
      <c r="E44" s="2" t="s">
        <v>76</v>
      </c>
      <c r="I44" s="2" t="s">
        <v>422</v>
      </c>
      <c r="J44" s="2">
        <v>71.0</v>
      </c>
    </row>
    <row r="45">
      <c r="A45" s="2" t="s">
        <v>87</v>
      </c>
      <c r="B45" s="9" t="str">
        <f t="shared" ref="B45:B48" si="7">VLOOKUP(A45,E:E,1,0)</f>
        <v>Cachoeira do Sul</v>
      </c>
      <c r="C45" s="2">
        <v>44.0</v>
      </c>
      <c r="E45" s="2" t="s">
        <v>426</v>
      </c>
      <c r="I45" s="2" t="s">
        <v>48</v>
      </c>
      <c r="J45" s="2">
        <v>5.0</v>
      </c>
    </row>
    <row r="46">
      <c r="A46" s="2" t="s">
        <v>239</v>
      </c>
      <c r="B46" s="9" t="str">
        <f t="shared" si="7"/>
        <v>Novo Hamburgo</v>
      </c>
      <c r="C46" s="2">
        <v>45.0</v>
      </c>
      <c r="E46" s="2" t="s">
        <v>428</v>
      </c>
      <c r="I46" s="2" t="s">
        <v>48</v>
      </c>
      <c r="J46" s="2">
        <v>40.0</v>
      </c>
    </row>
    <row r="47">
      <c r="A47" s="2" t="s">
        <v>147</v>
      </c>
      <c r="B47" s="9" t="str">
        <f t="shared" si="7"/>
        <v>Santa Cruz do Sul</v>
      </c>
      <c r="C47" s="2">
        <v>46.0</v>
      </c>
      <c r="E47" s="2" t="s">
        <v>430</v>
      </c>
      <c r="I47" s="2" t="s">
        <v>48</v>
      </c>
      <c r="J47" s="2">
        <v>97.0</v>
      </c>
    </row>
    <row r="48">
      <c r="A48" s="2" t="s">
        <v>431</v>
      </c>
      <c r="B48" s="9" t="str">
        <f t="shared" si="7"/>
        <v>Sapucaia do Sul</v>
      </c>
      <c r="C48" s="2">
        <v>47.0</v>
      </c>
      <c r="E48" s="2" t="s">
        <v>432</v>
      </c>
      <c r="I48" s="2" t="s">
        <v>48</v>
      </c>
      <c r="J48" s="2">
        <v>100.0</v>
      </c>
    </row>
    <row r="49">
      <c r="A49" s="2" t="s">
        <v>433</v>
      </c>
      <c r="B49" s="2" t="s">
        <v>435</v>
      </c>
      <c r="C49" s="2">
        <v>48.0</v>
      </c>
      <c r="E49" s="2" t="s">
        <v>436</v>
      </c>
      <c r="I49" s="2" t="s">
        <v>437</v>
      </c>
      <c r="J49" s="2">
        <v>53.0</v>
      </c>
    </row>
    <row r="50">
      <c r="A50" s="2" t="s">
        <v>70</v>
      </c>
      <c r="B50" s="9" t="str">
        <f>VLOOKUP(A50,E:E,1,0)</f>
        <v>Campo Bom</v>
      </c>
      <c r="C50" s="2">
        <v>49.0</v>
      </c>
      <c r="E50" s="2" t="s">
        <v>440</v>
      </c>
      <c r="I50" s="2" t="s">
        <v>437</v>
      </c>
      <c r="J50" s="2">
        <v>89.0</v>
      </c>
    </row>
    <row r="51">
      <c r="A51" s="2" t="s">
        <v>154</v>
      </c>
      <c r="B51" s="2" t="s">
        <v>159</v>
      </c>
      <c r="C51" s="2">
        <v>50.0</v>
      </c>
      <c r="E51" s="2" t="s">
        <v>82</v>
      </c>
      <c r="I51" s="2" t="s">
        <v>442</v>
      </c>
      <c r="J51" s="2">
        <v>72.0</v>
      </c>
    </row>
    <row r="52">
      <c r="A52" s="2" t="s">
        <v>165</v>
      </c>
      <c r="B52" s="9" t="str">
        <f t="shared" ref="B52:B53" si="8">VLOOKUP(A52,E:E,1,0)</f>
        <v>Esteio</v>
      </c>
      <c r="C52" s="2">
        <v>51.0</v>
      </c>
      <c r="E52" s="2" t="s">
        <v>446</v>
      </c>
      <c r="I52" s="2" t="s">
        <v>447</v>
      </c>
      <c r="J52" s="2">
        <v>66.0</v>
      </c>
    </row>
    <row r="53">
      <c r="A53" s="2" t="s">
        <v>182</v>
      </c>
      <c r="B53" s="9" t="str">
        <f t="shared" si="8"/>
        <v>Farroupilha</v>
      </c>
      <c r="C53" s="2">
        <v>52.0</v>
      </c>
      <c r="E53" s="2" t="s">
        <v>448</v>
      </c>
      <c r="I53" s="2" t="s">
        <v>191</v>
      </c>
      <c r="J53" s="2">
        <v>21.0</v>
      </c>
    </row>
    <row r="54">
      <c r="A54" s="2" t="s">
        <v>437</v>
      </c>
      <c r="B54" s="2" t="s">
        <v>449</v>
      </c>
      <c r="C54" s="2">
        <v>53.0</v>
      </c>
      <c r="E54" s="2" t="s">
        <v>450</v>
      </c>
      <c r="I54" s="2" t="s">
        <v>191</v>
      </c>
      <c r="J54" s="2">
        <v>67.0</v>
      </c>
    </row>
    <row r="55">
      <c r="A55" s="2" t="s">
        <v>451</v>
      </c>
      <c r="B55" s="2" t="s">
        <v>452</v>
      </c>
      <c r="C55" s="2">
        <v>54.0</v>
      </c>
      <c r="E55" s="2" t="s">
        <v>453</v>
      </c>
      <c r="I55" s="2" t="s">
        <v>191</v>
      </c>
      <c r="J55" s="2">
        <v>98.0</v>
      </c>
    </row>
    <row r="56">
      <c r="A56" s="2" t="s">
        <v>141</v>
      </c>
      <c r="B56" s="9" t="str">
        <f t="shared" ref="B56:B57" si="9">VLOOKUP(A56,E:E,1,0)</f>
        <v>Encantado</v>
      </c>
      <c r="C56" s="2">
        <v>55.0</v>
      </c>
      <c r="E56" s="2" t="s">
        <v>457</v>
      </c>
      <c r="I56" s="2" t="s">
        <v>458</v>
      </c>
      <c r="J56" s="2">
        <v>59.0</v>
      </c>
    </row>
    <row r="57">
      <c r="A57" s="2" t="s">
        <v>459</v>
      </c>
      <c r="B57" s="9" t="str">
        <f t="shared" si="9"/>
        <v>Marques de Souza</v>
      </c>
      <c r="C57" s="2">
        <v>56.0</v>
      </c>
      <c r="E57" s="2" t="s">
        <v>460</v>
      </c>
      <c r="I57" s="2" t="s">
        <v>458</v>
      </c>
      <c r="J57" s="2">
        <v>103.0</v>
      </c>
    </row>
    <row r="58">
      <c r="A58" s="2" t="s">
        <v>461</v>
      </c>
      <c r="B58" s="2" t="s">
        <v>462</v>
      </c>
      <c r="C58" s="2">
        <v>57.0</v>
      </c>
      <c r="E58" s="2" t="s">
        <v>463</v>
      </c>
      <c r="I58" s="2" t="s">
        <v>458</v>
      </c>
      <c r="J58" s="2">
        <v>113.0</v>
      </c>
    </row>
    <row r="59">
      <c r="A59" s="2" t="s">
        <v>355</v>
      </c>
      <c r="B59" s="9" t="str">
        <f t="shared" ref="B59:B60" si="10">VLOOKUP(A59,E:E,1,0)</f>
        <v>Santa Maria</v>
      </c>
      <c r="C59" s="2">
        <v>58.0</v>
      </c>
      <c r="E59" s="2" t="s">
        <v>466</v>
      </c>
      <c r="I59" s="2" t="s">
        <v>198</v>
      </c>
      <c r="J59" s="2">
        <v>22.0</v>
      </c>
    </row>
    <row r="60">
      <c r="A60" s="2" t="s">
        <v>458</v>
      </c>
      <c r="B60" s="9" t="str">
        <f t="shared" si="10"/>
        <v>Imigrante</v>
      </c>
      <c r="C60" s="2">
        <v>59.0</v>
      </c>
      <c r="E60" s="2" t="s">
        <v>468</v>
      </c>
      <c r="I60" s="2" t="s">
        <v>206</v>
      </c>
      <c r="J60" s="2">
        <v>23.0</v>
      </c>
    </row>
    <row r="61">
      <c r="A61" s="2" t="s">
        <v>52</v>
      </c>
      <c r="B61" s="2" t="s">
        <v>53</v>
      </c>
      <c r="C61" s="2">
        <v>60.0</v>
      </c>
      <c r="E61" s="2" t="s">
        <v>469</v>
      </c>
      <c r="I61" s="2" t="s">
        <v>470</v>
      </c>
      <c r="J61" s="2">
        <v>104.0</v>
      </c>
    </row>
    <row r="62">
      <c r="A62" s="2" t="s">
        <v>471</v>
      </c>
      <c r="B62" s="2" t="s">
        <v>472</v>
      </c>
      <c r="C62" s="2">
        <v>61.0</v>
      </c>
      <c r="E62" s="2" t="s">
        <v>473</v>
      </c>
      <c r="I62" s="2" t="s">
        <v>470</v>
      </c>
      <c r="J62" s="2">
        <v>114.0</v>
      </c>
    </row>
    <row r="63">
      <c r="A63" s="2" t="s">
        <v>73</v>
      </c>
      <c r="B63" s="9" t="str">
        <f t="shared" ref="B63:B64" si="11">VLOOKUP(A63,E:E,1,0)</f>
        <v>Arroio do Tigre</v>
      </c>
      <c r="C63" s="2">
        <v>62.0</v>
      </c>
      <c r="E63" s="2" t="s">
        <v>123</v>
      </c>
      <c r="I63" s="2" t="s">
        <v>115</v>
      </c>
      <c r="J63" s="2">
        <v>13.0</v>
      </c>
    </row>
    <row r="64">
      <c r="A64" s="2" t="s">
        <v>239</v>
      </c>
      <c r="B64" s="9" t="str">
        <f t="shared" si="11"/>
        <v>Novo Hamburgo</v>
      </c>
      <c r="C64" s="2">
        <v>63.0</v>
      </c>
      <c r="E64" s="2" t="s">
        <v>475</v>
      </c>
      <c r="I64" s="2" t="s">
        <v>210</v>
      </c>
      <c r="J64" s="2">
        <v>24.0</v>
      </c>
    </row>
    <row r="65">
      <c r="A65" s="2" t="s">
        <v>478</v>
      </c>
      <c r="B65" s="2" t="s">
        <v>479</v>
      </c>
      <c r="C65" s="2">
        <v>64.0</v>
      </c>
      <c r="E65" s="2" t="s">
        <v>480</v>
      </c>
      <c r="I65" s="2" t="s">
        <v>481</v>
      </c>
      <c r="J65" s="2">
        <v>105.0</v>
      </c>
    </row>
    <row r="66">
      <c r="A66" s="2" t="s">
        <v>286</v>
      </c>
      <c r="B66" s="9" t="str">
        <f t="shared" ref="B66:B71" si="12">VLOOKUP(A66,E:E,1,0)</f>
        <v>Eldorado do Sul</v>
      </c>
      <c r="C66" s="2">
        <v>65.0</v>
      </c>
      <c r="E66" s="2" t="s">
        <v>483</v>
      </c>
      <c r="I66" s="2" t="s">
        <v>481</v>
      </c>
      <c r="J66" s="2">
        <v>115.0</v>
      </c>
    </row>
    <row r="67">
      <c r="A67" s="2" t="s">
        <v>447</v>
      </c>
      <c r="B67" s="9" t="str">
        <f t="shared" si="12"/>
        <v>Ibarama</v>
      </c>
      <c r="C67" s="2">
        <v>66.0</v>
      </c>
      <c r="E67" s="2" t="s">
        <v>487</v>
      </c>
      <c r="I67" s="2" t="s">
        <v>459</v>
      </c>
      <c r="J67" s="2">
        <v>56.0</v>
      </c>
    </row>
    <row r="68">
      <c r="A68" s="2" t="s">
        <v>191</v>
      </c>
      <c r="B68" s="9" t="str">
        <f t="shared" si="12"/>
        <v>Igrejinha</v>
      </c>
      <c r="C68" s="2">
        <v>67.0</v>
      </c>
      <c r="E68" s="2" t="s">
        <v>489</v>
      </c>
      <c r="I68" s="2" t="s">
        <v>338</v>
      </c>
      <c r="J68" s="2">
        <v>35.0</v>
      </c>
    </row>
    <row r="69">
      <c r="A69" s="2" t="s">
        <v>492</v>
      </c>
      <c r="B69" s="9" t="str">
        <f t="shared" si="12"/>
        <v>Pareci Novo</v>
      </c>
      <c r="C69" s="2">
        <v>68.0</v>
      </c>
      <c r="E69" s="2" t="s">
        <v>494</v>
      </c>
      <c r="I69" s="2" t="s">
        <v>496</v>
      </c>
      <c r="J69" s="2">
        <v>106.0</v>
      </c>
    </row>
    <row r="70">
      <c r="A70" s="2" t="s">
        <v>497</v>
      </c>
      <c r="B70" s="9" t="str">
        <f t="shared" si="12"/>
        <v>Silveira Martins</v>
      </c>
      <c r="C70" s="2">
        <v>69.0</v>
      </c>
      <c r="E70" s="2" t="s">
        <v>498</v>
      </c>
      <c r="I70" s="2" t="s">
        <v>496</v>
      </c>
      <c r="J70" s="2">
        <v>116.0</v>
      </c>
    </row>
    <row r="71">
      <c r="A71" s="2" t="s">
        <v>141</v>
      </c>
      <c r="B71" s="9" t="str">
        <f t="shared" si="12"/>
        <v>Encantado</v>
      </c>
      <c r="C71" s="2">
        <v>70.0</v>
      </c>
      <c r="E71" s="2" t="s">
        <v>499</v>
      </c>
      <c r="I71" s="2" t="s">
        <v>500</v>
      </c>
      <c r="J71" s="2">
        <v>117.0</v>
      </c>
    </row>
    <row r="72">
      <c r="A72" s="2" t="s">
        <v>422</v>
      </c>
      <c r="B72" s="2" t="s">
        <v>502</v>
      </c>
      <c r="C72" s="2">
        <v>71.0</v>
      </c>
      <c r="E72" s="2" t="s">
        <v>504</v>
      </c>
      <c r="I72" s="2" t="s">
        <v>500</v>
      </c>
      <c r="J72" s="2">
        <v>122.0</v>
      </c>
    </row>
    <row r="73">
      <c r="A73" s="2" t="s">
        <v>442</v>
      </c>
      <c r="B73" s="2" t="s">
        <v>505</v>
      </c>
      <c r="C73" s="2">
        <v>72.0</v>
      </c>
      <c r="E73" s="2" t="s">
        <v>70</v>
      </c>
      <c r="I73" s="2" t="s">
        <v>49</v>
      </c>
      <c r="J73" s="2">
        <v>2.0</v>
      </c>
    </row>
    <row r="74">
      <c r="A74" s="2" t="s">
        <v>355</v>
      </c>
      <c r="B74" s="9" t="str">
        <f t="shared" ref="B74:B76" si="13">VLOOKUP(A74,E:E,1,0)</f>
        <v>Santa Maria</v>
      </c>
      <c r="C74" s="2">
        <v>73.0</v>
      </c>
      <c r="E74" s="2" t="s">
        <v>507</v>
      </c>
      <c r="I74" s="2" t="s">
        <v>218</v>
      </c>
      <c r="J74" s="2">
        <v>25.0</v>
      </c>
    </row>
    <row r="75">
      <c r="A75" s="2" t="s">
        <v>123</v>
      </c>
      <c r="B75" s="9" t="str">
        <f t="shared" si="13"/>
        <v>Cachoeirinha</v>
      </c>
      <c r="C75" s="2">
        <v>74.0</v>
      </c>
      <c r="E75" s="2" t="s">
        <v>429</v>
      </c>
      <c r="I75" s="2" t="s">
        <v>508</v>
      </c>
      <c r="J75" s="2">
        <v>93.0</v>
      </c>
    </row>
    <row r="76">
      <c r="A76" s="2" t="s">
        <v>510</v>
      </c>
      <c r="B76" s="9" t="str">
        <f t="shared" si="13"/>
        <v>Triunfo</v>
      </c>
      <c r="C76" s="2">
        <v>75.0</v>
      </c>
      <c r="E76" s="2" t="s">
        <v>159</v>
      </c>
      <c r="I76" s="2" t="s">
        <v>239</v>
      </c>
      <c r="J76" s="2">
        <v>45.0</v>
      </c>
    </row>
    <row r="77">
      <c r="A77" s="2" t="s">
        <v>75</v>
      </c>
      <c r="B77" s="2" t="s">
        <v>76</v>
      </c>
      <c r="C77" s="2">
        <v>76.0</v>
      </c>
      <c r="E77" s="2" t="s">
        <v>512</v>
      </c>
      <c r="I77" s="2" t="s">
        <v>239</v>
      </c>
      <c r="J77" s="2">
        <v>63.0</v>
      </c>
    </row>
    <row r="78">
      <c r="A78" s="2" t="s">
        <v>239</v>
      </c>
      <c r="B78" s="9" t="str">
        <f t="shared" ref="B78:B80" si="14">VLOOKUP(A78,E:E,1,0)</f>
        <v>Novo Hamburgo</v>
      </c>
      <c r="C78" s="2">
        <v>77.0</v>
      </c>
      <c r="E78" s="2" t="s">
        <v>514</v>
      </c>
      <c r="I78" s="2" t="s">
        <v>239</v>
      </c>
      <c r="J78" s="2">
        <v>77.0</v>
      </c>
    </row>
    <row r="79">
      <c r="A79" s="2" t="s">
        <v>127</v>
      </c>
      <c r="B79" s="9" t="str">
        <f t="shared" si="14"/>
        <v>Porto Alegre</v>
      </c>
      <c r="C79" s="2">
        <v>78.0</v>
      </c>
      <c r="E79" s="2" t="s">
        <v>515</v>
      </c>
      <c r="I79" s="2" t="s">
        <v>492</v>
      </c>
      <c r="J79" s="2">
        <v>68.0</v>
      </c>
    </row>
    <row r="80">
      <c r="A80" s="2" t="s">
        <v>147</v>
      </c>
      <c r="B80" s="9" t="str">
        <f t="shared" si="14"/>
        <v>Santa Cruz do Sul</v>
      </c>
      <c r="C80" s="2">
        <v>79.0</v>
      </c>
      <c r="E80" s="2" t="s">
        <v>516</v>
      </c>
      <c r="I80" s="2" t="s">
        <v>461</v>
      </c>
      <c r="J80" s="2">
        <v>57.0</v>
      </c>
    </row>
    <row r="81">
      <c r="A81" s="2" t="s">
        <v>517</v>
      </c>
      <c r="B81" s="2" t="s">
        <v>518</v>
      </c>
      <c r="C81" s="2">
        <v>80.0</v>
      </c>
      <c r="E81" s="2" t="s">
        <v>180</v>
      </c>
      <c r="I81" s="2" t="s">
        <v>223</v>
      </c>
      <c r="J81" s="2">
        <v>26.0</v>
      </c>
    </row>
    <row r="82">
      <c r="A82" s="2" t="s">
        <v>519</v>
      </c>
      <c r="B82" s="2" t="s">
        <v>520</v>
      </c>
      <c r="C82" s="2">
        <v>81.0</v>
      </c>
      <c r="E82" s="2" t="s">
        <v>522</v>
      </c>
      <c r="I82" s="2" t="s">
        <v>119</v>
      </c>
      <c r="J82" s="2">
        <v>14.0</v>
      </c>
    </row>
    <row r="83">
      <c r="A83" s="2" t="s">
        <v>400</v>
      </c>
      <c r="B83" s="9" t="str">
        <f t="shared" ref="B83:B85" si="15">VLOOKUP(A83,E:E,1,0)</f>
        <v>Taquara</v>
      </c>
      <c r="C83" s="2">
        <v>82.0</v>
      </c>
      <c r="E83" s="2" t="s">
        <v>525</v>
      </c>
      <c r="I83" s="2" t="s">
        <v>242</v>
      </c>
      <c r="J83" s="2">
        <v>27.0</v>
      </c>
    </row>
    <row r="84">
      <c r="A84" s="2" t="s">
        <v>216</v>
      </c>
      <c r="B84" s="9" t="str">
        <f t="shared" si="15"/>
        <v>Charqueadas</v>
      </c>
      <c r="C84" s="2">
        <v>83.0</v>
      </c>
      <c r="E84" s="2" t="s">
        <v>526</v>
      </c>
      <c r="I84" s="2" t="s">
        <v>127</v>
      </c>
      <c r="J84" s="2">
        <v>15.0</v>
      </c>
    </row>
    <row r="85">
      <c r="A85" s="2" t="s">
        <v>47</v>
      </c>
      <c r="B85" s="9" t="str">
        <f t="shared" si="15"/>
        <v>Alvorada</v>
      </c>
      <c r="C85" s="2">
        <v>84.0</v>
      </c>
      <c r="E85" s="2" t="s">
        <v>529</v>
      </c>
      <c r="I85" s="2" t="s">
        <v>127</v>
      </c>
      <c r="J85" s="2">
        <v>78.0</v>
      </c>
    </row>
    <row r="86">
      <c r="A86" s="2" t="s">
        <v>56</v>
      </c>
      <c r="B86" s="2" t="s">
        <v>163</v>
      </c>
      <c r="C86" s="2">
        <v>85.0</v>
      </c>
      <c r="E86" s="2" t="s">
        <v>530</v>
      </c>
      <c r="I86" s="2" t="s">
        <v>252</v>
      </c>
      <c r="J86" s="2">
        <v>28.0</v>
      </c>
    </row>
    <row r="87">
      <c r="A87" s="2" t="s">
        <v>70</v>
      </c>
      <c r="B87" s="9" t="str">
        <f t="shared" ref="B87:B89" si="16">VLOOKUP(A87,E:E,1,0)</f>
        <v>Campo Bom</v>
      </c>
      <c r="C87" s="2">
        <v>86.0</v>
      </c>
      <c r="E87" s="2" t="s">
        <v>533</v>
      </c>
      <c r="I87" s="2" t="s">
        <v>316</v>
      </c>
      <c r="J87" s="2">
        <v>33.0</v>
      </c>
    </row>
    <row r="88">
      <c r="A88" s="2" t="s">
        <v>180</v>
      </c>
      <c r="B88" s="9" t="str">
        <f t="shared" si="16"/>
        <v>Canoas</v>
      </c>
      <c r="C88" s="2">
        <v>87.0</v>
      </c>
      <c r="E88" s="2" t="s">
        <v>534</v>
      </c>
      <c r="I88" s="2" t="s">
        <v>535</v>
      </c>
      <c r="J88" s="2">
        <v>107.0</v>
      </c>
    </row>
    <row r="89">
      <c r="A89" s="2" t="s">
        <v>112</v>
      </c>
      <c r="B89" s="9" t="str">
        <f t="shared" si="16"/>
        <v>Caxias do Sul</v>
      </c>
      <c r="C89" s="2">
        <v>88.0</v>
      </c>
      <c r="E89" s="2" t="s">
        <v>537</v>
      </c>
      <c r="I89" s="2" t="s">
        <v>535</v>
      </c>
      <c r="J89" s="2">
        <v>118.0</v>
      </c>
    </row>
    <row r="90">
      <c r="A90" s="2" t="s">
        <v>437</v>
      </c>
      <c r="B90" s="2" t="s">
        <v>449</v>
      </c>
      <c r="C90" s="2">
        <v>89.0</v>
      </c>
      <c r="E90" s="2" t="s">
        <v>538</v>
      </c>
      <c r="I90" s="2" t="s">
        <v>451</v>
      </c>
      <c r="J90" s="2">
        <v>54.0</v>
      </c>
    </row>
    <row r="91">
      <c r="A91" s="2" t="s">
        <v>96</v>
      </c>
      <c r="B91" s="9" t="str">
        <f t="shared" ref="B91:B94" si="17">VLOOKUP(A91,E:E,1,0)</f>
        <v>Rio Grande</v>
      </c>
      <c r="C91" s="2">
        <v>90.0</v>
      </c>
      <c r="E91" s="2" t="s">
        <v>541</v>
      </c>
      <c r="I91" s="2" t="s">
        <v>96</v>
      </c>
      <c r="J91" s="2">
        <v>90.0</v>
      </c>
    </row>
    <row r="92">
      <c r="A92" s="2" t="s">
        <v>543</v>
      </c>
      <c r="B92" s="9" t="str">
        <f t="shared" si="17"/>
        <v>Rio Pardo</v>
      </c>
      <c r="C92" s="2">
        <v>91.0</v>
      </c>
      <c r="E92" s="2" t="s">
        <v>544</v>
      </c>
      <c r="I92" s="2" t="s">
        <v>543</v>
      </c>
      <c r="J92" s="2">
        <v>91.0</v>
      </c>
    </row>
    <row r="93">
      <c r="A93" s="2" t="s">
        <v>545</v>
      </c>
      <c r="B93" s="9" t="str">
        <f t="shared" si="17"/>
        <v>Roca Sales</v>
      </c>
      <c r="C93" s="2">
        <v>92.0</v>
      </c>
      <c r="E93" s="2" t="s">
        <v>546</v>
      </c>
      <c r="I93" s="2" t="s">
        <v>545</v>
      </c>
      <c r="J93" s="2">
        <v>92.0</v>
      </c>
    </row>
    <row r="94">
      <c r="A94" s="2" t="s">
        <v>508</v>
      </c>
      <c r="B94" s="9" t="str">
        <f t="shared" si="17"/>
        <v>Nova Santa Rita</v>
      </c>
      <c r="C94" s="2">
        <v>93.0</v>
      </c>
      <c r="E94" s="2" t="s">
        <v>549</v>
      </c>
      <c r="I94" s="2" t="s">
        <v>147</v>
      </c>
      <c r="J94" s="2">
        <v>16.0</v>
      </c>
    </row>
    <row r="95">
      <c r="A95" s="2" t="s">
        <v>550</v>
      </c>
      <c r="B95" s="2" t="s">
        <v>551</v>
      </c>
      <c r="C95" s="2">
        <v>94.0</v>
      </c>
      <c r="E95" s="2" t="s">
        <v>552</v>
      </c>
      <c r="I95" s="2" t="s">
        <v>147</v>
      </c>
      <c r="J95" s="2">
        <v>46.0</v>
      </c>
    </row>
    <row r="96">
      <c r="A96" s="2" t="s">
        <v>66</v>
      </c>
      <c r="B96" s="9" t="str">
        <f t="shared" ref="B96:B105" si="18">VLOOKUP(A96,E:E,1,0)</f>
        <v>Arroio do Meio</v>
      </c>
      <c r="C96" s="2">
        <v>95.0</v>
      </c>
      <c r="E96" s="2" t="s">
        <v>554</v>
      </c>
      <c r="I96" s="2" t="s">
        <v>147</v>
      </c>
      <c r="J96" s="2">
        <v>79.0</v>
      </c>
    </row>
    <row r="97">
      <c r="A97" s="2" t="s">
        <v>286</v>
      </c>
      <c r="B97" s="9" t="str">
        <f t="shared" si="18"/>
        <v>Eldorado do Sul</v>
      </c>
      <c r="C97" s="2">
        <v>96.0</v>
      </c>
      <c r="E97" s="2" t="s">
        <v>559</v>
      </c>
      <c r="I97" s="2" t="s">
        <v>355</v>
      </c>
      <c r="J97" s="2">
        <v>37.0</v>
      </c>
    </row>
    <row r="98">
      <c r="A98" s="2" t="s">
        <v>48</v>
      </c>
      <c r="B98" s="9" t="str">
        <f t="shared" si="18"/>
        <v>Gramado</v>
      </c>
      <c r="C98" s="2">
        <v>97.0</v>
      </c>
      <c r="E98" s="2" t="s">
        <v>562</v>
      </c>
      <c r="I98" s="2" t="s">
        <v>355</v>
      </c>
      <c r="J98" s="2">
        <v>58.0</v>
      </c>
    </row>
    <row r="99">
      <c r="A99" s="2" t="s">
        <v>191</v>
      </c>
      <c r="B99" s="9" t="str">
        <f t="shared" si="18"/>
        <v>Igrejinha</v>
      </c>
      <c r="C99" s="2">
        <v>98.0</v>
      </c>
      <c r="E99" s="2" t="s">
        <v>564</v>
      </c>
      <c r="I99" s="2" t="s">
        <v>355</v>
      </c>
      <c r="J99" s="2">
        <v>73.0</v>
      </c>
    </row>
    <row r="100">
      <c r="A100" s="2" t="s">
        <v>66</v>
      </c>
      <c r="B100" s="9" t="str">
        <f t="shared" si="18"/>
        <v>Arroio do Meio</v>
      </c>
      <c r="C100" s="2">
        <v>99.0</v>
      </c>
      <c r="E100" s="2" t="s">
        <v>5</v>
      </c>
      <c r="I100" s="2" t="s">
        <v>277</v>
      </c>
      <c r="J100" s="2">
        <v>29.0</v>
      </c>
    </row>
    <row r="101">
      <c r="A101" s="2" t="s">
        <v>48</v>
      </c>
      <c r="B101" s="9" t="str">
        <f t="shared" si="18"/>
        <v>Gramado</v>
      </c>
      <c r="C101" s="2">
        <v>100.0</v>
      </c>
      <c r="E101" s="2" t="s">
        <v>568</v>
      </c>
      <c r="I101" s="2" t="s">
        <v>517</v>
      </c>
      <c r="J101" s="2">
        <v>80.0</v>
      </c>
    </row>
    <row r="102">
      <c r="A102" s="2" t="s">
        <v>248</v>
      </c>
      <c r="B102" s="9" t="str">
        <f t="shared" si="18"/>
        <v>Dois Lajeados</v>
      </c>
      <c r="C102" s="2">
        <v>101.0</v>
      </c>
      <c r="E102" s="2" t="s">
        <v>569</v>
      </c>
      <c r="I102" s="2" t="s">
        <v>519</v>
      </c>
      <c r="J102" s="2">
        <v>81.0</v>
      </c>
    </row>
    <row r="103">
      <c r="A103" s="2" t="s">
        <v>166</v>
      </c>
      <c r="B103" s="9" t="str">
        <f t="shared" si="18"/>
        <v>Flores da Cunha</v>
      </c>
      <c r="C103" s="2">
        <v>102.0</v>
      </c>
      <c r="E103" s="2" t="s">
        <v>572</v>
      </c>
      <c r="I103" s="2" t="s">
        <v>376</v>
      </c>
      <c r="J103" s="2">
        <v>38.0</v>
      </c>
    </row>
    <row r="104">
      <c r="A104" s="2" t="s">
        <v>458</v>
      </c>
      <c r="B104" s="9" t="str">
        <f t="shared" si="18"/>
        <v>Imigrante</v>
      </c>
      <c r="C104" s="2">
        <v>103.0</v>
      </c>
      <c r="E104" s="2" t="s">
        <v>573</v>
      </c>
      <c r="I104" s="2" t="s">
        <v>471</v>
      </c>
      <c r="J104" s="2">
        <v>61.0</v>
      </c>
    </row>
    <row r="105">
      <c r="A105" s="2" t="s">
        <v>470</v>
      </c>
      <c r="B105" s="9" t="str">
        <f t="shared" si="18"/>
        <v>Lagoa Vermelha</v>
      </c>
      <c r="C105" s="2">
        <v>104.0</v>
      </c>
      <c r="E105" s="2" t="s">
        <v>216</v>
      </c>
      <c r="I105" s="2" t="s">
        <v>471</v>
      </c>
      <c r="J105" s="2">
        <v>108.0</v>
      </c>
    </row>
    <row r="106">
      <c r="A106" s="2" t="s">
        <v>481</v>
      </c>
      <c r="B106" s="2" t="s">
        <v>575</v>
      </c>
      <c r="C106" s="2">
        <v>105.0</v>
      </c>
      <c r="E106" s="2" t="s">
        <v>576</v>
      </c>
      <c r="I106" s="2" t="s">
        <v>471</v>
      </c>
      <c r="J106" s="2">
        <v>119.0</v>
      </c>
    </row>
    <row r="107">
      <c r="A107" s="2" t="s">
        <v>496</v>
      </c>
      <c r="B107" s="9" t="str">
        <f t="shared" ref="B107:B108" si="19">VLOOKUP(A107,E:E,1,0)</f>
        <v>Morro Reuter</v>
      </c>
      <c r="C107" s="2">
        <v>106.0</v>
      </c>
      <c r="E107" s="2" t="s">
        <v>579</v>
      </c>
      <c r="I107" s="2" t="s">
        <v>52</v>
      </c>
      <c r="J107" s="2">
        <v>3.0</v>
      </c>
    </row>
    <row r="108">
      <c r="A108" s="2" t="s">
        <v>535</v>
      </c>
      <c r="B108" s="9" t="str">
        <f t="shared" si="19"/>
        <v>Relvado</v>
      </c>
      <c r="C108" s="2">
        <v>107.0</v>
      </c>
      <c r="E108" s="2" t="s">
        <v>580</v>
      </c>
      <c r="I108" s="2" t="s">
        <v>52</v>
      </c>
      <c r="J108" s="2">
        <v>39.0</v>
      </c>
    </row>
    <row r="109">
      <c r="A109" s="2" t="s">
        <v>471</v>
      </c>
      <c r="B109" s="2" t="s">
        <v>472</v>
      </c>
      <c r="C109" s="2">
        <v>108.0</v>
      </c>
      <c r="E109" s="2" t="s">
        <v>581</v>
      </c>
      <c r="I109" s="2" t="s">
        <v>52</v>
      </c>
      <c r="J109" s="2">
        <v>60.0</v>
      </c>
    </row>
    <row r="110">
      <c r="A110" s="2" t="s">
        <v>582</v>
      </c>
      <c r="B110" s="9" t="str">
        <f t="shared" ref="B110:B115" si="20">VLOOKUP(A110,E:E,1,0)</f>
        <v>Sobradinho</v>
      </c>
      <c r="C110" s="2">
        <v>109.0</v>
      </c>
      <c r="E110" s="2" t="s">
        <v>583</v>
      </c>
      <c r="I110" s="2" t="s">
        <v>478</v>
      </c>
      <c r="J110" s="2">
        <v>64.0</v>
      </c>
    </row>
    <row r="111">
      <c r="A111" s="2" t="s">
        <v>112</v>
      </c>
      <c r="B111" s="9" t="str">
        <f t="shared" si="20"/>
        <v>Caxias do Sul</v>
      </c>
      <c r="C111" s="2">
        <v>110.0</v>
      </c>
      <c r="E111" s="2" t="s">
        <v>584</v>
      </c>
      <c r="I111" s="2" t="s">
        <v>347</v>
      </c>
      <c r="J111" s="2">
        <v>36.0</v>
      </c>
    </row>
    <row r="112">
      <c r="A112" s="2" t="s">
        <v>248</v>
      </c>
      <c r="B112" s="9" t="str">
        <f t="shared" si="20"/>
        <v>Dois Lajeados</v>
      </c>
      <c r="C112" s="2">
        <v>111.0</v>
      </c>
      <c r="E112" s="2" t="s">
        <v>585</v>
      </c>
      <c r="I112" s="2" t="s">
        <v>333</v>
      </c>
      <c r="J112" s="2">
        <v>34.0</v>
      </c>
    </row>
    <row r="113">
      <c r="A113" s="2" t="s">
        <v>166</v>
      </c>
      <c r="B113" s="9" t="str">
        <f t="shared" si="20"/>
        <v>Flores da Cunha</v>
      </c>
      <c r="C113" s="2">
        <v>112.0</v>
      </c>
      <c r="E113" s="2" t="s">
        <v>586</v>
      </c>
      <c r="I113" s="2" t="s">
        <v>431</v>
      </c>
      <c r="J113" s="2">
        <v>47.0</v>
      </c>
    </row>
    <row r="114">
      <c r="A114" s="2" t="s">
        <v>458</v>
      </c>
      <c r="B114" s="9" t="str">
        <f t="shared" si="20"/>
        <v>Imigrante</v>
      </c>
      <c r="C114" s="2">
        <v>113.0</v>
      </c>
      <c r="E114" s="2" t="s">
        <v>587</v>
      </c>
      <c r="I114" s="2" t="s">
        <v>289</v>
      </c>
      <c r="J114" s="2">
        <v>30.0</v>
      </c>
    </row>
    <row r="115">
      <c r="A115" s="2" t="s">
        <v>470</v>
      </c>
      <c r="B115" s="9" t="str">
        <f t="shared" si="20"/>
        <v>Lagoa Vermelha</v>
      </c>
      <c r="C115" s="2">
        <v>114.0</v>
      </c>
      <c r="E115" s="2" t="s">
        <v>588</v>
      </c>
      <c r="I115" s="2" t="s">
        <v>497</v>
      </c>
      <c r="J115" s="2">
        <v>69.0</v>
      </c>
    </row>
    <row r="116">
      <c r="A116" s="2" t="s">
        <v>481</v>
      </c>
      <c r="B116" s="2" t="s">
        <v>575</v>
      </c>
      <c r="C116" s="2">
        <v>115.0</v>
      </c>
      <c r="E116" s="2" t="s">
        <v>590</v>
      </c>
      <c r="I116" s="2" t="s">
        <v>582</v>
      </c>
      <c r="J116" s="2">
        <v>109.0</v>
      </c>
    </row>
    <row r="117">
      <c r="A117" s="2" t="s">
        <v>496</v>
      </c>
      <c r="B117" s="9" t="str">
        <f>VLOOKUP(A117,E:E,1,0)</f>
        <v>Morro Reuter</v>
      </c>
      <c r="C117" s="2">
        <v>116.0</v>
      </c>
      <c r="E117" s="2" t="s">
        <v>591</v>
      </c>
      <c r="I117" s="2" t="s">
        <v>582</v>
      </c>
      <c r="J117" s="2">
        <v>120.0</v>
      </c>
    </row>
    <row r="118">
      <c r="A118" s="2" t="s">
        <v>500</v>
      </c>
      <c r="B118" s="2" t="s">
        <v>593</v>
      </c>
      <c r="C118" s="2">
        <v>117.0</v>
      </c>
      <c r="E118" s="2" t="s">
        <v>595</v>
      </c>
      <c r="I118" s="2" t="s">
        <v>400</v>
      </c>
      <c r="J118" s="2">
        <v>82.0</v>
      </c>
    </row>
    <row r="119">
      <c r="A119" s="2" t="s">
        <v>535</v>
      </c>
      <c r="B119" s="9" t="str">
        <f>VLOOKUP(A119,E:E,1,0)</f>
        <v>Relvado</v>
      </c>
      <c r="C119" s="2">
        <v>118.0</v>
      </c>
      <c r="E119" s="2" t="s">
        <v>596</v>
      </c>
      <c r="I119" s="2" t="s">
        <v>297</v>
      </c>
      <c r="J119" s="2">
        <v>31.0</v>
      </c>
    </row>
    <row r="120">
      <c r="A120" s="2" t="s">
        <v>471</v>
      </c>
      <c r="B120" s="2" t="s">
        <v>472</v>
      </c>
      <c r="C120" s="2">
        <v>119.0</v>
      </c>
      <c r="E120" s="2" t="s">
        <v>598</v>
      </c>
      <c r="I120" s="2" t="s">
        <v>510</v>
      </c>
      <c r="J120" s="2">
        <v>75.0</v>
      </c>
    </row>
    <row r="121">
      <c r="A121" s="2" t="s">
        <v>582</v>
      </c>
      <c r="B121" s="9" t="str">
        <f t="shared" ref="B121:B122" si="21">VLOOKUP(A121,E:E,1,0)</f>
        <v>Sobradinho</v>
      </c>
      <c r="C121" s="2">
        <v>120.0</v>
      </c>
      <c r="E121" s="2" t="s">
        <v>60</v>
      </c>
      <c r="I121" s="2" t="s">
        <v>433</v>
      </c>
      <c r="J121" s="2">
        <v>48.0</v>
      </c>
    </row>
    <row r="122">
      <c r="A122" s="2" t="s">
        <v>112</v>
      </c>
      <c r="B122" s="9" t="str">
        <f t="shared" si="21"/>
        <v>Caxias do Sul</v>
      </c>
      <c r="C122" s="2">
        <v>121.0</v>
      </c>
      <c r="E122" s="2" t="s">
        <v>601</v>
      </c>
      <c r="I122" s="2" t="s">
        <v>69</v>
      </c>
      <c r="J122" s="2">
        <v>6.0</v>
      </c>
    </row>
    <row r="123">
      <c r="A123" s="2" t="s">
        <v>500</v>
      </c>
      <c r="B123" s="2" t="s">
        <v>593</v>
      </c>
      <c r="C123" s="2">
        <v>122.0</v>
      </c>
      <c r="E123" s="2" t="s">
        <v>602</v>
      </c>
      <c r="I123" s="2" t="s">
        <v>550</v>
      </c>
      <c r="J123" s="2">
        <v>94.0</v>
      </c>
    </row>
    <row r="124">
      <c r="E124" s="2" t="s">
        <v>603</v>
      </c>
    </row>
    <row r="125">
      <c r="E125" s="2" t="s">
        <v>605</v>
      </c>
    </row>
    <row r="126">
      <c r="E126" s="2" t="s">
        <v>607</v>
      </c>
    </row>
    <row r="127">
      <c r="E127" s="2" t="s">
        <v>608</v>
      </c>
    </row>
    <row r="128">
      <c r="E128" s="2" t="s">
        <v>609</v>
      </c>
    </row>
    <row r="129">
      <c r="E129" s="2" t="s">
        <v>610</v>
      </c>
    </row>
    <row r="130">
      <c r="E130" s="2" t="s">
        <v>611</v>
      </c>
    </row>
    <row r="131">
      <c r="E131" s="2" t="s">
        <v>612</v>
      </c>
    </row>
    <row r="132">
      <c r="E132" s="2" t="s">
        <v>613</v>
      </c>
    </row>
    <row r="133">
      <c r="E133" s="2" t="s">
        <v>102</v>
      </c>
    </row>
    <row r="134">
      <c r="E134" s="2" t="s">
        <v>614</v>
      </c>
    </row>
    <row r="135">
      <c r="E135" s="2" t="s">
        <v>248</v>
      </c>
    </row>
    <row r="136">
      <c r="E136" s="2" t="s">
        <v>615</v>
      </c>
    </row>
    <row r="137">
      <c r="E137" s="2" t="s">
        <v>617</v>
      </c>
    </row>
    <row r="138">
      <c r="E138" s="2" t="s">
        <v>619</v>
      </c>
    </row>
    <row r="139">
      <c r="E139" s="2" t="s">
        <v>620</v>
      </c>
    </row>
    <row r="140">
      <c r="E140" s="2" t="s">
        <v>621</v>
      </c>
    </row>
    <row r="141">
      <c r="E141" s="2" t="s">
        <v>622</v>
      </c>
    </row>
    <row r="142">
      <c r="E142" s="2" t="s">
        <v>624</v>
      </c>
    </row>
    <row r="143">
      <c r="E143" s="2" t="s">
        <v>141</v>
      </c>
    </row>
    <row r="144">
      <c r="E144" s="2" t="s">
        <v>625</v>
      </c>
    </row>
    <row r="145">
      <c r="E145" s="2" t="s">
        <v>626</v>
      </c>
    </row>
    <row r="146">
      <c r="E146" s="2" t="s">
        <v>627</v>
      </c>
    </row>
    <row r="147">
      <c r="E147" s="2" t="s">
        <v>628</v>
      </c>
    </row>
    <row r="148">
      <c r="E148" s="2" t="s">
        <v>630</v>
      </c>
    </row>
    <row r="149">
      <c r="E149" s="2" t="s">
        <v>632</v>
      </c>
    </row>
    <row r="150">
      <c r="E150" s="2" t="s">
        <v>633</v>
      </c>
    </row>
    <row r="151">
      <c r="E151" s="2" t="s">
        <v>634</v>
      </c>
    </row>
    <row r="152">
      <c r="E152" s="2" t="s">
        <v>635</v>
      </c>
    </row>
    <row r="153">
      <c r="E153" s="2" t="s">
        <v>636</v>
      </c>
    </row>
    <row r="154">
      <c r="E154" s="2" t="s">
        <v>637</v>
      </c>
    </row>
    <row r="155">
      <c r="E155" s="2" t="s">
        <v>638</v>
      </c>
    </row>
    <row r="156">
      <c r="E156" s="2" t="s">
        <v>439</v>
      </c>
    </row>
    <row r="157">
      <c r="E157" s="2" t="s">
        <v>639</v>
      </c>
    </row>
    <row r="158">
      <c r="E158" s="2" t="s">
        <v>310</v>
      </c>
    </row>
    <row r="159">
      <c r="E159" s="2" t="s">
        <v>165</v>
      </c>
    </row>
    <row r="160">
      <c r="E160" s="2" t="s">
        <v>642</v>
      </c>
    </row>
    <row r="161">
      <c r="E161" s="2" t="s">
        <v>643</v>
      </c>
    </row>
    <row r="162">
      <c r="E162" s="2" t="s">
        <v>644</v>
      </c>
    </row>
    <row r="163">
      <c r="E163" s="2" t="s">
        <v>645</v>
      </c>
    </row>
    <row r="164">
      <c r="E164" s="2" t="s">
        <v>182</v>
      </c>
    </row>
    <row r="165">
      <c r="E165" s="2" t="s">
        <v>647</v>
      </c>
    </row>
    <row r="166">
      <c r="E166" s="2" t="s">
        <v>648</v>
      </c>
    </row>
    <row r="167">
      <c r="E167" s="2" t="s">
        <v>649</v>
      </c>
    </row>
    <row r="168">
      <c r="E168" s="2" t="s">
        <v>114</v>
      </c>
    </row>
    <row r="169">
      <c r="E169" s="2" t="s">
        <v>651</v>
      </c>
    </row>
    <row r="170">
      <c r="E170" s="2" t="s">
        <v>653</v>
      </c>
    </row>
    <row r="171">
      <c r="E171" s="2" t="s">
        <v>654</v>
      </c>
    </row>
    <row r="172">
      <c r="E172" s="2" t="s">
        <v>655</v>
      </c>
    </row>
    <row r="173">
      <c r="E173" s="2" t="s">
        <v>404</v>
      </c>
    </row>
    <row r="174">
      <c r="E174" s="2" t="s">
        <v>656</v>
      </c>
    </row>
    <row r="175">
      <c r="E175" s="2" t="s">
        <v>657</v>
      </c>
    </row>
    <row r="176">
      <c r="E176" s="2" t="s">
        <v>658</v>
      </c>
    </row>
    <row r="177">
      <c r="E177" s="2" t="s">
        <v>659</v>
      </c>
    </row>
    <row r="178">
      <c r="E178" s="2" t="s">
        <v>660</v>
      </c>
    </row>
    <row r="179">
      <c r="E179" s="2" t="s">
        <v>502</v>
      </c>
    </row>
    <row r="180">
      <c r="E180" s="2" t="s">
        <v>663</v>
      </c>
    </row>
    <row r="181">
      <c r="E181" s="2" t="s">
        <v>664</v>
      </c>
    </row>
    <row r="182">
      <c r="E182" s="2" t="s">
        <v>666</v>
      </c>
    </row>
    <row r="183">
      <c r="E183" s="2" t="s">
        <v>668</v>
      </c>
    </row>
    <row r="184">
      <c r="E184" s="2" t="s">
        <v>48</v>
      </c>
    </row>
    <row r="185">
      <c r="E185" s="2" t="s">
        <v>670</v>
      </c>
    </row>
    <row r="186">
      <c r="E186" s="2" t="s">
        <v>672</v>
      </c>
    </row>
    <row r="187">
      <c r="E187" s="2" t="s">
        <v>188</v>
      </c>
    </row>
    <row r="188">
      <c r="E188" s="2" t="s">
        <v>676</v>
      </c>
    </row>
    <row r="189">
      <c r="E189" s="2" t="s">
        <v>449</v>
      </c>
    </row>
    <row r="190">
      <c r="E190" s="2" t="s">
        <v>505</v>
      </c>
    </row>
    <row r="191">
      <c r="E191" s="2" t="s">
        <v>678</v>
      </c>
    </row>
    <row r="192">
      <c r="E192" s="2" t="s">
        <v>681</v>
      </c>
    </row>
    <row r="193">
      <c r="E193" s="2" t="s">
        <v>684</v>
      </c>
    </row>
    <row r="194">
      <c r="E194" s="2" t="s">
        <v>685</v>
      </c>
    </row>
    <row r="195">
      <c r="E195" s="2" t="s">
        <v>687</v>
      </c>
    </row>
    <row r="196">
      <c r="E196" s="2" t="s">
        <v>689</v>
      </c>
    </row>
    <row r="197">
      <c r="E197" s="2" t="s">
        <v>447</v>
      </c>
    </row>
    <row r="198">
      <c r="E198" s="2" t="s">
        <v>691</v>
      </c>
    </row>
    <row r="199">
      <c r="E199" s="2" t="s">
        <v>692</v>
      </c>
    </row>
    <row r="200">
      <c r="E200" s="2" t="s">
        <v>694</v>
      </c>
    </row>
    <row r="201">
      <c r="E201" s="2" t="s">
        <v>696</v>
      </c>
    </row>
    <row r="202">
      <c r="E202" s="2" t="s">
        <v>191</v>
      </c>
    </row>
    <row r="203">
      <c r="E203" s="2" t="s">
        <v>698</v>
      </c>
    </row>
    <row r="204">
      <c r="E204" s="2" t="s">
        <v>701</v>
      </c>
    </row>
    <row r="205">
      <c r="E205" s="2" t="s">
        <v>703</v>
      </c>
    </row>
    <row r="206">
      <c r="E206" s="2" t="s">
        <v>458</v>
      </c>
    </row>
    <row r="207">
      <c r="E207" s="2" t="s">
        <v>706</v>
      </c>
    </row>
    <row r="208">
      <c r="E208" s="2" t="s">
        <v>707</v>
      </c>
    </row>
    <row r="209">
      <c r="E209" s="2" t="s">
        <v>710</v>
      </c>
    </row>
    <row r="210">
      <c r="E210" s="2" t="s">
        <v>711</v>
      </c>
    </row>
    <row r="211">
      <c r="E211" s="2" t="s">
        <v>713</v>
      </c>
    </row>
    <row r="212">
      <c r="E212" s="2" t="s">
        <v>715</v>
      </c>
    </row>
    <row r="213">
      <c r="E213" s="2" t="s">
        <v>716</v>
      </c>
    </row>
    <row r="214">
      <c r="E214" s="2" t="s">
        <v>718</v>
      </c>
    </row>
    <row r="215">
      <c r="E215" s="2" t="s">
        <v>720</v>
      </c>
    </row>
    <row r="216">
      <c r="E216" s="2" t="s">
        <v>721</v>
      </c>
    </row>
    <row r="217">
      <c r="E217" s="2" t="s">
        <v>722</v>
      </c>
    </row>
    <row r="218">
      <c r="E218" s="2" t="s">
        <v>723</v>
      </c>
    </row>
    <row r="219">
      <c r="E219" s="2" t="s">
        <v>198</v>
      </c>
    </row>
    <row r="220">
      <c r="E220" s="2" t="s">
        <v>725</v>
      </c>
    </row>
    <row r="221">
      <c r="E221" s="2" t="s">
        <v>726</v>
      </c>
    </row>
    <row r="222">
      <c r="E222" s="2" t="s">
        <v>727</v>
      </c>
    </row>
    <row r="223">
      <c r="E223" s="2" t="s">
        <v>728</v>
      </c>
    </row>
    <row r="224">
      <c r="E224" s="2" t="s">
        <v>206</v>
      </c>
    </row>
    <row r="225">
      <c r="E225" s="2" t="s">
        <v>730</v>
      </c>
    </row>
    <row r="226">
      <c r="E226" s="2" t="s">
        <v>731</v>
      </c>
    </row>
    <row r="227">
      <c r="E227" s="2" t="s">
        <v>732</v>
      </c>
    </row>
    <row r="228">
      <c r="E228" s="2" t="s">
        <v>735</v>
      </c>
    </row>
    <row r="229">
      <c r="E229" s="2" t="s">
        <v>736</v>
      </c>
    </row>
    <row r="230">
      <c r="E230" s="2" t="s">
        <v>740</v>
      </c>
    </row>
    <row r="231">
      <c r="E231" s="2" t="s">
        <v>741</v>
      </c>
    </row>
    <row r="232">
      <c r="E232" s="2" t="s">
        <v>470</v>
      </c>
    </row>
    <row r="233">
      <c r="E233" s="2" t="s">
        <v>115</v>
      </c>
    </row>
    <row r="234">
      <c r="E234" s="2" t="s">
        <v>745</v>
      </c>
    </row>
    <row r="235">
      <c r="E235" s="2" t="s">
        <v>746</v>
      </c>
    </row>
    <row r="236">
      <c r="E236" s="2" t="s">
        <v>747</v>
      </c>
    </row>
    <row r="237">
      <c r="E237" s="2" t="s">
        <v>210</v>
      </c>
    </row>
    <row r="238">
      <c r="E238" s="2" t="s">
        <v>748</v>
      </c>
    </row>
    <row r="239">
      <c r="E239" s="2" t="s">
        <v>750</v>
      </c>
    </row>
    <row r="240">
      <c r="E240" s="2" t="s">
        <v>752</v>
      </c>
    </row>
    <row r="241">
      <c r="E241" s="2" t="s">
        <v>753</v>
      </c>
    </row>
    <row r="242">
      <c r="E242" s="2" t="s">
        <v>754</v>
      </c>
    </row>
    <row r="243">
      <c r="E243" s="2" t="s">
        <v>575</v>
      </c>
    </row>
    <row r="244">
      <c r="E244" s="2" t="s">
        <v>755</v>
      </c>
    </row>
    <row r="245">
      <c r="E245" s="2" t="s">
        <v>623</v>
      </c>
    </row>
    <row r="246">
      <c r="E246" s="2" t="s">
        <v>756</v>
      </c>
    </row>
    <row r="247">
      <c r="E247" s="2" t="s">
        <v>758</v>
      </c>
    </row>
    <row r="248">
      <c r="E248" s="2" t="s">
        <v>759</v>
      </c>
    </row>
    <row r="249">
      <c r="E249" s="2" t="s">
        <v>761</v>
      </c>
    </row>
    <row r="250">
      <c r="E250" s="2" t="s">
        <v>763</v>
      </c>
    </row>
    <row r="251">
      <c r="E251" s="2" t="s">
        <v>765</v>
      </c>
    </row>
    <row r="252">
      <c r="E252" s="2" t="s">
        <v>766</v>
      </c>
    </row>
    <row r="253">
      <c r="E253" s="2" t="s">
        <v>767</v>
      </c>
    </row>
    <row r="254">
      <c r="E254" s="2" t="s">
        <v>768</v>
      </c>
    </row>
    <row r="255">
      <c r="E255" s="2" t="s">
        <v>769</v>
      </c>
    </row>
    <row r="256">
      <c r="E256" s="2" t="s">
        <v>770</v>
      </c>
    </row>
    <row r="257">
      <c r="E257" s="2" t="s">
        <v>771</v>
      </c>
    </row>
    <row r="258">
      <c r="E258" s="2" t="s">
        <v>774</v>
      </c>
    </row>
    <row r="259">
      <c r="E259" s="2" t="s">
        <v>775</v>
      </c>
    </row>
    <row r="260">
      <c r="E260" s="2" t="s">
        <v>338</v>
      </c>
    </row>
    <row r="261">
      <c r="E261" s="2" t="s">
        <v>777</v>
      </c>
    </row>
    <row r="262">
      <c r="E262" s="2" t="s">
        <v>778</v>
      </c>
    </row>
    <row r="263">
      <c r="E263" s="2" t="s">
        <v>779</v>
      </c>
    </row>
    <row r="264">
      <c r="E264" s="2" t="s">
        <v>496</v>
      </c>
    </row>
    <row r="265">
      <c r="E265" s="2" t="s">
        <v>782</v>
      </c>
    </row>
    <row r="266">
      <c r="E266" s="2" t="s">
        <v>593</v>
      </c>
    </row>
    <row r="267">
      <c r="E267" s="2" t="s">
        <v>783</v>
      </c>
    </row>
    <row r="268">
      <c r="E268" s="2" t="s">
        <v>784</v>
      </c>
    </row>
    <row r="269">
      <c r="E269" s="2" t="s">
        <v>785</v>
      </c>
    </row>
    <row r="270">
      <c r="E270" s="2" t="s">
        <v>786</v>
      </c>
    </row>
    <row r="271">
      <c r="E271" s="2" t="s">
        <v>787</v>
      </c>
    </row>
    <row r="272">
      <c r="E272" s="2" t="s">
        <v>788</v>
      </c>
    </row>
    <row r="273">
      <c r="E273" s="2" t="s">
        <v>789</v>
      </c>
    </row>
    <row r="274">
      <c r="E274" s="2" t="s">
        <v>790</v>
      </c>
    </row>
    <row r="275">
      <c r="E275" s="2" t="s">
        <v>792</v>
      </c>
    </row>
    <row r="276">
      <c r="E276" s="2" t="s">
        <v>793</v>
      </c>
    </row>
    <row r="277">
      <c r="E277" s="2" t="s">
        <v>794</v>
      </c>
    </row>
    <row r="278">
      <c r="E278" s="2" t="s">
        <v>795</v>
      </c>
    </row>
    <row r="279">
      <c r="E279" s="2" t="s">
        <v>757</v>
      </c>
    </row>
    <row r="280">
      <c r="E280" s="2" t="s">
        <v>796</v>
      </c>
    </row>
    <row r="281">
      <c r="E281" s="2" t="s">
        <v>49</v>
      </c>
    </row>
    <row r="282">
      <c r="E282" s="2" t="s">
        <v>219</v>
      </c>
    </row>
    <row r="283">
      <c r="E283" s="2" t="s">
        <v>798</v>
      </c>
    </row>
    <row r="284">
      <c r="E284" s="2" t="s">
        <v>799</v>
      </c>
    </row>
    <row r="285">
      <c r="E285" s="2" t="s">
        <v>800</v>
      </c>
    </row>
    <row r="286">
      <c r="E286" s="2" t="s">
        <v>508</v>
      </c>
    </row>
    <row r="287">
      <c r="E287" s="2" t="s">
        <v>802</v>
      </c>
    </row>
    <row r="288">
      <c r="E288" s="2" t="s">
        <v>239</v>
      </c>
    </row>
    <row r="289">
      <c r="E289" s="2" t="s">
        <v>803</v>
      </c>
    </row>
    <row r="290">
      <c r="E290" s="2" t="s">
        <v>804</v>
      </c>
    </row>
    <row r="291">
      <c r="E291" s="2" t="s">
        <v>805</v>
      </c>
    </row>
    <row r="292">
      <c r="E292" s="2" t="s">
        <v>806</v>
      </c>
    </row>
    <row r="293">
      <c r="E293" s="2" t="s">
        <v>807</v>
      </c>
    </row>
    <row r="294">
      <c r="E294" s="2" t="s">
        <v>808</v>
      </c>
    </row>
    <row r="295">
      <c r="E295" s="2" t="s">
        <v>809</v>
      </c>
    </row>
    <row r="296">
      <c r="E296" s="2" t="s">
        <v>810</v>
      </c>
    </row>
    <row r="297">
      <c r="E297" s="2" t="s">
        <v>811</v>
      </c>
    </row>
    <row r="298">
      <c r="E298" s="2" t="s">
        <v>812</v>
      </c>
    </row>
    <row r="299">
      <c r="E299" s="2" t="s">
        <v>814</v>
      </c>
    </row>
    <row r="300">
      <c r="E300" s="2" t="s">
        <v>816</v>
      </c>
    </row>
    <row r="301">
      <c r="E301" s="2" t="s">
        <v>818</v>
      </c>
    </row>
    <row r="302">
      <c r="E302" s="2" t="s">
        <v>492</v>
      </c>
    </row>
    <row r="303">
      <c r="E303" s="2" t="s">
        <v>462</v>
      </c>
    </row>
    <row r="304">
      <c r="E304" s="2" t="s">
        <v>819</v>
      </c>
    </row>
    <row r="305">
      <c r="E305" s="2" t="s">
        <v>820</v>
      </c>
    </row>
    <row r="306">
      <c r="E306" s="2" t="s">
        <v>821</v>
      </c>
    </row>
    <row r="307">
      <c r="E307" s="2" t="s">
        <v>823</v>
      </c>
    </row>
    <row r="308">
      <c r="E308" s="2" t="s">
        <v>824</v>
      </c>
    </row>
    <row r="309">
      <c r="E309" s="2" t="s">
        <v>825</v>
      </c>
    </row>
    <row r="310">
      <c r="E310" s="2" t="s">
        <v>826</v>
      </c>
    </row>
    <row r="311">
      <c r="E311" s="2" t="s">
        <v>827</v>
      </c>
    </row>
    <row r="312">
      <c r="E312" s="2" t="s">
        <v>119</v>
      </c>
    </row>
    <row r="313">
      <c r="E313" s="2" t="s">
        <v>245</v>
      </c>
    </row>
    <row r="314">
      <c r="E314" s="2" t="s">
        <v>829</v>
      </c>
    </row>
    <row r="315">
      <c r="E315" s="2" t="s">
        <v>830</v>
      </c>
    </row>
    <row r="316">
      <c r="E316" s="2" t="s">
        <v>831</v>
      </c>
    </row>
    <row r="317">
      <c r="E317" s="2" t="s">
        <v>832</v>
      </c>
    </row>
    <row r="318">
      <c r="E318" s="2" t="s">
        <v>834</v>
      </c>
    </row>
    <row r="319">
      <c r="E319" s="2" t="s">
        <v>836</v>
      </c>
    </row>
    <row r="320">
      <c r="E320" s="2" t="s">
        <v>837</v>
      </c>
    </row>
    <row r="321">
      <c r="E321" s="2" t="s">
        <v>838</v>
      </c>
    </row>
    <row r="322">
      <c r="E322" s="2" t="s">
        <v>760</v>
      </c>
    </row>
    <row r="323">
      <c r="E323" s="2" t="s">
        <v>839</v>
      </c>
    </row>
    <row r="324">
      <c r="E324" s="2" t="s">
        <v>840</v>
      </c>
    </row>
    <row r="325">
      <c r="E325" s="2" t="s">
        <v>841</v>
      </c>
    </row>
    <row r="326">
      <c r="E326" s="2" t="s">
        <v>646</v>
      </c>
    </row>
    <row r="327">
      <c r="E327" s="2" t="s">
        <v>127</v>
      </c>
    </row>
    <row r="328">
      <c r="E328" s="2" t="s">
        <v>842</v>
      </c>
    </row>
    <row r="329">
      <c r="E329" s="2" t="s">
        <v>843</v>
      </c>
    </row>
    <row r="330">
      <c r="E330" s="2" t="s">
        <v>844</v>
      </c>
    </row>
    <row r="331">
      <c r="E331" s="2" t="s">
        <v>845</v>
      </c>
    </row>
    <row r="332">
      <c r="E332" s="2" t="s">
        <v>846</v>
      </c>
    </row>
    <row r="333">
      <c r="E333" s="2" t="s">
        <v>252</v>
      </c>
    </row>
    <row r="334">
      <c r="E334" s="2" t="s">
        <v>847</v>
      </c>
    </row>
    <row r="335">
      <c r="E335" s="2" t="s">
        <v>849</v>
      </c>
    </row>
    <row r="336">
      <c r="E336" s="2" t="s">
        <v>316</v>
      </c>
    </row>
    <row r="337">
      <c r="E337" s="2" t="s">
        <v>851</v>
      </c>
    </row>
    <row r="338">
      <c r="E338" s="2" t="s">
        <v>852</v>
      </c>
    </row>
    <row r="339">
      <c r="E339" s="2" t="s">
        <v>854</v>
      </c>
    </row>
    <row r="340">
      <c r="E340" s="2" t="s">
        <v>855</v>
      </c>
    </row>
    <row r="341">
      <c r="E341" s="2" t="s">
        <v>856</v>
      </c>
    </row>
    <row r="342">
      <c r="E342" s="2" t="s">
        <v>535</v>
      </c>
    </row>
    <row r="343">
      <c r="E343" s="2" t="s">
        <v>452</v>
      </c>
    </row>
    <row r="344">
      <c r="E344" s="2" t="s">
        <v>857</v>
      </c>
    </row>
    <row r="345">
      <c r="E345" s="2" t="s">
        <v>96</v>
      </c>
    </row>
    <row r="346">
      <c r="E346" s="2" t="s">
        <v>543</v>
      </c>
    </row>
    <row r="347">
      <c r="E347" s="2" t="s">
        <v>323</v>
      </c>
    </row>
    <row r="348">
      <c r="E348" s="2" t="s">
        <v>545</v>
      </c>
    </row>
    <row r="349">
      <c r="E349" s="2" t="s">
        <v>861</v>
      </c>
    </row>
    <row r="350">
      <c r="E350" s="2" t="s">
        <v>862</v>
      </c>
    </row>
    <row r="351">
      <c r="E351" s="2" t="s">
        <v>673</v>
      </c>
    </row>
    <row r="352">
      <c r="E352" s="2" t="s">
        <v>864</v>
      </c>
    </row>
    <row r="353">
      <c r="E353" s="2" t="s">
        <v>865</v>
      </c>
    </row>
    <row r="354">
      <c r="E354" s="2" t="s">
        <v>866</v>
      </c>
    </row>
    <row r="355">
      <c r="E355" s="2" t="s">
        <v>528</v>
      </c>
    </row>
    <row r="356">
      <c r="E356" s="2" t="s">
        <v>869</v>
      </c>
    </row>
    <row r="357">
      <c r="E357" s="2" t="s">
        <v>870</v>
      </c>
    </row>
    <row r="358">
      <c r="E358" s="2" t="s">
        <v>871</v>
      </c>
    </row>
    <row r="359">
      <c r="E359" s="2" t="s">
        <v>872</v>
      </c>
    </row>
    <row r="360">
      <c r="E360" s="2" t="s">
        <v>873</v>
      </c>
    </row>
    <row r="361">
      <c r="E361" s="2" t="s">
        <v>874</v>
      </c>
    </row>
    <row r="362">
      <c r="E362" s="2" t="s">
        <v>875</v>
      </c>
    </row>
    <row r="363">
      <c r="E363" s="2" t="s">
        <v>876</v>
      </c>
    </row>
    <row r="364">
      <c r="E364" s="2" t="s">
        <v>878</v>
      </c>
    </row>
    <row r="365">
      <c r="E365" s="2" t="s">
        <v>879</v>
      </c>
    </row>
    <row r="366">
      <c r="E366" s="2" t="s">
        <v>355</v>
      </c>
    </row>
    <row r="367">
      <c r="E367" s="2" t="s">
        <v>797</v>
      </c>
    </row>
    <row r="368">
      <c r="E368" s="2" t="s">
        <v>880</v>
      </c>
    </row>
    <row r="369">
      <c r="E369" s="2" t="s">
        <v>881</v>
      </c>
    </row>
    <row r="370">
      <c r="E370" s="2" t="s">
        <v>882</v>
      </c>
    </row>
    <row r="371">
      <c r="E371" s="2" t="s">
        <v>883</v>
      </c>
    </row>
    <row r="372">
      <c r="E372" s="2" t="s">
        <v>884</v>
      </c>
    </row>
    <row r="373">
      <c r="E373" s="2" t="s">
        <v>342</v>
      </c>
    </row>
    <row r="374">
      <c r="E374" s="2" t="s">
        <v>885</v>
      </c>
    </row>
    <row r="375">
      <c r="E375" s="2" t="s">
        <v>886</v>
      </c>
    </row>
    <row r="376">
      <c r="E376" s="2" t="s">
        <v>887</v>
      </c>
    </row>
    <row r="377">
      <c r="E377" s="2" t="s">
        <v>888</v>
      </c>
    </row>
    <row r="378">
      <c r="E378" s="2" t="s">
        <v>889</v>
      </c>
    </row>
    <row r="379">
      <c r="E379" s="2" t="s">
        <v>890</v>
      </c>
    </row>
    <row r="380">
      <c r="E380" s="2" t="s">
        <v>495</v>
      </c>
    </row>
    <row r="381">
      <c r="E381" s="2" t="s">
        <v>891</v>
      </c>
    </row>
    <row r="382">
      <c r="E382" s="2" t="s">
        <v>892</v>
      </c>
    </row>
    <row r="383">
      <c r="E383" s="2" t="s">
        <v>893</v>
      </c>
    </row>
    <row r="384">
      <c r="E384" s="2" t="s">
        <v>894</v>
      </c>
    </row>
    <row r="385">
      <c r="E385" s="2" t="s">
        <v>895</v>
      </c>
    </row>
    <row r="386">
      <c r="E386" s="2" t="s">
        <v>744</v>
      </c>
    </row>
    <row r="387">
      <c r="E387" s="2" t="s">
        <v>897</v>
      </c>
    </row>
    <row r="388">
      <c r="E388" s="2" t="s">
        <v>898</v>
      </c>
    </row>
    <row r="389">
      <c r="E389" s="2" t="s">
        <v>899</v>
      </c>
    </row>
    <row r="390">
      <c r="E390" s="2" t="s">
        <v>900</v>
      </c>
    </row>
    <row r="391">
      <c r="E391" s="2" t="s">
        <v>901</v>
      </c>
    </row>
    <row r="392">
      <c r="E392" s="2" t="s">
        <v>902</v>
      </c>
    </row>
    <row r="393">
      <c r="E393" s="2" t="s">
        <v>281</v>
      </c>
    </row>
    <row r="394">
      <c r="E394" s="2" t="s">
        <v>904</v>
      </c>
    </row>
    <row r="395">
      <c r="E395" s="2" t="s">
        <v>905</v>
      </c>
    </row>
    <row r="396">
      <c r="E396" s="2" t="s">
        <v>518</v>
      </c>
    </row>
    <row r="397">
      <c r="E397" s="2" t="s">
        <v>906</v>
      </c>
    </row>
    <row r="398">
      <c r="E398" s="2" t="s">
        <v>907</v>
      </c>
    </row>
    <row r="399">
      <c r="E399" s="2" t="s">
        <v>908</v>
      </c>
    </row>
    <row r="400">
      <c r="E400" s="2" t="s">
        <v>520</v>
      </c>
    </row>
    <row r="401">
      <c r="E401" s="2" t="s">
        <v>909</v>
      </c>
    </row>
    <row r="402">
      <c r="E402" s="2" t="s">
        <v>377</v>
      </c>
    </row>
    <row r="403">
      <c r="E403" s="2" t="s">
        <v>353</v>
      </c>
    </row>
    <row r="404">
      <c r="E404" s="2" t="s">
        <v>863</v>
      </c>
    </row>
    <row r="405">
      <c r="E405" s="2" t="s">
        <v>472</v>
      </c>
    </row>
    <row r="406">
      <c r="E406" s="2" t="s">
        <v>911</v>
      </c>
    </row>
    <row r="407">
      <c r="E407" s="2" t="s">
        <v>912</v>
      </c>
    </row>
    <row r="408">
      <c r="E408" s="2" t="s">
        <v>913</v>
      </c>
    </row>
    <row r="409">
      <c r="E409" s="2" t="s">
        <v>915</v>
      </c>
    </row>
    <row r="410">
      <c r="E410" s="2" t="s">
        <v>917</v>
      </c>
    </row>
    <row r="411">
      <c r="E411" s="2" t="s">
        <v>919</v>
      </c>
    </row>
    <row r="412">
      <c r="E412" s="2" t="s">
        <v>920</v>
      </c>
    </row>
    <row r="413">
      <c r="E413" s="2" t="s">
        <v>53</v>
      </c>
    </row>
    <row r="414">
      <c r="E414" s="2" t="s">
        <v>921</v>
      </c>
    </row>
    <row r="415">
      <c r="E415" s="2" t="s">
        <v>922</v>
      </c>
    </row>
    <row r="416">
      <c r="E416" s="2" t="s">
        <v>479</v>
      </c>
    </row>
    <row r="417">
      <c r="E417" s="2" t="s">
        <v>923</v>
      </c>
    </row>
    <row r="418">
      <c r="E418" s="2" t="s">
        <v>349</v>
      </c>
    </row>
    <row r="419">
      <c r="E419" s="2" t="s">
        <v>924</v>
      </c>
    </row>
    <row r="420">
      <c r="E420" s="2" t="s">
        <v>333</v>
      </c>
    </row>
    <row r="421">
      <c r="E421" s="2" t="s">
        <v>926</v>
      </c>
    </row>
    <row r="422">
      <c r="E422" s="2" t="s">
        <v>928</v>
      </c>
    </row>
    <row r="423">
      <c r="E423" s="2" t="s">
        <v>929</v>
      </c>
    </row>
    <row r="424">
      <c r="E424" s="2" t="s">
        <v>930</v>
      </c>
    </row>
    <row r="425">
      <c r="E425" s="2" t="s">
        <v>289</v>
      </c>
    </row>
    <row r="426">
      <c r="E426" s="2" t="s">
        <v>931</v>
      </c>
    </row>
    <row r="427">
      <c r="E427" s="2" t="s">
        <v>932</v>
      </c>
    </row>
    <row r="428">
      <c r="E428" s="2" t="s">
        <v>933</v>
      </c>
    </row>
    <row r="429">
      <c r="E429" s="2" t="s">
        <v>934</v>
      </c>
    </row>
    <row r="430">
      <c r="E430" s="2" t="s">
        <v>935</v>
      </c>
    </row>
    <row r="431">
      <c r="E431" s="2" t="s">
        <v>936</v>
      </c>
    </row>
    <row r="432">
      <c r="E432" s="2" t="s">
        <v>937</v>
      </c>
    </row>
    <row r="433">
      <c r="E433" s="2" t="s">
        <v>939</v>
      </c>
    </row>
    <row r="434">
      <c r="E434" s="2" t="s">
        <v>941</v>
      </c>
    </row>
    <row r="435">
      <c r="E435" s="2" t="s">
        <v>497</v>
      </c>
    </row>
    <row r="436">
      <c r="E436" s="2" t="s">
        <v>942</v>
      </c>
    </row>
    <row r="437">
      <c r="E437" s="2" t="s">
        <v>582</v>
      </c>
    </row>
    <row r="438">
      <c r="E438" s="2" t="s">
        <v>943</v>
      </c>
    </row>
    <row r="439">
      <c r="E439" s="2" t="s">
        <v>944</v>
      </c>
    </row>
    <row r="440">
      <c r="E440" s="2" t="s">
        <v>945</v>
      </c>
    </row>
    <row r="441">
      <c r="E441" s="2" t="s">
        <v>822</v>
      </c>
    </row>
    <row r="442">
      <c r="E442" s="2" t="s">
        <v>946</v>
      </c>
    </row>
    <row r="443">
      <c r="E443" s="2" t="s">
        <v>400</v>
      </c>
    </row>
    <row r="444">
      <c r="E444" s="2" t="s">
        <v>947</v>
      </c>
    </row>
    <row r="445">
      <c r="E445" s="2" t="s">
        <v>948</v>
      </c>
    </row>
    <row r="446">
      <c r="E446" s="2" t="s">
        <v>950</v>
      </c>
    </row>
    <row r="447">
      <c r="E447" s="2" t="s">
        <v>951</v>
      </c>
    </row>
    <row r="448">
      <c r="E448" s="2" t="s">
        <v>952</v>
      </c>
    </row>
    <row r="449">
      <c r="E449" s="2" t="s">
        <v>953</v>
      </c>
    </row>
    <row r="450">
      <c r="E450" s="2" t="s">
        <v>954</v>
      </c>
    </row>
    <row r="451">
      <c r="E451" s="2" t="s">
        <v>956</v>
      </c>
    </row>
    <row r="452">
      <c r="E452" s="2" t="s">
        <v>957</v>
      </c>
    </row>
    <row r="453">
      <c r="E453" s="2" t="s">
        <v>959</v>
      </c>
    </row>
    <row r="454">
      <c r="E454" s="2" t="s">
        <v>960</v>
      </c>
    </row>
    <row r="455">
      <c r="E455" s="2" t="s">
        <v>961</v>
      </c>
    </row>
    <row r="456">
      <c r="E456" s="2" t="s">
        <v>962</v>
      </c>
    </row>
    <row r="457">
      <c r="E457" s="2" t="s">
        <v>963</v>
      </c>
    </row>
    <row r="458">
      <c r="E458" s="2" t="s">
        <v>298</v>
      </c>
    </row>
    <row r="459">
      <c r="E459" s="2" t="s">
        <v>964</v>
      </c>
    </row>
    <row r="460">
      <c r="E460" s="2" t="s">
        <v>965</v>
      </c>
    </row>
    <row r="461">
      <c r="E461" s="2" t="s">
        <v>966</v>
      </c>
    </row>
    <row r="462">
      <c r="E462" s="2" t="s">
        <v>968</v>
      </c>
    </row>
    <row r="463">
      <c r="E463" s="2" t="s">
        <v>970</v>
      </c>
    </row>
    <row r="464">
      <c r="E464" s="2" t="s">
        <v>510</v>
      </c>
    </row>
    <row r="465">
      <c r="E465" s="2" t="s">
        <v>971</v>
      </c>
    </row>
    <row r="466">
      <c r="E466" s="2" t="s">
        <v>972</v>
      </c>
    </row>
    <row r="467">
      <c r="E467" s="2" t="s">
        <v>973</v>
      </c>
    </row>
    <row r="468">
      <c r="E468" s="2" t="s">
        <v>974</v>
      </c>
    </row>
    <row r="469">
      <c r="E469" s="2" t="s">
        <v>975</v>
      </c>
    </row>
    <row r="470">
      <c r="E470" s="2" t="s">
        <v>976</v>
      </c>
    </row>
    <row r="471">
      <c r="E471" s="2" t="s">
        <v>978</v>
      </c>
    </row>
    <row r="472">
      <c r="E472" s="2" t="s">
        <v>979</v>
      </c>
    </row>
    <row r="473">
      <c r="E473" s="2" t="s">
        <v>980</v>
      </c>
    </row>
    <row r="474">
      <c r="E474" s="2" t="s">
        <v>981</v>
      </c>
    </row>
    <row r="475">
      <c r="E475" s="2" t="s">
        <v>982</v>
      </c>
    </row>
    <row r="476">
      <c r="E476" s="2" t="s">
        <v>983</v>
      </c>
    </row>
    <row r="477">
      <c r="E477" s="2" t="s">
        <v>984</v>
      </c>
    </row>
    <row r="478">
      <c r="E478" s="2" t="s">
        <v>985</v>
      </c>
    </row>
    <row r="479">
      <c r="E479" s="2" t="s">
        <v>986</v>
      </c>
    </row>
    <row r="480">
      <c r="E480" s="2" t="s">
        <v>988</v>
      </c>
    </row>
    <row r="481">
      <c r="E481" s="2" t="s">
        <v>435</v>
      </c>
    </row>
    <row r="482">
      <c r="E482" s="2" t="s">
        <v>69</v>
      </c>
    </row>
    <row r="483">
      <c r="E483" s="2" t="s">
        <v>551</v>
      </c>
    </row>
    <row r="484">
      <c r="E484" s="2" t="s">
        <v>990</v>
      </c>
    </row>
    <row r="485">
      <c r="E485" s="2" t="s">
        <v>991</v>
      </c>
    </row>
    <row r="486">
      <c r="E486" s="2" t="s">
        <v>992</v>
      </c>
    </row>
    <row r="487">
      <c r="E487" s="2" t="s">
        <v>993</v>
      </c>
    </row>
    <row r="488">
      <c r="E488" s="2" t="s">
        <v>994</v>
      </c>
    </row>
    <row r="489">
      <c r="E489" s="2" t="s">
        <v>995</v>
      </c>
    </row>
    <row r="490">
      <c r="E490" s="2" t="s">
        <v>996</v>
      </c>
    </row>
    <row r="491">
      <c r="E491" s="2" t="s">
        <v>998</v>
      </c>
    </row>
    <row r="492">
      <c r="E492" s="2" t="s">
        <v>1000</v>
      </c>
    </row>
    <row r="493">
      <c r="E493" s="2" t="s">
        <v>1001</v>
      </c>
    </row>
    <row r="494">
      <c r="E494" s="2" t="s">
        <v>1002</v>
      </c>
    </row>
    <row r="495">
      <c r="E495" s="2" t="s">
        <v>1003</v>
      </c>
    </row>
    <row r="496">
      <c r="E496" s="2" t="s">
        <v>1004</v>
      </c>
    </row>
    <row r="497">
      <c r="E497" s="2" t="s">
        <v>1005</v>
      </c>
    </row>
    <row r="498">
      <c r="E498" s="2" t="s">
        <v>1006</v>
      </c>
    </row>
  </sheetData>
  <autoFilter ref="$A$1:$C$1001">
    <sortState ref="A1:C1001">
      <sortCondition ref="C1:C1001"/>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v>
      </c>
      <c r="B1" s="5" t="s">
        <v>13</v>
      </c>
      <c r="C1" s="5" t="s">
        <v>14</v>
      </c>
      <c r="D1" s="5" t="s">
        <v>15</v>
      </c>
      <c r="E1" s="7" t="s">
        <v>17</v>
      </c>
      <c r="F1" s="5" t="s">
        <v>21</v>
      </c>
      <c r="G1" s="5" t="s">
        <v>22</v>
      </c>
      <c r="H1" s="5" t="s">
        <v>23</v>
      </c>
      <c r="I1" s="5" t="s">
        <v>26</v>
      </c>
      <c r="J1" s="5" t="s">
        <v>28</v>
      </c>
      <c r="K1" s="5" t="s">
        <v>30</v>
      </c>
      <c r="L1" s="5" t="s">
        <v>31</v>
      </c>
      <c r="M1" s="5" t="s">
        <v>33</v>
      </c>
      <c r="N1" s="5" t="s">
        <v>34</v>
      </c>
      <c r="O1" s="5" t="s">
        <v>35</v>
      </c>
      <c r="P1" s="5" t="s">
        <v>36</v>
      </c>
      <c r="Q1" s="5" t="s">
        <v>38</v>
      </c>
      <c r="R1" s="5" t="s">
        <v>40</v>
      </c>
      <c r="S1" s="5" t="s">
        <v>42</v>
      </c>
      <c r="T1" s="5" t="s">
        <v>44</v>
      </c>
      <c r="U1" s="5" t="s">
        <v>51</v>
      </c>
      <c r="V1" s="5" t="s">
        <v>55</v>
      </c>
      <c r="W1" s="5" t="s">
        <v>57</v>
      </c>
      <c r="X1" s="5" t="s">
        <v>59</v>
      </c>
      <c r="Y1" s="5" t="s">
        <v>61</v>
      </c>
      <c r="Z1" s="5" t="s">
        <v>63</v>
      </c>
      <c r="AA1" s="5" t="s">
        <v>64</v>
      </c>
      <c r="AB1" s="5" t="s">
        <v>65</v>
      </c>
    </row>
    <row r="2">
      <c r="A2" s="14" t="b">
        <v>1</v>
      </c>
      <c r="B2" s="16">
        <v>472.0</v>
      </c>
      <c r="C2" s="16" t="s">
        <v>70</v>
      </c>
      <c r="D2" s="16" t="s">
        <v>72</v>
      </c>
      <c r="E2" s="19">
        <v>220400.0</v>
      </c>
      <c r="F2" s="16" t="s">
        <v>78</v>
      </c>
      <c r="G2" s="16" t="s">
        <v>80</v>
      </c>
      <c r="H2" s="16" t="s">
        <v>83</v>
      </c>
      <c r="I2" s="16">
        <v>66712.0</v>
      </c>
      <c r="J2" s="16" t="s">
        <v>86</v>
      </c>
      <c r="K2" s="16" t="s">
        <v>88</v>
      </c>
      <c r="L2" s="16" t="s">
        <v>83</v>
      </c>
      <c r="M2" s="16" t="s">
        <v>90</v>
      </c>
      <c r="N2" s="16">
        <v>1.84511607E9</v>
      </c>
      <c r="O2" s="16">
        <v>1.1310266000155E13</v>
      </c>
      <c r="P2" s="16" t="s">
        <v>91</v>
      </c>
      <c r="Q2" s="16" t="s">
        <v>92</v>
      </c>
      <c r="R2" s="16" t="s">
        <v>93</v>
      </c>
      <c r="S2" s="16" t="s">
        <v>94</v>
      </c>
      <c r="T2" s="16" t="s">
        <v>95</v>
      </c>
      <c r="U2" s="16" t="s">
        <v>98</v>
      </c>
      <c r="V2" s="16" t="s">
        <v>91</v>
      </c>
      <c r="W2" s="16" t="s">
        <v>91</v>
      </c>
      <c r="X2" s="16" t="s">
        <v>104</v>
      </c>
      <c r="Y2" s="16" t="s">
        <v>106</v>
      </c>
      <c r="Z2" s="16" t="s">
        <v>107</v>
      </c>
      <c r="AA2" s="16" t="s">
        <v>108</v>
      </c>
      <c r="AB2" s="16" t="s">
        <v>109</v>
      </c>
    </row>
    <row r="3">
      <c r="A3" s="27" t="b">
        <v>1</v>
      </c>
      <c r="B3" s="28">
        <v>70.0</v>
      </c>
      <c r="C3" s="28" t="s">
        <v>112</v>
      </c>
      <c r="D3" s="28" t="s">
        <v>113</v>
      </c>
      <c r="E3" s="30">
        <v>300000.0</v>
      </c>
      <c r="F3" s="28" t="s">
        <v>118</v>
      </c>
      <c r="G3" s="28" t="s">
        <v>120</v>
      </c>
      <c r="H3" s="28" t="s">
        <v>121</v>
      </c>
      <c r="I3" s="31">
        <v>517451.0</v>
      </c>
      <c r="J3" s="28" t="s">
        <v>124</v>
      </c>
      <c r="K3" s="28" t="s">
        <v>125</v>
      </c>
      <c r="L3" s="28" t="s">
        <v>121</v>
      </c>
      <c r="M3" s="28" t="s">
        <v>126</v>
      </c>
      <c r="N3" s="28">
        <v>9.5472550025E10</v>
      </c>
      <c r="O3" s="28">
        <v>1.0546325000128E13</v>
      </c>
      <c r="P3" s="28" t="s">
        <v>91</v>
      </c>
      <c r="Q3" s="28" t="s">
        <v>128</v>
      </c>
      <c r="R3" s="28" t="s">
        <v>129</v>
      </c>
      <c r="S3" s="28" t="s">
        <v>130</v>
      </c>
      <c r="T3" s="28" t="s">
        <v>131</v>
      </c>
      <c r="U3" s="28" t="s">
        <v>132</v>
      </c>
      <c r="V3" s="28" t="s">
        <v>91</v>
      </c>
      <c r="W3" s="28" t="s">
        <v>91</v>
      </c>
      <c r="X3" s="28" t="s">
        <v>134</v>
      </c>
      <c r="Y3" s="28" t="s">
        <v>135</v>
      </c>
      <c r="Z3" s="28" t="s">
        <v>137</v>
      </c>
      <c r="AA3" s="28" t="s">
        <v>138</v>
      </c>
      <c r="AB3" s="28" t="s">
        <v>140</v>
      </c>
    </row>
    <row r="4">
      <c r="A4" s="14" t="b">
        <v>1</v>
      </c>
      <c r="B4" s="16">
        <v>245.0</v>
      </c>
      <c r="C4" s="16" t="s">
        <v>141</v>
      </c>
      <c r="D4" s="16" t="s">
        <v>142</v>
      </c>
      <c r="E4" s="19">
        <v>192000.0</v>
      </c>
      <c r="F4" s="16" t="s">
        <v>143</v>
      </c>
      <c r="G4" s="16" t="s">
        <v>144</v>
      </c>
      <c r="H4" s="16" t="s">
        <v>145</v>
      </c>
      <c r="I4" s="34">
        <v>23000.0</v>
      </c>
      <c r="J4" s="16" t="s">
        <v>148</v>
      </c>
      <c r="K4" s="16">
        <v>5.1999954279E10</v>
      </c>
      <c r="L4" s="16" t="s">
        <v>145</v>
      </c>
      <c r="M4" s="16" t="s">
        <v>145</v>
      </c>
      <c r="N4" s="16">
        <v>2.435803702E10</v>
      </c>
      <c r="O4" s="16">
        <v>1.2149722000191E13</v>
      </c>
      <c r="P4" s="16" t="s">
        <v>91</v>
      </c>
      <c r="Q4" s="36">
        <v>1.09E8</v>
      </c>
      <c r="R4" s="36">
        <v>1.29912954E8</v>
      </c>
      <c r="S4" s="36">
        <v>1.15229707E8</v>
      </c>
      <c r="T4" s="36">
        <v>1.08672298E8</v>
      </c>
      <c r="U4" s="36">
        <v>4.2487136E7</v>
      </c>
      <c r="V4" s="16" t="s">
        <v>91</v>
      </c>
      <c r="W4" s="16" t="s">
        <v>91</v>
      </c>
      <c r="X4" s="16" t="s">
        <v>156</v>
      </c>
      <c r="Y4" s="16" t="s">
        <v>157</v>
      </c>
      <c r="Z4" s="16" t="s">
        <v>160</v>
      </c>
      <c r="AA4" s="16" t="s">
        <v>162</v>
      </c>
      <c r="AB4" s="16" t="s">
        <v>164</v>
      </c>
    </row>
    <row r="5">
      <c r="A5" s="27" t="b">
        <v>1</v>
      </c>
      <c r="B5" s="28">
        <v>434.0</v>
      </c>
      <c r="C5" s="28" t="s">
        <v>166</v>
      </c>
      <c r="D5" s="28" t="s">
        <v>167</v>
      </c>
      <c r="E5" s="30">
        <v>130000.0</v>
      </c>
      <c r="F5" s="28" t="s">
        <v>168</v>
      </c>
      <c r="G5" s="28" t="s">
        <v>169</v>
      </c>
      <c r="H5" s="28" t="s">
        <v>170</v>
      </c>
      <c r="I5" s="31">
        <v>31352.0</v>
      </c>
      <c r="J5" s="28" t="s">
        <v>171</v>
      </c>
      <c r="K5" s="28" t="s">
        <v>172</v>
      </c>
      <c r="L5" s="28" t="s">
        <v>170</v>
      </c>
      <c r="M5" s="28" t="s">
        <v>173</v>
      </c>
      <c r="N5" s="28">
        <v>1.472271009E9</v>
      </c>
      <c r="O5" s="28">
        <v>1.044393800013E13</v>
      </c>
      <c r="P5" s="28" t="s">
        <v>91</v>
      </c>
      <c r="Q5" s="28" t="s">
        <v>174</v>
      </c>
      <c r="R5" s="28" t="s">
        <v>176</v>
      </c>
      <c r="S5" s="28" t="s">
        <v>177</v>
      </c>
      <c r="T5" s="28" t="s">
        <v>179</v>
      </c>
      <c r="U5" s="28" t="s">
        <v>177</v>
      </c>
      <c r="V5" s="28" t="s">
        <v>91</v>
      </c>
      <c r="W5" s="28" t="s">
        <v>91</v>
      </c>
      <c r="X5" s="28" t="s">
        <v>181</v>
      </c>
      <c r="Y5" s="28" t="s">
        <v>183</v>
      </c>
      <c r="Z5" s="28" t="s">
        <v>184</v>
      </c>
      <c r="AA5" s="28" t="s">
        <v>185</v>
      </c>
      <c r="AB5" s="28" t="s">
        <v>186</v>
      </c>
    </row>
    <row r="6">
      <c r="A6" s="14" t="b">
        <v>1</v>
      </c>
      <c r="B6" s="16">
        <v>197.0</v>
      </c>
      <c r="C6" s="16" t="s">
        <v>188</v>
      </c>
      <c r="D6" s="16" t="s">
        <v>189</v>
      </c>
      <c r="E6" s="19">
        <v>569226.0</v>
      </c>
      <c r="F6" s="16" t="s">
        <v>194</v>
      </c>
      <c r="G6" s="16" t="s">
        <v>195</v>
      </c>
      <c r="H6" s="16" t="s">
        <v>196</v>
      </c>
      <c r="I6" s="34">
        <v>285564.0</v>
      </c>
      <c r="J6" s="16" t="s">
        <v>197</v>
      </c>
      <c r="K6" s="16" t="s">
        <v>199</v>
      </c>
      <c r="L6" s="16" t="s">
        <v>196</v>
      </c>
      <c r="M6" s="16" t="s">
        <v>201</v>
      </c>
      <c r="N6" s="16">
        <v>6.9371644087E10</v>
      </c>
      <c r="O6" s="16">
        <v>1.2195662000143E13</v>
      </c>
      <c r="P6" s="16" t="s">
        <v>91</v>
      </c>
      <c r="Q6" s="16" t="s">
        <v>203</v>
      </c>
      <c r="R6" s="16" t="s">
        <v>204</v>
      </c>
      <c r="S6" s="16" t="s">
        <v>205</v>
      </c>
      <c r="T6" s="16" t="s">
        <v>207</v>
      </c>
      <c r="U6" s="16" t="s">
        <v>208</v>
      </c>
      <c r="V6" s="16" t="s">
        <v>91</v>
      </c>
      <c r="W6" s="16" t="s">
        <v>91</v>
      </c>
      <c r="X6" s="16" t="s">
        <v>211</v>
      </c>
      <c r="Y6" s="16" t="s">
        <v>212</v>
      </c>
      <c r="Z6" s="16" t="s">
        <v>213</v>
      </c>
      <c r="AA6" s="16" t="s">
        <v>215</v>
      </c>
      <c r="AB6" s="16" t="s">
        <v>217</v>
      </c>
    </row>
    <row r="7">
      <c r="A7" s="27" t="b">
        <v>1</v>
      </c>
      <c r="B7" s="28">
        <v>52.0</v>
      </c>
      <c r="C7" s="28" t="s">
        <v>191</v>
      </c>
      <c r="D7" s="28" t="s">
        <v>113</v>
      </c>
      <c r="E7" s="30">
        <v>300000.0</v>
      </c>
      <c r="F7" s="28" t="s">
        <v>222</v>
      </c>
      <c r="G7" s="28" t="s">
        <v>224</v>
      </c>
      <c r="H7" s="28" t="s">
        <v>225</v>
      </c>
      <c r="I7" s="28">
        <v>37770.0</v>
      </c>
      <c r="J7" s="28" t="s">
        <v>226</v>
      </c>
      <c r="K7" s="28">
        <v>5.1980193111E10</v>
      </c>
      <c r="L7" s="28" t="s">
        <v>227</v>
      </c>
      <c r="M7" s="28" t="s">
        <v>225</v>
      </c>
      <c r="N7" s="28">
        <v>6.1672629004E10</v>
      </c>
      <c r="O7" s="28">
        <v>1.2121651000119E13</v>
      </c>
      <c r="P7" s="28" t="s">
        <v>91</v>
      </c>
      <c r="Q7" s="28" t="s">
        <v>230</v>
      </c>
      <c r="R7" s="28" t="s">
        <v>231</v>
      </c>
      <c r="S7" s="28" t="s">
        <v>232</v>
      </c>
      <c r="T7" s="28" t="s">
        <v>233</v>
      </c>
      <c r="U7" s="28" t="s">
        <v>235</v>
      </c>
      <c r="V7" s="28" t="s">
        <v>91</v>
      </c>
      <c r="W7" s="28" t="s">
        <v>91</v>
      </c>
      <c r="X7" s="28" t="s">
        <v>236</v>
      </c>
      <c r="Y7" s="28" t="s">
        <v>240</v>
      </c>
      <c r="Z7" s="28" t="s">
        <v>241</v>
      </c>
      <c r="AA7" s="28" t="s">
        <v>243</v>
      </c>
      <c r="AB7" s="28" t="s">
        <v>244</v>
      </c>
    </row>
    <row r="8">
      <c r="A8" s="14" t="b">
        <v>1</v>
      </c>
      <c r="B8" s="16">
        <v>340.0</v>
      </c>
      <c r="C8" s="16" t="s">
        <v>198</v>
      </c>
      <c r="D8" s="16" t="s">
        <v>247</v>
      </c>
      <c r="E8" s="19">
        <v>200000.0</v>
      </c>
      <c r="F8" s="16" t="s">
        <v>250</v>
      </c>
      <c r="G8" s="16" t="s">
        <v>253</v>
      </c>
      <c r="H8" s="16" t="s">
        <v>255</v>
      </c>
      <c r="I8" s="34">
        <v>25068.0</v>
      </c>
      <c r="J8" s="16" t="s">
        <v>258</v>
      </c>
      <c r="K8" s="16" t="s">
        <v>259</v>
      </c>
      <c r="L8" s="16" t="s">
        <v>255</v>
      </c>
      <c r="M8" s="16" t="s">
        <v>260</v>
      </c>
      <c r="N8" s="16">
        <v>5.13320008E8</v>
      </c>
      <c r="O8" s="16">
        <v>1.2104575000133E13</v>
      </c>
      <c r="P8" s="16" t="s">
        <v>91</v>
      </c>
      <c r="Q8" s="16" t="s">
        <v>261</v>
      </c>
      <c r="R8" s="16" t="s">
        <v>262</v>
      </c>
      <c r="S8" s="16" t="s">
        <v>263</v>
      </c>
      <c r="T8" s="16" t="s">
        <v>264</v>
      </c>
      <c r="U8" s="16" t="s">
        <v>266</v>
      </c>
      <c r="V8" s="16" t="s">
        <v>91</v>
      </c>
      <c r="W8" s="16" t="s">
        <v>91</v>
      </c>
      <c r="X8" s="16" t="s">
        <v>268</v>
      </c>
      <c r="Y8" s="16" t="s">
        <v>269</v>
      </c>
      <c r="Z8" s="16" t="s">
        <v>270</v>
      </c>
      <c r="AA8" s="16" t="s">
        <v>271</v>
      </c>
      <c r="AB8" s="16" t="s">
        <v>272</v>
      </c>
    </row>
    <row r="9">
      <c r="A9" s="27" t="b">
        <v>1</v>
      </c>
      <c r="B9" s="28">
        <v>183.0</v>
      </c>
      <c r="C9" s="28" t="s">
        <v>275</v>
      </c>
      <c r="D9" s="28" t="s">
        <v>276</v>
      </c>
      <c r="E9" s="30">
        <v>100000.0</v>
      </c>
      <c r="F9" s="28" t="s">
        <v>279</v>
      </c>
      <c r="G9" s="28" t="s">
        <v>282</v>
      </c>
      <c r="H9" s="28" t="s">
        <v>283</v>
      </c>
      <c r="I9" s="28">
        <v>3430.0</v>
      </c>
      <c r="J9" s="28" t="s">
        <v>285</v>
      </c>
      <c r="K9" s="28" t="s">
        <v>287</v>
      </c>
      <c r="L9" s="28" t="s">
        <v>283</v>
      </c>
      <c r="M9" s="28" t="s">
        <v>288</v>
      </c>
      <c r="N9" s="28">
        <v>2.598238052E9</v>
      </c>
      <c r="O9" s="28">
        <v>1.3895113000144E13</v>
      </c>
      <c r="P9" s="28" t="s">
        <v>91</v>
      </c>
      <c r="Q9" s="48">
        <v>2.63E7</v>
      </c>
      <c r="R9" s="48">
        <v>3.212363388E7</v>
      </c>
      <c r="S9" s="48">
        <v>3.109840325E7</v>
      </c>
      <c r="T9" s="48">
        <v>2.985056125E7</v>
      </c>
      <c r="U9" s="48">
        <v>1.312973385E7</v>
      </c>
      <c r="V9" s="28" t="s">
        <v>91</v>
      </c>
      <c r="W9" s="28" t="s">
        <v>91</v>
      </c>
      <c r="X9" s="28" t="s">
        <v>292</v>
      </c>
      <c r="Y9" s="28" t="s">
        <v>293</v>
      </c>
      <c r="Z9" s="28" t="s">
        <v>294</v>
      </c>
      <c r="AA9" s="28" t="s">
        <v>295</v>
      </c>
      <c r="AB9" s="28" t="s">
        <v>296</v>
      </c>
    </row>
    <row r="10">
      <c r="A10" s="14" t="b">
        <v>1</v>
      </c>
      <c r="B10" s="16">
        <v>391.0</v>
      </c>
      <c r="C10" s="16" t="s">
        <v>252</v>
      </c>
      <c r="D10" s="16" t="s">
        <v>299</v>
      </c>
      <c r="E10" s="19">
        <v>400000.0</v>
      </c>
      <c r="F10" s="16" t="s">
        <v>301</v>
      </c>
      <c r="G10" s="16" t="s">
        <v>302</v>
      </c>
      <c r="H10" s="16" t="s">
        <v>303</v>
      </c>
      <c r="I10" s="34">
        <v>3300.0</v>
      </c>
      <c r="J10" s="16" t="s">
        <v>304</v>
      </c>
      <c r="K10" s="16" t="s">
        <v>306</v>
      </c>
      <c r="L10" s="16" t="s">
        <v>303</v>
      </c>
      <c r="M10" s="16" t="s">
        <v>309</v>
      </c>
      <c r="N10" s="16">
        <v>8.89456003E8</v>
      </c>
      <c r="O10" s="16">
        <v>1.2077214000145E13</v>
      </c>
      <c r="P10" s="16" t="s">
        <v>91</v>
      </c>
      <c r="Q10" s="16" t="s">
        <v>312</v>
      </c>
      <c r="R10" s="16" t="s">
        <v>313</v>
      </c>
      <c r="S10" s="16" t="s">
        <v>314</v>
      </c>
      <c r="T10" s="16" t="s">
        <v>315</v>
      </c>
      <c r="U10" s="16" t="s">
        <v>317</v>
      </c>
      <c r="V10" s="16" t="s">
        <v>91</v>
      </c>
      <c r="W10" s="16" t="s">
        <v>91</v>
      </c>
      <c r="X10" s="16" t="s">
        <v>318</v>
      </c>
      <c r="Y10" s="16" t="s">
        <v>319</v>
      </c>
      <c r="Z10" s="16" t="s">
        <v>320</v>
      </c>
      <c r="AA10" s="16" t="s">
        <v>321</v>
      </c>
      <c r="AB10" s="16" t="s">
        <v>322</v>
      </c>
    </row>
    <row r="11">
      <c r="A11" s="27" t="b">
        <v>1</v>
      </c>
      <c r="B11" s="28">
        <v>112.0</v>
      </c>
      <c r="C11" s="28" t="s">
        <v>323</v>
      </c>
      <c r="D11" s="28" t="s">
        <v>324</v>
      </c>
      <c r="E11" s="30">
        <v>152600.0</v>
      </c>
      <c r="F11" s="28" t="s">
        <v>326</v>
      </c>
      <c r="G11" s="28" t="s">
        <v>327</v>
      </c>
      <c r="H11" s="28" t="s">
        <v>328</v>
      </c>
      <c r="I11" s="31">
        <v>4676.0</v>
      </c>
      <c r="J11" s="28" t="s">
        <v>329</v>
      </c>
      <c r="K11" s="28" t="s">
        <v>330</v>
      </c>
      <c r="L11" s="28" t="s">
        <v>331</v>
      </c>
      <c r="M11" s="28" t="s">
        <v>336</v>
      </c>
      <c r="N11" s="28">
        <v>8.0517838087E10</v>
      </c>
      <c r="O11" s="28">
        <v>1.186825800012E13</v>
      </c>
      <c r="P11" s="28" t="s">
        <v>91</v>
      </c>
      <c r="Q11" s="28" t="s">
        <v>337</v>
      </c>
      <c r="R11" s="28" t="s">
        <v>339</v>
      </c>
      <c r="S11" s="28" t="s">
        <v>340</v>
      </c>
      <c r="T11" s="28" t="s">
        <v>341</v>
      </c>
      <c r="U11" s="28" t="s">
        <v>343</v>
      </c>
      <c r="V11" s="28" t="s">
        <v>91</v>
      </c>
      <c r="W11" s="28" t="s">
        <v>91</v>
      </c>
      <c r="X11" s="28" t="s">
        <v>345</v>
      </c>
      <c r="Y11" s="28" t="s">
        <v>346</v>
      </c>
      <c r="Z11" s="28" t="s">
        <v>348</v>
      </c>
      <c r="AA11" s="28" t="s">
        <v>350</v>
      </c>
      <c r="AB11" s="28" t="s">
        <v>351</v>
      </c>
    </row>
    <row r="12">
      <c r="A12" s="14" t="b">
        <v>1</v>
      </c>
      <c r="B12" s="16">
        <v>506.0</v>
      </c>
      <c r="C12" s="16" t="s">
        <v>353</v>
      </c>
      <c r="D12" s="16" t="s">
        <v>354</v>
      </c>
      <c r="E12" s="19">
        <v>249321.0</v>
      </c>
      <c r="F12" s="16" t="s">
        <v>356</v>
      </c>
      <c r="G12" s="16" t="s">
        <v>358</v>
      </c>
      <c r="H12" s="16" t="s">
        <v>359</v>
      </c>
      <c r="I12" s="16">
        <v>21756.0</v>
      </c>
      <c r="J12" s="16" t="s">
        <v>361</v>
      </c>
      <c r="K12" s="16">
        <v>5.4999987889E10</v>
      </c>
      <c r="L12" s="16" t="s">
        <v>359</v>
      </c>
      <c r="M12" s="16" t="s">
        <v>362</v>
      </c>
      <c r="N12" s="16">
        <v>6.9574332004E10</v>
      </c>
      <c r="O12" s="16">
        <v>1.2117217000165E13</v>
      </c>
      <c r="P12" s="16" t="s">
        <v>91</v>
      </c>
      <c r="Q12" s="16" t="s">
        <v>363</v>
      </c>
      <c r="R12" s="16" t="s">
        <v>364</v>
      </c>
      <c r="S12" s="16" t="s">
        <v>365</v>
      </c>
      <c r="T12" s="16" t="s">
        <v>366</v>
      </c>
      <c r="U12" s="16" t="s">
        <v>368</v>
      </c>
      <c r="V12" s="16" t="s">
        <v>91</v>
      </c>
      <c r="W12" s="16" t="s">
        <v>91</v>
      </c>
      <c r="X12" s="16" t="s">
        <v>369</v>
      </c>
      <c r="Y12" s="16" t="s">
        <v>370</v>
      </c>
      <c r="Z12" s="16" t="s">
        <v>371</v>
      </c>
      <c r="AA12" s="16" t="s">
        <v>372</v>
      </c>
      <c r="AB12" s="16" t="s">
        <v>358</v>
      </c>
    </row>
    <row r="13">
      <c r="A13" s="27" t="b">
        <v>1</v>
      </c>
      <c r="B13" s="28">
        <v>256.0</v>
      </c>
      <c r="C13" s="28" t="s">
        <v>333</v>
      </c>
      <c r="D13" s="28" t="s">
        <v>375</v>
      </c>
      <c r="E13" s="30">
        <v>843316.0</v>
      </c>
      <c r="F13" s="28" t="s">
        <v>378</v>
      </c>
      <c r="G13" s="28" t="s">
        <v>380</v>
      </c>
      <c r="H13" s="28" t="s">
        <v>381</v>
      </c>
      <c r="I13" s="31">
        <v>80514.0</v>
      </c>
      <c r="J13" s="28" t="s">
        <v>382</v>
      </c>
      <c r="K13" s="28" t="s">
        <v>383</v>
      </c>
      <c r="L13" s="28" t="s">
        <v>384</v>
      </c>
      <c r="M13" s="28" t="s">
        <v>385</v>
      </c>
      <c r="N13" s="28">
        <v>9.3934769004E10</v>
      </c>
      <c r="O13" s="28">
        <v>1.129512000018E13</v>
      </c>
      <c r="P13" s="28" t="s">
        <v>91</v>
      </c>
      <c r="Q13" s="28" t="s">
        <v>387</v>
      </c>
      <c r="R13" s="28" t="s">
        <v>388</v>
      </c>
      <c r="S13" s="28" t="s">
        <v>390</v>
      </c>
      <c r="T13" s="28" t="s">
        <v>391</v>
      </c>
      <c r="U13" s="28" t="s">
        <v>392</v>
      </c>
      <c r="V13" s="28" t="s">
        <v>91</v>
      </c>
      <c r="W13" s="28" t="s">
        <v>91</v>
      </c>
      <c r="X13" s="28" t="s">
        <v>394</v>
      </c>
      <c r="Y13" s="28" t="s">
        <v>395</v>
      </c>
      <c r="Z13" s="28" t="s">
        <v>396</v>
      </c>
      <c r="AA13" s="28" t="s">
        <v>397</v>
      </c>
      <c r="AB13" s="28" t="s">
        <v>398</v>
      </c>
    </row>
    <row r="14">
      <c r="A14" s="14" t="b">
        <v>1</v>
      </c>
      <c r="B14" s="16">
        <v>87.0</v>
      </c>
      <c r="C14" s="16" t="s">
        <v>400</v>
      </c>
      <c r="D14" s="16" t="s">
        <v>401</v>
      </c>
      <c r="E14" s="19">
        <v>320000.0</v>
      </c>
      <c r="F14" s="16" t="s">
        <v>402</v>
      </c>
      <c r="G14" s="16" t="s">
        <v>403</v>
      </c>
      <c r="H14" s="16" t="s">
        <v>405</v>
      </c>
      <c r="I14" s="34">
        <v>57740.0</v>
      </c>
      <c r="J14" s="16" t="s">
        <v>406</v>
      </c>
      <c r="K14" s="16" t="s">
        <v>407</v>
      </c>
      <c r="L14" s="16" t="s">
        <v>408</v>
      </c>
      <c r="M14" s="16" t="s">
        <v>405</v>
      </c>
      <c r="N14" s="16">
        <v>2.515145019E9</v>
      </c>
      <c r="O14" s="16">
        <v>1.1940346000196E13</v>
      </c>
      <c r="P14" s="16" t="s">
        <v>91</v>
      </c>
      <c r="Q14" s="16" t="s">
        <v>411</v>
      </c>
      <c r="R14" s="16" t="s">
        <v>413</v>
      </c>
      <c r="S14" s="16" t="s">
        <v>414</v>
      </c>
      <c r="T14" s="16" t="s">
        <v>415</v>
      </c>
      <c r="U14" s="16" t="s">
        <v>417</v>
      </c>
      <c r="V14" s="16" t="s">
        <v>91</v>
      </c>
      <c r="W14" s="16" t="s">
        <v>91</v>
      </c>
      <c r="X14" s="16" t="s">
        <v>419</v>
      </c>
      <c r="Y14" s="16" t="s">
        <v>421</v>
      </c>
      <c r="Z14" s="16" t="s">
        <v>423</v>
      </c>
      <c r="AA14" s="16" t="s">
        <v>424</v>
      </c>
      <c r="AB14" s="16" t="s">
        <v>425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v>
      </c>
      <c r="B1" s="2" t="s">
        <v>8</v>
      </c>
    </row>
    <row r="2">
      <c r="A2" s="2" t="s">
        <v>46</v>
      </c>
      <c r="B2" s="2" t="s">
        <v>665</v>
      </c>
    </row>
    <row r="3">
      <c r="A3" s="2" t="s">
        <v>50</v>
      </c>
      <c r="B3" s="2" t="s">
        <v>667</v>
      </c>
    </row>
    <row r="4">
      <c r="A4" s="2" t="s">
        <v>54</v>
      </c>
      <c r="B4" s="2" t="s">
        <v>669</v>
      </c>
    </row>
    <row r="5">
      <c r="A5" s="2" t="s">
        <v>62</v>
      </c>
      <c r="B5" s="2" t="s">
        <v>671</v>
      </c>
    </row>
    <row r="6">
      <c r="A6" s="2" t="s">
        <v>68</v>
      </c>
      <c r="B6" s="2" t="s">
        <v>674</v>
      </c>
    </row>
    <row r="7">
      <c r="A7" s="2" t="s">
        <v>71</v>
      </c>
      <c r="B7" s="2" t="s">
        <v>675</v>
      </c>
    </row>
    <row r="8">
      <c r="A8" s="2" t="s">
        <v>77</v>
      </c>
      <c r="B8" s="2" t="s">
        <v>674</v>
      </c>
    </row>
    <row r="9">
      <c r="A9" s="2" t="s">
        <v>85</v>
      </c>
      <c r="B9" s="2" t="s">
        <v>677</v>
      </c>
    </row>
    <row r="10">
      <c r="A10" s="2" t="s">
        <v>97</v>
      </c>
      <c r="B10" s="2" t="s">
        <v>680</v>
      </c>
    </row>
    <row r="11">
      <c r="A11" s="2" t="s">
        <v>103</v>
      </c>
      <c r="B11" s="2" t="s">
        <v>683</v>
      </c>
    </row>
    <row r="12">
      <c r="A12" s="2" t="s">
        <v>111</v>
      </c>
      <c r="B12" s="2" t="s">
        <v>686</v>
      </c>
    </row>
    <row r="13">
      <c r="A13" s="2" t="s">
        <v>47</v>
      </c>
      <c r="B13" s="2" t="s">
        <v>688</v>
      </c>
    </row>
    <row r="14">
      <c r="A14" s="2" t="s">
        <v>117</v>
      </c>
      <c r="B14" s="2" t="s">
        <v>690</v>
      </c>
    </row>
    <row r="15">
      <c r="A15" s="2" t="s">
        <v>122</v>
      </c>
      <c r="B15" s="2" t="s">
        <v>680</v>
      </c>
    </row>
    <row r="16">
      <c r="A16" s="2" t="s">
        <v>133</v>
      </c>
      <c r="B16" s="2" t="s">
        <v>693</v>
      </c>
    </row>
    <row r="17">
      <c r="A17" s="2" t="s">
        <v>150</v>
      </c>
      <c r="B17" s="2" t="s">
        <v>695</v>
      </c>
    </row>
    <row r="18">
      <c r="A18" s="2" t="s">
        <v>153</v>
      </c>
      <c r="B18" s="2" t="s">
        <v>693</v>
      </c>
    </row>
    <row r="19">
      <c r="A19" s="2" t="s">
        <v>163</v>
      </c>
      <c r="B19" s="2" t="s">
        <v>699</v>
      </c>
    </row>
    <row r="20">
      <c r="A20" s="2" t="s">
        <v>178</v>
      </c>
      <c r="B20" s="2" t="s">
        <v>702</v>
      </c>
    </row>
    <row r="21">
      <c r="A21" s="2" t="s">
        <v>187</v>
      </c>
      <c r="B21" s="2" t="s">
        <v>704</v>
      </c>
    </row>
    <row r="22">
      <c r="A22" s="2" t="s">
        <v>192</v>
      </c>
      <c r="B22" s="2" t="s">
        <v>695</v>
      </c>
    </row>
    <row r="23">
      <c r="A23" s="2" t="s">
        <v>202</v>
      </c>
      <c r="B23" s="2" t="s">
        <v>709</v>
      </c>
    </row>
    <row r="24">
      <c r="A24" s="2" t="s">
        <v>209</v>
      </c>
      <c r="B24" s="2" t="s">
        <v>690</v>
      </c>
    </row>
    <row r="25">
      <c r="A25" s="2" t="s">
        <v>214</v>
      </c>
      <c r="B25" s="2" t="s">
        <v>712</v>
      </c>
    </row>
    <row r="26">
      <c r="A26" s="2" t="s">
        <v>221</v>
      </c>
      <c r="B26" s="2" t="s">
        <v>714</v>
      </c>
    </row>
    <row r="27">
      <c r="A27" s="2" t="s">
        <v>238</v>
      </c>
      <c r="B27" s="2" t="s">
        <v>690</v>
      </c>
    </row>
    <row r="28">
      <c r="A28" s="2" t="s">
        <v>246</v>
      </c>
      <c r="B28" s="2" t="s">
        <v>695</v>
      </c>
    </row>
    <row r="29">
      <c r="A29" s="2" t="s">
        <v>273</v>
      </c>
      <c r="B29" s="2" t="s">
        <v>671</v>
      </c>
    </row>
    <row r="30">
      <c r="A30" s="2" t="s">
        <v>284</v>
      </c>
      <c r="B30" s="2" t="s">
        <v>704</v>
      </c>
    </row>
    <row r="31">
      <c r="A31" s="2" t="s">
        <v>116</v>
      </c>
      <c r="B31" s="2" t="s">
        <v>665</v>
      </c>
    </row>
    <row r="32">
      <c r="A32" s="2" t="s">
        <v>300</v>
      </c>
      <c r="B32" s="2" t="s">
        <v>709</v>
      </c>
    </row>
    <row r="33">
      <c r="A33" s="2" t="s">
        <v>311</v>
      </c>
      <c r="B33" s="2" t="s">
        <v>686</v>
      </c>
    </row>
    <row r="34">
      <c r="A34" s="2" t="s">
        <v>175</v>
      </c>
      <c r="B34" s="2" t="s">
        <v>704</v>
      </c>
    </row>
    <row r="35">
      <c r="A35" s="2" t="s">
        <v>335</v>
      </c>
      <c r="B35" s="2" t="s">
        <v>712</v>
      </c>
    </row>
    <row r="36">
      <c r="A36" s="2" t="s">
        <v>344</v>
      </c>
      <c r="B36" s="2" t="s">
        <v>667</v>
      </c>
    </row>
    <row r="37">
      <c r="A37" s="2" t="s">
        <v>352</v>
      </c>
      <c r="B37" s="2" t="s">
        <v>729</v>
      </c>
    </row>
    <row r="38">
      <c r="A38" s="2" t="s">
        <v>374</v>
      </c>
      <c r="B38" s="2" t="s">
        <v>675</v>
      </c>
    </row>
    <row r="39">
      <c r="A39" s="2" t="s">
        <v>379</v>
      </c>
      <c r="B39" s="2" t="s">
        <v>699</v>
      </c>
    </row>
    <row r="40">
      <c r="A40" s="2" t="s">
        <v>386</v>
      </c>
      <c r="B40" s="2" t="s">
        <v>704</v>
      </c>
    </row>
    <row r="41">
      <c r="A41" s="2" t="s">
        <v>399</v>
      </c>
      <c r="B41" s="2" t="s">
        <v>680</v>
      </c>
    </row>
    <row r="42">
      <c r="A42" s="2" t="s">
        <v>410</v>
      </c>
      <c r="B42" s="2" t="s">
        <v>683</v>
      </c>
    </row>
    <row r="43">
      <c r="A43" s="2" t="s">
        <v>416</v>
      </c>
      <c r="B43" s="2" t="s">
        <v>704</v>
      </c>
    </row>
    <row r="44">
      <c r="A44" s="2" t="s">
        <v>76</v>
      </c>
      <c r="B44" s="2" t="s">
        <v>693</v>
      </c>
    </row>
    <row r="45">
      <c r="A45" s="2" t="s">
        <v>426</v>
      </c>
      <c r="B45" s="2" t="s">
        <v>680</v>
      </c>
    </row>
    <row r="46">
      <c r="A46" s="2" t="s">
        <v>428</v>
      </c>
      <c r="B46" s="2" t="s">
        <v>674</v>
      </c>
    </row>
    <row r="47">
      <c r="A47" s="2" t="s">
        <v>430</v>
      </c>
      <c r="B47" s="2" t="s">
        <v>677</v>
      </c>
    </row>
    <row r="48">
      <c r="A48" s="2" t="s">
        <v>432</v>
      </c>
      <c r="B48" s="2" t="s">
        <v>677</v>
      </c>
    </row>
    <row r="49">
      <c r="A49" s="2" t="s">
        <v>436</v>
      </c>
      <c r="B49" s="2" t="s">
        <v>693</v>
      </c>
    </row>
    <row r="50">
      <c r="A50" s="2" t="s">
        <v>440</v>
      </c>
      <c r="B50" s="2" t="s">
        <v>737</v>
      </c>
    </row>
    <row r="51">
      <c r="A51" s="2" t="s">
        <v>82</v>
      </c>
      <c r="B51" s="2" t="s">
        <v>686</v>
      </c>
    </row>
    <row r="52">
      <c r="A52" s="2" t="s">
        <v>446</v>
      </c>
      <c r="B52" s="2" t="s">
        <v>729</v>
      </c>
    </row>
    <row r="53">
      <c r="A53" s="2" t="s">
        <v>448</v>
      </c>
      <c r="B53" s="2" t="s">
        <v>695</v>
      </c>
    </row>
    <row r="54">
      <c r="A54" s="2" t="s">
        <v>450</v>
      </c>
      <c r="B54" s="2" t="s">
        <v>695</v>
      </c>
    </row>
    <row r="55">
      <c r="A55" s="2" t="s">
        <v>453</v>
      </c>
      <c r="B55" s="2" t="s">
        <v>742</v>
      </c>
    </row>
    <row r="56">
      <c r="A56" s="2" t="s">
        <v>457</v>
      </c>
      <c r="B56" s="2" t="s">
        <v>671</v>
      </c>
    </row>
    <row r="57">
      <c r="A57" s="2" t="s">
        <v>460</v>
      </c>
      <c r="B57" s="2" t="s">
        <v>729</v>
      </c>
    </row>
    <row r="58">
      <c r="A58" s="2" t="s">
        <v>463</v>
      </c>
      <c r="B58" s="2" t="s">
        <v>686</v>
      </c>
    </row>
    <row r="59">
      <c r="A59" s="2" t="s">
        <v>466</v>
      </c>
      <c r="B59" s="2" t="s">
        <v>712</v>
      </c>
    </row>
    <row r="60">
      <c r="A60" s="2" t="s">
        <v>468</v>
      </c>
      <c r="B60" s="2" t="s">
        <v>665</v>
      </c>
    </row>
    <row r="61">
      <c r="A61" s="2" t="s">
        <v>469</v>
      </c>
      <c r="B61" s="2" t="s">
        <v>669</v>
      </c>
    </row>
    <row r="62">
      <c r="A62" s="2" t="s">
        <v>473</v>
      </c>
      <c r="B62" s="2" t="s">
        <v>669</v>
      </c>
    </row>
    <row r="63">
      <c r="A63" s="2" t="s">
        <v>123</v>
      </c>
      <c r="B63" s="2" t="s">
        <v>688</v>
      </c>
    </row>
    <row r="64">
      <c r="A64" s="2" t="s">
        <v>475</v>
      </c>
      <c r="B64" s="2" t="s">
        <v>667</v>
      </c>
    </row>
    <row r="65">
      <c r="A65" s="2" t="s">
        <v>480</v>
      </c>
      <c r="B65" s="2" t="s">
        <v>742</v>
      </c>
    </row>
    <row r="66">
      <c r="A66" s="2" t="s">
        <v>483</v>
      </c>
      <c r="B66" s="2" t="s">
        <v>680</v>
      </c>
    </row>
    <row r="67">
      <c r="A67" s="2" t="s">
        <v>487</v>
      </c>
      <c r="B67" s="2" t="s">
        <v>699</v>
      </c>
    </row>
    <row r="68">
      <c r="A68" s="2" t="s">
        <v>489</v>
      </c>
      <c r="B68" s="2" t="s">
        <v>760</v>
      </c>
    </row>
    <row r="69">
      <c r="A69" s="2" t="s">
        <v>494</v>
      </c>
      <c r="B69" s="2" t="s">
        <v>762</v>
      </c>
    </row>
    <row r="70">
      <c r="A70" s="2" t="s">
        <v>498</v>
      </c>
      <c r="B70" s="2" t="s">
        <v>737</v>
      </c>
    </row>
    <row r="71">
      <c r="A71" s="2" t="s">
        <v>499</v>
      </c>
      <c r="B71" s="2" t="s">
        <v>674</v>
      </c>
    </row>
    <row r="72">
      <c r="A72" s="2" t="s">
        <v>504</v>
      </c>
      <c r="B72" s="2" t="s">
        <v>704</v>
      </c>
    </row>
    <row r="73">
      <c r="A73" s="2" t="s">
        <v>70</v>
      </c>
      <c r="B73" s="2" t="s">
        <v>702</v>
      </c>
    </row>
    <row r="74">
      <c r="A74" s="2" t="s">
        <v>507</v>
      </c>
      <c r="B74" s="2" t="s">
        <v>729</v>
      </c>
    </row>
    <row r="75">
      <c r="A75" s="2" t="s">
        <v>429</v>
      </c>
      <c r="B75" s="2" t="s">
        <v>683</v>
      </c>
    </row>
    <row r="76">
      <c r="A76" s="2" t="s">
        <v>159</v>
      </c>
      <c r="B76" s="2" t="s">
        <v>776</v>
      </c>
    </row>
    <row r="77">
      <c r="A77" s="2" t="s">
        <v>512</v>
      </c>
      <c r="B77" s="2" t="s">
        <v>674</v>
      </c>
    </row>
    <row r="78">
      <c r="A78" s="2" t="s">
        <v>514</v>
      </c>
      <c r="B78" s="2" t="s">
        <v>665</v>
      </c>
    </row>
    <row r="79">
      <c r="A79" s="2" t="s">
        <v>515</v>
      </c>
      <c r="B79" s="2" t="s">
        <v>762</v>
      </c>
    </row>
    <row r="80">
      <c r="A80" s="2" t="s">
        <v>516</v>
      </c>
      <c r="B80" s="2" t="s">
        <v>690</v>
      </c>
    </row>
    <row r="81">
      <c r="A81" s="2" t="s">
        <v>180</v>
      </c>
      <c r="B81" s="2" t="s">
        <v>688</v>
      </c>
    </row>
    <row r="82">
      <c r="A82" s="2" t="s">
        <v>522</v>
      </c>
      <c r="B82" s="2" t="s">
        <v>695</v>
      </c>
    </row>
    <row r="83">
      <c r="A83" s="2" t="s">
        <v>525</v>
      </c>
      <c r="B83" s="2" t="s">
        <v>667</v>
      </c>
    </row>
    <row r="84">
      <c r="A84" s="2" t="s">
        <v>526</v>
      </c>
      <c r="B84" s="2" t="s">
        <v>709</v>
      </c>
    </row>
    <row r="85">
      <c r="A85" s="2" t="s">
        <v>529</v>
      </c>
      <c r="B85" s="2" t="s">
        <v>669</v>
      </c>
    </row>
    <row r="86">
      <c r="A86" s="2" t="s">
        <v>530</v>
      </c>
      <c r="B86" s="2" t="s">
        <v>690</v>
      </c>
    </row>
    <row r="87">
      <c r="A87" s="2" t="s">
        <v>533</v>
      </c>
      <c r="B87" s="2" t="s">
        <v>709</v>
      </c>
    </row>
    <row r="88">
      <c r="A88" s="2" t="s">
        <v>534</v>
      </c>
      <c r="B88" s="2" t="s">
        <v>686</v>
      </c>
    </row>
    <row r="89">
      <c r="A89" s="2" t="s">
        <v>537</v>
      </c>
      <c r="B89" s="2" t="s">
        <v>695</v>
      </c>
    </row>
    <row r="90">
      <c r="A90" s="2" t="s">
        <v>538</v>
      </c>
      <c r="B90" s="2" t="s">
        <v>677</v>
      </c>
    </row>
    <row r="91">
      <c r="A91" s="2" t="s">
        <v>541</v>
      </c>
      <c r="B91" s="2" t="s">
        <v>709</v>
      </c>
    </row>
    <row r="92">
      <c r="A92" s="2" t="s">
        <v>544</v>
      </c>
      <c r="B92" s="2" t="s">
        <v>693</v>
      </c>
    </row>
    <row r="93">
      <c r="A93" s="2" t="s">
        <v>546</v>
      </c>
      <c r="B93" s="2" t="s">
        <v>704</v>
      </c>
    </row>
    <row r="94">
      <c r="A94" s="2" t="s">
        <v>549</v>
      </c>
      <c r="B94" s="2" t="s">
        <v>760</v>
      </c>
    </row>
    <row r="95">
      <c r="A95" s="2" t="s">
        <v>552</v>
      </c>
      <c r="B95" s="2" t="s">
        <v>667</v>
      </c>
    </row>
    <row r="96">
      <c r="A96" s="2" t="s">
        <v>554</v>
      </c>
      <c r="B96" s="2" t="s">
        <v>671</v>
      </c>
    </row>
    <row r="97">
      <c r="A97" s="2" t="s">
        <v>559</v>
      </c>
      <c r="B97" s="2" t="s">
        <v>693</v>
      </c>
    </row>
    <row r="98">
      <c r="A98" s="2" t="s">
        <v>562</v>
      </c>
      <c r="B98" s="2" t="s">
        <v>704</v>
      </c>
    </row>
    <row r="99">
      <c r="A99" s="2" t="s">
        <v>564</v>
      </c>
      <c r="B99" s="2" t="s">
        <v>690</v>
      </c>
    </row>
    <row r="100">
      <c r="A100" s="2" t="s">
        <v>5</v>
      </c>
      <c r="B100" s="2" t="s">
        <v>714</v>
      </c>
    </row>
    <row r="101">
      <c r="A101" s="2" t="s">
        <v>568</v>
      </c>
      <c r="B101" s="2" t="s">
        <v>680</v>
      </c>
    </row>
    <row r="102">
      <c r="A102" s="2" t="s">
        <v>569</v>
      </c>
      <c r="B102" s="2" t="s">
        <v>699</v>
      </c>
    </row>
    <row r="103">
      <c r="A103" s="2" t="s">
        <v>572</v>
      </c>
      <c r="B103" s="2" t="s">
        <v>742</v>
      </c>
    </row>
    <row r="104">
      <c r="A104" s="2" t="s">
        <v>573</v>
      </c>
      <c r="B104" s="2" t="s">
        <v>680</v>
      </c>
    </row>
    <row r="105">
      <c r="A105" s="2" t="s">
        <v>216</v>
      </c>
      <c r="B105" s="2" t="s">
        <v>712</v>
      </c>
    </row>
    <row r="106">
      <c r="A106" s="2" t="s">
        <v>576</v>
      </c>
      <c r="B106" s="2" t="s">
        <v>704</v>
      </c>
    </row>
    <row r="107">
      <c r="A107" s="2" t="s">
        <v>579</v>
      </c>
      <c r="B107" s="2" t="s">
        <v>729</v>
      </c>
    </row>
    <row r="108">
      <c r="A108" s="2" t="s">
        <v>580</v>
      </c>
      <c r="B108" s="2" t="s">
        <v>690</v>
      </c>
    </row>
    <row r="109">
      <c r="A109" s="2" t="s">
        <v>581</v>
      </c>
      <c r="B109" s="2" t="s">
        <v>699</v>
      </c>
    </row>
    <row r="110">
      <c r="A110" s="2" t="s">
        <v>583</v>
      </c>
      <c r="B110" s="2" t="s">
        <v>709</v>
      </c>
    </row>
    <row r="111">
      <c r="A111" s="2" t="s">
        <v>584</v>
      </c>
      <c r="B111" s="2" t="s">
        <v>760</v>
      </c>
    </row>
    <row r="112">
      <c r="A112" s="2" t="s">
        <v>585</v>
      </c>
      <c r="B112" s="2" t="s">
        <v>695</v>
      </c>
    </row>
    <row r="113">
      <c r="A113" s="2" t="s">
        <v>586</v>
      </c>
      <c r="B113" s="2" t="s">
        <v>677</v>
      </c>
    </row>
    <row r="114">
      <c r="A114" s="2" t="s">
        <v>587</v>
      </c>
      <c r="B114" s="2" t="s">
        <v>671</v>
      </c>
    </row>
    <row r="115">
      <c r="A115" s="2" t="s">
        <v>588</v>
      </c>
      <c r="B115" s="2" t="s">
        <v>680</v>
      </c>
    </row>
    <row r="116">
      <c r="A116" s="2" t="s">
        <v>590</v>
      </c>
      <c r="B116" s="2" t="s">
        <v>695</v>
      </c>
    </row>
    <row r="117">
      <c r="A117" s="2" t="s">
        <v>591</v>
      </c>
      <c r="B117" s="2" t="s">
        <v>677</v>
      </c>
    </row>
    <row r="118">
      <c r="A118" s="2" t="s">
        <v>595</v>
      </c>
      <c r="B118" s="2" t="s">
        <v>671</v>
      </c>
    </row>
    <row r="119">
      <c r="A119" s="2" t="s">
        <v>596</v>
      </c>
      <c r="B119" s="2" t="s">
        <v>729</v>
      </c>
    </row>
    <row r="120">
      <c r="A120" s="2" t="s">
        <v>598</v>
      </c>
      <c r="B120" s="2" t="s">
        <v>693</v>
      </c>
    </row>
    <row r="121">
      <c r="A121" s="2" t="s">
        <v>60</v>
      </c>
      <c r="B121" s="2" t="s">
        <v>693</v>
      </c>
    </row>
    <row r="122">
      <c r="A122" s="2" t="s">
        <v>601</v>
      </c>
      <c r="B122" s="2" t="s">
        <v>760</v>
      </c>
    </row>
    <row r="123">
      <c r="A123" s="2" t="s">
        <v>602</v>
      </c>
      <c r="B123" s="2" t="s">
        <v>729</v>
      </c>
    </row>
    <row r="124">
      <c r="A124" s="2" t="s">
        <v>603</v>
      </c>
      <c r="B124" s="2" t="s">
        <v>699</v>
      </c>
    </row>
    <row r="125">
      <c r="A125" s="2" t="s">
        <v>605</v>
      </c>
      <c r="B125" s="2" t="s">
        <v>680</v>
      </c>
    </row>
    <row r="126">
      <c r="A126" s="2" t="s">
        <v>607</v>
      </c>
      <c r="B126" s="2" t="s">
        <v>677</v>
      </c>
    </row>
    <row r="127">
      <c r="A127" s="2" t="s">
        <v>608</v>
      </c>
      <c r="B127" s="2" t="s">
        <v>704</v>
      </c>
    </row>
    <row r="128">
      <c r="A128" s="2" t="s">
        <v>609</v>
      </c>
      <c r="B128" s="2" t="s">
        <v>695</v>
      </c>
    </row>
    <row r="129">
      <c r="A129" s="2" t="s">
        <v>610</v>
      </c>
      <c r="B129" s="2" t="s">
        <v>760</v>
      </c>
    </row>
    <row r="130">
      <c r="A130" s="2" t="s">
        <v>611</v>
      </c>
      <c r="B130" s="2" t="s">
        <v>729</v>
      </c>
    </row>
    <row r="131">
      <c r="A131" s="2" t="s">
        <v>612</v>
      </c>
      <c r="B131" s="2" t="s">
        <v>742</v>
      </c>
    </row>
    <row r="132">
      <c r="A132" s="2" t="s">
        <v>613</v>
      </c>
      <c r="B132" s="2" t="s">
        <v>669</v>
      </c>
    </row>
    <row r="133">
      <c r="A133" s="2" t="s">
        <v>102</v>
      </c>
      <c r="B133" s="2" t="s">
        <v>702</v>
      </c>
    </row>
    <row r="134">
      <c r="A134" s="2" t="s">
        <v>614</v>
      </c>
      <c r="B134" s="2" t="s">
        <v>680</v>
      </c>
    </row>
    <row r="135">
      <c r="A135" s="2" t="s">
        <v>248</v>
      </c>
      <c r="B135" s="2" t="s">
        <v>693</v>
      </c>
    </row>
    <row r="136">
      <c r="A136" s="2" t="s">
        <v>615</v>
      </c>
      <c r="B136" s="2" t="s">
        <v>699</v>
      </c>
    </row>
    <row r="137">
      <c r="A137" s="2" t="s">
        <v>617</v>
      </c>
      <c r="B137" s="2" t="s">
        <v>709</v>
      </c>
    </row>
    <row r="138">
      <c r="A138" s="2" t="s">
        <v>619</v>
      </c>
      <c r="B138" s="2" t="s">
        <v>665</v>
      </c>
    </row>
    <row r="139">
      <c r="A139" s="2" t="s">
        <v>620</v>
      </c>
      <c r="B139" s="2" t="s">
        <v>669</v>
      </c>
    </row>
    <row r="140">
      <c r="A140" s="2" t="s">
        <v>621</v>
      </c>
      <c r="B140" s="2" t="s">
        <v>674</v>
      </c>
    </row>
    <row r="141">
      <c r="A141" s="2" t="s">
        <v>622</v>
      </c>
      <c r="B141" s="2" t="s">
        <v>695</v>
      </c>
    </row>
    <row r="142">
      <c r="A142" s="2" t="s">
        <v>624</v>
      </c>
      <c r="B142" s="2" t="s">
        <v>688</v>
      </c>
    </row>
    <row r="143">
      <c r="A143" s="2" t="s">
        <v>141</v>
      </c>
      <c r="B143" s="2" t="s">
        <v>695</v>
      </c>
    </row>
    <row r="144">
      <c r="A144" s="2" t="s">
        <v>625</v>
      </c>
      <c r="B144" s="2" t="s">
        <v>776</v>
      </c>
    </row>
    <row r="145">
      <c r="A145" s="2" t="s">
        <v>626</v>
      </c>
      <c r="B145" s="2" t="s">
        <v>680</v>
      </c>
    </row>
    <row r="146">
      <c r="A146" s="2" t="s">
        <v>627</v>
      </c>
      <c r="B146" s="2" t="s">
        <v>742</v>
      </c>
    </row>
    <row r="147">
      <c r="A147" s="2" t="s">
        <v>628</v>
      </c>
      <c r="B147" s="2" t="s">
        <v>704</v>
      </c>
    </row>
    <row r="148">
      <c r="A148" s="2" t="s">
        <v>630</v>
      </c>
      <c r="B148" s="2" t="s">
        <v>704</v>
      </c>
    </row>
    <row r="149">
      <c r="A149" s="2" t="s">
        <v>632</v>
      </c>
      <c r="B149" s="2" t="s">
        <v>704</v>
      </c>
    </row>
    <row r="150">
      <c r="A150" s="2" t="s">
        <v>633</v>
      </c>
      <c r="B150" s="2" t="s">
        <v>760</v>
      </c>
    </row>
    <row r="151">
      <c r="A151" s="2" t="s">
        <v>634</v>
      </c>
      <c r="B151" s="2" t="s">
        <v>690</v>
      </c>
    </row>
    <row r="152">
      <c r="A152" s="2" t="s">
        <v>635</v>
      </c>
      <c r="B152" s="2" t="s">
        <v>704</v>
      </c>
    </row>
    <row r="153">
      <c r="A153" s="2" t="s">
        <v>636</v>
      </c>
      <c r="B153" s="2" t="s">
        <v>680</v>
      </c>
    </row>
    <row r="154">
      <c r="A154" s="2" t="s">
        <v>637</v>
      </c>
      <c r="B154" s="2" t="s">
        <v>737</v>
      </c>
    </row>
    <row r="155">
      <c r="A155" s="2" t="s">
        <v>638</v>
      </c>
      <c r="B155" s="2" t="s">
        <v>729</v>
      </c>
    </row>
    <row r="156">
      <c r="A156" s="2" t="s">
        <v>439</v>
      </c>
      <c r="B156" s="2" t="s">
        <v>683</v>
      </c>
    </row>
    <row r="157">
      <c r="A157" s="2" t="s">
        <v>639</v>
      </c>
      <c r="B157" s="2" t="s">
        <v>704</v>
      </c>
    </row>
    <row r="158">
      <c r="A158" s="2" t="s">
        <v>310</v>
      </c>
      <c r="B158" s="2" t="s">
        <v>702</v>
      </c>
    </row>
    <row r="159">
      <c r="A159" s="2" t="s">
        <v>165</v>
      </c>
      <c r="B159" s="2" t="s">
        <v>688</v>
      </c>
    </row>
    <row r="160">
      <c r="A160" s="2" t="s">
        <v>642</v>
      </c>
      <c r="B160" s="2" t="s">
        <v>695</v>
      </c>
    </row>
    <row r="161">
      <c r="A161" s="2" t="s">
        <v>643</v>
      </c>
      <c r="B161" s="2" t="s">
        <v>714</v>
      </c>
    </row>
    <row r="162">
      <c r="A162" s="2" t="s">
        <v>644</v>
      </c>
      <c r="B162" s="2" t="s">
        <v>742</v>
      </c>
    </row>
    <row r="163">
      <c r="A163" s="2" t="s">
        <v>645</v>
      </c>
      <c r="B163" s="2" t="s">
        <v>693</v>
      </c>
    </row>
    <row r="164">
      <c r="A164" s="2" t="s">
        <v>182</v>
      </c>
      <c r="B164" s="2" t="s">
        <v>693</v>
      </c>
    </row>
    <row r="165">
      <c r="A165" s="2" t="s">
        <v>647</v>
      </c>
      <c r="B165" s="2" t="s">
        <v>669</v>
      </c>
    </row>
    <row r="166">
      <c r="A166" s="2" t="s">
        <v>648</v>
      </c>
      <c r="B166" s="2" t="s">
        <v>704</v>
      </c>
    </row>
    <row r="167">
      <c r="A167" s="2" t="s">
        <v>649</v>
      </c>
      <c r="B167" s="2" t="s">
        <v>695</v>
      </c>
    </row>
    <row r="168">
      <c r="A168" s="2" t="s">
        <v>114</v>
      </c>
      <c r="B168" s="2" t="s">
        <v>686</v>
      </c>
    </row>
    <row r="169">
      <c r="A169" s="2" t="s">
        <v>651</v>
      </c>
      <c r="B169" s="2" t="s">
        <v>693</v>
      </c>
    </row>
    <row r="170">
      <c r="A170" s="2" t="s">
        <v>653</v>
      </c>
      <c r="B170" s="2" t="s">
        <v>704</v>
      </c>
    </row>
    <row r="171">
      <c r="A171" s="2" t="s">
        <v>654</v>
      </c>
      <c r="B171" s="2" t="s">
        <v>683</v>
      </c>
    </row>
    <row r="172">
      <c r="A172" s="2" t="s">
        <v>655</v>
      </c>
      <c r="B172" s="2" t="s">
        <v>669</v>
      </c>
    </row>
    <row r="173">
      <c r="A173" s="2" t="s">
        <v>404</v>
      </c>
      <c r="B173" s="2" t="s">
        <v>695</v>
      </c>
    </row>
    <row r="174">
      <c r="A174" s="2" t="s">
        <v>656</v>
      </c>
      <c r="B174" s="2" t="s">
        <v>677</v>
      </c>
    </row>
    <row r="175">
      <c r="A175" s="2" t="s">
        <v>657</v>
      </c>
      <c r="B175" s="2" t="s">
        <v>680</v>
      </c>
    </row>
    <row r="176">
      <c r="A176" s="2" t="s">
        <v>658</v>
      </c>
      <c r="B176" s="2" t="s">
        <v>693</v>
      </c>
    </row>
    <row r="177">
      <c r="A177" s="2" t="s">
        <v>659</v>
      </c>
      <c r="B177" s="2" t="s">
        <v>742</v>
      </c>
    </row>
    <row r="178">
      <c r="A178" s="2" t="s">
        <v>660</v>
      </c>
      <c r="B178" s="2" t="s">
        <v>704</v>
      </c>
    </row>
    <row r="179">
      <c r="A179" s="2" t="s">
        <v>502</v>
      </c>
      <c r="B179" s="2" t="s">
        <v>712</v>
      </c>
    </row>
    <row r="180">
      <c r="A180" s="2" t="s">
        <v>663</v>
      </c>
      <c r="B180" s="2" t="s">
        <v>760</v>
      </c>
    </row>
    <row r="181">
      <c r="A181" s="2" t="s">
        <v>664</v>
      </c>
      <c r="B181" s="2" t="s">
        <v>704</v>
      </c>
    </row>
    <row r="182">
      <c r="A182" s="2" t="s">
        <v>666</v>
      </c>
      <c r="B182" s="2" t="s">
        <v>742</v>
      </c>
    </row>
    <row r="183">
      <c r="A183" s="2" t="s">
        <v>668</v>
      </c>
      <c r="B183" s="2" t="s">
        <v>688</v>
      </c>
    </row>
    <row r="184">
      <c r="A184" s="2" t="s">
        <v>48</v>
      </c>
      <c r="B184" s="2" t="s">
        <v>762</v>
      </c>
    </row>
    <row r="185">
      <c r="A185" s="2" t="s">
        <v>670</v>
      </c>
      <c r="B185" s="2" t="s">
        <v>680</v>
      </c>
    </row>
    <row r="186">
      <c r="A186" s="2" t="s">
        <v>672</v>
      </c>
      <c r="B186" s="2" t="s">
        <v>683</v>
      </c>
    </row>
    <row r="187">
      <c r="A187" s="2" t="s">
        <v>188</v>
      </c>
      <c r="B187" s="2" t="s">
        <v>688</v>
      </c>
    </row>
    <row r="188">
      <c r="A188" s="2" t="s">
        <v>676</v>
      </c>
      <c r="B188" s="2" t="s">
        <v>693</v>
      </c>
    </row>
    <row r="189">
      <c r="A189" s="2" t="s">
        <v>449</v>
      </c>
      <c r="B189" s="2" t="s">
        <v>699</v>
      </c>
    </row>
    <row r="190">
      <c r="A190" s="2" t="s">
        <v>505</v>
      </c>
      <c r="B190" s="2" t="s">
        <v>693</v>
      </c>
    </row>
    <row r="191">
      <c r="A191" s="2" t="s">
        <v>678</v>
      </c>
      <c r="B191" s="2" t="s">
        <v>742</v>
      </c>
    </row>
    <row r="192">
      <c r="A192" s="2" t="s">
        <v>681</v>
      </c>
      <c r="B192" s="2" t="s">
        <v>686</v>
      </c>
    </row>
    <row r="193">
      <c r="A193" s="2" t="s">
        <v>684</v>
      </c>
      <c r="B193" s="2" t="s">
        <v>776</v>
      </c>
    </row>
    <row r="194">
      <c r="A194" s="2" t="s">
        <v>685</v>
      </c>
      <c r="B194" s="2" t="s">
        <v>674</v>
      </c>
    </row>
    <row r="195">
      <c r="A195" s="2" t="s">
        <v>687</v>
      </c>
      <c r="B195" s="2" t="s">
        <v>665</v>
      </c>
    </row>
    <row r="196">
      <c r="A196" s="2" t="s">
        <v>689</v>
      </c>
      <c r="B196" s="2" t="s">
        <v>729</v>
      </c>
    </row>
    <row r="197">
      <c r="A197" s="2" t="s">
        <v>447</v>
      </c>
      <c r="B197" s="2" t="s">
        <v>714</v>
      </c>
    </row>
    <row r="198">
      <c r="A198" s="2" t="s">
        <v>691</v>
      </c>
      <c r="B198" s="2" t="s">
        <v>667</v>
      </c>
    </row>
    <row r="199">
      <c r="A199" s="2" t="s">
        <v>692</v>
      </c>
      <c r="B199" s="2" t="s">
        <v>667</v>
      </c>
    </row>
    <row r="200">
      <c r="A200" s="2" t="s">
        <v>694</v>
      </c>
      <c r="B200" s="2" t="s">
        <v>683</v>
      </c>
    </row>
    <row r="201">
      <c r="A201" s="2" t="s">
        <v>696</v>
      </c>
      <c r="B201" s="2" t="s">
        <v>677</v>
      </c>
    </row>
    <row r="202">
      <c r="A202" s="2" t="s">
        <v>191</v>
      </c>
      <c r="B202" s="2" t="s">
        <v>914</v>
      </c>
    </row>
    <row r="203">
      <c r="A203" s="2" t="s">
        <v>698</v>
      </c>
      <c r="B203" s="2" t="s">
        <v>671</v>
      </c>
    </row>
    <row r="204">
      <c r="A204" s="2" t="s">
        <v>701</v>
      </c>
      <c r="B204" s="2" t="s">
        <v>695</v>
      </c>
    </row>
    <row r="205">
      <c r="A205" s="2" t="s">
        <v>703</v>
      </c>
      <c r="B205" s="2" t="s">
        <v>709</v>
      </c>
    </row>
    <row r="206">
      <c r="A206" s="2" t="s">
        <v>458</v>
      </c>
      <c r="B206" s="2" t="s">
        <v>695</v>
      </c>
    </row>
    <row r="207">
      <c r="A207" s="2" t="s">
        <v>706</v>
      </c>
      <c r="B207" s="2" t="s">
        <v>674</v>
      </c>
    </row>
    <row r="208">
      <c r="A208" s="2" t="s">
        <v>707</v>
      </c>
      <c r="B208" s="2" t="s">
        <v>729</v>
      </c>
    </row>
    <row r="209">
      <c r="A209" s="2" t="s">
        <v>710</v>
      </c>
      <c r="B209" s="2" t="s">
        <v>737</v>
      </c>
    </row>
    <row r="210">
      <c r="A210" s="2" t="s">
        <v>711</v>
      </c>
      <c r="B210" s="2" t="s">
        <v>704</v>
      </c>
    </row>
    <row r="211">
      <c r="A211" s="2" t="s">
        <v>713</v>
      </c>
      <c r="B211" s="2" t="s">
        <v>680</v>
      </c>
    </row>
    <row r="212">
      <c r="A212" s="2" t="s">
        <v>715</v>
      </c>
      <c r="B212" s="2" t="s">
        <v>669</v>
      </c>
    </row>
    <row r="213">
      <c r="A213" s="2" t="s">
        <v>716</v>
      </c>
      <c r="B213" s="2" t="s">
        <v>675</v>
      </c>
    </row>
    <row r="214">
      <c r="A214" s="2" t="s">
        <v>718</v>
      </c>
      <c r="B214" s="2" t="s">
        <v>695</v>
      </c>
    </row>
    <row r="215">
      <c r="A215" s="2" t="s">
        <v>720</v>
      </c>
      <c r="B215" s="2" t="s">
        <v>675</v>
      </c>
    </row>
    <row r="216">
      <c r="A216" s="2" t="s">
        <v>721</v>
      </c>
      <c r="B216" s="2" t="s">
        <v>709</v>
      </c>
    </row>
    <row r="217">
      <c r="A217" s="2" t="s">
        <v>722</v>
      </c>
      <c r="B217" s="2" t="s">
        <v>704</v>
      </c>
    </row>
    <row r="218">
      <c r="A218" s="2" t="s">
        <v>723</v>
      </c>
      <c r="B218" s="2" t="s">
        <v>669</v>
      </c>
    </row>
    <row r="219">
      <c r="A219" s="2" t="s">
        <v>198</v>
      </c>
      <c r="B219" s="2" t="s">
        <v>702</v>
      </c>
    </row>
    <row r="220">
      <c r="A220" s="2" t="s">
        <v>725</v>
      </c>
      <c r="B220" s="2" t="s">
        <v>680</v>
      </c>
    </row>
    <row r="221">
      <c r="A221" s="2" t="s">
        <v>726</v>
      </c>
      <c r="B221" s="2" t="s">
        <v>714</v>
      </c>
    </row>
    <row r="222">
      <c r="A222" s="2" t="s">
        <v>727</v>
      </c>
      <c r="B222" s="2" t="s">
        <v>704</v>
      </c>
    </row>
    <row r="223">
      <c r="A223" s="2" t="s">
        <v>728</v>
      </c>
      <c r="B223" s="2" t="s">
        <v>690</v>
      </c>
    </row>
    <row r="224">
      <c r="A224" s="2" t="s">
        <v>206</v>
      </c>
      <c r="B224" s="2" t="s">
        <v>669</v>
      </c>
    </row>
    <row r="225">
      <c r="A225" s="2" t="s">
        <v>730</v>
      </c>
      <c r="B225" s="2" t="s">
        <v>737</v>
      </c>
    </row>
    <row r="226">
      <c r="A226" s="2" t="s">
        <v>731</v>
      </c>
      <c r="B226" s="2" t="s">
        <v>669</v>
      </c>
    </row>
    <row r="227">
      <c r="A227" s="2" t="s">
        <v>732</v>
      </c>
      <c r="B227" s="2" t="s">
        <v>671</v>
      </c>
    </row>
    <row r="228">
      <c r="A228" s="2" t="s">
        <v>735</v>
      </c>
      <c r="B228" s="2" t="s">
        <v>669</v>
      </c>
    </row>
    <row r="229">
      <c r="A229" s="2" t="s">
        <v>736</v>
      </c>
      <c r="B229" s="2" t="s">
        <v>714</v>
      </c>
    </row>
    <row r="230">
      <c r="A230" s="2" t="s">
        <v>740</v>
      </c>
      <c r="B230" s="2" t="s">
        <v>714</v>
      </c>
    </row>
    <row r="231">
      <c r="A231" s="2" t="s">
        <v>741</v>
      </c>
      <c r="B231" s="2" t="s">
        <v>677</v>
      </c>
    </row>
    <row r="232">
      <c r="A232" s="2" t="s">
        <v>470</v>
      </c>
      <c r="B232" s="2" t="s">
        <v>667</v>
      </c>
    </row>
    <row r="233">
      <c r="A233" s="2" t="s">
        <v>115</v>
      </c>
      <c r="B233" s="2" t="s">
        <v>695</v>
      </c>
    </row>
    <row r="234">
      <c r="A234" s="2" t="s">
        <v>745</v>
      </c>
      <c r="B234" s="2" t="s">
        <v>680</v>
      </c>
    </row>
    <row r="235">
      <c r="A235" s="2" t="s">
        <v>746</v>
      </c>
      <c r="B235" s="2" t="s">
        <v>665</v>
      </c>
    </row>
    <row r="236">
      <c r="A236" s="2" t="s">
        <v>747</v>
      </c>
      <c r="B236" s="2" t="s">
        <v>680</v>
      </c>
    </row>
    <row r="237">
      <c r="A237" s="2" t="s">
        <v>210</v>
      </c>
      <c r="B237" s="2" t="s">
        <v>702</v>
      </c>
    </row>
    <row r="238">
      <c r="A238" s="2" t="s">
        <v>748</v>
      </c>
      <c r="B238" s="2" t="s">
        <v>686</v>
      </c>
    </row>
    <row r="239">
      <c r="A239" s="2" t="s">
        <v>750</v>
      </c>
      <c r="B239" s="2" t="s">
        <v>667</v>
      </c>
    </row>
    <row r="240">
      <c r="A240" s="2" t="s">
        <v>752</v>
      </c>
      <c r="B240" s="2" t="s">
        <v>675</v>
      </c>
    </row>
    <row r="241">
      <c r="A241" s="2" t="s">
        <v>753</v>
      </c>
      <c r="B241" s="2" t="s">
        <v>709</v>
      </c>
    </row>
    <row r="242">
      <c r="A242" s="2" t="s">
        <v>754</v>
      </c>
      <c r="B242" s="2" t="s">
        <v>675</v>
      </c>
    </row>
    <row r="243">
      <c r="A243" s="2" t="s">
        <v>575</v>
      </c>
      <c r="B243" s="2" t="s">
        <v>709</v>
      </c>
    </row>
    <row r="244">
      <c r="A244" s="2" t="s">
        <v>755</v>
      </c>
      <c r="B244" s="2" t="s">
        <v>686</v>
      </c>
    </row>
    <row r="245">
      <c r="A245" s="2" t="s">
        <v>623</v>
      </c>
      <c r="B245" s="2" t="s">
        <v>760</v>
      </c>
    </row>
    <row r="246">
      <c r="A246" s="2" t="s">
        <v>756</v>
      </c>
      <c r="B246" s="2" t="s">
        <v>704</v>
      </c>
    </row>
    <row r="247">
      <c r="A247" s="2" t="s">
        <v>758</v>
      </c>
      <c r="B247" s="2" t="s">
        <v>699</v>
      </c>
    </row>
    <row r="248">
      <c r="A248" s="2" t="s">
        <v>759</v>
      </c>
      <c r="B248" s="2" t="s">
        <v>704</v>
      </c>
    </row>
    <row r="249">
      <c r="A249" s="2" t="s">
        <v>761</v>
      </c>
      <c r="B249" s="2" t="s">
        <v>695</v>
      </c>
    </row>
    <row r="250">
      <c r="A250" s="2" t="s">
        <v>763</v>
      </c>
      <c r="B250" s="2" t="s">
        <v>669</v>
      </c>
    </row>
    <row r="251">
      <c r="A251" s="2" t="s">
        <v>765</v>
      </c>
      <c r="B251" s="2" t="s">
        <v>760</v>
      </c>
    </row>
    <row r="252">
      <c r="A252" s="2" t="s">
        <v>766</v>
      </c>
      <c r="B252" s="2" t="s">
        <v>776</v>
      </c>
    </row>
    <row r="253">
      <c r="A253" s="2" t="s">
        <v>767</v>
      </c>
      <c r="B253" s="2" t="s">
        <v>742</v>
      </c>
    </row>
    <row r="254">
      <c r="A254" s="2" t="s">
        <v>768</v>
      </c>
      <c r="B254" s="2" t="s">
        <v>667</v>
      </c>
    </row>
    <row r="255">
      <c r="A255" s="2" t="s">
        <v>769</v>
      </c>
      <c r="B255" s="2" t="s">
        <v>712</v>
      </c>
    </row>
    <row r="256">
      <c r="A256" s="2" t="s">
        <v>770</v>
      </c>
      <c r="B256" s="2" t="s">
        <v>729</v>
      </c>
    </row>
    <row r="257">
      <c r="A257" s="2" t="s">
        <v>771</v>
      </c>
      <c r="B257" s="2" t="s">
        <v>693</v>
      </c>
    </row>
    <row r="258">
      <c r="A258" s="2" t="s">
        <v>774</v>
      </c>
      <c r="B258" s="2" t="s">
        <v>737</v>
      </c>
    </row>
    <row r="259">
      <c r="A259" s="2" t="s">
        <v>775</v>
      </c>
      <c r="B259" s="2" t="s">
        <v>693</v>
      </c>
    </row>
    <row r="260">
      <c r="A260" s="2" t="s">
        <v>338</v>
      </c>
      <c r="B260" s="2" t="s">
        <v>686</v>
      </c>
    </row>
    <row r="261">
      <c r="A261" s="2" t="s">
        <v>777</v>
      </c>
      <c r="B261" s="2" t="s">
        <v>683</v>
      </c>
    </row>
    <row r="262">
      <c r="A262" s="2" t="s">
        <v>778</v>
      </c>
      <c r="B262" s="2" t="s">
        <v>709</v>
      </c>
    </row>
    <row r="263">
      <c r="A263" s="2" t="s">
        <v>779</v>
      </c>
      <c r="B263" s="2" t="s">
        <v>690</v>
      </c>
    </row>
    <row r="264">
      <c r="A264" s="2" t="s">
        <v>496</v>
      </c>
      <c r="B264" s="2" t="s">
        <v>702</v>
      </c>
    </row>
    <row r="265">
      <c r="A265" s="2" t="s">
        <v>782</v>
      </c>
      <c r="B265" s="2" t="s">
        <v>709</v>
      </c>
    </row>
    <row r="266">
      <c r="A266" s="2" t="s">
        <v>593</v>
      </c>
      <c r="B266" s="2" t="s">
        <v>695</v>
      </c>
    </row>
    <row r="267">
      <c r="A267" s="2" t="s">
        <v>783</v>
      </c>
      <c r="B267" s="2" t="s">
        <v>737</v>
      </c>
    </row>
    <row r="268">
      <c r="A268" s="2" t="s">
        <v>784</v>
      </c>
      <c r="B268" s="2" t="s">
        <v>760</v>
      </c>
    </row>
    <row r="269">
      <c r="A269" s="2" t="s">
        <v>785</v>
      </c>
      <c r="B269" s="2" t="s">
        <v>677</v>
      </c>
    </row>
    <row r="270">
      <c r="A270" s="2" t="s">
        <v>786</v>
      </c>
      <c r="B270" s="2" t="s">
        <v>760</v>
      </c>
    </row>
    <row r="271">
      <c r="A271" s="2" t="s">
        <v>787</v>
      </c>
      <c r="B271" s="2" t="s">
        <v>680</v>
      </c>
    </row>
    <row r="272">
      <c r="A272" s="2" t="s">
        <v>788</v>
      </c>
      <c r="B272" s="2" t="s">
        <v>760</v>
      </c>
    </row>
    <row r="273">
      <c r="A273" s="2" t="s">
        <v>789</v>
      </c>
      <c r="B273" s="2" t="s">
        <v>693</v>
      </c>
    </row>
    <row r="274">
      <c r="A274" s="2" t="s">
        <v>790</v>
      </c>
      <c r="B274" s="2" t="s">
        <v>693</v>
      </c>
    </row>
    <row r="275">
      <c r="A275" s="2" t="s">
        <v>792</v>
      </c>
      <c r="B275" s="2" t="s">
        <v>680</v>
      </c>
    </row>
    <row r="276">
      <c r="A276" s="2" t="s">
        <v>793</v>
      </c>
      <c r="B276" s="2" t="s">
        <v>695</v>
      </c>
    </row>
    <row r="277">
      <c r="A277" s="2" t="s">
        <v>794</v>
      </c>
      <c r="B277" s="2" t="s">
        <v>674</v>
      </c>
    </row>
    <row r="278">
      <c r="A278" s="2" t="s">
        <v>795</v>
      </c>
      <c r="B278" s="2" t="s">
        <v>669</v>
      </c>
    </row>
    <row r="279">
      <c r="A279" s="2" t="s">
        <v>757</v>
      </c>
      <c r="B279" s="2" t="s">
        <v>702</v>
      </c>
    </row>
    <row r="280">
      <c r="A280" s="2" t="s">
        <v>796</v>
      </c>
      <c r="B280" s="2" t="s">
        <v>693</v>
      </c>
    </row>
    <row r="281">
      <c r="A281" s="2" t="s">
        <v>49</v>
      </c>
      <c r="B281" s="2" t="s">
        <v>669</v>
      </c>
    </row>
    <row r="282">
      <c r="A282" s="2" t="s">
        <v>219</v>
      </c>
      <c r="B282" s="2" t="s">
        <v>762</v>
      </c>
    </row>
    <row r="283">
      <c r="A283" s="2" t="s">
        <v>798</v>
      </c>
      <c r="B283" s="2" t="s">
        <v>693</v>
      </c>
    </row>
    <row r="284">
      <c r="A284" s="2" t="s">
        <v>799</v>
      </c>
      <c r="B284" s="2" t="s">
        <v>671</v>
      </c>
    </row>
    <row r="285">
      <c r="A285" s="2" t="s">
        <v>800</v>
      </c>
      <c r="B285" s="2" t="s">
        <v>693</v>
      </c>
    </row>
    <row r="286">
      <c r="A286" s="2" t="s">
        <v>508</v>
      </c>
      <c r="B286" s="2" t="s">
        <v>688</v>
      </c>
    </row>
    <row r="287">
      <c r="A287" s="2" t="s">
        <v>802</v>
      </c>
      <c r="B287" s="2" t="s">
        <v>714</v>
      </c>
    </row>
    <row r="288">
      <c r="A288" s="2" t="s">
        <v>239</v>
      </c>
      <c r="B288" s="2" t="s">
        <v>688</v>
      </c>
    </row>
    <row r="289">
      <c r="A289" s="2" t="s">
        <v>803</v>
      </c>
      <c r="B289" s="2" t="s">
        <v>674</v>
      </c>
    </row>
    <row r="290">
      <c r="A290" s="2" t="s">
        <v>804</v>
      </c>
      <c r="B290" s="2" t="s">
        <v>680</v>
      </c>
    </row>
    <row r="291">
      <c r="A291" s="2" t="s">
        <v>805</v>
      </c>
      <c r="B291" s="2" t="s">
        <v>680</v>
      </c>
    </row>
    <row r="292">
      <c r="A292" s="2" t="s">
        <v>806</v>
      </c>
      <c r="B292" s="2" t="s">
        <v>680</v>
      </c>
    </row>
    <row r="293">
      <c r="A293" s="2" t="s">
        <v>807</v>
      </c>
      <c r="B293" s="2" t="s">
        <v>709</v>
      </c>
    </row>
    <row r="294">
      <c r="A294" s="2" t="s">
        <v>808</v>
      </c>
      <c r="B294" s="2" t="s">
        <v>667</v>
      </c>
    </row>
    <row r="295">
      <c r="A295" s="2" t="s">
        <v>809</v>
      </c>
      <c r="B295" s="2" t="s">
        <v>709</v>
      </c>
    </row>
    <row r="296">
      <c r="A296" s="2" t="s">
        <v>810</v>
      </c>
      <c r="B296" s="2" t="s">
        <v>680</v>
      </c>
    </row>
    <row r="297">
      <c r="A297" s="2" t="s">
        <v>811</v>
      </c>
      <c r="B297" s="2" t="s">
        <v>680</v>
      </c>
    </row>
    <row r="298">
      <c r="A298" s="2" t="s">
        <v>812</v>
      </c>
      <c r="B298" s="2" t="s">
        <v>671</v>
      </c>
    </row>
    <row r="299">
      <c r="A299" s="2" t="s">
        <v>814</v>
      </c>
      <c r="B299" s="2" t="s">
        <v>776</v>
      </c>
    </row>
    <row r="300">
      <c r="A300" s="2" t="s">
        <v>816</v>
      </c>
      <c r="B300" s="2" t="s">
        <v>693</v>
      </c>
    </row>
    <row r="301">
      <c r="A301" s="2" t="s">
        <v>818</v>
      </c>
      <c r="B301" s="2" t="s">
        <v>669</v>
      </c>
    </row>
    <row r="302">
      <c r="A302" s="2" t="s">
        <v>492</v>
      </c>
      <c r="B302" s="2" t="s">
        <v>686</v>
      </c>
    </row>
    <row r="303">
      <c r="A303" s="2" t="s">
        <v>462</v>
      </c>
      <c r="B303" s="2" t="s">
        <v>914</v>
      </c>
    </row>
    <row r="304">
      <c r="A304" s="2" t="s">
        <v>819</v>
      </c>
      <c r="B304" s="2" t="s">
        <v>714</v>
      </c>
    </row>
    <row r="305">
      <c r="A305" s="2" t="s">
        <v>820</v>
      </c>
      <c r="B305" s="2" t="s">
        <v>776</v>
      </c>
    </row>
    <row r="306">
      <c r="A306" s="2" t="s">
        <v>821</v>
      </c>
      <c r="B306" s="2" t="s">
        <v>760</v>
      </c>
    </row>
    <row r="307">
      <c r="A307" s="2" t="s">
        <v>823</v>
      </c>
      <c r="B307" s="2" t="s">
        <v>704</v>
      </c>
    </row>
    <row r="308">
      <c r="A308" s="2" t="s">
        <v>824</v>
      </c>
      <c r="B308" s="2" t="s">
        <v>695</v>
      </c>
    </row>
    <row r="309">
      <c r="A309" s="2" t="s">
        <v>825</v>
      </c>
      <c r="B309" s="2" t="s">
        <v>690</v>
      </c>
    </row>
    <row r="310">
      <c r="A310" s="2" t="s">
        <v>826</v>
      </c>
      <c r="B310" s="2" t="s">
        <v>690</v>
      </c>
    </row>
    <row r="311">
      <c r="A311" s="2" t="s">
        <v>827</v>
      </c>
      <c r="B311" s="2" t="s">
        <v>671</v>
      </c>
    </row>
    <row r="312">
      <c r="A312" s="2" t="s">
        <v>119</v>
      </c>
      <c r="B312" s="2" t="s">
        <v>690</v>
      </c>
    </row>
    <row r="313">
      <c r="A313" s="2" t="s">
        <v>245</v>
      </c>
      <c r="B313" s="2" t="s">
        <v>762</v>
      </c>
    </row>
    <row r="314">
      <c r="A314" s="2" t="s">
        <v>829</v>
      </c>
      <c r="B314" s="2" t="s">
        <v>680</v>
      </c>
    </row>
    <row r="315">
      <c r="A315" s="2" t="s">
        <v>830</v>
      </c>
      <c r="B315" s="2" t="s">
        <v>737</v>
      </c>
    </row>
    <row r="316">
      <c r="A316" s="2" t="s">
        <v>831</v>
      </c>
      <c r="B316" s="2" t="s">
        <v>669</v>
      </c>
    </row>
    <row r="317">
      <c r="A317" s="2" t="s">
        <v>832</v>
      </c>
      <c r="B317" s="2" t="s">
        <v>680</v>
      </c>
    </row>
    <row r="318">
      <c r="A318" s="2" t="s">
        <v>834</v>
      </c>
      <c r="B318" s="2" t="s">
        <v>690</v>
      </c>
    </row>
    <row r="319">
      <c r="A319" s="2" t="s">
        <v>836</v>
      </c>
      <c r="B319" s="2" t="s">
        <v>693</v>
      </c>
    </row>
    <row r="320">
      <c r="A320" s="2" t="s">
        <v>837</v>
      </c>
      <c r="B320" s="2" t="s">
        <v>742</v>
      </c>
    </row>
    <row r="321">
      <c r="A321" s="2" t="s">
        <v>838</v>
      </c>
      <c r="B321" s="2" t="s">
        <v>690</v>
      </c>
    </row>
    <row r="322">
      <c r="A322" s="2" t="s">
        <v>760</v>
      </c>
      <c r="B322" s="2" t="s">
        <v>680</v>
      </c>
    </row>
    <row r="323">
      <c r="A323" s="2" t="s">
        <v>839</v>
      </c>
      <c r="B323" s="2" t="s">
        <v>695</v>
      </c>
    </row>
    <row r="324">
      <c r="A324" s="2" t="s">
        <v>840</v>
      </c>
      <c r="B324" s="2" t="s">
        <v>680</v>
      </c>
    </row>
    <row r="325">
      <c r="A325" s="2" t="s">
        <v>841</v>
      </c>
      <c r="B325" s="2" t="s">
        <v>704</v>
      </c>
    </row>
    <row r="326">
      <c r="A326" s="2" t="s">
        <v>646</v>
      </c>
      <c r="B326" s="2" t="s">
        <v>686</v>
      </c>
    </row>
    <row r="327">
      <c r="A327" s="2" t="s">
        <v>127</v>
      </c>
      <c r="B327" s="2" t="s">
        <v>688</v>
      </c>
    </row>
    <row r="328">
      <c r="A328" s="2" t="s">
        <v>842</v>
      </c>
      <c r="B328" s="2" t="s">
        <v>674</v>
      </c>
    </row>
    <row r="329">
      <c r="A329" s="2" t="s">
        <v>843</v>
      </c>
      <c r="B329" s="2" t="s">
        <v>674</v>
      </c>
    </row>
    <row r="330">
      <c r="A330" s="2" t="s">
        <v>844</v>
      </c>
      <c r="B330" s="2" t="s">
        <v>674</v>
      </c>
    </row>
    <row r="331">
      <c r="A331" s="2" t="s">
        <v>845</v>
      </c>
      <c r="B331" s="2" t="s">
        <v>742</v>
      </c>
    </row>
    <row r="332">
      <c r="A332" s="2" t="s">
        <v>846</v>
      </c>
      <c r="B332" s="2" t="s">
        <v>695</v>
      </c>
    </row>
    <row r="333">
      <c r="A333" s="2" t="s">
        <v>252</v>
      </c>
      <c r="B333" s="2" t="s">
        <v>702</v>
      </c>
    </row>
    <row r="334">
      <c r="A334" s="2" t="s">
        <v>847</v>
      </c>
      <c r="B334" s="2" t="s">
        <v>695</v>
      </c>
    </row>
    <row r="335">
      <c r="A335" s="2" t="s">
        <v>849</v>
      </c>
      <c r="B335" s="2" t="s">
        <v>693</v>
      </c>
    </row>
    <row r="336">
      <c r="A336" s="2" t="s">
        <v>316</v>
      </c>
      <c r="B336" s="2" t="s">
        <v>695</v>
      </c>
    </row>
    <row r="337">
      <c r="A337" s="2" t="s">
        <v>851</v>
      </c>
      <c r="B337" s="2" t="s">
        <v>675</v>
      </c>
    </row>
    <row r="338">
      <c r="A338" s="2" t="s">
        <v>852</v>
      </c>
      <c r="B338" s="2" t="s">
        <v>704</v>
      </c>
    </row>
    <row r="339">
      <c r="A339" s="2" t="s">
        <v>854</v>
      </c>
      <c r="B339" s="2" t="s">
        <v>669</v>
      </c>
    </row>
    <row r="340">
      <c r="A340" s="2" t="s">
        <v>855</v>
      </c>
      <c r="B340" s="2" t="s">
        <v>677</v>
      </c>
    </row>
    <row r="341">
      <c r="A341" s="2" t="s">
        <v>856</v>
      </c>
      <c r="B341" s="2" t="s">
        <v>729</v>
      </c>
    </row>
    <row r="342">
      <c r="A342" s="2" t="s">
        <v>535</v>
      </c>
      <c r="B342" s="2" t="s">
        <v>695</v>
      </c>
    </row>
    <row r="343">
      <c r="A343" s="2" t="s">
        <v>452</v>
      </c>
      <c r="B343" s="2" t="s">
        <v>669</v>
      </c>
    </row>
    <row r="344">
      <c r="A344" s="2" t="s">
        <v>857</v>
      </c>
      <c r="B344" s="2" t="s">
        <v>680</v>
      </c>
    </row>
    <row r="345">
      <c r="A345" s="2" t="s">
        <v>96</v>
      </c>
      <c r="B345" s="2" t="s">
        <v>690</v>
      </c>
    </row>
    <row r="346">
      <c r="A346" s="2" t="s">
        <v>543</v>
      </c>
      <c r="B346" s="2" t="s">
        <v>776</v>
      </c>
    </row>
    <row r="347">
      <c r="A347" s="2" t="s">
        <v>323</v>
      </c>
      <c r="B347" s="2" t="s">
        <v>914</v>
      </c>
    </row>
    <row r="348">
      <c r="A348" s="2" t="s">
        <v>545</v>
      </c>
      <c r="B348" s="2" t="s">
        <v>695</v>
      </c>
    </row>
    <row r="349">
      <c r="A349" s="2" t="s">
        <v>861</v>
      </c>
      <c r="B349" s="2" t="s">
        <v>680</v>
      </c>
    </row>
    <row r="350">
      <c r="A350" s="2" t="s">
        <v>862</v>
      </c>
      <c r="B350" s="2" t="s">
        <v>742</v>
      </c>
    </row>
    <row r="351">
      <c r="A351" s="2" t="s">
        <v>673</v>
      </c>
      <c r="B351" s="2" t="s">
        <v>914</v>
      </c>
    </row>
    <row r="352">
      <c r="A352" s="2" t="s">
        <v>864</v>
      </c>
      <c r="B352" s="2" t="s">
        <v>680</v>
      </c>
    </row>
    <row r="353">
      <c r="A353" s="2" t="s">
        <v>865</v>
      </c>
      <c r="B353" s="2" t="s">
        <v>680</v>
      </c>
    </row>
    <row r="354">
      <c r="A354" s="2" t="s">
        <v>866</v>
      </c>
      <c r="B354" s="2" t="s">
        <v>742</v>
      </c>
    </row>
    <row r="355">
      <c r="A355" s="2" t="s">
        <v>528</v>
      </c>
      <c r="B355" s="2" t="s">
        <v>675</v>
      </c>
    </row>
    <row r="356">
      <c r="A356" s="2" t="s">
        <v>869</v>
      </c>
      <c r="B356" s="2" t="s">
        <v>680</v>
      </c>
    </row>
    <row r="357">
      <c r="A357" s="2" t="s">
        <v>870</v>
      </c>
      <c r="B357" s="2" t="s">
        <v>677</v>
      </c>
    </row>
    <row r="358">
      <c r="A358" s="2" t="s">
        <v>871</v>
      </c>
      <c r="B358" s="2" t="s">
        <v>677</v>
      </c>
    </row>
    <row r="359">
      <c r="A359" s="2" t="s">
        <v>872</v>
      </c>
      <c r="B359" s="2" t="s">
        <v>742</v>
      </c>
    </row>
    <row r="360">
      <c r="A360" s="2" t="s">
        <v>873</v>
      </c>
      <c r="B360" s="2" t="s">
        <v>686</v>
      </c>
    </row>
    <row r="361">
      <c r="A361" s="2" t="s">
        <v>874</v>
      </c>
      <c r="B361" s="2" t="s">
        <v>667</v>
      </c>
    </row>
    <row r="362">
      <c r="A362" s="2" t="s">
        <v>875</v>
      </c>
      <c r="B362" s="2" t="s">
        <v>677</v>
      </c>
    </row>
    <row r="363">
      <c r="A363" s="2" t="s">
        <v>876</v>
      </c>
      <c r="B363" s="2" t="s">
        <v>667</v>
      </c>
    </row>
    <row r="364">
      <c r="A364" s="2" t="s">
        <v>878</v>
      </c>
      <c r="B364" s="2" t="s">
        <v>695</v>
      </c>
    </row>
    <row r="365">
      <c r="A365" s="2" t="s">
        <v>879</v>
      </c>
      <c r="B365" s="2" t="s">
        <v>776</v>
      </c>
    </row>
    <row r="366">
      <c r="A366" s="2" t="s">
        <v>355</v>
      </c>
      <c r="B366" s="2" t="s">
        <v>669</v>
      </c>
    </row>
    <row r="367">
      <c r="A367" s="2" t="s">
        <v>797</v>
      </c>
      <c r="B367" s="2" t="s">
        <v>762</v>
      </c>
    </row>
    <row r="368">
      <c r="A368" s="2" t="s">
        <v>880</v>
      </c>
      <c r="B368" s="2" t="s">
        <v>675</v>
      </c>
    </row>
    <row r="369">
      <c r="A369" s="2" t="s">
        <v>881</v>
      </c>
      <c r="B369" s="2" t="s">
        <v>690</v>
      </c>
    </row>
    <row r="370">
      <c r="A370" s="2" t="s">
        <v>882</v>
      </c>
      <c r="B370" s="2" t="s">
        <v>675</v>
      </c>
    </row>
    <row r="371">
      <c r="A371" s="2" t="s">
        <v>883</v>
      </c>
      <c r="B371" s="2" t="s">
        <v>674</v>
      </c>
    </row>
    <row r="372">
      <c r="A372" s="2" t="s">
        <v>884</v>
      </c>
      <c r="B372" s="2" t="s">
        <v>693</v>
      </c>
    </row>
    <row r="373">
      <c r="A373" s="2" t="s">
        <v>342</v>
      </c>
      <c r="B373" s="2" t="s">
        <v>690</v>
      </c>
    </row>
    <row r="374">
      <c r="A374" s="2" t="s">
        <v>885</v>
      </c>
      <c r="B374" s="2" t="s">
        <v>669</v>
      </c>
    </row>
    <row r="375">
      <c r="A375" s="2" t="s">
        <v>886</v>
      </c>
      <c r="B375" s="2" t="s">
        <v>742</v>
      </c>
    </row>
    <row r="376">
      <c r="A376" s="2" t="s">
        <v>887</v>
      </c>
      <c r="B376" s="2" t="s">
        <v>760</v>
      </c>
    </row>
    <row r="377">
      <c r="A377" s="2" t="s">
        <v>888</v>
      </c>
      <c r="B377" s="2" t="s">
        <v>688</v>
      </c>
    </row>
    <row r="378">
      <c r="A378" s="2" t="s">
        <v>889</v>
      </c>
      <c r="B378" s="2" t="s">
        <v>742</v>
      </c>
    </row>
    <row r="379">
      <c r="A379" s="2" t="s">
        <v>890</v>
      </c>
      <c r="B379" s="2" t="s">
        <v>677</v>
      </c>
    </row>
    <row r="380">
      <c r="A380" s="2" t="s">
        <v>495</v>
      </c>
      <c r="B380" s="2" t="s">
        <v>729</v>
      </c>
    </row>
    <row r="381">
      <c r="A381" s="2" t="s">
        <v>891</v>
      </c>
      <c r="B381" s="2" t="s">
        <v>674</v>
      </c>
    </row>
    <row r="382">
      <c r="A382" s="2" t="s">
        <v>892</v>
      </c>
      <c r="B382" s="2" t="s">
        <v>667</v>
      </c>
    </row>
    <row r="383">
      <c r="A383" s="2" t="s">
        <v>893</v>
      </c>
      <c r="B383" s="2" t="s">
        <v>675</v>
      </c>
    </row>
    <row r="384">
      <c r="A384" s="2" t="s">
        <v>894</v>
      </c>
      <c r="B384" s="2" t="s">
        <v>760</v>
      </c>
    </row>
    <row r="385">
      <c r="A385" s="2" t="s">
        <v>895</v>
      </c>
      <c r="B385" s="2" t="s">
        <v>669</v>
      </c>
    </row>
    <row r="386">
      <c r="A386" s="2" t="s">
        <v>744</v>
      </c>
      <c r="B386" s="2" t="s">
        <v>762</v>
      </c>
    </row>
    <row r="387">
      <c r="A387" s="2" t="s">
        <v>897</v>
      </c>
      <c r="B387" s="2" t="s">
        <v>675</v>
      </c>
    </row>
    <row r="388">
      <c r="A388" s="2" t="s">
        <v>898</v>
      </c>
      <c r="B388" s="2" t="s">
        <v>712</v>
      </c>
    </row>
    <row r="389">
      <c r="A389" s="2" t="s">
        <v>899</v>
      </c>
      <c r="B389" s="2" t="s">
        <v>667</v>
      </c>
    </row>
    <row r="390">
      <c r="A390" s="2" t="s">
        <v>900</v>
      </c>
      <c r="B390" s="2" t="s">
        <v>669</v>
      </c>
    </row>
    <row r="391">
      <c r="A391" s="2" t="s">
        <v>901</v>
      </c>
      <c r="B391" s="2" t="s">
        <v>693</v>
      </c>
    </row>
    <row r="392">
      <c r="A392" s="2" t="s">
        <v>902</v>
      </c>
      <c r="B392" s="2" t="s">
        <v>680</v>
      </c>
    </row>
    <row r="393">
      <c r="A393" s="2" t="s">
        <v>281</v>
      </c>
      <c r="B393" s="2" t="s">
        <v>683</v>
      </c>
    </row>
    <row r="394">
      <c r="A394" s="2" t="s">
        <v>904</v>
      </c>
      <c r="B394" s="2" t="s">
        <v>686</v>
      </c>
    </row>
    <row r="395">
      <c r="A395" s="2" t="s">
        <v>905</v>
      </c>
      <c r="B395" s="2" t="s">
        <v>674</v>
      </c>
    </row>
    <row r="396">
      <c r="A396" s="2" t="s">
        <v>518</v>
      </c>
      <c r="B396" s="2" t="s">
        <v>690</v>
      </c>
    </row>
    <row r="397">
      <c r="A397" s="2" t="s">
        <v>906</v>
      </c>
      <c r="B397" s="2" t="s">
        <v>667</v>
      </c>
    </row>
    <row r="398">
      <c r="A398" s="2" t="s">
        <v>907</v>
      </c>
      <c r="B398" s="2" t="s">
        <v>686</v>
      </c>
    </row>
    <row r="399">
      <c r="A399" s="2" t="s">
        <v>908</v>
      </c>
      <c r="B399" s="2" t="s">
        <v>737</v>
      </c>
    </row>
    <row r="400">
      <c r="A400" s="2" t="s">
        <v>520</v>
      </c>
      <c r="B400" s="2" t="s">
        <v>702</v>
      </c>
    </row>
    <row r="401">
      <c r="A401" s="2" t="s">
        <v>909</v>
      </c>
      <c r="B401" s="2" t="s">
        <v>690</v>
      </c>
    </row>
    <row r="402">
      <c r="A402" s="2" t="s">
        <v>377</v>
      </c>
      <c r="B402" s="2" t="s">
        <v>742</v>
      </c>
    </row>
    <row r="403">
      <c r="A403" s="2" t="s">
        <v>353</v>
      </c>
      <c r="B403" s="2" t="s">
        <v>693</v>
      </c>
    </row>
    <row r="404">
      <c r="A404" s="2" t="s">
        <v>863</v>
      </c>
      <c r="B404" s="2" t="s">
        <v>729</v>
      </c>
    </row>
    <row r="405">
      <c r="A405" s="2" t="s">
        <v>472</v>
      </c>
      <c r="B405" s="2" t="s">
        <v>669</v>
      </c>
    </row>
    <row r="406">
      <c r="A406" s="2" t="s">
        <v>911</v>
      </c>
      <c r="B406" s="2" t="s">
        <v>742</v>
      </c>
    </row>
    <row r="407">
      <c r="A407" s="2" t="s">
        <v>912</v>
      </c>
      <c r="B407" s="2" t="s">
        <v>742</v>
      </c>
    </row>
    <row r="408">
      <c r="A408" s="2" t="s">
        <v>913</v>
      </c>
      <c r="B408" s="2" t="s">
        <v>742</v>
      </c>
    </row>
    <row r="409">
      <c r="A409" s="2" t="s">
        <v>915</v>
      </c>
      <c r="B409" s="2" t="s">
        <v>686</v>
      </c>
    </row>
    <row r="410">
      <c r="A410" s="2" t="s">
        <v>917</v>
      </c>
      <c r="B410" s="2" t="s">
        <v>680</v>
      </c>
    </row>
    <row r="411">
      <c r="A411" s="2" t="s">
        <v>919</v>
      </c>
      <c r="B411" s="2" t="s">
        <v>742</v>
      </c>
    </row>
    <row r="412">
      <c r="A412" s="2" t="s">
        <v>920</v>
      </c>
      <c r="B412" s="2" t="s">
        <v>669</v>
      </c>
    </row>
    <row r="413">
      <c r="A413" s="2" t="s">
        <v>53</v>
      </c>
      <c r="B413" s="2" t="s">
        <v>686</v>
      </c>
    </row>
    <row r="414">
      <c r="A414" s="2" t="s">
        <v>921</v>
      </c>
      <c r="B414" s="2" t="s">
        <v>669</v>
      </c>
    </row>
    <row r="415">
      <c r="A415" s="2" t="s">
        <v>922</v>
      </c>
      <c r="B415" s="2" t="s">
        <v>704</v>
      </c>
    </row>
    <row r="416">
      <c r="A416" s="2" t="s">
        <v>479</v>
      </c>
      <c r="B416" s="2" t="s">
        <v>693</v>
      </c>
    </row>
    <row r="417">
      <c r="A417" s="2" t="s">
        <v>923</v>
      </c>
      <c r="B417" s="2" t="s">
        <v>729</v>
      </c>
    </row>
    <row r="418">
      <c r="A418" s="2" t="s">
        <v>349</v>
      </c>
      <c r="B418" s="2" t="s">
        <v>686</v>
      </c>
    </row>
    <row r="419">
      <c r="A419" s="2" t="s">
        <v>924</v>
      </c>
      <c r="B419" s="2" t="s">
        <v>669</v>
      </c>
    </row>
    <row r="420">
      <c r="A420" s="2" t="s">
        <v>333</v>
      </c>
      <c r="B420" s="2" t="s">
        <v>702</v>
      </c>
    </row>
    <row r="421">
      <c r="A421" s="2" t="s">
        <v>926</v>
      </c>
      <c r="B421" s="2" t="s">
        <v>688</v>
      </c>
    </row>
    <row r="422">
      <c r="A422" s="2" t="s">
        <v>928</v>
      </c>
      <c r="B422" s="2" t="s">
        <v>680</v>
      </c>
    </row>
    <row r="423">
      <c r="A423" s="2" t="s">
        <v>929</v>
      </c>
      <c r="B423" s="2" t="s">
        <v>680</v>
      </c>
    </row>
    <row r="424">
      <c r="A424" s="2" t="s">
        <v>930</v>
      </c>
      <c r="B424" s="2" t="s">
        <v>729</v>
      </c>
    </row>
    <row r="425">
      <c r="A425" s="2" t="s">
        <v>289</v>
      </c>
      <c r="B425" s="2" t="s">
        <v>714</v>
      </c>
    </row>
    <row r="426">
      <c r="A426" s="2" t="s">
        <v>931</v>
      </c>
      <c r="B426" s="2" t="s">
        <v>677</v>
      </c>
    </row>
    <row r="427">
      <c r="A427" s="2" t="s">
        <v>932</v>
      </c>
      <c r="B427" s="2" t="s">
        <v>674</v>
      </c>
    </row>
    <row r="428">
      <c r="A428" s="2" t="s">
        <v>933</v>
      </c>
      <c r="B428" s="2" t="s">
        <v>699</v>
      </c>
    </row>
    <row r="429">
      <c r="A429" s="2" t="s">
        <v>934</v>
      </c>
      <c r="B429" s="2" t="s">
        <v>693</v>
      </c>
    </row>
    <row r="430">
      <c r="A430" s="2" t="s">
        <v>935</v>
      </c>
      <c r="B430" s="2" t="s">
        <v>695</v>
      </c>
    </row>
    <row r="431">
      <c r="A431" s="2" t="s">
        <v>936</v>
      </c>
      <c r="B431" s="2" t="s">
        <v>704</v>
      </c>
    </row>
    <row r="432">
      <c r="A432" s="2" t="s">
        <v>937</v>
      </c>
      <c r="B432" s="2" t="s">
        <v>699</v>
      </c>
    </row>
    <row r="433">
      <c r="A433" s="2" t="s">
        <v>939</v>
      </c>
      <c r="B433" s="2" t="s">
        <v>742</v>
      </c>
    </row>
    <row r="434">
      <c r="A434" s="2" t="s">
        <v>941</v>
      </c>
      <c r="B434" s="2" t="s">
        <v>704</v>
      </c>
    </row>
    <row r="435">
      <c r="A435" s="2" t="s">
        <v>497</v>
      </c>
      <c r="B435" s="2" t="s">
        <v>669</v>
      </c>
    </row>
    <row r="436">
      <c r="A436" s="2" t="s">
        <v>942</v>
      </c>
      <c r="B436" s="2" t="s">
        <v>776</v>
      </c>
    </row>
    <row r="437">
      <c r="A437" s="2" t="s">
        <v>582</v>
      </c>
      <c r="B437" s="2" t="s">
        <v>714</v>
      </c>
    </row>
    <row r="438">
      <c r="A438" s="2" t="s">
        <v>943</v>
      </c>
      <c r="B438" s="2" t="s">
        <v>683</v>
      </c>
    </row>
    <row r="439">
      <c r="A439" s="2" t="s">
        <v>944</v>
      </c>
      <c r="B439" s="2" t="s">
        <v>695</v>
      </c>
    </row>
    <row r="440">
      <c r="A440" s="2" t="s">
        <v>945</v>
      </c>
      <c r="B440" s="2" t="s">
        <v>667</v>
      </c>
    </row>
    <row r="441">
      <c r="A441" s="2" t="s">
        <v>822</v>
      </c>
      <c r="B441" s="2" t="s">
        <v>677</v>
      </c>
    </row>
    <row r="442">
      <c r="A442" s="2" t="s">
        <v>946</v>
      </c>
      <c r="B442" s="2" t="s">
        <v>699</v>
      </c>
    </row>
    <row r="443">
      <c r="A443" s="2" t="s">
        <v>400</v>
      </c>
      <c r="B443" s="2" t="s">
        <v>914</v>
      </c>
    </row>
    <row r="444">
      <c r="A444" s="2" t="s">
        <v>947</v>
      </c>
      <c r="B444" s="2" t="s">
        <v>695</v>
      </c>
    </row>
    <row r="445">
      <c r="A445" s="2" t="s">
        <v>948</v>
      </c>
      <c r="B445" s="2" t="s">
        <v>680</v>
      </c>
    </row>
    <row r="446">
      <c r="A446" s="2" t="s">
        <v>950</v>
      </c>
      <c r="B446" s="2" t="s">
        <v>709</v>
      </c>
    </row>
    <row r="447">
      <c r="A447" s="2" t="s">
        <v>951</v>
      </c>
      <c r="B447" s="2" t="s">
        <v>729</v>
      </c>
    </row>
    <row r="448">
      <c r="A448" s="2" t="s">
        <v>952</v>
      </c>
      <c r="B448" s="2" t="s">
        <v>709</v>
      </c>
    </row>
    <row r="449">
      <c r="A449" s="2" t="s">
        <v>953</v>
      </c>
      <c r="B449" s="2" t="s">
        <v>695</v>
      </c>
    </row>
    <row r="450">
      <c r="A450" s="2" t="s">
        <v>954</v>
      </c>
      <c r="B450" s="2" t="s">
        <v>683</v>
      </c>
    </row>
    <row r="451">
      <c r="A451" s="2" t="s">
        <v>956</v>
      </c>
      <c r="B451" s="2" t="s">
        <v>729</v>
      </c>
    </row>
    <row r="452">
      <c r="A452" s="2" t="s">
        <v>957</v>
      </c>
      <c r="B452" s="2" t="s">
        <v>669</v>
      </c>
    </row>
    <row r="453">
      <c r="A453" s="2" t="s">
        <v>959</v>
      </c>
      <c r="B453" s="2" t="s">
        <v>709</v>
      </c>
    </row>
    <row r="454">
      <c r="A454" s="2" t="s">
        <v>960</v>
      </c>
      <c r="B454" s="2" t="s">
        <v>709</v>
      </c>
    </row>
    <row r="455">
      <c r="A455" s="2" t="s">
        <v>961</v>
      </c>
      <c r="B455" s="2" t="s">
        <v>695</v>
      </c>
    </row>
    <row r="456">
      <c r="A456" s="2" t="s">
        <v>962</v>
      </c>
      <c r="B456" s="2" t="s">
        <v>704</v>
      </c>
    </row>
    <row r="457">
      <c r="A457" s="2" t="s">
        <v>963</v>
      </c>
      <c r="B457" s="2" t="s">
        <v>709</v>
      </c>
    </row>
    <row r="458">
      <c r="A458" s="2" t="s">
        <v>298</v>
      </c>
      <c r="B458" s="2" t="s">
        <v>914</v>
      </c>
    </row>
    <row r="459">
      <c r="A459" s="2" t="s">
        <v>964</v>
      </c>
      <c r="B459" s="2" t="s">
        <v>674</v>
      </c>
    </row>
    <row r="460">
      <c r="A460" s="2" t="s">
        <v>965</v>
      </c>
      <c r="B460" s="2" t="s">
        <v>709</v>
      </c>
    </row>
    <row r="461">
      <c r="A461" s="2" t="s">
        <v>966</v>
      </c>
      <c r="B461" s="2" t="s">
        <v>680</v>
      </c>
    </row>
    <row r="462">
      <c r="A462" s="2" t="s">
        <v>968</v>
      </c>
      <c r="B462" s="2" t="s">
        <v>729</v>
      </c>
    </row>
    <row r="463">
      <c r="A463" s="2" t="s">
        <v>970</v>
      </c>
      <c r="B463" s="2" t="s">
        <v>680</v>
      </c>
    </row>
    <row r="464">
      <c r="A464" s="2" t="s">
        <v>510</v>
      </c>
      <c r="B464" s="2" t="s">
        <v>712</v>
      </c>
    </row>
    <row r="465">
      <c r="A465" s="2" t="s">
        <v>971</v>
      </c>
      <c r="B465" s="2" t="s">
        <v>674</v>
      </c>
    </row>
    <row r="466">
      <c r="A466" s="2" t="s">
        <v>972</v>
      </c>
      <c r="B466" s="2" t="s">
        <v>714</v>
      </c>
    </row>
    <row r="467">
      <c r="A467" s="2" t="s">
        <v>973</v>
      </c>
      <c r="B467" s="2" t="s">
        <v>667</v>
      </c>
    </row>
    <row r="468">
      <c r="A468" s="2" t="s">
        <v>974</v>
      </c>
      <c r="B468" s="2" t="s">
        <v>669</v>
      </c>
    </row>
    <row r="469">
      <c r="A469" s="2" t="s">
        <v>975</v>
      </c>
      <c r="B469" s="2" t="s">
        <v>686</v>
      </c>
    </row>
    <row r="470">
      <c r="A470" s="2" t="s">
        <v>976</v>
      </c>
      <c r="B470" s="2" t="s">
        <v>674</v>
      </c>
    </row>
    <row r="471">
      <c r="A471" s="2" t="s">
        <v>978</v>
      </c>
      <c r="B471" s="2" t="s">
        <v>690</v>
      </c>
    </row>
    <row r="472">
      <c r="A472" s="2" t="s">
        <v>979</v>
      </c>
      <c r="B472" s="2" t="s">
        <v>742</v>
      </c>
    </row>
    <row r="473">
      <c r="A473" s="2" t="s">
        <v>980</v>
      </c>
      <c r="B473" s="2" t="s">
        <v>693</v>
      </c>
    </row>
    <row r="474">
      <c r="A474" s="2" t="s">
        <v>981</v>
      </c>
      <c r="B474" s="2" t="s">
        <v>669</v>
      </c>
    </row>
    <row r="475">
      <c r="A475" s="2" t="s">
        <v>982</v>
      </c>
      <c r="B475" s="2" t="s">
        <v>675</v>
      </c>
    </row>
    <row r="476">
      <c r="A476" s="2" t="s">
        <v>983</v>
      </c>
      <c r="B476" s="2" t="s">
        <v>737</v>
      </c>
    </row>
    <row r="477">
      <c r="A477" s="2" t="s">
        <v>984</v>
      </c>
      <c r="B477" s="2" t="s">
        <v>776</v>
      </c>
    </row>
    <row r="478">
      <c r="A478" s="2" t="s">
        <v>985</v>
      </c>
      <c r="B478" s="2" t="s">
        <v>776</v>
      </c>
    </row>
    <row r="479">
      <c r="A479" s="2" t="s">
        <v>986</v>
      </c>
      <c r="B479" s="2" t="s">
        <v>686</v>
      </c>
    </row>
    <row r="480">
      <c r="A480" s="2" t="s">
        <v>988</v>
      </c>
      <c r="B480" s="2" t="s">
        <v>760</v>
      </c>
    </row>
    <row r="481">
      <c r="A481" s="2" t="s">
        <v>435</v>
      </c>
      <c r="B481" s="2" t="s">
        <v>695</v>
      </c>
    </row>
    <row r="482">
      <c r="A482" s="2" t="s">
        <v>69</v>
      </c>
      <c r="B482" s="2" t="s">
        <v>776</v>
      </c>
    </row>
    <row r="483">
      <c r="A483" s="2" t="s">
        <v>551</v>
      </c>
      <c r="B483" s="2" t="s">
        <v>693</v>
      </c>
    </row>
    <row r="484">
      <c r="A484" s="2" t="s">
        <v>990</v>
      </c>
      <c r="B484" s="2" t="s">
        <v>695</v>
      </c>
    </row>
    <row r="485">
      <c r="A485" s="2" t="s">
        <v>991</v>
      </c>
      <c r="B485" s="2" t="s">
        <v>704</v>
      </c>
    </row>
    <row r="486">
      <c r="A486" s="2" t="s">
        <v>992</v>
      </c>
      <c r="B486" s="2" t="s">
        <v>688</v>
      </c>
    </row>
    <row r="487">
      <c r="A487" s="2" t="s">
        <v>993</v>
      </c>
      <c r="B487" s="2" t="s">
        <v>680</v>
      </c>
    </row>
    <row r="488">
      <c r="A488" s="2" t="s">
        <v>994</v>
      </c>
      <c r="B488" s="2" t="s">
        <v>677</v>
      </c>
    </row>
    <row r="489">
      <c r="A489" s="2" t="s">
        <v>995</v>
      </c>
      <c r="B489" s="2" t="s">
        <v>693</v>
      </c>
    </row>
    <row r="490">
      <c r="A490" s="2" t="s">
        <v>996</v>
      </c>
      <c r="B490" s="2" t="s">
        <v>667</v>
      </c>
    </row>
    <row r="491">
      <c r="A491" s="2" t="s">
        <v>998</v>
      </c>
      <c r="B491" s="2" t="s">
        <v>760</v>
      </c>
    </row>
    <row r="492">
      <c r="A492" s="2" t="s">
        <v>1000</v>
      </c>
      <c r="B492" s="2" t="s">
        <v>669</v>
      </c>
    </row>
    <row r="493">
      <c r="A493" s="2" t="s">
        <v>1001</v>
      </c>
      <c r="B493" s="2" t="s">
        <v>680</v>
      </c>
    </row>
    <row r="494">
      <c r="A494" s="2" t="s">
        <v>1002</v>
      </c>
      <c r="B494" s="2" t="s">
        <v>693</v>
      </c>
    </row>
    <row r="495">
      <c r="A495" s="2" t="s">
        <v>1003</v>
      </c>
      <c r="B495" s="2" t="s">
        <v>729</v>
      </c>
    </row>
    <row r="496">
      <c r="A496" s="2" t="s">
        <v>1004</v>
      </c>
      <c r="B496" s="2" t="s">
        <v>742</v>
      </c>
    </row>
    <row r="497">
      <c r="A497" s="2" t="s">
        <v>1005</v>
      </c>
      <c r="B497" s="2" t="s">
        <v>695</v>
      </c>
    </row>
    <row r="498">
      <c r="A498" s="2" t="s">
        <v>1006</v>
      </c>
      <c r="B498" s="2" t="s">
        <v>709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25"/>
    <col customWidth="1" min="3" max="3" width="31.38"/>
    <col customWidth="1" min="4" max="4" width="33.63"/>
    <col customWidth="1" min="5" max="5" width="10.5"/>
    <col hidden="1" min="6" max="7" width="12.63"/>
    <col customWidth="1" min="8" max="8" width="17.88"/>
    <col customWidth="1" min="9" max="9" width="17.0"/>
    <col hidden="1" min="10" max="10" width="12.63"/>
    <col customWidth="1" min="11" max="11" width="21.25"/>
    <col customWidth="1" min="12" max="12" width="61.75"/>
    <col hidden="1" min="13" max="14" width="12.63"/>
    <col customWidth="1" min="15" max="15" width="39.0"/>
    <col customWidth="1" hidden="1" min="16" max="16" width="29.75"/>
    <col customWidth="1" min="19" max="19" width="139.13"/>
  </cols>
  <sheetData>
    <row r="1">
      <c r="A1" s="84" t="s">
        <v>1029</v>
      </c>
      <c r="B1" s="84" t="s">
        <v>1032</v>
      </c>
      <c r="C1" s="84" t="s">
        <v>1033</v>
      </c>
      <c r="D1" s="85" t="s">
        <v>1034</v>
      </c>
      <c r="E1" s="84" t="s">
        <v>1036</v>
      </c>
      <c r="F1" s="84" t="s">
        <v>24</v>
      </c>
      <c r="G1" s="84" t="s">
        <v>29</v>
      </c>
      <c r="H1" s="84" t="s">
        <v>1037</v>
      </c>
      <c r="I1" s="86" t="s">
        <v>1038</v>
      </c>
      <c r="J1" s="84" t="s">
        <v>39</v>
      </c>
      <c r="K1" s="84" t="s">
        <v>1039</v>
      </c>
      <c r="L1" s="84" t="s">
        <v>1040</v>
      </c>
      <c r="M1" s="84" t="s">
        <v>10</v>
      </c>
      <c r="N1" s="84" t="s">
        <v>1042</v>
      </c>
      <c r="O1" s="84" t="s">
        <v>1043</v>
      </c>
      <c r="P1" s="87" t="s">
        <v>1044</v>
      </c>
      <c r="Q1" s="88"/>
      <c r="R1" s="88"/>
      <c r="S1" s="88"/>
      <c r="T1" s="88"/>
      <c r="U1" s="88"/>
      <c r="V1" s="88"/>
      <c r="W1" s="88"/>
      <c r="X1" s="88"/>
      <c r="Y1" s="88"/>
      <c r="Z1" s="88"/>
      <c r="AA1" s="88"/>
    </row>
    <row r="2" hidden="1">
      <c r="A2" s="89">
        <v>2021.0</v>
      </c>
      <c r="B2" s="89" t="s">
        <v>1047</v>
      </c>
      <c r="C2" s="90" t="s">
        <v>139</v>
      </c>
      <c r="D2" s="91" t="s">
        <v>139</v>
      </c>
      <c r="E2" s="89">
        <v>7.1220009E7</v>
      </c>
      <c r="F2" s="92"/>
      <c r="G2" s="92"/>
      <c r="H2" s="93" t="s">
        <v>389</v>
      </c>
      <c r="I2" s="94">
        <v>700000.0</v>
      </c>
      <c r="J2" s="92"/>
      <c r="K2" s="95"/>
      <c r="L2" s="90" t="s">
        <v>1053</v>
      </c>
      <c r="M2" s="97"/>
      <c r="N2" s="92"/>
      <c r="O2" s="98" t="s">
        <v>1058</v>
      </c>
      <c r="P2" s="99"/>
      <c r="Q2" s="88"/>
      <c r="R2" s="88"/>
      <c r="S2" s="88"/>
      <c r="T2" s="88"/>
      <c r="U2" s="88"/>
      <c r="V2" s="88"/>
      <c r="W2" s="88"/>
      <c r="X2" s="88"/>
      <c r="Y2" s="88"/>
      <c r="Z2" s="88"/>
      <c r="AA2" s="88"/>
    </row>
    <row r="3" hidden="1">
      <c r="A3" s="89">
        <v>2021.0</v>
      </c>
      <c r="B3" s="89" t="s">
        <v>1047</v>
      </c>
      <c r="C3" s="90" t="s">
        <v>1065</v>
      </c>
      <c r="D3" s="91" t="s">
        <v>1065</v>
      </c>
      <c r="E3" s="89">
        <v>7.1220009E7</v>
      </c>
      <c r="F3" s="92"/>
      <c r="G3" s="92"/>
      <c r="H3" s="93" t="s">
        <v>389</v>
      </c>
      <c r="I3" s="94">
        <v>358785.0</v>
      </c>
      <c r="J3" s="92"/>
      <c r="K3" s="95"/>
      <c r="L3" s="90" t="s">
        <v>1071</v>
      </c>
      <c r="M3" s="97"/>
      <c r="N3" s="92"/>
      <c r="O3" s="98" t="s">
        <v>1072</v>
      </c>
      <c r="P3" s="99"/>
      <c r="Q3" s="88"/>
      <c r="R3" s="88"/>
      <c r="S3" s="88"/>
      <c r="T3" s="88"/>
      <c r="U3" s="88"/>
      <c r="V3" s="88"/>
      <c r="W3" s="88"/>
      <c r="X3" s="88"/>
      <c r="Y3" s="88"/>
      <c r="Z3" s="88"/>
      <c r="AA3" s="88"/>
    </row>
    <row r="4" hidden="1">
      <c r="A4" s="89">
        <v>2021.0</v>
      </c>
      <c r="B4" s="89" t="s">
        <v>1047</v>
      </c>
      <c r="C4" s="90" t="s">
        <v>1065</v>
      </c>
      <c r="D4" s="91" t="s">
        <v>1065</v>
      </c>
      <c r="E4" s="89">
        <v>7.1220009E7</v>
      </c>
      <c r="F4" s="92"/>
      <c r="G4" s="92"/>
      <c r="H4" s="93" t="s">
        <v>389</v>
      </c>
      <c r="I4" s="94">
        <v>296745.33</v>
      </c>
      <c r="J4" s="92"/>
      <c r="K4" s="95"/>
      <c r="L4" s="90" t="s">
        <v>1078</v>
      </c>
      <c r="M4" s="97"/>
      <c r="N4" s="92"/>
      <c r="O4" s="98" t="s">
        <v>1079</v>
      </c>
      <c r="P4" s="99"/>
      <c r="Q4" s="88"/>
      <c r="R4" s="88"/>
      <c r="S4" s="88"/>
      <c r="T4" s="88"/>
      <c r="U4" s="88"/>
      <c r="V4" s="88"/>
      <c r="W4" s="88"/>
      <c r="X4" s="88"/>
      <c r="Y4" s="88"/>
      <c r="Z4" s="88"/>
      <c r="AA4" s="88"/>
    </row>
    <row r="5">
      <c r="A5" s="92">
        <v>2022.0</v>
      </c>
      <c r="B5" s="92" t="s">
        <v>1047</v>
      </c>
      <c r="C5" s="103" t="s">
        <v>1080</v>
      </c>
      <c r="D5" s="105" t="s">
        <v>1065</v>
      </c>
      <c r="E5" s="92">
        <v>4.1160001E7</v>
      </c>
      <c r="F5" s="92" t="s">
        <v>27</v>
      </c>
      <c r="G5" s="92"/>
      <c r="H5" s="107" t="s">
        <v>155</v>
      </c>
      <c r="I5" s="108">
        <v>1238648.84</v>
      </c>
      <c r="J5" s="92" t="s">
        <v>200</v>
      </c>
      <c r="K5" s="92" t="s">
        <v>1082</v>
      </c>
      <c r="L5" s="113" t="s">
        <v>1083</v>
      </c>
      <c r="M5" s="115"/>
      <c r="N5" s="115"/>
      <c r="O5" s="115"/>
      <c r="P5" s="117">
        <v>125.0</v>
      </c>
      <c r="Q5" s="88"/>
      <c r="R5" s="88"/>
      <c r="S5" s="88"/>
      <c r="T5" s="88"/>
      <c r="U5" s="88"/>
      <c r="V5" s="88"/>
      <c r="W5" s="88"/>
      <c r="X5" s="88"/>
      <c r="Y5" s="88"/>
      <c r="Z5" s="88"/>
      <c r="AA5" s="88"/>
    </row>
    <row r="6">
      <c r="A6" s="92">
        <v>2022.0</v>
      </c>
      <c r="B6" s="92" t="s">
        <v>1047</v>
      </c>
      <c r="C6" s="103" t="s">
        <v>1080</v>
      </c>
      <c r="D6" s="124" t="s">
        <v>139</v>
      </c>
      <c r="E6" s="92">
        <v>4.1160001E7</v>
      </c>
      <c r="F6" s="92" t="s">
        <v>27</v>
      </c>
      <c r="G6" s="92"/>
      <c r="H6" s="107" t="s">
        <v>155</v>
      </c>
      <c r="I6" s="108">
        <v>1238648.84</v>
      </c>
      <c r="J6" s="92" t="s">
        <v>200</v>
      </c>
      <c r="K6" s="92" t="s">
        <v>1082</v>
      </c>
      <c r="L6" s="113" t="s">
        <v>1083</v>
      </c>
      <c r="M6" s="115"/>
      <c r="N6" s="115"/>
      <c r="O6" s="115"/>
      <c r="P6" s="117">
        <v>120.0</v>
      </c>
      <c r="Q6" s="88"/>
      <c r="R6" s="88"/>
      <c r="S6" s="88"/>
      <c r="T6" s="88"/>
      <c r="U6" s="88"/>
      <c r="V6" s="88"/>
      <c r="W6" s="88"/>
      <c r="X6" s="88"/>
      <c r="Y6" s="88"/>
      <c r="Z6" s="88"/>
      <c r="AA6" s="88"/>
    </row>
    <row r="7">
      <c r="A7" s="92">
        <v>2022.0</v>
      </c>
      <c r="B7" s="92" t="s">
        <v>1047</v>
      </c>
      <c r="C7" s="103" t="s">
        <v>1080</v>
      </c>
      <c r="D7" s="124" t="s">
        <v>1094</v>
      </c>
      <c r="E7" s="92">
        <v>4.1160001E7</v>
      </c>
      <c r="F7" s="92" t="s">
        <v>27</v>
      </c>
      <c r="G7" s="92"/>
      <c r="H7" s="107" t="s">
        <v>155</v>
      </c>
      <c r="I7" s="108">
        <v>1089232.92</v>
      </c>
      <c r="J7" s="92" t="s">
        <v>200</v>
      </c>
      <c r="K7" s="92" t="s">
        <v>1082</v>
      </c>
      <c r="L7" s="113" t="s">
        <v>1095</v>
      </c>
      <c r="M7" s="115"/>
      <c r="N7" s="115"/>
      <c r="O7" s="115"/>
      <c r="P7" s="117">
        <v>124.0</v>
      </c>
      <c r="Q7" s="88"/>
      <c r="R7" s="88"/>
      <c r="S7" s="88"/>
      <c r="T7" s="88"/>
      <c r="U7" s="88"/>
      <c r="V7" s="88"/>
      <c r="W7" s="88"/>
      <c r="X7" s="88"/>
      <c r="Y7" s="88"/>
      <c r="Z7" s="88"/>
      <c r="AA7" s="88"/>
    </row>
    <row r="8">
      <c r="A8" s="92">
        <v>2022.0</v>
      </c>
      <c r="B8" s="92" t="s">
        <v>1047</v>
      </c>
      <c r="C8" s="92" t="s">
        <v>1097</v>
      </c>
      <c r="D8" s="105" t="s">
        <v>1097</v>
      </c>
      <c r="E8" s="92"/>
      <c r="F8" s="92"/>
      <c r="G8" s="92"/>
      <c r="H8" s="107" t="s">
        <v>570</v>
      </c>
      <c r="I8" s="108">
        <v>500000.0</v>
      </c>
      <c r="J8" s="92" t="s">
        <v>570</v>
      </c>
      <c r="K8" s="92" t="s">
        <v>1082</v>
      </c>
      <c r="L8" s="133"/>
      <c r="M8" s="115"/>
      <c r="N8" s="115"/>
      <c r="O8" s="115"/>
      <c r="P8" s="117">
        <v>121.0</v>
      </c>
      <c r="Q8" s="88"/>
      <c r="R8" s="88"/>
      <c r="S8" s="88"/>
      <c r="T8" s="88"/>
      <c r="U8" s="88"/>
      <c r="V8" s="88"/>
      <c r="W8" s="88"/>
      <c r="X8" s="88"/>
      <c r="Y8" s="88"/>
      <c r="Z8" s="88"/>
      <c r="AA8" s="88"/>
    </row>
    <row r="9" ht="38.25" hidden="1" customHeight="1">
      <c r="A9" s="89">
        <v>2020.0</v>
      </c>
      <c r="B9" s="89" t="s">
        <v>116</v>
      </c>
      <c r="C9" s="89" t="s">
        <v>139</v>
      </c>
      <c r="D9" s="91" t="s">
        <v>146</v>
      </c>
      <c r="E9" s="89">
        <v>4.116001E7</v>
      </c>
      <c r="F9" s="92"/>
      <c r="G9" s="92"/>
      <c r="H9" s="93" t="s">
        <v>155</v>
      </c>
      <c r="I9" s="140">
        <v>12142.85</v>
      </c>
      <c r="J9" s="92"/>
      <c r="K9" s="89" t="s">
        <v>1102</v>
      </c>
      <c r="L9" s="89" t="s">
        <v>161</v>
      </c>
      <c r="M9" s="92"/>
      <c r="N9" s="92"/>
      <c r="O9" s="98" t="s">
        <v>1103</v>
      </c>
      <c r="P9" s="117">
        <v>123.0</v>
      </c>
      <c r="Q9" s="88"/>
      <c r="R9" s="88"/>
      <c r="S9" s="88"/>
      <c r="T9" s="88"/>
      <c r="U9" s="88"/>
      <c r="V9" s="88"/>
      <c r="W9" s="88"/>
      <c r="X9" s="88"/>
      <c r="Y9" s="88"/>
      <c r="Z9" s="88"/>
      <c r="AA9" s="88"/>
    </row>
    <row r="10" hidden="1">
      <c r="A10" s="89">
        <v>2020.0</v>
      </c>
      <c r="B10" s="89" t="s">
        <v>487</v>
      </c>
      <c r="C10" s="89" t="s">
        <v>1065</v>
      </c>
      <c r="D10" s="91" t="s">
        <v>1066</v>
      </c>
      <c r="E10" s="148"/>
      <c r="F10" s="92"/>
      <c r="G10" s="92"/>
      <c r="H10" s="93" t="s">
        <v>389</v>
      </c>
      <c r="I10" s="140">
        <v>81280.0</v>
      </c>
      <c r="J10" s="92"/>
      <c r="K10" s="89" t="s">
        <v>1067</v>
      </c>
      <c r="L10" s="89" t="s">
        <v>1068</v>
      </c>
      <c r="M10" s="92"/>
      <c r="N10" s="92"/>
      <c r="O10" s="95"/>
      <c r="P10" s="150"/>
      <c r="Q10" s="88"/>
      <c r="R10" s="88"/>
      <c r="S10" s="88"/>
      <c r="T10" s="88"/>
      <c r="U10" s="88"/>
      <c r="V10" s="88"/>
      <c r="W10" s="88"/>
      <c r="X10" s="88"/>
      <c r="Y10" s="88"/>
      <c r="Z10" s="88"/>
      <c r="AA10" s="88"/>
    </row>
    <row r="11" hidden="1">
      <c r="A11" s="151">
        <v>2021.0</v>
      </c>
      <c r="B11" s="151" t="s">
        <v>1109</v>
      </c>
      <c r="C11" s="151" t="s">
        <v>1097</v>
      </c>
      <c r="D11" s="152" t="s">
        <v>1097</v>
      </c>
      <c r="E11" s="151">
        <v>4.11660007E8</v>
      </c>
      <c r="F11" s="92"/>
      <c r="G11" s="92"/>
      <c r="H11" s="153" t="s">
        <v>155</v>
      </c>
      <c r="I11" s="154">
        <v>250000.0</v>
      </c>
      <c r="J11" s="92"/>
      <c r="K11" s="151" t="s">
        <v>1112</v>
      </c>
      <c r="L11" s="151" t="s">
        <v>1113</v>
      </c>
      <c r="M11" s="97"/>
      <c r="N11" s="92"/>
      <c r="O11" s="151" t="s">
        <v>1114</v>
      </c>
      <c r="P11" s="117">
        <v>121.0</v>
      </c>
      <c r="Q11" s="88"/>
      <c r="R11" s="88"/>
      <c r="S11" s="158"/>
      <c r="T11" s="88"/>
      <c r="U11" s="88"/>
      <c r="V11" s="88"/>
      <c r="W11" s="88"/>
      <c r="X11" s="88"/>
      <c r="Y11" s="88"/>
      <c r="Z11" s="88"/>
      <c r="AA11" s="88"/>
    </row>
    <row r="12" hidden="1">
      <c r="A12" s="151">
        <v>2021.0</v>
      </c>
      <c r="B12" s="151" t="s">
        <v>559</v>
      </c>
      <c r="C12" s="151" t="s">
        <v>251</v>
      </c>
      <c r="D12" s="152" t="s">
        <v>1119</v>
      </c>
      <c r="E12" s="151">
        <v>4.1160001E8</v>
      </c>
      <c r="F12" s="92"/>
      <c r="G12" s="92"/>
      <c r="H12" s="153" t="s">
        <v>155</v>
      </c>
      <c r="I12" s="154">
        <v>186808.33</v>
      </c>
      <c r="J12" s="92"/>
      <c r="K12" s="162"/>
      <c r="L12" s="163" t="s">
        <v>267</v>
      </c>
      <c r="M12" s="97"/>
      <c r="N12" s="92"/>
      <c r="O12" s="167" t="s">
        <v>1123</v>
      </c>
      <c r="P12" s="117"/>
      <c r="Q12" s="88"/>
      <c r="R12" s="88"/>
      <c r="S12" s="158"/>
      <c r="T12" s="88"/>
      <c r="U12" s="88"/>
      <c r="V12" s="88"/>
      <c r="W12" s="88"/>
      <c r="X12" s="88"/>
      <c r="Y12" s="88"/>
      <c r="Z12" s="88"/>
      <c r="AA12" s="88"/>
    </row>
    <row r="13" hidden="1">
      <c r="A13" s="89">
        <v>2020.0</v>
      </c>
      <c r="B13" s="89" t="s">
        <v>102</v>
      </c>
      <c r="C13" s="89" t="s">
        <v>1094</v>
      </c>
      <c r="D13" s="91" t="s">
        <v>1133</v>
      </c>
      <c r="E13" s="95">
        <v>4.1160012E7</v>
      </c>
      <c r="F13" s="92"/>
      <c r="G13" s="92"/>
      <c r="H13" s="93" t="s">
        <v>155</v>
      </c>
      <c r="I13" s="140">
        <v>162125.0</v>
      </c>
      <c r="J13" s="92"/>
      <c r="K13" s="89" t="s">
        <v>1134</v>
      </c>
      <c r="L13" s="95" t="s">
        <v>1136</v>
      </c>
      <c r="M13" s="92"/>
      <c r="N13" s="92"/>
      <c r="O13" s="98" t="s">
        <v>1137</v>
      </c>
      <c r="P13" s="150"/>
      <c r="Q13" s="88"/>
      <c r="R13" s="88"/>
      <c r="S13" s="88"/>
      <c r="T13" s="88"/>
      <c r="U13" s="88"/>
      <c r="V13" s="88"/>
      <c r="W13" s="88"/>
      <c r="X13" s="88"/>
      <c r="Y13" s="88"/>
      <c r="Z13" s="88"/>
      <c r="AA13" s="88"/>
    </row>
    <row r="14" hidden="1">
      <c r="A14" s="89">
        <v>2020.0</v>
      </c>
      <c r="B14" s="89" t="s">
        <v>102</v>
      </c>
      <c r="C14" s="89" t="s">
        <v>1065</v>
      </c>
      <c r="D14" s="91" t="s">
        <v>1143</v>
      </c>
      <c r="E14" s="148"/>
      <c r="F14" s="92"/>
      <c r="G14" s="92"/>
      <c r="H14" s="93" t="s">
        <v>389</v>
      </c>
      <c r="I14" s="140">
        <v>209500.0</v>
      </c>
      <c r="J14" s="92"/>
      <c r="K14" s="89" t="s">
        <v>1067</v>
      </c>
      <c r="L14" s="89" t="s">
        <v>1144</v>
      </c>
      <c r="M14" s="92"/>
      <c r="N14" s="92"/>
      <c r="O14" s="95"/>
      <c r="P14" s="150"/>
      <c r="Q14" s="88"/>
      <c r="R14" s="88"/>
      <c r="S14" s="88"/>
      <c r="T14" s="88"/>
      <c r="U14" s="88"/>
      <c r="V14" s="88"/>
      <c r="W14" s="88"/>
      <c r="X14" s="88"/>
      <c r="Y14" s="88"/>
      <c r="Z14" s="88"/>
      <c r="AA14" s="88"/>
    </row>
    <row r="15" hidden="1">
      <c r="A15" s="181">
        <v>2023.0</v>
      </c>
      <c r="B15" s="182" t="s">
        <v>102</v>
      </c>
      <c r="C15" s="183" t="s">
        <v>220</v>
      </c>
      <c r="D15" s="188" t="s">
        <v>1151</v>
      </c>
      <c r="E15" s="183">
        <v>4.1160001E7</v>
      </c>
      <c r="F15" s="193"/>
      <c r="G15" s="193"/>
      <c r="H15" s="181" t="s">
        <v>89</v>
      </c>
      <c r="I15" s="196" t="s">
        <v>1170</v>
      </c>
      <c r="J15" s="193"/>
      <c r="K15" s="198" t="s">
        <v>1175</v>
      </c>
      <c r="L15" s="200" t="s">
        <v>1178</v>
      </c>
      <c r="M15" s="193"/>
      <c r="N15" s="193"/>
      <c r="O15" s="207" t="s">
        <v>1179</v>
      </c>
      <c r="P15" s="150"/>
      <c r="Q15" s="88"/>
      <c r="R15" s="88"/>
      <c r="S15" s="88"/>
      <c r="T15" s="88"/>
      <c r="U15" s="88"/>
      <c r="V15" s="88"/>
      <c r="W15" s="88"/>
      <c r="X15" s="88"/>
      <c r="Y15" s="88"/>
      <c r="Z15" s="88"/>
      <c r="AA15" s="88"/>
    </row>
    <row r="16" hidden="1">
      <c r="A16" s="181">
        <v>2023.0</v>
      </c>
      <c r="B16" s="182" t="s">
        <v>628</v>
      </c>
      <c r="C16" s="183" t="s">
        <v>220</v>
      </c>
      <c r="D16" s="188" t="s">
        <v>1188</v>
      </c>
      <c r="E16" s="183">
        <v>4.1160001E7</v>
      </c>
      <c r="F16" s="193"/>
      <c r="G16" s="193"/>
      <c r="H16" s="181" t="s">
        <v>89</v>
      </c>
      <c r="I16" s="196" t="s">
        <v>1189</v>
      </c>
      <c r="J16" s="193"/>
      <c r="K16" s="198" t="s">
        <v>1082</v>
      </c>
      <c r="L16" s="183" t="s">
        <v>1191</v>
      </c>
      <c r="M16" s="193"/>
      <c r="N16" s="193"/>
      <c r="O16" s="193"/>
      <c r="P16" s="150"/>
      <c r="Q16" s="88"/>
      <c r="R16" s="88"/>
      <c r="S16" s="88"/>
      <c r="T16" s="88"/>
      <c r="U16" s="88"/>
      <c r="V16" s="88"/>
      <c r="W16" s="88"/>
      <c r="X16" s="88"/>
      <c r="Y16" s="88"/>
      <c r="Z16" s="88"/>
      <c r="AA16" s="88"/>
    </row>
    <row r="17" hidden="1">
      <c r="A17" s="89">
        <v>2020.0</v>
      </c>
      <c r="B17" s="89" t="s">
        <v>632</v>
      </c>
      <c r="C17" s="89" t="s">
        <v>139</v>
      </c>
      <c r="D17" s="91" t="s">
        <v>1194</v>
      </c>
      <c r="E17" s="89">
        <v>4.116001E7</v>
      </c>
      <c r="F17" s="92"/>
      <c r="G17" s="92"/>
      <c r="H17" s="93" t="s">
        <v>155</v>
      </c>
      <c r="I17" s="140">
        <v>162142.85</v>
      </c>
      <c r="J17" s="92"/>
      <c r="K17" s="89" t="s">
        <v>1196</v>
      </c>
      <c r="L17" s="89" t="s">
        <v>1197</v>
      </c>
      <c r="M17" s="92"/>
      <c r="N17" s="92"/>
      <c r="O17" s="98" t="s">
        <v>1198</v>
      </c>
      <c r="P17" s="150"/>
      <c r="Q17" s="88"/>
      <c r="R17" s="88"/>
      <c r="S17" s="88"/>
      <c r="T17" s="88"/>
      <c r="U17" s="88"/>
      <c r="V17" s="88"/>
      <c r="W17" s="88"/>
      <c r="X17" s="88"/>
      <c r="Y17" s="88"/>
      <c r="Z17" s="88"/>
      <c r="AA17" s="88"/>
    </row>
    <row r="18" hidden="1">
      <c r="A18" s="89">
        <v>2020.0</v>
      </c>
      <c r="B18" s="89" t="s">
        <v>310</v>
      </c>
      <c r="C18" s="89" t="s">
        <v>1094</v>
      </c>
      <c r="D18" s="91" t="s">
        <v>1200</v>
      </c>
      <c r="E18" s="95">
        <v>4.1160012E7</v>
      </c>
      <c r="F18" s="216"/>
      <c r="G18" s="216"/>
      <c r="H18" s="93" t="s">
        <v>155</v>
      </c>
      <c r="I18" s="140">
        <v>162125.0</v>
      </c>
      <c r="J18" s="216"/>
      <c r="K18" s="89" t="s">
        <v>1134</v>
      </c>
      <c r="L18" s="95" t="s">
        <v>1136</v>
      </c>
      <c r="M18" s="217"/>
      <c r="N18" s="216"/>
      <c r="O18" s="218" t="s">
        <v>1202</v>
      </c>
      <c r="P18" s="117"/>
      <c r="Q18" s="88"/>
      <c r="R18" s="88"/>
      <c r="S18" s="88"/>
      <c r="T18" s="88"/>
      <c r="U18" s="88"/>
      <c r="V18" s="88"/>
      <c r="W18" s="88"/>
      <c r="X18" s="88"/>
      <c r="Y18" s="88"/>
      <c r="Z18" s="88"/>
      <c r="AA18" s="88"/>
    </row>
    <row r="19" hidden="1">
      <c r="A19" s="181">
        <v>2023.0</v>
      </c>
      <c r="B19" s="182" t="s">
        <v>114</v>
      </c>
      <c r="C19" s="183" t="s">
        <v>220</v>
      </c>
      <c r="D19" s="188" t="s">
        <v>1206</v>
      </c>
      <c r="E19" s="183">
        <v>4.1160001E7</v>
      </c>
      <c r="F19" s="193"/>
      <c r="G19" s="193"/>
      <c r="H19" s="181" t="s">
        <v>89</v>
      </c>
      <c r="I19" s="196" t="s">
        <v>1207</v>
      </c>
      <c r="J19" s="193"/>
      <c r="K19" s="198" t="s">
        <v>1175</v>
      </c>
      <c r="L19" s="200" t="s">
        <v>1209</v>
      </c>
      <c r="M19" s="193"/>
      <c r="N19" s="193"/>
      <c r="O19" s="207" t="s">
        <v>1212</v>
      </c>
      <c r="P19" s="117"/>
      <c r="Q19" s="88"/>
      <c r="R19" s="88"/>
      <c r="S19" s="88"/>
      <c r="T19" s="88"/>
      <c r="U19" s="88"/>
      <c r="V19" s="88"/>
      <c r="W19" s="88"/>
      <c r="X19" s="88"/>
      <c r="Y19" s="88"/>
      <c r="Z19" s="88"/>
      <c r="AA19" s="88"/>
    </row>
    <row r="20" hidden="1">
      <c r="A20" s="151">
        <v>2021.0</v>
      </c>
      <c r="B20" s="151" t="s">
        <v>651</v>
      </c>
      <c r="C20" s="151" t="s">
        <v>1094</v>
      </c>
      <c r="D20" s="152" t="s">
        <v>1216</v>
      </c>
      <c r="E20" s="151">
        <v>4.1160001E7</v>
      </c>
      <c r="F20" s="92"/>
      <c r="G20" s="92"/>
      <c r="H20" s="153" t="s">
        <v>155</v>
      </c>
      <c r="I20" s="154">
        <v>333333.0</v>
      </c>
      <c r="J20" s="92"/>
      <c r="K20" s="103" t="s">
        <v>1090</v>
      </c>
      <c r="L20" s="223" t="s">
        <v>1218</v>
      </c>
      <c r="M20" s="92"/>
      <c r="N20" s="92"/>
      <c r="O20" s="167" t="s">
        <v>1222</v>
      </c>
      <c r="P20" s="117"/>
      <c r="Q20" s="88"/>
      <c r="R20" s="88"/>
      <c r="S20" s="88"/>
      <c r="T20" s="88"/>
      <c r="U20" s="88"/>
      <c r="V20" s="88"/>
      <c r="W20" s="88"/>
      <c r="X20" s="88"/>
      <c r="Y20" s="88"/>
      <c r="Z20" s="88"/>
      <c r="AA20" s="88"/>
    </row>
    <row r="21" hidden="1">
      <c r="A21" s="181">
        <v>2023.0</v>
      </c>
      <c r="B21" s="182" t="s">
        <v>655</v>
      </c>
      <c r="C21" s="183" t="s">
        <v>220</v>
      </c>
      <c r="D21" s="188" t="s">
        <v>955</v>
      </c>
      <c r="E21" s="183">
        <v>4.1160001E7</v>
      </c>
      <c r="F21" s="193"/>
      <c r="G21" s="193"/>
      <c r="H21" s="181" t="s">
        <v>89</v>
      </c>
      <c r="I21" s="196" t="s">
        <v>1229</v>
      </c>
      <c r="J21" s="193"/>
      <c r="K21" s="198" t="s">
        <v>1175</v>
      </c>
      <c r="L21" s="200" t="s">
        <v>1230</v>
      </c>
      <c r="M21" s="193"/>
      <c r="N21" s="193"/>
      <c r="O21" s="207" t="s">
        <v>1231</v>
      </c>
      <c r="P21" s="117"/>
      <c r="Q21" s="88"/>
      <c r="R21" s="88"/>
      <c r="S21" s="88"/>
      <c r="T21" s="88"/>
      <c r="U21" s="88"/>
      <c r="V21" s="88"/>
      <c r="W21" s="88"/>
      <c r="X21" s="88"/>
      <c r="Y21" s="88"/>
      <c r="Z21" s="88"/>
      <c r="AA21" s="88"/>
    </row>
    <row r="22" hidden="1">
      <c r="A22" s="151">
        <v>2021.0</v>
      </c>
      <c r="B22" s="151" t="s">
        <v>666</v>
      </c>
      <c r="C22" s="151" t="s">
        <v>1094</v>
      </c>
      <c r="D22" s="152" t="s">
        <v>1238</v>
      </c>
      <c r="E22" s="151">
        <v>4.1160001E7</v>
      </c>
      <c r="F22" s="92"/>
      <c r="G22" s="92"/>
      <c r="H22" s="153" t="s">
        <v>155</v>
      </c>
      <c r="I22" s="154">
        <v>333333.0</v>
      </c>
      <c r="J22" s="92"/>
      <c r="K22" s="103" t="s">
        <v>1090</v>
      </c>
      <c r="L22" s="223" t="s">
        <v>1218</v>
      </c>
      <c r="M22" s="97"/>
      <c r="N22" s="92"/>
      <c r="O22" s="167" t="s">
        <v>1240</v>
      </c>
      <c r="P22" s="117"/>
      <c r="Q22" s="88"/>
      <c r="R22" s="88"/>
      <c r="S22" s="88"/>
      <c r="T22" s="88"/>
      <c r="U22" s="88"/>
      <c r="V22" s="88"/>
      <c r="W22" s="88"/>
      <c r="X22" s="88"/>
      <c r="Y22" s="88"/>
      <c r="Z22" s="88"/>
      <c r="AA22" s="88"/>
    </row>
    <row r="23" hidden="1">
      <c r="A23" s="151">
        <v>2021.0</v>
      </c>
      <c r="B23" s="151" t="s">
        <v>198</v>
      </c>
      <c r="C23" s="151" t="s">
        <v>1094</v>
      </c>
      <c r="D23" s="152" t="s">
        <v>1242</v>
      </c>
      <c r="E23" s="151">
        <v>4.1160001E7</v>
      </c>
      <c r="F23" s="92"/>
      <c r="G23" s="92"/>
      <c r="H23" s="153" t="s">
        <v>155</v>
      </c>
      <c r="I23" s="154">
        <v>333333.0</v>
      </c>
      <c r="J23" s="92"/>
      <c r="K23" s="103" t="s">
        <v>1090</v>
      </c>
      <c r="L23" s="223" t="s">
        <v>1218</v>
      </c>
      <c r="M23" s="97"/>
      <c r="N23" s="92"/>
      <c r="O23" s="167" t="s">
        <v>1244</v>
      </c>
      <c r="P23" s="117"/>
      <c r="Q23" s="88"/>
      <c r="R23" s="88"/>
      <c r="S23" s="88"/>
      <c r="T23" s="88"/>
      <c r="U23" s="88"/>
      <c r="V23" s="88"/>
      <c r="W23" s="88"/>
      <c r="X23" s="88"/>
      <c r="Y23" s="88"/>
      <c r="Z23" s="88"/>
      <c r="AA23" s="88"/>
    </row>
    <row r="24" hidden="1">
      <c r="A24" s="181">
        <v>2023.0</v>
      </c>
      <c r="B24" s="182" t="s">
        <v>115</v>
      </c>
      <c r="C24" s="183" t="s">
        <v>220</v>
      </c>
      <c r="D24" s="188" t="s">
        <v>1248</v>
      </c>
      <c r="E24" s="183">
        <v>4.1160001E7</v>
      </c>
      <c r="F24" s="193"/>
      <c r="G24" s="193"/>
      <c r="H24" s="181" t="s">
        <v>89</v>
      </c>
      <c r="I24" s="196" t="s">
        <v>1249</v>
      </c>
      <c r="J24" s="193"/>
      <c r="K24" s="198" t="s">
        <v>1175</v>
      </c>
      <c r="L24" s="238" t="s">
        <v>1253</v>
      </c>
      <c r="M24" s="193"/>
      <c r="N24" s="193"/>
      <c r="O24" s="207" t="s">
        <v>1259</v>
      </c>
      <c r="P24" s="117"/>
      <c r="Q24" s="88"/>
      <c r="R24" s="88"/>
      <c r="S24" s="88"/>
      <c r="T24" s="88"/>
      <c r="U24" s="88"/>
      <c r="V24" s="88"/>
      <c r="W24" s="88"/>
      <c r="X24" s="88"/>
      <c r="Y24" s="88"/>
      <c r="Z24" s="88"/>
      <c r="AA24" s="88"/>
    </row>
    <row r="25" hidden="1">
      <c r="A25" s="181">
        <v>2023.0</v>
      </c>
      <c r="B25" s="182" t="s">
        <v>768</v>
      </c>
      <c r="C25" s="183" t="s">
        <v>220</v>
      </c>
      <c r="D25" s="188" t="s">
        <v>1265</v>
      </c>
      <c r="E25" s="183">
        <v>4.1160001E7</v>
      </c>
      <c r="F25" s="193"/>
      <c r="G25" s="193"/>
      <c r="H25" s="181" t="s">
        <v>89</v>
      </c>
      <c r="I25" s="196" t="s">
        <v>247</v>
      </c>
      <c r="J25" s="193"/>
      <c r="K25" s="198" t="s">
        <v>1082</v>
      </c>
      <c r="L25" s="200" t="s">
        <v>1267</v>
      </c>
      <c r="M25" s="193"/>
      <c r="N25" s="193"/>
      <c r="O25" s="207" t="s">
        <v>1268</v>
      </c>
      <c r="P25" s="117"/>
      <c r="Q25" s="88"/>
      <c r="R25" s="88"/>
      <c r="S25" s="88"/>
      <c r="T25" s="88"/>
      <c r="U25" s="88"/>
      <c r="V25" s="88"/>
      <c r="W25" s="88"/>
      <c r="X25" s="88"/>
      <c r="Y25" s="88"/>
      <c r="Z25" s="88"/>
      <c r="AA25" s="88"/>
    </row>
    <row r="26" hidden="1">
      <c r="A26" s="181">
        <v>2023.0</v>
      </c>
      <c r="B26" s="182" t="s">
        <v>338</v>
      </c>
      <c r="C26" s="183" t="s">
        <v>220</v>
      </c>
      <c r="D26" s="188" t="s">
        <v>1273</v>
      </c>
      <c r="E26" s="183">
        <v>4.1160001E7</v>
      </c>
      <c r="F26" s="193"/>
      <c r="G26" s="193"/>
      <c r="H26" s="181" t="s">
        <v>89</v>
      </c>
      <c r="I26" s="196" t="s">
        <v>1274</v>
      </c>
      <c r="J26" s="193"/>
      <c r="K26" s="198" t="s">
        <v>1175</v>
      </c>
      <c r="L26" s="200" t="s">
        <v>1275</v>
      </c>
      <c r="M26" s="193"/>
      <c r="N26" s="193"/>
      <c r="O26" s="207" t="s">
        <v>1276</v>
      </c>
      <c r="P26" s="117">
        <v>122.0</v>
      </c>
      <c r="Q26" s="88"/>
      <c r="R26" s="88"/>
      <c r="S26" s="88"/>
      <c r="T26" s="88"/>
      <c r="U26" s="88"/>
      <c r="V26" s="88"/>
      <c r="W26" s="88"/>
      <c r="X26" s="88"/>
      <c r="Y26" s="88"/>
      <c r="Z26" s="88"/>
      <c r="AA26" s="88"/>
    </row>
    <row r="27" hidden="1">
      <c r="A27" s="181">
        <v>2023.0</v>
      </c>
      <c r="B27" s="182" t="s">
        <v>496</v>
      </c>
      <c r="C27" s="183" t="s">
        <v>220</v>
      </c>
      <c r="D27" s="188" t="s">
        <v>1279</v>
      </c>
      <c r="E27" s="183">
        <v>4.1160001E7</v>
      </c>
      <c r="F27" s="193"/>
      <c r="G27" s="193"/>
      <c r="H27" s="181" t="s">
        <v>89</v>
      </c>
      <c r="I27" s="196" t="s">
        <v>1280</v>
      </c>
      <c r="J27" s="193"/>
      <c r="K27" s="198" t="s">
        <v>1082</v>
      </c>
      <c r="L27" s="200" t="s">
        <v>1281</v>
      </c>
      <c r="M27" s="193"/>
      <c r="N27" s="193"/>
      <c r="O27" s="207" t="s">
        <v>1283</v>
      </c>
      <c r="P27" s="150"/>
      <c r="Q27" s="88"/>
      <c r="R27" s="88"/>
      <c r="S27" s="88"/>
      <c r="T27" s="88"/>
      <c r="U27" s="88"/>
      <c r="V27" s="88"/>
      <c r="W27" s="88"/>
      <c r="X27" s="88"/>
      <c r="Y27" s="88"/>
      <c r="Z27" s="88"/>
      <c r="AA27" s="88"/>
    </row>
    <row r="28" hidden="1">
      <c r="A28" s="89">
        <v>2020.0</v>
      </c>
      <c r="B28" s="89" t="s">
        <v>796</v>
      </c>
      <c r="C28" s="89" t="s">
        <v>1065</v>
      </c>
      <c r="D28" s="91" t="s">
        <v>1286</v>
      </c>
      <c r="E28" s="148">
        <v>7.1220004E7</v>
      </c>
      <c r="F28" s="216"/>
      <c r="G28" s="216"/>
      <c r="H28" s="93" t="s">
        <v>389</v>
      </c>
      <c r="I28" s="140">
        <v>137569.0</v>
      </c>
      <c r="J28" s="216"/>
      <c r="K28" s="89" t="s">
        <v>1067</v>
      </c>
      <c r="L28" s="89" t="s">
        <v>1287</v>
      </c>
      <c r="M28" s="217"/>
      <c r="N28" s="216"/>
      <c r="O28" s="95" t="s">
        <v>1289</v>
      </c>
      <c r="P28" s="150"/>
      <c r="Q28" s="88"/>
      <c r="R28" s="88"/>
      <c r="S28" s="88"/>
      <c r="T28" s="88"/>
      <c r="U28" s="88"/>
      <c r="V28" s="88"/>
      <c r="W28" s="88"/>
      <c r="X28" s="88"/>
      <c r="Y28" s="88"/>
      <c r="Z28" s="88"/>
      <c r="AA28" s="88"/>
    </row>
    <row r="29" hidden="1">
      <c r="A29" s="181">
        <v>2023.0</v>
      </c>
      <c r="B29" s="182" t="s">
        <v>219</v>
      </c>
      <c r="C29" s="183" t="s">
        <v>220</v>
      </c>
      <c r="D29" s="188" t="s">
        <v>1290</v>
      </c>
      <c r="E29" s="183">
        <v>4.1160001E7</v>
      </c>
      <c r="F29" s="193"/>
      <c r="G29" s="193"/>
      <c r="H29" s="181" t="s">
        <v>89</v>
      </c>
      <c r="I29" s="196" t="s">
        <v>1280</v>
      </c>
      <c r="J29" s="193"/>
      <c r="K29" s="198" t="s">
        <v>1082</v>
      </c>
      <c r="L29" s="200" t="s">
        <v>1292</v>
      </c>
      <c r="M29" s="193"/>
      <c r="N29" s="193"/>
      <c r="O29" s="207" t="s">
        <v>1294</v>
      </c>
      <c r="P29" s="117"/>
      <c r="Q29" s="88"/>
      <c r="R29" s="88"/>
      <c r="S29" s="88"/>
      <c r="T29" s="88"/>
      <c r="U29" s="88"/>
      <c r="V29" s="88"/>
      <c r="W29" s="88"/>
      <c r="X29" s="88"/>
      <c r="Y29" s="88"/>
      <c r="Z29" s="88"/>
      <c r="AA29" s="88"/>
    </row>
    <row r="30" hidden="1">
      <c r="A30" s="151">
        <v>2021.0</v>
      </c>
      <c r="B30" s="151" t="s">
        <v>239</v>
      </c>
      <c r="C30" s="151" t="s">
        <v>251</v>
      </c>
      <c r="D30" s="152" t="s">
        <v>1295</v>
      </c>
      <c r="E30" s="151">
        <v>4.1160001E7</v>
      </c>
      <c r="F30" s="92"/>
      <c r="G30" s="92"/>
      <c r="H30" s="153" t="s">
        <v>155</v>
      </c>
      <c r="I30" s="154">
        <v>26383.34</v>
      </c>
      <c r="J30" s="92"/>
      <c r="K30" s="103" t="s">
        <v>1090</v>
      </c>
      <c r="L30" s="162" t="s">
        <v>267</v>
      </c>
      <c r="M30" s="97"/>
      <c r="N30" s="92"/>
      <c r="O30" s="255" t="s">
        <v>1300</v>
      </c>
      <c r="P30" s="117"/>
      <c r="Q30" s="88"/>
      <c r="R30" s="88"/>
      <c r="S30" s="88"/>
      <c r="T30" s="88"/>
      <c r="U30" s="88"/>
      <c r="V30" s="88"/>
      <c r="W30" s="88"/>
      <c r="X30" s="88"/>
      <c r="Y30" s="88"/>
      <c r="Z30" s="88"/>
      <c r="AA30" s="88"/>
    </row>
    <row r="31" hidden="1">
      <c r="A31" s="151">
        <v>2021.0</v>
      </c>
      <c r="B31" s="151" t="s">
        <v>807</v>
      </c>
      <c r="C31" s="151" t="s">
        <v>1097</v>
      </c>
      <c r="D31" s="152" t="s">
        <v>1097</v>
      </c>
      <c r="E31" s="151">
        <v>4.11660007E8</v>
      </c>
      <c r="F31" s="92"/>
      <c r="G31" s="92"/>
      <c r="H31" s="153" t="s">
        <v>155</v>
      </c>
      <c r="I31" s="154">
        <v>114993.0</v>
      </c>
      <c r="J31" s="92"/>
      <c r="K31" s="151" t="s">
        <v>1112</v>
      </c>
      <c r="L31" s="223" t="s">
        <v>1113</v>
      </c>
      <c r="M31" s="97"/>
      <c r="N31" s="92"/>
      <c r="O31" s="151" t="s">
        <v>1114</v>
      </c>
      <c r="P31" s="117"/>
      <c r="Q31" s="88"/>
      <c r="R31" s="88"/>
      <c r="S31" s="88"/>
      <c r="T31" s="88"/>
      <c r="U31" s="88"/>
      <c r="V31" s="88"/>
      <c r="W31" s="88"/>
      <c r="X31" s="88"/>
      <c r="Y31" s="88"/>
      <c r="Z31" s="88"/>
      <c r="AA31" s="88"/>
    </row>
    <row r="32" hidden="1">
      <c r="A32" s="181">
        <v>2023.0</v>
      </c>
      <c r="B32" s="182" t="s">
        <v>807</v>
      </c>
      <c r="C32" s="183" t="s">
        <v>220</v>
      </c>
      <c r="D32" s="188" t="s">
        <v>1308</v>
      </c>
      <c r="E32" s="183">
        <v>4.1160001E7</v>
      </c>
      <c r="F32" s="193"/>
      <c r="G32" s="193"/>
      <c r="H32" s="181" t="s">
        <v>89</v>
      </c>
      <c r="I32" s="196" t="s">
        <v>113</v>
      </c>
      <c r="J32" s="193"/>
      <c r="K32" s="198" t="s">
        <v>1175</v>
      </c>
      <c r="L32" s="200" t="s">
        <v>1309</v>
      </c>
      <c r="M32" s="193"/>
      <c r="N32" s="193"/>
      <c r="O32" s="207" t="s">
        <v>1311</v>
      </c>
      <c r="P32" s="117"/>
      <c r="Q32" s="88"/>
      <c r="R32" s="88"/>
      <c r="S32" s="88"/>
      <c r="T32" s="88"/>
      <c r="U32" s="88"/>
      <c r="V32" s="88"/>
      <c r="W32" s="88"/>
      <c r="X32" s="88"/>
      <c r="Y32" s="88"/>
      <c r="Z32" s="88"/>
      <c r="AA32" s="88"/>
    </row>
    <row r="33" hidden="1">
      <c r="A33" s="89">
        <v>2020.0</v>
      </c>
      <c r="B33" s="89" t="s">
        <v>821</v>
      </c>
      <c r="C33" s="89" t="s">
        <v>139</v>
      </c>
      <c r="D33" s="91" t="s">
        <v>1317</v>
      </c>
      <c r="E33" s="89">
        <v>4.116001E7</v>
      </c>
      <c r="F33" s="92"/>
      <c r="G33" s="92"/>
      <c r="H33" s="93" t="s">
        <v>155</v>
      </c>
      <c r="I33" s="140">
        <v>162142.85</v>
      </c>
      <c r="J33" s="92"/>
      <c r="K33" s="89" t="s">
        <v>1196</v>
      </c>
      <c r="L33" s="89" t="s">
        <v>1318</v>
      </c>
      <c r="M33" s="92"/>
      <c r="N33" s="92"/>
      <c r="O33" s="98" t="s">
        <v>1320</v>
      </c>
      <c r="P33" s="117">
        <v>129.0</v>
      </c>
      <c r="Q33" s="88"/>
      <c r="R33" s="88"/>
      <c r="S33" s="88"/>
      <c r="T33" s="88"/>
      <c r="U33" s="88"/>
      <c r="V33" s="88"/>
      <c r="W33" s="88"/>
      <c r="X33" s="88"/>
      <c r="Y33" s="88"/>
      <c r="Z33" s="88"/>
      <c r="AA33" s="88"/>
    </row>
    <row r="34" hidden="1">
      <c r="A34" s="151">
        <v>2021.0</v>
      </c>
      <c r="B34" s="151" t="s">
        <v>119</v>
      </c>
      <c r="C34" s="151" t="s">
        <v>465</v>
      </c>
      <c r="D34" s="152" t="s">
        <v>1322</v>
      </c>
      <c r="E34" s="151">
        <v>4.1160005E7</v>
      </c>
      <c r="F34" s="92"/>
      <c r="G34" s="92"/>
      <c r="H34" s="153" t="s">
        <v>155</v>
      </c>
      <c r="I34" s="260">
        <v>180837.86</v>
      </c>
      <c r="J34" s="92"/>
      <c r="K34" s="151" t="s">
        <v>1327</v>
      </c>
      <c r="L34" s="151" t="s">
        <v>1329</v>
      </c>
      <c r="M34" s="97"/>
      <c r="N34" s="92"/>
      <c r="O34" s="255" t="s">
        <v>1330</v>
      </c>
      <c r="P34" s="117">
        <v>132.0</v>
      </c>
      <c r="Q34" s="88"/>
      <c r="R34" s="88"/>
      <c r="S34" s="88"/>
      <c r="T34" s="88"/>
      <c r="U34" s="88"/>
      <c r="V34" s="88"/>
      <c r="W34" s="88"/>
      <c r="X34" s="88"/>
      <c r="Y34" s="88"/>
      <c r="Z34" s="88"/>
      <c r="AA34" s="88"/>
    </row>
    <row r="35" hidden="1">
      <c r="A35" s="181">
        <v>2023.0</v>
      </c>
      <c r="B35" s="182" t="s">
        <v>245</v>
      </c>
      <c r="C35" s="183" t="s">
        <v>220</v>
      </c>
      <c r="D35" s="188" t="s">
        <v>1334</v>
      </c>
      <c r="E35" s="183">
        <v>4.1160001E7</v>
      </c>
      <c r="F35" s="193"/>
      <c r="G35" s="193"/>
      <c r="H35" s="181" t="s">
        <v>89</v>
      </c>
      <c r="I35" s="196" t="s">
        <v>1189</v>
      </c>
      <c r="J35" s="193"/>
      <c r="K35" s="198" t="s">
        <v>1082</v>
      </c>
      <c r="L35" s="200" t="s">
        <v>1335</v>
      </c>
      <c r="M35" s="193"/>
      <c r="N35" s="193"/>
      <c r="O35" s="207" t="s">
        <v>1337</v>
      </c>
      <c r="P35" s="117">
        <v>131.0</v>
      </c>
      <c r="Q35" s="88"/>
      <c r="R35" s="88"/>
      <c r="S35" s="88"/>
      <c r="T35" s="88"/>
      <c r="U35" s="88"/>
      <c r="V35" s="88"/>
      <c r="W35" s="88"/>
      <c r="X35" s="88"/>
      <c r="Y35" s="88"/>
      <c r="Z35" s="88"/>
      <c r="AA35" s="88"/>
    </row>
    <row r="36" hidden="1">
      <c r="A36" s="89">
        <v>2020.0</v>
      </c>
      <c r="B36" s="89" t="s">
        <v>127</v>
      </c>
      <c r="C36" s="89" t="s">
        <v>139</v>
      </c>
      <c r="D36" s="91" t="s">
        <v>1340</v>
      </c>
      <c r="E36" s="95">
        <v>4.1160006E7</v>
      </c>
      <c r="F36" s="92"/>
      <c r="G36" s="92"/>
      <c r="H36" s="93" t="s">
        <v>155</v>
      </c>
      <c r="I36" s="140">
        <v>261914.0</v>
      </c>
      <c r="J36" s="92"/>
      <c r="K36" s="89" t="s">
        <v>1342</v>
      </c>
      <c r="L36" s="270" t="s">
        <v>1343</v>
      </c>
      <c r="M36" s="92"/>
      <c r="N36" s="92"/>
      <c r="O36" s="218" t="s">
        <v>1345</v>
      </c>
      <c r="P36" s="117"/>
      <c r="Q36" s="88"/>
      <c r="R36" s="88"/>
      <c r="S36" s="88"/>
      <c r="T36" s="88"/>
      <c r="U36" s="88"/>
      <c r="V36" s="88"/>
      <c r="W36" s="88"/>
      <c r="X36" s="88"/>
      <c r="Y36" s="88"/>
      <c r="Z36" s="88"/>
      <c r="AA36" s="88"/>
    </row>
    <row r="37" hidden="1">
      <c r="A37" s="89">
        <v>2020.0</v>
      </c>
      <c r="B37" s="89" t="s">
        <v>127</v>
      </c>
      <c r="C37" s="89" t="s">
        <v>139</v>
      </c>
      <c r="D37" s="91" t="s">
        <v>412</v>
      </c>
      <c r="E37" s="89">
        <v>4.116001E7</v>
      </c>
      <c r="F37" s="216"/>
      <c r="G37" s="216"/>
      <c r="H37" s="93" t="s">
        <v>155</v>
      </c>
      <c r="I37" s="140">
        <v>31428.6</v>
      </c>
      <c r="J37" s="216"/>
      <c r="K37" s="89" t="s">
        <v>418</v>
      </c>
      <c r="L37" s="89" t="s">
        <v>420</v>
      </c>
      <c r="M37" s="217"/>
      <c r="N37" s="216"/>
      <c r="O37" s="98" t="s">
        <v>1348</v>
      </c>
      <c r="P37" s="117"/>
      <c r="Q37" s="88"/>
      <c r="R37" s="88"/>
      <c r="S37" s="88"/>
      <c r="T37" s="88"/>
      <c r="U37" s="88"/>
      <c r="V37" s="88"/>
      <c r="W37" s="88"/>
      <c r="X37" s="88"/>
      <c r="Y37" s="88"/>
      <c r="Z37" s="88"/>
      <c r="AA37" s="88"/>
    </row>
    <row r="38" hidden="1">
      <c r="A38" s="89">
        <v>2020.0</v>
      </c>
      <c r="B38" s="89" t="s">
        <v>127</v>
      </c>
      <c r="C38" s="89" t="s">
        <v>139</v>
      </c>
      <c r="D38" s="91" t="s">
        <v>1351</v>
      </c>
      <c r="E38" s="89">
        <v>4.116001E7</v>
      </c>
      <c r="F38" s="216"/>
      <c r="G38" s="216"/>
      <c r="H38" s="93" t="s">
        <v>155</v>
      </c>
      <c r="I38" s="140">
        <v>111914.0</v>
      </c>
      <c r="J38" s="216"/>
      <c r="K38" s="89" t="s">
        <v>1352</v>
      </c>
      <c r="L38" s="89" t="s">
        <v>1353</v>
      </c>
      <c r="M38" s="217"/>
      <c r="N38" s="216"/>
      <c r="O38" s="98" t="s">
        <v>1354</v>
      </c>
      <c r="P38" s="117"/>
      <c r="Q38" s="88"/>
      <c r="R38" s="88"/>
      <c r="S38" s="88"/>
      <c r="T38" s="88"/>
      <c r="U38" s="88"/>
      <c r="V38" s="88"/>
      <c r="W38" s="88"/>
      <c r="X38" s="88"/>
      <c r="Y38" s="88"/>
      <c r="Z38" s="88"/>
      <c r="AA38" s="88"/>
    </row>
    <row r="39" hidden="1">
      <c r="A39" s="151">
        <v>2020.0</v>
      </c>
      <c r="B39" s="151" t="s">
        <v>127</v>
      </c>
      <c r="C39" s="151" t="s">
        <v>1097</v>
      </c>
      <c r="D39" s="152" t="s">
        <v>1097</v>
      </c>
      <c r="E39" s="151">
        <v>4.1160007E7</v>
      </c>
      <c r="F39" s="92"/>
      <c r="G39" s="92"/>
      <c r="H39" s="153" t="s">
        <v>155</v>
      </c>
      <c r="I39" s="154">
        <v>290000.0</v>
      </c>
      <c r="J39" s="92"/>
      <c r="K39" s="151" t="s">
        <v>110</v>
      </c>
      <c r="L39" s="151" t="s">
        <v>1356</v>
      </c>
      <c r="M39" s="97"/>
      <c r="N39" s="92"/>
      <c r="O39" s="167" t="s">
        <v>1357</v>
      </c>
      <c r="P39" s="117"/>
      <c r="Q39" s="88"/>
      <c r="R39" s="88"/>
      <c r="S39" s="88"/>
      <c r="T39" s="88"/>
      <c r="U39" s="88"/>
      <c r="V39" s="88"/>
      <c r="W39" s="88"/>
      <c r="X39" s="88"/>
      <c r="Y39" s="88"/>
      <c r="Z39" s="88"/>
      <c r="AA39" s="88"/>
    </row>
    <row r="40" hidden="1">
      <c r="A40" s="151">
        <v>2021.0</v>
      </c>
      <c r="B40" s="151" t="s">
        <v>127</v>
      </c>
      <c r="C40" s="151" t="s">
        <v>251</v>
      </c>
      <c r="D40" s="286" t="s">
        <v>1358</v>
      </c>
      <c r="E40" s="151">
        <v>4.1160001E7</v>
      </c>
      <c r="F40" s="92"/>
      <c r="G40" s="92"/>
      <c r="H40" s="153" t="s">
        <v>155</v>
      </c>
      <c r="I40" s="154">
        <v>186808.33</v>
      </c>
      <c r="J40" s="92"/>
      <c r="K40" s="103" t="s">
        <v>1090</v>
      </c>
      <c r="L40" s="287" t="s">
        <v>267</v>
      </c>
      <c r="M40" s="115"/>
      <c r="N40" s="115"/>
      <c r="O40" s="288" t="s">
        <v>1361</v>
      </c>
      <c r="P40" s="117"/>
      <c r="Q40" s="88"/>
      <c r="R40" s="88"/>
      <c r="S40" s="88"/>
      <c r="T40" s="88"/>
      <c r="U40" s="88"/>
      <c r="V40" s="88"/>
      <c r="W40" s="88"/>
      <c r="X40" s="88"/>
      <c r="Y40" s="88"/>
      <c r="Z40" s="88"/>
      <c r="AA40" s="88"/>
    </row>
    <row r="41">
      <c r="A41" s="92">
        <v>2022.0</v>
      </c>
      <c r="B41" s="92" t="s">
        <v>127</v>
      </c>
      <c r="C41" s="92" t="s">
        <v>1363</v>
      </c>
      <c r="D41" s="124" t="s">
        <v>1203</v>
      </c>
      <c r="E41" s="92">
        <v>4.1160009E7</v>
      </c>
      <c r="F41" s="92"/>
      <c r="G41" s="92"/>
      <c r="H41" s="107" t="s">
        <v>155</v>
      </c>
      <c r="I41" s="108">
        <v>300000.0</v>
      </c>
      <c r="J41" s="92" t="s">
        <v>200</v>
      </c>
      <c r="K41" s="92" t="s">
        <v>1082</v>
      </c>
      <c r="L41" s="97" t="s">
        <v>1364</v>
      </c>
      <c r="M41" s="115"/>
      <c r="N41" s="115"/>
      <c r="O41" s="115"/>
      <c r="P41" s="117"/>
      <c r="Q41" s="88"/>
      <c r="R41" s="88"/>
      <c r="S41" s="88"/>
      <c r="T41" s="88"/>
      <c r="U41" s="88"/>
      <c r="V41" s="88"/>
      <c r="W41" s="88"/>
      <c r="X41" s="88"/>
      <c r="Y41" s="88"/>
      <c r="Z41" s="88"/>
      <c r="AA41" s="88"/>
    </row>
    <row r="42" hidden="1">
      <c r="A42" s="89">
        <v>2020.0</v>
      </c>
      <c r="B42" s="89" t="s">
        <v>1365</v>
      </c>
      <c r="C42" s="89" t="s">
        <v>291</v>
      </c>
      <c r="D42" s="91" t="s">
        <v>1366</v>
      </c>
      <c r="E42" s="148">
        <v>4.1160008E7</v>
      </c>
      <c r="F42" s="216"/>
      <c r="G42" s="216"/>
      <c r="H42" s="93" t="s">
        <v>155</v>
      </c>
      <c r="I42" s="140">
        <v>31616.04</v>
      </c>
      <c r="J42" s="216"/>
      <c r="K42" s="89" t="s">
        <v>305</v>
      </c>
      <c r="L42" s="90" t="s">
        <v>427</v>
      </c>
      <c r="M42" s="217"/>
      <c r="N42" s="216"/>
      <c r="O42" s="294" t="s">
        <v>1371</v>
      </c>
      <c r="P42" s="117">
        <v>133.0</v>
      </c>
      <c r="Q42" s="88"/>
      <c r="R42" s="88"/>
      <c r="S42" s="88"/>
      <c r="T42" s="88"/>
      <c r="U42" s="88"/>
      <c r="V42" s="88"/>
      <c r="W42" s="88"/>
      <c r="X42" s="88"/>
      <c r="Y42" s="88"/>
      <c r="Z42" s="88"/>
      <c r="AA42" s="88"/>
    </row>
    <row r="43" hidden="1">
      <c r="A43" s="89">
        <v>2020.0</v>
      </c>
      <c r="B43" s="89" t="s">
        <v>1365</v>
      </c>
      <c r="C43" s="89" t="s">
        <v>291</v>
      </c>
      <c r="D43" s="91" t="s">
        <v>1366</v>
      </c>
      <c r="E43" s="148">
        <v>4.1160008E7</v>
      </c>
      <c r="F43" s="216"/>
      <c r="G43" s="216"/>
      <c r="H43" s="93" t="s">
        <v>155</v>
      </c>
      <c r="I43" s="140" t="s">
        <v>1376</v>
      </c>
      <c r="J43" s="216"/>
      <c r="K43" s="217" t="s">
        <v>1377</v>
      </c>
      <c r="L43" s="90" t="s">
        <v>1378</v>
      </c>
      <c r="M43" s="217"/>
      <c r="N43" s="216"/>
      <c r="O43" s="294" t="s">
        <v>1379</v>
      </c>
      <c r="P43" s="117">
        <v>136.0</v>
      </c>
      <c r="Q43" s="88"/>
      <c r="R43" s="88"/>
      <c r="S43" s="88"/>
      <c r="T43" s="88"/>
      <c r="U43" s="88"/>
      <c r="V43" s="88"/>
      <c r="W43" s="88"/>
      <c r="X43" s="88"/>
      <c r="Y43" s="88"/>
      <c r="Z43" s="88"/>
      <c r="AA43" s="88"/>
    </row>
    <row r="44" hidden="1">
      <c r="A44" s="89">
        <v>2020.0</v>
      </c>
      <c r="B44" s="89" t="s">
        <v>1365</v>
      </c>
      <c r="C44" s="89" t="s">
        <v>291</v>
      </c>
      <c r="D44" s="91" t="s">
        <v>1366</v>
      </c>
      <c r="E44" s="148">
        <v>4.1160008E7</v>
      </c>
      <c r="F44" s="92"/>
      <c r="G44" s="92"/>
      <c r="H44" s="93" t="s">
        <v>155</v>
      </c>
      <c r="I44" s="140" t="s">
        <v>1380</v>
      </c>
      <c r="J44" s="92"/>
      <c r="K44" s="217" t="s">
        <v>523</v>
      </c>
      <c r="L44" s="90" t="s">
        <v>524</v>
      </c>
      <c r="M44" s="97"/>
      <c r="N44" s="92"/>
      <c r="O44" s="294" t="s">
        <v>1382</v>
      </c>
      <c r="P44" s="117"/>
      <c r="Q44" s="88"/>
      <c r="R44" s="88"/>
      <c r="S44" s="88"/>
      <c r="T44" s="88"/>
      <c r="U44" s="88"/>
      <c r="V44" s="88"/>
      <c r="W44" s="88"/>
      <c r="X44" s="88"/>
      <c r="Y44" s="88"/>
      <c r="Z44" s="88"/>
      <c r="AA44" s="88"/>
    </row>
    <row r="45" hidden="1">
      <c r="A45" s="89">
        <v>2020.0</v>
      </c>
      <c r="B45" s="89" t="s">
        <v>1365</v>
      </c>
      <c r="C45" s="89" t="s">
        <v>291</v>
      </c>
      <c r="D45" s="91" t="s">
        <v>1366</v>
      </c>
      <c r="E45" s="148">
        <v>4.1160008E7</v>
      </c>
      <c r="F45" s="92"/>
      <c r="G45" s="92"/>
      <c r="H45" s="93" t="s">
        <v>155</v>
      </c>
      <c r="I45" s="140">
        <v>41565.73</v>
      </c>
      <c r="J45" s="92"/>
      <c r="K45" s="89" t="s">
        <v>305</v>
      </c>
      <c r="L45" s="90" t="s">
        <v>527</v>
      </c>
      <c r="M45" s="97"/>
      <c r="N45" s="92"/>
      <c r="O45" s="294" t="s">
        <v>1387</v>
      </c>
      <c r="P45" s="117">
        <v>130.0</v>
      </c>
      <c r="Q45" s="88"/>
      <c r="R45" s="88"/>
      <c r="S45" s="88"/>
      <c r="T45" s="88"/>
      <c r="U45" s="88"/>
      <c r="V45" s="88"/>
      <c r="W45" s="88"/>
      <c r="X45" s="88"/>
      <c r="Y45" s="88"/>
      <c r="Z45" s="88"/>
      <c r="AA45" s="88"/>
    </row>
    <row r="46" hidden="1">
      <c r="A46" s="89">
        <v>2020.0</v>
      </c>
      <c r="B46" s="89" t="s">
        <v>1365</v>
      </c>
      <c r="C46" s="89" t="s">
        <v>291</v>
      </c>
      <c r="D46" s="91" t="s">
        <v>1366</v>
      </c>
      <c r="E46" s="148">
        <v>4.1160008E7</v>
      </c>
      <c r="F46" s="92"/>
      <c r="G46" s="92"/>
      <c r="H46" s="93" t="s">
        <v>155</v>
      </c>
      <c r="I46" s="140">
        <v>26706.33</v>
      </c>
      <c r="J46" s="92"/>
      <c r="K46" s="89" t="s">
        <v>305</v>
      </c>
      <c r="L46" s="90" t="s">
        <v>308</v>
      </c>
      <c r="M46" s="97"/>
      <c r="N46" s="92"/>
      <c r="O46" s="294" t="s">
        <v>1389</v>
      </c>
      <c r="P46" s="117"/>
      <c r="Q46" s="88"/>
      <c r="R46" s="88"/>
      <c r="S46" s="88"/>
      <c r="T46" s="88"/>
      <c r="U46" s="88"/>
      <c r="V46" s="88"/>
      <c r="W46" s="88"/>
      <c r="X46" s="88"/>
      <c r="Y46" s="88"/>
      <c r="Z46" s="88"/>
      <c r="AA46" s="88"/>
    </row>
    <row r="47" ht="70.5" hidden="1" customHeight="1">
      <c r="A47" s="89">
        <v>2020.0</v>
      </c>
      <c r="B47" s="89" t="s">
        <v>1365</v>
      </c>
      <c r="C47" s="89" t="s">
        <v>291</v>
      </c>
      <c r="D47" s="91" t="s">
        <v>1366</v>
      </c>
      <c r="E47" s="95">
        <v>4.116001E7</v>
      </c>
      <c r="F47" s="92"/>
      <c r="G47" s="92"/>
      <c r="H47" s="93" t="s">
        <v>155</v>
      </c>
      <c r="I47" s="140">
        <v>88086.0</v>
      </c>
      <c r="J47" s="92"/>
      <c r="K47" s="89" t="s">
        <v>305</v>
      </c>
      <c r="L47" s="90" t="s">
        <v>1081</v>
      </c>
      <c r="M47" s="97"/>
      <c r="N47" s="92"/>
      <c r="O47" s="294" t="s">
        <v>1391</v>
      </c>
      <c r="P47" s="88"/>
      <c r="Q47" s="88"/>
      <c r="R47" s="88"/>
      <c r="S47" s="88"/>
      <c r="T47" s="88"/>
      <c r="U47" s="88"/>
      <c r="V47" s="88"/>
      <c r="W47" s="88"/>
      <c r="X47" s="88"/>
      <c r="Y47" s="88"/>
      <c r="Z47" s="88"/>
      <c r="AA47" s="88"/>
    </row>
    <row r="48" hidden="1">
      <c r="A48" s="89">
        <v>2020.0</v>
      </c>
      <c r="B48" s="89" t="s">
        <v>1365</v>
      </c>
      <c r="C48" s="89" t="s">
        <v>291</v>
      </c>
      <c r="D48" s="91" t="s">
        <v>1366</v>
      </c>
      <c r="E48" s="95">
        <v>4.116001E7</v>
      </c>
      <c r="F48" s="92"/>
      <c r="G48" s="92"/>
      <c r="H48" s="93" t="s">
        <v>155</v>
      </c>
      <c r="I48" s="140">
        <v>200841.17</v>
      </c>
      <c r="J48" s="92"/>
      <c r="K48" s="89" t="s">
        <v>305</v>
      </c>
      <c r="L48" s="90" t="s">
        <v>1395</v>
      </c>
      <c r="M48" s="97"/>
      <c r="N48" s="92"/>
      <c r="O48" s="294" t="s">
        <v>1396</v>
      </c>
      <c r="P48" s="88"/>
      <c r="Q48" s="88"/>
      <c r="R48" s="88"/>
      <c r="S48" s="88"/>
      <c r="T48" s="88"/>
      <c r="U48" s="88"/>
      <c r="V48" s="88"/>
      <c r="W48" s="88"/>
      <c r="X48" s="88"/>
      <c r="Y48" s="88"/>
      <c r="Z48" s="88"/>
      <c r="AA48" s="88"/>
    </row>
    <row r="49" hidden="1">
      <c r="A49" s="89">
        <v>2020.0</v>
      </c>
      <c r="B49" s="89" t="s">
        <v>1365</v>
      </c>
      <c r="C49" s="89" t="s">
        <v>291</v>
      </c>
      <c r="D49" s="91" t="s">
        <v>1366</v>
      </c>
      <c r="E49" s="95">
        <v>4.116001E7</v>
      </c>
      <c r="F49" s="92"/>
      <c r="G49" s="92"/>
      <c r="H49" s="93" t="s">
        <v>155</v>
      </c>
      <c r="I49" s="140">
        <v>122560.34</v>
      </c>
      <c r="J49" s="92"/>
      <c r="K49" s="89" t="s">
        <v>305</v>
      </c>
      <c r="L49" s="90" t="s">
        <v>1397</v>
      </c>
      <c r="M49" s="97"/>
      <c r="N49" s="92"/>
      <c r="O49" s="294" t="s">
        <v>1398</v>
      </c>
      <c r="P49" s="88"/>
      <c r="Q49" s="88"/>
      <c r="R49" s="88"/>
      <c r="S49" s="88"/>
      <c r="T49" s="88"/>
      <c r="U49" s="88"/>
      <c r="V49" s="88"/>
      <c r="W49" s="88"/>
      <c r="X49" s="88"/>
      <c r="Y49" s="88"/>
      <c r="Z49" s="88"/>
      <c r="AA49" s="88"/>
    </row>
    <row r="50" hidden="1">
      <c r="A50" s="151">
        <v>2021.0</v>
      </c>
      <c r="B50" s="151" t="s">
        <v>1365</v>
      </c>
      <c r="C50" s="151" t="s">
        <v>291</v>
      </c>
      <c r="D50" s="152" t="s">
        <v>1366</v>
      </c>
      <c r="E50" s="151">
        <v>4.1160001E7</v>
      </c>
      <c r="F50" s="92"/>
      <c r="G50" s="92"/>
      <c r="H50" s="153" t="s">
        <v>155</v>
      </c>
      <c r="I50" s="154">
        <v>400000.0</v>
      </c>
      <c r="J50" s="92"/>
      <c r="K50" s="103" t="s">
        <v>1090</v>
      </c>
      <c r="L50" s="223" t="s">
        <v>1401</v>
      </c>
      <c r="M50" s="115"/>
      <c r="N50" s="115"/>
      <c r="O50" s="255" t="s">
        <v>1402</v>
      </c>
      <c r="P50" s="88"/>
      <c r="Q50" s="88"/>
      <c r="R50" s="88"/>
      <c r="S50" s="88"/>
      <c r="T50" s="88"/>
      <c r="U50" s="88"/>
      <c r="V50" s="88"/>
      <c r="W50" s="88"/>
      <c r="X50" s="88"/>
      <c r="Y50" s="88"/>
      <c r="Z50" s="88"/>
      <c r="AA50" s="88"/>
    </row>
    <row r="51">
      <c r="A51" s="92">
        <v>2022.0</v>
      </c>
      <c r="B51" s="92" t="s">
        <v>96</v>
      </c>
      <c r="C51" s="92" t="s">
        <v>1403</v>
      </c>
      <c r="D51" s="124" t="s">
        <v>1201</v>
      </c>
      <c r="E51" s="92">
        <v>4.116001E7</v>
      </c>
      <c r="F51" s="92"/>
      <c r="G51" s="92"/>
      <c r="H51" s="107" t="s">
        <v>155</v>
      </c>
      <c r="I51" s="108">
        <v>350000.0</v>
      </c>
      <c r="J51" s="92" t="s">
        <v>200</v>
      </c>
      <c r="K51" s="92" t="s">
        <v>1082</v>
      </c>
      <c r="L51" s="97" t="s">
        <v>1404</v>
      </c>
      <c r="M51" s="115"/>
      <c r="N51" s="115"/>
      <c r="O51" s="115"/>
      <c r="P51" s="88"/>
      <c r="Q51" s="88"/>
      <c r="R51" s="88"/>
      <c r="S51" s="88"/>
      <c r="T51" s="88"/>
      <c r="U51" s="88"/>
      <c r="V51" s="88"/>
      <c r="W51" s="88"/>
      <c r="X51" s="88"/>
      <c r="Y51" s="88"/>
      <c r="Z51" s="88"/>
      <c r="AA51" s="88"/>
    </row>
    <row r="52" hidden="1">
      <c r="A52" s="89">
        <v>2021.0</v>
      </c>
      <c r="B52" s="89" t="s">
        <v>543</v>
      </c>
      <c r="C52" s="90" t="s">
        <v>1094</v>
      </c>
      <c r="D52" s="91" t="s">
        <v>1094</v>
      </c>
      <c r="E52" s="89">
        <v>7.1220009E7</v>
      </c>
      <c r="F52" s="92"/>
      <c r="G52" s="92"/>
      <c r="H52" s="93" t="s">
        <v>389</v>
      </c>
      <c r="I52" s="94">
        <v>330000.0</v>
      </c>
      <c r="J52" s="92"/>
      <c r="K52" s="95"/>
      <c r="L52" s="90" t="s">
        <v>1367</v>
      </c>
      <c r="M52" s="97"/>
      <c r="N52" s="92"/>
      <c r="O52" s="98" t="s">
        <v>1406</v>
      </c>
      <c r="P52" s="88"/>
      <c r="Q52" s="88"/>
      <c r="R52" s="88"/>
      <c r="S52" s="88"/>
      <c r="T52" s="88"/>
      <c r="U52" s="88"/>
      <c r="V52" s="88"/>
      <c r="W52" s="88"/>
      <c r="X52" s="88"/>
      <c r="Y52" s="88"/>
      <c r="Z52" s="88"/>
      <c r="AA52" s="88"/>
    </row>
    <row r="53" hidden="1">
      <c r="A53" s="151">
        <v>2021.0</v>
      </c>
      <c r="B53" s="151" t="s">
        <v>879</v>
      </c>
      <c r="C53" s="151" t="s">
        <v>465</v>
      </c>
      <c r="D53" s="152" t="s">
        <v>1407</v>
      </c>
      <c r="E53" s="151">
        <v>4.1160005E7</v>
      </c>
      <c r="F53" s="92"/>
      <c r="G53" s="92"/>
      <c r="H53" s="153" t="s">
        <v>155</v>
      </c>
      <c r="I53" s="260">
        <v>180837.86</v>
      </c>
      <c r="J53" s="92"/>
      <c r="K53" s="151" t="s">
        <v>1327</v>
      </c>
      <c r="L53" s="151" t="s">
        <v>1408</v>
      </c>
      <c r="M53" s="97"/>
      <c r="N53" s="92"/>
      <c r="O53" s="255" t="s">
        <v>1410</v>
      </c>
      <c r="P53" s="88"/>
      <c r="Q53" s="88"/>
      <c r="R53" s="88"/>
      <c r="S53" s="88"/>
      <c r="T53" s="88"/>
      <c r="U53" s="88"/>
      <c r="V53" s="88"/>
      <c r="W53" s="88"/>
      <c r="X53" s="88"/>
      <c r="Y53" s="88"/>
      <c r="Z53" s="88"/>
      <c r="AA53" s="88"/>
    </row>
    <row r="54" hidden="1">
      <c r="A54" s="89">
        <v>2020.0</v>
      </c>
      <c r="B54" s="89" t="s">
        <v>355</v>
      </c>
      <c r="C54" s="89" t="s">
        <v>139</v>
      </c>
      <c r="D54" s="91" t="s">
        <v>1412</v>
      </c>
      <c r="E54" s="89">
        <v>4.116001E7</v>
      </c>
      <c r="F54" s="92"/>
      <c r="G54" s="92"/>
      <c r="H54" s="93" t="s">
        <v>155</v>
      </c>
      <c r="I54" s="140">
        <v>162142.85</v>
      </c>
      <c r="J54" s="92"/>
      <c r="K54" s="89" t="s">
        <v>1196</v>
      </c>
      <c r="L54" s="89" t="s">
        <v>1413</v>
      </c>
      <c r="M54" s="97"/>
      <c r="N54" s="92"/>
      <c r="O54" s="98" t="s">
        <v>1414</v>
      </c>
      <c r="P54" s="88"/>
      <c r="Q54" s="88"/>
      <c r="R54" s="88"/>
      <c r="S54" s="88"/>
      <c r="T54" s="88"/>
      <c r="U54" s="88"/>
      <c r="V54" s="88"/>
      <c r="W54" s="88"/>
      <c r="X54" s="88"/>
      <c r="Y54" s="88"/>
      <c r="Z54" s="88"/>
      <c r="AA54" s="88"/>
    </row>
    <row r="55" hidden="1">
      <c r="A55" s="151">
        <v>2020.0</v>
      </c>
      <c r="B55" s="151" t="s">
        <v>355</v>
      </c>
      <c r="C55" s="151" t="s">
        <v>1097</v>
      </c>
      <c r="D55" s="152" t="s">
        <v>1097</v>
      </c>
      <c r="E55" s="163">
        <v>4.1160007E7</v>
      </c>
      <c r="F55" s="92"/>
      <c r="G55" s="92"/>
      <c r="H55" s="153" t="s">
        <v>89</v>
      </c>
      <c r="I55" s="154">
        <v>290000.0</v>
      </c>
      <c r="J55" s="92"/>
      <c r="K55" s="151" t="s">
        <v>110</v>
      </c>
      <c r="L55" s="151" t="s">
        <v>1415</v>
      </c>
      <c r="M55" s="92"/>
      <c r="N55" s="92"/>
      <c r="O55" s="167" t="s">
        <v>1357</v>
      </c>
      <c r="P55" s="88"/>
      <c r="Q55" s="88"/>
      <c r="R55" s="88"/>
      <c r="S55" s="88"/>
      <c r="T55" s="88"/>
      <c r="U55" s="88"/>
      <c r="V55" s="88"/>
      <c r="W55" s="88"/>
      <c r="X55" s="88"/>
      <c r="Y55" s="88"/>
      <c r="Z55" s="88"/>
      <c r="AA55" s="88"/>
    </row>
    <row r="56" ht="32.25" hidden="1" customHeight="1">
      <c r="A56" s="151">
        <v>2021.0</v>
      </c>
      <c r="B56" s="151" t="s">
        <v>355</v>
      </c>
      <c r="C56" s="151" t="s">
        <v>465</v>
      </c>
      <c r="D56" s="152" t="s">
        <v>467</v>
      </c>
      <c r="E56" s="151">
        <v>4.1160005E7</v>
      </c>
      <c r="F56" s="92"/>
      <c r="G56" s="92"/>
      <c r="H56" s="153" t="s">
        <v>155</v>
      </c>
      <c r="I56" s="154">
        <v>38354.48</v>
      </c>
      <c r="J56" s="92"/>
      <c r="K56" s="151" t="s">
        <v>1327</v>
      </c>
      <c r="L56" s="151" t="s">
        <v>474</v>
      </c>
      <c r="M56" s="97"/>
      <c r="N56" s="92"/>
      <c r="O56" s="255" t="s">
        <v>1418</v>
      </c>
      <c r="P56" s="88"/>
      <c r="Q56" s="88"/>
      <c r="R56" s="88"/>
      <c r="S56" s="88"/>
      <c r="T56" s="88"/>
      <c r="U56" s="88"/>
      <c r="V56" s="88"/>
      <c r="W56" s="88"/>
      <c r="X56" s="88"/>
      <c r="Y56" s="88"/>
      <c r="Z56" s="88"/>
      <c r="AA56" s="88"/>
    </row>
    <row r="57">
      <c r="A57" s="92">
        <v>2022.0</v>
      </c>
      <c r="B57" s="92" t="s">
        <v>355</v>
      </c>
      <c r="C57" s="92" t="s">
        <v>1421</v>
      </c>
      <c r="D57" s="124" t="s">
        <v>1205</v>
      </c>
      <c r="E57" s="92">
        <v>4.1160008E7</v>
      </c>
      <c r="F57" s="92"/>
      <c r="G57" s="92"/>
      <c r="H57" s="107" t="s">
        <v>155</v>
      </c>
      <c r="I57" s="108">
        <v>300000.0</v>
      </c>
      <c r="J57" s="92" t="s">
        <v>200</v>
      </c>
      <c r="K57" s="92" t="s">
        <v>1082</v>
      </c>
      <c r="L57" s="97" t="s">
        <v>1423</v>
      </c>
      <c r="M57" s="115"/>
      <c r="N57" s="115"/>
      <c r="O57" s="115"/>
      <c r="P57" s="88"/>
      <c r="Q57" s="88"/>
      <c r="R57" s="88"/>
      <c r="S57" s="88"/>
      <c r="T57" s="88"/>
      <c r="U57" s="88"/>
      <c r="V57" s="88"/>
      <c r="W57" s="88"/>
      <c r="X57" s="88"/>
      <c r="Y57" s="88"/>
    </row>
    <row r="58" hidden="1">
      <c r="A58" s="92">
        <v>2019.0</v>
      </c>
      <c r="B58" s="92" t="s">
        <v>797</v>
      </c>
      <c r="C58" s="92" t="s">
        <v>1065</v>
      </c>
      <c r="D58" s="105" t="s">
        <v>1425</v>
      </c>
      <c r="E58" s="324"/>
      <c r="F58" s="92" t="s">
        <v>151</v>
      </c>
      <c r="G58" s="92" t="s">
        <v>152</v>
      </c>
      <c r="H58" s="93" t="s">
        <v>389</v>
      </c>
      <c r="I58" s="328">
        <v>140000.0</v>
      </c>
      <c r="J58" s="92" t="s">
        <v>560</v>
      </c>
      <c r="K58" s="92" t="s">
        <v>110</v>
      </c>
      <c r="L58" s="92" t="s">
        <v>1434</v>
      </c>
      <c r="M58" s="332" t="s">
        <v>1435</v>
      </c>
      <c r="N58" s="333"/>
      <c r="O58" s="115"/>
      <c r="P58" s="88"/>
      <c r="Q58" s="88"/>
      <c r="R58" s="88"/>
      <c r="S58" s="88"/>
      <c r="T58" s="88"/>
      <c r="U58" s="88"/>
      <c r="V58" s="88"/>
      <c r="W58" s="88"/>
      <c r="X58" s="88"/>
      <c r="Y58" s="88"/>
    </row>
    <row r="59" hidden="1">
      <c r="A59" s="181">
        <v>2023.0</v>
      </c>
      <c r="B59" s="182" t="s">
        <v>797</v>
      </c>
      <c r="C59" s="183" t="s">
        <v>220</v>
      </c>
      <c r="D59" s="188" t="s">
        <v>1440</v>
      </c>
      <c r="E59" s="183">
        <v>4.1160001E7</v>
      </c>
      <c r="F59" s="193"/>
      <c r="G59" s="193"/>
      <c r="H59" s="181" t="s">
        <v>89</v>
      </c>
      <c r="I59" s="196" t="s">
        <v>1441</v>
      </c>
      <c r="J59" s="193"/>
      <c r="K59" s="198" t="s">
        <v>1082</v>
      </c>
      <c r="L59" s="200" t="s">
        <v>1178</v>
      </c>
      <c r="M59" s="193"/>
      <c r="N59" s="193"/>
      <c r="O59" s="207" t="s">
        <v>1444</v>
      </c>
      <c r="P59" s="88"/>
      <c r="Q59" s="88"/>
      <c r="R59" s="88"/>
      <c r="S59" s="88"/>
      <c r="T59" s="88"/>
      <c r="U59" s="88"/>
      <c r="V59" s="88"/>
      <c r="W59" s="88"/>
      <c r="X59" s="88"/>
      <c r="Y59" s="88"/>
    </row>
    <row r="60" hidden="1">
      <c r="A60" s="181">
        <v>2023.0</v>
      </c>
      <c r="B60" s="182" t="s">
        <v>888</v>
      </c>
      <c r="C60" s="183" t="s">
        <v>220</v>
      </c>
      <c r="D60" s="188" t="s">
        <v>1446</v>
      </c>
      <c r="E60" s="183">
        <v>4.1160001E7</v>
      </c>
      <c r="F60" s="193"/>
      <c r="G60" s="193"/>
      <c r="H60" s="181" t="s">
        <v>89</v>
      </c>
      <c r="I60" s="196" t="s">
        <v>1447</v>
      </c>
      <c r="J60" s="193"/>
      <c r="K60" s="198" t="s">
        <v>1082</v>
      </c>
      <c r="L60" s="200" t="s">
        <v>1448</v>
      </c>
      <c r="M60" s="193"/>
      <c r="N60" s="193"/>
      <c r="O60" s="207" t="s">
        <v>1449</v>
      </c>
      <c r="P60" s="88"/>
      <c r="Q60" s="88"/>
      <c r="R60" s="88"/>
      <c r="S60" s="88"/>
      <c r="T60" s="88"/>
      <c r="U60" s="88"/>
      <c r="V60" s="88"/>
      <c r="W60" s="88"/>
      <c r="X60" s="88"/>
      <c r="Y60" s="88"/>
    </row>
    <row r="61" ht="43.5" hidden="1" customHeight="1">
      <c r="A61" s="92">
        <v>2019.0</v>
      </c>
      <c r="B61" s="92" t="s">
        <v>904</v>
      </c>
      <c r="C61" s="92" t="s">
        <v>139</v>
      </c>
      <c r="D61" s="105" t="s">
        <v>1450</v>
      </c>
      <c r="E61" s="324"/>
      <c r="F61" s="92" t="s">
        <v>151</v>
      </c>
      <c r="G61" s="92" t="s">
        <v>152</v>
      </c>
      <c r="H61" s="93" t="s">
        <v>389</v>
      </c>
      <c r="I61" s="328">
        <v>140000.0</v>
      </c>
      <c r="J61" s="92" t="s">
        <v>560</v>
      </c>
      <c r="K61" s="92" t="s">
        <v>110</v>
      </c>
      <c r="L61" s="92" t="s">
        <v>1452</v>
      </c>
      <c r="M61" s="350" t="s">
        <v>1454</v>
      </c>
      <c r="N61" s="362" t="s">
        <v>1456</v>
      </c>
      <c r="O61" s="115"/>
      <c r="P61" s="88"/>
      <c r="Q61" s="88"/>
      <c r="R61" s="88"/>
      <c r="S61" s="88"/>
      <c r="T61" s="88"/>
      <c r="U61" s="88"/>
      <c r="V61" s="88"/>
      <c r="W61" s="88"/>
      <c r="X61" s="88"/>
      <c r="Y61" s="88"/>
    </row>
    <row r="62" hidden="1">
      <c r="A62" s="181">
        <v>2023.0</v>
      </c>
      <c r="B62" s="182" t="s">
        <v>926</v>
      </c>
      <c r="C62" s="183" t="s">
        <v>220</v>
      </c>
      <c r="D62" s="188" t="s">
        <v>1465</v>
      </c>
      <c r="E62" s="183">
        <v>4.1160001E7</v>
      </c>
      <c r="F62" s="193"/>
      <c r="G62" s="193"/>
      <c r="H62" s="181" t="s">
        <v>89</v>
      </c>
      <c r="I62" s="196" t="s">
        <v>1466</v>
      </c>
      <c r="J62" s="193"/>
      <c r="K62" s="198" t="s">
        <v>1175</v>
      </c>
      <c r="L62" s="200" t="s">
        <v>1191</v>
      </c>
      <c r="M62" s="193"/>
      <c r="N62" s="193"/>
      <c r="O62" s="207" t="s">
        <v>1467</v>
      </c>
      <c r="P62" s="88"/>
      <c r="Q62" s="88"/>
      <c r="R62" s="88"/>
      <c r="S62" s="88"/>
      <c r="T62" s="88"/>
      <c r="U62" s="88"/>
      <c r="V62" s="88"/>
      <c r="W62" s="88"/>
      <c r="X62" s="88"/>
      <c r="Y62" s="88"/>
    </row>
    <row r="63" hidden="1">
      <c r="A63" s="181">
        <v>2023.0</v>
      </c>
      <c r="B63" s="182" t="s">
        <v>928</v>
      </c>
      <c r="C63" s="183" t="s">
        <v>220</v>
      </c>
      <c r="D63" s="188" t="s">
        <v>1470</v>
      </c>
      <c r="E63" s="183">
        <v>4.1160001E7</v>
      </c>
      <c r="F63" s="193"/>
      <c r="G63" s="193"/>
      <c r="H63" s="181" t="s">
        <v>89</v>
      </c>
      <c r="I63" s="196" t="s">
        <v>1471</v>
      </c>
      <c r="J63" s="193"/>
      <c r="K63" s="198" t="s">
        <v>1175</v>
      </c>
      <c r="L63" s="200" t="s">
        <v>1472</v>
      </c>
      <c r="M63" s="193"/>
      <c r="N63" s="193"/>
      <c r="O63" s="207" t="s">
        <v>1475</v>
      </c>
      <c r="P63" s="88"/>
      <c r="Q63" s="88"/>
      <c r="R63" s="88"/>
      <c r="S63" s="88"/>
      <c r="T63" s="88"/>
      <c r="U63" s="88"/>
      <c r="V63" s="88"/>
      <c r="W63" s="88"/>
      <c r="X63" s="88"/>
      <c r="Y63" s="88"/>
    </row>
    <row r="64" ht="31.5" hidden="1" customHeight="1">
      <c r="A64" s="181">
        <v>2023.0</v>
      </c>
      <c r="B64" s="182" t="s">
        <v>945</v>
      </c>
      <c r="C64" s="183" t="s">
        <v>220</v>
      </c>
      <c r="D64" s="188" t="s">
        <v>1481</v>
      </c>
      <c r="E64" s="183">
        <v>4.1160001E7</v>
      </c>
      <c r="F64" s="193"/>
      <c r="G64" s="193"/>
      <c r="H64" s="181" t="s">
        <v>89</v>
      </c>
      <c r="I64" s="196" t="s">
        <v>299</v>
      </c>
      <c r="J64" s="193"/>
      <c r="K64" s="198" t="s">
        <v>1175</v>
      </c>
      <c r="L64" s="200" t="s">
        <v>1178</v>
      </c>
      <c r="M64" s="193"/>
      <c r="N64" s="193"/>
      <c r="O64" s="207" t="s">
        <v>1482</v>
      </c>
      <c r="P64" s="88"/>
      <c r="Q64" s="88"/>
      <c r="R64" s="88"/>
      <c r="S64" s="88"/>
      <c r="T64" s="88"/>
      <c r="U64" s="88"/>
      <c r="V64" s="88"/>
      <c r="W64" s="88"/>
      <c r="X64" s="88"/>
      <c r="Y64" s="88"/>
    </row>
    <row r="65" hidden="1">
      <c r="A65" s="181">
        <v>2023.0</v>
      </c>
      <c r="B65" s="182" t="s">
        <v>964</v>
      </c>
      <c r="C65" s="183" t="s">
        <v>220</v>
      </c>
      <c r="D65" s="188" t="s">
        <v>1093</v>
      </c>
      <c r="E65" s="183">
        <v>4.1160001E7</v>
      </c>
      <c r="F65" s="193"/>
      <c r="G65" s="193"/>
      <c r="H65" s="181" t="s">
        <v>89</v>
      </c>
      <c r="I65" s="196" t="s">
        <v>1485</v>
      </c>
      <c r="J65" s="193"/>
      <c r="K65" s="198" t="s">
        <v>1082</v>
      </c>
      <c r="L65" s="200" t="s">
        <v>1486</v>
      </c>
      <c r="M65" s="193"/>
      <c r="N65" s="193"/>
      <c r="O65" s="207" t="s">
        <v>1487</v>
      </c>
      <c r="P65" s="88"/>
      <c r="Q65" s="88"/>
      <c r="R65" s="88"/>
      <c r="S65" s="88"/>
      <c r="T65" s="88"/>
      <c r="U65" s="88"/>
      <c r="V65" s="88"/>
      <c r="W65" s="88"/>
      <c r="X65" s="88"/>
      <c r="Y65" s="88"/>
    </row>
    <row r="66" hidden="1">
      <c r="A66" s="92">
        <v>2019.0</v>
      </c>
      <c r="B66" s="92" t="s">
        <v>973</v>
      </c>
      <c r="C66" s="92" t="s">
        <v>1065</v>
      </c>
      <c r="D66" s="105" t="s">
        <v>1491</v>
      </c>
      <c r="E66" s="324"/>
      <c r="F66" s="92" t="s">
        <v>151</v>
      </c>
      <c r="G66" s="92" t="s">
        <v>152</v>
      </c>
      <c r="H66" s="93" t="s">
        <v>389</v>
      </c>
      <c r="I66" s="328">
        <v>140000.0</v>
      </c>
      <c r="J66" s="92" t="s">
        <v>560</v>
      </c>
      <c r="K66" s="92" t="s">
        <v>110</v>
      </c>
      <c r="L66" s="92" t="s">
        <v>1434</v>
      </c>
      <c r="M66" s="332" t="s">
        <v>1492</v>
      </c>
      <c r="N66" s="333"/>
      <c r="O66" s="115"/>
      <c r="P66" s="88"/>
      <c r="Q66" s="88"/>
      <c r="R66" s="88"/>
      <c r="S66" s="88"/>
      <c r="T66" s="88"/>
      <c r="U66" s="88"/>
      <c r="V66" s="88"/>
      <c r="W66" s="88"/>
      <c r="X66" s="88"/>
      <c r="Y66" s="88"/>
    </row>
    <row r="67" hidden="1">
      <c r="A67" s="181">
        <v>2023.0</v>
      </c>
      <c r="B67" s="182" t="s">
        <v>975</v>
      </c>
      <c r="C67" s="183" t="s">
        <v>220</v>
      </c>
      <c r="D67" s="188" t="s">
        <v>1008</v>
      </c>
      <c r="E67" s="183">
        <v>4.1160001E7</v>
      </c>
      <c r="F67" s="193"/>
      <c r="G67" s="193"/>
      <c r="H67" s="181" t="s">
        <v>89</v>
      </c>
      <c r="I67" s="196" t="s">
        <v>1496</v>
      </c>
      <c r="J67" s="193"/>
      <c r="K67" s="198" t="s">
        <v>1082</v>
      </c>
      <c r="L67" s="200" t="s">
        <v>1486</v>
      </c>
      <c r="M67" s="193"/>
      <c r="N67" s="193"/>
      <c r="O67" s="207" t="s">
        <v>1497</v>
      </c>
      <c r="P67" s="88"/>
      <c r="Q67" s="88"/>
      <c r="R67" s="88"/>
      <c r="S67" s="88"/>
      <c r="T67" s="88"/>
      <c r="U67" s="88"/>
      <c r="V67" s="88"/>
      <c r="W67" s="88"/>
      <c r="X67" s="88"/>
      <c r="Y67" s="88"/>
    </row>
    <row r="68" hidden="1">
      <c r="A68" s="89">
        <v>2020.0</v>
      </c>
      <c r="B68" s="89" t="s">
        <v>1499</v>
      </c>
      <c r="C68" s="89" t="s">
        <v>1065</v>
      </c>
      <c r="D68" s="91" t="s">
        <v>1500</v>
      </c>
      <c r="E68" s="95">
        <v>4.1160002E7</v>
      </c>
      <c r="F68" s="92"/>
      <c r="G68" s="92"/>
      <c r="H68" s="93" t="s">
        <v>155</v>
      </c>
      <c r="I68" s="140">
        <v>317925.0</v>
      </c>
      <c r="J68" s="92"/>
      <c r="K68" s="89" t="s">
        <v>1501</v>
      </c>
      <c r="L68" s="148" t="s">
        <v>1502</v>
      </c>
      <c r="M68" s="92"/>
      <c r="N68" s="92"/>
      <c r="O68" s="294" t="s">
        <v>1503</v>
      </c>
      <c r="P68" s="88"/>
      <c r="Q68" s="88"/>
      <c r="R68" s="88"/>
      <c r="S68" s="88"/>
      <c r="T68" s="88"/>
      <c r="U68" s="88"/>
      <c r="V68" s="88"/>
      <c r="W68" s="88"/>
      <c r="X68" s="88"/>
      <c r="Y68" s="88"/>
    </row>
    <row r="69" hidden="1">
      <c r="A69" s="89">
        <v>2020.0</v>
      </c>
      <c r="B69" s="89" t="s">
        <v>1499</v>
      </c>
      <c r="C69" s="89" t="s">
        <v>1065</v>
      </c>
      <c r="D69" s="91" t="s">
        <v>1500</v>
      </c>
      <c r="E69" s="148">
        <v>4.1160002E7</v>
      </c>
      <c r="F69" s="216"/>
      <c r="G69" s="216"/>
      <c r="H69" s="93" t="s">
        <v>155</v>
      </c>
      <c r="I69" s="140" t="s">
        <v>1504</v>
      </c>
      <c r="J69" s="216"/>
      <c r="K69" s="217" t="s">
        <v>1505</v>
      </c>
      <c r="L69" s="148" t="s">
        <v>1506</v>
      </c>
      <c r="M69" s="217"/>
      <c r="N69" s="216"/>
      <c r="O69" s="294" t="s">
        <v>1507</v>
      </c>
      <c r="P69" s="88"/>
      <c r="Q69" s="88"/>
      <c r="R69" s="88"/>
      <c r="S69" s="88"/>
      <c r="T69" s="88"/>
      <c r="U69" s="88"/>
      <c r="V69" s="88"/>
      <c r="W69" s="88"/>
      <c r="X69" s="88"/>
      <c r="Y69" s="88"/>
    </row>
    <row r="70" hidden="1">
      <c r="A70" s="89">
        <v>2020.0</v>
      </c>
      <c r="B70" s="89" t="s">
        <v>1499</v>
      </c>
      <c r="C70" s="89" t="s">
        <v>1065</v>
      </c>
      <c r="D70" s="386" t="s">
        <v>1508</v>
      </c>
      <c r="E70" s="95">
        <v>4.1160011E7</v>
      </c>
      <c r="F70" s="216"/>
      <c r="G70" s="216"/>
      <c r="H70" s="93" t="s">
        <v>155</v>
      </c>
      <c r="I70" s="140" t="s">
        <v>1510</v>
      </c>
      <c r="J70" s="216"/>
      <c r="K70" s="217" t="s">
        <v>1512</v>
      </c>
      <c r="L70" s="148" t="s">
        <v>1513</v>
      </c>
      <c r="M70" s="217"/>
      <c r="N70" s="216"/>
      <c r="O70" s="294" t="s">
        <v>1515</v>
      </c>
      <c r="P70" s="88"/>
      <c r="Q70" s="88"/>
      <c r="R70" s="88"/>
      <c r="S70" s="88"/>
      <c r="T70" s="88"/>
      <c r="U70" s="88"/>
      <c r="V70" s="88"/>
      <c r="W70" s="88"/>
      <c r="X70" s="88"/>
      <c r="Y70" s="88"/>
    </row>
    <row r="71" hidden="1">
      <c r="A71" s="89">
        <v>2020.0</v>
      </c>
      <c r="B71" s="89" t="s">
        <v>1499</v>
      </c>
      <c r="C71" s="89" t="s">
        <v>1065</v>
      </c>
      <c r="D71" s="386" t="s">
        <v>1508</v>
      </c>
      <c r="E71" s="95">
        <v>4.1160011E7</v>
      </c>
      <c r="F71" s="92"/>
      <c r="G71" s="92"/>
      <c r="H71" s="93" t="s">
        <v>155</v>
      </c>
      <c r="I71" s="140">
        <v>156000.0</v>
      </c>
      <c r="J71" s="92"/>
      <c r="K71" s="89"/>
      <c r="L71" s="90" t="s">
        <v>1518</v>
      </c>
      <c r="M71" s="97"/>
      <c r="N71" s="92"/>
      <c r="O71" s="294" t="s">
        <v>1519</v>
      </c>
      <c r="P71" s="88"/>
      <c r="Q71" s="88"/>
      <c r="R71" s="88"/>
      <c r="S71" s="88"/>
      <c r="T71" s="88"/>
      <c r="U71" s="88"/>
      <c r="V71" s="88"/>
      <c r="W71" s="88"/>
      <c r="X71" s="88"/>
      <c r="Y71" s="88"/>
    </row>
    <row r="72" hidden="1">
      <c r="A72" s="89">
        <v>2020.0</v>
      </c>
      <c r="B72" s="89" t="s">
        <v>1499</v>
      </c>
      <c r="C72" s="89" t="s">
        <v>1065</v>
      </c>
      <c r="D72" s="386" t="s">
        <v>1508</v>
      </c>
      <c r="E72" s="95">
        <v>4.1160011E7</v>
      </c>
      <c r="F72" s="92"/>
      <c r="G72" s="92"/>
      <c r="H72" s="93" t="s">
        <v>155</v>
      </c>
      <c r="I72" s="140">
        <v>149872.0</v>
      </c>
      <c r="J72" s="92"/>
      <c r="K72" s="89"/>
      <c r="L72" s="392" t="s">
        <v>1521</v>
      </c>
      <c r="M72" s="97"/>
      <c r="N72" s="92"/>
      <c r="O72" s="294" t="s">
        <v>1522</v>
      </c>
      <c r="P72" s="88"/>
      <c r="Q72" s="88"/>
      <c r="R72" s="88"/>
      <c r="S72" s="88"/>
      <c r="T72" s="88"/>
      <c r="U72" s="88"/>
      <c r="V72" s="88"/>
      <c r="W72" s="88"/>
      <c r="X72" s="88"/>
      <c r="Y72" s="88"/>
    </row>
    <row r="73" hidden="1">
      <c r="A73" s="89">
        <v>2020.0</v>
      </c>
      <c r="B73" s="89" t="s">
        <v>1499</v>
      </c>
      <c r="C73" s="89" t="s">
        <v>1094</v>
      </c>
      <c r="D73" s="91" t="s">
        <v>1523</v>
      </c>
      <c r="E73" s="95">
        <v>4.1160012E7</v>
      </c>
      <c r="F73" s="92"/>
      <c r="G73" s="92"/>
      <c r="H73" s="93" t="s">
        <v>155</v>
      </c>
      <c r="I73" s="140" t="s">
        <v>1526</v>
      </c>
      <c r="J73" s="92"/>
      <c r="K73" s="217" t="s">
        <v>1527</v>
      </c>
      <c r="L73" s="395" t="s">
        <v>1529</v>
      </c>
      <c r="M73" s="97"/>
      <c r="N73" s="92"/>
      <c r="O73" s="98" t="s">
        <v>1530</v>
      </c>
      <c r="P73" s="88"/>
      <c r="Q73" s="88"/>
      <c r="R73" s="88"/>
      <c r="S73" s="88"/>
      <c r="T73" s="88"/>
      <c r="U73" s="88"/>
      <c r="V73" s="88"/>
      <c r="W73" s="88"/>
      <c r="X73" s="88"/>
      <c r="Y73" s="88"/>
      <c r="Z73" s="88"/>
      <c r="AA73" s="88"/>
    </row>
    <row r="74" hidden="1">
      <c r="A74" s="151">
        <v>2021.0</v>
      </c>
      <c r="B74" s="151" t="s">
        <v>1499</v>
      </c>
      <c r="C74" s="151" t="s">
        <v>1065</v>
      </c>
      <c r="D74" s="152" t="s">
        <v>1532</v>
      </c>
      <c r="E74" s="151">
        <v>4.1160001E7</v>
      </c>
      <c r="F74" s="92"/>
      <c r="G74" s="92"/>
      <c r="H74" s="153" t="s">
        <v>155</v>
      </c>
      <c r="I74" s="154">
        <v>1000000.0</v>
      </c>
      <c r="J74" s="92"/>
      <c r="K74" s="103" t="s">
        <v>1090</v>
      </c>
      <c r="L74" s="400" t="s">
        <v>1533</v>
      </c>
      <c r="M74" s="115"/>
      <c r="N74" s="115"/>
      <c r="O74" s="255" t="s">
        <v>1539</v>
      </c>
      <c r="P74" s="88"/>
      <c r="Q74" s="88"/>
      <c r="R74" s="88"/>
      <c r="S74" s="88"/>
      <c r="T74" s="88"/>
      <c r="U74" s="88"/>
      <c r="V74" s="88"/>
      <c r="W74" s="88"/>
      <c r="X74" s="88"/>
      <c r="Y74" s="88"/>
      <c r="Z74" s="88"/>
      <c r="AA74" s="88"/>
    </row>
    <row r="75">
      <c r="A75" s="404"/>
      <c r="B75" s="404"/>
      <c r="C75" s="404"/>
      <c r="D75" s="406"/>
      <c r="E75" s="404"/>
      <c r="F75" s="404"/>
      <c r="G75" s="404"/>
      <c r="H75" s="408"/>
      <c r="I75" s="411"/>
      <c r="J75" s="404"/>
      <c r="K75" s="404"/>
      <c r="L75" s="413"/>
      <c r="M75" s="404"/>
      <c r="N75" s="404"/>
      <c r="O75" s="404"/>
      <c r="P75" s="88"/>
      <c r="Q75" s="88"/>
      <c r="R75" s="88"/>
      <c r="S75" s="88"/>
      <c r="T75" s="88"/>
      <c r="U75" s="88"/>
      <c r="V75" s="88"/>
      <c r="W75" s="88"/>
      <c r="X75" s="88"/>
      <c r="Y75" s="88"/>
      <c r="Z75" s="88"/>
      <c r="AA75" s="88"/>
    </row>
    <row r="76">
      <c r="A76" s="404"/>
      <c r="B76" s="404"/>
      <c r="C76" s="404"/>
      <c r="D76" s="406"/>
      <c r="E76" s="404"/>
      <c r="F76" s="404"/>
      <c r="G76" s="404"/>
      <c r="H76" s="408"/>
      <c r="I76" s="411"/>
      <c r="J76" s="404"/>
      <c r="K76" s="404"/>
      <c r="L76" s="413"/>
      <c r="M76" s="404"/>
      <c r="N76" s="404"/>
      <c r="O76" s="404"/>
      <c r="P76" s="88"/>
      <c r="Q76" s="88"/>
      <c r="R76" s="88"/>
      <c r="S76" s="88"/>
      <c r="T76" s="88"/>
      <c r="U76" s="88"/>
      <c r="V76" s="88"/>
      <c r="W76" s="88"/>
      <c r="X76" s="88"/>
      <c r="Y76" s="88"/>
      <c r="Z76" s="88"/>
      <c r="AA76" s="88"/>
    </row>
    <row r="77">
      <c r="A77" s="404"/>
      <c r="B77" s="404"/>
      <c r="C77" s="404"/>
      <c r="D77" s="406"/>
      <c r="E77" s="404"/>
      <c r="F77" s="404"/>
      <c r="G77" s="404"/>
      <c r="H77" s="408"/>
      <c r="I77" s="411"/>
      <c r="J77" s="404"/>
      <c r="K77" s="404"/>
      <c r="L77" s="413"/>
      <c r="M77" s="404"/>
      <c r="N77" s="404"/>
      <c r="O77" s="404"/>
      <c r="P77" s="88"/>
      <c r="Q77" s="88"/>
      <c r="R77" s="88"/>
      <c r="S77" s="88"/>
      <c r="T77" s="88"/>
      <c r="U77" s="88"/>
      <c r="V77" s="88"/>
      <c r="W77" s="88"/>
      <c r="X77" s="88"/>
      <c r="Y77" s="88"/>
      <c r="Z77" s="88"/>
      <c r="AA77" s="88"/>
    </row>
    <row r="78">
      <c r="A78" s="404"/>
      <c r="B78" s="404"/>
      <c r="C78" s="404"/>
      <c r="D78" s="406"/>
      <c r="E78" s="404"/>
      <c r="F78" s="404"/>
      <c r="G78" s="404"/>
      <c r="H78" s="408"/>
      <c r="I78" s="411"/>
      <c r="J78" s="404"/>
      <c r="K78" s="404"/>
      <c r="L78" s="413"/>
      <c r="M78" s="404"/>
      <c r="N78" s="404"/>
      <c r="O78" s="404"/>
      <c r="P78" s="88"/>
      <c r="Q78" s="88"/>
      <c r="R78" s="88"/>
      <c r="S78" s="88"/>
      <c r="T78" s="88"/>
      <c r="U78" s="88"/>
      <c r="V78" s="88"/>
      <c r="W78" s="88"/>
      <c r="X78" s="88"/>
      <c r="Y78" s="88"/>
      <c r="Z78" s="88"/>
      <c r="AA78" s="88"/>
    </row>
    <row r="79">
      <c r="A79" s="404"/>
      <c r="B79" s="404"/>
      <c r="C79" s="404"/>
      <c r="D79" s="406"/>
      <c r="E79" s="404"/>
      <c r="F79" s="404"/>
      <c r="G79" s="404"/>
      <c r="H79" s="408"/>
      <c r="I79" s="411"/>
      <c r="J79" s="404"/>
      <c r="K79" s="404"/>
      <c r="L79" s="413"/>
      <c r="M79" s="404"/>
      <c r="N79" s="404"/>
      <c r="O79" s="404"/>
      <c r="P79" s="88"/>
      <c r="Q79" s="88"/>
      <c r="R79" s="88"/>
      <c r="S79" s="88"/>
      <c r="T79" s="88"/>
      <c r="U79" s="88"/>
      <c r="V79" s="88"/>
      <c r="W79" s="88"/>
      <c r="X79" s="88"/>
      <c r="Y79" s="88"/>
      <c r="Z79" s="88"/>
      <c r="AA79" s="88"/>
    </row>
    <row r="80">
      <c r="A80" s="404"/>
      <c r="B80" s="404"/>
      <c r="C80" s="404"/>
      <c r="D80" s="406"/>
      <c r="E80" s="404"/>
      <c r="F80" s="404"/>
      <c r="G80" s="404"/>
      <c r="H80" s="408"/>
      <c r="I80" s="411"/>
      <c r="J80" s="404"/>
      <c r="K80" s="404"/>
      <c r="L80" s="413"/>
      <c r="M80" s="404"/>
      <c r="N80" s="404"/>
      <c r="O80" s="404"/>
      <c r="P80" s="88"/>
      <c r="Q80" s="88"/>
      <c r="R80" s="88"/>
      <c r="S80" s="88"/>
      <c r="T80" s="88"/>
      <c r="U80" s="88"/>
      <c r="V80" s="88"/>
      <c r="W80" s="88"/>
      <c r="X80" s="88"/>
      <c r="Y80" s="88"/>
      <c r="Z80" s="88"/>
      <c r="AA80" s="88"/>
    </row>
    <row r="81">
      <c r="A81" s="404"/>
      <c r="B81" s="404"/>
      <c r="C81" s="404"/>
      <c r="D81" s="406"/>
      <c r="E81" s="404"/>
      <c r="F81" s="404"/>
      <c r="G81" s="404"/>
      <c r="H81" s="408"/>
      <c r="I81" s="411"/>
      <c r="J81" s="404"/>
      <c r="K81" s="404"/>
      <c r="L81" s="413"/>
      <c r="M81" s="404"/>
      <c r="N81" s="404"/>
      <c r="O81" s="404"/>
      <c r="P81" s="88"/>
      <c r="Q81" s="88"/>
      <c r="R81" s="88"/>
      <c r="S81" s="88"/>
      <c r="T81" s="88"/>
      <c r="U81" s="88"/>
      <c r="V81" s="88"/>
      <c r="W81" s="88"/>
      <c r="X81" s="88"/>
      <c r="Y81" s="88"/>
      <c r="Z81" s="88"/>
      <c r="AA81" s="88"/>
    </row>
    <row r="82">
      <c r="A82" s="404"/>
      <c r="B82" s="404"/>
      <c r="C82" s="404"/>
      <c r="D82" s="406"/>
      <c r="E82" s="404"/>
      <c r="F82" s="404"/>
      <c r="G82" s="404"/>
      <c r="H82" s="408"/>
      <c r="I82" s="411"/>
      <c r="J82" s="404"/>
      <c r="K82" s="404"/>
      <c r="L82" s="413"/>
      <c r="M82" s="404"/>
      <c r="N82" s="404"/>
      <c r="O82" s="404"/>
      <c r="P82" s="88"/>
      <c r="Q82" s="88"/>
      <c r="R82" s="88"/>
      <c r="S82" s="88"/>
      <c r="T82" s="88"/>
      <c r="U82" s="88"/>
      <c r="V82" s="88"/>
      <c r="W82" s="88"/>
      <c r="X82" s="88"/>
      <c r="Y82" s="88"/>
      <c r="Z82" s="88"/>
      <c r="AA82" s="88"/>
    </row>
    <row r="83">
      <c r="A83" s="404"/>
      <c r="B83" s="404"/>
      <c r="C83" s="404"/>
      <c r="D83" s="406"/>
      <c r="E83" s="404"/>
      <c r="F83" s="404"/>
      <c r="G83" s="404"/>
      <c r="H83" s="408"/>
      <c r="I83" s="411"/>
      <c r="J83" s="404"/>
      <c r="K83" s="404"/>
      <c r="L83" s="413"/>
      <c r="M83" s="404"/>
      <c r="N83" s="404"/>
      <c r="O83" s="404"/>
      <c r="P83" s="88"/>
      <c r="Q83" s="88"/>
      <c r="R83" s="88"/>
      <c r="S83" s="88"/>
      <c r="T83" s="88"/>
      <c r="U83" s="88"/>
      <c r="V83" s="88"/>
      <c r="W83" s="88"/>
      <c r="X83" s="88"/>
      <c r="Y83" s="88"/>
      <c r="Z83" s="88"/>
      <c r="AA83" s="88"/>
    </row>
    <row r="84">
      <c r="A84" s="404"/>
      <c r="B84" s="404"/>
      <c r="C84" s="404"/>
      <c r="D84" s="406"/>
      <c r="E84" s="404"/>
      <c r="F84" s="404"/>
      <c r="G84" s="404"/>
      <c r="H84" s="408"/>
      <c r="I84" s="411"/>
      <c r="J84" s="404"/>
      <c r="K84" s="404"/>
      <c r="L84" s="413"/>
      <c r="M84" s="404"/>
      <c r="N84" s="404"/>
      <c r="O84" s="404"/>
      <c r="P84" s="88"/>
      <c r="Q84" s="88"/>
      <c r="R84" s="88"/>
      <c r="S84" s="88"/>
      <c r="T84" s="88"/>
      <c r="U84" s="88"/>
      <c r="V84" s="88"/>
      <c r="W84" s="88"/>
      <c r="X84" s="88"/>
      <c r="Y84" s="88"/>
      <c r="Z84" s="88"/>
      <c r="AA84" s="88"/>
    </row>
    <row r="85">
      <c r="A85" s="404"/>
      <c r="B85" s="404"/>
      <c r="C85" s="404"/>
      <c r="D85" s="406"/>
      <c r="E85" s="404"/>
      <c r="F85" s="404"/>
      <c r="G85" s="404"/>
      <c r="H85" s="408"/>
      <c r="I85" s="411"/>
      <c r="J85" s="404"/>
      <c r="K85" s="404"/>
      <c r="L85" s="413"/>
      <c r="M85" s="404"/>
      <c r="N85" s="404"/>
      <c r="O85" s="404"/>
      <c r="P85" s="88"/>
      <c r="Q85" s="88"/>
      <c r="R85" s="88"/>
      <c r="S85" s="88"/>
      <c r="T85" s="88"/>
      <c r="U85" s="88"/>
      <c r="V85" s="88"/>
      <c r="W85" s="88"/>
      <c r="X85" s="88"/>
      <c r="Y85" s="88"/>
      <c r="Z85" s="88"/>
      <c r="AA85" s="88"/>
    </row>
    <row r="86">
      <c r="A86" s="404"/>
      <c r="B86" s="404"/>
      <c r="C86" s="404"/>
      <c r="D86" s="406"/>
      <c r="E86" s="404"/>
      <c r="F86" s="404"/>
      <c r="G86" s="404"/>
      <c r="H86" s="408"/>
      <c r="I86" s="411"/>
      <c r="J86" s="404"/>
      <c r="K86" s="404"/>
      <c r="L86" s="413"/>
      <c r="M86" s="404"/>
      <c r="N86" s="404"/>
      <c r="O86" s="404"/>
      <c r="P86" s="88"/>
      <c r="Q86" s="88"/>
      <c r="R86" s="88"/>
      <c r="S86" s="88"/>
      <c r="T86" s="88"/>
      <c r="U86" s="88"/>
      <c r="V86" s="88"/>
      <c r="W86" s="88"/>
      <c r="X86" s="88"/>
      <c r="Y86" s="88"/>
      <c r="Z86" s="88"/>
      <c r="AA86" s="88"/>
    </row>
    <row r="87">
      <c r="A87" s="404"/>
      <c r="B87" s="404"/>
      <c r="C87" s="404"/>
      <c r="D87" s="406"/>
      <c r="E87" s="404"/>
      <c r="F87" s="404"/>
      <c r="G87" s="404"/>
      <c r="H87" s="408"/>
      <c r="I87" s="411"/>
      <c r="J87" s="404"/>
      <c r="K87" s="404"/>
      <c r="L87" s="413"/>
      <c r="M87" s="404"/>
      <c r="N87" s="404"/>
      <c r="O87" s="404"/>
      <c r="P87" s="88"/>
      <c r="Q87" s="88"/>
      <c r="R87" s="88"/>
      <c r="S87" s="88"/>
      <c r="T87" s="88"/>
      <c r="U87" s="88"/>
      <c r="V87" s="88"/>
      <c r="W87" s="88"/>
      <c r="X87" s="88"/>
      <c r="Y87" s="88"/>
      <c r="Z87" s="88"/>
      <c r="AA87" s="88"/>
    </row>
    <row r="88">
      <c r="A88" s="404"/>
      <c r="B88" s="404"/>
      <c r="C88" s="404"/>
      <c r="D88" s="406"/>
      <c r="E88" s="404"/>
      <c r="F88" s="404"/>
      <c r="G88" s="404"/>
      <c r="H88" s="408"/>
      <c r="I88" s="411"/>
      <c r="J88" s="404"/>
      <c r="K88" s="404"/>
      <c r="L88" s="413"/>
      <c r="M88" s="404"/>
      <c r="N88" s="404"/>
      <c r="O88" s="404"/>
      <c r="P88" s="88"/>
      <c r="Q88" s="88"/>
      <c r="R88" s="88"/>
      <c r="S88" s="88"/>
      <c r="T88" s="88"/>
      <c r="U88" s="88"/>
      <c r="V88" s="88"/>
      <c r="W88" s="88"/>
      <c r="X88" s="88"/>
      <c r="Y88" s="88"/>
      <c r="Z88" s="88"/>
      <c r="AA88" s="88"/>
    </row>
    <row r="89">
      <c r="A89" s="404"/>
      <c r="B89" s="404"/>
      <c r="C89" s="404"/>
      <c r="D89" s="406"/>
      <c r="E89" s="404"/>
      <c r="F89" s="404"/>
      <c r="G89" s="404"/>
      <c r="H89" s="408"/>
      <c r="I89" s="411"/>
      <c r="J89" s="404"/>
      <c r="K89" s="404"/>
      <c r="L89" s="413"/>
      <c r="M89" s="404"/>
      <c r="N89" s="404"/>
      <c r="O89" s="404"/>
      <c r="P89" s="88"/>
      <c r="Q89" s="88"/>
      <c r="R89" s="88"/>
      <c r="S89" s="88"/>
      <c r="T89" s="88"/>
      <c r="U89" s="88"/>
      <c r="V89" s="88"/>
      <c r="W89" s="88"/>
      <c r="X89" s="88"/>
      <c r="Y89" s="88"/>
      <c r="Z89" s="88"/>
      <c r="AA89" s="88"/>
    </row>
    <row r="90">
      <c r="A90" s="404"/>
      <c r="B90" s="404"/>
      <c r="C90" s="404"/>
      <c r="D90" s="406"/>
      <c r="E90" s="404"/>
      <c r="F90" s="404"/>
      <c r="G90" s="404"/>
      <c r="H90" s="408"/>
      <c r="I90" s="411"/>
      <c r="J90" s="404"/>
      <c r="K90" s="404"/>
      <c r="L90" s="413"/>
      <c r="M90" s="404"/>
      <c r="N90" s="404"/>
      <c r="O90" s="404"/>
      <c r="P90" s="88"/>
      <c r="Q90" s="88"/>
      <c r="R90" s="88"/>
      <c r="S90" s="88"/>
      <c r="T90" s="88"/>
      <c r="U90" s="88"/>
      <c r="V90" s="88"/>
      <c r="W90" s="88"/>
      <c r="X90" s="88"/>
      <c r="Y90" s="88"/>
      <c r="Z90" s="88"/>
      <c r="AA90" s="88"/>
    </row>
    <row r="91">
      <c r="A91" s="404"/>
      <c r="B91" s="404"/>
      <c r="C91" s="404"/>
      <c r="D91" s="406"/>
      <c r="E91" s="404"/>
      <c r="F91" s="404"/>
      <c r="G91" s="404"/>
      <c r="H91" s="408"/>
      <c r="I91" s="411"/>
      <c r="J91" s="404"/>
      <c r="K91" s="404"/>
      <c r="L91" s="413"/>
      <c r="M91" s="404"/>
      <c r="N91" s="404"/>
      <c r="O91" s="404"/>
      <c r="P91" s="88"/>
      <c r="Q91" s="88"/>
      <c r="R91" s="88"/>
      <c r="S91" s="88"/>
      <c r="T91" s="88"/>
      <c r="U91" s="88"/>
      <c r="V91" s="88"/>
      <c r="W91" s="88"/>
      <c r="X91" s="88"/>
      <c r="Y91" s="88"/>
      <c r="Z91" s="88"/>
      <c r="AA91" s="88"/>
    </row>
    <row r="92">
      <c r="A92" s="404"/>
      <c r="B92" s="404"/>
      <c r="C92" s="404"/>
      <c r="D92" s="406"/>
      <c r="E92" s="404"/>
      <c r="F92" s="404"/>
      <c r="G92" s="404"/>
      <c r="H92" s="408"/>
      <c r="I92" s="411"/>
      <c r="J92" s="404"/>
      <c r="K92" s="404"/>
      <c r="L92" s="413"/>
      <c r="M92" s="404"/>
      <c r="N92" s="404"/>
      <c r="O92" s="404"/>
      <c r="P92" s="88"/>
      <c r="Q92" s="88"/>
      <c r="R92" s="88"/>
      <c r="S92" s="88"/>
      <c r="T92" s="88"/>
      <c r="U92" s="88"/>
      <c r="V92" s="88"/>
      <c r="W92" s="88"/>
      <c r="X92" s="88"/>
      <c r="Y92" s="88"/>
      <c r="Z92" s="88"/>
      <c r="AA92" s="88"/>
    </row>
    <row r="93">
      <c r="A93" s="404"/>
      <c r="B93" s="404"/>
      <c r="C93" s="404"/>
      <c r="D93" s="406"/>
      <c r="E93" s="404"/>
      <c r="F93" s="404"/>
      <c r="G93" s="404"/>
      <c r="H93" s="408"/>
      <c r="I93" s="411"/>
      <c r="J93" s="404"/>
      <c r="K93" s="404"/>
      <c r="L93" s="413"/>
      <c r="M93" s="404"/>
      <c r="N93" s="404"/>
      <c r="O93" s="404"/>
      <c r="P93" s="88"/>
      <c r="Q93" s="88"/>
      <c r="R93" s="88"/>
      <c r="S93" s="88"/>
      <c r="T93" s="88"/>
      <c r="U93" s="88"/>
      <c r="V93" s="88"/>
      <c r="W93" s="88"/>
      <c r="X93" s="88"/>
      <c r="Y93" s="88"/>
      <c r="Z93" s="88"/>
      <c r="AA93" s="88"/>
    </row>
    <row r="94">
      <c r="A94" s="404"/>
      <c r="B94" s="404"/>
      <c r="C94" s="404"/>
      <c r="D94" s="406"/>
      <c r="E94" s="404"/>
      <c r="F94" s="404"/>
      <c r="G94" s="404"/>
      <c r="H94" s="408"/>
      <c r="I94" s="411"/>
      <c r="J94" s="404"/>
      <c r="K94" s="404"/>
      <c r="L94" s="413"/>
      <c r="M94" s="404"/>
      <c r="N94" s="404"/>
      <c r="O94" s="404"/>
      <c r="P94" s="88"/>
      <c r="Q94" s="88"/>
      <c r="R94" s="88"/>
      <c r="S94" s="88"/>
      <c r="T94" s="88"/>
      <c r="U94" s="88"/>
      <c r="V94" s="88"/>
      <c r="W94" s="88"/>
      <c r="X94" s="88"/>
      <c r="Y94" s="88"/>
      <c r="Z94" s="88"/>
      <c r="AA94" s="88"/>
    </row>
    <row r="95">
      <c r="A95" s="404"/>
      <c r="B95" s="404"/>
      <c r="C95" s="404"/>
      <c r="D95" s="406"/>
      <c r="E95" s="404"/>
      <c r="F95" s="404"/>
      <c r="G95" s="404"/>
      <c r="H95" s="408"/>
      <c r="I95" s="411"/>
      <c r="J95" s="404"/>
      <c r="K95" s="404"/>
      <c r="L95" s="413"/>
      <c r="M95" s="404"/>
      <c r="N95" s="404"/>
      <c r="O95" s="404"/>
      <c r="P95" s="88"/>
      <c r="Q95" s="88"/>
      <c r="R95" s="88"/>
      <c r="S95" s="88"/>
      <c r="T95" s="88"/>
      <c r="U95" s="88"/>
      <c r="V95" s="88"/>
      <c r="W95" s="88"/>
      <c r="X95" s="88"/>
      <c r="Y95" s="88"/>
      <c r="Z95" s="88"/>
      <c r="AA95" s="88"/>
    </row>
    <row r="96">
      <c r="A96" s="404"/>
      <c r="B96" s="404"/>
      <c r="C96" s="404"/>
      <c r="D96" s="406"/>
      <c r="E96" s="404"/>
      <c r="F96" s="404"/>
      <c r="G96" s="404"/>
      <c r="H96" s="408"/>
      <c r="I96" s="411"/>
      <c r="J96" s="404"/>
      <c r="K96" s="404"/>
      <c r="L96" s="413"/>
      <c r="M96" s="404"/>
      <c r="N96" s="404"/>
      <c r="O96" s="404"/>
      <c r="P96" s="88"/>
      <c r="Q96" s="88"/>
      <c r="R96" s="88"/>
      <c r="S96" s="88"/>
      <c r="T96" s="88"/>
      <c r="U96" s="88"/>
      <c r="V96" s="88"/>
      <c r="W96" s="88"/>
      <c r="X96" s="88"/>
      <c r="Y96" s="88"/>
      <c r="Z96" s="88"/>
      <c r="AA96" s="88"/>
    </row>
    <row r="97">
      <c r="A97" s="404"/>
      <c r="B97" s="404"/>
      <c r="C97" s="404"/>
      <c r="D97" s="406"/>
      <c r="E97" s="404"/>
      <c r="F97" s="404"/>
      <c r="G97" s="404"/>
      <c r="H97" s="408"/>
      <c r="I97" s="411"/>
      <c r="J97" s="404"/>
      <c r="K97" s="404"/>
      <c r="L97" s="413"/>
      <c r="M97" s="404"/>
      <c r="N97" s="404"/>
      <c r="O97" s="404"/>
      <c r="P97" s="88"/>
      <c r="Q97" s="88"/>
      <c r="R97" s="88"/>
      <c r="S97" s="88"/>
      <c r="T97" s="88"/>
      <c r="U97" s="88"/>
      <c r="V97" s="88"/>
      <c r="W97" s="88"/>
      <c r="X97" s="88"/>
      <c r="Y97" s="88"/>
      <c r="Z97" s="88"/>
      <c r="AA97" s="88"/>
    </row>
    <row r="98">
      <c r="A98" s="404"/>
      <c r="B98" s="404"/>
      <c r="C98" s="404"/>
      <c r="D98" s="406"/>
      <c r="E98" s="404"/>
      <c r="F98" s="404"/>
      <c r="G98" s="404"/>
      <c r="H98" s="408"/>
      <c r="I98" s="411"/>
      <c r="J98" s="404"/>
      <c r="K98" s="404"/>
      <c r="L98" s="413"/>
      <c r="M98" s="404"/>
      <c r="N98" s="404"/>
      <c r="O98" s="404"/>
      <c r="P98" s="88"/>
      <c r="Q98" s="88"/>
      <c r="R98" s="88"/>
      <c r="S98" s="88"/>
      <c r="T98" s="88"/>
      <c r="U98" s="88"/>
      <c r="V98" s="88"/>
      <c r="W98" s="88"/>
      <c r="X98" s="88"/>
      <c r="Y98" s="88"/>
      <c r="Z98" s="88"/>
      <c r="AA98" s="88"/>
    </row>
    <row r="99">
      <c r="A99" s="404"/>
      <c r="B99" s="404"/>
      <c r="C99" s="404"/>
      <c r="D99" s="406"/>
      <c r="E99" s="404"/>
      <c r="F99" s="404"/>
      <c r="G99" s="404"/>
      <c r="H99" s="408"/>
      <c r="I99" s="411"/>
      <c r="J99" s="404"/>
      <c r="K99" s="404"/>
      <c r="L99" s="413"/>
      <c r="M99" s="404"/>
      <c r="N99" s="404"/>
      <c r="O99" s="404"/>
      <c r="P99" s="88"/>
      <c r="Q99" s="88"/>
      <c r="R99" s="88"/>
      <c r="S99" s="88"/>
      <c r="T99" s="88"/>
      <c r="U99" s="88"/>
      <c r="V99" s="88"/>
      <c r="W99" s="88"/>
      <c r="X99" s="88"/>
      <c r="Y99" s="88"/>
      <c r="Z99" s="88"/>
      <c r="AA99" s="88"/>
    </row>
    <row r="100">
      <c r="A100" s="404"/>
      <c r="B100" s="404"/>
      <c r="C100" s="404"/>
      <c r="D100" s="406"/>
      <c r="E100" s="404"/>
      <c r="F100" s="404"/>
      <c r="G100" s="404"/>
      <c r="H100" s="408"/>
      <c r="I100" s="411"/>
      <c r="J100" s="404"/>
      <c r="K100" s="404"/>
      <c r="L100" s="413"/>
      <c r="M100" s="404"/>
      <c r="N100" s="404"/>
      <c r="O100" s="404"/>
      <c r="P100" s="88"/>
      <c r="Q100" s="88"/>
      <c r="R100" s="88"/>
      <c r="S100" s="88"/>
      <c r="T100" s="88"/>
      <c r="U100" s="88"/>
      <c r="V100" s="88"/>
      <c r="W100" s="88"/>
      <c r="X100" s="88"/>
      <c r="Y100" s="88"/>
      <c r="Z100" s="88"/>
      <c r="AA100" s="88"/>
    </row>
    <row r="101">
      <c r="A101" s="404"/>
      <c r="B101" s="404"/>
      <c r="C101" s="404"/>
      <c r="D101" s="406"/>
      <c r="E101" s="404"/>
      <c r="F101" s="404"/>
      <c r="G101" s="404"/>
      <c r="H101" s="408"/>
      <c r="I101" s="411"/>
      <c r="J101" s="404"/>
      <c r="K101" s="404"/>
      <c r="L101" s="413"/>
      <c r="M101" s="404"/>
      <c r="N101" s="404"/>
      <c r="O101" s="404"/>
      <c r="P101" s="88"/>
      <c r="Q101" s="88"/>
      <c r="R101" s="88"/>
      <c r="S101" s="88"/>
      <c r="T101" s="88"/>
      <c r="U101" s="88"/>
      <c r="V101" s="88"/>
      <c r="W101" s="88"/>
      <c r="X101" s="88"/>
      <c r="Y101" s="88"/>
      <c r="Z101" s="88"/>
      <c r="AA101" s="88"/>
    </row>
    <row r="102">
      <c r="A102" s="404"/>
      <c r="B102" s="404"/>
      <c r="C102" s="404"/>
      <c r="D102" s="406"/>
      <c r="E102" s="404"/>
      <c r="F102" s="404"/>
      <c r="G102" s="404"/>
      <c r="H102" s="408"/>
      <c r="I102" s="411"/>
      <c r="J102" s="404"/>
      <c r="K102" s="404"/>
      <c r="L102" s="413"/>
      <c r="M102" s="404"/>
      <c r="N102" s="404"/>
      <c r="O102" s="404"/>
      <c r="P102" s="88"/>
      <c r="Q102" s="88"/>
      <c r="R102" s="88"/>
      <c r="S102" s="88"/>
      <c r="T102" s="88"/>
      <c r="U102" s="88"/>
      <c r="V102" s="88"/>
      <c r="W102" s="88"/>
      <c r="X102" s="88"/>
      <c r="Y102" s="88"/>
      <c r="Z102" s="88"/>
      <c r="AA102" s="88"/>
    </row>
    <row r="103">
      <c r="A103" s="404"/>
      <c r="B103" s="404"/>
      <c r="C103" s="404"/>
      <c r="D103" s="406"/>
      <c r="E103" s="404"/>
      <c r="F103" s="404"/>
      <c r="G103" s="404"/>
      <c r="H103" s="408"/>
      <c r="I103" s="411"/>
      <c r="J103" s="404"/>
      <c r="K103" s="404"/>
      <c r="L103" s="413"/>
      <c r="M103" s="404"/>
      <c r="N103" s="404"/>
      <c r="O103" s="404"/>
      <c r="P103" s="88"/>
      <c r="Q103" s="88"/>
      <c r="R103" s="88"/>
      <c r="S103" s="88"/>
      <c r="T103" s="88"/>
      <c r="U103" s="88"/>
      <c r="V103" s="88"/>
      <c r="W103" s="88"/>
      <c r="X103" s="88"/>
      <c r="Y103" s="88"/>
      <c r="Z103" s="88"/>
      <c r="AA103" s="88"/>
    </row>
    <row r="104">
      <c r="A104" s="404"/>
      <c r="B104" s="404"/>
      <c r="C104" s="404"/>
      <c r="D104" s="406"/>
      <c r="E104" s="404"/>
      <c r="F104" s="404"/>
      <c r="G104" s="404"/>
      <c r="H104" s="408"/>
      <c r="I104" s="411"/>
      <c r="J104" s="404"/>
      <c r="K104" s="404"/>
      <c r="L104" s="413"/>
      <c r="M104" s="404"/>
      <c r="N104" s="404"/>
      <c r="O104" s="404"/>
      <c r="P104" s="88"/>
      <c r="Q104" s="88"/>
      <c r="R104" s="88"/>
      <c r="S104" s="88"/>
      <c r="T104" s="88"/>
      <c r="U104" s="88"/>
      <c r="V104" s="88"/>
      <c r="W104" s="88"/>
      <c r="X104" s="88"/>
      <c r="Y104" s="88"/>
      <c r="Z104" s="88"/>
      <c r="AA104" s="88"/>
    </row>
    <row r="105">
      <c r="A105" s="404"/>
      <c r="B105" s="404"/>
      <c r="C105" s="404"/>
      <c r="D105" s="406"/>
      <c r="E105" s="404"/>
      <c r="F105" s="404"/>
      <c r="G105" s="404"/>
      <c r="H105" s="408"/>
      <c r="I105" s="411"/>
      <c r="J105" s="404"/>
      <c r="K105" s="404"/>
      <c r="L105" s="413"/>
      <c r="M105" s="404"/>
      <c r="N105" s="404"/>
      <c r="O105" s="404"/>
      <c r="P105" s="88"/>
      <c r="Q105" s="88"/>
      <c r="R105" s="88"/>
      <c r="S105" s="88"/>
      <c r="T105" s="88"/>
      <c r="U105" s="88"/>
      <c r="V105" s="88"/>
      <c r="W105" s="88"/>
      <c r="X105" s="88"/>
      <c r="Y105" s="88"/>
      <c r="Z105" s="88"/>
      <c r="AA105" s="88"/>
    </row>
    <row r="106">
      <c r="A106" s="404"/>
      <c r="B106" s="404"/>
      <c r="C106" s="404"/>
      <c r="D106" s="406"/>
      <c r="E106" s="404"/>
      <c r="F106" s="404"/>
      <c r="G106" s="404"/>
      <c r="H106" s="408"/>
      <c r="I106" s="411"/>
      <c r="J106" s="404"/>
      <c r="K106" s="404"/>
      <c r="L106" s="413"/>
      <c r="M106" s="404"/>
      <c r="N106" s="404"/>
      <c r="O106" s="404"/>
      <c r="P106" s="88"/>
      <c r="Q106" s="88"/>
      <c r="R106" s="88"/>
      <c r="S106" s="88"/>
      <c r="T106" s="88"/>
      <c r="U106" s="88"/>
      <c r="V106" s="88"/>
      <c r="W106" s="88"/>
      <c r="X106" s="88"/>
      <c r="Y106" s="88"/>
      <c r="Z106" s="88"/>
      <c r="AA106" s="88"/>
    </row>
    <row r="107">
      <c r="A107" s="404"/>
      <c r="B107" s="404"/>
      <c r="C107" s="404"/>
      <c r="D107" s="406"/>
      <c r="E107" s="404"/>
      <c r="F107" s="404"/>
      <c r="G107" s="404"/>
      <c r="H107" s="408"/>
      <c r="I107" s="411"/>
      <c r="J107" s="404"/>
      <c r="K107" s="404"/>
      <c r="L107" s="413"/>
      <c r="M107" s="404"/>
      <c r="N107" s="404"/>
      <c r="O107" s="404"/>
      <c r="P107" s="88"/>
      <c r="Q107" s="88"/>
      <c r="R107" s="88"/>
      <c r="S107" s="88"/>
      <c r="T107" s="88"/>
      <c r="U107" s="88"/>
      <c r="V107" s="88"/>
      <c r="W107" s="88"/>
      <c r="X107" s="88"/>
      <c r="Y107" s="88"/>
      <c r="Z107" s="88"/>
      <c r="AA107" s="88"/>
    </row>
    <row r="108">
      <c r="A108" s="404"/>
      <c r="B108" s="404"/>
      <c r="C108" s="404"/>
      <c r="D108" s="406"/>
      <c r="E108" s="404"/>
      <c r="F108" s="404"/>
      <c r="G108" s="404"/>
      <c r="H108" s="408"/>
      <c r="I108" s="411"/>
      <c r="J108" s="404"/>
      <c r="K108" s="404"/>
      <c r="L108" s="413"/>
      <c r="M108" s="404"/>
      <c r="N108" s="404"/>
      <c r="O108" s="404"/>
      <c r="P108" s="88"/>
      <c r="Q108" s="88"/>
      <c r="R108" s="88"/>
      <c r="S108" s="88"/>
      <c r="T108" s="88"/>
      <c r="U108" s="88"/>
      <c r="V108" s="88"/>
      <c r="W108" s="88"/>
      <c r="X108" s="88"/>
      <c r="Y108" s="88"/>
      <c r="Z108" s="88"/>
      <c r="AA108" s="88"/>
    </row>
    <row r="109">
      <c r="A109" s="404"/>
      <c r="B109" s="404"/>
      <c r="C109" s="404"/>
      <c r="D109" s="406"/>
      <c r="E109" s="404"/>
      <c r="F109" s="404"/>
      <c r="G109" s="404"/>
      <c r="H109" s="408"/>
      <c r="I109" s="411"/>
      <c r="J109" s="404"/>
      <c r="K109" s="404"/>
      <c r="L109" s="413"/>
      <c r="M109" s="404"/>
      <c r="N109" s="404"/>
      <c r="O109" s="404"/>
      <c r="P109" s="88"/>
      <c r="Q109" s="88"/>
      <c r="R109" s="88"/>
      <c r="S109" s="88"/>
      <c r="T109" s="88"/>
      <c r="U109" s="88"/>
      <c r="V109" s="88"/>
      <c r="W109" s="88"/>
      <c r="X109" s="88"/>
      <c r="Y109" s="88"/>
      <c r="Z109" s="88"/>
      <c r="AA109" s="88"/>
    </row>
    <row r="110">
      <c r="A110" s="404"/>
      <c r="B110" s="404"/>
      <c r="C110" s="404"/>
      <c r="D110" s="406"/>
      <c r="E110" s="404"/>
      <c r="F110" s="404"/>
      <c r="G110" s="404"/>
      <c r="H110" s="408"/>
      <c r="I110" s="411"/>
      <c r="J110" s="404"/>
      <c r="K110" s="404"/>
      <c r="L110" s="413"/>
      <c r="M110" s="404"/>
      <c r="N110" s="404"/>
      <c r="O110" s="404"/>
      <c r="P110" s="88"/>
      <c r="Q110" s="88"/>
      <c r="R110" s="88"/>
      <c r="S110" s="88"/>
      <c r="T110" s="88"/>
      <c r="U110" s="88"/>
      <c r="V110" s="88"/>
      <c r="W110" s="88"/>
      <c r="X110" s="88"/>
      <c r="Y110" s="88"/>
      <c r="Z110" s="88"/>
      <c r="AA110" s="88"/>
    </row>
    <row r="111">
      <c r="A111" s="404"/>
      <c r="B111" s="404"/>
      <c r="C111" s="404"/>
      <c r="D111" s="406"/>
      <c r="E111" s="404"/>
      <c r="F111" s="404"/>
      <c r="G111" s="404"/>
      <c r="H111" s="408"/>
      <c r="I111" s="411"/>
      <c r="J111" s="404"/>
      <c r="K111" s="404"/>
      <c r="L111" s="413"/>
      <c r="M111" s="404"/>
      <c r="N111" s="404"/>
      <c r="O111" s="404"/>
      <c r="P111" s="88"/>
      <c r="Q111" s="88"/>
      <c r="R111" s="88"/>
      <c r="S111" s="88"/>
      <c r="T111" s="88"/>
      <c r="U111" s="88"/>
      <c r="V111" s="88"/>
      <c r="W111" s="88"/>
      <c r="X111" s="88"/>
      <c r="Y111" s="88"/>
      <c r="Z111" s="88"/>
      <c r="AA111" s="88"/>
    </row>
    <row r="112">
      <c r="A112" s="404"/>
      <c r="B112" s="404"/>
      <c r="C112" s="404"/>
      <c r="D112" s="406"/>
      <c r="E112" s="404"/>
      <c r="F112" s="404"/>
      <c r="G112" s="404"/>
      <c r="H112" s="408"/>
      <c r="I112" s="411"/>
      <c r="J112" s="404"/>
      <c r="K112" s="404"/>
      <c r="L112" s="413"/>
      <c r="M112" s="404"/>
      <c r="N112" s="404"/>
      <c r="O112" s="404"/>
      <c r="P112" s="88"/>
      <c r="Q112" s="88"/>
      <c r="R112" s="88"/>
      <c r="S112" s="88"/>
      <c r="T112" s="88"/>
      <c r="U112" s="88"/>
      <c r="V112" s="88"/>
      <c r="W112" s="88"/>
      <c r="X112" s="88"/>
      <c r="Y112" s="88"/>
      <c r="Z112" s="88"/>
      <c r="AA112" s="88"/>
    </row>
    <row r="113">
      <c r="A113" s="404"/>
      <c r="B113" s="404"/>
      <c r="C113" s="404"/>
      <c r="D113" s="406"/>
      <c r="E113" s="404"/>
      <c r="F113" s="404"/>
      <c r="G113" s="404"/>
      <c r="H113" s="408"/>
      <c r="I113" s="411"/>
      <c r="J113" s="404"/>
      <c r="K113" s="404"/>
      <c r="L113" s="413"/>
      <c r="M113" s="404"/>
      <c r="N113" s="404"/>
      <c r="O113" s="404"/>
      <c r="P113" s="88"/>
      <c r="Q113" s="88"/>
      <c r="R113" s="88"/>
      <c r="S113" s="88"/>
      <c r="T113" s="88"/>
      <c r="U113" s="88"/>
      <c r="V113" s="88"/>
      <c r="W113" s="88"/>
      <c r="X113" s="88"/>
      <c r="Y113" s="88"/>
      <c r="Z113" s="88"/>
      <c r="AA113" s="88"/>
    </row>
    <row r="114">
      <c r="A114" s="404"/>
      <c r="B114" s="404"/>
      <c r="C114" s="404"/>
      <c r="D114" s="406"/>
      <c r="E114" s="404"/>
      <c r="F114" s="404"/>
      <c r="G114" s="404"/>
      <c r="H114" s="408"/>
      <c r="I114" s="411"/>
      <c r="J114" s="404"/>
      <c r="K114" s="404"/>
      <c r="L114" s="413"/>
      <c r="M114" s="404"/>
      <c r="N114" s="404"/>
      <c r="O114" s="404"/>
      <c r="P114" s="88"/>
      <c r="Q114" s="88"/>
      <c r="R114" s="88"/>
      <c r="S114" s="88"/>
      <c r="T114" s="88"/>
      <c r="U114" s="88"/>
      <c r="V114" s="88"/>
      <c r="W114" s="88"/>
      <c r="X114" s="88"/>
      <c r="Y114" s="88"/>
      <c r="Z114" s="88"/>
      <c r="AA114" s="88"/>
    </row>
    <row r="115">
      <c r="A115" s="404"/>
      <c r="B115" s="404"/>
      <c r="C115" s="404"/>
      <c r="D115" s="406"/>
      <c r="E115" s="404"/>
      <c r="F115" s="404"/>
      <c r="G115" s="404"/>
      <c r="H115" s="408"/>
      <c r="I115" s="411"/>
      <c r="J115" s="404"/>
      <c r="K115" s="404"/>
      <c r="L115" s="413"/>
      <c r="M115" s="404"/>
      <c r="N115" s="404"/>
      <c r="O115" s="404"/>
      <c r="P115" s="88"/>
      <c r="Q115" s="88"/>
      <c r="R115" s="88"/>
      <c r="S115" s="88"/>
      <c r="T115" s="88"/>
      <c r="U115" s="88"/>
      <c r="V115" s="88"/>
      <c r="W115" s="88"/>
      <c r="X115" s="88"/>
      <c r="Y115" s="88"/>
      <c r="Z115" s="88"/>
      <c r="AA115" s="88"/>
    </row>
    <row r="116">
      <c r="A116" s="404"/>
      <c r="B116" s="404"/>
      <c r="C116" s="404"/>
      <c r="D116" s="406"/>
      <c r="E116" s="404"/>
      <c r="F116" s="404"/>
      <c r="G116" s="404"/>
      <c r="H116" s="408"/>
      <c r="I116" s="411"/>
      <c r="J116" s="404"/>
      <c r="K116" s="404"/>
      <c r="L116" s="413"/>
      <c r="M116" s="404"/>
      <c r="N116" s="404"/>
      <c r="O116" s="404"/>
      <c r="P116" s="88"/>
      <c r="Q116" s="88"/>
      <c r="R116" s="88"/>
      <c r="S116" s="88"/>
      <c r="T116" s="88"/>
      <c r="U116" s="88"/>
      <c r="V116" s="88"/>
      <c r="W116" s="88"/>
      <c r="X116" s="88"/>
      <c r="Y116" s="88"/>
      <c r="Z116" s="88"/>
      <c r="AA116" s="88"/>
    </row>
    <row r="117">
      <c r="A117" s="404"/>
      <c r="B117" s="404"/>
      <c r="C117" s="404"/>
      <c r="D117" s="406"/>
      <c r="E117" s="404"/>
      <c r="F117" s="404"/>
      <c r="G117" s="404"/>
      <c r="H117" s="408"/>
      <c r="I117" s="411"/>
      <c r="J117" s="404"/>
      <c r="K117" s="404"/>
      <c r="L117" s="413"/>
      <c r="M117" s="404"/>
      <c r="N117" s="404"/>
      <c r="O117" s="404"/>
      <c r="P117" s="88"/>
      <c r="Q117" s="88"/>
      <c r="R117" s="88"/>
      <c r="S117" s="88"/>
      <c r="T117" s="88"/>
      <c r="U117" s="88"/>
      <c r="V117" s="88"/>
      <c r="W117" s="88"/>
      <c r="X117" s="88"/>
      <c r="Y117" s="88"/>
      <c r="Z117" s="88"/>
      <c r="AA117" s="88"/>
    </row>
    <row r="118">
      <c r="A118" s="404"/>
      <c r="B118" s="404"/>
      <c r="C118" s="404"/>
      <c r="D118" s="406"/>
      <c r="E118" s="404"/>
      <c r="F118" s="404"/>
      <c r="G118" s="404"/>
      <c r="H118" s="408"/>
      <c r="I118" s="411"/>
      <c r="J118" s="404"/>
      <c r="K118" s="404"/>
      <c r="L118" s="413"/>
      <c r="M118" s="404"/>
      <c r="N118" s="404"/>
      <c r="O118" s="404"/>
      <c r="P118" s="88"/>
      <c r="Q118" s="88"/>
      <c r="R118" s="88"/>
      <c r="S118" s="88"/>
      <c r="T118" s="88"/>
      <c r="U118" s="88"/>
      <c r="V118" s="88"/>
      <c r="W118" s="88"/>
      <c r="X118" s="88"/>
      <c r="Y118" s="88"/>
      <c r="Z118" s="88"/>
      <c r="AA118" s="88"/>
    </row>
    <row r="119">
      <c r="A119" s="404"/>
      <c r="B119" s="404"/>
      <c r="C119" s="404"/>
      <c r="D119" s="406"/>
      <c r="E119" s="404"/>
      <c r="F119" s="404"/>
      <c r="G119" s="404"/>
      <c r="H119" s="408"/>
      <c r="I119" s="411"/>
      <c r="J119" s="404"/>
      <c r="K119" s="404"/>
      <c r="L119" s="413"/>
      <c r="M119" s="404"/>
      <c r="N119" s="404"/>
      <c r="O119" s="404"/>
      <c r="P119" s="88"/>
      <c r="Q119" s="88"/>
      <c r="R119" s="88"/>
      <c r="S119" s="88"/>
      <c r="T119" s="88"/>
      <c r="U119" s="88"/>
      <c r="V119" s="88"/>
      <c r="W119" s="88"/>
      <c r="X119" s="88"/>
      <c r="Y119" s="88"/>
      <c r="Z119" s="88"/>
      <c r="AA119" s="88"/>
    </row>
    <row r="120">
      <c r="A120" s="404"/>
      <c r="B120" s="435" t="s">
        <v>1616</v>
      </c>
      <c r="C120" s="404"/>
      <c r="D120" s="406"/>
      <c r="E120" s="404"/>
      <c r="F120" s="404"/>
      <c r="G120" s="404"/>
      <c r="H120" s="408"/>
      <c r="I120" s="411"/>
      <c r="J120" s="404"/>
      <c r="K120" s="404"/>
      <c r="L120" s="413"/>
      <c r="M120" s="404"/>
      <c r="N120" s="404"/>
      <c r="O120" s="404"/>
      <c r="P120" s="88"/>
      <c r="Q120" s="88"/>
      <c r="R120" s="88"/>
      <c r="S120" s="88"/>
      <c r="T120" s="88"/>
      <c r="U120" s="88"/>
      <c r="V120" s="88"/>
      <c r="W120" s="88"/>
      <c r="X120" s="88"/>
      <c r="Y120" s="88"/>
      <c r="Z120" s="88"/>
      <c r="AA120" s="88"/>
    </row>
    <row r="121">
      <c r="A121" s="404"/>
      <c r="B121" s="435" t="s">
        <v>1622</v>
      </c>
      <c r="C121" s="404"/>
      <c r="D121" s="406"/>
      <c r="E121" s="404"/>
      <c r="F121" s="404"/>
      <c r="G121" s="404"/>
      <c r="H121" s="408"/>
      <c r="I121" s="411"/>
      <c r="J121" s="404"/>
      <c r="K121" s="404"/>
      <c r="L121" s="413"/>
      <c r="M121" s="404"/>
      <c r="N121" s="404"/>
      <c r="O121" s="404"/>
      <c r="P121" s="88"/>
      <c r="Q121" s="88"/>
      <c r="R121" s="88"/>
      <c r="S121" s="88"/>
      <c r="T121" s="88"/>
      <c r="U121" s="88"/>
      <c r="V121" s="88"/>
      <c r="W121" s="88"/>
      <c r="X121" s="88"/>
      <c r="Y121" s="88"/>
      <c r="Z121" s="88"/>
      <c r="AA121" s="88"/>
    </row>
    <row r="122">
      <c r="A122" s="404"/>
      <c r="B122" s="435" t="s">
        <v>1626</v>
      </c>
      <c r="C122" s="404"/>
      <c r="D122" s="406"/>
      <c r="E122" s="404"/>
      <c r="F122" s="404"/>
      <c r="G122" s="404"/>
      <c r="H122" s="408"/>
      <c r="I122" s="411"/>
      <c r="J122" s="404"/>
      <c r="K122" s="404"/>
      <c r="L122" s="413"/>
      <c r="M122" s="404"/>
      <c r="N122" s="404"/>
      <c r="O122" s="404"/>
      <c r="P122" s="88"/>
      <c r="Q122" s="88"/>
      <c r="R122" s="88"/>
      <c r="S122" s="88"/>
      <c r="T122" s="88"/>
      <c r="U122" s="88"/>
      <c r="V122" s="88"/>
      <c r="W122" s="88"/>
      <c r="X122" s="88"/>
      <c r="Y122" s="88"/>
      <c r="Z122" s="88"/>
      <c r="AA122" s="88"/>
    </row>
    <row r="123">
      <c r="A123" s="404"/>
      <c r="B123" s="435" t="s">
        <v>1628</v>
      </c>
      <c r="C123" s="404"/>
      <c r="D123" s="406"/>
      <c r="E123" s="404"/>
      <c r="F123" s="404"/>
      <c r="G123" s="404"/>
      <c r="H123" s="408"/>
      <c r="I123" s="411"/>
      <c r="J123" s="404"/>
      <c r="K123" s="404"/>
      <c r="L123" s="413"/>
      <c r="M123" s="404"/>
      <c r="N123" s="404"/>
      <c r="O123" s="404"/>
      <c r="P123" s="88"/>
      <c r="Q123" s="88"/>
      <c r="R123" s="88"/>
      <c r="S123" s="88"/>
      <c r="T123" s="88"/>
      <c r="U123" s="88"/>
      <c r="V123" s="88"/>
      <c r="W123" s="88"/>
      <c r="X123" s="88"/>
      <c r="Y123" s="88"/>
      <c r="Z123" s="88"/>
      <c r="AA123" s="88"/>
    </row>
    <row r="124">
      <c r="A124" s="404"/>
      <c r="B124" s="435" t="s">
        <v>1629</v>
      </c>
      <c r="C124" s="404"/>
      <c r="D124" s="406"/>
      <c r="E124" s="404"/>
      <c r="F124" s="404"/>
      <c r="G124" s="404"/>
      <c r="H124" s="408"/>
      <c r="I124" s="411"/>
      <c r="J124" s="404"/>
      <c r="K124" s="404"/>
      <c r="L124" s="413"/>
      <c r="M124" s="404"/>
      <c r="N124" s="404"/>
      <c r="O124" s="404"/>
      <c r="P124" s="88"/>
      <c r="Q124" s="88"/>
      <c r="R124" s="88"/>
      <c r="S124" s="88"/>
      <c r="T124" s="88"/>
      <c r="U124" s="88"/>
      <c r="V124" s="88"/>
      <c r="W124" s="88"/>
      <c r="X124" s="88"/>
      <c r="Y124" s="88"/>
      <c r="Z124" s="88"/>
      <c r="AA124" s="88"/>
    </row>
    <row r="125">
      <c r="A125" s="404"/>
      <c r="B125" s="404"/>
      <c r="C125" s="404"/>
      <c r="D125" s="406"/>
      <c r="E125" s="404"/>
      <c r="F125" s="404"/>
      <c r="G125" s="404"/>
      <c r="H125" s="408"/>
      <c r="I125" s="411"/>
      <c r="J125" s="404"/>
      <c r="K125" s="404"/>
      <c r="L125" s="413"/>
      <c r="M125" s="404"/>
      <c r="N125" s="404"/>
      <c r="O125" s="404"/>
      <c r="P125" s="88"/>
      <c r="Q125" s="88"/>
      <c r="R125" s="88"/>
      <c r="S125" s="88"/>
      <c r="T125" s="88"/>
      <c r="U125" s="88"/>
      <c r="V125" s="88"/>
      <c r="W125" s="88"/>
      <c r="X125" s="88"/>
      <c r="Y125" s="88"/>
      <c r="Z125" s="88"/>
      <c r="AA125" s="88"/>
    </row>
    <row r="126">
      <c r="D126" s="445"/>
      <c r="P126" s="88"/>
      <c r="Q126" s="88"/>
      <c r="R126" s="88"/>
      <c r="S126" s="88"/>
      <c r="T126" s="88"/>
      <c r="U126" s="88"/>
      <c r="V126" s="88"/>
      <c r="W126" s="88"/>
      <c r="X126" s="88"/>
      <c r="Y126" s="88"/>
      <c r="Z126" s="88"/>
      <c r="AA126" s="88"/>
    </row>
    <row r="127">
      <c r="D127" s="445"/>
      <c r="P127" s="88"/>
      <c r="Q127" s="88"/>
      <c r="R127" s="88"/>
      <c r="S127" s="88"/>
      <c r="T127" s="88"/>
      <c r="U127" s="88"/>
      <c r="V127" s="88"/>
      <c r="W127" s="88"/>
      <c r="X127" s="88"/>
      <c r="Y127" s="88"/>
      <c r="Z127" s="88"/>
      <c r="AA127" s="88"/>
    </row>
    <row r="128">
      <c r="D128" s="445"/>
      <c r="P128" s="88"/>
      <c r="Q128" s="88"/>
      <c r="R128" s="88"/>
      <c r="S128" s="88"/>
      <c r="T128" s="88"/>
      <c r="U128" s="88"/>
      <c r="V128" s="88"/>
      <c r="W128" s="88"/>
      <c r="X128" s="88"/>
      <c r="Y128" s="88"/>
      <c r="Z128" s="88"/>
      <c r="AA128" s="88"/>
    </row>
    <row r="129">
      <c r="A129" s="404"/>
      <c r="B129" s="404"/>
      <c r="C129" s="404"/>
      <c r="D129" s="406"/>
      <c r="E129" s="404"/>
      <c r="F129" s="404"/>
      <c r="G129" s="404"/>
      <c r="H129" s="408"/>
      <c r="I129" s="411"/>
      <c r="J129" s="404"/>
      <c r="K129" s="404"/>
      <c r="L129" s="413"/>
      <c r="M129" s="404"/>
      <c r="N129" s="404"/>
      <c r="O129" s="404"/>
      <c r="P129" s="88"/>
      <c r="Q129" s="88"/>
      <c r="R129" s="88"/>
      <c r="S129" s="88"/>
      <c r="T129" s="88"/>
      <c r="U129" s="88"/>
      <c r="V129" s="88"/>
      <c r="W129" s="88"/>
      <c r="X129" s="88"/>
      <c r="Y129" s="88"/>
      <c r="Z129" s="88"/>
      <c r="AA129" s="88"/>
    </row>
    <row r="130">
      <c r="A130" s="404"/>
      <c r="B130" s="404"/>
      <c r="C130" s="404"/>
      <c r="D130" s="406"/>
      <c r="E130" s="404"/>
      <c r="F130" s="404"/>
      <c r="G130" s="404"/>
      <c r="H130" s="408"/>
      <c r="I130" s="411"/>
      <c r="J130" s="404"/>
      <c r="K130" s="404"/>
      <c r="L130" s="413"/>
      <c r="M130" s="404"/>
      <c r="N130" s="404"/>
      <c r="O130" s="404"/>
      <c r="P130" s="88"/>
      <c r="Q130" s="88"/>
      <c r="R130" s="88"/>
      <c r="S130" s="88"/>
      <c r="T130" s="88"/>
      <c r="U130" s="88"/>
      <c r="V130" s="88"/>
      <c r="W130" s="88"/>
      <c r="X130" s="88"/>
      <c r="Y130" s="88"/>
      <c r="Z130" s="88"/>
      <c r="AA130" s="88"/>
    </row>
    <row r="131">
      <c r="A131" s="404"/>
      <c r="B131" s="404"/>
      <c r="C131" s="404"/>
      <c r="D131" s="406"/>
      <c r="E131" s="404"/>
      <c r="F131" s="404"/>
      <c r="G131" s="404"/>
      <c r="H131" s="408"/>
      <c r="I131" s="411"/>
      <c r="J131" s="404"/>
      <c r="K131" s="404"/>
      <c r="L131" s="413"/>
      <c r="M131" s="404"/>
      <c r="N131" s="404"/>
      <c r="O131" s="404"/>
      <c r="P131" s="88"/>
      <c r="Q131" s="88"/>
      <c r="R131" s="88"/>
      <c r="S131" s="88"/>
      <c r="T131" s="88"/>
      <c r="U131" s="88"/>
      <c r="V131" s="88"/>
      <c r="W131" s="88"/>
      <c r="X131" s="88"/>
      <c r="Y131" s="88"/>
      <c r="Z131" s="88"/>
      <c r="AA131" s="88"/>
    </row>
    <row r="132">
      <c r="A132" s="404"/>
      <c r="B132" s="404"/>
      <c r="C132" s="404"/>
      <c r="D132" s="406"/>
      <c r="E132" s="404"/>
      <c r="F132" s="404"/>
      <c r="G132" s="404"/>
      <c r="H132" s="408"/>
      <c r="I132" s="411"/>
      <c r="J132" s="404"/>
      <c r="K132" s="404"/>
      <c r="L132" s="413"/>
      <c r="M132" s="404"/>
      <c r="N132" s="404"/>
      <c r="O132" s="404"/>
      <c r="P132" s="88"/>
      <c r="Q132" s="88"/>
      <c r="R132" s="88"/>
      <c r="S132" s="88"/>
      <c r="T132" s="88"/>
      <c r="U132" s="88"/>
      <c r="V132" s="88"/>
      <c r="W132" s="88"/>
      <c r="X132" s="88"/>
      <c r="Y132" s="88"/>
      <c r="Z132" s="88"/>
      <c r="AA132" s="88"/>
    </row>
    <row r="133">
      <c r="A133" s="404"/>
      <c r="B133" s="404"/>
      <c r="D133" s="406"/>
      <c r="E133" s="404"/>
      <c r="F133" s="404"/>
      <c r="G133" s="404"/>
      <c r="H133" s="408"/>
      <c r="I133" s="411"/>
      <c r="J133" s="404"/>
      <c r="K133" s="404"/>
      <c r="L133" s="413"/>
      <c r="M133" s="404"/>
      <c r="N133" s="404"/>
      <c r="O133" s="404"/>
      <c r="P133" s="88"/>
      <c r="Q133" s="88"/>
      <c r="R133" s="88"/>
      <c r="S133" s="88"/>
      <c r="T133" s="88"/>
      <c r="U133" s="88"/>
      <c r="V133" s="88"/>
      <c r="W133" s="88"/>
      <c r="X133" s="88"/>
      <c r="Y133" s="88"/>
      <c r="Z133" s="88"/>
      <c r="AA133" s="88"/>
    </row>
    <row r="134">
      <c r="A134" s="404"/>
      <c r="B134" s="404"/>
      <c r="D134" s="406"/>
      <c r="E134" s="404"/>
      <c r="F134" s="404"/>
      <c r="G134" s="404"/>
      <c r="H134" s="408"/>
      <c r="I134" s="411"/>
      <c r="J134" s="404"/>
      <c r="K134" s="404"/>
      <c r="L134" s="413"/>
      <c r="M134" s="404"/>
      <c r="N134" s="404"/>
      <c r="O134" s="404"/>
      <c r="P134" s="88"/>
      <c r="Q134" s="88"/>
      <c r="R134" s="88"/>
      <c r="S134" s="88"/>
      <c r="T134" s="88"/>
      <c r="U134" s="88"/>
      <c r="V134" s="88"/>
      <c r="W134" s="88"/>
      <c r="X134" s="88"/>
      <c r="Y134" s="88"/>
      <c r="Z134" s="88"/>
      <c r="AA134" s="88"/>
    </row>
    <row r="135">
      <c r="A135" s="404"/>
      <c r="B135" s="404"/>
      <c r="D135" s="406"/>
      <c r="E135" s="404"/>
      <c r="F135" s="404"/>
      <c r="G135" s="404"/>
      <c r="H135" s="408"/>
      <c r="I135" s="411"/>
      <c r="J135" s="404"/>
      <c r="K135" s="404"/>
      <c r="L135" s="413"/>
      <c r="M135" s="404"/>
      <c r="N135" s="404"/>
      <c r="O135" s="404"/>
      <c r="P135" s="88"/>
      <c r="Q135" s="88"/>
      <c r="R135" s="88"/>
      <c r="S135" s="88"/>
      <c r="T135" s="88"/>
      <c r="U135" s="88"/>
      <c r="V135" s="88"/>
      <c r="W135" s="88"/>
      <c r="X135" s="88"/>
      <c r="Y135" s="88"/>
      <c r="Z135" s="88"/>
      <c r="AA135" s="88"/>
    </row>
    <row r="136">
      <c r="A136" s="404"/>
      <c r="B136" s="404"/>
      <c r="D136" s="406"/>
      <c r="E136" s="404"/>
      <c r="F136" s="404"/>
      <c r="G136" s="404"/>
      <c r="H136" s="408"/>
      <c r="I136" s="411"/>
      <c r="J136" s="404"/>
      <c r="K136" s="404"/>
      <c r="L136" s="413"/>
      <c r="M136" s="404"/>
      <c r="N136" s="404"/>
      <c r="O136" s="404"/>
      <c r="P136" s="88"/>
      <c r="Q136" s="88"/>
      <c r="R136" s="88"/>
      <c r="S136" s="88"/>
      <c r="T136" s="88"/>
      <c r="U136" s="88"/>
      <c r="V136" s="88"/>
      <c r="W136" s="88"/>
      <c r="X136" s="88"/>
      <c r="Y136" s="88"/>
      <c r="Z136" s="88"/>
      <c r="AA136" s="88"/>
    </row>
    <row r="137">
      <c r="A137" s="404"/>
      <c r="B137" s="404"/>
      <c r="D137" s="406"/>
      <c r="E137" s="404"/>
      <c r="F137" s="404"/>
      <c r="G137" s="404"/>
      <c r="H137" s="408"/>
      <c r="I137" s="411"/>
      <c r="J137" s="404"/>
      <c r="K137" s="404"/>
      <c r="L137" s="413"/>
      <c r="M137" s="404"/>
      <c r="N137" s="404"/>
      <c r="O137" s="404"/>
      <c r="P137" s="88"/>
      <c r="Q137" s="88"/>
      <c r="R137" s="88"/>
      <c r="S137" s="88"/>
      <c r="T137" s="88"/>
      <c r="U137" s="88"/>
      <c r="V137" s="88"/>
      <c r="W137" s="88"/>
      <c r="X137" s="88"/>
      <c r="Y137" s="88"/>
      <c r="Z137" s="88"/>
      <c r="AA137" s="88"/>
    </row>
    <row r="138">
      <c r="A138" s="404"/>
      <c r="B138" s="404"/>
      <c r="D138" s="406"/>
      <c r="E138" s="404"/>
      <c r="F138" s="404"/>
      <c r="G138" s="404"/>
      <c r="H138" s="408"/>
      <c r="I138" s="411"/>
      <c r="J138" s="404"/>
      <c r="K138" s="404"/>
      <c r="L138" s="413"/>
      <c r="M138" s="404"/>
      <c r="N138" s="404"/>
      <c r="O138" s="404"/>
      <c r="P138" s="88"/>
      <c r="Q138" s="88"/>
      <c r="R138" s="88"/>
      <c r="S138" s="88"/>
      <c r="T138" s="88"/>
      <c r="U138" s="88"/>
      <c r="V138" s="88"/>
      <c r="W138" s="88"/>
      <c r="X138" s="88"/>
      <c r="Y138" s="88"/>
      <c r="Z138" s="88"/>
      <c r="AA138" s="88"/>
    </row>
    <row r="139">
      <c r="A139" s="404"/>
      <c r="B139" s="404"/>
      <c r="C139" s="404"/>
      <c r="D139" s="406"/>
      <c r="E139" s="404"/>
      <c r="F139" s="404"/>
      <c r="G139" s="404"/>
      <c r="H139" s="408"/>
      <c r="I139" s="411"/>
      <c r="J139" s="404"/>
      <c r="K139" s="404"/>
      <c r="L139" s="413"/>
      <c r="M139" s="404"/>
      <c r="N139" s="404"/>
      <c r="O139" s="404"/>
      <c r="P139" s="88"/>
      <c r="Q139" s="88"/>
      <c r="R139" s="88"/>
      <c r="S139" s="88"/>
      <c r="T139" s="88"/>
      <c r="U139" s="88"/>
      <c r="V139" s="88"/>
      <c r="W139" s="88"/>
      <c r="X139" s="88"/>
      <c r="Y139" s="88"/>
      <c r="Z139" s="88"/>
      <c r="AA139" s="88"/>
    </row>
    <row r="140">
      <c r="A140" s="404"/>
      <c r="B140" s="404"/>
      <c r="C140" s="404"/>
      <c r="D140" s="406"/>
      <c r="E140" s="404"/>
      <c r="F140" s="404"/>
      <c r="G140" s="404"/>
      <c r="H140" s="408"/>
      <c r="I140" s="411"/>
      <c r="J140" s="404"/>
      <c r="K140" s="404"/>
      <c r="L140" s="413"/>
      <c r="M140" s="404"/>
      <c r="N140" s="404"/>
      <c r="O140" s="404"/>
      <c r="P140" s="88"/>
      <c r="Q140" s="88"/>
      <c r="R140" s="88"/>
      <c r="S140" s="88"/>
      <c r="T140" s="88"/>
      <c r="U140" s="88"/>
      <c r="V140" s="88"/>
      <c r="W140" s="88"/>
      <c r="X140" s="88"/>
      <c r="Y140" s="88"/>
      <c r="Z140" s="88"/>
      <c r="AA140" s="88"/>
    </row>
    <row r="141">
      <c r="A141" s="88"/>
      <c r="B141" s="88"/>
      <c r="C141" s="88"/>
      <c r="D141" s="453"/>
      <c r="E141" s="88"/>
      <c r="F141" s="88"/>
      <c r="G141" s="88"/>
      <c r="H141" s="454"/>
      <c r="I141" s="455"/>
      <c r="J141" s="88"/>
      <c r="K141" s="88"/>
      <c r="L141" s="456"/>
      <c r="M141" s="88"/>
      <c r="N141" s="88"/>
      <c r="O141" s="88"/>
      <c r="P141" s="88"/>
      <c r="Q141" s="88"/>
      <c r="R141" s="88"/>
      <c r="S141" s="88"/>
      <c r="T141" s="88"/>
      <c r="U141" s="88"/>
      <c r="V141" s="88"/>
      <c r="W141" s="88"/>
      <c r="X141" s="88"/>
      <c r="Y141" s="88"/>
      <c r="Z141" s="88"/>
      <c r="AA141" s="88"/>
    </row>
    <row r="142">
      <c r="A142" s="88"/>
      <c r="B142" s="88"/>
      <c r="C142" s="88"/>
      <c r="D142" s="453"/>
      <c r="E142" s="88"/>
      <c r="F142" s="88"/>
      <c r="G142" s="88"/>
      <c r="H142" s="454"/>
      <c r="I142" s="455"/>
      <c r="J142" s="88"/>
      <c r="K142" s="88"/>
      <c r="L142" s="456"/>
      <c r="M142" s="88"/>
      <c r="N142" s="88"/>
      <c r="O142" s="88"/>
      <c r="P142" s="88"/>
      <c r="Q142" s="88"/>
      <c r="R142" s="88"/>
      <c r="S142" s="88"/>
      <c r="T142" s="88"/>
      <c r="U142" s="88"/>
      <c r="V142" s="88"/>
      <c r="W142" s="88"/>
      <c r="X142" s="88"/>
      <c r="Y142" s="88"/>
      <c r="Z142" s="88"/>
      <c r="AA142" s="88"/>
    </row>
    <row r="143">
      <c r="A143" s="88"/>
      <c r="B143" s="88"/>
      <c r="C143" s="88"/>
      <c r="D143" s="453"/>
      <c r="E143" s="88"/>
      <c r="F143" s="88"/>
      <c r="G143" s="88"/>
      <c r="H143" s="454"/>
      <c r="I143" s="455"/>
      <c r="J143" s="88"/>
      <c r="K143" s="88"/>
      <c r="L143" s="456"/>
      <c r="M143" s="88"/>
      <c r="N143" s="88"/>
      <c r="O143" s="88"/>
      <c r="P143" s="88"/>
      <c r="Q143" s="88"/>
      <c r="R143" s="88"/>
      <c r="S143" s="88"/>
      <c r="T143" s="88"/>
      <c r="U143" s="88"/>
      <c r="V143" s="88"/>
      <c r="W143" s="88"/>
      <c r="X143" s="88"/>
      <c r="Y143" s="88"/>
      <c r="Z143" s="88"/>
      <c r="AA143" s="88"/>
    </row>
    <row r="144">
      <c r="A144" s="88"/>
      <c r="B144" s="88"/>
      <c r="C144" s="88"/>
      <c r="D144" s="453"/>
      <c r="E144" s="88"/>
      <c r="F144" s="88"/>
      <c r="G144" s="88"/>
      <c r="H144" s="454"/>
      <c r="I144" s="455"/>
      <c r="J144" s="88"/>
      <c r="K144" s="88"/>
      <c r="L144" s="456"/>
      <c r="M144" s="88"/>
      <c r="N144" s="88"/>
      <c r="O144" s="88"/>
      <c r="P144" s="88"/>
      <c r="Q144" s="88"/>
      <c r="R144" s="88"/>
      <c r="S144" s="88"/>
      <c r="T144" s="88"/>
      <c r="U144" s="88"/>
      <c r="V144" s="88"/>
      <c r="W144" s="88"/>
      <c r="X144" s="88"/>
      <c r="Y144" s="88"/>
      <c r="Z144" s="88"/>
      <c r="AA144" s="88"/>
    </row>
    <row r="145">
      <c r="A145" s="88"/>
      <c r="B145" s="88"/>
      <c r="C145" s="88"/>
      <c r="D145" s="453"/>
      <c r="E145" s="88"/>
      <c r="F145" s="88"/>
      <c r="G145" s="88"/>
      <c r="H145" s="454"/>
      <c r="I145" s="455"/>
      <c r="J145" s="88"/>
      <c r="K145" s="88"/>
      <c r="L145" s="456"/>
      <c r="M145" s="88"/>
      <c r="N145" s="88"/>
      <c r="O145" s="88"/>
      <c r="P145" s="88"/>
      <c r="Q145" s="88"/>
      <c r="R145" s="88"/>
      <c r="S145" s="88"/>
      <c r="T145" s="88"/>
      <c r="U145" s="88"/>
      <c r="V145" s="88"/>
      <c r="W145" s="88"/>
      <c r="X145" s="88"/>
      <c r="Y145" s="88"/>
      <c r="Z145" s="88"/>
      <c r="AA145" s="88"/>
    </row>
    <row r="146">
      <c r="A146" s="88"/>
      <c r="B146" s="88"/>
      <c r="C146" s="88"/>
      <c r="D146" s="453"/>
      <c r="E146" s="88"/>
      <c r="F146" s="88"/>
      <c r="G146" s="88"/>
      <c r="H146" s="454"/>
      <c r="I146" s="455"/>
      <c r="J146" s="88"/>
      <c r="K146" s="88"/>
      <c r="L146" s="456"/>
      <c r="M146" s="88"/>
      <c r="N146" s="88"/>
      <c r="O146" s="88"/>
      <c r="P146" s="88"/>
      <c r="Q146" s="88"/>
      <c r="R146" s="88"/>
      <c r="S146" s="88"/>
      <c r="T146" s="88"/>
      <c r="U146" s="88"/>
      <c r="V146" s="88"/>
      <c r="W146" s="88"/>
      <c r="X146" s="88"/>
      <c r="Y146" s="88"/>
      <c r="Z146" s="88"/>
      <c r="AA146" s="88"/>
    </row>
    <row r="147">
      <c r="A147" s="88"/>
      <c r="B147" s="88"/>
      <c r="C147" s="88"/>
      <c r="D147" s="453"/>
      <c r="E147" s="88"/>
      <c r="F147" s="88"/>
      <c r="G147" s="88"/>
      <c r="H147" s="454"/>
      <c r="I147" s="455"/>
      <c r="J147" s="88"/>
      <c r="K147" s="88"/>
      <c r="L147" s="456"/>
      <c r="M147" s="88"/>
      <c r="N147" s="88"/>
      <c r="O147" s="88"/>
      <c r="P147" s="88"/>
      <c r="Q147" s="88"/>
      <c r="R147" s="88"/>
      <c r="S147" s="88"/>
      <c r="T147" s="88"/>
      <c r="U147" s="88"/>
      <c r="V147" s="88"/>
      <c r="W147" s="88"/>
      <c r="X147" s="88"/>
      <c r="Y147" s="88"/>
      <c r="Z147" s="88"/>
      <c r="AA147" s="88"/>
    </row>
    <row r="148">
      <c r="A148" s="88"/>
      <c r="B148" s="88"/>
      <c r="C148" s="88"/>
      <c r="D148" s="453"/>
      <c r="E148" s="88"/>
      <c r="F148" s="88"/>
      <c r="G148" s="88"/>
      <c r="H148" s="454"/>
      <c r="I148" s="455"/>
      <c r="J148" s="88"/>
      <c r="K148" s="88"/>
      <c r="L148" s="456"/>
      <c r="M148" s="88"/>
      <c r="N148" s="88"/>
      <c r="O148" s="88"/>
      <c r="P148" s="88"/>
      <c r="Q148" s="88"/>
      <c r="R148" s="88"/>
      <c r="S148" s="88"/>
      <c r="T148" s="88"/>
      <c r="U148" s="88"/>
      <c r="V148" s="88"/>
      <c r="W148" s="88"/>
      <c r="X148" s="88"/>
      <c r="Y148" s="88"/>
      <c r="Z148" s="88"/>
      <c r="AA148" s="88"/>
    </row>
    <row r="149">
      <c r="A149" s="88"/>
      <c r="B149" s="88"/>
      <c r="C149" s="88"/>
      <c r="D149" s="453"/>
      <c r="E149" s="88"/>
      <c r="F149" s="88"/>
      <c r="G149" s="88"/>
      <c r="H149" s="454"/>
      <c r="I149" s="455"/>
      <c r="J149" s="88"/>
      <c r="K149" s="88"/>
      <c r="L149" s="456"/>
      <c r="M149" s="88"/>
      <c r="N149" s="88"/>
      <c r="O149" s="88"/>
      <c r="P149" s="88"/>
      <c r="Q149" s="88"/>
      <c r="R149" s="88"/>
      <c r="S149" s="88"/>
      <c r="T149" s="88"/>
      <c r="U149" s="88"/>
      <c r="V149" s="88"/>
      <c r="W149" s="88"/>
      <c r="X149" s="88"/>
      <c r="Y149" s="88"/>
      <c r="Z149" s="88"/>
      <c r="AA149" s="88"/>
    </row>
    <row r="150">
      <c r="A150" s="88"/>
      <c r="B150" s="88"/>
      <c r="C150" s="88"/>
      <c r="D150" s="453"/>
      <c r="E150" s="88"/>
      <c r="F150" s="88"/>
      <c r="G150" s="88"/>
      <c r="H150" s="454"/>
      <c r="I150" s="455"/>
      <c r="J150" s="88"/>
      <c r="K150" s="88"/>
      <c r="L150" s="456"/>
      <c r="M150" s="88"/>
      <c r="N150" s="88"/>
      <c r="O150" s="88"/>
      <c r="P150" s="88"/>
      <c r="Q150" s="88"/>
      <c r="R150" s="88"/>
      <c r="S150" s="88"/>
      <c r="T150" s="88"/>
      <c r="U150" s="88"/>
      <c r="V150" s="88"/>
      <c r="W150" s="88"/>
      <c r="X150" s="88"/>
      <c r="Y150" s="88"/>
      <c r="Z150" s="88"/>
      <c r="AA150" s="88"/>
    </row>
    <row r="151">
      <c r="A151" s="88"/>
      <c r="B151" s="88"/>
      <c r="C151" s="88"/>
      <c r="D151" s="453"/>
      <c r="E151" s="88"/>
      <c r="F151" s="88"/>
      <c r="G151" s="88"/>
      <c r="H151" s="454"/>
      <c r="I151" s="455"/>
      <c r="J151" s="88"/>
      <c r="K151" s="88"/>
      <c r="L151" s="456"/>
      <c r="M151" s="88"/>
      <c r="N151" s="88"/>
      <c r="O151" s="88"/>
      <c r="P151" s="88"/>
      <c r="Q151" s="88"/>
      <c r="R151" s="88"/>
      <c r="S151" s="88"/>
      <c r="T151" s="88"/>
      <c r="U151" s="88"/>
      <c r="V151" s="88"/>
      <c r="W151" s="88"/>
      <c r="X151" s="88"/>
      <c r="Y151" s="88"/>
      <c r="Z151" s="88"/>
      <c r="AA151" s="88"/>
    </row>
    <row r="152">
      <c r="A152" s="88"/>
      <c r="B152" s="88"/>
      <c r="C152" s="88"/>
      <c r="D152" s="453"/>
      <c r="E152" s="88"/>
      <c r="F152" s="88"/>
      <c r="G152" s="88"/>
      <c r="H152" s="454"/>
      <c r="I152" s="455"/>
      <c r="J152" s="88"/>
      <c r="K152" s="88"/>
      <c r="L152" s="456"/>
      <c r="M152" s="88"/>
      <c r="N152" s="88"/>
      <c r="O152" s="88"/>
      <c r="P152" s="88"/>
      <c r="Q152" s="88"/>
      <c r="R152" s="88"/>
      <c r="S152" s="88"/>
      <c r="T152" s="88"/>
      <c r="U152" s="88"/>
      <c r="V152" s="88"/>
      <c r="W152" s="88"/>
      <c r="X152" s="88"/>
      <c r="Y152" s="88"/>
      <c r="Z152" s="88"/>
      <c r="AA152" s="88"/>
    </row>
    <row r="153">
      <c r="A153" s="88"/>
      <c r="B153" s="88"/>
      <c r="C153" s="88"/>
      <c r="D153" s="453"/>
      <c r="E153" s="88"/>
      <c r="F153" s="88"/>
      <c r="G153" s="88"/>
      <c r="H153" s="454"/>
      <c r="I153" s="455"/>
      <c r="J153" s="88"/>
      <c r="K153" s="88"/>
      <c r="L153" s="456"/>
      <c r="M153" s="88"/>
      <c r="N153" s="88"/>
      <c r="O153" s="88"/>
      <c r="P153" s="88"/>
      <c r="Q153" s="88"/>
      <c r="R153" s="88"/>
      <c r="S153" s="88"/>
      <c r="T153" s="88"/>
      <c r="U153" s="88"/>
      <c r="V153" s="88"/>
      <c r="W153" s="88"/>
      <c r="X153" s="88"/>
      <c r="Y153" s="88"/>
      <c r="Z153" s="88"/>
      <c r="AA153" s="88"/>
    </row>
    <row r="154">
      <c r="A154" s="88"/>
      <c r="B154" s="88"/>
      <c r="C154" s="88"/>
      <c r="D154" s="453"/>
      <c r="E154" s="88"/>
      <c r="F154" s="88"/>
      <c r="G154" s="88"/>
      <c r="H154" s="454"/>
      <c r="I154" s="455"/>
      <c r="J154" s="88"/>
      <c r="K154" s="88"/>
      <c r="L154" s="456"/>
      <c r="M154" s="88"/>
      <c r="N154" s="88"/>
      <c r="O154" s="88"/>
      <c r="P154" s="88"/>
      <c r="Q154" s="88"/>
      <c r="R154" s="88"/>
      <c r="S154" s="88"/>
      <c r="T154" s="88"/>
      <c r="U154" s="88"/>
      <c r="V154" s="88"/>
      <c r="W154" s="88"/>
      <c r="X154" s="88"/>
      <c r="Y154" s="88"/>
      <c r="Z154" s="88"/>
      <c r="AA154" s="88"/>
    </row>
    <row r="155">
      <c r="A155" s="88"/>
      <c r="B155" s="88"/>
      <c r="C155" s="88"/>
      <c r="D155" s="453"/>
      <c r="E155" s="88"/>
      <c r="F155" s="88"/>
      <c r="G155" s="88"/>
      <c r="H155" s="454"/>
      <c r="I155" s="455"/>
      <c r="J155" s="88"/>
      <c r="K155" s="88"/>
      <c r="L155" s="456"/>
      <c r="M155" s="88"/>
      <c r="N155" s="88"/>
      <c r="O155" s="88"/>
      <c r="P155" s="88"/>
      <c r="Q155" s="88"/>
      <c r="R155" s="88"/>
      <c r="S155" s="88"/>
      <c r="T155" s="88"/>
      <c r="U155" s="88"/>
      <c r="V155" s="88"/>
      <c r="W155" s="88"/>
      <c r="X155" s="88"/>
      <c r="Y155" s="88"/>
      <c r="Z155" s="88"/>
      <c r="AA155" s="88"/>
    </row>
    <row r="156">
      <c r="A156" s="88"/>
      <c r="B156" s="88"/>
      <c r="C156" s="88"/>
      <c r="D156" s="453"/>
      <c r="E156" s="88"/>
      <c r="F156" s="88"/>
      <c r="G156" s="88"/>
      <c r="H156" s="454"/>
      <c r="I156" s="455"/>
      <c r="J156" s="88"/>
      <c r="K156" s="88"/>
      <c r="L156" s="456"/>
      <c r="M156" s="88"/>
      <c r="N156" s="88"/>
      <c r="O156" s="88"/>
      <c r="P156" s="88"/>
      <c r="Q156" s="88"/>
      <c r="R156" s="88"/>
      <c r="S156" s="88"/>
      <c r="T156" s="88"/>
      <c r="U156" s="88"/>
      <c r="V156" s="88"/>
      <c r="W156" s="88"/>
      <c r="X156" s="88"/>
      <c r="Y156" s="88"/>
      <c r="Z156" s="88"/>
      <c r="AA156" s="88"/>
    </row>
    <row r="157">
      <c r="A157" s="88"/>
      <c r="B157" s="88"/>
      <c r="C157" s="88"/>
      <c r="D157" s="453"/>
      <c r="E157" s="88"/>
      <c r="F157" s="88"/>
      <c r="G157" s="88"/>
      <c r="H157" s="454"/>
      <c r="I157" s="455"/>
      <c r="J157" s="88"/>
      <c r="K157" s="88"/>
      <c r="L157" s="456"/>
      <c r="M157" s="88"/>
      <c r="N157" s="88"/>
      <c r="O157" s="88"/>
      <c r="P157" s="88"/>
      <c r="Q157" s="88"/>
      <c r="R157" s="88"/>
      <c r="S157" s="88"/>
      <c r="T157" s="88"/>
      <c r="U157" s="88"/>
      <c r="V157" s="88"/>
      <c r="W157" s="88"/>
      <c r="X157" s="88"/>
      <c r="Y157" s="88"/>
      <c r="Z157" s="88"/>
      <c r="AA157" s="88"/>
    </row>
    <row r="158">
      <c r="A158" s="88"/>
      <c r="B158" s="88"/>
      <c r="C158" s="88"/>
      <c r="D158" s="453"/>
      <c r="E158" s="88"/>
      <c r="F158" s="88"/>
      <c r="G158" s="88"/>
      <c r="H158" s="454"/>
      <c r="I158" s="455"/>
      <c r="J158" s="88"/>
      <c r="K158" s="88"/>
      <c r="L158" s="456"/>
      <c r="M158" s="88"/>
      <c r="N158" s="88"/>
      <c r="O158" s="88"/>
      <c r="P158" s="88"/>
      <c r="Q158" s="88"/>
      <c r="R158" s="88"/>
      <c r="S158" s="88"/>
      <c r="T158" s="88"/>
      <c r="U158" s="88"/>
      <c r="V158" s="88"/>
      <c r="W158" s="88"/>
      <c r="X158" s="88"/>
      <c r="Y158" s="88"/>
      <c r="Z158" s="88"/>
      <c r="AA158" s="88"/>
    </row>
    <row r="159">
      <c r="A159" s="88"/>
      <c r="B159" s="88"/>
      <c r="C159" s="88"/>
      <c r="D159" s="453"/>
      <c r="E159" s="88"/>
      <c r="F159" s="88"/>
      <c r="G159" s="88"/>
      <c r="H159" s="454"/>
      <c r="I159" s="455"/>
      <c r="J159" s="88"/>
      <c r="K159" s="88"/>
      <c r="L159" s="456"/>
      <c r="M159" s="88"/>
      <c r="N159" s="88"/>
      <c r="O159" s="88"/>
      <c r="P159" s="88"/>
      <c r="Q159" s="88"/>
      <c r="R159" s="88"/>
      <c r="S159" s="88"/>
      <c r="T159" s="88"/>
      <c r="U159" s="88"/>
      <c r="V159" s="88"/>
      <c r="W159" s="88"/>
      <c r="X159" s="88"/>
      <c r="Y159" s="88"/>
      <c r="Z159" s="88"/>
      <c r="AA159" s="88"/>
    </row>
    <row r="160">
      <c r="A160" s="88"/>
      <c r="B160" s="88"/>
      <c r="C160" s="88"/>
      <c r="D160" s="453"/>
      <c r="E160" s="88"/>
      <c r="F160" s="88"/>
      <c r="G160" s="88"/>
      <c r="H160" s="454"/>
      <c r="I160" s="455"/>
      <c r="J160" s="88"/>
      <c r="K160" s="88"/>
      <c r="L160" s="456"/>
      <c r="M160" s="88"/>
      <c r="N160" s="88"/>
      <c r="O160" s="88"/>
      <c r="P160" s="88"/>
      <c r="Q160" s="88"/>
      <c r="R160" s="88"/>
      <c r="S160" s="88"/>
      <c r="T160" s="88"/>
      <c r="U160" s="88"/>
      <c r="V160" s="88"/>
      <c r="W160" s="88"/>
      <c r="X160" s="88"/>
      <c r="Y160" s="88"/>
      <c r="Z160" s="88"/>
      <c r="AA160" s="88"/>
    </row>
    <row r="161">
      <c r="A161" s="88"/>
      <c r="B161" s="88"/>
      <c r="C161" s="88"/>
      <c r="D161" s="453"/>
      <c r="E161" s="88"/>
      <c r="F161" s="88"/>
      <c r="G161" s="88"/>
      <c r="H161" s="454"/>
      <c r="I161" s="455"/>
      <c r="J161" s="88"/>
      <c r="K161" s="88"/>
      <c r="L161" s="456"/>
      <c r="M161" s="88"/>
      <c r="N161" s="88"/>
      <c r="O161" s="88"/>
      <c r="P161" s="88"/>
      <c r="Q161" s="88"/>
      <c r="R161" s="88"/>
      <c r="S161" s="88"/>
      <c r="T161" s="88"/>
      <c r="U161" s="88"/>
      <c r="V161" s="88"/>
      <c r="W161" s="88"/>
      <c r="X161" s="88"/>
      <c r="Y161" s="88"/>
      <c r="Z161" s="88"/>
      <c r="AA161" s="88"/>
    </row>
    <row r="162">
      <c r="A162" s="88"/>
      <c r="B162" s="88"/>
      <c r="C162" s="88"/>
      <c r="D162" s="453"/>
      <c r="E162" s="88"/>
      <c r="F162" s="88"/>
      <c r="G162" s="88"/>
      <c r="H162" s="454"/>
      <c r="I162" s="455"/>
      <c r="J162" s="88"/>
      <c r="K162" s="88"/>
      <c r="L162" s="456"/>
      <c r="M162" s="88"/>
      <c r="N162" s="88"/>
      <c r="O162" s="88"/>
      <c r="P162" s="88"/>
      <c r="Q162" s="88"/>
      <c r="R162" s="88"/>
      <c r="S162" s="88"/>
      <c r="T162" s="88"/>
      <c r="U162" s="88"/>
      <c r="V162" s="88"/>
      <c r="W162" s="88"/>
      <c r="X162" s="88"/>
      <c r="Y162" s="88"/>
      <c r="Z162" s="88"/>
      <c r="AA162" s="88"/>
    </row>
    <row r="163">
      <c r="A163" s="88"/>
      <c r="B163" s="88"/>
      <c r="C163" s="88"/>
      <c r="D163" s="453"/>
      <c r="E163" s="88"/>
      <c r="F163" s="88"/>
      <c r="G163" s="88"/>
      <c r="H163" s="454"/>
      <c r="I163" s="455"/>
      <c r="J163" s="88"/>
      <c r="K163" s="88"/>
      <c r="L163" s="456"/>
      <c r="M163" s="88"/>
      <c r="N163" s="88"/>
      <c r="O163" s="88"/>
      <c r="P163" s="88"/>
      <c r="Q163" s="88"/>
      <c r="R163" s="88"/>
      <c r="S163" s="88"/>
      <c r="T163" s="88"/>
      <c r="U163" s="88"/>
      <c r="V163" s="88"/>
      <c r="W163" s="88"/>
      <c r="X163" s="88"/>
      <c r="Y163" s="88"/>
      <c r="Z163" s="88"/>
      <c r="AA163" s="88"/>
    </row>
    <row r="164">
      <c r="A164" s="88"/>
      <c r="B164" s="88"/>
      <c r="C164" s="88"/>
      <c r="D164" s="453"/>
      <c r="E164" s="88"/>
      <c r="F164" s="88"/>
      <c r="G164" s="88"/>
      <c r="H164" s="454"/>
      <c r="I164" s="455"/>
      <c r="J164" s="88"/>
      <c r="K164" s="88"/>
      <c r="L164" s="456"/>
      <c r="M164" s="88"/>
      <c r="N164" s="88"/>
      <c r="O164" s="88"/>
      <c r="P164" s="88"/>
      <c r="Q164" s="88"/>
      <c r="R164" s="88"/>
      <c r="S164" s="88"/>
      <c r="T164" s="88"/>
      <c r="U164" s="88"/>
      <c r="V164" s="88"/>
      <c r="W164" s="88"/>
      <c r="X164" s="88"/>
      <c r="Y164" s="88"/>
      <c r="Z164" s="88"/>
      <c r="AA164" s="88"/>
    </row>
    <row r="165">
      <c r="A165" s="88"/>
      <c r="B165" s="88"/>
      <c r="C165" s="88"/>
      <c r="D165" s="453"/>
      <c r="E165" s="88"/>
      <c r="F165" s="88"/>
      <c r="G165" s="88"/>
      <c r="H165" s="454"/>
      <c r="I165" s="455"/>
      <c r="J165" s="88"/>
      <c r="K165" s="88"/>
      <c r="L165" s="456"/>
      <c r="M165" s="88"/>
      <c r="N165" s="88"/>
      <c r="O165" s="88"/>
      <c r="P165" s="88"/>
      <c r="Q165" s="88"/>
      <c r="R165" s="88"/>
      <c r="S165" s="88"/>
      <c r="T165" s="88"/>
      <c r="U165" s="88"/>
      <c r="V165" s="88"/>
      <c r="W165" s="88"/>
      <c r="X165" s="88"/>
      <c r="Y165" s="88"/>
      <c r="Z165" s="88"/>
      <c r="AA165" s="88"/>
    </row>
    <row r="166">
      <c r="A166" s="88"/>
      <c r="B166" s="88"/>
      <c r="C166" s="88"/>
      <c r="D166" s="453"/>
      <c r="E166" s="88"/>
      <c r="F166" s="88"/>
      <c r="G166" s="88"/>
      <c r="H166" s="454"/>
      <c r="I166" s="455"/>
      <c r="J166" s="88"/>
      <c r="K166" s="88"/>
      <c r="L166" s="456"/>
      <c r="M166" s="88"/>
      <c r="N166" s="88"/>
      <c r="O166" s="88"/>
      <c r="P166" s="88"/>
      <c r="Q166" s="88"/>
      <c r="R166" s="88"/>
      <c r="S166" s="88"/>
      <c r="T166" s="88"/>
      <c r="U166" s="88"/>
      <c r="V166" s="88"/>
      <c r="W166" s="88"/>
      <c r="X166" s="88"/>
      <c r="Y166" s="88"/>
      <c r="Z166" s="88"/>
      <c r="AA166" s="88"/>
    </row>
    <row r="167">
      <c r="A167" s="88"/>
      <c r="B167" s="88"/>
      <c r="C167" s="88"/>
      <c r="D167" s="453"/>
      <c r="E167" s="88"/>
      <c r="F167" s="88"/>
      <c r="G167" s="88"/>
      <c r="H167" s="454"/>
      <c r="I167" s="455"/>
      <c r="J167" s="88"/>
      <c r="K167" s="88"/>
      <c r="L167" s="456"/>
      <c r="M167" s="88"/>
      <c r="N167" s="88"/>
      <c r="O167" s="88"/>
      <c r="P167" s="88"/>
      <c r="Q167" s="88"/>
      <c r="R167" s="88"/>
      <c r="S167" s="88"/>
      <c r="T167" s="88"/>
      <c r="U167" s="88"/>
      <c r="V167" s="88"/>
      <c r="W167" s="88"/>
      <c r="X167" s="88"/>
      <c r="Y167" s="88"/>
      <c r="Z167" s="88"/>
      <c r="AA167" s="88"/>
    </row>
    <row r="168">
      <c r="A168" s="88"/>
      <c r="B168" s="88"/>
      <c r="C168" s="88"/>
      <c r="D168" s="453"/>
      <c r="E168" s="88"/>
      <c r="F168" s="88"/>
      <c r="G168" s="88"/>
      <c r="H168" s="454"/>
      <c r="I168" s="455"/>
      <c r="J168" s="88"/>
      <c r="K168" s="88"/>
      <c r="L168" s="456"/>
      <c r="M168" s="88"/>
      <c r="N168" s="88"/>
      <c r="O168" s="88"/>
      <c r="P168" s="88"/>
      <c r="Q168" s="88"/>
      <c r="R168" s="88"/>
      <c r="S168" s="88"/>
      <c r="T168" s="88"/>
      <c r="U168" s="88"/>
      <c r="V168" s="88"/>
      <c r="W168" s="88"/>
      <c r="X168" s="88"/>
      <c r="Y168" s="88"/>
      <c r="Z168" s="88"/>
      <c r="AA168" s="88"/>
    </row>
    <row r="169">
      <c r="A169" s="88"/>
      <c r="B169" s="88"/>
      <c r="C169" s="88"/>
      <c r="D169" s="453"/>
      <c r="E169" s="88"/>
      <c r="F169" s="88"/>
      <c r="G169" s="88"/>
      <c r="H169" s="454"/>
      <c r="I169" s="455"/>
      <c r="J169" s="88"/>
      <c r="K169" s="88"/>
      <c r="L169" s="456"/>
      <c r="M169" s="88"/>
      <c r="N169" s="88"/>
      <c r="O169" s="88"/>
      <c r="P169" s="88"/>
      <c r="Q169" s="88"/>
      <c r="R169" s="88"/>
      <c r="S169" s="88"/>
      <c r="T169" s="88"/>
      <c r="U169" s="88"/>
      <c r="V169" s="88"/>
      <c r="W169" s="88"/>
      <c r="X169" s="88"/>
      <c r="Y169" s="88"/>
      <c r="Z169" s="88"/>
      <c r="AA169" s="88"/>
    </row>
    <row r="170">
      <c r="A170" s="88"/>
      <c r="B170" s="88"/>
      <c r="C170" s="88"/>
      <c r="D170" s="453"/>
      <c r="E170" s="88"/>
      <c r="F170" s="88"/>
      <c r="G170" s="88"/>
      <c r="H170" s="454"/>
      <c r="I170" s="455"/>
      <c r="J170" s="88"/>
      <c r="K170" s="88"/>
      <c r="L170" s="456"/>
      <c r="M170" s="88"/>
      <c r="N170" s="88"/>
      <c r="O170" s="88"/>
      <c r="P170" s="88"/>
      <c r="Q170" s="88"/>
      <c r="R170" s="88"/>
      <c r="S170" s="88"/>
      <c r="T170" s="88"/>
      <c r="U170" s="88"/>
      <c r="V170" s="88"/>
      <c r="W170" s="88"/>
      <c r="X170" s="88"/>
      <c r="Y170" s="88"/>
      <c r="Z170" s="88"/>
      <c r="AA170" s="88"/>
    </row>
    <row r="171">
      <c r="A171" s="88"/>
      <c r="B171" s="88"/>
      <c r="C171" s="88"/>
      <c r="D171" s="453"/>
      <c r="E171" s="88"/>
      <c r="F171" s="88"/>
      <c r="G171" s="88"/>
      <c r="H171" s="454"/>
      <c r="I171" s="455"/>
      <c r="J171" s="88"/>
      <c r="K171" s="88"/>
      <c r="L171" s="456"/>
      <c r="M171" s="88"/>
      <c r="N171" s="88"/>
      <c r="O171" s="88"/>
      <c r="P171" s="88"/>
      <c r="Q171" s="88"/>
      <c r="R171" s="88"/>
      <c r="S171" s="88"/>
      <c r="T171" s="88"/>
      <c r="U171" s="88"/>
      <c r="V171" s="88"/>
      <c r="W171" s="88"/>
      <c r="X171" s="88"/>
      <c r="Y171" s="88"/>
      <c r="Z171" s="88"/>
      <c r="AA171" s="88"/>
    </row>
    <row r="172">
      <c r="A172" s="88"/>
      <c r="B172" s="88"/>
      <c r="C172" s="88"/>
      <c r="D172" s="453"/>
      <c r="E172" s="88"/>
      <c r="F172" s="88"/>
      <c r="G172" s="88"/>
      <c r="H172" s="454"/>
      <c r="I172" s="455"/>
      <c r="J172" s="88"/>
      <c r="K172" s="88"/>
      <c r="L172" s="456"/>
      <c r="M172" s="88"/>
      <c r="N172" s="88"/>
      <c r="O172" s="88"/>
      <c r="P172" s="88"/>
      <c r="Q172" s="88"/>
      <c r="R172" s="88"/>
      <c r="S172" s="88"/>
      <c r="T172" s="88"/>
      <c r="U172" s="88"/>
      <c r="V172" s="88"/>
      <c r="W172" s="88"/>
      <c r="X172" s="88"/>
      <c r="Y172" s="88"/>
      <c r="Z172" s="88"/>
      <c r="AA172" s="88"/>
    </row>
    <row r="173">
      <c r="A173" s="88"/>
      <c r="B173" s="88"/>
      <c r="C173" s="88"/>
      <c r="D173" s="453"/>
      <c r="E173" s="88"/>
      <c r="F173" s="88"/>
      <c r="G173" s="88"/>
      <c r="H173" s="454"/>
      <c r="I173" s="455"/>
      <c r="J173" s="88"/>
      <c r="K173" s="88"/>
      <c r="L173" s="456"/>
      <c r="M173" s="88"/>
      <c r="N173" s="88"/>
      <c r="O173" s="88"/>
      <c r="P173" s="88"/>
      <c r="Q173" s="88"/>
      <c r="R173" s="88"/>
      <c r="S173" s="88"/>
      <c r="T173" s="88"/>
      <c r="U173" s="88"/>
      <c r="V173" s="88"/>
      <c r="W173" s="88"/>
      <c r="X173" s="88"/>
      <c r="Y173" s="88"/>
      <c r="Z173" s="88"/>
      <c r="AA173" s="88"/>
    </row>
    <row r="174">
      <c r="A174" s="88"/>
      <c r="B174" s="88"/>
      <c r="C174" s="88"/>
      <c r="D174" s="453"/>
      <c r="E174" s="88"/>
      <c r="F174" s="88"/>
      <c r="G174" s="88"/>
      <c r="H174" s="454"/>
      <c r="I174" s="455"/>
      <c r="J174" s="88"/>
      <c r="K174" s="88"/>
      <c r="L174" s="456"/>
      <c r="M174" s="88"/>
      <c r="N174" s="88"/>
      <c r="O174" s="88"/>
      <c r="P174" s="88"/>
      <c r="Q174" s="88"/>
      <c r="R174" s="88"/>
      <c r="S174" s="88"/>
      <c r="T174" s="88"/>
      <c r="U174" s="88"/>
      <c r="V174" s="88"/>
      <c r="W174" s="88"/>
      <c r="X174" s="88"/>
      <c r="Y174" s="88"/>
      <c r="Z174" s="88"/>
      <c r="AA174" s="88"/>
    </row>
    <row r="175">
      <c r="A175" s="88"/>
      <c r="B175" s="88"/>
      <c r="C175" s="88"/>
      <c r="D175" s="453"/>
      <c r="E175" s="88"/>
      <c r="F175" s="88"/>
      <c r="G175" s="88"/>
      <c r="H175" s="454"/>
      <c r="I175" s="455"/>
      <c r="J175" s="88"/>
      <c r="K175" s="88"/>
      <c r="L175" s="456"/>
      <c r="M175" s="88"/>
      <c r="N175" s="88"/>
      <c r="O175" s="88"/>
      <c r="P175" s="88"/>
      <c r="Q175" s="88"/>
      <c r="R175" s="88"/>
      <c r="S175" s="88"/>
      <c r="T175" s="88"/>
      <c r="U175" s="88"/>
      <c r="V175" s="88"/>
      <c r="W175" s="88"/>
      <c r="X175" s="88"/>
      <c r="Y175" s="88"/>
      <c r="Z175" s="88"/>
      <c r="AA175" s="88"/>
    </row>
    <row r="176">
      <c r="A176" s="88"/>
      <c r="B176" s="88"/>
      <c r="C176" s="88"/>
      <c r="D176" s="453"/>
      <c r="E176" s="88"/>
      <c r="F176" s="88"/>
      <c r="G176" s="88"/>
      <c r="H176" s="454"/>
      <c r="I176" s="455"/>
      <c r="J176" s="88"/>
      <c r="K176" s="88"/>
      <c r="L176" s="456"/>
      <c r="M176" s="88"/>
      <c r="N176" s="88"/>
      <c r="O176" s="88"/>
      <c r="P176" s="88"/>
      <c r="Q176" s="88"/>
      <c r="R176" s="88"/>
      <c r="S176" s="88"/>
      <c r="T176" s="88"/>
      <c r="U176" s="88"/>
      <c r="V176" s="88"/>
      <c r="W176" s="88"/>
      <c r="X176" s="88"/>
      <c r="Y176" s="88"/>
      <c r="Z176" s="88"/>
      <c r="AA176" s="88"/>
    </row>
    <row r="177">
      <c r="A177" s="88"/>
      <c r="B177" s="88"/>
      <c r="C177" s="88"/>
      <c r="D177" s="453"/>
      <c r="E177" s="88"/>
      <c r="F177" s="88"/>
      <c r="G177" s="88"/>
      <c r="H177" s="454"/>
      <c r="I177" s="455"/>
      <c r="J177" s="88"/>
      <c r="K177" s="88"/>
      <c r="L177" s="456"/>
      <c r="M177" s="88"/>
      <c r="N177" s="88"/>
      <c r="O177" s="88"/>
      <c r="P177" s="88"/>
      <c r="Q177" s="88"/>
      <c r="R177" s="88"/>
      <c r="S177" s="88"/>
      <c r="T177" s="88"/>
      <c r="U177" s="88"/>
      <c r="V177" s="88"/>
      <c r="W177" s="88"/>
      <c r="X177" s="88"/>
      <c r="Y177" s="88"/>
      <c r="Z177" s="88"/>
      <c r="AA177" s="88"/>
    </row>
    <row r="178">
      <c r="A178" s="88"/>
      <c r="B178" s="88"/>
      <c r="C178" s="88"/>
      <c r="D178" s="453"/>
      <c r="E178" s="88"/>
      <c r="F178" s="88"/>
      <c r="G178" s="88"/>
      <c r="H178" s="454"/>
      <c r="I178" s="455"/>
      <c r="J178" s="88"/>
      <c r="K178" s="88"/>
      <c r="L178" s="456"/>
      <c r="M178" s="88"/>
      <c r="N178" s="88"/>
      <c r="O178" s="88"/>
      <c r="P178" s="88"/>
      <c r="Q178" s="88"/>
      <c r="R178" s="88"/>
      <c r="S178" s="88"/>
      <c r="T178" s="88"/>
      <c r="U178" s="88"/>
      <c r="V178" s="88"/>
      <c r="W178" s="88"/>
      <c r="X178" s="88"/>
      <c r="Y178" s="88"/>
      <c r="Z178" s="88"/>
      <c r="AA178" s="88"/>
    </row>
    <row r="179">
      <c r="A179" s="88"/>
      <c r="B179" s="88"/>
      <c r="C179" s="88"/>
      <c r="D179" s="453"/>
      <c r="E179" s="88"/>
      <c r="F179" s="88"/>
      <c r="G179" s="88"/>
      <c r="H179" s="454"/>
      <c r="I179" s="455"/>
      <c r="J179" s="88"/>
      <c r="K179" s="88"/>
      <c r="L179" s="456"/>
      <c r="M179" s="88"/>
      <c r="N179" s="88"/>
      <c r="O179" s="88"/>
      <c r="P179" s="88"/>
      <c r="Q179" s="88"/>
      <c r="R179" s="88"/>
      <c r="S179" s="88"/>
      <c r="T179" s="88"/>
      <c r="U179" s="88"/>
      <c r="V179" s="88"/>
      <c r="W179" s="88"/>
      <c r="X179" s="88"/>
      <c r="Y179" s="88"/>
      <c r="Z179" s="88"/>
      <c r="AA179" s="88"/>
    </row>
    <row r="180">
      <c r="A180" s="88"/>
      <c r="B180" s="88"/>
      <c r="C180" s="88"/>
      <c r="D180" s="453"/>
      <c r="E180" s="88"/>
      <c r="F180" s="88"/>
      <c r="G180" s="88"/>
      <c r="H180" s="454"/>
      <c r="I180" s="455"/>
      <c r="J180" s="88"/>
      <c r="K180" s="88"/>
      <c r="L180" s="456"/>
      <c r="M180" s="88"/>
      <c r="N180" s="88"/>
      <c r="O180" s="88"/>
      <c r="P180" s="88"/>
      <c r="Q180" s="88"/>
      <c r="R180" s="88"/>
      <c r="S180" s="88"/>
      <c r="T180" s="88"/>
      <c r="U180" s="88"/>
      <c r="V180" s="88"/>
      <c r="W180" s="88"/>
      <c r="X180" s="88"/>
      <c r="Y180" s="88"/>
      <c r="Z180" s="88"/>
      <c r="AA180" s="88"/>
    </row>
    <row r="181">
      <c r="A181" s="88"/>
      <c r="B181" s="88"/>
      <c r="C181" s="88"/>
      <c r="D181" s="453"/>
      <c r="E181" s="88"/>
      <c r="F181" s="88"/>
      <c r="G181" s="88"/>
      <c r="H181" s="454"/>
      <c r="I181" s="455"/>
      <c r="J181" s="88"/>
      <c r="K181" s="88"/>
      <c r="L181" s="456"/>
      <c r="M181" s="88"/>
      <c r="N181" s="88"/>
      <c r="O181" s="88"/>
      <c r="P181" s="88"/>
      <c r="Q181" s="88"/>
      <c r="R181" s="88"/>
      <c r="S181" s="88"/>
      <c r="T181" s="88"/>
      <c r="U181" s="88"/>
      <c r="V181" s="88"/>
      <c r="W181" s="88"/>
      <c r="X181" s="88"/>
      <c r="Y181" s="88"/>
      <c r="Z181" s="88"/>
      <c r="AA181" s="88"/>
    </row>
    <row r="182">
      <c r="A182" s="88"/>
      <c r="B182" s="88"/>
      <c r="C182" s="88"/>
      <c r="D182" s="453"/>
      <c r="E182" s="88"/>
      <c r="F182" s="88"/>
      <c r="G182" s="88"/>
      <c r="H182" s="454"/>
      <c r="I182" s="455"/>
      <c r="J182" s="88"/>
      <c r="K182" s="88"/>
      <c r="L182" s="456"/>
      <c r="M182" s="88"/>
      <c r="N182" s="88"/>
      <c r="O182" s="88"/>
      <c r="P182" s="88"/>
      <c r="Q182" s="88"/>
      <c r="R182" s="88"/>
      <c r="S182" s="88"/>
      <c r="T182" s="88"/>
      <c r="U182" s="88"/>
      <c r="V182" s="88"/>
      <c r="W182" s="88"/>
      <c r="X182" s="88"/>
      <c r="Y182" s="88"/>
      <c r="Z182" s="88"/>
      <c r="AA182" s="88"/>
    </row>
    <row r="183">
      <c r="A183" s="88"/>
      <c r="B183" s="88"/>
      <c r="C183" s="88"/>
      <c r="D183" s="453"/>
      <c r="E183" s="88"/>
      <c r="F183" s="88"/>
      <c r="G183" s="88"/>
      <c r="H183" s="454"/>
      <c r="I183" s="455"/>
      <c r="J183" s="88"/>
      <c r="K183" s="88"/>
      <c r="L183" s="456"/>
      <c r="M183" s="88"/>
      <c r="N183" s="88"/>
      <c r="O183" s="88"/>
      <c r="P183" s="88"/>
      <c r="Q183" s="88"/>
      <c r="R183" s="88"/>
      <c r="S183" s="88"/>
      <c r="T183" s="88"/>
      <c r="U183" s="88"/>
      <c r="V183" s="88"/>
      <c r="W183" s="88"/>
      <c r="X183" s="88"/>
      <c r="Y183" s="88"/>
      <c r="Z183" s="88"/>
      <c r="AA183" s="88"/>
    </row>
    <row r="184">
      <c r="A184" s="88"/>
      <c r="B184" s="88"/>
      <c r="C184" s="88"/>
      <c r="D184" s="453"/>
      <c r="E184" s="88"/>
      <c r="F184" s="88"/>
      <c r="G184" s="88"/>
      <c r="H184" s="454"/>
      <c r="I184" s="455"/>
      <c r="J184" s="88"/>
      <c r="K184" s="88"/>
      <c r="L184" s="456"/>
      <c r="M184" s="88"/>
      <c r="N184" s="88"/>
      <c r="O184" s="88"/>
      <c r="P184" s="88"/>
      <c r="Q184" s="88"/>
      <c r="R184" s="88"/>
      <c r="S184" s="88"/>
      <c r="T184" s="88"/>
      <c r="U184" s="88"/>
      <c r="V184" s="88"/>
      <c r="W184" s="88"/>
      <c r="X184" s="88"/>
      <c r="Y184" s="88"/>
      <c r="Z184" s="88"/>
      <c r="AA184" s="88"/>
    </row>
    <row r="185">
      <c r="A185" s="88"/>
      <c r="B185" s="88"/>
      <c r="C185" s="88"/>
      <c r="D185" s="453"/>
      <c r="E185" s="88"/>
      <c r="F185" s="88"/>
      <c r="G185" s="88"/>
      <c r="H185" s="454"/>
      <c r="I185" s="455"/>
      <c r="J185" s="88"/>
      <c r="K185" s="88"/>
      <c r="L185" s="456"/>
      <c r="M185" s="88"/>
      <c r="N185" s="88"/>
      <c r="O185" s="88"/>
      <c r="P185" s="88"/>
      <c r="Q185" s="88"/>
      <c r="R185" s="88"/>
      <c r="S185" s="88"/>
      <c r="T185" s="88"/>
      <c r="U185" s="88"/>
      <c r="V185" s="88"/>
      <c r="W185" s="88"/>
      <c r="X185" s="88"/>
      <c r="Y185" s="88"/>
      <c r="Z185" s="88"/>
      <c r="AA185" s="88"/>
    </row>
    <row r="186">
      <c r="A186" s="88"/>
      <c r="B186" s="88"/>
      <c r="C186" s="88"/>
      <c r="D186" s="453"/>
      <c r="E186" s="88"/>
      <c r="F186" s="88"/>
      <c r="G186" s="88"/>
      <c r="H186" s="454"/>
      <c r="I186" s="455"/>
      <c r="J186" s="88"/>
      <c r="K186" s="88"/>
      <c r="L186" s="456"/>
      <c r="M186" s="88"/>
      <c r="N186" s="88"/>
      <c r="O186" s="88"/>
      <c r="P186" s="88"/>
      <c r="Q186" s="88"/>
      <c r="R186" s="88"/>
      <c r="S186" s="88"/>
      <c r="T186" s="88"/>
      <c r="U186" s="88"/>
      <c r="V186" s="88"/>
      <c r="W186" s="88"/>
      <c r="X186" s="88"/>
      <c r="Y186" s="88"/>
      <c r="Z186" s="88"/>
      <c r="AA186" s="88"/>
    </row>
    <row r="187">
      <c r="A187" s="88"/>
      <c r="B187" s="88"/>
      <c r="C187" s="88"/>
      <c r="D187" s="453"/>
      <c r="E187" s="88"/>
      <c r="F187" s="88"/>
      <c r="G187" s="88"/>
      <c r="H187" s="454"/>
      <c r="I187" s="455"/>
      <c r="J187" s="88"/>
      <c r="K187" s="88"/>
      <c r="L187" s="456"/>
      <c r="M187" s="88"/>
      <c r="N187" s="88"/>
      <c r="O187" s="88"/>
      <c r="P187" s="88"/>
      <c r="Q187" s="88"/>
      <c r="R187" s="88"/>
      <c r="S187" s="88"/>
      <c r="T187" s="88"/>
      <c r="U187" s="88"/>
      <c r="V187" s="88"/>
      <c r="W187" s="88"/>
      <c r="X187" s="88"/>
      <c r="Y187" s="88"/>
      <c r="Z187" s="88"/>
      <c r="AA187" s="88"/>
    </row>
    <row r="188">
      <c r="A188" s="88"/>
      <c r="B188" s="88"/>
      <c r="C188" s="88"/>
      <c r="D188" s="453"/>
      <c r="E188" s="88"/>
      <c r="F188" s="88"/>
      <c r="G188" s="88"/>
      <c r="H188" s="454"/>
      <c r="I188" s="455"/>
      <c r="J188" s="88"/>
      <c r="K188" s="88"/>
      <c r="L188" s="456"/>
      <c r="M188" s="88"/>
      <c r="N188" s="88"/>
      <c r="O188" s="88"/>
      <c r="P188" s="88"/>
      <c r="Q188" s="88"/>
      <c r="R188" s="88"/>
      <c r="S188" s="88"/>
      <c r="T188" s="88"/>
      <c r="U188" s="88"/>
      <c r="V188" s="88"/>
      <c r="W188" s="88"/>
      <c r="X188" s="88"/>
      <c r="Y188" s="88"/>
      <c r="Z188" s="88"/>
      <c r="AA188" s="88"/>
    </row>
    <row r="189">
      <c r="A189" s="88"/>
      <c r="B189" s="88"/>
      <c r="C189" s="88"/>
      <c r="D189" s="453"/>
      <c r="E189" s="88"/>
      <c r="F189" s="88"/>
      <c r="G189" s="88"/>
      <c r="H189" s="454"/>
      <c r="I189" s="455"/>
      <c r="J189" s="88"/>
      <c r="K189" s="88"/>
      <c r="L189" s="456"/>
      <c r="M189" s="88"/>
      <c r="N189" s="88"/>
      <c r="O189" s="88"/>
      <c r="P189" s="88"/>
      <c r="Q189" s="88"/>
      <c r="R189" s="88"/>
      <c r="S189" s="88"/>
      <c r="T189" s="88"/>
      <c r="U189" s="88"/>
      <c r="V189" s="88"/>
      <c r="W189" s="88"/>
      <c r="X189" s="88"/>
      <c r="Y189" s="88"/>
      <c r="Z189" s="88"/>
      <c r="AA189" s="88"/>
    </row>
    <row r="190">
      <c r="A190" s="88"/>
      <c r="B190" s="88"/>
      <c r="C190" s="88"/>
      <c r="D190" s="453"/>
      <c r="E190" s="88"/>
      <c r="F190" s="88"/>
      <c r="G190" s="88"/>
      <c r="H190" s="454"/>
      <c r="I190" s="455"/>
      <c r="J190" s="88"/>
      <c r="K190" s="88"/>
      <c r="L190" s="456"/>
      <c r="M190" s="88"/>
      <c r="N190" s="88"/>
      <c r="O190" s="88"/>
      <c r="P190" s="88"/>
      <c r="Q190" s="88"/>
      <c r="R190" s="88"/>
      <c r="S190" s="88"/>
      <c r="T190" s="88"/>
      <c r="U190" s="88"/>
      <c r="V190" s="88"/>
      <c r="W190" s="88"/>
      <c r="X190" s="88"/>
      <c r="Y190" s="88"/>
      <c r="Z190" s="88"/>
      <c r="AA190" s="88"/>
    </row>
    <row r="191">
      <c r="A191" s="88"/>
      <c r="B191" s="88"/>
      <c r="C191" s="88"/>
      <c r="D191" s="453"/>
      <c r="E191" s="88"/>
      <c r="F191" s="88"/>
      <c r="G191" s="88"/>
      <c r="H191" s="454"/>
      <c r="I191" s="455"/>
      <c r="J191" s="88"/>
      <c r="K191" s="88"/>
      <c r="L191" s="456"/>
      <c r="M191" s="88"/>
      <c r="N191" s="88"/>
      <c r="O191" s="88"/>
      <c r="P191" s="88"/>
      <c r="Q191" s="88"/>
      <c r="R191" s="88"/>
      <c r="S191" s="88"/>
      <c r="T191" s="88"/>
      <c r="U191" s="88"/>
      <c r="V191" s="88"/>
      <c r="W191" s="88"/>
      <c r="X191" s="88"/>
      <c r="Y191" s="88"/>
      <c r="Z191" s="88"/>
      <c r="AA191" s="88"/>
    </row>
    <row r="192">
      <c r="A192" s="88"/>
      <c r="B192" s="88"/>
      <c r="C192" s="88"/>
      <c r="D192" s="453"/>
      <c r="E192" s="88"/>
      <c r="F192" s="88"/>
      <c r="G192" s="88"/>
      <c r="H192" s="454"/>
      <c r="I192" s="455"/>
      <c r="J192" s="88"/>
      <c r="K192" s="88"/>
      <c r="L192" s="456"/>
      <c r="M192" s="88"/>
      <c r="N192" s="88"/>
      <c r="O192" s="88"/>
      <c r="P192" s="88"/>
      <c r="Q192" s="88"/>
      <c r="R192" s="88"/>
      <c r="S192" s="88"/>
      <c r="T192" s="88"/>
      <c r="U192" s="88"/>
      <c r="V192" s="88"/>
      <c r="W192" s="88"/>
      <c r="X192" s="88"/>
      <c r="Y192" s="88"/>
      <c r="Z192" s="88"/>
      <c r="AA192" s="88"/>
    </row>
    <row r="193">
      <c r="A193" s="88"/>
      <c r="B193" s="88"/>
      <c r="C193" s="88"/>
      <c r="D193" s="453"/>
      <c r="E193" s="88"/>
      <c r="F193" s="88"/>
      <c r="G193" s="88"/>
      <c r="H193" s="454"/>
      <c r="I193" s="455"/>
      <c r="J193" s="88"/>
      <c r="K193" s="88"/>
      <c r="L193" s="456"/>
      <c r="M193" s="88"/>
      <c r="N193" s="88"/>
      <c r="O193" s="88"/>
      <c r="P193" s="88"/>
      <c r="Q193" s="88"/>
      <c r="R193" s="88"/>
      <c r="S193" s="88"/>
      <c r="T193" s="88"/>
      <c r="U193" s="88"/>
      <c r="V193" s="88"/>
      <c r="W193" s="88"/>
      <c r="X193" s="88"/>
      <c r="Y193" s="88"/>
      <c r="Z193" s="88"/>
      <c r="AA193" s="88"/>
    </row>
    <row r="194">
      <c r="A194" s="88"/>
      <c r="B194" s="88"/>
      <c r="C194" s="88"/>
      <c r="D194" s="453"/>
      <c r="E194" s="88"/>
      <c r="F194" s="88"/>
      <c r="G194" s="88"/>
      <c r="H194" s="454"/>
      <c r="I194" s="455"/>
      <c r="J194" s="88"/>
      <c r="K194" s="88"/>
      <c r="L194" s="456"/>
      <c r="M194" s="88"/>
      <c r="N194" s="88"/>
      <c r="O194" s="88"/>
      <c r="P194" s="88"/>
      <c r="Q194" s="88"/>
      <c r="R194" s="88"/>
      <c r="S194" s="88"/>
      <c r="T194" s="88"/>
      <c r="U194" s="88"/>
      <c r="V194" s="88"/>
      <c r="W194" s="88"/>
      <c r="X194" s="88"/>
      <c r="Y194" s="88"/>
      <c r="Z194" s="88"/>
      <c r="AA194" s="88"/>
    </row>
    <row r="195">
      <c r="A195" s="88"/>
      <c r="B195" s="88"/>
      <c r="C195" s="88"/>
      <c r="D195" s="453"/>
      <c r="E195" s="88"/>
      <c r="F195" s="88"/>
      <c r="G195" s="88"/>
      <c r="H195" s="454"/>
      <c r="I195" s="455"/>
      <c r="J195" s="88"/>
      <c r="K195" s="88"/>
      <c r="L195" s="456"/>
      <c r="M195" s="88"/>
      <c r="N195" s="88"/>
      <c r="O195" s="88"/>
      <c r="P195" s="88"/>
      <c r="Q195" s="88"/>
      <c r="R195" s="88"/>
      <c r="S195" s="88"/>
      <c r="T195" s="88"/>
      <c r="U195" s="88"/>
      <c r="V195" s="88"/>
      <c r="W195" s="88"/>
      <c r="X195" s="88"/>
      <c r="Y195" s="88"/>
      <c r="Z195" s="88"/>
      <c r="AA195" s="88"/>
    </row>
    <row r="196">
      <c r="A196" s="88"/>
      <c r="B196" s="88"/>
      <c r="C196" s="88"/>
      <c r="D196" s="453"/>
      <c r="E196" s="88"/>
      <c r="F196" s="88"/>
      <c r="G196" s="88"/>
      <c r="H196" s="454"/>
      <c r="I196" s="455"/>
      <c r="J196" s="88"/>
      <c r="K196" s="88"/>
      <c r="L196" s="456"/>
      <c r="M196" s="88"/>
      <c r="N196" s="88"/>
      <c r="O196" s="88"/>
      <c r="P196" s="88"/>
      <c r="Q196" s="88"/>
      <c r="R196" s="88"/>
      <c r="S196" s="88"/>
      <c r="T196" s="88"/>
      <c r="U196" s="88"/>
      <c r="V196" s="88"/>
      <c r="W196" s="88"/>
      <c r="X196" s="88"/>
      <c r="Y196" s="88"/>
      <c r="Z196" s="88"/>
      <c r="AA196" s="88"/>
    </row>
    <row r="197">
      <c r="A197" s="88"/>
      <c r="B197" s="88"/>
      <c r="C197" s="88"/>
      <c r="D197" s="453"/>
      <c r="E197" s="88"/>
      <c r="F197" s="88"/>
      <c r="G197" s="88"/>
      <c r="H197" s="454"/>
      <c r="I197" s="455"/>
      <c r="J197" s="88"/>
      <c r="K197" s="88"/>
      <c r="L197" s="456"/>
      <c r="M197" s="88"/>
      <c r="N197" s="88"/>
      <c r="O197" s="88"/>
      <c r="P197" s="88"/>
      <c r="Q197" s="88"/>
      <c r="R197" s="88"/>
      <c r="S197" s="88"/>
      <c r="T197" s="88"/>
      <c r="U197" s="88"/>
      <c r="V197" s="88"/>
      <c r="W197" s="88"/>
      <c r="X197" s="88"/>
      <c r="Y197" s="88"/>
      <c r="Z197" s="88"/>
      <c r="AA197" s="88"/>
    </row>
    <row r="198">
      <c r="A198" s="88"/>
      <c r="B198" s="88"/>
      <c r="C198" s="88"/>
      <c r="D198" s="453"/>
      <c r="E198" s="88"/>
      <c r="F198" s="88"/>
      <c r="G198" s="88"/>
      <c r="H198" s="454"/>
      <c r="I198" s="455"/>
      <c r="J198" s="88"/>
      <c r="K198" s="88"/>
      <c r="L198" s="456"/>
      <c r="M198" s="88"/>
      <c r="N198" s="88"/>
      <c r="O198" s="88"/>
      <c r="P198" s="88"/>
      <c r="Q198" s="88"/>
      <c r="R198" s="88"/>
      <c r="S198" s="88"/>
      <c r="T198" s="88"/>
      <c r="U198" s="88"/>
      <c r="V198" s="88"/>
      <c r="W198" s="88"/>
      <c r="X198" s="88"/>
      <c r="Y198" s="88"/>
      <c r="Z198" s="88"/>
      <c r="AA198" s="88"/>
    </row>
    <row r="199">
      <c r="A199" s="88"/>
      <c r="B199" s="88"/>
      <c r="C199" s="88"/>
      <c r="D199" s="453"/>
      <c r="E199" s="88"/>
      <c r="F199" s="88"/>
      <c r="G199" s="88"/>
      <c r="H199" s="454"/>
      <c r="I199" s="455"/>
      <c r="J199" s="88"/>
      <c r="K199" s="88"/>
      <c r="L199" s="456"/>
      <c r="M199" s="88"/>
      <c r="N199" s="88"/>
      <c r="O199" s="88"/>
      <c r="P199" s="88"/>
      <c r="Q199" s="88"/>
      <c r="R199" s="88"/>
      <c r="S199" s="88"/>
      <c r="T199" s="88"/>
      <c r="U199" s="88"/>
      <c r="V199" s="88"/>
      <c r="W199" s="88"/>
      <c r="X199" s="88"/>
      <c r="Y199" s="88"/>
      <c r="Z199" s="88"/>
      <c r="AA199" s="88"/>
    </row>
    <row r="200">
      <c r="A200" s="88"/>
      <c r="B200" s="88"/>
      <c r="C200" s="88"/>
      <c r="D200" s="453"/>
      <c r="E200" s="88"/>
      <c r="F200" s="88"/>
      <c r="G200" s="88"/>
      <c r="H200" s="454"/>
      <c r="I200" s="455"/>
      <c r="J200" s="88"/>
      <c r="K200" s="88"/>
      <c r="L200" s="456"/>
      <c r="M200" s="88"/>
      <c r="N200" s="88"/>
      <c r="O200" s="88"/>
      <c r="P200" s="88"/>
      <c r="Q200" s="88"/>
      <c r="R200" s="88"/>
      <c r="S200" s="88"/>
      <c r="T200" s="88"/>
      <c r="U200" s="88"/>
      <c r="V200" s="88"/>
      <c r="W200" s="88"/>
      <c r="X200" s="88"/>
      <c r="Y200" s="88"/>
      <c r="Z200" s="88"/>
      <c r="AA200" s="88"/>
    </row>
    <row r="201">
      <c r="A201" s="88"/>
      <c r="B201" s="88"/>
      <c r="C201" s="88"/>
      <c r="D201" s="453"/>
      <c r="E201" s="88"/>
      <c r="F201" s="88"/>
      <c r="G201" s="88"/>
      <c r="H201" s="454"/>
      <c r="I201" s="455"/>
      <c r="J201" s="88"/>
      <c r="K201" s="88"/>
      <c r="L201" s="456"/>
      <c r="M201" s="88"/>
      <c r="N201" s="88"/>
      <c r="O201" s="88"/>
      <c r="P201" s="88"/>
      <c r="Q201" s="88"/>
      <c r="R201" s="88"/>
      <c r="S201" s="88"/>
      <c r="T201" s="88"/>
      <c r="U201" s="88"/>
      <c r="V201" s="88"/>
      <c r="W201" s="88"/>
      <c r="X201" s="88"/>
      <c r="Y201" s="88"/>
      <c r="Z201" s="88"/>
      <c r="AA201" s="88"/>
    </row>
    <row r="202">
      <c r="A202" s="88"/>
      <c r="B202" s="88"/>
      <c r="C202" s="88"/>
      <c r="D202" s="453"/>
      <c r="E202" s="88"/>
      <c r="F202" s="88"/>
      <c r="G202" s="88"/>
      <c r="H202" s="454"/>
      <c r="I202" s="455"/>
      <c r="J202" s="88"/>
      <c r="K202" s="88"/>
      <c r="L202" s="456"/>
      <c r="M202" s="88"/>
      <c r="N202" s="88"/>
      <c r="O202" s="88"/>
      <c r="P202" s="88"/>
      <c r="Q202" s="88"/>
      <c r="R202" s="88"/>
      <c r="S202" s="88"/>
      <c r="T202" s="88"/>
      <c r="U202" s="88"/>
      <c r="V202" s="88"/>
      <c r="W202" s="88"/>
      <c r="X202" s="88"/>
      <c r="Y202" s="88"/>
      <c r="Z202" s="88"/>
      <c r="AA202" s="88"/>
    </row>
    <row r="203">
      <c r="A203" s="88"/>
      <c r="B203" s="88"/>
      <c r="C203" s="88"/>
      <c r="D203" s="453"/>
      <c r="E203" s="88"/>
      <c r="F203" s="88"/>
      <c r="G203" s="88"/>
      <c r="H203" s="454"/>
      <c r="I203" s="455"/>
      <c r="J203" s="88"/>
      <c r="K203" s="88"/>
      <c r="L203" s="456"/>
      <c r="M203" s="88"/>
      <c r="N203" s="88"/>
      <c r="O203" s="88"/>
      <c r="P203" s="88"/>
      <c r="Q203" s="88"/>
      <c r="R203" s="88"/>
      <c r="S203" s="88"/>
      <c r="T203" s="88"/>
      <c r="U203" s="88"/>
      <c r="V203" s="88"/>
      <c r="W203" s="88"/>
      <c r="X203" s="88"/>
      <c r="Y203" s="88"/>
      <c r="Z203" s="88"/>
      <c r="AA203" s="88"/>
    </row>
    <row r="204">
      <c r="A204" s="88"/>
      <c r="B204" s="88"/>
      <c r="C204" s="88"/>
      <c r="D204" s="453"/>
      <c r="E204" s="88"/>
      <c r="F204" s="88"/>
      <c r="G204" s="88"/>
      <c r="H204" s="454"/>
      <c r="I204" s="455"/>
      <c r="J204" s="88"/>
      <c r="K204" s="88"/>
      <c r="L204" s="456"/>
      <c r="M204" s="88"/>
      <c r="N204" s="88"/>
      <c r="O204" s="88"/>
      <c r="P204" s="88"/>
      <c r="Q204" s="88"/>
      <c r="R204" s="88"/>
      <c r="S204" s="88"/>
      <c r="T204" s="88"/>
      <c r="U204" s="88"/>
      <c r="V204" s="88"/>
      <c r="W204" s="88"/>
      <c r="X204" s="88"/>
      <c r="Y204" s="88"/>
      <c r="Z204" s="88"/>
      <c r="AA204" s="88"/>
    </row>
    <row r="205">
      <c r="A205" s="88"/>
      <c r="B205" s="88"/>
      <c r="C205" s="88"/>
      <c r="D205" s="453"/>
      <c r="E205" s="88"/>
      <c r="F205" s="88"/>
      <c r="G205" s="88"/>
      <c r="H205" s="454"/>
      <c r="I205" s="455"/>
      <c r="J205" s="88"/>
      <c r="K205" s="88"/>
      <c r="L205" s="456"/>
      <c r="M205" s="88"/>
      <c r="N205" s="88"/>
      <c r="O205" s="88"/>
      <c r="P205" s="88"/>
      <c r="Q205" s="88"/>
      <c r="R205" s="88"/>
      <c r="S205" s="88"/>
      <c r="T205" s="88"/>
      <c r="U205" s="88"/>
      <c r="V205" s="88"/>
      <c r="W205" s="88"/>
      <c r="X205" s="88"/>
      <c r="Y205" s="88"/>
      <c r="Z205" s="88"/>
      <c r="AA205" s="88"/>
    </row>
    <row r="206">
      <c r="A206" s="88"/>
      <c r="B206" s="88"/>
      <c r="C206" s="88"/>
      <c r="D206" s="453"/>
      <c r="E206" s="88"/>
      <c r="F206" s="88"/>
      <c r="G206" s="88"/>
      <c r="H206" s="454"/>
      <c r="I206" s="455"/>
      <c r="J206" s="88"/>
      <c r="K206" s="88"/>
      <c r="L206" s="456"/>
      <c r="M206" s="88"/>
      <c r="N206" s="88"/>
      <c r="O206" s="88"/>
      <c r="P206" s="88"/>
      <c r="Q206" s="88"/>
      <c r="R206" s="88"/>
      <c r="S206" s="88"/>
      <c r="T206" s="88"/>
      <c r="U206" s="88"/>
      <c r="V206" s="88"/>
      <c r="W206" s="88"/>
      <c r="X206" s="88"/>
      <c r="Y206" s="88"/>
      <c r="Z206" s="88"/>
      <c r="AA206" s="88"/>
    </row>
    <row r="207">
      <c r="A207" s="88"/>
      <c r="B207" s="88"/>
      <c r="C207" s="88"/>
      <c r="D207" s="453"/>
      <c r="E207" s="88"/>
      <c r="F207" s="88"/>
      <c r="G207" s="88"/>
      <c r="H207" s="454"/>
      <c r="I207" s="455"/>
      <c r="J207" s="88"/>
      <c r="K207" s="88"/>
      <c r="L207" s="456"/>
      <c r="M207" s="88"/>
      <c r="N207" s="88"/>
      <c r="O207" s="88"/>
      <c r="P207" s="88"/>
      <c r="Q207" s="88"/>
      <c r="R207" s="88"/>
      <c r="S207" s="88"/>
      <c r="T207" s="88"/>
      <c r="U207" s="88"/>
      <c r="V207" s="88"/>
      <c r="W207" s="88"/>
      <c r="X207" s="88"/>
      <c r="Y207" s="88"/>
      <c r="Z207" s="88"/>
      <c r="AA207" s="88"/>
    </row>
    <row r="208">
      <c r="A208" s="88"/>
      <c r="B208" s="88"/>
      <c r="C208" s="88"/>
      <c r="D208" s="453"/>
      <c r="E208" s="88"/>
      <c r="F208" s="88"/>
      <c r="G208" s="88"/>
      <c r="H208" s="454"/>
      <c r="I208" s="455"/>
      <c r="J208" s="88"/>
      <c r="K208" s="88"/>
      <c r="L208" s="456"/>
      <c r="M208" s="88"/>
      <c r="N208" s="88"/>
      <c r="O208" s="88"/>
      <c r="P208" s="88"/>
      <c r="Q208" s="88"/>
      <c r="R208" s="88"/>
      <c r="S208" s="88"/>
      <c r="T208" s="88"/>
      <c r="U208" s="88"/>
      <c r="V208" s="88"/>
      <c r="W208" s="88"/>
      <c r="X208" s="88"/>
      <c r="Y208" s="88"/>
      <c r="Z208" s="88"/>
      <c r="AA208" s="88"/>
    </row>
    <row r="209">
      <c r="A209" s="88"/>
      <c r="B209" s="88"/>
      <c r="C209" s="88"/>
      <c r="D209" s="453"/>
      <c r="E209" s="88"/>
      <c r="F209" s="88"/>
      <c r="G209" s="88"/>
      <c r="H209" s="454"/>
      <c r="I209" s="455"/>
      <c r="J209" s="88"/>
      <c r="K209" s="88"/>
      <c r="L209" s="456"/>
      <c r="M209" s="88"/>
      <c r="N209" s="88"/>
      <c r="O209" s="88"/>
      <c r="P209" s="88"/>
      <c r="Q209" s="88"/>
      <c r="R209" s="88"/>
      <c r="S209" s="88"/>
      <c r="T209" s="88"/>
      <c r="U209" s="88"/>
      <c r="V209" s="88"/>
      <c r="W209" s="88"/>
      <c r="X209" s="88"/>
      <c r="Y209" s="88"/>
      <c r="Z209" s="88"/>
      <c r="AA209" s="88"/>
    </row>
    <row r="210">
      <c r="A210" s="88"/>
      <c r="B210" s="88"/>
      <c r="C210" s="88"/>
      <c r="D210" s="453"/>
      <c r="E210" s="88"/>
      <c r="F210" s="88"/>
      <c r="G210" s="88"/>
      <c r="H210" s="454"/>
      <c r="I210" s="455"/>
      <c r="J210" s="88"/>
      <c r="K210" s="88"/>
      <c r="L210" s="456"/>
      <c r="M210" s="88"/>
      <c r="N210" s="88"/>
      <c r="O210" s="88"/>
      <c r="P210" s="88"/>
      <c r="Q210" s="88"/>
      <c r="R210" s="88"/>
      <c r="S210" s="88"/>
      <c r="T210" s="88"/>
      <c r="U210" s="88"/>
      <c r="V210" s="88"/>
      <c r="W210" s="88"/>
      <c r="X210" s="88"/>
      <c r="Y210" s="88"/>
      <c r="Z210" s="88"/>
      <c r="AA210" s="88"/>
    </row>
    <row r="211">
      <c r="A211" s="88"/>
      <c r="B211" s="88"/>
      <c r="C211" s="88"/>
      <c r="D211" s="453"/>
      <c r="E211" s="88"/>
      <c r="F211" s="88"/>
      <c r="G211" s="88"/>
      <c r="H211" s="454"/>
      <c r="I211" s="455"/>
      <c r="J211" s="88"/>
      <c r="K211" s="88"/>
      <c r="L211" s="456"/>
      <c r="M211" s="88"/>
      <c r="N211" s="88"/>
      <c r="O211" s="88"/>
      <c r="P211" s="88"/>
      <c r="Q211" s="88"/>
      <c r="R211" s="88"/>
      <c r="S211" s="88"/>
      <c r="T211" s="88"/>
      <c r="U211" s="88"/>
      <c r="V211" s="88"/>
      <c r="W211" s="88"/>
      <c r="X211" s="88"/>
      <c r="Y211" s="88"/>
      <c r="Z211" s="88"/>
      <c r="AA211" s="88"/>
    </row>
    <row r="212">
      <c r="A212" s="88"/>
      <c r="B212" s="88"/>
      <c r="C212" s="88"/>
      <c r="D212" s="453"/>
      <c r="E212" s="88"/>
      <c r="F212" s="88"/>
      <c r="G212" s="88"/>
      <c r="H212" s="454"/>
      <c r="I212" s="455"/>
      <c r="J212" s="88"/>
      <c r="K212" s="88"/>
      <c r="L212" s="456"/>
      <c r="M212" s="88"/>
      <c r="N212" s="88"/>
      <c r="O212" s="88"/>
      <c r="P212" s="88"/>
      <c r="Q212" s="88"/>
      <c r="R212" s="88"/>
      <c r="S212" s="88"/>
      <c r="T212" s="88"/>
      <c r="U212" s="88"/>
      <c r="V212" s="88"/>
      <c r="W212" s="88"/>
      <c r="X212" s="88"/>
      <c r="Y212" s="88"/>
      <c r="Z212" s="88"/>
      <c r="AA212" s="88"/>
    </row>
    <row r="213">
      <c r="A213" s="88"/>
      <c r="B213" s="88"/>
      <c r="C213" s="88"/>
      <c r="D213" s="453"/>
      <c r="E213" s="88"/>
      <c r="F213" s="88"/>
      <c r="G213" s="88"/>
      <c r="H213" s="454"/>
      <c r="I213" s="455"/>
      <c r="J213" s="88"/>
      <c r="K213" s="88"/>
      <c r="L213" s="456"/>
      <c r="M213" s="88"/>
      <c r="N213" s="88"/>
      <c r="O213" s="88"/>
      <c r="P213" s="88"/>
      <c r="Q213" s="88"/>
      <c r="R213" s="88"/>
      <c r="S213" s="88"/>
      <c r="T213" s="88"/>
      <c r="U213" s="88"/>
      <c r="V213" s="88"/>
      <c r="W213" s="88"/>
      <c r="X213" s="88"/>
      <c r="Y213" s="88"/>
      <c r="Z213" s="88"/>
      <c r="AA213" s="88"/>
    </row>
    <row r="214">
      <c r="A214" s="88"/>
      <c r="B214" s="88"/>
      <c r="C214" s="88"/>
      <c r="D214" s="453"/>
      <c r="E214" s="88"/>
      <c r="F214" s="88"/>
      <c r="G214" s="88"/>
      <c r="H214" s="454"/>
      <c r="I214" s="455"/>
      <c r="J214" s="88"/>
      <c r="K214" s="88"/>
      <c r="L214" s="456"/>
      <c r="M214" s="88"/>
      <c r="N214" s="88"/>
      <c r="O214" s="88"/>
      <c r="P214" s="88"/>
      <c r="Q214" s="88"/>
      <c r="R214" s="88"/>
      <c r="S214" s="88"/>
      <c r="T214" s="88"/>
      <c r="U214" s="88"/>
      <c r="V214" s="88"/>
      <c r="W214" s="88"/>
      <c r="X214" s="88"/>
      <c r="Y214" s="88"/>
      <c r="Z214" s="88"/>
      <c r="AA214" s="88"/>
    </row>
    <row r="215">
      <c r="A215" s="88"/>
      <c r="B215" s="88"/>
      <c r="C215" s="88"/>
      <c r="D215" s="453"/>
      <c r="E215" s="88"/>
      <c r="F215" s="88"/>
      <c r="G215" s="88"/>
      <c r="H215" s="454"/>
      <c r="I215" s="455"/>
      <c r="J215" s="88"/>
      <c r="K215" s="88"/>
      <c r="L215" s="456"/>
      <c r="M215" s="88"/>
      <c r="N215" s="88"/>
      <c r="O215" s="88"/>
      <c r="P215" s="88"/>
      <c r="Q215" s="88"/>
      <c r="R215" s="88"/>
      <c r="S215" s="88"/>
      <c r="T215" s="88"/>
      <c r="U215" s="88"/>
      <c r="V215" s="88"/>
      <c r="W215" s="88"/>
      <c r="X215" s="88"/>
      <c r="Y215" s="88"/>
      <c r="Z215" s="88"/>
      <c r="AA215" s="88"/>
    </row>
    <row r="216">
      <c r="A216" s="88"/>
      <c r="B216" s="88"/>
      <c r="C216" s="88"/>
      <c r="D216" s="453"/>
      <c r="E216" s="88"/>
      <c r="F216" s="88"/>
      <c r="G216" s="88"/>
      <c r="H216" s="454"/>
      <c r="I216" s="455"/>
      <c r="J216" s="88"/>
      <c r="K216" s="88"/>
      <c r="L216" s="456"/>
      <c r="M216" s="88"/>
      <c r="N216" s="88"/>
      <c r="O216" s="88"/>
      <c r="P216" s="88"/>
      <c r="Q216" s="88"/>
      <c r="R216" s="88"/>
      <c r="S216" s="88"/>
      <c r="T216" s="88"/>
      <c r="U216" s="88"/>
      <c r="V216" s="88"/>
      <c r="W216" s="88"/>
      <c r="X216" s="88"/>
      <c r="Y216" s="88"/>
      <c r="Z216" s="88"/>
      <c r="AA216" s="88"/>
    </row>
    <row r="217">
      <c r="A217" s="88"/>
      <c r="B217" s="88"/>
      <c r="C217" s="88"/>
      <c r="D217" s="453"/>
      <c r="E217" s="88"/>
      <c r="F217" s="88"/>
      <c r="G217" s="88"/>
      <c r="H217" s="454"/>
      <c r="I217" s="455"/>
      <c r="J217" s="88"/>
      <c r="K217" s="88"/>
      <c r="L217" s="456"/>
      <c r="M217" s="88"/>
      <c r="N217" s="88"/>
      <c r="O217" s="88"/>
      <c r="P217" s="88"/>
      <c r="Q217" s="88"/>
      <c r="R217" s="88"/>
      <c r="S217" s="88"/>
      <c r="T217" s="88"/>
      <c r="U217" s="88"/>
      <c r="V217" s="88"/>
      <c r="W217" s="88"/>
      <c r="X217" s="88"/>
      <c r="Y217" s="88"/>
      <c r="Z217" s="88"/>
      <c r="AA217" s="88"/>
    </row>
    <row r="218">
      <c r="A218" s="88"/>
      <c r="B218" s="88"/>
      <c r="C218" s="88"/>
      <c r="D218" s="453"/>
      <c r="E218" s="88"/>
      <c r="F218" s="88"/>
      <c r="G218" s="88"/>
      <c r="H218" s="454"/>
      <c r="I218" s="455"/>
      <c r="J218" s="88"/>
      <c r="K218" s="88"/>
      <c r="L218" s="456"/>
      <c r="M218" s="88"/>
      <c r="N218" s="88"/>
      <c r="O218" s="88"/>
      <c r="P218" s="88"/>
      <c r="Q218" s="88"/>
      <c r="R218" s="88"/>
      <c r="S218" s="88"/>
      <c r="T218" s="88"/>
      <c r="U218" s="88"/>
      <c r="V218" s="88"/>
      <c r="W218" s="88"/>
      <c r="X218" s="88"/>
      <c r="Y218" s="88"/>
      <c r="Z218" s="88"/>
      <c r="AA218" s="88"/>
    </row>
    <row r="219">
      <c r="A219" s="88"/>
      <c r="B219" s="88"/>
      <c r="C219" s="88"/>
      <c r="D219" s="453"/>
      <c r="E219" s="88"/>
      <c r="F219" s="88"/>
      <c r="G219" s="88"/>
      <c r="H219" s="454"/>
      <c r="I219" s="455"/>
      <c r="J219" s="88"/>
      <c r="K219" s="88"/>
      <c r="L219" s="456"/>
      <c r="M219" s="88"/>
      <c r="N219" s="88"/>
      <c r="O219" s="88"/>
      <c r="P219" s="88"/>
      <c r="Q219" s="88"/>
      <c r="R219" s="88"/>
      <c r="S219" s="88"/>
      <c r="T219" s="88"/>
      <c r="U219" s="88"/>
      <c r="V219" s="88"/>
      <c r="W219" s="88"/>
      <c r="X219" s="88"/>
      <c r="Y219" s="88"/>
      <c r="Z219" s="88"/>
      <c r="AA219" s="88"/>
    </row>
    <row r="220">
      <c r="A220" s="88"/>
      <c r="B220" s="88"/>
      <c r="C220" s="88"/>
      <c r="D220" s="453"/>
      <c r="E220" s="88"/>
      <c r="F220" s="88"/>
      <c r="G220" s="88"/>
      <c r="H220" s="454"/>
      <c r="I220" s="455"/>
      <c r="J220" s="88"/>
      <c r="K220" s="88"/>
      <c r="L220" s="456"/>
      <c r="M220" s="88"/>
      <c r="N220" s="88"/>
      <c r="O220" s="88"/>
      <c r="P220" s="88"/>
      <c r="Q220" s="88"/>
      <c r="R220" s="88"/>
      <c r="S220" s="88"/>
      <c r="T220" s="88"/>
      <c r="U220" s="88"/>
      <c r="V220" s="88"/>
      <c r="W220" s="88"/>
      <c r="X220" s="88"/>
      <c r="Y220" s="88"/>
      <c r="Z220" s="88"/>
      <c r="AA220" s="88"/>
    </row>
    <row r="221">
      <c r="A221" s="88"/>
      <c r="B221" s="88"/>
      <c r="C221" s="88"/>
      <c r="D221" s="453"/>
      <c r="E221" s="88"/>
      <c r="F221" s="88"/>
      <c r="G221" s="88"/>
      <c r="H221" s="454"/>
      <c r="I221" s="455"/>
      <c r="J221" s="88"/>
      <c r="K221" s="88"/>
      <c r="L221" s="456"/>
      <c r="M221" s="88"/>
      <c r="N221" s="88"/>
      <c r="O221" s="88"/>
      <c r="P221" s="88"/>
      <c r="Q221" s="88"/>
      <c r="R221" s="88"/>
      <c r="S221" s="88"/>
      <c r="T221" s="88"/>
      <c r="U221" s="88"/>
      <c r="V221" s="88"/>
      <c r="W221" s="88"/>
      <c r="X221" s="88"/>
      <c r="Y221" s="88"/>
      <c r="Z221" s="88"/>
      <c r="AA221" s="88"/>
    </row>
    <row r="222">
      <c r="A222" s="88"/>
      <c r="B222" s="88"/>
      <c r="C222" s="88"/>
      <c r="D222" s="453"/>
      <c r="E222" s="88"/>
      <c r="F222" s="88"/>
      <c r="G222" s="88"/>
      <c r="H222" s="454"/>
      <c r="I222" s="455"/>
      <c r="J222" s="88"/>
      <c r="K222" s="88"/>
      <c r="L222" s="456"/>
      <c r="M222" s="88"/>
      <c r="N222" s="88"/>
      <c r="O222" s="88"/>
      <c r="P222" s="88"/>
      <c r="Q222" s="88"/>
      <c r="R222" s="88"/>
      <c r="S222" s="88"/>
      <c r="T222" s="88"/>
      <c r="U222" s="88"/>
      <c r="V222" s="88"/>
      <c r="W222" s="88"/>
      <c r="X222" s="88"/>
      <c r="Y222" s="88"/>
      <c r="Z222" s="88"/>
      <c r="AA222" s="88"/>
    </row>
    <row r="223">
      <c r="A223" s="88"/>
      <c r="B223" s="88"/>
      <c r="C223" s="88"/>
      <c r="D223" s="453"/>
      <c r="E223" s="88"/>
      <c r="F223" s="88"/>
      <c r="G223" s="88"/>
      <c r="H223" s="454"/>
      <c r="I223" s="455"/>
      <c r="J223" s="88"/>
      <c r="K223" s="88"/>
      <c r="L223" s="456"/>
      <c r="M223" s="88"/>
      <c r="N223" s="88"/>
      <c r="O223" s="88"/>
      <c r="P223" s="88"/>
      <c r="Q223" s="88"/>
      <c r="R223" s="88"/>
      <c r="S223" s="88"/>
      <c r="T223" s="88"/>
      <c r="U223" s="88"/>
      <c r="V223" s="88"/>
      <c r="W223" s="88"/>
      <c r="X223" s="88"/>
      <c r="Y223" s="88"/>
      <c r="Z223" s="88"/>
      <c r="AA223" s="88"/>
    </row>
    <row r="224">
      <c r="A224" s="88"/>
      <c r="B224" s="88"/>
      <c r="C224" s="88"/>
      <c r="D224" s="453"/>
      <c r="E224" s="88"/>
      <c r="F224" s="88"/>
      <c r="G224" s="88"/>
      <c r="H224" s="454"/>
      <c r="I224" s="455"/>
      <c r="J224" s="88"/>
      <c r="K224" s="88"/>
      <c r="L224" s="456"/>
      <c r="M224" s="88"/>
      <c r="N224" s="88"/>
      <c r="O224" s="88"/>
      <c r="P224" s="88"/>
      <c r="Q224" s="88"/>
      <c r="R224" s="88"/>
      <c r="S224" s="88"/>
      <c r="T224" s="88"/>
      <c r="U224" s="88"/>
      <c r="V224" s="88"/>
      <c r="W224" s="88"/>
      <c r="X224" s="88"/>
      <c r="Y224" s="88"/>
      <c r="Z224" s="88"/>
      <c r="AA224" s="88"/>
    </row>
    <row r="225">
      <c r="A225" s="88"/>
      <c r="B225" s="88"/>
      <c r="C225" s="88"/>
      <c r="D225" s="453"/>
      <c r="E225" s="88"/>
      <c r="F225" s="88"/>
      <c r="G225" s="88"/>
      <c r="H225" s="454"/>
      <c r="I225" s="455"/>
      <c r="J225" s="88"/>
      <c r="K225" s="88"/>
      <c r="L225" s="456"/>
      <c r="M225" s="88"/>
      <c r="N225" s="88"/>
      <c r="O225" s="88"/>
      <c r="P225" s="88"/>
      <c r="Q225" s="88"/>
      <c r="R225" s="88"/>
      <c r="S225" s="88"/>
      <c r="T225" s="88"/>
      <c r="U225" s="88"/>
      <c r="V225" s="88"/>
      <c r="W225" s="88"/>
      <c r="X225" s="88"/>
      <c r="Y225" s="88"/>
      <c r="Z225" s="88"/>
      <c r="AA225" s="88"/>
    </row>
    <row r="226">
      <c r="A226" s="88"/>
      <c r="B226" s="88"/>
      <c r="C226" s="88"/>
      <c r="D226" s="453"/>
      <c r="E226" s="88"/>
      <c r="F226" s="88"/>
      <c r="G226" s="88"/>
      <c r="H226" s="454"/>
      <c r="I226" s="455"/>
      <c r="J226" s="88"/>
      <c r="K226" s="88"/>
      <c r="L226" s="456"/>
      <c r="M226" s="88"/>
      <c r="N226" s="88"/>
      <c r="O226" s="88"/>
      <c r="P226" s="88"/>
      <c r="Q226" s="88"/>
      <c r="R226" s="88"/>
      <c r="S226" s="88"/>
      <c r="T226" s="88"/>
      <c r="U226" s="88"/>
      <c r="V226" s="88"/>
      <c r="W226" s="88"/>
      <c r="X226" s="88"/>
      <c r="Y226" s="88"/>
      <c r="Z226" s="88"/>
      <c r="AA226" s="88"/>
    </row>
    <row r="227">
      <c r="A227" s="88"/>
      <c r="B227" s="88"/>
      <c r="C227" s="88"/>
      <c r="D227" s="453"/>
      <c r="E227" s="88"/>
      <c r="F227" s="88"/>
      <c r="G227" s="88"/>
      <c r="H227" s="454"/>
      <c r="I227" s="455"/>
      <c r="J227" s="88"/>
      <c r="K227" s="88"/>
      <c r="L227" s="456"/>
      <c r="M227" s="88"/>
      <c r="N227" s="88"/>
      <c r="O227" s="88"/>
      <c r="P227" s="88"/>
      <c r="Q227" s="88"/>
      <c r="R227" s="88"/>
      <c r="S227" s="88"/>
      <c r="T227" s="88"/>
      <c r="U227" s="88"/>
      <c r="V227" s="88"/>
      <c r="W227" s="88"/>
      <c r="X227" s="88"/>
      <c r="Y227" s="88"/>
      <c r="Z227" s="88"/>
      <c r="AA227" s="88"/>
    </row>
    <row r="228">
      <c r="A228" s="88"/>
      <c r="B228" s="88"/>
      <c r="C228" s="88"/>
      <c r="D228" s="453"/>
      <c r="E228" s="88"/>
      <c r="F228" s="88"/>
      <c r="G228" s="88"/>
      <c r="H228" s="454"/>
      <c r="I228" s="455"/>
      <c r="J228" s="88"/>
      <c r="K228" s="88"/>
      <c r="L228" s="456"/>
      <c r="M228" s="88"/>
      <c r="N228" s="88"/>
      <c r="O228" s="88"/>
      <c r="P228" s="88"/>
      <c r="Q228" s="88"/>
      <c r="R228" s="88"/>
      <c r="S228" s="88"/>
      <c r="T228" s="88"/>
      <c r="U228" s="88"/>
      <c r="V228" s="88"/>
      <c r="W228" s="88"/>
      <c r="X228" s="88"/>
      <c r="Y228" s="88"/>
      <c r="Z228" s="88"/>
      <c r="AA228" s="88"/>
    </row>
    <row r="229">
      <c r="A229" s="88"/>
      <c r="B229" s="88"/>
      <c r="C229" s="88"/>
      <c r="D229" s="453"/>
      <c r="E229" s="88"/>
      <c r="F229" s="88"/>
      <c r="G229" s="88"/>
      <c r="H229" s="454"/>
      <c r="I229" s="455"/>
      <c r="J229" s="88"/>
      <c r="K229" s="88"/>
      <c r="L229" s="456"/>
      <c r="M229" s="88"/>
      <c r="N229" s="88"/>
      <c r="O229" s="88"/>
      <c r="P229" s="88"/>
      <c r="Q229" s="88"/>
      <c r="R229" s="88"/>
      <c r="S229" s="88"/>
      <c r="T229" s="88"/>
      <c r="U229" s="88"/>
      <c r="V229" s="88"/>
      <c r="W229" s="88"/>
      <c r="X229" s="88"/>
      <c r="Y229" s="88"/>
      <c r="Z229" s="88"/>
      <c r="AA229" s="88"/>
    </row>
    <row r="230">
      <c r="A230" s="88"/>
      <c r="B230" s="88"/>
      <c r="C230" s="88"/>
      <c r="D230" s="453"/>
      <c r="E230" s="88"/>
      <c r="F230" s="88"/>
      <c r="G230" s="88"/>
      <c r="H230" s="454"/>
      <c r="I230" s="455"/>
      <c r="J230" s="88"/>
      <c r="K230" s="88"/>
      <c r="L230" s="456"/>
      <c r="M230" s="88"/>
      <c r="N230" s="88"/>
      <c r="O230" s="88"/>
      <c r="P230" s="88"/>
      <c r="Q230" s="88"/>
      <c r="R230" s="88"/>
      <c r="S230" s="88"/>
      <c r="T230" s="88"/>
      <c r="U230" s="88"/>
      <c r="V230" s="88"/>
      <c r="W230" s="88"/>
      <c r="X230" s="88"/>
      <c r="Y230" s="88"/>
      <c r="Z230" s="88"/>
      <c r="AA230" s="88"/>
    </row>
    <row r="231">
      <c r="A231" s="88"/>
      <c r="B231" s="88"/>
      <c r="C231" s="88"/>
      <c r="D231" s="453"/>
      <c r="E231" s="88"/>
      <c r="F231" s="88"/>
      <c r="G231" s="88"/>
      <c r="H231" s="454"/>
      <c r="I231" s="455"/>
      <c r="J231" s="88"/>
      <c r="K231" s="88"/>
      <c r="L231" s="456"/>
      <c r="M231" s="88"/>
      <c r="N231" s="88"/>
      <c r="O231" s="88"/>
      <c r="P231" s="88"/>
      <c r="Q231" s="88"/>
      <c r="R231" s="88"/>
      <c r="S231" s="88"/>
      <c r="T231" s="88"/>
      <c r="U231" s="88"/>
      <c r="V231" s="88"/>
      <c r="W231" s="88"/>
      <c r="X231" s="88"/>
      <c r="Y231" s="88"/>
      <c r="Z231" s="88"/>
      <c r="AA231" s="88"/>
    </row>
    <row r="232">
      <c r="A232" s="88"/>
      <c r="B232" s="88"/>
      <c r="C232" s="88"/>
      <c r="D232" s="453"/>
      <c r="E232" s="88"/>
      <c r="F232" s="88"/>
      <c r="G232" s="88"/>
      <c r="H232" s="454"/>
      <c r="I232" s="455"/>
      <c r="J232" s="88"/>
      <c r="K232" s="88"/>
      <c r="L232" s="456"/>
      <c r="M232" s="88"/>
      <c r="N232" s="88"/>
      <c r="O232" s="88"/>
      <c r="P232" s="88"/>
      <c r="Q232" s="88"/>
      <c r="R232" s="88"/>
      <c r="S232" s="88"/>
      <c r="T232" s="88"/>
      <c r="U232" s="88"/>
      <c r="V232" s="88"/>
      <c r="W232" s="88"/>
      <c r="X232" s="88"/>
      <c r="Y232" s="88"/>
      <c r="Z232" s="88"/>
      <c r="AA232" s="88"/>
    </row>
    <row r="233">
      <c r="A233" s="88"/>
      <c r="B233" s="88"/>
      <c r="C233" s="88"/>
      <c r="D233" s="453"/>
      <c r="E233" s="88"/>
      <c r="F233" s="88"/>
      <c r="G233" s="88"/>
      <c r="H233" s="454"/>
      <c r="I233" s="455"/>
      <c r="J233" s="88"/>
      <c r="K233" s="88"/>
      <c r="L233" s="456"/>
      <c r="M233" s="88"/>
      <c r="N233" s="88"/>
      <c r="O233" s="88"/>
      <c r="P233" s="88"/>
      <c r="Q233" s="88"/>
      <c r="R233" s="88"/>
      <c r="S233" s="88"/>
      <c r="T233" s="88"/>
      <c r="U233" s="88"/>
      <c r="V233" s="88"/>
      <c r="W233" s="88"/>
      <c r="X233" s="88"/>
      <c r="Y233" s="88"/>
      <c r="Z233" s="88"/>
      <c r="AA233" s="88"/>
    </row>
    <row r="234">
      <c r="A234" s="88"/>
      <c r="B234" s="88"/>
      <c r="C234" s="88"/>
      <c r="D234" s="453"/>
      <c r="E234" s="88"/>
      <c r="F234" s="88"/>
      <c r="G234" s="88"/>
      <c r="H234" s="454"/>
      <c r="I234" s="455"/>
      <c r="J234" s="88"/>
      <c r="K234" s="88"/>
      <c r="L234" s="456"/>
      <c r="M234" s="88"/>
      <c r="N234" s="88"/>
      <c r="O234" s="88"/>
      <c r="P234" s="88"/>
      <c r="Q234" s="88"/>
      <c r="R234" s="88"/>
      <c r="S234" s="88"/>
      <c r="T234" s="88"/>
      <c r="U234" s="88"/>
      <c r="V234" s="88"/>
      <c r="W234" s="88"/>
      <c r="X234" s="88"/>
      <c r="Y234" s="88"/>
      <c r="Z234" s="88"/>
      <c r="AA234" s="88"/>
    </row>
    <row r="235">
      <c r="A235" s="88"/>
      <c r="B235" s="88"/>
      <c r="C235" s="88"/>
      <c r="D235" s="453"/>
      <c r="E235" s="88"/>
      <c r="F235" s="88"/>
      <c r="G235" s="88"/>
      <c r="H235" s="454"/>
      <c r="I235" s="455"/>
      <c r="J235" s="88"/>
      <c r="K235" s="88"/>
      <c r="L235" s="456"/>
      <c r="M235" s="88"/>
      <c r="N235" s="88"/>
      <c r="O235" s="88"/>
      <c r="P235" s="88"/>
      <c r="Q235" s="88"/>
      <c r="R235" s="88"/>
      <c r="S235" s="88"/>
      <c r="T235" s="88"/>
      <c r="U235" s="88"/>
      <c r="V235" s="88"/>
      <c r="W235" s="88"/>
      <c r="X235" s="88"/>
      <c r="Y235" s="88"/>
      <c r="Z235" s="88"/>
      <c r="AA235" s="88"/>
    </row>
    <row r="236">
      <c r="A236" s="88"/>
      <c r="B236" s="88"/>
      <c r="C236" s="88"/>
      <c r="D236" s="453"/>
      <c r="E236" s="88"/>
      <c r="F236" s="88"/>
      <c r="G236" s="88"/>
      <c r="H236" s="454"/>
      <c r="I236" s="455"/>
      <c r="J236" s="88"/>
      <c r="K236" s="88"/>
      <c r="L236" s="456"/>
      <c r="M236" s="88"/>
      <c r="N236" s="88"/>
      <c r="O236" s="88"/>
      <c r="P236" s="88"/>
      <c r="Q236" s="88"/>
      <c r="R236" s="88"/>
      <c r="S236" s="88"/>
      <c r="T236" s="88"/>
      <c r="U236" s="88"/>
      <c r="V236" s="88"/>
      <c r="W236" s="88"/>
      <c r="X236" s="88"/>
      <c r="Y236" s="88"/>
      <c r="Z236" s="88"/>
      <c r="AA236" s="88"/>
    </row>
    <row r="237">
      <c r="A237" s="88"/>
      <c r="B237" s="88"/>
      <c r="C237" s="88"/>
      <c r="D237" s="453"/>
      <c r="E237" s="88"/>
      <c r="F237" s="88"/>
      <c r="G237" s="88"/>
      <c r="H237" s="454"/>
      <c r="I237" s="455"/>
      <c r="J237" s="88"/>
      <c r="K237" s="88"/>
      <c r="L237" s="456"/>
      <c r="M237" s="88"/>
      <c r="N237" s="88"/>
      <c r="O237" s="88"/>
      <c r="P237" s="88"/>
      <c r="Q237" s="88"/>
      <c r="R237" s="88"/>
      <c r="S237" s="88"/>
      <c r="T237" s="88"/>
      <c r="U237" s="88"/>
      <c r="V237" s="88"/>
      <c r="W237" s="88"/>
      <c r="X237" s="88"/>
      <c r="Y237" s="88"/>
      <c r="Z237" s="88"/>
      <c r="AA237" s="88"/>
    </row>
    <row r="238">
      <c r="A238" s="88"/>
      <c r="B238" s="88"/>
      <c r="C238" s="88"/>
      <c r="D238" s="453"/>
      <c r="E238" s="88"/>
      <c r="F238" s="88"/>
      <c r="G238" s="88"/>
      <c r="H238" s="454"/>
      <c r="I238" s="455"/>
      <c r="J238" s="88"/>
      <c r="K238" s="88"/>
      <c r="L238" s="456"/>
      <c r="M238" s="88"/>
      <c r="N238" s="88"/>
      <c r="O238" s="88"/>
      <c r="P238" s="88"/>
      <c r="Q238" s="88"/>
      <c r="R238" s="88"/>
      <c r="S238" s="88"/>
      <c r="T238" s="88"/>
      <c r="U238" s="88"/>
      <c r="V238" s="88"/>
      <c r="W238" s="88"/>
      <c r="X238" s="88"/>
      <c r="Y238" s="88"/>
      <c r="Z238" s="88"/>
      <c r="AA238" s="88"/>
    </row>
    <row r="239">
      <c r="A239" s="88"/>
      <c r="B239" s="88"/>
      <c r="C239" s="88"/>
      <c r="D239" s="453"/>
      <c r="E239" s="88"/>
      <c r="F239" s="88"/>
      <c r="G239" s="88"/>
      <c r="H239" s="454"/>
      <c r="I239" s="455"/>
      <c r="J239" s="88"/>
      <c r="K239" s="88"/>
      <c r="L239" s="456"/>
      <c r="M239" s="88"/>
      <c r="N239" s="88"/>
      <c r="O239" s="88"/>
      <c r="P239" s="88"/>
      <c r="Q239" s="88"/>
      <c r="R239" s="88"/>
      <c r="S239" s="88"/>
      <c r="T239" s="88"/>
      <c r="U239" s="88"/>
      <c r="V239" s="88"/>
      <c r="W239" s="88"/>
      <c r="X239" s="88"/>
      <c r="Y239" s="88"/>
      <c r="Z239" s="88"/>
      <c r="AA239" s="88"/>
    </row>
    <row r="240">
      <c r="A240" s="88"/>
      <c r="B240" s="88"/>
      <c r="C240" s="88"/>
      <c r="D240" s="453"/>
      <c r="E240" s="88"/>
      <c r="F240" s="88"/>
      <c r="G240" s="88"/>
      <c r="H240" s="454"/>
      <c r="I240" s="455"/>
      <c r="J240" s="88"/>
      <c r="K240" s="88"/>
      <c r="L240" s="456"/>
      <c r="M240" s="88"/>
      <c r="N240" s="88"/>
      <c r="O240" s="88"/>
      <c r="P240" s="88"/>
      <c r="Q240" s="88"/>
      <c r="R240" s="88"/>
      <c r="S240" s="88"/>
      <c r="T240" s="88"/>
      <c r="U240" s="88"/>
      <c r="V240" s="88"/>
      <c r="W240" s="88"/>
      <c r="X240" s="88"/>
      <c r="Y240" s="88"/>
      <c r="Z240" s="88"/>
      <c r="AA240" s="88"/>
    </row>
    <row r="241">
      <c r="A241" s="88"/>
      <c r="B241" s="88"/>
      <c r="C241" s="88"/>
      <c r="D241" s="453"/>
      <c r="E241" s="88"/>
      <c r="F241" s="88"/>
      <c r="G241" s="88"/>
      <c r="H241" s="454"/>
      <c r="I241" s="455"/>
      <c r="J241" s="88"/>
      <c r="K241" s="88"/>
      <c r="L241" s="456"/>
      <c r="M241" s="88"/>
      <c r="N241" s="88"/>
      <c r="O241" s="88"/>
      <c r="P241" s="88"/>
      <c r="Q241" s="88"/>
      <c r="R241" s="88"/>
      <c r="S241" s="88"/>
      <c r="T241" s="88"/>
      <c r="U241" s="88"/>
      <c r="V241" s="88"/>
      <c r="W241" s="88"/>
      <c r="X241" s="88"/>
      <c r="Y241" s="88"/>
      <c r="Z241" s="88"/>
      <c r="AA241" s="88"/>
    </row>
    <row r="242">
      <c r="A242" s="88"/>
      <c r="B242" s="88"/>
      <c r="C242" s="88"/>
      <c r="D242" s="453"/>
      <c r="E242" s="88"/>
      <c r="F242" s="88"/>
      <c r="G242" s="88"/>
      <c r="H242" s="454"/>
      <c r="I242" s="455"/>
      <c r="J242" s="88"/>
      <c r="K242" s="88"/>
      <c r="L242" s="456"/>
      <c r="M242" s="88"/>
      <c r="N242" s="88"/>
      <c r="O242" s="88"/>
      <c r="P242" s="88"/>
      <c r="Q242" s="88"/>
      <c r="R242" s="88"/>
      <c r="S242" s="88"/>
      <c r="T242" s="88"/>
      <c r="U242" s="88"/>
      <c r="V242" s="88"/>
      <c r="W242" s="88"/>
      <c r="X242" s="88"/>
      <c r="Y242" s="88"/>
      <c r="Z242" s="88"/>
      <c r="AA242" s="88"/>
    </row>
    <row r="243">
      <c r="A243" s="88"/>
      <c r="B243" s="88"/>
      <c r="C243" s="88"/>
      <c r="D243" s="453"/>
      <c r="E243" s="88"/>
      <c r="F243" s="88"/>
      <c r="G243" s="88"/>
      <c r="H243" s="454"/>
      <c r="I243" s="455"/>
      <c r="J243" s="88"/>
      <c r="K243" s="88"/>
      <c r="L243" s="456"/>
      <c r="M243" s="88"/>
      <c r="N243" s="88"/>
      <c r="O243" s="88"/>
      <c r="P243" s="88"/>
      <c r="Q243" s="88"/>
      <c r="R243" s="88"/>
      <c r="S243" s="88"/>
      <c r="T243" s="88"/>
      <c r="U243" s="88"/>
      <c r="V243" s="88"/>
      <c r="W243" s="88"/>
      <c r="X243" s="88"/>
      <c r="Y243" s="88"/>
      <c r="Z243" s="88"/>
      <c r="AA243" s="88"/>
    </row>
    <row r="244">
      <c r="A244" s="88"/>
      <c r="B244" s="88"/>
      <c r="C244" s="88"/>
      <c r="D244" s="453"/>
      <c r="E244" s="88"/>
      <c r="F244" s="88"/>
      <c r="G244" s="88"/>
      <c r="H244" s="454"/>
      <c r="I244" s="455"/>
      <c r="J244" s="88"/>
      <c r="K244" s="88"/>
      <c r="L244" s="456"/>
      <c r="M244" s="88"/>
      <c r="N244" s="88"/>
      <c r="O244" s="88"/>
      <c r="P244" s="88"/>
      <c r="Q244" s="88"/>
      <c r="R244" s="88"/>
      <c r="S244" s="88"/>
      <c r="T244" s="88"/>
      <c r="U244" s="88"/>
      <c r="V244" s="88"/>
      <c r="W244" s="88"/>
      <c r="X244" s="88"/>
      <c r="Y244" s="88"/>
      <c r="Z244" s="88"/>
      <c r="AA244" s="88"/>
    </row>
    <row r="245">
      <c r="A245" s="88"/>
      <c r="B245" s="88"/>
      <c r="C245" s="88"/>
      <c r="D245" s="453"/>
      <c r="E245" s="88"/>
      <c r="F245" s="88"/>
      <c r="G245" s="88"/>
      <c r="H245" s="454"/>
      <c r="I245" s="455"/>
      <c r="J245" s="88"/>
      <c r="K245" s="88"/>
      <c r="L245" s="456"/>
      <c r="M245" s="88"/>
      <c r="N245" s="88"/>
      <c r="O245" s="88"/>
      <c r="P245" s="88"/>
      <c r="Q245" s="88"/>
      <c r="R245" s="88"/>
      <c r="S245" s="88"/>
      <c r="T245" s="88"/>
      <c r="U245" s="88"/>
      <c r="V245" s="88"/>
      <c r="W245" s="88"/>
      <c r="X245" s="88"/>
      <c r="Y245" s="88"/>
      <c r="Z245" s="88"/>
      <c r="AA245" s="88"/>
    </row>
    <row r="246">
      <c r="A246" s="88"/>
      <c r="B246" s="88"/>
      <c r="C246" s="88"/>
      <c r="D246" s="453"/>
      <c r="E246" s="88"/>
      <c r="F246" s="88"/>
      <c r="G246" s="88"/>
      <c r="H246" s="454"/>
      <c r="I246" s="455"/>
      <c r="J246" s="88"/>
      <c r="K246" s="88"/>
      <c r="L246" s="456"/>
      <c r="M246" s="88"/>
      <c r="N246" s="88"/>
      <c r="O246" s="88"/>
      <c r="P246" s="88"/>
      <c r="Q246" s="88"/>
      <c r="R246" s="88"/>
      <c r="S246" s="88"/>
      <c r="T246" s="88"/>
      <c r="U246" s="88"/>
      <c r="V246" s="88"/>
      <c r="W246" s="88"/>
      <c r="X246" s="88"/>
      <c r="Y246" s="88"/>
      <c r="Z246" s="88"/>
      <c r="AA246" s="88"/>
    </row>
    <row r="247">
      <c r="A247" s="88"/>
      <c r="B247" s="88"/>
      <c r="C247" s="88"/>
      <c r="D247" s="453"/>
      <c r="E247" s="88"/>
      <c r="F247" s="88"/>
      <c r="G247" s="88"/>
      <c r="H247" s="454"/>
      <c r="I247" s="455"/>
      <c r="J247" s="88"/>
      <c r="K247" s="88"/>
      <c r="L247" s="456"/>
      <c r="M247" s="88"/>
      <c r="N247" s="88"/>
      <c r="O247" s="88"/>
      <c r="P247" s="88"/>
      <c r="Q247" s="88"/>
      <c r="R247" s="88"/>
      <c r="S247" s="88"/>
      <c r="T247" s="88"/>
      <c r="U247" s="88"/>
      <c r="V247" s="88"/>
      <c r="W247" s="88"/>
      <c r="X247" s="88"/>
      <c r="Y247" s="88"/>
      <c r="Z247" s="88"/>
      <c r="AA247" s="88"/>
    </row>
    <row r="248">
      <c r="A248" s="88"/>
      <c r="B248" s="88"/>
      <c r="C248" s="88"/>
      <c r="D248" s="453"/>
      <c r="E248" s="88"/>
      <c r="F248" s="88"/>
      <c r="G248" s="88"/>
      <c r="H248" s="454"/>
      <c r="I248" s="455"/>
      <c r="J248" s="88"/>
      <c r="K248" s="88"/>
      <c r="L248" s="456"/>
      <c r="M248" s="88"/>
      <c r="N248" s="88"/>
      <c r="O248" s="88"/>
      <c r="P248" s="88"/>
      <c r="Q248" s="88"/>
      <c r="R248" s="88"/>
      <c r="S248" s="88"/>
      <c r="T248" s="88"/>
      <c r="U248" s="88"/>
      <c r="V248" s="88"/>
      <c r="W248" s="88"/>
      <c r="X248" s="88"/>
      <c r="Y248" s="88"/>
      <c r="Z248" s="88"/>
      <c r="AA248" s="88"/>
    </row>
    <row r="249">
      <c r="A249" s="88"/>
      <c r="B249" s="88"/>
      <c r="C249" s="88"/>
      <c r="D249" s="453"/>
      <c r="E249" s="88"/>
      <c r="F249" s="88"/>
      <c r="G249" s="88"/>
      <c r="H249" s="454"/>
      <c r="I249" s="455"/>
      <c r="J249" s="88"/>
      <c r="K249" s="88"/>
      <c r="L249" s="456"/>
      <c r="M249" s="88"/>
      <c r="N249" s="88"/>
      <c r="O249" s="88"/>
      <c r="P249" s="88"/>
      <c r="Q249" s="88"/>
      <c r="R249" s="88"/>
      <c r="S249" s="88"/>
      <c r="T249" s="88"/>
      <c r="U249" s="88"/>
      <c r="V249" s="88"/>
      <c r="W249" s="88"/>
      <c r="X249" s="88"/>
      <c r="Y249" s="88"/>
      <c r="Z249" s="88"/>
      <c r="AA249" s="88"/>
    </row>
    <row r="250">
      <c r="A250" s="88"/>
      <c r="B250" s="88"/>
      <c r="C250" s="88"/>
      <c r="D250" s="453"/>
      <c r="E250" s="88"/>
      <c r="F250" s="88"/>
      <c r="G250" s="88"/>
      <c r="H250" s="454"/>
      <c r="I250" s="455"/>
      <c r="J250" s="88"/>
      <c r="K250" s="88"/>
      <c r="L250" s="456"/>
      <c r="M250" s="88"/>
      <c r="N250" s="88"/>
      <c r="O250" s="88"/>
      <c r="P250" s="88"/>
      <c r="Q250" s="88"/>
      <c r="R250" s="88"/>
      <c r="S250" s="88"/>
      <c r="T250" s="88"/>
      <c r="U250" s="88"/>
      <c r="V250" s="88"/>
      <c r="W250" s="88"/>
      <c r="X250" s="88"/>
      <c r="Y250" s="88"/>
      <c r="Z250" s="88"/>
      <c r="AA250" s="88"/>
    </row>
    <row r="251">
      <c r="A251" s="88"/>
      <c r="B251" s="88"/>
      <c r="C251" s="88"/>
      <c r="D251" s="453"/>
      <c r="E251" s="88"/>
      <c r="F251" s="88"/>
      <c r="G251" s="88"/>
      <c r="H251" s="454"/>
      <c r="I251" s="455"/>
      <c r="J251" s="88"/>
      <c r="K251" s="88"/>
      <c r="L251" s="456"/>
      <c r="M251" s="88"/>
      <c r="N251" s="88"/>
      <c r="O251" s="88"/>
      <c r="P251" s="88"/>
      <c r="Q251" s="88"/>
      <c r="R251" s="88"/>
      <c r="S251" s="88"/>
      <c r="T251" s="88"/>
      <c r="U251" s="88"/>
      <c r="V251" s="88"/>
      <c r="W251" s="88"/>
      <c r="X251" s="88"/>
      <c r="Y251" s="88"/>
      <c r="Z251" s="88"/>
      <c r="AA251" s="88"/>
    </row>
    <row r="252">
      <c r="A252" s="88"/>
      <c r="B252" s="88"/>
      <c r="C252" s="88"/>
      <c r="D252" s="453"/>
      <c r="E252" s="88"/>
      <c r="F252" s="88"/>
      <c r="G252" s="88"/>
      <c r="H252" s="454"/>
      <c r="I252" s="455"/>
      <c r="J252" s="88"/>
      <c r="K252" s="88"/>
      <c r="L252" s="456"/>
      <c r="M252" s="88"/>
      <c r="N252" s="88"/>
      <c r="O252" s="88"/>
      <c r="P252" s="88"/>
      <c r="Q252" s="88"/>
      <c r="R252" s="88"/>
      <c r="S252" s="88"/>
      <c r="T252" s="88"/>
      <c r="U252" s="88"/>
      <c r="V252" s="88"/>
      <c r="W252" s="88"/>
      <c r="X252" s="88"/>
      <c r="Y252" s="88"/>
      <c r="Z252" s="88"/>
      <c r="AA252" s="88"/>
    </row>
    <row r="253">
      <c r="A253" s="88"/>
      <c r="B253" s="88"/>
      <c r="C253" s="88"/>
      <c r="D253" s="453"/>
      <c r="E253" s="88"/>
      <c r="F253" s="88"/>
      <c r="G253" s="88"/>
      <c r="H253" s="454"/>
      <c r="I253" s="455"/>
      <c r="J253" s="88"/>
      <c r="K253" s="88"/>
      <c r="L253" s="456"/>
      <c r="M253" s="88"/>
      <c r="N253" s="88"/>
      <c r="O253" s="88"/>
      <c r="P253" s="88"/>
      <c r="Q253" s="88"/>
      <c r="R253" s="88"/>
      <c r="S253" s="88"/>
      <c r="T253" s="88"/>
      <c r="U253" s="88"/>
      <c r="V253" s="88"/>
      <c r="W253" s="88"/>
      <c r="X253" s="88"/>
      <c r="Y253" s="88"/>
      <c r="Z253" s="88"/>
      <c r="AA253" s="88"/>
    </row>
    <row r="254">
      <c r="A254" s="88"/>
      <c r="B254" s="88"/>
      <c r="C254" s="88"/>
      <c r="D254" s="453"/>
      <c r="E254" s="88"/>
      <c r="F254" s="88"/>
      <c r="G254" s="88"/>
      <c r="H254" s="454"/>
      <c r="I254" s="455"/>
      <c r="J254" s="88"/>
      <c r="K254" s="88"/>
      <c r="L254" s="456"/>
      <c r="M254" s="88"/>
      <c r="N254" s="88"/>
      <c r="O254" s="88"/>
      <c r="P254" s="88"/>
      <c r="Q254" s="88"/>
      <c r="R254" s="88"/>
      <c r="S254" s="88"/>
      <c r="T254" s="88"/>
      <c r="U254" s="88"/>
      <c r="V254" s="88"/>
      <c r="W254" s="88"/>
      <c r="X254" s="88"/>
      <c r="Y254" s="88"/>
      <c r="Z254" s="88"/>
      <c r="AA254" s="88"/>
    </row>
    <row r="255">
      <c r="A255" s="88"/>
      <c r="B255" s="88"/>
      <c r="C255" s="88"/>
      <c r="D255" s="453"/>
      <c r="E255" s="88"/>
      <c r="F255" s="88"/>
      <c r="G255" s="88"/>
      <c r="H255" s="454"/>
      <c r="I255" s="455"/>
      <c r="J255" s="88"/>
      <c r="K255" s="88"/>
      <c r="L255" s="456"/>
      <c r="M255" s="88"/>
      <c r="N255" s="88"/>
      <c r="O255" s="88"/>
      <c r="P255" s="88"/>
      <c r="Q255" s="88"/>
      <c r="R255" s="88"/>
      <c r="S255" s="88"/>
      <c r="T255" s="88"/>
      <c r="U255" s="88"/>
      <c r="V255" s="88"/>
      <c r="W255" s="88"/>
      <c r="X255" s="88"/>
      <c r="Y255" s="88"/>
      <c r="Z255" s="88"/>
      <c r="AA255" s="88"/>
    </row>
    <row r="256">
      <c r="A256" s="88"/>
      <c r="B256" s="88"/>
      <c r="C256" s="88"/>
      <c r="D256" s="453"/>
      <c r="E256" s="88"/>
      <c r="F256" s="88"/>
      <c r="G256" s="88"/>
      <c r="H256" s="454"/>
      <c r="I256" s="455"/>
      <c r="J256" s="88"/>
      <c r="K256" s="88"/>
      <c r="L256" s="456"/>
      <c r="M256" s="88"/>
      <c r="N256" s="88"/>
      <c r="O256" s="88"/>
      <c r="P256" s="88"/>
      <c r="Q256" s="88"/>
      <c r="R256" s="88"/>
      <c r="S256" s="88"/>
      <c r="T256" s="88"/>
      <c r="U256" s="88"/>
      <c r="V256" s="88"/>
      <c r="W256" s="88"/>
      <c r="X256" s="88"/>
      <c r="Y256" s="88"/>
      <c r="Z256" s="88"/>
      <c r="AA256" s="88"/>
    </row>
    <row r="257">
      <c r="A257" s="88"/>
      <c r="B257" s="88"/>
      <c r="C257" s="88"/>
      <c r="D257" s="453"/>
      <c r="E257" s="88"/>
      <c r="F257" s="88"/>
      <c r="G257" s="88"/>
      <c r="H257" s="454"/>
      <c r="I257" s="455"/>
      <c r="J257" s="88"/>
      <c r="K257" s="88"/>
      <c r="L257" s="456"/>
      <c r="M257" s="88"/>
      <c r="N257" s="88"/>
      <c r="O257" s="88"/>
      <c r="P257" s="88"/>
      <c r="Q257" s="88"/>
      <c r="R257" s="88"/>
      <c r="S257" s="88"/>
      <c r="T257" s="88"/>
      <c r="U257" s="88"/>
      <c r="V257" s="88"/>
      <c r="W257" s="88"/>
      <c r="X257" s="88"/>
      <c r="Y257" s="88"/>
      <c r="Z257" s="88"/>
      <c r="AA257" s="88"/>
    </row>
    <row r="258">
      <c r="A258" s="88"/>
      <c r="B258" s="88"/>
      <c r="C258" s="88"/>
      <c r="D258" s="453"/>
      <c r="E258" s="88"/>
      <c r="F258" s="88"/>
      <c r="G258" s="88"/>
      <c r="H258" s="454"/>
      <c r="I258" s="455"/>
      <c r="J258" s="88"/>
      <c r="K258" s="88"/>
      <c r="L258" s="456"/>
      <c r="M258" s="88"/>
      <c r="N258" s="88"/>
      <c r="O258" s="88"/>
      <c r="P258" s="88"/>
      <c r="Q258" s="88"/>
      <c r="R258" s="88"/>
      <c r="S258" s="88"/>
      <c r="T258" s="88"/>
      <c r="U258" s="88"/>
      <c r="V258" s="88"/>
      <c r="W258" s="88"/>
      <c r="X258" s="88"/>
      <c r="Y258" s="88"/>
      <c r="Z258" s="88"/>
      <c r="AA258" s="88"/>
    </row>
    <row r="259">
      <c r="A259" s="88"/>
      <c r="B259" s="88"/>
      <c r="C259" s="88"/>
      <c r="D259" s="453"/>
      <c r="E259" s="88"/>
      <c r="F259" s="88"/>
      <c r="G259" s="88"/>
      <c r="H259" s="454"/>
      <c r="I259" s="455"/>
      <c r="J259" s="88"/>
      <c r="K259" s="88"/>
      <c r="L259" s="456"/>
      <c r="M259" s="88"/>
      <c r="N259" s="88"/>
      <c r="O259" s="88"/>
      <c r="P259" s="88"/>
      <c r="Q259" s="88"/>
      <c r="R259" s="88"/>
      <c r="S259" s="88"/>
      <c r="T259" s="88"/>
      <c r="U259" s="88"/>
      <c r="V259" s="88"/>
      <c r="W259" s="88"/>
      <c r="X259" s="88"/>
      <c r="Y259" s="88"/>
      <c r="Z259" s="88"/>
      <c r="AA259" s="88"/>
    </row>
    <row r="260">
      <c r="A260" s="88"/>
      <c r="B260" s="88"/>
      <c r="C260" s="88"/>
      <c r="D260" s="453"/>
      <c r="E260" s="88"/>
      <c r="F260" s="88"/>
      <c r="G260" s="88"/>
      <c r="H260" s="454"/>
      <c r="I260" s="455"/>
      <c r="J260" s="88"/>
      <c r="K260" s="88"/>
      <c r="L260" s="456"/>
      <c r="M260" s="88"/>
      <c r="N260" s="88"/>
      <c r="O260" s="88"/>
      <c r="P260" s="88"/>
      <c r="Q260" s="88"/>
      <c r="R260" s="88"/>
      <c r="S260" s="88"/>
      <c r="T260" s="88"/>
      <c r="U260" s="88"/>
      <c r="V260" s="88"/>
      <c r="W260" s="88"/>
      <c r="X260" s="88"/>
      <c r="Y260" s="88"/>
      <c r="Z260" s="88"/>
      <c r="AA260" s="88"/>
    </row>
    <row r="261">
      <c r="A261" s="88"/>
      <c r="B261" s="88"/>
      <c r="C261" s="88"/>
      <c r="D261" s="453"/>
      <c r="E261" s="88"/>
      <c r="F261" s="88"/>
      <c r="G261" s="88"/>
      <c r="H261" s="454"/>
      <c r="I261" s="455"/>
      <c r="J261" s="88"/>
      <c r="K261" s="88"/>
      <c r="L261" s="456"/>
      <c r="M261" s="88"/>
      <c r="N261" s="88"/>
      <c r="O261" s="88"/>
      <c r="P261" s="88"/>
      <c r="Q261" s="88"/>
      <c r="R261" s="88"/>
      <c r="S261" s="88"/>
      <c r="T261" s="88"/>
      <c r="U261" s="88"/>
      <c r="V261" s="88"/>
      <c r="W261" s="88"/>
      <c r="X261" s="88"/>
      <c r="Y261" s="88"/>
      <c r="Z261" s="88"/>
      <c r="AA261" s="88"/>
    </row>
    <row r="262">
      <c r="A262" s="88"/>
      <c r="B262" s="88"/>
      <c r="C262" s="88"/>
      <c r="D262" s="453"/>
      <c r="E262" s="88"/>
      <c r="F262" s="88"/>
      <c r="G262" s="88"/>
      <c r="H262" s="454"/>
      <c r="I262" s="455"/>
      <c r="J262" s="88"/>
      <c r="K262" s="88"/>
      <c r="L262" s="456"/>
      <c r="M262" s="88"/>
      <c r="N262" s="88"/>
      <c r="O262" s="88"/>
      <c r="P262" s="88"/>
      <c r="Q262" s="88"/>
      <c r="R262" s="88"/>
      <c r="S262" s="88"/>
      <c r="T262" s="88"/>
      <c r="U262" s="88"/>
      <c r="V262" s="88"/>
      <c r="W262" s="88"/>
      <c r="X262" s="88"/>
      <c r="Y262" s="88"/>
      <c r="Z262" s="88"/>
      <c r="AA262" s="88"/>
    </row>
    <row r="263">
      <c r="A263" s="88"/>
      <c r="B263" s="88"/>
      <c r="C263" s="88"/>
      <c r="D263" s="453"/>
      <c r="E263" s="88"/>
      <c r="F263" s="88"/>
      <c r="G263" s="88"/>
      <c r="H263" s="454"/>
      <c r="I263" s="455"/>
      <c r="J263" s="88"/>
      <c r="K263" s="88"/>
      <c r="L263" s="456"/>
      <c r="M263" s="88"/>
      <c r="N263" s="88"/>
      <c r="O263" s="88"/>
      <c r="P263" s="88"/>
      <c r="Q263" s="88"/>
      <c r="R263" s="88"/>
      <c r="S263" s="88"/>
      <c r="T263" s="88"/>
      <c r="U263" s="88"/>
      <c r="V263" s="88"/>
      <c r="W263" s="88"/>
      <c r="X263" s="88"/>
      <c r="Y263" s="88"/>
      <c r="Z263" s="88"/>
      <c r="AA263" s="88"/>
    </row>
    <row r="264">
      <c r="A264" s="88"/>
      <c r="B264" s="88"/>
      <c r="C264" s="88"/>
      <c r="D264" s="453"/>
      <c r="E264" s="88"/>
      <c r="F264" s="88"/>
      <c r="G264" s="88"/>
      <c r="H264" s="454"/>
      <c r="I264" s="455"/>
      <c r="J264" s="88"/>
      <c r="K264" s="88"/>
      <c r="L264" s="456"/>
      <c r="M264" s="88"/>
      <c r="N264" s="88"/>
      <c r="O264" s="88"/>
      <c r="P264" s="88"/>
      <c r="Q264" s="88"/>
      <c r="R264" s="88"/>
      <c r="S264" s="88"/>
      <c r="T264" s="88"/>
      <c r="U264" s="88"/>
      <c r="V264" s="88"/>
      <c r="W264" s="88"/>
      <c r="X264" s="88"/>
      <c r="Y264" s="88"/>
      <c r="Z264" s="88"/>
      <c r="AA264" s="88"/>
    </row>
    <row r="265">
      <c r="A265" s="88"/>
      <c r="B265" s="88"/>
      <c r="C265" s="88"/>
      <c r="D265" s="453"/>
      <c r="E265" s="88"/>
      <c r="F265" s="88"/>
      <c r="G265" s="88"/>
      <c r="H265" s="454"/>
      <c r="I265" s="455"/>
      <c r="J265" s="88"/>
      <c r="K265" s="88"/>
      <c r="L265" s="456"/>
      <c r="M265" s="88"/>
      <c r="N265" s="88"/>
      <c r="O265" s="88"/>
      <c r="P265" s="88"/>
      <c r="Q265" s="88"/>
      <c r="R265" s="88"/>
      <c r="S265" s="88"/>
      <c r="T265" s="88"/>
      <c r="U265" s="88"/>
      <c r="V265" s="88"/>
      <c r="W265" s="88"/>
      <c r="X265" s="88"/>
      <c r="Y265" s="88"/>
      <c r="Z265" s="88"/>
      <c r="AA265" s="88"/>
    </row>
    <row r="266">
      <c r="A266" s="88"/>
      <c r="B266" s="88"/>
      <c r="C266" s="88"/>
      <c r="D266" s="453"/>
      <c r="E266" s="88"/>
      <c r="F266" s="88"/>
      <c r="G266" s="88"/>
      <c r="H266" s="454"/>
      <c r="I266" s="455"/>
      <c r="J266" s="88"/>
      <c r="K266" s="88"/>
      <c r="L266" s="456"/>
      <c r="M266" s="88"/>
      <c r="N266" s="88"/>
      <c r="O266" s="88"/>
      <c r="P266" s="88"/>
      <c r="Q266" s="88"/>
      <c r="R266" s="88"/>
      <c r="S266" s="88"/>
      <c r="T266" s="88"/>
      <c r="U266" s="88"/>
      <c r="V266" s="88"/>
      <c r="W266" s="88"/>
      <c r="X266" s="88"/>
      <c r="Y266" s="88"/>
      <c r="Z266" s="88"/>
      <c r="AA266" s="88"/>
    </row>
    <row r="267">
      <c r="A267" s="88"/>
      <c r="B267" s="88"/>
      <c r="C267" s="88"/>
      <c r="D267" s="453"/>
      <c r="E267" s="88"/>
      <c r="F267" s="88"/>
      <c r="G267" s="88"/>
      <c r="H267" s="454"/>
      <c r="I267" s="455"/>
      <c r="J267" s="88"/>
      <c r="K267" s="88"/>
      <c r="L267" s="456"/>
      <c r="M267" s="88"/>
      <c r="N267" s="88"/>
      <c r="O267" s="88"/>
      <c r="P267" s="88"/>
      <c r="Q267" s="88"/>
      <c r="R267" s="88"/>
      <c r="S267" s="88"/>
      <c r="T267" s="88"/>
      <c r="U267" s="88"/>
      <c r="V267" s="88"/>
      <c r="W267" s="88"/>
      <c r="X267" s="88"/>
      <c r="Y267" s="88"/>
      <c r="Z267" s="88"/>
      <c r="AA267" s="88"/>
    </row>
    <row r="268">
      <c r="A268" s="88"/>
      <c r="B268" s="88"/>
      <c r="C268" s="88"/>
      <c r="D268" s="453"/>
      <c r="E268" s="88"/>
      <c r="F268" s="88"/>
      <c r="G268" s="88"/>
      <c r="H268" s="454"/>
      <c r="I268" s="455"/>
      <c r="J268" s="88"/>
      <c r="K268" s="88"/>
      <c r="L268" s="456"/>
      <c r="M268" s="88"/>
      <c r="N268" s="88"/>
      <c r="O268" s="88"/>
      <c r="P268" s="88"/>
      <c r="Q268" s="88"/>
      <c r="R268" s="88"/>
      <c r="S268" s="88"/>
      <c r="T268" s="88"/>
      <c r="U268" s="88"/>
      <c r="V268" s="88"/>
      <c r="W268" s="88"/>
      <c r="X268" s="88"/>
      <c r="Y268" s="88"/>
      <c r="Z268" s="88"/>
      <c r="AA268" s="88"/>
    </row>
    <row r="269">
      <c r="A269" s="88"/>
      <c r="B269" s="88"/>
      <c r="C269" s="88"/>
      <c r="D269" s="453"/>
      <c r="E269" s="88"/>
      <c r="F269" s="88"/>
      <c r="G269" s="88"/>
      <c r="H269" s="454"/>
      <c r="I269" s="455"/>
      <c r="J269" s="88"/>
      <c r="K269" s="88"/>
      <c r="L269" s="456"/>
      <c r="M269" s="88"/>
      <c r="N269" s="88"/>
      <c r="O269" s="88"/>
      <c r="P269" s="88"/>
      <c r="Q269" s="88"/>
      <c r="R269" s="88"/>
      <c r="S269" s="88"/>
      <c r="T269" s="88"/>
      <c r="U269" s="88"/>
      <c r="V269" s="88"/>
      <c r="W269" s="88"/>
      <c r="X269" s="88"/>
      <c r="Y269" s="88"/>
      <c r="Z269" s="88"/>
      <c r="AA269" s="88"/>
    </row>
    <row r="270">
      <c r="A270" s="88"/>
      <c r="B270" s="88"/>
      <c r="C270" s="88"/>
      <c r="D270" s="453"/>
      <c r="E270" s="88"/>
      <c r="F270" s="88"/>
      <c r="G270" s="88"/>
      <c r="H270" s="454"/>
      <c r="I270" s="455"/>
      <c r="J270" s="88"/>
      <c r="K270" s="88"/>
      <c r="L270" s="456"/>
      <c r="M270" s="88"/>
      <c r="N270" s="88"/>
      <c r="O270" s="88"/>
      <c r="P270" s="88"/>
      <c r="Q270" s="88"/>
      <c r="R270" s="88"/>
      <c r="S270" s="88"/>
      <c r="T270" s="88"/>
      <c r="U270" s="88"/>
      <c r="V270" s="88"/>
      <c r="W270" s="88"/>
      <c r="X270" s="88"/>
      <c r="Y270" s="88"/>
      <c r="Z270" s="88"/>
      <c r="AA270" s="88"/>
    </row>
    <row r="271">
      <c r="A271" s="88"/>
      <c r="B271" s="88"/>
      <c r="C271" s="88"/>
      <c r="D271" s="453"/>
      <c r="E271" s="88"/>
      <c r="F271" s="88"/>
      <c r="G271" s="88"/>
      <c r="H271" s="454"/>
      <c r="I271" s="455"/>
      <c r="J271" s="88"/>
      <c r="K271" s="88"/>
      <c r="L271" s="456"/>
      <c r="M271" s="88"/>
      <c r="N271" s="88"/>
      <c r="O271" s="88"/>
      <c r="P271" s="88"/>
      <c r="Q271" s="88"/>
      <c r="R271" s="88"/>
      <c r="S271" s="88"/>
      <c r="T271" s="88"/>
      <c r="U271" s="88"/>
      <c r="V271" s="88"/>
      <c r="W271" s="88"/>
      <c r="X271" s="88"/>
      <c r="Y271" s="88"/>
      <c r="Z271" s="88"/>
      <c r="AA271" s="88"/>
    </row>
    <row r="272">
      <c r="A272" s="88"/>
      <c r="B272" s="88"/>
      <c r="C272" s="88"/>
      <c r="D272" s="453"/>
      <c r="E272" s="88"/>
      <c r="F272" s="88"/>
      <c r="G272" s="88"/>
      <c r="H272" s="454"/>
      <c r="I272" s="455"/>
      <c r="J272" s="88"/>
      <c r="K272" s="88"/>
      <c r="L272" s="456"/>
      <c r="M272" s="88"/>
      <c r="N272" s="88"/>
      <c r="O272" s="88"/>
      <c r="P272" s="88"/>
      <c r="Q272" s="88"/>
      <c r="R272" s="88"/>
      <c r="S272" s="88"/>
      <c r="T272" s="88"/>
      <c r="U272" s="88"/>
      <c r="V272" s="88"/>
      <c r="W272" s="88"/>
      <c r="X272" s="88"/>
      <c r="Y272" s="88"/>
      <c r="Z272" s="88"/>
      <c r="AA272" s="88"/>
    </row>
    <row r="273">
      <c r="A273" s="88"/>
      <c r="B273" s="88"/>
      <c r="C273" s="88"/>
      <c r="D273" s="453"/>
      <c r="E273" s="88"/>
      <c r="F273" s="88"/>
      <c r="G273" s="88"/>
      <c r="H273" s="454"/>
      <c r="I273" s="455"/>
      <c r="J273" s="88"/>
      <c r="K273" s="88"/>
      <c r="L273" s="456"/>
      <c r="M273" s="88"/>
      <c r="N273" s="88"/>
      <c r="O273" s="88"/>
      <c r="P273" s="88"/>
      <c r="Q273" s="88"/>
      <c r="R273" s="88"/>
      <c r="S273" s="88"/>
      <c r="T273" s="88"/>
      <c r="U273" s="88"/>
      <c r="V273" s="88"/>
      <c r="W273" s="88"/>
      <c r="X273" s="88"/>
      <c r="Y273" s="88"/>
      <c r="Z273" s="88"/>
      <c r="AA273" s="88"/>
    </row>
    <row r="274">
      <c r="A274" s="88"/>
      <c r="B274" s="88"/>
      <c r="C274" s="88"/>
      <c r="D274" s="453"/>
      <c r="E274" s="88"/>
      <c r="F274" s="88"/>
      <c r="G274" s="88"/>
      <c r="H274" s="454"/>
      <c r="I274" s="455"/>
      <c r="J274" s="88"/>
      <c r="K274" s="88"/>
      <c r="L274" s="456"/>
      <c r="M274" s="88"/>
      <c r="N274" s="88"/>
      <c r="O274" s="88"/>
      <c r="P274" s="88"/>
      <c r="Q274" s="88"/>
      <c r="R274" s="88"/>
      <c r="S274" s="88"/>
      <c r="T274" s="88"/>
      <c r="U274" s="88"/>
      <c r="V274" s="88"/>
      <c r="W274" s="88"/>
      <c r="X274" s="88"/>
      <c r="Y274" s="88"/>
      <c r="Z274" s="88"/>
      <c r="AA274" s="88"/>
    </row>
    <row r="275">
      <c r="A275" s="88"/>
      <c r="B275" s="88"/>
      <c r="C275" s="88"/>
      <c r="D275" s="453"/>
      <c r="E275" s="88"/>
      <c r="F275" s="88"/>
      <c r="G275" s="88"/>
      <c r="H275" s="454"/>
      <c r="I275" s="455"/>
      <c r="J275" s="88"/>
      <c r="K275" s="88"/>
      <c r="L275" s="456"/>
      <c r="M275" s="88"/>
      <c r="N275" s="88"/>
      <c r="O275" s="88"/>
      <c r="P275" s="88"/>
      <c r="Q275" s="88"/>
      <c r="R275" s="88"/>
      <c r="S275" s="88"/>
      <c r="T275" s="88"/>
      <c r="U275" s="88"/>
      <c r="V275" s="88"/>
      <c r="W275" s="88"/>
      <c r="X275" s="88"/>
      <c r="Y275" s="88"/>
      <c r="Z275" s="88"/>
      <c r="AA275" s="88"/>
    </row>
    <row r="276">
      <c r="A276" s="88"/>
      <c r="B276" s="88"/>
      <c r="C276" s="88"/>
      <c r="D276" s="453"/>
      <c r="E276" s="88"/>
      <c r="F276" s="88"/>
      <c r="G276" s="88"/>
      <c r="H276" s="454"/>
      <c r="I276" s="455"/>
      <c r="J276" s="88"/>
      <c r="K276" s="88"/>
      <c r="L276" s="456"/>
      <c r="M276" s="88"/>
      <c r="N276" s="88"/>
      <c r="O276" s="88"/>
      <c r="P276" s="88"/>
      <c r="Q276" s="88"/>
      <c r="R276" s="88"/>
      <c r="S276" s="88"/>
      <c r="T276" s="88"/>
      <c r="U276" s="88"/>
      <c r="V276" s="88"/>
      <c r="W276" s="88"/>
      <c r="X276" s="88"/>
      <c r="Y276" s="88"/>
      <c r="Z276" s="88"/>
      <c r="AA276" s="88"/>
    </row>
    <row r="277">
      <c r="A277" s="88"/>
      <c r="B277" s="88"/>
      <c r="C277" s="88"/>
      <c r="D277" s="453"/>
      <c r="E277" s="88"/>
      <c r="F277" s="88"/>
      <c r="G277" s="88"/>
      <c r="H277" s="454"/>
      <c r="I277" s="455"/>
      <c r="J277" s="88"/>
      <c r="K277" s="88"/>
      <c r="L277" s="456"/>
      <c r="M277" s="88"/>
      <c r="N277" s="88"/>
      <c r="O277" s="88"/>
      <c r="P277" s="88"/>
      <c r="Q277" s="88"/>
      <c r="R277" s="88"/>
      <c r="S277" s="88"/>
      <c r="T277" s="88"/>
      <c r="U277" s="88"/>
      <c r="V277" s="88"/>
      <c r="W277" s="88"/>
      <c r="X277" s="88"/>
      <c r="Y277" s="88"/>
      <c r="Z277" s="88"/>
      <c r="AA277" s="88"/>
    </row>
    <row r="278">
      <c r="A278" s="88"/>
      <c r="B278" s="88"/>
      <c r="C278" s="88"/>
      <c r="D278" s="453"/>
      <c r="E278" s="88"/>
      <c r="F278" s="88"/>
      <c r="G278" s="88"/>
      <c r="H278" s="454"/>
      <c r="I278" s="455"/>
      <c r="J278" s="88"/>
      <c r="K278" s="88"/>
      <c r="L278" s="456"/>
      <c r="M278" s="88"/>
      <c r="N278" s="88"/>
      <c r="O278" s="88"/>
      <c r="P278" s="88"/>
      <c r="Q278" s="88"/>
      <c r="R278" s="88"/>
      <c r="S278" s="88"/>
      <c r="T278" s="88"/>
      <c r="U278" s="88"/>
      <c r="V278" s="88"/>
      <c r="W278" s="88"/>
      <c r="X278" s="88"/>
      <c r="Y278" s="88"/>
      <c r="Z278" s="88"/>
      <c r="AA278" s="88"/>
    </row>
    <row r="279">
      <c r="A279" s="88"/>
      <c r="B279" s="88"/>
      <c r="C279" s="88"/>
      <c r="D279" s="453"/>
      <c r="E279" s="88"/>
      <c r="F279" s="88"/>
      <c r="G279" s="88"/>
      <c r="H279" s="454"/>
      <c r="I279" s="455"/>
      <c r="J279" s="88"/>
      <c r="K279" s="88"/>
      <c r="L279" s="456"/>
      <c r="M279" s="88"/>
      <c r="N279" s="88"/>
      <c r="O279" s="88"/>
      <c r="P279" s="88"/>
      <c r="Q279" s="88"/>
      <c r="R279" s="88"/>
      <c r="S279" s="88"/>
      <c r="T279" s="88"/>
      <c r="U279" s="88"/>
      <c r="V279" s="88"/>
      <c r="W279" s="88"/>
      <c r="X279" s="88"/>
      <c r="Y279" s="88"/>
      <c r="Z279" s="88"/>
      <c r="AA279" s="88"/>
    </row>
    <row r="280">
      <c r="A280" s="88"/>
      <c r="B280" s="88"/>
      <c r="C280" s="88"/>
      <c r="D280" s="453"/>
      <c r="E280" s="88"/>
      <c r="F280" s="88"/>
      <c r="G280" s="88"/>
      <c r="H280" s="454"/>
      <c r="I280" s="455"/>
      <c r="J280" s="88"/>
      <c r="K280" s="88"/>
      <c r="L280" s="456"/>
      <c r="M280" s="88"/>
      <c r="N280" s="88"/>
      <c r="O280" s="88"/>
      <c r="P280" s="88"/>
      <c r="Q280" s="88"/>
      <c r="R280" s="88"/>
      <c r="S280" s="88"/>
      <c r="T280" s="88"/>
      <c r="U280" s="88"/>
      <c r="V280" s="88"/>
      <c r="W280" s="88"/>
      <c r="X280" s="88"/>
      <c r="Y280" s="88"/>
      <c r="Z280" s="88"/>
      <c r="AA280" s="88"/>
    </row>
    <row r="281">
      <c r="A281" s="88"/>
      <c r="B281" s="88"/>
      <c r="C281" s="88"/>
      <c r="D281" s="453"/>
      <c r="E281" s="88"/>
      <c r="F281" s="88"/>
      <c r="G281" s="88"/>
      <c r="H281" s="454"/>
      <c r="I281" s="455"/>
      <c r="J281" s="88"/>
      <c r="K281" s="88"/>
      <c r="L281" s="456"/>
      <c r="M281" s="88"/>
      <c r="N281" s="88"/>
      <c r="O281" s="88"/>
      <c r="P281" s="88"/>
      <c r="Q281" s="88"/>
      <c r="R281" s="88"/>
      <c r="S281" s="88"/>
      <c r="T281" s="88"/>
      <c r="U281" s="88"/>
      <c r="V281" s="88"/>
      <c r="W281" s="88"/>
      <c r="X281" s="88"/>
      <c r="Y281" s="88"/>
      <c r="Z281" s="88"/>
      <c r="AA281" s="88"/>
    </row>
    <row r="282">
      <c r="A282" s="88"/>
      <c r="B282" s="88"/>
      <c r="C282" s="88"/>
      <c r="D282" s="453"/>
      <c r="E282" s="88"/>
      <c r="F282" s="88"/>
      <c r="G282" s="88"/>
      <c r="H282" s="454"/>
      <c r="I282" s="455"/>
      <c r="J282" s="88"/>
      <c r="K282" s="88"/>
      <c r="L282" s="456"/>
      <c r="M282" s="88"/>
      <c r="N282" s="88"/>
      <c r="O282" s="88"/>
      <c r="P282" s="88"/>
      <c r="Q282" s="88"/>
      <c r="R282" s="88"/>
      <c r="S282" s="88"/>
      <c r="T282" s="88"/>
      <c r="U282" s="88"/>
      <c r="V282" s="88"/>
      <c r="W282" s="88"/>
      <c r="X282" s="88"/>
      <c r="Y282" s="88"/>
      <c r="Z282" s="88"/>
      <c r="AA282" s="88"/>
    </row>
    <row r="283">
      <c r="A283" s="88"/>
      <c r="B283" s="88"/>
      <c r="C283" s="88"/>
      <c r="D283" s="453"/>
      <c r="E283" s="88"/>
      <c r="F283" s="88"/>
      <c r="G283" s="88"/>
      <c r="H283" s="454"/>
      <c r="I283" s="455"/>
      <c r="J283" s="88"/>
      <c r="K283" s="88"/>
      <c r="L283" s="456"/>
      <c r="M283" s="88"/>
      <c r="N283" s="88"/>
      <c r="O283" s="88"/>
      <c r="P283" s="88"/>
      <c r="Q283" s="88"/>
      <c r="R283" s="88"/>
      <c r="S283" s="88"/>
      <c r="T283" s="88"/>
      <c r="U283" s="88"/>
      <c r="V283" s="88"/>
      <c r="W283" s="88"/>
      <c r="X283" s="88"/>
      <c r="Y283" s="88"/>
      <c r="Z283" s="88"/>
      <c r="AA283" s="88"/>
    </row>
    <row r="284">
      <c r="A284" s="88"/>
      <c r="B284" s="88"/>
      <c r="C284" s="88"/>
      <c r="D284" s="453"/>
      <c r="E284" s="88"/>
      <c r="F284" s="88"/>
      <c r="G284" s="88"/>
      <c r="H284" s="454"/>
      <c r="I284" s="455"/>
      <c r="J284" s="88"/>
      <c r="K284" s="88"/>
      <c r="L284" s="456"/>
      <c r="M284" s="88"/>
      <c r="N284" s="88"/>
      <c r="O284" s="88"/>
      <c r="P284" s="88"/>
      <c r="Q284" s="88"/>
      <c r="R284" s="88"/>
      <c r="S284" s="88"/>
      <c r="T284" s="88"/>
      <c r="U284" s="88"/>
      <c r="V284" s="88"/>
      <c r="W284" s="88"/>
      <c r="X284" s="88"/>
      <c r="Y284" s="88"/>
      <c r="Z284" s="88"/>
      <c r="AA284" s="88"/>
    </row>
    <row r="285">
      <c r="A285" s="88"/>
      <c r="B285" s="88"/>
      <c r="C285" s="88"/>
      <c r="D285" s="453"/>
      <c r="E285" s="88"/>
      <c r="F285" s="88"/>
      <c r="G285" s="88"/>
      <c r="H285" s="454"/>
      <c r="I285" s="455"/>
      <c r="J285" s="88"/>
      <c r="K285" s="88"/>
      <c r="L285" s="456"/>
      <c r="M285" s="88"/>
      <c r="N285" s="88"/>
      <c r="O285" s="88"/>
      <c r="P285" s="88"/>
      <c r="Q285" s="88"/>
      <c r="R285" s="88"/>
      <c r="S285" s="88"/>
      <c r="T285" s="88"/>
      <c r="U285" s="88"/>
      <c r="V285" s="88"/>
      <c r="W285" s="88"/>
      <c r="X285" s="88"/>
      <c r="Y285" s="88"/>
      <c r="Z285" s="88"/>
      <c r="AA285" s="88"/>
    </row>
    <row r="286">
      <c r="A286" s="88"/>
      <c r="B286" s="88"/>
      <c r="C286" s="88"/>
      <c r="D286" s="453"/>
      <c r="E286" s="88"/>
      <c r="F286" s="88"/>
      <c r="G286" s="88"/>
      <c r="H286" s="454"/>
      <c r="I286" s="455"/>
      <c r="J286" s="88"/>
      <c r="K286" s="88"/>
      <c r="L286" s="456"/>
      <c r="M286" s="88"/>
      <c r="N286" s="88"/>
      <c r="O286" s="88"/>
      <c r="P286" s="88"/>
      <c r="Q286" s="88"/>
      <c r="R286" s="88"/>
      <c r="S286" s="88"/>
      <c r="T286" s="88"/>
      <c r="U286" s="88"/>
      <c r="V286" s="88"/>
      <c r="W286" s="88"/>
      <c r="X286" s="88"/>
      <c r="Y286" s="88"/>
      <c r="Z286" s="88"/>
      <c r="AA286" s="88"/>
    </row>
    <row r="287">
      <c r="A287" s="88"/>
      <c r="B287" s="88"/>
      <c r="C287" s="88"/>
      <c r="D287" s="453"/>
      <c r="E287" s="88"/>
      <c r="F287" s="88"/>
      <c r="G287" s="88"/>
      <c r="H287" s="454"/>
      <c r="I287" s="455"/>
      <c r="J287" s="88"/>
      <c r="K287" s="88"/>
      <c r="L287" s="456"/>
      <c r="M287" s="88"/>
      <c r="N287" s="88"/>
      <c r="O287" s="88"/>
      <c r="P287" s="88"/>
      <c r="Q287" s="88"/>
      <c r="R287" s="88"/>
      <c r="S287" s="88"/>
      <c r="T287" s="88"/>
      <c r="U287" s="88"/>
      <c r="V287" s="88"/>
      <c r="W287" s="88"/>
      <c r="X287" s="88"/>
      <c r="Y287" s="88"/>
      <c r="Z287" s="88"/>
      <c r="AA287" s="88"/>
    </row>
    <row r="288">
      <c r="A288" s="88"/>
      <c r="B288" s="88"/>
      <c r="C288" s="88"/>
      <c r="D288" s="453"/>
      <c r="E288" s="88"/>
      <c r="F288" s="88"/>
      <c r="G288" s="88"/>
      <c r="H288" s="454"/>
      <c r="I288" s="455"/>
      <c r="J288" s="88"/>
      <c r="K288" s="88"/>
      <c r="L288" s="456"/>
      <c r="M288" s="88"/>
      <c r="N288" s="88"/>
      <c r="O288" s="88"/>
      <c r="P288" s="88"/>
      <c r="Q288" s="88"/>
      <c r="R288" s="88"/>
      <c r="S288" s="88"/>
      <c r="T288" s="88"/>
      <c r="U288" s="88"/>
      <c r="V288" s="88"/>
      <c r="W288" s="88"/>
      <c r="X288" s="88"/>
      <c r="Y288" s="88"/>
      <c r="Z288" s="88"/>
      <c r="AA288" s="88"/>
    </row>
    <row r="289">
      <c r="A289" s="88"/>
      <c r="B289" s="88"/>
      <c r="C289" s="88"/>
      <c r="D289" s="453"/>
      <c r="E289" s="88"/>
      <c r="F289" s="88"/>
      <c r="G289" s="88"/>
      <c r="H289" s="454"/>
      <c r="I289" s="455"/>
      <c r="J289" s="88"/>
      <c r="K289" s="88"/>
      <c r="L289" s="456"/>
      <c r="M289" s="88"/>
      <c r="N289" s="88"/>
      <c r="O289" s="88"/>
      <c r="P289" s="88"/>
      <c r="Q289" s="88"/>
      <c r="R289" s="88"/>
      <c r="S289" s="88"/>
      <c r="T289" s="88"/>
      <c r="U289" s="88"/>
      <c r="V289" s="88"/>
      <c r="W289" s="88"/>
      <c r="X289" s="88"/>
      <c r="Y289" s="88"/>
      <c r="Z289" s="88"/>
      <c r="AA289" s="88"/>
    </row>
    <row r="290">
      <c r="A290" s="88"/>
      <c r="B290" s="88"/>
      <c r="C290" s="88"/>
      <c r="D290" s="453"/>
      <c r="E290" s="88"/>
      <c r="F290" s="88"/>
      <c r="G290" s="88"/>
      <c r="H290" s="454"/>
      <c r="I290" s="455"/>
      <c r="J290" s="88"/>
      <c r="K290" s="88"/>
      <c r="L290" s="456"/>
      <c r="M290" s="88"/>
      <c r="N290" s="88"/>
      <c r="O290" s="88"/>
      <c r="P290" s="88"/>
      <c r="Q290" s="88"/>
      <c r="R290" s="88"/>
      <c r="S290" s="88"/>
      <c r="T290" s="88"/>
      <c r="U290" s="88"/>
      <c r="V290" s="88"/>
      <c r="W290" s="88"/>
      <c r="X290" s="88"/>
      <c r="Y290" s="88"/>
      <c r="Z290" s="88"/>
      <c r="AA290" s="88"/>
    </row>
    <row r="291">
      <c r="A291" s="88"/>
      <c r="B291" s="88"/>
      <c r="C291" s="88"/>
      <c r="D291" s="453"/>
      <c r="E291" s="88"/>
      <c r="F291" s="88"/>
      <c r="G291" s="88"/>
      <c r="H291" s="454"/>
      <c r="I291" s="455"/>
      <c r="J291" s="88"/>
      <c r="K291" s="88"/>
      <c r="L291" s="456"/>
      <c r="M291" s="88"/>
      <c r="N291" s="88"/>
      <c r="O291" s="88"/>
      <c r="P291" s="88"/>
      <c r="Q291" s="88"/>
      <c r="R291" s="88"/>
      <c r="S291" s="88"/>
      <c r="T291" s="88"/>
      <c r="U291" s="88"/>
      <c r="V291" s="88"/>
      <c r="W291" s="88"/>
      <c r="X291" s="88"/>
      <c r="Y291" s="88"/>
      <c r="Z291" s="88"/>
      <c r="AA291" s="88"/>
    </row>
    <row r="292">
      <c r="A292" s="88"/>
      <c r="B292" s="88"/>
      <c r="C292" s="88"/>
      <c r="D292" s="453"/>
      <c r="E292" s="88"/>
      <c r="F292" s="88"/>
      <c r="G292" s="88"/>
      <c r="H292" s="454"/>
      <c r="I292" s="455"/>
      <c r="J292" s="88"/>
      <c r="K292" s="88"/>
      <c r="L292" s="456"/>
      <c r="M292" s="88"/>
      <c r="N292" s="88"/>
      <c r="O292" s="88"/>
      <c r="P292" s="88"/>
      <c r="Q292" s="88"/>
      <c r="R292" s="88"/>
      <c r="S292" s="88"/>
      <c r="T292" s="88"/>
      <c r="U292" s="88"/>
      <c r="V292" s="88"/>
      <c r="W292" s="88"/>
      <c r="X292" s="88"/>
      <c r="Y292" s="88"/>
      <c r="Z292" s="88"/>
      <c r="AA292" s="88"/>
    </row>
    <row r="293">
      <c r="A293" s="88"/>
      <c r="B293" s="88"/>
      <c r="C293" s="88"/>
      <c r="D293" s="453"/>
      <c r="E293" s="88"/>
      <c r="F293" s="88"/>
      <c r="G293" s="88"/>
      <c r="H293" s="454"/>
      <c r="I293" s="455"/>
      <c r="J293" s="88"/>
      <c r="K293" s="88"/>
      <c r="L293" s="456"/>
      <c r="M293" s="88"/>
      <c r="N293" s="88"/>
      <c r="O293" s="88"/>
      <c r="P293" s="88"/>
      <c r="Q293" s="88"/>
      <c r="R293" s="88"/>
      <c r="S293" s="88"/>
      <c r="T293" s="88"/>
      <c r="U293" s="88"/>
      <c r="V293" s="88"/>
      <c r="W293" s="88"/>
      <c r="X293" s="88"/>
      <c r="Y293" s="88"/>
      <c r="Z293" s="88"/>
      <c r="AA293" s="88"/>
    </row>
    <row r="294">
      <c r="A294" s="88"/>
      <c r="B294" s="88"/>
      <c r="C294" s="88"/>
      <c r="D294" s="453"/>
      <c r="E294" s="88"/>
      <c r="F294" s="88"/>
      <c r="G294" s="88"/>
      <c r="H294" s="454"/>
      <c r="I294" s="455"/>
      <c r="J294" s="88"/>
      <c r="K294" s="88"/>
      <c r="L294" s="456"/>
      <c r="M294" s="88"/>
      <c r="N294" s="88"/>
      <c r="O294" s="88"/>
      <c r="P294" s="88"/>
      <c r="Q294" s="88"/>
      <c r="R294" s="88"/>
      <c r="S294" s="88"/>
      <c r="T294" s="88"/>
      <c r="U294" s="88"/>
      <c r="V294" s="88"/>
      <c r="W294" s="88"/>
      <c r="X294" s="88"/>
      <c r="Y294" s="88"/>
      <c r="Z294" s="88"/>
      <c r="AA294" s="88"/>
    </row>
    <row r="295">
      <c r="A295" s="88"/>
      <c r="B295" s="88"/>
      <c r="C295" s="88"/>
      <c r="D295" s="453"/>
      <c r="E295" s="88"/>
      <c r="F295" s="88"/>
      <c r="G295" s="88"/>
      <c r="H295" s="454"/>
      <c r="I295" s="455"/>
      <c r="J295" s="88"/>
      <c r="K295" s="88"/>
      <c r="L295" s="456"/>
      <c r="M295" s="88"/>
      <c r="N295" s="88"/>
      <c r="O295" s="88"/>
      <c r="P295" s="88"/>
      <c r="Q295" s="88"/>
      <c r="R295" s="88"/>
      <c r="S295" s="88"/>
      <c r="T295" s="88"/>
      <c r="U295" s="88"/>
      <c r="V295" s="88"/>
      <c r="W295" s="88"/>
      <c r="X295" s="88"/>
      <c r="Y295" s="88"/>
      <c r="Z295" s="88"/>
      <c r="AA295" s="88"/>
    </row>
    <row r="296">
      <c r="A296" s="88"/>
      <c r="B296" s="88"/>
      <c r="C296" s="88"/>
      <c r="D296" s="453"/>
      <c r="E296" s="88"/>
      <c r="F296" s="88"/>
      <c r="G296" s="88"/>
      <c r="H296" s="454"/>
      <c r="I296" s="455"/>
      <c r="J296" s="88"/>
      <c r="K296" s="88"/>
      <c r="L296" s="456"/>
      <c r="M296" s="88"/>
      <c r="N296" s="88"/>
      <c r="O296" s="88"/>
      <c r="P296" s="88"/>
      <c r="Q296" s="88"/>
      <c r="R296" s="88"/>
      <c r="S296" s="88"/>
      <c r="T296" s="88"/>
      <c r="U296" s="88"/>
      <c r="V296" s="88"/>
      <c r="W296" s="88"/>
      <c r="X296" s="88"/>
      <c r="Y296" s="88"/>
      <c r="Z296" s="88"/>
      <c r="AA296" s="88"/>
    </row>
    <row r="297">
      <c r="A297" s="88"/>
      <c r="B297" s="88"/>
      <c r="C297" s="88"/>
      <c r="D297" s="453"/>
      <c r="E297" s="88"/>
      <c r="F297" s="88"/>
      <c r="G297" s="88"/>
      <c r="H297" s="454"/>
      <c r="I297" s="455"/>
      <c r="J297" s="88"/>
      <c r="K297" s="88"/>
      <c r="L297" s="456"/>
      <c r="M297" s="88"/>
      <c r="N297" s="88"/>
      <c r="O297" s="88"/>
      <c r="P297" s="88"/>
      <c r="Q297" s="88"/>
      <c r="R297" s="88"/>
      <c r="S297" s="88"/>
      <c r="T297" s="88"/>
      <c r="U297" s="88"/>
      <c r="V297" s="88"/>
      <c r="W297" s="88"/>
      <c r="X297" s="88"/>
      <c r="Y297" s="88"/>
      <c r="Z297" s="88"/>
      <c r="AA297" s="88"/>
    </row>
    <row r="298">
      <c r="A298" s="88"/>
      <c r="B298" s="88"/>
      <c r="C298" s="88"/>
      <c r="D298" s="453"/>
      <c r="E298" s="88"/>
      <c r="F298" s="88"/>
      <c r="G298" s="88"/>
      <c r="H298" s="454"/>
      <c r="I298" s="455"/>
      <c r="J298" s="88"/>
      <c r="K298" s="88"/>
      <c r="L298" s="456"/>
      <c r="M298" s="88"/>
      <c r="N298" s="88"/>
      <c r="O298" s="88"/>
      <c r="P298" s="88"/>
      <c r="Q298" s="88"/>
      <c r="R298" s="88"/>
      <c r="S298" s="88"/>
      <c r="T298" s="88"/>
      <c r="U298" s="88"/>
      <c r="V298" s="88"/>
      <c r="W298" s="88"/>
      <c r="X298" s="88"/>
      <c r="Y298" s="88"/>
      <c r="Z298" s="88"/>
      <c r="AA298" s="88"/>
    </row>
    <row r="299">
      <c r="A299" s="88"/>
      <c r="B299" s="88"/>
      <c r="C299" s="88"/>
      <c r="D299" s="453"/>
      <c r="E299" s="88"/>
      <c r="F299" s="88"/>
      <c r="G299" s="88"/>
      <c r="H299" s="454"/>
      <c r="I299" s="455"/>
      <c r="J299" s="88"/>
      <c r="K299" s="88"/>
      <c r="L299" s="456"/>
      <c r="M299" s="88"/>
      <c r="N299" s="88"/>
      <c r="O299" s="88"/>
      <c r="P299" s="88"/>
      <c r="Q299" s="88"/>
      <c r="R299" s="88"/>
      <c r="S299" s="88"/>
      <c r="T299" s="88"/>
      <c r="U299" s="88"/>
      <c r="V299" s="88"/>
      <c r="W299" s="88"/>
      <c r="X299" s="88"/>
      <c r="Y299" s="88"/>
      <c r="Z299" s="88"/>
      <c r="AA299" s="88"/>
    </row>
    <row r="300">
      <c r="A300" s="88"/>
      <c r="B300" s="88"/>
      <c r="C300" s="88"/>
      <c r="D300" s="453"/>
      <c r="E300" s="88"/>
      <c r="F300" s="88"/>
      <c r="G300" s="88"/>
      <c r="H300" s="454"/>
      <c r="I300" s="455"/>
      <c r="J300" s="88"/>
      <c r="K300" s="88"/>
      <c r="L300" s="456"/>
      <c r="M300" s="88"/>
      <c r="N300" s="88"/>
      <c r="O300" s="88"/>
      <c r="P300" s="88"/>
      <c r="Q300" s="88"/>
      <c r="R300" s="88"/>
      <c r="S300" s="88"/>
      <c r="T300" s="88"/>
      <c r="U300" s="88"/>
      <c r="V300" s="88"/>
      <c r="W300" s="88"/>
      <c r="X300" s="88"/>
      <c r="Y300" s="88"/>
      <c r="Z300" s="88"/>
      <c r="AA300" s="88"/>
    </row>
    <row r="301">
      <c r="A301" s="88"/>
      <c r="B301" s="88"/>
      <c r="C301" s="88"/>
      <c r="D301" s="453"/>
      <c r="E301" s="88"/>
      <c r="F301" s="88"/>
      <c r="G301" s="88"/>
      <c r="H301" s="454"/>
      <c r="I301" s="455"/>
      <c r="J301" s="88"/>
      <c r="K301" s="88"/>
      <c r="L301" s="456"/>
      <c r="M301" s="88"/>
      <c r="N301" s="88"/>
      <c r="O301" s="88"/>
      <c r="P301" s="88"/>
      <c r="Q301" s="88"/>
      <c r="R301" s="88"/>
      <c r="S301" s="88"/>
      <c r="T301" s="88"/>
      <c r="U301" s="88"/>
      <c r="V301" s="88"/>
      <c r="W301" s="88"/>
      <c r="X301" s="88"/>
      <c r="Y301" s="88"/>
      <c r="Z301" s="88"/>
      <c r="AA301" s="88"/>
    </row>
    <row r="302">
      <c r="A302" s="88"/>
      <c r="B302" s="88"/>
      <c r="C302" s="88"/>
      <c r="D302" s="453"/>
      <c r="E302" s="88"/>
      <c r="F302" s="88"/>
      <c r="G302" s="88"/>
      <c r="H302" s="454"/>
      <c r="I302" s="455"/>
      <c r="J302" s="88"/>
      <c r="K302" s="88"/>
      <c r="L302" s="456"/>
      <c r="M302" s="88"/>
      <c r="N302" s="88"/>
      <c r="O302" s="88"/>
      <c r="P302" s="88"/>
      <c r="Q302" s="88"/>
      <c r="R302" s="88"/>
      <c r="S302" s="88"/>
      <c r="T302" s="88"/>
      <c r="U302" s="88"/>
      <c r="V302" s="88"/>
      <c r="W302" s="88"/>
      <c r="X302" s="88"/>
      <c r="Y302" s="88"/>
      <c r="Z302" s="88"/>
      <c r="AA302" s="88"/>
    </row>
    <row r="303">
      <c r="A303" s="88"/>
      <c r="B303" s="88"/>
      <c r="C303" s="88"/>
      <c r="D303" s="453"/>
      <c r="E303" s="88"/>
      <c r="F303" s="88"/>
      <c r="G303" s="88"/>
      <c r="H303" s="454"/>
      <c r="I303" s="455"/>
      <c r="J303" s="88"/>
      <c r="K303" s="88"/>
      <c r="L303" s="456"/>
      <c r="M303" s="88"/>
      <c r="N303" s="88"/>
      <c r="O303" s="88"/>
      <c r="P303" s="88"/>
      <c r="Q303" s="88"/>
      <c r="R303" s="88"/>
      <c r="S303" s="88"/>
      <c r="T303" s="88"/>
      <c r="U303" s="88"/>
      <c r="V303" s="88"/>
      <c r="W303" s="88"/>
      <c r="X303" s="88"/>
      <c r="Y303" s="88"/>
      <c r="Z303" s="88"/>
      <c r="AA303" s="88"/>
    </row>
    <row r="304">
      <c r="A304" s="88"/>
      <c r="B304" s="88"/>
      <c r="C304" s="88"/>
      <c r="D304" s="453"/>
      <c r="E304" s="88"/>
      <c r="F304" s="88"/>
      <c r="G304" s="88"/>
      <c r="H304" s="454"/>
      <c r="I304" s="455"/>
      <c r="J304" s="88"/>
      <c r="K304" s="88"/>
      <c r="L304" s="456"/>
      <c r="M304" s="88"/>
      <c r="N304" s="88"/>
      <c r="O304" s="88"/>
      <c r="P304" s="88"/>
      <c r="Q304" s="88"/>
      <c r="R304" s="88"/>
      <c r="S304" s="88"/>
      <c r="T304" s="88"/>
      <c r="U304" s="88"/>
      <c r="V304" s="88"/>
      <c r="W304" s="88"/>
      <c r="X304" s="88"/>
      <c r="Y304" s="88"/>
      <c r="Z304" s="88"/>
      <c r="AA304" s="88"/>
    </row>
    <row r="305">
      <c r="A305" s="88"/>
      <c r="B305" s="88"/>
      <c r="C305" s="88"/>
      <c r="D305" s="453"/>
      <c r="E305" s="88"/>
      <c r="F305" s="88"/>
      <c r="G305" s="88"/>
      <c r="H305" s="454"/>
      <c r="I305" s="455"/>
      <c r="J305" s="88"/>
      <c r="K305" s="88"/>
      <c r="L305" s="456"/>
      <c r="M305" s="88"/>
      <c r="N305" s="88"/>
      <c r="O305" s="88"/>
      <c r="P305" s="88"/>
      <c r="Q305" s="88"/>
      <c r="R305" s="88"/>
      <c r="S305" s="88"/>
      <c r="T305" s="88"/>
      <c r="U305" s="88"/>
      <c r="V305" s="88"/>
      <c r="W305" s="88"/>
      <c r="X305" s="88"/>
      <c r="Y305" s="88"/>
      <c r="Z305" s="88"/>
      <c r="AA305" s="88"/>
    </row>
    <row r="306">
      <c r="A306" s="88"/>
      <c r="B306" s="88"/>
      <c r="C306" s="88"/>
      <c r="D306" s="453"/>
      <c r="E306" s="88"/>
      <c r="F306" s="88"/>
      <c r="G306" s="88"/>
      <c r="H306" s="454"/>
      <c r="I306" s="455"/>
      <c r="J306" s="88"/>
      <c r="K306" s="88"/>
      <c r="L306" s="456"/>
      <c r="M306" s="88"/>
      <c r="N306" s="88"/>
      <c r="O306" s="88"/>
      <c r="P306" s="88"/>
      <c r="Q306" s="88"/>
      <c r="R306" s="88"/>
      <c r="S306" s="88"/>
      <c r="T306" s="88"/>
      <c r="U306" s="88"/>
      <c r="V306" s="88"/>
      <c r="W306" s="88"/>
      <c r="X306" s="88"/>
      <c r="Y306" s="88"/>
      <c r="Z306" s="88"/>
      <c r="AA306" s="88"/>
    </row>
    <row r="307">
      <c r="A307" s="88"/>
      <c r="B307" s="88"/>
      <c r="C307" s="88"/>
      <c r="D307" s="453"/>
      <c r="E307" s="88"/>
      <c r="F307" s="88"/>
      <c r="G307" s="88"/>
      <c r="H307" s="454"/>
      <c r="I307" s="455"/>
      <c r="J307" s="88"/>
      <c r="K307" s="88"/>
      <c r="L307" s="456"/>
      <c r="M307" s="88"/>
      <c r="N307" s="88"/>
      <c r="O307" s="88"/>
      <c r="P307" s="88"/>
      <c r="Q307" s="88"/>
      <c r="R307" s="88"/>
      <c r="S307" s="88"/>
      <c r="T307" s="88"/>
      <c r="U307" s="88"/>
      <c r="V307" s="88"/>
      <c r="W307" s="88"/>
      <c r="X307" s="88"/>
      <c r="Y307" s="88"/>
      <c r="Z307" s="88"/>
      <c r="AA307" s="88"/>
    </row>
    <row r="308">
      <c r="A308" s="88"/>
      <c r="B308" s="88"/>
      <c r="C308" s="88"/>
      <c r="D308" s="453"/>
      <c r="E308" s="88"/>
      <c r="F308" s="88"/>
      <c r="G308" s="88"/>
      <c r="H308" s="454"/>
      <c r="I308" s="455"/>
      <c r="J308" s="88"/>
      <c r="K308" s="88"/>
      <c r="L308" s="456"/>
      <c r="M308" s="88"/>
      <c r="N308" s="88"/>
      <c r="O308" s="88"/>
      <c r="P308" s="88"/>
      <c r="Q308" s="88"/>
      <c r="R308" s="88"/>
      <c r="S308" s="88"/>
      <c r="T308" s="88"/>
      <c r="U308" s="88"/>
      <c r="V308" s="88"/>
      <c r="W308" s="88"/>
      <c r="X308" s="88"/>
      <c r="Y308" s="88"/>
      <c r="Z308" s="88"/>
      <c r="AA308" s="88"/>
    </row>
    <row r="309">
      <c r="A309" s="88"/>
      <c r="B309" s="88"/>
      <c r="C309" s="88"/>
      <c r="D309" s="453"/>
      <c r="E309" s="88"/>
      <c r="F309" s="88"/>
      <c r="G309" s="88"/>
      <c r="H309" s="454"/>
      <c r="I309" s="455"/>
      <c r="J309" s="88"/>
      <c r="K309" s="88"/>
      <c r="L309" s="456"/>
      <c r="M309" s="88"/>
      <c r="N309" s="88"/>
      <c r="O309" s="88"/>
      <c r="P309" s="88"/>
      <c r="Q309" s="88"/>
      <c r="R309" s="88"/>
      <c r="S309" s="88"/>
      <c r="T309" s="88"/>
      <c r="U309" s="88"/>
      <c r="V309" s="88"/>
      <c r="W309" s="88"/>
      <c r="X309" s="88"/>
      <c r="Y309" s="88"/>
      <c r="Z309" s="88"/>
      <c r="AA309" s="88"/>
    </row>
    <row r="310">
      <c r="A310" s="88"/>
      <c r="B310" s="88"/>
      <c r="C310" s="88"/>
      <c r="D310" s="453"/>
      <c r="E310" s="88"/>
      <c r="F310" s="88"/>
      <c r="G310" s="88"/>
      <c r="H310" s="454"/>
      <c r="I310" s="455"/>
      <c r="J310" s="88"/>
      <c r="K310" s="88"/>
      <c r="L310" s="456"/>
      <c r="M310" s="88"/>
      <c r="N310" s="88"/>
      <c r="O310" s="88"/>
      <c r="P310" s="88"/>
      <c r="Q310" s="88"/>
      <c r="R310" s="88"/>
      <c r="S310" s="88"/>
      <c r="T310" s="88"/>
      <c r="U310" s="88"/>
      <c r="V310" s="88"/>
      <c r="W310" s="88"/>
      <c r="X310" s="88"/>
      <c r="Y310" s="88"/>
      <c r="Z310" s="88"/>
      <c r="AA310" s="88"/>
    </row>
    <row r="311">
      <c r="A311" s="88"/>
      <c r="B311" s="88"/>
      <c r="C311" s="88"/>
      <c r="D311" s="453"/>
      <c r="E311" s="88"/>
      <c r="F311" s="88"/>
      <c r="G311" s="88"/>
      <c r="H311" s="454"/>
      <c r="I311" s="455"/>
      <c r="J311" s="88"/>
      <c r="K311" s="88"/>
      <c r="L311" s="456"/>
      <c r="M311" s="88"/>
      <c r="N311" s="88"/>
      <c r="O311" s="88"/>
      <c r="P311" s="88"/>
      <c r="Q311" s="88"/>
      <c r="R311" s="88"/>
      <c r="S311" s="88"/>
      <c r="T311" s="88"/>
      <c r="U311" s="88"/>
      <c r="V311" s="88"/>
      <c r="W311" s="88"/>
      <c r="X311" s="88"/>
      <c r="Y311" s="88"/>
      <c r="Z311" s="88"/>
      <c r="AA311" s="88"/>
    </row>
    <row r="312">
      <c r="A312" s="88"/>
      <c r="B312" s="88"/>
      <c r="C312" s="88"/>
      <c r="D312" s="453"/>
      <c r="E312" s="88"/>
      <c r="F312" s="88"/>
      <c r="G312" s="88"/>
      <c r="H312" s="454"/>
      <c r="I312" s="455"/>
      <c r="J312" s="88"/>
      <c r="K312" s="88"/>
      <c r="L312" s="456"/>
      <c r="M312" s="88"/>
      <c r="N312" s="88"/>
      <c r="O312" s="88"/>
      <c r="P312" s="88"/>
      <c r="Q312" s="88"/>
      <c r="R312" s="88"/>
      <c r="S312" s="88"/>
      <c r="T312" s="88"/>
      <c r="U312" s="88"/>
      <c r="V312" s="88"/>
      <c r="W312" s="88"/>
      <c r="X312" s="88"/>
      <c r="Y312" s="88"/>
      <c r="Z312" s="88"/>
      <c r="AA312" s="88"/>
    </row>
    <row r="313">
      <c r="A313" s="88"/>
      <c r="B313" s="88"/>
      <c r="C313" s="88"/>
      <c r="D313" s="453"/>
      <c r="E313" s="88"/>
      <c r="F313" s="88"/>
      <c r="G313" s="88"/>
      <c r="H313" s="454"/>
      <c r="I313" s="455"/>
      <c r="J313" s="88"/>
      <c r="K313" s="88"/>
      <c r="L313" s="456"/>
      <c r="M313" s="88"/>
      <c r="N313" s="88"/>
      <c r="O313" s="88"/>
      <c r="P313" s="88"/>
      <c r="Q313" s="88"/>
      <c r="R313" s="88"/>
      <c r="S313" s="88"/>
      <c r="T313" s="88"/>
      <c r="U313" s="88"/>
      <c r="V313" s="88"/>
      <c r="W313" s="88"/>
      <c r="X313" s="88"/>
      <c r="Y313" s="88"/>
      <c r="Z313" s="88"/>
      <c r="AA313" s="88"/>
    </row>
    <row r="314">
      <c r="A314" s="88"/>
      <c r="B314" s="88"/>
      <c r="C314" s="88"/>
      <c r="D314" s="453"/>
      <c r="E314" s="88"/>
      <c r="F314" s="88"/>
      <c r="G314" s="88"/>
      <c r="H314" s="454"/>
      <c r="I314" s="455"/>
      <c r="J314" s="88"/>
      <c r="K314" s="88"/>
      <c r="L314" s="456"/>
      <c r="M314" s="88"/>
      <c r="N314" s="88"/>
      <c r="O314" s="88"/>
      <c r="P314" s="88"/>
      <c r="Q314" s="88"/>
      <c r="R314" s="88"/>
      <c r="S314" s="88"/>
      <c r="T314" s="88"/>
      <c r="U314" s="88"/>
      <c r="V314" s="88"/>
      <c r="W314" s="88"/>
      <c r="X314" s="88"/>
      <c r="Y314" s="88"/>
      <c r="Z314" s="88"/>
      <c r="AA314" s="88"/>
    </row>
    <row r="315">
      <c r="A315" s="88"/>
      <c r="B315" s="88"/>
      <c r="C315" s="88"/>
      <c r="D315" s="453"/>
      <c r="E315" s="88"/>
      <c r="F315" s="88"/>
      <c r="G315" s="88"/>
      <c r="H315" s="454"/>
      <c r="I315" s="455"/>
      <c r="J315" s="88"/>
      <c r="K315" s="88"/>
      <c r="L315" s="456"/>
      <c r="M315" s="88"/>
      <c r="N315" s="88"/>
      <c r="O315" s="88"/>
      <c r="P315" s="88"/>
      <c r="Q315" s="88"/>
      <c r="R315" s="88"/>
      <c r="S315" s="88"/>
      <c r="T315" s="88"/>
      <c r="U315" s="88"/>
      <c r="V315" s="88"/>
      <c r="W315" s="88"/>
      <c r="X315" s="88"/>
      <c r="Y315" s="88"/>
      <c r="Z315" s="88"/>
      <c r="AA315" s="88"/>
    </row>
    <row r="316">
      <c r="A316" s="88"/>
      <c r="B316" s="88"/>
      <c r="C316" s="88"/>
      <c r="D316" s="453"/>
      <c r="E316" s="88"/>
      <c r="F316" s="88"/>
      <c r="G316" s="88"/>
      <c r="H316" s="454"/>
      <c r="I316" s="455"/>
      <c r="J316" s="88"/>
      <c r="K316" s="88"/>
      <c r="L316" s="456"/>
      <c r="M316" s="88"/>
      <c r="N316" s="88"/>
      <c r="O316" s="88"/>
      <c r="P316" s="88"/>
      <c r="Q316" s="88"/>
      <c r="R316" s="88"/>
      <c r="S316" s="88"/>
      <c r="T316" s="88"/>
      <c r="U316" s="88"/>
      <c r="V316" s="88"/>
      <c r="W316" s="88"/>
      <c r="X316" s="88"/>
      <c r="Y316" s="88"/>
      <c r="Z316" s="88"/>
      <c r="AA316" s="88"/>
    </row>
    <row r="317">
      <c r="A317" s="88"/>
      <c r="B317" s="88"/>
      <c r="C317" s="88"/>
      <c r="D317" s="453"/>
      <c r="E317" s="88"/>
      <c r="F317" s="88"/>
      <c r="G317" s="88"/>
      <c r="H317" s="454"/>
      <c r="I317" s="455"/>
      <c r="J317" s="88"/>
      <c r="K317" s="88"/>
      <c r="L317" s="456"/>
      <c r="M317" s="88"/>
      <c r="N317" s="88"/>
      <c r="O317" s="88"/>
      <c r="P317" s="88"/>
      <c r="Q317" s="88"/>
      <c r="R317" s="88"/>
      <c r="S317" s="88"/>
      <c r="T317" s="88"/>
      <c r="U317" s="88"/>
      <c r="V317" s="88"/>
      <c r="W317" s="88"/>
      <c r="X317" s="88"/>
      <c r="Y317" s="88"/>
      <c r="Z317" s="88"/>
      <c r="AA317" s="88"/>
    </row>
    <row r="318">
      <c r="A318" s="88"/>
      <c r="B318" s="88"/>
      <c r="C318" s="88"/>
      <c r="D318" s="453"/>
      <c r="E318" s="88"/>
      <c r="F318" s="88"/>
      <c r="G318" s="88"/>
      <c r="H318" s="454"/>
      <c r="I318" s="455"/>
      <c r="J318" s="88"/>
      <c r="K318" s="88"/>
      <c r="L318" s="456"/>
      <c r="M318" s="88"/>
      <c r="N318" s="88"/>
      <c r="O318" s="88"/>
      <c r="P318" s="88"/>
      <c r="Q318" s="88"/>
      <c r="R318" s="88"/>
      <c r="S318" s="88"/>
      <c r="T318" s="88"/>
      <c r="U318" s="88"/>
      <c r="V318" s="88"/>
      <c r="W318" s="88"/>
      <c r="X318" s="88"/>
      <c r="Y318" s="88"/>
      <c r="Z318" s="88"/>
      <c r="AA318" s="88"/>
    </row>
    <row r="319">
      <c r="A319" s="88"/>
      <c r="B319" s="88"/>
      <c r="C319" s="88"/>
      <c r="D319" s="453"/>
      <c r="E319" s="88"/>
      <c r="F319" s="88"/>
      <c r="G319" s="88"/>
      <c r="H319" s="454"/>
      <c r="I319" s="455"/>
      <c r="J319" s="88"/>
      <c r="K319" s="88"/>
      <c r="L319" s="456"/>
      <c r="M319" s="88"/>
      <c r="N319" s="88"/>
      <c r="O319" s="88"/>
      <c r="P319" s="88"/>
      <c r="Q319" s="88"/>
      <c r="R319" s="88"/>
      <c r="S319" s="88"/>
      <c r="T319" s="88"/>
      <c r="U319" s="88"/>
      <c r="V319" s="88"/>
      <c r="W319" s="88"/>
      <c r="X319" s="88"/>
      <c r="Y319" s="88"/>
      <c r="Z319" s="88"/>
      <c r="AA319" s="88"/>
    </row>
    <row r="320">
      <c r="A320" s="88"/>
      <c r="B320" s="88"/>
      <c r="C320" s="88"/>
      <c r="D320" s="453"/>
      <c r="E320" s="88"/>
      <c r="F320" s="88"/>
      <c r="G320" s="88"/>
      <c r="H320" s="454"/>
      <c r="I320" s="455"/>
      <c r="J320" s="88"/>
      <c r="K320" s="88"/>
      <c r="L320" s="456"/>
      <c r="M320" s="88"/>
      <c r="N320" s="88"/>
      <c r="O320" s="88"/>
      <c r="P320" s="88"/>
      <c r="Q320" s="88"/>
      <c r="R320" s="88"/>
      <c r="S320" s="88"/>
      <c r="T320" s="88"/>
      <c r="U320" s="88"/>
      <c r="V320" s="88"/>
      <c r="W320" s="88"/>
      <c r="X320" s="88"/>
      <c r="Y320" s="88"/>
      <c r="Z320" s="88"/>
      <c r="AA320" s="88"/>
    </row>
    <row r="321">
      <c r="A321" s="88"/>
      <c r="B321" s="88"/>
      <c r="C321" s="88"/>
      <c r="D321" s="453"/>
      <c r="E321" s="88"/>
      <c r="F321" s="88"/>
      <c r="G321" s="88"/>
      <c r="H321" s="454"/>
      <c r="I321" s="455"/>
      <c r="J321" s="88"/>
      <c r="K321" s="88"/>
      <c r="L321" s="456"/>
      <c r="M321" s="88"/>
      <c r="N321" s="88"/>
      <c r="O321" s="88"/>
      <c r="P321" s="88"/>
      <c r="Q321" s="88"/>
      <c r="R321" s="88"/>
      <c r="S321" s="88"/>
      <c r="T321" s="88"/>
      <c r="U321" s="88"/>
      <c r="V321" s="88"/>
      <c r="W321" s="88"/>
      <c r="X321" s="88"/>
      <c r="Y321" s="88"/>
      <c r="Z321" s="88"/>
      <c r="AA321" s="88"/>
    </row>
    <row r="322">
      <c r="A322" s="88"/>
      <c r="B322" s="88"/>
      <c r="C322" s="88"/>
      <c r="D322" s="453"/>
      <c r="E322" s="88"/>
      <c r="F322" s="88"/>
      <c r="G322" s="88"/>
      <c r="H322" s="454"/>
      <c r="I322" s="455"/>
      <c r="J322" s="88"/>
      <c r="K322" s="88"/>
      <c r="L322" s="456"/>
      <c r="M322" s="88"/>
      <c r="N322" s="88"/>
      <c r="O322" s="88"/>
      <c r="P322" s="88"/>
      <c r="Q322" s="88"/>
      <c r="R322" s="88"/>
      <c r="S322" s="88"/>
      <c r="T322" s="88"/>
      <c r="U322" s="88"/>
      <c r="V322" s="88"/>
      <c r="W322" s="88"/>
      <c r="X322" s="88"/>
      <c r="Y322" s="88"/>
      <c r="Z322" s="88"/>
      <c r="AA322" s="88"/>
    </row>
    <row r="323">
      <c r="A323" s="88"/>
      <c r="B323" s="88"/>
      <c r="C323" s="88"/>
      <c r="D323" s="453"/>
      <c r="E323" s="88"/>
      <c r="F323" s="88"/>
      <c r="G323" s="88"/>
      <c r="H323" s="454"/>
      <c r="I323" s="455"/>
      <c r="J323" s="88"/>
      <c r="K323" s="88"/>
      <c r="L323" s="456"/>
      <c r="M323" s="88"/>
      <c r="N323" s="88"/>
      <c r="O323" s="88"/>
      <c r="P323" s="88"/>
      <c r="Q323" s="88"/>
      <c r="R323" s="88"/>
      <c r="S323" s="88"/>
      <c r="T323" s="88"/>
      <c r="U323" s="88"/>
      <c r="V323" s="88"/>
      <c r="W323" s="88"/>
      <c r="X323" s="88"/>
      <c r="Y323" s="88"/>
      <c r="Z323" s="88"/>
      <c r="AA323" s="88"/>
    </row>
    <row r="324">
      <c r="A324" s="88"/>
      <c r="B324" s="88"/>
      <c r="C324" s="88"/>
      <c r="D324" s="453"/>
      <c r="E324" s="88"/>
      <c r="F324" s="88"/>
      <c r="G324" s="88"/>
      <c r="H324" s="454"/>
      <c r="I324" s="455"/>
      <c r="J324" s="88"/>
      <c r="K324" s="88"/>
      <c r="L324" s="456"/>
      <c r="M324" s="88"/>
      <c r="N324" s="88"/>
      <c r="O324" s="88"/>
      <c r="P324" s="88"/>
      <c r="Q324" s="88"/>
      <c r="R324" s="88"/>
      <c r="S324" s="88"/>
      <c r="T324" s="88"/>
      <c r="U324" s="88"/>
      <c r="V324" s="88"/>
      <c r="W324" s="88"/>
      <c r="X324" s="88"/>
      <c r="Y324" s="88"/>
      <c r="Z324" s="88"/>
      <c r="AA324" s="88"/>
    </row>
    <row r="325">
      <c r="A325" s="88"/>
      <c r="B325" s="88"/>
      <c r="C325" s="88"/>
      <c r="D325" s="453"/>
      <c r="E325" s="88"/>
      <c r="F325" s="88"/>
      <c r="G325" s="88"/>
      <c r="H325" s="454"/>
      <c r="I325" s="455"/>
      <c r="J325" s="88"/>
      <c r="K325" s="88"/>
      <c r="L325" s="456"/>
      <c r="M325" s="88"/>
      <c r="N325" s="88"/>
      <c r="O325" s="88"/>
      <c r="P325" s="88"/>
      <c r="Q325" s="88"/>
      <c r="R325" s="88"/>
      <c r="S325" s="88"/>
      <c r="T325" s="88"/>
      <c r="U325" s="88"/>
      <c r="V325" s="88"/>
      <c r="W325" s="88"/>
      <c r="X325" s="88"/>
      <c r="Y325" s="88"/>
      <c r="Z325" s="88"/>
      <c r="AA325" s="88"/>
    </row>
    <row r="326">
      <c r="A326" s="88"/>
      <c r="B326" s="88"/>
      <c r="C326" s="88"/>
      <c r="D326" s="453"/>
      <c r="E326" s="88"/>
      <c r="F326" s="88"/>
      <c r="G326" s="88"/>
      <c r="H326" s="454"/>
      <c r="I326" s="455"/>
      <c r="J326" s="88"/>
      <c r="K326" s="88"/>
      <c r="L326" s="456"/>
      <c r="M326" s="88"/>
      <c r="N326" s="88"/>
      <c r="O326" s="88"/>
      <c r="P326" s="88"/>
      <c r="Q326" s="88"/>
      <c r="R326" s="88"/>
      <c r="S326" s="88"/>
      <c r="T326" s="88"/>
      <c r="U326" s="88"/>
      <c r="V326" s="88"/>
      <c r="W326" s="88"/>
      <c r="X326" s="88"/>
      <c r="Y326" s="88"/>
      <c r="Z326" s="88"/>
      <c r="AA326" s="88"/>
    </row>
    <row r="327">
      <c r="A327" s="88"/>
      <c r="B327" s="88"/>
      <c r="C327" s="88"/>
      <c r="D327" s="453"/>
      <c r="E327" s="88"/>
      <c r="F327" s="88"/>
      <c r="G327" s="88"/>
      <c r="H327" s="454"/>
      <c r="I327" s="455"/>
      <c r="J327" s="88"/>
      <c r="K327" s="88"/>
      <c r="L327" s="456"/>
      <c r="M327" s="88"/>
      <c r="N327" s="88"/>
      <c r="O327" s="88"/>
      <c r="P327" s="88"/>
      <c r="Q327" s="88"/>
      <c r="R327" s="88"/>
      <c r="S327" s="88"/>
      <c r="T327" s="88"/>
      <c r="U327" s="88"/>
      <c r="V327" s="88"/>
      <c r="W327" s="88"/>
      <c r="X327" s="88"/>
      <c r="Y327" s="88"/>
      <c r="Z327" s="88"/>
      <c r="AA327" s="88"/>
    </row>
    <row r="328">
      <c r="A328" s="88"/>
      <c r="B328" s="88"/>
      <c r="C328" s="88"/>
      <c r="D328" s="453"/>
      <c r="E328" s="88"/>
      <c r="F328" s="88"/>
      <c r="G328" s="88"/>
      <c r="H328" s="454"/>
      <c r="I328" s="455"/>
      <c r="J328" s="88"/>
      <c r="K328" s="88"/>
      <c r="L328" s="456"/>
      <c r="M328" s="88"/>
      <c r="N328" s="88"/>
      <c r="O328" s="88"/>
      <c r="P328" s="88"/>
      <c r="Q328" s="88"/>
      <c r="R328" s="88"/>
      <c r="S328" s="88"/>
      <c r="T328" s="88"/>
      <c r="U328" s="88"/>
      <c r="V328" s="88"/>
      <c r="W328" s="88"/>
      <c r="X328" s="88"/>
      <c r="Y328" s="88"/>
      <c r="Z328" s="88"/>
      <c r="AA328" s="88"/>
    </row>
    <row r="329">
      <c r="A329" s="88"/>
      <c r="B329" s="88"/>
      <c r="C329" s="88"/>
      <c r="D329" s="453"/>
      <c r="E329" s="88"/>
      <c r="F329" s="88"/>
      <c r="G329" s="88"/>
      <c r="H329" s="454"/>
      <c r="I329" s="455"/>
      <c r="J329" s="88"/>
      <c r="K329" s="88"/>
      <c r="L329" s="456"/>
      <c r="M329" s="88"/>
      <c r="N329" s="88"/>
      <c r="O329" s="88"/>
      <c r="P329" s="88"/>
      <c r="Q329" s="88"/>
      <c r="R329" s="88"/>
      <c r="S329" s="88"/>
      <c r="T329" s="88"/>
      <c r="U329" s="88"/>
      <c r="V329" s="88"/>
      <c r="W329" s="88"/>
      <c r="X329" s="88"/>
      <c r="Y329" s="88"/>
      <c r="Z329" s="88"/>
      <c r="AA329" s="88"/>
    </row>
    <row r="330">
      <c r="A330" s="88"/>
      <c r="B330" s="88"/>
      <c r="C330" s="88"/>
      <c r="D330" s="453"/>
      <c r="E330" s="88"/>
      <c r="F330" s="88"/>
      <c r="G330" s="88"/>
      <c r="H330" s="454"/>
      <c r="I330" s="455"/>
      <c r="J330" s="88"/>
      <c r="K330" s="88"/>
      <c r="L330" s="456"/>
      <c r="M330" s="88"/>
      <c r="N330" s="88"/>
      <c r="O330" s="88"/>
      <c r="P330" s="88"/>
      <c r="Q330" s="88"/>
      <c r="R330" s="88"/>
      <c r="S330" s="88"/>
      <c r="T330" s="88"/>
      <c r="U330" s="88"/>
      <c r="V330" s="88"/>
      <c r="W330" s="88"/>
      <c r="X330" s="88"/>
      <c r="Y330" s="88"/>
      <c r="Z330" s="88"/>
      <c r="AA330" s="88"/>
    </row>
    <row r="331">
      <c r="A331" s="88"/>
      <c r="B331" s="88"/>
      <c r="C331" s="88"/>
      <c r="D331" s="453"/>
      <c r="E331" s="88"/>
      <c r="F331" s="88"/>
      <c r="G331" s="88"/>
      <c r="H331" s="454"/>
      <c r="I331" s="455"/>
      <c r="J331" s="88"/>
      <c r="K331" s="88"/>
      <c r="L331" s="456"/>
      <c r="M331" s="88"/>
      <c r="N331" s="88"/>
      <c r="O331" s="88"/>
      <c r="P331" s="88"/>
      <c r="Q331" s="88"/>
      <c r="R331" s="88"/>
      <c r="S331" s="88"/>
      <c r="T331" s="88"/>
      <c r="U331" s="88"/>
      <c r="V331" s="88"/>
      <c r="W331" s="88"/>
      <c r="X331" s="88"/>
      <c r="Y331" s="88"/>
      <c r="Z331" s="88"/>
      <c r="AA331" s="88"/>
    </row>
    <row r="332">
      <c r="A332" s="88"/>
      <c r="B332" s="88"/>
      <c r="C332" s="88"/>
      <c r="D332" s="453"/>
      <c r="E332" s="88"/>
      <c r="F332" s="88"/>
      <c r="G332" s="88"/>
      <c r="H332" s="454"/>
      <c r="I332" s="455"/>
      <c r="J332" s="88"/>
      <c r="K332" s="88"/>
      <c r="L332" s="456"/>
      <c r="M332" s="88"/>
      <c r="N332" s="88"/>
      <c r="O332" s="88"/>
      <c r="P332" s="88"/>
      <c r="Q332" s="88"/>
      <c r="R332" s="88"/>
      <c r="S332" s="88"/>
      <c r="T332" s="88"/>
      <c r="U332" s="88"/>
      <c r="V332" s="88"/>
      <c r="W332" s="88"/>
      <c r="X332" s="88"/>
      <c r="Y332" s="88"/>
      <c r="Z332" s="88"/>
      <c r="AA332" s="88"/>
    </row>
    <row r="333">
      <c r="A333" s="88"/>
      <c r="B333" s="88"/>
      <c r="C333" s="88"/>
      <c r="D333" s="453"/>
      <c r="E333" s="88"/>
      <c r="F333" s="88"/>
      <c r="G333" s="88"/>
      <c r="H333" s="454"/>
      <c r="I333" s="455"/>
      <c r="J333" s="88"/>
      <c r="K333" s="88"/>
      <c r="L333" s="456"/>
      <c r="M333" s="88"/>
      <c r="N333" s="88"/>
      <c r="O333" s="88"/>
      <c r="P333" s="88"/>
      <c r="Q333" s="88"/>
      <c r="R333" s="88"/>
      <c r="S333" s="88"/>
      <c r="T333" s="88"/>
      <c r="U333" s="88"/>
      <c r="V333" s="88"/>
      <c r="W333" s="88"/>
      <c r="X333" s="88"/>
      <c r="Y333" s="88"/>
      <c r="Z333" s="88"/>
      <c r="AA333" s="88"/>
    </row>
    <row r="334">
      <c r="A334" s="88"/>
      <c r="B334" s="88"/>
      <c r="C334" s="88"/>
      <c r="D334" s="453"/>
      <c r="E334" s="88"/>
      <c r="F334" s="88"/>
      <c r="G334" s="88"/>
      <c r="H334" s="454"/>
      <c r="I334" s="455"/>
      <c r="J334" s="88"/>
      <c r="K334" s="88"/>
      <c r="L334" s="456"/>
      <c r="M334" s="88"/>
      <c r="N334" s="88"/>
      <c r="O334" s="88"/>
      <c r="P334" s="88"/>
      <c r="Q334" s="88"/>
      <c r="R334" s="88"/>
      <c r="S334" s="88"/>
      <c r="T334" s="88"/>
      <c r="U334" s="88"/>
      <c r="V334" s="88"/>
      <c r="W334" s="88"/>
      <c r="X334" s="88"/>
      <c r="Y334" s="88"/>
      <c r="Z334" s="88"/>
      <c r="AA334" s="88"/>
    </row>
    <row r="335">
      <c r="A335" s="88"/>
      <c r="B335" s="88"/>
      <c r="C335" s="88"/>
      <c r="D335" s="453"/>
      <c r="E335" s="88"/>
      <c r="F335" s="88"/>
      <c r="G335" s="88"/>
      <c r="H335" s="454"/>
      <c r="I335" s="455"/>
      <c r="J335" s="88"/>
      <c r="K335" s="88"/>
      <c r="L335" s="456"/>
      <c r="M335" s="88"/>
      <c r="N335" s="88"/>
      <c r="O335" s="88"/>
      <c r="P335" s="88"/>
      <c r="Q335" s="88"/>
      <c r="R335" s="88"/>
      <c r="S335" s="88"/>
      <c r="T335" s="88"/>
      <c r="U335" s="88"/>
      <c r="V335" s="88"/>
      <c r="W335" s="88"/>
      <c r="X335" s="88"/>
      <c r="Y335" s="88"/>
      <c r="Z335" s="88"/>
      <c r="AA335" s="88"/>
    </row>
    <row r="336">
      <c r="A336" s="88"/>
      <c r="B336" s="88"/>
      <c r="C336" s="88"/>
      <c r="D336" s="453"/>
      <c r="E336" s="88"/>
      <c r="F336" s="88"/>
      <c r="G336" s="88"/>
      <c r="H336" s="454"/>
      <c r="I336" s="455"/>
      <c r="J336" s="88"/>
      <c r="K336" s="88"/>
      <c r="L336" s="456"/>
      <c r="M336" s="88"/>
      <c r="N336" s="88"/>
      <c r="O336" s="88"/>
      <c r="P336" s="88"/>
      <c r="Q336" s="88"/>
      <c r="R336" s="88"/>
      <c r="S336" s="88"/>
      <c r="T336" s="88"/>
      <c r="U336" s="88"/>
      <c r="V336" s="88"/>
      <c r="W336" s="88"/>
      <c r="X336" s="88"/>
      <c r="Y336" s="88"/>
      <c r="Z336" s="88"/>
      <c r="AA336" s="88"/>
    </row>
    <row r="337">
      <c r="A337" s="88"/>
      <c r="B337" s="88"/>
      <c r="C337" s="88"/>
      <c r="D337" s="453"/>
      <c r="E337" s="88"/>
      <c r="F337" s="88"/>
      <c r="G337" s="88"/>
      <c r="H337" s="454"/>
      <c r="I337" s="455"/>
      <c r="J337" s="88"/>
      <c r="K337" s="88"/>
      <c r="L337" s="456"/>
      <c r="M337" s="88"/>
      <c r="N337" s="88"/>
      <c r="O337" s="88"/>
      <c r="P337" s="88"/>
      <c r="Q337" s="88"/>
      <c r="R337" s="88"/>
      <c r="S337" s="88"/>
      <c r="T337" s="88"/>
      <c r="U337" s="88"/>
      <c r="V337" s="88"/>
      <c r="W337" s="88"/>
      <c r="X337" s="88"/>
      <c r="Y337" s="88"/>
      <c r="Z337" s="88"/>
      <c r="AA337" s="88"/>
    </row>
    <row r="338">
      <c r="A338" s="88"/>
      <c r="B338" s="88"/>
      <c r="C338" s="88"/>
      <c r="D338" s="453"/>
      <c r="E338" s="88"/>
      <c r="F338" s="88"/>
      <c r="G338" s="88"/>
      <c r="H338" s="454"/>
      <c r="I338" s="455"/>
      <c r="J338" s="88"/>
      <c r="K338" s="88"/>
      <c r="L338" s="456"/>
      <c r="M338" s="88"/>
      <c r="N338" s="88"/>
      <c r="O338" s="88"/>
      <c r="P338" s="88"/>
      <c r="Q338" s="88"/>
      <c r="R338" s="88"/>
      <c r="S338" s="88"/>
      <c r="T338" s="88"/>
      <c r="U338" s="88"/>
      <c r="V338" s="88"/>
      <c r="W338" s="88"/>
      <c r="X338" s="88"/>
      <c r="Y338" s="88"/>
      <c r="Z338" s="88"/>
      <c r="AA338" s="88"/>
    </row>
    <row r="339">
      <c r="A339" s="88"/>
      <c r="B339" s="88"/>
      <c r="C339" s="88"/>
      <c r="D339" s="453"/>
      <c r="E339" s="88"/>
      <c r="F339" s="88"/>
      <c r="G339" s="88"/>
      <c r="H339" s="454"/>
      <c r="I339" s="455"/>
      <c r="J339" s="88"/>
      <c r="K339" s="88"/>
      <c r="L339" s="456"/>
      <c r="M339" s="88"/>
      <c r="N339" s="88"/>
      <c r="O339" s="88"/>
      <c r="P339" s="88"/>
      <c r="Q339" s="88"/>
      <c r="R339" s="88"/>
      <c r="S339" s="88"/>
      <c r="T339" s="88"/>
      <c r="U339" s="88"/>
      <c r="V339" s="88"/>
      <c r="W339" s="88"/>
      <c r="X339" s="88"/>
      <c r="Y339" s="88"/>
      <c r="Z339" s="88"/>
      <c r="AA339" s="88"/>
    </row>
    <row r="340">
      <c r="A340" s="88"/>
      <c r="B340" s="88"/>
      <c r="C340" s="88"/>
      <c r="D340" s="453"/>
      <c r="E340" s="88"/>
      <c r="F340" s="88"/>
      <c r="G340" s="88"/>
      <c r="H340" s="454"/>
      <c r="I340" s="455"/>
      <c r="J340" s="88"/>
      <c r="K340" s="88"/>
      <c r="L340" s="456"/>
      <c r="M340" s="88"/>
      <c r="N340" s="88"/>
      <c r="O340" s="88"/>
      <c r="P340" s="88"/>
      <c r="Q340" s="88"/>
      <c r="R340" s="88"/>
      <c r="S340" s="88"/>
      <c r="T340" s="88"/>
      <c r="U340" s="88"/>
      <c r="V340" s="88"/>
      <c r="W340" s="88"/>
      <c r="X340" s="88"/>
      <c r="Y340" s="88"/>
      <c r="Z340" s="88"/>
      <c r="AA340" s="88"/>
    </row>
    <row r="341">
      <c r="A341" s="88"/>
      <c r="B341" s="88"/>
      <c r="C341" s="88"/>
      <c r="D341" s="453"/>
      <c r="E341" s="88"/>
      <c r="F341" s="88"/>
      <c r="G341" s="88"/>
      <c r="H341" s="454"/>
      <c r="I341" s="455"/>
      <c r="J341" s="88"/>
      <c r="K341" s="88"/>
      <c r="L341" s="456"/>
      <c r="M341" s="88"/>
      <c r="N341" s="88"/>
      <c r="O341" s="88"/>
      <c r="P341" s="88"/>
      <c r="Q341" s="88"/>
      <c r="R341" s="88"/>
      <c r="S341" s="88"/>
      <c r="T341" s="88"/>
      <c r="U341" s="88"/>
      <c r="V341" s="88"/>
      <c r="W341" s="88"/>
      <c r="X341" s="88"/>
      <c r="Y341" s="88"/>
      <c r="Z341" s="88"/>
      <c r="AA341" s="88"/>
    </row>
    <row r="342">
      <c r="A342" s="88"/>
      <c r="B342" s="88"/>
      <c r="C342" s="88"/>
      <c r="D342" s="453"/>
      <c r="E342" s="88"/>
      <c r="F342" s="88"/>
      <c r="G342" s="88"/>
      <c r="H342" s="454"/>
      <c r="I342" s="455"/>
      <c r="J342" s="88"/>
      <c r="K342" s="88"/>
      <c r="L342" s="456"/>
      <c r="M342" s="88"/>
      <c r="N342" s="88"/>
      <c r="O342" s="88"/>
      <c r="P342" s="88"/>
      <c r="Q342" s="88"/>
      <c r="R342" s="88"/>
      <c r="S342" s="88"/>
      <c r="T342" s="88"/>
      <c r="U342" s="88"/>
      <c r="V342" s="88"/>
      <c r="W342" s="88"/>
      <c r="X342" s="88"/>
      <c r="Y342" s="88"/>
      <c r="Z342" s="88"/>
      <c r="AA342" s="88"/>
    </row>
    <row r="343">
      <c r="A343" s="88"/>
      <c r="B343" s="88"/>
      <c r="C343" s="88"/>
      <c r="D343" s="453"/>
      <c r="E343" s="88"/>
      <c r="F343" s="88"/>
      <c r="G343" s="88"/>
      <c r="H343" s="454"/>
      <c r="I343" s="455"/>
      <c r="J343" s="88"/>
      <c r="K343" s="88"/>
      <c r="L343" s="456"/>
      <c r="M343" s="88"/>
      <c r="N343" s="88"/>
      <c r="O343" s="88"/>
      <c r="P343" s="88"/>
      <c r="Q343" s="88"/>
      <c r="R343" s="88"/>
      <c r="S343" s="88"/>
      <c r="T343" s="88"/>
      <c r="U343" s="88"/>
      <c r="V343" s="88"/>
      <c r="W343" s="88"/>
      <c r="X343" s="88"/>
      <c r="Y343" s="88"/>
      <c r="Z343" s="88"/>
      <c r="AA343" s="88"/>
    </row>
    <row r="344">
      <c r="A344" s="88"/>
      <c r="B344" s="88"/>
      <c r="C344" s="88"/>
      <c r="D344" s="453"/>
      <c r="E344" s="88"/>
      <c r="F344" s="88"/>
      <c r="G344" s="88"/>
      <c r="H344" s="454"/>
      <c r="I344" s="455"/>
      <c r="J344" s="88"/>
      <c r="K344" s="88"/>
      <c r="L344" s="456"/>
      <c r="M344" s="88"/>
      <c r="N344" s="88"/>
      <c r="O344" s="88"/>
      <c r="P344" s="88"/>
      <c r="Q344" s="88"/>
      <c r="R344" s="88"/>
      <c r="S344" s="88"/>
      <c r="T344" s="88"/>
      <c r="U344" s="88"/>
      <c r="V344" s="88"/>
      <c r="W344" s="88"/>
      <c r="X344" s="88"/>
      <c r="Y344" s="88"/>
      <c r="Z344" s="88"/>
      <c r="AA344" s="88"/>
    </row>
    <row r="345">
      <c r="A345" s="88"/>
      <c r="B345" s="88"/>
      <c r="C345" s="88"/>
      <c r="D345" s="453"/>
      <c r="E345" s="88"/>
      <c r="F345" s="88"/>
      <c r="G345" s="88"/>
      <c r="H345" s="454"/>
      <c r="I345" s="455"/>
      <c r="J345" s="88"/>
      <c r="K345" s="88"/>
      <c r="L345" s="456"/>
      <c r="M345" s="88"/>
      <c r="N345" s="88"/>
      <c r="O345" s="88"/>
      <c r="P345" s="88"/>
      <c r="Q345" s="88"/>
      <c r="R345" s="88"/>
      <c r="S345" s="88"/>
      <c r="T345" s="88"/>
      <c r="U345" s="88"/>
      <c r="V345" s="88"/>
      <c r="W345" s="88"/>
      <c r="X345" s="88"/>
      <c r="Y345" s="88"/>
      <c r="Z345" s="88"/>
      <c r="AA345" s="88"/>
    </row>
    <row r="346">
      <c r="A346" s="88"/>
      <c r="B346" s="88"/>
      <c r="C346" s="88"/>
      <c r="D346" s="453"/>
      <c r="E346" s="88"/>
      <c r="F346" s="88"/>
      <c r="G346" s="88"/>
      <c r="H346" s="454"/>
      <c r="I346" s="455"/>
      <c r="J346" s="88"/>
      <c r="K346" s="88"/>
      <c r="L346" s="456"/>
      <c r="M346" s="88"/>
      <c r="N346" s="88"/>
      <c r="O346" s="88"/>
      <c r="P346" s="88"/>
      <c r="Q346" s="88"/>
      <c r="R346" s="88"/>
      <c r="S346" s="88"/>
      <c r="T346" s="88"/>
      <c r="U346" s="88"/>
      <c r="V346" s="88"/>
      <c r="W346" s="88"/>
      <c r="X346" s="88"/>
      <c r="Y346" s="88"/>
      <c r="Z346" s="88"/>
      <c r="AA346" s="88"/>
    </row>
    <row r="347">
      <c r="A347" s="88"/>
      <c r="B347" s="88"/>
      <c r="C347" s="88"/>
      <c r="D347" s="453"/>
      <c r="E347" s="88"/>
      <c r="F347" s="88"/>
      <c r="G347" s="88"/>
      <c r="H347" s="454"/>
      <c r="I347" s="455"/>
      <c r="J347" s="88"/>
      <c r="K347" s="88"/>
      <c r="L347" s="456"/>
      <c r="M347" s="88"/>
      <c r="N347" s="88"/>
      <c r="O347" s="88"/>
      <c r="P347" s="88"/>
      <c r="Q347" s="88"/>
      <c r="R347" s="88"/>
      <c r="S347" s="88"/>
      <c r="T347" s="88"/>
      <c r="U347" s="88"/>
      <c r="V347" s="88"/>
      <c r="W347" s="88"/>
      <c r="X347" s="88"/>
      <c r="Y347" s="88"/>
      <c r="Z347" s="88"/>
      <c r="AA347" s="88"/>
    </row>
    <row r="348">
      <c r="A348" s="88"/>
      <c r="B348" s="88"/>
      <c r="C348" s="88"/>
      <c r="D348" s="453"/>
      <c r="E348" s="88"/>
      <c r="F348" s="88"/>
      <c r="G348" s="88"/>
      <c r="H348" s="454"/>
      <c r="I348" s="455"/>
      <c r="J348" s="88"/>
      <c r="K348" s="88"/>
      <c r="L348" s="456"/>
      <c r="M348" s="88"/>
      <c r="N348" s="88"/>
      <c r="O348" s="88"/>
      <c r="P348" s="88"/>
      <c r="Q348" s="88"/>
      <c r="R348" s="88"/>
      <c r="S348" s="88"/>
      <c r="T348" s="88"/>
      <c r="U348" s="88"/>
      <c r="V348" s="88"/>
      <c r="W348" s="88"/>
      <c r="X348" s="88"/>
      <c r="Y348" s="88"/>
      <c r="Z348" s="88"/>
      <c r="AA348" s="88"/>
    </row>
    <row r="349">
      <c r="A349" s="88"/>
      <c r="B349" s="88"/>
      <c r="C349" s="88"/>
      <c r="D349" s="453"/>
      <c r="E349" s="88"/>
      <c r="F349" s="88"/>
      <c r="G349" s="88"/>
      <c r="H349" s="454"/>
      <c r="I349" s="455"/>
      <c r="J349" s="88"/>
      <c r="K349" s="88"/>
      <c r="L349" s="456"/>
      <c r="M349" s="88"/>
      <c r="N349" s="88"/>
      <c r="O349" s="88"/>
      <c r="P349" s="88"/>
      <c r="Q349" s="88"/>
      <c r="R349" s="88"/>
      <c r="S349" s="88"/>
      <c r="T349" s="88"/>
      <c r="U349" s="88"/>
      <c r="V349" s="88"/>
      <c r="W349" s="88"/>
      <c r="X349" s="88"/>
      <c r="Y349" s="88"/>
      <c r="Z349" s="88"/>
      <c r="AA349" s="88"/>
    </row>
    <row r="350">
      <c r="A350" s="88"/>
      <c r="B350" s="88"/>
      <c r="C350" s="88"/>
      <c r="D350" s="453"/>
      <c r="E350" s="88"/>
      <c r="F350" s="88"/>
      <c r="G350" s="88"/>
      <c r="H350" s="454"/>
      <c r="I350" s="455"/>
      <c r="J350" s="88"/>
      <c r="K350" s="88"/>
      <c r="L350" s="456"/>
      <c r="M350" s="88"/>
      <c r="N350" s="88"/>
      <c r="O350" s="88"/>
      <c r="P350" s="88"/>
      <c r="Q350" s="88"/>
      <c r="R350" s="88"/>
      <c r="S350" s="88"/>
      <c r="T350" s="88"/>
      <c r="U350" s="88"/>
      <c r="V350" s="88"/>
      <c r="W350" s="88"/>
      <c r="X350" s="88"/>
      <c r="Y350" s="88"/>
      <c r="Z350" s="88"/>
      <c r="AA350" s="88"/>
    </row>
    <row r="351">
      <c r="A351" s="88"/>
      <c r="B351" s="88"/>
      <c r="C351" s="88"/>
      <c r="D351" s="453"/>
      <c r="E351" s="88"/>
      <c r="F351" s="88"/>
      <c r="G351" s="88"/>
      <c r="H351" s="454"/>
      <c r="I351" s="455"/>
      <c r="J351" s="88"/>
      <c r="K351" s="88"/>
      <c r="L351" s="456"/>
      <c r="M351" s="88"/>
      <c r="N351" s="88"/>
      <c r="O351" s="88"/>
      <c r="P351" s="88"/>
      <c r="Q351" s="88"/>
      <c r="R351" s="88"/>
      <c r="S351" s="88"/>
      <c r="T351" s="88"/>
      <c r="U351" s="88"/>
      <c r="V351" s="88"/>
      <c r="W351" s="88"/>
      <c r="X351" s="88"/>
      <c r="Y351" s="88"/>
      <c r="Z351" s="88"/>
      <c r="AA351" s="88"/>
    </row>
    <row r="352">
      <c r="A352" s="88"/>
      <c r="B352" s="88"/>
      <c r="C352" s="88"/>
      <c r="D352" s="453"/>
      <c r="E352" s="88"/>
      <c r="F352" s="88"/>
      <c r="G352" s="88"/>
      <c r="H352" s="454"/>
      <c r="I352" s="455"/>
      <c r="J352" s="88"/>
      <c r="K352" s="88"/>
      <c r="L352" s="456"/>
      <c r="M352" s="88"/>
      <c r="N352" s="88"/>
      <c r="O352" s="88"/>
      <c r="P352" s="88"/>
      <c r="Q352" s="88"/>
      <c r="R352" s="88"/>
      <c r="S352" s="88"/>
      <c r="T352" s="88"/>
      <c r="U352" s="88"/>
      <c r="V352" s="88"/>
      <c r="W352" s="88"/>
      <c r="X352" s="88"/>
      <c r="Y352" s="88"/>
      <c r="Z352" s="88"/>
      <c r="AA352" s="88"/>
    </row>
    <row r="353">
      <c r="A353" s="88"/>
      <c r="B353" s="88"/>
      <c r="C353" s="88"/>
      <c r="D353" s="453"/>
      <c r="E353" s="88"/>
      <c r="F353" s="88"/>
      <c r="G353" s="88"/>
      <c r="H353" s="454"/>
      <c r="I353" s="455"/>
      <c r="J353" s="88"/>
      <c r="K353" s="88"/>
      <c r="L353" s="456"/>
      <c r="M353" s="88"/>
      <c r="N353" s="88"/>
      <c r="O353" s="88"/>
      <c r="P353" s="88"/>
      <c r="Q353" s="88"/>
      <c r="R353" s="88"/>
      <c r="S353" s="88"/>
      <c r="T353" s="88"/>
      <c r="U353" s="88"/>
      <c r="V353" s="88"/>
      <c r="W353" s="88"/>
      <c r="X353" s="88"/>
      <c r="Y353" s="88"/>
      <c r="Z353" s="88"/>
      <c r="AA353" s="88"/>
    </row>
    <row r="354">
      <c r="A354" s="88"/>
      <c r="B354" s="88"/>
      <c r="C354" s="88"/>
      <c r="D354" s="453"/>
      <c r="E354" s="88"/>
      <c r="F354" s="88"/>
      <c r="G354" s="88"/>
      <c r="H354" s="454"/>
      <c r="I354" s="455"/>
      <c r="J354" s="88"/>
      <c r="K354" s="88"/>
      <c r="L354" s="456"/>
      <c r="M354" s="88"/>
      <c r="N354" s="88"/>
      <c r="O354" s="88"/>
      <c r="P354" s="88"/>
      <c r="Q354" s="88"/>
      <c r="R354" s="88"/>
      <c r="S354" s="88"/>
      <c r="T354" s="88"/>
      <c r="U354" s="88"/>
      <c r="V354" s="88"/>
      <c r="W354" s="88"/>
      <c r="X354" s="88"/>
      <c r="Y354" s="88"/>
      <c r="Z354" s="88"/>
      <c r="AA354" s="88"/>
    </row>
    <row r="355">
      <c r="A355" s="88"/>
      <c r="B355" s="88"/>
      <c r="C355" s="88"/>
      <c r="D355" s="453"/>
      <c r="E355" s="88"/>
      <c r="F355" s="88"/>
      <c r="G355" s="88"/>
      <c r="H355" s="454"/>
      <c r="I355" s="455"/>
      <c r="J355" s="88"/>
      <c r="K355" s="88"/>
      <c r="L355" s="456"/>
      <c r="M355" s="88"/>
      <c r="N355" s="88"/>
      <c r="O355" s="88"/>
      <c r="P355" s="88"/>
      <c r="Q355" s="88"/>
      <c r="R355" s="88"/>
      <c r="S355" s="88"/>
      <c r="T355" s="88"/>
      <c r="U355" s="88"/>
      <c r="V355" s="88"/>
      <c r="W355" s="88"/>
      <c r="X355" s="88"/>
      <c r="Y355" s="88"/>
      <c r="Z355" s="88"/>
      <c r="AA355" s="88"/>
    </row>
    <row r="356">
      <c r="A356" s="88"/>
      <c r="B356" s="88"/>
      <c r="C356" s="88"/>
      <c r="D356" s="453"/>
      <c r="E356" s="88"/>
      <c r="F356" s="88"/>
      <c r="G356" s="88"/>
      <c r="H356" s="454"/>
      <c r="I356" s="455"/>
      <c r="J356" s="88"/>
      <c r="K356" s="88"/>
      <c r="L356" s="456"/>
      <c r="M356" s="88"/>
      <c r="N356" s="88"/>
      <c r="O356" s="88"/>
      <c r="P356" s="88"/>
      <c r="Q356" s="88"/>
      <c r="R356" s="88"/>
      <c r="S356" s="88"/>
      <c r="T356" s="88"/>
      <c r="U356" s="88"/>
      <c r="V356" s="88"/>
      <c r="W356" s="88"/>
      <c r="X356" s="88"/>
      <c r="Y356" s="88"/>
      <c r="Z356" s="88"/>
      <c r="AA356" s="88"/>
    </row>
    <row r="357">
      <c r="A357" s="88"/>
      <c r="B357" s="88"/>
      <c r="C357" s="88"/>
      <c r="D357" s="453"/>
      <c r="E357" s="88"/>
      <c r="F357" s="88"/>
      <c r="G357" s="88"/>
      <c r="H357" s="454"/>
      <c r="I357" s="455"/>
      <c r="J357" s="88"/>
      <c r="K357" s="88"/>
      <c r="L357" s="456"/>
      <c r="M357" s="88"/>
      <c r="N357" s="88"/>
      <c r="O357" s="88"/>
      <c r="P357" s="88"/>
      <c r="Q357" s="88"/>
      <c r="R357" s="88"/>
      <c r="S357" s="88"/>
      <c r="T357" s="88"/>
      <c r="U357" s="88"/>
      <c r="V357" s="88"/>
      <c r="W357" s="88"/>
      <c r="X357" s="88"/>
      <c r="Y357" s="88"/>
      <c r="Z357" s="88"/>
      <c r="AA357" s="88"/>
    </row>
    <row r="358">
      <c r="A358" s="88"/>
      <c r="B358" s="88"/>
      <c r="C358" s="88"/>
      <c r="D358" s="453"/>
      <c r="E358" s="88"/>
      <c r="F358" s="88"/>
      <c r="G358" s="88"/>
      <c r="H358" s="454"/>
      <c r="I358" s="455"/>
      <c r="J358" s="88"/>
      <c r="K358" s="88"/>
      <c r="L358" s="456"/>
      <c r="M358" s="88"/>
      <c r="N358" s="88"/>
      <c r="O358" s="88"/>
      <c r="P358" s="88"/>
      <c r="Q358" s="88"/>
      <c r="R358" s="88"/>
      <c r="S358" s="88"/>
      <c r="T358" s="88"/>
      <c r="U358" s="88"/>
      <c r="V358" s="88"/>
      <c r="W358" s="88"/>
      <c r="X358" s="88"/>
      <c r="Y358" s="88"/>
      <c r="Z358" s="88"/>
      <c r="AA358" s="88"/>
    </row>
    <row r="359">
      <c r="A359" s="88"/>
      <c r="B359" s="88"/>
      <c r="C359" s="88"/>
      <c r="D359" s="453"/>
      <c r="E359" s="88"/>
      <c r="F359" s="88"/>
      <c r="G359" s="88"/>
      <c r="H359" s="454"/>
      <c r="I359" s="455"/>
      <c r="J359" s="88"/>
      <c r="K359" s="88"/>
      <c r="L359" s="456"/>
      <c r="M359" s="88"/>
      <c r="N359" s="88"/>
      <c r="O359" s="88"/>
      <c r="P359" s="88"/>
      <c r="Q359" s="88"/>
      <c r="R359" s="88"/>
      <c r="S359" s="88"/>
      <c r="T359" s="88"/>
      <c r="U359" s="88"/>
      <c r="V359" s="88"/>
      <c r="W359" s="88"/>
      <c r="X359" s="88"/>
      <c r="Y359" s="88"/>
      <c r="Z359" s="88"/>
      <c r="AA359" s="88"/>
    </row>
    <row r="360">
      <c r="A360" s="88"/>
      <c r="B360" s="88"/>
      <c r="C360" s="88"/>
      <c r="D360" s="453"/>
      <c r="E360" s="88"/>
      <c r="F360" s="88"/>
      <c r="G360" s="88"/>
      <c r="H360" s="454"/>
      <c r="I360" s="455"/>
      <c r="J360" s="88"/>
      <c r="K360" s="88"/>
      <c r="L360" s="456"/>
      <c r="M360" s="88"/>
      <c r="N360" s="88"/>
      <c r="O360" s="88"/>
      <c r="P360" s="88"/>
      <c r="Q360" s="88"/>
      <c r="R360" s="88"/>
      <c r="S360" s="88"/>
      <c r="T360" s="88"/>
      <c r="U360" s="88"/>
      <c r="V360" s="88"/>
      <c r="W360" s="88"/>
      <c r="X360" s="88"/>
      <c r="Y360" s="88"/>
      <c r="Z360" s="88"/>
      <c r="AA360" s="88"/>
    </row>
    <row r="361">
      <c r="A361" s="88"/>
      <c r="B361" s="88"/>
      <c r="C361" s="88"/>
      <c r="D361" s="453"/>
      <c r="E361" s="88"/>
      <c r="F361" s="88"/>
      <c r="G361" s="88"/>
      <c r="H361" s="454"/>
      <c r="I361" s="455"/>
      <c r="J361" s="88"/>
      <c r="K361" s="88"/>
      <c r="L361" s="456"/>
      <c r="M361" s="88"/>
      <c r="N361" s="88"/>
      <c r="O361" s="88"/>
      <c r="P361" s="88"/>
      <c r="Q361" s="88"/>
      <c r="R361" s="88"/>
      <c r="S361" s="88"/>
      <c r="T361" s="88"/>
      <c r="U361" s="88"/>
      <c r="V361" s="88"/>
      <c r="W361" s="88"/>
      <c r="X361" s="88"/>
      <c r="Y361" s="88"/>
      <c r="Z361" s="88"/>
      <c r="AA361" s="88"/>
    </row>
    <row r="362">
      <c r="A362" s="88"/>
      <c r="B362" s="88"/>
      <c r="C362" s="88"/>
      <c r="D362" s="453"/>
      <c r="E362" s="88"/>
      <c r="F362" s="88"/>
      <c r="G362" s="88"/>
      <c r="H362" s="454"/>
      <c r="I362" s="455"/>
      <c r="J362" s="88"/>
      <c r="K362" s="88"/>
      <c r="L362" s="456"/>
      <c r="M362" s="88"/>
      <c r="N362" s="88"/>
      <c r="O362" s="88"/>
      <c r="P362" s="88"/>
      <c r="Q362" s="88"/>
      <c r="R362" s="88"/>
      <c r="S362" s="88"/>
      <c r="T362" s="88"/>
      <c r="U362" s="88"/>
      <c r="V362" s="88"/>
      <c r="W362" s="88"/>
      <c r="X362" s="88"/>
      <c r="Y362" s="88"/>
      <c r="Z362" s="88"/>
      <c r="AA362" s="88"/>
    </row>
    <row r="363">
      <c r="A363" s="88"/>
      <c r="B363" s="88"/>
      <c r="C363" s="88"/>
      <c r="D363" s="453"/>
      <c r="E363" s="88"/>
      <c r="F363" s="88"/>
      <c r="G363" s="88"/>
      <c r="H363" s="454"/>
      <c r="I363" s="455"/>
      <c r="J363" s="88"/>
      <c r="K363" s="88"/>
      <c r="L363" s="456"/>
      <c r="M363" s="88"/>
      <c r="N363" s="88"/>
      <c r="O363" s="88"/>
      <c r="P363" s="88"/>
      <c r="Q363" s="88"/>
      <c r="R363" s="88"/>
      <c r="S363" s="88"/>
      <c r="T363" s="88"/>
      <c r="U363" s="88"/>
      <c r="V363" s="88"/>
      <c r="W363" s="88"/>
      <c r="X363" s="88"/>
      <c r="Y363" s="88"/>
      <c r="Z363" s="88"/>
      <c r="AA363" s="88"/>
    </row>
    <row r="364">
      <c r="A364" s="88"/>
      <c r="B364" s="88"/>
      <c r="C364" s="88"/>
      <c r="D364" s="453"/>
      <c r="E364" s="88"/>
      <c r="F364" s="88"/>
      <c r="G364" s="88"/>
      <c r="H364" s="454"/>
      <c r="I364" s="455"/>
      <c r="J364" s="88"/>
      <c r="K364" s="88"/>
      <c r="L364" s="456"/>
      <c r="M364" s="88"/>
      <c r="N364" s="88"/>
      <c r="O364" s="88"/>
      <c r="P364" s="88"/>
      <c r="Q364" s="88"/>
      <c r="R364" s="88"/>
      <c r="S364" s="88"/>
      <c r="T364" s="88"/>
      <c r="U364" s="88"/>
      <c r="V364" s="88"/>
      <c r="W364" s="88"/>
      <c r="X364" s="88"/>
      <c r="Y364" s="88"/>
      <c r="Z364" s="88"/>
      <c r="AA364" s="88"/>
    </row>
    <row r="365">
      <c r="A365" s="88"/>
      <c r="B365" s="88"/>
      <c r="C365" s="88"/>
      <c r="D365" s="453"/>
      <c r="E365" s="88"/>
      <c r="F365" s="88"/>
      <c r="G365" s="88"/>
      <c r="H365" s="454"/>
      <c r="I365" s="455"/>
      <c r="J365" s="88"/>
      <c r="K365" s="88"/>
      <c r="L365" s="456"/>
      <c r="M365" s="88"/>
      <c r="N365" s="88"/>
      <c r="O365" s="88"/>
      <c r="P365" s="88"/>
      <c r="Q365" s="88"/>
      <c r="R365" s="88"/>
      <c r="S365" s="88"/>
      <c r="T365" s="88"/>
      <c r="U365" s="88"/>
      <c r="V365" s="88"/>
      <c r="W365" s="88"/>
      <c r="X365" s="88"/>
      <c r="Y365" s="88"/>
      <c r="Z365" s="88"/>
      <c r="AA365" s="88"/>
    </row>
    <row r="366">
      <c r="A366" s="88"/>
      <c r="B366" s="88"/>
      <c r="C366" s="88"/>
      <c r="D366" s="453"/>
      <c r="E366" s="88"/>
      <c r="F366" s="88"/>
      <c r="G366" s="88"/>
      <c r="H366" s="454"/>
      <c r="I366" s="455"/>
      <c r="J366" s="88"/>
      <c r="K366" s="88"/>
      <c r="L366" s="456"/>
      <c r="M366" s="88"/>
      <c r="N366" s="88"/>
      <c r="O366" s="88"/>
      <c r="P366" s="88"/>
      <c r="Q366" s="88"/>
      <c r="R366" s="88"/>
      <c r="S366" s="88"/>
      <c r="T366" s="88"/>
      <c r="U366" s="88"/>
      <c r="V366" s="88"/>
      <c r="W366" s="88"/>
      <c r="X366" s="88"/>
      <c r="Y366" s="88"/>
      <c r="Z366" s="88"/>
      <c r="AA366" s="88"/>
    </row>
    <row r="367">
      <c r="A367" s="88"/>
      <c r="B367" s="88"/>
      <c r="C367" s="88"/>
      <c r="D367" s="453"/>
      <c r="E367" s="88"/>
      <c r="F367" s="88"/>
      <c r="G367" s="88"/>
      <c r="H367" s="454"/>
      <c r="I367" s="455"/>
      <c r="J367" s="88"/>
      <c r="K367" s="88"/>
      <c r="L367" s="456"/>
      <c r="M367" s="88"/>
      <c r="N367" s="88"/>
      <c r="O367" s="88"/>
      <c r="P367" s="88"/>
      <c r="Q367" s="88"/>
      <c r="R367" s="88"/>
      <c r="S367" s="88"/>
      <c r="T367" s="88"/>
      <c r="U367" s="88"/>
      <c r="V367" s="88"/>
      <c r="W367" s="88"/>
      <c r="X367" s="88"/>
      <c r="Y367" s="88"/>
      <c r="Z367" s="88"/>
      <c r="AA367" s="88"/>
    </row>
    <row r="368">
      <c r="A368" s="88"/>
      <c r="B368" s="88"/>
      <c r="C368" s="88"/>
      <c r="D368" s="453"/>
      <c r="E368" s="88"/>
      <c r="F368" s="88"/>
      <c r="G368" s="88"/>
      <c r="H368" s="454"/>
      <c r="I368" s="455"/>
      <c r="J368" s="88"/>
      <c r="K368" s="88"/>
      <c r="L368" s="456"/>
      <c r="M368" s="88"/>
      <c r="N368" s="88"/>
      <c r="O368" s="88"/>
      <c r="P368" s="88"/>
      <c r="Q368" s="88"/>
      <c r="R368" s="88"/>
      <c r="S368" s="88"/>
      <c r="T368" s="88"/>
      <c r="U368" s="88"/>
      <c r="V368" s="88"/>
      <c r="W368" s="88"/>
      <c r="X368" s="88"/>
      <c r="Y368" s="88"/>
      <c r="Z368" s="88"/>
      <c r="AA368" s="88"/>
    </row>
    <row r="369">
      <c r="A369" s="88"/>
      <c r="B369" s="88"/>
      <c r="C369" s="88"/>
      <c r="D369" s="453"/>
      <c r="E369" s="88"/>
      <c r="F369" s="88"/>
      <c r="G369" s="88"/>
      <c r="H369" s="454"/>
      <c r="I369" s="455"/>
      <c r="J369" s="88"/>
      <c r="K369" s="88"/>
      <c r="L369" s="456"/>
      <c r="M369" s="88"/>
      <c r="N369" s="88"/>
      <c r="O369" s="88"/>
      <c r="P369" s="88"/>
      <c r="Q369" s="88"/>
      <c r="R369" s="88"/>
      <c r="S369" s="88"/>
      <c r="T369" s="88"/>
      <c r="U369" s="88"/>
      <c r="V369" s="88"/>
      <c r="W369" s="88"/>
      <c r="X369" s="88"/>
      <c r="Y369" s="88"/>
      <c r="Z369" s="88"/>
      <c r="AA369" s="88"/>
    </row>
    <row r="370">
      <c r="A370" s="88"/>
      <c r="B370" s="88"/>
      <c r="C370" s="88"/>
      <c r="D370" s="453"/>
      <c r="E370" s="88"/>
      <c r="F370" s="88"/>
      <c r="G370" s="88"/>
      <c r="H370" s="454"/>
      <c r="I370" s="455"/>
      <c r="J370" s="88"/>
      <c r="K370" s="88"/>
      <c r="L370" s="456"/>
      <c r="M370" s="88"/>
      <c r="N370" s="88"/>
      <c r="O370" s="88"/>
      <c r="P370" s="88"/>
      <c r="Q370" s="88"/>
      <c r="R370" s="88"/>
      <c r="S370" s="88"/>
      <c r="T370" s="88"/>
      <c r="U370" s="88"/>
      <c r="V370" s="88"/>
      <c r="W370" s="88"/>
      <c r="X370" s="88"/>
      <c r="Y370" s="88"/>
      <c r="Z370" s="88"/>
      <c r="AA370" s="88"/>
    </row>
    <row r="371">
      <c r="A371" s="88"/>
      <c r="B371" s="88"/>
      <c r="C371" s="88"/>
      <c r="D371" s="453"/>
      <c r="E371" s="88"/>
      <c r="F371" s="88"/>
      <c r="G371" s="88"/>
      <c r="H371" s="454"/>
      <c r="I371" s="455"/>
      <c r="J371" s="88"/>
      <c r="K371" s="88"/>
      <c r="L371" s="456"/>
      <c r="M371" s="88"/>
      <c r="N371" s="88"/>
      <c r="O371" s="88"/>
      <c r="P371" s="88"/>
      <c r="Q371" s="88"/>
      <c r="R371" s="88"/>
      <c r="S371" s="88"/>
      <c r="T371" s="88"/>
      <c r="U371" s="88"/>
      <c r="V371" s="88"/>
      <c r="W371" s="88"/>
      <c r="X371" s="88"/>
      <c r="Y371" s="88"/>
      <c r="Z371" s="88"/>
      <c r="AA371" s="88"/>
    </row>
    <row r="372">
      <c r="A372" s="88"/>
      <c r="B372" s="88"/>
      <c r="C372" s="88"/>
      <c r="D372" s="453"/>
      <c r="E372" s="88"/>
      <c r="F372" s="88"/>
      <c r="G372" s="88"/>
      <c r="H372" s="454"/>
      <c r="I372" s="455"/>
      <c r="J372" s="88"/>
      <c r="K372" s="88"/>
      <c r="L372" s="456"/>
      <c r="M372" s="88"/>
      <c r="N372" s="88"/>
      <c r="O372" s="88"/>
      <c r="P372" s="88"/>
      <c r="Q372" s="88"/>
      <c r="R372" s="88"/>
      <c r="S372" s="88"/>
      <c r="T372" s="88"/>
      <c r="U372" s="88"/>
      <c r="V372" s="88"/>
      <c r="W372" s="88"/>
      <c r="X372" s="88"/>
      <c r="Y372" s="88"/>
      <c r="Z372" s="88"/>
      <c r="AA372" s="88"/>
    </row>
    <row r="373">
      <c r="A373" s="88"/>
      <c r="B373" s="88"/>
      <c r="C373" s="88"/>
      <c r="D373" s="453"/>
      <c r="E373" s="88"/>
      <c r="F373" s="88"/>
      <c r="G373" s="88"/>
      <c r="H373" s="454"/>
      <c r="I373" s="455"/>
      <c r="J373" s="88"/>
      <c r="K373" s="88"/>
      <c r="L373" s="456"/>
      <c r="M373" s="88"/>
      <c r="N373" s="88"/>
      <c r="O373" s="88"/>
      <c r="P373" s="88"/>
      <c r="Q373" s="88"/>
      <c r="R373" s="88"/>
      <c r="S373" s="88"/>
      <c r="T373" s="88"/>
      <c r="U373" s="88"/>
      <c r="V373" s="88"/>
      <c r="W373" s="88"/>
      <c r="X373" s="88"/>
      <c r="Y373" s="88"/>
      <c r="Z373" s="88"/>
      <c r="AA373" s="88"/>
    </row>
    <row r="374">
      <c r="A374" s="88"/>
      <c r="B374" s="88"/>
      <c r="C374" s="88"/>
      <c r="D374" s="453"/>
      <c r="E374" s="88"/>
      <c r="F374" s="88"/>
      <c r="G374" s="88"/>
      <c r="H374" s="454"/>
      <c r="I374" s="455"/>
      <c r="J374" s="88"/>
      <c r="K374" s="88"/>
      <c r="L374" s="456"/>
      <c r="M374" s="88"/>
      <c r="N374" s="88"/>
      <c r="O374" s="88"/>
      <c r="P374" s="88"/>
      <c r="Q374" s="88"/>
      <c r="R374" s="88"/>
      <c r="S374" s="88"/>
      <c r="T374" s="88"/>
      <c r="U374" s="88"/>
      <c r="V374" s="88"/>
      <c r="W374" s="88"/>
      <c r="X374" s="88"/>
      <c r="Y374" s="88"/>
      <c r="Z374" s="88"/>
      <c r="AA374" s="88"/>
    </row>
    <row r="375">
      <c r="A375" s="88"/>
      <c r="B375" s="88"/>
      <c r="C375" s="88"/>
      <c r="D375" s="453"/>
      <c r="E375" s="88"/>
      <c r="F375" s="88"/>
      <c r="G375" s="88"/>
      <c r="H375" s="454"/>
      <c r="I375" s="455"/>
      <c r="J375" s="88"/>
      <c r="K375" s="88"/>
      <c r="L375" s="456"/>
      <c r="M375" s="88"/>
      <c r="N375" s="88"/>
      <c r="O375" s="88"/>
      <c r="P375" s="88"/>
      <c r="Q375" s="88"/>
      <c r="R375" s="88"/>
      <c r="S375" s="88"/>
      <c r="T375" s="88"/>
      <c r="U375" s="88"/>
      <c r="V375" s="88"/>
      <c r="W375" s="88"/>
      <c r="X375" s="88"/>
      <c r="Y375" s="88"/>
      <c r="Z375" s="88"/>
      <c r="AA375" s="88"/>
    </row>
    <row r="376">
      <c r="A376" s="88"/>
      <c r="B376" s="88"/>
      <c r="C376" s="88"/>
      <c r="D376" s="453"/>
      <c r="E376" s="88"/>
      <c r="F376" s="88"/>
      <c r="G376" s="88"/>
      <c r="H376" s="454"/>
      <c r="I376" s="455"/>
      <c r="J376" s="88"/>
      <c r="K376" s="88"/>
      <c r="L376" s="456"/>
      <c r="M376" s="88"/>
      <c r="N376" s="88"/>
      <c r="O376" s="88"/>
      <c r="P376" s="88"/>
      <c r="Q376" s="88"/>
      <c r="R376" s="88"/>
      <c r="S376" s="88"/>
      <c r="T376" s="88"/>
      <c r="U376" s="88"/>
      <c r="V376" s="88"/>
      <c r="W376" s="88"/>
      <c r="X376" s="88"/>
      <c r="Y376" s="88"/>
      <c r="Z376" s="88"/>
      <c r="AA376" s="88"/>
    </row>
    <row r="377">
      <c r="A377" s="88"/>
      <c r="B377" s="88"/>
      <c r="C377" s="88"/>
      <c r="D377" s="453"/>
      <c r="E377" s="88"/>
      <c r="F377" s="88"/>
      <c r="G377" s="88"/>
      <c r="H377" s="454"/>
      <c r="I377" s="455"/>
      <c r="J377" s="88"/>
      <c r="K377" s="88"/>
      <c r="L377" s="456"/>
      <c r="M377" s="88"/>
      <c r="N377" s="88"/>
      <c r="O377" s="88"/>
      <c r="P377" s="88"/>
      <c r="Q377" s="88"/>
      <c r="R377" s="88"/>
      <c r="S377" s="88"/>
      <c r="T377" s="88"/>
      <c r="U377" s="88"/>
      <c r="V377" s="88"/>
      <c r="W377" s="88"/>
      <c r="X377" s="88"/>
      <c r="Y377" s="88"/>
      <c r="Z377" s="88"/>
      <c r="AA377" s="88"/>
    </row>
    <row r="378">
      <c r="A378" s="88"/>
      <c r="B378" s="88"/>
      <c r="C378" s="88"/>
      <c r="D378" s="453"/>
      <c r="E378" s="88"/>
      <c r="F378" s="88"/>
      <c r="G378" s="88"/>
      <c r="H378" s="454"/>
      <c r="I378" s="455"/>
      <c r="J378" s="88"/>
      <c r="K378" s="88"/>
      <c r="L378" s="456"/>
      <c r="M378" s="88"/>
      <c r="N378" s="88"/>
      <c r="O378" s="88"/>
      <c r="P378" s="88"/>
      <c r="Q378" s="88"/>
      <c r="R378" s="88"/>
      <c r="S378" s="88"/>
      <c r="T378" s="88"/>
      <c r="U378" s="88"/>
      <c r="V378" s="88"/>
      <c r="W378" s="88"/>
      <c r="X378" s="88"/>
      <c r="Y378" s="88"/>
      <c r="Z378" s="88"/>
      <c r="AA378" s="88"/>
    </row>
    <row r="379">
      <c r="A379" s="88"/>
      <c r="B379" s="88"/>
      <c r="C379" s="88"/>
      <c r="D379" s="453"/>
      <c r="E379" s="88"/>
      <c r="F379" s="88"/>
      <c r="G379" s="88"/>
      <c r="H379" s="454"/>
      <c r="I379" s="455"/>
      <c r="J379" s="88"/>
      <c r="K379" s="88"/>
      <c r="L379" s="456"/>
      <c r="M379" s="88"/>
      <c r="N379" s="88"/>
      <c r="O379" s="88"/>
      <c r="P379" s="88"/>
      <c r="Q379" s="88"/>
      <c r="R379" s="88"/>
      <c r="S379" s="88"/>
      <c r="T379" s="88"/>
      <c r="U379" s="88"/>
      <c r="V379" s="88"/>
      <c r="W379" s="88"/>
      <c r="X379" s="88"/>
      <c r="Y379" s="88"/>
      <c r="Z379" s="88"/>
      <c r="AA379" s="88"/>
    </row>
    <row r="380">
      <c r="A380" s="88"/>
      <c r="B380" s="88"/>
      <c r="C380" s="88"/>
      <c r="D380" s="453"/>
      <c r="E380" s="88"/>
      <c r="F380" s="88"/>
      <c r="G380" s="88"/>
      <c r="H380" s="454"/>
      <c r="I380" s="455"/>
      <c r="J380" s="88"/>
      <c r="K380" s="88"/>
      <c r="L380" s="456"/>
      <c r="M380" s="88"/>
      <c r="N380" s="88"/>
      <c r="O380" s="88"/>
      <c r="P380" s="88"/>
      <c r="Q380" s="88"/>
      <c r="R380" s="88"/>
      <c r="S380" s="88"/>
      <c r="T380" s="88"/>
      <c r="U380" s="88"/>
      <c r="V380" s="88"/>
      <c r="W380" s="88"/>
      <c r="X380" s="88"/>
      <c r="Y380" s="88"/>
      <c r="Z380" s="88"/>
      <c r="AA380" s="88"/>
    </row>
    <row r="381">
      <c r="A381" s="88"/>
      <c r="B381" s="88"/>
      <c r="C381" s="88"/>
      <c r="D381" s="453"/>
      <c r="E381" s="88"/>
      <c r="F381" s="88"/>
      <c r="G381" s="88"/>
      <c r="H381" s="454"/>
      <c r="I381" s="455"/>
      <c r="J381" s="88"/>
      <c r="K381" s="88"/>
      <c r="L381" s="456"/>
      <c r="M381" s="88"/>
      <c r="N381" s="88"/>
      <c r="O381" s="88"/>
      <c r="P381" s="88"/>
      <c r="Q381" s="88"/>
      <c r="R381" s="88"/>
      <c r="S381" s="88"/>
      <c r="T381" s="88"/>
      <c r="U381" s="88"/>
      <c r="V381" s="88"/>
      <c r="W381" s="88"/>
      <c r="X381" s="88"/>
      <c r="Y381" s="88"/>
      <c r="Z381" s="88"/>
      <c r="AA381" s="88"/>
    </row>
    <row r="382">
      <c r="A382" s="88"/>
      <c r="B382" s="88"/>
      <c r="C382" s="88"/>
      <c r="D382" s="453"/>
      <c r="E382" s="88"/>
      <c r="F382" s="88"/>
      <c r="G382" s="88"/>
      <c r="H382" s="454"/>
      <c r="I382" s="455"/>
      <c r="J382" s="88"/>
      <c r="K382" s="88"/>
      <c r="L382" s="456"/>
      <c r="M382" s="88"/>
      <c r="N382" s="88"/>
      <c r="O382" s="88"/>
      <c r="P382" s="88"/>
      <c r="Q382" s="88"/>
      <c r="R382" s="88"/>
      <c r="S382" s="88"/>
      <c r="T382" s="88"/>
      <c r="U382" s="88"/>
      <c r="V382" s="88"/>
      <c r="W382" s="88"/>
      <c r="X382" s="88"/>
      <c r="Y382" s="88"/>
      <c r="Z382" s="88"/>
      <c r="AA382" s="88"/>
    </row>
    <row r="383">
      <c r="A383" s="88"/>
      <c r="B383" s="88"/>
      <c r="C383" s="88"/>
      <c r="D383" s="453"/>
      <c r="E383" s="88"/>
      <c r="F383" s="88"/>
      <c r="G383" s="88"/>
      <c r="H383" s="454"/>
      <c r="I383" s="455"/>
      <c r="J383" s="88"/>
      <c r="K383" s="88"/>
      <c r="L383" s="456"/>
      <c r="M383" s="88"/>
      <c r="N383" s="88"/>
      <c r="O383" s="88"/>
      <c r="P383" s="88"/>
      <c r="Q383" s="88"/>
      <c r="R383" s="88"/>
      <c r="S383" s="88"/>
      <c r="T383" s="88"/>
      <c r="U383" s="88"/>
      <c r="V383" s="88"/>
      <c r="W383" s="88"/>
      <c r="X383" s="88"/>
      <c r="Y383" s="88"/>
      <c r="Z383" s="88"/>
      <c r="AA383" s="88"/>
    </row>
    <row r="384">
      <c r="A384" s="88"/>
      <c r="B384" s="88"/>
      <c r="C384" s="88"/>
      <c r="D384" s="453"/>
      <c r="E384" s="88"/>
      <c r="F384" s="88"/>
      <c r="G384" s="88"/>
      <c r="H384" s="454"/>
      <c r="I384" s="455"/>
      <c r="J384" s="88"/>
      <c r="K384" s="88"/>
      <c r="L384" s="456"/>
      <c r="M384" s="88"/>
      <c r="N384" s="88"/>
      <c r="O384" s="88"/>
      <c r="P384" s="88"/>
      <c r="Q384" s="88"/>
      <c r="R384" s="88"/>
      <c r="S384" s="88"/>
      <c r="T384" s="88"/>
      <c r="U384" s="88"/>
      <c r="V384" s="88"/>
      <c r="W384" s="88"/>
      <c r="X384" s="88"/>
      <c r="Y384" s="88"/>
      <c r="Z384" s="88"/>
      <c r="AA384" s="88"/>
    </row>
    <row r="385">
      <c r="A385" s="88"/>
      <c r="B385" s="88"/>
      <c r="C385" s="88"/>
      <c r="D385" s="453"/>
      <c r="E385" s="88"/>
      <c r="F385" s="88"/>
      <c r="G385" s="88"/>
      <c r="H385" s="454"/>
      <c r="I385" s="455"/>
      <c r="J385" s="88"/>
      <c r="K385" s="88"/>
      <c r="L385" s="456"/>
      <c r="M385" s="88"/>
      <c r="N385" s="88"/>
      <c r="O385" s="88"/>
      <c r="P385" s="88"/>
      <c r="Q385" s="88"/>
      <c r="R385" s="88"/>
      <c r="S385" s="88"/>
      <c r="T385" s="88"/>
      <c r="U385" s="88"/>
      <c r="V385" s="88"/>
      <c r="W385" s="88"/>
      <c r="X385" s="88"/>
      <c r="Y385" s="88"/>
      <c r="Z385" s="88"/>
      <c r="AA385" s="88"/>
    </row>
    <row r="386">
      <c r="A386" s="88"/>
      <c r="B386" s="88"/>
      <c r="C386" s="88"/>
      <c r="D386" s="453"/>
      <c r="E386" s="88"/>
      <c r="F386" s="88"/>
      <c r="G386" s="88"/>
      <c r="H386" s="454"/>
      <c r="I386" s="455"/>
      <c r="J386" s="88"/>
      <c r="K386" s="88"/>
      <c r="L386" s="456"/>
      <c r="M386" s="88"/>
      <c r="N386" s="88"/>
      <c r="O386" s="88"/>
      <c r="P386" s="88"/>
      <c r="Q386" s="88"/>
      <c r="R386" s="88"/>
      <c r="S386" s="88"/>
      <c r="T386" s="88"/>
      <c r="U386" s="88"/>
      <c r="V386" s="88"/>
      <c r="W386" s="88"/>
      <c r="X386" s="88"/>
      <c r="Y386" s="88"/>
      <c r="Z386" s="88"/>
      <c r="AA386" s="88"/>
    </row>
    <row r="387">
      <c r="A387" s="88"/>
      <c r="B387" s="88"/>
      <c r="C387" s="88"/>
      <c r="D387" s="453"/>
      <c r="E387" s="88"/>
      <c r="F387" s="88"/>
      <c r="G387" s="88"/>
      <c r="H387" s="454"/>
      <c r="I387" s="455"/>
      <c r="J387" s="88"/>
      <c r="K387" s="88"/>
      <c r="L387" s="456"/>
      <c r="M387" s="88"/>
      <c r="N387" s="88"/>
      <c r="O387" s="88"/>
      <c r="P387" s="88"/>
      <c r="Q387" s="88"/>
      <c r="R387" s="88"/>
      <c r="S387" s="88"/>
      <c r="T387" s="88"/>
      <c r="U387" s="88"/>
      <c r="V387" s="88"/>
      <c r="W387" s="88"/>
      <c r="X387" s="88"/>
      <c r="Y387" s="88"/>
      <c r="Z387" s="88"/>
      <c r="AA387" s="88"/>
    </row>
    <row r="388">
      <c r="A388" s="88"/>
      <c r="B388" s="88"/>
      <c r="C388" s="88"/>
      <c r="D388" s="453"/>
      <c r="E388" s="88"/>
      <c r="F388" s="88"/>
      <c r="G388" s="88"/>
      <c r="H388" s="454"/>
      <c r="I388" s="455"/>
      <c r="J388" s="88"/>
      <c r="K388" s="88"/>
      <c r="L388" s="456"/>
      <c r="M388" s="88"/>
      <c r="N388" s="88"/>
      <c r="O388" s="88"/>
      <c r="P388" s="88"/>
      <c r="Q388" s="88"/>
      <c r="R388" s="88"/>
      <c r="S388" s="88"/>
      <c r="T388" s="88"/>
      <c r="U388" s="88"/>
      <c r="V388" s="88"/>
      <c r="W388" s="88"/>
      <c r="X388" s="88"/>
      <c r="Y388" s="88"/>
      <c r="Z388" s="88"/>
      <c r="AA388" s="88"/>
    </row>
    <row r="389">
      <c r="A389" s="88"/>
      <c r="B389" s="88"/>
      <c r="C389" s="88"/>
      <c r="D389" s="453"/>
      <c r="E389" s="88"/>
      <c r="F389" s="88"/>
      <c r="G389" s="88"/>
      <c r="H389" s="454"/>
      <c r="I389" s="455"/>
      <c r="J389" s="88"/>
      <c r="K389" s="88"/>
      <c r="L389" s="456"/>
      <c r="M389" s="88"/>
      <c r="N389" s="88"/>
      <c r="O389" s="88"/>
      <c r="P389" s="88"/>
      <c r="Q389" s="88"/>
      <c r="R389" s="88"/>
      <c r="S389" s="88"/>
      <c r="T389" s="88"/>
      <c r="U389" s="88"/>
      <c r="V389" s="88"/>
      <c r="W389" s="88"/>
      <c r="X389" s="88"/>
      <c r="Y389" s="88"/>
      <c r="Z389" s="88"/>
      <c r="AA389" s="88"/>
    </row>
    <row r="390">
      <c r="A390" s="88"/>
      <c r="B390" s="88"/>
      <c r="C390" s="88"/>
      <c r="D390" s="453"/>
      <c r="E390" s="88"/>
      <c r="F390" s="88"/>
      <c r="G390" s="88"/>
      <c r="H390" s="454"/>
      <c r="I390" s="455"/>
      <c r="J390" s="88"/>
      <c r="K390" s="88"/>
      <c r="L390" s="456"/>
      <c r="M390" s="88"/>
      <c r="N390" s="88"/>
      <c r="O390" s="88"/>
      <c r="P390" s="88"/>
      <c r="Q390" s="88"/>
      <c r="R390" s="88"/>
      <c r="S390" s="88"/>
      <c r="T390" s="88"/>
      <c r="U390" s="88"/>
      <c r="V390" s="88"/>
      <c r="W390" s="88"/>
      <c r="X390" s="88"/>
      <c r="Y390" s="88"/>
      <c r="Z390" s="88"/>
      <c r="AA390" s="88"/>
    </row>
    <row r="391">
      <c r="A391" s="88"/>
      <c r="B391" s="88"/>
      <c r="C391" s="88"/>
      <c r="D391" s="453"/>
      <c r="E391" s="88"/>
      <c r="F391" s="88"/>
      <c r="G391" s="88"/>
      <c r="H391" s="454"/>
      <c r="I391" s="455"/>
      <c r="J391" s="88"/>
      <c r="K391" s="88"/>
      <c r="L391" s="456"/>
      <c r="M391" s="88"/>
      <c r="N391" s="88"/>
      <c r="O391" s="88"/>
      <c r="P391" s="88"/>
      <c r="Q391" s="88"/>
      <c r="R391" s="88"/>
      <c r="S391" s="88"/>
      <c r="T391" s="88"/>
      <c r="U391" s="88"/>
      <c r="V391" s="88"/>
      <c r="W391" s="88"/>
      <c r="X391" s="88"/>
      <c r="Y391" s="88"/>
      <c r="Z391" s="88"/>
      <c r="AA391" s="88"/>
    </row>
    <row r="392">
      <c r="A392" s="88"/>
      <c r="B392" s="88"/>
      <c r="C392" s="88"/>
      <c r="D392" s="453"/>
      <c r="E392" s="88"/>
      <c r="F392" s="88"/>
      <c r="G392" s="88"/>
      <c r="H392" s="454"/>
      <c r="I392" s="455"/>
      <c r="J392" s="88"/>
      <c r="K392" s="88"/>
      <c r="L392" s="456"/>
      <c r="M392" s="88"/>
      <c r="N392" s="88"/>
      <c r="O392" s="88"/>
      <c r="P392" s="88"/>
      <c r="Q392" s="88"/>
      <c r="R392" s="88"/>
      <c r="S392" s="88"/>
      <c r="T392" s="88"/>
      <c r="U392" s="88"/>
      <c r="V392" s="88"/>
      <c r="W392" s="88"/>
      <c r="X392" s="88"/>
      <c r="Y392" s="88"/>
      <c r="Z392" s="88"/>
      <c r="AA392" s="88"/>
    </row>
    <row r="393">
      <c r="A393" s="88"/>
      <c r="B393" s="88"/>
      <c r="C393" s="88"/>
      <c r="D393" s="453"/>
      <c r="E393" s="88"/>
      <c r="F393" s="88"/>
      <c r="G393" s="88"/>
      <c r="H393" s="454"/>
      <c r="I393" s="455"/>
      <c r="J393" s="88"/>
      <c r="K393" s="88"/>
      <c r="L393" s="456"/>
      <c r="M393" s="88"/>
      <c r="N393" s="88"/>
      <c r="O393" s="88"/>
      <c r="P393" s="88"/>
      <c r="Q393" s="88"/>
      <c r="R393" s="88"/>
      <c r="S393" s="88"/>
      <c r="T393" s="88"/>
      <c r="U393" s="88"/>
      <c r="V393" s="88"/>
      <c r="W393" s="88"/>
      <c r="X393" s="88"/>
      <c r="Y393" s="88"/>
      <c r="Z393" s="88"/>
      <c r="AA393" s="88"/>
    </row>
    <row r="394">
      <c r="A394" s="88"/>
      <c r="B394" s="88"/>
      <c r="C394" s="88"/>
      <c r="D394" s="453"/>
      <c r="E394" s="88"/>
      <c r="F394" s="88"/>
      <c r="G394" s="88"/>
      <c r="H394" s="454"/>
      <c r="I394" s="455"/>
      <c r="J394" s="88"/>
      <c r="K394" s="88"/>
      <c r="L394" s="456"/>
      <c r="M394" s="88"/>
      <c r="N394" s="88"/>
      <c r="O394" s="88"/>
      <c r="P394" s="88"/>
      <c r="Q394" s="88"/>
      <c r="R394" s="88"/>
      <c r="S394" s="88"/>
      <c r="T394" s="88"/>
      <c r="U394" s="88"/>
      <c r="V394" s="88"/>
      <c r="W394" s="88"/>
      <c r="X394" s="88"/>
      <c r="Y394" s="88"/>
      <c r="Z394" s="88"/>
      <c r="AA394" s="88"/>
    </row>
    <row r="395">
      <c r="A395" s="88"/>
      <c r="B395" s="88"/>
      <c r="C395" s="88"/>
      <c r="D395" s="453"/>
      <c r="E395" s="88"/>
      <c r="F395" s="88"/>
      <c r="G395" s="88"/>
      <c r="H395" s="454"/>
      <c r="I395" s="455"/>
      <c r="J395" s="88"/>
      <c r="K395" s="88"/>
      <c r="L395" s="456"/>
      <c r="M395" s="88"/>
      <c r="N395" s="88"/>
      <c r="O395" s="88"/>
      <c r="P395" s="88"/>
      <c r="Q395" s="88"/>
      <c r="R395" s="88"/>
      <c r="S395" s="88"/>
      <c r="T395" s="88"/>
      <c r="U395" s="88"/>
      <c r="V395" s="88"/>
      <c r="W395" s="88"/>
      <c r="X395" s="88"/>
      <c r="Y395" s="88"/>
      <c r="Z395" s="88"/>
      <c r="AA395" s="88"/>
    </row>
    <row r="396">
      <c r="A396" s="88"/>
      <c r="B396" s="88"/>
      <c r="C396" s="88"/>
      <c r="D396" s="453"/>
      <c r="E396" s="88"/>
      <c r="F396" s="88"/>
      <c r="G396" s="88"/>
      <c r="H396" s="454"/>
      <c r="I396" s="455"/>
      <c r="J396" s="88"/>
      <c r="K396" s="88"/>
      <c r="L396" s="456"/>
      <c r="M396" s="88"/>
      <c r="N396" s="88"/>
      <c r="O396" s="88"/>
      <c r="P396" s="88"/>
      <c r="Q396" s="88"/>
      <c r="R396" s="88"/>
      <c r="S396" s="88"/>
      <c r="T396" s="88"/>
      <c r="U396" s="88"/>
      <c r="V396" s="88"/>
      <c r="W396" s="88"/>
      <c r="X396" s="88"/>
      <c r="Y396" s="88"/>
      <c r="Z396" s="88"/>
      <c r="AA396" s="88"/>
    </row>
    <row r="397">
      <c r="A397" s="88"/>
      <c r="B397" s="88"/>
      <c r="C397" s="88"/>
      <c r="D397" s="453"/>
      <c r="E397" s="88"/>
      <c r="F397" s="88"/>
      <c r="G397" s="88"/>
      <c r="H397" s="454"/>
      <c r="I397" s="455"/>
      <c r="J397" s="88"/>
      <c r="K397" s="88"/>
      <c r="L397" s="456"/>
      <c r="M397" s="88"/>
      <c r="N397" s="88"/>
      <c r="O397" s="88"/>
      <c r="P397" s="88"/>
      <c r="Q397" s="88"/>
      <c r="R397" s="88"/>
      <c r="S397" s="88"/>
      <c r="T397" s="88"/>
      <c r="U397" s="88"/>
      <c r="V397" s="88"/>
      <c r="W397" s="88"/>
      <c r="X397" s="88"/>
      <c r="Y397" s="88"/>
      <c r="Z397" s="88"/>
      <c r="AA397" s="88"/>
    </row>
    <row r="398">
      <c r="A398" s="88"/>
      <c r="B398" s="88"/>
      <c r="C398" s="88"/>
      <c r="D398" s="453"/>
      <c r="E398" s="88"/>
      <c r="F398" s="88"/>
      <c r="G398" s="88"/>
      <c r="H398" s="454"/>
      <c r="I398" s="455"/>
      <c r="J398" s="88"/>
      <c r="K398" s="88"/>
      <c r="L398" s="456"/>
      <c r="M398" s="88"/>
      <c r="N398" s="88"/>
      <c r="O398" s="88"/>
      <c r="P398" s="88"/>
      <c r="Q398" s="88"/>
      <c r="R398" s="88"/>
      <c r="S398" s="88"/>
      <c r="T398" s="88"/>
      <c r="U398" s="88"/>
      <c r="V398" s="88"/>
      <c r="W398" s="88"/>
      <c r="X398" s="88"/>
      <c r="Y398" s="88"/>
      <c r="Z398" s="88"/>
      <c r="AA398" s="88"/>
    </row>
    <row r="399">
      <c r="A399" s="88"/>
      <c r="B399" s="88"/>
      <c r="C399" s="88"/>
      <c r="D399" s="453"/>
      <c r="E399" s="88"/>
      <c r="F399" s="88"/>
      <c r="G399" s="88"/>
      <c r="H399" s="454"/>
      <c r="I399" s="455"/>
      <c r="J399" s="88"/>
      <c r="K399" s="88"/>
      <c r="L399" s="456"/>
      <c r="M399" s="88"/>
      <c r="N399" s="88"/>
      <c r="O399" s="88"/>
      <c r="P399" s="88"/>
      <c r="Q399" s="88"/>
      <c r="R399" s="88"/>
      <c r="S399" s="88"/>
      <c r="T399" s="88"/>
      <c r="U399" s="88"/>
      <c r="V399" s="88"/>
      <c r="W399" s="88"/>
      <c r="X399" s="88"/>
      <c r="Y399" s="88"/>
      <c r="Z399" s="88"/>
      <c r="AA399" s="88"/>
    </row>
    <row r="400">
      <c r="A400" s="88"/>
      <c r="B400" s="88"/>
      <c r="C400" s="88"/>
      <c r="D400" s="453"/>
      <c r="E400" s="88"/>
      <c r="F400" s="88"/>
      <c r="G400" s="88"/>
      <c r="H400" s="454"/>
      <c r="I400" s="455"/>
      <c r="J400" s="88"/>
      <c r="K400" s="88"/>
      <c r="L400" s="456"/>
      <c r="M400" s="88"/>
      <c r="N400" s="88"/>
      <c r="O400" s="88"/>
      <c r="P400" s="88"/>
      <c r="Q400" s="88"/>
      <c r="R400" s="88"/>
      <c r="S400" s="88"/>
      <c r="T400" s="88"/>
      <c r="U400" s="88"/>
      <c r="V400" s="88"/>
      <c r="W400" s="88"/>
      <c r="X400" s="88"/>
      <c r="Y400" s="88"/>
      <c r="Z400" s="88"/>
      <c r="AA400" s="88"/>
    </row>
    <row r="401">
      <c r="A401" s="88"/>
      <c r="B401" s="88"/>
      <c r="C401" s="88"/>
      <c r="D401" s="453"/>
      <c r="E401" s="88"/>
      <c r="F401" s="88"/>
      <c r="G401" s="88"/>
      <c r="H401" s="454"/>
      <c r="I401" s="455"/>
      <c r="J401" s="88"/>
      <c r="K401" s="88"/>
      <c r="L401" s="456"/>
      <c r="M401" s="88"/>
      <c r="N401" s="88"/>
      <c r="O401" s="88"/>
      <c r="P401" s="88"/>
      <c r="Q401" s="88"/>
      <c r="R401" s="88"/>
      <c r="S401" s="88"/>
      <c r="T401" s="88"/>
      <c r="U401" s="88"/>
      <c r="V401" s="88"/>
      <c r="W401" s="88"/>
      <c r="X401" s="88"/>
      <c r="Y401" s="88"/>
      <c r="Z401" s="88"/>
      <c r="AA401" s="88"/>
    </row>
    <row r="402">
      <c r="A402" s="88"/>
      <c r="B402" s="88"/>
      <c r="C402" s="88"/>
      <c r="D402" s="453"/>
      <c r="E402" s="88"/>
      <c r="F402" s="88"/>
      <c r="G402" s="88"/>
      <c r="H402" s="454"/>
      <c r="I402" s="455"/>
      <c r="J402" s="88"/>
      <c r="K402" s="88"/>
      <c r="L402" s="456"/>
      <c r="M402" s="88"/>
      <c r="N402" s="88"/>
      <c r="O402" s="88"/>
      <c r="P402" s="88"/>
      <c r="Q402" s="88"/>
      <c r="R402" s="88"/>
      <c r="S402" s="88"/>
      <c r="T402" s="88"/>
      <c r="U402" s="88"/>
      <c r="V402" s="88"/>
      <c r="W402" s="88"/>
      <c r="X402" s="88"/>
      <c r="Y402" s="88"/>
      <c r="Z402" s="88"/>
      <c r="AA402" s="88"/>
    </row>
    <row r="403">
      <c r="A403" s="88"/>
      <c r="B403" s="88"/>
      <c r="C403" s="88"/>
      <c r="D403" s="453"/>
      <c r="E403" s="88"/>
      <c r="F403" s="88"/>
      <c r="G403" s="88"/>
      <c r="H403" s="454"/>
      <c r="I403" s="455"/>
      <c r="J403" s="88"/>
      <c r="K403" s="88"/>
      <c r="L403" s="456"/>
      <c r="M403" s="88"/>
      <c r="N403" s="88"/>
      <c r="O403" s="88"/>
      <c r="P403" s="88"/>
      <c r="Q403" s="88"/>
      <c r="R403" s="88"/>
      <c r="S403" s="88"/>
      <c r="T403" s="88"/>
      <c r="U403" s="88"/>
      <c r="V403" s="88"/>
      <c r="W403" s="88"/>
      <c r="X403" s="88"/>
      <c r="Y403" s="88"/>
      <c r="Z403" s="88"/>
      <c r="AA403" s="88"/>
    </row>
    <row r="404">
      <c r="A404" s="88"/>
      <c r="B404" s="88"/>
      <c r="C404" s="88"/>
      <c r="D404" s="453"/>
      <c r="E404" s="88"/>
      <c r="F404" s="88"/>
      <c r="G404" s="88"/>
      <c r="H404" s="454"/>
      <c r="I404" s="455"/>
      <c r="J404" s="88"/>
      <c r="K404" s="88"/>
      <c r="L404" s="456"/>
      <c r="M404" s="88"/>
      <c r="N404" s="88"/>
      <c r="O404" s="88"/>
      <c r="P404" s="88"/>
      <c r="Q404" s="88"/>
      <c r="R404" s="88"/>
      <c r="S404" s="88"/>
      <c r="T404" s="88"/>
      <c r="U404" s="88"/>
      <c r="V404" s="88"/>
      <c r="W404" s="88"/>
      <c r="X404" s="88"/>
      <c r="Y404" s="88"/>
      <c r="Z404" s="88"/>
      <c r="AA404" s="88"/>
    </row>
    <row r="405">
      <c r="A405" s="88"/>
      <c r="B405" s="88"/>
      <c r="C405" s="88"/>
      <c r="D405" s="453"/>
      <c r="E405" s="88"/>
      <c r="F405" s="88"/>
      <c r="G405" s="88"/>
      <c r="H405" s="454"/>
      <c r="I405" s="455"/>
      <c r="J405" s="88"/>
      <c r="K405" s="88"/>
      <c r="L405" s="456"/>
      <c r="M405" s="88"/>
      <c r="N405" s="88"/>
      <c r="O405" s="88"/>
      <c r="P405" s="88"/>
      <c r="Q405" s="88"/>
      <c r="R405" s="88"/>
      <c r="S405" s="88"/>
      <c r="T405" s="88"/>
      <c r="U405" s="88"/>
      <c r="V405" s="88"/>
      <c r="W405" s="88"/>
      <c r="X405" s="88"/>
      <c r="Y405" s="88"/>
      <c r="Z405" s="88"/>
      <c r="AA405" s="88"/>
    </row>
    <row r="406">
      <c r="A406" s="88"/>
      <c r="B406" s="88"/>
      <c r="C406" s="88"/>
      <c r="D406" s="453"/>
      <c r="E406" s="88"/>
      <c r="F406" s="88"/>
      <c r="G406" s="88"/>
      <c r="H406" s="454"/>
      <c r="I406" s="455"/>
      <c r="J406" s="88"/>
      <c r="K406" s="88"/>
      <c r="L406" s="456"/>
      <c r="M406" s="88"/>
      <c r="N406" s="88"/>
      <c r="O406" s="88"/>
      <c r="P406" s="88"/>
      <c r="Q406" s="88"/>
      <c r="R406" s="88"/>
      <c r="S406" s="88"/>
      <c r="T406" s="88"/>
      <c r="U406" s="88"/>
      <c r="V406" s="88"/>
      <c r="W406" s="88"/>
      <c r="X406" s="88"/>
      <c r="Y406" s="88"/>
      <c r="Z406" s="88"/>
      <c r="AA406" s="88"/>
    </row>
    <row r="407">
      <c r="A407" s="88"/>
      <c r="B407" s="88"/>
      <c r="C407" s="88"/>
      <c r="D407" s="453"/>
      <c r="E407" s="88"/>
      <c r="F407" s="88"/>
      <c r="G407" s="88"/>
      <c r="H407" s="454"/>
      <c r="I407" s="455"/>
      <c r="J407" s="88"/>
      <c r="K407" s="88"/>
      <c r="L407" s="456"/>
      <c r="M407" s="88"/>
      <c r="N407" s="88"/>
      <c r="O407" s="88"/>
      <c r="P407" s="88"/>
      <c r="Q407" s="88"/>
      <c r="R407" s="88"/>
      <c r="S407" s="88"/>
      <c r="T407" s="88"/>
      <c r="U407" s="88"/>
      <c r="V407" s="88"/>
      <c r="W407" s="88"/>
      <c r="X407" s="88"/>
      <c r="Y407" s="88"/>
      <c r="Z407" s="88"/>
      <c r="AA407" s="88"/>
    </row>
    <row r="408">
      <c r="A408" s="88"/>
      <c r="B408" s="88"/>
      <c r="C408" s="88"/>
      <c r="D408" s="453"/>
      <c r="E408" s="88"/>
      <c r="F408" s="88"/>
      <c r="G408" s="88"/>
      <c r="H408" s="454"/>
      <c r="I408" s="455"/>
      <c r="J408" s="88"/>
      <c r="K408" s="88"/>
      <c r="L408" s="456"/>
      <c r="M408" s="88"/>
      <c r="N408" s="88"/>
      <c r="O408" s="88"/>
      <c r="P408" s="88"/>
      <c r="Q408" s="88"/>
      <c r="R408" s="88"/>
      <c r="S408" s="88"/>
      <c r="T408" s="88"/>
      <c r="U408" s="88"/>
      <c r="V408" s="88"/>
      <c r="W408" s="88"/>
      <c r="X408" s="88"/>
      <c r="Y408" s="88"/>
      <c r="Z408" s="88"/>
      <c r="AA408" s="88"/>
    </row>
    <row r="409">
      <c r="A409" s="88"/>
      <c r="B409" s="88"/>
      <c r="C409" s="88"/>
      <c r="D409" s="453"/>
      <c r="E409" s="88"/>
      <c r="F409" s="88"/>
      <c r="G409" s="88"/>
      <c r="H409" s="454"/>
      <c r="I409" s="455"/>
      <c r="J409" s="88"/>
      <c r="K409" s="88"/>
      <c r="L409" s="456"/>
      <c r="M409" s="88"/>
      <c r="N409" s="88"/>
      <c r="O409" s="88"/>
      <c r="P409" s="88"/>
      <c r="Q409" s="88"/>
      <c r="R409" s="88"/>
      <c r="S409" s="88"/>
      <c r="T409" s="88"/>
      <c r="U409" s="88"/>
      <c r="V409" s="88"/>
      <c r="W409" s="88"/>
      <c r="X409" s="88"/>
      <c r="Y409" s="88"/>
      <c r="Z409" s="88"/>
      <c r="AA409" s="88"/>
    </row>
    <row r="410">
      <c r="A410" s="88"/>
      <c r="B410" s="88"/>
      <c r="C410" s="88"/>
      <c r="D410" s="453"/>
      <c r="E410" s="88"/>
      <c r="F410" s="88"/>
      <c r="G410" s="88"/>
      <c r="H410" s="454"/>
      <c r="I410" s="455"/>
      <c r="J410" s="88"/>
      <c r="K410" s="88"/>
      <c r="L410" s="456"/>
      <c r="M410" s="88"/>
      <c r="N410" s="88"/>
      <c r="O410" s="88"/>
      <c r="P410" s="88"/>
      <c r="Q410" s="88"/>
      <c r="R410" s="88"/>
      <c r="S410" s="88"/>
      <c r="T410" s="88"/>
      <c r="U410" s="88"/>
      <c r="V410" s="88"/>
      <c r="W410" s="88"/>
      <c r="X410" s="88"/>
      <c r="Y410" s="88"/>
      <c r="Z410" s="88"/>
      <c r="AA410" s="88"/>
    </row>
    <row r="411">
      <c r="A411" s="88"/>
      <c r="B411" s="88"/>
      <c r="C411" s="88"/>
      <c r="D411" s="453"/>
      <c r="E411" s="88"/>
      <c r="F411" s="88"/>
      <c r="G411" s="88"/>
      <c r="H411" s="454"/>
      <c r="I411" s="455"/>
      <c r="J411" s="88"/>
      <c r="K411" s="88"/>
      <c r="L411" s="456"/>
      <c r="M411" s="88"/>
      <c r="N411" s="88"/>
      <c r="O411" s="88"/>
      <c r="P411" s="88"/>
      <c r="Q411" s="88"/>
      <c r="R411" s="88"/>
      <c r="S411" s="88"/>
      <c r="T411" s="88"/>
      <c r="U411" s="88"/>
      <c r="V411" s="88"/>
      <c r="W411" s="88"/>
      <c r="X411" s="88"/>
      <c r="Y411" s="88"/>
      <c r="Z411" s="88"/>
      <c r="AA411" s="88"/>
    </row>
    <row r="412">
      <c r="A412" s="88"/>
      <c r="B412" s="88"/>
      <c r="C412" s="88"/>
      <c r="D412" s="453"/>
      <c r="E412" s="88"/>
      <c r="F412" s="88"/>
      <c r="G412" s="88"/>
      <c r="H412" s="454"/>
      <c r="I412" s="455"/>
      <c r="J412" s="88"/>
      <c r="K412" s="88"/>
      <c r="L412" s="456"/>
      <c r="M412" s="88"/>
      <c r="N412" s="88"/>
      <c r="O412" s="88"/>
      <c r="P412" s="88"/>
      <c r="Q412" s="88"/>
      <c r="R412" s="88"/>
      <c r="S412" s="88"/>
      <c r="T412" s="88"/>
      <c r="U412" s="88"/>
      <c r="V412" s="88"/>
      <c r="W412" s="88"/>
      <c r="X412" s="88"/>
      <c r="Y412" s="88"/>
      <c r="Z412" s="88"/>
      <c r="AA412" s="88"/>
    </row>
    <row r="413">
      <c r="A413" s="88"/>
      <c r="B413" s="88"/>
      <c r="C413" s="88"/>
      <c r="D413" s="453"/>
      <c r="E413" s="88"/>
      <c r="F413" s="88"/>
      <c r="G413" s="88"/>
      <c r="H413" s="454"/>
      <c r="I413" s="455"/>
      <c r="J413" s="88"/>
      <c r="K413" s="88"/>
      <c r="L413" s="456"/>
      <c r="M413" s="88"/>
      <c r="N413" s="88"/>
      <c r="O413" s="88"/>
      <c r="P413" s="88"/>
      <c r="Q413" s="88"/>
      <c r="R413" s="88"/>
      <c r="S413" s="88"/>
      <c r="T413" s="88"/>
      <c r="U413" s="88"/>
      <c r="V413" s="88"/>
      <c r="W413" s="88"/>
      <c r="X413" s="88"/>
      <c r="Y413" s="88"/>
      <c r="Z413" s="88"/>
      <c r="AA413" s="88"/>
    </row>
    <row r="414">
      <c r="A414" s="88"/>
      <c r="B414" s="88"/>
      <c r="C414" s="88"/>
      <c r="D414" s="453"/>
      <c r="E414" s="88"/>
      <c r="F414" s="88"/>
      <c r="G414" s="88"/>
      <c r="H414" s="454"/>
      <c r="I414" s="455"/>
      <c r="J414" s="88"/>
      <c r="K414" s="88"/>
      <c r="L414" s="456"/>
      <c r="M414" s="88"/>
      <c r="N414" s="88"/>
      <c r="O414" s="88"/>
      <c r="P414" s="88"/>
      <c r="Q414" s="88"/>
      <c r="R414" s="88"/>
      <c r="S414" s="88"/>
      <c r="T414" s="88"/>
      <c r="U414" s="88"/>
      <c r="V414" s="88"/>
      <c r="W414" s="88"/>
      <c r="X414" s="88"/>
      <c r="Y414" s="88"/>
      <c r="Z414" s="88"/>
      <c r="AA414" s="88"/>
    </row>
    <row r="415">
      <c r="A415" s="88"/>
      <c r="B415" s="88"/>
      <c r="C415" s="88"/>
      <c r="D415" s="453"/>
      <c r="E415" s="88"/>
      <c r="F415" s="88"/>
      <c r="G415" s="88"/>
      <c r="H415" s="454"/>
      <c r="I415" s="455"/>
      <c r="J415" s="88"/>
      <c r="K415" s="88"/>
      <c r="L415" s="456"/>
      <c r="M415" s="88"/>
      <c r="N415" s="88"/>
      <c r="O415" s="88"/>
      <c r="P415" s="88"/>
      <c r="Q415" s="88"/>
      <c r="R415" s="88"/>
      <c r="S415" s="88"/>
      <c r="T415" s="88"/>
      <c r="U415" s="88"/>
      <c r="V415" s="88"/>
      <c r="W415" s="88"/>
      <c r="X415" s="88"/>
      <c r="Y415" s="88"/>
      <c r="Z415" s="88"/>
      <c r="AA415" s="88"/>
    </row>
    <row r="416">
      <c r="A416" s="88"/>
      <c r="B416" s="88"/>
      <c r="C416" s="88"/>
      <c r="D416" s="453"/>
      <c r="E416" s="88"/>
      <c r="F416" s="88"/>
      <c r="G416" s="88"/>
      <c r="H416" s="454"/>
      <c r="I416" s="455"/>
      <c r="J416" s="88"/>
      <c r="K416" s="88"/>
      <c r="L416" s="456"/>
      <c r="M416" s="88"/>
      <c r="N416" s="88"/>
      <c r="O416" s="88"/>
      <c r="P416" s="88"/>
      <c r="Q416" s="88"/>
      <c r="R416" s="88"/>
      <c r="S416" s="88"/>
      <c r="T416" s="88"/>
      <c r="U416" s="88"/>
      <c r="V416" s="88"/>
      <c r="W416" s="88"/>
      <c r="X416" s="88"/>
      <c r="Y416" s="88"/>
      <c r="Z416" s="88"/>
      <c r="AA416" s="88"/>
    </row>
    <row r="417">
      <c r="A417" s="88"/>
      <c r="B417" s="88"/>
      <c r="C417" s="88"/>
      <c r="D417" s="453"/>
      <c r="E417" s="88"/>
      <c r="F417" s="88"/>
      <c r="G417" s="88"/>
      <c r="H417" s="454"/>
      <c r="I417" s="455"/>
      <c r="J417" s="88"/>
      <c r="K417" s="88"/>
      <c r="L417" s="456"/>
      <c r="M417" s="88"/>
      <c r="N417" s="88"/>
      <c r="O417" s="88"/>
      <c r="P417" s="88"/>
      <c r="Q417" s="88"/>
      <c r="R417" s="88"/>
      <c r="S417" s="88"/>
      <c r="T417" s="88"/>
      <c r="U417" s="88"/>
      <c r="V417" s="88"/>
      <c r="W417" s="88"/>
      <c r="X417" s="88"/>
      <c r="Y417" s="88"/>
      <c r="Z417" s="88"/>
      <c r="AA417" s="88"/>
    </row>
    <row r="418">
      <c r="A418" s="88"/>
      <c r="B418" s="88"/>
      <c r="C418" s="88"/>
      <c r="D418" s="453"/>
      <c r="E418" s="88"/>
      <c r="F418" s="88"/>
      <c r="G418" s="88"/>
      <c r="H418" s="454"/>
      <c r="I418" s="455"/>
      <c r="J418" s="88"/>
      <c r="K418" s="88"/>
      <c r="L418" s="456"/>
      <c r="M418" s="88"/>
      <c r="N418" s="88"/>
      <c r="O418" s="88"/>
      <c r="P418" s="88"/>
      <c r="Q418" s="88"/>
      <c r="R418" s="88"/>
      <c r="S418" s="88"/>
      <c r="T418" s="88"/>
      <c r="U418" s="88"/>
      <c r="V418" s="88"/>
      <c r="W418" s="88"/>
      <c r="X418" s="88"/>
      <c r="Y418" s="88"/>
      <c r="Z418" s="88"/>
      <c r="AA418" s="88"/>
    </row>
    <row r="419">
      <c r="A419" s="88"/>
      <c r="B419" s="88"/>
      <c r="C419" s="88"/>
      <c r="D419" s="453"/>
      <c r="E419" s="88"/>
      <c r="F419" s="88"/>
      <c r="G419" s="88"/>
      <c r="H419" s="454"/>
      <c r="I419" s="455"/>
      <c r="J419" s="88"/>
      <c r="K419" s="88"/>
      <c r="L419" s="456"/>
      <c r="M419" s="88"/>
      <c r="N419" s="88"/>
      <c r="O419" s="88"/>
      <c r="P419" s="88"/>
      <c r="Q419" s="88"/>
      <c r="R419" s="88"/>
      <c r="S419" s="88"/>
      <c r="T419" s="88"/>
      <c r="U419" s="88"/>
      <c r="V419" s="88"/>
      <c r="W419" s="88"/>
      <c r="X419" s="88"/>
      <c r="Y419" s="88"/>
      <c r="Z419" s="88"/>
      <c r="AA419" s="88"/>
    </row>
    <row r="420">
      <c r="A420" s="88"/>
      <c r="B420" s="88"/>
      <c r="C420" s="88"/>
      <c r="D420" s="453"/>
      <c r="E420" s="88"/>
      <c r="F420" s="88"/>
      <c r="G420" s="88"/>
      <c r="H420" s="454"/>
      <c r="I420" s="455"/>
      <c r="J420" s="88"/>
      <c r="K420" s="88"/>
      <c r="L420" s="456"/>
      <c r="M420" s="88"/>
      <c r="N420" s="88"/>
      <c r="O420" s="88"/>
      <c r="P420" s="88"/>
      <c r="Q420" s="88"/>
      <c r="R420" s="88"/>
      <c r="S420" s="88"/>
      <c r="T420" s="88"/>
      <c r="U420" s="88"/>
      <c r="V420" s="88"/>
      <c r="W420" s="88"/>
      <c r="X420" s="88"/>
      <c r="Y420" s="88"/>
      <c r="Z420" s="88"/>
      <c r="AA420" s="88"/>
    </row>
    <row r="421">
      <c r="A421" s="88"/>
      <c r="B421" s="88"/>
      <c r="C421" s="88"/>
      <c r="D421" s="453"/>
      <c r="E421" s="88"/>
      <c r="F421" s="88"/>
      <c r="G421" s="88"/>
      <c r="H421" s="454"/>
      <c r="I421" s="455"/>
      <c r="J421" s="88"/>
      <c r="K421" s="88"/>
      <c r="L421" s="456"/>
      <c r="M421" s="88"/>
      <c r="N421" s="88"/>
      <c r="O421" s="88"/>
      <c r="P421" s="88"/>
      <c r="Q421" s="88"/>
      <c r="R421" s="88"/>
      <c r="S421" s="88"/>
      <c r="T421" s="88"/>
      <c r="U421" s="88"/>
      <c r="V421" s="88"/>
      <c r="W421" s="88"/>
      <c r="X421" s="88"/>
      <c r="Y421" s="88"/>
      <c r="Z421" s="88"/>
      <c r="AA421" s="88"/>
    </row>
    <row r="422">
      <c r="A422" s="88"/>
      <c r="B422" s="88"/>
      <c r="C422" s="88"/>
      <c r="D422" s="453"/>
      <c r="E422" s="88"/>
      <c r="F422" s="88"/>
      <c r="G422" s="88"/>
      <c r="H422" s="454"/>
      <c r="I422" s="455"/>
      <c r="J422" s="88"/>
      <c r="K422" s="88"/>
      <c r="L422" s="456"/>
      <c r="M422" s="88"/>
      <c r="N422" s="88"/>
      <c r="O422" s="88"/>
      <c r="P422" s="88"/>
      <c r="Q422" s="88"/>
      <c r="R422" s="88"/>
      <c r="S422" s="88"/>
      <c r="T422" s="88"/>
      <c r="U422" s="88"/>
      <c r="V422" s="88"/>
      <c r="W422" s="88"/>
      <c r="X422" s="88"/>
      <c r="Y422" s="88"/>
      <c r="Z422" s="88"/>
      <c r="AA422" s="88"/>
    </row>
    <row r="423">
      <c r="A423" s="88"/>
      <c r="B423" s="88"/>
      <c r="C423" s="88"/>
      <c r="D423" s="453"/>
      <c r="E423" s="88"/>
      <c r="F423" s="88"/>
      <c r="G423" s="88"/>
      <c r="H423" s="454"/>
      <c r="I423" s="455"/>
      <c r="J423" s="88"/>
      <c r="K423" s="88"/>
      <c r="L423" s="456"/>
      <c r="M423" s="88"/>
      <c r="N423" s="88"/>
      <c r="O423" s="88"/>
      <c r="P423" s="88"/>
      <c r="Q423" s="88"/>
      <c r="R423" s="88"/>
      <c r="S423" s="88"/>
      <c r="T423" s="88"/>
      <c r="U423" s="88"/>
      <c r="V423" s="88"/>
      <c r="W423" s="88"/>
      <c r="X423" s="88"/>
      <c r="Y423" s="88"/>
      <c r="Z423" s="88"/>
      <c r="AA423" s="88"/>
    </row>
    <row r="424">
      <c r="A424" s="88"/>
      <c r="B424" s="88"/>
      <c r="C424" s="88"/>
      <c r="D424" s="453"/>
      <c r="E424" s="88"/>
      <c r="F424" s="88"/>
      <c r="G424" s="88"/>
      <c r="H424" s="454"/>
      <c r="I424" s="455"/>
      <c r="J424" s="88"/>
      <c r="K424" s="88"/>
      <c r="L424" s="456"/>
      <c r="M424" s="88"/>
      <c r="N424" s="88"/>
      <c r="O424" s="88"/>
      <c r="P424" s="88"/>
      <c r="Q424" s="88"/>
      <c r="R424" s="88"/>
      <c r="S424" s="88"/>
      <c r="T424" s="88"/>
      <c r="U424" s="88"/>
      <c r="V424" s="88"/>
      <c r="W424" s="88"/>
      <c r="X424" s="88"/>
      <c r="Y424" s="88"/>
      <c r="Z424" s="88"/>
      <c r="AA424" s="88"/>
    </row>
    <row r="425">
      <c r="A425" s="88"/>
      <c r="B425" s="88"/>
      <c r="C425" s="88"/>
      <c r="D425" s="453"/>
      <c r="E425" s="88"/>
      <c r="F425" s="88"/>
      <c r="G425" s="88"/>
      <c r="H425" s="454"/>
      <c r="I425" s="455"/>
      <c r="J425" s="88"/>
      <c r="K425" s="88"/>
      <c r="L425" s="456"/>
      <c r="M425" s="88"/>
      <c r="N425" s="88"/>
      <c r="O425" s="88"/>
      <c r="P425" s="88"/>
      <c r="Q425" s="88"/>
      <c r="R425" s="88"/>
      <c r="S425" s="88"/>
      <c r="T425" s="88"/>
      <c r="U425" s="88"/>
      <c r="V425" s="88"/>
      <c r="W425" s="88"/>
      <c r="X425" s="88"/>
      <c r="Y425" s="88"/>
      <c r="Z425" s="88"/>
      <c r="AA425" s="88"/>
    </row>
    <row r="426">
      <c r="A426" s="88"/>
      <c r="B426" s="88"/>
      <c r="C426" s="88"/>
      <c r="D426" s="453"/>
      <c r="E426" s="88"/>
      <c r="F426" s="88"/>
      <c r="G426" s="88"/>
      <c r="H426" s="454"/>
      <c r="I426" s="455"/>
      <c r="J426" s="88"/>
      <c r="K426" s="88"/>
      <c r="L426" s="456"/>
      <c r="M426" s="88"/>
      <c r="N426" s="88"/>
      <c r="O426" s="88"/>
      <c r="P426" s="88"/>
      <c r="Q426" s="88"/>
      <c r="R426" s="88"/>
      <c r="S426" s="88"/>
      <c r="T426" s="88"/>
      <c r="U426" s="88"/>
      <c r="V426" s="88"/>
      <c r="W426" s="88"/>
      <c r="X426" s="88"/>
      <c r="Y426" s="88"/>
      <c r="Z426" s="88"/>
      <c r="AA426" s="88"/>
    </row>
    <row r="427">
      <c r="A427" s="88"/>
      <c r="B427" s="88"/>
      <c r="C427" s="88"/>
      <c r="D427" s="453"/>
      <c r="E427" s="88"/>
      <c r="F427" s="88"/>
      <c r="G427" s="88"/>
      <c r="H427" s="454"/>
      <c r="I427" s="455"/>
      <c r="J427" s="88"/>
      <c r="K427" s="88"/>
      <c r="L427" s="456"/>
      <c r="M427" s="88"/>
      <c r="N427" s="88"/>
      <c r="O427" s="88"/>
      <c r="P427" s="88"/>
      <c r="Q427" s="88"/>
      <c r="R427" s="88"/>
      <c r="S427" s="88"/>
      <c r="T427" s="88"/>
      <c r="U427" s="88"/>
      <c r="V427" s="88"/>
      <c r="W427" s="88"/>
      <c r="X427" s="88"/>
      <c r="Y427" s="88"/>
      <c r="Z427" s="88"/>
      <c r="AA427" s="88"/>
    </row>
    <row r="428">
      <c r="A428" s="88"/>
      <c r="B428" s="88"/>
      <c r="C428" s="88"/>
      <c r="D428" s="453"/>
      <c r="E428" s="88"/>
      <c r="F428" s="88"/>
      <c r="G428" s="88"/>
      <c r="H428" s="454"/>
      <c r="I428" s="455"/>
      <c r="J428" s="88"/>
      <c r="K428" s="88"/>
      <c r="L428" s="456"/>
      <c r="M428" s="88"/>
      <c r="N428" s="88"/>
      <c r="O428" s="88"/>
      <c r="P428" s="88"/>
      <c r="Q428" s="88"/>
      <c r="R428" s="88"/>
      <c r="S428" s="88"/>
      <c r="T428" s="88"/>
      <c r="U428" s="88"/>
      <c r="V428" s="88"/>
      <c r="W428" s="88"/>
      <c r="X428" s="88"/>
      <c r="Y428" s="88"/>
      <c r="Z428" s="88"/>
      <c r="AA428" s="88"/>
    </row>
    <row r="429">
      <c r="A429" s="88"/>
      <c r="B429" s="88"/>
      <c r="C429" s="88"/>
      <c r="D429" s="453"/>
      <c r="E429" s="88"/>
      <c r="F429" s="88"/>
      <c r="G429" s="88"/>
      <c r="H429" s="454"/>
      <c r="I429" s="455"/>
      <c r="J429" s="88"/>
      <c r="K429" s="88"/>
      <c r="L429" s="456"/>
      <c r="M429" s="88"/>
      <c r="N429" s="88"/>
      <c r="O429" s="88"/>
      <c r="P429" s="88"/>
      <c r="Q429" s="88"/>
      <c r="R429" s="88"/>
      <c r="S429" s="88"/>
      <c r="T429" s="88"/>
      <c r="U429" s="88"/>
      <c r="V429" s="88"/>
      <c r="W429" s="88"/>
      <c r="X429" s="88"/>
      <c r="Y429" s="88"/>
      <c r="Z429" s="88"/>
      <c r="AA429" s="88"/>
    </row>
    <row r="430">
      <c r="A430" s="88"/>
      <c r="B430" s="88"/>
      <c r="C430" s="88"/>
      <c r="D430" s="453"/>
      <c r="E430" s="88"/>
      <c r="F430" s="88"/>
      <c r="G430" s="88"/>
      <c r="H430" s="454"/>
      <c r="I430" s="455"/>
      <c r="J430" s="88"/>
      <c r="K430" s="88"/>
      <c r="L430" s="456"/>
      <c r="M430" s="88"/>
      <c r="N430" s="88"/>
      <c r="O430" s="88"/>
      <c r="P430" s="88"/>
      <c r="Q430" s="88"/>
      <c r="R430" s="88"/>
      <c r="S430" s="88"/>
      <c r="T430" s="88"/>
      <c r="U430" s="88"/>
      <c r="V430" s="88"/>
      <c r="W430" s="88"/>
      <c r="X430" s="88"/>
      <c r="Y430" s="88"/>
      <c r="Z430" s="88"/>
      <c r="AA430" s="88"/>
    </row>
    <row r="431">
      <c r="A431" s="88"/>
      <c r="B431" s="88"/>
      <c r="C431" s="88"/>
      <c r="D431" s="453"/>
      <c r="E431" s="88"/>
      <c r="F431" s="88"/>
      <c r="G431" s="88"/>
      <c r="H431" s="454"/>
      <c r="I431" s="455"/>
      <c r="J431" s="88"/>
      <c r="K431" s="88"/>
      <c r="L431" s="456"/>
      <c r="M431" s="88"/>
      <c r="N431" s="88"/>
      <c r="O431" s="88"/>
      <c r="P431" s="88"/>
      <c r="Q431" s="88"/>
      <c r="R431" s="88"/>
      <c r="S431" s="88"/>
      <c r="T431" s="88"/>
      <c r="U431" s="88"/>
      <c r="V431" s="88"/>
      <c r="W431" s="88"/>
      <c r="X431" s="88"/>
      <c r="Y431" s="88"/>
      <c r="Z431" s="88"/>
      <c r="AA431" s="88"/>
    </row>
    <row r="432">
      <c r="A432" s="88"/>
      <c r="B432" s="88"/>
      <c r="C432" s="88"/>
      <c r="D432" s="453"/>
      <c r="E432" s="88"/>
      <c r="F432" s="88"/>
      <c r="G432" s="88"/>
      <c r="H432" s="454"/>
      <c r="I432" s="455"/>
      <c r="J432" s="88"/>
      <c r="K432" s="88"/>
      <c r="L432" s="456"/>
      <c r="M432" s="88"/>
      <c r="N432" s="88"/>
      <c r="O432" s="88"/>
      <c r="P432" s="88"/>
      <c r="Q432" s="88"/>
      <c r="R432" s="88"/>
      <c r="S432" s="88"/>
      <c r="T432" s="88"/>
      <c r="U432" s="88"/>
      <c r="V432" s="88"/>
      <c r="W432" s="88"/>
      <c r="X432" s="88"/>
      <c r="Y432" s="88"/>
      <c r="Z432" s="88"/>
      <c r="AA432" s="88"/>
    </row>
    <row r="433">
      <c r="A433" s="88"/>
      <c r="B433" s="88"/>
      <c r="C433" s="88"/>
      <c r="D433" s="453"/>
      <c r="E433" s="88"/>
      <c r="F433" s="88"/>
      <c r="G433" s="88"/>
      <c r="H433" s="454"/>
      <c r="I433" s="455"/>
      <c r="J433" s="88"/>
      <c r="K433" s="88"/>
      <c r="L433" s="456"/>
      <c r="M433" s="88"/>
      <c r="N433" s="88"/>
      <c r="O433" s="88"/>
      <c r="P433" s="88"/>
      <c r="Q433" s="88"/>
      <c r="R433" s="88"/>
      <c r="S433" s="88"/>
      <c r="T433" s="88"/>
      <c r="U433" s="88"/>
      <c r="V433" s="88"/>
      <c r="W433" s="88"/>
      <c r="X433" s="88"/>
      <c r="Y433" s="88"/>
      <c r="Z433" s="88"/>
      <c r="AA433" s="88"/>
    </row>
    <row r="434">
      <c r="A434" s="88"/>
      <c r="B434" s="88"/>
      <c r="C434" s="88"/>
      <c r="D434" s="453"/>
      <c r="E434" s="88"/>
      <c r="F434" s="88"/>
      <c r="G434" s="88"/>
      <c r="H434" s="454"/>
      <c r="I434" s="455"/>
      <c r="J434" s="88"/>
      <c r="K434" s="88"/>
      <c r="L434" s="456"/>
      <c r="M434" s="88"/>
      <c r="N434" s="88"/>
      <c r="O434" s="88"/>
      <c r="P434" s="88"/>
      <c r="Q434" s="88"/>
      <c r="R434" s="88"/>
      <c r="S434" s="88"/>
      <c r="T434" s="88"/>
      <c r="U434" s="88"/>
      <c r="V434" s="88"/>
      <c r="W434" s="88"/>
      <c r="X434" s="88"/>
      <c r="Y434" s="88"/>
      <c r="Z434" s="88"/>
      <c r="AA434" s="88"/>
    </row>
    <row r="435">
      <c r="A435" s="88"/>
      <c r="B435" s="88"/>
      <c r="C435" s="88"/>
      <c r="D435" s="453"/>
      <c r="E435" s="88"/>
      <c r="F435" s="88"/>
      <c r="G435" s="88"/>
      <c r="H435" s="454"/>
      <c r="I435" s="455"/>
      <c r="J435" s="88"/>
      <c r="K435" s="88"/>
      <c r="L435" s="456"/>
      <c r="M435" s="88"/>
      <c r="N435" s="88"/>
      <c r="O435" s="88"/>
      <c r="P435" s="88"/>
      <c r="Q435" s="88"/>
      <c r="R435" s="88"/>
      <c r="S435" s="88"/>
      <c r="T435" s="88"/>
      <c r="U435" s="88"/>
      <c r="V435" s="88"/>
      <c r="W435" s="88"/>
      <c r="X435" s="88"/>
      <c r="Y435" s="88"/>
      <c r="Z435" s="88"/>
      <c r="AA435" s="88"/>
    </row>
    <row r="436">
      <c r="A436" s="88"/>
      <c r="B436" s="88"/>
      <c r="C436" s="88"/>
      <c r="D436" s="453"/>
      <c r="E436" s="88"/>
      <c r="F436" s="88"/>
      <c r="G436" s="88"/>
      <c r="H436" s="454"/>
      <c r="I436" s="455"/>
      <c r="J436" s="88"/>
      <c r="K436" s="88"/>
      <c r="L436" s="456"/>
      <c r="M436" s="88"/>
      <c r="N436" s="88"/>
      <c r="O436" s="88"/>
      <c r="P436" s="88"/>
      <c r="Q436" s="88"/>
      <c r="R436" s="88"/>
      <c r="S436" s="88"/>
      <c r="T436" s="88"/>
      <c r="U436" s="88"/>
      <c r="V436" s="88"/>
      <c r="W436" s="88"/>
      <c r="X436" s="88"/>
      <c r="Y436" s="88"/>
      <c r="Z436" s="88"/>
      <c r="AA436" s="88"/>
    </row>
    <row r="437">
      <c r="A437" s="88"/>
      <c r="B437" s="88"/>
      <c r="C437" s="88"/>
      <c r="D437" s="453"/>
      <c r="E437" s="88"/>
      <c r="F437" s="88"/>
      <c r="G437" s="88"/>
      <c r="H437" s="454"/>
      <c r="I437" s="455"/>
      <c r="J437" s="88"/>
      <c r="K437" s="88"/>
      <c r="L437" s="456"/>
      <c r="M437" s="88"/>
      <c r="N437" s="88"/>
      <c r="O437" s="88"/>
      <c r="P437" s="88"/>
      <c r="Q437" s="88"/>
      <c r="R437" s="88"/>
      <c r="S437" s="88"/>
      <c r="T437" s="88"/>
      <c r="U437" s="88"/>
      <c r="V437" s="88"/>
      <c r="W437" s="88"/>
      <c r="X437" s="88"/>
      <c r="Y437" s="88"/>
      <c r="Z437" s="88"/>
      <c r="AA437" s="88"/>
    </row>
    <row r="438">
      <c r="A438" s="88"/>
      <c r="B438" s="88"/>
      <c r="C438" s="88"/>
      <c r="D438" s="453"/>
      <c r="E438" s="88"/>
      <c r="F438" s="88"/>
      <c r="G438" s="88"/>
      <c r="H438" s="454"/>
      <c r="I438" s="455"/>
      <c r="J438" s="88"/>
      <c r="K438" s="88"/>
      <c r="L438" s="456"/>
      <c r="M438" s="88"/>
      <c r="N438" s="88"/>
      <c r="O438" s="88"/>
      <c r="P438" s="88"/>
      <c r="Q438" s="88"/>
      <c r="R438" s="88"/>
      <c r="S438" s="88"/>
      <c r="T438" s="88"/>
      <c r="U438" s="88"/>
      <c r="V438" s="88"/>
      <c r="W438" s="88"/>
      <c r="X438" s="88"/>
      <c r="Y438" s="88"/>
      <c r="Z438" s="88"/>
      <c r="AA438" s="88"/>
    </row>
    <row r="439">
      <c r="A439" s="88"/>
      <c r="B439" s="88"/>
      <c r="C439" s="88"/>
      <c r="D439" s="453"/>
      <c r="E439" s="88"/>
      <c r="F439" s="88"/>
      <c r="G439" s="88"/>
      <c r="H439" s="454"/>
      <c r="I439" s="455"/>
      <c r="J439" s="88"/>
      <c r="K439" s="88"/>
      <c r="L439" s="456"/>
      <c r="M439" s="88"/>
      <c r="N439" s="88"/>
      <c r="O439" s="88"/>
      <c r="P439" s="88"/>
      <c r="Q439" s="88"/>
      <c r="R439" s="88"/>
      <c r="S439" s="88"/>
      <c r="T439" s="88"/>
      <c r="U439" s="88"/>
      <c r="V439" s="88"/>
      <c r="W439" s="88"/>
      <c r="X439" s="88"/>
      <c r="Y439" s="88"/>
      <c r="Z439" s="88"/>
      <c r="AA439" s="88"/>
    </row>
    <row r="440">
      <c r="A440" s="88"/>
      <c r="B440" s="88"/>
      <c r="C440" s="88"/>
      <c r="D440" s="453"/>
      <c r="E440" s="88"/>
      <c r="F440" s="88"/>
      <c r="G440" s="88"/>
      <c r="H440" s="454"/>
      <c r="I440" s="455"/>
      <c r="J440" s="88"/>
      <c r="K440" s="88"/>
      <c r="L440" s="456"/>
      <c r="M440" s="88"/>
      <c r="N440" s="88"/>
      <c r="O440" s="88"/>
      <c r="P440" s="88"/>
      <c r="Q440" s="88"/>
      <c r="R440" s="88"/>
      <c r="S440" s="88"/>
      <c r="T440" s="88"/>
      <c r="U440" s="88"/>
      <c r="V440" s="88"/>
      <c r="W440" s="88"/>
      <c r="X440" s="88"/>
      <c r="Y440" s="88"/>
      <c r="Z440" s="88"/>
      <c r="AA440" s="88"/>
    </row>
    <row r="441">
      <c r="A441" s="88"/>
      <c r="B441" s="88"/>
      <c r="C441" s="88"/>
      <c r="D441" s="453"/>
      <c r="E441" s="88"/>
      <c r="F441" s="88"/>
      <c r="G441" s="88"/>
      <c r="H441" s="454"/>
      <c r="I441" s="455"/>
      <c r="J441" s="88"/>
      <c r="K441" s="88"/>
      <c r="L441" s="456"/>
      <c r="M441" s="88"/>
      <c r="N441" s="88"/>
      <c r="O441" s="88"/>
      <c r="P441" s="88"/>
      <c r="Q441" s="88"/>
      <c r="R441" s="88"/>
      <c r="S441" s="88"/>
      <c r="T441" s="88"/>
      <c r="U441" s="88"/>
      <c r="V441" s="88"/>
      <c r="W441" s="88"/>
      <c r="X441" s="88"/>
      <c r="Y441" s="88"/>
      <c r="Z441" s="88"/>
      <c r="AA441" s="88"/>
    </row>
    <row r="442">
      <c r="A442" s="88"/>
      <c r="B442" s="88"/>
      <c r="C442" s="88"/>
      <c r="D442" s="453"/>
      <c r="E442" s="88"/>
      <c r="F442" s="88"/>
      <c r="G442" s="88"/>
      <c r="H442" s="454"/>
      <c r="I442" s="455"/>
      <c r="J442" s="88"/>
      <c r="K442" s="88"/>
      <c r="L442" s="456"/>
      <c r="M442" s="88"/>
      <c r="N442" s="88"/>
      <c r="O442" s="88"/>
      <c r="P442" s="88"/>
      <c r="Q442" s="88"/>
      <c r="R442" s="88"/>
      <c r="S442" s="88"/>
      <c r="T442" s="88"/>
      <c r="U442" s="88"/>
      <c r="V442" s="88"/>
      <c r="W442" s="88"/>
      <c r="X442" s="88"/>
      <c r="Y442" s="88"/>
      <c r="Z442" s="88"/>
      <c r="AA442" s="88"/>
    </row>
    <row r="443">
      <c r="A443" s="88"/>
      <c r="B443" s="88"/>
      <c r="C443" s="88"/>
      <c r="D443" s="453"/>
      <c r="E443" s="88"/>
      <c r="F443" s="88"/>
      <c r="G443" s="88"/>
      <c r="H443" s="454"/>
      <c r="I443" s="455"/>
      <c r="J443" s="88"/>
      <c r="K443" s="88"/>
      <c r="L443" s="456"/>
      <c r="M443" s="88"/>
      <c r="N443" s="88"/>
      <c r="O443" s="88"/>
      <c r="P443" s="88"/>
      <c r="Q443" s="88"/>
      <c r="R443" s="88"/>
      <c r="S443" s="88"/>
      <c r="T443" s="88"/>
      <c r="U443" s="88"/>
      <c r="V443" s="88"/>
      <c r="W443" s="88"/>
      <c r="X443" s="88"/>
      <c r="Y443" s="88"/>
      <c r="Z443" s="88"/>
      <c r="AA443" s="88"/>
    </row>
    <row r="444">
      <c r="A444" s="88"/>
      <c r="B444" s="88"/>
      <c r="C444" s="88"/>
      <c r="D444" s="453"/>
      <c r="E444" s="88"/>
      <c r="F444" s="88"/>
      <c r="G444" s="88"/>
      <c r="H444" s="454"/>
      <c r="I444" s="455"/>
      <c r="J444" s="88"/>
      <c r="K444" s="88"/>
      <c r="L444" s="456"/>
      <c r="M444" s="88"/>
      <c r="N444" s="88"/>
      <c r="O444" s="88"/>
      <c r="P444" s="88"/>
      <c r="Q444" s="88"/>
      <c r="R444" s="88"/>
      <c r="S444" s="88"/>
      <c r="T444" s="88"/>
      <c r="U444" s="88"/>
      <c r="V444" s="88"/>
      <c r="W444" s="88"/>
      <c r="X444" s="88"/>
      <c r="Y444" s="88"/>
      <c r="Z444" s="88"/>
      <c r="AA444" s="88"/>
    </row>
    <row r="445">
      <c r="A445" s="88"/>
      <c r="B445" s="88"/>
      <c r="C445" s="88"/>
      <c r="D445" s="453"/>
      <c r="E445" s="88"/>
      <c r="F445" s="88"/>
      <c r="G445" s="88"/>
      <c r="H445" s="454"/>
      <c r="I445" s="455"/>
      <c r="J445" s="88"/>
      <c r="K445" s="88"/>
      <c r="L445" s="456"/>
      <c r="M445" s="88"/>
      <c r="N445" s="88"/>
      <c r="O445" s="88"/>
      <c r="P445" s="88"/>
      <c r="Q445" s="88"/>
      <c r="R445" s="88"/>
      <c r="S445" s="88"/>
      <c r="T445" s="88"/>
      <c r="U445" s="88"/>
      <c r="V445" s="88"/>
      <c r="W445" s="88"/>
      <c r="X445" s="88"/>
      <c r="Y445" s="88"/>
      <c r="Z445" s="88"/>
      <c r="AA445" s="88"/>
    </row>
    <row r="446">
      <c r="A446" s="88"/>
      <c r="B446" s="88"/>
      <c r="C446" s="88"/>
      <c r="D446" s="453"/>
      <c r="E446" s="88"/>
      <c r="F446" s="88"/>
      <c r="G446" s="88"/>
      <c r="H446" s="454"/>
      <c r="I446" s="455"/>
      <c r="J446" s="88"/>
      <c r="K446" s="88"/>
      <c r="L446" s="456"/>
      <c r="M446" s="88"/>
      <c r="N446" s="88"/>
      <c r="O446" s="88"/>
      <c r="P446" s="88"/>
      <c r="Q446" s="88"/>
      <c r="R446" s="88"/>
      <c r="S446" s="88"/>
      <c r="T446" s="88"/>
      <c r="U446" s="88"/>
      <c r="V446" s="88"/>
      <c r="W446" s="88"/>
      <c r="X446" s="88"/>
      <c r="Y446" s="88"/>
      <c r="Z446" s="88"/>
      <c r="AA446" s="88"/>
    </row>
    <row r="447">
      <c r="A447" s="88"/>
      <c r="B447" s="88"/>
      <c r="C447" s="88"/>
      <c r="D447" s="453"/>
      <c r="E447" s="88"/>
      <c r="F447" s="88"/>
      <c r="G447" s="88"/>
      <c r="H447" s="454"/>
      <c r="I447" s="455"/>
      <c r="J447" s="88"/>
      <c r="K447" s="88"/>
      <c r="L447" s="456"/>
      <c r="M447" s="88"/>
      <c r="N447" s="88"/>
      <c r="O447" s="88"/>
      <c r="P447" s="88"/>
      <c r="Q447" s="88"/>
      <c r="R447" s="88"/>
      <c r="S447" s="88"/>
      <c r="T447" s="88"/>
      <c r="U447" s="88"/>
      <c r="V447" s="88"/>
      <c r="W447" s="88"/>
      <c r="X447" s="88"/>
      <c r="Y447" s="88"/>
      <c r="Z447" s="88"/>
      <c r="AA447" s="88"/>
    </row>
    <row r="448">
      <c r="A448" s="88"/>
      <c r="B448" s="88"/>
      <c r="C448" s="88"/>
      <c r="D448" s="453"/>
      <c r="E448" s="88"/>
      <c r="F448" s="88"/>
      <c r="G448" s="88"/>
      <c r="H448" s="454"/>
      <c r="I448" s="455"/>
      <c r="J448" s="88"/>
      <c r="K448" s="88"/>
      <c r="L448" s="456"/>
      <c r="M448" s="88"/>
      <c r="N448" s="88"/>
      <c r="O448" s="88"/>
      <c r="P448" s="88"/>
      <c r="Q448" s="88"/>
      <c r="R448" s="88"/>
      <c r="S448" s="88"/>
      <c r="T448" s="88"/>
      <c r="U448" s="88"/>
      <c r="V448" s="88"/>
      <c r="W448" s="88"/>
      <c r="X448" s="88"/>
      <c r="Y448" s="88"/>
      <c r="Z448" s="88"/>
      <c r="AA448" s="88"/>
    </row>
    <row r="449">
      <c r="A449" s="88"/>
      <c r="B449" s="88"/>
      <c r="C449" s="88"/>
      <c r="D449" s="453"/>
      <c r="E449" s="88"/>
      <c r="F449" s="88"/>
      <c r="G449" s="88"/>
      <c r="H449" s="454"/>
      <c r="I449" s="455"/>
      <c r="J449" s="88"/>
      <c r="K449" s="88"/>
      <c r="L449" s="456"/>
      <c r="M449" s="88"/>
      <c r="N449" s="88"/>
      <c r="O449" s="88"/>
      <c r="P449" s="88"/>
      <c r="Q449" s="88"/>
      <c r="R449" s="88"/>
      <c r="S449" s="88"/>
      <c r="T449" s="88"/>
      <c r="U449" s="88"/>
      <c r="V449" s="88"/>
      <c r="W449" s="88"/>
      <c r="X449" s="88"/>
      <c r="Y449" s="88"/>
      <c r="Z449" s="88"/>
      <c r="AA449" s="88"/>
    </row>
    <row r="450">
      <c r="A450" s="88"/>
      <c r="B450" s="88"/>
      <c r="C450" s="88"/>
      <c r="D450" s="453"/>
      <c r="E450" s="88"/>
      <c r="F450" s="88"/>
      <c r="G450" s="88"/>
      <c r="H450" s="454"/>
      <c r="I450" s="455"/>
      <c r="J450" s="88"/>
      <c r="K450" s="88"/>
      <c r="L450" s="456"/>
      <c r="M450" s="88"/>
      <c r="N450" s="88"/>
      <c r="O450" s="88"/>
      <c r="P450" s="88"/>
      <c r="Q450" s="88"/>
      <c r="R450" s="88"/>
      <c r="S450" s="88"/>
      <c r="T450" s="88"/>
      <c r="U450" s="88"/>
      <c r="V450" s="88"/>
      <c r="W450" s="88"/>
      <c r="X450" s="88"/>
      <c r="Y450" s="88"/>
      <c r="Z450" s="88"/>
      <c r="AA450" s="88"/>
    </row>
    <row r="451">
      <c r="A451" s="88"/>
      <c r="B451" s="88"/>
      <c r="C451" s="88"/>
      <c r="D451" s="453"/>
      <c r="E451" s="88"/>
      <c r="F451" s="88"/>
      <c r="G451" s="88"/>
      <c r="H451" s="454"/>
      <c r="I451" s="455"/>
      <c r="J451" s="88"/>
      <c r="K451" s="88"/>
      <c r="L451" s="456"/>
      <c r="M451" s="88"/>
      <c r="N451" s="88"/>
      <c r="O451" s="88"/>
      <c r="P451" s="88"/>
      <c r="Q451" s="88"/>
      <c r="R451" s="88"/>
      <c r="S451" s="88"/>
      <c r="T451" s="88"/>
      <c r="U451" s="88"/>
      <c r="V451" s="88"/>
      <c r="W451" s="88"/>
      <c r="X451" s="88"/>
      <c r="Y451" s="88"/>
      <c r="Z451" s="88"/>
      <c r="AA451" s="88"/>
    </row>
    <row r="452">
      <c r="A452" s="88"/>
      <c r="B452" s="88"/>
      <c r="C452" s="88"/>
      <c r="D452" s="453"/>
      <c r="E452" s="88"/>
      <c r="F452" s="88"/>
      <c r="G452" s="88"/>
      <c r="H452" s="454"/>
      <c r="I452" s="455"/>
      <c r="J452" s="88"/>
      <c r="K452" s="88"/>
      <c r="L452" s="456"/>
      <c r="M452" s="88"/>
      <c r="N452" s="88"/>
      <c r="O452" s="88"/>
      <c r="P452" s="88"/>
      <c r="Q452" s="88"/>
      <c r="R452" s="88"/>
      <c r="S452" s="88"/>
      <c r="T452" s="88"/>
      <c r="U452" s="88"/>
      <c r="V452" s="88"/>
      <c r="W452" s="88"/>
      <c r="X452" s="88"/>
      <c r="Y452" s="88"/>
      <c r="Z452" s="88"/>
      <c r="AA452" s="88"/>
    </row>
    <row r="453">
      <c r="A453" s="88"/>
      <c r="B453" s="88"/>
      <c r="C453" s="88"/>
      <c r="D453" s="453"/>
      <c r="E453" s="88"/>
      <c r="F453" s="88"/>
      <c r="G453" s="88"/>
      <c r="H453" s="454"/>
      <c r="I453" s="455"/>
      <c r="J453" s="88"/>
      <c r="K453" s="88"/>
      <c r="L453" s="456"/>
      <c r="M453" s="88"/>
      <c r="N453" s="88"/>
      <c r="O453" s="88"/>
      <c r="P453" s="88"/>
      <c r="Q453" s="88"/>
      <c r="R453" s="88"/>
      <c r="S453" s="88"/>
      <c r="T453" s="88"/>
      <c r="U453" s="88"/>
      <c r="V453" s="88"/>
      <c r="W453" s="88"/>
      <c r="X453" s="88"/>
      <c r="Y453" s="88"/>
      <c r="Z453" s="88"/>
      <c r="AA453" s="88"/>
    </row>
    <row r="454">
      <c r="A454" s="88"/>
      <c r="B454" s="88"/>
      <c r="C454" s="88"/>
      <c r="D454" s="453"/>
      <c r="E454" s="88"/>
      <c r="F454" s="88"/>
      <c r="G454" s="88"/>
      <c r="H454" s="454"/>
      <c r="I454" s="455"/>
      <c r="J454" s="88"/>
      <c r="K454" s="88"/>
      <c r="L454" s="456"/>
      <c r="M454" s="88"/>
      <c r="N454" s="88"/>
      <c r="O454" s="88"/>
      <c r="P454" s="88"/>
      <c r="Q454" s="88"/>
      <c r="R454" s="88"/>
      <c r="S454" s="88"/>
      <c r="T454" s="88"/>
      <c r="U454" s="88"/>
      <c r="V454" s="88"/>
      <c r="W454" s="88"/>
      <c r="X454" s="88"/>
      <c r="Y454" s="88"/>
      <c r="Z454" s="88"/>
      <c r="AA454" s="88"/>
    </row>
    <row r="455">
      <c r="A455" s="88"/>
      <c r="B455" s="88"/>
      <c r="C455" s="88"/>
      <c r="D455" s="453"/>
      <c r="E455" s="88"/>
      <c r="F455" s="88"/>
      <c r="G455" s="88"/>
      <c r="H455" s="454"/>
      <c r="I455" s="455"/>
      <c r="J455" s="88"/>
      <c r="K455" s="88"/>
      <c r="L455" s="456"/>
      <c r="M455" s="88"/>
      <c r="N455" s="88"/>
      <c r="O455" s="88"/>
      <c r="P455" s="88"/>
      <c r="Q455" s="88"/>
      <c r="R455" s="88"/>
      <c r="S455" s="88"/>
      <c r="T455" s="88"/>
      <c r="U455" s="88"/>
      <c r="V455" s="88"/>
      <c r="W455" s="88"/>
      <c r="X455" s="88"/>
      <c r="Y455" s="88"/>
      <c r="Z455" s="88"/>
      <c r="AA455" s="88"/>
    </row>
    <row r="456">
      <c r="A456" s="88"/>
      <c r="B456" s="88"/>
      <c r="C456" s="88"/>
      <c r="D456" s="453"/>
      <c r="E456" s="88"/>
      <c r="F456" s="88"/>
      <c r="G456" s="88"/>
      <c r="H456" s="454"/>
      <c r="I456" s="455"/>
      <c r="J456" s="88"/>
      <c r="K456" s="88"/>
      <c r="L456" s="456"/>
      <c r="M456" s="88"/>
      <c r="N456" s="88"/>
      <c r="O456" s="88"/>
      <c r="P456" s="88"/>
      <c r="Q456" s="88"/>
      <c r="R456" s="88"/>
      <c r="S456" s="88"/>
      <c r="T456" s="88"/>
      <c r="U456" s="88"/>
      <c r="V456" s="88"/>
      <c r="W456" s="88"/>
      <c r="X456" s="88"/>
      <c r="Y456" s="88"/>
      <c r="Z456" s="88"/>
      <c r="AA456" s="88"/>
    </row>
    <row r="457">
      <c r="A457" s="88"/>
      <c r="B457" s="88"/>
      <c r="C457" s="88"/>
      <c r="D457" s="453"/>
      <c r="E457" s="88"/>
      <c r="F457" s="88"/>
      <c r="G457" s="88"/>
      <c r="H457" s="454"/>
      <c r="I457" s="455"/>
      <c r="J457" s="88"/>
      <c r="K457" s="88"/>
      <c r="L457" s="456"/>
      <c r="M457" s="88"/>
      <c r="N457" s="88"/>
      <c r="O457" s="88"/>
      <c r="P457" s="88"/>
      <c r="Q457" s="88"/>
      <c r="R457" s="88"/>
      <c r="S457" s="88"/>
      <c r="T457" s="88"/>
      <c r="U457" s="88"/>
      <c r="V457" s="88"/>
      <c r="W457" s="88"/>
      <c r="X457" s="88"/>
      <c r="Y457" s="88"/>
      <c r="Z457" s="88"/>
      <c r="AA457" s="88"/>
    </row>
    <row r="458">
      <c r="A458" s="88"/>
      <c r="B458" s="88"/>
      <c r="C458" s="88"/>
      <c r="D458" s="453"/>
      <c r="E458" s="88"/>
      <c r="F458" s="88"/>
      <c r="G458" s="88"/>
      <c r="H458" s="454"/>
      <c r="I458" s="455"/>
      <c r="J458" s="88"/>
      <c r="K458" s="88"/>
      <c r="L458" s="456"/>
      <c r="M458" s="88"/>
      <c r="N458" s="88"/>
      <c r="O458" s="88"/>
      <c r="P458" s="88"/>
      <c r="Q458" s="88"/>
      <c r="R458" s="88"/>
      <c r="S458" s="88"/>
      <c r="T458" s="88"/>
      <c r="U458" s="88"/>
      <c r="V458" s="88"/>
      <c r="W458" s="88"/>
      <c r="X458" s="88"/>
      <c r="Y458" s="88"/>
      <c r="Z458" s="88"/>
      <c r="AA458" s="88"/>
    </row>
    <row r="459">
      <c r="A459" s="88"/>
      <c r="B459" s="88"/>
      <c r="C459" s="88"/>
      <c r="D459" s="453"/>
      <c r="E459" s="88"/>
      <c r="F459" s="88"/>
      <c r="G459" s="88"/>
      <c r="H459" s="454"/>
      <c r="I459" s="455"/>
      <c r="J459" s="88"/>
      <c r="K459" s="88"/>
      <c r="L459" s="456"/>
      <c r="M459" s="88"/>
      <c r="N459" s="88"/>
      <c r="O459" s="88"/>
      <c r="P459" s="88"/>
      <c r="Q459" s="88"/>
      <c r="R459" s="88"/>
      <c r="S459" s="88"/>
      <c r="T459" s="88"/>
      <c r="U459" s="88"/>
      <c r="V459" s="88"/>
      <c r="W459" s="88"/>
      <c r="X459" s="88"/>
      <c r="Y459" s="88"/>
      <c r="Z459" s="88"/>
      <c r="AA459" s="88"/>
    </row>
    <row r="460">
      <c r="A460" s="88"/>
      <c r="B460" s="88"/>
      <c r="C460" s="88"/>
      <c r="D460" s="453"/>
      <c r="E460" s="88"/>
      <c r="F460" s="88"/>
      <c r="G460" s="88"/>
      <c r="H460" s="454"/>
      <c r="I460" s="455"/>
      <c r="J460" s="88"/>
      <c r="K460" s="88"/>
      <c r="L460" s="456"/>
      <c r="M460" s="88"/>
      <c r="N460" s="88"/>
      <c r="O460" s="88"/>
      <c r="P460" s="88"/>
      <c r="Q460" s="88"/>
      <c r="R460" s="88"/>
      <c r="S460" s="88"/>
      <c r="T460" s="88"/>
      <c r="U460" s="88"/>
      <c r="V460" s="88"/>
      <c r="W460" s="88"/>
      <c r="X460" s="88"/>
      <c r="Y460" s="88"/>
      <c r="Z460" s="88"/>
      <c r="AA460" s="88"/>
    </row>
    <row r="461">
      <c r="A461" s="88"/>
      <c r="B461" s="88"/>
      <c r="C461" s="88"/>
      <c r="D461" s="453"/>
      <c r="E461" s="88"/>
      <c r="F461" s="88"/>
      <c r="G461" s="88"/>
      <c r="H461" s="454"/>
      <c r="I461" s="455"/>
      <c r="J461" s="88"/>
      <c r="K461" s="88"/>
      <c r="L461" s="456"/>
      <c r="M461" s="88"/>
      <c r="N461" s="88"/>
      <c r="O461" s="88"/>
      <c r="P461" s="88"/>
      <c r="Q461" s="88"/>
      <c r="R461" s="88"/>
      <c r="S461" s="88"/>
      <c r="T461" s="88"/>
      <c r="U461" s="88"/>
      <c r="V461" s="88"/>
      <c r="W461" s="88"/>
      <c r="X461" s="88"/>
      <c r="Y461" s="88"/>
      <c r="Z461" s="88"/>
      <c r="AA461" s="88"/>
    </row>
    <row r="462">
      <c r="A462" s="88"/>
      <c r="B462" s="88"/>
      <c r="C462" s="88"/>
      <c r="D462" s="453"/>
      <c r="E462" s="88"/>
      <c r="F462" s="88"/>
      <c r="G462" s="88"/>
      <c r="H462" s="454"/>
      <c r="I462" s="455"/>
      <c r="J462" s="88"/>
      <c r="K462" s="88"/>
      <c r="L462" s="456"/>
      <c r="M462" s="88"/>
      <c r="N462" s="88"/>
      <c r="O462" s="88"/>
      <c r="P462" s="88"/>
      <c r="Q462" s="88"/>
      <c r="R462" s="88"/>
      <c r="S462" s="88"/>
      <c r="T462" s="88"/>
      <c r="U462" s="88"/>
      <c r="V462" s="88"/>
      <c r="W462" s="88"/>
      <c r="X462" s="88"/>
      <c r="Y462" s="88"/>
      <c r="Z462" s="88"/>
      <c r="AA462" s="88"/>
    </row>
    <row r="463">
      <c r="A463" s="88"/>
      <c r="B463" s="88"/>
      <c r="C463" s="88"/>
      <c r="D463" s="453"/>
      <c r="E463" s="88"/>
      <c r="F463" s="88"/>
      <c r="G463" s="88"/>
      <c r="H463" s="454"/>
      <c r="I463" s="455"/>
      <c r="J463" s="88"/>
      <c r="K463" s="88"/>
      <c r="L463" s="456"/>
      <c r="M463" s="88"/>
      <c r="N463" s="88"/>
      <c r="O463" s="88"/>
      <c r="P463" s="88"/>
      <c r="Q463" s="88"/>
      <c r="R463" s="88"/>
      <c r="S463" s="88"/>
      <c r="T463" s="88"/>
      <c r="U463" s="88"/>
      <c r="V463" s="88"/>
      <c r="W463" s="88"/>
      <c r="X463" s="88"/>
      <c r="Y463" s="88"/>
      <c r="Z463" s="88"/>
      <c r="AA463" s="88"/>
    </row>
    <row r="464">
      <c r="A464" s="88"/>
      <c r="B464" s="88"/>
      <c r="C464" s="88"/>
      <c r="D464" s="453"/>
      <c r="E464" s="88"/>
      <c r="F464" s="88"/>
      <c r="G464" s="88"/>
      <c r="H464" s="454"/>
      <c r="I464" s="455"/>
      <c r="J464" s="88"/>
      <c r="K464" s="88"/>
      <c r="L464" s="456"/>
      <c r="M464" s="88"/>
      <c r="N464" s="88"/>
      <c r="O464" s="88"/>
      <c r="P464" s="88"/>
      <c r="Q464" s="88"/>
      <c r="R464" s="88"/>
      <c r="S464" s="88"/>
      <c r="T464" s="88"/>
      <c r="U464" s="88"/>
      <c r="V464" s="88"/>
      <c r="W464" s="88"/>
      <c r="X464" s="88"/>
      <c r="Y464" s="88"/>
      <c r="Z464" s="88"/>
      <c r="AA464" s="88"/>
    </row>
    <row r="465">
      <c r="A465" s="88"/>
      <c r="B465" s="88"/>
      <c r="C465" s="88"/>
      <c r="D465" s="453"/>
      <c r="E465" s="88"/>
      <c r="F465" s="88"/>
      <c r="G465" s="88"/>
      <c r="H465" s="454"/>
      <c r="I465" s="455"/>
      <c r="J465" s="88"/>
      <c r="K465" s="88"/>
      <c r="L465" s="456"/>
      <c r="M465" s="88"/>
      <c r="N465" s="88"/>
      <c r="O465" s="88"/>
      <c r="P465" s="88"/>
      <c r="Q465" s="88"/>
      <c r="R465" s="88"/>
      <c r="S465" s="88"/>
      <c r="T465" s="88"/>
      <c r="U465" s="88"/>
      <c r="V465" s="88"/>
      <c r="W465" s="88"/>
      <c r="X465" s="88"/>
      <c r="Y465" s="88"/>
      <c r="Z465" s="88"/>
      <c r="AA465" s="88"/>
    </row>
    <row r="466">
      <c r="A466" s="88"/>
      <c r="B466" s="88"/>
      <c r="C466" s="88"/>
      <c r="D466" s="453"/>
      <c r="E466" s="88"/>
      <c r="F466" s="88"/>
      <c r="G466" s="88"/>
      <c r="H466" s="454"/>
      <c r="I466" s="455"/>
      <c r="J466" s="88"/>
      <c r="K466" s="88"/>
      <c r="L466" s="456"/>
      <c r="M466" s="88"/>
      <c r="N466" s="88"/>
      <c r="O466" s="88"/>
      <c r="P466" s="88"/>
      <c r="Q466" s="88"/>
      <c r="R466" s="88"/>
      <c r="S466" s="88"/>
      <c r="T466" s="88"/>
      <c r="U466" s="88"/>
      <c r="V466" s="88"/>
      <c r="W466" s="88"/>
      <c r="X466" s="88"/>
      <c r="Y466" s="88"/>
      <c r="Z466" s="88"/>
      <c r="AA466" s="88"/>
    </row>
    <row r="467">
      <c r="A467" s="88"/>
      <c r="B467" s="88"/>
      <c r="C467" s="88"/>
      <c r="D467" s="453"/>
      <c r="E467" s="88"/>
      <c r="F467" s="88"/>
      <c r="G467" s="88"/>
      <c r="H467" s="454"/>
      <c r="I467" s="455"/>
      <c r="J467" s="88"/>
      <c r="K467" s="88"/>
      <c r="L467" s="456"/>
      <c r="M467" s="88"/>
      <c r="N467" s="88"/>
      <c r="O467" s="88"/>
      <c r="P467" s="88"/>
      <c r="Q467" s="88"/>
      <c r="R467" s="88"/>
      <c r="S467" s="88"/>
      <c r="T467" s="88"/>
      <c r="U467" s="88"/>
      <c r="V467" s="88"/>
      <c r="W467" s="88"/>
      <c r="X467" s="88"/>
      <c r="Y467" s="88"/>
      <c r="Z467" s="88"/>
      <c r="AA467" s="88"/>
    </row>
    <row r="468">
      <c r="A468" s="88"/>
      <c r="B468" s="88"/>
      <c r="C468" s="88"/>
      <c r="D468" s="453"/>
      <c r="E468" s="88"/>
      <c r="F468" s="88"/>
      <c r="G468" s="88"/>
      <c r="H468" s="454"/>
      <c r="I468" s="455"/>
      <c r="J468" s="88"/>
      <c r="K468" s="88"/>
      <c r="L468" s="456"/>
      <c r="M468" s="88"/>
      <c r="N468" s="88"/>
      <c r="O468" s="88"/>
      <c r="P468" s="88"/>
      <c r="Q468" s="88"/>
      <c r="R468" s="88"/>
      <c r="S468" s="88"/>
      <c r="T468" s="88"/>
      <c r="U468" s="88"/>
      <c r="V468" s="88"/>
      <c r="W468" s="88"/>
      <c r="X468" s="88"/>
      <c r="Y468" s="88"/>
      <c r="Z468" s="88"/>
      <c r="AA468" s="88"/>
    </row>
    <row r="469">
      <c r="A469" s="88"/>
      <c r="B469" s="88"/>
      <c r="C469" s="88"/>
      <c r="D469" s="453"/>
      <c r="E469" s="88"/>
      <c r="F469" s="88"/>
      <c r="G469" s="88"/>
      <c r="H469" s="454"/>
      <c r="I469" s="455"/>
      <c r="J469" s="88"/>
      <c r="K469" s="88"/>
      <c r="L469" s="456"/>
      <c r="M469" s="88"/>
      <c r="N469" s="88"/>
      <c r="O469" s="88"/>
      <c r="P469" s="88"/>
      <c r="Q469" s="88"/>
      <c r="R469" s="88"/>
      <c r="S469" s="88"/>
      <c r="T469" s="88"/>
      <c r="U469" s="88"/>
      <c r="V469" s="88"/>
      <c r="W469" s="88"/>
      <c r="X469" s="88"/>
      <c r="Y469" s="88"/>
      <c r="Z469" s="88"/>
      <c r="AA469" s="88"/>
    </row>
    <row r="470">
      <c r="A470" s="88"/>
      <c r="B470" s="88"/>
      <c r="C470" s="88"/>
      <c r="D470" s="453"/>
      <c r="E470" s="88"/>
      <c r="F470" s="88"/>
      <c r="G470" s="88"/>
      <c r="H470" s="454"/>
      <c r="I470" s="455"/>
      <c r="J470" s="88"/>
      <c r="K470" s="88"/>
      <c r="L470" s="456"/>
      <c r="M470" s="88"/>
      <c r="N470" s="88"/>
      <c r="O470" s="88"/>
      <c r="P470" s="88"/>
      <c r="Q470" s="88"/>
      <c r="R470" s="88"/>
      <c r="S470" s="88"/>
      <c r="T470" s="88"/>
      <c r="U470" s="88"/>
      <c r="V470" s="88"/>
      <c r="W470" s="88"/>
      <c r="X470" s="88"/>
      <c r="Y470" s="88"/>
      <c r="Z470" s="88"/>
      <c r="AA470" s="88"/>
    </row>
    <row r="471">
      <c r="A471" s="88"/>
      <c r="B471" s="88"/>
      <c r="C471" s="88"/>
      <c r="D471" s="453"/>
      <c r="E471" s="88"/>
      <c r="F471" s="88"/>
      <c r="G471" s="88"/>
      <c r="H471" s="454"/>
      <c r="I471" s="455"/>
      <c r="J471" s="88"/>
      <c r="K471" s="88"/>
      <c r="L471" s="456"/>
      <c r="M471" s="88"/>
      <c r="N471" s="88"/>
      <c r="O471" s="88"/>
      <c r="P471" s="88"/>
      <c r="Q471" s="88"/>
      <c r="R471" s="88"/>
      <c r="S471" s="88"/>
      <c r="T471" s="88"/>
      <c r="U471" s="88"/>
      <c r="V471" s="88"/>
      <c r="W471" s="88"/>
      <c r="X471" s="88"/>
      <c r="Y471" s="88"/>
      <c r="Z471" s="88"/>
      <c r="AA471" s="88"/>
    </row>
    <row r="472">
      <c r="A472" s="88"/>
      <c r="B472" s="88"/>
      <c r="C472" s="88"/>
      <c r="D472" s="453"/>
      <c r="E472" s="88"/>
      <c r="F472" s="88"/>
      <c r="G472" s="88"/>
      <c r="H472" s="454"/>
      <c r="I472" s="455"/>
      <c r="J472" s="88"/>
      <c r="K472" s="88"/>
      <c r="L472" s="456"/>
      <c r="M472" s="88"/>
      <c r="N472" s="88"/>
      <c r="O472" s="88"/>
      <c r="P472" s="88"/>
      <c r="Q472" s="88"/>
      <c r="R472" s="88"/>
      <c r="S472" s="88"/>
      <c r="T472" s="88"/>
      <c r="U472" s="88"/>
      <c r="V472" s="88"/>
      <c r="W472" s="88"/>
      <c r="X472" s="88"/>
      <c r="Y472" s="88"/>
      <c r="Z472" s="88"/>
      <c r="AA472" s="88"/>
    </row>
    <row r="473">
      <c r="A473" s="88"/>
      <c r="B473" s="88"/>
      <c r="C473" s="88"/>
      <c r="D473" s="453"/>
      <c r="E473" s="88"/>
      <c r="F473" s="88"/>
      <c r="G473" s="88"/>
      <c r="H473" s="454"/>
      <c r="I473" s="455"/>
      <c r="J473" s="88"/>
      <c r="K473" s="88"/>
      <c r="L473" s="456"/>
      <c r="M473" s="88"/>
      <c r="N473" s="88"/>
      <c r="O473" s="88"/>
      <c r="P473" s="88"/>
      <c r="Q473" s="88"/>
      <c r="R473" s="88"/>
      <c r="S473" s="88"/>
      <c r="T473" s="88"/>
      <c r="U473" s="88"/>
      <c r="V473" s="88"/>
      <c r="W473" s="88"/>
      <c r="X473" s="88"/>
      <c r="Y473" s="88"/>
      <c r="Z473" s="88"/>
      <c r="AA473" s="88"/>
    </row>
    <row r="474">
      <c r="A474" s="88"/>
      <c r="B474" s="88"/>
      <c r="C474" s="88"/>
      <c r="D474" s="453"/>
      <c r="E474" s="88"/>
      <c r="F474" s="88"/>
      <c r="G474" s="88"/>
      <c r="H474" s="454"/>
      <c r="I474" s="455"/>
      <c r="J474" s="88"/>
      <c r="K474" s="88"/>
      <c r="L474" s="456"/>
      <c r="M474" s="88"/>
      <c r="N474" s="88"/>
      <c r="O474" s="88"/>
      <c r="P474" s="88"/>
      <c r="Q474" s="88"/>
      <c r="R474" s="88"/>
      <c r="S474" s="88"/>
      <c r="T474" s="88"/>
      <c r="U474" s="88"/>
      <c r="V474" s="88"/>
      <c r="W474" s="88"/>
      <c r="X474" s="88"/>
      <c r="Y474" s="88"/>
      <c r="Z474" s="88"/>
      <c r="AA474" s="88"/>
    </row>
    <row r="475">
      <c r="A475" s="88"/>
      <c r="B475" s="88"/>
      <c r="C475" s="88"/>
      <c r="D475" s="453"/>
      <c r="E475" s="88"/>
      <c r="F475" s="88"/>
      <c r="G475" s="88"/>
      <c r="H475" s="454"/>
      <c r="I475" s="455"/>
      <c r="J475" s="88"/>
      <c r="K475" s="88"/>
      <c r="L475" s="456"/>
      <c r="M475" s="88"/>
      <c r="N475" s="88"/>
      <c r="O475" s="88"/>
      <c r="P475" s="88"/>
      <c r="Q475" s="88"/>
      <c r="R475" s="88"/>
      <c r="S475" s="88"/>
      <c r="T475" s="88"/>
      <c r="U475" s="88"/>
      <c r="V475" s="88"/>
      <c r="W475" s="88"/>
      <c r="X475" s="88"/>
      <c r="Y475" s="88"/>
      <c r="Z475" s="88"/>
      <c r="AA475" s="88"/>
    </row>
    <row r="476">
      <c r="A476" s="88"/>
      <c r="B476" s="88"/>
      <c r="C476" s="88"/>
      <c r="D476" s="453"/>
      <c r="E476" s="88"/>
      <c r="F476" s="88"/>
      <c r="G476" s="88"/>
      <c r="H476" s="454"/>
      <c r="I476" s="455"/>
      <c r="J476" s="88"/>
      <c r="K476" s="88"/>
      <c r="L476" s="456"/>
      <c r="M476" s="88"/>
      <c r="N476" s="88"/>
      <c r="O476" s="88"/>
      <c r="P476" s="88"/>
      <c r="Q476" s="88"/>
      <c r="R476" s="88"/>
      <c r="S476" s="88"/>
      <c r="T476" s="88"/>
      <c r="U476" s="88"/>
      <c r="V476" s="88"/>
      <c r="W476" s="88"/>
      <c r="X476" s="88"/>
      <c r="Y476" s="88"/>
      <c r="Z476" s="88"/>
      <c r="AA476" s="88"/>
    </row>
    <row r="477">
      <c r="A477" s="88"/>
      <c r="B477" s="88"/>
      <c r="C477" s="88"/>
      <c r="D477" s="453"/>
      <c r="E477" s="88"/>
      <c r="F477" s="88"/>
      <c r="G477" s="88"/>
      <c r="H477" s="454"/>
      <c r="I477" s="455"/>
      <c r="J477" s="88"/>
      <c r="K477" s="88"/>
      <c r="L477" s="456"/>
      <c r="M477" s="88"/>
      <c r="N477" s="88"/>
      <c r="O477" s="88"/>
      <c r="P477" s="88"/>
      <c r="Q477" s="88"/>
      <c r="R477" s="88"/>
      <c r="S477" s="88"/>
      <c r="T477" s="88"/>
      <c r="U477" s="88"/>
      <c r="V477" s="88"/>
      <c r="W477" s="88"/>
      <c r="X477" s="88"/>
      <c r="Y477" s="88"/>
      <c r="Z477" s="88"/>
      <c r="AA477" s="88"/>
    </row>
    <row r="478">
      <c r="A478" s="88"/>
      <c r="B478" s="88"/>
      <c r="C478" s="88"/>
      <c r="D478" s="453"/>
      <c r="E478" s="88"/>
      <c r="F478" s="88"/>
      <c r="G478" s="88"/>
      <c r="H478" s="454"/>
      <c r="I478" s="455"/>
      <c r="J478" s="88"/>
      <c r="K478" s="88"/>
      <c r="L478" s="456"/>
      <c r="M478" s="88"/>
      <c r="N478" s="88"/>
      <c r="O478" s="88"/>
      <c r="P478" s="88"/>
      <c r="Q478" s="88"/>
      <c r="R478" s="88"/>
      <c r="S478" s="88"/>
      <c r="T478" s="88"/>
      <c r="U478" s="88"/>
      <c r="V478" s="88"/>
      <c r="W478" s="88"/>
      <c r="X478" s="88"/>
      <c r="Y478" s="88"/>
      <c r="Z478" s="88"/>
      <c r="AA478" s="88"/>
    </row>
    <row r="479">
      <c r="A479" s="88"/>
      <c r="B479" s="88"/>
      <c r="C479" s="88"/>
      <c r="D479" s="453"/>
      <c r="E479" s="88"/>
      <c r="F479" s="88"/>
      <c r="G479" s="88"/>
      <c r="H479" s="454"/>
      <c r="I479" s="455"/>
      <c r="J479" s="88"/>
      <c r="K479" s="88"/>
      <c r="L479" s="456"/>
      <c r="M479" s="88"/>
      <c r="N479" s="88"/>
      <c r="O479" s="88"/>
      <c r="P479" s="88"/>
      <c r="Q479" s="88"/>
      <c r="R479" s="88"/>
      <c r="S479" s="88"/>
      <c r="T479" s="88"/>
      <c r="U479" s="88"/>
      <c r="V479" s="88"/>
      <c r="W479" s="88"/>
      <c r="X479" s="88"/>
      <c r="Y479" s="88"/>
      <c r="Z479" s="88"/>
      <c r="AA479" s="88"/>
    </row>
    <row r="480">
      <c r="A480" s="88"/>
      <c r="B480" s="88"/>
      <c r="C480" s="88"/>
      <c r="D480" s="453"/>
      <c r="E480" s="88"/>
      <c r="F480" s="88"/>
      <c r="G480" s="88"/>
      <c r="H480" s="454"/>
      <c r="I480" s="455"/>
      <c r="J480" s="88"/>
      <c r="K480" s="88"/>
      <c r="L480" s="456"/>
      <c r="M480" s="88"/>
      <c r="N480" s="88"/>
      <c r="O480" s="88"/>
      <c r="P480" s="88"/>
      <c r="Q480" s="88"/>
      <c r="R480" s="88"/>
      <c r="S480" s="88"/>
      <c r="T480" s="88"/>
      <c r="U480" s="88"/>
      <c r="V480" s="88"/>
      <c r="W480" s="88"/>
      <c r="X480" s="88"/>
      <c r="Y480" s="88"/>
      <c r="Z480" s="88"/>
      <c r="AA480" s="88"/>
    </row>
    <row r="481">
      <c r="A481" s="88"/>
      <c r="B481" s="88"/>
      <c r="C481" s="88"/>
      <c r="D481" s="453"/>
      <c r="E481" s="88"/>
      <c r="F481" s="88"/>
      <c r="G481" s="88"/>
      <c r="H481" s="454"/>
      <c r="I481" s="455"/>
      <c r="J481" s="88"/>
      <c r="K481" s="88"/>
      <c r="L481" s="456"/>
      <c r="M481" s="88"/>
      <c r="N481" s="88"/>
      <c r="O481" s="88"/>
      <c r="P481" s="88"/>
      <c r="Q481" s="88"/>
      <c r="R481" s="88"/>
      <c r="S481" s="88"/>
      <c r="T481" s="88"/>
      <c r="U481" s="88"/>
      <c r="V481" s="88"/>
      <c r="W481" s="88"/>
      <c r="X481" s="88"/>
      <c r="Y481" s="88"/>
      <c r="Z481" s="88"/>
      <c r="AA481" s="88"/>
    </row>
    <row r="482">
      <c r="A482" s="88"/>
      <c r="B482" s="88"/>
      <c r="C482" s="88"/>
      <c r="D482" s="453"/>
      <c r="E482" s="88"/>
      <c r="F482" s="88"/>
      <c r="G482" s="88"/>
      <c r="H482" s="454"/>
      <c r="I482" s="455"/>
      <c r="J482" s="88"/>
      <c r="K482" s="88"/>
      <c r="L482" s="456"/>
      <c r="M482" s="88"/>
      <c r="N482" s="88"/>
      <c r="O482" s="88"/>
      <c r="P482" s="88"/>
      <c r="Q482" s="88"/>
      <c r="R482" s="88"/>
      <c r="S482" s="88"/>
      <c r="T482" s="88"/>
      <c r="U482" s="88"/>
      <c r="V482" s="88"/>
      <c r="W482" s="88"/>
      <c r="X482" s="88"/>
      <c r="Y482" s="88"/>
      <c r="Z482" s="88"/>
      <c r="AA482" s="88"/>
    </row>
    <row r="483">
      <c r="A483" s="88"/>
      <c r="B483" s="88"/>
      <c r="C483" s="88"/>
      <c r="D483" s="453"/>
      <c r="E483" s="88"/>
      <c r="F483" s="88"/>
      <c r="G483" s="88"/>
      <c r="H483" s="454"/>
      <c r="I483" s="455"/>
      <c r="J483" s="88"/>
      <c r="K483" s="88"/>
      <c r="L483" s="456"/>
      <c r="M483" s="88"/>
      <c r="N483" s="88"/>
      <c r="O483" s="88"/>
      <c r="P483" s="88"/>
      <c r="Q483" s="88"/>
      <c r="R483" s="88"/>
      <c r="S483" s="88"/>
      <c r="T483" s="88"/>
      <c r="U483" s="88"/>
      <c r="V483" s="88"/>
      <c r="W483" s="88"/>
      <c r="X483" s="88"/>
      <c r="Y483" s="88"/>
      <c r="Z483" s="88"/>
      <c r="AA483" s="88"/>
    </row>
    <row r="484">
      <c r="A484" s="88"/>
      <c r="B484" s="88"/>
      <c r="C484" s="88"/>
      <c r="D484" s="453"/>
      <c r="E484" s="88"/>
      <c r="F484" s="88"/>
      <c r="G484" s="88"/>
      <c r="H484" s="454"/>
      <c r="I484" s="455"/>
      <c r="J484" s="88"/>
      <c r="K484" s="88"/>
      <c r="L484" s="456"/>
      <c r="M484" s="88"/>
      <c r="N484" s="88"/>
      <c r="O484" s="88"/>
      <c r="P484" s="88"/>
      <c r="Q484" s="88"/>
      <c r="R484" s="88"/>
      <c r="S484" s="88"/>
      <c r="T484" s="88"/>
      <c r="U484" s="88"/>
      <c r="V484" s="88"/>
      <c r="W484" s="88"/>
      <c r="X484" s="88"/>
      <c r="Y484" s="88"/>
      <c r="Z484" s="88"/>
      <c r="AA484" s="88"/>
    </row>
    <row r="485">
      <c r="A485" s="88"/>
      <c r="B485" s="88"/>
      <c r="C485" s="88"/>
      <c r="D485" s="453"/>
      <c r="E485" s="88"/>
      <c r="F485" s="88"/>
      <c r="G485" s="88"/>
      <c r="H485" s="454"/>
      <c r="I485" s="455"/>
      <c r="J485" s="88"/>
      <c r="K485" s="88"/>
      <c r="L485" s="456"/>
      <c r="M485" s="88"/>
      <c r="N485" s="88"/>
      <c r="O485" s="88"/>
      <c r="P485" s="88"/>
      <c r="Q485" s="88"/>
      <c r="R485" s="88"/>
      <c r="S485" s="88"/>
      <c r="T485" s="88"/>
      <c r="U485" s="88"/>
      <c r="V485" s="88"/>
      <c r="W485" s="88"/>
      <c r="X485" s="88"/>
      <c r="Y485" s="88"/>
      <c r="Z485" s="88"/>
      <c r="AA485" s="88"/>
    </row>
    <row r="486">
      <c r="A486" s="88"/>
      <c r="B486" s="88"/>
      <c r="C486" s="88"/>
      <c r="D486" s="453"/>
      <c r="E486" s="88"/>
      <c r="F486" s="88"/>
      <c r="G486" s="88"/>
      <c r="H486" s="454"/>
      <c r="I486" s="455"/>
      <c r="J486" s="88"/>
      <c r="K486" s="88"/>
      <c r="L486" s="456"/>
      <c r="M486" s="88"/>
      <c r="N486" s="88"/>
      <c r="O486" s="88"/>
      <c r="P486" s="88"/>
      <c r="Q486" s="88"/>
      <c r="R486" s="88"/>
      <c r="S486" s="88"/>
      <c r="T486" s="88"/>
      <c r="U486" s="88"/>
      <c r="V486" s="88"/>
      <c r="W486" s="88"/>
      <c r="X486" s="88"/>
      <c r="Y486" s="88"/>
      <c r="Z486" s="88"/>
      <c r="AA486" s="88"/>
    </row>
    <row r="487">
      <c r="A487" s="88"/>
      <c r="B487" s="88"/>
      <c r="C487" s="88"/>
      <c r="D487" s="453"/>
      <c r="E487" s="88"/>
      <c r="F487" s="88"/>
      <c r="G487" s="88"/>
      <c r="H487" s="454"/>
      <c r="I487" s="455"/>
      <c r="J487" s="88"/>
      <c r="K487" s="88"/>
      <c r="L487" s="456"/>
      <c r="M487" s="88"/>
      <c r="N487" s="88"/>
      <c r="O487" s="88"/>
      <c r="P487" s="88"/>
      <c r="Q487" s="88"/>
      <c r="R487" s="88"/>
      <c r="S487" s="88"/>
      <c r="T487" s="88"/>
      <c r="U487" s="88"/>
      <c r="V487" s="88"/>
      <c r="W487" s="88"/>
      <c r="X487" s="88"/>
      <c r="Y487" s="88"/>
      <c r="Z487" s="88"/>
      <c r="AA487" s="88"/>
    </row>
    <row r="488">
      <c r="A488" s="88"/>
      <c r="B488" s="88"/>
      <c r="C488" s="88"/>
      <c r="D488" s="453"/>
      <c r="E488" s="88"/>
      <c r="F488" s="88"/>
      <c r="G488" s="88"/>
      <c r="H488" s="454"/>
      <c r="I488" s="455"/>
      <c r="J488" s="88"/>
      <c r="K488" s="88"/>
      <c r="L488" s="456"/>
      <c r="M488" s="88"/>
      <c r="N488" s="88"/>
      <c r="O488" s="88"/>
      <c r="P488" s="88"/>
      <c r="Q488" s="88"/>
      <c r="R488" s="88"/>
      <c r="S488" s="88"/>
      <c r="T488" s="88"/>
      <c r="U488" s="88"/>
      <c r="V488" s="88"/>
      <c r="W488" s="88"/>
      <c r="X488" s="88"/>
      <c r="Y488" s="88"/>
      <c r="Z488" s="88"/>
      <c r="AA488" s="88"/>
    </row>
    <row r="489">
      <c r="A489" s="88"/>
      <c r="B489" s="88"/>
      <c r="C489" s="88"/>
      <c r="D489" s="453"/>
      <c r="E489" s="88"/>
      <c r="F489" s="88"/>
      <c r="G489" s="88"/>
      <c r="H489" s="454"/>
      <c r="I489" s="455"/>
      <c r="J489" s="88"/>
      <c r="K489" s="88"/>
      <c r="L489" s="456"/>
      <c r="M489" s="88"/>
      <c r="N489" s="88"/>
      <c r="O489" s="88"/>
      <c r="P489" s="88"/>
      <c r="Q489" s="88"/>
      <c r="R489" s="88"/>
      <c r="S489" s="88"/>
      <c r="T489" s="88"/>
      <c r="U489" s="88"/>
      <c r="V489" s="88"/>
      <c r="W489" s="88"/>
      <c r="X489" s="88"/>
      <c r="Y489" s="88"/>
      <c r="Z489" s="88"/>
      <c r="AA489" s="88"/>
    </row>
    <row r="490">
      <c r="A490" s="88"/>
      <c r="B490" s="88"/>
      <c r="C490" s="88"/>
      <c r="D490" s="453"/>
      <c r="E490" s="88"/>
      <c r="F490" s="88"/>
      <c r="G490" s="88"/>
      <c r="H490" s="454"/>
      <c r="I490" s="455"/>
      <c r="J490" s="88"/>
      <c r="K490" s="88"/>
      <c r="L490" s="456"/>
      <c r="M490" s="88"/>
      <c r="N490" s="88"/>
      <c r="O490" s="88"/>
      <c r="P490" s="88"/>
      <c r="Q490" s="88"/>
      <c r="R490" s="88"/>
      <c r="S490" s="88"/>
      <c r="T490" s="88"/>
      <c r="U490" s="88"/>
      <c r="V490" s="88"/>
      <c r="W490" s="88"/>
      <c r="X490" s="88"/>
      <c r="Y490" s="88"/>
      <c r="Z490" s="88"/>
      <c r="AA490" s="88"/>
    </row>
    <row r="491">
      <c r="A491" s="88"/>
      <c r="B491" s="88"/>
      <c r="C491" s="88"/>
      <c r="D491" s="453"/>
      <c r="E491" s="88"/>
      <c r="F491" s="88"/>
      <c r="G491" s="88"/>
      <c r="H491" s="454"/>
      <c r="I491" s="455"/>
      <c r="J491" s="88"/>
      <c r="K491" s="88"/>
      <c r="L491" s="456"/>
      <c r="M491" s="88"/>
      <c r="N491" s="88"/>
      <c r="O491" s="88"/>
      <c r="P491" s="88"/>
      <c r="Q491" s="88"/>
      <c r="R491" s="88"/>
      <c r="S491" s="88"/>
      <c r="T491" s="88"/>
      <c r="U491" s="88"/>
      <c r="V491" s="88"/>
      <c r="W491" s="88"/>
      <c r="X491" s="88"/>
      <c r="Y491" s="88"/>
      <c r="Z491" s="88"/>
      <c r="AA491" s="88"/>
    </row>
    <row r="492">
      <c r="A492" s="88"/>
      <c r="B492" s="88"/>
      <c r="C492" s="88"/>
      <c r="D492" s="453"/>
      <c r="E492" s="88"/>
      <c r="F492" s="88"/>
      <c r="G492" s="88"/>
      <c r="H492" s="454"/>
      <c r="I492" s="455"/>
      <c r="J492" s="88"/>
      <c r="K492" s="88"/>
      <c r="L492" s="456"/>
      <c r="M492" s="88"/>
      <c r="N492" s="88"/>
      <c r="O492" s="88"/>
      <c r="P492" s="88"/>
      <c r="Q492" s="88"/>
      <c r="R492" s="88"/>
      <c r="S492" s="88"/>
      <c r="T492" s="88"/>
      <c r="U492" s="88"/>
      <c r="V492" s="88"/>
      <c r="W492" s="88"/>
      <c r="X492" s="88"/>
      <c r="Y492" s="88"/>
      <c r="Z492" s="88"/>
      <c r="AA492" s="88"/>
    </row>
    <row r="493">
      <c r="A493" s="88"/>
      <c r="B493" s="88"/>
      <c r="C493" s="88"/>
      <c r="D493" s="453"/>
      <c r="E493" s="88"/>
      <c r="F493" s="88"/>
      <c r="G493" s="88"/>
      <c r="H493" s="454"/>
      <c r="I493" s="455"/>
      <c r="J493" s="88"/>
      <c r="K493" s="88"/>
      <c r="L493" s="456"/>
      <c r="M493" s="88"/>
      <c r="N493" s="88"/>
      <c r="O493" s="88"/>
      <c r="P493" s="88"/>
      <c r="Q493" s="88"/>
      <c r="R493" s="88"/>
      <c r="S493" s="88"/>
      <c r="T493" s="88"/>
      <c r="U493" s="88"/>
      <c r="V493" s="88"/>
      <c r="W493" s="88"/>
      <c r="X493" s="88"/>
      <c r="Y493" s="88"/>
      <c r="Z493" s="88"/>
      <c r="AA493" s="88"/>
    </row>
    <row r="494">
      <c r="A494" s="88"/>
      <c r="B494" s="88"/>
      <c r="C494" s="88"/>
      <c r="D494" s="453"/>
      <c r="E494" s="88"/>
      <c r="F494" s="88"/>
      <c r="G494" s="88"/>
      <c r="H494" s="454"/>
      <c r="I494" s="455"/>
      <c r="J494" s="88"/>
      <c r="K494" s="88"/>
      <c r="L494" s="456"/>
      <c r="M494" s="88"/>
      <c r="N494" s="88"/>
      <c r="O494" s="88"/>
      <c r="P494" s="88"/>
      <c r="Q494" s="88"/>
      <c r="R494" s="88"/>
      <c r="S494" s="88"/>
      <c r="T494" s="88"/>
      <c r="U494" s="88"/>
      <c r="V494" s="88"/>
      <c r="W494" s="88"/>
      <c r="X494" s="88"/>
      <c r="Y494" s="88"/>
      <c r="Z494" s="88"/>
      <c r="AA494" s="88"/>
    </row>
    <row r="495">
      <c r="A495" s="88"/>
      <c r="B495" s="88"/>
      <c r="C495" s="88"/>
      <c r="D495" s="453"/>
      <c r="E495" s="88"/>
      <c r="F495" s="88"/>
      <c r="G495" s="88"/>
      <c r="H495" s="454"/>
      <c r="I495" s="455"/>
      <c r="J495" s="88"/>
      <c r="K495" s="88"/>
      <c r="L495" s="456"/>
      <c r="M495" s="88"/>
      <c r="N495" s="88"/>
      <c r="O495" s="88"/>
      <c r="P495" s="88"/>
      <c r="Q495" s="88"/>
      <c r="R495" s="88"/>
      <c r="S495" s="88"/>
      <c r="T495" s="88"/>
      <c r="U495" s="88"/>
      <c r="V495" s="88"/>
      <c r="W495" s="88"/>
      <c r="X495" s="88"/>
      <c r="Y495" s="88"/>
      <c r="Z495" s="88"/>
      <c r="AA495" s="88"/>
    </row>
    <row r="496">
      <c r="A496" s="88"/>
      <c r="B496" s="88"/>
      <c r="C496" s="88"/>
      <c r="D496" s="453"/>
      <c r="E496" s="88"/>
      <c r="F496" s="88"/>
      <c r="G496" s="88"/>
      <c r="H496" s="454"/>
      <c r="I496" s="455"/>
      <c r="J496" s="88"/>
      <c r="K496" s="88"/>
      <c r="L496" s="456"/>
      <c r="M496" s="88"/>
      <c r="N496" s="88"/>
      <c r="O496" s="88"/>
      <c r="P496" s="88"/>
      <c r="Q496" s="88"/>
      <c r="R496" s="88"/>
      <c r="S496" s="88"/>
      <c r="T496" s="88"/>
      <c r="U496" s="88"/>
      <c r="V496" s="88"/>
      <c r="W496" s="88"/>
      <c r="X496" s="88"/>
      <c r="Y496" s="88"/>
      <c r="Z496" s="88"/>
      <c r="AA496" s="88"/>
    </row>
    <row r="497">
      <c r="A497" s="88"/>
      <c r="B497" s="88"/>
      <c r="C497" s="88"/>
      <c r="D497" s="453"/>
      <c r="E497" s="88"/>
      <c r="F497" s="88"/>
      <c r="G497" s="88"/>
      <c r="H497" s="454"/>
      <c r="I497" s="455"/>
      <c r="J497" s="88"/>
      <c r="K497" s="88"/>
      <c r="L497" s="456"/>
      <c r="M497" s="88"/>
      <c r="N497" s="88"/>
      <c r="O497" s="88"/>
      <c r="P497" s="88"/>
      <c r="Q497" s="88"/>
      <c r="R497" s="88"/>
      <c r="S497" s="88"/>
      <c r="T497" s="88"/>
      <c r="U497" s="88"/>
      <c r="V497" s="88"/>
      <c r="W497" s="88"/>
      <c r="X497" s="88"/>
      <c r="Y497" s="88"/>
      <c r="Z497" s="88"/>
      <c r="AA497" s="88"/>
    </row>
    <row r="498">
      <c r="A498" s="88"/>
      <c r="B498" s="88"/>
      <c r="C498" s="88"/>
      <c r="D498" s="453"/>
      <c r="E498" s="88"/>
      <c r="F498" s="88"/>
      <c r="G498" s="88"/>
      <c r="H498" s="454"/>
      <c r="I498" s="455"/>
      <c r="J498" s="88"/>
      <c r="K498" s="88"/>
      <c r="L498" s="456"/>
      <c r="M498" s="88"/>
      <c r="N498" s="88"/>
      <c r="O498" s="88"/>
      <c r="P498" s="88"/>
      <c r="Q498" s="88"/>
      <c r="R498" s="88"/>
      <c r="S498" s="88"/>
      <c r="T498" s="88"/>
      <c r="U498" s="88"/>
      <c r="V498" s="88"/>
      <c r="W498" s="88"/>
      <c r="X498" s="88"/>
      <c r="Y498" s="88"/>
      <c r="Z498" s="88"/>
      <c r="AA498" s="88"/>
    </row>
    <row r="499">
      <c r="A499" s="88"/>
      <c r="B499" s="88"/>
      <c r="C499" s="88"/>
      <c r="D499" s="453"/>
      <c r="E499" s="88"/>
      <c r="F499" s="88"/>
      <c r="G499" s="88"/>
      <c r="H499" s="454"/>
      <c r="I499" s="455"/>
      <c r="J499" s="88"/>
      <c r="K499" s="88"/>
      <c r="L499" s="456"/>
      <c r="M499" s="88"/>
      <c r="N499" s="88"/>
      <c r="O499" s="88"/>
      <c r="P499" s="88"/>
      <c r="Q499" s="88"/>
      <c r="R499" s="88"/>
      <c r="S499" s="88"/>
      <c r="T499" s="88"/>
      <c r="U499" s="88"/>
      <c r="V499" s="88"/>
      <c r="W499" s="88"/>
      <c r="X499" s="88"/>
      <c r="Y499" s="88"/>
      <c r="Z499" s="88"/>
      <c r="AA499" s="88"/>
    </row>
    <row r="500">
      <c r="A500" s="88"/>
      <c r="B500" s="88"/>
      <c r="C500" s="88"/>
      <c r="D500" s="453"/>
      <c r="E500" s="88"/>
      <c r="F500" s="88"/>
      <c r="G500" s="88"/>
      <c r="H500" s="454"/>
      <c r="I500" s="455"/>
      <c r="J500" s="88"/>
      <c r="K500" s="88"/>
      <c r="L500" s="456"/>
      <c r="M500" s="88"/>
      <c r="N500" s="88"/>
      <c r="O500" s="88"/>
      <c r="P500" s="88"/>
      <c r="Q500" s="88"/>
      <c r="R500" s="88"/>
      <c r="S500" s="88"/>
      <c r="T500" s="88"/>
      <c r="U500" s="88"/>
      <c r="V500" s="88"/>
      <c r="W500" s="88"/>
      <c r="X500" s="88"/>
      <c r="Y500" s="88"/>
      <c r="Z500" s="88"/>
      <c r="AA500" s="88"/>
    </row>
    <row r="501">
      <c r="A501" s="88"/>
      <c r="B501" s="88"/>
      <c r="C501" s="88"/>
      <c r="D501" s="453"/>
      <c r="E501" s="88"/>
      <c r="F501" s="88"/>
      <c r="G501" s="88"/>
      <c r="H501" s="454"/>
      <c r="I501" s="455"/>
      <c r="J501" s="88"/>
      <c r="K501" s="88"/>
      <c r="L501" s="456"/>
      <c r="M501" s="88"/>
      <c r="N501" s="88"/>
      <c r="O501" s="88"/>
      <c r="P501" s="88"/>
      <c r="Q501" s="88"/>
      <c r="R501" s="88"/>
      <c r="S501" s="88"/>
      <c r="T501" s="88"/>
      <c r="U501" s="88"/>
      <c r="V501" s="88"/>
      <c r="W501" s="88"/>
      <c r="X501" s="88"/>
      <c r="Y501" s="88"/>
      <c r="Z501" s="88"/>
      <c r="AA501" s="88"/>
    </row>
    <row r="502">
      <c r="A502" s="88"/>
      <c r="B502" s="88"/>
      <c r="C502" s="88"/>
      <c r="D502" s="453"/>
      <c r="E502" s="88"/>
      <c r="F502" s="88"/>
      <c r="G502" s="88"/>
      <c r="H502" s="454"/>
      <c r="I502" s="455"/>
      <c r="J502" s="88"/>
      <c r="K502" s="88"/>
      <c r="L502" s="456"/>
      <c r="M502" s="88"/>
      <c r="N502" s="88"/>
      <c r="O502" s="88"/>
      <c r="P502" s="88"/>
      <c r="Q502" s="88"/>
      <c r="R502" s="88"/>
      <c r="S502" s="88"/>
      <c r="T502" s="88"/>
      <c r="U502" s="88"/>
      <c r="V502" s="88"/>
      <c r="W502" s="88"/>
      <c r="X502" s="88"/>
      <c r="Y502" s="88"/>
      <c r="Z502" s="88"/>
      <c r="AA502" s="88"/>
    </row>
    <row r="503">
      <c r="A503" s="88"/>
      <c r="B503" s="88"/>
      <c r="C503" s="88"/>
      <c r="D503" s="453"/>
      <c r="E503" s="88"/>
      <c r="F503" s="88"/>
      <c r="G503" s="88"/>
      <c r="H503" s="454"/>
      <c r="I503" s="455"/>
      <c r="J503" s="88"/>
      <c r="K503" s="88"/>
      <c r="L503" s="456"/>
      <c r="M503" s="88"/>
      <c r="N503" s="88"/>
      <c r="O503" s="88"/>
      <c r="P503" s="88"/>
      <c r="Q503" s="88"/>
      <c r="R503" s="88"/>
      <c r="S503" s="88"/>
      <c r="T503" s="88"/>
      <c r="U503" s="88"/>
      <c r="V503" s="88"/>
      <c r="W503" s="88"/>
      <c r="X503" s="88"/>
      <c r="Y503" s="88"/>
      <c r="Z503" s="88"/>
      <c r="AA503" s="88"/>
    </row>
    <row r="504">
      <c r="A504" s="88"/>
      <c r="B504" s="88"/>
      <c r="C504" s="88"/>
      <c r="D504" s="453"/>
      <c r="E504" s="88"/>
      <c r="F504" s="88"/>
      <c r="G504" s="88"/>
      <c r="H504" s="454"/>
      <c r="I504" s="455"/>
      <c r="J504" s="88"/>
      <c r="K504" s="88"/>
      <c r="L504" s="456"/>
      <c r="M504" s="88"/>
      <c r="N504" s="88"/>
      <c r="O504" s="88"/>
      <c r="P504" s="88"/>
      <c r="Q504" s="88"/>
      <c r="R504" s="88"/>
      <c r="S504" s="88"/>
      <c r="T504" s="88"/>
      <c r="U504" s="88"/>
      <c r="V504" s="88"/>
      <c r="W504" s="88"/>
      <c r="X504" s="88"/>
      <c r="Y504" s="88"/>
      <c r="Z504" s="88"/>
      <c r="AA504" s="88"/>
    </row>
    <row r="505">
      <c r="A505" s="88"/>
      <c r="B505" s="88"/>
      <c r="C505" s="88"/>
      <c r="D505" s="453"/>
      <c r="E505" s="88"/>
      <c r="F505" s="88"/>
      <c r="G505" s="88"/>
      <c r="H505" s="454"/>
      <c r="I505" s="455"/>
      <c r="J505" s="88"/>
      <c r="K505" s="88"/>
      <c r="L505" s="456"/>
      <c r="M505" s="88"/>
      <c r="N505" s="88"/>
      <c r="O505" s="88"/>
      <c r="P505" s="88"/>
      <c r="Q505" s="88"/>
      <c r="R505" s="88"/>
      <c r="S505" s="88"/>
      <c r="T505" s="88"/>
      <c r="U505" s="88"/>
      <c r="V505" s="88"/>
      <c r="W505" s="88"/>
      <c r="X505" s="88"/>
      <c r="Y505" s="88"/>
      <c r="Z505" s="88"/>
      <c r="AA505" s="88"/>
    </row>
    <row r="506">
      <c r="A506" s="88"/>
      <c r="B506" s="88"/>
      <c r="C506" s="88"/>
      <c r="D506" s="453"/>
      <c r="E506" s="88"/>
      <c r="F506" s="88"/>
      <c r="G506" s="88"/>
      <c r="H506" s="454"/>
      <c r="I506" s="455"/>
      <c r="J506" s="88"/>
      <c r="K506" s="88"/>
      <c r="L506" s="456"/>
      <c r="M506" s="88"/>
      <c r="N506" s="88"/>
      <c r="O506" s="88"/>
      <c r="P506" s="88"/>
      <c r="Q506" s="88"/>
      <c r="R506" s="88"/>
      <c r="S506" s="88"/>
      <c r="T506" s="88"/>
      <c r="U506" s="88"/>
      <c r="V506" s="88"/>
      <c r="W506" s="88"/>
      <c r="X506" s="88"/>
      <c r="Y506" s="88"/>
      <c r="Z506" s="88"/>
      <c r="AA506" s="88"/>
    </row>
    <row r="507">
      <c r="A507" s="88"/>
      <c r="B507" s="88"/>
      <c r="C507" s="88"/>
      <c r="D507" s="453"/>
      <c r="E507" s="88"/>
      <c r="F507" s="88"/>
      <c r="G507" s="88"/>
      <c r="H507" s="454"/>
      <c r="I507" s="455"/>
      <c r="J507" s="88"/>
      <c r="K507" s="88"/>
      <c r="L507" s="456"/>
      <c r="M507" s="88"/>
      <c r="N507" s="88"/>
      <c r="O507" s="88"/>
      <c r="P507" s="88"/>
      <c r="Q507" s="88"/>
      <c r="R507" s="88"/>
      <c r="S507" s="88"/>
      <c r="T507" s="88"/>
      <c r="U507" s="88"/>
      <c r="V507" s="88"/>
      <c r="W507" s="88"/>
      <c r="X507" s="88"/>
      <c r="Y507" s="88"/>
      <c r="Z507" s="88"/>
      <c r="AA507" s="88"/>
    </row>
    <row r="508">
      <c r="A508" s="88"/>
      <c r="B508" s="88"/>
      <c r="C508" s="88"/>
      <c r="D508" s="453"/>
      <c r="E508" s="88"/>
      <c r="F508" s="88"/>
      <c r="G508" s="88"/>
      <c r="H508" s="454"/>
      <c r="I508" s="455"/>
      <c r="J508" s="88"/>
      <c r="K508" s="88"/>
      <c r="L508" s="456"/>
      <c r="M508" s="88"/>
      <c r="N508" s="88"/>
      <c r="O508" s="88"/>
      <c r="P508" s="88"/>
      <c r="Q508" s="88"/>
      <c r="R508" s="88"/>
      <c r="S508" s="88"/>
      <c r="T508" s="88"/>
      <c r="U508" s="88"/>
      <c r="V508" s="88"/>
      <c r="W508" s="88"/>
      <c r="X508" s="88"/>
      <c r="Y508" s="88"/>
      <c r="Z508" s="88"/>
      <c r="AA508" s="88"/>
    </row>
    <row r="509">
      <c r="A509" s="88"/>
      <c r="B509" s="88"/>
      <c r="C509" s="88"/>
      <c r="D509" s="453"/>
      <c r="E509" s="88"/>
      <c r="F509" s="88"/>
      <c r="G509" s="88"/>
      <c r="H509" s="454"/>
      <c r="I509" s="455"/>
      <c r="J509" s="88"/>
      <c r="K509" s="88"/>
      <c r="L509" s="456"/>
      <c r="M509" s="88"/>
      <c r="N509" s="88"/>
      <c r="O509" s="88"/>
      <c r="P509" s="88"/>
      <c r="Q509" s="88"/>
      <c r="R509" s="88"/>
      <c r="S509" s="88"/>
      <c r="T509" s="88"/>
      <c r="U509" s="88"/>
      <c r="V509" s="88"/>
      <c r="W509" s="88"/>
      <c r="X509" s="88"/>
      <c r="Y509" s="88"/>
      <c r="Z509" s="88"/>
      <c r="AA509" s="88"/>
    </row>
    <row r="510">
      <c r="A510" s="88"/>
      <c r="B510" s="88"/>
      <c r="C510" s="88"/>
      <c r="D510" s="453"/>
      <c r="E510" s="88"/>
      <c r="F510" s="88"/>
      <c r="G510" s="88"/>
      <c r="H510" s="454"/>
      <c r="I510" s="455"/>
      <c r="J510" s="88"/>
      <c r="K510" s="88"/>
      <c r="L510" s="456"/>
      <c r="M510" s="88"/>
      <c r="N510" s="88"/>
      <c r="O510" s="88"/>
      <c r="P510" s="88"/>
      <c r="Q510" s="88"/>
      <c r="R510" s="88"/>
      <c r="S510" s="88"/>
      <c r="T510" s="88"/>
      <c r="U510" s="88"/>
      <c r="V510" s="88"/>
      <c r="W510" s="88"/>
      <c r="X510" s="88"/>
      <c r="Y510" s="88"/>
      <c r="Z510" s="88"/>
      <c r="AA510" s="88"/>
    </row>
    <row r="511">
      <c r="A511" s="88"/>
      <c r="B511" s="88"/>
      <c r="C511" s="88"/>
      <c r="D511" s="453"/>
      <c r="E511" s="88"/>
      <c r="F511" s="88"/>
      <c r="G511" s="88"/>
      <c r="H511" s="454"/>
      <c r="I511" s="455"/>
      <c r="J511" s="88"/>
      <c r="K511" s="88"/>
      <c r="L511" s="456"/>
      <c r="M511" s="88"/>
      <c r="N511" s="88"/>
      <c r="O511" s="88"/>
      <c r="P511" s="88"/>
      <c r="Q511" s="88"/>
      <c r="R511" s="88"/>
      <c r="S511" s="88"/>
      <c r="T511" s="88"/>
      <c r="U511" s="88"/>
      <c r="V511" s="88"/>
      <c r="W511" s="88"/>
      <c r="X511" s="88"/>
      <c r="Y511" s="88"/>
      <c r="Z511" s="88"/>
      <c r="AA511" s="88"/>
    </row>
    <row r="512">
      <c r="A512" s="88"/>
      <c r="B512" s="88"/>
      <c r="C512" s="88"/>
      <c r="D512" s="453"/>
      <c r="E512" s="88"/>
      <c r="F512" s="88"/>
      <c r="G512" s="88"/>
      <c r="H512" s="454"/>
      <c r="I512" s="455"/>
      <c r="J512" s="88"/>
      <c r="K512" s="88"/>
      <c r="L512" s="456"/>
      <c r="M512" s="88"/>
      <c r="N512" s="88"/>
      <c r="O512" s="88"/>
      <c r="P512" s="88"/>
      <c r="Q512" s="88"/>
      <c r="R512" s="88"/>
      <c r="S512" s="88"/>
      <c r="T512" s="88"/>
      <c r="U512" s="88"/>
      <c r="V512" s="88"/>
      <c r="W512" s="88"/>
      <c r="X512" s="88"/>
      <c r="Y512" s="88"/>
      <c r="Z512" s="88"/>
      <c r="AA512" s="88"/>
    </row>
    <row r="513">
      <c r="A513" s="88"/>
      <c r="B513" s="88"/>
      <c r="C513" s="88"/>
      <c r="D513" s="453"/>
      <c r="E513" s="88"/>
      <c r="F513" s="88"/>
      <c r="G513" s="88"/>
      <c r="H513" s="454"/>
      <c r="I513" s="455"/>
      <c r="J513" s="88"/>
      <c r="K513" s="88"/>
      <c r="L513" s="456"/>
      <c r="M513" s="88"/>
      <c r="N513" s="88"/>
      <c r="O513" s="88"/>
      <c r="P513" s="88"/>
      <c r="Q513" s="88"/>
      <c r="R513" s="88"/>
      <c r="S513" s="88"/>
      <c r="T513" s="88"/>
      <c r="U513" s="88"/>
      <c r="V513" s="88"/>
      <c r="W513" s="88"/>
      <c r="X513" s="88"/>
      <c r="Y513" s="88"/>
      <c r="Z513" s="88"/>
      <c r="AA513" s="88"/>
    </row>
    <row r="514">
      <c r="A514" s="88"/>
      <c r="B514" s="88"/>
      <c r="C514" s="88"/>
      <c r="D514" s="453"/>
      <c r="E514" s="88"/>
      <c r="F514" s="88"/>
      <c r="G514" s="88"/>
      <c r="H514" s="454"/>
      <c r="I514" s="455"/>
      <c r="J514" s="88"/>
      <c r="K514" s="88"/>
      <c r="L514" s="456"/>
      <c r="M514" s="88"/>
      <c r="N514" s="88"/>
      <c r="O514" s="88"/>
      <c r="P514" s="88"/>
      <c r="Q514" s="88"/>
      <c r="R514" s="88"/>
      <c r="S514" s="88"/>
      <c r="T514" s="88"/>
      <c r="U514" s="88"/>
      <c r="V514" s="88"/>
      <c r="W514" s="88"/>
      <c r="X514" s="88"/>
      <c r="Y514" s="88"/>
      <c r="Z514" s="88"/>
      <c r="AA514" s="88"/>
    </row>
    <row r="515">
      <c r="A515" s="88"/>
      <c r="B515" s="88"/>
      <c r="C515" s="88"/>
      <c r="D515" s="453"/>
      <c r="E515" s="88"/>
      <c r="F515" s="88"/>
      <c r="G515" s="88"/>
      <c r="H515" s="454"/>
      <c r="I515" s="455"/>
      <c r="J515" s="88"/>
      <c r="K515" s="88"/>
      <c r="L515" s="456"/>
      <c r="M515" s="88"/>
      <c r="N515" s="88"/>
      <c r="O515" s="88"/>
      <c r="P515" s="88"/>
      <c r="Q515" s="88"/>
      <c r="R515" s="88"/>
      <c r="S515" s="88"/>
      <c r="T515" s="88"/>
      <c r="U515" s="88"/>
      <c r="V515" s="88"/>
      <c r="W515" s="88"/>
      <c r="X515" s="88"/>
      <c r="Y515" s="88"/>
      <c r="Z515" s="88"/>
      <c r="AA515" s="88"/>
    </row>
    <row r="516">
      <c r="A516" s="88"/>
      <c r="B516" s="88"/>
      <c r="C516" s="88"/>
      <c r="D516" s="453"/>
      <c r="E516" s="88"/>
      <c r="F516" s="88"/>
      <c r="G516" s="88"/>
      <c r="H516" s="454"/>
      <c r="I516" s="455"/>
      <c r="J516" s="88"/>
      <c r="K516" s="88"/>
      <c r="L516" s="456"/>
      <c r="M516" s="88"/>
      <c r="N516" s="88"/>
      <c r="O516" s="88"/>
      <c r="P516" s="88"/>
      <c r="Q516" s="88"/>
      <c r="R516" s="88"/>
      <c r="S516" s="88"/>
      <c r="T516" s="88"/>
      <c r="U516" s="88"/>
      <c r="V516" s="88"/>
      <c r="W516" s="88"/>
      <c r="X516" s="88"/>
      <c r="Y516" s="88"/>
      <c r="Z516" s="88"/>
      <c r="AA516" s="88"/>
    </row>
    <row r="517">
      <c r="A517" s="88"/>
      <c r="B517" s="88"/>
      <c r="C517" s="88"/>
      <c r="D517" s="453"/>
      <c r="E517" s="88"/>
      <c r="F517" s="88"/>
      <c r="G517" s="88"/>
      <c r="H517" s="454"/>
      <c r="I517" s="455"/>
      <c r="J517" s="88"/>
      <c r="K517" s="88"/>
      <c r="L517" s="456"/>
      <c r="M517" s="88"/>
      <c r="N517" s="88"/>
      <c r="O517" s="88"/>
      <c r="P517" s="88"/>
      <c r="Q517" s="88"/>
      <c r="R517" s="88"/>
      <c r="S517" s="88"/>
      <c r="T517" s="88"/>
      <c r="U517" s="88"/>
      <c r="V517" s="88"/>
      <c r="W517" s="88"/>
      <c r="X517" s="88"/>
      <c r="Y517" s="88"/>
      <c r="Z517" s="88"/>
      <c r="AA517" s="88"/>
    </row>
    <row r="518">
      <c r="A518" s="88"/>
      <c r="B518" s="88"/>
      <c r="C518" s="88"/>
      <c r="D518" s="453"/>
      <c r="E518" s="88"/>
      <c r="F518" s="88"/>
      <c r="G518" s="88"/>
      <c r="H518" s="454"/>
      <c r="I518" s="455"/>
      <c r="J518" s="88"/>
      <c r="K518" s="88"/>
      <c r="L518" s="456"/>
      <c r="M518" s="88"/>
      <c r="N518" s="88"/>
      <c r="O518" s="88"/>
      <c r="P518" s="88"/>
      <c r="Q518" s="88"/>
      <c r="R518" s="88"/>
      <c r="S518" s="88"/>
      <c r="T518" s="88"/>
      <c r="U518" s="88"/>
      <c r="V518" s="88"/>
      <c r="W518" s="88"/>
      <c r="X518" s="88"/>
      <c r="Y518" s="88"/>
      <c r="Z518" s="88"/>
      <c r="AA518" s="88"/>
    </row>
    <row r="519">
      <c r="A519" s="88"/>
      <c r="B519" s="88"/>
      <c r="C519" s="88"/>
      <c r="D519" s="453"/>
      <c r="E519" s="88"/>
      <c r="F519" s="88"/>
      <c r="G519" s="88"/>
      <c r="H519" s="454"/>
      <c r="I519" s="455"/>
      <c r="J519" s="88"/>
      <c r="K519" s="88"/>
      <c r="L519" s="456"/>
      <c r="M519" s="88"/>
      <c r="N519" s="88"/>
      <c r="O519" s="88"/>
      <c r="P519" s="88"/>
      <c r="Q519" s="88"/>
      <c r="R519" s="88"/>
      <c r="S519" s="88"/>
      <c r="T519" s="88"/>
      <c r="U519" s="88"/>
      <c r="V519" s="88"/>
      <c r="W519" s="88"/>
      <c r="X519" s="88"/>
      <c r="Y519" s="88"/>
      <c r="Z519" s="88"/>
      <c r="AA519" s="88"/>
    </row>
    <row r="520">
      <c r="A520" s="88"/>
      <c r="B520" s="88"/>
      <c r="C520" s="88"/>
      <c r="D520" s="453"/>
      <c r="E520" s="88"/>
      <c r="F520" s="88"/>
      <c r="G520" s="88"/>
      <c r="H520" s="454"/>
      <c r="I520" s="455"/>
      <c r="J520" s="88"/>
      <c r="K520" s="88"/>
      <c r="L520" s="456"/>
      <c r="M520" s="88"/>
      <c r="N520" s="88"/>
      <c r="O520" s="88"/>
      <c r="P520" s="88"/>
      <c r="Q520" s="88"/>
      <c r="R520" s="88"/>
      <c r="S520" s="88"/>
      <c r="T520" s="88"/>
      <c r="U520" s="88"/>
      <c r="V520" s="88"/>
      <c r="W520" s="88"/>
      <c r="X520" s="88"/>
      <c r="Y520" s="88"/>
      <c r="Z520" s="88"/>
      <c r="AA520" s="88"/>
    </row>
    <row r="521">
      <c r="A521" s="88"/>
      <c r="B521" s="88"/>
      <c r="C521" s="88"/>
      <c r="D521" s="453"/>
      <c r="E521" s="88"/>
      <c r="F521" s="88"/>
      <c r="G521" s="88"/>
      <c r="H521" s="454"/>
      <c r="I521" s="455"/>
      <c r="J521" s="88"/>
      <c r="K521" s="88"/>
      <c r="L521" s="456"/>
      <c r="M521" s="88"/>
      <c r="N521" s="88"/>
      <c r="O521" s="88"/>
      <c r="P521" s="88"/>
      <c r="Q521" s="88"/>
      <c r="R521" s="88"/>
      <c r="S521" s="88"/>
      <c r="T521" s="88"/>
      <c r="U521" s="88"/>
      <c r="V521" s="88"/>
      <c r="W521" s="88"/>
      <c r="X521" s="88"/>
      <c r="Y521" s="88"/>
      <c r="Z521" s="88"/>
      <c r="AA521" s="88"/>
    </row>
    <row r="522">
      <c r="A522" s="88"/>
      <c r="B522" s="88"/>
      <c r="C522" s="88"/>
      <c r="D522" s="453"/>
      <c r="E522" s="88"/>
      <c r="F522" s="88"/>
      <c r="G522" s="88"/>
      <c r="H522" s="454"/>
      <c r="I522" s="455"/>
      <c r="J522" s="88"/>
      <c r="K522" s="88"/>
      <c r="L522" s="456"/>
      <c r="M522" s="88"/>
      <c r="N522" s="88"/>
      <c r="O522" s="88"/>
      <c r="P522" s="88"/>
      <c r="Q522" s="88"/>
      <c r="R522" s="88"/>
      <c r="S522" s="88"/>
      <c r="T522" s="88"/>
      <c r="U522" s="88"/>
      <c r="V522" s="88"/>
      <c r="W522" s="88"/>
      <c r="X522" s="88"/>
      <c r="Y522" s="88"/>
      <c r="Z522" s="88"/>
      <c r="AA522" s="88"/>
    </row>
    <row r="523">
      <c r="A523" s="88"/>
      <c r="B523" s="88"/>
      <c r="C523" s="88"/>
      <c r="D523" s="453"/>
      <c r="E523" s="88"/>
      <c r="F523" s="88"/>
      <c r="G523" s="88"/>
      <c r="H523" s="454"/>
      <c r="I523" s="455"/>
      <c r="J523" s="88"/>
      <c r="K523" s="88"/>
      <c r="L523" s="456"/>
      <c r="M523" s="88"/>
      <c r="N523" s="88"/>
      <c r="O523" s="88"/>
      <c r="P523" s="88"/>
      <c r="Q523" s="88"/>
      <c r="R523" s="88"/>
      <c r="S523" s="88"/>
      <c r="T523" s="88"/>
      <c r="U523" s="88"/>
      <c r="V523" s="88"/>
      <c r="W523" s="88"/>
      <c r="X523" s="88"/>
      <c r="Y523" s="88"/>
      <c r="Z523" s="88"/>
      <c r="AA523" s="88"/>
    </row>
    <row r="524">
      <c r="A524" s="88"/>
      <c r="B524" s="88"/>
      <c r="C524" s="88"/>
      <c r="D524" s="453"/>
      <c r="E524" s="88"/>
      <c r="F524" s="88"/>
      <c r="G524" s="88"/>
      <c r="H524" s="454"/>
      <c r="I524" s="455"/>
      <c r="J524" s="88"/>
      <c r="K524" s="88"/>
      <c r="L524" s="456"/>
      <c r="M524" s="88"/>
      <c r="N524" s="88"/>
      <c r="O524" s="88"/>
      <c r="P524" s="88"/>
      <c r="Q524" s="88"/>
      <c r="R524" s="88"/>
      <c r="S524" s="88"/>
      <c r="T524" s="88"/>
      <c r="U524" s="88"/>
      <c r="V524" s="88"/>
      <c r="W524" s="88"/>
      <c r="X524" s="88"/>
      <c r="Y524" s="88"/>
      <c r="Z524" s="88"/>
      <c r="AA524" s="88"/>
    </row>
    <row r="525">
      <c r="A525" s="88"/>
      <c r="B525" s="88"/>
      <c r="C525" s="88"/>
      <c r="D525" s="453"/>
      <c r="E525" s="88"/>
      <c r="F525" s="88"/>
      <c r="G525" s="88"/>
      <c r="H525" s="454"/>
      <c r="I525" s="455"/>
      <c r="J525" s="88"/>
      <c r="K525" s="88"/>
      <c r="L525" s="456"/>
      <c r="M525" s="88"/>
      <c r="N525" s="88"/>
      <c r="O525" s="88"/>
      <c r="P525" s="88"/>
      <c r="Q525" s="88"/>
      <c r="R525" s="88"/>
      <c r="S525" s="88"/>
      <c r="T525" s="88"/>
      <c r="U525" s="88"/>
      <c r="V525" s="88"/>
      <c r="W525" s="88"/>
      <c r="X525" s="88"/>
      <c r="Y525" s="88"/>
      <c r="Z525" s="88"/>
      <c r="AA525" s="88"/>
    </row>
    <row r="526">
      <c r="A526" s="88"/>
      <c r="B526" s="88"/>
      <c r="C526" s="88"/>
      <c r="D526" s="453"/>
      <c r="E526" s="88"/>
      <c r="F526" s="88"/>
      <c r="G526" s="88"/>
      <c r="H526" s="454"/>
      <c r="I526" s="455"/>
      <c r="J526" s="88"/>
      <c r="K526" s="88"/>
      <c r="L526" s="456"/>
      <c r="M526" s="88"/>
      <c r="N526" s="88"/>
      <c r="O526" s="88"/>
      <c r="P526" s="88"/>
      <c r="Q526" s="88"/>
      <c r="R526" s="88"/>
      <c r="S526" s="88"/>
      <c r="T526" s="88"/>
      <c r="U526" s="88"/>
      <c r="V526" s="88"/>
      <c r="W526" s="88"/>
      <c r="X526" s="88"/>
      <c r="Y526" s="88"/>
      <c r="Z526" s="88"/>
      <c r="AA526" s="88"/>
    </row>
    <row r="527">
      <c r="A527" s="88"/>
      <c r="B527" s="88"/>
      <c r="C527" s="88"/>
      <c r="D527" s="453"/>
      <c r="E527" s="88"/>
      <c r="F527" s="88"/>
      <c r="G527" s="88"/>
      <c r="H527" s="454"/>
      <c r="I527" s="455"/>
      <c r="J527" s="88"/>
      <c r="K527" s="88"/>
      <c r="L527" s="456"/>
      <c r="M527" s="88"/>
      <c r="N527" s="88"/>
      <c r="O527" s="88"/>
      <c r="P527" s="88"/>
      <c r="Q527" s="88"/>
      <c r="R527" s="88"/>
      <c r="S527" s="88"/>
      <c r="T527" s="88"/>
      <c r="U527" s="88"/>
      <c r="V527" s="88"/>
      <c r="W527" s="88"/>
      <c r="X527" s="88"/>
      <c r="Y527" s="88"/>
      <c r="Z527" s="88"/>
      <c r="AA527" s="88"/>
    </row>
    <row r="528">
      <c r="A528" s="88"/>
      <c r="B528" s="88"/>
      <c r="C528" s="88"/>
      <c r="D528" s="453"/>
      <c r="E528" s="88"/>
      <c r="F528" s="88"/>
      <c r="G528" s="88"/>
      <c r="H528" s="454"/>
      <c r="I528" s="455"/>
      <c r="J528" s="88"/>
      <c r="K528" s="88"/>
      <c r="L528" s="456"/>
      <c r="M528" s="88"/>
      <c r="N528" s="88"/>
      <c r="O528" s="88"/>
      <c r="P528" s="88"/>
      <c r="Q528" s="88"/>
      <c r="R528" s="88"/>
      <c r="S528" s="88"/>
      <c r="T528" s="88"/>
      <c r="U528" s="88"/>
      <c r="V528" s="88"/>
      <c r="W528" s="88"/>
      <c r="X528" s="88"/>
      <c r="Y528" s="88"/>
      <c r="Z528" s="88"/>
      <c r="AA528" s="88"/>
    </row>
    <row r="529">
      <c r="A529" s="88"/>
      <c r="B529" s="88"/>
      <c r="C529" s="88"/>
      <c r="D529" s="453"/>
      <c r="E529" s="88"/>
      <c r="F529" s="88"/>
      <c r="G529" s="88"/>
      <c r="H529" s="454"/>
      <c r="I529" s="455"/>
      <c r="J529" s="88"/>
      <c r="K529" s="88"/>
      <c r="L529" s="456"/>
      <c r="M529" s="88"/>
      <c r="N529" s="88"/>
      <c r="O529" s="88"/>
      <c r="P529" s="88"/>
      <c r="Q529" s="88"/>
      <c r="R529" s="88"/>
      <c r="S529" s="88"/>
      <c r="T529" s="88"/>
      <c r="U529" s="88"/>
      <c r="V529" s="88"/>
      <c r="W529" s="88"/>
      <c r="X529" s="88"/>
      <c r="Y529" s="88"/>
      <c r="Z529" s="88"/>
      <c r="AA529" s="88"/>
    </row>
    <row r="530">
      <c r="A530" s="88"/>
      <c r="B530" s="88"/>
      <c r="C530" s="88"/>
      <c r="D530" s="453"/>
      <c r="E530" s="88"/>
      <c r="F530" s="88"/>
      <c r="G530" s="88"/>
      <c r="H530" s="454"/>
      <c r="I530" s="455"/>
      <c r="J530" s="88"/>
      <c r="K530" s="88"/>
      <c r="L530" s="456"/>
      <c r="M530" s="88"/>
      <c r="N530" s="88"/>
      <c r="O530" s="88"/>
      <c r="P530" s="88"/>
      <c r="Q530" s="88"/>
      <c r="R530" s="88"/>
      <c r="S530" s="88"/>
      <c r="T530" s="88"/>
      <c r="U530" s="88"/>
      <c r="V530" s="88"/>
      <c r="W530" s="88"/>
      <c r="X530" s="88"/>
      <c r="Y530" s="88"/>
      <c r="Z530" s="88"/>
      <c r="AA530" s="88"/>
    </row>
    <row r="531">
      <c r="A531" s="88"/>
      <c r="B531" s="88"/>
      <c r="C531" s="88"/>
      <c r="D531" s="453"/>
      <c r="E531" s="88"/>
      <c r="F531" s="88"/>
      <c r="G531" s="88"/>
      <c r="H531" s="454"/>
      <c r="I531" s="455"/>
      <c r="J531" s="88"/>
      <c r="K531" s="88"/>
      <c r="L531" s="456"/>
      <c r="M531" s="88"/>
      <c r="N531" s="88"/>
      <c r="O531" s="88"/>
      <c r="P531" s="88"/>
      <c r="Q531" s="88"/>
      <c r="R531" s="88"/>
      <c r="S531" s="88"/>
      <c r="T531" s="88"/>
      <c r="U531" s="88"/>
      <c r="V531" s="88"/>
      <c r="W531" s="88"/>
      <c r="X531" s="88"/>
      <c r="Y531" s="88"/>
      <c r="Z531" s="88"/>
      <c r="AA531" s="88"/>
    </row>
    <row r="532">
      <c r="A532" s="88"/>
      <c r="B532" s="88"/>
      <c r="C532" s="88"/>
      <c r="D532" s="453"/>
      <c r="E532" s="88"/>
      <c r="F532" s="88"/>
      <c r="G532" s="88"/>
      <c r="H532" s="454"/>
      <c r="I532" s="455"/>
      <c r="J532" s="88"/>
      <c r="K532" s="88"/>
      <c r="L532" s="456"/>
      <c r="M532" s="88"/>
      <c r="N532" s="88"/>
      <c r="O532" s="88"/>
      <c r="P532" s="88"/>
      <c r="Q532" s="88"/>
      <c r="R532" s="88"/>
      <c r="S532" s="88"/>
      <c r="T532" s="88"/>
      <c r="U532" s="88"/>
      <c r="V532" s="88"/>
      <c r="W532" s="88"/>
      <c r="X532" s="88"/>
      <c r="Y532" s="88"/>
      <c r="Z532" s="88"/>
      <c r="AA532" s="88"/>
    </row>
    <row r="533">
      <c r="A533" s="88"/>
      <c r="B533" s="88"/>
      <c r="C533" s="88"/>
      <c r="D533" s="453"/>
      <c r="E533" s="88"/>
      <c r="F533" s="88"/>
      <c r="G533" s="88"/>
      <c r="H533" s="454"/>
      <c r="I533" s="455"/>
      <c r="J533" s="88"/>
      <c r="K533" s="88"/>
      <c r="L533" s="456"/>
      <c r="M533" s="88"/>
      <c r="N533" s="88"/>
      <c r="O533" s="88"/>
      <c r="P533" s="88"/>
      <c r="Q533" s="88"/>
      <c r="R533" s="88"/>
      <c r="S533" s="88"/>
      <c r="T533" s="88"/>
      <c r="U533" s="88"/>
      <c r="V533" s="88"/>
      <c r="W533" s="88"/>
      <c r="X533" s="88"/>
      <c r="Y533" s="88"/>
      <c r="Z533" s="88"/>
      <c r="AA533" s="88"/>
    </row>
    <row r="534">
      <c r="A534" s="88"/>
      <c r="B534" s="88"/>
      <c r="C534" s="88"/>
      <c r="D534" s="453"/>
      <c r="E534" s="88"/>
      <c r="F534" s="88"/>
      <c r="G534" s="88"/>
      <c r="H534" s="454"/>
      <c r="I534" s="455"/>
      <c r="J534" s="88"/>
      <c r="K534" s="88"/>
      <c r="L534" s="456"/>
      <c r="M534" s="88"/>
      <c r="N534" s="88"/>
      <c r="O534" s="88"/>
      <c r="P534" s="88"/>
      <c r="Q534" s="88"/>
      <c r="R534" s="88"/>
      <c r="S534" s="88"/>
      <c r="T534" s="88"/>
      <c r="U534" s="88"/>
      <c r="V534" s="88"/>
      <c r="W534" s="88"/>
      <c r="X534" s="88"/>
      <c r="Y534" s="88"/>
      <c r="Z534" s="88"/>
      <c r="AA534" s="88"/>
    </row>
    <row r="535">
      <c r="A535" s="88"/>
      <c r="B535" s="88"/>
      <c r="C535" s="88"/>
      <c r="D535" s="453"/>
      <c r="E535" s="88"/>
      <c r="F535" s="88"/>
      <c r="G535" s="88"/>
      <c r="H535" s="454"/>
      <c r="I535" s="455"/>
      <c r="J535" s="88"/>
      <c r="K535" s="88"/>
      <c r="L535" s="456"/>
      <c r="M535" s="88"/>
      <c r="N535" s="88"/>
      <c r="O535" s="88"/>
      <c r="P535" s="88"/>
      <c r="Q535" s="88"/>
      <c r="R535" s="88"/>
      <c r="S535" s="88"/>
      <c r="T535" s="88"/>
      <c r="U535" s="88"/>
      <c r="V535" s="88"/>
      <c r="W535" s="88"/>
      <c r="X535" s="88"/>
      <c r="Y535" s="88"/>
      <c r="Z535" s="88"/>
      <c r="AA535" s="88"/>
    </row>
    <row r="536">
      <c r="A536" s="88"/>
      <c r="B536" s="88"/>
      <c r="C536" s="88"/>
      <c r="D536" s="453"/>
      <c r="E536" s="88"/>
      <c r="F536" s="88"/>
      <c r="G536" s="88"/>
      <c r="H536" s="454"/>
      <c r="I536" s="455"/>
      <c r="J536" s="88"/>
      <c r="K536" s="88"/>
      <c r="L536" s="456"/>
      <c r="M536" s="88"/>
      <c r="N536" s="88"/>
      <c r="O536" s="88"/>
      <c r="P536" s="88"/>
      <c r="Q536" s="88"/>
      <c r="R536" s="88"/>
      <c r="S536" s="88"/>
      <c r="T536" s="88"/>
      <c r="U536" s="88"/>
      <c r="V536" s="88"/>
      <c r="W536" s="88"/>
      <c r="X536" s="88"/>
      <c r="Y536" s="88"/>
      <c r="Z536" s="88"/>
      <c r="AA536" s="88"/>
    </row>
    <row r="537">
      <c r="A537" s="88"/>
      <c r="B537" s="88"/>
      <c r="C537" s="88"/>
      <c r="D537" s="453"/>
      <c r="E537" s="88"/>
      <c r="F537" s="88"/>
      <c r="G537" s="88"/>
      <c r="H537" s="454"/>
      <c r="I537" s="455"/>
      <c r="J537" s="88"/>
      <c r="K537" s="88"/>
      <c r="L537" s="456"/>
      <c r="M537" s="88"/>
      <c r="N537" s="88"/>
      <c r="O537" s="88"/>
      <c r="P537" s="88"/>
      <c r="Q537" s="88"/>
      <c r="R537" s="88"/>
      <c r="S537" s="88"/>
      <c r="T537" s="88"/>
      <c r="U537" s="88"/>
      <c r="V537" s="88"/>
      <c r="W537" s="88"/>
      <c r="X537" s="88"/>
      <c r="Y537" s="88"/>
      <c r="Z537" s="88"/>
      <c r="AA537" s="88"/>
    </row>
    <row r="538">
      <c r="A538" s="88"/>
      <c r="B538" s="88"/>
      <c r="C538" s="88"/>
      <c r="D538" s="453"/>
      <c r="E538" s="88"/>
      <c r="F538" s="88"/>
      <c r="G538" s="88"/>
      <c r="H538" s="454"/>
      <c r="I538" s="455"/>
      <c r="J538" s="88"/>
      <c r="K538" s="88"/>
      <c r="L538" s="456"/>
      <c r="M538" s="88"/>
      <c r="N538" s="88"/>
      <c r="O538" s="88"/>
      <c r="P538" s="88"/>
      <c r="Q538" s="88"/>
      <c r="R538" s="88"/>
      <c r="S538" s="88"/>
      <c r="T538" s="88"/>
      <c r="U538" s="88"/>
      <c r="V538" s="88"/>
      <c r="W538" s="88"/>
      <c r="X538" s="88"/>
      <c r="Y538" s="88"/>
      <c r="Z538" s="88"/>
      <c r="AA538" s="88"/>
    </row>
    <row r="539">
      <c r="A539" s="88"/>
      <c r="B539" s="88"/>
      <c r="C539" s="88"/>
      <c r="D539" s="453"/>
      <c r="E539" s="88"/>
      <c r="F539" s="88"/>
      <c r="G539" s="88"/>
      <c r="H539" s="454"/>
      <c r="I539" s="455"/>
      <c r="J539" s="88"/>
      <c r="K539" s="88"/>
      <c r="L539" s="456"/>
      <c r="M539" s="88"/>
      <c r="N539" s="88"/>
      <c r="O539" s="88"/>
      <c r="P539" s="88"/>
      <c r="Q539" s="88"/>
      <c r="R539" s="88"/>
      <c r="S539" s="88"/>
      <c r="T539" s="88"/>
      <c r="U539" s="88"/>
      <c r="V539" s="88"/>
      <c r="W539" s="88"/>
      <c r="X539" s="88"/>
      <c r="Y539" s="88"/>
      <c r="Z539" s="88"/>
      <c r="AA539" s="88"/>
    </row>
    <row r="540">
      <c r="A540" s="88"/>
      <c r="B540" s="88"/>
      <c r="C540" s="88"/>
      <c r="D540" s="453"/>
      <c r="E540" s="88"/>
      <c r="F540" s="88"/>
      <c r="G540" s="88"/>
      <c r="H540" s="454"/>
      <c r="I540" s="455"/>
      <c r="J540" s="88"/>
      <c r="K540" s="88"/>
      <c r="L540" s="456"/>
      <c r="M540" s="88"/>
      <c r="N540" s="88"/>
      <c r="O540" s="88"/>
      <c r="P540" s="88"/>
      <c r="Q540" s="88"/>
      <c r="R540" s="88"/>
      <c r="S540" s="88"/>
      <c r="T540" s="88"/>
      <c r="U540" s="88"/>
      <c r="V540" s="88"/>
      <c r="W540" s="88"/>
      <c r="X540" s="88"/>
      <c r="Y540" s="88"/>
      <c r="Z540" s="88"/>
      <c r="AA540" s="88"/>
    </row>
    <row r="541">
      <c r="A541" s="88"/>
      <c r="B541" s="88"/>
      <c r="C541" s="88"/>
      <c r="D541" s="453"/>
      <c r="E541" s="88"/>
      <c r="F541" s="88"/>
      <c r="G541" s="88"/>
      <c r="H541" s="454"/>
      <c r="I541" s="455"/>
      <c r="J541" s="88"/>
      <c r="K541" s="88"/>
      <c r="L541" s="456"/>
      <c r="M541" s="88"/>
      <c r="N541" s="88"/>
      <c r="O541" s="88"/>
      <c r="P541" s="88"/>
      <c r="Q541" s="88"/>
      <c r="R541" s="88"/>
      <c r="S541" s="88"/>
      <c r="T541" s="88"/>
      <c r="U541" s="88"/>
      <c r="V541" s="88"/>
      <c r="W541" s="88"/>
      <c r="X541" s="88"/>
      <c r="Y541" s="88"/>
      <c r="Z541" s="88"/>
      <c r="AA541" s="88"/>
    </row>
    <row r="542">
      <c r="A542" s="88"/>
      <c r="B542" s="88"/>
      <c r="C542" s="88"/>
      <c r="D542" s="453"/>
      <c r="E542" s="88"/>
      <c r="F542" s="88"/>
      <c r="G542" s="88"/>
      <c r="H542" s="454"/>
      <c r="I542" s="455"/>
      <c r="J542" s="88"/>
      <c r="K542" s="88"/>
      <c r="L542" s="456"/>
      <c r="M542" s="88"/>
      <c r="N542" s="88"/>
      <c r="O542" s="88"/>
      <c r="P542" s="88"/>
      <c r="Q542" s="88"/>
      <c r="R542" s="88"/>
      <c r="S542" s="88"/>
      <c r="T542" s="88"/>
      <c r="U542" s="88"/>
      <c r="V542" s="88"/>
      <c r="W542" s="88"/>
      <c r="X542" s="88"/>
      <c r="Y542" s="88"/>
      <c r="Z542" s="88"/>
      <c r="AA542" s="88"/>
    </row>
    <row r="543">
      <c r="A543" s="88"/>
      <c r="B543" s="88"/>
      <c r="C543" s="88"/>
      <c r="D543" s="453"/>
      <c r="E543" s="88"/>
      <c r="F543" s="88"/>
      <c r="G543" s="88"/>
      <c r="H543" s="454"/>
      <c r="I543" s="455"/>
      <c r="J543" s="88"/>
      <c r="K543" s="88"/>
      <c r="L543" s="456"/>
      <c r="M543" s="88"/>
      <c r="N543" s="88"/>
      <c r="O543" s="88"/>
      <c r="P543" s="88"/>
      <c r="Q543" s="88"/>
      <c r="R543" s="88"/>
      <c r="S543" s="88"/>
      <c r="T543" s="88"/>
      <c r="U543" s="88"/>
      <c r="V543" s="88"/>
      <c r="W543" s="88"/>
      <c r="X543" s="88"/>
      <c r="Y543" s="88"/>
      <c r="Z543" s="88"/>
      <c r="AA543" s="88"/>
    </row>
    <row r="544">
      <c r="A544" s="88"/>
      <c r="B544" s="88"/>
      <c r="C544" s="88"/>
      <c r="D544" s="453"/>
      <c r="E544" s="88"/>
      <c r="F544" s="88"/>
      <c r="G544" s="88"/>
      <c r="H544" s="454"/>
      <c r="I544" s="455"/>
      <c r="J544" s="88"/>
      <c r="K544" s="88"/>
      <c r="L544" s="456"/>
      <c r="M544" s="88"/>
      <c r="N544" s="88"/>
      <c r="O544" s="88"/>
      <c r="P544" s="88"/>
      <c r="Q544" s="88"/>
      <c r="R544" s="88"/>
      <c r="S544" s="88"/>
      <c r="T544" s="88"/>
      <c r="U544" s="88"/>
      <c r="V544" s="88"/>
      <c r="W544" s="88"/>
      <c r="X544" s="88"/>
      <c r="Y544" s="88"/>
      <c r="Z544" s="88"/>
      <c r="AA544" s="88"/>
    </row>
    <row r="545">
      <c r="A545" s="88"/>
      <c r="B545" s="88"/>
      <c r="C545" s="88"/>
      <c r="D545" s="453"/>
      <c r="E545" s="88"/>
      <c r="F545" s="88"/>
      <c r="G545" s="88"/>
      <c r="H545" s="454"/>
      <c r="I545" s="455"/>
      <c r="J545" s="88"/>
      <c r="K545" s="88"/>
      <c r="L545" s="456"/>
      <c r="M545" s="88"/>
      <c r="N545" s="88"/>
      <c r="O545" s="88"/>
      <c r="P545" s="88"/>
      <c r="Q545" s="88"/>
      <c r="R545" s="88"/>
      <c r="S545" s="88"/>
      <c r="T545" s="88"/>
      <c r="U545" s="88"/>
      <c r="V545" s="88"/>
      <c r="W545" s="88"/>
      <c r="X545" s="88"/>
      <c r="Y545" s="88"/>
      <c r="Z545" s="88"/>
      <c r="AA545" s="88"/>
    </row>
    <row r="546">
      <c r="A546" s="88"/>
      <c r="B546" s="88"/>
      <c r="C546" s="88"/>
      <c r="D546" s="453"/>
      <c r="E546" s="88"/>
      <c r="F546" s="88"/>
      <c r="G546" s="88"/>
      <c r="H546" s="454"/>
      <c r="I546" s="455"/>
      <c r="J546" s="88"/>
      <c r="K546" s="88"/>
      <c r="L546" s="456"/>
      <c r="M546" s="88"/>
      <c r="N546" s="88"/>
      <c r="O546" s="88"/>
      <c r="P546" s="88"/>
      <c r="Q546" s="88"/>
      <c r="R546" s="88"/>
      <c r="S546" s="88"/>
      <c r="T546" s="88"/>
      <c r="U546" s="88"/>
      <c r="V546" s="88"/>
      <c r="W546" s="88"/>
      <c r="X546" s="88"/>
      <c r="Y546" s="88"/>
      <c r="Z546" s="88"/>
      <c r="AA546" s="88"/>
    </row>
    <row r="547">
      <c r="A547" s="88"/>
      <c r="B547" s="88"/>
      <c r="C547" s="88"/>
      <c r="D547" s="453"/>
      <c r="E547" s="88"/>
      <c r="F547" s="88"/>
      <c r="G547" s="88"/>
      <c r="H547" s="454"/>
      <c r="I547" s="455"/>
      <c r="J547" s="88"/>
      <c r="K547" s="88"/>
      <c r="L547" s="456"/>
      <c r="M547" s="88"/>
      <c r="N547" s="88"/>
      <c r="O547" s="88"/>
      <c r="P547" s="88"/>
      <c r="Q547" s="88"/>
      <c r="R547" s="88"/>
      <c r="S547" s="88"/>
      <c r="T547" s="88"/>
      <c r="U547" s="88"/>
      <c r="V547" s="88"/>
      <c r="W547" s="88"/>
      <c r="X547" s="88"/>
      <c r="Y547" s="88"/>
      <c r="Z547" s="88"/>
      <c r="AA547" s="88"/>
    </row>
    <row r="548">
      <c r="A548" s="88"/>
      <c r="B548" s="88"/>
      <c r="C548" s="88"/>
      <c r="D548" s="453"/>
      <c r="E548" s="88"/>
      <c r="F548" s="88"/>
      <c r="G548" s="88"/>
      <c r="H548" s="454"/>
      <c r="I548" s="455"/>
      <c r="J548" s="88"/>
      <c r="K548" s="88"/>
      <c r="L548" s="456"/>
      <c r="M548" s="88"/>
      <c r="N548" s="88"/>
      <c r="O548" s="88"/>
      <c r="P548" s="88"/>
      <c r="Q548" s="88"/>
      <c r="R548" s="88"/>
      <c r="S548" s="88"/>
      <c r="T548" s="88"/>
      <c r="U548" s="88"/>
      <c r="V548" s="88"/>
      <c r="W548" s="88"/>
      <c r="X548" s="88"/>
      <c r="Y548" s="88"/>
      <c r="Z548" s="88"/>
      <c r="AA548" s="88"/>
    </row>
    <row r="549">
      <c r="A549" s="88"/>
      <c r="B549" s="88"/>
      <c r="C549" s="88"/>
      <c r="D549" s="453"/>
      <c r="E549" s="88"/>
      <c r="F549" s="88"/>
      <c r="G549" s="88"/>
      <c r="H549" s="454"/>
      <c r="I549" s="455"/>
      <c r="J549" s="88"/>
      <c r="K549" s="88"/>
      <c r="L549" s="456"/>
      <c r="M549" s="88"/>
      <c r="N549" s="88"/>
      <c r="O549" s="88"/>
      <c r="P549" s="88"/>
      <c r="Q549" s="88"/>
      <c r="R549" s="88"/>
      <c r="S549" s="88"/>
      <c r="T549" s="88"/>
      <c r="U549" s="88"/>
      <c r="V549" s="88"/>
      <c r="W549" s="88"/>
      <c r="X549" s="88"/>
      <c r="Y549" s="88"/>
      <c r="Z549" s="88"/>
      <c r="AA549" s="88"/>
    </row>
    <row r="550">
      <c r="A550" s="88"/>
      <c r="B550" s="88"/>
      <c r="C550" s="88"/>
      <c r="D550" s="453"/>
      <c r="E550" s="88"/>
      <c r="F550" s="88"/>
      <c r="G550" s="88"/>
      <c r="H550" s="454"/>
      <c r="I550" s="455"/>
      <c r="J550" s="88"/>
      <c r="K550" s="88"/>
      <c r="L550" s="456"/>
      <c r="M550" s="88"/>
      <c r="N550" s="88"/>
      <c r="O550" s="88"/>
      <c r="P550" s="88"/>
      <c r="Q550" s="88"/>
      <c r="R550" s="88"/>
      <c r="S550" s="88"/>
      <c r="T550" s="88"/>
      <c r="U550" s="88"/>
      <c r="V550" s="88"/>
      <c r="W550" s="88"/>
      <c r="X550" s="88"/>
      <c r="Y550" s="88"/>
      <c r="Z550" s="88"/>
      <c r="AA550" s="88"/>
    </row>
    <row r="551">
      <c r="A551" s="88"/>
      <c r="B551" s="88"/>
      <c r="C551" s="88"/>
      <c r="D551" s="453"/>
      <c r="E551" s="88"/>
      <c r="F551" s="88"/>
      <c r="G551" s="88"/>
      <c r="H551" s="454"/>
      <c r="I551" s="455"/>
      <c r="J551" s="88"/>
      <c r="K551" s="88"/>
      <c r="L551" s="456"/>
      <c r="M551" s="88"/>
      <c r="N551" s="88"/>
      <c r="O551" s="88"/>
      <c r="P551" s="88"/>
      <c r="Q551" s="88"/>
      <c r="R551" s="88"/>
      <c r="S551" s="88"/>
      <c r="T551" s="88"/>
      <c r="U551" s="88"/>
      <c r="V551" s="88"/>
      <c r="W551" s="88"/>
      <c r="X551" s="88"/>
      <c r="Y551" s="88"/>
      <c r="Z551" s="88"/>
      <c r="AA551" s="88"/>
    </row>
    <row r="552">
      <c r="A552" s="88"/>
      <c r="B552" s="88"/>
      <c r="C552" s="88"/>
      <c r="D552" s="453"/>
      <c r="E552" s="88"/>
      <c r="F552" s="88"/>
      <c r="G552" s="88"/>
      <c r="H552" s="454"/>
      <c r="I552" s="455"/>
      <c r="J552" s="88"/>
      <c r="K552" s="88"/>
      <c r="L552" s="456"/>
      <c r="M552" s="88"/>
      <c r="N552" s="88"/>
      <c r="O552" s="88"/>
      <c r="P552" s="88"/>
      <c r="Q552" s="88"/>
      <c r="R552" s="88"/>
      <c r="S552" s="88"/>
      <c r="T552" s="88"/>
      <c r="U552" s="88"/>
      <c r="V552" s="88"/>
      <c r="W552" s="88"/>
      <c r="X552" s="88"/>
      <c r="Y552" s="88"/>
      <c r="Z552" s="88"/>
      <c r="AA552" s="88"/>
    </row>
    <row r="553">
      <c r="A553" s="88"/>
      <c r="B553" s="88"/>
      <c r="C553" s="88"/>
      <c r="D553" s="453"/>
      <c r="E553" s="88"/>
      <c r="F553" s="88"/>
      <c r="G553" s="88"/>
      <c r="H553" s="454"/>
      <c r="I553" s="455"/>
      <c r="J553" s="88"/>
      <c r="K553" s="88"/>
      <c r="L553" s="456"/>
      <c r="M553" s="88"/>
      <c r="N553" s="88"/>
      <c r="O553" s="88"/>
      <c r="P553" s="88"/>
      <c r="Q553" s="88"/>
      <c r="R553" s="88"/>
      <c r="S553" s="88"/>
      <c r="T553" s="88"/>
      <c r="U553" s="88"/>
      <c r="V553" s="88"/>
      <c r="W553" s="88"/>
      <c r="X553" s="88"/>
      <c r="Y553" s="88"/>
      <c r="Z553" s="88"/>
      <c r="AA553" s="88"/>
    </row>
    <row r="554">
      <c r="A554" s="88"/>
      <c r="B554" s="88"/>
      <c r="C554" s="88"/>
      <c r="D554" s="453"/>
      <c r="E554" s="88"/>
      <c r="F554" s="88"/>
      <c r="G554" s="88"/>
      <c r="H554" s="454"/>
      <c r="I554" s="455"/>
      <c r="J554" s="88"/>
      <c r="K554" s="88"/>
      <c r="L554" s="456"/>
      <c r="M554" s="88"/>
      <c r="N554" s="88"/>
      <c r="O554" s="88"/>
      <c r="P554" s="88"/>
      <c r="Q554" s="88"/>
      <c r="R554" s="88"/>
      <c r="S554" s="88"/>
      <c r="T554" s="88"/>
      <c r="U554" s="88"/>
      <c r="V554" s="88"/>
      <c r="W554" s="88"/>
      <c r="X554" s="88"/>
      <c r="Y554" s="88"/>
      <c r="Z554" s="88"/>
      <c r="AA554" s="88"/>
    </row>
    <row r="555">
      <c r="A555" s="88"/>
      <c r="B555" s="88"/>
      <c r="C555" s="88"/>
      <c r="D555" s="453"/>
      <c r="E555" s="88"/>
      <c r="F555" s="88"/>
      <c r="G555" s="88"/>
      <c r="H555" s="454"/>
      <c r="I555" s="455"/>
      <c r="J555" s="88"/>
      <c r="K555" s="88"/>
      <c r="L555" s="456"/>
      <c r="M555" s="88"/>
      <c r="N555" s="88"/>
      <c r="O555" s="88"/>
      <c r="P555" s="88"/>
      <c r="Q555" s="88"/>
      <c r="R555" s="88"/>
      <c r="S555" s="88"/>
      <c r="T555" s="88"/>
      <c r="U555" s="88"/>
      <c r="V555" s="88"/>
      <c r="W555" s="88"/>
      <c r="X555" s="88"/>
      <c r="Y555" s="88"/>
      <c r="Z555" s="88"/>
      <c r="AA555" s="88"/>
    </row>
    <row r="556">
      <c r="A556" s="88"/>
      <c r="B556" s="88"/>
      <c r="C556" s="88"/>
      <c r="D556" s="453"/>
      <c r="E556" s="88"/>
      <c r="F556" s="88"/>
      <c r="G556" s="88"/>
      <c r="H556" s="454"/>
      <c r="I556" s="455"/>
      <c r="J556" s="88"/>
      <c r="K556" s="88"/>
      <c r="L556" s="456"/>
      <c r="M556" s="88"/>
      <c r="N556" s="88"/>
      <c r="O556" s="88"/>
      <c r="P556" s="88"/>
      <c r="Q556" s="88"/>
      <c r="R556" s="88"/>
      <c r="S556" s="88"/>
      <c r="T556" s="88"/>
      <c r="U556" s="88"/>
      <c r="V556" s="88"/>
      <c r="W556" s="88"/>
      <c r="X556" s="88"/>
      <c r="Y556" s="88"/>
      <c r="Z556" s="88"/>
      <c r="AA556" s="88"/>
    </row>
    <row r="557">
      <c r="A557" s="88"/>
      <c r="B557" s="88"/>
      <c r="C557" s="88"/>
      <c r="D557" s="453"/>
      <c r="E557" s="88"/>
      <c r="F557" s="88"/>
      <c r="G557" s="88"/>
      <c r="H557" s="454"/>
      <c r="I557" s="455"/>
      <c r="J557" s="88"/>
      <c r="K557" s="88"/>
      <c r="L557" s="456"/>
      <c r="M557" s="88"/>
      <c r="N557" s="88"/>
      <c r="O557" s="88"/>
      <c r="P557" s="88"/>
      <c r="Q557" s="88"/>
      <c r="R557" s="88"/>
      <c r="S557" s="88"/>
      <c r="T557" s="88"/>
      <c r="U557" s="88"/>
      <c r="V557" s="88"/>
      <c r="W557" s="88"/>
      <c r="X557" s="88"/>
      <c r="Y557" s="88"/>
      <c r="Z557" s="88"/>
      <c r="AA557" s="88"/>
    </row>
    <row r="558">
      <c r="A558" s="88"/>
      <c r="B558" s="88"/>
      <c r="C558" s="88"/>
      <c r="D558" s="453"/>
      <c r="E558" s="88"/>
      <c r="F558" s="88"/>
      <c r="G558" s="88"/>
      <c r="H558" s="454"/>
      <c r="I558" s="455"/>
      <c r="J558" s="88"/>
      <c r="K558" s="88"/>
      <c r="L558" s="456"/>
      <c r="M558" s="88"/>
      <c r="N558" s="88"/>
      <c r="O558" s="88"/>
      <c r="P558" s="88"/>
      <c r="Q558" s="88"/>
      <c r="R558" s="88"/>
      <c r="S558" s="88"/>
      <c r="T558" s="88"/>
      <c r="U558" s="88"/>
      <c r="V558" s="88"/>
      <c r="W558" s="88"/>
      <c r="X558" s="88"/>
      <c r="Y558" s="88"/>
      <c r="Z558" s="88"/>
      <c r="AA558" s="88"/>
    </row>
    <row r="559">
      <c r="A559" s="88"/>
      <c r="B559" s="88"/>
      <c r="C559" s="88"/>
      <c r="D559" s="453"/>
      <c r="E559" s="88"/>
      <c r="F559" s="88"/>
      <c r="G559" s="88"/>
      <c r="H559" s="454"/>
      <c r="I559" s="455"/>
      <c r="J559" s="88"/>
      <c r="K559" s="88"/>
      <c r="L559" s="456"/>
      <c r="M559" s="88"/>
      <c r="N559" s="88"/>
      <c r="O559" s="88"/>
      <c r="P559" s="88"/>
      <c r="Q559" s="88"/>
      <c r="R559" s="88"/>
      <c r="S559" s="88"/>
      <c r="T559" s="88"/>
      <c r="U559" s="88"/>
      <c r="V559" s="88"/>
      <c r="W559" s="88"/>
      <c r="X559" s="88"/>
      <c r="Y559" s="88"/>
      <c r="Z559" s="88"/>
      <c r="AA559" s="88"/>
    </row>
    <row r="560">
      <c r="A560" s="88"/>
      <c r="B560" s="88"/>
      <c r="C560" s="88"/>
      <c r="D560" s="453"/>
      <c r="E560" s="88"/>
      <c r="F560" s="88"/>
      <c r="G560" s="88"/>
      <c r="H560" s="454"/>
      <c r="I560" s="455"/>
      <c r="J560" s="88"/>
      <c r="K560" s="88"/>
      <c r="L560" s="456"/>
      <c r="M560" s="88"/>
      <c r="N560" s="88"/>
      <c r="O560" s="88"/>
      <c r="P560" s="88"/>
      <c r="Q560" s="88"/>
      <c r="R560" s="88"/>
      <c r="S560" s="88"/>
      <c r="T560" s="88"/>
      <c r="U560" s="88"/>
      <c r="V560" s="88"/>
      <c r="W560" s="88"/>
      <c r="X560" s="88"/>
      <c r="Y560" s="88"/>
      <c r="Z560" s="88"/>
      <c r="AA560" s="88"/>
    </row>
    <row r="561">
      <c r="A561" s="88"/>
      <c r="B561" s="88"/>
      <c r="C561" s="88"/>
      <c r="D561" s="453"/>
      <c r="E561" s="88"/>
      <c r="F561" s="88"/>
      <c r="G561" s="88"/>
      <c r="H561" s="454"/>
      <c r="I561" s="455"/>
      <c r="J561" s="88"/>
      <c r="K561" s="88"/>
      <c r="L561" s="456"/>
      <c r="M561" s="88"/>
      <c r="N561" s="88"/>
      <c r="O561" s="88"/>
      <c r="P561" s="88"/>
      <c r="Q561" s="88"/>
      <c r="R561" s="88"/>
      <c r="S561" s="88"/>
      <c r="T561" s="88"/>
      <c r="U561" s="88"/>
      <c r="V561" s="88"/>
      <c r="W561" s="88"/>
      <c r="X561" s="88"/>
      <c r="Y561" s="88"/>
      <c r="Z561" s="88"/>
      <c r="AA561" s="88"/>
    </row>
    <row r="562">
      <c r="A562" s="88"/>
      <c r="B562" s="88"/>
      <c r="C562" s="88"/>
      <c r="D562" s="453"/>
      <c r="E562" s="88"/>
      <c r="F562" s="88"/>
      <c r="G562" s="88"/>
      <c r="H562" s="454"/>
      <c r="I562" s="455"/>
      <c r="J562" s="88"/>
      <c r="K562" s="88"/>
      <c r="L562" s="456"/>
      <c r="M562" s="88"/>
      <c r="N562" s="88"/>
      <c r="O562" s="88"/>
      <c r="P562" s="88"/>
      <c r="Q562" s="88"/>
      <c r="R562" s="88"/>
      <c r="S562" s="88"/>
      <c r="T562" s="88"/>
      <c r="U562" s="88"/>
      <c r="V562" s="88"/>
      <c r="W562" s="88"/>
      <c r="X562" s="88"/>
      <c r="Y562" s="88"/>
      <c r="Z562" s="88"/>
      <c r="AA562" s="88"/>
    </row>
    <row r="563">
      <c r="A563" s="88"/>
      <c r="B563" s="88"/>
      <c r="C563" s="88"/>
      <c r="D563" s="453"/>
      <c r="E563" s="88"/>
      <c r="F563" s="88"/>
      <c r="G563" s="88"/>
      <c r="H563" s="454"/>
      <c r="I563" s="455"/>
      <c r="J563" s="88"/>
      <c r="K563" s="88"/>
      <c r="L563" s="456"/>
      <c r="M563" s="88"/>
      <c r="N563" s="88"/>
      <c r="O563" s="88"/>
      <c r="P563" s="88"/>
      <c r="Q563" s="88"/>
      <c r="R563" s="88"/>
      <c r="S563" s="88"/>
      <c r="T563" s="88"/>
      <c r="U563" s="88"/>
      <c r="V563" s="88"/>
      <c r="W563" s="88"/>
      <c r="X563" s="88"/>
      <c r="Y563" s="88"/>
      <c r="Z563" s="88"/>
      <c r="AA563" s="88"/>
    </row>
    <row r="564">
      <c r="A564" s="88"/>
      <c r="B564" s="88"/>
      <c r="C564" s="88"/>
      <c r="D564" s="453"/>
      <c r="E564" s="88"/>
      <c r="F564" s="88"/>
      <c r="G564" s="88"/>
      <c r="H564" s="454"/>
      <c r="I564" s="455"/>
      <c r="J564" s="88"/>
      <c r="K564" s="88"/>
      <c r="L564" s="456"/>
      <c r="M564" s="88"/>
      <c r="N564" s="88"/>
      <c r="O564" s="88"/>
      <c r="P564" s="88"/>
      <c r="Q564" s="88"/>
      <c r="R564" s="88"/>
      <c r="S564" s="88"/>
      <c r="T564" s="88"/>
      <c r="U564" s="88"/>
      <c r="V564" s="88"/>
      <c r="W564" s="88"/>
      <c r="X564" s="88"/>
      <c r="Y564" s="88"/>
      <c r="Z564" s="88"/>
      <c r="AA564" s="88"/>
    </row>
    <row r="565">
      <c r="A565" s="88"/>
      <c r="B565" s="88"/>
      <c r="C565" s="88"/>
      <c r="D565" s="453"/>
      <c r="E565" s="88"/>
      <c r="F565" s="88"/>
      <c r="G565" s="88"/>
      <c r="H565" s="454"/>
      <c r="I565" s="455"/>
      <c r="J565" s="88"/>
      <c r="K565" s="88"/>
      <c r="L565" s="456"/>
      <c r="M565" s="88"/>
      <c r="N565" s="88"/>
      <c r="O565" s="88"/>
      <c r="P565" s="88"/>
      <c r="Q565" s="88"/>
      <c r="R565" s="88"/>
      <c r="S565" s="88"/>
      <c r="T565" s="88"/>
      <c r="U565" s="88"/>
      <c r="V565" s="88"/>
      <c r="W565" s="88"/>
      <c r="X565" s="88"/>
      <c r="Y565" s="88"/>
      <c r="Z565" s="88"/>
      <c r="AA565" s="88"/>
    </row>
    <row r="566">
      <c r="A566" s="88"/>
      <c r="B566" s="88"/>
      <c r="C566" s="88"/>
      <c r="D566" s="453"/>
      <c r="E566" s="88"/>
      <c r="F566" s="88"/>
      <c r="G566" s="88"/>
      <c r="H566" s="454"/>
      <c r="I566" s="455"/>
      <c r="J566" s="88"/>
      <c r="K566" s="88"/>
      <c r="L566" s="456"/>
      <c r="M566" s="88"/>
      <c r="N566" s="88"/>
      <c r="O566" s="88"/>
      <c r="P566" s="88"/>
      <c r="Q566" s="88"/>
      <c r="R566" s="88"/>
      <c r="S566" s="88"/>
      <c r="T566" s="88"/>
      <c r="U566" s="88"/>
      <c r="V566" s="88"/>
      <c r="W566" s="88"/>
      <c r="X566" s="88"/>
      <c r="Y566" s="88"/>
      <c r="Z566" s="88"/>
      <c r="AA566" s="88"/>
    </row>
    <row r="567">
      <c r="A567" s="88"/>
      <c r="B567" s="88"/>
      <c r="C567" s="88"/>
      <c r="D567" s="453"/>
      <c r="E567" s="88"/>
      <c r="F567" s="88"/>
      <c r="G567" s="88"/>
      <c r="H567" s="454"/>
      <c r="I567" s="455"/>
      <c r="J567" s="88"/>
      <c r="K567" s="88"/>
      <c r="L567" s="456"/>
      <c r="M567" s="88"/>
      <c r="N567" s="88"/>
      <c r="O567" s="88"/>
      <c r="P567" s="88"/>
      <c r="Q567" s="88"/>
      <c r="R567" s="88"/>
      <c r="S567" s="88"/>
      <c r="T567" s="88"/>
      <c r="U567" s="88"/>
      <c r="V567" s="88"/>
      <c r="W567" s="88"/>
      <c r="X567" s="88"/>
      <c r="Y567" s="88"/>
      <c r="Z567" s="88"/>
      <c r="AA567" s="88"/>
    </row>
    <row r="568">
      <c r="A568" s="88"/>
      <c r="B568" s="88"/>
      <c r="C568" s="88"/>
      <c r="D568" s="453"/>
      <c r="E568" s="88"/>
      <c r="F568" s="88"/>
      <c r="G568" s="88"/>
      <c r="H568" s="454"/>
      <c r="I568" s="455"/>
      <c r="J568" s="88"/>
      <c r="K568" s="88"/>
      <c r="L568" s="456"/>
      <c r="M568" s="88"/>
      <c r="N568" s="88"/>
      <c r="O568" s="88"/>
      <c r="P568" s="88"/>
      <c r="Q568" s="88"/>
      <c r="R568" s="88"/>
      <c r="S568" s="88"/>
      <c r="T568" s="88"/>
      <c r="U568" s="88"/>
      <c r="V568" s="88"/>
      <c r="W568" s="88"/>
      <c r="X568" s="88"/>
      <c r="Y568" s="88"/>
      <c r="Z568" s="88"/>
      <c r="AA568" s="88"/>
    </row>
    <row r="569">
      <c r="A569" s="88"/>
      <c r="B569" s="88"/>
      <c r="C569" s="88"/>
      <c r="D569" s="453"/>
      <c r="E569" s="88"/>
      <c r="F569" s="88"/>
      <c r="G569" s="88"/>
      <c r="H569" s="454"/>
      <c r="I569" s="455"/>
      <c r="J569" s="88"/>
      <c r="K569" s="88"/>
      <c r="L569" s="456"/>
      <c r="M569" s="88"/>
      <c r="N569" s="88"/>
      <c r="O569" s="88"/>
      <c r="P569" s="88"/>
      <c r="Q569" s="88"/>
      <c r="R569" s="88"/>
      <c r="S569" s="88"/>
      <c r="T569" s="88"/>
      <c r="U569" s="88"/>
      <c r="V569" s="88"/>
      <c r="W569" s="88"/>
      <c r="X569" s="88"/>
      <c r="Y569" s="88"/>
      <c r="Z569" s="88"/>
      <c r="AA569" s="88"/>
    </row>
    <row r="570">
      <c r="A570" s="88"/>
      <c r="B570" s="88"/>
      <c r="C570" s="88"/>
      <c r="D570" s="453"/>
      <c r="E570" s="88"/>
      <c r="F570" s="88"/>
      <c r="G570" s="88"/>
      <c r="H570" s="454"/>
      <c r="I570" s="455"/>
      <c r="J570" s="88"/>
      <c r="K570" s="88"/>
      <c r="L570" s="456"/>
      <c r="M570" s="88"/>
      <c r="N570" s="88"/>
      <c r="O570" s="88"/>
      <c r="P570" s="88"/>
      <c r="Q570" s="88"/>
      <c r="R570" s="88"/>
      <c r="S570" s="88"/>
      <c r="T570" s="88"/>
      <c r="U570" s="88"/>
      <c r="V570" s="88"/>
      <c r="W570" s="88"/>
      <c r="X570" s="88"/>
      <c r="Y570" s="88"/>
      <c r="Z570" s="88"/>
      <c r="AA570" s="88"/>
    </row>
    <row r="571">
      <c r="A571" s="88"/>
      <c r="B571" s="88"/>
      <c r="C571" s="88"/>
      <c r="D571" s="453"/>
      <c r="E571" s="88"/>
      <c r="F571" s="88"/>
      <c r="G571" s="88"/>
      <c r="H571" s="454"/>
      <c r="I571" s="455"/>
      <c r="J571" s="88"/>
      <c r="K571" s="88"/>
      <c r="L571" s="456"/>
      <c r="M571" s="88"/>
      <c r="N571" s="88"/>
      <c r="O571" s="88"/>
      <c r="P571" s="88"/>
      <c r="Q571" s="88"/>
      <c r="R571" s="88"/>
      <c r="S571" s="88"/>
      <c r="T571" s="88"/>
      <c r="U571" s="88"/>
      <c r="V571" s="88"/>
      <c r="W571" s="88"/>
      <c r="X571" s="88"/>
      <c r="Y571" s="88"/>
      <c r="Z571" s="88"/>
      <c r="AA571" s="88"/>
    </row>
    <row r="572">
      <c r="A572" s="88"/>
      <c r="B572" s="88"/>
      <c r="C572" s="88"/>
      <c r="D572" s="453"/>
      <c r="E572" s="88"/>
      <c r="F572" s="88"/>
      <c r="G572" s="88"/>
      <c r="H572" s="454"/>
      <c r="I572" s="455"/>
      <c r="J572" s="88"/>
      <c r="K572" s="88"/>
      <c r="L572" s="456"/>
      <c r="M572" s="88"/>
      <c r="N572" s="88"/>
      <c r="O572" s="88"/>
      <c r="P572" s="88"/>
      <c r="Q572" s="88"/>
      <c r="R572" s="88"/>
      <c r="S572" s="88"/>
      <c r="T572" s="88"/>
      <c r="U572" s="88"/>
      <c r="V572" s="88"/>
      <c r="W572" s="88"/>
      <c r="X572" s="88"/>
      <c r="Y572" s="88"/>
      <c r="Z572" s="88"/>
      <c r="AA572" s="88"/>
    </row>
    <row r="573">
      <c r="A573" s="88"/>
      <c r="B573" s="88"/>
      <c r="C573" s="88"/>
      <c r="D573" s="453"/>
      <c r="E573" s="88"/>
      <c r="F573" s="88"/>
      <c r="G573" s="88"/>
      <c r="H573" s="454"/>
      <c r="I573" s="455"/>
      <c r="J573" s="88"/>
      <c r="K573" s="88"/>
      <c r="L573" s="456"/>
      <c r="M573" s="88"/>
      <c r="N573" s="88"/>
      <c r="O573" s="88"/>
      <c r="P573" s="88"/>
      <c r="Q573" s="88"/>
      <c r="R573" s="88"/>
      <c r="S573" s="88"/>
      <c r="T573" s="88"/>
      <c r="U573" s="88"/>
      <c r="V573" s="88"/>
      <c r="W573" s="88"/>
      <c r="X573" s="88"/>
      <c r="Y573" s="88"/>
      <c r="Z573" s="88"/>
      <c r="AA573" s="88"/>
    </row>
    <row r="574">
      <c r="A574" s="88"/>
      <c r="B574" s="88"/>
      <c r="C574" s="88"/>
      <c r="D574" s="453"/>
      <c r="E574" s="88"/>
      <c r="F574" s="88"/>
      <c r="G574" s="88"/>
      <c r="H574" s="454"/>
      <c r="I574" s="455"/>
      <c r="J574" s="88"/>
      <c r="K574" s="88"/>
      <c r="L574" s="456"/>
      <c r="M574" s="88"/>
      <c r="N574" s="88"/>
      <c r="O574" s="88"/>
      <c r="P574" s="88"/>
      <c r="Q574" s="88"/>
      <c r="R574" s="88"/>
      <c r="S574" s="88"/>
      <c r="T574" s="88"/>
      <c r="U574" s="88"/>
      <c r="V574" s="88"/>
      <c r="W574" s="88"/>
      <c r="X574" s="88"/>
      <c r="Y574" s="88"/>
      <c r="Z574" s="88"/>
      <c r="AA574" s="88"/>
    </row>
    <row r="575">
      <c r="A575" s="88"/>
      <c r="B575" s="88"/>
      <c r="C575" s="88"/>
      <c r="D575" s="453"/>
      <c r="E575" s="88"/>
      <c r="F575" s="88"/>
      <c r="G575" s="88"/>
      <c r="H575" s="454"/>
      <c r="I575" s="455"/>
      <c r="J575" s="88"/>
      <c r="K575" s="88"/>
      <c r="L575" s="456"/>
      <c r="M575" s="88"/>
      <c r="N575" s="88"/>
      <c r="O575" s="88"/>
      <c r="P575" s="88"/>
      <c r="Q575" s="88"/>
      <c r="R575" s="88"/>
      <c r="S575" s="88"/>
      <c r="T575" s="88"/>
      <c r="U575" s="88"/>
      <c r="V575" s="88"/>
      <c r="W575" s="88"/>
      <c r="X575" s="88"/>
      <c r="Y575" s="88"/>
      <c r="Z575" s="88"/>
      <c r="AA575" s="88"/>
    </row>
    <row r="576">
      <c r="A576" s="88"/>
      <c r="B576" s="88"/>
      <c r="C576" s="88"/>
      <c r="D576" s="453"/>
      <c r="E576" s="88"/>
      <c r="F576" s="88"/>
      <c r="G576" s="88"/>
      <c r="H576" s="454"/>
      <c r="I576" s="455"/>
      <c r="J576" s="88"/>
      <c r="K576" s="88"/>
      <c r="L576" s="456"/>
      <c r="M576" s="88"/>
      <c r="N576" s="88"/>
      <c r="O576" s="88"/>
      <c r="P576" s="88"/>
      <c r="Q576" s="88"/>
      <c r="R576" s="88"/>
      <c r="S576" s="88"/>
      <c r="T576" s="88"/>
      <c r="U576" s="88"/>
      <c r="V576" s="88"/>
      <c r="W576" s="88"/>
      <c r="X576" s="88"/>
      <c r="Y576" s="88"/>
      <c r="Z576" s="88"/>
      <c r="AA576" s="88"/>
    </row>
    <row r="577">
      <c r="A577" s="88"/>
      <c r="B577" s="88"/>
      <c r="C577" s="88"/>
      <c r="D577" s="453"/>
      <c r="E577" s="88"/>
      <c r="F577" s="88"/>
      <c r="G577" s="88"/>
      <c r="H577" s="454"/>
      <c r="I577" s="455"/>
      <c r="J577" s="88"/>
      <c r="K577" s="88"/>
      <c r="L577" s="456"/>
      <c r="M577" s="88"/>
      <c r="N577" s="88"/>
      <c r="O577" s="88"/>
      <c r="P577" s="88"/>
      <c r="Q577" s="88"/>
      <c r="R577" s="88"/>
      <c r="S577" s="88"/>
      <c r="T577" s="88"/>
      <c r="U577" s="88"/>
      <c r="V577" s="88"/>
      <c r="W577" s="88"/>
      <c r="X577" s="88"/>
      <c r="Y577" s="88"/>
      <c r="Z577" s="88"/>
      <c r="AA577" s="88"/>
    </row>
    <row r="578">
      <c r="A578" s="88"/>
      <c r="B578" s="88"/>
      <c r="C578" s="88"/>
      <c r="D578" s="453"/>
      <c r="E578" s="88"/>
      <c r="F578" s="88"/>
      <c r="G578" s="88"/>
      <c r="H578" s="454"/>
      <c r="I578" s="455"/>
      <c r="J578" s="88"/>
      <c r="K578" s="88"/>
      <c r="L578" s="456"/>
      <c r="M578" s="88"/>
      <c r="N578" s="88"/>
      <c r="O578" s="88"/>
      <c r="P578" s="88"/>
      <c r="Q578" s="88"/>
      <c r="R578" s="88"/>
      <c r="S578" s="88"/>
      <c r="T578" s="88"/>
      <c r="U578" s="88"/>
      <c r="V578" s="88"/>
      <c r="W578" s="88"/>
      <c r="X578" s="88"/>
      <c r="Y578" s="88"/>
      <c r="Z578" s="88"/>
      <c r="AA578" s="88"/>
    </row>
    <row r="579">
      <c r="A579" s="88"/>
      <c r="B579" s="88"/>
      <c r="C579" s="88"/>
      <c r="D579" s="453"/>
      <c r="E579" s="88"/>
      <c r="F579" s="88"/>
      <c r="G579" s="88"/>
      <c r="H579" s="454"/>
      <c r="I579" s="455"/>
      <c r="J579" s="88"/>
      <c r="K579" s="88"/>
      <c r="L579" s="456"/>
      <c r="M579" s="88"/>
      <c r="N579" s="88"/>
      <c r="O579" s="88"/>
      <c r="P579" s="88"/>
      <c r="Q579" s="88"/>
      <c r="R579" s="88"/>
      <c r="S579" s="88"/>
      <c r="T579" s="88"/>
      <c r="U579" s="88"/>
      <c r="V579" s="88"/>
      <c r="W579" s="88"/>
      <c r="X579" s="88"/>
      <c r="Y579" s="88"/>
      <c r="Z579" s="88"/>
      <c r="AA579" s="88"/>
    </row>
    <row r="580">
      <c r="A580" s="88"/>
      <c r="B580" s="88"/>
      <c r="C580" s="88"/>
      <c r="D580" s="453"/>
      <c r="E580" s="88"/>
      <c r="F580" s="88"/>
      <c r="G580" s="88"/>
      <c r="H580" s="454"/>
      <c r="I580" s="455"/>
      <c r="J580" s="88"/>
      <c r="K580" s="88"/>
      <c r="L580" s="456"/>
      <c r="M580" s="88"/>
      <c r="N580" s="88"/>
      <c r="O580" s="88"/>
      <c r="P580" s="88"/>
      <c r="Q580" s="88"/>
      <c r="R580" s="88"/>
      <c r="S580" s="88"/>
      <c r="T580" s="88"/>
      <c r="U580" s="88"/>
      <c r="V580" s="88"/>
      <c r="W580" s="88"/>
      <c r="X580" s="88"/>
      <c r="Y580" s="88"/>
      <c r="Z580" s="88"/>
      <c r="AA580" s="88"/>
    </row>
    <row r="581">
      <c r="A581" s="88"/>
      <c r="B581" s="88"/>
      <c r="C581" s="88"/>
      <c r="D581" s="453"/>
      <c r="E581" s="88"/>
      <c r="F581" s="88"/>
      <c r="G581" s="88"/>
      <c r="H581" s="454"/>
      <c r="I581" s="455"/>
      <c r="J581" s="88"/>
      <c r="K581" s="88"/>
      <c r="L581" s="456"/>
      <c r="M581" s="88"/>
      <c r="N581" s="88"/>
      <c r="O581" s="88"/>
      <c r="P581" s="88"/>
      <c r="Q581" s="88"/>
      <c r="R581" s="88"/>
      <c r="S581" s="88"/>
      <c r="T581" s="88"/>
      <c r="U581" s="88"/>
      <c r="V581" s="88"/>
      <c r="W581" s="88"/>
      <c r="X581" s="88"/>
      <c r="Y581" s="88"/>
      <c r="Z581" s="88"/>
      <c r="AA581" s="88"/>
    </row>
    <row r="582">
      <c r="A582" s="88"/>
      <c r="B582" s="88"/>
      <c r="C582" s="88"/>
      <c r="D582" s="453"/>
      <c r="E582" s="88"/>
      <c r="F582" s="88"/>
      <c r="G582" s="88"/>
      <c r="H582" s="454"/>
      <c r="I582" s="455"/>
      <c r="J582" s="88"/>
      <c r="K582" s="88"/>
      <c r="L582" s="456"/>
      <c r="M582" s="88"/>
      <c r="N582" s="88"/>
      <c r="O582" s="88"/>
      <c r="P582" s="88"/>
      <c r="Q582" s="88"/>
      <c r="R582" s="88"/>
      <c r="S582" s="88"/>
      <c r="T582" s="88"/>
      <c r="U582" s="88"/>
      <c r="V582" s="88"/>
      <c r="W582" s="88"/>
      <c r="X582" s="88"/>
      <c r="Y582" s="88"/>
      <c r="Z582" s="88"/>
      <c r="AA582" s="88"/>
    </row>
    <row r="583">
      <c r="A583" s="88"/>
      <c r="B583" s="88"/>
      <c r="C583" s="88"/>
      <c r="D583" s="453"/>
      <c r="E583" s="88"/>
      <c r="F583" s="88"/>
      <c r="G583" s="88"/>
      <c r="H583" s="454"/>
      <c r="I583" s="455"/>
      <c r="J583" s="88"/>
      <c r="K583" s="88"/>
      <c r="L583" s="456"/>
      <c r="M583" s="88"/>
      <c r="N583" s="88"/>
      <c r="O583" s="88"/>
      <c r="P583" s="88"/>
      <c r="Q583" s="88"/>
      <c r="R583" s="88"/>
      <c r="S583" s="88"/>
      <c r="T583" s="88"/>
      <c r="U583" s="88"/>
      <c r="V583" s="88"/>
      <c r="W583" s="88"/>
      <c r="X583" s="88"/>
      <c r="Y583" s="88"/>
      <c r="Z583" s="88"/>
      <c r="AA583" s="88"/>
    </row>
    <row r="584">
      <c r="A584" s="88"/>
      <c r="B584" s="88"/>
      <c r="C584" s="88"/>
      <c r="D584" s="453"/>
      <c r="E584" s="88"/>
      <c r="F584" s="88"/>
      <c r="G584" s="88"/>
      <c r="H584" s="454"/>
      <c r="I584" s="455"/>
      <c r="J584" s="88"/>
      <c r="K584" s="88"/>
      <c r="L584" s="456"/>
      <c r="M584" s="88"/>
      <c r="N584" s="88"/>
      <c r="O584" s="88"/>
      <c r="P584" s="88"/>
      <c r="Q584" s="88"/>
      <c r="R584" s="88"/>
      <c r="S584" s="88"/>
      <c r="T584" s="88"/>
      <c r="U584" s="88"/>
      <c r="V584" s="88"/>
      <c r="W584" s="88"/>
      <c r="X584" s="88"/>
      <c r="Y584" s="88"/>
      <c r="Z584" s="88"/>
      <c r="AA584" s="88"/>
    </row>
    <row r="585">
      <c r="A585" s="88"/>
      <c r="B585" s="88"/>
      <c r="C585" s="88"/>
      <c r="D585" s="453"/>
      <c r="E585" s="88"/>
      <c r="F585" s="88"/>
      <c r="G585" s="88"/>
      <c r="H585" s="454"/>
      <c r="I585" s="455"/>
      <c r="J585" s="88"/>
      <c r="K585" s="88"/>
      <c r="L585" s="456"/>
      <c r="M585" s="88"/>
      <c r="N585" s="88"/>
      <c r="O585" s="88"/>
      <c r="P585" s="88"/>
      <c r="Q585" s="88"/>
      <c r="R585" s="88"/>
      <c r="S585" s="88"/>
      <c r="T585" s="88"/>
      <c r="U585" s="88"/>
      <c r="V585" s="88"/>
      <c r="W585" s="88"/>
      <c r="X585" s="88"/>
      <c r="Y585" s="88"/>
      <c r="Z585" s="88"/>
      <c r="AA585" s="88"/>
    </row>
    <row r="586">
      <c r="A586" s="88"/>
      <c r="B586" s="88"/>
      <c r="C586" s="88"/>
      <c r="D586" s="453"/>
      <c r="E586" s="88"/>
      <c r="F586" s="88"/>
      <c r="G586" s="88"/>
      <c r="H586" s="454"/>
      <c r="I586" s="455"/>
      <c r="J586" s="88"/>
      <c r="K586" s="88"/>
      <c r="L586" s="456"/>
      <c r="M586" s="88"/>
      <c r="N586" s="88"/>
      <c r="O586" s="88"/>
      <c r="P586" s="88"/>
      <c r="Q586" s="88"/>
      <c r="R586" s="88"/>
      <c r="S586" s="88"/>
      <c r="T586" s="88"/>
      <c r="U586" s="88"/>
      <c r="V586" s="88"/>
      <c r="W586" s="88"/>
      <c r="X586" s="88"/>
      <c r="Y586" s="88"/>
      <c r="Z586" s="88"/>
      <c r="AA586" s="88"/>
    </row>
    <row r="587">
      <c r="A587" s="88"/>
      <c r="B587" s="88"/>
      <c r="C587" s="88"/>
      <c r="D587" s="453"/>
      <c r="E587" s="88"/>
      <c r="F587" s="88"/>
      <c r="G587" s="88"/>
      <c r="H587" s="454"/>
      <c r="I587" s="455"/>
      <c r="J587" s="88"/>
      <c r="K587" s="88"/>
      <c r="L587" s="456"/>
      <c r="M587" s="88"/>
      <c r="N587" s="88"/>
      <c r="O587" s="88"/>
      <c r="P587" s="88"/>
      <c r="Q587" s="88"/>
      <c r="R587" s="88"/>
      <c r="S587" s="88"/>
      <c r="T587" s="88"/>
      <c r="U587" s="88"/>
      <c r="V587" s="88"/>
      <c r="W587" s="88"/>
      <c r="X587" s="88"/>
      <c r="Y587" s="88"/>
      <c r="Z587" s="88"/>
      <c r="AA587" s="88"/>
    </row>
    <row r="588">
      <c r="A588" s="88"/>
      <c r="B588" s="88"/>
      <c r="C588" s="88"/>
      <c r="D588" s="453"/>
      <c r="E588" s="88"/>
      <c r="F588" s="88"/>
      <c r="G588" s="88"/>
      <c r="H588" s="454"/>
      <c r="I588" s="455"/>
      <c r="J588" s="88"/>
      <c r="K588" s="88"/>
      <c r="L588" s="456"/>
      <c r="M588" s="88"/>
      <c r="N588" s="88"/>
      <c r="O588" s="88"/>
      <c r="P588" s="88"/>
      <c r="Q588" s="88"/>
      <c r="R588" s="88"/>
      <c r="S588" s="88"/>
      <c r="T588" s="88"/>
      <c r="U588" s="88"/>
      <c r="V588" s="88"/>
      <c r="W588" s="88"/>
      <c r="X588" s="88"/>
      <c r="Y588" s="88"/>
      <c r="Z588" s="88"/>
      <c r="AA588" s="88"/>
    </row>
    <row r="589">
      <c r="A589" s="88"/>
      <c r="B589" s="88"/>
      <c r="C589" s="88"/>
      <c r="D589" s="453"/>
      <c r="E589" s="88"/>
      <c r="F589" s="88"/>
      <c r="G589" s="88"/>
      <c r="H589" s="454"/>
      <c r="I589" s="455"/>
      <c r="J589" s="88"/>
      <c r="K589" s="88"/>
      <c r="L589" s="456"/>
      <c r="M589" s="88"/>
      <c r="N589" s="88"/>
      <c r="O589" s="88"/>
      <c r="P589" s="88"/>
      <c r="Q589" s="88"/>
      <c r="R589" s="88"/>
      <c r="S589" s="88"/>
      <c r="T589" s="88"/>
      <c r="U589" s="88"/>
      <c r="V589" s="88"/>
      <c r="W589" s="88"/>
      <c r="X589" s="88"/>
      <c r="Y589" s="88"/>
      <c r="Z589" s="88"/>
      <c r="AA589" s="88"/>
    </row>
    <row r="590">
      <c r="A590" s="88"/>
      <c r="B590" s="88"/>
      <c r="C590" s="88"/>
      <c r="D590" s="453"/>
      <c r="E590" s="88"/>
      <c r="F590" s="88"/>
      <c r="G590" s="88"/>
      <c r="H590" s="454"/>
      <c r="I590" s="455"/>
      <c r="J590" s="88"/>
      <c r="K590" s="88"/>
      <c r="L590" s="456"/>
      <c r="M590" s="88"/>
      <c r="N590" s="88"/>
      <c r="O590" s="88"/>
      <c r="P590" s="88"/>
      <c r="Q590" s="88"/>
      <c r="R590" s="88"/>
      <c r="S590" s="88"/>
      <c r="T590" s="88"/>
      <c r="U590" s="88"/>
      <c r="V590" s="88"/>
      <c r="W590" s="88"/>
      <c r="X590" s="88"/>
      <c r="Y590" s="88"/>
      <c r="Z590" s="88"/>
      <c r="AA590" s="88"/>
    </row>
    <row r="591">
      <c r="A591" s="88"/>
      <c r="B591" s="88"/>
      <c r="C591" s="88"/>
      <c r="D591" s="453"/>
      <c r="E591" s="88"/>
      <c r="F591" s="88"/>
      <c r="G591" s="88"/>
      <c r="H591" s="454"/>
      <c r="I591" s="455"/>
      <c r="J591" s="88"/>
      <c r="K591" s="88"/>
      <c r="L591" s="456"/>
      <c r="M591" s="88"/>
      <c r="N591" s="88"/>
      <c r="O591" s="88"/>
      <c r="P591" s="88"/>
      <c r="Q591" s="88"/>
      <c r="R591" s="88"/>
      <c r="S591" s="88"/>
      <c r="T591" s="88"/>
      <c r="U591" s="88"/>
      <c r="V591" s="88"/>
      <c r="W591" s="88"/>
      <c r="X591" s="88"/>
      <c r="Y591" s="88"/>
      <c r="Z591" s="88"/>
      <c r="AA591" s="88"/>
    </row>
    <row r="592">
      <c r="A592" s="88"/>
      <c r="B592" s="88"/>
      <c r="C592" s="88"/>
      <c r="D592" s="453"/>
      <c r="E592" s="88"/>
      <c r="F592" s="88"/>
      <c r="G592" s="88"/>
      <c r="H592" s="454"/>
      <c r="I592" s="455"/>
      <c r="J592" s="88"/>
      <c r="K592" s="88"/>
      <c r="L592" s="456"/>
      <c r="M592" s="88"/>
      <c r="N592" s="88"/>
      <c r="O592" s="88"/>
      <c r="P592" s="88"/>
      <c r="Q592" s="88"/>
      <c r="R592" s="88"/>
      <c r="S592" s="88"/>
      <c r="T592" s="88"/>
      <c r="U592" s="88"/>
      <c r="V592" s="88"/>
      <c r="W592" s="88"/>
      <c r="X592" s="88"/>
      <c r="Y592" s="88"/>
      <c r="Z592" s="88"/>
      <c r="AA592" s="88"/>
    </row>
    <row r="593">
      <c r="A593" s="88"/>
      <c r="B593" s="88"/>
      <c r="C593" s="88"/>
      <c r="D593" s="453"/>
      <c r="E593" s="88"/>
      <c r="F593" s="88"/>
      <c r="G593" s="88"/>
      <c r="H593" s="454"/>
      <c r="I593" s="455"/>
      <c r="J593" s="88"/>
      <c r="K593" s="88"/>
      <c r="L593" s="456"/>
      <c r="M593" s="88"/>
      <c r="N593" s="88"/>
      <c r="O593" s="88"/>
      <c r="P593" s="88"/>
      <c r="Q593" s="88"/>
      <c r="R593" s="88"/>
      <c r="S593" s="88"/>
      <c r="T593" s="88"/>
      <c r="U593" s="88"/>
      <c r="V593" s="88"/>
      <c r="W593" s="88"/>
      <c r="X593" s="88"/>
      <c r="Y593" s="88"/>
      <c r="Z593" s="88"/>
      <c r="AA593" s="88"/>
    </row>
    <row r="594">
      <c r="A594" s="88"/>
      <c r="B594" s="88"/>
      <c r="C594" s="88"/>
      <c r="D594" s="453"/>
      <c r="E594" s="88"/>
      <c r="F594" s="88"/>
      <c r="G594" s="88"/>
      <c r="H594" s="454"/>
      <c r="I594" s="455"/>
      <c r="J594" s="88"/>
      <c r="K594" s="88"/>
      <c r="L594" s="456"/>
      <c r="M594" s="88"/>
      <c r="N594" s="88"/>
      <c r="O594" s="88"/>
      <c r="P594" s="88"/>
      <c r="Q594" s="88"/>
      <c r="R594" s="88"/>
      <c r="S594" s="88"/>
      <c r="T594" s="88"/>
      <c r="U594" s="88"/>
      <c r="V594" s="88"/>
      <c r="W594" s="88"/>
      <c r="X594" s="88"/>
      <c r="Y594" s="88"/>
      <c r="Z594" s="88"/>
      <c r="AA594" s="88"/>
    </row>
    <row r="595">
      <c r="A595" s="88"/>
      <c r="B595" s="88"/>
      <c r="C595" s="88"/>
      <c r="D595" s="453"/>
      <c r="E595" s="88"/>
      <c r="F595" s="88"/>
      <c r="G595" s="88"/>
      <c r="H595" s="454"/>
      <c r="I595" s="455"/>
      <c r="J595" s="88"/>
      <c r="K595" s="88"/>
      <c r="L595" s="456"/>
      <c r="M595" s="88"/>
      <c r="N595" s="88"/>
      <c r="O595" s="88"/>
      <c r="P595" s="88"/>
      <c r="Q595" s="88"/>
      <c r="R595" s="88"/>
      <c r="S595" s="88"/>
      <c r="T595" s="88"/>
      <c r="U595" s="88"/>
      <c r="V595" s="88"/>
      <c r="W595" s="88"/>
      <c r="X595" s="88"/>
      <c r="Y595" s="88"/>
      <c r="Z595" s="88"/>
      <c r="AA595" s="88"/>
    </row>
    <row r="596">
      <c r="A596" s="88"/>
      <c r="B596" s="88"/>
      <c r="C596" s="88"/>
      <c r="D596" s="453"/>
      <c r="E596" s="88"/>
      <c r="F596" s="88"/>
      <c r="G596" s="88"/>
      <c r="H596" s="454"/>
      <c r="I596" s="455"/>
      <c r="J596" s="88"/>
      <c r="K596" s="88"/>
      <c r="L596" s="456"/>
      <c r="M596" s="88"/>
      <c r="N596" s="88"/>
      <c r="O596" s="88"/>
      <c r="P596" s="88"/>
      <c r="Q596" s="88"/>
      <c r="R596" s="88"/>
      <c r="S596" s="88"/>
      <c r="T596" s="88"/>
      <c r="U596" s="88"/>
      <c r="V596" s="88"/>
      <c r="W596" s="88"/>
      <c r="X596" s="88"/>
      <c r="Y596" s="88"/>
      <c r="Z596" s="88"/>
      <c r="AA596" s="88"/>
    </row>
    <row r="597">
      <c r="A597" s="88"/>
      <c r="B597" s="88"/>
      <c r="C597" s="88"/>
      <c r="D597" s="453"/>
      <c r="E597" s="88"/>
      <c r="F597" s="88"/>
      <c r="G597" s="88"/>
      <c r="H597" s="454"/>
      <c r="I597" s="455"/>
      <c r="J597" s="88"/>
      <c r="K597" s="88"/>
      <c r="L597" s="456"/>
      <c r="M597" s="88"/>
      <c r="N597" s="88"/>
      <c r="O597" s="88"/>
      <c r="P597" s="88"/>
      <c r="Q597" s="88"/>
      <c r="R597" s="88"/>
      <c r="S597" s="88"/>
      <c r="T597" s="88"/>
      <c r="U597" s="88"/>
      <c r="V597" s="88"/>
      <c r="W597" s="88"/>
      <c r="X597" s="88"/>
      <c r="Y597" s="88"/>
      <c r="Z597" s="88"/>
      <c r="AA597" s="88"/>
    </row>
    <row r="598">
      <c r="A598" s="88"/>
      <c r="B598" s="88"/>
      <c r="C598" s="88"/>
      <c r="D598" s="453"/>
      <c r="E598" s="88"/>
      <c r="F598" s="88"/>
      <c r="G598" s="88"/>
      <c r="H598" s="454"/>
      <c r="I598" s="455"/>
      <c r="J598" s="88"/>
      <c r="K598" s="88"/>
      <c r="L598" s="456"/>
      <c r="M598" s="88"/>
      <c r="N598" s="88"/>
      <c r="O598" s="88"/>
      <c r="P598" s="88"/>
      <c r="Q598" s="88"/>
      <c r="R598" s="88"/>
      <c r="S598" s="88"/>
      <c r="T598" s="88"/>
      <c r="U598" s="88"/>
      <c r="V598" s="88"/>
      <c r="W598" s="88"/>
      <c r="X598" s="88"/>
      <c r="Y598" s="88"/>
      <c r="Z598" s="88"/>
      <c r="AA598" s="88"/>
    </row>
    <row r="599">
      <c r="A599" s="88"/>
      <c r="B599" s="88"/>
      <c r="C599" s="88"/>
      <c r="D599" s="453"/>
      <c r="E599" s="88"/>
      <c r="F599" s="88"/>
      <c r="G599" s="88"/>
      <c r="H599" s="454"/>
      <c r="I599" s="455"/>
      <c r="J599" s="88"/>
      <c r="K599" s="88"/>
      <c r="L599" s="456"/>
      <c r="M599" s="88"/>
      <c r="N599" s="88"/>
      <c r="O599" s="88"/>
      <c r="P599" s="88"/>
      <c r="Q599" s="88"/>
      <c r="R599" s="88"/>
      <c r="S599" s="88"/>
      <c r="T599" s="88"/>
      <c r="U599" s="88"/>
      <c r="V599" s="88"/>
      <c r="W599" s="88"/>
      <c r="X599" s="88"/>
      <c r="Y599" s="88"/>
      <c r="Z599" s="88"/>
      <c r="AA599" s="88"/>
    </row>
    <row r="600">
      <c r="A600" s="88"/>
      <c r="B600" s="88"/>
      <c r="C600" s="88"/>
      <c r="D600" s="453"/>
      <c r="E600" s="88"/>
      <c r="F600" s="88"/>
      <c r="G600" s="88"/>
      <c r="H600" s="454"/>
      <c r="I600" s="455"/>
      <c r="J600" s="88"/>
      <c r="K600" s="88"/>
      <c r="L600" s="456"/>
      <c r="M600" s="88"/>
      <c r="N600" s="88"/>
      <c r="O600" s="88"/>
      <c r="P600" s="88"/>
      <c r="Q600" s="88"/>
      <c r="R600" s="88"/>
      <c r="S600" s="88"/>
      <c r="T600" s="88"/>
      <c r="U600" s="88"/>
      <c r="V600" s="88"/>
      <c r="W600" s="88"/>
      <c r="X600" s="88"/>
      <c r="Y600" s="88"/>
      <c r="Z600" s="88"/>
      <c r="AA600" s="88"/>
    </row>
    <row r="601">
      <c r="A601" s="88"/>
      <c r="B601" s="88"/>
      <c r="C601" s="88"/>
      <c r="D601" s="453"/>
      <c r="E601" s="88"/>
      <c r="F601" s="88"/>
      <c r="G601" s="88"/>
      <c r="H601" s="454"/>
      <c r="I601" s="455"/>
      <c r="J601" s="88"/>
      <c r="K601" s="88"/>
      <c r="L601" s="456"/>
      <c r="M601" s="88"/>
      <c r="N601" s="88"/>
      <c r="O601" s="88"/>
      <c r="P601" s="88"/>
      <c r="Q601" s="88"/>
      <c r="R601" s="88"/>
      <c r="S601" s="88"/>
      <c r="T601" s="88"/>
      <c r="U601" s="88"/>
      <c r="V601" s="88"/>
      <c r="W601" s="88"/>
      <c r="X601" s="88"/>
      <c r="Y601" s="88"/>
      <c r="Z601" s="88"/>
      <c r="AA601" s="88"/>
    </row>
    <row r="602">
      <c r="A602" s="88"/>
      <c r="B602" s="88"/>
      <c r="C602" s="88"/>
      <c r="D602" s="453"/>
      <c r="E602" s="88"/>
      <c r="F602" s="88"/>
      <c r="G602" s="88"/>
      <c r="H602" s="454"/>
      <c r="I602" s="455"/>
      <c r="J602" s="88"/>
      <c r="K602" s="88"/>
      <c r="L602" s="456"/>
      <c r="M602" s="88"/>
      <c r="N602" s="88"/>
      <c r="O602" s="88"/>
      <c r="P602" s="88"/>
      <c r="Q602" s="88"/>
      <c r="R602" s="88"/>
      <c r="S602" s="88"/>
      <c r="T602" s="88"/>
      <c r="U602" s="88"/>
      <c r="V602" s="88"/>
      <c r="W602" s="88"/>
      <c r="X602" s="88"/>
      <c r="Y602" s="88"/>
      <c r="Z602" s="88"/>
      <c r="AA602" s="88"/>
    </row>
    <row r="603">
      <c r="A603" s="88"/>
      <c r="B603" s="88"/>
      <c r="C603" s="88"/>
      <c r="D603" s="453"/>
      <c r="E603" s="88"/>
      <c r="F603" s="88"/>
      <c r="G603" s="88"/>
      <c r="H603" s="454"/>
      <c r="I603" s="455"/>
      <c r="J603" s="88"/>
      <c r="K603" s="88"/>
      <c r="L603" s="456"/>
      <c r="M603" s="88"/>
      <c r="N603" s="88"/>
      <c r="O603" s="88"/>
      <c r="P603" s="88"/>
      <c r="Q603" s="88"/>
      <c r="R603" s="88"/>
      <c r="S603" s="88"/>
      <c r="T603" s="88"/>
      <c r="U603" s="88"/>
      <c r="V603" s="88"/>
      <c r="W603" s="88"/>
      <c r="X603" s="88"/>
      <c r="Y603" s="88"/>
      <c r="Z603" s="88"/>
      <c r="AA603" s="88"/>
    </row>
    <row r="604">
      <c r="A604" s="88"/>
      <c r="B604" s="88"/>
      <c r="C604" s="88"/>
      <c r="D604" s="453"/>
      <c r="E604" s="88"/>
      <c r="F604" s="88"/>
      <c r="G604" s="88"/>
      <c r="H604" s="454"/>
      <c r="I604" s="455"/>
      <c r="J604" s="88"/>
      <c r="K604" s="88"/>
      <c r="L604" s="456"/>
      <c r="M604" s="88"/>
      <c r="N604" s="88"/>
      <c r="O604" s="88"/>
      <c r="P604" s="88"/>
      <c r="Q604" s="88"/>
      <c r="R604" s="88"/>
      <c r="S604" s="88"/>
      <c r="T604" s="88"/>
      <c r="U604" s="88"/>
      <c r="V604" s="88"/>
      <c r="W604" s="88"/>
      <c r="X604" s="88"/>
      <c r="Y604" s="88"/>
      <c r="Z604" s="88"/>
      <c r="AA604" s="88"/>
    </row>
    <row r="605">
      <c r="A605" s="88"/>
      <c r="B605" s="88"/>
      <c r="C605" s="88"/>
      <c r="D605" s="453"/>
      <c r="E605" s="88"/>
      <c r="F605" s="88"/>
      <c r="G605" s="88"/>
      <c r="H605" s="454"/>
      <c r="I605" s="455"/>
      <c r="J605" s="88"/>
      <c r="K605" s="88"/>
      <c r="L605" s="456"/>
      <c r="M605" s="88"/>
      <c r="N605" s="88"/>
      <c r="O605" s="88"/>
      <c r="P605" s="88"/>
      <c r="Q605" s="88"/>
      <c r="R605" s="88"/>
      <c r="S605" s="88"/>
      <c r="T605" s="88"/>
      <c r="U605" s="88"/>
      <c r="V605" s="88"/>
      <c r="W605" s="88"/>
      <c r="X605" s="88"/>
      <c r="Y605" s="88"/>
      <c r="Z605" s="88"/>
      <c r="AA605" s="88"/>
    </row>
    <row r="606">
      <c r="A606" s="88"/>
      <c r="B606" s="88"/>
      <c r="C606" s="88"/>
      <c r="D606" s="453"/>
      <c r="E606" s="88"/>
      <c r="F606" s="88"/>
      <c r="G606" s="88"/>
      <c r="H606" s="454"/>
      <c r="I606" s="455"/>
      <c r="J606" s="88"/>
      <c r="K606" s="88"/>
      <c r="L606" s="456"/>
      <c r="M606" s="88"/>
      <c r="N606" s="88"/>
      <c r="O606" s="88"/>
      <c r="P606" s="88"/>
      <c r="Q606" s="88"/>
      <c r="R606" s="88"/>
      <c r="S606" s="88"/>
      <c r="T606" s="88"/>
      <c r="U606" s="88"/>
      <c r="V606" s="88"/>
      <c r="W606" s="88"/>
      <c r="X606" s="88"/>
      <c r="Y606" s="88"/>
      <c r="Z606" s="88"/>
      <c r="AA606" s="88"/>
    </row>
    <row r="607">
      <c r="A607" s="88"/>
      <c r="B607" s="88"/>
      <c r="C607" s="88"/>
      <c r="D607" s="453"/>
      <c r="E607" s="88"/>
      <c r="F607" s="88"/>
      <c r="G607" s="88"/>
      <c r="H607" s="454"/>
      <c r="I607" s="455"/>
      <c r="J607" s="88"/>
      <c r="K607" s="88"/>
      <c r="L607" s="456"/>
      <c r="M607" s="88"/>
      <c r="N607" s="88"/>
      <c r="O607" s="88"/>
      <c r="P607" s="88"/>
      <c r="Q607" s="88"/>
      <c r="R607" s="88"/>
      <c r="S607" s="88"/>
      <c r="T607" s="88"/>
      <c r="U607" s="88"/>
      <c r="V607" s="88"/>
      <c r="W607" s="88"/>
      <c r="X607" s="88"/>
      <c r="Y607" s="88"/>
      <c r="Z607" s="88"/>
      <c r="AA607" s="88"/>
    </row>
    <row r="608">
      <c r="A608" s="88"/>
      <c r="B608" s="88"/>
      <c r="C608" s="88"/>
      <c r="D608" s="453"/>
      <c r="E608" s="88"/>
      <c r="F608" s="88"/>
      <c r="G608" s="88"/>
      <c r="H608" s="454"/>
      <c r="I608" s="455"/>
      <c r="J608" s="88"/>
      <c r="K608" s="88"/>
      <c r="L608" s="456"/>
      <c r="M608" s="88"/>
      <c r="N608" s="88"/>
      <c r="O608" s="88"/>
      <c r="P608" s="88"/>
      <c r="Q608" s="88"/>
      <c r="R608" s="88"/>
      <c r="S608" s="88"/>
      <c r="T608" s="88"/>
      <c r="U608" s="88"/>
      <c r="V608" s="88"/>
      <c r="W608" s="88"/>
      <c r="X608" s="88"/>
      <c r="Y608" s="88"/>
      <c r="Z608" s="88"/>
      <c r="AA608" s="88"/>
    </row>
    <row r="609">
      <c r="A609" s="88"/>
      <c r="B609" s="88"/>
      <c r="C609" s="88"/>
      <c r="D609" s="453"/>
      <c r="E609" s="88"/>
      <c r="F609" s="88"/>
      <c r="G609" s="88"/>
      <c r="H609" s="454"/>
      <c r="I609" s="455"/>
      <c r="J609" s="88"/>
      <c r="K609" s="88"/>
      <c r="L609" s="456"/>
      <c r="M609" s="88"/>
      <c r="N609" s="88"/>
      <c r="O609" s="88"/>
      <c r="P609" s="88"/>
      <c r="Q609" s="88"/>
      <c r="R609" s="88"/>
      <c r="S609" s="88"/>
      <c r="T609" s="88"/>
      <c r="U609" s="88"/>
      <c r="V609" s="88"/>
      <c r="W609" s="88"/>
      <c r="X609" s="88"/>
      <c r="Y609" s="88"/>
      <c r="Z609" s="88"/>
      <c r="AA609" s="88"/>
    </row>
    <row r="610">
      <c r="A610" s="88"/>
      <c r="B610" s="88"/>
      <c r="C610" s="88"/>
      <c r="D610" s="453"/>
      <c r="E610" s="88"/>
      <c r="F610" s="88"/>
      <c r="G610" s="88"/>
      <c r="H610" s="454"/>
      <c r="I610" s="455"/>
      <c r="J610" s="88"/>
      <c r="K610" s="88"/>
      <c r="L610" s="456"/>
      <c r="M610" s="88"/>
      <c r="N610" s="88"/>
      <c r="O610" s="88"/>
      <c r="P610" s="88"/>
      <c r="Q610" s="88"/>
      <c r="R610" s="88"/>
      <c r="S610" s="88"/>
      <c r="T610" s="88"/>
      <c r="U610" s="88"/>
      <c r="V610" s="88"/>
      <c r="W610" s="88"/>
      <c r="X610" s="88"/>
      <c r="Y610" s="88"/>
      <c r="Z610" s="88"/>
      <c r="AA610" s="88"/>
    </row>
    <row r="611">
      <c r="A611" s="88"/>
      <c r="B611" s="88"/>
      <c r="C611" s="88"/>
      <c r="D611" s="453"/>
      <c r="E611" s="88"/>
      <c r="F611" s="88"/>
      <c r="G611" s="88"/>
      <c r="H611" s="454"/>
      <c r="I611" s="455"/>
      <c r="J611" s="88"/>
      <c r="K611" s="88"/>
      <c r="L611" s="456"/>
      <c r="M611" s="88"/>
      <c r="N611" s="88"/>
      <c r="O611" s="88"/>
      <c r="P611" s="88"/>
      <c r="Q611" s="88"/>
      <c r="R611" s="88"/>
      <c r="S611" s="88"/>
      <c r="T611" s="88"/>
      <c r="U611" s="88"/>
      <c r="V611" s="88"/>
      <c r="W611" s="88"/>
      <c r="X611" s="88"/>
      <c r="Y611" s="88"/>
      <c r="Z611" s="88"/>
      <c r="AA611" s="88"/>
    </row>
    <row r="612">
      <c r="A612" s="88"/>
      <c r="B612" s="88"/>
      <c r="C612" s="88"/>
      <c r="D612" s="453"/>
      <c r="E612" s="88"/>
      <c r="F612" s="88"/>
      <c r="G612" s="88"/>
      <c r="H612" s="454"/>
      <c r="I612" s="455"/>
      <c r="J612" s="88"/>
      <c r="K612" s="88"/>
      <c r="L612" s="456"/>
      <c r="M612" s="88"/>
      <c r="N612" s="88"/>
      <c r="O612" s="88"/>
      <c r="P612" s="88"/>
      <c r="Q612" s="88"/>
      <c r="R612" s="88"/>
      <c r="S612" s="88"/>
      <c r="T612" s="88"/>
      <c r="U612" s="88"/>
      <c r="V612" s="88"/>
      <c r="W612" s="88"/>
      <c r="X612" s="88"/>
      <c r="Y612" s="88"/>
      <c r="Z612" s="88"/>
      <c r="AA612" s="88"/>
    </row>
    <row r="613">
      <c r="A613" s="88"/>
      <c r="B613" s="88"/>
      <c r="C613" s="88"/>
      <c r="D613" s="453"/>
      <c r="E613" s="88"/>
      <c r="F613" s="88"/>
      <c r="G613" s="88"/>
      <c r="H613" s="454"/>
      <c r="I613" s="455"/>
      <c r="J613" s="88"/>
      <c r="K613" s="88"/>
      <c r="L613" s="456"/>
      <c r="M613" s="88"/>
      <c r="N613" s="88"/>
      <c r="O613" s="88"/>
      <c r="P613" s="88"/>
      <c r="Q613" s="88"/>
      <c r="R613" s="88"/>
      <c r="S613" s="88"/>
      <c r="T613" s="88"/>
      <c r="U613" s="88"/>
      <c r="V613" s="88"/>
      <c r="W613" s="88"/>
      <c r="X613" s="88"/>
      <c r="Y613" s="88"/>
      <c r="Z613" s="88"/>
      <c r="AA613" s="88"/>
    </row>
    <row r="614">
      <c r="A614" s="88"/>
      <c r="B614" s="88"/>
      <c r="C614" s="88"/>
      <c r="D614" s="453"/>
      <c r="E614" s="88"/>
      <c r="F614" s="88"/>
      <c r="G614" s="88"/>
      <c r="H614" s="454"/>
      <c r="I614" s="455"/>
      <c r="J614" s="88"/>
      <c r="K614" s="88"/>
      <c r="L614" s="456"/>
      <c r="M614" s="88"/>
      <c r="N614" s="88"/>
      <c r="O614" s="88"/>
      <c r="P614" s="88"/>
      <c r="Q614" s="88"/>
      <c r="R614" s="88"/>
      <c r="S614" s="88"/>
      <c r="T614" s="88"/>
      <c r="U614" s="88"/>
      <c r="V614" s="88"/>
      <c r="W614" s="88"/>
      <c r="X614" s="88"/>
      <c r="Y614" s="88"/>
      <c r="Z614" s="88"/>
      <c r="AA614" s="88"/>
    </row>
    <row r="615">
      <c r="A615" s="88"/>
      <c r="B615" s="88"/>
      <c r="C615" s="88"/>
      <c r="D615" s="453"/>
      <c r="E615" s="88"/>
      <c r="F615" s="88"/>
      <c r="G615" s="88"/>
      <c r="H615" s="454"/>
      <c r="I615" s="455"/>
      <c r="J615" s="88"/>
      <c r="K615" s="88"/>
      <c r="L615" s="456"/>
      <c r="M615" s="88"/>
      <c r="N615" s="88"/>
      <c r="O615" s="88"/>
      <c r="P615" s="88"/>
      <c r="Q615" s="88"/>
      <c r="R615" s="88"/>
      <c r="S615" s="88"/>
      <c r="T615" s="88"/>
      <c r="U615" s="88"/>
      <c r="V615" s="88"/>
      <c r="W615" s="88"/>
      <c r="X615" s="88"/>
      <c r="Y615" s="88"/>
      <c r="Z615" s="88"/>
      <c r="AA615" s="88"/>
    </row>
    <row r="616">
      <c r="A616" s="88"/>
      <c r="B616" s="88"/>
      <c r="C616" s="88"/>
      <c r="D616" s="453"/>
      <c r="E616" s="88"/>
      <c r="F616" s="88"/>
      <c r="G616" s="88"/>
      <c r="H616" s="454"/>
      <c r="I616" s="455"/>
      <c r="J616" s="88"/>
      <c r="K616" s="88"/>
      <c r="L616" s="456"/>
      <c r="M616" s="88"/>
      <c r="N616" s="88"/>
      <c r="O616" s="88"/>
      <c r="P616" s="88"/>
      <c r="Q616" s="88"/>
      <c r="R616" s="88"/>
      <c r="S616" s="88"/>
      <c r="T616" s="88"/>
      <c r="U616" s="88"/>
      <c r="V616" s="88"/>
      <c r="W616" s="88"/>
      <c r="X616" s="88"/>
      <c r="Y616" s="88"/>
      <c r="Z616" s="88"/>
      <c r="AA616" s="88"/>
    </row>
    <row r="617">
      <c r="A617" s="88"/>
      <c r="B617" s="88"/>
      <c r="C617" s="88"/>
      <c r="D617" s="453"/>
      <c r="E617" s="88"/>
      <c r="F617" s="88"/>
      <c r="G617" s="88"/>
      <c r="H617" s="454"/>
      <c r="I617" s="455"/>
      <c r="J617" s="88"/>
      <c r="K617" s="88"/>
      <c r="L617" s="456"/>
      <c r="M617" s="88"/>
      <c r="N617" s="88"/>
      <c r="O617" s="88"/>
      <c r="P617" s="88"/>
      <c r="Q617" s="88"/>
      <c r="R617" s="88"/>
      <c r="S617" s="88"/>
      <c r="T617" s="88"/>
      <c r="U617" s="88"/>
      <c r="V617" s="88"/>
      <c r="W617" s="88"/>
      <c r="X617" s="88"/>
      <c r="Y617" s="88"/>
      <c r="Z617" s="88"/>
      <c r="AA617" s="88"/>
    </row>
    <row r="618">
      <c r="A618" s="88"/>
      <c r="B618" s="88"/>
      <c r="C618" s="88"/>
      <c r="D618" s="453"/>
      <c r="E618" s="88"/>
      <c r="F618" s="88"/>
      <c r="G618" s="88"/>
      <c r="H618" s="454"/>
      <c r="I618" s="455"/>
      <c r="J618" s="88"/>
      <c r="K618" s="88"/>
      <c r="L618" s="456"/>
      <c r="M618" s="88"/>
      <c r="N618" s="88"/>
      <c r="O618" s="88"/>
      <c r="P618" s="88"/>
      <c r="Q618" s="88"/>
      <c r="R618" s="88"/>
      <c r="S618" s="88"/>
      <c r="T618" s="88"/>
      <c r="U618" s="88"/>
      <c r="V618" s="88"/>
      <c r="W618" s="88"/>
      <c r="X618" s="88"/>
      <c r="Y618" s="88"/>
      <c r="Z618" s="88"/>
      <c r="AA618" s="88"/>
    </row>
    <row r="619">
      <c r="A619" s="88"/>
      <c r="B619" s="88"/>
      <c r="C619" s="88"/>
      <c r="D619" s="453"/>
      <c r="E619" s="88"/>
      <c r="F619" s="88"/>
      <c r="G619" s="88"/>
      <c r="H619" s="454"/>
      <c r="I619" s="455"/>
      <c r="J619" s="88"/>
      <c r="K619" s="88"/>
      <c r="L619" s="456"/>
      <c r="M619" s="88"/>
      <c r="N619" s="88"/>
      <c r="O619" s="88"/>
      <c r="P619" s="88"/>
      <c r="Q619" s="88"/>
      <c r="R619" s="88"/>
      <c r="S619" s="88"/>
      <c r="T619" s="88"/>
      <c r="U619" s="88"/>
      <c r="V619" s="88"/>
      <c r="W619" s="88"/>
      <c r="X619" s="88"/>
      <c r="Y619" s="88"/>
      <c r="Z619" s="88"/>
      <c r="AA619" s="88"/>
    </row>
    <row r="620">
      <c r="A620" s="88"/>
      <c r="B620" s="88"/>
      <c r="C620" s="88"/>
      <c r="D620" s="453"/>
      <c r="E620" s="88"/>
      <c r="F620" s="88"/>
      <c r="G620" s="88"/>
      <c r="H620" s="454"/>
      <c r="I620" s="455"/>
      <c r="J620" s="88"/>
      <c r="K620" s="88"/>
      <c r="L620" s="456"/>
      <c r="M620" s="88"/>
      <c r="N620" s="88"/>
      <c r="O620" s="88"/>
      <c r="P620" s="88"/>
      <c r="Q620" s="88"/>
      <c r="R620" s="88"/>
      <c r="S620" s="88"/>
      <c r="T620" s="88"/>
      <c r="U620" s="88"/>
      <c r="V620" s="88"/>
      <c r="W620" s="88"/>
      <c r="X620" s="88"/>
      <c r="Y620" s="88"/>
      <c r="Z620" s="88"/>
      <c r="AA620" s="88"/>
    </row>
    <row r="621">
      <c r="A621" s="88"/>
      <c r="B621" s="88"/>
      <c r="C621" s="88"/>
      <c r="D621" s="453"/>
      <c r="E621" s="88"/>
      <c r="F621" s="88"/>
      <c r="G621" s="88"/>
      <c r="H621" s="454"/>
      <c r="I621" s="455"/>
      <c r="J621" s="88"/>
      <c r="K621" s="88"/>
      <c r="L621" s="456"/>
      <c r="M621" s="88"/>
      <c r="N621" s="88"/>
      <c r="O621" s="88"/>
      <c r="P621" s="88"/>
      <c r="Q621" s="88"/>
      <c r="R621" s="88"/>
      <c r="S621" s="88"/>
      <c r="T621" s="88"/>
      <c r="U621" s="88"/>
      <c r="V621" s="88"/>
      <c r="W621" s="88"/>
      <c r="X621" s="88"/>
      <c r="Y621" s="88"/>
      <c r="Z621" s="88"/>
      <c r="AA621" s="88"/>
    </row>
    <row r="622">
      <c r="A622" s="88"/>
      <c r="B622" s="88"/>
      <c r="C622" s="88"/>
      <c r="D622" s="453"/>
      <c r="E622" s="88"/>
      <c r="F622" s="88"/>
      <c r="G622" s="88"/>
      <c r="H622" s="454"/>
      <c r="I622" s="455"/>
      <c r="J622" s="88"/>
      <c r="K622" s="88"/>
      <c r="L622" s="456"/>
      <c r="M622" s="88"/>
      <c r="N622" s="88"/>
      <c r="O622" s="88"/>
      <c r="P622" s="88"/>
      <c r="Q622" s="88"/>
      <c r="R622" s="88"/>
      <c r="S622" s="88"/>
      <c r="T622" s="88"/>
      <c r="U622" s="88"/>
      <c r="V622" s="88"/>
      <c r="W622" s="88"/>
      <c r="X622" s="88"/>
      <c r="Y622" s="88"/>
      <c r="Z622" s="88"/>
      <c r="AA622" s="88"/>
    </row>
    <row r="623">
      <c r="A623" s="88"/>
      <c r="B623" s="88"/>
      <c r="C623" s="88"/>
      <c r="D623" s="453"/>
      <c r="E623" s="88"/>
      <c r="F623" s="88"/>
      <c r="G623" s="88"/>
      <c r="H623" s="454"/>
      <c r="I623" s="455"/>
      <c r="J623" s="88"/>
      <c r="K623" s="88"/>
      <c r="L623" s="456"/>
      <c r="M623" s="88"/>
      <c r="N623" s="88"/>
      <c r="O623" s="88"/>
      <c r="P623" s="88"/>
      <c r="Q623" s="88"/>
      <c r="R623" s="88"/>
      <c r="S623" s="88"/>
      <c r="T623" s="88"/>
      <c r="U623" s="88"/>
      <c r="V623" s="88"/>
      <c r="W623" s="88"/>
      <c r="X623" s="88"/>
      <c r="Y623" s="88"/>
      <c r="Z623" s="88"/>
      <c r="AA623" s="88"/>
    </row>
    <row r="624">
      <c r="A624" s="88"/>
      <c r="B624" s="88"/>
      <c r="C624" s="88"/>
      <c r="D624" s="453"/>
      <c r="E624" s="88"/>
      <c r="F624" s="88"/>
      <c r="G624" s="88"/>
      <c r="H624" s="454"/>
      <c r="I624" s="455"/>
      <c r="J624" s="88"/>
      <c r="K624" s="88"/>
      <c r="L624" s="456"/>
      <c r="M624" s="88"/>
      <c r="N624" s="88"/>
      <c r="O624" s="88"/>
      <c r="P624" s="88"/>
      <c r="Q624" s="88"/>
      <c r="R624" s="88"/>
      <c r="S624" s="88"/>
      <c r="T624" s="88"/>
      <c r="U624" s="88"/>
      <c r="V624" s="88"/>
      <c r="W624" s="88"/>
      <c r="X624" s="88"/>
      <c r="Y624" s="88"/>
      <c r="Z624" s="88"/>
      <c r="AA624" s="88"/>
    </row>
    <row r="625">
      <c r="A625" s="88"/>
      <c r="B625" s="88"/>
      <c r="C625" s="88"/>
      <c r="D625" s="453"/>
      <c r="E625" s="88"/>
      <c r="F625" s="88"/>
      <c r="G625" s="88"/>
      <c r="H625" s="454"/>
      <c r="I625" s="455"/>
      <c r="J625" s="88"/>
      <c r="K625" s="88"/>
      <c r="L625" s="456"/>
      <c r="M625" s="88"/>
      <c r="N625" s="88"/>
      <c r="O625" s="88"/>
      <c r="P625" s="88"/>
      <c r="Q625" s="88"/>
      <c r="R625" s="88"/>
      <c r="S625" s="88"/>
      <c r="T625" s="88"/>
      <c r="U625" s="88"/>
      <c r="V625" s="88"/>
      <c r="W625" s="88"/>
      <c r="X625" s="88"/>
      <c r="Y625" s="88"/>
      <c r="Z625" s="88"/>
      <c r="AA625" s="88"/>
    </row>
    <row r="626">
      <c r="A626" s="88"/>
      <c r="B626" s="88"/>
      <c r="C626" s="88"/>
      <c r="D626" s="453"/>
      <c r="E626" s="88"/>
      <c r="F626" s="88"/>
      <c r="G626" s="88"/>
      <c r="H626" s="454"/>
      <c r="I626" s="455"/>
      <c r="J626" s="88"/>
      <c r="K626" s="88"/>
      <c r="L626" s="456"/>
      <c r="M626" s="88"/>
      <c r="N626" s="88"/>
      <c r="O626" s="88"/>
      <c r="P626" s="88"/>
      <c r="Q626" s="88"/>
      <c r="R626" s="88"/>
      <c r="S626" s="88"/>
      <c r="T626" s="88"/>
      <c r="U626" s="88"/>
      <c r="V626" s="88"/>
      <c r="W626" s="88"/>
      <c r="X626" s="88"/>
      <c r="Y626" s="88"/>
      <c r="Z626" s="88"/>
      <c r="AA626" s="88"/>
    </row>
    <row r="627">
      <c r="A627" s="88"/>
      <c r="B627" s="88"/>
      <c r="C627" s="88"/>
      <c r="D627" s="453"/>
      <c r="E627" s="88"/>
      <c r="F627" s="88"/>
      <c r="G627" s="88"/>
      <c r="H627" s="454"/>
      <c r="I627" s="455"/>
      <c r="J627" s="88"/>
      <c r="K627" s="88"/>
      <c r="L627" s="456"/>
      <c r="M627" s="88"/>
      <c r="N627" s="88"/>
      <c r="O627" s="88"/>
      <c r="P627" s="88"/>
      <c r="Q627" s="88"/>
      <c r="R627" s="88"/>
      <c r="S627" s="88"/>
      <c r="T627" s="88"/>
      <c r="U627" s="88"/>
      <c r="V627" s="88"/>
      <c r="W627" s="88"/>
      <c r="X627" s="88"/>
      <c r="Y627" s="88"/>
      <c r="Z627" s="88"/>
      <c r="AA627" s="88"/>
    </row>
    <row r="628">
      <c r="A628" s="88"/>
      <c r="B628" s="88"/>
      <c r="C628" s="88"/>
      <c r="D628" s="453"/>
      <c r="E628" s="88"/>
      <c r="F628" s="88"/>
      <c r="G628" s="88"/>
      <c r="H628" s="454"/>
      <c r="I628" s="455"/>
      <c r="J628" s="88"/>
      <c r="K628" s="88"/>
      <c r="L628" s="456"/>
      <c r="M628" s="88"/>
      <c r="N628" s="88"/>
      <c r="O628" s="88"/>
      <c r="P628" s="88"/>
      <c r="Q628" s="88"/>
      <c r="R628" s="88"/>
      <c r="S628" s="88"/>
      <c r="T628" s="88"/>
      <c r="U628" s="88"/>
      <c r="V628" s="88"/>
      <c r="W628" s="88"/>
      <c r="X628" s="88"/>
      <c r="Y628" s="88"/>
      <c r="Z628" s="88"/>
      <c r="AA628" s="88"/>
    </row>
    <row r="629">
      <c r="A629" s="88"/>
      <c r="B629" s="88"/>
      <c r="C629" s="88"/>
      <c r="D629" s="453"/>
      <c r="E629" s="88"/>
      <c r="F629" s="88"/>
      <c r="G629" s="88"/>
      <c r="H629" s="454"/>
      <c r="I629" s="455"/>
      <c r="J629" s="88"/>
      <c r="K629" s="88"/>
      <c r="L629" s="456"/>
      <c r="M629" s="88"/>
      <c r="N629" s="88"/>
      <c r="O629" s="88"/>
      <c r="P629" s="88"/>
      <c r="Q629" s="88"/>
      <c r="R629" s="88"/>
      <c r="S629" s="88"/>
      <c r="T629" s="88"/>
      <c r="U629" s="88"/>
      <c r="V629" s="88"/>
      <c r="W629" s="88"/>
      <c r="X629" s="88"/>
      <c r="Y629" s="88"/>
      <c r="Z629" s="88"/>
      <c r="AA629" s="88"/>
    </row>
    <row r="630">
      <c r="A630" s="88"/>
      <c r="B630" s="88"/>
      <c r="C630" s="88"/>
      <c r="D630" s="453"/>
      <c r="E630" s="88"/>
      <c r="F630" s="88"/>
      <c r="G630" s="88"/>
      <c r="H630" s="454"/>
      <c r="I630" s="455"/>
      <c r="J630" s="88"/>
      <c r="K630" s="88"/>
      <c r="L630" s="456"/>
      <c r="M630" s="88"/>
      <c r="N630" s="88"/>
      <c r="O630" s="88"/>
      <c r="P630" s="88"/>
      <c r="Q630" s="88"/>
      <c r="R630" s="88"/>
      <c r="S630" s="88"/>
      <c r="T630" s="88"/>
      <c r="U630" s="88"/>
      <c r="V630" s="88"/>
      <c r="W630" s="88"/>
      <c r="X630" s="88"/>
      <c r="Y630" s="88"/>
      <c r="Z630" s="88"/>
      <c r="AA630" s="88"/>
    </row>
    <row r="631">
      <c r="A631" s="88"/>
      <c r="B631" s="88"/>
      <c r="C631" s="88"/>
      <c r="D631" s="453"/>
      <c r="E631" s="88"/>
      <c r="F631" s="88"/>
      <c r="G631" s="88"/>
      <c r="H631" s="454"/>
      <c r="I631" s="455"/>
      <c r="J631" s="88"/>
      <c r="K631" s="88"/>
      <c r="L631" s="456"/>
      <c r="M631" s="88"/>
      <c r="N631" s="88"/>
      <c r="O631" s="88"/>
      <c r="P631" s="88"/>
      <c r="Q631" s="88"/>
      <c r="R631" s="88"/>
      <c r="S631" s="88"/>
      <c r="T631" s="88"/>
      <c r="U631" s="88"/>
      <c r="V631" s="88"/>
      <c r="W631" s="88"/>
      <c r="X631" s="88"/>
      <c r="Y631" s="88"/>
      <c r="Z631" s="88"/>
      <c r="AA631" s="88"/>
    </row>
    <row r="632">
      <c r="A632" s="88"/>
      <c r="B632" s="88"/>
      <c r="C632" s="88"/>
      <c r="D632" s="453"/>
      <c r="E632" s="88"/>
      <c r="F632" s="88"/>
      <c r="G632" s="88"/>
      <c r="H632" s="454"/>
      <c r="I632" s="455"/>
      <c r="J632" s="88"/>
      <c r="K632" s="88"/>
      <c r="L632" s="456"/>
      <c r="M632" s="88"/>
      <c r="N632" s="88"/>
      <c r="O632" s="88"/>
      <c r="P632" s="88"/>
      <c r="Q632" s="88"/>
      <c r="R632" s="88"/>
      <c r="S632" s="88"/>
      <c r="T632" s="88"/>
      <c r="U632" s="88"/>
      <c r="V632" s="88"/>
      <c r="W632" s="88"/>
      <c r="X632" s="88"/>
      <c r="Y632" s="88"/>
      <c r="Z632" s="88"/>
      <c r="AA632" s="88"/>
    </row>
    <row r="633">
      <c r="A633" s="88"/>
      <c r="B633" s="88"/>
      <c r="C633" s="88"/>
      <c r="D633" s="453"/>
      <c r="E633" s="88"/>
      <c r="F633" s="88"/>
      <c r="G633" s="88"/>
      <c r="H633" s="454"/>
      <c r="I633" s="455"/>
      <c r="J633" s="88"/>
      <c r="K633" s="88"/>
      <c r="L633" s="456"/>
      <c r="M633" s="88"/>
      <c r="N633" s="88"/>
      <c r="O633" s="88"/>
      <c r="P633" s="88"/>
      <c r="Q633" s="88"/>
      <c r="R633" s="88"/>
      <c r="S633" s="88"/>
      <c r="T633" s="88"/>
      <c r="U633" s="88"/>
      <c r="V633" s="88"/>
      <c r="W633" s="88"/>
      <c r="X633" s="88"/>
      <c r="Y633" s="88"/>
      <c r="Z633" s="88"/>
      <c r="AA633" s="88"/>
    </row>
    <row r="634">
      <c r="A634" s="88"/>
      <c r="B634" s="88"/>
      <c r="C634" s="88"/>
      <c r="D634" s="453"/>
      <c r="E634" s="88"/>
      <c r="F634" s="88"/>
      <c r="G634" s="88"/>
      <c r="H634" s="454"/>
      <c r="I634" s="455"/>
      <c r="J634" s="88"/>
      <c r="K634" s="88"/>
      <c r="L634" s="456"/>
      <c r="M634" s="88"/>
      <c r="N634" s="88"/>
      <c r="O634" s="88"/>
      <c r="P634" s="88"/>
      <c r="Q634" s="88"/>
      <c r="R634" s="88"/>
      <c r="S634" s="88"/>
      <c r="T634" s="88"/>
      <c r="U634" s="88"/>
      <c r="V634" s="88"/>
      <c r="W634" s="88"/>
      <c r="X634" s="88"/>
      <c r="Y634" s="88"/>
      <c r="Z634" s="88"/>
      <c r="AA634" s="88"/>
    </row>
    <row r="635">
      <c r="A635" s="88"/>
      <c r="B635" s="88"/>
      <c r="C635" s="88"/>
      <c r="D635" s="453"/>
      <c r="E635" s="88"/>
      <c r="F635" s="88"/>
      <c r="G635" s="88"/>
      <c r="H635" s="454"/>
      <c r="I635" s="455"/>
      <c r="J635" s="88"/>
      <c r="K635" s="88"/>
      <c r="L635" s="456"/>
      <c r="M635" s="88"/>
      <c r="N635" s="88"/>
      <c r="O635" s="88"/>
      <c r="P635" s="88"/>
      <c r="Q635" s="88"/>
      <c r="R635" s="88"/>
      <c r="S635" s="88"/>
      <c r="T635" s="88"/>
      <c r="U635" s="88"/>
      <c r="V635" s="88"/>
      <c r="W635" s="88"/>
      <c r="X635" s="88"/>
      <c r="Y635" s="88"/>
      <c r="Z635" s="88"/>
      <c r="AA635" s="88"/>
    </row>
    <row r="636">
      <c r="A636" s="88"/>
      <c r="B636" s="88"/>
      <c r="C636" s="88"/>
      <c r="D636" s="453"/>
      <c r="E636" s="88"/>
      <c r="F636" s="88"/>
      <c r="G636" s="88"/>
      <c r="H636" s="454"/>
      <c r="I636" s="455"/>
      <c r="J636" s="88"/>
      <c r="K636" s="88"/>
      <c r="L636" s="456"/>
      <c r="M636" s="88"/>
      <c r="N636" s="88"/>
      <c r="O636" s="88"/>
      <c r="P636" s="88"/>
      <c r="Q636" s="88"/>
      <c r="R636" s="88"/>
      <c r="S636" s="88"/>
      <c r="T636" s="88"/>
      <c r="U636" s="88"/>
      <c r="V636" s="88"/>
      <c r="W636" s="88"/>
      <c r="X636" s="88"/>
      <c r="Y636" s="88"/>
      <c r="Z636" s="88"/>
      <c r="AA636" s="88"/>
    </row>
    <row r="637">
      <c r="A637" s="88"/>
      <c r="B637" s="88"/>
      <c r="C637" s="88"/>
      <c r="D637" s="453"/>
      <c r="E637" s="88"/>
      <c r="F637" s="88"/>
      <c r="G637" s="88"/>
      <c r="H637" s="454"/>
      <c r="I637" s="455"/>
      <c r="J637" s="88"/>
      <c r="K637" s="88"/>
      <c r="L637" s="456"/>
      <c r="M637" s="88"/>
      <c r="N637" s="88"/>
      <c r="O637" s="88"/>
      <c r="P637" s="88"/>
      <c r="Q637" s="88"/>
      <c r="R637" s="88"/>
      <c r="S637" s="88"/>
      <c r="T637" s="88"/>
      <c r="U637" s="88"/>
      <c r="V637" s="88"/>
      <c r="W637" s="88"/>
      <c r="X637" s="88"/>
      <c r="Y637" s="88"/>
      <c r="Z637" s="88"/>
      <c r="AA637" s="88"/>
    </row>
    <row r="638">
      <c r="A638" s="88"/>
      <c r="B638" s="88"/>
      <c r="C638" s="88"/>
      <c r="D638" s="453"/>
      <c r="E638" s="88"/>
      <c r="F638" s="88"/>
      <c r="G638" s="88"/>
      <c r="H638" s="454"/>
      <c r="I638" s="455"/>
      <c r="J638" s="88"/>
      <c r="K638" s="88"/>
      <c r="L638" s="456"/>
      <c r="M638" s="88"/>
      <c r="N638" s="88"/>
      <c r="O638" s="88"/>
      <c r="P638" s="88"/>
      <c r="Q638" s="88"/>
      <c r="R638" s="88"/>
      <c r="S638" s="88"/>
      <c r="T638" s="88"/>
      <c r="U638" s="88"/>
      <c r="V638" s="88"/>
      <c r="W638" s="88"/>
      <c r="X638" s="88"/>
      <c r="Y638" s="88"/>
      <c r="Z638" s="88"/>
      <c r="AA638" s="88"/>
    </row>
    <row r="639">
      <c r="A639" s="88"/>
      <c r="B639" s="88"/>
      <c r="C639" s="88"/>
      <c r="D639" s="453"/>
      <c r="E639" s="88"/>
      <c r="F639" s="88"/>
      <c r="G639" s="88"/>
      <c r="H639" s="454"/>
      <c r="I639" s="455"/>
      <c r="J639" s="88"/>
      <c r="K639" s="88"/>
      <c r="L639" s="456"/>
      <c r="M639" s="88"/>
      <c r="N639" s="88"/>
      <c r="O639" s="88"/>
      <c r="P639" s="88"/>
      <c r="Q639" s="88"/>
      <c r="R639" s="88"/>
      <c r="S639" s="88"/>
      <c r="T639" s="88"/>
      <c r="U639" s="88"/>
      <c r="V639" s="88"/>
      <c r="W639" s="88"/>
      <c r="X639" s="88"/>
      <c r="Y639" s="88"/>
      <c r="Z639" s="88"/>
      <c r="AA639" s="88"/>
    </row>
    <row r="640">
      <c r="A640" s="88"/>
      <c r="B640" s="88"/>
      <c r="C640" s="88"/>
      <c r="D640" s="453"/>
      <c r="E640" s="88"/>
      <c r="F640" s="88"/>
      <c r="G640" s="88"/>
      <c r="H640" s="454"/>
      <c r="I640" s="455"/>
      <c r="J640" s="88"/>
      <c r="K640" s="88"/>
      <c r="L640" s="456"/>
      <c r="M640" s="88"/>
      <c r="N640" s="88"/>
      <c r="O640" s="88"/>
      <c r="P640" s="88"/>
      <c r="Q640" s="88"/>
      <c r="R640" s="88"/>
      <c r="S640" s="88"/>
      <c r="T640" s="88"/>
      <c r="U640" s="88"/>
      <c r="V640" s="88"/>
      <c r="W640" s="88"/>
      <c r="X640" s="88"/>
      <c r="Y640" s="88"/>
      <c r="Z640" s="88"/>
      <c r="AA640" s="88"/>
    </row>
    <row r="641">
      <c r="A641" s="88"/>
      <c r="B641" s="88"/>
      <c r="C641" s="88"/>
      <c r="D641" s="453"/>
      <c r="E641" s="88"/>
      <c r="F641" s="88"/>
      <c r="G641" s="88"/>
      <c r="H641" s="454"/>
      <c r="I641" s="455"/>
      <c r="J641" s="88"/>
      <c r="K641" s="88"/>
      <c r="L641" s="456"/>
      <c r="M641" s="88"/>
      <c r="N641" s="88"/>
      <c r="O641" s="88"/>
      <c r="P641" s="88"/>
      <c r="Q641" s="88"/>
      <c r="R641" s="88"/>
      <c r="S641" s="88"/>
      <c r="T641" s="88"/>
      <c r="U641" s="88"/>
      <c r="V641" s="88"/>
      <c r="W641" s="88"/>
      <c r="X641" s="88"/>
      <c r="Y641" s="88"/>
      <c r="Z641" s="88"/>
      <c r="AA641" s="88"/>
    </row>
    <row r="642">
      <c r="A642" s="88"/>
      <c r="B642" s="88"/>
      <c r="C642" s="88"/>
      <c r="D642" s="453"/>
      <c r="E642" s="88"/>
      <c r="F642" s="88"/>
      <c r="G642" s="88"/>
      <c r="H642" s="454"/>
      <c r="I642" s="455"/>
      <c r="J642" s="88"/>
      <c r="K642" s="88"/>
      <c r="L642" s="456"/>
      <c r="M642" s="88"/>
      <c r="N642" s="88"/>
      <c r="O642" s="88"/>
      <c r="P642" s="88"/>
      <c r="Q642" s="88"/>
      <c r="R642" s="88"/>
      <c r="S642" s="88"/>
      <c r="T642" s="88"/>
      <c r="U642" s="88"/>
      <c r="V642" s="88"/>
      <c r="W642" s="88"/>
      <c r="X642" s="88"/>
      <c r="Y642" s="88"/>
      <c r="Z642" s="88"/>
      <c r="AA642" s="88"/>
    </row>
    <row r="643">
      <c r="A643" s="88"/>
      <c r="B643" s="88"/>
      <c r="C643" s="88"/>
      <c r="D643" s="453"/>
      <c r="E643" s="88"/>
      <c r="F643" s="88"/>
      <c r="G643" s="88"/>
      <c r="H643" s="454"/>
      <c r="I643" s="455"/>
      <c r="J643" s="88"/>
      <c r="K643" s="88"/>
      <c r="L643" s="456"/>
      <c r="M643" s="88"/>
      <c r="N643" s="88"/>
      <c r="O643" s="88"/>
      <c r="P643" s="88"/>
      <c r="Q643" s="88"/>
      <c r="R643" s="88"/>
      <c r="S643" s="88"/>
      <c r="T643" s="88"/>
      <c r="U643" s="88"/>
      <c r="V643" s="88"/>
      <c r="W643" s="88"/>
      <c r="X643" s="88"/>
      <c r="Y643" s="88"/>
      <c r="Z643" s="88"/>
      <c r="AA643" s="88"/>
    </row>
    <row r="644">
      <c r="A644" s="88"/>
      <c r="B644" s="88"/>
      <c r="C644" s="88"/>
      <c r="D644" s="453"/>
      <c r="E644" s="88"/>
      <c r="F644" s="88"/>
      <c r="G644" s="88"/>
      <c r="H644" s="454"/>
      <c r="I644" s="455"/>
      <c r="J644" s="88"/>
      <c r="K644" s="88"/>
      <c r="L644" s="456"/>
      <c r="M644" s="88"/>
      <c r="N644" s="88"/>
      <c r="O644" s="88"/>
      <c r="P644" s="88"/>
      <c r="Q644" s="88"/>
      <c r="R644" s="88"/>
      <c r="S644" s="88"/>
      <c r="T644" s="88"/>
      <c r="U644" s="88"/>
      <c r="V644" s="88"/>
      <c r="W644" s="88"/>
      <c r="X644" s="88"/>
      <c r="Y644" s="88"/>
      <c r="Z644" s="88"/>
      <c r="AA644" s="88"/>
    </row>
    <row r="645">
      <c r="A645" s="88"/>
      <c r="B645" s="88"/>
      <c r="C645" s="88"/>
      <c r="D645" s="453"/>
      <c r="E645" s="88"/>
      <c r="F645" s="88"/>
      <c r="G645" s="88"/>
      <c r="H645" s="454"/>
      <c r="I645" s="455"/>
      <c r="J645" s="88"/>
      <c r="K645" s="88"/>
      <c r="L645" s="456"/>
      <c r="M645" s="88"/>
      <c r="N645" s="88"/>
      <c r="O645" s="88"/>
      <c r="P645" s="88"/>
      <c r="Q645" s="88"/>
      <c r="R645" s="88"/>
      <c r="S645" s="88"/>
      <c r="T645" s="88"/>
      <c r="U645" s="88"/>
      <c r="V645" s="88"/>
      <c r="W645" s="88"/>
      <c r="X645" s="88"/>
      <c r="Y645" s="88"/>
      <c r="Z645" s="88"/>
      <c r="AA645" s="88"/>
    </row>
    <row r="646">
      <c r="A646" s="88"/>
      <c r="B646" s="88"/>
      <c r="C646" s="88"/>
      <c r="D646" s="453"/>
      <c r="E646" s="88"/>
      <c r="F646" s="88"/>
      <c r="G646" s="88"/>
      <c r="H646" s="454"/>
      <c r="I646" s="455"/>
      <c r="J646" s="88"/>
      <c r="K646" s="88"/>
      <c r="L646" s="456"/>
      <c r="M646" s="88"/>
      <c r="N646" s="88"/>
      <c r="O646" s="88"/>
      <c r="P646" s="88"/>
      <c r="Q646" s="88"/>
      <c r="R646" s="88"/>
      <c r="S646" s="88"/>
      <c r="T646" s="88"/>
      <c r="U646" s="88"/>
      <c r="V646" s="88"/>
      <c r="W646" s="88"/>
      <c r="X646" s="88"/>
      <c r="Y646" s="88"/>
      <c r="Z646" s="88"/>
      <c r="AA646" s="88"/>
    </row>
    <row r="647">
      <c r="A647" s="88"/>
      <c r="B647" s="88"/>
      <c r="C647" s="88"/>
      <c r="D647" s="453"/>
      <c r="E647" s="88"/>
      <c r="F647" s="88"/>
      <c r="G647" s="88"/>
      <c r="H647" s="454"/>
      <c r="I647" s="455"/>
      <c r="J647" s="88"/>
      <c r="K647" s="88"/>
      <c r="L647" s="456"/>
      <c r="M647" s="88"/>
      <c r="N647" s="88"/>
      <c r="O647" s="88"/>
      <c r="P647" s="88"/>
      <c r="Q647" s="88"/>
      <c r="R647" s="88"/>
      <c r="S647" s="88"/>
      <c r="T647" s="88"/>
      <c r="U647" s="88"/>
      <c r="V647" s="88"/>
      <c r="W647" s="88"/>
      <c r="X647" s="88"/>
      <c r="Y647" s="88"/>
      <c r="Z647" s="88"/>
      <c r="AA647" s="88"/>
    </row>
    <row r="648">
      <c r="A648" s="88"/>
      <c r="B648" s="88"/>
      <c r="C648" s="88"/>
      <c r="D648" s="453"/>
      <c r="E648" s="88"/>
      <c r="F648" s="88"/>
      <c r="G648" s="88"/>
      <c r="H648" s="454"/>
      <c r="I648" s="455"/>
      <c r="J648" s="88"/>
      <c r="K648" s="88"/>
      <c r="L648" s="456"/>
      <c r="M648" s="88"/>
      <c r="N648" s="88"/>
      <c r="O648" s="88"/>
      <c r="P648" s="88"/>
      <c r="Q648" s="88"/>
      <c r="R648" s="88"/>
      <c r="S648" s="88"/>
      <c r="T648" s="88"/>
      <c r="U648" s="88"/>
      <c r="V648" s="88"/>
      <c r="W648" s="88"/>
      <c r="X648" s="88"/>
      <c r="Y648" s="88"/>
      <c r="Z648" s="88"/>
      <c r="AA648" s="88"/>
    </row>
    <row r="649">
      <c r="A649" s="88"/>
      <c r="B649" s="88"/>
      <c r="C649" s="88"/>
      <c r="D649" s="453"/>
      <c r="E649" s="88"/>
      <c r="F649" s="88"/>
      <c r="G649" s="88"/>
      <c r="H649" s="454"/>
      <c r="I649" s="455"/>
      <c r="J649" s="88"/>
      <c r="K649" s="88"/>
      <c r="L649" s="456"/>
      <c r="M649" s="88"/>
      <c r="N649" s="88"/>
      <c r="O649" s="88"/>
      <c r="P649" s="88"/>
      <c r="Q649" s="88"/>
      <c r="R649" s="88"/>
      <c r="S649" s="88"/>
      <c r="T649" s="88"/>
      <c r="U649" s="88"/>
      <c r="V649" s="88"/>
      <c r="W649" s="88"/>
      <c r="X649" s="88"/>
      <c r="Y649" s="88"/>
      <c r="Z649" s="88"/>
      <c r="AA649" s="88"/>
    </row>
    <row r="650">
      <c r="A650" s="88"/>
      <c r="B650" s="88"/>
      <c r="C650" s="88"/>
      <c r="D650" s="453"/>
      <c r="E650" s="88"/>
      <c r="F650" s="88"/>
      <c r="G650" s="88"/>
      <c r="H650" s="454"/>
      <c r="I650" s="455"/>
      <c r="J650" s="88"/>
      <c r="K650" s="88"/>
      <c r="L650" s="456"/>
      <c r="M650" s="88"/>
      <c r="N650" s="88"/>
      <c r="O650" s="88"/>
      <c r="P650" s="88"/>
      <c r="Q650" s="88"/>
      <c r="R650" s="88"/>
      <c r="S650" s="88"/>
      <c r="T650" s="88"/>
      <c r="U650" s="88"/>
      <c r="V650" s="88"/>
      <c r="W650" s="88"/>
      <c r="X650" s="88"/>
      <c r="Y650" s="88"/>
      <c r="Z650" s="88"/>
      <c r="AA650" s="88"/>
    </row>
    <row r="651">
      <c r="A651" s="88"/>
      <c r="B651" s="88"/>
      <c r="C651" s="88"/>
      <c r="D651" s="453"/>
      <c r="E651" s="88"/>
      <c r="F651" s="88"/>
      <c r="G651" s="88"/>
      <c r="H651" s="454"/>
      <c r="I651" s="455"/>
      <c r="J651" s="88"/>
      <c r="K651" s="88"/>
      <c r="L651" s="456"/>
      <c r="M651" s="88"/>
      <c r="N651" s="88"/>
      <c r="O651" s="88"/>
      <c r="P651" s="88"/>
      <c r="Q651" s="88"/>
      <c r="R651" s="88"/>
      <c r="S651" s="88"/>
      <c r="T651" s="88"/>
      <c r="U651" s="88"/>
      <c r="V651" s="88"/>
      <c r="W651" s="88"/>
      <c r="X651" s="88"/>
      <c r="Y651" s="88"/>
      <c r="Z651" s="88"/>
      <c r="AA651" s="88"/>
    </row>
    <row r="652">
      <c r="A652" s="88"/>
      <c r="B652" s="88"/>
      <c r="C652" s="88"/>
      <c r="D652" s="453"/>
      <c r="E652" s="88"/>
      <c r="F652" s="88"/>
      <c r="G652" s="88"/>
      <c r="H652" s="454"/>
      <c r="I652" s="455"/>
      <c r="J652" s="88"/>
      <c r="K652" s="88"/>
      <c r="L652" s="456"/>
      <c r="M652" s="88"/>
      <c r="N652" s="88"/>
      <c r="O652" s="88"/>
      <c r="P652" s="88"/>
      <c r="Q652" s="88"/>
      <c r="R652" s="88"/>
      <c r="S652" s="88"/>
      <c r="T652" s="88"/>
      <c r="U652" s="88"/>
      <c r="V652" s="88"/>
      <c r="W652" s="88"/>
      <c r="X652" s="88"/>
      <c r="Y652" s="88"/>
      <c r="Z652" s="88"/>
      <c r="AA652" s="88"/>
    </row>
    <row r="653">
      <c r="A653" s="88"/>
      <c r="B653" s="88"/>
      <c r="C653" s="88"/>
      <c r="D653" s="453"/>
      <c r="E653" s="88"/>
      <c r="F653" s="88"/>
      <c r="G653" s="88"/>
      <c r="H653" s="454"/>
      <c r="I653" s="455"/>
      <c r="J653" s="88"/>
      <c r="K653" s="88"/>
      <c r="L653" s="456"/>
      <c r="M653" s="88"/>
      <c r="N653" s="88"/>
      <c r="O653" s="88"/>
      <c r="P653" s="88"/>
      <c r="Q653" s="88"/>
      <c r="R653" s="88"/>
      <c r="S653" s="88"/>
      <c r="T653" s="88"/>
      <c r="U653" s="88"/>
      <c r="V653" s="88"/>
      <c r="W653" s="88"/>
      <c r="X653" s="88"/>
      <c r="Y653" s="88"/>
      <c r="Z653" s="88"/>
      <c r="AA653" s="88"/>
    </row>
    <row r="654">
      <c r="A654" s="88"/>
      <c r="B654" s="88"/>
      <c r="C654" s="88"/>
      <c r="D654" s="453"/>
      <c r="E654" s="88"/>
      <c r="F654" s="88"/>
      <c r="G654" s="88"/>
      <c r="H654" s="454"/>
      <c r="I654" s="455"/>
      <c r="J654" s="88"/>
      <c r="K654" s="88"/>
      <c r="L654" s="456"/>
      <c r="M654" s="88"/>
      <c r="N654" s="88"/>
      <c r="O654" s="88"/>
      <c r="P654" s="88"/>
      <c r="Q654" s="88"/>
      <c r="R654" s="88"/>
      <c r="S654" s="88"/>
      <c r="T654" s="88"/>
      <c r="U654" s="88"/>
      <c r="V654" s="88"/>
      <c r="W654" s="88"/>
      <c r="X654" s="88"/>
      <c r="Y654" s="88"/>
      <c r="Z654" s="88"/>
      <c r="AA654" s="88"/>
    </row>
    <row r="655">
      <c r="A655" s="88"/>
      <c r="B655" s="88"/>
      <c r="C655" s="88"/>
      <c r="D655" s="453"/>
      <c r="E655" s="88"/>
      <c r="F655" s="88"/>
      <c r="G655" s="88"/>
      <c r="H655" s="454"/>
      <c r="I655" s="455"/>
      <c r="J655" s="88"/>
      <c r="K655" s="88"/>
      <c r="L655" s="456"/>
      <c r="M655" s="88"/>
      <c r="N655" s="88"/>
      <c r="O655" s="88"/>
      <c r="P655" s="88"/>
      <c r="Q655" s="88"/>
      <c r="R655" s="88"/>
      <c r="S655" s="88"/>
      <c r="T655" s="88"/>
      <c r="U655" s="88"/>
      <c r="V655" s="88"/>
      <c r="W655" s="88"/>
      <c r="X655" s="88"/>
      <c r="Y655" s="88"/>
      <c r="Z655" s="88"/>
      <c r="AA655" s="88"/>
    </row>
    <row r="656">
      <c r="A656" s="88"/>
      <c r="B656" s="88"/>
      <c r="C656" s="88"/>
      <c r="D656" s="453"/>
      <c r="E656" s="88"/>
      <c r="F656" s="88"/>
      <c r="G656" s="88"/>
      <c r="H656" s="454"/>
      <c r="I656" s="455"/>
      <c r="J656" s="88"/>
      <c r="K656" s="88"/>
      <c r="L656" s="456"/>
      <c r="M656" s="88"/>
      <c r="N656" s="88"/>
      <c r="O656" s="88"/>
      <c r="P656" s="88"/>
      <c r="Q656" s="88"/>
      <c r="R656" s="88"/>
      <c r="S656" s="88"/>
      <c r="T656" s="88"/>
      <c r="U656" s="88"/>
      <c r="V656" s="88"/>
      <c r="W656" s="88"/>
      <c r="X656" s="88"/>
      <c r="Y656" s="88"/>
      <c r="Z656" s="88"/>
      <c r="AA656" s="88"/>
    </row>
    <row r="657">
      <c r="A657" s="88"/>
      <c r="B657" s="88"/>
      <c r="C657" s="88"/>
      <c r="D657" s="453"/>
      <c r="E657" s="88"/>
      <c r="F657" s="88"/>
      <c r="G657" s="88"/>
      <c r="H657" s="454"/>
      <c r="I657" s="455"/>
      <c r="J657" s="88"/>
      <c r="K657" s="88"/>
      <c r="L657" s="456"/>
      <c r="M657" s="88"/>
      <c r="N657" s="88"/>
      <c r="O657" s="88"/>
      <c r="P657" s="88"/>
      <c r="Q657" s="88"/>
      <c r="R657" s="88"/>
      <c r="S657" s="88"/>
      <c r="T657" s="88"/>
      <c r="U657" s="88"/>
      <c r="V657" s="88"/>
      <c r="W657" s="88"/>
      <c r="X657" s="88"/>
      <c r="Y657" s="88"/>
      <c r="Z657" s="88"/>
      <c r="AA657" s="88"/>
    </row>
    <row r="658">
      <c r="A658" s="88"/>
      <c r="B658" s="88"/>
      <c r="C658" s="88"/>
      <c r="D658" s="453"/>
      <c r="E658" s="88"/>
      <c r="F658" s="88"/>
      <c r="G658" s="88"/>
      <c r="H658" s="454"/>
      <c r="I658" s="455"/>
      <c r="J658" s="88"/>
      <c r="K658" s="88"/>
      <c r="L658" s="456"/>
      <c r="M658" s="88"/>
      <c r="N658" s="88"/>
      <c r="O658" s="88"/>
      <c r="P658" s="88"/>
      <c r="Q658" s="88"/>
      <c r="R658" s="88"/>
      <c r="S658" s="88"/>
      <c r="T658" s="88"/>
      <c r="U658" s="88"/>
      <c r="V658" s="88"/>
      <c r="W658" s="88"/>
      <c r="X658" s="88"/>
      <c r="Y658" s="88"/>
      <c r="Z658" s="88"/>
      <c r="AA658" s="88"/>
    </row>
    <row r="659">
      <c r="A659" s="88"/>
      <c r="B659" s="88"/>
      <c r="C659" s="88"/>
      <c r="D659" s="453"/>
      <c r="E659" s="88"/>
      <c r="F659" s="88"/>
      <c r="G659" s="88"/>
      <c r="H659" s="454"/>
      <c r="I659" s="455"/>
      <c r="J659" s="88"/>
      <c r="K659" s="88"/>
      <c r="L659" s="456"/>
      <c r="M659" s="88"/>
      <c r="N659" s="88"/>
      <c r="O659" s="88"/>
      <c r="P659" s="88"/>
      <c r="Q659" s="88"/>
      <c r="R659" s="88"/>
      <c r="S659" s="88"/>
      <c r="T659" s="88"/>
      <c r="U659" s="88"/>
      <c r="V659" s="88"/>
      <c r="W659" s="88"/>
      <c r="X659" s="88"/>
      <c r="Y659" s="88"/>
      <c r="Z659" s="88"/>
      <c r="AA659" s="88"/>
    </row>
    <row r="660">
      <c r="A660" s="88"/>
      <c r="B660" s="88"/>
      <c r="C660" s="88"/>
      <c r="D660" s="453"/>
      <c r="E660" s="88"/>
      <c r="F660" s="88"/>
      <c r="G660" s="88"/>
      <c r="H660" s="454"/>
      <c r="I660" s="455"/>
      <c r="J660" s="88"/>
      <c r="K660" s="88"/>
      <c r="L660" s="456"/>
      <c r="M660" s="88"/>
      <c r="N660" s="88"/>
      <c r="O660" s="88"/>
      <c r="P660" s="88"/>
      <c r="Q660" s="88"/>
      <c r="R660" s="88"/>
      <c r="S660" s="88"/>
      <c r="T660" s="88"/>
      <c r="U660" s="88"/>
      <c r="V660" s="88"/>
      <c r="W660" s="88"/>
      <c r="X660" s="88"/>
      <c r="Y660" s="88"/>
      <c r="Z660" s="88"/>
      <c r="AA660" s="88"/>
    </row>
    <row r="661">
      <c r="A661" s="88"/>
      <c r="B661" s="88"/>
      <c r="C661" s="88"/>
      <c r="D661" s="453"/>
      <c r="E661" s="88"/>
      <c r="F661" s="88"/>
      <c r="G661" s="88"/>
      <c r="H661" s="454"/>
      <c r="I661" s="455"/>
      <c r="J661" s="88"/>
      <c r="K661" s="88"/>
      <c r="L661" s="456"/>
      <c r="M661" s="88"/>
      <c r="N661" s="88"/>
      <c r="O661" s="88"/>
      <c r="P661" s="88"/>
      <c r="Q661" s="88"/>
      <c r="R661" s="88"/>
      <c r="S661" s="88"/>
      <c r="T661" s="88"/>
      <c r="U661" s="88"/>
      <c r="V661" s="88"/>
      <c r="W661" s="88"/>
      <c r="X661" s="88"/>
      <c r="Y661" s="88"/>
      <c r="Z661" s="88"/>
      <c r="AA661" s="88"/>
    </row>
    <row r="662">
      <c r="A662" s="88"/>
      <c r="B662" s="88"/>
      <c r="C662" s="88"/>
      <c r="D662" s="453"/>
      <c r="E662" s="88"/>
      <c r="F662" s="88"/>
      <c r="G662" s="88"/>
      <c r="H662" s="454"/>
      <c r="I662" s="455"/>
      <c r="J662" s="88"/>
      <c r="K662" s="88"/>
      <c r="L662" s="456"/>
      <c r="M662" s="88"/>
      <c r="N662" s="88"/>
      <c r="O662" s="88"/>
      <c r="P662" s="88"/>
      <c r="Q662" s="88"/>
      <c r="R662" s="88"/>
      <c r="S662" s="88"/>
      <c r="T662" s="88"/>
      <c r="U662" s="88"/>
      <c r="V662" s="88"/>
      <c r="W662" s="88"/>
      <c r="X662" s="88"/>
      <c r="Y662" s="88"/>
      <c r="Z662" s="88"/>
      <c r="AA662" s="88"/>
    </row>
    <row r="663">
      <c r="A663" s="88"/>
      <c r="B663" s="88"/>
      <c r="C663" s="88"/>
      <c r="D663" s="453"/>
      <c r="E663" s="88"/>
      <c r="F663" s="88"/>
      <c r="G663" s="88"/>
      <c r="H663" s="454"/>
      <c r="I663" s="455"/>
      <c r="J663" s="88"/>
      <c r="K663" s="88"/>
      <c r="L663" s="456"/>
      <c r="M663" s="88"/>
      <c r="N663" s="88"/>
      <c r="O663" s="88"/>
      <c r="P663" s="88"/>
      <c r="Q663" s="88"/>
      <c r="R663" s="88"/>
      <c r="S663" s="88"/>
      <c r="T663" s="88"/>
      <c r="U663" s="88"/>
      <c r="V663" s="88"/>
      <c r="W663" s="88"/>
      <c r="X663" s="88"/>
      <c r="Y663" s="88"/>
      <c r="Z663" s="88"/>
      <c r="AA663" s="88"/>
    </row>
    <row r="664">
      <c r="A664" s="88"/>
      <c r="B664" s="88"/>
      <c r="C664" s="88"/>
      <c r="D664" s="453"/>
      <c r="E664" s="88"/>
      <c r="F664" s="88"/>
      <c r="G664" s="88"/>
      <c r="H664" s="454"/>
      <c r="I664" s="455"/>
      <c r="J664" s="88"/>
      <c r="K664" s="88"/>
      <c r="L664" s="456"/>
      <c r="M664" s="88"/>
      <c r="N664" s="88"/>
      <c r="O664" s="88"/>
      <c r="P664" s="88"/>
      <c r="Q664" s="88"/>
      <c r="R664" s="88"/>
      <c r="S664" s="88"/>
      <c r="T664" s="88"/>
      <c r="U664" s="88"/>
      <c r="V664" s="88"/>
      <c r="W664" s="88"/>
      <c r="X664" s="88"/>
      <c r="Y664" s="88"/>
      <c r="Z664" s="88"/>
      <c r="AA664" s="88"/>
    </row>
    <row r="665">
      <c r="A665" s="88"/>
      <c r="B665" s="88"/>
      <c r="C665" s="88"/>
      <c r="D665" s="453"/>
      <c r="E665" s="88"/>
      <c r="F665" s="88"/>
      <c r="G665" s="88"/>
      <c r="H665" s="454"/>
      <c r="I665" s="455"/>
      <c r="J665" s="88"/>
      <c r="K665" s="88"/>
      <c r="L665" s="456"/>
      <c r="M665" s="88"/>
      <c r="N665" s="88"/>
      <c r="O665" s="88"/>
      <c r="P665" s="88"/>
      <c r="Q665" s="88"/>
      <c r="R665" s="88"/>
      <c r="S665" s="88"/>
      <c r="T665" s="88"/>
      <c r="U665" s="88"/>
      <c r="V665" s="88"/>
      <c r="W665" s="88"/>
      <c r="X665" s="88"/>
      <c r="Y665" s="88"/>
      <c r="Z665" s="88"/>
      <c r="AA665" s="88"/>
    </row>
    <row r="666">
      <c r="A666" s="88"/>
      <c r="B666" s="88"/>
      <c r="C666" s="88"/>
      <c r="D666" s="453"/>
      <c r="E666" s="88"/>
      <c r="F666" s="88"/>
      <c r="G666" s="88"/>
      <c r="H666" s="454"/>
      <c r="I666" s="455"/>
      <c r="J666" s="88"/>
      <c r="K666" s="88"/>
      <c r="L666" s="456"/>
      <c r="M666" s="88"/>
      <c r="N666" s="88"/>
      <c r="O666" s="88"/>
      <c r="P666" s="88"/>
      <c r="Q666" s="88"/>
      <c r="R666" s="88"/>
      <c r="S666" s="88"/>
      <c r="T666" s="88"/>
      <c r="U666" s="88"/>
      <c r="V666" s="88"/>
      <c r="W666" s="88"/>
      <c r="X666" s="88"/>
      <c r="Y666" s="88"/>
      <c r="Z666" s="88"/>
      <c r="AA666" s="88"/>
    </row>
    <row r="667">
      <c r="A667" s="88"/>
      <c r="B667" s="88"/>
      <c r="C667" s="88"/>
      <c r="D667" s="453"/>
      <c r="E667" s="88"/>
      <c r="F667" s="88"/>
      <c r="G667" s="88"/>
      <c r="H667" s="454"/>
      <c r="I667" s="455"/>
      <c r="J667" s="88"/>
      <c r="K667" s="88"/>
      <c r="L667" s="456"/>
      <c r="M667" s="88"/>
      <c r="N667" s="88"/>
      <c r="O667" s="88"/>
      <c r="P667" s="88"/>
      <c r="Q667" s="88"/>
      <c r="R667" s="88"/>
      <c r="S667" s="88"/>
      <c r="T667" s="88"/>
      <c r="U667" s="88"/>
      <c r="V667" s="88"/>
      <c r="W667" s="88"/>
      <c r="X667" s="88"/>
      <c r="Y667" s="88"/>
      <c r="Z667" s="88"/>
      <c r="AA667" s="88"/>
    </row>
    <row r="668">
      <c r="A668" s="88"/>
      <c r="B668" s="88"/>
      <c r="C668" s="88"/>
      <c r="D668" s="453"/>
      <c r="E668" s="88"/>
      <c r="F668" s="88"/>
      <c r="G668" s="88"/>
      <c r="H668" s="454"/>
      <c r="I668" s="455"/>
      <c r="J668" s="88"/>
      <c r="K668" s="88"/>
      <c r="L668" s="456"/>
      <c r="M668" s="88"/>
      <c r="N668" s="88"/>
      <c r="O668" s="88"/>
      <c r="P668" s="88"/>
      <c r="Q668" s="88"/>
      <c r="R668" s="88"/>
      <c r="S668" s="88"/>
      <c r="T668" s="88"/>
      <c r="U668" s="88"/>
      <c r="V668" s="88"/>
      <c r="W668" s="88"/>
      <c r="X668" s="88"/>
      <c r="Y668" s="88"/>
      <c r="Z668" s="88"/>
      <c r="AA668" s="88"/>
    </row>
    <row r="669">
      <c r="A669" s="88"/>
      <c r="B669" s="88"/>
      <c r="C669" s="88"/>
      <c r="D669" s="453"/>
      <c r="E669" s="88"/>
      <c r="F669" s="88"/>
      <c r="G669" s="88"/>
      <c r="H669" s="454"/>
      <c r="I669" s="455"/>
      <c r="J669" s="88"/>
      <c r="K669" s="88"/>
      <c r="L669" s="456"/>
      <c r="M669" s="88"/>
      <c r="N669" s="88"/>
      <c r="O669" s="88"/>
      <c r="P669" s="88"/>
      <c r="Q669" s="88"/>
      <c r="R669" s="88"/>
      <c r="S669" s="88"/>
      <c r="T669" s="88"/>
      <c r="U669" s="88"/>
      <c r="V669" s="88"/>
      <c r="W669" s="88"/>
      <c r="X669" s="88"/>
      <c r="Y669" s="88"/>
      <c r="Z669" s="88"/>
      <c r="AA669" s="88"/>
    </row>
    <row r="670">
      <c r="A670" s="88"/>
      <c r="B670" s="88"/>
      <c r="C670" s="88"/>
      <c r="D670" s="453"/>
      <c r="E670" s="88"/>
      <c r="F670" s="88"/>
      <c r="G670" s="88"/>
      <c r="H670" s="454"/>
      <c r="I670" s="455"/>
      <c r="J670" s="88"/>
      <c r="K670" s="88"/>
      <c r="L670" s="456"/>
      <c r="M670" s="88"/>
      <c r="N670" s="88"/>
      <c r="O670" s="88"/>
      <c r="P670" s="88"/>
      <c r="Q670" s="88"/>
      <c r="R670" s="88"/>
      <c r="S670" s="88"/>
      <c r="T670" s="88"/>
      <c r="U670" s="88"/>
      <c r="V670" s="88"/>
      <c r="W670" s="88"/>
      <c r="X670" s="88"/>
      <c r="Y670" s="88"/>
      <c r="Z670" s="88"/>
      <c r="AA670" s="88"/>
    </row>
    <row r="671">
      <c r="A671" s="88"/>
      <c r="B671" s="88"/>
      <c r="C671" s="88"/>
      <c r="D671" s="453"/>
      <c r="E671" s="88"/>
      <c r="F671" s="88"/>
      <c r="G671" s="88"/>
      <c r="H671" s="454"/>
      <c r="I671" s="455"/>
      <c r="J671" s="88"/>
      <c r="K671" s="88"/>
      <c r="L671" s="456"/>
      <c r="M671" s="88"/>
      <c r="N671" s="88"/>
      <c r="O671" s="88"/>
      <c r="P671" s="88"/>
      <c r="Q671" s="88"/>
      <c r="R671" s="88"/>
      <c r="S671" s="88"/>
      <c r="T671" s="88"/>
      <c r="U671" s="88"/>
      <c r="V671" s="88"/>
      <c r="W671" s="88"/>
      <c r="X671" s="88"/>
      <c r="Y671" s="88"/>
      <c r="Z671" s="88"/>
      <c r="AA671" s="88"/>
    </row>
    <row r="672">
      <c r="A672" s="88"/>
      <c r="B672" s="88"/>
      <c r="C672" s="88"/>
      <c r="D672" s="453"/>
      <c r="E672" s="88"/>
      <c r="F672" s="88"/>
      <c r="G672" s="88"/>
      <c r="H672" s="454"/>
      <c r="I672" s="455"/>
      <c r="J672" s="88"/>
      <c r="K672" s="88"/>
      <c r="L672" s="456"/>
      <c r="M672" s="88"/>
      <c r="N672" s="88"/>
      <c r="O672" s="88"/>
      <c r="P672" s="88"/>
      <c r="Q672" s="88"/>
      <c r="R672" s="88"/>
      <c r="S672" s="88"/>
      <c r="T672" s="88"/>
      <c r="U672" s="88"/>
      <c r="V672" s="88"/>
      <c r="W672" s="88"/>
      <c r="X672" s="88"/>
      <c r="Y672" s="88"/>
      <c r="Z672" s="88"/>
      <c r="AA672" s="88"/>
    </row>
    <row r="673">
      <c r="A673" s="88"/>
      <c r="B673" s="88"/>
      <c r="C673" s="88"/>
      <c r="D673" s="453"/>
      <c r="E673" s="88"/>
      <c r="F673" s="88"/>
      <c r="G673" s="88"/>
      <c r="H673" s="454"/>
      <c r="I673" s="455"/>
      <c r="J673" s="88"/>
      <c r="K673" s="88"/>
      <c r="L673" s="456"/>
      <c r="M673" s="88"/>
      <c r="N673" s="88"/>
      <c r="O673" s="88"/>
      <c r="P673" s="88"/>
      <c r="Q673" s="88"/>
      <c r="R673" s="88"/>
      <c r="S673" s="88"/>
      <c r="T673" s="88"/>
      <c r="U673" s="88"/>
      <c r="V673" s="88"/>
      <c r="W673" s="88"/>
      <c r="X673" s="88"/>
      <c r="Y673" s="88"/>
      <c r="Z673" s="88"/>
      <c r="AA673" s="88"/>
    </row>
    <row r="674">
      <c r="A674" s="88"/>
      <c r="B674" s="88"/>
      <c r="C674" s="88"/>
      <c r="D674" s="453"/>
      <c r="E674" s="88"/>
      <c r="F674" s="88"/>
      <c r="G674" s="88"/>
      <c r="H674" s="454"/>
      <c r="I674" s="455"/>
      <c r="J674" s="88"/>
      <c r="K674" s="88"/>
      <c r="L674" s="456"/>
      <c r="M674" s="88"/>
      <c r="N674" s="88"/>
      <c r="O674" s="88"/>
      <c r="P674" s="88"/>
      <c r="Q674" s="88"/>
      <c r="R674" s="88"/>
      <c r="S674" s="88"/>
      <c r="T674" s="88"/>
      <c r="U674" s="88"/>
      <c r="V674" s="88"/>
      <c r="W674" s="88"/>
      <c r="X674" s="88"/>
      <c r="Y674" s="88"/>
      <c r="Z674" s="88"/>
      <c r="AA674" s="88"/>
    </row>
    <row r="675">
      <c r="A675" s="88"/>
      <c r="B675" s="88"/>
      <c r="C675" s="88"/>
      <c r="D675" s="453"/>
      <c r="E675" s="88"/>
      <c r="F675" s="88"/>
      <c r="G675" s="88"/>
      <c r="H675" s="454"/>
      <c r="I675" s="455"/>
      <c r="J675" s="88"/>
      <c r="K675" s="88"/>
      <c r="L675" s="456"/>
      <c r="M675" s="88"/>
      <c r="N675" s="88"/>
      <c r="O675" s="88"/>
      <c r="P675" s="88"/>
      <c r="Q675" s="88"/>
      <c r="R675" s="88"/>
      <c r="S675" s="88"/>
      <c r="T675" s="88"/>
      <c r="U675" s="88"/>
      <c r="V675" s="88"/>
      <c r="W675" s="88"/>
      <c r="X675" s="88"/>
      <c r="Y675" s="88"/>
      <c r="Z675" s="88"/>
      <c r="AA675" s="88"/>
    </row>
    <row r="676">
      <c r="A676" s="88"/>
      <c r="B676" s="88"/>
      <c r="C676" s="88"/>
      <c r="D676" s="453"/>
      <c r="E676" s="88"/>
      <c r="F676" s="88"/>
      <c r="G676" s="88"/>
      <c r="H676" s="454"/>
      <c r="I676" s="455"/>
      <c r="J676" s="88"/>
      <c r="K676" s="88"/>
      <c r="L676" s="456"/>
      <c r="M676" s="88"/>
      <c r="N676" s="88"/>
      <c r="O676" s="88"/>
      <c r="P676" s="88"/>
      <c r="Q676" s="88"/>
      <c r="R676" s="88"/>
      <c r="S676" s="88"/>
      <c r="T676" s="88"/>
      <c r="U676" s="88"/>
      <c r="V676" s="88"/>
      <c r="W676" s="88"/>
      <c r="X676" s="88"/>
      <c r="Y676" s="88"/>
      <c r="Z676" s="88"/>
      <c r="AA676" s="88"/>
    </row>
    <row r="677">
      <c r="A677" s="88"/>
      <c r="B677" s="88"/>
      <c r="C677" s="88"/>
      <c r="D677" s="453"/>
      <c r="E677" s="88"/>
      <c r="F677" s="88"/>
      <c r="G677" s="88"/>
      <c r="H677" s="454"/>
      <c r="I677" s="455"/>
      <c r="J677" s="88"/>
      <c r="K677" s="88"/>
      <c r="L677" s="456"/>
      <c r="M677" s="88"/>
      <c r="N677" s="88"/>
      <c r="O677" s="88"/>
      <c r="P677" s="88"/>
      <c r="Q677" s="88"/>
      <c r="R677" s="88"/>
      <c r="S677" s="88"/>
      <c r="T677" s="88"/>
      <c r="U677" s="88"/>
      <c r="V677" s="88"/>
      <c r="W677" s="88"/>
      <c r="X677" s="88"/>
      <c r="Y677" s="88"/>
      <c r="Z677" s="88"/>
      <c r="AA677" s="88"/>
    </row>
    <row r="678">
      <c r="A678" s="88"/>
      <c r="B678" s="88"/>
      <c r="C678" s="88"/>
      <c r="D678" s="453"/>
      <c r="E678" s="88"/>
      <c r="F678" s="88"/>
      <c r="G678" s="88"/>
      <c r="H678" s="454"/>
      <c r="I678" s="455"/>
      <c r="J678" s="88"/>
      <c r="K678" s="88"/>
      <c r="L678" s="456"/>
      <c r="M678" s="88"/>
      <c r="N678" s="88"/>
      <c r="O678" s="88"/>
      <c r="P678" s="88"/>
      <c r="Q678" s="88"/>
      <c r="R678" s="88"/>
      <c r="S678" s="88"/>
      <c r="T678" s="88"/>
      <c r="U678" s="88"/>
      <c r="V678" s="88"/>
      <c r="W678" s="88"/>
      <c r="X678" s="88"/>
      <c r="Y678" s="88"/>
      <c r="Z678" s="88"/>
      <c r="AA678" s="88"/>
    </row>
    <row r="679">
      <c r="A679" s="88"/>
      <c r="B679" s="88"/>
      <c r="C679" s="88"/>
      <c r="D679" s="453"/>
      <c r="E679" s="88"/>
      <c r="F679" s="88"/>
      <c r="G679" s="88"/>
      <c r="H679" s="454"/>
      <c r="I679" s="455"/>
      <c r="J679" s="88"/>
      <c r="K679" s="88"/>
      <c r="L679" s="456"/>
      <c r="M679" s="88"/>
      <c r="N679" s="88"/>
      <c r="O679" s="88"/>
      <c r="P679" s="88"/>
      <c r="Q679" s="88"/>
      <c r="R679" s="88"/>
      <c r="S679" s="88"/>
      <c r="T679" s="88"/>
      <c r="U679" s="88"/>
      <c r="V679" s="88"/>
      <c r="W679" s="88"/>
      <c r="X679" s="88"/>
      <c r="Y679" s="88"/>
      <c r="Z679" s="88"/>
      <c r="AA679" s="88"/>
    </row>
    <row r="680">
      <c r="A680" s="88"/>
      <c r="B680" s="88"/>
      <c r="C680" s="88"/>
      <c r="D680" s="453"/>
      <c r="E680" s="88"/>
      <c r="F680" s="88"/>
      <c r="G680" s="88"/>
      <c r="H680" s="454"/>
      <c r="I680" s="455"/>
      <c r="J680" s="88"/>
      <c r="K680" s="88"/>
      <c r="L680" s="456"/>
      <c r="M680" s="88"/>
      <c r="N680" s="88"/>
      <c r="O680" s="88"/>
      <c r="P680" s="88"/>
      <c r="Q680" s="88"/>
      <c r="R680" s="88"/>
      <c r="S680" s="88"/>
      <c r="T680" s="88"/>
      <c r="U680" s="88"/>
      <c r="V680" s="88"/>
      <c r="W680" s="88"/>
      <c r="X680" s="88"/>
      <c r="Y680" s="88"/>
      <c r="Z680" s="88"/>
      <c r="AA680" s="88"/>
    </row>
    <row r="681">
      <c r="A681" s="88"/>
      <c r="B681" s="88"/>
      <c r="C681" s="88"/>
      <c r="D681" s="453"/>
      <c r="E681" s="88"/>
      <c r="F681" s="88"/>
      <c r="G681" s="88"/>
      <c r="H681" s="454"/>
      <c r="I681" s="455"/>
      <c r="J681" s="88"/>
      <c r="K681" s="88"/>
      <c r="L681" s="456"/>
      <c r="M681" s="88"/>
      <c r="N681" s="88"/>
      <c r="O681" s="88"/>
      <c r="P681" s="88"/>
      <c r="Q681" s="88"/>
      <c r="R681" s="88"/>
      <c r="S681" s="88"/>
      <c r="T681" s="88"/>
      <c r="U681" s="88"/>
      <c r="V681" s="88"/>
      <c r="W681" s="88"/>
      <c r="X681" s="88"/>
      <c r="Y681" s="88"/>
      <c r="Z681" s="88"/>
      <c r="AA681" s="88"/>
    </row>
    <row r="682">
      <c r="A682" s="88"/>
      <c r="B682" s="88"/>
      <c r="C682" s="88"/>
      <c r="D682" s="453"/>
      <c r="E682" s="88"/>
      <c r="F682" s="88"/>
      <c r="G682" s="88"/>
      <c r="H682" s="454"/>
      <c r="I682" s="455"/>
      <c r="J682" s="88"/>
      <c r="K682" s="88"/>
      <c r="L682" s="456"/>
      <c r="M682" s="88"/>
      <c r="N682" s="88"/>
      <c r="O682" s="88"/>
      <c r="P682" s="88"/>
      <c r="Q682" s="88"/>
      <c r="R682" s="88"/>
      <c r="S682" s="88"/>
      <c r="T682" s="88"/>
      <c r="U682" s="88"/>
      <c r="V682" s="88"/>
      <c r="W682" s="88"/>
      <c r="X682" s="88"/>
      <c r="Y682" s="88"/>
      <c r="Z682" s="88"/>
      <c r="AA682" s="88"/>
    </row>
    <row r="683">
      <c r="A683" s="88"/>
      <c r="B683" s="88"/>
      <c r="C683" s="88"/>
      <c r="D683" s="453"/>
      <c r="E683" s="88"/>
      <c r="F683" s="88"/>
      <c r="G683" s="88"/>
      <c r="H683" s="454"/>
      <c r="I683" s="455"/>
      <c r="J683" s="88"/>
      <c r="K683" s="88"/>
      <c r="L683" s="456"/>
      <c r="M683" s="88"/>
      <c r="N683" s="88"/>
      <c r="O683" s="88"/>
      <c r="P683" s="88"/>
      <c r="Q683" s="88"/>
      <c r="R683" s="88"/>
      <c r="S683" s="88"/>
      <c r="T683" s="88"/>
      <c r="U683" s="88"/>
      <c r="V683" s="88"/>
      <c r="W683" s="88"/>
      <c r="X683" s="88"/>
      <c r="Y683" s="88"/>
      <c r="Z683" s="88"/>
      <c r="AA683" s="88"/>
    </row>
    <row r="684">
      <c r="A684" s="88"/>
      <c r="B684" s="88"/>
      <c r="C684" s="88"/>
      <c r="D684" s="453"/>
      <c r="E684" s="88"/>
      <c r="F684" s="88"/>
      <c r="G684" s="88"/>
      <c r="H684" s="454"/>
      <c r="I684" s="455"/>
      <c r="J684" s="88"/>
      <c r="K684" s="88"/>
      <c r="L684" s="456"/>
      <c r="M684" s="88"/>
      <c r="N684" s="88"/>
      <c r="O684" s="88"/>
      <c r="P684" s="88"/>
      <c r="Q684" s="88"/>
      <c r="R684" s="88"/>
      <c r="S684" s="88"/>
      <c r="T684" s="88"/>
      <c r="U684" s="88"/>
      <c r="V684" s="88"/>
      <c r="W684" s="88"/>
      <c r="X684" s="88"/>
      <c r="Y684" s="88"/>
      <c r="Z684" s="88"/>
      <c r="AA684" s="88"/>
    </row>
    <row r="685">
      <c r="A685" s="88"/>
      <c r="B685" s="88"/>
      <c r="C685" s="88"/>
      <c r="D685" s="453"/>
      <c r="E685" s="88"/>
      <c r="F685" s="88"/>
      <c r="G685" s="88"/>
      <c r="H685" s="454"/>
      <c r="I685" s="455"/>
      <c r="J685" s="88"/>
      <c r="K685" s="88"/>
      <c r="L685" s="456"/>
      <c r="M685" s="88"/>
      <c r="N685" s="88"/>
      <c r="O685" s="88"/>
      <c r="P685" s="88"/>
      <c r="Q685" s="88"/>
      <c r="R685" s="88"/>
      <c r="S685" s="88"/>
      <c r="T685" s="88"/>
      <c r="U685" s="88"/>
      <c r="V685" s="88"/>
      <c r="W685" s="88"/>
      <c r="X685" s="88"/>
      <c r="Y685" s="88"/>
      <c r="Z685" s="88"/>
      <c r="AA685" s="88"/>
    </row>
    <row r="686">
      <c r="A686" s="88"/>
      <c r="B686" s="88"/>
      <c r="C686" s="88"/>
      <c r="D686" s="453"/>
      <c r="E686" s="88"/>
      <c r="F686" s="88"/>
      <c r="G686" s="88"/>
      <c r="H686" s="454"/>
      <c r="I686" s="455"/>
      <c r="J686" s="88"/>
      <c r="K686" s="88"/>
      <c r="L686" s="456"/>
      <c r="M686" s="88"/>
      <c r="N686" s="88"/>
      <c r="O686" s="88"/>
      <c r="P686" s="88"/>
      <c r="Q686" s="88"/>
      <c r="R686" s="88"/>
      <c r="S686" s="88"/>
      <c r="T686" s="88"/>
      <c r="U686" s="88"/>
      <c r="V686" s="88"/>
      <c r="W686" s="88"/>
      <c r="X686" s="88"/>
      <c r="Y686" s="88"/>
      <c r="Z686" s="88"/>
      <c r="AA686" s="88"/>
    </row>
    <row r="687">
      <c r="A687" s="88"/>
      <c r="B687" s="88"/>
      <c r="C687" s="88"/>
      <c r="D687" s="453"/>
      <c r="E687" s="88"/>
      <c r="F687" s="88"/>
      <c r="G687" s="88"/>
      <c r="H687" s="454"/>
      <c r="I687" s="455"/>
      <c r="J687" s="88"/>
      <c r="K687" s="88"/>
      <c r="L687" s="456"/>
      <c r="M687" s="88"/>
      <c r="N687" s="88"/>
      <c r="O687" s="88"/>
      <c r="P687" s="88"/>
      <c r="Q687" s="88"/>
      <c r="R687" s="88"/>
      <c r="S687" s="88"/>
      <c r="T687" s="88"/>
      <c r="U687" s="88"/>
      <c r="V687" s="88"/>
      <c r="W687" s="88"/>
      <c r="X687" s="88"/>
      <c r="Y687" s="88"/>
      <c r="Z687" s="88"/>
      <c r="AA687" s="88"/>
    </row>
    <row r="688">
      <c r="A688" s="88"/>
      <c r="B688" s="88"/>
      <c r="C688" s="88"/>
      <c r="D688" s="453"/>
      <c r="E688" s="88"/>
      <c r="F688" s="88"/>
      <c r="G688" s="88"/>
      <c r="H688" s="454"/>
      <c r="I688" s="455"/>
      <c r="J688" s="88"/>
      <c r="K688" s="88"/>
      <c r="L688" s="456"/>
      <c r="M688" s="88"/>
      <c r="N688" s="88"/>
      <c r="O688" s="88"/>
      <c r="P688" s="88"/>
      <c r="Q688" s="88"/>
      <c r="R688" s="88"/>
      <c r="S688" s="88"/>
      <c r="T688" s="88"/>
      <c r="U688" s="88"/>
      <c r="V688" s="88"/>
      <c r="W688" s="88"/>
      <c r="X688" s="88"/>
      <c r="Y688" s="88"/>
      <c r="Z688" s="88"/>
      <c r="AA688" s="88"/>
    </row>
    <row r="689">
      <c r="A689" s="88"/>
      <c r="B689" s="88"/>
      <c r="C689" s="88"/>
      <c r="D689" s="453"/>
      <c r="E689" s="88"/>
      <c r="F689" s="88"/>
      <c r="G689" s="88"/>
      <c r="H689" s="454"/>
      <c r="I689" s="455"/>
      <c r="J689" s="88"/>
      <c r="K689" s="88"/>
      <c r="L689" s="456"/>
      <c r="M689" s="88"/>
      <c r="N689" s="88"/>
      <c r="O689" s="88"/>
      <c r="P689" s="88"/>
      <c r="Q689" s="88"/>
      <c r="R689" s="88"/>
      <c r="S689" s="88"/>
      <c r="T689" s="88"/>
      <c r="U689" s="88"/>
      <c r="V689" s="88"/>
      <c r="W689" s="88"/>
      <c r="X689" s="88"/>
      <c r="Y689" s="88"/>
      <c r="Z689" s="88"/>
      <c r="AA689" s="88"/>
    </row>
    <row r="690">
      <c r="A690" s="88"/>
      <c r="B690" s="88"/>
      <c r="C690" s="88"/>
      <c r="D690" s="453"/>
      <c r="E690" s="88"/>
      <c r="F690" s="88"/>
      <c r="G690" s="88"/>
      <c r="H690" s="454"/>
      <c r="I690" s="455"/>
      <c r="J690" s="88"/>
      <c r="K690" s="88"/>
      <c r="L690" s="456"/>
      <c r="M690" s="88"/>
      <c r="N690" s="88"/>
      <c r="O690" s="88"/>
      <c r="P690" s="88"/>
      <c r="Q690" s="88"/>
      <c r="R690" s="88"/>
      <c r="S690" s="88"/>
      <c r="T690" s="88"/>
      <c r="U690" s="88"/>
      <c r="V690" s="88"/>
      <c r="W690" s="88"/>
      <c r="X690" s="88"/>
      <c r="Y690" s="88"/>
      <c r="Z690" s="88"/>
      <c r="AA690" s="88"/>
    </row>
    <row r="691">
      <c r="A691" s="88"/>
      <c r="B691" s="88"/>
      <c r="C691" s="88"/>
      <c r="D691" s="453"/>
      <c r="E691" s="88"/>
      <c r="F691" s="88"/>
      <c r="G691" s="88"/>
      <c r="H691" s="454"/>
      <c r="I691" s="455"/>
      <c r="J691" s="88"/>
      <c r="K691" s="88"/>
      <c r="L691" s="456"/>
      <c r="M691" s="88"/>
      <c r="N691" s="88"/>
      <c r="O691" s="88"/>
      <c r="P691" s="88"/>
      <c r="Q691" s="88"/>
      <c r="R691" s="88"/>
      <c r="S691" s="88"/>
      <c r="T691" s="88"/>
      <c r="U691" s="88"/>
      <c r="V691" s="88"/>
      <c r="W691" s="88"/>
      <c r="X691" s="88"/>
      <c r="Y691" s="88"/>
      <c r="Z691" s="88"/>
      <c r="AA691" s="88"/>
    </row>
    <row r="692">
      <c r="A692" s="88"/>
      <c r="B692" s="88"/>
      <c r="C692" s="88"/>
      <c r="D692" s="453"/>
      <c r="E692" s="88"/>
      <c r="F692" s="88"/>
      <c r="G692" s="88"/>
      <c r="H692" s="454"/>
      <c r="I692" s="455"/>
      <c r="J692" s="88"/>
      <c r="K692" s="88"/>
      <c r="L692" s="456"/>
      <c r="M692" s="88"/>
      <c r="N692" s="88"/>
      <c r="O692" s="88"/>
      <c r="P692" s="88"/>
      <c r="Q692" s="88"/>
      <c r="R692" s="88"/>
      <c r="S692" s="88"/>
      <c r="T692" s="88"/>
      <c r="U692" s="88"/>
      <c r="V692" s="88"/>
      <c r="W692" s="88"/>
      <c r="X692" s="88"/>
      <c r="Y692" s="88"/>
      <c r="Z692" s="88"/>
      <c r="AA692" s="88"/>
    </row>
    <row r="693">
      <c r="A693" s="88"/>
      <c r="B693" s="88"/>
      <c r="C693" s="88"/>
      <c r="D693" s="453"/>
      <c r="E693" s="88"/>
      <c r="F693" s="88"/>
      <c r="G693" s="88"/>
      <c r="H693" s="454"/>
      <c r="I693" s="455"/>
      <c r="J693" s="88"/>
      <c r="K693" s="88"/>
      <c r="L693" s="456"/>
      <c r="M693" s="88"/>
      <c r="N693" s="88"/>
      <c r="O693" s="88"/>
      <c r="P693" s="88"/>
      <c r="Q693" s="88"/>
      <c r="R693" s="88"/>
      <c r="S693" s="88"/>
      <c r="T693" s="88"/>
      <c r="U693" s="88"/>
      <c r="V693" s="88"/>
      <c r="W693" s="88"/>
      <c r="X693" s="88"/>
      <c r="Y693" s="88"/>
      <c r="Z693" s="88"/>
      <c r="AA693" s="88"/>
    </row>
    <row r="694">
      <c r="A694" s="88"/>
      <c r="B694" s="88"/>
      <c r="C694" s="88"/>
      <c r="D694" s="453"/>
      <c r="E694" s="88"/>
      <c r="F694" s="88"/>
      <c r="G694" s="88"/>
      <c r="H694" s="454"/>
      <c r="I694" s="455"/>
      <c r="J694" s="88"/>
      <c r="K694" s="88"/>
      <c r="L694" s="456"/>
      <c r="M694" s="88"/>
      <c r="N694" s="88"/>
      <c r="O694" s="88"/>
      <c r="P694" s="88"/>
      <c r="Q694" s="88"/>
      <c r="R694" s="88"/>
      <c r="S694" s="88"/>
      <c r="T694" s="88"/>
      <c r="U694" s="88"/>
      <c r="V694" s="88"/>
      <c r="W694" s="88"/>
      <c r="X694" s="88"/>
      <c r="Y694" s="88"/>
      <c r="Z694" s="88"/>
      <c r="AA694" s="88"/>
    </row>
    <row r="695">
      <c r="A695" s="88"/>
      <c r="B695" s="88"/>
      <c r="C695" s="88"/>
      <c r="D695" s="453"/>
      <c r="E695" s="88"/>
      <c r="F695" s="88"/>
      <c r="G695" s="88"/>
      <c r="H695" s="454"/>
      <c r="I695" s="455"/>
      <c r="J695" s="88"/>
      <c r="K695" s="88"/>
      <c r="L695" s="456"/>
      <c r="M695" s="88"/>
      <c r="N695" s="88"/>
      <c r="O695" s="88"/>
      <c r="P695" s="88"/>
      <c r="Q695" s="88"/>
      <c r="R695" s="88"/>
      <c r="S695" s="88"/>
      <c r="T695" s="88"/>
      <c r="U695" s="88"/>
      <c r="V695" s="88"/>
      <c r="W695" s="88"/>
      <c r="X695" s="88"/>
      <c r="Y695" s="88"/>
      <c r="Z695" s="88"/>
      <c r="AA695" s="88"/>
    </row>
    <row r="696">
      <c r="A696" s="88"/>
      <c r="B696" s="88"/>
      <c r="C696" s="88"/>
      <c r="D696" s="453"/>
      <c r="E696" s="88"/>
      <c r="F696" s="88"/>
      <c r="G696" s="88"/>
      <c r="H696" s="454"/>
      <c r="I696" s="455"/>
      <c r="J696" s="88"/>
      <c r="K696" s="88"/>
      <c r="L696" s="456"/>
      <c r="M696" s="88"/>
      <c r="N696" s="88"/>
      <c r="O696" s="88"/>
      <c r="P696" s="88"/>
      <c r="Q696" s="88"/>
      <c r="R696" s="88"/>
      <c r="S696" s="88"/>
      <c r="T696" s="88"/>
      <c r="U696" s="88"/>
      <c r="V696" s="88"/>
      <c r="W696" s="88"/>
      <c r="X696" s="88"/>
      <c r="Y696" s="88"/>
      <c r="Z696" s="88"/>
      <c r="AA696" s="88"/>
    </row>
    <row r="697">
      <c r="A697" s="88"/>
      <c r="B697" s="88"/>
      <c r="C697" s="88"/>
      <c r="D697" s="453"/>
      <c r="E697" s="88"/>
      <c r="F697" s="88"/>
      <c r="G697" s="88"/>
      <c r="H697" s="454"/>
      <c r="I697" s="455"/>
      <c r="J697" s="88"/>
      <c r="K697" s="88"/>
      <c r="L697" s="456"/>
      <c r="M697" s="88"/>
      <c r="N697" s="88"/>
      <c r="O697" s="88"/>
      <c r="P697" s="88"/>
      <c r="Q697" s="88"/>
      <c r="R697" s="88"/>
      <c r="S697" s="88"/>
      <c r="T697" s="88"/>
      <c r="U697" s="88"/>
      <c r="V697" s="88"/>
      <c r="W697" s="88"/>
      <c r="X697" s="88"/>
      <c r="Y697" s="88"/>
      <c r="Z697" s="88"/>
      <c r="AA697" s="88"/>
    </row>
    <row r="698">
      <c r="A698" s="88"/>
      <c r="B698" s="88"/>
      <c r="C698" s="88"/>
      <c r="D698" s="453"/>
      <c r="E698" s="88"/>
      <c r="F698" s="88"/>
      <c r="G698" s="88"/>
      <c r="H698" s="454"/>
      <c r="I698" s="455"/>
      <c r="J698" s="88"/>
      <c r="K698" s="88"/>
      <c r="L698" s="456"/>
      <c r="M698" s="88"/>
      <c r="N698" s="88"/>
      <c r="O698" s="88"/>
      <c r="P698" s="88"/>
      <c r="Q698" s="88"/>
      <c r="R698" s="88"/>
      <c r="S698" s="88"/>
      <c r="T698" s="88"/>
      <c r="U698" s="88"/>
      <c r="V698" s="88"/>
      <c r="W698" s="88"/>
      <c r="X698" s="88"/>
      <c r="Y698" s="88"/>
      <c r="Z698" s="88"/>
      <c r="AA698" s="88"/>
    </row>
    <row r="699">
      <c r="A699" s="88"/>
      <c r="B699" s="88"/>
      <c r="C699" s="88"/>
      <c r="D699" s="453"/>
      <c r="E699" s="88"/>
      <c r="F699" s="88"/>
      <c r="G699" s="88"/>
      <c r="H699" s="454"/>
      <c r="I699" s="455"/>
      <c r="J699" s="88"/>
      <c r="K699" s="88"/>
      <c r="L699" s="456"/>
      <c r="M699" s="88"/>
      <c r="N699" s="88"/>
      <c r="O699" s="88"/>
      <c r="P699" s="88"/>
      <c r="Q699" s="88"/>
      <c r="R699" s="88"/>
      <c r="S699" s="88"/>
      <c r="T699" s="88"/>
      <c r="U699" s="88"/>
      <c r="V699" s="88"/>
      <c r="W699" s="88"/>
      <c r="X699" s="88"/>
      <c r="Y699" s="88"/>
      <c r="Z699" s="88"/>
      <c r="AA699" s="88"/>
    </row>
    <row r="700">
      <c r="A700" s="88"/>
      <c r="B700" s="88"/>
      <c r="C700" s="88"/>
      <c r="D700" s="453"/>
      <c r="E700" s="88"/>
      <c r="F700" s="88"/>
      <c r="G700" s="88"/>
      <c r="H700" s="454"/>
      <c r="I700" s="455"/>
      <c r="J700" s="88"/>
      <c r="K700" s="88"/>
      <c r="L700" s="456"/>
      <c r="M700" s="88"/>
      <c r="N700" s="88"/>
      <c r="O700" s="88"/>
      <c r="P700" s="88"/>
      <c r="Q700" s="88"/>
      <c r="R700" s="88"/>
      <c r="S700" s="88"/>
      <c r="T700" s="88"/>
      <c r="U700" s="88"/>
      <c r="V700" s="88"/>
      <c r="W700" s="88"/>
      <c r="X700" s="88"/>
      <c r="Y700" s="88"/>
      <c r="Z700" s="88"/>
      <c r="AA700" s="88"/>
    </row>
    <row r="701">
      <c r="A701" s="88"/>
      <c r="B701" s="88"/>
      <c r="C701" s="88"/>
      <c r="D701" s="453"/>
      <c r="E701" s="88"/>
      <c r="F701" s="88"/>
      <c r="G701" s="88"/>
      <c r="H701" s="454"/>
      <c r="I701" s="455"/>
      <c r="J701" s="88"/>
      <c r="K701" s="88"/>
      <c r="L701" s="456"/>
      <c r="M701" s="88"/>
      <c r="N701" s="88"/>
      <c r="O701" s="88"/>
      <c r="P701" s="88"/>
      <c r="Q701" s="88"/>
      <c r="R701" s="88"/>
      <c r="S701" s="88"/>
      <c r="T701" s="88"/>
      <c r="U701" s="88"/>
      <c r="V701" s="88"/>
      <c r="W701" s="88"/>
      <c r="X701" s="88"/>
      <c r="Y701" s="88"/>
      <c r="Z701" s="88"/>
      <c r="AA701" s="88"/>
    </row>
    <row r="702">
      <c r="A702" s="88"/>
      <c r="B702" s="88"/>
      <c r="C702" s="88"/>
      <c r="D702" s="453"/>
      <c r="E702" s="88"/>
      <c r="F702" s="88"/>
      <c r="G702" s="88"/>
      <c r="H702" s="454"/>
      <c r="I702" s="455"/>
      <c r="J702" s="88"/>
      <c r="K702" s="88"/>
      <c r="L702" s="456"/>
      <c r="M702" s="88"/>
      <c r="N702" s="88"/>
      <c r="O702" s="88"/>
      <c r="P702" s="88"/>
      <c r="Q702" s="88"/>
      <c r="R702" s="88"/>
      <c r="S702" s="88"/>
      <c r="T702" s="88"/>
      <c r="U702" s="88"/>
      <c r="V702" s="88"/>
      <c r="W702" s="88"/>
      <c r="X702" s="88"/>
      <c r="Y702" s="88"/>
      <c r="Z702" s="88"/>
      <c r="AA702" s="88"/>
    </row>
    <row r="703">
      <c r="A703" s="88"/>
      <c r="B703" s="88"/>
      <c r="C703" s="88"/>
      <c r="D703" s="453"/>
      <c r="E703" s="88"/>
      <c r="F703" s="88"/>
      <c r="G703" s="88"/>
      <c r="H703" s="454"/>
      <c r="I703" s="455"/>
      <c r="J703" s="88"/>
      <c r="K703" s="88"/>
      <c r="L703" s="456"/>
      <c r="M703" s="88"/>
      <c r="N703" s="88"/>
      <c r="O703" s="88"/>
      <c r="P703" s="88"/>
      <c r="Q703" s="88"/>
      <c r="R703" s="88"/>
      <c r="S703" s="88"/>
      <c r="T703" s="88"/>
      <c r="U703" s="88"/>
      <c r="V703" s="88"/>
      <c r="W703" s="88"/>
      <c r="X703" s="88"/>
      <c r="Y703" s="88"/>
      <c r="Z703" s="88"/>
      <c r="AA703" s="88"/>
    </row>
    <row r="704">
      <c r="A704" s="88"/>
      <c r="B704" s="88"/>
      <c r="C704" s="88"/>
      <c r="D704" s="453"/>
      <c r="E704" s="88"/>
      <c r="F704" s="88"/>
      <c r="G704" s="88"/>
      <c r="H704" s="454"/>
      <c r="I704" s="455"/>
      <c r="J704" s="88"/>
      <c r="K704" s="88"/>
      <c r="L704" s="456"/>
      <c r="M704" s="88"/>
      <c r="N704" s="88"/>
      <c r="O704" s="88"/>
      <c r="P704" s="88"/>
      <c r="Q704" s="88"/>
      <c r="R704" s="88"/>
      <c r="S704" s="88"/>
      <c r="T704" s="88"/>
      <c r="U704" s="88"/>
      <c r="V704" s="88"/>
      <c r="W704" s="88"/>
      <c r="X704" s="88"/>
      <c r="Y704" s="88"/>
      <c r="Z704" s="88"/>
      <c r="AA704" s="88"/>
    </row>
    <row r="705">
      <c r="A705" s="88"/>
      <c r="B705" s="88"/>
      <c r="C705" s="88"/>
      <c r="D705" s="453"/>
      <c r="E705" s="88"/>
      <c r="F705" s="88"/>
      <c r="G705" s="88"/>
      <c r="H705" s="454"/>
      <c r="I705" s="455"/>
      <c r="J705" s="88"/>
      <c r="K705" s="88"/>
      <c r="L705" s="456"/>
      <c r="M705" s="88"/>
      <c r="N705" s="88"/>
      <c r="O705" s="88"/>
      <c r="P705" s="88"/>
      <c r="Q705" s="88"/>
      <c r="R705" s="88"/>
      <c r="S705" s="88"/>
      <c r="T705" s="88"/>
      <c r="U705" s="88"/>
      <c r="V705" s="88"/>
      <c r="W705" s="88"/>
      <c r="X705" s="88"/>
      <c r="Y705" s="88"/>
      <c r="Z705" s="88"/>
      <c r="AA705" s="88"/>
    </row>
    <row r="706">
      <c r="A706" s="88"/>
      <c r="B706" s="88"/>
      <c r="C706" s="88"/>
      <c r="D706" s="453"/>
      <c r="E706" s="88"/>
      <c r="F706" s="88"/>
      <c r="G706" s="88"/>
      <c r="H706" s="454"/>
      <c r="I706" s="455"/>
      <c r="J706" s="88"/>
      <c r="K706" s="88"/>
      <c r="L706" s="456"/>
      <c r="M706" s="88"/>
      <c r="N706" s="88"/>
      <c r="O706" s="88"/>
      <c r="P706" s="88"/>
      <c r="Q706" s="88"/>
      <c r="R706" s="88"/>
      <c r="S706" s="88"/>
      <c r="T706" s="88"/>
      <c r="U706" s="88"/>
      <c r="V706" s="88"/>
      <c r="W706" s="88"/>
      <c r="X706" s="88"/>
      <c r="Y706" s="88"/>
      <c r="Z706" s="88"/>
      <c r="AA706" s="88"/>
    </row>
    <row r="707">
      <c r="A707" s="88"/>
      <c r="B707" s="88"/>
      <c r="C707" s="88"/>
      <c r="D707" s="453"/>
      <c r="E707" s="88"/>
      <c r="F707" s="88"/>
      <c r="G707" s="88"/>
      <c r="H707" s="454"/>
      <c r="I707" s="455"/>
      <c r="J707" s="88"/>
      <c r="K707" s="88"/>
      <c r="L707" s="456"/>
      <c r="M707" s="88"/>
      <c r="N707" s="88"/>
      <c r="O707" s="88"/>
      <c r="P707" s="88"/>
      <c r="Q707" s="88"/>
      <c r="R707" s="88"/>
      <c r="S707" s="88"/>
      <c r="T707" s="88"/>
      <c r="U707" s="88"/>
      <c r="V707" s="88"/>
      <c r="W707" s="88"/>
      <c r="X707" s="88"/>
      <c r="Y707" s="88"/>
      <c r="Z707" s="88"/>
      <c r="AA707" s="88"/>
    </row>
    <row r="708">
      <c r="A708" s="88"/>
      <c r="B708" s="88"/>
      <c r="C708" s="88"/>
      <c r="D708" s="453"/>
      <c r="E708" s="88"/>
      <c r="F708" s="88"/>
      <c r="G708" s="88"/>
      <c r="H708" s="454"/>
      <c r="I708" s="455"/>
      <c r="J708" s="88"/>
      <c r="K708" s="88"/>
      <c r="L708" s="456"/>
      <c r="M708" s="88"/>
      <c r="N708" s="88"/>
      <c r="O708" s="88"/>
      <c r="P708" s="88"/>
      <c r="Q708" s="88"/>
      <c r="R708" s="88"/>
      <c r="S708" s="88"/>
      <c r="T708" s="88"/>
      <c r="U708" s="88"/>
      <c r="V708" s="88"/>
      <c r="W708" s="88"/>
      <c r="X708" s="88"/>
      <c r="Y708" s="88"/>
      <c r="Z708" s="88"/>
      <c r="AA708" s="88"/>
    </row>
    <row r="709">
      <c r="A709" s="88"/>
      <c r="B709" s="88"/>
      <c r="C709" s="88"/>
      <c r="D709" s="453"/>
      <c r="E709" s="88"/>
      <c r="F709" s="88"/>
      <c r="G709" s="88"/>
      <c r="H709" s="454"/>
      <c r="I709" s="455"/>
      <c r="J709" s="88"/>
      <c r="K709" s="88"/>
      <c r="L709" s="456"/>
      <c r="M709" s="88"/>
      <c r="N709" s="88"/>
      <c r="O709" s="88"/>
      <c r="P709" s="88"/>
      <c r="Q709" s="88"/>
      <c r="R709" s="88"/>
      <c r="S709" s="88"/>
      <c r="T709" s="88"/>
      <c r="U709" s="88"/>
      <c r="V709" s="88"/>
      <c r="W709" s="88"/>
      <c r="X709" s="88"/>
      <c r="Y709" s="88"/>
      <c r="Z709" s="88"/>
      <c r="AA709" s="88"/>
    </row>
    <row r="710">
      <c r="A710" s="88"/>
      <c r="B710" s="88"/>
      <c r="C710" s="88"/>
      <c r="D710" s="453"/>
      <c r="E710" s="88"/>
      <c r="F710" s="88"/>
      <c r="G710" s="88"/>
      <c r="H710" s="454"/>
      <c r="I710" s="455"/>
      <c r="J710" s="88"/>
      <c r="K710" s="88"/>
      <c r="L710" s="456"/>
      <c r="M710" s="88"/>
      <c r="N710" s="88"/>
      <c r="O710" s="88"/>
      <c r="P710" s="88"/>
      <c r="Q710" s="88"/>
      <c r="R710" s="88"/>
      <c r="S710" s="88"/>
      <c r="T710" s="88"/>
      <c r="U710" s="88"/>
      <c r="V710" s="88"/>
      <c r="W710" s="88"/>
      <c r="X710" s="88"/>
      <c r="Y710" s="88"/>
      <c r="Z710" s="88"/>
      <c r="AA710" s="88"/>
    </row>
    <row r="711">
      <c r="A711" s="88"/>
      <c r="B711" s="88"/>
      <c r="C711" s="88"/>
      <c r="D711" s="453"/>
      <c r="E711" s="88"/>
      <c r="F711" s="88"/>
      <c r="G711" s="88"/>
      <c r="H711" s="454"/>
      <c r="I711" s="455"/>
      <c r="J711" s="88"/>
      <c r="K711" s="88"/>
      <c r="L711" s="456"/>
      <c r="M711" s="88"/>
      <c r="N711" s="88"/>
      <c r="O711" s="88"/>
      <c r="P711" s="88"/>
      <c r="Q711" s="88"/>
      <c r="R711" s="88"/>
      <c r="S711" s="88"/>
      <c r="T711" s="88"/>
      <c r="U711" s="88"/>
      <c r="V711" s="88"/>
      <c r="W711" s="88"/>
      <c r="X711" s="88"/>
      <c r="Y711" s="88"/>
      <c r="Z711" s="88"/>
      <c r="AA711" s="88"/>
    </row>
    <row r="712">
      <c r="A712" s="88"/>
      <c r="B712" s="88"/>
      <c r="C712" s="88"/>
      <c r="D712" s="453"/>
      <c r="E712" s="88"/>
      <c r="F712" s="88"/>
      <c r="G712" s="88"/>
      <c r="H712" s="454"/>
      <c r="I712" s="455"/>
      <c r="J712" s="88"/>
      <c r="K712" s="88"/>
      <c r="L712" s="456"/>
      <c r="M712" s="88"/>
      <c r="N712" s="88"/>
      <c r="O712" s="88"/>
      <c r="P712" s="88"/>
      <c r="Q712" s="88"/>
      <c r="R712" s="88"/>
      <c r="S712" s="88"/>
      <c r="T712" s="88"/>
      <c r="U712" s="88"/>
      <c r="V712" s="88"/>
      <c r="W712" s="88"/>
      <c r="X712" s="88"/>
      <c r="Y712" s="88"/>
      <c r="Z712" s="88"/>
      <c r="AA712" s="88"/>
    </row>
    <row r="713">
      <c r="A713" s="88"/>
      <c r="B713" s="88"/>
      <c r="C713" s="88"/>
      <c r="D713" s="453"/>
      <c r="E713" s="88"/>
      <c r="F713" s="88"/>
      <c r="G713" s="88"/>
      <c r="H713" s="454"/>
      <c r="I713" s="455"/>
      <c r="J713" s="88"/>
      <c r="K713" s="88"/>
      <c r="L713" s="456"/>
      <c r="M713" s="88"/>
      <c r="N713" s="88"/>
      <c r="O713" s="88"/>
      <c r="P713" s="88"/>
      <c r="Q713" s="88"/>
      <c r="R713" s="88"/>
      <c r="S713" s="88"/>
      <c r="T713" s="88"/>
      <c r="U713" s="88"/>
      <c r="V713" s="88"/>
      <c r="W713" s="88"/>
      <c r="X713" s="88"/>
      <c r="Y713" s="88"/>
      <c r="Z713" s="88"/>
      <c r="AA713" s="88"/>
    </row>
    <row r="714">
      <c r="A714" s="88"/>
      <c r="B714" s="88"/>
      <c r="C714" s="88"/>
      <c r="D714" s="453"/>
      <c r="E714" s="88"/>
      <c r="F714" s="88"/>
      <c r="G714" s="88"/>
      <c r="H714" s="454"/>
      <c r="I714" s="455"/>
      <c r="J714" s="88"/>
      <c r="K714" s="88"/>
      <c r="L714" s="456"/>
      <c r="M714" s="88"/>
      <c r="N714" s="88"/>
      <c r="O714" s="88"/>
      <c r="P714" s="88"/>
      <c r="Q714" s="88"/>
      <c r="R714" s="88"/>
      <c r="S714" s="88"/>
      <c r="T714" s="88"/>
      <c r="U714" s="88"/>
      <c r="V714" s="88"/>
      <c r="W714" s="88"/>
      <c r="X714" s="88"/>
      <c r="Y714" s="88"/>
      <c r="Z714" s="88"/>
      <c r="AA714" s="88"/>
    </row>
    <row r="715">
      <c r="A715" s="88"/>
      <c r="B715" s="88"/>
      <c r="C715" s="88"/>
      <c r="D715" s="453"/>
      <c r="E715" s="88"/>
      <c r="F715" s="88"/>
      <c r="G715" s="88"/>
      <c r="H715" s="454"/>
      <c r="I715" s="455"/>
      <c r="J715" s="88"/>
      <c r="K715" s="88"/>
      <c r="L715" s="456"/>
      <c r="M715" s="88"/>
      <c r="N715" s="88"/>
      <c r="O715" s="88"/>
      <c r="P715" s="88"/>
      <c r="Q715" s="88"/>
      <c r="R715" s="88"/>
      <c r="S715" s="88"/>
      <c r="T715" s="88"/>
      <c r="U715" s="88"/>
      <c r="V715" s="88"/>
      <c r="W715" s="88"/>
      <c r="X715" s="88"/>
      <c r="Y715" s="88"/>
      <c r="Z715" s="88"/>
      <c r="AA715" s="88"/>
    </row>
    <row r="716">
      <c r="A716" s="88"/>
      <c r="B716" s="88"/>
      <c r="C716" s="88"/>
      <c r="D716" s="453"/>
      <c r="E716" s="88"/>
      <c r="F716" s="88"/>
      <c r="G716" s="88"/>
      <c r="H716" s="454"/>
      <c r="I716" s="455"/>
      <c r="J716" s="88"/>
      <c r="K716" s="88"/>
      <c r="L716" s="456"/>
      <c r="M716" s="88"/>
      <c r="N716" s="88"/>
      <c r="O716" s="88"/>
      <c r="P716" s="88"/>
      <c r="Q716" s="88"/>
      <c r="R716" s="88"/>
      <c r="S716" s="88"/>
      <c r="T716" s="88"/>
      <c r="U716" s="88"/>
      <c r="V716" s="88"/>
      <c r="W716" s="88"/>
      <c r="X716" s="88"/>
      <c r="Y716" s="88"/>
      <c r="Z716" s="88"/>
      <c r="AA716" s="88"/>
    </row>
    <row r="717">
      <c r="A717" s="88"/>
      <c r="B717" s="88"/>
      <c r="C717" s="88"/>
      <c r="D717" s="453"/>
      <c r="E717" s="88"/>
      <c r="F717" s="88"/>
      <c r="G717" s="88"/>
      <c r="H717" s="454"/>
      <c r="I717" s="455"/>
      <c r="J717" s="88"/>
      <c r="K717" s="88"/>
      <c r="L717" s="456"/>
      <c r="M717" s="88"/>
      <c r="N717" s="88"/>
      <c r="O717" s="88"/>
      <c r="P717" s="88"/>
      <c r="Q717" s="88"/>
      <c r="R717" s="88"/>
      <c r="S717" s="88"/>
      <c r="T717" s="88"/>
      <c r="U717" s="88"/>
      <c r="V717" s="88"/>
      <c r="W717" s="88"/>
      <c r="X717" s="88"/>
      <c r="Y717" s="88"/>
      <c r="Z717" s="88"/>
      <c r="AA717" s="88"/>
    </row>
    <row r="718">
      <c r="A718" s="88"/>
      <c r="B718" s="88"/>
      <c r="C718" s="88"/>
      <c r="D718" s="453"/>
      <c r="E718" s="88"/>
      <c r="F718" s="88"/>
      <c r="G718" s="88"/>
      <c r="H718" s="454"/>
      <c r="I718" s="455"/>
      <c r="J718" s="88"/>
      <c r="K718" s="88"/>
      <c r="L718" s="456"/>
      <c r="M718" s="88"/>
      <c r="N718" s="88"/>
      <c r="O718" s="88"/>
      <c r="P718" s="88"/>
      <c r="Q718" s="88"/>
      <c r="R718" s="88"/>
      <c r="S718" s="88"/>
      <c r="T718" s="88"/>
      <c r="U718" s="88"/>
      <c r="V718" s="88"/>
      <c r="W718" s="88"/>
      <c r="X718" s="88"/>
      <c r="Y718" s="88"/>
      <c r="Z718" s="88"/>
      <c r="AA718" s="88"/>
    </row>
    <row r="719">
      <c r="A719" s="88"/>
      <c r="B719" s="88"/>
      <c r="C719" s="88"/>
      <c r="D719" s="453"/>
      <c r="E719" s="88"/>
      <c r="F719" s="88"/>
      <c r="G719" s="88"/>
      <c r="H719" s="454"/>
      <c r="I719" s="455"/>
      <c r="J719" s="88"/>
      <c r="K719" s="88"/>
      <c r="L719" s="456"/>
      <c r="M719" s="88"/>
      <c r="N719" s="88"/>
      <c r="O719" s="88"/>
      <c r="P719" s="88"/>
      <c r="Q719" s="88"/>
      <c r="R719" s="88"/>
      <c r="S719" s="88"/>
      <c r="T719" s="88"/>
      <c r="U719" s="88"/>
      <c r="V719" s="88"/>
      <c r="W719" s="88"/>
      <c r="X719" s="88"/>
      <c r="Y719" s="88"/>
      <c r="Z719" s="88"/>
      <c r="AA719" s="88"/>
    </row>
    <row r="720">
      <c r="A720" s="88"/>
      <c r="B720" s="88"/>
      <c r="C720" s="88"/>
      <c r="D720" s="453"/>
      <c r="E720" s="88"/>
      <c r="F720" s="88"/>
      <c r="G720" s="88"/>
      <c r="H720" s="454"/>
      <c r="I720" s="455"/>
      <c r="J720" s="88"/>
      <c r="K720" s="88"/>
      <c r="L720" s="456"/>
      <c r="M720" s="88"/>
      <c r="N720" s="88"/>
      <c r="O720" s="88"/>
      <c r="P720" s="88"/>
      <c r="Q720" s="88"/>
      <c r="R720" s="88"/>
      <c r="S720" s="88"/>
      <c r="T720" s="88"/>
      <c r="U720" s="88"/>
      <c r="V720" s="88"/>
      <c r="W720" s="88"/>
      <c r="X720" s="88"/>
      <c r="Y720" s="88"/>
      <c r="Z720" s="88"/>
      <c r="AA720" s="88"/>
    </row>
    <row r="721">
      <c r="A721" s="88"/>
      <c r="B721" s="88"/>
      <c r="C721" s="88"/>
      <c r="D721" s="453"/>
      <c r="E721" s="88"/>
      <c r="F721" s="88"/>
      <c r="G721" s="88"/>
      <c r="H721" s="454"/>
      <c r="I721" s="455"/>
      <c r="J721" s="88"/>
      <c r="K721" s="88"/>
      <c r="L721" s="456"/>
      <c r="M721" s="88"/>
      <c r="N721" s="88"/>
      <c r="O721" s="88"/>
      <c r="P721" s="88"/>
      <c r="Q721" s="88"/>
      <c r="R721" s="88"/>
      <c r="S721" s="88"/>
      <c r="T721" s="88"/>
      <c r="U721" s="88"/>
      <c r="V721" s="88"/>
      <c r="W721" s="88"/>
      <c r="X721" s="88"/>
      <c r="Y721" s="88"/>
      <c r="Z721" s="88"/>
      <c r="AA721" s="88"/>
    </row>
    <row r="722">
      <c r="A722" s="88"/>
      <c r="B722" s="88"/>
      <c r="C722" s="88"/>
      <c r="D722" s="453"/>
      <c r="E722" s="88"/>
      <c r="F722" s="88"/>
      <c r="G722" s="88"/>
      <c r="H722" s="454"/>
      <c r="I722" s="455"/>
      <c r="J722" s="88"/>
      <c r="K722" s="88"/>
      <c r="L722" s="456"/>
      <c r="M722" s="88"/>
      <c r="N722" s="88"/>
      <c r="O722" s="88"/>
      <c r="P722" s="88"/>
      <c r="Q722" s="88"/>
      <c r="R722" s="88"/>
      <c r="S722" s="88"/>
      <c r="T722" s="88"/>
      <c r="U722" s="88"/>
      <c r="V722" s="88"/>
      <c r="W722" s="88"/>
      <c r="X722" s="88"/>
      <c r="Y722" s="88"/>
      <c r="Z722" s="88"/>
      <c r="AA722" s="88"/>
    </row>
    <row r="723">
      <c r="A723" s="88"/>
      <c r="B723" s="88"/>
      <c r="C723" s="88"/>
      <c r="D723" s="453"/>
      <c r="E723" s="88"/>
      <c r="F723" s="88"/>
      <c r="G723" s="88"/>
      <c r="H723" s="454"/>
      <c r="I723" s="455"/>
      <c r="J723" s="88"/>
      <c r="K723" s="88"/>
      <c r="L723" s="456"/>
      <c r="M723" s="88"/>
      <c r="N723" s="88"/>
      <c r="O723" s="88"/>
      <c r="P723" s="88"/>
      <c r="Q723" s="88"/>
      <c r="R723" s="88"/>
      <c r="S723" s="88"/>
      <c r="T723" s="88"/>
      <c r="U723" s="88"/>
      <c r="V723" s="88"/>
      <c r="W723" s="88"/>
      <c r="X723" s="88"/>
      <c r="Y723" s="88"/>
      <c r="Z723" s="88"/>
      <c r="AA723" s="88"/>
    </row>
    <row r="724">
      <c r="A724" s="88"/>
      <c r="B724" s="88"/>
      <c r="C724" s="88"/>
      <c r="D724" s="453"/>
      <c r="E724" s="88"/>
      <c r="F724" s="88"/>
      <c r="G724" s="88"/>
      <c r="H724" s="454"/>
      <c r="I724" s="455"/>
      <c r="J724" s="88"/>
      <c r="K724" s="88"/>
      <c r="L724" s="456"/>
      <c r="M724" s="88"/>
      <c r="N724" s="88"/>
      <c r="O724" s="88"/>
      <c r="P724" s="88"/>
      <c r="Q724" s="88"/>
      <c r="R724" s="88"/>
      <c r="S724" s="88"/>
      <c r="T724" s="88"/>
      <c r="U724" s="88"/>
      <c r="V724" s="88"/>
      <c r="W724" s="88"/>
      <c r="X724" s="88"/>
      <c r="Y724" s="88"/>
      <c r="Z724" s="88"/>
      <c r="AA724" s="88"/>
    </row>
    <row r="725">
      <c r="A725" s="88"/>
      <c r="B725" s="88"/>
      <c r="C725" s="88"/>
      <c r="D725" s="453"/>
      <c r="E725" s="88"/>
      <c r="F725" s="88"/>
      <c r="G725" s="88"/>
      <c r="H725" s="454"/>
      <c r="I725" s="455"/>
      <c r="J725" s="88"/>
      <c r="K725" s="88"/>
      <c r="L725" s="456"/>
      <c r="M725" s="88"/>
      <c r="N725" s="88"/>
      <c r="O725" s="88"/>
      <c r="P725" s="88"/>
      <c r="Q725" s="88"/>
      <c r="R725" s="88"/>
      <c r="S725" s="88"/>
      <c r="T725" s="88"/>
      <c r="U725" s="88"/>
      <c r="V725" s="88"/>
      <c r="W725" s="88"/>
      <c r="X725" s="88"/>
      <c r="Y725" s="88"/>
      <c r="Z725" s="88"/>
      <c r="AA725" s="88"/>
    </row>
    <row r="726">
      <c r="A726" s="88"/>
      <c r="B726" s="88"/>
      <c r="C726" s="88"/>
      <c r="D726" s="453"/>
      <c r="E726" s="88"/>
      <c r="F726" s="88"/>
      <c r="G726" s="88"/>
      <c r="H726" s="454"/>
      <c r="I726" s="455"/>
      <c r="J726" s="88"/>
      <c r="K726" s="88"/>
      <c r="L726" s="456"/>
      <c r="M726" s="88"/>
      <c r="N726" s="88"/>
      <c r="O726" s="88"/>
      <c r="P726" s="88"/>
      <c r="Q726" s="88"/>
      <c r="R726" s="88"/>
      <c r="S726" s="88"/>
      <c r="T726" s="88"/>
      <c r="U726" s="88"/>
      <c r="V726" s="88"/>
      <c r="W726" s="88"/>
      <c r="X726" s="88"/>
      <c r="Y726" s="88"/>
      <c r="Z726" s="88"/>
      <c r="AA726" s="88"/>
    </row>
    <row r="727">
      <c r="A727" s="88"/>
      <c r="B727" s="88"/>
      <c r="C727" s="88"/>
      <c r="D727" s="453"/>
      <c r="E727" s="88"/>
      <c r="F727" s="88"/>
      <c r="G727" s="88"/>
      <c r="H727" s="454"/>
      <c r="I727" s="455"/>
      <c r="J727" s="88"/>
      <c r="K727" s="88"/>
      <c r="L727" s="456"/>
      <c r="M727" s="88"/>
      <c r="N727" s="88"/>
      <c r="O727" s="88"/>
      <c r="P727" s="88"/>
      <c r="Q727" s="88"/>
      <c r="R727" s="88"/>
      <c r="S727" s="88"/>
      <c r="T727" s="88"/>
      <c r="U727" s="88"/>
      <c r="V727" s="88"/>
      <c r="W727" s="88"/>
      <c r="X727" s="88"/>
      <c r="Y727" s="88"/>
      <c r="Z727" s="88"/>
      <c r="AA727" s="88"/>
    </row>
    <row r="728">
      <c r="A728" s="88"/>
      <c r="B728" s="88"/>
      <c r="C728" s="88"/>
      <c r="D728" s="453"/>
      <c r="E728" s="88"/>
      <c r="F728" s="88"/>
      <c r="G728" s="88"/>
      <c r="H728" s="454"/>
      <c r="I728" s="455"/>
      <c r="J728" s="88"/>
      <c r="K728" s="88"/>
      <c r="L728" s="456"/>
      <c r="M728" s="88"/>
      <c r="N728" s="88"/>
      <c r="O728" s="88"/>
      <c r="P728" s="88"/>
      <c r="Q728" s="88"/>
      <c r="R728" s="88"/>
      <c r="S728" s="88"/>
      <c r="T728" s="88"/>
      <c r="U728" s="88"/>
      <c r="V728" s="88"/>
      <c r="W728" s="88"/>
      <c r="X728" s="88"/>
      <c r="Y728" s="88"/>
      <c r="Z728" s="88"/>
      <c r="AA728" s="88"/>
    </row>
    <row r="729">
      <c r="A729" s="88"/>
      <c r="B729" s="88"/>
      <c r="C729" s="88"/>
      <c r="D729" s="453"/>
      <c r="E729" s="88"/>
      <c r="F729" s="88"/>
      <c r="G729" s="88"/>
      <c r="H729" s="454"/>
      <c r="I729" s="455"/>
      <c r="J729" s="88"/>
      <c r="K729" s="88"/>
      <c r="L729" s="456"/>
      <c r="M729" s="88"/>
      <c r="N729" s="88"/>
      <c r="O729" s="88"/>
      <c r="P729" s="88"/>
      <c r="Q729" s="88"/>
      <c r="R729" s="88"/>
      <c r="S729" s="88"/>
      <c r="T729" s="88"/>
      <c r="U729" s="88"/>
      <c r="V729" s="88"/>
      <c r="W729" s="88"/>
      <c r="X729" s="88"/>
      <c r="Y729" s="88"/>
      <c r="Z729" s="88"/>
      <c r="AA729" s="88"/>
    </row>
    <row r="730">
      <c r="A730" s="88"/>
      <c r="B730" s="88"/>
      <c r="C730" s="88"/>
      <c r="D730" s="453"/>
      <c r="E730" s="88"/>
      <c r="F730" s="88"/>
      <c r="G730" s="88"/>
      <c r="H730" s="454"/>
      <c r="I730" s="455"/>
      <c r="J730" s="88"/>
      <c r="K730" s="88"/>
      <c r="L730" s="456"/>
      <c r="M730" s="88"/>
      <c r="N730" s="88"/>
      <c r="O730" s="88"/>
      <c r="P730" s="88"/>
      <c r="Q730" s="88"/>
      <c r="R730" s="88"/>
      <c r="S730" s="88"/>
      <c r="T730" s="88"/>
      <c r="U730" s="88"/>
      <c r="V730" s="88"/>
      <c r="W730" s="88"/>
      <c r="X730" s="88"/>
      <c r="Y730" s="88"/>
      <c r="Z730" s="88"/>
      <c r="AA730" s="88"/>
    </row>
    <row r="731">
      <c r="A731" s="88"/>
      <c r="B731" s="88"/>
      <c r="C731" s="88"/>
      <c r="D731" s="453"/>
      <c r="E731" s="88"/>
      <c r="F731" s="88"/>
      <c r="G731" s="88"/>
      <c r="H731" s="454"/>
      <c r="I731" s="455"/>
      <c r="J731" s="88"/>
      <c r="K731" s="88"/>
      <c r="L731" s="456"/>
      <c r="M731" s="88"/>
      <c r="N731" s="88"/>
      <c r="O731" s="88"/>
      <c r="P731" s="88"/>
      <c r="Q731" s="88"/>
      <c r="R731" s="88"/>
      <c r="S731" s="88"/>
      <c r="T731" s="88"/>
      <c r="U731" s="88"/>
      <c r="V731" s="88"/>
      <c r="W731" s="88"/>
      <c r="X731" s="88"/>
      <c r="Y731" s="88"/>
      <c r="Z731" s="88"/>
      <c r="AA731" s="88"/>
    </row>
    <row r="732">
      <c r="A732" s="88"/>
      <c r="B732" s="88"/>
      <c r="C732" s="88"/>
      <c r="D732" s="453"/>
      <c r="E732" s="88"/>
      <c r="F732" s="88"/>
      <c r="G732" s="88"/>
      <c r="H732" s="454"/>
      <c r="I732" s="455"/>
      <c r="J732" s="88"/>
      <c r="K732" s="88"/>
      <c r="L732" s="456"/>
      <c r="M732" s="88"/>
      <c r="N732" s="88"/>
      <c r="O732" s="88"/>
      <c r="P732" s="88"/>
      <c r="Q732" s="88"/>
      <c r="R732" s="88"/>
      <c r="S732" s="88"/>
      <c r="T732" s="88"/>
      <c r="U732" s="88"/>
      <c r="V732" s="88"/>
      <c r="W732" s="88"/>
      <c r="X732" s="88"/>
      <c r="Y732" s="88"/>
      <c r="Z732" s="88"/>
      <c r="AA732" s="88"/>
    </row>
    <row r="733">
      <c r="A733" s="88"/>
      <c r="B733" s="88"/>
      <c r="C733" s="88"/>
      <c r="D733" s="453"/>
      <c r="E733" s="88"/>
      <c r="F733" s="88"/>
      <c r="G733" s="88"/>
      <c r="H733" s="454"/>
      <c r="I733" s="455"/>
      <c r="J733" s="88"/>
      <c r="K733" s="88"/>
      <c r="L733" s="456"/>
      <c r="M733" s="88"/>
      <c r="N733" s="88"/>
      <c r="O733" s="88"/>
      <c r="P733" s="88"/>
      <c r="Q733" s="88"/>
      <c r="R733" s="88"/>
      <c r="S733" s="88"/>
      <c r="T733" s="88"/>
      <c r="U733" s="88"/>
      <c r="V733" s="88"/>
      <c r="W733" s="88"/>
      <c r="X733" s="88"/>
      <c r="Y733" s="88"/>
      <c r="Z733" s="88"/>
      <c r="AA733" s="88"/>
    </row>
    <row r="734">
      <c r="A734" s="88"/>
      <c r="B734" s="88"/>
      <c r="C734" s="88"/>
      <c r="D734" s="453"/>
      <c r="E734" s="88"/>
      <c r="F734" s="88"/>
      <c r="G734" s="88"/>
      <c r="H734" s="454"/>
      <c r="I734" s="455"/>
      <c r="J734" s="88"/>
      <c r="K734" s="88"/>
      <c r="L734" s="456"/>
      <c r="M734" s="88"/>
      <c r="N734" s="88"/>
      <c r="O734" s="88"/>
      <c r="P734" s="88"/>
      <c r="Q734" s="88"/>
      <c r="R734" s="88"/>
      <c r="S734" s="88"/>
      <c r="T734" s="88"/>
      <c r="U734" s="88"/>
      <c r="V734" s="88"/>
      <c r="W734" s="88"/>
      <c r="X734" s="88"/>
      <c r="Y734" s="88"/>
      <c r="Z734" s="88"/>
      <c r="AA734" s="88"/>
    </row>
    <row r="735">
      <c r="A735" s="88"/>
      <c r="B735" s="88"/>
      <c r="C735" s="88"/>
      <c r="D735" s="453"/>
      <c r="E735" s="88"/>
      <c r="F735" s="88"/>
      <c r="G735" s="88"/>
      <c r="H735" s="454"/>
      <c r="I735" s="455"/>
      <c r="J735" s="88"/>
      <c r="K735" s="88"/>
      <c r="L735" s="456"/>
      <c r="M735" s="88"/>
      <c r="N735" s="88"/>
      <c r="O735" s="88"/>
      <c r="P735" s="88"/>
      <c r="Q735" s="88"/>
      <c r="R735" s="88"/>
      <c r="S735" s="88"/>
      <c r="T735" s="88"/>
      <c r="U735" s="88"/>
      <c r="V735" s="88"/>
      <c r="W735" s="88"/>
      <c r="X735" s="88"/>
      <c r="Y735" s="88"/>
      <c r="Z735" s="88"/>
      <c r="AA735" s="88"/>
    </row>
    <row r="736">
      <c r="A736" s="88"/>
      <c r="B736" s="88"/>
      <c r="C736" s="88"/>
      <c r="D736" s="453"/>
      <c r="E736" s="88"/>
      <c r="F736" s="88"/>
      <c r="G736" s="88"/>
      <c r="H736" s="454"/>
      <c r="I736" s="455"/>
      <c r="J736" s="88"/>
      <c r="K736" s="88"/>
      <c r="L736" s="456"/>
      <c r="M736" s="88"/>
      <c r="N736" s="88"/>
      <c r="O736" s="88"/>
      <c r="P736" s="88"/>
      <c r="Q736" s="88"/>
      <c r="R736" s="88"/>
      <c r="S736" s="88"/>
      <c r="T736" s="88"/>
      <c r="U736" s="88"/>
      <c r="V736" s="88"/>
      <c r="W736" s="88"/>
      <c r="X736" s="88"/>
      <c r="Y736" s="88"/>
      <c r="Z736" s="88"/>
      <c r="AA736" s="88"/>
    </row>
    <row r="737">
      <c r="A737" s="88"/>
      <c r="B737" s="88"/>
      <c r="C737" s="88"/>
      <c r="D737" s="453"/>
      <c r="E737" s="88"/>
      <c r="F737" s="88"/>
      <c r="G737" s="88"/>
      <c r="H737" s="454"/>
      <c r="I737" s="455"/>
      <c r="J737" s="88"/>
      <c r="K737" s="88"/>
      <c r="L737" s="456"/>
      <c r="M737" s="88"/>
      <c r="N737" s="88"/>
      <c r="O737" s="88"/>
      <c r="P737" s="88"/>
      <c r="Q737" s="88"/>
      <c r="R737" s="88"/>
      <c r="S737" s="88"/>
      <c r="T737" s="88"/>
      <c r="U737" s="88"/>
      <c r="V737" s="88"/>
      <c r="W737" s="88"/>
      <c r="X737" s="88"/>
      <c r="Y737" s="88"/>
      <c r="Z737" s="88"/>
      <c r="AA737" s="88"/>
    </row>
    <row r="738">
      <c r="A738" s="88"/>
      <c r="B738" s="88"/>
      <c r="C738" s="88"/>
      <c r="D738" s="453"/>
      <c r="E738" s="88"/>
      <c r="F738" s="88"/>
      <c r="G738" s="88"/>
      <c r="H738" s="454"/>
      <c r="I738" s="455"/>
      <c r="J738" s="88"/>
      <c r="K738" s="88"/>
      <c r="L738" s="456"/>
      <c r="M738" s="88"/>
      <c r="N738" s="88"/>
      <c r="O738" s="88"/>
      <c r="P738" s="88"/>
      <c r="Q738" s="88"/>
      <c r="R738" s="88"/>
      <c r="S738" s="88"/>
      <c r="T738" s="88"/>
      <c r="U738" s="88"/>
      <c r="V738" s="88"/>
      <c r="W738" s="88"/>
      <c r="X738" s="88"/>
      <c r="Y738" s="88"/>
      <c r="Z738" s="88"/>
      <c r="AA738" s="88"/>
    </row>
    <row r="739">
      <c r="A739" s="88"/>
      <c r="B739" s="88"/>
      <c r="C739" s="88"/>
      <c r="D739" s="453"/>
      <c r="E739" s="88"/>
      <c r="F739" s="88"/>
      <c r="G739" s="88"/>
      <c r="H739" s="454"/>
      <c r="I739" s="455"/>
      <c r="J739" s="88"/>
      <c r="K739" s="88"/>
      <c r="L739" s="456"/>
      <c r="M739" s="88"/>
      <c r="N739" s="88"/>
      <c r="O739" s="88"/>
      <c r="P739" s="88"/>
      <c r="Q739" s="88"/>
      <c r="R739" s="88"/>
      <c r="S739" s="88"/>
      <c r="T739" s="88"/>
      <c r="U739" s="88"/>
      <c r="V739" s="88"/>
      <c r="W739" s="88"/>
      <c r="X739" s="88"/>
      <c r="Y739" s="88"/>
      <c r="Z739" s="88"/>
      <c r="AA739" s="88"/>
    </row>
    <row r="740">
      <c r="A740" s="88"/>
      <c r="B740" s="88"/>
      <c r="C740" s="88"/>
      <c r="D740" s="453"/>
      <c r="E740" s="88"/>
      <c r="F740" s="88"/>
      <c r="G740" s="88"/>
      <c r="H740" s="454"/>
      <c r="I740" s="455"/>
      <c r="J740" s="88"/>
      <c r="K740" s="88"/>
      <c r="L740" s="456"/>
      <c r="M740" s="88"/>
      <c r="N740" s="88"/>
      <c r="O740" s="88"/>
      <c r="P740" s="88"/>
      <c r="Q740" s="88"/>
      <c r="R740" s="88"/>
      <c r="S740" s="88"/>
      <c r="T740" s="88"/>
      <c r="U740" s="88"/>
      <c r="V740" s="88"/>
      <c r="W740" s="88"/>
      <c r="X740" s="88"/>
      <c r="Y740" s="88"/>
      <c r="Z740" s="88"/>
      <c r="AA740" s="88"/>
    </row>
    <row r="741">
      <c r="A741" s="88"/>
      <c r="B741" s="88"/>
      <c r="C741" s="88"/>
      <c r="D741" s="453"/>
      <c r="E741" s="88"/>
      <c r="F741" s="88"/>
      <c r="G741" s="88"/>
      <c r="H741" s="454"/>
      <c r="I741" s="455"/>
      <c r="J741" s="88"/>
      <c r="K741" s="88"/>
      <c r="L741" s="456"/>
      <c r="M741" s="88"/>
      <c r="N741" s="88"/>
      <c r="O741" s="88"/>
      <c r="P741" s="88"/>
      <c r="Q741" s="88"/>
      <c r="R741" s="88"/>
      <c r="S741" s="88"/>
      <c r="T741" s="88"/>
      <c r="U741" s="88"/>
      <c r="V741" s="88"/>
      <c r="W741" s="88"/>
      <c r="X741" s="88"/>
      <c r="Y741" s="88"/>
      <c r="Z741" s="88"/>
      <c r="AA741" s="88"/>
    </row>
    <row r="742">
      <c r="A742" s="88"/>
      <c r="B742" s="88"/>
      <c r="C742" s="88"/>
      <c r="D742" s="453"/>
      <c r="E742" s="88"/>
      <c r="F742" s="88"/>
      <c r="G742" s="88"/>
      <c r="H742" s="454"/>
      <c r="I742" s="455"/>
      <c r="J742" s="88"/>
      <c r="K742" s="88"/>
      <c r="L742" s="456"/>
      <c r="M742" s="88"/>
      <c r="N742" s="88"/>
      <c r="O742" s="88"/>
      <c r="P742" s="88"/>
      <c r="Q742" s="88"/>
      <c r="R742" s="88"/>
      <c r="S742" s="88"/>
      <c r="T742" s="88"/>
      <c r="U742" s="88"/>
      <c r="V742" s="88"/>
      <c r="W742" s="88"/>
      <c r="X742" s="88"/>
      <c r="Y742" s="88"/>
      <c r="Z742" s="88"/>
      <c r="AA742" s="88"/>
    </row>
    <row r="743">
      <c r="A743" s="88"/>
      <c r="B743" s="88"/>
      <c r="C743" s="88"/>
      <c r="D743" s="453"/>
      <c r="E743" s="88"/>
      <c r="F743" s="88"/>
      <c r="G743" s="88"/>
      <c r="H743" s="454"/>
      <c r="I743" s="455"/>
      <c r="J743" s="88"/>
      <c r="K743" s="88"/>
      <c r="L743" s="456"/>
      <c r="M743" s="88"/>
      <c r="N743" s="88"/>
      <c r="O743" s="88"/>
      <c r="P743" s="88"/>
      <c r="Q743" s="88"/>
      <c r="R743" s="88"/>
      <c r="S743" s="88"/>
      <c r="T743" s="88"/>
      <c r="U743" s="88"/>
      <c r="V743" s="88"/>
      <c r="W743" s="88"/>
      <c r="X743" s="88"/>
      <c r="Y743" s="88"/>
      <c r="Z743" s="88"/>
      <c r="AA743" s="88"/>
    </row>
    <row r="744">
      <c r="A744" s="88"/>
      <c r="B744" s="88"/>
      <c r="C744" s="88"/>
      <c r="D744" s="453"/>
      <c r="E744" s="88"/>
      <c r="F744" s="88"/>
      <c r="G744" s="88"/>
      <c r="H744" s="454"/>
      <c r="I744" s="455"/>
      <c r="J744" s="88"/>
      <c r="K744" s="88"/>
      <c r="L744" s="456"/>
      <c r="M744" s="88"/>
      <c r="N744" s="88"/>
      <c r="O744" s="88"/>
      <c r="P744" s="88"/>
      <c r="Q744" s="88"/>
      <c r="R744" s="88"/>
      <c r="S744" s="88"/>
      <c r="T744" s="88"/>
      <c r="U744" s="88"/>
      <c r="V744" s="88"/>
      <c r="W744" s="88"/>
      <c r="X744" s="88"/>
      <c r="Y744" s="88"/>
      <c r="Z744" s="88"/>
      <c r="AA744" s="88"/>
    </row>
    <row r="745">
      <c r="A745" s="88"/>
      <c r="B745" s="88"/>
      <c r="C745" s="88"/>
      <c r="D745" s="453"/>
      <c r="E745" s="88"/>
      <c r="F745" s="88"/>
      <c r="G745" s="88"/>
      <c r="H745" s="454"/>
      <c r="I745" s="455"/>
      <c r="J745" s="88"/>
      <c r="K745" s="88"/>
      <c r="L745" s="456"/>
      <c r="M745" s="88"/>
      <c r="N745" s="88"/>
      <c r="O745" s="88"/>
      <c r="P745" s="88"/>
      <c r="Q745" s="88"/>
      <c r="R745" s="88"/>
      <c r="S745" s="88"/>
      <c r="T745" s="88"/>
      <c r="U745" s="88"/>
      <c r="V745" s="88"/>
      <c r="W745" s="88"/>
      <c r="X745" s="88"/>
      <c r="Y745" s="88"/>
      <c r="Z745" s="88"/>
      <c r="AA745" s="88"/>
    </row>
    <row r="746">
      <c r="A746" s="88"/>
      <c r="B746" s="88"/>
      <c r="C746" s="88"/>
      <c r="D746" s="453"/>
      <c r="E746" s="88"/>
      <c r="F746" s="88"/>
      <c r="G746" s="88"/>
      <c r="H746" s="454"/>
      <c r="I746" s="455"/>
      <c r="J746" s="88"/>
      <c r="K746" s="88"/>
      <c r="L746" s="456"/>
      <c r="M746" s="88"/>
      <c r="N746" s="88"/>
      <c r="O746" s="88"/>
      <c r="P746" s="88"/>
      <c r="Q746" s="88"/>
      <c r="R746" s="88"/>
      <c r="S746" s="88"/>
      <c r="T746" s="88"/>
      <c r="U746" s="88"/>
      <c r="V746" s="88"/>
      <c r="W746" s="88"/>
      <c r="X746" s="88"/>
      <c r="Y746" s="88"/>
      <c r="Z746" s="88"/>
      <c r="AA746" s="88"/>
    </row>
    <row r="747">
      <c r="A747" s="88"/>
      <c r="B747" s="88"/>
      <c r="C747" s="88"/>
      <c r="D747" s="453"/>
      <c r="E747" s="88"/>
      <c r="F747" s="88"/>
      <c r="G747" s="88"/>
      <c r="H747" s="454"/>
      <c r="I747" s="455"/>
      <c r="J747" s="88"/>
      <c r="K747" s="88"/>
      <c r="L747" s="456"/>
      <c r="M747" s="88"/>
      <c r="N747" s="88"/>
      <c r="O747" s="88"/>
      <c r="P747" s="88"/>
      <c r="Q747" s="88"/>
      <c r="R747" s="88"/>
      <c r="S747" s="88"/>
      <c r="T747" s="88"/>
      <c r="U747" s="88"/>
      <c r="V747" s="88"/>
      <c r="W747" s="88"/>
      <c r="X747" s="88"/>
      <c r="Y747" s="88"/>
      <c r="Z747" s="88"/>
      <c r="AA747" s="88"/>
    </row>
    <row r="748">
      <c r="A748" s="88"/>
      <c r="B748" s="88"/>
      <c r="C748" s="88"/>
      <c r="D748" s="453"/>
      <c r="E748" s="88"/>
      <c r="F748" s="88"/>
      <c r="G748" s="88"/>
      <c r="H748" s="454"/>
      <c r="I748" s="455"/>
      <c r="J748" s="88"/>
      <c r="K748" s="88"/>
      <c r="L748" s="456"/>
      <c r="M748" s="88"/>
      <c r="N748" s="88"/>
      <c r="O748" s="88"/>
      <c r="P748" s="88"/>
      <c r="Q748" s="88"/>
      <c r="R748" s="88"/>
      <c r="S748" s="88"/>
      <c r="T748" s="88"/>
      <c r="U748" s="88"/>
      <c r="V748" s="88"/>
      <c r="W748" s="88"/>
      <c r="X748" s="88"/>
      <c r="Y748" s="88"/>
      <c r="Z748" s="88"/>
      <c r="AA748" s="88"/>
    </row>
    <row r="749">
      <c r="A749" s="88"/>
      <c r="B749" s="88"/>
      <c r="C749" s="88"/>
      <c r="D749" s="453"/>
      <c r="E749" s="88"/>
      <c r="F749" s="88"/>
      <c r="G749" s="88"/>
      <c r="H749" s="454"/>
      <c r="I749" s="455"/>
      <c r="J749" s="88"/>
      <c r="K749" s="88"/>
      <c r="L749" s="456"/>
      <c r="M749" s="88"/>
      <c r="N749" s="88"/>
      <c r="O749" s="88"/>
      <c r="P749" s="88"/>
      <c r="Q749" s="88"/>
      <c r="R749" s="88"/>
      <c r="S749" s="88"/>
      <c r="T749" s="88"/>
      <c r="U749" s="88"/>
      <c r="V749" s="88"/>
      <c r="W749" s="88"/>
      <c r="X749" s="88"/>
      <c r="Y749" s="88"/>
      <c r="Z749" s="88"/>
      <c r="AA749" s="88"/>
    </row>
    <row r="750">
      <c r="A750" s="88"/>
      <c r="B750" s="88"/>
      <c r="C750" s="88"/>
      <c r="D750" s="453"/>
      <c r="E750" s="88"/>
      <c r="F750" s="88"/>
      <c r="G750" s="88"/>
      <c r="H750" s="454"/>
      <c r="I750" s="455"/>
      <c r="J750" s="88"/>
      <c r="K750" s="88"/>
      <c r="L750" s="456"/>
      <c r="M750" s="88"/>
      <c r="N750" s="88"/>
      <c r="O750" s="88"/>
      <c r="P750" s="88"/>
      <c r="Q750" s="88"/>
      <c r="R750" s="88"/>
      <c r="S750" s="88"/>
      <c r="T750" s="88"/>
      <c r="U750" s="88"/>
      <c r="V750" s="88"/>
      <c r="W750" s="88"/>
      <c r="X750" s="88"/>
      <c r="Y750" s="88"/>
      <c r="Z750" s="88"/>
      <c r="AA750" s="88"/>
    </row>
    <row r="751">
      <c r="A751" s="88"/>
      <c r="B751" s="88"/>
      <c r="C751" s="88"/>
      <c r="D751" s="453"/>
      <c r="E751" s="88"/>
      <c r="F751" s="88"/>
      <c r="G751" s="88"/>
      <c r="H751" s="454"/>
      <c r="I751" s="455"/>
      <c r="J751" s="88"/>
      <c r="K751" s="88"/>
      <c r="L751" s="456"/>
      <c r="M751" s="88"/>
      <c r="N751" s="88"/>
      <c r="O751" s="88"/>
      <c r="P751" s="88"/>
      <c r="Q751" s="88"/>
      <c r="R751" s="88"/>
      <c r="S751" s="88"/>
      <c r="T751" s="88"/>
      <c r="U751" s="88"/>
      <c r="V751" s="88"/>
      <c r="W751" s="88"/>
      <c r="X751" s="88"/>
      <c r="Y751" s="88"/>
      <c r="Z751" s="88"/>
      <c r="AA751" s="88"/>
    </row>
    <row r="752">
      <c r="A752" s="88"/>
      <c r="B752" s="88"/>
      <c r="C752" s="88"/>
      <c r="D752" s="453"/>
      <c r="E752" s="88"/>
      <c r="F752" s="88"/>
      <c r="G752" s="88"/>
      <c r="H752" s="454"/>
      <c r="I752" s="455"/>
      <c r="J752" s="88"/>
      <c r="K752" s="88"/>
      <c r="L752" s="456"/>
      <c r="M752" s="88"/>
      <c r="N752" s="88"/>
      <c r="O752" s="88"/>
      <c r="P752" s="88"/>
      <c r="Q752" s="88"/>
      <c r="R752" s="88"/>
      <c r="S752" s="88"/>
      <c r="T752" s="88"/>
      <c r="U752" s="88"/>
      <c r="V752" s="88"/>
      <c r="W752" s="88"/>
      <c r="X752" s="88"/>
      <c r="Y752" s="88"/>
      <c r="Z752" s="88"/>
      <c r="AA752" s="88"/>
    </row>
    <row r="753">
      <c r="A753" s="88"/>
      <c r="B753" s="88"/>
      <c r="C753" s="88"/>
      <c r="D753" s="453"/>
      <c r="E753" s="88"/>
      <c r="F753" s="88"/>
      <c r="G753" s="88"/>
      <c r="H753" s="454"/>
      <c r="I753" s="455"/>
      <c r="J753" s="88"/>
      <c r="K753" s="88"/>
      <c r="L753" s="456"/>
      <c r="M753" s="88"/>
      <c r="N753" s="88"/>
      <c r="O753" s="88"/>
      <c r="P753" s="88"/>
      <c r="Q753" s="88"/>
      <c r="R753" s="88"/>
      <c r="S753" s="88"/>
      <c r="T753" s="88"/>
      <c r="U753" s="88"/>
      <c r="V753" s="88"/>
      <c r="W753" s="88"/>
      <c r="X753" s="88"/>
      <c r="Y753" s="88"/>
      <c r="Z753" s="88"/>
      <c r="AA753" s="88"/>
    </row>
    <row r="754">
      <c r="A754" s="88"/>
      <c r="B754" s="88"/>
      <c r="C754" s="88"/>
      <c r="D754" s="453"/>
      <c r="E754" s="88"/>
      <c r="F754" s="88"/>
      <c r="G754" s="88"/>
      <c r="H754" s="454"/>
      <c r="I754" s="455"/>
      <c r="J754" s="88"/>
      <c r="K754" s="88"/>
      <c r="L754" s="456"/>
      <c r="M754" s="88"/>
      <c r="N754" s="88"/>
      <c r="O754" s="88"/>
      <c r="P754" s="88"/>
      <c r="Q754" s="88"/>
      <c r="R754" s="88"/>
      <c r="S754" s="88"/>
      <c r="T754" s="88"/>
      <c r="U754" s="88"/>
      <c r="V754" s="88"/>
      <c r="W754" s="88"/>
      <c r="X754" s="88"/>
      <c r="Y754" s="88"/>
      <c r="Z754" s="88"/>
      <c r="AA754" s="88"/>
    </row>
    <row r="755">
      <c r="A755" s="88"/>
      <c r="B755" s="88"/>
      <c r="C755" s="88"/>
      <c r="D755" s="453"/>
      <c r="E755" s="88"/>
      <c r="F755" s="88"/>
      <c r="G755" s="88"/>
      <c r="H755" s="454"/>
      <c r="I755" s="455"/>
      <c r="J755" s="88"/>
      <c r="K755" s="88"/>
      <c r="L755" s="456"/>
      <c r="M755" s="88"/>
      <c r="N755" s="88"/>
      <c r="O755" s="88"/>
      <c r="P755" s="88"/>
      <c r="Q755" s="88"/>
      <c r="R755" s="88"/>
      <c r="S755" s="88"/>
      <c r="T755" s="88"/>
      <c r="U755" s="88"/>
      <c r="V755" s="88"/>
      <c r="W755" s="88"/>
      <c r="X755" s="88"/>
      <c r="Y755" s="88"/>
      <c r="Z755" s="88"/>
      <c r="AA755" s="88"/>
    </row>
    <row r="756">
      <c r="A756" s="88"/>
      <c r="B756" s="88"/>
      <c r="C756" s="88"/>
      <c r="D756" s="453"/>
      <c r="E756" s="88"/>
      <c r="F756" s="88"/>
      <c r="G756" s="88"/>
      <c r="H756" s="454"/>
      <c r="I756" s="455"/>
      <c r="J756" s="88"/>
      <c r="K756" s="88"/>
      <c r="L756" s="456"/>
      <c r="M756" s="88"/>
      <c r="N756" s="88"/>
      <c r="O756" s="88"/>
      <c r="P756" s="88"/>
      <c r="Q756" s="88"/>
      <c r="R756" s="88"/>
      <c r="S756" s="88"/>
      <c r="T756" s="88"/>
      <c r="U756" s="88"/>
      <c r="V756" s="88"/>
      <c r="W756" s="88"/>
      <c r="X756" s="88"/>
      <c r="Y756" s="88"/>
      <c r="Z756" s="88"/>
      <c r="AA756" s="88"/>
    </row>
    <row r="757">
      <c r="A757" s="88"/>
      <c r="B757" s="88"/>
      <c r="C757" s="88"/>
      <c r="D757" s="453"/>
      <c r="E757" s="88"/>
      <c r="F757" s="88"/>
      <c r="G757" s="88"/>
      <c r="H757" s="454"/>
      <c r="I757" s="455"/>
      <c r="J757" s="88"/>
      <c r="K757" s="88"/>
      <c r="L757" s="456"/>
      <c r="M757" s="88"/>
      <c r="N757" s="88"/>
      <c r="O757" s="88"/>
      <c r="P757" s="88"/>
      <c r="Q757" s="88"/>
      <c r="R757" s="88"/>
      <c r="S757" s="88"/>
      <c r="T757" s="88"/>
      <c r="U757" s="88"/>
      <c r="V757" s="88"/>
      <c r="W757" s="88"/>
      <c r="X757" s="88"/>
      <c r="Y757" s="88"/>
      <c r="Z757" s="88"/>
      <c r="AA757" s="88"/>
    </row>
    <row r="758">
      <c r="A758" s="88"/>
      <c r="B758" s="88"/>
      <c r="C758" s="88"/>
      <c r="D758" s="453"/>
      <c r="E758" s="88"/>
      <c r="F758" s="88"/>
      <c r="G758" s="88"/>
      <c r="H758" s="454"/>
      <c r="I758" s="455"/>
      <c r="J758" s="88"/>
      <c r="K758" s="88"/>
      <c r="L758" s="456"/>
      <c r="M758" s="88"/>
      <c r="N758" s="88"/>
      <c r="O758" s="88"/>
      <c r="P758" s="88"/>
      <c r="Q758" s="88"/>
      <c r="R758" s="88"/>
      <c r="S758" s="88"/>
      <c r="T758" s="88"/>
      <c r="U758" s="88"/>
      <c r="V758" s="88"/>
      <c r="W758" s="88"/>
      <c r="X758" s="88"/>
      <c r="Y758" s="88"/>
      <c r="Z758" s="88"/>
      <c r="AA758" s="88"/>
    </row>
    <row r="759">
      <c r="A759" s="88"/>
      <c r="B759" s="88"/>
      <c r="C759" s="88"/>
      <c r="D759" s="453"/>
      <c r="E759" s="88"/>
      <c r="F759" s="88"/>
      <c r="G759" s="88"/>
      <c r="H759" s="454"/>
      <c r="I759" s="455"/>
      <c r="J759" s="88"/>
      <c r="K759" s="88"/>
      <c r="L759" s="456"/>
      <c r="M759" s="88"/>
      <c r="N759" s="88"/>
      <c r="O759" s="88"/>
      <c r="P759" s="88"/>
      <c r="Q759" s="88"/>
      <c r="R759" s="88"/>
      <c r="S759" s="88"/>
      <c r="T759" s="88"/>
      <c r="U759" s="88"/>
      <c r="V759" s="88"/>
      <c r="W759" s="88"/>
      <c r="X759" s="88"/>
      <c r="Y759" s="88"/>
      <c r="Z759" s="88"/>
      <c r="AA759" s="88"/>
    </row>
    <row r="760">
      <c r="A760" s="88"/>
      <c r="B760" s="88"/>
      <c r="C760" s="88"/>
      <c r="D760" s="453"/>
      <c r="E760" s="88"/>
      <c r="F760" s="88"/>
      <c r="G760" s="88"/>
      <c r="H760" s="454"/>
      <c r="I760" s="455"/>
      <c r="J760" s="88"/>
      <c r="K760" s="88"/>
      <c r="L760" s="456"/>
      <c r="M760" s="88"/>
      <c r="N760" s="88"/>
      <c r="O760" s="88"/>
      <c r="P760" s="88"/>
      <c r="Q760" s="88"/>
      <c r="R760" s="88"/>
      <c r="S760" s="88"/>
      <c r="T760" s="88"/>
      <c r="U760" s="88"/>
      <c r="V760" s="88"/>
      <c r="W760" s="88"/>
      <c r="X760" s="88"/>
      <c r="Y760" s="88"/>
      <c r="Z760" s="88"/>
      <c r="AA760" s="88"/>
    </row>
    <row r="761">
      <c r="A761" s="88"/>
      <c r="B761" s="88"/>
      <c r="C761" s="88"/>
      <c r="D761" s="453"/>
      <c r="E761" s="88"/>
      <c r="F761" s="88"/>
      <c r="G761" s="88"/>
      <c r="H761" s="454"/>
      <c r="I761" s="455"/>
      <c r="J761" s="88"/>
      <c r="K761" s="88"/>
      <c r="L761" s="456"/>
      <c r="M761" s="88"/>
      <c r="N761" s="88"/>
      <c r="O761" s="88"/>
      <c r="P761" s="88"/>
      <c r="Q761" s="88"/>
      <c r="R761" s="88"/>
      <c r="S761" s="88"/>
      <c r="T761" s="88"/>
      <c r="U761" s="88"/>
      <c r="V761" s="88"/>
      <c r="W761" s="88"/>
      <c r="X761" s="88"/>
      <c r="Y761" s="88"/>
      <c r="Z761" s="88"/>
      <c r="AA761" s="88"/>
    </row>
    <row r="762">
      <c r="A762" s="88"/>
      <c r="B762" s="88"/>
      <c r="C762" s="88"/>
      <c r="D762" s="453"/>
      <c r="E762" s="88"/>
      <c r="F762" s="88"/>
      <c r="G762" s="88"/>
      <c r="H762" s="454"/>
      <c r="I762" s="455"/>
      <c r="J762" s="88"/>
      <c r="K762" s="88"/>
      <c r="L762" s="456"/>
      <c r="M762" s="88"/>
      <c r="N762" s="88"/>
      <c r="O762" s="88"/>
      <c r="P762" s="88"/>
      <c r="Q762" s="88"/>
      <c r="R762" s="88"/>
      <c r="S762" s="88"/>
      <c r="T762" s="88"/>
      <c r="U762" s="88"/>
      <c r="V762" s="88"/>
      <c r="W762" s="88"/>
      <c r="X762" s="88"/>
      <c r="Y762" s="88"/>
      <c r="Z762" s="88"/>
      <c r="AA762" s="88"/>
    </row>
    <row r="763">
      <c r="A763" s="88"/>
      <c r="B763" s="88"/>
      <c r="C763" s="88"/>
      <c r="D763" s="453"/>
      <c r="E763" s="88"/>
      <c r="F763" s="88"/>
      <c r="G763" s="88"/>
      <c r="H763" s="454"/>
      <c r="I763" s="455"/>
      <c r="J763" s="88"/>
      <c r="K763" s="88"/>
      <c r="L763" s="456"/>
      <c r="M763" s="88"/>
      <c r="N763" s="88"/>
      <c r="O763" s="88"/>
      <c r="P763" s="88"/>
      <c r="Q763" s="88"/>
      <c r="R763" s="88"/>
      <c r="S763" s="88"/>
      <c r="T763" s="88"/>
      <c r="U763" s="88"/>
      <c r="V763" s="88"/>
      <c r="W763" s="88"/>
      <c r="X763" s="88"/>
      <c r="Y763" s="88"/>
      <c r="Z763" s="88"/>
      <c r="AA763" s="88"/>
    </row>
    <row r="764">
      <c r="A764" s="88"/>
      <c r="B764" s="88"/>
      <c r="C764" s="88"/>
      <c r="D764" s="453"/>
      <c r="E764" s="88"/>
      <c r="F764" s="88"/>
      <c r="G764" s="88"/>
      <c r="H764" s="454"/>
      <c r="I764" s="455"/>
      <c r="J764" s="88"/>
      <c r="K764" s="88"/>
      <c r="L764" s="456"/>
      <c r="M764" s="88"/>
      <c r="N764" s="88"/>
      <c r="O764" s="88"/>
      <c r="P764" s="88"/>
      <c r="Q764" s="88"/>
      <c r="R764" s="88"/>
      <c r="S764" s="88"/>
      <c r="T764" s="88"/>
      <c r="U764" s="88"/>
      <c r="V764" s="88"/>
      <c r="W764" s="88"/>
      <c r="X764" s="88"/>
      <c r="Y764" s="88"/>
      <c r="Z764" s="88"/>
      <c r="AA764" s="88"/>
    </row>
    <row r="765">
      <c r="A765" s="88"/>
      <c r="B765" s="88"/>
      <c r="C765" s="88"/>
      <c r="D765" s="453"/>
      <c r="E765" s="88"/>
      <c r="F765" s="88"/>
      <c r="G765" s="88"/>
      <c r="H765" s="454"/>
      <c r="I765" s="455"/>
      <c r="J765" s="88"/>
      <c r="K765" s="88"/>
      <c r="L765" s="456"/>
      <c r="M765" s="88"/>
      <c r="N765" s="88"/>
      <c r="O765" s="88"/>
      <c r="P765" s="88"/>
      <c r="Q765" s="88"/>
      <c r="R765" s="88"/>
      <c r="S765" s="88"/>
      <c r="T765" s="88"/>
      <c r="U765" s="88"/>
      <c r="V765" s="88"/>
      <c r="W765" s="88"/>
      <c r="X765" s="88"/>
      <c r="Y765" s="88"/>
      <c r="Z765" s="88"/>
      <c r="AA765" s="88"/>
    </row>
    <row r="766">
      <c r="A766" s="88"/>
      <c r="B766" s="88"/>
      <c r="C766" s="88"/>
      <c r="D766" s="453"/>
      <c r="E766" s="88"/>
      <c r="F766" s="88"/>
      <c r="G766" s="88"/>
      <c r="H766" s="454"/>
      <c r="I766" s="455"/>
      <c r="J766" s="88"/>
      <c r="K766" s="88"/>
      <c r="L766" s="456"/>
      <c r="M766" s="88"/>
      <c r="N766" s="88"/>
      <c r="O766" s="88"/>
      <c r="P766" s="88"/>
      <c r="Q766" s="88"/>
      <c r="R766" s="88"/>
      <c r="S766" s="88"/>
      <c r="T766" s="88"/>
      <c r="U766" s="88"/>
      <c r="V766" s="88"/>
      <c r="W766" s="88"/>
      <c r="X766" s="88"/>
      <c r="Y766" s="88"/>
      <c r="Z766" s="88"/>
      <c r="AA766" s="88"/>
    </row>
    <row r="767">
      <c r="A767" s="88"/>
      <c r="B767" s="88"/>
      <c r="C767" s="88"/>
      <c r="D767" s="453"/>
      <c r="E767" s="88"/>
      <c r="F767" s="88"/>
      <c r="G767" s="88"/>
      <c r="H767" s="454"/>
      <c r="I767" s="455"/>
      <c r="J767" s="88"/>
      <c r="K767" s="88"/>
      <c r="L767" s="456"/>
      <c r="M767" s="88"/>
      <c r="N767" s="88"/>
      <c r="O767" s="88"/>
      <c r="P767" s="88"/>
      <c r="Q767" s="88"/>
      <c r="R767" s="88"/>
      <c r="S767" s="88"/>
      <c r="T767" s="88"/>
      <c r="U767" s="88"/>
      <c r="V767" s="88"/>
      <c r="W767" s="88"/>
      <c r="X767" s="88"/>
      <c r="Y767" s="88"/>
      <c r="Z767" s="88"/>
      <c r="AA767" s="88"/>
    </row>
    <row r="768">
      <c r="A768" s="88"/>
      <c r="B768" s="88"/>
      <c r="C768" s="88"/>
      <c r="D768" s="453"/>
      <c r="E768" s="88"/>
      <c r="F768" s="88"/>
      <c r="G768" s="88"/>
      <c r="H768" s="454"/>
      <c r="I768" s="455"/>
      <c r="J768" s="88"/>
      <c r="K768" s="88"/>
      <c r="L768" s="456"/>
      <c r="M768" s="88"/>
      <c r="N768" s="88"/>
      <c r="O768" s="88"/>
      <c r="P768" s="88"/>
      <c r="Q768" s="88"/>
      <c r="R768" s="88"/>
      <c r="S768" s="88"/>
      <c r="T768" s="88"/>
      <c r="U768" s="88"/>
      <c r="V768" s="88"/>
      <c r="W768" s="88"/>
      <c r="X768" s="88"/>
      <c r="Y768" s="88"/>
      <c r="Z768" s="88"/>
      <c r="AA768" s="88"/>
    </row>
    <row r="769">
      <c r="A769" s="88"/>
      <c r="B769" s="88"/>
      <c r="C769" s="88"/>
      <c r="D769" s="453"/>
      <c r="E769" s="88"/>
      <c r="F769" s="88"/>
      <c r="G769" s="88"/>
      <c r="H769" s="454"/>
      <c r="I769" s="455"/>
      <c r="J769" s="88"/>
      <c r="K769" s="88"/>
      <c r="L769" s="456"/>
      <c r="M769" s="88"/>
      <c r="N769" s="88"/>
      <c r="O769" s="88"/>
      <c r="P769" s="88"/>
      <c r="Q769" s="88"/>
      <c r="R769" s="88"/>
      <c r="S769" s="88"/>
      <c r="T769" s="88"/>
      <c r="U769" s="88"/>
      <c r="V769" s="88"/>
      <c r="W769" s="88"/>
      <c r="X769" s="88"/>
      <c r="Y769" s="88"/>
      <c r="Z769" s="88"/>
      <c r="AA769" s="88"/>
    </row>
    <row r="770">
      <c r="A770" s="88"/>
      <c r="B770" s="88"/>
      <c r="C770" s="88"/>
      <c r="D770" s="453"/>
      <c r="E770" s="88"/>
      <c r="F770" s="88"/>
      <c r="G770" s="88"/>
      <c r="H770" s="454"/>
      <c r="I770" s="455"/>
      <c r="J770" s="88"/>
      <c r="K770" s="88"/>
      <c r="L770" s="456"/>
      <c r="M770" s="88"/>
      <c r="N770" s="88"/>
      <c r="O770" s="88"/>
      <c r="P770" s="88"/>
      <c r="Q770" s="88"/>
      <c r="R770" s="88"/>
      <c r="S770" s="88"/>
      <c r="T770" s="88"/>
      <c r="U770" s="88"/>
      <c r="V770" s="88"/>
      <c r="W770" s="88"/>
      <c r="X770" s="88"/>
      <c r="Y770" s="88"/>
      <c r="Z770" s="88"/>
      <c r="AA770" s="88"/>
    </row>
    <row r="771">
      <c r="A771" s="88"/>
      <c r="B771" s="88"/>
      <c r="C771" s="88"/>
      <c r="D771" s="453"/>
      <c r="E771" s="88"/>
      <c r="F771" s="88"/>
      <c r="G771" s="88"/>
      <c r="H771" s="454"/>
      <c r="I771" s="455"/>
      <c r="J771" s="88"/>
      <c r="K771" s="88"/>
      <c r="L771" s="456"/>
      <c r="M771" s="88"/>
      <c r="N771" s="88"/>
      <c r="O771" s="88"/>
      <c r="P771" s="88"/>
      <c r="Q771" s="88"/>
      <c r="R771" s="88"/>
      <c r="S771" s="88"/>
      <c r="T771" s="88"/>
      <c r="U771" s="88"/>
      <c r="V771" s="88"/>
      <c r="W771" s="88"/>
      <c r="X771" s="88"/>
      <c r="Y771" s="88"/>
      <c r="Z771" s="88"/>
      <c r="AA771" s="88"/>
    </row>
    <row r="772">
      <c r="A772" s="88"/>
      <c r="B772" s="88"/>
      <c r="C772" s="88"/>
      <c r="D772" s="453"/>
      <c r="E772" s="88"/>
      <c r="F772" s="88"/>
      <c r="G772" s="88"/>
      <c r="H772" s="454"/>
      <c r="I772" s="455"/>
      <c r="J772" s="88"/>
      <c r="K772" s="88"/>
      <c r="L772" s="456"/>
      <c r="M772" s="88"/>
      <c r="N772" s="88"/>
      <c r="O772" s="88"/>
      <c r="P772" s="88"/>
      <c r="Q772" s="88"/>
      <c r="R772" s="88"/>
      <c r="S772" s="88"/>
      <c r="T772" s="88"/>
      <c r="U772" s="88"/>
      <c r="V772" s="88"/>
      <c r="W772" s="88"/>
      <c r="X772" s="88"/>
      <c r="Y772" s="88"/>
      <c r="Z772" s="88"/>
      <c r="AA772" s="88"/>
    </row>
    <row r="773">
      <c r="A773" s="88"/>
      <c r="B773" s="88"/>
      <c r="C773" s="88"/>
      <c r="D773" s="453"/>
      <c r="E773" s="88"/>
      <c r="F773" s="88"/>
      <c r="G773" s="88"/>
      <c r="H773" s="454"/>
      <c r="I773" s="455"/>
      <c r="J773" s="88"/>
      <c r="K773" s="88"/>
      <c r="L773" s="456"/>
      <c r="M773" s="88"/>
      <c r="N773" s="88"/>
      <c r="O773" s="88"/>
      <c r="P773" s="88"/>
      <c r="Q773" s="88"/>
      <c r="R773" s="88"/>
      <c r="S773" s="88"/>
      <c r="T773" s="88"/>
      <c r="U773" s="88"/>
      <c r="V773" s="88"/>
      <c r="W773" s="88"/>
      <c r="X773" s="88"/>
      <c r="Y773" s="88"/>
      <c r="Z773" s="88"/>
      <c r="AA773" s="88"/>
    </row>
    <row r="774">
      <c r="A774" s="88"/>
      <c r="B774" s="88"/>
      <c r="C774" s="88"/>
      <c r="D774" s="453"/>
      <c r="E774" s="88"/>
      <c r="F774" s="88"/>
      <c r="G774" s="88"/>
      <c r="H774" s="454"/>
      <c r="I774" s="455"/>
      <c r="J774" s="88"/>
      <c r="K774" s="88"/>
      <c r="L774" s="456"/>
      <c r="M774" s="88"/>
      <c r="N774" s="88"/>
      <c r="O774" s="88"/>
      <c r="P774" s="88"/>
      <c r="Q774" s="88"/>
      <c r="R774" s="88"/>
      <c r="S774" s="88"/>
      <c r="T774" s="88"/>
      <c r="U774" s="88"/>
      <c r="V774" s="88"/>
      <c r="W774" s="88"/>
      <c r="X774" s="88"/>
      <c r="Y774" s="88"/>
      <c r="Z774" s="88"/>
      <c r="AA774" s="88"/>
    </row>
    <row r="775">
      <c r="A775" s="88"/>
      <c r="B775" s="88"/>
      <c r="C775" s="88"/>
      <c r="D775" s="453"/>
      <c r="E775" s="88"/>
      <c r="F775" s="88"/>
      <c r="G775" s="88"/>
      <c r="H775" s="454"/>
      <c r="I775" s="455"/>
      <c r="J775" s="88"/>
      <c r="K775" s="88"/>
      <c r="L775" s="456"/>
      <c r="M775" s="88"/>
      <c r="N775" s="88"/>
      <c r="O775" s="88"/>
      <c r="P775" s="88"/>
      <c r="Q775" s="88"/>
      <c r="R775" s="88"/>
      <c r="S775" s="88"/>
      <c r="T775" s="88"/>
      <c r="U775" s="88"/>
      <c r="V775" s="88"/>
      <c r="W775" s="88"/>
      <c r="X775" s="88"/>
      <c r="Y775" s="88"/>
      <c r="Z775" s="88"/>
      <c r="AA775" s="88"/>
    </row>
    <row r="776">
      <c r="A776" s="88"/>
      <c r="B776" s="88"/>
      <c r="C776" s="88"/>
      <c r="D776" s="453"/>
      <c r="E776" s="88"/>
      <c r="F776" s="88"/>
      <c r="G776" s="88"/>
      <c r="H776" s="454"/>
      <c r="I776" s="455"/>
      <c r="J776" s="88"/>
      <c r="K776" s="88"/>
      <c r="L776" s="456"/>
      <c r="M776" s="88"/>
      <c r="N776" s="88"/>
      <c r="O776" s="88"/>
      <c r="P776" s="88"/>
      <c r="Q776" s="88"/>
      <c r="R776" s="88"/>
      <c r="S776" s="88"/>
      <c r="T776" s="88"/>
      <c r="U776" s="88"/>
      <c r="V776" s="88"/>
      <c r="W776" s="88"/>
      <c r="X776" s="88"/>
      <c r="Y776" s="88"/>
      <c r="Z776" s="88"/>
      <c r="AA776" s="88"/>
    </row>
    <row r="777">
      <c r="A777" s="88"/>
      <c r="B777" s="88"/>
      <c r="C777" s="88"/>
      <c r="D777" s="453"/>
      <c r="E777" s="88"/>
      <c r="F777" s="88"/>
      <c r="G777" s="88"/>
      <c r="H777" s="454"/>
      <c r="I777" s="455"/>
      <c r="J777" s="88"/>
      <c r="K777" s="88"/>
      <c r="L777" s="456"/>
      <c r="M777" s="88"/>
      <c r="N777" s="88"/>
      <c r="O777" s="88"/>
      <c r="P777" s="88"/>
      <c r="Q777" s="88"/>
      <c r="R777" s="88"/>
      <c r="S777" s="88"/>
      <c r="T777" s="88"/>
      <c r="U777" s="88"/>
      <c r="V777" s="88"/>
      <c r="W777" s="88"/>
      <c r="X777" s="88"/>
      <c r="Y777" s="88"/>
      <c r="Z777" s="88"/>
      <c r="AA777" s="88"/>
    </row>
    <row r="778">
      <c r="A778" s="88"/>
      <c r="B778" s="88"/>
      <c r="C778" s="88"/>
      <c r="D778" s="453"/>
      <c r="E778" s="88"/>
      <c r="F778" s="88"/>
      <c r="G778" s="88"/>
      <c r="H778" s="454"/>
      <c r="I778" s="455"/>
      <c r="J778" s="88"/>
      <c r="K778" s="88"/>
      <c r="L778" s="456"/>
      <c r="M778" s="88"/>
      <c r="N778" s="88"/>
      <c r="O778" s="88"/>
      <c r="P778" s="88"/>
      <c r="Q778" s="88"/>
      <c r="R778" s="88"/>
      <c r="S778" s="88"/>
      <c r="T778" s="88"/>
      <c r="U778" s="88"/>
      <c r="V778" s="88"/>
      <c r="W778" s="88"/>
      <c r="X778" s="88"/>
      <c r="Y778" s="88"/>
      <c r="Z778" s="88"/>
      <c r="AA778" s="88"/>
    </row>
    <row r="779">
      <c r="A779" s="88"/>
      <c r="B779" s="88"/>
      <c r="C779" s="88"/>
      <c r="D779" s="453"/>
      <c r="E779" s="88"/>
      <c r="F779" s="88"/>
      <c r="G779" s="88"/>
      <c r="H779" s="454"/>
      <c r="I779" s="455"/>
      <c r="J779" s="88"/>
      <c r="K779" s="88"/>
      <c r="L779" s="456"/>
      <c r="M779" s="88"/>
      <c r="N779" s="88"/>
      <c r="O779" s="88"/>
      <c r="P779" s="88"/>
      <c r="Q779" s="88"/>
      <c r="R779" s="88"/>
      <c r="S779" s="88"/>
      <c r="T779" s="88"/>
      <c r="U779" s="88"/>
      <c r="V779" s="88"/>
      <c r="W779" s="88"/>
      <c r="X779" s="88"/>
      <c r="Y779" s="88"/>
      <c r="Z779" s="88"/>
      <c r="AA779" s="88"/>
    </row>
    <row r="780">
      <c r="A780" s="88"/>
      <c r="B780" s="88"/>
      <c r="C780" s="88"/>
      <c r="D780" s="453"/>
      <c r="E780" s="88"/>
      <c r="F780" s="88"/>
      <c r="G780" s="88"/>
      <c r="H780" s="454"/>
      <c r="I780" s="455"/>
      <c r="J780" s="88"/>
      <c r="K780" s="88"/>
      <c r="L780" s="456"/>
      <c r="M780" s="88"/>
      <c r="N780" s="88"/>
      <c r="O780" s="88"/>
      <c r="P780" s="88"/>
      <c r="Q780" s="88"/>
      <c r="R780" s="88"/>
      <c r="S780" s="88"/>
      <c r="T780" s="88"/>
      <c r="U780" s="88"/>
      <c r="V780" s="88"/>
      <c r="W780" s="88"/>
      <c r="X780" s="88"/>
      <c r="Y780" s="88"/>
      <c r="Z780" s="88"/>
      <c r="AA780" s="88"/>
    </row>
    <row r="781">
      <c r="A781" s="88"/>
      <c r="B781" s="88"/>
      <c r="C781" s="88"/>
      <c r="D781" s="453"/>
      <c r="E781" s="88"/>
      <c r="F781" s="88"/>
      <c r="G781" s="88"/>
      <c r="H781" s="454"/>
      <c r="I781" s="455"/>
      <c r="J781" s="88"/>
      <c r="K781" s="88"/>
      <c r="L781" s="456"/>
      <c r="M781" s="88"/>
      <c r="N781" s="88"/>
      <c r="O781" s="88"/>
      <c r="P781" s="88"/>
      <c r="Q781" s="88"/>
      <c r="R781" s="88"/>
      <c r="S781" s="88"/>
      <c r="T781" s="88"/>
      <c r="U781" s="88"/>
      <c r="V781" s="88"/>
      <c r="W781" s="88"/>
      <c r="X781" s="88"/>
      <c r="Y781" s="88"/>
      <c r="Z781" s="88"/>
      <c r="AA781" s="88"/>
    </row>
    <row r="782">
      <c r="A782" s="88"/>
      <c r="B782" s="88"/>
      <c r="C782" s="88"/>
      <c r="D782" s="453"/>
      <c r="E782" s="88"/>
      <c r="F782" s="88"/>
      <c r="G782" s="88"/>
      <c r="H782" s="454"/>
      <c r="I782" s="455"/>
      <c r="J782" s="88"/>
      <c r="K782" s="88"/>
      <c r="L782" s="456"/>
      <c r="M782" s="88"/>
      <c r="N782" s="88"/>
      <c r="O782" s="88"/>
      <c r="P782" s="88"/>
      <c r="Q782" s="88"/>
      <c r="R782" s="88"/>
      <c r="S782" s="88"/>
      <c r="T782" s="88"/>
      <c r="U782" s="88"/>
      <c r="V782" s="88"/>
      <c r="W782" s="88"/>
      <c r="X782" s="88"/>
      <c r="Y782" s="88"/>
      <c r="Z782" s="88"/>
      <c r="AA782" s="88"/>
    </row>
    <row r="783">
      <c r="A783" s="88"/>
      <c r="B783" s="88"/>
      <c r="C783" s="88"/>
      <c r="D783" s="453"/>
      <c r="E783" s="88"/>
      <c r="F783" s="88"/>
      <c r="G783" s="88"/>
      <c r="H783" s="454"/>
      <c r="I783" s="455"/>
      <c r="J783" s="88"/>
      <c r="K783" s="88"/>
      <c r="L783" s="456"/>
      <c r="M783" s="88"/>
      <c r="N783" s="88"/>
      <c r="O783" s="88"/>
      <c r="P783" s="88"/>
      <c r="Q783" s="88"/>
      <c r="R783" s="88"/>
      <c r="S783" s="88"/>
      <c r="T783" s="88"/>
      <c r="U783" s="88"/>
      <c r="V783" s="88"/>
      <c r="W783" s="88"/>
      <c r="X783" s="88"/>
      <c r="Y783" s="88"/>
      <c r="Z783" s="88"/>
      <c r="AA783" s="88"/>
    </row>
    <row r="784">
      <c r="A784" s="88"/>
      <c r="B784" s="88"/>
      <c r="C784" s="88"/>
      <c r="D784" s="453"/>
      <c r="E784" s="88"/>
      <c r="F784" s="88"/>
      <c r="G784" s="88"/>
      <c r="H784" s="454"/>
      <c r="I784" s="455"/>
      <c r="J784" s="88"/>
      <c r="K784" s="88"/>
      <c r="L784" s="456"/>
      <c r="M784" s="88"/>
      <c r="N784" s="88"/>
      <c r="O784" s="88"/>
      <c r="P784" s="88"/>
      <c r="Q784" s="88"/>
      <c r="R784" s="88"/>
      <c r="S784" s="88"/>
      <c r="T784" s="88"/>
      <c r="U784" s="88"/>
      <c r="V784" s="88"/>
      <c r="W784" s="88"/>
      <c r="X784" s="88"/>
      <c r="Y784" s="88"/>
      <c r="Z784" s="88"/>
      <c r="AA784" s="88"/>
    </row>
    <row r="785">
      <c r="A785" s="88"/>
      <c r="B785" s="88"/>
      <c r="C785" s="88"/>
      <c r="D785" s="453"/>
      <c r="E785" s="88"/>
      <c r="F785" s="88"/>
      <c r="G785" s="88"/>
      <c r="H785" s="454"/>
      <c r="I785" s="455"/>
      <c r="J785" s="88"/>
      <c r="K785" s="88"/>
      <c r="L785" s="456"/>
      <c r="M785" s="88"/>
      <c r="N785" s="88"/>
      <c r="O785" s="88"/>
      <c r="P785" s="88"/>
      <c r="Q785" s="88"/>
      <c r="R785" s="88"/>
      <c r="S785" s="88"/>
      <c r="T785" s="88"/>
      <c r="U785" s="88"/>
      <c r="V785" s="88"/>
      <c r="W785" s="88"/>
      <c r="X785" s="88"/>
      <c r="Y785" s="88"/>
      <c r="Z785" s="88"/>
      <c r="AA785" s="88"/>
    </row>
    <row r="786">
      <c r="A786" s="88"/>
      <c r="B786" s="88"/>
      <c r="C786" s="88"/>
      <c r="D786" s="453"/>
      <c r="E786" s="88"/>
      <c r="F786" s="88"/>
      <c r="G786" s="88"/>
      <c r="H786" s="454"/>
      <c r="I786" s="455"/>
      <c r="J786" s="88"/>
      <c r="K786" s="88"/>
      <c r="L786" s="456"/>
      <c r="M786" s="88"/>
      <c r="N786" s="88"/>
      <c r="O786" s="88"/>
      <c r="P786" s="88"/>
      <c r="Q786" s="88"/>
      <c r="R786" s="88"/>
      <c r="S786" s="88"/>
      <c r="T786" s="88"/>
      <c r="U786" s="88"/>
      <c r="V786" s="88"/>
      <c r="W786" s="88"/>
      <c r="X786" s="88"/>
      <c r="Y786" s="88"/>
      <c r="Z786" s="88"/>
      <c r="AA786" s="88"/>
    </row>
    <row r="787">
      <c r="A787" s="88"/>
      <c r="B787" s="88"/>
      <c r="C787" s="88"/>
      <c r="D787" s="453"/>
      <c r="E787" s="88"/>
      <c r="F787" s="88"/>
      <c r="G787" s="88"/>
      <c r="H787" s="454"/>
      <c r="I787" s="455"/>
      <c r="J787" s="88"/>
      <c r="K787" s="88"/>
      <c r="L787" s="456"/>
      <c r="M787" s="88"/>
      <c r="N787" s="88"/>
      <c r="O787" s="88"/>
      <c r="P787" s="88"/>
      <c r="Q787" s="88"/>
      <c r="R787" s="88"/>
      <c r="S787" s="88"/>
      <c r="T787" s="88"/>
      <c r="U787" s="88"/>
      <c r="V787" s="88"/>
      <c r="W787" s="88"/>
      <c r="X787" s="88"/>
      <c r="Y787" s="88"/>
      <c r="Z787" s="88"/>
      <c r="AA787" s="88"/>
    </row>
    <row r="788">
      <c r="A788" s="88"/>
      <c r="B788" s="88"/>
      <c r="C788" s="88"/>
      <c r="D788" s="453"/>
      <c r="E788" s="88"/>
      <c r="F788" s="88"/>
      <c r="G788" s="88"/>
      <c r="H788" s="454"/>
      <c r="I788" s="455"/>
      <c r="J788" s="88"/>
      <c r="K788" s="88"/>
      <c r="L788" s="456"/>
      <c r="M788" s="88"/>
      <c r="N788" s="88"/>
      <c r="O788" s="88"/>
      <c r="P788" s="88"/>
      <c r="Q788" s="88"/>
      <c r="R788" s="88"/>
      <c r="S788" s="88"/>
      <c r="T788" s="88"/>
      <c r="U788" s="88"/>
      <c r="V788" s="88"/>
      <c r="W788" s="88"/>
      <c r="X788" s="88"/>
      <c r="Y788" s="88"/>
      <c r="Z788" s="88"/>
      <c r="AA788" s="88"/>
    </row>
    <row r="789">
      <c r="A789" s="88"/>
      <c r="B789" s="88"/>
      <c r="C789" s="88"/>
      <c r="D789" s="453"/>
      <c r="E789" s="88"/>
      <c r="F789" s="88"/>
      <c r="G789" s="88"/>
      <c r="H789" s="454"/>
      <c r="I789" s="455"/>
      <c r="J789" s="88"/>
      <c r="K789" s="88"/>
      <c r="L789" s="456"/>
      <c r="M789" s="88"/>
      <c r="N789" s="88"/>
      <c r="O789" s="88"/>
      <c r="P789" s="88"/>
      <c r="Q789" s="88"/>
      <c r="R789" s="88"/>
      <c r="S789" s="88"/>
      <c r="T789" s="88"/>
      <c r="U789" s="88"/>
      <c r="V789" s="88"/>
      <c r="W789" s="88"/>
      <c r="X789" s="88"/>
      <c r="Y789" s="88"/>
      <c r="Z789" s="88"/>
      <c r="AA789" s="88"/>
    </row>
    <row r="790">
      <c r="A790" s="88"/>
      <c r="B790" s="88"/>
      <c r="C790" s="88"/>
      <c r="D790" s="453"/>
      <c r="E790" s="88"/>
      <c r="F790" s="88"/>
      <c r="G790" s="88"/>
      <c r="H790" s="454"/>
      <c r="I790" s="455"/>
      <c r="J790" s="88"/>
      <c r="K790" s="88"/>
      <c r="L790" s="456"/>
      <c r="M790" s="88"/>
      <c r="N790" s="88"/>
      <c r="O790" s="88"/>
      <c r="P790" s="88"/>
      <c r="Q790" s="88"/>
      <c r="R790" s="88"/>
      <c r="S790" s="88"/>
      <c r="T790" s="88"/>
      <c r="U790" s="88"/>
      <c r="V790" s="88"/>
      <c r="W790" s="88"/>
      <c r="X790" s="88"/>
      <c r="Y790" s="88"/>
      <c r="Z790" s="88"/>
      <c r="AA790" s="88"/>
    </row>
    <row r="791">
      <c r="A791" s="88"/>
      <c r="B791" s="88"/>
      <c r="C791" s="88"/>
      <c r="D791" s="453"/>
      <c r="E791" s="88"/>
      <c r="F791" s="88"/>
      <c r="G791" s="88"/>
      <c r="H791" s="454"/>
      <c r="I791" s="455"/>
      <c r="J791" s="88"/>
      <c r="K791" s="88"/>
      <c r="L791" s="456"/>
      <c r="M791" s="88"/>
      <c r="N791" s="88"/>
      <c r="O791" s="88"/>
      <c r="P791" s="88"/>
      <c r="Q791" s="88"/>
      <c r="R791" s="88"/>
      <c r="S791" s="88"/>
      <c r="T791" s="88"/>
      <c r="U791" s="88"/>
      <c r="V791" s="88"/>
      <c r="W791" s="88"/>
      <c r="X791" s="88"/>
      <c r="Y791" s="88"/>
      <c r="Z791" s="88"/>
      <c r="AA791" s="88"/>
    </row>
    <row r="792">
      <c r="A792" s="88"/>
      <c r="B792" s="88"/>
      <c r="C792" s="88"/>
      <c r="D792" s="453"/>
      <c r="E792" s="88"/>
      <c r="F792" s="88"/>
      <c r="G792" s="88"/>
      <c r="H792" s="454"/>
      <c r="I792" s="455"/>
      <c r="J792" s="88"/>
      <c r="K792" s="88"/>
      <c r="L792" s="456"/>
      <c r="M792" s="88"/>
      <c r="N792" s="88"/>
      <c r="O792" s="88"/>
      <c r="P792" s="88"/>
      <c r="Q792" s="88"/>
      <c r="R792" s="88"/>
      <c r="S792" s="88"/>
      <c r="T792" s="88"/>
      <c r="U792" s="88"/>
      <c r="V792" s="88"/>
      <c r="W792" s="88"/>
      <c r="X792" s="88"/>
      <c r="Y792" s="88"/>
      <c r="Z792" s="88"/>
      <c r="AA792" s="88"/>
    </row>
    <row r="793">
      <c r="A793" s="88"/>
      <c r="B793" s="88"/>
      <c r="C793" s="88"/>
      <c r="D793" s="453"/>
      <c r="E793" s="88"/>
      <c r="F793" s="88"/>
      <c r="G793" s="88"/>
      <c r="H793" s="454"/>
      <c r="I793" s="455"/>
      <c r="J793" s="88"/>
      <c r="K793" s="88"/>
      <c r="L793" s="456"/>
      <c r="M793" s="88"/>
      <c r="N793" s="88"/>
      <c r="O793" s="88"/>
      <c r="P793" s="88"/>
      <c r="Q793" s="88"/>
      <c r="R793" s="88"/>
      <c r="S793" s="88"/>
      <c r="T793" s="88"/>
      <c r="U793" s="88"/>
      <c r="V793" s="88"/>
      <c r="W793" s="88"/>
      <c r="X793" s="88"/>
      <c r="Y793" s="88"/>
      <c r="Z793" s="88"/>
      <c r="AA793" s="88"/>
    </row>
    <row r="794">
      <c r="A794" s="88"/>
      <c r="B794" s="88"/>
      <c r="C794" s="88"/>
      <c r="D794" s="453"/>
      <c r="E794" s="88"/>
      <c r="F794" s="88"/>
      <c r="G794" s="88"/>
      <c r="H794" s="454"/>
      <c r="I794" s="455"/>
      <c r="J794" s="88"/>
      <c r="K794" s="88"/>
      <c r="L794" s="456"/>
      <c r="M794" s="88"/>
      <c r="N794" s="88"/>
      <c r="O794" s="88"/>
      <c r="P794" s="88"/>
      <c r="Q794" s="88"/>
      <c r="R794" s="88"/>
      <c r="S794" s="88"/>
      <c r="T794" s="88"/>
      <c r="U794" s="88"/>
      <c r="V794" s="88"/>
      <c r="W794" s="88"/>
      <c r="X794" s="88"/>
      <c r="Y794" s="88"/>
      <c r="Z794" s="88"/>
      <c r="AA794" s="88"/>
    </row>
    <row r="795">
      <c r="A795" s="88"/>
      <c r="B795" s="88"/>
      <c r="C795" s="88"/>
      <c r="D795" s="453"/>
      <c r="E795" s="88"/>
      <c r="F795" s="88"/>
      <c r="G795" s="88"/>
      <c r="H795" s="454"/>
      <c r="I795" s="455"/>
      <c r="J795" s="88"/>
      <c r="K795" s="88"/>
      <c r="L795" s="456"/>
      <c r="M795" s="88"/>
      <c r="N795" s="88"/>
      <c r="O795" s="88"/>
      <c r="P795" s="88"/>
      <c r="Q795" s="88"/>
      <c r="R795" s="88"/>
      <c r="S795" s="88"/>
      <c r="T795" s="88"/>
      <c r="U795" s="88"/>
      <c r="V795" s="88"/>
      <c r="W795" s="88"/>
      <c r="X795" s="88"/>
      <c r="Y795" s="88"/>
      <c r="Z795" s="88"/>
      <c r="AA795" s="88"/>
    </row>
    <row r="796">
      <c r="A796" s="88"/>
      <c r="B796" s="88"/>
      <c r="C796" s="88"/>
      <c r="D796" s="453"/>
      <c r="E796" s="88"/>
      <c r="F796" s="88"/>
      <c r="G796" s="88"/>
      <c r="H796" s="454"/>
      <c r="I796" s="455"/>
      <c r="J796" s="88"/>
      <c r="K796" s="88"/>
      <c r="L796" s="456"/>
      <c r="M796" s="88"/>
      <c r="N796" s="88"/>
      <c r="O796" s="88"/>
      <c r="P796" s="88"/>
      <c r="Q796" s="88"/>
      <c r="R796" s="88"/>
      <c r="S796" s="88"/>
      <c r="T796" s="88"/>
      <c r="U796" s="88"/>
      <c r="V796" s="88"/>
      <c r="W796" s="88"/>
      <c r="X796" s="88"/>
      <c r="Y796" s="88"/>
      <c r="Z796" s="88"/>
      <c r="AA796" s="88"/>
    </row>
    <row r="797">
      <c r="A797" s="88"/>
      <c r="B797" s="88"/>
      <c r="C797" s="88"/>
      <c r="D797" s="453"/>
      <c r="E797" s="88"/>
      <c r="F797" s="88"/>
      <c r="G797" s="88"/>
      <c r="H797" s="454"/>
      <c r="I797" s="455"/>
      <c r="J797" s="88"/>
      <c r="K797" s="88"/>
      <c r="L797" s="456"/>
      <c r="M797" s="88"/>
      <c r="N797" s="88"/>
      <c r="O797" s="88"/>
      <c r="P797" s="88"/>
      <c r="Q797" s="88"/>
      <c r="R797" s="88"/>
      <c r="S797" s="88"/>
      <c r="T797" s="88"/>
      <c r="U797" s="88"/>
      <c r="V797" s="88"/>
      <c r="W797" s="88"/>
      <c r="X797" s="88"/>
      <c r="Y797" s="88"/>
      <c r="Z797" s="88"/>
      <c r="AA797" s="88"/>
    </row>
    <row r="798">
      <c r="A798" s="88"/>
      <c r="B798" s="88"/>
      <c r="C798" s="88"/>
      <c r="D798" s="453"/>
      <c r="E798" s="88"/>
      <c r="F798" s="88"/>
      <c r="G798" s="88"/>
      <c r="H798" s="454"/>
      <c r="I798" s="455"/>
      <c r="J798" s="88"/>
      <c r="K798" s="88"/>
      <c r="L798" s="456"/>
      <c r="M798" s="88"/>
      <c r="N798" s="88"/>
      <c r="O798" s="88"/>
      <c r="P798" s="88"/>
      <c r="Q798" s="88"/>
      <c r="R798" s="88"/>
      <c r="S798" s="88"/>
      <c r="T798" s="88"/>
      <c r="U798" s="88"/>
      <c r="V798" s="88"/>
      <c r="W798" s="88"/>
      <c r="X798" s="88"/>
      <c r="Y798" s="88"/>
      <c r="Z798" s="88"/>
      <c r="AA798" s="88"/>
    </row>
    <row r="799">
      <c r="A799" s="88"/>
      <c r="B799" s="88"/>
      <c r="C799" s="88"/>
      <c r="D799" s="453"/>
      <c r="E799" s="88"/>
      <c r="F799" s="88"/>
      <c r="G799" s="88"/>
      <c r="H799" s="454"/>
      <c r="I799" s="455"/>
      <c r="J799" s="88"/>
      <c r="K799" s="88"/>
      <c r="L799" s="456"/>
      <c r="M799" s="88"/>
      <c r="N799" s="88"/>
      <c r="O799" s="88"/>
      <c r="P799" s="88"/>
      <c r="Q799" s="88"/>
      <c r="R799" s="88"/>
      <c r="S799" s="88"/>
      <c r="T799" s="88"/>
      <c r="U799" s="88"/>
      <c r="V799" s="88"/>
      <c r="W799" s="88"/>
      <c r="X799" s="88"/>
      <c r="Y799" s="88"/>
      <c r="Z799" s="88"/>
      <c r="AA799" s="88"/>
    </row>
    <row r="800">
      <c r="A800" s="88"/>
      <c r="B800" s="88"/>
      <c r="C800" s="88"/>
      <c r="D800" s="453"/>
      <c r="E800" s="88"/>
      <c r="F800" s="88"/>
      <c r="G800" s="88"/>
      <c r="H800" s="454"/>
      <c r="I800" s="455"/>
      <c r="J800" s="88"/>
      <c r="K800" s="88"/>
      <c r="L800" s="456"/>
      <c r="M800" s="88"/>
      <c r="N800" s="88"/>
      <c r="O800" s="88"/>
      <c r="P800" s="88"/>
      <c r="Q800" s="88"/>
      <c r="R800" s="88"/>
      <c r="S800" s="88"/>
      <c r="T800" s="88"/>
      <c r="U800" s="88"/>
      <c r="V800" s="88"/>
      <c r="W800" s="88"/>
      <c r="X800" s="88"/>
      <c r="Y800" s="88"/>
      <c r="Z800" s="88"/>
      <c r="AA800" s="88"/>
    </row>
    <row r="801">
      <c r="A801" s="88"/>
      <c r="B801" s="88"/>
      <c r="C801" s="88"/>
      <c r="D801" s="453"/>
      <c r="E801" s="88"/>
      <c r="F801" s="88"/>
      <c r="G801" s="88"/>
      <c r="H801" s="454"/>
      <c r="I801" s="455"/>
      <c r="J801" s="88"/>
      <c r="K801" s="88"/>
      <c r="L801" s="456"/>
      <c r="M801" s="88"/>
      <c r="N801" s="88"/>
      <c r="O801" s="88"/>
      <c r="P801" s="88"/>
      <c r="Q801" s="88"/>
      <c r="R801" s="88"/>
      <c r="S801" s="88"/>
      <c r="T801" s="88"/>
      <c r="U801" s="88"/>
      <c r="V801" s="88"/>
      <c r="W801" s="88"/>
      <c r="X801" s="88"/>
      <c r="Y801" s="88"/>
      <c r="Z801" s="88"/>
      <c r="AA801" s="88"/>
    </row>
    <row r="802">
      <c r="A802" s="88"/>
      <c r="B802" s="88"/>
      <c r="C802" s="88"/>
      <c r="D802" s="453"/>
      <c r="E802" s="88"/>
      <c r="F802" s="88"/>
      <c r="G802" s="88"/>
      <c r="H802" s="454"/>
      <c r="I802" s="455"/>
      <c r="J802" s="88"/>
      <c r="K802" s="88"/>
      <c r="L802" s="456"/>
      <c r="M802" s="88"/>
      <c r="N802" s="88"/>
      <c r="O802" s="88"/>
      <c r="P802" s="88"/>
      <c r="Q802" s="88"/>
      <c r="R802" s="88"/>
      <c r="S802" s="88"/>
      <c r="T802" s="88"/>
      <c r="U802" s="88"/>
      <c r="V802" s="88"/>
      <c r="W802" s="88"/>
      <c r="X802" s="88"/>
      <c r="Y802" s="88"/>
      <c r="Z802" s="88"/>
      <c r="AA802" s="88"/>
    </row>
    <row r="803">
      <c r="A803" s="88"/>
      <c r="B803" s="88"/>
      <c r="C803" s="88"/>
      <c r="D803" s="453"/>
      <c r="E803" s="88"/>
      <c r="F803" s="88"/>
      <c r="G803" s="88"/>
      <c r="H803" s="454"/>
      <c r="I803" s="455"/>
      <c r="J803" s="88"/>
      <c r="K803" s="88"/>
      <c r="L803" s="456"/>
      <c r="M803" s="88"/>
      <c r="N803" s="88"/>
      <c r="O803" s="88"/>
      <c r="P803" s="88"/>
      <c r="Q803" s="88"/>
      <c r="R803" s="88"/>
      <c r="S803" s="88"/>
      <c r="T803" s="88"/>
      <c r="U803" s="88"/>
      <c r="V803" s="88"/>
      <c r="W803" s="88"/>
      <c r="X803" s="88"/>
      <c r="Y803" s="88"/>
      <c r="Z803" s="88"/>
      <c r="AA803" s="88"/>
    </row>
    <row r="804">
      <c r="A804" s="88"/>
      <c r="B804" s="88"/>
      <c r="C804" s="88"/>
      <c r="D804" s="453"/>
      <c r="E804" s="88"/>
      <c r="F804" s="88"/>
      <c r="G804" s="88"/>
      <c r="H804" s="454"/>
      <c r="I804" s="455"/>
      <c r="J804" s="88"/>
      <c r="K804" s="88"/>
      <c r="L804" s="456"/>
      <c r="M804" s="88"/>
      <c r="N804" s="88"/>
      <c r="O804" s="88"/>
      <c r="P804" s="88"/>
      <c r="Q804" s="88"/>
      <c r="R804" s="88"/>
      <c r="S804" s="88"/>
      <c r="T804" s="88"/>
      <c r="U804" s="88"/>
      <c r="V804" s="88"/>
      <c r="W804" s="88"/>
      <c r="X804" s="88"/>
      <c r="Y804" s="88"/>
      <c r="Z804" s="88"/>
      <c r="AA804" s="88"/>
    </row>
    <row r="805">
      <c r="A805" s="88"/>
      <c r="B805" s="88"/>
      <c r="C805" s="88"/>
      <c r="D805" s="453"/>
      <c r="E805" s="88"/>
      <c r="F805" s="88"/>
      <c r="G805" s="88"/>
      <c r="H805" s="454"/>
      <c r="I805" s="455"/>
      <c r="J805" s="88"/>
      <c r="K805" s="88"/>
      <c r="L805" s="456"/>
      <c r="M805" s="88"/>
      <c r="N805" s="88"/>
      <c r="O805" s="88"/>
      <c r="P805" s="88"/>
      <c r="Q805" s="88"/>
      <c r="R805" s="88"/>
      <c r="S805" s="88"/>
      <c r="T805" s="88"/>
      <c r="U805" s="88"/>
      <c r="V805" s="88"/>
      <c r="W805" s="88"/>
      <c r="X805" s="88"/>
      <c r="Y805" s="88"/>
      <c r="Z805" s="88"/>
      <c r="AA805" s="88"/>
    </row>
    <row r="806">
      <c r="A806" s="88"/>
      <c r="B806" s="88"/>
      <c r="C806" s="88"/>
      <c r="D806" s="453"/>
      <c r="E806" s="88"/>
      <c r="F806" s="88"/>
      <c r="G806" s="88"/>
      <c r="H806" s="454"/>
      <c r="I806" s="455"/>
      <c r="J806" s="88"/>
      <c r="K806" s="88"/>
      <c r="L806" s="456"/>
      <c r="M806" s="88"/>
      <c r="N806" s="88"/>
      <c r="O806" s="88"/>
      <c r="P806" s="88"/>
      <c r="Q806" s="88"/>
      <c r="R806" s="88"/>
      <c r="S806" s="88"/>
      <c r="T806" s="88"/>
      <c r="U806" s="88"/>
      <c r="V806" s="88"/>
      <c r="W806" s="88"/>
      <c r="X806" s="88"/>
      <c r="Y806" s="88"/>
      <c r="Z806" s="88"/>
      <c r="AA806" s="88"/>
    </row>
    <row r="807">
      <c r="A807" s="88"/>
      <c r="B807" s="88"/>
      <c r="C807" s="88"/>
      <c r="D807" s="453"/>
      <c r="E807" s="88"/>
      <c r="F807" s="88"/>
      <c r="G807" s="88"/>
      <c r="H807" s="454"/>
      <c r="I807" s="455"/>
      <c r="J807" s="88"/>
      <c r="K807" s="88"/>
      <c r="L807" s="456"/>
      <c r="M807" s="88"/>
      <c r="N807" s="88"/>
      <c r="O807" s="88"/>
      <c r="P807" s="88"/>
      <c r="Q807" s="88"/>
      <c r="R807" s="88"/>
      <c r="S807" s="88"/>
      <c r="T807" s="88"/>
      <c r="U807" s="88"/>
      <c r="V807" s="88"/>
      <c r="W807" s="88"/>
      <c r="X807" s="88"/>
      <c r="Y807" s="88"/>
      <c r="Z807" s="88"/>
      <c r="AA807" s="88"/>
    </row>
    <row r="808">
      <c r="A808" s="88"/>
      <c r="B808" s="88"/>
      <c r="C808" s="88"/>
      <c r="D808" s="453"/>
      <c r="E808" s="88"/>
      <c r="F808" s="88"/>
      <c r="G808" s="88"/>
      <c r="H808" s="454"/>
      <c r="I808" s="455"/>
      <c r="J808" s="88"/>
      <c r="K808" s="88"/>
      <c r="L808" s="456"/>
      <c r="M808" s="88"/>
      <c r="N808" s="88"/>
      <c r="O808" s="88"/>
      <c r="P808" s="88"/>
      <c r="Q808" s="88"/>
      <c r="R808" s="88"/>
      <c r="S808" s="88"/>
      <c r="T808" s="88"/>
      <c r="U808" s="88"/>
      <c r="V808" s="88"/>
      <c r="W808" s="88"/>
      <c r="X808" s="88"/>
      <c r="Y808" s="88"/>
      <c r="Z808" s="88"/>
      <c r="AA808" s="88"/>
    </row>
    <row r="809">
      <c r="A809" s="88"/>
      <c r="B809" s="88"/>
      <c r="C809" s="88"/>
      <c r="D809" s="453"/>
      <c r="E809" s="88"/>
      <c r="F809" s="88"/>
      <c r="G809" s="88"/>
      <c r="H809" s="454"/>
      <c r="I809" s="455"/>
      <c r="J809" s="88"/>
      <c r="K809" s="88"/>
      <c r="L809" s="456"/>
      <c r="M809" s="88"/>
      <c r="N809" s="88"/>
      <c r="O809" s="88"/>
      <c r="P809" s="88"/>
      <c r="Q809" s="88"/>
      <c r="R809" s="88"/>
      <c r="S809" s="88"/>
      <c r="T809" s="88"/>
      <c r="U809" s="88"/>
      <c r="V809" s="88"/>
      <c r="W809" s="88"/>
      <c r="X809" s="88"/>
      <c r="Y809" s="88"/>
      <c r="Z809" s="88"/>
      <c r="AA809" s="88"/>
    </row>
    <row r="810">
      <c r="A810" s="88"/>
      <c r="B810" s="88"/>
      <c r="C810" s="88"/>
      <c r="D810" s="453"/>
      <c r="E810" s="88"/>
      <c r="F810" s="88"/>
      <c r="G810" s="88"/>
      <c r="H810" s="454"/>
      <c r="I810" s="455"/>
      <c r="J810" s="88"/>
      <c r="K810" s="88"/>
      <c r="L810" s="456"/>
      <c r="M810" s="88"/>
      <c r="N810" s="88"/>
      <c r="O810" s="88"/>
      <c r="P810" s="88"/>
      <c r="Q810" s="88"/>
      <c r="R810" s="88"/>
      <c r="S810" s="88"/>
      <c r="T810" s="88"/>
      <c r="U810" s="88"/>
      <c r="V810" s="88"/>
      <c r="W810" s="88"/>
      <c r="X810" s="88"/>
      <c r="Y810" s="88"/>
      <c r="Z810" s="88"/>
      <c r="AA810" s="88"/>
    </row>
    <row r="811">
      <c r="A811" s="88"/>
      <c r="B811" s="88"/>
      <c r="C811" s="88"/>
      <c r="D811" s="453"/>
      <c r="E811" s="88"/>
      <c r="F811" s="88"/>
      <c r="G811" s="88"/>
      <c r="H811" s="454"/>
      <c r="I811" s="455"/>
      <c r="J811" s="88"/>
      <c r="K811" s="88"/>
      <c r="L811" s="456"/>
      <c r="M811" s="88"/>
      <c r="N811" s="88"/>
      <c r="O811" s="88"/>
      <c r="P811" s="88"/>
      <c r="Q811" s="88"/>
      <c r="R811" s="88"/>
      <c r="S811" s="88"/>
      <c r="T811" s="88"/>
      <c r="U811" s="88"/>
      <c r="V811" s="88"/>
      <c r="W811" s="88"/>
      <c r="X811" s="88"/>
      <c r="Y811" s="88"/>
      <c r="Z811" s="88"/>
      <c r="AA811" s="88"/>
    </row>
    <row r="812">
      <c r="A812" s="88"/>
      <c r="B812" s="88"/>
      <c r="C812" s="88"/>
      <c r="D812" s="453"/>
      <c r="E812" s="88"/>
      <c r="F812" s="88"/>
      <c r="G812" s="88"/>
      <c r="H812" s="454"/>
      <c r="I812" s="455"/>
      <c r="J812" s="88"/>
      <c r="K812" s="88"/>
      <c r="L812" s="456"/>
      <c r="M812" s="88"/>
      <c r="N812" s="88"/>
      <c r="O812" s="88"/>
      <c r="P812" s="88"/>
      <c r="Q812" s="88"/>
      <c r="R812" s="88"/>
      <c r="S812" s="88"/>
      <c r="T812" s="88"/>
      <c r="U812" s="88"/>
      <c r="V812" s="88"/>
      <c r="W812" s="88"/>
      <c r="X812" s="88"/>
      <c r="Y812" s="88"/>
      <c r="Z812" s="88"/>
      <c r="AA812" s="88"/>
    </row>
    <row r="813">
      <c r="A813" s="88"/>
      <c r="B813" s="88"/>
      <c r="C813" s="88"/>
      <c r="D813" s="453"/>
      <c r="E813" s="88"/>
      <c r="F813" s="88"/>
      <c r="G813" s="88"/>
      <c r="H813" s="454"/>
      <c r="I813" s="455"/>
      <c r="J813" s="88"/>
      <c r="K813" s="88"/>
      <c r="L813" s="456"/>
      <c r="M813" s="88"/>
      <c r="N813" s="88"/>
      <c r="O813" s="88"/>
      <c r="P813" s="88"/>
      <c r="Q813" s="88"/>
      <c r="R813" s="88"/>
      <c r="S813" s="88"/>
      <c r="T813" s="88"/>
      <c r="U813" s="88"/>
      <c r="V813" s="88"/>
      <c r="W813" s="88"/>
      <c r="X813" s="88"/>
      <c r="Y813" s="88"/>
      <c r="Z813" s="88"/>
      <c r="AA813" s="88"/>
    </row>
    <row r="814">
      <c r="A814" s="88"/>
      <c r="B814" s="88"/>
      <c r="C814" s="88"/>
      <c r="D814" s="453"/>
      <c r="E814" s="88"/>
      <c r="F814" s="88"/>
      <c r="G814" s="88"/>
      <c r="H814" s="454"/>
      <c r="I814" s="455"/>
      <c r="J814" s="88"/>
      <c r="K814" s="88"/>
      <c r="L814" s="456"/>
      <c r="M814" s="88"/>
      <c r="N814" s="88"/>
      <c r="O814" s="88"/>
      <c r="P814" s="88"/>
      <c r="Q814" s="88"/>
      <c r="R814" s="88"/>
      <c r="S814" s="88"/>
      <c r="T814" s="88"/>
      <c r="U814" s="88"/>
      <c r="V814" s="88"/>
      <c r="W814" s="88"/>
      <c r="X814" s="88"/>
      <c r="Y814" s="88"/>
      <c r="Z814" s="88"/>
      <c r="AA814" s="88"/>
    </row>
    <row r="815">
      <c r="A815" s="88"/>
      <c r="B815" s="88"/>
      <c r="C815" s="88"/>
      <c r="D815" s="453"/>
      <c r="E815" s="88"/>
      <c r="F815" s="88"/>
      <c r="G815" s="88"/>
      <c r="H815" s="454"/>
      <c r="I815" s="455"/>
      <c r="J815" s="88"/>
      <c r="K815" s="88"/>
      <c r="L815" s="456"/>
      <c r="M815" s="88"/>
      <c r="N815" s="88"/>
      <c r="O815" s="88"/>
      <c r="P815" s="88"/>
      <c r="Q815" s="88"/>
      <c r="R815" s="88"/>
      <c r="S815" s="88"/>
      <c r="T815" s="88"/>
      <c r="U815" s="88"/>
      <c r="V815" s="88"/>
      <c r="W815" s="88"/>
      <c r="X815" s="88"/>
      <c r="Y815" s="88"/>
      <c r="Z815" s="88"/>
      <c r="AA815" s="88"/>
    </row>
    <row r="816">
      <c r="A816" s="88"/>
      <c r="B816" s="88"/>
      <c r="C816" s="88"/>
      <c r="D816" s="453"/>
      <c r="E816" s="88"/>
      <c r="F816" s="88"/>
      <c r="G816" s="88"/>
      <c r="H816" s="454"/>
      <c r="I816" s="455"/>
      <c r="J816" s="88"/>
      <c r="K816" s="88"/>
      <c r="L816" s="456"/>
      <c r="M816" s="88"/>
      <c r="N816" s="88"/>
      <c r="O816" s="88"/>
      <c r="P816" s="88"/>
      <c r="Q816" s="88"/>
      <c r="R816" s="88"/>
      <c r="S816" s="88"/>
      <c r="T816" s="88"/>
      <c r="U816" s="88"/>
      <c r="V816" s="88"/>
      <c r="W816" s="88"/>
      <c r="X816" s="88"/>
      <c r="Y816" s="88"/>
      <c r="Z816" s="88"/>
      <c r="AA816" s="88"/>
    </row>
    <row r="817">
      <c r="A817" s="88"/>
      <c r="B817" s="88"/>
      <c r="C817" s="88"/>
      <c r="D817" s="453"/>
      <c r="E817" s="88"/>
      <c r="F817" s="88"/>
      <c r="G817" s="88"/>
      <c r="H817" s="454"/>
      <c r="I817" s="455"/>
      <c r="J817" s="88"/>
      <c r="K817" s="88"/>
      <c r="L817" s="456"/>
      <c r="M817" s="88"/>
      <c r="N817" s="88"/>
      <c r="O817" s="88"/>
      <c r="P817" s="88"/>
      <c r="Q817" s="88"/>
      <c r="R817" s="88"/>
      <c r="S817" s="88"/>
      <c r="T817" s="88"/>
      <c r="U817" s="88"/>
      <c r="V817" s="88"/>
      <c r="W817" s="88"/>
      <c r="X817" s="88"/>
      <c r="Y817" s="88"/>
      <c r="Z817" s="88"/>
      <c r="AA817" s="88"/>
    </row>
    <row r="818">
      <c r="A818" s="88"/>
      <c r="B818" s="88"/>
      <c r="C818" s="88"/>
      <c r="D818" s="453"/>
      <c r="E818" s="88"/>
      <c r="F818" s="88"/>
      <c r="G818" s="88"/>
      <c r="H818" s="454"/>
      <c r="I818" s="455"/>
      <c r="J818" s="88"/>
      <c r="K818" s="88"/>
      <c r="L818" s="456"/>
      <c r="M818" s="88"/>
      <c r="N818" s="88"/>
      <c r="O818" s="88"/>
      <c r="P818" s="88"/>
      <c r="Q818" s="88"/>
      <c r="R818" s="88"/>
      <c r="S818" s="88"/>
      <c r="T818" s="88"/>
      <c r="U818" s="88"/>
      <c r="V818" s="88"/>
      <c r="W818" s="88"/>
      <c r="X818" s="88"/>
      <c r="Y818" s="88"/>
      <c r="Z818" s="88"/>
      <c r="AA818" s="88"/>
    </row>
    <row r="819">
      <c r="A819" s="88"/>
      <c r="B819" s="88"/>
      <c r="C819" s="88"/>
      <c r="D819" s="453"/>
      <c r="E819" s="88"/>
      <c r="F819" s="88"/>
      <c r="G819" s="88"/>
      <c r="H819" s="454"/>
      <c r="I819" s="455"/>
      <c r="J819" s="88"/>
      <c r="K819" s="88"/>
      <c r="L819" s="456"/>
      <c r="M819" s="88"/>
      <c r="N819" s="88"/>
      <c r="O819" s="88"/>
      <c r="P819" s="88"/>
      <c r="Q819" s="88"/>
      <c r="R819" s="88"/>
      <c r="S819" s="88"/>
      <c r="T819" s="88"/>
      <c r="U819" s="88"/>
      <c r="V819" s="88"/>
      <c r="W819" s="88"/>
      <c r="X819" s="88"/>
      <c r="Y819" s="88"/>
      <c r="Z819" s="88"/>
      <c r="AA819" s="88"/>
    </row>
    <row r="820">
      <c r="A820" s="88"/>
      <c r="B820" s="88"/>
      <c r="C820" s="88"/>
      <c r="D820" s="453"/>
      <c r="E820" s="88"/>
      <c r="F820" s="88"/>
      <c r="G820" s="88"/>
      <c r="H820" s="454"/>
      <c r="I820" s="455"/>
      <c r="J820" s="88"/>
      <c r="K820" s="88"/>
      <c r="L820" s="456"/>
      <c r="M820" s="88"/>
      <c r="N820" s="88"/>
      <c r="O820" s="88"/>
      <c r="P820" s="88"/>
      <c r="Q820" s="88"/>
      <c r="R820" s="88"/>
      <c r="S820" s="88"/>
      <c r="T820" s="88"/>
      <c r="U820" s="88"/>
      <c r="V820" s="88"/>
      <c r="W820" s="88"/>
      <c r="X820" s="88"/>
      <c r="Y820" s="88"/>
      <c r="Z820" s="88"/>
      <c r="AA820" s="88"/>
    </row>
    <row r="821">
      <c r="A821" s="88"/>
      <c r="B821" s="88"/>
      <c r="C821" s="88"/>
      <c r="D821" s="453"/>
      <c r="E821" s="88"/>
      <c r="F821" s="88"/>
      <c r="G821" s="88"/>
      <c r="H821" s="454"/>
      <c r="I821" s="455"/>
      <c r="J821" s="88"/>
      <c r="K821" s="88"/>
      <c r="L821" s="456"/>
      <c r="M821" s="88"/>
      <c r="N821" s="88"/>
      <c r="O821" s="88"/>
      <c r="P821" s="88"/>
      <c r="Q821" s="88"/>
      <c r="R821" s="88"/>
      <c r="S821" s="88"/>
      <c r="T821" s="88"/>
      <c r="U821" s="88"/>
      <c r="V821" s="88"/>
      <c r="W821" s="88"/>
      <c r="X821" s="88"/>
      <c r="Y821" s="88"/>
      <c r="Z821" s="88"/>
      <c r="AA821" s="88"/>
    </row>
    <row r="822">
      <c r="A822" s="88"/>
      <c r="B822" s="88"/>
      <c r="C822" s="88"/>
      <c r="D822" s="453"/>
      <c r="E822" s="88"/>
      <c r="F822" s="88"/>
      <c r="G822" s="88"/>
      <c r="H822" s="454"/>
      <c r="I822" s="455"/>
      <c r="J822" s="88"/>
      <c r="K822" s="88"/>
      <c r="L822" s="456"/>
      <c r="M822" s="88"/>
      <c r="N822" s="88"/>
      <c r="O822" s="88"/>
      <c r="P822" s="88"/>
      <c r="Q822" s="88"/>
      <c r="R822" s="88"/>
      <c r="S822" s="88"/>
      <c r="T822" s="88"/>
      <c r="U822" s="88"/>
      <c r="V822" s="88"/>
      <c r="W822" s="88"/>
      <c r="X822" s="88"/>
      <c r="Y822" s="88"/>
      <c r="Z822" s="88"/>
      <c r="AA822" s="88"/>
    </row>
    <row r="823">
      <c r="A823" s="88"/>
      <c r="B823" s="88"/>
      <c r="C823" s="88"/>
      <c r="D823" s="453"/>
      <c r="E823" s="88"/>
      <c r="F823" s="88"/>
      <c r="G823" s="88"/>
      <c r="H823" s="454"/>
      <c r="I823" s="455"/>
      <c r="J823" s="88"/>
      <c r="K823" s="88"/>
      <c r="L823" s="456"/>
      <c r="M823" s="88"/>
      <c r="N823" s="88"/>
      <c r="O823" s="88"/>
      <c r="P823" s="88"/>
      <c r="Q823" s="88"/>
      <c r="R823" s="88"/>
      <c r="S823" s="88"/>
      <c r="T823" s="88"/>
      <c r="U823" s="88"/>
      <c r="V823" s="88"/>
      <c r="W823" s="88"/>
      <c r="X823" s="88"/>
      <c r="Y823" s="88"/>
      <c r="Z823" s="88"/>
      <c r="AA823" s="88"/>
    </row>
    <row r="824">
      <c r="A824" s="88"/>
      <c r="B824" s="88"/>
      <c r="C824" s="88"/>
      <c r="D824" s="453"/>
      <c r="E824" s="88"/>
      <c r="F824" s="88"/>
      <c r="G824" s="88"/>
      <c r="H824" s="454"/>
      <c r="I824" s="455"/>
      <c r="J824" s="88"/>
      <c r="K824" s="88"/>
      <c r="L824" s="456"/>
      <c r="M824" s="88"/>
      <c r="N824" s="88"/>
      <c r="O824" s="88"/>
      <c r="P824" s="88"/>
      <c r="Q824" s="88"/>
      <c r="R824" s="88"/>
      <c r="S824" s="88"/>
      <c r="T824" s="88"/>
      <c r="U824" s="88"/>
      <c r="V824" s="88"/>
      <c r="W824" s="88"/>
      <c r="X824" s="88"/>
      <c r="Y824" s="88"/>
      <c r="Z824" s="88"/>
      <c r="AA824" s="88"/>
    </row>
    <row r="825">
      <c r="A825" s="88"/>
      <c r="B825" s="88"/>
      <c r="C825" s="88"/>
      <c r="D825" s="453"/>
      <c r="E825" s="88"/>
      <c r="F825" s="88"/>
      <c r="G825" s="88"/>
      <c r="H825" s="454"/>
      <c r="I825" s="455"/>
      <c r="J825" s="88"/>
      <c r="K825" s="88"/>
      <c r="L825" s="456"/>
      <c r="M825" s="88"/>
      <c r="N825" s="88"/>
      <c r="O825" s="88"/>
      <c r="P825" s="88"/>
      <c r="Q825" s="88"/>
      <c r="R825" s="88"/>
      <c r="S825" s="88"/>
      <c r="T825" s="88"/>
      <c r="U825" s="88"/>
      <c r="V825" s="88"/>
      <c r="W825" s="88"/>
      <c r="X825" s="88"/>
      <c r="Y825" s="88"/>
      <c r="Z825" s="88"/>
      <c r="AA825" s="88"/>
    </row>
    <row r="826">
      <c r="A826" s="88"/>
      <c r="B826" s="88"/>
      <c r="C826" s="88"/>
      <c r="D826" s="453"/>
      <c r="E826" s="88"/>
      <c r="F826" s="88"/>
      <c r="G826" s="88"/>
      <c r="H826" s="454"/>
      <c r="I826" s="455"/>
      <c r="J826" s="88"/>
      <c r="K826" s="88"/>
      <c r="L826" s="456"/>
      <c r="M826" s="88"/>
      <c r="N826" s="88"/>
      <c r="O826" s="88"/>
      <c r="P826" s="88"/>
      <c r="Q826" s="88"/>
      <c r="R826" s="88"/>
      <c r="S826" s="88"/>
      <c r="T826" s="88"/>
      <c r="U826" s="88"/>
      <c r="V826" s="88"/>
      <c r="W826" s="88"/>
      <c r="X826" s="88"/>
      <c r="Y826" s="88"/>
      <c r="Z826" s="88"/>
      <c r="AA826" s="88"/>
    </row>
    <row r="827">
      <c r="A827" s="88"/>
      <c r="B827" s="88"/>
      <c r="C827" s="88"/>
      <c r="D827" s="453"/>
      <c r="E827" s="88"/>
      <c r="F827" s="88"/>
      <c r="G827" s="88"/>
      <c r="H827" s="454"/>
      <c r="I827" s="455"/>
      <c r="J827" s="88"/>
      <c r="K827" s="88"/>
      <c r="L827" s="456"/>
      <c r="M827" s="88"/>
      <c r="N827" s="88"/>
      <c r="O827" s="88"/>
      <c r="P827" s="88"/>
      <c r="Q827" s="88"/>
      <c r="R827" s="88"/>
      <c r="S827" s="88"/>
      <c r="T827" s="88"/>
      <c r="U827" s="88"/>
      <c r="V827" s="88"/>
      <c r="W827" s="88"/>
      <c r="X827" s="88"/>
      <c r="Y827" s="88"/>
      <c r="Z827" s="88"/>
      <c r="AA827" s="88"/>
    </row>
    <row r="828">
      <c r="A828" s="88"/>
      <c r="B828" s="88"/>
      <c r="C828" s="88"/>
      <c r="D828" s="453"/>
      <c r="E828" s="88"/>
      <c r="F828" s="88"/>
      <c r="G828" s="88"/>
      <c r="H828" s="454"/>
      <c r="I828" s="455"/>
      <c r="J828" s="88"/>
      <c r="K828" s="88"/>
      <c r="L828" s="456"/>
      <c r="M828" s="88"/>
      <c r="N828" s="88"/>
      <c r="O828" s="88"/>
      <c r="P828" s="88"/>
      <c r="Q828" s="88"/>
      <c r="R828" s="88"/>
      <c r="S828" s="88"/>
      <c r="T828" s="88"/>
      <c r="U828" s="88"/>
      <c r="V828" s="88"/>
      <c r="W828" s="88"/>
      <c r="X828" s="88"/>
      <c r="Y828" s="88"/>
      <c r="Z828" s="88"/>
      <c r="AA828" s="88"/>
    </row>
    <row r="829">
      <c r="A829" s="88"/>
      <c r="B829" s="88"/>
      <c r="C829" s="88"/>
      <c r="D829" s="453"/>
      <c r="E829" s="88"/>
      <c r="F829" s="88"/>
      <c r="G829" s="88"/>
      <c r="H829" s="454"/>
      <c r="I829" s="455"/>
      <c r="J829" s="88"/>
      <c r="K829" s="88"/>
      <c r="L829" s="456"/>
      <c r="M829" s="88"/>
      <c r="N829" s="88"/>
      <c r="O829" s="88"/>
      <c r="P829" s="88"/>
      <c r="Q829" s="88"/>
      <c r="R829" s="88"/>
      <c r="S829" s="88"/>
      <c r="T829" s="88"/>
      <c r="U829" s="88"/>
      <c r="V829" s="88"/>
      <c r="W829" s="88"/>
      <c r="X829" s="88"/>
      <c r="Y829" s="88"/>
      <c r="Z829" s="88"/>
      <c r="AA829" s="88"/>
    </row>
    <row r="830">
      <c r="A830" s="88"/>
      <c r="B830" s="88"/>
      <c r="C830" s="88"/>
      <c r="D830" s="453"/>
      <c r="E830" s="88"/>
      <c r="F830" s="88"/>
      <c r="G830" s="88"/>
      <c r="H830" s="454"/>
      <c r="I830" s="455"/>
      <c r="J830" s="88"/>
      <c r="K830" s="88"/>
      <c r="L830" s="456"/>
      <c r="M830" s="88"/>
      <c r="N830" s="88"/>
      <c r="O830" s="88"/>
      <c r="P830" s="88"/>
      <c r="Q830" s="88"/>
      <c r="R830" s="88"/>
      <c r="S830" s="88"/>
      <c r="T830" s="88"/>
      <c r="U830" s="88"/>
      <c r="V830" s="88"/>
      <c r="W830" s="88"/>
      <c r="X830" s="88"/>
      <c r="Y830" s="88"/>
      <c r="Z830" s="88"/>
      <c r="AA830" s="88"/>
    </row>
    <row r="831">
      <c r="A831" s="88"/>
      <c r="B831" s="88"/>
      <c r="C831" s="88"/>
      <c r="D831" s="453"/>
      <c r="E831" s="88"/>
      <c r="F831" s="88"/>
      <c r="G831" s="88"/>
      <c r="H831" s="454"/>
      <c r="I831" s="455"/>
      <c r="J831" s="88"/>
      <c r="K831" s="88"/>
      <c r="L831" s="456"/>
      <c r="M831" s="88"/>
      <c r="N831" s="88"/>
      <c r="O831" s="88"/>
      <c r="P831" s="88"/>
      <c r="Q831" s="88"/>
      <c r="R831" s="88"/>
      <c r="S831" s="88"/>
      <c r="T831" s="88"/>
      <c r="U831" s="88"/>
      <c r="V831" s="88"/>
      <c r="W831" s="88"/>
      <c r="X831" s="88"/>
      <c r="Y831" s="88"/>
      <c r="Z831" s="88"/>
      <c r="AA831" s="88"/>
    </row>
    <row r="832">
      <c r="A832" s="88"/>
      <c r="B832" s="88"/>
      <c r="C832" s="88"/>
      <c r="D832" s="453"/>
      <c r="E832" s="88"/>
      <c r="F832" s="88"/>
      <c r="G832" s="88"/>
      <c r="H832" s="454"/>
      <c r="I832" s="455"/>
      <c r="J832" s="88"/>
      <c r="K832" s="88"/>
      <c r="L832" s="456"/>
      <c r="M832" s="88"/>
      <c r="N832" s="88"/>
      <c r="O832" s="88"/>
      <c r="P832" s="88"/>
      <c r="Q832" s="88"/>
      <c r="R832" s="88"/>
      <c r="S832" s="88"/>
      <c r="T832" s="88"/>
      <c r="U832" s="88"/>
      <c r="V832" s="88"/>
      <c r="W832" s="88"/>
      <c r="X832" s="88"/>
      <c r="Y832" s="88"/>
      <c r="Z832" s="88"/>
      <c r="AA832" s="88"/>
    </row>
    <row r="833">
      <c r="A833" s="88"/>
      <c r="B833" s="88"/>
      <c r="C833" s="88"/>
      <c r="D833" s="453"/>
      <c r="E833" s="88"/>
      <c r="F833" s="88"/>
      <c r="G833" s="88"/>
      <c r="H833" s="454"/>
      <c r="I833" s="455"/>
      <c r="J833" s="88"/>
      <c r="K833" s="88"/>
      <c r="L833" s="456"/>
      <c r="M833" s="88"/>
      <c r="N833" s="88"/>
      <c r="O833" s="88"/>
      <c r="P833" s="88"/>
      <c r="Q833" s="88"/>
      <c r="R833" s="88"/>
      <c r="S833" s="88"/>
      <c r="T833" s="88"/>
      <c r="U833" s="88"/>
      <c r="V833" s="88"/>
      <c r="W833" s="88"/>
      <c r="X833" s="88"/>
      <c r="Y833" s="88"/>
      <c r="Z833" s="88"/>
      <c r="AA833" s="88"/>
    </row>
    <row r="834">
      <c r="A834" s="88"/>
      <c r="B834" s="88"/>
      <c r="C834" s="88"/>
      <c r="D834" s="453"/>
      <c r="E834" s="88"/>
      <c r="F834" s="88"/>
      <c r="G834" s="88"/>
      <c r="H834" s="454"/>
      <c r="I834" s="455"/>
      <c r="J834" s="88"/>
      <c r="K834" s="88"/>
      <c r="L834" s="456"/>
      <c r="M834" s="88"/>
      <c r="N834" s="88"/>
      <c r="O834" s="88"/>
      <c r="P834" s="88"/>
      <c r="Q834" s="88"/>
      <c r="R834" s="88"/>
      <c r="S834" s="88"/>
      <c r="T834" s="88"/>
      <c r="U834" s="88"/>
      <c r="V834" s="88"/>
      <c r="W834" s="88"/>
      <c r="X834" s="88"/>
      <c r="Y834" s="88"/>
      <c r="Z834" s="88"/>
      <c r="AA834" s="88"/>
    </row>
    <row r="835">
      <c r="A835" s="88"/>
      <c r="B835" s="88"/>
      <c r="C835" s="88"/>
      <c r="D835" s="453"/>
      <c r="E835" s="88"/>
      <c r="F835" s="88"/>
      <c r="G835" s="88"/>
      <c r="H835" s="454"/>
      <c r="I835" s="455"/>
      <c r="J835" s="88"/>
      <c r="K835" s="88"/>
      <c r="L835" s="456"/>
      <c r="M835" s="88"/>
      <c r="N835" s="88"/>
      <c r="O835" s="88"/>
      <c r="P835" s="88"/>
      <c r="Q835" s="88"/>
      <c r="R835" s="88"/>
      <c r="S835" s="88"/>
      <c r="T835" s="88"/>
      <c r="U835" s="88"/>
      <c r="V835" s="88"/>
      <c r="W835" s="88"/>
      <c r="X835" s="88"/>
      <c r="Y835" s="88"/>
      <c r="Z835" s="88"/>
      <c r="AA835" s="88"/>
    </row>
    <row r="836">
      <c r="A836" s="88"/>
      <c r="B836" s="88"/>
      <c r="C836" s="88"/>
      <c r="D836" s="453"/>
      <c r="E836" s="88"/>
      <c r="F836" s="88"/>
      <c r="G836" s="88"/>
      <c r="H836" s="454"/>
      <c r="I836" s="455"/>
      <c r="J836" s="88"/>
      <c r="K836" s="88"/>
      <c r="L836" s="456"/>
      <c r="M836" s="88"/>
      <c r="N836" s="88"/>
      <c r="O836" s="88"/>
      <c r="P836" s="88"/>
      <c r="Q836" s="88"/>
      <c r="R836" s="88"/>
      <c r="S836" s="88"/>
      <c r="T836" s="88"/>
      <c r="U836" s="88"/>
      <c r="V836" s="88"/>
      <c r="W836" s="88"/>
      <c r="X836" s="88"/>
      <c r="Y836" s="88"/>
      <c r="Z836" s="88"/>
      <c r="AA836" s="88"/>
    </row>
    <row r="837">
      <c r="A837" s="88"/>
      <c r="B837" s="88"/>
      <c r="C837" s="88"/>
      <c r="D837" s="453"/>
      <c r="E837" s="88"/>
      <c r="F837" s="88"/>
      <c r="G837" s="88"/>
      <c r="H837" s="454"/>
      <c r="I837" s="455"/>
      <c r="J837" s="88"/>
      <c r="K837" s="88"/>
      <c r="L837" s="456"/>
      <c r="M837" s="88"/>
      <c r="N837" s="88"/>
      <c r="O837" s="88"/>
      <c r="P837" s="88"/>
      <c r="Q837" s="88"/>
      <c r="R837" s="88"/>
      <c r="S837" s="88"/>
      <c r="T837" s="88"/>
      <c r="U837" s="88"/>
      <c r="V837" s="88"/>
      <c r="W837" s="88"/>
      <c r="X837" s="88"/>
      <c r="Y837" s="88"/>
      <c r="Z837" s="88"/>
      <c r="AA837" s="88"/>
    </row>
    <row r="838">
      <c r="A838" s="88"/>
      <c r="B838" s="88"/>
      <c r="C838" s="88"/>
      <c r="D838" s="453"/>
      <c r="E838" s="88"/>
      <c r="F838" s="88"/>
      <c r="G838" s="88"/>
      <c r="H838" s="454"/>
      <c r="I838" s="455"/>
      <c r="J838" s="88"/>
      <c r="K838" s="88"/>
      <c r="L838" s="456"/>
      <c r="M838" s="88"/>
      <c r="N838" s="88"/>
      <c r="O838" s="88"/>
      <c r="P838" s="88"/>
      <c r="Q838" s="88"/>
      <c r="R838" s="88"/>
      <c r="S838" s="88"/>
      <c r="T838" s="88"/>
      <c r="U838" s="88"/>
      <c r="V838" s="88"/>
      <c r="W838" s="88"/>
      <c r="X838" s="88"/>
      <c r="Y838" s="88"/>
      <c r="Z838" s="88"/>
      <c r="AA838" s="88"/>
    </row>
    <row r="839">
      <c r="A839" s="88"/>
      <c r="B839" s="88"/>
      <c r="C839" s="88"/>
      <c r="D839" s="453"/>
      <c r="E839" s="88"/>
      <c r="F839" s="88"/>
      <c r="G839" s="88"/>
      <c r="H839" s="454"/>
      <c r="I839" s="455"/>
      <c r="J839" s="88"/>
      <c r="K839" s="88"/>
      <c r="L839" s="456"/>
      <c r="M839" s="88"/>
      <c r="N839" s="88"/>
      <c r="O839" s="88"/>
      <c r="P839" s="88"/>
      <c r="Q839" s="88"/>
      <c r="R839" s="88"/>
      <c r="S839" s="88"/>
      <c r="T839" s="88"/>
      <c r="U839" s="88"/>
      <c r="V839" s="88"/>
      <c r="W839" s="88"/>
      <c r="X839" s="88"/>
      <c r="Y839" s="88"/>
      <c r="Z839" s="88"/>
      <c r="AA839" s="88"/>
    </row>
    <row r="840">
      <c r="A840" s="88"/>
      <c r="B840" s="88"/>
      <c r="C840" s="88"/>
      <c r="D840" s="453"/>
      <c r="E840" s="88"/>
      <c r="F840" s="88"/>
      <c r="G840" s="88"/>
      <c r="H840" s="454"/>
      <c r="I840" s="455"/>
      <c r="J840" s="88"/>
      <c r="K840" s="88"/>
      <c r="L840" s="456"/>
      <c r="M840" s="88"/>
      <c r="N840" s="88"/>
      <c r="O840" s="88"/>
      <c r="P840" s="88"/>
      <c r="Q840" s="88"/>
      <c r="R840" s="88"/>
      <c r="S840" s="88"/>
      <c r="T840" s="88"/>
      <c r="U840" s="88"/>
      <c r="V840" s="88"/>
      <c r="W840" s="88"/>
      <c r="X840" s="88"/>
      <c r="Y840" s="88"/>
      <c r="Z840" s="88"/>
      <c r="AA840" s="88"/>
    </row>
    <row r="841">
      <c r="A841" s="88"/>
      <c r="B841" s="88"/>
      <c r="C841" s="88"/>
      <c r="D841" s="453"/>
      <c r="E841" s="88"/>
      <c r="F841" s="88"/>
      <c r="G841" s="88"/>
      <c r="H841" s="454"/>
      <c r="I841" s="455"/>
      <c r="J841" s="88"/>
      <c r="K841" s="88"/>
      <c r="L841" s="456"/>
      <c r="M841" s="88"/>
      <c r="N841" s="88"/>
      <c r="O841" s="88"/>
      <c r="P841" s="88"/>
      <c r="Q841" s="88"/>
      <c r="R841" s="88"/>
      <c r="S841" s="88"/>
      <c r="T841" s="88"/>
      <c r="U841" s="88"/>
      <c r="V841" s="88"/>
      <c r="W841" s="88"/>
      <c r="X841" s="88"/>
      <c r="Y841" s="88"/>
      <c r="Z841" s="88"/>
      <c r="AA841" s="88"/>
    </row>
    <row r="842">
      <c r="A842" s="88"/>
      <c r="B842" s="88"/>
      <c r="C842" s="88"/>
      <c r="D842" s="453"/>
      <c r="E842" s="88"/>
      <c r="F842" s="88"/>
      <c r="G842" s="88"/>
      <c r="H842" s="454"/>
      <c r="I842" s="455"/>
      <c r="J842" s="88"/>
      <c r="K842" s="88"/>
      <c r="L842" s="456"/>
      <c r="M842" s="88"/>
      <c r="N842" s="88"/>
      <c r="O842" s="88"/>
      <c r="P842" s="88"/>
      <c r="Q842" s="88"/>
      <c r="R842" s="88"/>
      <c r="S842" s="88"/>
      <c r="T842" s="88"/>
      <c r="U842" s="88"/>
      <c r="V842" s="88"/>
      <c r="W842" s="88"/>
      <c r="X842" s="88"/>
      <c r="Y842" s="88"/>
      <c r="Z842" s="88"/>
      <c r="AA842" s="88"/>
    </row>
    <row r="843">
      <c r="A843" s="88"/>
      <c r="B843" s="88"/>
      <c r="C843" s="88"/>
      <c r="D843" s="453"/>
      <c r="E843" s="88"/>
      <c r="F843" s="88"/>
      <c r="G843" s="88"/>
      <c r="H843" s="454"/>
      <c r="I843" s="455"/>
      <c r="J843" s="88"/>
      <c r="K843" s="88"/>
      <c r="L843" s="456"/>
      <c r="M843" s="88"/>
      <c r="N843" s="88"/>
      <c r="O843" s="88"/>
      <c r="P843" s="88"/>
      <c r="Q843" s="88"/>
      <c r="R843" s="88"/>
      <c r="S843" s="88"/>
      <c r="T843" s="88"/>
      <c r="U843" s="88"/>
      <c r="V843" s="88"/>
      <c r="W843" s="88"/>
      <c r="X843" s="88"/>
      <c r="Y843" s="88"/>
      <c r="Z843" s="88"/>
      <c r="AA843" s="88"/>
    </row>
    <row r="844">
      <c r="A844" s="88"/>
      <c r="B844" s="88"/>
      <c r="C844" s="88"/>
      <c r="D844" s="453"/>
      <c r="E844" s="88"/>
      <c r="F844" s="88"/>
      <c r="G844" s="88"/>
      <c r="H844" s="454"/>
      <c r="I844" s="455"/>
      <c r="J844" s="88"/>
      <c r="K844" s="88"/>
      <c r="L844" s="456"/>
      <c r="M844" s="88"/>
      <c r="N844" s="88"/>
      <c r="O844" s="88"/>
      <c r="P844" s="88"/>
      <c r="Q844" s="88"/>
      <c r="R844" s="88"/>
      <c r="S844" s="88"/>
      <c r="T844" s="88"/>
      <c r="U844" s="88"/>
      <c r="V844" s="88"/>
      <c r="W844" s="88"/>
      <c r="X844" s="88"/>
      <c r="Y844" s="88"/>
      <c r="Z844" s="88"/>
      <c r="AA844" s="88"/>
    </row>
    <row r="845">
      <c r="A845" s="88"/>
      <c r="B845" s="88"/>
      <c r="C845" s="88"/>
      <c r="D845" s="453"/>
      <c r="E845" s="88"/>
      <c r="F845" s="88"/>
      <c r="G845" s="88"/>
      <c r="H845" s="454"/>
      <c r="I845" s="455"/>
      <c r="J845" s="88"/>
      <c r="K845" s="88"/>
      <c r="L845" s="456"/>
      <c r="M845" s="88"/>
      <c r="N845" s="88"/>
      <c r="O845" s="88"/>
      <c r="P845" s="88"/>
      <c r="Q845" s="88"/>
      <c r="R845" s="88"/>
      <c r="S845" s="88"/>
      <c r="T845" s="88"/>
      <c r="U845" s="88"/>
      <c r="V845" s="88"/>
      <c r="W845" s="88"/>
      <c r="X845" s="88"/>
      <c r="Y845" s="88"/>
      <c r="Z845" s="88"/>
      <c r="AA845" s="88"/>
    </row>
    <row r="846">
      <c r="A846" s="88"/>
      <c r="B846" s="88"/>
      <c r="C846" s="88"/>
      <c r="D846" s="453"/>
      <c r="E846" s="88"/>
      <c r="F846" s="88"/>
      <c r="G846" s="88"/>
      <c r="H846" s="454"/>
      <c r="I846" s="455"/>
      <c r="J846" s="88"/>
      <c r="K846" s="88"/>
      <c r="L846" s="456"/>
      <c r="M846" s="88"/>
      <c r="N846" s="88"/>
      <c r="O846" s="88"/>
      <c r="P846" s="88"/>
      <c r="Q846" s="88"/>
      <c r="R846" s="88"/>
      <c r="S846" s="88"/>
      <c r="T846" s="88"/>
      <c r="U846" s="88"/>
      <c r="V846" s="88"/>
      <c r="W846" s="88"/>
      <c r="X846" s="88"/>
      <c r="Y846" s="88"/>
      <c r="Z846" s="88"/>
      <c r="AA846" s="88"/>
    </row>
    <row r="847">
      <c r="A847" s="88"/>
      <c r="B847" s="88"/>
      <c r="C847" s="88"/>
      <c r="D847" s="453"/>
      <c r="E847" s="88"/>
      <c r="F847" s="88"/>
      <c r="G847" s="88"/>
      <c r="H847" s="454"/>
      <c r="I847" s="455"/>
      <c r="J847" s="88"/>
      <c r="K847" s="88"/>
      <c r="L847" s="456"/>
      <c r="M847" s="88"/>
      <c r="N847" s="88"/>
      <c r="O847" s="88"/>
      <c r="P847" s="88"/>
      <c r="Q847" s="88"/>
      <c r="R847" s="88"/>
      <c r="S847" s="88"/>
      <c r="T847" s="88"/>
      <c r="U847" s="88"/>
      <c r="V847" s="88"/>
      <c r="W847" s="88"/>
      <c r="X847" s="88"/>
      <c r="Y847" s="88"/>
      <c r="Z847" s="88"/>
      <c r="AA847" s="88"/>
    </row>
    <row r="848">
      <c r="A848" s="88"/>
      <c r="B848" s="88"/>
      <c r="C848" s="88"/>
      <c r="D848" s="453"/>
      <c r="E848" s="88"/>
      <c r="F848" s="88"/>
      <c r="G848" s="88"/>
      <c r="H848" s="454"/>
      <c r="I848" s="455"/>
      <c r="J848" s="88"/>
      <c r="K848" s="88"/>
      <c r="L848" s="456"/>
      <c r="M848" s="88"/>
      <c r="N848" s="88"/>
      <c r="O848" s="88"/>
      <c r="P848" s="88"/>
      <c r="Q848" s="88"/>
      <c r="R848" s="88"/>
      <c r="S848" s="88"/>
      <c r="T848" s="88"/>
      <c r="U848" s="88"/>
      <c r="V848" s="88"/>
      <c r="W848" s="88"/>
      <c r="X848" s="88"/>
      <c r="Y848" s="88"/>
      <c r="Z848" s="88"/>
      <c r="AA848" s="88"/>
    </row>
    <row r="849">
      <c r="A849" s="88"/>
      <c r="B849" s="88"/>
      <c r="C849" s="88"/>
      <c r="D849" s="453"/>
      <c r="E849" s="88"/>
      <c r="F849" s="88"/>
      <c r="G849" s="88"/>
      <c r="H849" s="454"/>
      <c r="I849" s="455"/>
      <c r="J849" s="88"/>
      <c r="K849" s="88"/>
      <c r="L849" s="456"/>
      <c r="M849" s="88"/>
      <c r="N849" s="88"/>
      <c r="O849" s="88"/>
      <c r="P849" s="88"/>
      <c r="Q849" s="88"/>
      <c r="R849" s="88"/>
      <c r="S849" s="88"/>
      <c r="T849" s="88"/>
      <c r="U849" s="88"/>
      <c r="V849" s="88"/>
      <c r="W849" s="88"/>
      <c r="X849" s="88"/>
      <c r="Y849" s="88"/>
      <c r="Z849" s="88"/>
      <c r="AA849" s="88"/>
    </row>
    <row r="850">
      <c r="A850" s="88"/>
      <c r="B850" s="88"/>
      <c r="C850" s="88"/>
      <c r="D850" s="453"/>
      <c r="E850" s="88"/>
      <c r="F850" s="88"/>
      <c r="G850" s="88"/>
      <c r="H850" s="454"/>
      <c r="I850" s="455"/>
      <c r="J850" s="88"/>
      <c r="K850" s="88"/>
      <c r="L850" s="456"/>
      <c r="M850" s="88"/>
      <c r="N850" s="88"/>
      <c r="O850" s="88"/>
      <c r="P850" s="88"/>
      <c r="Q850" s="88"/>
      <c r="R850" s="88"/>
      <c r="S850" s="88"/>
      <c r="T850" s="88"/>
      <c r="U850" s="88"/>
      <c r="V850" s="88"/>
      <c r="W850" s="88"/>
      <c r="X850" s="88"/>
      <c r="Y850" s="88"/>
      <c r="Z850" s="88"/>
      <c r="AA850" s="88"/>
    </row>
    <row r="851">
      <c r="A851" s="88"/>
      <c r="B851" s="88"/>
      <c r="C851" s="88"/>
      <c r="D851" s="453"/>
      <c r="E851" s="88"/>
      <c r="F851" s="88"/>
      <c r="G851" s="88"/>
      <c r="H851" s="454"/>
      <c r="I851" s="455"/>
      <c r="J851" s="88"/>
      <c r="K851" s="88"/>
      <c r="L851" s="456"/>
      <c r="M851" s="88"/>
      <c r="N851" s="88"/>
      <c r="O851" s="88"/>
      <c r="P851" s="88"/>
      <c r="Q851" s="88"/>
      <c r="R851" s="88"/>
      <c r="S851" s="88"/>
      <c r="T851" s="88"/>
      <c r="U851" s="88"/>
      <c r="V851" s="88"/>
      <c r="W851" s="88"/>
      <c r="X851" s="88"/>
      <c r="Y851" s="88"/>
      <c r="Z851" s="88"/>
      <c r="AA851" s="88"/>
    </row>
    <row r="852">
      <c r="A852" s="88"/>
      <c r="B852" s="88"/>
      <c r="C852" s="88"/>
      <c r="D852" s="453"/>
      <c r="E852" s="88"/>
      <c r="F852" s="88"/>
      <c r="G852" s="88"/>
      <c r="H852" s="454"/>
      <c r="I852" s="455"/>
      <c r="J852" s="88"/>
      <c r="K852" s="88"/>
      <c r="L852" s="456"/>
      <c r="M852" s="88"/>
      <c r="N852" s="88"/>
      <c r="O852" s="88"/>
      <c r="P852" s="88"/>
      <c r="Q852" s="88"/>
      <c r="R852" s="88"/>
      <c r="S852" s="88"/>
      <c r="T852" s="88"/>
      <c r="U852" s="88"/>
      <c r="V852" s="88"/>
      <c r="W852" s="88"/>
      <c r="X852" s="88"/>
      <c r="Y852" s="88"/>
      <c r="Z852" s="88"/>
      <c r="AA852" s="88"/>
    </row>
    <row r="853">
      <c r="A853" s="88"/>
      <c r="B853" s="88"/>
      <c r="C853" s="88"/>
      <c r="D853" s="453"/>
      <c r="E853" s="88"/>
      <c r="F853" s="88"/>
      <c r="G853" s="88"/>
      <c r="H853" s="454"/>
      <c r="I853" s="455"/>
      <c r="J853" s="88"/>
      <c r="K853" s="88"/>
      <c r="L853" s="456"/>
      <c r="M853" s="88"/>
      <c r="N853" s="88"/>
      <c r="O853" s="88"/>
      <c r="P853" s="88"/>
      <c r="Q853" s="88"/>
      <c r="R853" s="88"/>
      <c r="S853" s="88"/>
      <c r="T853" s="88"/>
      <c r="U853" s="88"/>
      <c r="V853" s="88"/>
      <c r="W853" s="88"/>
      <c r="X853" s="88"/>
      <c r="Y853" s="88"/>
      <c r="Z853" s="88"/>
      <c r="AA853" s="88"/>
    </row>
    <row r="854">
      <c r="A854" s="88"/>
      <c r="B854" s="88"/>
      <c r="C854" s="88"/>
      <c r="D854" s="453"/>
      <c r="E854" s="88"/>
      <c r="F854" s="88"/>
      <c r="G854" s="88"/>
      <c r="H854" s="454"/>
      <c r="I854" s="455"/>
      <c r="J854" s="88"/>
      <c r="K854" s="88"/>
      <c r="L854" s="456"/>
      <c r="M854" s="88"/>
      <c r="N854" s="88"/>
      <c r="O854" s="88"/>
      <c r="P854" s="88"/>
      <c r="Q854" s="88"/>
      <c r="R854" s="88"/>
      <c r="S854" s="88"/>
      <c r="T854" s="88"/>
      <c r="U854" s="88"/>
      <c r="V854" s="88"/>
      <c r="W854" s="88"/>
      <c r="X854" s="88"/>
      <c r="Y854" s="88"/>
      <c r="Z854" s="88"/>
      <c r="AA854" s="88"/>
    </row>
    <row r="855">
      <c r="A855" s="88"/>
      <c r="B855" s="88"/>
      <c r="C855" s="88"/>
      <c r="D855" s="453"/>
      <c r="E855" s="88"/>
      <c r="F855" s="88"/>
      <c r="G855" s="88"/>
      <c r="H855" s="454"/>
      <c r="I855" s="455"/>
      <c r="J855" s="88"/>
      <c r="K855" s="88"/>
      <c r="L855" s="456"/>
      <c r="M855" s="88"/>
      <c r="N855" s="88"/>
      <c r="O855" s="88"/>
      <c r="P855" s="88"/>
      <c r="Q855" s="88"/>
      <c r="R855" s="88"/>
      <c r="S855" s="88"/>
      <c r="T855" s="88"/>
      <c r="U855" s="88"/>
      <c r="V855" s="88"/>
      <c r="W855" s="88"/>
      <c r="X855" s="88"/>
      <c r="Y855" s="88"/>
      <c r="Z855" s="88"/>
      <c r="AA855" s="88"/>
    </row>
    <row r="856">
      <c r="A856" s="88"/>
      <c r="B856" s="88"/>
      <c r="C856" s="88"/>
      <c r="D856" s="453"/>
      <c r="E856" s="88"/>
      <c r="F856" s="88"/>
      <c r="G856" s="88"/>
      <c r="H856" s="454"/>
      <c r="I856" s="455"/>
      <c r="J856" s="88"/>
      <c r="K856" s="88"/>
      <c r="L856" s="456"/>
      <c r="M856" s="88"/>
      <c r="N856" s="88"/>
      <c r="O856" s="88"/>
      <c r="P856" s="88"/>
      <c r="Q856" s="88"/>
      <c r="R856" s="88"/>
      <c r="S856" s="88"/>
      <c r="T856" s="88"/>
      <c r="U856" s="88"/>
      <c r="V856" s="88"/>
      <c r="W856" s="88"/>
      <c r="X856" s="88"/>
      <c r="Y856" s="88"/>
      <c r="Z856" s="88"/>
      <c r="AA856" s="88"/>
    </row>
    <row r="857">
      <c r="A857" s="88"/>
      <c r="B857" s="88"/>
      <c r="C857" s="88"/>
      <c r="D857" s="453"/>
      <c r="E857" s="88"/>
      <c r="F857" s="88"/>
      <c r="G857" s="88"/>
      <c r="H857" s="454"/>
      <c r="I857" s="455"/>
      <c r="J857" s="88"/>
      <c r="K857" s="88"/>
      <c r="L857" s="456"/>
      <c r="M857" s="88"/>
      <c r="N857" s="88"/>
      <c r="O857" s="88"/>
      <c r="P857" s="88"/>
      <c r="Q857" s="88"/>
      <c r="R857" s="88"/>
      <c r="S857" s="88"/>
      <c r="T857" s="88"/>
      <c r="U857" s="88"/>
      <c r="V857" s="88"/>
      <c r="W857" s="88"/>
      <c r="X857" s="88"/>
      <c r="Y857" s="88"/>
      <c r="Z857" s="88"/>
      <c r="AA857" s="88"/>
    </row>
    <row r="858">
      <c r="A858" s="88"/>
      <c r="B858" s="88"/>
      <c r="C858" s="88"/>
      <c r="D858" s="453"/>
      <c r="E858" s="88"/>
      <c r="F858" s="88"/>
      <c r="G858" s="88"/>
      <c r="H858" s="454"/>
      <c r="I858" s="455"/>
      <c r="J858" s="88"/>
      <c r="K858" s="88"/>
      <c r="L858" s="456"/>
      <c r="M858" s="88"/>
      <c r="N858" s="88"/>
      <c r="O858" s="88"/>
      <c r="P858" s="88"/>
      <c r="Q858" s="88"/>
      <c r="R858" s="88"/>
      <c r="S858" s="88"/>
      <c r="T858" s="88"/>
      <c r="U858" s="88"/>
      <c r="V858" s="88"/>
      <c r="W858" s="88"/>
      <c r="X858" s="88"/>
      <c r="Y858" s="88"/>
      <c r="Z858" s="88"/>
      <c r="AA858" s="88"/>
    </row>
    <row r="859">
      <c r="A859" s="88"/>
      <c r="B859" s="88"/>
      <c r="C859" s="88"/>
      <c r="D859" s="453"/>
      <c r="E859" s="88"/>
      <c r="F859" s="88"/>
      <c r="G859" s="88"/>
      <c r="H859" s="454"/>
      <c r="I859" s="455"/>
      <c r="J859" s="88"/>
      <c r="K859" s="88"/>
      <c r="L859" s="456"/>
      <c r="M859" s="88"/>
      <c r="N859" s="88"/>
      <c r="O859" s="88"/>
      <c r="P859" s="88"/>
      <c r="Q859" s="88"/>
      <c r="R859" s="88"/>
      <c r="S859" s="88"/>
      <c r="T859" s="88"/>
      <c r="U859" s="88"/>
      <c r="V859" s="88"/>
      <c r="W859" s="88"/>
      <c r="X859" s="88"/>
      <c r="Y859" s="88"/>
      <c r="Z859" s="88"/>
      <c r="AA859" s="88"/>
    </row>
    <row r="860">
      <c r="A860" s="88"/>
      <c r="B860" s="88"/>
      <c r="C860" s="88"/>
      <c r="D860" s="453"/>
      <c r="E860" s="88"/>
      <c r="F860" s="88"/>
      <c r="G860" s="88"/>
      <c r="H860" s="454"/>
      <c r="I860" s="455"/>
      <c r="J860" s="88"/>
      <c r="K860" s="88"/>
      <c r="L860" s="456"/>
      <c r="M860" s="88"/>
      <c r="N860" s="88"/>
      <c r="O860" s="88"/>
      <c r="P860" s="88"/>
      <c r="Q860" s="88"/>
      <c r="R860" s="88"/>
      <c r="S860" s="88"/>
      <c r="T860" s="88"/>
      <c r="U860" s="88"/>
      <c r="V860" s="88"/>
      <c r="W860" s="88"/>
      <c r="X860" s="88"/>
      <c r="Y860" s="88"/>
      <c r="Z860" s="88"/>
      <c r="AA860" s="88"/>
    </row>
    <row r="861">
      <c r="A861" s="88"/>
      <c r="B861" s="88"/>
      <c r="C861" s="88"/>
      <c r="D861" s="453"/>
      <c r="E861" s="88"/>
      <c r="F861" s="88"/>
      <c r="G861" s="88"/>
      <c r="H861" s="454"/>
      <c r="I861" s="455"/>
      <c r="J861" s="88"/>
      <c r="K861" s="88"/>
      <c r="L861" s="456"/>
      <c r="M861" s="88"/>
      <c r="N861" s="88"/>
      <c r="O861" s="88"/>
      <c r="P861" s="88"/>
      <c r="Q861" s="88"/>
      <c r="R861" s="88"/>
      <c r="S861" s="88"/>
      <c r="T861" s="88"/>
      <c r="U861" s="88"/>
      <c r="V861" s="88"/>
      <c r="W861" s="88"/>
      <c r="X861" s="88"/>
      <c r="Y861" s="88"/>
      <c r="Z861" s="88"/>
      <c r="AA861" s="88"/>
    </row>
    <row r="862">
      <c r="A862" s="88"/>
      <c r="B862" s="88"/>
      <c r="C862" s="88"/>
      <c r="D862" s="453"/>
      <c r="E862" s="88"/>
      <c r="F862" s="88"/>
      <c r="G862" s="88"/>
      <c r="H862" s="454"/>
      <c r="I862" s="455"/>
      <c r="J862" s="88"/>
      <c r="K862" s="88"/>
      <c r="L862" s="456"/>
      <c r="M862" s="88"/>
      <c r="N862" s="88"/>
      <c r="O862" s="88"/>
      <c r="P862" s="88"/>
      <c r="Q862" s="88"/>
      <c r="R862" s="88"/>
      <c r="S862" s="88"/>
      <c r="T862" s="88"/>
      <c r="U862" s="88"/>
      <c r="V862" s="88"/>
      <c r="W862" s="88"/>
      <c r="X862" s="88"/>
      <c r="Y862" s="88"/>
      <c r="Z862" s="88"/>
      <c r="AA862" s="88"/>
    </row>
    <row r="863">
      <c r="A863" s="88"/>
      <c r="B863" s="88"/>
      <c r="C863" s="88"/>
      <c r="D863" s="453"/>
      <c r="E863" s="88"/>
      <c r="F863" s="88"/>
      <c r="G863" s="88"/>
      <c r="H863" s="454"/>
      <c r="I863" s="455"/>
      <c r="J863" s="88"/>
      <c r="K863" s="88"/>
      <c r="L863" s="456"/>
      <c r="M863" s="88"/>
      <c r="N863" s="88"/>
      <c r="O863" s="88"/>
      <c r="P863" s="88"/>
      <c r="Q863" s="88"/>
      <c r="R863" s="88"/>
      <c r="S863" s="88"/>
      <c r="T863" s="88"/>
      <c r="U863" s="88"/>
      <c r="V863" s="88"/>
      <c r="W863" s="88"/>
      <c r="X863" s="88"/>
      <c r="Y863" s="88"/>
      <c r="Z863" s="88"/>
      <c r="AA863" s="88"/>
    </row>
    <row r="864">
      <c r="A864" s="88"/>
      <c r="B864" s="88"/>
      <c r="C864" s="88"/>
      <c r="D864" s="453"/>
      <c r="E864" s="88"/>
      <c r="F864" s="88"/>
      <c r="G864" s="88"/>
      <c r="H864" s="454"/>
      <c r="I864" s="455"/>
      <c r="J864" s="88"/>
      <c r="K864" s="88"/>
      <c r="L864" s="456"/>
      <c r="M864" s="88"/>
      <c r="N864" s="88"/>
      <c r="O864" s="88"/>
      <c r="P864" s="88"/>
      <c r="Q864" s="88"/>
      <c r="R864" s="88"/>
      <c r="S864" s="88"/>
      <c r="T864" s="88"/>
      <c r="U864" s="88"/>
      <c r="V864" s="88"/>
      <c r="W864" s="88"/>
      <c r="X864" s="88"/>
      <c r="Y864" s="88"/>
      <c r="Z864" s="88"/>
      <c r="AA864" s="88"/>
    </row>
    <row r="865">
      <c r="A865" s="88"/>
      <c r="B865" s="88"/>
      <c r="C865" s="88"/>
      <c r="D865" s="453"/>
      <c r="E865" s="88"/>
      <c r="F865" s="88"/>
      <c r="G865" s="88"/>
      <c r="H865" s="454"/>
      <c r="I865" s="455"/>
      <c r="J865" s="88"/>
      <c r="K865" s="88"/>
      <c r="L865" s="456"/>
      <c r="M865" s="88"/>
      <c r="N865" s="88"/>
      <c r="O865" s="88"/>
      <c r="P865" s="88"/>
      <c r="Q865" s="88"/>
      <c r="R865" s="88"/>
      <c r="S865" s="88"/>
      <c r="T865" s="88"/>
      <c r="U865" s="88"/>
      <c r="V865" s="88"/>
      <c r="W865" s="88"/>
      <c r="X865" s="88"/>
      <c r="Y865" s="88"/>
      <c r="Z865" s="88"/>
      <c r="AA865" s="88"/>
    </row>
    <row r="866">
      <c r="A866" s="88"/>
      <c r="B866" s="88"/>
      <c r="C866" s="88"/>
      <c r="D866" s="453"/>
      <c r="E866" s="88"/>
      <c r="F866" s="88"/>
      <c r="G866" s="88"/>
      <c r="H866" s="454"/>
      <c r="I866" s="455"/>
      <c r="J866" s="88"/>
      <c r="K866" s="88"/>
      <c r="L866" s="456"/>
      <c r="M866" s="88"/>
      <c r="N866" s="88"/>
      <c r="O866" s="88"/>
      <c r="P866" s="88"/>
      <c r="Q866" s="88"/>
      <c r="R866" s="88"/>
      <c r="S866" s="88"/>
      <c r="T866" s="88"/>
      <c r="U866" s="88"/>
      <c r="V866" s="88"/>
      <c r="W866" s="88"/>
      <c r="X866" s="88"/>
      <c r="Y866" s="88"/>
      <c r="Z866" s="88"/>
      <c r="AA866" s="88"/>
    </row>
    <row r="867">
      <c r="A867" s="88"/>
      <c r="B867" s="88"/>
      <c r="C867" s="88"/>
      <c r="D867" s="453"/>
      <c r="E867" s="88"/>
      <c r="F867" s="88"/>
      <c r="G867" s="88"/>
      <c r="H867" s="454"/>
      <c r="I867" s="455"/>
      <c r="J867" s="88"/>
      <c r="K867" s="88"/>
      <c r="L867" s="456"/>
      <c r="M867" s="88"/>
      <c r="N867" s="88"/>
      <c r="O867" s="88"/>
      <c r="P867" s="88"/>
      <c r="Q867" s="88"/>
      <c r="R867" s="88"/>
      <c r="S867" s="88"/>
      <c r="T867" s="88"/>
      <c r="U867" s="88"/>
      <c r="V867" s="88"/>
      <c r="W867" s="88"/>
      <c r="X867" s="88"/>
      <c r="Y867" s="88"/>
      <c r="Z867" s="88"/>
      <c r="AA867" s="88"/>
    </row>
    <row r="868">
      <c r="A868" s="88"/>
      <c r="B868" s="88"/>
      <c r="C868" s="88"/>
      <c r="D868" s="453"/>
      <c r="E868" s="88"/>
      <c r="F868" s="88"/>
      <c r="G868" s="88"/>
      <c r="H868" s="454"/>
      <c r="I868" s="455"/>
      <c r="J868" s="88"/>
      <c r="K868" s="88"/>
      <c r="L868" s="456"/>
      <c r="M868" s="88"/>
      <c r="N868" s="88"/>
      <c r="O868" s="88"/>
      <c r="P868" s="88"/>
      <c r="Q868" s="88"/>
      <c r="R868" s="88"/>
      <c r="S868" s="88"/>
      <c r="T868" s="88"/>
      <c r="U868" s="88"/>
      <c r="V868" s="88"/>
      <c r="W868" s="88"/>
      <c r="X868" s="88"/>
      <c r="Y868" s="88"/>
      <c r="Z868" s="88"/>
      <c r="AA868" s="88"/>
    </row>
    <row r="869">
      <c r="A869" s="88"/>
      <c r="B869" s="88"/>
      <c r="C869" s="88"/>
      <c r="D869" s="453"/>
      <c r="E869" s="88"/>
      <c r="F869" s="88"/>
      <c r="G869" s="88"/>
      <c r="H869" s="454"/>
      <c r="I869" s="455"/>
      <c r="J869" s="88"/>
      <c r="K869" s="88"/>
      <c r="L869" s="456"/>
      <c r="M869" s="88"/>
      <c r="N869" s="88"/>
      <c r="O869" s="88"/>
      <c r="P869" s="88"/>
      <c r="Q869" s="88"/>
      <c r="R869" s="88"/>
      <c r="S869" s="88"/>
      <c r="T869" s="88"/>
      <c r="U869" s="88"/>
      <c r="V869" s="88"/>
      <c r="W869" s="88"/>
      <c r="X869" s="88"/>
      <c r="Y869" s="88"/>
      <c r="Z869" s="88"/>
      <c r="AA869" s="88"/>
    </row>
    <row r="870">
      <c r="A870" s="88"/>
      <c r="B870" s="88"/>
      <c r="C870" s="88"/>
      <c r="D870" s="453"/>
      <c r="E870" s="88"/>
      <c r="F870" s="88"/>
      <c r="G870" s="88"/>
      <c r="H870" s="454"/>
      <c r="I870" s="455"/>
      <c r="J870" s="88"/>
      <c r="K870" s="88"/>
      <c r="L870" s="456"/>
      <c r="M870" s="88"/>
      <c r="N870" s="88"/>
      <c r="O870" s="88"/>
      <c r="P870" s="88"/>
      <c r="Q870" s="88"/>
      <c r="R870" s="88"/>
      <c r="S870" s="88"/>
      <c r="T870" s="88"/>
      <c r="U870" s="88"/>
      <c r="V870" s="88"/>
      <c r="W870" s="88"/>
      <c r="X870" s="88"/>
      <c r="Y870" s="88"/>
      <c r="Z870" s="88"/>
      <c r="AA870" s="88"/>
    </row>
    <row r="871">
      <c r="A871" s="88"/>
      <c r="B871" s="88"/>
      <c r="C871" s="88"/>
      <c r="D871" s="453"/>
      <c r="E871" s="88"/>
      <c r="F871" s="88"/>
      <c r="G871" s="88"/>
      <c r="H871" s="454"/>
      <c r="I871" s="455"/>
      <c r="J871" s="88"/>
      <c r="K871" s="88"/>
      <c r="L871" s="456"/>
      <c r="M871" s="88"/>
      <c r="N871" s="88"/>
      <c r="O871" s="88"/>
      <c r="P871" s="88"/>
      <c r="Q871" s="88"/>
      <c r="R871" s="88"/>
      <c r="S871" s="88"/>
      <c r="T871" s="88"/>
      <c r="U871" s="88"/>
      <c r="V871" s="88"/>
      <c r="W871" s="88"/>
      <c r="X871" s="88"/>
      <c r="Y871" s="88"/>
      <c r="Z871" s="88"/>
      <c r="AA871" s="88"/>
    </row>
    <row r="872">
      <c r="A872" s="88"/>
      <c r="B872" s="88"/>
      <c r="C872" s="88"/>
      <c r="D872" s="453"/>
      <c r="E872" s="88"/>
      <c r="F872" s="88"/>
      <c r="G872" s="88"/>
      <c r="H872" s="454"/>
      <c r="I872" s="455"/>
      <c r="J872" s="88"/>
      <c r="K872" s="88"/>
      <c r="L872" s="456"/>
      <c r="M872" s="88"/>
      <c r="N872" s="88"/>
      <c r="O872" s="88"/>
      <c r="P872" s="88"/>
      <c r="Q872" s="88"/>
      <c r="R872" s="88"/>
      <c r="S872" s="88"/>
      <c r="T872" s="88"/>
      <c r="U872" s="88"/>
      <c r="V872" s="88"/>
      <c r="W872" s="88"/>
      <c r="X872" s="88"/>
      <c r="Y872" s="88"/>
      <c r="Z872" s="88"/>
      <c r="AA872" s="88"/>
    </row>
    <row r="873">
      <c r="A873" s="88"/>
      <c r="B873" s="88"/>
      <c r="C873" s="88"/>
      <c r="D873" s="453"/>
      <c r="E873" s="88"/>
      <c r="F873" s="88"/>
      <c r="G873" s="88"/>
      <c r="H873" s="454"/>
      <c r="I873" s="455"/>
      <c r="J873" s="88"/>
      <c r="K873" s="88"/>
      <c r="L873" s="456"/>
      <c r="M873" s="88"/>
      <c r="N873" s="88"/>
      <c r="O873" s="88"/>
      <c r="P873" s="88"/>
      <c r="Q873" s="88"/>
      <c r="R873" s="88"/>
      <c r="S873" s="88"/>
      <c r="T873" s="88"/>
      <c r="U873" s="88"/>
      <c r="V873" s="88"/>
      <c r="W873" s="88"/>
      <c r="X873" s="88"/>
      <c r="Y873" s="88"/>
      <c r="Z873" s="88"/>
      <c r="AA873" s="88"/>
    </row>
    <row r="874">
      <c r="A874" s="88"/>
      <c r="B874" s="88"/>
      <c r="C874" s="88"/>
      <c r="D874" s="453"/>
      <c r="E874" s="88"/>
      <c r="F874" s="88"/>
      <c r="G874" s="88"/>
      <c r="H874" s="454"/>
      <c r="I874" s="455"/>
      <c r="J874" s="88"/>
      <c r="K874" s="88"/>
      <c r="L874" s="456"/>
      <c r="M874" s="88"/>
      <c r="N874" s="88"/>
      <c r="O874" s="88"/>
      <c r="P874" s="88"/>
      <c r="Q874" s="88"/>
      <c r="R874" s="88"/>
      <c r="S874" s="88"/>
      <c r="T874" s="88"/>
      <c r="U874" s="88"/>
      <c r="V874" s="88"/>
      <c r="W874" s="88"/>
      <c r="X874" s="88"/>
      <c r="Y874" s="88"/>
      <c r="Z874" s="88"/>
      <c r="AA874" s="88"/>
    </row>
    <row r="875">
      <c r="A875" s="88"/>
      <c r="B875" s="88"/>
      <c r="C875" s="88"/>
      <c r="D875" s="453"/>
      <c r="E875" s="88"/>
      <c r="F875" s="88"/>
      <c r="G875" s="88"/>
      <c r="H875" s="454"/>
      <c r="I875" s="455"/>
      <c r="J875" s="88"/>
      <c r="K875" s="88"/>
      <c r="L875" s="456"/>
      <c r="M875" s="88"/>
      <c r="N875" s="88"/>
      <c r="O875" s="88"/>
      <c r="P875" s="88"/>
      <c r="Q875" s="88"/>
      <c r="R875" s="88"/>
      <c r="S875" s="88"/>
      <c r="T875" s="88"/>
      <c r="U875" s="88"/>
      <c r="V875" s="88"/>
      <c r="W875" s="88"/>
      <c r="X875" s="88"/>
      <c r="Y875" s="88"/>
      <c r="Z875" s="88"/>
      <c r="AA875" s="88"/>
    </row>
    <row r="876">
      <c r="A876" s="88"/>
      <c r="B876" s="88"/>
      <c r="C876" s="88"/>
      <c r="D876" s="453"/>
      <c r="E876" s="88"/>
      <c r="F876" s="88"/>
      <c r="G876" s="88"/>
      <c r="H876" s="454"/>
      <c r="I876" s="455"/>
      <c r="J876" s="88"/>
      <c r="K876" s="88"/>
      <c r="L876" s="456"/>
      <c r="M876" s="88"/>
      <c r="N876" s="88"/>
      <c r="O876" s="88"/>
      <c r="P876" s="88"/>
      <c r="Q876" s="88"/>
      <c r="R876" s="88"/>
      <c r="S876" s="88"/>
      <c r="T876" s="88"/>
      <c r="U876" s="88"/>
      <c r="V876" s="88"/>
      <c r="W876" s="88"/>
      <c r="X876" s="88"/>
      <c r="Y876" s="88"/>
      <c r="Z876" s="88"/>
      <c r="AA876" s="88"/>
    </row>
    <row r="877">
      <c r="A877" s="88"/>
      <c r="B877" s="88"/>
      <c r="C877" s="88"/>
      <c r="D877" s="453"/>
      <c r="E877" s="88"/>
      <c r="F877" s="88"/>
      <c r="G877" s="88"/>
      <c r="H877" s="454"/>
      <c r="I877" s="455"/>
      <c r="J877" s="88"/>
      <c r="K877" s="88"/>
      <c r="L877" s="456"/>
      <c r="M877" s="88"/>
      <c r="N877" s="88"/>
      <c r="O877" s="88"/>
      <c r="P877" s="88"/>
      <c r="Q877" s="88"/>
      <c r="R877" s="88"/>
      <c r="S877" s="88"/>
      <c r="T877" s="88"/>
      <c r="U877" s="88"/>
      <c r="V877" s="88"/>
      <c r="W877" s="88"/>
      <c r="X877" s="88"/>
      <c r="Y877" s="88"/>
      <c r="Z877" s="88"/>
      <c r="AA877" s="88"/>
    </row>
    <row r="878">
      <c r="A878" s="88"/>
      <c r="B878" s="88"/>
      <c r="C878" s="88"/>
      <c r="D878" s="453"/>
      <c r="E878" s="88"/>
      <c r="F878" s="88"/>
      <c r="G878" s="88"/>
      <c r="H878" s="454"/>
      <c r="I878" s="455"/>
      <c r="J878" s="88"/>
      <c r="K878" s="88"/>
      <c r="L878" s="456"/>
      <c r="M878" s="88"/>
      <c r="N878" s="88"/>
      <c r="O878" s="88"/>
      <c r="P878" s="88"/>
      <c r="Q878" s="88"/>
      <c r="R878" s="88"/>
      <c r="S878" s="88"/>
      <c r="T878" s="88"/>
      <c r="U878" s="88"/>
      <c r="V878" s="88"/>
      <c r="W878" s="88"/>
      <c r="X878" s="88"/>
      <c r="Y878" s="88"/>
      <c r="Z878" s="88"/>
      <c r="AA878" s="88"/>
    </row>
    <row r="879">
      <c r="A879" s="88"/>
      <c r="B879" s="88"/>
      <c r="C879" s="88"/>
      <c r="D879" s="453"/>
      <c r="E879" s="88"/>
      <c r="F879" s="88"/>
      <c r="G879" s="88"/>
      <c r="H879" s="454"/>
      <c r="I879" s="455"/>
      <c r="J879" s="88"/>
      <c r="K879" s="88"/>
      <c r="L879" s="456"/>
      <c r="M879" s="88"/>
      <c r="N879" s="88"/>
      <c r="O879" s="88"/>
      <c r="P879" s="88"/>
      <c r="Q879" s="88"/>
      <c r="R879" s="88"/>
      <c r="S879" s="88"/>
      <c r="T879" s="88"/>
      <c r="U879" s="88"/>
      <c r="V879" s="88"/>
      <c r="W879" s="88"/>
      <c r="X879" s="88"/>
      <c r="Y879" s="88"/>
      <c r="Z879" s="88"/>
      <c r="AA879" s="88"/>
    </row>
    <row r="880">
      <c r="A880" s="88"/>
      <c r="B880" s="88"/>
      <c r="C880" s="88"/>
      <c r="D880" s="453"/>
      <c r="E880" s="88"/>
      <c r="F880" s="88"/>
      <c r="G880" s="88"/>
      <c r="H880" s="454"/>
      <c r="I880" s="455"/>
      <c r="J880" s="88"/>
      <c r="K880" s="88"/>
      <c r="L880" s="456"/>
      <c r="M880" s="88"/>
      <c r="N880" s="88"/>
      <c r="O880" s="88"/>
      <c r="P880" s="88"/>
      <c r="Q880" s="88"/>
      <c r="R880" s="88"/>
      <c r="S880" s="88"/>
      <c r="T880" s="88"/>
      <c r="U880" s="88"/>
      <c r="V880" s="88"/>
      <c r="W880" s="88"/>
      <c r="X880" s="88"/>
      <c r="Y880" s="88"/>
      <c r="Z880" s="88"/>
      <c r="AA880" s="88"/>
    </row>
    <row r="881">
      <c r="A881" s="88"/>
      <c r="B881" s="88"/>
      <c r="C881" s="88"/>
      <c r="D881" s="453"/>
      <c r="E881" s="88"/>
      <c r="F881" s="88"/>
      <c r="G881" s="88"/>
      <c r="H881" s="454"/>
      <c r="I881" s="455"/>
      <c r="J881" s="88"/>
      <c r="K881" s="88"/>
      <c r="L881" s="456"/>
      <c r="M881" s="88"/>
      <c r="N881" s="88"/>
      <c r="O881" s="88"/>
      <c r="P881" s="88"/>
      <c r="Q881" s="88"/>
      <c r="R881" s="88"/>
      <c r="S881" s="88"/>
      <c r="T881" s="88"/>
      <c r="U881" s="88"/>
      <c r="V881" s="88"/>
      <c r="W881" s="88"/>
      <c r="X881" s="88"/>
      <c r="Y881" s="88"/>
      <c r="Z881" s="88"/>
      <c r="AA881" s="88"/>
    </row>
    <row r="882">
      <c r="A882" s="88"/>
      <c r="B882" s="88"/>
      <c r="C882" s="88"/>
      <c r="D882" s="453"/>
      <c r="E882" s="88"/>
      <c r="F882" s="88"/>
      <c r="G882" s="88"/>
      <c r="H882" s="454"/>
      <c r="I882" s="455"/>
      <c r="J882" s="88"/>
      <c r="K882" s="88"/>
      <c r="L882" s="456"/>
      <c r="M882" s="88"/>
      <c r="N882" s="88"/>
      <c r="O882" s="88"/>
      <c r="P882" s="88"/>
      <c r="Q882" s="88"/>
      <c r="R882" s="88"/>
      <c r="S882" s="88"/>
      <c r="T882" s="88"/>
      <c r="U882" s="88"/>
      <c r="V882" s="88"/>
      <c r="W882" s="88"/>
      <c r="X882" s="88"/>
      <c r="Y882" s="88"/>
      <c r="Z882" s="88"/>
      <c r="AA882" s="88"/>
    </row>
    <row r="883">
      <c r="A883" s="88"/>
      <c r="B883" s="88"/>
      <c r="C883" s="88"/>
      <c r="D883" s="453"/>
      <c r="E883" s="88"/>
      <c r="F883" s="88"/>
      <c r="G883" s="88"/>
      <c r="H883" s="454"/>
      <c r="I883" s="455"/>
      <c r="J883" s="88"/>
      <c r="K883" s="88"/>
      <c r="L883" s="456"/>
      <c r="M883" s="88"/>
      <c r="N883" s="88"/>
      <c r="O883" s="88"/>
      <c r="P883" s="88"/>
      <c r="Q883" s="88"/>
      <c r="R883" s="88"/>
      <c r="S883" s="88"/>
      <c r="T883" s="88"/>
      <c r="U883" s="88"/>
      <c r="V883" s="88"/>
      <c r="W883" s="88"/>
      <c r="X883" s="88"/>
      <c r="Y883" s="88"/>
      <c r="Z883" s="88"/>
      <c r="AA883" s="88"/>
    </row>
    <row r="884">
      <c r="A884" s="88"/>
      <c r="B884" s="88"/>
      <c r="C884" s="88"/>
      <c r="D884" s="453"/>
      <c r="E884" s="88"/>
      <c r="F884" s="88"/>
      <c r="G884" s="88"/>
      <c r="H884" s="454"/>
      <c r="I884" s="455"/>
      <c r="J884" s="88"/>
      <c r="K884" s="88"/>
      <c r="L884" s="456"/>
      <c r="M884" s="88"/>
      <c r="N884" s="88"/>
      <c r="O884" s="88"/>
      <c r="P884" s="88"/>
      <c r="Q884" s="88"/>
      <c r="R884" s="88"/>
      <c r="S884" s="88"/>
      <c r="T884" s="88"/>
      <c r="U884" s="88"/>
      <c r="V884" s="88"/>
      <c r="W884" s="88"/>
      <c r="X884" s="88"/>
      <c r="Y884" s="88"/>
      <c r="Z884" s="88"/>
      <c r="AA884" s="88"/>
    </row>
    <row r="885">
      <c r="A885" s="88"/>
      <c r="B885" s="88"/>
      <c r="C885" s="88"/>
      <c r="D885" s="453"/>
      <c r="E885" s="88"/>
      <c r="F885" s="88"/>
      <c r="G885" s="88"/>
      <c r="H885" s="454"/>
      <c r="I885" s="455"/>
      <c r="J885" s="88"/>
      <c r="K885" s="88"/>
      <c r="L885" s="456"/>
      <c r="M885" s="88"/>
      <c r="N885" s="88"/>
      <c r="O885" s="88"/>
      <c r="P885" s="88"/>
      <c r="Q885" s="88"/>
      <c r="R885" s="88"/>
      <c r="S885" s="88"/>
      <c r="T885" s="88"/>
      <c r="U885" s="88"/>
      <c r="V885" s="88"/>
      <c r="W885" s="88"/>
      <c r="X885" s="88"/>
      <c r="Y885" s="88"/>
      <c r="Z885" s="88"/>
      <c r="AA885" s="88"/>
    </row>
    <row r="886">
      <c r="A886" s="88"/>
      <c r="B886" s="88"/>
      <c r="C886" s="88"/>
      <c r="D886" s="453"/>
      <c r="E886" s="88"/>
      <c r="F886" s="88"/>
      <c r="G886" s="88"/>
      <c r="H886" s="454"/>
      <c r="I886" s="455"/>
      <c r="J886" s="88"/>
      <c r="K886" s="88"/>
      <c r="L886" s="456"/>
      <c r="M886" s="88"/>
      <c r="N886" s="88"/>
      <c r="O886" s="88"/>
      <c r="P886" s="88"/>
      <c r="Q886" s="88"/>
      <c r="R886" s="88"/>
      <c r="S886" s="88"/>
      <c r="T886" s="88"/>
      <c r="U886" s="88"/>
      <c r="V886" s="88"/>
      <c r="W886" s="88"/>
      <c r="X886" s="88"/>
      <c r="Y886" s="88"/>
      <c r="Z886" s="88"/>
      <c r="AA886" s="88"/>
    </row>
    <row r="887">
      <c r="A887" s="88"/>
      <c r="B887" s="88"/>
      <c r="C887" s="88"/>
      <c r="D887" s="453"/>
      <c r="E887" s="88"/>
      <c r="F887" s="88"/>
      <c r="G887" s="88"/>
      <c r="H887" s="454"/>
      <c r="I887" s="455"/>
      <c r="J887" s="88"/>
      <c r="K887" s="88"/>
      <c r="L887" s="456"/>
      <c r="M887" s="88"/>
      <c r="N887" s="88"/>
      <c r="O887" s="88"/>
      <c r="P887" s="88"/>
      <c r="Q887" s="88"/>
      <c r="R887" s="88"/>
      <c r="S887" s="88"/>
      <c r="T887" s="88"/>
      <c r="U887" s="88"/>
      <c r="V887" s="88"/>
      <c r="W887" s="88"/>
      <c r="X887" s="88"/>
      <c r="Y887" s="88"/>
      <c r="Z887" s="88"/>
      <c r="AA887" s="88"/>
    </row>
    <row r="888">
      <c r="A888" s="88"/>
      <c r="B888" s="88"/>
      <c r="C888" s="88"/>
      <c r="D888" s="453"/>
      <c r="E888" s="88"/>
      <c r="F888" s="88"/>
      <c r="G888" s="88"/>
      <c r="H888" s="454"/>
      <c r="I888" s="455"/>
      <c r="J888" s="88"/>
      <c r="K888" s="88"/>
      <c r="L888" s="456"/>
      <c r="M888" s="88"/>
      <c r="N888" s="88"/>
      <c r="O888" s="88"/>
      <c r="P888" s="88"/>
      <c r="Q888" s="88"/>
      <c r="R888" s="88"/>
      <c r="S888" s="88"/>
      <c r="T888" s="88"/>
      <c r="U888" s="88"/>
      <c r="V888" s="88"/>
      <c r="W888" s="88"/>
      <c r="X888" s="88"/>
      <c r="Y888" s="88"/>
      <c r="Z888" s="88"/>
      <c r="AA888" s="88"/>
    </row>
    <row r="889">
      <c r="A889" s="88"/>
      <c r="B889" s="88"/>
      <c r="C889" s="88"/>
      <c r="D889" s="453"/>
      <c r="E889" s="88"/>
      <c r="F889" s="88"/>
      <c r="G889" s="88"/>
      <c r="H889" s="454"/>
      <c r="I889" s="455"/>
      <c r="J889" s="88"/>
      <c r="K889" s="88"/>
      <c r="L889" s="456"/>
      <c r="M889" s="88"/>
      <c r="N889" s="88"/>
      <c r="O889" s="88"/>
      <c r="P889" s="88"/>
      <c r="Q889" s="88"/>
      <c r="R889" s="88"/>
      <c r="S889" s="88"/>
      <c r="T889" s="88"/>
      <c r="U889" s="88"/>
      <c r="V889" s="88"/>
      <c r="W889" s="88"/>
      <c r="X889" s="88"/>
      <c r="Y889" s="88"/>
      <c r="Z889" s="88"/>
      <c r="AA889" s="88"/>
    </row>
    <row r="890">
      <c r="A890" s="88"/>
      <c r="B890" s="88"/>
      <c r="C890" s="88"/>
      <c r="D890" s="453"/>
      <c r="E890" s="88"/>
      <c r="F890" s="88"/>
      <c r="G890" s="88"/>
      <c r="H890" s="454"/>
      <c r="I890" s="455"/>
      <c r="J890" s="88"/>
      <c r="K890" s="88"/>
      <c r="L890" s="456"/>
      <c r="M890" s="88"/>
      <c r="N890" s="88"/>
      <c r="O890" s="88"/>
      <c r="P890" s="88"/>
      <c r="Q890" s="88"/>
      <c r="R890" s="88"/>
      <c r="S890" s="88"/>
      <c r="T890" s="88"/>
      <c r="U890" s="88"/>
      <c r="V890" s="88"/>
      <c r="W890" s="88"/>
      <c r="X890" s="88"/>
      <c r="Y890" s="88"/>
      <c r="Z890" s="88"/>
      <c r="AA890" s="88"/>
    </row>
    <row r="891">
      <c r="A891" s="88"/>
      <c r="B891" s="88"/>
      <c r="C891" s="88"/>
      <c r="D891" s="453"/>
      <c r="E891" s="88"/>
      <c r="F891" s="88"/>
      <c r="G891" s="88"/>
      <c r="H891" s="454"/>
      <c r="I891" s="455"/>
      <c r="J891" s="88"/>
      <c r="K891" s="88"/>
      <c r="L891" s="456"/>
      <c r="M891" s="88"/>
      <c r="N891" s="88"/>
      <c r="O891" s="88"/>
      <c r="P891" s="88"/>
      <c r="Q891" s="88"/>
      <c r="R891" s="88"/>
      <c r="S891" s="88"/>
      <c r="T891" s="88"/>
      <c r="U891" s="88"/>
      <c r="V891" s="88"/>
      <c r="W891" s="88"/>
      <c r="X891" s="88"/>
      <c r="Y891" s="88"/>
      <c r="Z891" s="88"/>
      <c r="AA891" s="88"/>
    </row>
    <row r="892">
      <c r="A892" s="88"/>
      <c r="B892" s="88"/>
      <c r="C892" s="88"/>
      <c r="D892" s="453"/>
      <c r="E892" s="88"/>
      <c r="F892" s="88"/>
      <c r="G892" s="88"/>
      <c r="H892" s="454"/>
      <c r="I892" s="455"/>
      <c r="J892" s="88"/>
      <c r="K892" s="88"/>
      <c r="L892" s="456"/>
      <c r="M892" s="88"/>
      <c r="N892" s="88"/>
      <c r="O892" s="88"/>
      <c r="P892" s="88"/>
      <c r="Q892" s="88"/>
      <c r="R892" s="88"/>
      <c r="S892" s="88"/>
      <c r="T892" s="88"/>
      <c r="U892" s="88"/>
      <c r="V892" s="88"/>
      <c r="W892" s="88"/>
      <c r="X892" s="88"/>
      <c r="Y892" s="88"/>
      <c r="Z892" s="88"/>
      <c r="AA892" s="88"/>
    </row>
    <row r="893">
      <c r="A893" s="88"/>
      <c r="B893" s="88"/>
      <c r="C893" s="88"/>
      <c r="D893" s="453"/>
      <c r="E893" s="88"/>
      <c r="F893" s="88"/>
      <c r="G893" s="88"/>
      <c r="H893" s="454"/>
      <c r="I893" s="455"/>
      <c r="J893" s="88"/>
      <c r="K893" s="88"/>
      <c r="L893" s="456"/>
      <c r="M893" s="88"/>
      <c r="N893" s="88"/>
      <c r="O893" s="88"/>
      <c r="P893" s="88"/>
      <c r="Q893" s="88"/>
      <c r="R893" s="88"/>
      <c r="S893" s="88"/>
      <c r="T893" s="88"/>
      <c r="U893" s="88"/>
      <c r="V893" s="88"/>
      <c r="W893" s="88"/>
      <c r="X893" s="88"/>
      <c r="Y893" s="88"/>
      <c r="Z893" s="88"/>
      <c r="AA893" s="88"/>
    </row>
    <row r="894">
      <c r="A894" s="88"/>
      <c r="B894" s="88"/>
      <c r="C894" s="88"/>
      <c r="D894" s="453"/>
      <c r="E894" s="88"/>
      <c r="F894" s="88"/>
      <c r="G894" s="88"/>
      <c r="H894" s="454"/>
      <c r="I894" s="455"/>
      <c r="J894" s="88"/>
      <c r="K894" s="88"/>
      <c r="L894" s="456"/>
      <c r="M894" s="88"/>
      <c r="N894" s="88"/>
      <c r="O894" s="88"/>
      <c r="P894" s="88"/>
      <c r="Q894" s="88"/>
      <c r="R894" s="88"/>
      <c r="S894" s="88"/>
      <c r="T894" s="88"/>
      <c r="U894" s="88"/>
      <c r="V894" s="88"/>
      <c r="W894" s="88"/>
      <c r="X894" s="88"/>
      <c r="Y894" s="88"/>
      <c r="Z894" s="88"/>
      <c r="AA894" s="88"/>
    </row>
    <row r="895">
      <c r="A895" s="88"/>
      <c r="B895" s="88"/>
      <c r="C895" s="88"/>
      <c r="D895" s="453"/>
      <c r="E895" s="88"/>
      <c r="F895" s="88"/>
      <c r="G895" s="88"/>
      <c r="H895" s="454"/>
      <c r="I895" s="455"/>
      <c r="J895" s="88"/>
      <c r="K895" s="88"/>
      <c r="L895" s="456"/>
      <c r="M895" s="88"/>
      <c r="N895" s="88"/>
      <c r="O895" s="88"/>
      <c r="P895" s="88"/>
      <c r="Q895" s="88"/>
      <c r="R895" s="88"/>
      <c r="S895" s="88"/>
      <c r="T895" s="88"/>
      <c r="U895" s="88"/>
      <c r="V895" s="88"/>
      <c r="W895" s="88"/>
      <c r="X895" s="88"/>
      <c r="Y895" s="88"/>
      <c r="Z895" s="88"/>
      <c r="AA895" s="88"/>
    </row>
    <row r="896">
      <c r="A896" s="88"/>
      <c r="B896" s="88"/>
      <c r="C896" s="88"/>
      <c r="D896" s="453"/>
      <c r="E896" s="88"/>
      <c r="F896" s="88"/>
      <c r="G896" s="88"/>
      <c r="H896" s="454"/>
      <c r="I896" s="455"/>
      <c r="J896" s="88"/>
      <c r="K896" s="88"/>
      <c r="L896" s="456"/>
      <c r="M896" s="88"/>
      <c r="N896" s="88"/>
      <c r="O896" s="88"/>
      <c r="P896" s="88"/>
      <c r="Q896" s="88"/>
      <c r="R896" s="88"/>
      <c r="S896" s="88"/>
      <c r="T896" s="88"/>
      <c r="U896" s="88"/>
      <c r="V896" s="88"/>
      <c r="W896" s="88"/>
      <c r="X896" s="88"/>
      <c r="Y896" s="88"/>
      <c r="Z896" s="88"/>
      <c r="AA896" s="88"/>
    </row>
    <row r="897">
      <c r="A897" s="88"/>
      <c r="B897" s="88"/>
      <c r="C897" s="88"/>
      <c r="D897" s="453"/>
      <c r="E897" s="88"/>
      <c r="F897" s="88"/>
      <c r="G897" s="88"/>
      <c r="H897" s="454"/>
      <c r="I897" s="455"/>
      <c r="J897" s="88"/>
      <c r="K897" s="88"/>
      <c r="L897" s="456"/>
      <c r="M897" s="88"/>
      <c r="N897" s="88"/>
      <c r="O897" s="88"/>
      <c r="P897" s="88"/>
      <c r="Q897" s="88"/>
      <c r="R897" s="88"/>
      <c r="S897" s="88"/>
      <c r="T897" s="88"/>
      <c r="U897" s="88"/>
      <c r="V897" s="88"/>
      <c r="W897" s="88"/>
      <c r="X897" s="88"/>
      <c r="Y897" s="88"/>
      <c r="Z897" s="88"/>
      <c r="AA897" s="88"/>
    </row>
    <row r="898">
      <c r="A898" s="88"/>
      <c r="B898" s="88"/>
      <c r="C898" s="88"/>
      <c r="D898" s="453"/>
      <c r="E898" s="88"/>
      <c r="F898" s="88"/>
      <c r="G898" s="88"/>
      <c r="H898" s="454"/>
      <c r="I898" s="455"/>
      <c r="J898" s="88"/>
      <c r="K898" s="88"/>
      <c r="L898" s="456"/>
      <c r="M898" s="88"/>
      <c r="N898" s="88"/>
      <c r="O898" s="88"/>
      <c r="P898" s="88"/>
      <c r="Q898" s="88"/>
      <c r="R898" s="88"/>
      <c r="S898" s="88"/>
      <c r="T898" s="88"/>
      <c r="U898" s="88"/>
      <c r="V898" s="88"/>
      <c r="W898" s="88"/>
      <c r="X898" s="88"/>
      <c r="Y898" s="88"/>
      <c r="Z898" s="88"/>
      <c r="AA898" s="88"/>
    </row>
    <row r="899">
      <c r="A899" s="88"/>
      <c r="B899" s="88"/>
      <c r="C899" s="88"/>
      <c r="D899" s="453"/>
      <c r="E899" s="88"/>
      <c r="F899" s="88"/>
      <c r="G899" s="88"/>
      <c r="H899" s="454"/>
      <c r="I899" s="455"/>
      <c r="J899" s="88"/>
      <c r="K899" s="88"/>
      <c r="L899" s="456"/>
      <c r="M899" s="88"/>
      <c r="N899" s="88"/>
      <c r="O899" s="88"/>
      <c r="P899" s="88"/>
      <c r="Q899" s="88"/>
      <c r="R899" s="88"/>
      <c r="S899" s="88"/>
      <c r="T899" s="88"/>
      <c r="U899" s="88"/>
      <c r="V899" s="88"/>
      <c r="W899" s="88"/>
      <c r="X899" s="88"/>
      <c r="Y899" s="88"/>
      <c r="Z899" s="88"/>
      <c r="AA899" s="88"/>
    </row>
    <row r="900">
      <c r="A900" s="88"/>
      <c r="B900" s="88"/>
      <c r="C900" s="88"/>
      <c r="D900" s="453"/>
      <c r="E900" s="88"/>
      <c r="F900" s="88"/>
      <c r="G900" s="88"/>
      <c r="H900" s="454"/>
      <c r="I900" s="455"/>
      <c r="J900" s="88"/>
      <c r="K900" s="88"/>
      <c r="L900" s="456"/>
      <c r="M900" s="88"/>
      <c r="N900" s="88"/>
      <c r="O900" s="88"/>
      <c r="P900" s="88"/>
      <c r="Q900" s="88"/>
      <c r="R900" s="88"/>
      <c r="S900" s="88"/>
      <c r="T900" s="88"/>
      <c r="U900" s="88"/>
      <c r="V900" s="88"/>
      <c r="W900" s="88"/>
      <c r="X900" s="88"/>
      <c r="Y900" s="88"/>
      <c r="Z900" s="88"/>
      <c r="AA900" s="88"/>
    </row>
    <row r="901">
      <c r="A901" s="88"/>
      <c r="B901" s="88"/>
      <c r="C901" s="88"/>
      <c r="D901" s="453"/>
      <c r="E901" s="88"/>
      <c r="F901" s="88"/>
      <c r="G901" s="88"/>
      <c r="H901" s="454"/>
      <c r="I901" s="455"/>
      <c r="J901" s="88"/>
      <c r="K901" s="88"/>
      <c r="L901" s="456"/>
      <c r="M901" s="88"/>
      <c r="N901" s="88"/>
      <c r="O901" s="88"/>
      <c r="P901" s="88"/>
      <c r="Q901" s="88"/>
      <c r="R901" s="88"/>
      <c r="S901" s="88"/>
      <c r="T901" s="88"/>
      <c r="U901" s="88"/>
      <c r="V901" s="88"/>
      <c r="W901" s="88"/>
      <c r="X901" s="88"/>
      <c r="Y901" s="88"/>
      <c r="Z901" s="88"/>
      <c r="AA901" s="88"/>
    </row>
    <row r="902">
      <c r="A902" s="88"/>
      <c r="B902" s="88"/>
      <c r="C902" s="88"/>
      <c r="D902" s="453"/>
      <c r="E902" s="88"/>
      <c r="F902" s="88"/>
      <c r="G902" s="88"/>
      <c r="H902" s="454"/>
      <c r="I902" s="455"/>
      <c r="J902" s="88"/>
      <c r="K902" s="88"/>
      <c r="L902" s="456"/>
      <c r="M902" s="88"/>
      <c r="N902" s="88"/>
      <c r="O902" s="88"/>
      <c r="P902" s="88"/>
      <c r="Q902" s="88"/>
      <c r="R902" s="88"/>
      <c r="S902" s="88"/>
      <c r="T902" s="88"/>
      <c r="U902" s="88"/>
      <c r="V902" s="88"/>
      <c r="W902" s="88"/>
      <c r="X902" s="88"/>
      <c r="Y902" s="88"/>
      <c r="Z902" s="88"/>
      <c r="AA902" s="88"/>
    </row>
    <row r="903">
      <c r="A903" s="88"/>
      <c r="B903" s="88"/>
      <c r="C903" s="88"/>
      <c r="D903" s="453"/>
      <c r="E903" s="88"/>
      <c r="F903" s="88"/>
      <c r="G903" s="88"/>
      <c r="H903" s="454"/>
      <c r="I903" s="455"/>
      <c r="J903" s="88"/>
      <c r="K903" s="88"/>
      <c r="L903" s="456"/>
      <c r="M903" s="88"/>
      <c r="N903" s="88"/>
      <c r="O903" s="88"/>
      <c r="P903" s="88"/>
      <c r="Q903" s="88"/>
      <c r="R903" s="88"/>
      <c r="S903" s="88"/>
      <c r="T903" s="88"/>
      <c r="U903" s="88"/>
      <c r="V903" s="88"/>
      <c r="W903" s="88"/>
      <c r="X903" s="88"/>
      <c r="Y903" s="88"/>
      <c r="Z903" s="88"/>
      <c r="AA903" s="88"/>
    </row>
    <row r="904">
      <c r="A904" s="88"/>
      <c r="B904" s="88"/>
      <c r="C904" s="88"/>
      <c r="D904" s="453"/>
      <c r="E904" s="88"/>
      <c r="F904" s="88"/>
      <c r="G904" s="88"/>
      <c r="H904" s="454"/>
      <c r="I904" s="455"/>
      <c r="J904" s="88"/>
      <c r="K904" s="88"/>
      <c r="L904" s="456"/>
      <c r="M904" s="88"/>
      <c r="N904" s="88"/>
      <c r="O904" s="88"/>
      <c r="P904" s="88"/>
      <c r="Q904" s="88"/>
      <c r="R904" s="88"/>
      <c r="S904" s="88"/>
      <c r="T904" s="88"/>
      <c r="U904" s="88"/>
      <c r="V904" s="88"/>
      <c r="W904" s="88"/>
      <c r="X904" s="88"/>
      <c r="Y904" s="88"/>
      <c r="Z904" s="88"/>
      <c r="AA904" s="88"/>
    </row>
    <row r="905">
      <c r="A905" s="88"/>
      <c r="B905" s="88"/>
      <c r="C905" s="88"/>
      <c r="D905" s="453"/>
      <c r="E905" s="88"/>
      <c r="F905" s="88"/>
      <c r="G905" s="88"/>
      <c r="H905" s="454"/>
      <c r="I905" s="455"/>
      <c r="J905" s="88"/>
      <c r="K905" s="88"/>
      <c r="L905" s="456"/>
      <c r="M905" s="88"/>
      <c r="N905" s="88"/>
      <c r="O905" s="88"/>
      <c r="P905" s="88"/>
      <c r="Q905" s="88"/>
      <c r="R905" s="88"/>
      <c r="S905" s="88"/>
      <c r="T905" s="88"/>
      <c r="U905" s="88"/>
      <c r="V905" s="88"/>
      <c r="W905" s="88"/>
      <c r="X905" s="88"/>
      <c r="Y905" s="88"/>
      <c r="Z905" s="88"/>
      <c r="AA905" s="88"/>
    </row>
    <row r="906">
      <c r="A906" s="88"/>
      <c r="B906" s="88"/>
      <c r="C906" s="88"/>
      <c r="D906" s="453"/>
      <c r="E906" s="88"/>
      <c r="F906" s="88"/>
      <c r="G906" s="88"/>
      <c r="H906" s="454"/>
      <c r="I906" s="455"/>
      <c r="J906" s="88"/>
      <c r="K906" s="88"/>
      <c r="L906" s="456"/>
      <c r="M906" s="88"/>
      <c r="N906" s="88"/>
      <c r="O906" s="88"/>
      <c r="P906" s="88"/>
      <c r="Q906" s="88"/>
      <c r="R906" s="88"/>
      <c r="S906" s="88"/>
      <c r="T906" s="88"/>
      <c r="U906" s="88"/>
      <c r="V906" s="88"/>
      <c r="W906" s="88"/>
      <c r="X906" s="88"/>
      <c r="Y906" s="88"/>
      <c r="Z906" s="88"/>
      <c r="AA906" s="88"/>
    </row>
    <row r="907">
      <c r="A907" s="88"/>
      <c r="B907" s="88"/>
      <c r="C907" s="88"/>
      <c r="D907" s="453"/>
      <c r="E907" s="88"/>
      <c r="F907" s="88"/>
      <c r="G907" s="88"/>
      <c r="H907" s="454"/>
      <c r="I907" s="455"/>
      <c r="J907" s="88"/>
      <c r="K907" s="88"/>
      <c r="L907" s="456"/>
      <c r="M907" s="88"/>
      <c r="N907" s="88"/>
      <c r="O907" s="88"/>
      <c r="P907" s="88"/>
      <c r="Q907" s="88"/>
      <c r="R907" s="88"/>
      <c r="S907" s="88"/>
      <c r="T907" s="88"/>
      <c r="U907" s="88"/>
      <c r="V907" s="88"/>
      <c r="W907" s="88"/>
      <c r="X907" s="88"/>
      <c r="Y907" s="88"/>
      <c r="Z907" s="88"/>
      <c r="AA907" s="88"/>
    </row>
    <row r="908">
      <c r="A908" s="88"/>
      <c r="B908" s="88"/>
      <c r="C908" s="88"/>
      <c r="D908" s="453"/>
      <c r="E908" s="88"/>
      <c r="F908" s="88"/>
      <c r="G908" s="88"/>
      <c r="H908" s="454"/>
      <c r="I908" s="455"/>
      <c r="J908" s="88"/>
      <c r="K908" s="88"/>
      <c r="L908" s="456"/>
      <c r="M908" s="88"/>
      <c r="N908" s="88"/>
      <c r="O908" s="88"/>
      <c r="P908" s="88"/>
      <c r="Q908" s="88"/>
      <c r="R908" s="88"/>
      <c r="S908" s="88"/>
      <c r="T908" s="88"/>
      <c r="U908" s="88"/>
      <c r="V908" s="88"/>
      <c r="W908" s="88"/>
      <c r="X908" s="88"/>
      <c r="Y908" s="88"/>
      <c r="Z908" s="88"/>
      <c r="AA908" s="88"/>
    </row>
    <row r="909">
      <c r="A909" s="88"/>
      <c r="B909" s="88"/>
      <c r="C909" s="88"/>
      <c r="D909" s="453"/>
      <c r="E909" s="88"/>
      <c r="F909" s="88"/>
      <c r="G909" s="88"/>
      <c r="H909" s="454"/>
      <c r="I909" s="455"/>
      <c r="J909" s="88"/>
      <c r="K909" s="88"/>
      <c r="L909" s="456"/>
      <c r="M909" s="88"/>
      <c r="N909" s="88"/>
      <c r="O909" s="88"/>
      <c r="P909" s="88"/>
      <c r="Q909" s="88"/>
      <c r="R909" s="88"/>
      <c r="S909" s="88"/>
      <c r="T909" s="88"/>
      <c r="U909" s="88"/>
      <c r="V909" s="88"/>
      <c r="W909" s="88"/>
      <c r="X909" s="88"/>
      <c r="Y909" s="88"/>
      <c r="Z909" s="88"/>
      <c r="AA909" s="88"/>
    </row>
    <row r="910">
      <c r="A910" s="88"/>
      <c r="B910" s="88"/>
      <c r="C910" s="88"/>
      <c r="D910" s="453"/>
      <c r="E910" s="88"/>
      <c r="F910" s="88"/>
      <c r="G910" s="88"/>
      <c r="H910" s="454"/>
      <c r="I910" s="455"/>
      <c r="J910" s="88"/>
      <c r="K910" s="88"/>
      <c r="L910" s="456"/>
      <c r="M910" s="88"/>
      <c r="N910" s="88"/>
      <c r="O910" s="88"/>
      <c r="P910" s="88"/>
      <c r="Q910" s="88"/>
      <c r="R910" s="88"/>
      <c r="S910" s="88"/>
      <c r="T910" s="88"/>
      <c r="U910" s="88"/>
      <c r="V910" s="88"/>
      <c r="W910" s="88"/>
      <c r="X910" s="88"/>
      <c r="Y910" s="88"/>
      <c r="Z910" s="88"/>
      <c r="AA910" s="88"/>
    </row>
    <row r="911">
      <c r="A911" s="88"/>
      <c r="B911" s="88"/>
      <c r="C911" s="88"/>
      <c r="D911" s="453"/>
      <c r="E911" s="88"/>
      <c r="F911" s="88"/>
      <c r="G911" s="88"/>
      <c r="H911" s="454"/>
      <c r="I911" s="455"/>
      <c r="J911" s="88"/>
      <c r="K911" s="88"/>
      <c r="L911" s="456"/>
      <c r="M911" s="88"/>
      <c r="N911" s="88"/>
      <c r="O911" s="88"/>
      <c r="P911" s="88"/>
      <c r="Q911" s="88"/>
      <c r="R911" s="88"/>
      <c r="S911" s="88"/>
      <c r="T911" s="88"/>
      <c r="U911" s="88"/>
      <c r="V911" s="88"/>
      <c r="W911" s="88"/>
      <c r="X911" s="88"/>
      <c r="Y911" s="88"/>
      <c r="Z911" s="88"/>
      <c r="AA911" s="88"/>
    </row>
    <row r="912">
      <c r="A912" s="88"/>
      <c r="B912" s="88"/>
      <c r="C912" s="88"/>
      <c r="D912" s="453"/>
      <c r="E912" s="88"/>
      <c r="F912" s="88"/>
      <c r="G912" s="88"/>
      <c r="H912" s="454"/>
      <c r="I912" s="455"/>
      <c r="J912" s="88"/>
      <c r="K912" s="88"/>
      <c r="L912" s="456"/>
      <c r="M912" s="88"/>
      <c r="N912" s="88"/>
      <c r="O912" s="88"/>
      <c r="P912" s="88"/>
      <c r="Q912" s="88"/>
      <c r="R912" s="88"/>
      <c r="S912" s="88"/>
      <c r="T912" s="88"/>
      <c r="U912" s="88"/>
      <c r="V912" s="88"/>
      <c r="W912" s="88"/>
      <c r="X912" s="88"/>
      <c r="Y912" s="88"/>
      <c r="Z912" s="88"/>
      <c r="AA912" s="88"/>
    </row>
    <row r="913">
      <c r="A913" s="88"/>
      <c r="B913" s="88"/>
      <c r="C913" s="88"/>
      <c r="D913" s="453"/>
      <c r="E913" s="88"/>
      <c r="F913" s="88"/>
      <c r="G913" s="88"/>
      <c r="H913" s="454"/>
      <c r="I913" s="455"/>
      <c r="J913" s="88"/>
      <c r="K913" s="88"/>
      <c r="L913" s="456"/>
      <c r="M913" s="88"/>
      <c r="N913" s="88"/>
      <c r="O913" s="88"/>
      <c r="P913" s="88"/>
      <c r="Q913" s="88"/>
      <c r="R913" s="88"/>
      <c r="S913" s="88"/>
      <c r="T913" s="88"/>
      <c r="U913" s="88"/>
      <c r="V913" s="88"/>
      <c r="W913" s="88"/>
      <c r="X913" s="88"/>
      <c r="Y913" s="88"/>
      <c r="Z913" s="88"/>
      <c r="AA913" s="88"/>
    </row>
    <row r="914">
      <c r="A914" s="88"/>
      <c r="B914" s="88"/>
      <c r="C914" s="88"/>
      <c r="D914" s="453"/>
      <c r="E914" s="88"/>
      <c r="F914" s="88"/>
      <c r="G914" s="88"/>
      <c r="H914" s="454"/>
      <c r="I914" s="455"/>
      <c r="J914" s="88"/>
      <c r="K914" s="88"/>
      <c r="L914" s="456"/>
      <c r="M914" s="88"/>
      <c r="N914" s="88"/>
      <c r="O914" s="88"/>
      <c r="P914" s="88"/>
      <c r="Q914" s="88"/>
      <c r="R914" s="88"/>
      <c r="S914" s="88"/>
      <c r="T914" s="88"/>
      <c r="U914" s="88"/>
      <c r="V914" s="88"/>
      <c r="W914" s="88"/>
      <c r="X914" s="88"/>
      <c r="Y914" s="88"/>
      <c r="Z914" s="88"/>
      <c r="AA914" s="88"/>
    </row>
    <row r="915">
      <c r="A915" s="88"/>
      <c r="B915" s="88"/>
      <c r="C915" s="88"/>
      <c r="D915" s="453"/>
      <c r="E915" s="88"/>
      <c r="F915" s="88"/>
      <c r="G915" s="88"/>
      <c r="H915" s="454"/>
      <c r="I915" s="455"/>
      <c r="J915" s="88"/>
      <c r="K915" s="88"/>
      <c r="L915" s="456"/>
      <c r="M915" s="88"/>
      <c r="N915" s="88"/>
      <c r="O915" s="88"/>
      <c r="P915" s="88"/>
      <c r="Q915" s="88"/>
      <c r="R915" s="88"/>
      <c r="S915" s="88"/>
      <c r="T915" s="88"/>
      <c r="U915" s="88"/>
      <c r="V915" s="88"/>
      <c r="W915" s="88"/>
      <c r="X915" s="88"/>
      <c r="Y915" s="88"/>
      <c r="Z915" s="88"/>
      <c r="AA915" s="88"/>
    </row>
    <row r="916">
      <c r="A916" s="88"/>
      <c r="B916" s="88"/>
      <c r="C916" s="88"/>
      <c r="D916" s="453"/>
      <c r="E916" s="88"/>
      <c r="F916" s="88"/>
      <c r="G916" s="88"/>
      <c r="H916" s="454"/>
      <c r="I916" s="455"/>
      <c r="J916" s="88"/>
      <c r="K916" s="88"/>
      <c r="L916" s="456"/>
      <c r="M916" s="88"/>
      <c r="N916" s="88"/>
      <c r="O916" s="88"/>
      <c r="P916" s="88"/>
      <c r="Q916" s="88"/>
      <c r="R916" s="88"/>
      <c r="S916" s="88"/>
      <c r="T916" s="88"/>
      <c r="U916" s="88"/>
      <c r="V916" s="88"/>
      <c r="W916" s="88"/>
      <c r="X916" s="88"/>
      <c r="Y916" s="88"/>
      <c r="Z916" s="88"/>
      <c r="AA916" s="88"/>
    </row>
    <row r="917">
      <c r="A917" s="88"/>
      <c r="B917" s="88"/>
      <c r="C917" s="88"/>
      <c r="D917" s="453"/>
      <c r="E917" s="88"/>
      <c r="F917" s="88"/>
      <c r="G917" s="88"/>
      <c r="H917" s="454"/>
      <c r="I917" s="455"/>
      <c r="J917" s="88"/>
      <c r="K917" s="88"/>
      <c r="L917" s="456"/>
      <c r="M917" s="88"/>
      <c r="N917" s="88"/>
      <c r="O917" s="88"/>
      <c r="P917" s="88"/>
      <c r="Q917" s="88"/>
      <c r="R917" s="88"/>
      <c r="S917" s="88"/>
      <c r="T917" s="88"/>
      <c r="U917" s="88"/>
      <c r="V917" s="88"/>
      <c r="W917" s="88"/>
      <c r="X917" s="88"/>
      <c r="Y917" s="88"/>
      <c r="Z917" s="88"/>
      <c r="AA917" s="88"/>
    </row>
    <row r="918">
      <c r="A918" s="88"/>
      <c r="B918" s="88"/>
      <c r="C918" s="88"/>
      <c r="D918" s="453"/>
      <c r="E918" s="88"/>
      <c r="F918" s="88"/>
      <c r="G918" s="88"/>
      <c r="H918" s="454"/>
      <c r="I918" s="455"/>
      <c r="J918" s="88"/>
      <c r="K918" s="88"/>
      <c r="L918" s="456"/>
      <c r="M918" s="88"/>
      <c r="N918" s="88"/>
      <c r="O918" s="88"/>
      <c r="P918" s="88"/>
      <c r="Q918" s="88"/>
      <c r="R918" s="88"/>
      <c r="S918" s="88"/>
      <c r="T918" s="88"/>
      <c r="U918" s="88"/>
      <c r="V918" s="88"/>
      <c r="W918" s="88"/>
      <c r="X918" s="88"/>
      <c r="Y918" s="88"/>
      <c r="Z918" s="88"/>
      <c r="AA918" s="88"/>
    </row>
    <row r="919">
      <c r="A919" s="88"/>
      <c r="B919" s="88"/>
      <c r="C919" s="88"/>
      <c r="D919" s="453"/>
      <c r="E919" s="88"/>
      <c r="F919" s="88"/>
      <c r="G919" s="88"/>
      <c r="H919" s="454"/>
      <c r="I919" s="455"/>
      <c r="J919" s="88"/>
      <c r="K919" s="88"/>
      <c r="L919" s="456"/>
      <c r="M919" s="88"/>
      <c r="N919" s="88"/>
      <c r="O919" s="88"/>
      <c r="P919" s="88"/>
      <c r="Q919" s="88"/>
      <c r="R919" s="88"/>
      <c r="S919" s="88"/>
      <c r="T919" s="88"/>
      <c r="U919" s="88"/>
      <c r="V919" s="88"/>
      <c r="W919" s="88"/>
      <c r="X919" s="88"/>
      <c r="Y919" s="88"/>
      <c r="Z919" s="88"/>
      <c r="AA919" s="88"/>
    </row>
    <row r="920">
      <c r="A920" s="88"/>
      <c r="B920" s="88"/>
      <c r="C920" s="88"/>
      <c r="D920" s="453"/>
      <c r="E920" s="88"/>
      <c r="F920" s="88"/>
      <c r="G920" s="88"/>
      <c r="H920" s="454"/>
      <c r="I920" s="455"/>
      <c r="J920" s="88"/>
      <c r="K920" s="88"/>
      <c r="L920" s="456"/>
      <c r="M920" s="88"/>
      <c r="N920" s="88"/>
      <c r="O920" s="88"/>
      <c r="P920" s="88"/>
      <c r="Q920" s="88"/>
      <c r="R920" s="88"/>
      <c r="S920" s="88"/>
      <c r="T920" s="88"/>
      <c r="U920" s="88"/>
      <c r="V920" s="88"/>
      <c r="W920" s="88"/>
      <c r="X920" s="88"/>
      <c r="Y920" s="88"/>
      <c r="Z920" s="88"/>
      <c r="AA920" s="88"/>
    </row>
    <row r="921">
      <c r="A921" s="88"/>
      <c r="B921" s="88"/>
      <c r="C921" s="88"/>
      <c r="D921" s="453"/>
      <c r="E921" s="88"/>
      <c r="F921" s="88"/>
      <c r="G921" s="88"/>
      <c r="H921" s="454"/>
      <c r="I921" s="455"/>
      <c r="J921" s="88"/>
      <c r="K921" s="88"/>
      <c r="L921" s="456"/>
      <c r="M921" s="88"/>
      <c r="N921" s="88"/>
      <c r="O921" s="88"/>
      <c r="P921" s="88"/>
      <c r="Q921" s="88"/>
      <c r="R921" s="88"/>
      <c r="S921" s="88"/>
      <c r="T921" s="88"/>
      <c r="U921" s="88"/>
      <c r="V921" s="88"/>
      <c r="W921" s="88"/>
      <c r="X921" s="88"/>
      <c r="Y921" s="88"/>
      <c r="Z921" s="88"/>
      <c r="AA921" s="88"/>
    </row>
    <row r="922">
      <c r="A922" s="88"/>
      <c r="B922" s="88"/>
      <c r="C922" s="88"/>
      <c r="D922" s="453"/>
      <c r="E922" s="88"/>
      <c r="F922" s="88"/>
      <c r="G922" s="88"/>
      <c r="H922" s="454"/>
      <c r="I922" s="455"/>
      <c r="J922" s="88"/>
      <c r="K922" s="88"/>
      <c r="L922" s="456"/>
      <c r="M922" s="88"/>
      <c r="N922" s="88"/>
      <c r="O922" s="88"/>
      <c r="P922" s="88"/>
      <c r="Q922" s="88"/>
      <c r="R922" s="88"/>
      <c r="S922" s="88"/>
      <c r="T922" s="88"/>
      <c r="U922" s="88"/>
      <c r="V922" s="88"/>
      <c r="W922" s="88"/>
      <c r="X922" s="88"/>
      <c r="Y922" s="88"/>
      <c r="Z922" s="88"/>
      <c r="AA922" s="88"/>
    </row>
    <row r="923">
      <c r="A923" s="88"/>
      <c r="B923" s="88"/>
      <c r="C923" s="88"/>
      <c r="D923" s="453"/>
      <c r="E923" s="88"/>
      <c r="F923" s="88"/>
      <c r="G923" s="88"/>
      <c r="H923" s="454"/>
      <c r="I923" s="455"/>
      <c r="J923" s="88"/>
      <c r="K923" s="88"/>
      <c r="L923" s="456"/>
      <c r="M923" s="88"/>
      <c r="N923" s="88"/>
      <c r="O923" s="88"/>
      <c r="P923" s="88"/>
      <c r="Q923" s="88"/>
      <c r="R923" s="88"/>
      <c r="S923" s="88"/>
      <c r="T923" s="88"/>
      <c r="U923" s="88"/>
      <c r="V923" s="88"/>
      <c r="W923" s="88"/>
      <c r="X923" s="88"/>
      <c r="Y923" s="88"/>
      <c r="Z923" s="88"/>
      <c r="AA923" s="88"/>
    </row>
    <row r="924">
      <c r="A924" s="88"/>
      <c r="B924" s="88"/>
      <c r="C924" s="88"/>
      <c r="D924" s="453"/>
      <c r="E924" s="88"/>
      <c r="F924" s="88"/>
      <c r="G924" s="88"/>
      <c r="H924" s="454"/>
      <c r="I924" s="455"/>
      <c r="J924" s="88"/>
      <c r="K924" s="88"/>
      <c r="L924" s="456"/>
      <c r="M924" s="88"/>
      <c r="N924" s="88"/>
      <c r="O924" s="88"/>
      <c r="P924" s="88"/>
      <c r="Q924" s="88"/>
      <c r="R924" s="88"/>
      <c r="S924" s="88"/>
      <c r="T924" s="88"/>
      <c r="U924" s="88"/>
      <c r="V924" s="88"/>
      <c r="W924" s="88"/>
      <c r="X924" s="88"/>
      <c r="Y924" s="88"/>
      <c r="Z924" s="88"/>
      <c r="AA924" s="88"/>
    </row>
    <row r="925">
      <c r="A925" s="88"/>
      <c r="B925" s="88"/>
      <c r="C925" s="88"/>
      <c r="D925" s="453"/>
      <c r="E925" s="88"/>
      <c r="F925" s="88"/>
      <c r="G925" s="88"/>
      <c r="H925" s="454"/>
      <c r="I925" s="455"/>
      <c r="J925" s="88"/>
      <c r="K925" s="88"/>
      <c r="L925" s="456"/>
      <c r="M925" s="88"/>
      <c r="N925" s="88"/>
      <c r="O925" s="88"/>
      <c r="P925" s="88"/>
      <c r="Q925" s="88"/>
      <c r="R925" s="88"/>
      <c r="S925" s="88"/>
      <c r="T925" s="88"/>
      <c r="U925" s="88"/>
      <c r="V925" s="88"/>
      <c r="W925" s="88"/>
      <c r="X925" s="88"/>
      <c r="Y925" s="88"/>
      <c r="Z925" s="88"/>
      <c r="AA925" s="88"/>
    </row>
    <row r="926">
      <c r="A926" s="88"/>
      <c r="B926" s="88"/>
      <c r="C926" s="88"/>
      <c r="D926" s="453"/>
      <c r="E926" s="88"/>
      <c r="F926" s="88"/>
      <c r="G926" s="88"/>
      <c r="H926" s="454"/>
      <c r="I926" s="455"/>
      <c r="J926" s="88"/>
      <c r="K926" s="88"/>
      <c r="L926" s="456"/>
      <c r="M926" s="88"/>
      <c r="N926" s="88"/>
      <c r="O926" s="88"/>
      <c r="P926" s="88"/>
      <c r="Q926" s="88"/>
      <c r="R926" s="88"/>
      <c r="S926" s="88"/>
      <c r="T926" s="88"/>
      <c r="U926" s="88"/>
      <c r="V926" s="88"/>
      <c r="W926" s="88"/>
      <c r="X926" s="88"/>
      <c r="Y926" s="88"/>
      <c r="Z926" s="88"/>
      <c r="AA926" s="88"/>
    </row>
    <row r="927">
      <c r="A927" s="88"/>
      <c r="B927" s="88"/>
      <c r="C927" s="88"/>
      <c r="D927" s="453"/>
      <c r="E927" s="88"/>
      <c r="F927" s="88"/>
      <c r="G927" s="88"/>
      <c r="H927" s="454"/>
      <c r="I927" s="455"/>
      <c r="J927" s="88"/>
      <c r="K927" s="88"/>
      <c r="L927" s="456"/>
      <c r="M927" s="88"/>
      <c r="N927" s="88"/>
      <c r="O927" s="88"/>
      <c r="P927" s="88"/>
      <c r="Q927" s="88"/>
      <c r="R927" s="88"/>
      <c r="S927" s="88"/>
      <c r="T927" s="88"/>
      <c r="U927" s="88"/>
      <c r="V927" s="88"/>
      <c r="W927" s="88"/>
      <c r="X927" s="88"/>
      <c r="Y927" s="88"/>
      <c r="Z927" s="88"/>
      <c r="AA927" s="88"/>
    </row>
    <row r="928">
      <c r="A928" s="88"/>
      <c r="B928" s="88"/>
      <c r="C928" s="88"/>
      <c r="D928" s="453"/>
      <c r="E928" s="88"/>
      <c r="F928" s="88"/>
      <c r="G928" s="88"/>
      <c r="H928" s="454"/>
      <c r="I928" s="455"/>
      <c r="J928" s="88"/>
      <c r="K928" s="88"/>
      <c r="L928" s="456"/>
      <c r="M928" s="88"/>
      <c r="N928" s="88"/>
      <c r="O928" s="88"/>
      <c r="P928" s="88"/>
      <c r="Q928" s="88"/>
      <c r="R928" s="88"/>
      <c r="S928" s="88"/>
      <c r="T928" s="88"/>
      <c r="U928" s="88"/>
      <c r="V928" s="88"/>
      <c r="W928" s="88"/>
      <c r="X928" s="88"/>
      <c r="Y928" s="88"/>
      <c r="Z928" s="88"/>
      <c r="AA928" s="88"/>
    </row>
    <row r="929">
      <c r="A929" s="88"/>
      <c r="B929" s="88"/>
      <c r="C929" s="88"/>
      <c r="D929" s="453"/>
      <c r="E929" s="88"/>
      <c r="F929" s="88"/>
      <c r="G929" s="88"/>
      <c r="H929" s="454"/>
      <c r="I929" s="455"/>
      <c r="J929" s="88"/>
      <c r="K929" s="88"/>
      <c r="L929" s="456"/>
      <c r="M929" s="88"/>
      <c r="N929" s="88"/>
      <c r="O929" s="88"/>
      <c r="P929" s="88"/>
      <c r="Q929" s="88"/>
      <c r="R929" s="88"/>
      <c r="S929" s="88"/>
      <c r="T929" s="88"/>
      <c r="U929" s="88"/>
      <c r="V929" s="88"/>
      <c r="W929" s="88"/>
      <c r="X929" s="88"/>
      <c r="Y929" s="88"/>
      <c r="Z929" s="88"/>
      <c r="AA929" s="88"/>
    </row>
    <row r="930">
      <c r="A930" s="88"/>
      <c r="B930" s="88"/>
      <c r="C930" s="88"/>
      <c r="D930" s="453"/>
      <c r="E930" s="88"/>
      <c r="F930" s="88"/>
      <c r="G930" s="88"/>
      <c r="H930" s="454"/>
      <c r="I930" s="455"/>
      <c r="J930" s="88"/>
      <c r="K930" s="88"/>
      <c r="L930" s="456"/>
      <c r="M930" s="88"/>
      <c r="N930" s="88"/>
      <c r="O930" s="88"/>
      <c r="P930" s="88"/>
      <c r="Q930" s="88"/>
      <c r="R930" s="88"/>
      <c r="S930" s="88"/>
      <c r="T930" s="88"/>
      <c r="U930" s="88"/>
      <c r="V930" s="88"/>
      <c r="W930" s="88"/>
      <c r="X930" s="88"/>
      <c r="Y930" s="88"/>
      <c r="Z930" s="88"/>
      <c r="AA930" s="88"/>
    </row>
    <row r="931">
      <c r="A931" s="88"/>
      <c r="B931" s="88"/>
      <c r="C931" s="88"/>
      <c r="D931" s="453"/>
      <c r="E931" s="88"/>
      <c r="F931" s="88"/>
      <c r="G931" s="88"/>
      <c r="H931" s="454"/>
      <c r="I931" s="455"/>
      <c r="J931" s="88"/>
      <c r="K931" s="88"/>
      <c r="L931" s="456"/>
      <c r="M931" s="88"/>
      <c r="N931" s="88"/>
      <c r="O931" s="88"/>
      <c r="P931" s="88"/>
      <c r="Q931" s="88"/>
      <c r="R931" s="88"/>
      <c r="S931" s="88"/>
      <c r="T931" s="88"/>
      <c r="U931" s="88"/>
      <c r="V931" s="88"/>
      <c r="W931" s="88"/>
      <c r="X931" s="88"/>
      <c r="Y931" s="88"/>
      <c r="Z931" s="88"/>
      <c r="AA931" s="88"/>
    </row>
    <row r="932">
      <c r="A932" s="88"/>
      <c r="B932" s="88"/>
      <c r="C932" s="88"/>
      <c r="D932" s="453"/>
      <c r="E932" s="88"/>
      <c r="F932" s="88"/>
      <c r="G932" s="88"/>
      <c r="H932" s="454"/>
      <c r="I932" s="455"/>
      <c r="J932" s="88"/>
      <c r="K932" s="88"/>
      <c r="L932" s="456"/>
      <c r="M932" s="88"/>
      <c r="N932" s="88"/>
      <c r="O932" s="88"/>
      <c r="P932" s="88"/>
      <c r="Q932" s="88"/>
      <c r="R932" s="88"/>
      <c r="S932" s="88"/>
      <c r="T932" s="88"/>
      <c r="U932" s="88"/>
      <c r="V932" s="88"/>
      <c r="W932" s="88"/>
      <c r="X932" s="88"/>
      <c r="Y932" s="88"/>
      <c r="Z932" s="88"/>
      <c r="AA932" s="88"/>
    </row>
    <row r="933">
      <c r="A933" s="88"/>
      <c r="B933" s="88"/>
      <c r="C933" s="88"/>
      <c r="D933" s="453"/>
      <c r="E933" s="88"/>
      <c r="F933" s="88"/>
      <c r="G933" s="88"/>
      <c r="H933" s="454"/>
      <c r="I933" s="455"/>
      <c r="J933" s="88"/>
      <c r="K933" s="88"/>
      <c r="L933" s="456"/>
      <c r="M933" s="88"/>
      <c r="N933" s="88"/>
      <c r="O933" s="88"/>
      <c r="P933" s="88"/>
      <c r="Q933" s="88"/>
      <c r="R933" s="88"/>
      <c r="S933" s="88"/>
      <c r="T933" s="88"/>
      <c r="U933" s="88"/>
      <c r="V933" s="88"/>
      <c r="W933" s="88"/>
      <c r="X933" s="88"/>
      <c r="Y933" s="88"/>
      <c r="Z933" s="88"/>
      <c r="AA933" s="88"/>
    </row>
    <row r="934">
      <c r="A934" s="88"/>
      <c r="B934" s="88"/>
      <c r="C934" s="88"/>
      <c r="D934" s="453"/>
      <c r="E934" s="88"/>
      <c r="F934" s="88"/>
      <c r="G934" s="88"/>
      <c r="H934" s="454"/>
      <c r="I934" s="455"/>
      <c r="J934" s="88"/>
      <c r="K934" s="88"/>
      <c r="L934" s="456"/>
      <c r="M934" s="88"/>
      <c r="N934" s="88"/>
      <c r="O934" s="88"/>
      <c r="P934" s="88"/>
      <c r="Q934" s="88"/>
      <c r="R934" s="88"/>
      <c r="S934" s="88"/>
      <c r="T934" s="88"/>
      <c r="U934" s="88"/>
      <c r="V934" s="88"/>
      <c r="W934" s="88"/>
      <c r="X934" s="88"/>
      <c r="Y934" s="88"/>
      <c r="Z934" s="88"/>
      <c r="AA934" s="88"/>
    </row>
    <row r="935">
      <c r="A935" s="88"/>
      <c r="B935" s="88"/>
      <c r="C935" s="88"/>
      <c r="D935" s="453"/>
      <c r="E935" s="88"/>
      <c r="F935" s="88"/>
      <c r="G935" s="88"/>
      <c r="H935" s="454"/>
      <c r="I935" s="455"/>
      <c r="J935" s="88"/>
      <c r="K935" s="88"/>
      <c r="L935" s="456"/>
      <c r="M935" s="88"/>
      <c r="N935" s="88"/>
      <c r="O935" s="88"/>
      <c r="P935" s="88"/>
      <c r="Q935" s="88"/>
      <c r="R935" s="88"/>
      <c r="S935" s="88"/>
      <c r="T935" s="88"/>
      <c r="U935" s="88"/>
      <c r="V935" s="88"/>
      <c r="W935" s="88"/>
      <c r="X935" s="88"/>
      <c r="Y935" s="88"/>
      <c r="Z935" s="88"/>
      <c r="AA935" s="88"/>
    </row>
    <row r="936">
      <c r="A936" s="88"/>
      <c r="B936" s="88"/>
      <c r="C936" s="88"/>
      <c r="D936" s="453"/>
      <c r="E936" s="88"/>
      <c r="F936" s="88"/>
      <c r="G936" s="88"/>
      <c r="H936" s="454"/>
      <c r="I936" s="455"/>
      <c r="J936" s="88"/>
      <c r="K936" s="88"/>
      <c r="L936" s="456"/>
      <c r="M936" s="88"/>
      <c r="N936" s="88"/>
      <c r="O936" s="88"/>
      <c r="P936" s="88"/>
      <c r="Q936" s="88"/>
      <c r="R936" s="88"/>
      <c r="S936" s="88"/>
      <c r="T936" s="88"/>
      <c r="U936" s="88"/>
      <c r="V936" s="88"/>
      <c r="W936" s="88"/>
      <c r="X936" s="88"/>
      <c r="Y936" s="88"/>
      <c r="Z936" s="88"/>
      <c r="AA936" s="88"/>
    </row>
    <row r="937">
      <c r="A937" s="88"/>
      <c r="B937" s="88"/>
      <c r="C937" s="88"/>
      <c r="D937" s="453"/>
      <c r="E937" s="88"/>
      <c r="F937" s="88"/>
      <c r="G937" s="88"/>
      <c r="H937" s="454"/>
      <c r="I937" s="455"/>
      <c r="J937" s="88"/>
      <c r="K937" s="88"/>
      <c r="L937" s="456"/>
      <c r="M937" s="88"/>
      <c r="N937" s="88"/>
      <c r="O937" s="88"/>
      <c r="P937" s="88"/>
      <c r="Q937" s="88"/>
      <c r="R937" s="88"/>
      <c r="S937" s="88"/>
      <c r="T937" s="88"/>
      <c r="U937" s="88"/>
      <c r="V937" s="88"/>
      <c r="W937" s="88"/>
      <c r="X937" s="88"/>
      <c r="Y937" s="88"/>
      <c r="Z937" s="88"/>
      <c r="AA937" s="88"/>
    </row>
    <row r="938">
      <c r="A938" s="88"/>
      <c r="B938" s="88"/>
      <c r="C938" s="88"/>
      <c r="D938" s="453"/>
      <c r="E938" s="88"/>
      <c r="F938" s="88"/>
      <c r="G938" s="88"/>
      <c r="H938" s="454"/>
      <c r="I938" s="455"/>
      <c r="J938" s="88"/>
      <c r="K938" s="88"/>
      <c r="L938" s="456"/>
      <c r="M938" s="88"/>
      <c r="N938" s="88"/>
      <c r="O938" s="88"/>
      <c r="P938" s="88"/>
      <c r="Q938" s="88"/>
      <c r="R938" s="88"/>
      <c r="S938" s="88"/>
      <c r="T938" s="88"/>
      <c r="U938" s="88"/>
      <c r="V938" s="88"/>
      <c r="W938" s="88"/>
      <c r="X938" s="88"/>
      <c r="Y938" s="88"/>
      <c r="Z938" s="88"/>
      <c r="AA938" s="88"/>
    </row>
    <row r="939">
      <c r="A939" s="88"/>
      <c r="B939" s="88"/>
      <c r="C939" s="88"/>
      <c r="D939" s="453"/>
      <c r="E939" s="88"/>
      <c r="F939" s="88"/>
      <c r="G939" s="88"/>
      <c r="H939" s="454"/>
      <c r="I939" s="455"/>
      <c r="J939" s="88"/>
      <c r="K939" s="88"/>
      <c r="L939" s="456"/>
      <c r="M939" s="88"/>
      <c r="N939" s="88"/>
      <c r="O939" s="88"/>
      <c r="P939" s="88"/>
      <c r="Q939" s="88"/>
      <c r="R939" s="88"/>
      <c r="S939" s="88"/>
      <c r="T939" s="88"/>
      <c r="U939" s="88"/>
      <c r="V939" s="88"/>
      <c r="W939" s="88"/>
      <c r="X939" s="88"/>
      <c r="Y939" s="88"/>
      <c r="Z939" s="88"/>
      <c r="AA939" s="88"/>
    </row>
    <row r="940">
      <c r="A940" s="88"/>
      <c r="B940" s="88"/>
      <c r="C940" s="88"/>
      <c r="D940" s="453"/>
      <c r="E940" s="88"/>
      <c r="F940" s="88"/>
      <c r="G940" s="88"/>
      <c r="H940" s="454"/>
      <c r="I940" s="455"/>
      <c r="J940" s="88"/>
      <c r="K940" s="88"/>
      <c r="L940" s="456"/>
      <c r="M940" s="88"/>
      <c r="N940" s="88"/>
      <c r="O940" s="88"/>
      <c r="P940" s="88"/>
      <c r="Q940" s="88"/>
      <c r="R940" s="88"/>
      <c r="S940" s="88"/>
      <c r="T940" s="88"/>
      <c r="U940" s="88"/>
      <c r="V940" s="88"/>
      <c r="W940" s="88"/>
      <c r="X940" s="88"/>
      <c r="Y940" s="88"/>
      <c r="Z940" s="88"/>
      <c r="AA940" s="88"/>
    </row>
    <row r="941">
      <c r="A941" s="88"/>
      <c r="B941" s="88"/>
      <c r="C941" s="88"/>
      <c r="D941" s="453"/>
      <c r="E941" s="88"/>
      <c r="F941" s="88"/>
      <c r="G941" s="88"/>
      <c r="H941" s="454"/>
      <c r="I941" s="455"/>
      <c r="J941" s="88"/>
      <c r="K941" s="88"/>
      <c r="L941" s="456"/>
      <c r="M941" s="88"/>
      <c r="N941" s="88"/>
      <c r="O941" s="88"/>
      <c r="P941" s="88"/>
      <c r="Q941" s="88"/>
      <c r="R941" s="88"/>
      <c r="S941" s="88"/>
      <c r="T941" s="88"/>
      <c r="U941" s="88"/>
      <c r="V941" s="88"/>
      <c r="W941" s="88"/>
      <c r="X941" s="88"/>
      <c r="Y941" s="88"/>
      <c r="Z941" s="88"/>
      <c r="AA941" s="88"/>
    </row>
    <row r="942">
      <c r="A942" s="88"/>
      <c r="B942" s="88"/>
      <c r="C942" s="88"/>
      <c r="D942" s="453"/>
      <c r="E942" s="88"/>
      <c r="F942" s="88"/>
      <c r="G942" s="88"/>
      <c r="H942" s="454"/>
      <c r="I942" s="455"/>
      <c r="J942" s="88"/>
      <c r="K942" s="88"/>
      <c r="L942" s="456"/>
      <c r="M942" s="88"/>
      <c r="N942" s="88"/>
      <c r="O942" s="88"/>
      <c r="P942" s="88"/>
      <c r="Q942" s="88"/>
      <c r="R942" s="88"/>
      <c r="S942" s="88"/>
      <c r="T942" s="88"/>
      <c r="U942" s="88"/>
      <c r="V942" s="88"/>
      <c r="W942" s="88"/>
      <c r="X942" s="88"/>
      <c r="Y942" s="88"/>
      <c r="Z942" s="88"/>
      <c r="AA942" s="88"/>
    </row>
    <row r="943">
      <c r="A943" s="88"/>
      <c r="B943" s="88"/>
      <c r="C943" s="88"/>
      <c r="D943" s="453"/>
      <c r="E943" s="88"/>
      <c r="F943" s="88"/>
      <c r="G943" s="88"/>
      <c r="H943" s="454"/>
      <c r="I943" s="455"/>
      <c r="J943" s="88"/>
      <c r="K943" s="88"/>
      <c r="L943" s="456"/>
      <c r="M943" s="88"/>
      <c r="N943" s="88"/>
      <c r="O943" s="88"/>
      <c r="P943" s="88"/>
      <c r="Q943" s="88"/>
      <c r="R943" s="88"/>
      <c r="S943" s="88"/>
      <c r="T943" s="88"/>
      <c r="U943" s="88"/>
      <c r="V943" s="88"/>
      <c r="W943" s="88"/>
      <c r="X943" s="88"/>
      <c r="Y943" s="88"/>
      <c r="Z943" s="88"/>
      <c r="AA943" s="88"/>
    </row>
    <row r="944">
      <c r="A944" s="88"/>
      <c r="B944" s="88"/>
      <c r="C944" s="88"/>
      <c r="D944" s="453"/>
      <c r="E944" s="88"/>
      <c r="F944" s="88"/>
      <c r="G944" s="88"/>
      <c r="H944" s="454"/>
      <c r="I944" s="455"/>
      <c r="J944" s="88"/>
      <c r="K944" s="88"/>
      <c r="L944" s="456"/>
      <c r="M944" s="88"/>
      <c r="N944" s="88"/>
      <c r="O944" s="88"/>
      <c r="P944" s="88"/>
      <c r="Q944" s="88"/>
      <c r="R944" s="88"/>
      <c r="S944" s="88"/>
      <c r="T944" s="88"/>
      <c r="U944" s="88"/>
      <c r="V944" s="88"/>
      <c r="W944" s="88"/>
      <c r="X944" s="88"/>
      <c r="Y944" s="88"/>
      <c r="Z944" s="88"/>
      <c r="AA944" s="88"/>
    </row>
    <row r="945">
      <c r="A945" s="88"/>
      <c r="B945" s="88"/>
      <c r="C945" s="88"/>
      <c r="D945" s="453"/>
      <c r="E945" s="88"/>
      <c r="F945" s="88"/>
      <c r="G945" s="88"/>
      <c r="H945" s="454"/>
      <c r="I945" s="455"/>
      <c r="J945" s="88"/>
      <c r="K945" s="88"/>
      <c r="L945" s="456"/>
      <c r="M945" s="88"/>
      <c r="N945" s="88"/>
      <c r="O945" s="88"/>
      <c r="P945" s="88"/>
      <c r="Q945" s="88"/>
      <c r="R945" s="88"/>
      <c r="S945" s="88"/>
      <c r="T945" s="88"/>
      <c r="U945" s="88"/>
      <c r="V945" s="88"/>
      <c r="W945" s="88"/>
      <c r="X945" s="88"/>
      <c r="Y945" s="88"/>
      <c r="Z945" s="88"/>
      <c r="AA945" s="88"/>
    </row>
    <row r="946">
      <c r="A946" s="88"/>
      <c r="B946" s="88"/>
      <c r="C946" s="88"/>
      <c r="D946" s="453"/>
      <c r="E946" s="88"/>
      <c r="F946" s="88"/>
      <c r="G946" s="88"/>
      <c r="H946" s="454"/>
      <c r="I946" s="455"/>
      <c r="J946" s="88"/>
      <c r="K946" s="88"/>
      <c r="L946" s="456"/>
      <c r="M946" s="88"/>
      <c r="N946" s="88"/>
      <c r="O946" s="88"/>
      <c r="P946" s="88"/>
      <c r="Q946" s="88"/>
      <c r="R946" s="88"/>
      <c r="S946" s="88"/>
      <c r="T946" s="88"/>
      <c r="U946" s="88"/>
      <c r="V946" s="88"/>
      <c r="W946" s="88"/>
      <c r="X946" s="88"/>
      <c r="Y946" s="88"/>
      <c r="Z946" s="88"/>
      <c r="AA946" s="88"/>
    </row>
    <row r="947">
      <c r="A947" s="88"/>
      <c r="B947" s="88"/>
      <c r="C947" s="88"/>
      <c r="D947" s="453"/>
      <c r="E947" s="88"/>
      <c r="F947" s="88"/>
      <c r="G947" s="88"/>
      <c r="H947" s="454"/>
      <c r="I947" s="455"/>
      <c r="J947" s="88"/>
      <c r="K947" s="88"/>
      <c r="L947" s="456"/>
      <c r="M947" s="88"/>
      <c r="N947" s="88"/>
      <c r="O947" s="88"/>
      <c r="P947" s="88"/>
      <c r="Q947" s="88"/>
      <c r="R947" s="88"/>
      <c r="S947" s="88"/>
      <c r="T947" s="88"/>
      <c r="U947" s="88"/>
      <c r="V947" s="88"/>
      <c r="W947" s="88"/>
      <c r="X947" s="88"/>
      <c r="Y947" s="88"/>
      <c r="Z947" s="88"/>
      <c r="AA947" s="88"/>
    </row>
    <row r="948">
      <c r="A948" s="88"/>
      <c r="B948" s="88"/>
      <c r="C948" s="88"/>
      <c r="D948" s="453"/>
      <c r="E948" s="88"/>
      <c r="F948" s="88"/>
      <c r="G948" s="88"/>
      <c r="H948" s="454"/>
      <c r="I948" s="455"/>
      <c r="J948" s="88"/>
      <c r="K948" s="88"/>
      <c r="L948" s="456"/>
      <c r="M948" s="88"/>
      <c r="N948" s="88"/>
      <c r="O948" s="88"/>
      <c r="P948" s="88"/>
      <c r="Q948" s="88"/>
      <c r="R948" s="88"/>
      <c r="S948" s="88"/>
      <c r="T948" s="88"/>
      <c r="U948" s="88"/>
      <c r="V948" s="88"/>
      <c r="W948" s="88"/>
      <c r="X948" s="88"/>
      <c r="Y948" s="88"/>
      <c r="Z948" s="88"/>
      <c r="AA948" s="88"/>
    </row>
    <row r="949">
      <c r="A949" s="88"/>
      <c r="B949" s="88"/>
      <c r="C949" s="88"/>
      <c r="D949" s="453"/>
      <c r="E949" s="88"/>
      <c r="F949" s="88"/>
      <c r="G949" s="88"/>
      <c r="H949" s="454"/>
      <c r="I949" s="455"/>
      <c r="J949" s="88"/>
      <c r="K949" s="88"/>
      <c r="L949" s="456"/>
      <c r="M949" s="88"/>
      <c r="N949" s="88"/>
      <c r="O949" s="88"/>
      <c r="P949" s="88"/>
      <c r="Q949" s="88"/>
      <c r="R949" s="88"/>
      <c r="S949" s="88"/>
      <c r="T949" s="88"/>
      <c r="U949" s="88"/>
      <c r="V949" s="88"/>
      <c r="W949" s="88"/>
      <c r="X949" s="88"/>
      <c r="Y949" s="88"/>
      <c r="Z949" s="88"/>
      <c r="AA949" s="88"/>
    </row>
    <row r="950">
      <c r="A950" s="88"/>
      <c r="B950" s="88"/>
      <c r="C950" s="88"/>
      <c r="D950" s="453"/>
      <c r="E950" s="88"/>
      <c r="F950" s="88"/>
      <c r="G950" s="88"/>
      <c r="H950" s="454"/>
      <c r="I950" s="455"/>
      <c r="J950" s="88"/>
      <c r="K950" s="88"/>
      <c r="L950" s="456"/>
      <c r="M950" s="88"/>
      <c r="N950" s="88"/>
      <c r="O950" s="88"/>
      <c r="P950" s="88"/>
      <c r="Q950" s="88"/>
      <c r="R950" s="88"/>
      <c r="S950" s="88"/>
      <c r="T950" s="88"/>
      <c r="U950" s="88"/>
      <c r="V950" s="88"/>
      <c r="W950" s="88"/>
      <c r="X950" s="88"/>
      <c r="Y950" s="88"/>
      <c r="Z950" s="88"/>
      <c r="AA950" s="88"/>
    </row>
    <row r="951">
      <c r="A951" s="88"/>
      <c r="B951" s="88"/>
      <c r="C951" s="88"/>
      <c r="D951" s="453"/>
      <c r="E951" s="88"/>
      <c r="F951" s="88"/>
      <c r="G951" s="88"/>
      <c r="H951" s="454"/>
      <c r="I951" s="455"/>
      <c r="J951" s="88"/>
      <c r="K951" s="88"/>
      <c r="L951" s="456"/>
      <c r="M951" s="88"/>
      <c r="N951" s="88"/>
      <c r="O951" s="88"/>
      <c r="P951" s="88"/>
      <c r="Q951" s="88"/>
      <c r="R951" s="88"/>
      <c r="S951" s="88"/>
      <c r="T951" s="88"/>
      <c r="U951" s="88"/>
      <c r="V951" s="88"/>
      <c r="W951" s="88"/>
      <c r="X951" s="88"/>
      <c r="Y951" s="88"/>
      <c r="Z951" s="88"/>
      <c r="AA951" s="88"/>
    </row>
    <row r="952">
      <c r="A952" s="88"/>
      <c r="B952" s="88"/>
      <c r="C952" s="88"/>
      <c r="D952" s="453"/>
      <c r="E952" s="88"/>
      <c r="F952" s="88"/>
      <c r="G952" s="88"/>
      <c r="H952" s="454"/>
      <c r="I952" s="455"/>
      <c r="J952" s="88"/>
      <c r="K952" s="88"/>
      <c r="L952" s="456"/>
      <c r="M952" s="88"/>
      <c r="N952" s="88"/>
      <c r="O952" s="88"/>
      <c r="P952" s="88"/>
      <c r="Q952" s="88"/>
      <c r="R952" s="88"/>
      <c r="S952" s="88"/>
      <c r="T952" s="88"/>
      <c r="U952" s="88"/>
      <c r="V952" s="88"/>
      <c r="W952" s="88"/>
      <c r="X952" s="88"/>
      <c r="Y952" s="88"/>
      <c r="Z952" s="88"/>
      <c r="AA952" s="88"/>
    </row>
    <row r="953">
      <c r="A953" s="88"/>
      <c r="B953" s="88"/>
      <c r="C953" s="88"/>
      <c r="D953" s="453"/>
      <c r="E953" s="88"/>
      <c r="F953" s="88"/>
      <c r="G953" s="88"/>
      <c r="H953" s="454"/>
      <c r="I953" s="455"/>
      <c r="J953" s="88"/>
      <c r="K953" s="88"/>
      <c r="L953" s="456"/>
      <c r="M953" s="88"/>
      <c r="N953" s="88"/>
      <c r="O953" s="88"/>
      <c r="P953" s="88"/>
      <c r="Q953" s="88"/>
      <c r="R953" s="88"/>
      <c r="S953" s="88"/>
      <c r="T953" s="88"/>
      <c r="U953" s="88"/>
      <c r="V953" s="88"/>
      <c r="W953" s="88"/>
      <c r="X953" s="88"/>
      <c r="Y953" s="88"/>
      <c r="Z953" s="88"/>
      <c r="AA953" s="88"/>
    </row>
    <row r="954">
      <c r="A954" s="88"/>
      <c r="B954" s="88"/>
      <c r="C954" s="88"/>
      <c r="D954" s="453"/>
      <c r="E954" s="88"/>
      <c r="F954" s="88"/>
      <c r="G954" s="88"/>
      <c r="H954" s="454"/>
      <c r="I954" s="455"/>
      <c r="J954" s="88"/>
      <c r="K954" s="88"/>
      <c r="L954" s="456"/>
      <c r="M954" s="88"/>
      <c r="N954" s="88"/>
      <c r="O954" s="88"/>
      <c r="P954" s="88"/>
      <c r="Q954" s="88"/>
      <c r="R954" s="88"/>
      <c r="S954" s="88"/>
      <c r="T954" s="88"/>
      <c r="U954" s="88"/>
      <c r="V954" s="88"/>
      <c r="W954" s="88"/>
      <c r="X954" s="88"/>
      <c r="Y954" s="88"/>
      <c r="Z954" s="88"/>
      <c r="AA954" s="88"/>
    </row>
    <row r="955">
      <c r="A955" s="88"/>
      <c r="B955" s="88"/>
      <c r="C955" s="88"/>
      <c r="D955" s="453"/>
      <c r="E955" s="88"/>
      <c r="F955" s="88"/>
      <c r="G955" s="88"/>
      <c r="H955" s="454"/>
      <c r="I955" s="455"/>
      <c r="J955" s="88"/>
      <c r="K955" s="88"/>
      <c r="L955" s="456"/>
      <c r="M955" s="88"/>
      <c r="N955" s="88"/>
      <c r="O955" s="88"/>
      <c r="P955" s="88"/>
      <c r="Q955" s="88"/>
      <c r="R955" s="88"/>
      <c r="S955" s="88"/>
      <c r="T955" s="88"/>
      <c r="U955" s="88"/>
      <c r="V955" s="88"/>
      <c r="W955" s="88"/>
      <c r="X955" s="88"/>
      <c r="Y955" s="88"/>
      <c r="Z955" s="88"/>
      <c r="AA955" s="88"/>
    </row>
    <row r="956">
      <c r="A956" s="88"/>
      <c r="B956" s="88"/>
      <c r="C956" s="88"/>
      <c r="D956" s="453"/>
      <c r="E956" s="88"/>
      <c r="F956" s="88"/>
      <c r="G956" s="88"/>
      <c r="H956" s="454"/>
      <c r="I956" s="455"/>
      <c r="J956" s="88"/>
      <c r="K956" s="88"/>
      <c r="L956" s="456"/>
      <c r="M956" s="88"/>
      <c r="N956" s="88"/>
      <c r="O956" s="88"/>
      <c r="P956" s="88"/>
      <c r="Q956" s="88"/>
      <c r="R956" s="88"/>
      <c r="S956" s="88"/>
      <c r="T956" s="88"/>
      <c r="U956" s="88"/>
      <c r="V956" s="88"/>
      <c r="W956" s="88"/>
      <c r="X956" s="88"/>
      <c r="Y956" s="88"/>
      <c r="Z956" s="88"/>
      <c r="AA956" s="88"/>
    </row>
    <row r="957">
      <c r="A957" s="88"/>
      <c r="B957" s="88"/>
      <c r="C957" s="88"/>
      <c r="D957" s="453"/>
      <c r="E957" s="88"/>
      <c r="F957" s="88"/>
      <c r="G957" s="88"/>
      <c r="H957" s="454"/>
      <c r="I957" s="455"/>
      <c r="J957" s="88"/>
      <c r="K957" s="88"/>
      <c r="L957" s="456"/>
      <c r="M957" s="88"/>
      <c r="N957" s="88"/>
      <c r="O957" s="88"/>
      <c r="P957" s="88"/>
      <c r="Q957" s="88"/>
      <c r="R957" s="88"/>
      <c r="S957" s="88"/>
      <c r="T957" s="88"/>
      <c r="U957" s="88"/>
      <c r="V957" s="88"/>
      <c r="W957" s="88"/>
      <c r="X957" s="88"/>
      <c r="Y957" s="88"/>
      <c r="Z957" s="88"/>
      <c r="AA957" s="88"/>
    </row>
    <row r="958">
      <c r="A958" s="88"/>
      <c r="B958" s="88"/>
      <c r="C958" s="88"/>
      <c r="D958" s="453"/>
      <c r="E958" s="88"/>
      <c r="F958" s="88"/>
      <c r="G958" s="88"/>
      <c r="H958" s="454"/>
      <c r="I958" s="455"/>
      <c r="J958" s="88"/>
      <c r="K958" s="88"/>
      <c r="L958" s="456"/>
      <c r="M958" s="88"/>
      <c r="N958" s="88"/>
      <c r="O958" s="88"/>
      <c r="P958" s="88"/>
      <c r="Q958" s="88"/>
      <c r="R958" s="88"/>
      <c r="S958" s="88"/>
      <c r="T958" s="88"/>
      <c r="U958" s="88"/>
      <c r="V958" s="88"/>
      <c r="W958" s="88"/>
      <c r="X958" s="88"/>
      <c r="Y958" s="88"/>
      <c r="Z958" s="88"/>
      <c r="AA958" s="88"/>
    </row>
    <row r="959">
      <c r="A959" s="88"/>
      <c r="B959" s="88"/>
      <c r="C959" s="88"/>
      <c r="D959" s="453"/>
      <c r="E959" s="88"/>
      <c r="F959" s="88"/>
      <c r="G959" s="88"/>
      <c r="H959" s="454"/>
      <c r="I959" s="455"/>
      <c r="J959" s="88"/>
      <c r="K959" s="88"/>
      <c r="L959" s="456"/>
      <c r="M959" s="88"/>
      <c r="N959" s="88"/>
      <c r="O959" s="88"/>
      <c r="P959" s="88"/>
      <c r="Q959" s="88"/>
      <c r="R959" s="88"/>
      <c r="S959" s="88"/>
      <c r="T959" s="88"/>
      <c r="U959" s="88"/>
      <c r="V959" s="88"/>
      <c r="W959" s="88"/>
      <c r="X959" s="88"/>
      <c r="Y959" s="88"/>
      <c r="Z959" s="88"/>
      <c r="AA959" s="88"/>
    </row>
    <row r="960">
      <c r="A960" s="88"/>
      <c r="B960" s="88"/>
      <c r="C960" s="88"/>
      <c r="D960" s="453"/>
      <c r="E960" s="88"/>
      <c r="F960" s="88"/>
      <c r="G960" s="88"/>
      <c r="H960" s="454"/>
      <c r="I960" s="455"/>
      <c r="J960" s="88"/>
      <c r="K960" s="88"/>
      <c r="L960" s="456"/>
      <c r="M960" s="88"/>
      <c r="N960" s="88"/>
      <c r="O960" s="88"/>
      <c r="P960" s="88"/>
      <c r="Q960" s="88"/>
      <c r="R960" s="88"/>
      <c r="S960" s="88"/>
      <c r="T960" s="88"/>
      <c r="U960" s="88"/>
      <c r="V960" s="88"/>
      <c r="W960" s="88"/>
      <c r="X960" s="88"/>
      <c r="Y960" s="88"/>
      <c r="Z960" s="88"/>
      <c r="AA960" s="88"/>
    </row>
    <row r="961">
      <c r="A961" s="88"/>
      <c r="B961" s="88"/>
      <c r="C961" s="88"/>
      <c r="D961" s="453"/>
      <c r="E961" s="88"/>
      <c r="F961" s="88"/>
      <c r="G961" s="88"/>
      <c r="H961" s="454"/>
      <c r="I961" s="455"/>
      <c r="J961" s="88"/>
      <c r="K961" s="88"/>
      <c r="L961" s="456"/>
      <c r="M961" s="88"/>
      <c r="N961" s="88"/>
      <c r="O961" s="88"/>
      <c r="P961" s="88"/>
      <c r="Q961" s="88"/>
      <c r="R961" s="88"/>
      <c r="S961" s="88"/>
      <c r="T961" s="88"/>
      <c r="U961" s="88"/>
      <c r="V961" s="88"/>
      <c r="W961" s="88"/>
      <c r="X961" s="88"/>
      <c r="Y961" s="88"/>
      <c r="Z961" s="88"/>
      <c r="AA961" s="88"/>
    </row>
    <row r="962">
      <c r="A962" s="88"/>
      <c r="B962" s="88"/>
      <c r="C962" s="88"/>
      <c r="D962" s="453"/>
      <c r="E962" s="88"/>
      <c r="F962" s="88"/>
      <c r="G962" s="88"/>
      <c r="H962" s="454"/>
      <c r="I962" s="455"/>
      <c r="J962" s="88"/>
      <c r="K962" s="88"/>
      <c r="L962" s="456"/>
      <c r="M962" s="88"/>
      <c r="N962" s="88"/>
      <c r="O962" s="88"/>
      <c r="P962" s="88"/>
      <c r="Q962" s="88"/>
      <c r="R962" s="88"/>
      <c r="S962" s="88"/>
      <c r="T962" s="88"/>
      <c r="U962" s="88"/>
      <c r="V962" s="88"/>
      <c r="W962" s="88"/>
      <c r="X962" s="88"/>
      <c r="Y962" s="88"/>
      <c r="Z962" s="88"/>
      <c r="AA962" s="88"/>
    </row>
    <row r="963">
      <c r="A963" s="88"/>
      <c r="B963" s="88"/>
      <c r="C963" s="88"/>
      <c r="D963" s="453"/>
      <c r="E963" s="88"/>
      <c r="F963" s="88"/>
      <c r="G963" s="88"/>
      <c r="H963" s="454"/>
      <c r="I963" s="455"/>
      <c r="J963" s="88"/>
      <c r="K963" s="88"/>
      <c r="L963" s="456"/>
      <c r="M963" s="88"/>
      <c r="N963" s="88"/>
      <c r="O963" s="88"/>
      <c r="P963" s="88"/>
      <c r="Q963" s="88"/>
      <c r="R963" s="88"/>
      <c r="S963" s="88"/>
      <c r="T963" s="88"/>
      <c r="U963" s="88"/>
      <c r="V963" s="88"/>
      <c r="W963" s="88"/>
      <c r="X963" s="88"/>
      <c r="Y963" s="88"/>
      <c r="Z963" s="88"/>
      <c r="AA963" s="88"/>
    </row>
    <row r="964">
      <c r="A964" s="88"/>
      <c r="B964" s="88"/>
      <c r="C964" s="88"/>
      <c r="D964" s="453"/>
      <c r="E964" s="88"/>
      <c r="F964" s="88"/>
      <c r="G964" s="88"/>
      <c r="H964" s="454"/>
      <c r="I964" s="455"/>
      <c r="J964" s="88"/>
      <c r="K964" s="88"/>
      <c r="L964" s="456"/>
      <c r="M964" s="88"/>
      <c r="N964" s="88"/>
      <c r="O964" s="88"/>
      <c r="P964" s="88"/>
      <c r="Q964" s="88"/>
      <c r="R964" s="88"/>
      <c r="S964" s="88"/>
      <c r="T964" s="88"/>
      <c r="U964" s="88"/>
      <c r="V964" s="88"/>
      <c r="W964" s="88"/>
      <c r="X964" s="88"/>
      <c r="Y964" s="88"/>
      <c r="Z964" s="88"/>
      <c r="AA964" s="88"/>
    </row>
    <row r="965">
      <c r="A965" s="88"/>
      <c r="B965" s="88"/>
      <c r="C965" s="88"/>
      <c r="D965" s="453"/>
      <c r="E965" s="88"/>
      <c r="F965" s="88"/>
      <c r="G965" s="88"/>
      <c r="H965" s="454"/>
      <c r="I965" s="455"/>
      <c r="J965" s="88"/>
      <c r="K965" s="88"/>
      <c r="L965" s="456"/>
      <c r="M965" s="88"/>
      <c r="N965" s="88"/>
      <c r="O965" s="88"/>
      <c r="P965" s="88"/>
      <c r="Q965" s="88"/>
      <c r="R965" s="88"/>
      <c r="S965" s="88"/>
      <c r="T965" s="88"/>
      <c r="U965" s="88"/>
      <c r="V965" s="88"/>
      <c r="W965" s="88"/>
      <c r="X965" s="88"/>
      <c r="Y965" s="88"/>
      <c r="Z965" s="88"/>
      <c r="AA965" s="88"/>
    </row>
    <row r="966">
      <c r="A966" s="88"/>
      <c r="B966" s="88"/>
      <c r="C966" s="88"/>
      <c r="D966" s="453"/>
      <c r="E966" s="88"/>
      <c r="F966" s="88"/>
      <c r="G966" s="88"/>
      <c r="H966" s="454"/>
      <c r="I966" s="455"/>
      <c r="J966" s="88"/>
      <c r="K966" s="88"/>
      <c r="L966" s="456"/>
      <c r="M966" s="88"/>
      <c r="N966" s="88"/>
      <c r="O966" s="88"/>
      <c r="P966" s="88"/>
      <c r="Q966" s="88"/>
      <c r="R966" s="88"/>
      <c r="S966" s="88"/>
      <c r="T966" s="88"/>
      <c r="U966" s="88"/>
      <c r="V966" s="88"/>
      <c r="W966" s="88"/>
      <c r="X966" s="88"/>
      <c r="Y966" s="88"/>
      <c r="Z966" s="88"/>
      <c r="AA966" s="88"/>
    </row>
    <row r="967">
      <c r="A967" s="88"/>
      <c r="B967" s="88"/>
      <c r="C967" s="88"/>
      <c r="D967" s="453"/>
      <c r="E967" s="88"/>
      <c r="F967" s="88"/>
      <c r="G967" s="88"/>
      <c r="H967" s="454"/>
      <c r="I967" s="455"/>
      <c r="J967" s="88"/>
      <c r="K967" s="88"/>
      <c r="L967" s="456"/>
      <c r="M967" s="88"/>
      <c r="N967" s="88"/>
      <c r="O967" s="88"/>
      <c r="P967" s="88"/>
      <c r="Q967" s="88"/>
      <c r="R967" s="88"/>
      <c r="S967" s="88"/>
      <c r="T967" s="88"/>
      <c r="U967" s="88"/>
      <c r="V967" s="88"/>
      <c r="W967" s="88"/>
      <c r="X967" s="88"/>
      <c r="Y967" s="88"/>
      <c r="Z967" s="88"/>
      <c r="AA967" s="88"/>
    </row>
    <row r="968">
      <c r="A968" s="88"/>
      <c r="B968" s="88"/>
      <c r="C968" s="88"/>
      <c r="D968" s="453"/>
      <c r="E968" s="88"/>
      <c r="F968" s="88"/>
      <c r="G968" s="88"/>
      <c r="H968" s="454"/>
      <c r="I968" s="455"/>
      <c r="J968" s="88"/>
      <c r="K968" s="88"/>
      <c r="L968" s="456"/>
      <c r="M968" s="88"/>
      <c r="N968" s="88"/>
      <c r="O968" s="88"/>
      <c r="P968" s="88"/>
      <c r="Q968" s="88"/>
      <c r="R968" s="88"/>
      <c r="S968" s="88"/>
      <c r="T968" s="88"/>
      <c r="U968" s="88"/>
      <c r="V968" s="88"/>
      <c r="W968" s="88"/>
      <c r="X968" s="88"/>
      <c r="Y968" s="88"/>
      <c r="Z968" s="88"/>
      <c r="AA968" s="88"/>
    </row>
    <row r="969">
      <c r="A969" s="88"/>
      <c r="B969" s="88"/>
      <c r="C969" s="88"/>
      <c r="D969" s="453"/>
      <c r="E969" s="88"/>
      <c r="F969" s="88"/>
      <c r="G969" s="88"/>
      <c r="H969" s="454"/>
      <c r="I969" s="455"/>
      <c r="J969" s="88"/>
      <c r="K969" s="88"/>
      <c r="L969" s="456"/>
      <c r="M969" s="88"/>
      <c r="N969" s="88"/>
      <c r="O969" s="88"/>
      <c r="P969" s="88"/>
      <c r="Q969" s="88"/>
      <c r="R969" s="88"/>
      <c r="S969" s="88"/>
      <c r="T969" s="88"/>
      <c r="U969" s="88"/>
      <c r="V969" s="88"/>
      <c r="W969" s="88"/>
      <c r="X969" s="88"/>
      <c r="Y969" s="88"/>
      <c r="Z969" s="88"/>
      <c r="AA969" s="88"/>
    </row>
    <row r="970">
      <c r="A970" s="88"/>
      <c r="B970" s="88"/>
      <c r="C970" s="88"/>
      <c r="D970" s="453"/>
      <c r="E970" s="88"/>
      <c r="F970" s="88"/>
      <c r="G970" s="88"/>
      <c r="H970" s="454"/>
      <c r="I970" s="455"/>
      <c r="J970" s="88"/>
      <c r="K970" s="88"/>
      <c r="L970" s="456"/>
      <c r="M970" s="88"/>
      <c r="N970" s="88"/>
      <c r="O970" s="88"/>
      <c r="P970" s="88"/>
      <c r="Q970" s="88"/>
      <c r="R970" s="88"/>
      <c r="S970" s="88"/>
      <c r="T970" s="88"/>
      <c r="U970" s="88"/>
      <c r="V970" s="88"/>
      <c r="W970" s="88"/>
      <c r="X970" s="88"/>
      <c r="Y970" s="88"/>
      <c r="Z970" s="88"/>
      <c r="AA970" s="88"/>
    </row>
    <row r="971">
      <c r="A971" s="88"/>
      <c r="B971" s="88"/>
      <c r="C971" s="88"/>
      <c r="D971" s="453"/>
      <c r="E971" s="88"/>
      <c r="F971" s="88"/>
      <c r="G971" s="88"/>
      <c r="H971" s="454"/>
      <c r="I971" s="455"/>
      <c r="J971" s="88"/>
      <c r="K971" s="88"/>
      <c r="L971" s="456"/>
      <c r="M971" s="88"/>
      <c r="N971" s="88"/>
      <c r="O971" s="88"/>
      <c r="P971" s="88"/>
      <c r="Q971" s="88"/>
      <c r="R971" s="88"/>
      <c r="S971" s="88"/>
      <c r="T971" s="88"/>
      <c r="U971" s="88"/>
      <c r="V971" s="88"/>
      <c r="W971" s="88"/>
      <c r="X971" s="88"/>
      <c r="Y971" s="88"/>
      <c r="Z971" s="88"/>
      <c r="AA971" s="88"/>
    </row>
    <row r="972">
      <c r="A972" s="88"/>
      <c r="B972" s="88"/>
      <c r="C972" s="88"/>
      <c r="D972" s="453"/>
      <c r="E972" s="88"/>
      <c r="F972" s="88"/>
      <c r="G972" s="88"/>
      <c r="H972" s="454"/>
      <c r="I972" s="455"/>
      <c r="J972" s="88"/>
      <c r="K972" s="88"/>
      <c r="L972" s="456"/>
      <c r="M972" s="88"/>
      <c r="N972" s="88"/>
      <c r="O972" s="88"/>
      <c r="P972" s="88"/>
      <c r="Q972" s="88"/>
      <c r="R972" s="88"/>
      <c r="S972" s="88"/>
      <c r="T972" s="88"/>
      <c r="U972" s="88"/>
      <c r="V972" s="88"/>
      <c r="W972" s="88"/>
      <c r="X972" s="88"/>
      <c r="Y972" s="88"/>
      <c r="Z972" s="88"/>
      <c r="AA972" s="88"/>
    </row>
    <row r="973">
      <c r="A973" s="88"/>
      <c r="B973" s="88"/>
      <c r="C973" s="88"/>
      <c r="D973" s="453"/>
      <c r="E973" s="88"/>
      <c r="F973" s="88"/>
      <c r="G973" s="88"/>
      <c r="H973" s="454"/>
      <c r="I973" s="455"/>
      <c r="J973" s="88"/>
      <c r="K973" s="88"/>
      <c r="L973" s="456"/>
      <c r="M973" s="88"/>
      <c r="N973" s="88"/>
      <c r="O973" s="88"/>
      <c r="P973" s="88"/>
      <c r="Q973" s="88"/>
      <c r="R973" s="88"/>
      <c r="S973" s="88"/>
      <c r="T973" s="88"/>
      <c r="U973" s="88"/>
      <c r="V973" s="88"/>
      <c r="W973" s="88"/>
      <c r="X973" s="88"/>
      <c r="Y973" s="88"/>
      <c r="Z973" s="88"/>
      <c r="AA973" s="88"/>
    </row>
    <row r="974">
      <c r="A974" s="88"/>
      <c r="B974" s="88"/>
      <c r="C974" s="88"/>
      <c r="D974" s="453"/>
      <c r="E974" s="88"/>
      <c r="F974" s="88"/>
      <c r="G974" s="88"/>
      <c r="H974" s="454"/>
      <c r="I974" s="455"/>
      <c r="J974" s="88"/>
      <c r="K974" s="88"/>
      <c r="L974" s="456"/>
      <c r="M974" s="88"/>
      <c r="N974" s="88"/>
      <c r="O974" s="88"/>
      <c r="P974" s="88"/>
      <c r="Q974" s="88"/>
      <c r="R974" s="88"/>
      <c r="S974" s="88"/>
      <c r="T974" s="88"/>
      <c r="U974" s="88"/>
      <c r="V974" s="88"/>
      <c r="W974" s="88"/>
      <c r="X974" s="88"/>
      <c r="Y974" s="88"/>
      <c r="Z974" s="88"/>
      <c r="AA974" s="88"/>
    </row>
    <row r="975">
      <c r="A975" s="88"/>
      <c r="B975" s="88"/>
      <c r="C975" s="88"/>
      <c r="D975" s="453"/>
      <c r="E975" s="88"/>
      <c r="F975" s="88"/>
      <c r="G975" s="88"/>
      <c r="H975" s="454"/>
      <c r="I975" s="455"/>
      <c r="J975" s="88"/>
      <c r="K975" s="88"/>
      <c r="L975" s="456"/>
      <c r="M975" s="88"/>
      <c r="N975" s="88"/>
      <c r="O975" s="88"/>
      <c r="P975" s="88"/>
      <c r="Q975" s="88"/>
      <c r="R975" s="88"/>
      <c r="S975" s="88"/>
      <c r="T975" s="88"/>
      <c r="U975" s="88"/>
      <c r="V975" s="88"/>
      <c r="W975" s="88"/>
      <c r="X975" s="88"/>
      <c r="Y975" s="88"/>
      <c r="Z975" s="88"/>
      <c r="AA975" s="88"/>
    </row>
    <row r="976">
      <c r="A976" s="88"/>
      <c r="B976" s="88"/>
      <c r="C976" s="88"/>
      <c r="D976" s="453"/>
      <c r="E976" s="88"/>
      <c r="F976" s="88"/>
      <c r="G976" s="88"/>
      <c r="H976" s="454"/>
      <c r="I976" s="455"/>
      <c r="J976" s="88"/>
      <c r="K976" s="88"/>
      <c r="L976" s="456"/>
      <c r="M976" s="88"/>
      <c r="N976" s="88"/>
      <c r="O976" s="88"/>
      <c r="P976" s="88"/>
      <c r="Q976" s="88"/>
      <c r="R976" s="88"/>
      <c r="S976" s="88"/>
      <c r="T976" s="88"/>
      <c r="U976" s="88"/>
      <c r="V976" s="88"/>
      <c r="W976" s="88"/>
      <c r="X976" s="88"/>
      <c r="Y976" s="88"/>
      <c r="Z976" s="88"/>
      <c r="AA976" s="88"/>
    </row>
    <row r="977">
      <c r="A977" s="88"/>
      <c r="B977" s="88"/>
      <c r="C977" s="88"/>
      <c r="D977" s="453"/>
      <c r="E977" s="88"/>
      <c r="F977" s="88"/>
      <c r="G977" s="88"/>
      <c r="H977" s="454"/>
      <c r="I977" s="455"/>
      <c r="J977" s="88"/>
      <c r="K977" s="88"/>
      <c r="L977" s="456"/>
      <c r="M977" s="88"/>
      <c r="N977" s="88"/>
      <c r="O977" s="88"/>
      <c r="P977" s="88"/>
      <c r="Q977" s="88"/>
      <c r="R977" s="88"/>
      <c r="S977" s="88"/>
      <c r="T977" s="88"/>
      <c r="U977" s="88"/>
      <c r="V977" s="88"/>
      <c r="W977" s="88"/>
      <c r="X977" s="88"/>
      <c r="Y977" s="88"/>
      <c r="Z977" s="88"/>
      <c r="AA977" s="88"/>
    </row>
    <row r="978">
      <c r="A978" s="88"/>
      <c r="B978" s="88"/>
      <c r="C978" s="88"/>
      <c r="D978" s="453"/>
      <c r="E978" s="88"/>
      <c r="F978" s="88"/>
      <c r="G978" s="88"/>
      <c r="H978" s="454"/>
      <c r="I978" s="455"/>
      <c r="J978" s="88"/>
      <c r="K978" s="88"/>
      <c r="L978" s="456"/>
      <c r="M978" s="88"/>
      <c r="N978" s="88"/>
      <c r="O978" s="88"/>
      <c r="P978" s="88"/>
      <c r="Q978" s="88"/>
      <c r="R978" s="88"/>
      <c r="S978" s="88"/>
      <c r="T978" s="88"/>
      <c r="U978" s="88"/>
      <c r="V978" s="88"/>
      <c r="W978" s="88"/>
      <c r="X978" s="88"/>
      <c r="Y978" s="88"/>
      <c r="Z978" s="88"/>
      <c r="AA978" s="88"/>
    </row>
    <row r="979">
      <c r="A979" s="88"/>
      <c r="B979" s="88"/>
      <c r="C979" s="88"/>
      <c r="D979" s="453"/>
      <c r="E979" s="88"/>
      <c r="F979" s="88"/>
      <c r="G979" s="88"/>
      <c r="H979" s="454"/>
      <c r="I979" s="455"/>
      <c r="J979" s="88"/>
      <c r="K979" s="88"/>
      <c r="L979" s="456"/>
      <c r="M979" s="88"/>
      <c r="N979" s="88"/>
      <c r="O979" s="88"/>
      <c r="P979" s="88"/>
      <c r="Q979" s="88"/>
      <c r="R979" s="88"/>
      <c r="S979" s="88"/>
      <c r="T979" s="88"/>
      <c r="U979" s="88"/>
      <c r="V979" s="88"/>
      <c r="W979" s="88"/>
      <c r="X979" s="88"/>
      <c r="Y979" s="88"/>
      <c r="Z979" s="88"/>
      <c r="AA979" s="88"/>
    </row>
    <row r="980">
      <c r="A980" s="88"/>
      <c r="B980" s="88"/>
      <c r="C980" s="88"/>
      <c r="D980" s="453"/>
      <c r="E980" s="88"/>
      <c r="F980" s="88"/>
      <c r="G980" s="88"/>
      <c r="H980" s="454"/>
      <c r="I980" s="455"/>
      <c r="J980" s="88"/>
      <c r="K980" s="88"/>
      <c r="L980" s="456"/>
      <c r="M980" s="88"/>
      <c r="N980" s="88"/>
      <c r="O980" s="88"/>
      <c r="P980" s="88"/>
      <c r="Q980" s="88"/>
      <c r="R980" s="88"/>
      <c r="S980" s="88"/>
      <c r="T980" s="88"/>
      <c r="U980" s="88"/>
      <c r="V980" s="88"/>
      <c r="W980" s="88"/>
      <c r="X980" s="88"/>
      <c r="Y980" s="88"/>
      <c r="Z980" s="88"/>
      <c r="AA980" s="88"/>
    </row>
    <row r="981">
      <c r="A981" s="88"/>
      <c r="B981" s="88"/>
      <c r="C981" s="88"/>
      <c r="D981" s="453"/>
      <c r="E981" s="88"/>
      <c r="F981" s="88"/>
      <c r="G981" s="88"/>
      <c r="H981" s="454"/>
      <c r="I981" s="455"/>
      <c r="J981" s="88"/>
      <c r="K981" s="88"/>
      <c r="L981" s="456"/>
      <c r="M981" s="88"/>
      <c r="N981" s="88"/>
      <c r="O981" s="88"/>
      <c r="P981" s="88"/>
      <c r="Q981" s="88"/>
      <c r="R981" s="88"/>
      <c r="S981" s="88"/>
      <c r="T981" s="88"/>
      <c r="U981" s="88"/>
      <c r="V981" s="88"/>
      <c r="W981" s="88"/>
      <c r="X981" s="88"/>
      <c r="Y981" s="88"/>
      <c r="Z981" s="88"/>
      <c r="AA981" s="88"/>
    </row>
    <row r="982">
      <c r="A982" s="88"/>
      <c r="B982" s="88"/>
      <c r="C982" s="88"/>
      <c r="D982" s="453"/>
      <c r="E982" s="88"/>
      <c r="F982" s="88"/>
      <c r="G982" s="88"/>
      <c r="H982" s="454"/>
      <c r="I982" s="455"/>
      <c r="J982" s="88"/>
      <c r="K982" s="88"/>
      <c r="L982" s="456"/>
      <c r="M982" s="88"/>
      <c r="N982" s="88"/>
      <c r="O982" s="88"/>
      <c r="P982" s="88"/>
      <c r="Q982" s="88"/>
      <c r="R982" s="88"/>
      <c r="S982" s="88"/>
      <c r="T982" s="88"/>
      <c r="U982" s="88"/>
      <c r="V982" s="88"/>
      <c r="W982" s="88"/>
      <c r="X982" s="88"/>
      <c r="Y982" s="88"/>
      <c r="Z982" s="88"/>
      <c r="AA982" s="88"/>
    </row>
    <row r="983">
      <c r="A983" s="88"/>
      <c r="B983" s="88"/>
      <c r="C983" s="88"/>
      <c r="D983" s="453"/>
      <c r="E983" s="88"/>
      <c r="F983" s="88"/>
      <c r="G983" s="88"/>
      <c r="H983" s="454"/>
      <c r="I983" s="455"/>
      <c r="J983" s="88"/>
      <c r="K983" s="88"/>
      <c r="L983" s="456"/>
      <c r="M983" s="88"/>
      <c r="N983" s="88"/>
      <c r="O983" s="88"/>
      <c r="P983" s="88"/>
      <c r="Q983" s="88"/>
      <c r="R983" s="88"/>
      <c r="S983" s="88"/>
      <c r="T983" s="88"/>
      <c r="U983" s="88"/>
      <c r="V983" s="88"/>
      <c r="W983" s="88"/>
      <c r="X983" s="88"/>
      <c r="Y983" s="88"/>
      <c r="Z983" s="88"/>
      <c r="AA983" s="88"/>
    </row>
    <row r="984">
      <c r="A984" s="88"/>
      <c r="B984" s="88"/>
      <c r="C984" s="88"/>
      <c r="D984" s="453"/>
      <c r="E984" s="88"/>
      <c r="F984" s="88"/>
      <c r="G984" s="88"/>
      <c r="H984" s="454"/>
      <c r="I984" s="455"/>
      <c r="J984" s="88"/>
      <c r="K984" s="88"/>
      <c r="L984" s="456"/>
      <c r="M984" s="88"/>
      <c r="N984" s="88"/>
      <c r="O984" s="88"/>
      <c r="P984" s="88"/>
      <c r="Q984" s="88"/>
      <c r="R984" s="88"/>
      <c r="S984" s="88"/>
      <c r="T984" s="88"/>
      <c r="U984" s="88"/>
      <c r="V984" s="88"/>
      <c r="W984" s="88"/>
      <c r="X984" s="88"/>
      <c r="Y984" s="88"/>
      <c r="Z984" s="88"/>
      <c r="AA984" s="88"/>
    </row>
    <row r="985">
      <c r="A985" s="88"/>
      <c r="B985" s="88"/>
      <c r="C985" s="88"/>
      <c r="D985" s="453"/>
      <c r="E985" s="88"/>
      <c r="F985" s="88"/>
      <c r="G985" s="88"/>
      <c r="H985" s="454"/>
      <c r="I985" s="455"/>
      <c r="J985" s="88"/>
      <c r="K985" s="88"/>
      <c r="L985" s="456"/>
      <c r="M985" s="88"/>
      <c r="N985" s="88"/>
      <c r="O985" s="88"/>
      <c r="P985" s="88"/>
      <c r="Q985" s="88"/>
      <c r="R985" s="88"/>
      <c r="S985" s="88"/>
      <c r="T985" s="88"/>
      <c r="U985" s="88"/>
      <c r="V985" s="88"/>
      <c r="W985" s="88"/>
      <c r="X985" s="88"/>
      <c r="Y985" s="88"/>
      <c r="Z985" s="88"/>
      <c r="AA985" s="88"/>
    </row>
    <row r="986">
      <c r="A986" s="88"/>
      <c r="B986" s="88"/>
      <c r="C986" s="88"/>
      <c r="D986" s="453"/>
      <c r="E986" s="88"/>
      <c r="F986" s="88"/>
      <c r="G986" s="88"/>
      <c r="H986" s="454"/>
      <c r="I986" s="455"/>
      <c r="J986" s="88"/>
      <c r="K986" s="88"/>
      <c r="L986" s="456"/>
      <c r="M986" s="88"/>
      <c r="N986" s="88"/>
      <c r="O986" s="88"/>
      <c r="P986" s="88"/>
      <c r="Q986" s="88"/>
      <c r="R986" s="88"/>
      <c r="S986" s="88"/>
      <c r="T986" s="88"/>
      <c r="U986" s="88"/>
      <c r="V986" s="88"/>
      <c r="W986" s="88"/>
      <c r="X986" s="88"/>
      <c r="Y986" s="88"/>
      <c r="Z986" s="88"/>
      <c r="AA986" s="88"/>
    </row>
    <row r="987">
      <c r="A987" s="88"/>
      <c r="B987" s="88"/>
      <c r="C987" s="88"/>
      <c r="D987" s="453"/>
      <c r="E987" s="88"/>
      <c r="F987" s="88"/>
      <c r="G987" s="88"/>
      <c r="H987" s="454"/>
      <c r="I987" s="455"/>
      <c r="J987" s="88"/>
      <c r="K987" s="88"/>
      <c r="L987" s="456"/>
      <c r="M987" s="88"/>
      <c r="N987" s="88"/>
      <c r="O987" s="88"/>
      <c r="P987" s="88"/>
      <c r="Q987" s="88"/>
      <c r="R987" s="88"/>
      <c r="S987" s="88"/>
      <c r="T987" s="88"/>
      <c r="U987" s="88"/>
      <c r="V987" s="88"/>
      <c r="W987" s="88"/>
      <c r="X987" s="88"/>
      <c r="Y987" s="88"/>
      <c r="Z987" s="88"/>
      <c r="AA987" s="88"/>
    </row>
    <row r="988">
      <c r="A988" s="88"/>
      <c r="B988" s="88"/>
      <c r="C988" s="88"/>
      <c r="D988" s="453"/>
      <c r="E988" s="88"/>
      <c r="F988" s="88"/>
      <c r="G988" s="88"/>
      <c r="H988" s="454"/>
      <c r="I988" s="455"/>
      <c r="J988" s="88"/>
      <c r="K988" s="88"/>
      <c r="L988" s="456"/>
      <c r="M988" s="88"/>
      <c r="N988" s="88"/>
      <c r="O988" s="88"/>
      <c r="P988" s="88"/>
      <c r="Q988" s="88"/>
      <c r="R988" s="88"/>
      <c r="S988" s="88"/>
      <c r="T988" s="88"/>
      <c r="U988" s="88"/>
      <c r="V988" s="88"/>
      <c r="W988" s="88"/>
      <c r="X988" s="88"/>
      <c r="Y988" s="88"/>
      <c r="Z988" s="88"/>
      <c r="AA988" s="88"/>
    </row>
    <row r="989">
      <c r="A989" s="88"/>
      <c r="B989" s="88"/>
      <c r="C989" s="88"/>
      <c r="D989" s="453"/>
      <c r="E989" s="88"/>
      <c r="F989" s="88"/>
      <c r="G989" s="88"/>
      <c r="H989" s="454"/>
      <c r="I989" s="455"/>
      <c r="J989" s="88"/>
      <c r="K989" s="88"/>
      <c r="L989" s="456"/>
      <c r="M989" s="88"/>
      <c r="N989" s="88"/>
      <c r="O989" s="88"/>
      <c r="P989" s="88"/>
      <c r="Q989" s="88"/>
      <c r="R989" s="88"/>
      <c r="S989" s="88"/>
      <c r="T989" s="88"/>
      <c r="U989" s="88"/>
      <c r="V989" s="88"/>
      <c r="W989" s="88"/>
      <c r="X989" s="88"/>
      <c r="Y989" s="88"/>
      <c r="Z989" s="88"/>
      <c r="AA989" s="88"/>
    </row>
    <row r="990">
      <c r="A990" s="88"/>
      <c r="B990" s="88"/>
      <c r="C990" s="88"/>
      <c r="D990" s="453"/>
      <c r="E990" s="88"/>
      <c r="F990" s="88"/>
      <c r="G990" s="88"/>
      <c r="H990" s="454"/>
      <c r="I990" s="455"/>
      <c r="J990" s="88"/>
      <c r="K990" s="88"/>
      <c r="L990" s="456"/>
      <c r="M990" s="88"/>
      <c r="N990" s="88"/>
      <c r="O990" s="88"/>
      <c r="P990" s="88"/>
      <c r="Q990" s="88"/>
      <c r="R990" s="88"/>
      <c r="S990" s="88"/>
      <c r="T990" s="88"/>
      <c r="U990" s="88"/>
      <c r="V990" s="88"/>
      <c r="W990" s="88"/>
      <c r="X990" s="88"/>
      <c r="Y990" s="88"/>
      <c r="Z990" s="88"/>
      <c r="AA990" s="88"/>
    </row>
    <row r="991">
      <c r="A991" s="88"/>
      <c r="B991" s="88"/>
      <c r="C991" s="88"/>
      <c r="D991" s="453"/>
      <c r="E991" s="88"/>
      <c r="F991" s="88"/>
      <c r="G991" s="88"/>
      <c r="H991" s="454"/>
      <c r="I991" s="455"/>
      <c r="J991" s="88"/>
      <c r="K991" s="88"/>
      <c r="L991" s="456"/>
      <c r="M991" s="88"/>
      <c r="N991" s="88"/>
      <c r="O991" s="88"/>
      <c r="P991" s="88"/>
      <c r="Q991" s="88"/>
      <c r="R991" s="88"/>
      <c r="S991" s="88"/>
      <c r="T991" s="88"/>
      <c r="U991" s="88"/>
      <c r="V991" s="88"/>
      <c r="W991" s="88"/>
      <c r="X991" s="88"/>
      <c r="Y991" s="88"/>
      <c r="Z991" s="88"/>
      <c r="AA991" s="88"/>
    </row>
    <row r="992">
      <c r="A992" s="88"/>
      <c r="B992" s="88"/>
      <c r="C992" s="88"/>
      <c r="D992" s="453"/>
      <c r="E992" s="88"/>
      <c r="F992" s="88"/>
      <c r="G992" s="88"/>
      <c r="H992" s="454"/>
      <c r="I992" s="455"/>
      <c r="J992" s="88"/>
      <c r="K992" s="88"/>
      <c r="L992" s="456"/>
      <c r="M992" s="88"/>
      <c r="N992" s="88"/>
      <c r="O992" s="88"/>
      <c r="P992" s="88"/>
      <c r="Q992" s="88"/>
      <c r="R992" s="88"/>
      <c r="S992" s="88"/>
      <c r="T992" s="88"/>
      <c r="U992" s="88"/>
      <c r="V992" s="88"/>
      <c r="W992" s="88"/>
      <c r="X992" s="88"/>
      <c r="Y992" s="88"/>
      <c r="Z992" s="88"/>
      <c r="AA992" s="88"/>
    </row>
    <row r="993">
      <c r="A993" s="88"/>
      <c r="B993" s="88"/>
      <c r="C993" s="88"/>
      <c r="D993" s="453"/>
      <c r="E993" s="88"/>
      <c r="F993" s="88"/>
      <c r="G993" s="88"/>
      <c r="H993" s="454"/>
      <c r="I993" s="455"/>
      <c r="J993" s="88"/>
      <c r="K993" s="88"/>
      <c r="L993" s="456"/>
      <c r="M993" s="88"/>
      <c r="N993" s="88"/>
      <c r="O993" s="88"/>
      <c r="P993" s="88"/>
      <c r="Q993" s="88"/>
      <c r="R993" s="88"/>
      <c r="S993" s="88"/>
      <c r="T993" s="88"/>
      <c r="U993" s="88"/>
      <c r="V993" s="88"/>
      <c r="W993" s="88"/>
      <c r="X993" s="88"/>
      <c r="Y993" s="88"/>
      <c r="Z993" s="88"/>
      <c r="AA993" s="88"/>
    </row>
    <row r="994">
      <c r="A994" s="88"/>
      <c r="B994" s="88"/>
      <c r="C994" s="88"/>
      <c r="D994" s="453"/>
      <c r="E994" s="88"/>
      <c r="F994" s="88"/>
      <c r="G994" s="88"/>
      <c r="H994" s="454"/>
      <c r="I994" s="455"/>
      <c r="J994" s="88"/>
      <c r="K994" s="88"/>
      <c r="L994" s="456"/>
      <c r="M994" s="88"/>
      <c r="N994" s="88"/>
      <c r="O994" s="88"/>
      <c r="P994" s="88"/>
      <c r="Q994" s="88"/>
      <c r="R994" s="88"/>
      <c r="S994" s="88"/>
      <c r="T994" s="88"/>
      <c r="U994" s="88"/>
      <c r="V994" s="88"/>
      <c r="W994" s="88"/>
      <c r="X994" s="88"/>
      <c r="Y994" s="88"/>
      <c r="Z994" s="88"/>
      <c r="AA994" s="88"/>
    </row>
    <row r="995">
      <c r="A995" s="88"/>
      <c r="B995" s="88"/>
      <c r="C995" s="88"/>
      <c r="D995" s="453"/>
      <c r="E995" s="88"/>
      <c r="F995" s="88"/>
      <c r="G995" s="88"/>
      <c r="H995" s="454"/>
      <c r="I995" s="455"/>
      <c r="J995" s="88"/>
      <c r="K995" s="88"/>
      <c r="L995" s="456"/>
      <c r="M995" s="88"/>
      <c r="N995" s="88"/>
      <c r="O995" s="88"/>
      <c r="P995" s="88"/>
      <c r="Q995" s="88"/>
      <c r="R995" s="88"/>
      <c r="S995" s="88"/>
      <c r="T995" s="88"/>
      <c r="U995" s="88"/>
      <c r="V995" s="88"/>
      <c r="W995" s="88"/>
      <c r="X995" s="88"/>
      <c r="Y995" s="88"/>
      <c r="Z995" s="88"/>
      <c r="AA995" s="88"/>
    </row>
    <row r="996">
      <c r="A996" s="88"/>
      <c r="B996" s="88"/>
      <c r="C996" s="88"/>
      <c r="D996" s="453"/>
      <c r="E996" s="88"/>
      <c r="F996" s="88"/>
      <c r="G996" s="88"/>
      <c r="H996" s="454"/>
      <c r="I996" s="455"/>
      <c r="J996" s="88"/>
      <c r="K996" s="88"/>
      <c r="L996" s="456"/>
      <c r="M996" s="88"/>
      <c r="N996" s="88"/>
      <c r="O996" s="88"/>
      <c r="P996" s="88"/>
      <c r="Q996" s="88"/>
      <c r="R996" s="88"/>
      <c r="S996" s="88"/>
      <c r="T996" s="88"/>
      <c r="U996" s="88"/>
      <c r="V996" s="88"/>
      <c r="W996" s="88"/>
      <c r="X996" s="88"/>
      <c r="Y996" s="88"/>
      <c r="Z996" s="88"/>
      <c r="AA996" s="88"/>
    </row>
    <row r="997">
      <c r="A997" s="88"/>
      <c r="B997" s="88"/>
      <c r="C997" s="88"/>
      <c r="D997" s="453"/>
      <c r="E997" s="88"/>
      <c r="F997" s="88"/>
      <c r="G997" s="88"/>
      <c r="H997" s="454"/>
      <c r="I997" s="455"/>
      <c r="J997" s="88"/>
      <c r="K997" s="88"/>
      <c r="L997" s="456"/>
      <c r="M997" s="88"/>
      <c r="N997" s="88"/>
      <c r="O997" s="88"/>
      <c r="P997" s="88"/>
      <c r="Q997" s="88"/>
      <c r="R997" s="88"/>
      <c r="S997" s="88"/>
      <c r="T997" s="88"/>
      <c r="U997" s="88"/>
      <c r="V997" s="88"/>
      <c r="W997" s="88"/>
      <c r="X997" s="88"/>
      <c r="Y997" s="88"/>
      <c r="Z997" s="88"/>
      <c r="AA997" s="88"/>
    </row>
    <row r="998">
      <c r="A998" s="88"/>
      <c r="B998" s="88"/>
      <c r="C998" s="88"/>
      <c r="D998" s="453"/>
      <c r="E998" s="88"/>
      <c r="F998" s="88"/>
      <c r="G998" s="88"/>
      <c r="H998" s="454"/>
      <c r="I998" s="455"/>
      <c r="J998" s="88"/>
      <c r="K998" s="88"/>
      <c r="L998" s="456"/>
      <c r="M998" s="88"/>
      <c r="N998" s="88"/>
      <c r="O998" s="88"/>
      <c r="P998" s="88"/>
      <c r="Q998" s="88"/>
      <c r="R998" s="88"/>
      <c r="S998" s="88"/>
      <c r="T998" s="88"/>
      <c r="U998" s="88"/>
      <c r="V998" s="88"/>
      <c r="W998" s="88"/>
      <c r="X998" s="88"/>
      <c r="Y998" s="88"/>
      <c r="Z998" s="88"/>
      <c r="AA998" s="88"/>
    </row>
    <row r="999">
      <c r="A999" s="88"/>
      <c r="B999" s="88"/>
      <c r="C999" s="88"/>
      <c r="D999" s="453"/>
      <c r="E999" s="88"/>
      <c r="F999" s="88"/>
      <c r="G999" s="88"/>
      <c r="H999" s="454"/>
      <c r="I999" s="455"/>
      <c r="J999" s="88"/>
      <c r="K999" s="88"/>
      <c r="L999" s="456"/>
      <c r="M999" s="88"/>
      <c r="N999" s="88"/>
      <c r="O999" s="88"/>
      <c r="P999" s="88"/>
      <c r="Q999" s="88"/>
      <c r="R999" s="88"/>
      <c r="S999" s="88"/>
      <c r="T999" s="88"/>
      <c r="U999" s="88"/>
      <c r="V999" s="88"/>
      <c r="W999" s="88"/>
      <c r="X999" s="88"/>
      <c r="Y999" s="88"/>
      <c r="Z999" s="88"/>
      <c r="AA999" s="88"/>
    </row>
    <row r="1000">
      <c r="A1000" s="88"/>
      <c r="B1000" s="88"/>
      <c r="C1000" s="88"/>
      <c r="D1000" s="453"/>
      <c r="E1000" s="88"/>
      <c r="F1000" s="88"/>
      <c r="G1000" s="88"/>
      <c r="H1000" s="454"/>
      <c r="I1000" s="455"/>
      <c r="J1000" s="88"/>
      <c r="K1000" s="88"/>
      <c r="L1000" s="456"/>
      <c r="M1000" s="88"/>
      <c r="N1000" s="88"/>
      <c r="O1000" s="88"/>
      <c r="P1000" s="88"/>
      <c r="Q1000" s="88"/>
      <c r="R1000" s="88"/>
      <c r="S1000" s="88"/>
      <c r="T1000" s="88"/>
      <c r="U1000" s="88"/>
      <c r="V1000" s="88"/>
      <c r="W1000" s="88"/>
      <c r="X1000" s="88"/>
      <c r="Y1000" s="88"/>
      <c r="Z1000" s="88"/>
      <c r="AA1000" s="88"/>
    </row>
    <row r="1001">
      <c r="A1001" s="88"/>
      <c r="B1001" s="88"/>
      <c r="C1001" s="88"/>
      <c r="D1001" s="453"/>
      <c r="E1001" s="88"/>
      <c r="F1001" s="88"/>
      <c r="G1001" s="88"/>
      <c r="H1001" s="454"/>
      <c r="I1001" s="455"/>
      <c r="J1001" s="88"/>
      <c r="K1001" s="88"/>
      <c r="L1001" s="456"/>
      <c r="M1001" s="88"/>
      <c r="N1001" s="88"/>
      <c r="O1001" s="88"/>
      <c r="P1001" s="88"/>
      <c r="Q1001" s="88"/>
      <c r="R1001" s="88"/>
      <c r="S1001" s="88"/>
      <c r="T1001" s="88"/>
      <c r="U1001" s="88"/>
      <c r="V1001" s="88"/>
      <c r="W1001" s="88"/>
      <c r="X1001" s="88"/>
      <c r="Y1001" s="88"/>
      <c r="Z1001" s="88"/>
      <c r="AA1001" s="88"/>
    </row>
    <row r="1002">
      <c r="A1002" s="88"/>
      <c r="B1002" s="88"/>
      <c r="C1002" s="88"/>
      <c r="D1002" s="453"/>
      <c r="E1002" s="88"/>
      <c r="F1002" s="88"/>
      <c r="G1002" s="88"/>
      <c r="H1002" s="454"/>
      <c r="I1002" s="455"/>
      <c r="J1002" s="88"/>
      <c r="K1002" s="88"/>
      <c r="L1002" s="456"/>
      <c r="M1002" s="88"/>
      <c r="N1002" s="88"/>
      <c r="O1002" s="88"/>
      <c r="P1002" s="88"/>
      <c r="Q1002" s="88"/>
      <c r="R1002" s="88"/>
      <c r="S1002" s="88"/>
      <c r="T1002" s="88"/>
      <c r="U1002" s="88"/>
      <c r="V1002" s="88"/>
      <c r="W1002" s="88"/>
      <c r="X1002" s="88"/>
      <c r="Y1002" s="88"/>
      <c r="Z1002" s="88"/>
      <c r="AA1002" s="88"/>
    </row>
    <row r="1003">
      <c r="A1003" s="88"/>
      <c r="B1003" s="88"/>
      <c r="C1003" s="88"/>
      <c r="D1003" s="453"/>
      <c r="E1003" s="88"/>
      <c r="F1003" s="88"/>
      <c r="G1003" s="88"/>
      <c r="H1003" s="454"/>
      <c r="I1003" s="455"/>
      <c r="J1003" s="88"/>
      <c r="K1003" s="88"/>
      <c r="L1003" s="456"/>
      <c r="M1003" s="88"/>
      <c r="N1003" s="88"/>
      <c r="O1003" s="88"/>
      <c r="P1003" s="88"/>
      <c r="Q1003" s="88"/>
      <c r="R1003" s="88"/>
      <c r="S1003" s="88"/>
      <c r="T1003" s="88"/>
      <c r="U1003" s="88"/>
      <c r="V1003" s="88"/>
      <c r="W1003" s="88"/>
      <c r="X1003" s="88"/>
      <c r="Y1003" s="88"/>
      <c r="Z1003" s="88"/>
      <c r="AA1003" s="88"/>
    </row>
    <row r="1004">
      <c r="A1004" s="88"/>
      <c r="B1004" s="88"/>
      <c r="C1004" s="88"/>
      <c r="D1004" s="453"/>
      <c r="E1004" s="88"/>
      <c r="F1004" s="88"/>
      <c r="G1004" s="88"/>
      <c r="H1004" s="454"/>
      <c r="I1004" s="455"/>
      <c r="J1004" s="88"/>
      <c r="K1004" s="88"/>
      <c r="L1004" s="456"/>
      <c r="M1004" s="88"/>
      <c r="N1004" s="88"/>
      <c r="O1004" s="88"/>
      <c r="P1004" s="88"/>
      <c r="Q1004" s="88"/>
      <c r="R1004" s="88"/>
      <c r="S1004" s="88"/>
      <c r="T1004" s="88"/>
      <c r="U1004" s="88"/>
      <c r="V1004" s="88"/>
      <c r="W1004" s="88"/>
      <c r="X1004" s="88"/>
      <c r="Y1004" s="88"/>
      <c r="Z1004" s="88"/>
      <c r="AA1004" s="88"/>
    </row>
    <row r="1005">
      <c r="A1005" s="88"/>
      <c r="B1005" s="88"/>
      <c r="C1005" s="88"/>
      <c r="D1005" s="453"/>
      <c r="E1005" s="88"/>
      <c r="F1005" s="88"/>
      <c r="G1005" s="88"/>
      <c r="H1005" s="454"/>
      <c r="I1005" s="455"/>
      <c r="J1005" s="88"/>
      <c r="K1005" s="88"/>
      <c r="L1005" s="456"/>
      <c r="M1005" s="88"/>
      <c r="N1005" s="88"/>
      <c r="O1005" s="88"/>
      <c r="P1005" s="88"/>
      <c r="Q1005" s="88"/>
      <c r="R1005" s="88"/>
      <c r="S1005" s="88"/>
      <c r="T1005" s="88"/>
      <c r="U1005" s="88"/>
      <c r="V1005" s="88"/>
      <c r="W1005" s="88"/>
      <c r="X1005" s="88"/>
      <c r="Y1005" s="88"/>
      <c r="Z1005" s="88"/>
      <c r="AA1005" s="88"/>
    </row>
    <row r="1006">
      <c r="A1006" s="88"/>
      <c r="B1006" s="88"/>
      <c r="C1006" s="88"/>
      <c r="D1006" s="453"/>
      <c r="E1006" s="88"/>
      <c r="F1006" s="88"/>
      <c r="G1006" s="88"/>
      <c r="H1006" s="454"/>
      <c r="I1006" s="455"/>
      <c r="J1006" s="88"/>
      <c r="K1006" s="88"/>
      <c r="L1006" s="456"/>
      <c r="M1006" s="88"/>
      <c r="N1006" s="88"/>
      <c r="O1006" s="88"/>
      <c r="P1006" s="88"/>
      <c r="Q1006" s="88"/>
      <c r="R1006" s="88"/>
      <c r="S1006" s="88"/>
      <c r="T1006" s="88"/>
      <c r="U1006" s="88"/>
      <c r="V1006" s="88"/>
      <c r="W1006" s="88"/>
      <c r="X1006" s="88"/>
      <c r="Y1006" s="88"/>
      <c r="Z1006" s="88"/>
      <c r="AA1006" s="88"/>
    </row>
    <row r="1007">
      <c r="A1007" s="88"/>
      <c r="B1007" s="88"/>
      <c r="C1007" s="88"/>
      <c r="D1007" s="453"/>
      <c r="E1007" s="88"/>
      <c r="F1007" s="88"/>
      <c r="G1007" s="88"/>
      <c r="H1007" s="454"/>
      <c r="I1007" s="455"/>
      <c r="J1007" s="88"/>
      <c r="K1007" s="88"/>
      <c r="L1007" s="456"/>
      <c r="M1007" s="88"/>
      <c r="N1007" s="88"/>
      <c r="O1007" s="88"/>
      <c r="P1007" s="88"/>
      <c r="Q1007" s="88"/>
      <c r="R1007" s="88"/>
      <c r="S1007" s="88"/>
      <c r="T1007" s="88"/>
      <c r="U1007" s="88"/>
      <c r="V1007" s="88"/>
      <c r="W1007" s="88"/>
      <c r="X1007" s="88"/>
      <c r="Y1007" s="88"/>
      <c r="Z1007" s="88"/>
      <c r="AA1007" s="88"/>
    </row>
    <row r="1008">
      <c r="A1008" s="88"/>
      <c r="B1008" s="88"/>
      <c r="C1008" s="88"/>
      <c r="D1008" s="453"/>
      <c r="E1008" s="88"/>
      <c r="F1008" s="88"/>
      <c r="G1008" s="88"/>
      <c r="H1008" s="454"/>
      <c r="I1008" s="455"/>
      <c r="J1008" s="88"/>
      <c r="K1008" s="88"/>
      <c r="L1008" s="456"/>
      <c r="M1008" s="88"/>
      <c r="N1008" s="88"/>
      <c r="O1008" s="88"/>
      <c r="P1008" s="88"/>
      <c r="Q1008" s="88"/>
      <c r="R1008" s="88"/>
      <c r="S1008" s="88"/>
      <c r="T1008" s="88"/>
      <c r="U1008" s="88"/>
      <c r="V1008" s="88"/>
      <c r="W1008" s="88"/>
      <c r="X1008" s="88"/>
      <c r="Y1008" s="88"/>
      <c r="Z1008" s="88"/>
      <c r="AA1008" s="88"/>
    </row>
    <row r="1009">
      <c r="A1009" s="88"/>
      <c r="B1009" s="88"/>
      <c r="C1009" s="88"/>
      <c r="D1009" s="453"/>
      <c r="E1009" s="88"/>
      <c r="F1009" s="88"/>
      <c r="G1009" s="88"/>
      <c r="H1009" s="454"/>
      <c r="I1009" s="455"/>
      <c r="J1009" s="88"/>
      <c r="K1009" s="88"/>
      <c r="L1009" s="456"/>
      <c r="M1009" s="88"/>
      <c r="N1009" s="88"/>
      <c r="O1009" s="88"/>
      <c r="P1009" s="88"/>
      <c r="Q1009" s="88"/>
      <c r="R1009" s="88"/>
      <c r="S1009" s="88"/>
      <c r="T1009" s="88"/>
      <c r="U1009" s="88"/>
      <c r="V1009" s="88"/>
      <c r="W1009" s="88"/>
      <c r="X1009" s="88"/>
      <c r="Y1009" s="88"/>
      <c r="Z1009" s="88"/>
      <c r="AA1009" s="88"/>
    </row>
    <row r="1010">
      <c r="A1010" s="88"/>
      <c r="B1010" s="88"/>
      <c r="C1010" s="88"/>
      <c r="D1010" s="453"/>
      <c r="E1010" s="88"/>
      <c r="F1010" s="88"/>
      <c r="G1010" s="88"/>
      <c r="H1010" s="454"/>
      <c r="I1010" s="455"/>
      <c r="J1010" s="88"/>
      <c r="K1010" s="88"/>
      <c r="L1010" s="456"/>
      <c r="M1010" s="88"/>
      <c r="N1010" s="88"/>
      <c r="O1010" s="88"/>
      <c r="P1010" s="88"/>
      <c r="Q1010" s="88"/>
      <c r="R1010" s="88"/>
      <c r="S1010" s="88"/>
      <c r="T1010" s="88"/>
      <c r="U1010" s="88"/>
      <c r="V1010" s="88"/>
      <c r="W1010" s="88"/>
      <c r="X1010" s="88"/>
      <c r="Y1010" s="88"/>
      <c r="Z1010" s="88"/>
      <c r="AA1010" s="88"/>
    </row>
    <row r="1011">
      <c r="A1011" s="88"/>
      <c r="B1011" s="88"/>
      <c r="C1011" s="88"/>
      <c r="D1011" s="453"/>
      <c r="E1011" s="88"/>
      <c r="F1011" s="88"/>
      <c r="G1011" s="88"/>
      <c r="H1011" s="454"/>
      <c r="I1011" s="455"/>
      <c r="J1011" s="88"/>
      <c r="K1011" s="88"/>
      <c r="L1011" s="456"/>
      <c r="M1011" s="88"/>
      <c r="N1011" s="88"/>
      <c r="O1011" s="88"/>
      <c r="P1011" s="88"/>
      <c r="Q1011" s="88"/>
      <c r="R1011" s="88"/>
      <c r="S1011" s="88"/>
      <c r="T1011" s="88"/>
      <c r="U1011" s="88"/>
      <c r="V1011" s="88"/>
      <c r="W1011" s="88"/>
      <c r="X1011" s="88"/>
      <c r="Y1011" s="88"/>
      <c r="Z1011" s="88"/>
      <c r="AA1011" s="88"/>
    </row>
    <row r="1012">
      <c r="A1012" s="88"/>
      <c r="B1012" s="88"/>
      <c r="C1012" s="88"/>
      <c r="D1012" s="453"/>
      <c r="E1012" s="88"/>
      <c r="F1012" s="88"/>
      <c r="G1012" s="88"/>
      <c r="H1012" s="454"/>
      <c r="I1012" s="455"/>
      <c r="J1012" s="88"/>
      <c r="K1012" s="88"/>
      <c r="L1012" s="456"/>
      <c r="M1012" s="88"/>
      <c r="N1012" s="88"/>
      <c r="O1012" s="88"/>
      <c r="P1012" s="88"/>
      <c r="Q1012" s="88"/>
      <c r="R1012" s="88"/>
      <c r="S1012" s="88"/>
      <c r="T1012" s="88"/>
      <c r="U1012" s="88"/>
      <c r="V1012" s="88"/>
      <c r="W1012" s="88"/>
      <c r="X1012" s="88"/>
      <c r="Y1012" s="88"/>
      <c r="Z1012" s="88"/>
      <c r="AA1012" s="88"/>
    </row>
    <row r="1013">
      <c r="A1013" s="88"/>
      <c r="B1013" s="88"/>
      <c r="C1013" s="88"/>
      <c r="D1013" s="453"/>
      <c r="E1013" s="88"/>
      <c r="F1013" s="88"/>
      <c r="G1013" s="88"/>
      <c r="H1013" s="454"/>
      <c r="I1013" s="455"/>
      <c r="J1013" s="88"/>
      <c r="K1013" s="88"/>
      <c r="L1013" s="456"/>
      <c r="M1013" s="88"/>
      <c r="N1013" s="88"/>
      <c r="O1013" s="88"/>
      <c r="P1013" s="88"/>
      <c r="Q1013" s="88"/>
      <c r="R1013" s="88"/>
      <c r="S1013" s="88"/>
      <c r="T1013" s="88"/>
      <c r="U1013" s="88"/>
      <c r="V1013" s="88"/>
      <c r="W1013" s="88"/>
      <c r="X1013" s="88"/>
      <c r="Y1013" s="88"/>
      <c r="Z1013" s="88"/>
      <c r="AA1013" s="88"/>
    </row>
    <row r="1014">
      <c r="A1014" s="88"/>
      <c r="B1014" s="88"/>
      <c r="C1014" s="88"/>
      <c r="D1014" s="453"/>
      <c r="E1014" s="88"/>
      <c r="F1014" s="88"/>
      <c r="G1014" s="88"/>
      <c r="H1014" s="454"/>
      <c r="I1014" s="455"/>
      <c r="J1014" s="88"/>
      <c r="K1014" s="88"/>
      <c r="L1014" s="456"/>
      <c r="M1014" s="88"/>
      <c r="N1014" s="88"/>
      <c r="O1014" s="88"/>
      <c r="P1014" s="88"/>
      <c r="Q1014" s="88"/>
      <c r="R1014" s="88"/>
      <c r="S1014" s="88"/>
      <c r="T1014" s="88"/>
      <c r="U1014" s="88"/>
      <c r="V1014" s="88"/>
      <c r="W1014" s="88"/>
      <c r="X1014" s="88"/>
      <c r="Y1014" s="88"/>
      <c r="Z1014" s="88"/>
      <c r="AA1014" s="88"/>
    </row>
    <row r="1015">
      <c r="A1015" s="88"/>
      <c r="B1015" s="88"/>
      <c r="C1015" s="88"/>
      <c r="D1015" s="453"/>
      <c r="E1015" s="88"/>
      <c r="F1015" s="88"/>
      <c r="G1015" s="88"/>
      <c r="H1015" s="454"/>
      <c r="I1015" s="455"/>
      <c r="J1015" s="88"/>
      <c r="K1015" s="88"/>
      <c r="L1015" s="456"/>
      <c r="M1015" s="88"/>
      <c r="N1015" s="88"/>
      <c r="O1015" s="88"/>
      <c r="P1015" s="88"/>
      <c r="Q1015" s="88"/>
      <c r="R1015" s="88"/>
      <c r="S1015" s="88"/>
      <c r="T1015" s="88"/>
      <c r="U1015" s="88"/>
      <c r="V1015" s="88"/>
      <c r="W1015" s="88"/>
      <c r="X1015" s="88"/>
      <c r="Y1015" s="88"/>
      <c r="Z1015" s="88"/>
      <c r="AA1015" s="88"/>
    </row>
    <row r="1016">
      <c r="A1016" s="88"/>
      <c r="B1016" s="88"/>
      <c r="C1016" s="88"/>
      <c r="D1016" s="453"/>
      <c r="E1016" s="88"/>
      <c r="F1016" s="88"/>
      <c r="G1016" s="88"/>
      <c r="H1016" s="454"/>
      <c r="I1016" s="455"/>
      <c r="J1016" s="88"/>
      <c r="K1016" s="88"/>
      <c r="L1016" s="456"/>
      <c r="M1016" s="88"/>
      <c r="N1016" s="88"/>
      <c r="O1016" s="88"/>
      <c r="P1016" s="88"/>
      <c r="Q1016" s="88"/>
      <c r="R1016" s="88"/>
      <c r="S1016" s="88"/>
      <c r="T1016" s="88"/>
      <c r="U1016" s="88"/>
      <c r="V1016" s="88"/>
      <c r="W1016" s="88"/>
      <c r="X1016" s="88"/>
      <c r="Y1016" s="88"/>
      <c r="Z1016" s="88"/>
      <c r="AA1016" s="88"/>
    </row>
    <row r="1017">
      <c r="A1017" s="88"/>
      <c r="B1017" s="88"/>
      <c r="C1017" s="88"/>
      <c r="D1017" s="453"/>
      <c r="E1017" s="88"/>
      <c r="F1017" s="88"/>
      <c r="G1017" s="88"/>
      <c r="H1017" s="454"/>
      <c r="I1017" s="455"/>
      <c r="J1017" s="88"/>
      <c r="K1017" s="88"/>
      <c r="L1017" s="456"/>
      <c r="M1017" s="88"/>
      <c r="N1017" s="88"/>
      <c r="O1017" s="88"/>
      <c r="P1017" s="88"/>
      <c r="Q1017" s="88"/>
      <c r="R1017" s="88"/>
      <c r="S1017" s="88"/>
      <c r="T1017" s="88"/>
      <c r="U1017" s="88"/>
      <c r="V1017" s="88"/>
      <c r="W1017" s="88"/>
      <c r="X1017" s="88"/>
      <c r="Y1017" s="88"/>
      <c r="Z1017" s="88"/>
      <c r="AA1017" s="88"/>
    </row>
    <row r="1018">
      <c r="A1018" s="88"/>
      <c r="B1018" s="88"/>
      <c r="C1018" s="88"/>
      <c r="D1018" s="453"/>
      <c r="E1018" s="88"/>
      <c r="F1018" s="88"/>
      <c r="G1018" s="88"/>
      <c r="H1018" s="454"/>
      <c r="I1018" s="455"/>
      <c r="J1018" s="88"/>
      <c r="K1018" s="88"/>
      <c r="L1018" s="456"/>
      <c r="M1018" s="88"/>
      <c r="N1018" s="88"/>
      <c r="O1018" s="88"/>
      <c r="P1018" s="88"/>
      <c r="Q1018" s="88"/>
      <c r="R1018" s="88"/>
      <c r="S1018" s="88"/>
      <c r="T1018" s="88"/>
      <c r="U1018" s="88"/>
      <c r="V1018" s="88"/>
      <c r="W1018" s="88"/>
      <c r="X1018" s="88"/>
      <c r="Y1018" s="88"/>
      <c r="Z1018" s="88"/>
      <c r="AA1018" s="88"/>
    </row>
    <row r="1019">
      <c r="A1019" s="88"/>
      <c r="B1019" s="88"/>
      <c r="C1019" s="88"/>
      <c r="D1019" s="453"/>
      <c r="E1019" s="88"/>
      <c r="F1019" s="88"/>
      <c r="G1019" s="88"/>
      <c r="H1019" s="454"/>
      <c r="I1019" s="455"/>
      <c r="J1019" s="88"/>
      <c r="K1019" s="88"/>
      <c r="L1019" s="456"/>
      <c r="M1019" s="88"/>
      <c r="N1019" s="88"/>
      <c r="O1019" s="88"/>
      <c r="P1019" s="88"/>
      <c r="Q1019" s="88"/>
      <c r="R1019" s="88"/>
      <c r="S1019" s="88"/>
      <c r="T1019" s="88"/>
      <c r="U1019" s="88"/>
      <c r="V1019" s="88"/>
      <c r="W1019" s="88"/>
      <c r="X1019" s="88"/>
      <c r="Y1019" s="88"/>
      <c r="Z1019" s="88"/>
      <c r="AA1019" s="88"/>
    </row>
    <row r="1020">
      <c r="A1020" s="88"/>
      <c r="B1020" s="88"/>
      <c r="C1020" s="88"/>
      <c r="D1020" s="453"/>
      <c r="E1020" s="88"/>
      <c r="F1020" s="88"/>
      <c r="G1020" s="88"/>
      <c r="H1020" s="454"/>
      <c r="I1020" s="455"/>
      <c r="J1020" s="88"/>
      <c r="K1020" s="88"/>
      <c r="L1020" s="456"/>
      <c r="M1020" s="88"/>
      <c r="N1020" s="88"/>
      <c r="O1020" s="88"/>
      <c r="P1020" s="88"/>
      <c r="Q1020" s="88"/>
      <c r="R1020" s="88"/>
      <c r="S1020" s="88"/>
      <c r="T1020" s="88"/>
      <c r="U1020" s="88"/>
      <c r="V1020" s="88"/>
      <c r="W1020" s="88"/>
      <c r="X1020" s="88"/>
      <c r="Y1020" s="88"/>
      <c r="Z1020" s="88"/>
      <c r="AA1020" s="88"/>
    </row>
    <row r="1021">
      <c r="A1021" s="88"/>
      <c r="B1021" s="88"/>
      <c r="C1021" s="88"/>
      <c r="D1021" s="453"/>
      <c r="E1021" s="88"/>
      <c r="F1021" s="88"/>
      <c r="G1021" s="88"/>
      <c r="H1021" s="454"/>
      <c r="I1021" s="455"/>
      <c r="J1021" s="88"/>
      <c r="K1021" s="88"/>
      <c r="L1021" s="456"/>
      <c r="M1021" s="88"/>
      <c r="N1021" s="88"/>
      <c r="O1021" s="88"/>
      <c r="P1021" s="88"/>
      <c r="Q1021" s="88"/>
      <c r="R1021" s="88"/>
      <c r="S1021" s="88"/>
      <c r="T1021" s="88"/>
      <c r="U1021" s="88"/>
      <c r="V1021" s="88"/>
      <c r="W1021" s="88"/>
      <c r="X1021" s="88"/>
      <c r="Y1021" s="88"/>
      <c r="Z1021" s="88"/>
      <c r="AA1021" s="88"/>
    </row>
    <row r="1022">
      <c r="A1022" s="88"/>
      <c r="B1022" s="88"/>
      <c r="C1022" s="88"/>
      <c r="D1022" s="453"/>
      <c r="E1022" s="88"/>
      <c r="F1022" s="88"/>
      <c r="G1022" s="88"/>
      <c r="H1022" s="454"/>
      <c r="I1022" s="455"/>
      <c r="J1022" s="88"/>
      <c r="K1022" s="88"/>
      <c r="L1022" s="456"/>
      <c r="M1022" s="88"/>
      <c r="N1022" s="88"/>
      <c r="O1022" s="88"/>
      <c r="P1022" s="88"/>
      <c r="Q1022" s="88"/>
      <c r="R1022" s="88"/>
      <c r="S1022" s="88"/>
      <c r="T1022" s="88"/>
      <c r="U1022" s="88"/>
      <c r="V1022" s="88"/>
      <c r="W1022" s="88"/>
      <c r="X1022" s="88"/>
      <c r="Y1022" s="88"/>
      <c r="Z1022" s="88"/>
      <c r="AA1022" s="88"/>
    </row>
    <row r="1023">
      <c r="A1023" s="88"/>
      <c r="B1023" s="88"/>
      <c r="C1023" s="88"/>
      <c r="D1023" s="453"/>
      <c r="E1023" s="88"/>
      <c r="F1023" s="88"/>
      <c r="G1023" s="88"/>
      <c r="H1023" s="454"/>
      <c r="I1023" s="455"/>
      <c r="J1023" s="88"/>
      <c r="K1023" s="88"/>
      <c r="L1023" s="456"/>
      <c r="M1023" s="88"/>
      <c r="N1023" s="88"/>
      <c r="O1023" s="88"/>
      <c r="P1023" s="88"/>
      <c r="Q1023" s="88"/>
      <c r="R1023" s="88"/>
      <c r="S1023" s="88"/>
      <c r="T1023" s="88"/>
      <c r="U1023" s="88"/>
      <c r="V1023" s="88"/>
      <c r="W1023" s="88"/>
      <c r="X1023" s="88"/>
      <c r="Y1023" s="88"/>
      <c r="Z1023" s="88"/>
      <c r="AA1023" s="88"/>
    </row>
    <row r="1024">
      <c r="A1024" s="88"/>
      <c r="B1024" s="88"/>
      <c r="C1024" s="88"/>
      <c r="D1024" s="453"/>
      <c r="E1024" s="88"/>
      <c r="F1024" s="88"/>
      <c r="G1024" s="88"/>
      <c r="H1024" s="454"/>
      <c r="I1024" s="455"/>
      <c r="J1024" s="88"/>
      <c r="K1024" s="88"/>
      <c r="L1024" s="456"/>
      <c r="M1024" s="88"/>
      <c r="N1024" s="88"/>
      <c r="O1024" s="88"/>
      <c r="P1024" s="88"/>
      <c r="Q1024" s="88"/>
      <c r="R1024" s="88"/>
      <c r="S1024" s="88"/>
      <c r="T1024" s="88"/>
      <c r="U1024" s="88"/>
      <c r="V1024" s="88"/>
      <c r="W1024" s="88"/>
      <c r="X1024" s="88"/>
      <c r="Y1024" s="88"/>
      <c r="Z1024" s="88"/>
      <c r="AA1024" s="88"/>
    </row>
    <row r="1025">
      <c r="A1025" s="88"/>
      <c r="B1025" s="88"/>
      <c r="C1025" s="88"/>
      <c r="D1025" s="453"/>
      <c r="E1025" s="88"/>
      <c r="F1025" s="88"/>
      <c r="G1025" s="88"/>
      <c r="H1025" s="454"/>
      <c r="I1025" s="455"/>
      <c r="J1025" s="88"/>
      <c r="K1025" s="88"/>
      <c r="L1025" s="456"/>
      <c r="M1025" s="88"/>
      <c r="N1025" s="88"/>
      <c r="O1025" s="88"/>
      <c r="P1025" s="88"/>
      <c r="Q1025" s="88"/>
      <c r="R1025" s="88"/>
      <c r="S1025" s="88"/>
      <c r="T1025" s="88"/>
      <c r="U1025" s="88"/>
      <c r="V1025" s="88"/>
      <c r="W1025" s="88"/>
      <c r="X1025" s="88"/>
      <c r="Y1025" s="88"/>
      <c r="Z1025" s="88"/>
      <c r="AA1025" s="88"/>
    </row>
    <row r="1026">
      <c r="A1026" s="88"/>
      <c r="B1026" s="88"/>
      <c r="C1026" s="88"/>
      <c r="D1026" s="453"/>
      <c r="E1026" s="88"/>
      <c r="F1026" s="88"/>
      <c r="G1026" s="88"/>
      <c r="H1026" s="454"/>
      <c r="I1026" s="455"/>
      <c r="J1026" s="88"/>
      <c r="K1026" s="88"/>
      <c r="L1026" s="456"/>
      <c r="M1026" s="88"/>
      <c r="N1026" s="88"/>
      <c r="O1026" s="88"/>
      <c r="P1026" s="88"/>
      <c r="Q1026" s="88"/>
      <c r="R1026" s="88"/>
      <c r="S1026" s="88"/>
      <c r="T1026" s="88"/>
      <c r="U1026" s="88"/>
      <c r="V1026" s="88"/>
      <c r="W1026" s="88"/>
      <c r="X1026" s="88"/>
      <c r="Y1026" s="88"/>
      <c r="Z1026" s="88"/>
      <c r="AA1026" s="88"/>
    </row>
    <row r="1027">
      <c r="A1027" s="88"/>
      <c r="B1027" s="88"/>
      <c r="C1027" s="88"/>
      <c r="D1027" s="453"/>
      <c r="E1027" s="88"/>
      <c r="F1027" s="88"/>
      <c r="G1027" s="88"/>
      <c r="H1027" s="454"/>
      <c r="I1027" s="455"/>
      <c r="J1027" s="88"/>
      <c r="K1027" s="88"/>
      <c r="L1027" s="456"/>
      <c r="M1027" s="88"/>
      <c r="N1027" s="88"/>
      <c r="O1027" s="88"/>
      <c r="P1027" s="88"/>
      <c r="Q1027" s="88"/>
      <c r="R1027" s="88"/>
      <c r="S1027" s="88"/>
      <c r="T1027" s="88"/>
      <c r="U1027" s="88"/>
      <c r="V1027" s="88"/>
      <c r="W1027" s="88"/>
      <c r="X1027" s="88"/>
      <c r="Y1027" s="88"/>
      <c r="Z1027" s="88"/>
      <c r="AA1027" s="88"/>
    </row>
    <row r="1028">
      <c r="A1028" s="88"/>
      <c r="B1028" s="88"/>
      <c r="C1028" s="88"/>
      <c r="D1028" s="453"/>
      <c r="E1028" s="88"/>
      <c r="F1028" s="88"/>
      <c r="G1028" s="88"/>
      <c r="H1028" s="454"/>
      <c r="I1028" s="455"/>
      <c r="J1028" s="88"/>
      <c r="K1028" s="88"/>
      <c r="L1028" s="456"/>
      <c r="M1028" s="88"/>
      <c r="N1028" s="88"/>
      <c r="O1028" s="88"/>
      <c r="P1028" s="88"/>
      <c r="Q1028" s="88"/>
      <c r="R1028" s="88"/>
      <c r="S1028" s="88"/>
      <c r="T1028" s="88"/>
      <c r="U1028" s="88"/>
      <c r="V1028" s="88"/>
      <c r="W1028" s="88"/>
      <c r="X1028" s="88"/>
      <c r="Y1028" s="88"/>
      <c r="Z1028" s="88"/>
      <c r="AA1028" s="88"/>
    </row>
    <row r="1029">
      <c r="A1029" s="88"/>
      <c r="B1029" s="88"/>
      <c r="C1029" s="88"/>
      <c r="D1029" s="453"/>
      <c r="E1029" s="88"/>
      <c r="F1029" s="88"/>
      <c r="G1029" s="88"/>
      <c r="H1029" s="454"/>
      <c r="I1029" s="455"/>
      <c r="J1029" s="88"/>
      <c r="K1029" s="88"/>
      <c r="L1029" s="456"/>
      <c r="M1029" s="88"/>
      <c r="N1029" s="88"/>
      <c r="O1029" s="88"/>
      <c r="P1029" s="88"/>
      <c r="Q1029" s="88"/>
      <c r="R1029" s="88"/>
      <c r="S1029" s="88"/>
      <c r="T1029" s="88"/>
      <c r="U1029" s="88"/>
      <c r="V1029" s="88"/>
      <c r="W1029" s="88"/>
      <c r="X1029" s="88"/>
      <c r="Y1029" s="88"/>
      <c r="Z1029" s="88"/>
      <c r="AA1029" s="88"/>
    </row>
    <row r="1030">
      <c r="A1030" s="88"/>
      <c r="B1030" s="88"/>
      <c r="C1030" s="88"/>
      <c r="D1030" s="453"/>
      <c r="E1030" s="88"/>
      <c r="F1030" s="88"/>
      <c r="G1030" s="88"/>
      <c r="H1030" s="454"/>
      <c r="I1030" s="455"/>
      <c r="J1030" s="88"/>
      <c r="K1030" s="88"/>
      <c r="L1030" s="456"/>
      <c r="M1030" s="88"/>
      <c r="N1030" s="88"/>
      <c r="O1030" s="88"/>
      <c r="P1030" s="88"/>
      <c r="Q1030" s="88"/>
      <c r="R1030" s="88"/>
      <c r="S1030" s="88"/>
      <c r="T1030" s="88"/>
      <c r="U1030" s="88"/>
      <c r="V1030" s="88"/>
      <c r="W1030" s="88"/>
      <c r="X1030" s="88"/>
      <c r="Y1030" s="88"/>
      <c r="Z1030" s="88"/>
      <c r="AA1030" s="88"/>
    </row>
    <row r="1031">
      <c r="A1031" s="88"/>
      <c r="B1031" s="88"/>
      <c r="C1031" s="88"/>
      <c r="D1031" s="453"/>
      <c r="E1031" s="88"/>
      <c r="F1031" s="88"/>
      <c r="G1031" s="88"/>
      <c r="H1031" s="454"/>
      <c r="I1031" s="455"/>
      <c r="J1031" s="88"/>
      <c r="K1031" s="88"/>
      <c r="L1031" s="456"/>
      <c r="M1031" s="88"/>
      <c r="N1031" s="88"/>
      <c r="O1031" s="88"/>
      <c r="P1031" s="88"/>
      <c r="Q1031" s="88"/>
      <c r="R1031" s="88"/>
      <c r="S1031" s="88"/>
      <c r="T1031" s="88"/>
      <c r="U1031" s="88"/>
      <c r="V1031" s="88"/>
      <c r="W1031" s="88"/>
      <c r="X1031" s="88"/>
      <c r="Y1031" s="88"/>
      <c r="Z1031" s="88"/>
      <c r="AA1031" s="88"/>
    </row>
    <row r="1032">
      <c r="A1032" s="88"/>
      <c r="B1032" s="88"/>
      <c r="C1032" s="88"/>
      <c r="D1032" s="453"/>
      <c r="E1032" s="88"/>
      <c r="F1032" s="88"/>
      <c r="G1032" s="88"/>
      <c r="H1032" s="454"/>
      <c r="I1032" s="455"/>
      <c r="J1032" s="88"/>
      <c r="K1032" s="88"/>
      <c r="L1032" s="456"/>
      <c r="M1032" s="88"/>
      <c r="N1032" s="88"/>
      <c r="O1032" s="88"/>
      <c r="P1032" s="88"/>
      <c r="Q1032" s="88"/>
      <c r="R1032" s="88"/>
      <c r="S1032" s="88"/>
      <c r="T1032" s="88"/>
      <c r="U1032" s="88"/>
      <c r="V1032" s="88"/>
      <c r="W1032" s="88"/>
      <c r="X1032" s="88"/>
      <c r="Y1032" s="88"/>
      <c r="Z1032" s="88"/>
      <c r="AA1032" s="88"/>
    </row>
    <row r="1033">
      <c r="A1033" s="88"/>
      <c r="B1033" s="88"/>
      <c r="C1033" s="88"/>
      <c r="D1033" s="453"/>
      <c r="E1033" s="88"/>
      <c r="F1033" s="88"/>
      <c r="G1033" s="88"/>
      <c r="H1033" s="454"/>
      <c r="I1033" s="455"/>
      <c r="J1033" s="88"/>
      <c r="K1033" s="88"/>
      <c r="L1033" s="456"/>
      <c r="M1033" s="88"/>
      <c r="N1033" s="88"/>
      <c r="O1033" s="88"/>
      <c r="P1033" s="88"/>
      <c r="Q1033" s="88"/>
      <c r="R1033" s="88"/>
      <c r="S1033" s="88"/>
      <c r="T1033" s="88"/>
      <c r="U1033" s="88"/>
      <c r="V1033" s="88"/>
      <c r="W1033" s="88"/>
      <c r="X1033" s="88"/>
      <c r="Y1033" s="88"/>
      <c r="Z1033" s="88"/>
      <c r="AA1033" s="88"/>
    </row>
    <row r="1034">
      <c r="A1034" s="88"/>
      <c r="B1034" s="88"/>
      <c r="C1034" s="88"/>
      <c r="D1034" s="453"/>
      <c r="E1034" s="88"/>
      <c r="F1034" s="88"/>
      <c r="G1034" s="88"/>
      <c r="H1034" s="454"/>
      <c r="I1034" s="455"/>
      <c r="J1034" s="88"/>
      <c r="K1034" s="88"/>
      <c r="L1034" s="456"/>
      <c r="M1034" s="88"/>
      <c r="N1034" s="88"/>
      <c r="O1034" s="88"/>
      <c r="P1034" s="88"/>
      <c r="Q1034" s="88"/>
      <c r="R1034" s="88"/>
      <c r="S1034" s="88"/>
      <c r="T1034" s="88"/>
      <c r="U1034" s="88"/>
      <c r="V1034" s="88"/>
      <c r="W1034" s="88"/>
      <c r="X1034" s="88"/>
      <c r="Y1034" s="88"/>
      <c r="Z1034" s="88"/>
      <c r="AA1034" s="88"/>
    </row>
    <row r="1035">
      <c r="A1035" s="88"/>
      <c r="B1035" s="88"/>
      <c r="C1035" s="88"/>
      <c r="D1035" s="453"/>
      <c r="E1035" s="88"/>
      <c r="F1035" s="88"/>
      <c r="G1035" s="88"/>
      <c r="H1035" s="454"/>
      <c r="I1035" s="455"/>
      <c r="J1035" s="88"/>
      <c r="K1035" s="88"/>
      <c r="L1035" s="456"/>
      <c r="M1035" s="88"/>
      <c r="N1035" s="88"/>
      <c r="O1035" s="88"/>
      <c r="P1035" s="88"/>
      <c r="Q1035" s="88"/>
      <c r="R1035" s="88"/>
      <c r="S1035" s="88"/>
      <c r="T1035" s="88"/>
      <c r="U1035" s="88"/>
      <c r="V1035" s="88"/>
      <c r="W1035" s="88"/>
      <c r="X1035" s="88"/>
      <c r="Y1035" s="88"/>
      <c r="Z1035" s="88"/>
      <c r="AA1035" s="88"/>
    </row>
    <row r="1036">
      <c r="A1036" s="88"/>
      <c r="B1036" s="88"/>
      <c r="C1036" s="88"/>
      <c r="D1036" s="453"/>
      <c r="E1036" s="88"/>
      <c r="F1036" s="88"/>
      <c r="G1036" s="88"/>
      <c r="H1036" s="454"/>
      <c r="I1036" s="455"/>
      <c r="J1036" s="88"/>
      <c r="K1036" s="88"/>
      <c r="L1036" s="456"/>
      <c r="M1036" s="88"/>
      <c r="N1036" s="88"/>
      <c r="O1036" s="88"/>
      <c r="P1036" s="88"/>
      <c r="Q1036" s="88"/>
      <c r="R1036" s="88"/>
      <c r="S1036" s="88"/>
      <c r="T1036" s="88"/>
      <c r="U1036" s="88"/>
      <c r="V1036" s="88"/>
      <c r="W1036" s="88"/>
      <c r="X1036" s="88"/>
      <c r="Y1036" s="88"/>
      <c r="Z1036" s="88"/>
      <c r="AA1036" s="88"/>
    </row>
    <row r="1037">
      <c r="A1037" s="88"/>
      <c r="B1037" s="88"/>
      <c r="C1037" s="88"/>
      <c r="D1037" s="453"/>
      <c r="E1037" s="88"/>
      <c r="F1037" s="88"/>
      <c r="G1037" s="88"/>
      <c r="H1037" s="454"/>
      <c r="I1037" s="455"/>
      <c r="J1037" s="88"/>
      <c r="K1037" s="88"/>
      <c r="L1037" s="456"/>
      <c r="M1037" s="88"/>
      <c r="N1037" s="88"/>
      <c r="O1037" s="88"/>
      <c r="P1037" s="88"/>
      <c r="Q1037" s="88"/>
      <c r="R1037" s="88"/>
      <c r="S1037" s="88"/>
      <c r="T1037" s="88"/>
      <c r="U1037" s="88"/>
      <c r="V1037" s="88"/>
      <c r="W1037" s="88"/>
      <c r="X1037" s="88"/>
      <c r="Y1037" s="88"/>
      <c r="Z1037" s="88"/>
      <c r="AA1037" s="88"/>
    </row>
    <row r="1038">
      <c r="A1038" s="88"/>
      <c r="B1038" s="88"/>
      <c r="C1038" s="88"/>
      <c r="D1038" s="453"/>
      <c r="E1038" s="88"/>
      <c r="F1038" s="88"/>
      <c r="G1038" s="88"/>
      <c r="H1038" s="454"/>
      <c r="I1038" s="455"/>
      <c r="J1038" s="88"/>
      <c r="K1038" s="88"/>
      <c r="L1038" s="456"/>
      <c r="M1038" s="88"/>
      <c r="N1038" s="88"/>
      <c r="O1038" s="88"/>
      <c r="P1038" s="88"/>
      <c r="Q1038" s="88"/>
      <c r="R1038" s="88"/>
      <c r="S1038" s="88"/>
      <c r="T1038" s="88"/>
      <c r="U1038" s="88"/>
      <c r="V1038" s="88"/>
      <c r="W1038" s="88"/>
      <c r="X1038" s="88"/>
      <c r="Y1038" s="88"/>
      <c r="Z1038" s="88"/>
      <c r="AA1038" s="88"/>
    </row>
    <row r="1039">
      <c r="A1039" s="88"/>
      <c r="B1039" s="88"/>
      <c r="C1039" s="88"/>
      <c r="D1039" s="453"/>
      <c r="E1039" s="88"/>
      <c r="F1039" s="88"/>
      <c r="G1039" s="88"/>
      <c r="H1039" s="454"/>
      <c r="I1039" s="455"/>
      <c r="J1039" s="88"/>
      <c r="K1039" s="88"/>
      <c r="L1039" s="456"/>
      <c r="M1039" s="88"/>
      <c r="N1039" s="88"/>
      <c r="O1039" s="88"/>
      <c r="P1039" s="88"/>
      <c r="Q1039" s="88"/>
      <c r="R1039" s="88"/>
      <c r="S1039" s="88"/>
      <c r="T1039" s="88"/>
      <c r="U1039" s="88"/>
      <c r="V1039" s="88"/>
      <c r="W1039" s="88"/>
      <c r="X1039" s="88"/>
      <c r="Y1039" s="88"/>
      <c r="Z1039" s="88"/>
      <c r="AA1039" s="88"/>
    </row>
    <row r="1040">
      <c r="A1040" s="88"/>
      <c r="B1040" s="88"/>
      <c r="C1040" s="88"/>
      <c r="D1040" s="453"/>
      <c r="E1040" s="88"/>
      <c r="F1040" s="88"/>
      <c r="G1040" s="88"/>
      <c r="H1040" s="454"/>
      <c r="I1040" s="455"/>
      <c r="J1040" s="88"/>
      <c r="K1040" s="88"/>
      <c r="L1040" s="456"/>
      <c r="M1040" s="88"/>
      <c r="N1040" s="88"/>
      <c r="O1040" s="88"/>
      <c r="P1040" s="88"/>
      <c r="Q1040" s="88"/>
      <c r="R1040" s="88"/>
      <c r="S1040" s="88"/>
      <c r="T1040" s="88"/>
      <c r="U1040" s="88"/>
      <c r="V1040" s="88"/>
      <c r="W1040" s="88"/>
      <c r="X1040" s="88"/>
      <c r="Y1040" s="88"/>
      <c r="Z1040" s="88"/>
      <c r="AA1040" s="88"/>
    </row>
    <row r="1041">
      <c r="A1041" s="88"/>
      <c r="B1041" s="88"/>
      <c r="C1041" s="88"/>
      <c r="D1041" s="453"/>
      <c r="E1041" s="88"/>
      <c r="F1041" s="88"/>
      <c r="G1041" s="88"/>
      <c r="H1041" s="454"/>
      <c r="I1041" s="455"/>
      <c r="J1041" s="88"/>
      <c r="K1041" s="88"/>
      <c r="L1041" s="456"/>
      <c r="M1041" s="88"/>
      <c r="N1041" s="88"/>
      <c r="O1041" s="88"/>
      <c r="P1041" s="88"/>
      <c r="Q1041" s="88"/>
      <c r="R1041" s="88"/>
      <c r="S1041" s="88"/>
      <c r="T1041" s="88"/>
      <c r="U1041" s="88"/>
      <c r="V1041" s="88"/>
      <c r="W1041" s="88"/>
      <c r="X1041" s="88"/>
      <c r="Y1041" s="88"/>
      <c r="Z1041" s="88"/>
      <c r="AA1041" s="88"/>
    </row>
    <row r="1042">
      <c r="A1042" s="88"/>
      <c r="B1042" s="88"/>
      <c r="C1042" s="88"/>
      <c r="D1042" s="453"/>
      <c r="E1042" s="88"/>
      <c r="F1042" s="88"/>
      <c r="G1042" s="88"/>
      <c r="H1042" s="454"/>
      <c r="I1042" s="455"/>
      <c r="J1042" s="88"/>
      <c r="K1042" s="88"/>
      <c r="L1042" s="456"/>
      <c r="M1042" s="88"/>
      <c r="N1042" s="88"/>
      <c r="O1042" s="88"/>
      <c r="P1042" s="88"/>
      <c r="Q1042" s="88"/>
      <c r="R1042" s="88"/>
      <c r="S1042" s="88"/>
      <c r="T1042" s="88"/>
      <c r="U1042" s="88"/>
      <c r="V1042" s="88"/>
      <c r="W1042" s="88"/>
      <c r="X1042" s="88"/>
      <c r="Y1042" s="88"/>
      <c r="Z1042" s="88"/>
      <c r="AA1042" s="88"/>
    </row>
    <row r="1043">
      <c r="A1043" s="88"/>
      <c r="B1043" s="88"/>
      <c r="C1043" s="88"/>
      <c r="D1043" s="453"/>
      <c r="E1043" s="88"/>
      <c r="F1043" s="88"/>
      <c r="G1043" s="88"/>
      <c r="H1043" s="454"/>
      <c r="I1043" s="455"/>
      <c r="J1043" s="88"/>
      <c r="K1043" s="88"/>
      <c r="L1043" s="456"/>
      <c r="M1043" s="88"/>
      <c r="N1043" s="88"/>
      <c r="O1043" s="88"/>
      <c r="P1043" s="88"/>
      <c r="Q1043" s="88"/>
      <c r="R1043" s="88"/>
      <c r="S1043" s="88"/>
      <c r="T1043" s="88"/>
      <c r="U1043" s="88"/>
      <c r="V1043" s="88"/>
      <c r="W1043" s="88"/>
      <c r="X1043" s="88"/>
      <c r="Y1043" s="88"/>
      <c r="Z1043" s="88"/>
      <c r="AA1043" s="88"/>
    </row>
    <row r="1044">
      <c r="A1044" s="88"/>
      <c r="B1044" s="88"/>
      <c r="C1044" s="88"/>
      <c r="D1044" s="453"/>
      <c r="E1044" s="88"/>
      <c r="F1044" s="88"/>
      <c r="G1044" s="88"/>
      <c r="H1044" s="454"/>
      <c r="I1044" s="455"/>
      <c r="J1044" s="88"/>
      <c r="K1044" s="88"/>
      <c r="L1044" s="456"/>
      <c r="M1044" s="88"/>
      <c r="N1044" s="88"/>
      <c r="O1044" s="88"/>
      <c r="P1044" s="88"/>
      <c r="Q1044" s="88"/>
      <c r="R1044" s="88"/>
      <c r="S1044" s="88"/>
      <c r="T1044" s="88"/>
      <c r="U1044" s="88"/>
      <c r="V1044" s="88"/>
      <c r="W1044" s="88"/>
      <c r="X1044" s="88"/>
      <c r="Y1044" s="88"/>
      <c r="Z1044" s="88"/>
      <c r="AA1044" s="88"/>
    </row>
    <row r="1045">
      <c r="A1045" s="88"/>
      <c r="B1045" s="88"/>
      <c r="C1045" s="88"/>
      <c r="D1045" s="453"/>
      <c r="E1045" s="88"/>
      <c r="F1045" s="88"/>
      <c r="G1045" s="88"/>
      <c r="H1045" s="454"/>
      <c r="I1045" s="455"/>
      <c r="J1045" s="88"/>
      <c r="K1045" s="88"/>
      <c r="L1045" s="456"/>
      <c r="M1045" s="88"/>
      <c r="N1045" s="88"/>
      <c r="O1045" s="88"/>
      <c r="P1045" s="88"/>
      <c r="Q1045" s="88"/>
      <c r="R1045" s="88"/>
      <c r="S1045" s="88"/>
      <c r="T1045" s="88"/>
      <c r="U1045" s="88"/>
      <c r="V1045" s="88"/>
      <c r="W1045" s="88"/>
      <c r="X1045" s="88"/>
      <c r="Y1045" s="88"/>
      <c r="Z1045" s="88"/>
      <c r="AA1045" s="88"/>
    </row>
    <row r="1046">
      <c r="A1046" s="88"/>
      <c r="B1046" s="88"/>
      <c r="C1046" s="88"/>
      <c r="D1046" s="453"/>
      <c r="E1046" s="88"/>
      <c r="F1046" s="88"/>
      <c r="G1046" s="88"/>
      <c r="H1046" s="454"/>
      <c r="I1046" s="455"/>
      <c r="J1046" s="88"/>
      <c r="K1046" s="88"/>
      <c r="L1046" s="456"/>
      <c r="M1046" s="88"/>
      <c r="N1046" s="88"/>
      <c r="O1046" s="88"/>
      <c r="P1046" s="88"/>
      <c r="Q1046" s="88"/>
      <c r="R1046" s="88"/>
      <c r="S1046" s="88"/>
      <c r="T1046" s="88"/>
      <c r="U1046" s="88"/>
      <c r="V1046" s="88"/>
      <c r="W1046" s="88"/>
      <c r="X1046" s="88"/>
      <c r="Y1046" s="88"/>
      <c r="Z1046" s="88"/>
      <c r="AA1046" s="88"/>
    </row>
    <row r="1047">
      <c r="A1047" s="88"/>
      <c r="B1047" s="88"/>
      <c r="C1047" s="88"/>
      <c r="D1047" s="453"/>
      <c r="E1047" s="88"/>
      <c r="F1047" s="88"/>
      <c r="G1047" s="88"/>
      <c r="H1047" s="454"/>
      <c r="I1047" s="455"/>
      <c r="J1047" s="88"/>
      <c r="K1047" s="88"/>
      <c r="L1047" s="456"/>
      <c r="M1047" s="88"/>
      <c r="N1047" s="88"/>
      <c r="O1047" s="88"/>
      <c r="P1047" s="88"/>
      <c r="Q1047" s="88"/>
      <c r="R1047" s="88"/>
      <c r="S1047" s="88"/>
      <c r="T1047" s="88"/>
      <c r="U1047" s="88"/>
      <c r="V1047" s="88"/>
      <c r="W1047" s="88"/>
      <c r="X1047" s="88"/>
      <c r="Y1047" s="88"/>
      <c r="Z1047" s="88"/>
      <c r="AA1047" s="88"/>
    </row>
    <row r="1048">
      <c r="A1048" s="88"/>
      <c r="B1048" s="88"/>
      <c r="C1048" s="88"/>
      <c r="D1048" s="453"/>
      <c r="E1048" s="88"/>
      <c r="F1048" s="88"/>
      <c r="G1048" s="88"/>
      <c r="H1048" s="454"/>
      <c r="I1048" s="455"/>
      <c r="J1048" s="88"/>
      <c r="K1048" s="88"/>
      <c r="L1048" s="456"/>
      <c r="M1048" s="88"/>
      <c r="N1048" s="88"/>
      <c r="O1048" s="88"/>
      <c r="P1048" s="88"/>
      <c r="Q1048" s="88"/>
      <c r="R1048" s="88"/>
      <c r="S1048" s="88"/>
      <c r="T1048" s="88"/>
      <c r="U1048" s="88"/>
      <c r="V1048" s="88"/>
      <c r="W1048" s="88"/>
      <c r="X1048" s="88"/>
      <c r="Y1048" s="88"/>
      <c r="Z1048" s="88"/>
      <c r="AA1048" s="88"/>
    </row>
    <row r="1049">
      <c r="A1049" s="88"/>
      <c r="B1049" s="88"/>
      <c r="C1049" s="88"/>
      <c r="D1049" s="453"/>
      <c r="E1049" s="88"/>
      <c r="F1049" s="88"/>
      <c r="G1049" s="88"/>
      <c r="H1049" s="454"/>
      <c r="I1049" s="455"/>
      <c r="J1049" s="88"/>
      <c r="K1049" s="88"/>
      <c r="L1049" s="456"/>
      <c r="M1049" s="88"/>
      <c r="N1049" s="88"/>
      <c r="O1049" s="88"/>
      <c r="P1049" s="88"/>
      <c r="Q1049" s="88"/>
      <c r="R1049" s="88"/>
      <c r="S1049" s="88"/>
      <c r="T1049" s="88"/>
      <c r="U1049" s="88"/>
      <c r="V1049" s="88"/>
      <c r="W1049" s="88"/>
      <c r="X1049" s="88"/>
      <c r="Y1049" s="88"/>
      <c r="Z1049" s="88"/>
      <c r="AA1049" s="88"/>
    </row>
    <row r="1050">
      <c r="A1050" s="88"/>
      <c r="B1050" s="88"/>
      <c r="C1050" s="88"/>
      <c r="D1050" s="453"/>
      <c r="E1050" s="88"/>
      <c r="F1050" s="88"/>
      <c r="G1050" s="88"/>
      <c r="H1050" s="454"/>
      <c r="I1050" s="455"/>
      <c r="J1050" s="88"/>
      <c r="K1050" s="88"/>
      <c r="L1050" s="456"/>
      <c r="M1050" s="88"/>
      <c r="N1050" s="88"/>
      <c r="O1050" s="88"/>
      <c r="P1050" s="88"/>
      <c r="Q1050" s="88"/>
      <c r="R1050" s="88"/>
      <c r="S1050" s="88"/>
      <c r="T1050" s="88"/>
      <c r="U1050" s="88"/>
      <c r="V1050" s="88"/>
      <c r="W1050" s="88"/>
      <c r="X1050" s="88"/>
      <c r="Y1050" s="88"/>
      <c r="Z1050" s="88"/>
      <c r="AA1050" s="88"/>
    </row>
    <row r="1051">
      <c r="A1051" s="88"/>
      <c r="B1051" s="88"/>
      <c r="C1051" s="88"/>
      <c r="D1051" s="453"/>
      <c r="E1051" s="88"/>
      <c r="F1051" s="88"/>
      <c r="G1051" s="88"/>
      <c r="H1051" s="454"/>
      <c r="I1051" s="455"/>
      <c r="J1051" s="88"/>
      <c r="K1051" s="88"/>
      <c r="L1051" s="456"/>
      <c r="M1051" s="88"/>
      <c r="N1051" s="88"/>
      <c r="O1051" s="88"/>
      <c r="P1051" s="88"/>
      <c r="Q1051" s="88"/>
      <c r="R1051" s="88"/>
      <c r="S1051" s="88"/>
      <c r="T1051" s="88"/>
      <c r="U1051" s="88"/>
      <c r="V1051" s="88"/>
      <c r="W1051" s="88"/>
      <c r="X1051" s="88"/>
      <c r="Y1051" s="88"/>
      <c r="Z1051" s="88"/>
      <c r="AA1051" s="88"/>
    </row>
    <row r="1052">
      <c r="A1052" s="88"/>
      <c r="B1052" s="88"/>
      <c r="C1052" s="88"/>
      <c r="D1052" s="453"/>
      <c r="E1052" s="88"/>
      <c r="F1052" s="88"/>
      <c r="G1052" s="88"/>
      <c r="H1052" s="454"/>
      <c r="I1052" s="455"/>
      <c r="J1052" s="88"/>
      <c r="K1052" s="88"/>
      <c r="L1052" s="456"/>
      <c r="M1052" s="88"/>
      <c r="N1052" s="88"/>
      <c r="O1052" s="88"/>
      <c r="P1052" s="88"/>
      <c r="Q1052" s="88"/>
      <c r="R1052" s="88"/>
      <c r="S1052" s="88"/>
      <c r="T1052" s="88"/>
      <c r="U1052" s="88"/>
      <c r="V1052" s="88"/>
      <c r="W1052" s="88"/>
      <c r="X1052" s="88"/>
      <c r="Y1052" s="88"/>
      <c r="Z1052" s="88"/>
      <c r="AA1052" s="88"/>
    </row>
    <row r="1053">
      <c r="A1053" s="88"/>
      <c r="B1053" s="88"/>
      <c r="C1053" s="88"/>
      <c r="D1053" s="453"/>
      <c r="E1053" s="88"/>
      <c r="F1053" s="88"/>
      <c r="G1053" s="88"/>
      <c r="H1053" s="454"/>
      <c r="I1053" s="455"/>
      <c r="J1053" s="88"/>
      <c r="K1053" s="88"/>
      <c r="L1053" s="456"/>
      <c r="M1053" s="88"/>
      <c r="N1053" s="88"/>
      <c r="O1053" s="88"/>
      <c r="P1053" s="88"/>
      <c r="Q1053" s="88"/>
      <c r="R1053" s="88"/>
      <c r="S1053" s="88"/>
      <c r="T1053" s="88"/>
      <c r="U1053" s="88"/>
      <c r="V1053" s="88"/>
      <c r="W1053" s="88"/>
      <c r="X1053" s="88"/>
      <c r="Y1053" s="88"/>
      <c r="Z1053" s="88"/>
      <c r="AA1053" s="88"/>
    </row>
    <row r="1054">
      <c r="A1054" s="88"/>
      <c r="B1054" s="88"/>
      <c r="C1054" s="88"/>
      <c r="D1054" s="453"/>
      <c r="E1054" s="88"/>
      <c r="F1054" s="88"/>
      <c r="G1054" s="88"/>
      <c r="H1054" s="454"/>
      <c r="I1054" s="455"/>
      <c r="J1054" s="88"/>
      <c r="K1054" s="88"/>
      <c r="L1054" s="456"/>
      <c r="M1054" s="88"/>
      <c r="N1054" s="88"/>
      <c r="O1054" s="88"/>
      <c r="P1054" s="88"/>
      <c r="Q1054" s="88"/>
      <c r="R1054" s="88"/>
      <c r="S1054" s="88"/>
      <c r="T1054" s="88"/>
      <c r="U1054" s="88"/>
      <c r="V1054" s="88"/>
      <c r="W1054" s="88"/>
      <c r="X1054" s="88"/>
      <c r="Y1054" s="88"/>
      <c r="Z1054" s="88"/>
      <c r="AA1054" s="88"/>
    </row>
    <row r="1055">
      <c r="A1055" s="88"/>
      <c r="B1055" s="88"/>
      <c r="C1055" s="88"/>
      <c r="D1055" s="453"/>
      <c r="E1055" s="88"/>
      <c r="F1055" s="88"/>
      <c r="G1055" s="88"/>
      <c r="H1055" s="454"/>
      <c r="I1055" s="455"/>
      <c r="J1055" s="88"/>
      <c r="K1055" s="88"/>
      <c r="L1055" s="456"/>
      <c r="M1055" s="88"/>
      <c r="N1055" s="88"/>
      <c r="O1055" s="88"/>
      <c r="P1055" s="88"/>
      <c r="Q1055" s="88"/>
      <c r="R1055" s="88"/>
      <c r="S1055" s="88"/>
      <c r="T1055" s="88"/>
      <c r="U1055" s="88"/>
      <c r="V1055" s="88"/>
      <c r="W1055" s="88"/>
      <c r="X1055" s="88"/>
      <c r="Y1055" s="88"/>
      <c r="Z1055" s="88"/>
      <c r="AA1055" s="88"/>
    </row>
    <row r="1056">
      <c r="A1056" s="88"/>
      <c r="B1056" s="88"/>
      <c r="C1056" s="88"/>
      <c r="D1056" s="453"/>
      <c r="E1056" s="88"/>
      <c r="F1056" s="88"/>
      <c r="G1056" s="88"/>
      <c r="H1056" s="454"/>
      <c r="I1056" s="455"/>
      <c r="J1056" s="88"/>
      <c r="K1056" s="88"/>
      <c r="L1056" s="456"/>
      <c r="M1056" s="88"/>
      <c r="N1056" s="88"/>
      <c r="O1056" s="88"/>
      <c r="P1056" s="88"/>
      <c r="Q1056" s="88"/>
      <c r="R1056" s="88"/>
      <c r="S1056" s="88"/>
      <c r="T1056" s="88"/>
      <c r="U1056" s="88"/>
      <c r="V1056" s="88"/>
      <c r="W1056" s="88"/>
      <c r="X1056" s="88"/>
      <c r="Y1056" s="88"/>
      <c r="Z1056" s="88"/>
      <c r="AA1056" s="88"/>
    </row>
    <row r="1057">
      <c r="A1057" s="88"/>
      <c r="B1057" s="88"/>
      <c r="C1057" s="88"/>
      <c r="D1057" s="453"/>
      <c r="E1057" s="88"/>
      <c r="F1057" s="88"/>
      <c r="G1057" s="88"/>
      <c r="H1057" s="454"/>
      <c r="I1057" s="455"/>
      <c r="J1057" s="88"/>
      <c r="K1057" s="88"/>
      <c r="L1057" s="456"/>
      <c r="M1057" s="88"/>
      <c r="N1057" s="88"/>
      <c r="O1057" s="88"/>
      <c r="P1057" s="88"/>
      <c r="Q1057" s="88"/>
      <c r="R1057" s="88"/>
      <c r="S1057" s="88"/>
      <c r="T1057" s="88"/>
      <c r="U1057" s="88"/>
      <c r="V1057" s="88"/>
      <c r="W1057" s="88"/>
      <c r="X1057" s="88"/>
      <c r="Y1057" s="88"/>
      <c r="Z1057" s="88"/>
      <c r="AA1057" s="88"/>
    </row>
    <row r="1058">
      <c r="A1058" s="88"/>
      <c r="B1058" s="88"/>
      <c r="C1058" s="88"/>
      <c r="D1058" s="453"/>
      <c r="E1058" s="88"/>
      <c r="F1058" s="88"/>
      <c r="G1058" s="88"/>
      <c r="H1058" s="454"/>
      <c r="I1058" s="455"/>
      <c r="J1058" s="88"/>
      <c r="K1058" s="88"/>
      <c r="L1058" s="456"/>
      <c r="M1058" s="88"/>
      <c r="N1058" s="88"/>
      <c r="O1058" s="88"/>
      <c r="P1058" s="88"/>
      <c r="Q1058" s="88"/>
      <c r="R1058" s="88"/>
      <c r="S1058" s="88"/>
      <c r="T1058" s="88"/>
      <c r="U1058" s="88"/>
      <c r="V1058" s="88"/>
      <c r="W1058" s="88"/>
      <c r="X1058" s="88"/>
      <c r="Y1058" s="88"/>
      <c r="Z1058" s="88"/>
      <c r="AA1058" s="88"/>
    </row>
    <row r="1059">
      <c r="A1059" s="88"/>
      <c r="B1059" s="88"/>
      <c r="C1059" s="88"/>
      <c r="D1059" s="453"/>
      <c r="E1059" s="88"/>
      <c r="F1059" s="88"/>
      <c r="G1059" s="88"/>
      <c r="H1059" s="454"/>
      <c r="I1059" s="455"/>
      <c r="J1059" s="88"/>
      <c r="K1059" s="88"/>
      <c r="L1059" s="456"/>
      <c r="M1059" s="88"/>
      <c r="N1059" s="88"/>
      <c r="O1059" s="88"/>
      <c r="P1059" s="88"/>
      <c r="Q1059" s="88"/>
      <c r="R1059" s="88"/>
      <c r="S1059" s="88"/>
      <c r="T1059" s="88"/>
      <c r="U1059" s="88"/>
      <c r="V1059" s="88"/>
      <c r="W1059" s="88"/>
      <c r="X1059" s="88"/>
      <c r="Y1059" s="88"/>
      <c r="Z1059" s="88"/>
      <c r="AA1059" s="88"/>
    </row>
    <row r="1060">
      <c r="A1060" s="88"/>
      <c r="B1060" s="88"/>
      <c r="C1060" s="88"/>
      <c r="D1060" s="453"/>
      <c r="E1060" s="88"/>
      <c r="F1060" s="88"/>
      <c r="G1060" s="88"/>
      <c r="H1060" s="454"/>
      <c r="I1060" s="455"/>
      <c r="J1060" s="88"/>
      <c r="K1060" s="88"/>
      <c r="L1060" s="456"/>
      <c r="M1060" s="88"/>
      <c r="N1060" s="88"/>
      <c r="O1060" s="88"/>
      <c r="P1060" s="88"/>
      <c r="Q1060" s="88"/>
      <c r="R1060" s="88"/>
      <c r="S1060" s="88"/>
      <c r="T1060" s="88"/>
      <c r="U1060" s="88"/>
      <c r="V1060" s="88"/>
      <c r="W1060" s="88"/>
      <c r="X1060" s="88"/>
      <c r="Y1060" s="88"/>
      <c r="Z1060" s="88"/>
      <c r="AA1060" s="88"/>
    </row>
    <row r="1061">
      <c r="A1061" s="88"/>
      <c r="B1061" s="88"/>
      <c r="C1061" s="88"/>
      <c r="D1061" s="453"/>
      <c r="E1061" s="88"/>
      <c r="F1061" s="88"/>
      <c r="G1061" s="88"/>
      <c r="H1061" s="454"/>
      <c r="I1061" s="455"/>
      <c r="J1061" s="88"/>
      <c r="K1061" s="88"/>
      <c r="L1061" s="456"/>
      <c r="M1061" s="88"/>
      <c r="N1061" s="88"/>
      <c r="O1061" s="88"/>
      <c r="P1061" s="88"/>
      <c r="Q1061" s="88"/>
      <c r="R1061" s="88"/>
      <c r="S1061" s="88"/>
      <c r="T1061" s="88"/>
      <c r="U1061" s="88"/>
      <c r="V1061" s="88"/>
      <c r="W1061" s="88"/>
      <c r="X1061" s="88"/>
      <c r="Y1061" s="88"/>
      <c r="Z1061" s="88"/>
      <c r="AA1061" s="88"/>
    </row>
    <row r="1062">
      <c r="A1062" s="88"/>
      <c r="B1062" s="88"/>
      <c r="C1062" s="88"/>
      <c r="D1062" s="453"/>
      <c r="E1062" s="88"/>
      <c r="F1062" s="88"/>
      <c r="G1062" s="88"/>
      <c r="H1062" s="454"/>
      <c r="I1062" s="455"/>
      <c r="J1062" s="88"/>
      <c r="K1062" s="88"/>
      <c r="L1062" s="456"/>
      <c r="M1062" s="88"/>
      <c r="N1062" s="88"/>
      <c r="O1062" s="88"/>
      <c r="P1062" s="88"/>
      <c r="Q1062" s="88"/>
      <c r="R1062" s="88"/>
      <c r="S1062" s="88"/>
      <c r="T1062" s="88"/>
      <c r="U1062" s="88"/>
      <c r="V1062" s="88"/>
      <c r="W1062" s="88"/>
      <c r="X1062" s="88"/>
      <c r="Y1062" s="88"/>
      <c r="Z1062" s="88"/>
      <c r="AA1062" s="88"/>
    </row>
    <row r="1063">
      <c r="A1063" s="88"/>
      <c r="B1063" s="88"/>
      <c r="C1063" s="88"/>
      <c r="D1063" s="453"/>
      <c r="E1063" s="88"/>
      <c r="F1063" s="88"/>
      <c r="G1063" s="88"/>
      <c r="H1063" s="454"/>
      <c r="I1063" s="455"/>
      <c r="J1063" s="88"/>
      <c r="K1063" s="88"/>
      <c r="L1063" s="456"/>
      <c r="M1063" s="88"/>
      <c r="N1063" s="88"/>
      <c r="O1063" s="88"/>
      <c r="P1063" s="88"/>
      <c r="Q1063" s="88"/>
      <c r="R1063" s="88"/>
      <c r="S1063" s="88"/>
      <c r="T1063" s="88"/>
      <c r="U1063" s="88"/>
      <c r="V1063" s="88"/>
      <c r="W1063" s="88"/>
      <c r="X1063" s="88"/>
      <c r="Y1063" s="88"/>
      <c r="Z1063" s="88"/>
      <c r="AA1063" s="88"/>
    </row>
    <row r="1064">
      <c r="A1064" s="88"/>
      <c r="B1064" s="88"/>
      <c r="C1064" s="88"/>
      <c r="D1064" s="453"/>
      <c r="E1064" s="88"/>
      <c r="F1064" s="88"/>
      <c r="G1064" s="88"/>
      <c r="H1064" s="454"/>
      <c r="I1064" s="455"/>
      <c r="J1064" s="88"/>
      <c r="K1064" s="88"/>
      <c r="L1064" s="456"/>
      <c r="M1064" s="88"/>
      <c r="N1064" s="88"/>
      <c r="O1064" s="88"/>
      <c r="P1064" s="88"/>
      <c r="Q1064" s="88"/>
      <c r="R1064" s="88"/>
      <c r="S1064" s="88"/>
      <c r="T1064" s="88"/>
      <c r="U1064" s="88"/>
      <c r="V1064" s="88"/>
      <c r="W1064" s="88"/>
      <c r="X1064" s="88"/>
      <c r="Y1064" s="88"/>
      <c r="Z1064" s="88"/>
      <c r="AA1064" s="88"/>
    </row>
    <row r="1065">
      <c r="A1065" s="88"/>
      <c r="B1065" s="88"/>
      <c r="C1065" s="88"/>
      <c r="D1065" s="453"/>
      <c r="E1065" s="88"/>
      <c r="F1065" s="88"/>
      <c r="G1065" s="88"/>
      <c r="H1065" s="454"/>
      <c r="I1065" s="455"/>
      <c r="J1065" s="88"/>
      <c r="K1065" s="88"/>
      <c r="L1065" s="456"/>
      <c r="M1065" s="88"/>
      <c r="N1065" s="88"/>
      <c r="O1065" s="88"/>
      <c r="P1065" s="88"/>
      <c r="Q1065" s="88"/>
      <c r="R1065" s="88"/>
      <c r="S1065" s="88"/>
      <c r="T1065" s="88"/>
      <c r="U1065" s="88"/>
      <c r="V1065" s="88"/>
      <c r="W1065" s="88"/>
      <c r="X1065" s="88"/>
      <c r="Y1065" s="88"/>
      <c r="Z1065" s="88"/>
      <c r="AA1065" s="88"/>
    </row>
    <row r="1066">
      <c r="A1066" s="88"/>
      <c r="B1066" s="88"/>
      <c r="C1066" s="88"/>
      <c r="D1066" s="453"/>
      <c r="E1066" s="88"/>
      <c r="F1066" s="88"/>
      <c r="G1066" s="88"/>
      <c r="H1066" s="454"/>
      <c r="I1066" s="455"/>
      <c r="J1066" s="88"/>
      <c r="K1066" s="88"/>
      <c r="L1066" s="456"/>
      <c r="M1066" s="88"/>
      <c r="N1066" s="88"/>
      <c r="O1066" s="88"/>
      <c r="P1066" s="88"/>
      <c r="Q1066" s="88"/>
      <c r="R1066" s="88"/>
      <c r="S1066" s="88"/>
      <c r="T1066" s="88"/>
      <c r="U1066" s="88"/>
      <c r="V1066" s="88"/>
      <c r="W1066" s="88"/>
      <c r="X1066" s="88"/>
      <c r="Y1066" s="88"/>
      <c r="Z1066" s="88"/>
      <c r="AA1066" s="88"/>
    </row>
    <row r="1067">
      <c r="A1067" s="88"/>
      <c r="B1067" s="88"/>
      <c r="C1067" s="88"/>
      <c r="D1067" s="453"/>
      <c r="E1067" s="88"/>
      <c r="F1067" s="88"/>
      <c r="G1067" s="88"/>
      <c r="H1067" s="454"/>
      <c r="I1067" s="455"/>
      <c r="J1067" s="88"/>
      <c r="K1067" s="88"/>
      <c r="L1067" s="456"/>
      <c r="M1067" s="88"/>
      <c r="N1067" s="88"/>
      <c r="O1067" s="88"/>
      <c r="P1067" s="88"/>
      <c r="Q1067" s="88"/>
      <c r="R1067" s="88"/>
      <c r="S1067" s="88"/>
      <c r="T1067" s="88"/>
      <c r="U1067" s="88"/>
      <c r="V1067" s="88"/>
      <c r="W1067" s="88"/>
      <c r="X1067" s="88"/>
      <c r="Y1067" s="88"/>
      <c r="Z1067" s="88"/>
      <c r="AA1067" s="88"/>
    </row>
    <row r="1068">
      <c r="A1068" s="88"/>
      <c r="B1068" s="88"/>
      <c r="C1068" s="88"/>
      <c r="D1068" s="453"/>
      <c r="E1068" s="88"/>
      <c r="F1068" s="88"/>
      <c r="G1068" s="88"/>
      <c r="H1068" s="454"/>
      <c r="I1068" s="455"/>
      <c r="J1068" s="88"/>
      <c r="K1068" s="88"/>
      <c r="L1068" s="456"/>
      <c r="M1068" s="88"/>
      <c r="N1068" s="88"/>
      <c r="O1068" s="88"/>
      <c r="P1068" s="88"/>
      <c r="Q1068" s="88"/>
      <c r="R1068" s="88"/>
      <c r="S1068" s="88"/>
      <c r="T1068" s="88"/>
      <c r="U1068" s="88"/>
      <c r="V1068" s="88"/>
      <c r="W1068" s="88"/>
      <c r="X1068" s="88"/>
      <c r="Y1068" s="88"/>
      <c r="Z1068" s="88"/>
      <c r="AA1068" s="88"/>
    </row>
    <row r="1069">
      <c r="A1069" s="88"/>
      <c r="B1069" s="88"/>
      <c r="C1069" s="88"/>
      <c r="D1069" s="453"/>
      <c r="E1069" s="88"/>
      <c r="F1069" s="88"/>
      <c r="G1069" s="88"/>
      <c r="H1069" s="454"/>
      <c r="I1069" s="455"/>
      <c r="J1069" s="88"/>
      <c r="K1069" s="88"/>
      <c r="L1069" s="456"/>
      <c r="M1069" s="88"/>
      <c r="N1069" s="88"/>
      <c r="O1069" s="88"/>
      <c r="P1069" s="88"/>
      <c r="Q1069" s="88"/>
      <c r="R1069" s="88"/>
      <c r="S1069" s="88"/>
      <c r="T1069" s="88"/>
      <c r="U1069" s="88"/>
      <c r="V1069" s="88"/>
      <c r="W1069" s="88"/>
      <c r="X1069" s="88"/>
      <c r="Y1069" s="88"/>
      <c r="Z1069" s="88"/>
      <c r="AA1069" s="88"/>
    </row>
    <row r="1070">
      <c r="A1070" s="88"/>
      <c r="B1070" s="88"/>
      <c r="C1070" s="88"/>
      <c r="D1070" s="453"/>
      <c r="E1070" s="88"/>
      <c r="F1070" s="88"/>
      <c r="G1070" s="88"/>
      <c r="H1070" s="454"/>
      <c r="I1070" s="455"/>
      <c r="J1070" s="88"/>
      <c r="K1070" s="88"/>
      <c r="L1070" s="456"/>
      <c r="M1070" s="88"/>
      <c r="N1070" s="88"/>
      <c r="O1070" s="88"/>
      <c r="P1070" s="88"/>
      <c r="Q1070" s="88"/>
      <c r="R1070" s="88"/>
      <c r="S1070" s="88"/>
      <c r="T1070" s="88"/>
      <c r="U1070" s="88"/>
      <c r="V1070" s="88"/>
      <c r="W1070" s="88"/>
      <c r="X1070" s="88"/>
      <c r="Y1070" s="88"/>
      <c r="Z1070" s="88"/>
      <c r="AA1070" s="88"/>
    </row>
    <row r="1071">
      <c r="A1071" s="88"/>
      <c r="B1071" s="88"/>
      <c r="C1071" s="88"/>
      <c r="D1071" s="453"/>
      <c r="E1071" s="88"/>
      <c r="F1071" s="88"/>
      <c r="G1071" s="88"/>
      <c r="H1071" s="454"/>
      <c r="I1071" s="455"/>
      <c r="J1071" s="88"/>
      <c r="K1071" s="88"/>
      <c r="L1071" s="456"/>
      <c r="M1071" s="88"/>
      <c r="N1071" s="88"/>
      <c r="O1071" s="88"/>
      <c r="P1071" s="88"/>
      <c r="Q1071" s="88"/>
      <c r="R1071" s="88"/>
      <c r="S1071" s="88"/>
      <c r="T1071" s="88"/>
      <c r="U1071" s="88"/>
      <c r="V1071" s="88"/>
      <c r="W1071" s="88"/>
      <c r="X1071" s="88"/>
      <c r="Y1071" s="88"/>
      <c r="Z1071" s="88"/>
      <c r="AA1071" s="88"/>
    </row>
    <row r="1072">
      <c r="A1072" s="88"/>
      <c r="B1072" s="88"/>
      <c r="C1072" s="88"/>
      <c r="D1072" s="453"/>
      <c r="E1072" s="88"/>
      <c r="F1072" s="88"/>
      <c r="G1072" s="88"/>
      <c r="H1072" s="454"/>
      <c r="I1072" s="455"/>
      <c r="J1072" s="88"/>
      <c r="K1072" s="88"/>
      <c r="L1072" s="456"/>
      <c r="M1072" s="88"/>
      <c r="N1072" s="88"/>
      <c r="O1072" s="88"/>
      <c r="P1072" s="88"/>
      <c r="Q1072" s="88"/>
      <c r="R1072" s="88"/>
      <c r="S1072" s="88"/>
      <c r="T1072" s="88"/>
      <c r="U1072" s="88"/>
      <c r="V1072" s="88"/>
      <c r="W1072" s="88"/>
      <c r="X1072" s="88"/>
      <c r="Y1072" s="88"/>
      <c r="Z1072" s="88"/>
      <c r="AA1072" s="88"/>
    </row>
    <row r="1073">
      <c r="A1073" s="88"/>
      <c r="B1073" s="88"/>
      <c r="C1073" s="88"/>
      <c r="D1073" s="453"/>
      <c r="E1073" s="88"/>
      <c r="F1073" s="88"/>
      <c r="G1073" s="88"/>
      <c r="H1073" s="454"/>
      <c r="I1073" s="455"/>
      <c r="J1073" s="88"/>
      <c r="K1073" s="88"/>
      <c r="L1073" s="456"/>
      <c r="M1073" s="88"/>
      <c r="N1073" s="88"/>
      <c r="O1073" s="88"/>
      <c r="P1073" s="88"/>
      <c r="Q1073" s="88"/>
      <c r="R1073" s="88"/>
      <c r="S1073" s="88"/>
      <c r="T1073" s="88"/>
      <c r="U1073" s="88"/>
      <c r="V1073" s="88"/>
      <c r="W1073" s="88"/>
      <c r="X1073" s="88"/>
      <c r="Y1073" s="88"/>
      <c r="Z1073" s="88"/>
      <c r="AA1073" s="88"/>
    </row>
    <row r="1074">
      <c r="A1074" s="88"/>
      <c r="B1074" s="88"/>
      <c r="C1074" s="88"/>
      <c r="D1074" s="453"/>
      <c r="E1074" s="88"/>
      <c r="F1074" s="88"/>
      <c r="G1074" s="88"/>
      <c r="H1074" s="454"/>
      <c r="I1074" s="455"/>
      <c r="J1074" s="88"/>
      <c r="K1074" s="88"/>
      <c r="L1074" s="456"/>
      <c r="M1074" s="88"/>
      <c r="N1074" s="88"/>
      <c r="O1074" s="88"/>
      <c r="P1074" s="88"/>
      <c r="Q1074" s="88"/>
      <c r="R1074" s="88"/>
      <c r="S1074" s="88"/>
      <c r="T1074" s="88"/>
      <c r="U1074" s="88"/>
      <c r="V1074" s="88"/>
      <c r="W1074" s="88"/>
      <c r="X1074" s="88"/>
      <c r="Y1074" s="88"/>
      <c r="Z1074" s="88"/>
      <c r="AA1074" s="88"/>
    </row>
    <row r="1075">
      <c r="A1075" s="88"/>
      <c r="B1075" s="88"/>
      <c r="C1075" s="88"/>
      <c r="D1075" s="453"/>
      <c r="E1075" s="88"/>
      <c r="F1075" s="88"/>
      <c r="G1075" s="88"/>
      <c r="H1075" s="454"/>
      <c r="I1075" s="455"/>
      <c r="J1075" s="88"/>
      <c r="K1075" s="88"/>
      <c r="L1075" s="456"/>
      <c r="M1075" s="88"/>
      <c r="N1075" s="88"/>
      <c r="O1075" s="88"/>
      <c r="P1075" s="88"/>
      <c r="Q1075" s="88"/>
      <c r="R1075" s="88"/>
      <c r="S1075" s="88"/>
      <c r="T1075" s="88"/>
      <c r="U1075" s="88"/>
      <c r="V1075" s="88"/>
      <c r="W1075" s="88"/>
      <c r="X1075" s="88"/>
      <c r="Y1075" s="88"/>
      <c r="Z1075" s="88"/>
      <c r="AA1075" s="88"/>
    </row>
    <row r="1076">
      <c r="A1076" s="88"/>
      <c r="B1076" s="88"/>
      <c r="C1076" s="88"/>
      <c r="D1076" s="453"/>
      <c r="E1076" s="88"/>
      <c r="F1076" s="88"/>
      <c r="G1076" s="88"/>
      <c r="H1076" s="454"/>
      <c r="I1076" s="455"/>
      <c r="J1076" s="88"/>
      <c r="K1076" s="88"/>
      <c r="L1076" s="456"/>
      <c r="M1076" s="88"/>
      <c r="N1076" s="88"/>
      <c r="O1076" s="88"/>
      <c r="P1076" s="88"/>
      <c r="Q1076" s="88"/>
      <c r="R1076" s="88"/>
      <c r="S1076" s="88"/>
      <c r="T1076" s="88"/>
      <c r="U1076" s="88"/>
      <c r="V1076" s="88"/>
      <c r="W1076" s="88"/>
      <c r="X1076" s="88"/>
      <c r="Y1076" s="88"/>
      <c r="Z1076" s="88"/>
      <c r="AA1076" s="88"/>
    </row>
    <row r="1077">
      <c r="A1077" s="88"/>
      <c r="B1077" s="88"/>
      <c r="C1077" s="88"/>
      <c r="D1077" s="453"/>
      <c r="E1077" s="88"/>
      <c r="F1077" s="88"/>
      <c r="G1077" s="88"/>
      <c r="H1077" s="454"/>
      <c r="I1077" s="455"/>
      <c r="J1077" s="88"/>
      <c r="K1077" s="88"/>
      <c r="L1077" s="456"/>
      <c r="M1077" s="88"/>
      <c r="N1077" s="88"/>
      <c r="O1077" s="88"/>
      <c r="P1077" s="88"/>
      <c r="Q1077" s="88"/>
      <c r="R1077" s="88"/>
      <c r="S1077" s="88"/>
      <c r="T1077" s="88"/>
      <c r="U1077" s="88"/>
      <c r="V1077" s="88"/>
      <c r="W1077" s="88"/>
      <c r="X1077" s="88"/>
      <c r="Y1077" s="88"/>
      <c r="Z1077" s="88"/>
      <c r="AA1077" s="88"/>
    </row>
  </sheetData>
  <autoFilter ref="$A$1:$O$74">
    <filterColumn colId="0">
      <filters>
        <filter val="2022"/>
      </filters>
    </filterColumn>
    <sortState ref="A1:O74">
      <sortCondition ref="B1:B74"/>
    </sortState>
  </autoFilter>
  <hyperlinks>
    <hyperlink r:id="rId1" ref="O2"/>
    <hyperlink r:id="rId2" ref="O3"/>
    <hyperlink r:id="rId3" ref="O4"/>
    <hyperlink r:id="rId4" ref="O9"/>
    <hyperlink r:id="rId5" ref="O12"/>
    <hyperlink r:id="rId6" ref="O13"/>
    <hyperlink r:id="rId7" ref="O15"/>
    <hyperlink r:id="rId8" ref="O17"/>
    <hyperlink r:id="rId9" ref="O18"/>
    <hyperlink r:id="rId10" ref="O19"/>
    <hyperlink r:id="rId11" ref="O20"/>
    <hyperlink r:id="rId12" ref="O21"/>
    <hyperlink r:id="rId13" ref="O22"/>
    <hyperlink r:id="rId14" ref="O23"/>
    <hyperlink r:id="rId15" ref="O24"/>
    <hyperlink r:id="rId16" ref="O25"/>
    <hyperlink r:id="rId17" ref="O26"/>
    <hyperlink r:id="rId18" ref="O27"/>
    <hyperlink r:id="rId19" ref="O29"/>
    <hyperlink r:id="rId20" ref="O30"/>
    <hyperlink r:id="rId21" ref="O32"/>
    <hyperlink r:id="rId22" ref="O33"/>
    <hyperlink r:id="rId23" ref="O34"/>
    <hyperlink r:id="rId24" ref="O35"/>
    <hyperlink r:id="rId25" ref="O36"/>
    <hyperlink r:id="rId26" ref="O37"/>
    <hyperlink r:id="rId27" ref="O38"/>
    <hyperlink r:id="rId28" ref="O39"/>
    <hyperlink r:id="rId29" ref="O40"/>
    <hyperlink r:id="rId30" ref="O42"/>
    <hyperlink r:id="rId31" ref="O43"/>
    <hyperlink r:id="rId32" ref="O44"/>
    <hyperlink r:id="rId33" ref="O45"/>
    <hyperlink r:id="rId34" ref="O46"/>
    <hyperlink r:id="rId35" ref="O47"/>
    <hyperlink r:id="rId36" ref="O48"/>
    <hyperlink r:id="rId37" ref="O49"/>
    <hyperlink r:id="rId38" ref="O50"/>
    <hyperlink r:id="rId39" ref="O52"/>
    <hyperlink r:id="rId40" ref="O53"/>
    <hyperlink r:id="rId41" ref="O54"/>
    <hyperlink r:id="rId42" ref="O55"/>
    <hyperlink r:id="rId43" ref="O56"/>
    <hyperlink r:id="rId44" ref="O59"/>
    <hyperlink r:id="rId45" ref="O60"/>
    <hyperlink r:id="rId46" ref="N61"/>
    <hyperlink r:id="rId47" ref="O62"/>
    <hyperlink r:id="rId48" ref="O63"/>
    <hyperlink r:id="rId49" ref="O64"/>
    <hyperlink r:id="rId50" ref="O65"/>
    <hyperlink r:id="rId51" ref="O67"/>
    <hyperlink r:id="rId52" ref="O68"/>
    <hyperlink r:id="rId53" ref="O69"/>
    <hyperlink r:id="rId54" ref="O70"/>
    <hyperlink r:id="rId55" ref="O71"/>
    <hyperlink r:id="rId56" ref="O72"/>
    <hyperlink r:id="rId57" ref="O73"/>
    <hyperlink r:id="rId58" ref="O74"/>
  </hyperlinks>
  <printOptions gridLines="1" horizontalCentered="1"/>
  <pageMargins bottom="0.75" footer="0.0" header="0.0" left="0.7" right="0.7" top="0.75"/>
  <pageSetup fitToHeight="0" paperSize="9" cellComments="atEnd" orientation="portrait" pageOrder="overThenDown"/>
  <drawing r:id="rId5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9.63"/>
    <col customWidth="1" min="3" max="3" width="27.0"/>
    <col customWidth="1" min="4" max="4" width="34.5"/>
    <col customWidth="1" min="5" max="5" width="18.25"/>
    <col customWidth="1" min="6" max="6" width="24.88"/>
    <col customWidth="1" min="7" max="7" width="14.25"/>
    <col customWidth="1" min="8" max="8" width="17.75"/>
    <col customWidth="1" min="9" max="9" width="19.88"/>
    <col customWidth="1" min="10" max="10" width="31.88"/>
    <col customWidth="1" min="11" max="11" width="38.25"/>
    <col customWidth="1" min="12" max="12" width="23.75"/>
  </cols>
  <sheetData>
    <row r="1">
      <c r="A1" s="101"/>
      <c r="B1" s="102" t="s">
        <v>14</v>
      </c>
      <c r="C1" s="102" t="s">
        <v>11</v>
      </c>
      <c r="D1" s="102" t="s">
        <v>16</v>
      </c>
      <c r="E1" s="104" t="s">
        <v>19</v>
      </c>
      <c r="F1" s="106" t="s">
        <v>24</v>
      </c>
      <c r="G1" s="106" t="s">
        <v>29</v>
      </c>
      <c r="H1" s="104" t="s">
        <v>32</v>
      </c>
      <c r="I1" s="102" t="s">
        <v>39</v>
      </c>
      <c r="J1" s="102" t="s">
        <v>41</v>
      </c>
      <c r="K1" s="102" t="s">
        <v>43</v>
      </c>
      <c r="L1" s="112" t="s">
        <v>1042</v>
      </c>
    </row>
    <row r="2" ht="30.75" customHeight="1">
      <c r="A2" s="116">
        <v>2021.0</v>
      </c>
      <c r="B2" s="118" t="s">
        <v>1085</v>
      </c>
      <c r="C2" s="120" t="s">
        <v>485</v>
      </c>
      <c r="D2" s="121" t="s">
        <v>1086</v>
      </c>
      <c r="E2" s="118">
        <v>4.1160002E7</v>
      </c>
      <c r="F2" s="118" t="s">
        <v>1087</v>
      </c>
      <c r="G2" s="120" t="s">
        <v>152</v>
      </c>
      <c r="H2" s="123">
        <v>987650.0</v>
      </c>
      <c r="I2" s="120" t="s">
        <v>1062</v>
      </c>
      <c r="J2" s="118" t="s">
        <v>1090</v>
      </c>
      <c r="K2" s="126" t="s">
        <v>1091</v>
      </c>
      <c r="L2" s="121"/>
    </row>
    <row r="3" ht="30.75" customHeight="1">
      <c r="A3" s="116">
        <v>2022.0</v>
      </c>
      <c r="B3" s="118" t="s">
        <v>1085</v>
      </c>
      <c r="C3" s="129" t="s">
        <v>1096</v>
      </c>
      <c r="D3" s="129" t="s">
        <v>1096</v>
      </c>
      <c r="E3" s="131">
        <v>4.1160006E7</v>
      </c>
      <c r="F3" s="131" t="s">
        <v>280</v>
      </c>
      <c r="G3" s="120" t="s">
        <v>152</v>
      </c>
      <c r="H3" s="134">
        <v>350000.0</v>
      </c>
      <c r="I3" s="135" t="s">
        <v>200</v>
      </c>
      <c r="J3" s="136" t="s">
        <v>1082</v>
      </c>
      <c r="K3" s="139"/>
      <c r="L3" s="142"/>
    </row>
    <row r="4" ht="30.75" customHeight="1">
      <c r="A4" s="144">
        <v>2022.0</v>
      </c>
      <c r="B4" s="146" t="s">
        <v>1047</v>
      </c>
      <c r="C4" s="149" t="s">
        <v>1080</v>
      </c>
      <c r="D4" s="146" t="s">
        <v>1065</v>
      </c>
      <c r="E4" s="146">
        <v>4.1160001E7</v>
      </c>
      <c r="F4" s="146" t="s">
        <v>27</v>
      </c>
      <c r="G4" s="120" t="s">
        <v>152</v>
      </c>
      <c r="H4" s="156">
        <v>1238648.84</v>
      </c>
      <c r="I4" s="146" t="s">
        <v>200</v>
      </c>
      <c r="J4" s="146" t="s">
        <v>1082</v>
      </c>
      <c r="K4" s="157" t="s">
        <v>1083</v>
      </c>
      <c r="L4" s="160"/>
    </row>
    <row r="5" ht="30.75" customHeight="1">
      <c r="A5" s="144">
        <v>2022.0</v>
      </c>
      <c r="B5" s="146" t="s">
        <v>1047</v>
      </c>
      <c r="C5" s="149" t="s">
        <v>1080</v>
      </c>
      <c r="D5" s="149" t="s">
        <v>139</v>
      </c>
      <c r="E5" s="146">
        <v>4.1160001E7</v>
      </c>
      <c r="F5" s="146" t="s">
        <v>27</v>
      </c>
      <c r="G5" s="120" t="s">
        <v>152</v>
      </c>
      <c r="H5" s="165">
        <v>1238648.84</v>
      </c>
      <c r="I5" s="146" t="s">
        <v>200</v>
      </c>
      <c r="J5" s="146" t="s">
        <v>1082</v>
      </c>
      <c r="K5" s="157" t="s">
        <v>1083</v>
      </c>
      <c r="L5" s="160"/>
    </row>
    <row r="6" ht="30.75" customHeight="1">
      <c r="A6" s="144">
        <v>2022.0</v>
      </c>
      <c r="B6" s="168" t="s">
        <v>1047</v>
      </c>
      <c r="C6" s="149" t="s">
        <v>1080</v>
      </c>
      <c r="D6" s="149" t="s">
        <v>1094</v>
      </c>
      <c r="E6" s="146">
        <v>4.1160001E7</v>
      </c>
      <c r="F6" s="146" t="s">
        <v>27</v>
      </c>
      <c r="G6" s="120" t="s">
        <v>152</v>
      </c>
      <c r="H6" s="165">
        <v>1089232.92</v>
      </c>
      <c r="I6" s="146" t="s">
        <v>200</v>
      </c>
      <c r="J6" s="146" t="s">
        <v>1082</v>
      </c>
      <c r="K6" s="157" t="s">
        <v>1095</v>
      </c>
      <c r="L6" s="160"/>
    </row>
    <row r="7" ht="30.75" customHeight="1">
      <c r="A7" s="171">
        <v>2021.0</v>
      </c>
      <c r="B7" s="173" t="s">
        <v>1047</v>
      </c>
      <c r="C7" s="176" t="s">
        <v>139</v>
      </c>
      <c r="D7" s="173" t="s">
        <v>139</v>
      </c>
      <c r="E7" s="173">
        <v>7.1220009E7</v>
      </c>
      <c r="F7" s="173" t="s">
        <v>27</v>
      </c>
      <c r="G7" s="173" t="s">
        <v>152</v>
      </c>
      <c r="H7" s="178">
        <v>700000.0</v>
      </c>
      <c r="I7" s="173" t="s">
        <v>389</v>
      </c>
      <c r="J7" s="146" t="s">
        <v>1082</v>
      </c>
      <c r="K7" s="179" t="s">
        <v>1053</v>
      </c>
      <c r="L7" s="160"/>
    </row>
    <row r="8" ht="30.75" customHeight="1">
      <c r="A8" s="171">
        <v>2021.0</v>
      </c>
      <c r="B8" s="173" t="s">
        <v>1047</v>
      </c>
      <c r="C8" s="176" t="s">
        <v>1065</v>
      </c>
      <c r="D8" s="173" t="s">
        <v>1065</v>
      </c>
      <c r="E8" s="173">
        <v>7.1220009E7</v>
      </c>
      <c r="F8" s="173" t="s">
        <v>27</v>
      </c>
      <c r="G8" s="173" t="s">
        <v>152</v>
      </c>
      <c r="H8" s="178">
        <v>358785.0</v>
      </c>
      <c r="I8" s="173" t="s">
        <v>389</v>
      </c>
      <c r="J8" s="146" t="s">
        <v>1082</v>
      </c>
      <c r="K8" s="179" t="s">
        <v>1071</v>
      </c>
      <c r="L8" s="160"/>
    </row>
    <row r="9" ht="28.5" customHeight="1">
      <c r="A9" s="171">
        <v>2021.0</v>
      </c>
      <c r="B9" s="173" t="s">
        <v>1047</v>
      </c>
      <c r="C9" s="176" t="s">
        <v>1065</v>
      </c>
      <c r="D9" s="173" t="s">
        <v>1065</v>
      </c>
      <c r="E9" s="173">
        <v>7.1220009E7</v>
      </c>
      <c r="F9" s="173" t="s">
        <v>27</v>
      </c>
      <c r="G9" s="173" t="s">
        <v>152</v>
      </c>
      <c r="H9" s="178">
        <v>296745.33</v>
      </c>
      <c r="I9" s="173" t="s">
        <v>389</v>
      </c>
      <c r="J9" s="146" t="s">
        <v>1082</v>
      </c>
      <c r="K9" s="179" t="s">
        <v>1078</v>
      </c>
      <c r="L9" s="160"/>
    </row>
    <row r="10" ht="30.75" customHeight="1">
      <c r="A10" s="184">
        <v>2022.0</v>
      </c>
      <c r="B10" s="120" t="s">
        <v>54</v>
      </c>
      <c r="C10" s="135" t="s">
        <v>14</v>
      </c>
      <c r="D10" s="135" t="s">
        <v>74</v>
      </c>
      <c r="E10" s="135">
        <v>4.1160005E7</v>
      </c>
      <c r="F10" s="135" t="s">
        <v>20</v>
      </c>
      <c r="G10" s="135" t="s">
        <v>152</v>
      </c>
      <c r="H10" s="165">
        <v>250000.0</v>
      </c>
      <c r="I10" s="135" t="s">
        <v>490</v>
      </c>
      <c r="J10" s="135" t="s">
        <v>1082</v>
      </c>
      <c r="K10" s="179" t="s">
        <v>1154</v>
      </c>
      <c r="L10" s="160"/>
    </row>
    <row r="11">
      <c r="A11" s="187">
        <v>2021.0</v>
      </c>
      <c r="B11" s="190" t="s">
        <v>54</v>
      </c>
      <c r="C11" s="191" t="s">
        <v>485</v>
      </c>
      <c r="D11" s="190" t="s">
        <v>1162</v>
      </c>
      <c r="E11" s="192">
        <v>4.1160003E7</v>
      </c>
      <c r="F11" s="192" t="s">
        <v>488</v>
      </c>
      <c r="G11" s="192" t="s">
        <v>84</v>
      </c>
      <c r="H11" s="194">
        <v>102000.0</v>
      </c>
      <c r="I11" s="192" t="s">
        <v>1062</v>
      </c>
      <c r="J11" s="192" t="s">
        <v>1171</v>
      </c>
      <c r="K11" s="190" t="s">
        <v>1172</v>
      </c>
      <c r="L11" s="197"/>
    </row>
    <row r="12" ht="30.75" customHeight="1">
      <c r="A12" s="199">
        <v>2021.0</v>
      </c>
      <c r="B12" s="201" t="s">
        <v>62</v>
      </c>
      <c r="C12" s="135" t="s">
        <v>485</v>
      </c>
      <c r="D12" s="201" t="s">
        <v>1180</v>
      </c>
      <c r="E12" s="120">
        <v>4.1160002E7</v>
      </c>
      <c r="F12" s="120" t="s">
        <v>1087</v>
      </c>
      <c r="G12" s="120" t="s">
        <v>152</v>
      </c>
      <c r="H12" s="203">
        <v>100000.0</v>
      </c>
      <c r="I12" s="120" t="s">
        <v>1062</v>
      </c>
      <c r="J12" s="120" t="s">
        <v>1090</v>
      </c>
      <c r="K12" s="201" t="s">
        <v>1184</v>
      </c>
      <c r="L12" s="205"/>
    </row>
    <row r="13" ht="30.75" customHeight="1">
      <c r="A13" s="206">
        <v>2022.0</v>
      </c>
      <c r="B13" s="208" t="s">
        <v>71</v>
      </c>
      <c r="C13" s="209" t="s">
        <v>485</v>
      </c>
      <c r="D13" s="208" t="s">
        <v>1187</v>
      </c>
      <c r="E13" s="120">
        <v>7120004.0</v>
      </c>
      <c r="F13" s="120" t="s">
        <v>488</v>
      </c>
      <c r="G13" s="120" t="s">
        <v>84</v>
      </c>
      <c r="H13" s="211">
        <v>300000.0</v>
      </c>
      <c r="I13" s="120" t="s">
        <v>1193</v>
      </c>
      <c r="J13" s="120" t="s">
        <v>1208</v>
      </c>
      <c r="K13" s="219" t="s">
        <v>1213</v>
      </c>
      <c r="L13" s="220"/>
    </row>
    <row r="14" ht="30.75" customHeight="1">
      <c r="A14" s="206"/>
      <c r="B14" s="222" t="s">
        <v>47</v>
      </c>
      <c r="C14" s="222" t="s">
        <v>1065</v>
      </c>
      <c r="D14" s="224"/>
      <c r="E14" s="224"/>
      <c r="F14" s="173" t="s">
        <v>27</v>
      </c>
      <c r="G14" s="173" t="s">
        <v>152</v>
      </c>
      <c r="H14" s="226">
        <v>234954.25</v>
      </c>
      <c r="I14" s="120"/>
      <c r="J14" s="227"/>
      <c r="K14" s="222" t="s">
        <v>1227</v>
      </c>
      <c r="L14" s="220"/>
    </row>
    <row r="15" ht="31.5" customHeight="1">
      <c r="A15" s="228">
        <v>2021.0</v>
      </c>
      <c r="B15" s="229" t="s">
        <v>163</v>
      </c>
      <c r="C15" s="229" t="s">
        <v>14</v>
      </c>
      <c r="D15" s="229" t="s">
        <v>74</v>
      </c>
      <c r="E15" s="231" t="s">
        <v>578</v>
      </c>
      <c r="F15" s="229" t="s">
        <v>20</v>
      </c>
      <c r="G15" s="229" t="s">
        <v>152</v>
      </c>
      <c r="H15" s="233">
        <v>250000.0</v>
      </c>
      <c r="I15" s="229" t="s">
        <v>490</v>
      </c>
      <c r="J15" s="234" t="s">
        <v>265</v>
      </c>
      <c r="K15" s="236" t="s">
        <v>1245</v>
      </c>
      <c r="L15" s="239" t="s">
        <v>1254</v>
      </c>
    </row>
    <row r="16" ht="31.5" customHeight="1">
      <c r="A16" s="241">
        <v>2020.0</v>
      </c>
      <c r="B16" s="242" t="s">
        <v>178</v>
      </c>
      <c r="C16" s="242" t="s">
        <v>566</v>
      </c>
      <c r="D16" s="242" t="s">
        <v>567</v>
      </c>
      <c r="F16" s="242" t="s">
        <v>488</v>
      </c>
      <c r="G16" s="242" t="s">
        <v>84</v>
      </c>
      <c r="H16" s="233">
        <v>50000.0</v>
      </c>
      <c r="I16" s="242" t="s">
        <v>570</v>
      </c>
      <c r="J16" s="242" t="s">
        <v>110</v>
      </c>
      <c r="K16" s="242" t="s">
        <v>571</v>
      </c>
      <c r="L16" s="244"/>
    </row>
    <row r="17" ht="35.25" customHeight="1">
      <c r="A17" s="228">
        <v>2020.0</v>
      </c>
      <c r="B17" s="229" t="s">
        <v>192</v>
      </c>
      <c r="C17" s="229" t="s">
        <v>14</v>
      </c>
      <c r="D17" s="229" t="s">
        <v>74</v>
      </c>
      <c r="E17" s="229">
        <v>4.1160001E7</v>
      </c>
      <c r="F17" s="229" t="s">
        <v>193</v>
      </c>
      <c r="G17" s="229" t="s">
        <v>84</v>
      </c>
      <c r="H17" s="246">
        <v>100000.0</v>
      </c>
      <c r="I17" s="229" t="s">
        <v>490</v>
      </c>
      <c r="J17" s="229" t="s">
        <v>110</v>
      </c>
      <c r="K17" s="229" t="s">
        <v>1026</v>
      </c>
      <c r="L17" s="244"/>
    </row>
    <row r="18" ht="35.25" customHeight="1">
      <c r="A18" s="184">
        <v>2022.0</v>
      </c>
      <c r="B18" s="120" t="s">
        <v>221</v>
      </c>
      <c r="C18" s="135" t="s">
        <v>485</v>
      </c>
      <c r="D18" s="248" t="s">
        <v>1270</v>
      </c>
      <c r="E18" s="135">
        <v>4.1160003E7</v>
      </c>
      <c r="F18" s="120" t="s">
        <v>1087</v>
      </c>
      <c r="G18" s="135" t="s">
        <v>152</v>
      </c>
      <c r="H18" s="165">
        <v>120000.0</v>
      </c>
      <c r="I18" s="135" t="s">
        <v>200</v>
      </c>
      <c r="J18" s="135" t="s">
        <v>1082</v>
      </c>
      <c r="K18" s="179"/>
      <c r="L18" s="160"/>
    </row>
    <row r="19" ht="35.25" customHeight="1">
      <c r="A19" s="228">
        <v>2020.0</v>
      </c>
      <c r="B19" s="229" t="s">
        <v>116</v>
      </c>
      <c r="C19" s="229" t="s">
        <v>485</v>
      </c>
      <c r="D19" s="229" t="s">
        <v>1108</v>
      </c>
      <c r="E19" s="229">
        <v>4.1160005E7</v>
      </c>
      <c r="F19" s="229" t="s">
        <v>488</v>
      </c>
      <c r="G19" s="229" t="s">
        <v>84</v>
      </c>
      <c r="H19" s="246">
        <v>100000.0</v>
      </c>
      <c r="I19" s="229" t="s">
        <v>490</v>
      </c>
      <c r="J19" s="229" t="s">
        <v>110</v>
      </c>
      <c r="K19" s="229" t="s">
        <v>1076</v>
      </c>
      <c r="L19" s="244"/>
    </row>
    <row r="20" ht="35.25" customHeight="1">
      <c r="A20" s="199">
        <v>2020.0</v>
      </c>
      <c r="B20" s="135" t="s">
        <v>116</v>
      </c>
      <c r="C20" s="135" t="s">
        <v>139</v>
      </c>
      <c r="D20" s="135" t="s">
        <v>146</v>
      </c>
      <c r="E20" s="135">
        <v>4.116001E7</v>
      </c>
      <c r="F20" s="135" t="s">
        <v>151</v>
      </c>
      <c r="G20" s="135" t="s">
        <v>152</v>
      </c>
      <c r="H20" s="250">
        <v>12142.85</v>
      </c>
      <c r="I20" s="135" t="s">
        <v>155</v>
      </c>
      <c r="J20" s="135" t="s">
        <v>1102</v>
      </c>
      <c r="K20" s="135" t="s">
        <v>161</v>
      </c>
      <c r="L20" s="135"/>
    </row>
    <row r="21" ht="35.25" customHeight="1">
      <c r="A21" s="184">
        <v>2022.0</v>
      </c>
      <c r="B21" s="120" t="s">
        <v>116</v>
      </c>
      <c r="C21" s="251" t="s">
        <v>1195</v>
      </c>
      <c r="D21" s="251" t="s">
        <v>1195</v>
      </c>
      <c r="E21" s="135">
        <v>4.1160004E7</v>
      </c>
      <c r="F21" s="131" t="s">
        <v>280</v>
      </c>
      <c r="G21" s="135" t="s">
        <v>152</v>
      </c>
      <c r="H21" s="165">
        <v>350000.0</v>
      </c>
      <c r="I21" s="135" t="s">
        <v>200</v>
      </c>
      <c r="J21" s="135" t="s">
        <v>1082</v>
      </c>
      <c r="K21" s="179"/>
      <c r="L21" s="160"/>
    </row>
    <row r="22" ht="35.25" customHeight="1">
      <c r="A22" s="228">
        <v>2020.0</v>
      </c>
      <c r="B22" s="229" t="s">
        <v>311</v>
      </c>
      <c r="C22" s="229" t="s">
        <v>14</v>
      </c>
      <c r="D22" s="252" t="s">
        <v>74</v>
      </c>
      <c r="E22" s="229">
        <v>4.1160001E7</v>
      </c>
      <c r="F22" s="229" t="s">
        <v>193</v>
      </c>
      <c r="G22" s="229" t="s">
        <v>84</v>
      </c>
      <c r="H22" s="246">
        <v>100000.0</v>
      </c>
      <c r="I22" s="229" t="s">
        <v>490</v>
      </c>
      <c r="J22" s="242" t="s">
        <v>110</v>
      </c>
      <c r="K22" s="253" t="s">
        <v>1023</v>
      </c>
      <c r="L22" s="239" t="s">
        <v>1111</v>
      </c>
    </row>
    <row r="23" ht="35.25" customHeight="1">
      <c r="A23" s="184">
        <v>2022.0</v>
      </c>
      <c r="B23" s="120" t="s">
        <v>175</v>
      </c>
      <c r="C23" s="135" t="s">
        <v>14</v>
      </c>
      <c r="D23" s="131" t="s">
        <v>74</v>
      </c>
      <c r="E23" s="135">
        <v>4.1160002E7</v>
      </c>
      <c r="F23" s="135" t="s">
        <v>193</v>
      </c>
      <c r="G23" s="135" t="s">
        <v>84</v>
      </c>
      <c r="H23" s="165">
        <v>20000.0</v>
      </c>
      <c r="I23" s="135" t="s">
        <v>200</v>
      </c>
      <c r="J23" s="135" t="s">
        <v>1082</v>
      </c>
      <c r="K23" s="179"/>
      <c r="L23" s="160"/>
    </row>
    <row r="24" ht="35.25" customHeight="1">
      <c r="A24" s="199">
        <v>2022.0</v>
      </c>
      <c r="B24" s="201" t="s">
        <v>175</v>
      </c>
      <c r="C24" s="135" t="s">
        <v>220</v>
      </c>
      <c r="D24" s="254" t="s">
        <v>74</v>
      </c>
      <c r="E24" s="135">
        <v>4.1160002E7</v>
      </c>
      <c r="F24" s="135" t="s">
        <v>193</v>
      </c>
      <c r="G24" s="135" t="s">
        <v>84</v>
      </c>
      <c r="H24" s="250">
        <v>20000.0</v>
      </c>
      <c r="I24" s="120" t="s">
        <v>229</v>
      </c>
      <c r="J24" s="135" t="s">
        <v>1302</v>
      </c>
      <c r="K24" s="201" t="s">
        <v>234</v>
      </c>
      <c r="L24" s="205"/>
    </row>
    <row r="25" ht="35.25" customHeight="1">
      <c r="A25" s="199">
        <v>2021.0</v>
      </c>
      <c r="B25" s="201" t="s">
        <v>410</v>
      </c>
      <c r="C25" s="229" t="s">
        <v>14</v>
      </c>
      <c r="D25" s="254" t="s">
        <v>74</v>
      </c>
      <c r="E25" s="120">
        <v>4.1160002E7</v>
      </c>
      <c r="F25" s="120" t="s">
        <v>1087</v>
      </c>
      <c r="G25" s="120" t="s">
        <v>152</v>
      </c>
      <c r="H25" s="203">
        <v>245000.0</v>
      </c>
      <c r="I25" s="120" t="s">
        <v>1062</v>
      </c>
      <c r="J25" s="135" t="s">
        <v>1303</v>
      </c>
      <c r="K25" s="219" t="s">
        <v>1304</v>
      </c>
      <c r="L25" s="205"/>
    </row>
    <row r="26" ht="35.25" customHeight="1">
      <c r="A26" s="228">
        <v>2020.0</v>
      </c>
      <c r="B26" s="229" t="s">
        <v>76</v>
      </c>
      <c r="C26" s="229" t="s">
        <v>485</v>
      </c>
      <c r="D26" s="252" t="s">
        <v>1116</v>
      </c>
      <c r="E26" s="229">
        <v>4.1160005E7</v>
      </c>
      <c r="F26" s="229" t="s">
        <v>488</v>
      </c>
      <c r="G26" s="229" t="s">
        <v>84</v>
      </c>
      <c r="H26" s="246">
        <v>100000.0</v>
      </c>
      <c r="I26" s="229" t="s">
        <v>490</v>
      </c>
      <c r="J26" s="229" t="s">
        <v>110</v>
      </c>
      <c r="K26" s="229" t="s">
        <v>1076</v>
      </c>
      <c r="L26" s="239" t="s">
        <v>1117</v>
      </c>
    </row>
    <row r="27" ht="45.75" customHeight="1">
      <c r="A27" s="199">
        <v>2021.0</v>
      </c>
      <c r="B27" s="229" t="s">
        <v>76</v>
      </c>
      <c r="C27" s="135" t="s">
        <v>485</v>
      </c>
      <c r="D27" s="256" t="s">
        <v>1310</v>
      </c>
      <c r="E27" s="120">
        <v>4.1160002E7</v>
      </c>
      <c r="F27" s="120" t="s">
        <v>1087</v>
      </c>
      <c r="G27" s="120" t="s">
        <v>152</v>
      </c>
      <c r="H27" s="203">
        <v>140000.0</v>
      </c>
      <c r="I27" s="120" t="s">
        <v>1062</v>
      </c>
      <c r="J27" s="120" t="s">
        <v>1090</v>
      </c>
      <c r="K27" s="201" t="s">
        <v>1312</v>
      </c>
      <c r="L27" s="205"/>
    </row>
    <row r="28" ht="45.75" customHeight="1">
      <c r="A28" s="199">
        <v>2021.0</v>
      </c>
      <c r="B28" s="229" t="s">
        <v>76</v>
      </c>
      <c r="C28" s="135" t="s">
        <v>1313</v>
      </c>
      <c r="D28" s="256" t="s">
        <v>1314</v>
      </c>
      <c r="E28" s="257">
        <v>4.1160003E7</v>
      </c>
      <c r="F28" s="135" t="s">
        <v>488</v>
      </c>
      <c r="G28" s="135" t="s">
        <v>84</v>
      </c>
      <c r="H28" s="203">
        <v>1000000.0</v>
      </c>
      <c r="I28" s="120" t="s">
        <v>1062</v>
      </c>
      <c r="J28" s="135" t="s">
        <v>1315</v>
      </c>
      <c r="K28" s="219" t="s">
        <v>1316</v>
      </c>
      <c r="L28" s="205"/>
    </row>
    <row r="29" ht="45.75" customHeight="1">
      <c r="A29" s="228">
        <v>2020.0</v>
      </c>
      <c r="B29" s="229" t="s">
        <v>82</v>
      </c>
      <c r="C29" s="229" t="s">
        <v>14</v>
      </c>
      <c r="D29" s="229" t="s">
        <v>74</v>
      </c>
      <c r="E29" s="229">
        <v>4.1160001E7</v>
      </c>
      <c r="F29" s="229" t="s">
        <v>193</v>
      </c>
      <c r="G29" s="229" t="s">
        <v>84</v>
      </c>
      <c r="H29" s="246">
        <v>100000.0</v>
      </c>
      <c r="I29" s="229" t="s">
        <v>490</v>
      </c>
      <c r="J29" s="242" t="s">
        <v>110</v>
      </c>
      <c r="K29" s="229" t="s">
        <v>1023</v>
      </c>
      <c r="L29" s="244"/>
    </row>
    <row r="30" ht="45.75" customHeight="1">
      <c r="A30" s="228">
        <v>2019.0</v>
      </c>
      <c r="B30" s="229" t="s">
        <v>446</v>
      </c>
      <c r="C30" s="229" t="s">
        <v>556</v>
      </c>
      <c r="D30" s="252" t="s">
        <v>1012</v>
      </c>
      <c r="E30" s="229">
        <v>7.1220005E7</v>
      </c>
      <c r="F30" s="229" t="s">
        <v>558</v>
      </c>
      <c r="G30" s="229" t="s">
        <v>152</v>
      </c>
      <c r="H30" s="246">
        <v>63000.0</v>
      </c>
      <c r="I30" s="229" t="s">
        <v>560</v>
      </c>
      <c r="J30" s="229" t="s">
        <v>110</v>
      </c>
      <c r="K30" s="229" t="s">
        <v>561</v>
      </c>
      <c r="L30" s="239" t="s">
        <v>563</v>
      </c>
    </row>
    <row r="31" ht="45.75" customHeight="1">
      <c r="A31" s="187">
        <v>2021.0</v>
      </c>
      <c r="B31" s="190" t="s">
        <v>448</v>
      </c>
      <c r="C31" s="191" t="s">
        <v>485</v>
      </c>
      <c r="D31" s="259" t="s">
        <v>1324</v>
      </c>
      <c r="E31" s="192">
        <v>4.1160003E7</v>
      </c>
      <c r="F31" s="192" t="s">
        <v>488</v>
      </c>
      <c r="G31" s="192" t="s">
        <v>84</v>
      </c>
      <c r="H31" s="194">
        <v>114409.0</v>
      </c>
      <c r="I31" s="192" t="s">
        <v>1062</v>
      </c>
      <c r="J31" s="192" t="s">
        <v>1171</v>
      </c>
      <c r="K31" s="190" t="s">
        <v>1328</v>
      </c>
      <c r="L31" s="197"/>
    </row>
    <row r="32" ht="45.75" customHeight="1">
      <c r="A32" s="228">
        <v>2020.0</v>
      </c>
      <c r="B32" s="229" t="s">
        <v>450</v>
      </c>
      <c r="C32" s="229" t="s">
        <v>14</v>
      </c>
      <c r="D32" s="252" t="s">
        <v>74</v>
      </c>
      <c r="E32" s="229">
        <v>4.1160001E7</v>
      </c>
      <c r="F32" s="229" t="s">
        <v>193</v>
      </c>
      <c r="G32" s="229" t="s">
        <v>84</v>
      </c>
      <c r="H32" s="246">
        <v>67500.0</v>
      </c>
      <c r="I32" s="229" t="s">
        <v>490</v>
      </c>
      <c r="J32" s="242" t="s">
        <v>110</v>
      </c>
      <c r="K32" s="229" t="s">
        <v>1023</v>
      </c>
      <c r="L32" s="244"/>
    </row>
    <row r="33" ht="45.75" customHeight="1">
      <c r="A33" s="228">
        <v>2020.0</v>
      </c>
      <c r="B33" s="229" t="s">
        <v>463</v>
      </c>
      <c r="C33" s="229" t="s">
        <v>14</v>
      </c>
      <c r="D33" s="252" t="s">
        <v>74</v>
      </c>
      <c r="E33" s="229">
        <v>4.1160001E7</v>
      </c>
      <c r="F33" s="229" t="s">
        <v>193</v>
      </c>
      <c r="G33" s="229" t="s">
        <v>84</v>
      </c>
      <c r="H33" s="246">
        <v>100000.0</v>
      </c>
      <c r="I33" s="229" t="s">
        <v>490</v>
      </c>
      <c r="J33" s="242" t="s">
        <v>110</v>
      </c>
      <c r="K33" s="261" t="s">
        <v>1023</v>
      </c>
      <c r="L33" s="239" t="s">
        <v>1121</v>
      </c>
    </row>
    <row r="34" ht="45.75" customHeight="1">
      <c r="A34" s="206">
        <v>2022.0</v>
      </c>
      <c r="B34" s="208" t="s">
        <v>473</v>
      </c>
      <c r="C34" s="209" t="s">
        <v>485</v>
      </c>
      <c r="D34" s="263" t="s">
        <v>1333</v>
      </c>
      <c r="E34" s="120">
        <v>7120004.0</v>
      </c>
      <c r="F34" s="120" t="s">
        <v>488</v>
      </c>
      <c r="G34" s="120" t="s">
        <v>84</v>
      </c>
      <c r="H34" s="211">
        <v>200000.0</v>
      </c>
      <c r="I34" s="120" t="s">
        <v>1193</v>
      </c>
      <c r="J34" s="227" t="s">
        <v>1336</v>
      </c>
      <c r="K34" s="219" t="s">
        <v>1338</v>
      </c>
      <c r="L34" s="220"/>
    </row>
    <row r="35" ht="45.75" customHeight="1">
      <c r="A35" s="206"/>
      <c r="B35" s="222" t="s">
        <v>123</v>
      </c>
      <c r="C35" s="222" t="s">
        <v>1065</v>
      </c>
      <c r="D35" s="266"/>
      <c r="E35" s="224"/>
      <c r="F35" s="224"/>
      <c r="G35" s="224"/>
      <c r="H35" s="268">
        <v>384370.17</v>
      </c>
      <c r="I35" s="120"/>
      <c r="J35" s="227"/>
      <c r="K35" s="222" t="s">
        <v>1341</v>
      </c>
      <c r="L35" s="220"/>
    </row>
    <row r="36" ht="45.75" customHeight="1">
      <c r="A36" s="171">
        <v>2020.0</v>
      </c>
      <c r="B36" s="173" t="s">
        <v>487</v>
      </c>
      <c r="C36" s="173" t="s">
        <v>1065</v>
      </c>
      <c r="D36" s="271" t="s">
        <v>1066</v>
      </c>
      <c r="E36" s="273"/>
      <c r="F36" s="173" t="s">
        <v>151</v>
      </c>
      <c r="G36" s="173" t="s">
        <v>152</v>
      </c>
      <c r="H36" s="275">
        <v>81280.0</v>
      </c>
      <c r="I36" s="173" t="s">
        <v>389</v>
      </c>
      <c r="J36" s="173" t="s">
        <v>1067</v>
      </c>
      <c r="K36" s="173" t="s">
        <v>1068</v>
      </c>
      <c r="L36" s="160" t="s">
        <v>1069</v>
      </c>
    </row>
    <row r="37" ht="45.75" customHeight="1">
      <c r="A37" s="241">
        <v>2020.0</v>
      </c>
      <c r="B37" s="242" t="s">
        <v>494</v>
      </c>
      <c r="C37" s="229" t="s">
        <v>485</v>
      </c>
      <c r="D37" s="276" t="s">
        <v>1350</v>
      </c>
      <c r="E37" s="231" t="s">
        <v>578</v>
      </c>
      <c r="F37" s="229" t="s">
        <v>488</v>
      </c>
      <c r="G37" s="242" t="s">
        <v>84</v>
      </c>
      <c r="H37" s="233">
        <v>174741.0</v>
      </c>
      <c r="I37" s="242" t="s">
        <v>389</v>
      </c>
      <c r="J37" s="229" t="s">
        <v>110</v>
      </c>
      <c r="K37" s="242" t="s">
        <v>589</v>
      </c>
      <c r="L37" s="244"/>
    </row>
    <row r="38" ht="45.75" customHeight="1">
      <c r="A38" s="184">
        <v>2022.0</v>
      </c>
      <c r="B38" s="120" t="s">
        <v>70</v>
      </c>
      <c r="C38" s="229" t="s">
        <v>14</v>
      </c>
      <c r="D38" s="279" t="s">
        <v>1226</v>
      </c>
      <c r="E38" s="135">
        <v>4.1160003E7</v>
      </c>
      <c r="F38" s="120" t="s">
        <v>1087</v>
      </c>
      <c r="G38" s="135" t="s">
        <v>152</v>
      </c>
      <c r="H38" s="165">
        <v>250000.0</v>
      </c>
      <c r="I38" s="135" t="s">
        <v>200</v>
      </c>
      <c r="J38" s="135" t="s">
        <v>1082</v>
      </c>
      <c r="K38" s="179"/>
      <c r="L38" s="160"/>
    </row>
    <row r="39" ht="45.75" customHeight="1">
      <c r="A39" s="228">
        <v>2020.0</v>
      </c>
      <c r="B39" s="229" t="s">
        <v>70</v>
      </c>
      <c r="C39" s="229" t="s">
        <v>485</v>
      </c>
      <c r="D39" s="252" t="s">
        <v>1101</v>
      </c>
      <c r="E39" s="282" t="s">
        <v>578</v>
      </c>
      <c r="F39" s="229" t="s">
        <v>488</v>
      </c>
      <c r="G39" s="229" t="s">
        <v>84</v>
      </c>
      <c r="H39" s="246">
        <v>100000.0</v>
      </c>
      <c r="I39" s="242" t="s">
        <v>389</v>
      </c>
      <c r="J39" s="229" t="s">
        <v>110</v>
      </c>
      <c r="K39" s="242" t="s">
        <v>589</v>
      </c>
      <c r="L39" s="244"/>
    </row>
    <row r="40" ht="45.75" customHeight="1">
      <c r="A40" s="184">
        <v>2022.0</v>
      </c>
      <c r="B40" s="120" t="s">
        <v>429</v>
      </c>
      <c r="C40" s="135" t="s">
        <v>14</v>
      </c>
      <c r="D40" s="131" t="s">
        <v>74</v>
      </c>
      <c r="E40" s="135">
        <v>4.1160002E7</v>
      </c>
      <c r="F40" s="135" t="s">
        <v>193</v>
      </c>
      <c r="G40" s="135" t="s">
        <v>84</v>
      </c>
      <c r="H40" s="165">
        <v>35000.0</v>
      </c>
      <c r="I40" s="135" t="s">
        <v>200</v>
      </c>
      <c r="J40" s="135" t="s">
        <v>1082</v>
      </c>
      <c r="K40" s="179"/>
      <c r="L40" s="160"/>
    </row>
    <row r="41" ht="45.75" customHeight="1">
      <c r="A41" s="199">
        <v>2022.0</v>
      </c>
      <c r="B41" s="201" t="s">
        <v>429</v>
      </c>
      <c r="C41" s="135" t="s">
        <v>220</v>
      </c>
      <c r="D41" s="254" t="s">
        <v>74</v>
      </c>
      <c r="E41" s="135">
        <v>4.1160002E7</v>
      </c>
      <c r="F41" s="135" t="s">
        <v>193</v>
      </c>
      <c r="G41" s="135" t="s">
        <v>84</v>
      </c>
      <c r="H41" s="203">
        <v>35000.0</v>
      </c>
      <c r="I41" s="120" t="s">
        <v>229</v>
      </c>
      <c r="J41" s="135" t="s">
        <v>1302</v>
      </c>
      <c r="K41" s="201" t="s">
        <v>438</v>
      </c>
      <c r="L41" s="205"/>
    </row>
    <row r="42" ht="45.75" customHeight="1">
      <c r="A42" s="184">
        <v>2022.0</v>
      </c>
      <c r="B42" s="120" t="s">
        <v>159</v>
      </c>
      <c r="C42" s="135" t="s">
        <v>14</v>
      </c>
      <c r="D42" s="131" t="s">
        <v>74</v>
      </c>
      <c r="E42" s="135">
        <v>4.1160005E7</v>
      </c>
      <c r="F42" s="135" t="s">
        <v>20</v>
      </c>
      <c r="G42" s="135" t="s">
        <v>152</v>
      </c>
      <c r="H42" s="165">
        <v>250000.0</v>
      </c>
      <c r="I42" s="135" t="s">
        <v>490</v>
      </c>
      <c r="J42" s="135" t="s">
        <v>1082</v>
      </c>
      <c r="K42" s="179" t="s">
        <v>1291</v>
      </c>
      <c r="L42" s="160"/>
    </row>
    <row r="43" ht="45.75" customHeight="1">
      <c r="A43" s="228">
        <v>2020.0</v>
      </c>
      <c r="B43" s="229" t="s">
        <v>515</v>
      </c>
      <c r="C43" s="229" t="s">
        <v>485</v>
      </c>
      <c r="D43" s="252" t="s">
        <v>577</v>
      </c>
      <c r="E43" s="282" t="s">
        <v>578</v>
      </c>
      <c r="F43" s="229" t="s">
        <v>488</v>
      </c>
      <c r="G43" s="229" t="s">
        <v>84</v>
      </c>
      <c r="H43" s="246">
        <v>50000.0</v>
      </c>
      <c r="I43" s="242" t="s">
        <v>389</v>
      </c>
      <c r="J43" s="229" t="s">
        <v>110</v>
      </c>
      <c r="K43" s="242" t="s">
        <v>589</v>
      </c>
      <c r="L43" s="244"/>
    </row>
    <row r="44" ht="45.75" customHeight="1">
      <c r="A44" s="228">
        <v>2020.0</v>
      </c>
      <c r="B44" s="229" t="s">
        <v>515</v>
      </c>
      <c r="C44" s="229" t="s">
        <v>14</v>
      </c>
      <c r="D44" s="252" t="s">
        <v>74</v>
      </c>
      <c r="E44" s="229">
        <v>4.1160001E7</v>
      </c>
      <c r="F44" s="229" t="s">
        <v>193</v>
      </c>
      <c r="G44" s="229" t="s">
        <v>84</v>
      </c>
      <c r="H44" s="246">
        <v>67500.0</v>
      </c>
      <c r="I44" s="229" t="s">
        <v>490</v>
      </c>
      <c r="J44" s="242" t="s">
        <v>110</v>
      </c>
      <c r="K44" s="229" t="s">
        <v>1023</v>
      </c>
      <c r="L44" s="244"/>
    </row>
    <row r="45" ht="45.75" customHeight="1">
      <c r="A45" s="184">
        <v>2022.0</v>
      </c>
      <c r="B45" s="120" t="s">
        <v>180</v>
      </c>
      <c r="C45" s="229" t="s">
        <v>14</v>
      </c>
      <c r="D45" s="279" t="s">
        <v>1226</v>
      </c>
      <c r="E45" s="135">
        <v>4.1160003E7</v>
      </c>
      <c r="F45" s="120" t="s">
        <v>1087</v>
      </c>
      <c r="G45" s="135" t="s">
        <v>152</v>
      </c>
      <c r="H45" s="165">
        <v>610000.0</v>
      </c>
      <c r="I45" s="135" t="s">
        <v>200</v>
      </c>
      <c r="J45" s="135" t="s">
        <v>1082</v>
      </c>
      <c r="K45" s="179"/>
      <c r="L45" s="160"/>
    </row>
    <row r="46" ht="45.75" customHeight="1">
      <c r="A46" s="228">
        <v>2020.0</v>
      </c>
      <c r="B46" s="229" t="s">
        <v>180</v>
      </c>
      <c r="C46" s="229" t="s">
        <v>485</v>
      </c>
      <c r="D46" s="229" t="s">
        <v>1372</v>
      </c>
      <c r="E46" s="229">
        <v>4.1160005E7</v>
      </c>
      <c r="F46" s="229" t="s">
        <v>488</v>
      </c>
      <c r="G46" s="229" t="s">
        <v>84</v>
      </c>
      <c r="H46" s="229" t="s">
        <v>1373</v>
      </c>
      <c r="I46" s="229" t="s">
        <v>89</v>
      </c>
      <c r="J46" s="229" t="s">
        <v>110</v>
      </c>
      <c r="K46" s="229" t="s">
        <v>705</v>
      </c>
      <c r="L46" s="239" t="s">
        <v>1374</v>
      </c>
    </row>
    <row r="47" ht="45.75" customHeight="1">
      <c r="A47" s="228">
        <v>2020.0</v>
      </c>
      <c r="B47" s="229" t="s">
        <v>180</v>
      </c>
      <c r="C47" s="229" t="s">
        <v>485</v>
      </c>
      <c r="D47" s="229" t="s">
        <v>700</v>
      </c>
      <c r="E47" s="229">
        <v>4.1160005E7</v>
      </c>
      <c r="F47" s="229" t="s">
        <v>488</v>
      </c>
      <c r="G47" s="229" t="s">
        <v>84</v>
      </c>
      <c r="H47" s="246">
        <v>50000.0</v>
      </c>
      <c r="I47" s="229" t="s">
        <v>89</v>
      </c>
      <c r="J47" s="229" t="s">
        <v>110</v>
      </c>
      <c r="K47" s="229" t="s">
        <v>705</v>
      </c>
      <c r="L47" s="239" t="s">
        <v>708</v>
      </c>
    </row>
    <row r="48" ht="45.75" customHeight="1">
      <c r="A48" s="206"/>
      <c r="B48" s="296" t="s">
        <v>180</v>
      </c>
      <c r="C48" s="222" t="s">
        <v>1094</v>
      </c>
      <c r="D48" s="149" t="s">
        <v>1375</v>
      </c>
      <c r="E48" s="224"/>
      <c r="F48" s="224"/>
      <c r="G48" s="224"/>
      <c r="H48" s="268">
        <v>234954.25</v>
      </c>
      <c r="I48" s="120"/>
      <c r="J48" s="227"/>
      <c r="K48" s="222" t="s">
        <v>1227</v>
      </c>
      <c r="L48" s="220"/>
    </row>
    <row r="49" ht="45.75" customHeight="1">
      <c r="A49" s="241">
        <v>2020.0</v>
      </c>
      <c r="B49" s="242" t="s">
        <v>525</v>
      </c>
      <c r="C49" s="242" t="s">
        <v>566</v>
      </c>
      <c r="D49" s="242" t="s">
        <v>719</v>
      </c>
      <c r="E49" s="297" t="s">
        <v>578</v>
      </c>
      <c r="F49" s="242" t="s">
        <v>488</v>
      </c>
      <c r="G49" s="242" t="s">
        <v>84</v>
      </c>
      <c r="H49" s="233">
        <v>50000.0</v>
      </c>
      <c r="I49" s="242" t="s">
        <v>724</v>
      </c>
      <c r="J49" s="242" t="s">
        <v>110</v>
      </c>
      <c r="K49" s="242" t="s">
        <v>571</v>
      </c>
      <c r="L49" s="244"/>
    </row>
    <row r="50" ht="45.75" customHeight="1">
      <c r="A50" s="228">
        <v>2019.0</v>
      </c>
      <c r="B50" s="229" t="s">
        <v>538</v>
      </c>
      <c r="C50" s="229" t="s">
        <v>556</v>
      </c>
      <c r="D50" s="229" t="s">
        <v>989</v>
      </c>
      <c r="E50" s="229">
        <v>7.1220005E7</v>
      </c>
      <c r="F50" s="229" t="s">
        <v>558</v>
      </c>
      <c r="G50" s="229" t="s">
        <v>152</v>
      </c>
      <c r="H50" s="246">
        <v>59000.0</v>
      </c>
      <c r="I50" s="229" t="s">
        <v>560</v>
      </c>
      <c r="J50" s="229" t="s">
        <v>110</v>
      </c>
      <c r="K50" s="229" t="s">
        <v>561</v>
      </c>
      <c r="L50" s="239" t="s">
        <v>563</v>
      </c>
    </row>
    <row r="51">
      <c r="A51" s="228">
        <v>2020.0</v>
      </c>
      <c r="B51" s="229" t="s">
        <v>538</v>
      </c>
      <c r="C51" s="229" t="s">
        <v>485</v>
      </c>
      <c r="D51" s="229" t="s">
        <v>594</v>
      </c>
      <c r="E51" s="282" t="s">
        <v>578</v>
      </c>
      <c r="F51" s="229" t="s">
        <v>488</v>
      </c>
      <c r="G51" s="229" t="s">
        <v>84</v>
      </c>
      <c r="H51" s="246">
        <v>50000.0</v>
      </c>
      <c r="I51" s="229" t="s">
        <v>389</v>
      </c>
      <c r="J51" s="242" t="s">
        <v>110</v>
      </c>
      <c r="K51" s="242" t="s">
        <v>589</v>
      </c>
      <c r="L51" s="244"/>
    </row>
    <row r="52">
      <c r="A52" s="228">
        <v>2020.0</v>
      </c>
      <c r="B52" s="229" t="s">
        <v>544</v>
      </c>
      <c r="C52" s="229" t="s">
        <v>14</v>
      </c>
      <c r="D52" s="229" t="s">
        <v>74</v>
      </c>
      <c r="E52" s="229">
        <v>4.1160001E7</v>
      </c>
      <c r="F52" s="229" t="s">
        <v>193</v>
      </c>
      <c r="G52" s="229" t="s">
        <v>84</v>
      </c>
      <c r="H52" s="246">
        <v>100000.0</v>
      </c>
      <c r="I52" s="229" t="s">
        <v>490</v>
      </c>
      <c r="J52" s="242" t="s">
        <v>110</v>
      </c>
      <c r="K52" s="229" t="s">
        <v>1023</v>
      </c>
      <c r="L52" s="244"/>
    </row>
    <row r="53">
      <c r="A53" s="199">
        <v>2021.0</v>
      </c>
      <c r="B53" s="201" t="s">
        <v>544</v>
      </c>
      <c r="C53" s="135" t="s">
        <v>485</v>
      </c>
      <c r="D53" s="201" t="s">
        <v>1381</v>
      </c>
      <c r="E53" s="257">
        <v>4.1160003E7</v>
      </c>
      <c r="F53" s="135" t="s">
        <v>488</v>
      </c>
      <c r="G53" s="135" t="s">
        <v>84</v>
      </c>
      <c r="H53" s="203">
        <v>400000.0</v>
      </c>
      <c r="I53" s="120" t="s">
        <v>1062</v>
      </c>
      <c r="J53" s="135" t="s">
        <v>1315</v>
      </c>
      <c r="K53" s="219" t="s">
        <v>1383</v>
      </c>
      <c r="L53" s="205"/>
    </row>
    <row r="54">
      <c r="A54" s="199">
        <v>2021.0</v>
      </c>
      <c r="B54" s="201" t="s">
        <v>549</v>
      </c>
      <c r="C54" s="135" t="s">
        <v>485</v>
      </c>
      <c r="D54" s="201" t="s">
        <v>1384</v>
      </c>
      <c r="E54" s="135">
        <v>4.1160002E7</v>
      </c>
      <c r="F54" s="135" t="s">
        <v>1087</v>
      </c>
      <c r="G54" s="135" t="s">
        <v>152</v>
      </c>
      <c r="H54" s="203">
        <v>250000.0</v>
      </c>
      <c r="I54" s="120" t="s">
        <v>1062</v>
      </c>
      <c r="J54" s="135"/>
      <c r="K54" s="201" t="s">
        <v>1386</v>
      </c>
      <c r="L54" s="205"/>
    </row>
    <row r="55">
      <c r="A55" s="228">
        <v>2020.0</v>
      </c>
      <c r="B55" s="229" t="s">
        <v>1109</v>
      </c>
      <c r="C55" s="229" t="s">
        <v>485</v>
      </c>
      <c r="D55" s="229" t="s">
        <v>1388</v>
      </c>
      <c r="E55" s="229">
        <v>4.1160005E7</v>
      </c>
      <c r="F55" s="229" t="s">
        <v>488</v>
      </c>
      <c r="G55" s="229" t="s">
        <v>84</v>
      </c>
      <c r="H55" s="246">
        <v>300000.0</v>
      </c>
      <c r="I55" s="229" t="s">
        <v>490</v>
      </c>
      <c r="J55" s="242" t="s">
        <v>110</v>
      </c>
      <c r="K55" s="302" t="s">
        <v>1076</v>
      </c>
      <c r="L55" s="239" t="s">
        <v>1390</v>
      </c>
    </row>
    <row r="56">
      <c r="A56" s="303">
        <v>2020.0</v>
      </c>
      <c r="B56" s="304" t="s">
        <v>1109</v>
      </c>
      <c r="C56" s="304" t="s">
        <v>485</v>
      </c>
      <c r="D56" s="304" t="s">
        <v>1392</v>
      </c>
      <c r="E56" s="304">
        <v>4.1160005E7</v>
      </c>
      <c r="F56" s="304" t="s">
        <v>488</v>
      </c>
      <c r="G56" s="304" t="s">
        <v>84</v>
      </c>
      <c r="H56" s="305">
        <v>200000.0</v>
      </c>
      <c r="I56" s="304" t="s">
        <v>490</v>
      </c>
      <c r="J56" s="307" t="s">
        <v>110</v>
      </c>
      <c r="K56" s="304" t="s">
        <v>1076</v>
      </c>
      <c r="L56" s="310" t="s">
        <v>1399</v>
      </c>
    </row>
    <row r="57" ht="40.5" customHeight="1">
      <c r="A57" s="314">
        <v>2021.0</v>
      </c>
      <c r="B57" s="315" t="s">
        <v>1109</v>
      </c>
      <c r="C57" s="314" t="s">
        <v>1097</v>
      </c>
      <c r="D57" s="314" t="s">
        <v>1097</v>
      </c>
      <c r="E57" s="317">
        <v>4.11660007E8</v>
      </c>
      <c r="F57" s="118" t="s">
        <v>151</v>
      </c>
      <c r="G57" s="314" t="s">
        <v>152</v>
      </c>
      <c r="H57" s="319">
        <v>250000.0</v>
      </c>
      <c r="I57" s="314" t="s">
        <v>155</v>
      </c>
      <c r="J57" s="315" t="s">
        <v>1417</v>
      </c>
      <c r="K57" s="321" t="s">
        <v>1113</v>
      </c>
      <c r="L57" s="321"/>
    </row>
    <row r="58">
      <c r="A58" s="120">
        <v>2021.0</v>
      </c>
      <c r="B58" s="120" t="s">
        <v>1109</v>
      </c>
      <c r="C58" s="120" t="s">
        <v>251</v>
      </c>
      <c r="D58" s="120" t="s">
        <v>1119</v>
      </c>
      <c r="E58" s="325">
        <v>4.1160001E8</v>
      </c>
      <c r="F58" s="120" t="s">
        <v>151</v>
      </c>
      <c r="G58" s="120" t="s">
        <v>152</v>
      </c>
      <c r="H58" s="327">
        <v>186808.33</v>
      </c>
      <c r="I58" s="120" t="s">
        <v>155</v>
      </c>
      <c r="J58" s="146" t="s">
        <v>1082</v>
      </c>
      <c r="K58" s="330" t="s">
        <v>267</v>
      </c>
      <c r="L58" s="205"/>
    </row>
    <row r="59">
      <c r="A59" s="191">
        <v>2021.0</v>
      </c>
      <c r="B59" s="190" t="s">
        <v>1109</v>
      </c>
      <c r="C59" s="191" t="s">
        <v>485</v>
      </c>
      <c r="D59" s="190" t="s">
        <v>1436</v>
      </c>
      <c r="E59" s="192">
        <v>4.1160003E7</v>
      </c>
      <c r="F59" s="192" t="s">
        <v>488</v>
      </c>
      <c r="G59" s="192" t="s">
        <v>84</v>
      </c>
      <c r="H59" s="194">
        <v>170000.0</v>
      </c>
      <c r="I59" s="192" t="s">
        <v>1062</v>
      </c>
      <c r="J59" s="192" t="s">
        <v>1439</v>
      </c>
      <c r="K59" s="190" t="s">
        <v>1213</v>
      </c>
      <c r="L59" s="197"/>
    </row>
    <row r="60">
      <c r="A60" s="209">
        <v>2022.0</v>
      </c>
      <c r="B60" s="208" t="s">
        <v>1109</v>
      </c>
      <c r="C60" s="209" t="s">
        <v>485</v>
      </c>
      <c r="D60" s="208" t="s">
        <v>1392</v>
      </c>
      <c r="E60" s="120">
        <v>7120004.0</v>
      </c>
      <c r="F60" s="120" t="s">
        <v>488</v>
      </c>
      <c r="G60" s="120" t="s">
        <v>84</v>
      </c>
      <c r="H60" s="211">
        <v>350000.0</v>
      </c>
      <c r="I60" s="120" t="s">
        <v>1193</v>
      </c>
      <c r="J60" s="227" t="s">
        <v>1439</v>
      </c>
      <c r="K60" s="219" t="s">
        <v>1213</v>
      </c>
      <c r="L60" s="220"/>
    </row>
    <row r="61">
      <c r="A61" s="209">
        <v>2021.0</v>
      </c>
      <c r="B61" s="335" t="s">
        <v>607</v>
      </c>
      <c r="C61" s="209" t="s">
        <v>485</v>
      </c>
      <c r="D61" s="208" t="s">
        <v>1442</v>
      </c>
      <c r="E61" s="209">
        <v>4.1160002E7</v>
      </c>
      <c r="F61" s="209" t="s">
        <v>1087</v>
      </c>
      <c r="G61" s="209" t="s">
        <v>152</v>
      </c>
      <c r="H61" s="336">
        <v>141478.98</v>
      </c>
      <c r="I61" s="227" t="s">
        <v>1062</v>
      </c>
      <c r="J61" s="209" t="s">
        <v>265</v>
      </c>
      <c r="K61" s="335" t="s">
        <v>1445</v>
      </c>
      <c r="L61" s="220"/>
    </row>
    <row r="62">
      <c r="A62" s="120">
        <v>2022.0</v>
      </c>
      <c r="B62" s="120" t="s">
        <v>611</v>
      </c>
      <c r="C62" s="135" t="s">
        <v>14</v>
      </c>
      <c r="D62" s="135" t="s">
        <v>74</v>
      </c>
      <c r="E62" s="135">
        <v>4.1160005E7</v>
      </c>
      <c r="F62" s="135" t="s">
        <v>20</v>
      </c>
      <c r="G62" s="135" t="s">
        <v>152</v>
      </c>
      <c r="H62" s="165">
        <v>250000.0</v>
      </c>
      <c r="I62" s="135" t="s">
        <v>490</v>
      </c>
      <c r="J62" s="135" t="s">
        <v>1082</v>
      </c>
      <c r="K62" s="340" t="s">
        <v>1332</v>
      </c>
      <c r="L62" s="160"/>
    </row>
    <row r="63">
      <c r="A63" s="344">
        <v>2019.0</v>
      </c>
      <c r="B63" s="346" t="s">
        <v>613</v>
      </c>
      <c r="C63" s="344" t="s">
        <v>1065</v>
      </c>
      <c r="D63" s="344" t="s">
        <v>1451</v>
      </c>
      <c r="E63" s="351"/>
      <c r="F63" s="344" t="s">
        <v>151</v>
      </c>
      <c r="G63" s="344" t="s">
        <v>152</v>
      </c>
      <c r="H63" s="353">
        <v>140000.0</v>
      </c>
      <c r="I63" s="344" t="s">
        <v>560</v>
      </c>
      <c r="J63" s="344" t="s">
        <v>110</v>
      </c>
      <c r="K63" s="344" t="s">
        <v>1434</v>
      </c>
      <c r="L63" s="355" t="s">
        <v>1457</v>
      </c>
    </row>
    <row r="64">
      <c r="A64" s="135">
        <v>2020.0</v>
      </c>
      <c r="B64" s="356" t="s">
        <v>102</v>
      </c>
      <c r="C64" s="135" t="s">
        <v>14</v>
      </c>
      <c r="D64" s="135" t="s">
        <v>1459</v>
      </c>
      <c r="E64" s="135">
        <v>4.1160003E7</v>
      </c>
      <c r="F64" s="135" t="s">
        <v>1459</v>
      </c>
      <c r="G64" s="135" t="s">
        <v>152</v>
      </c>
      <c r="H64" s="165">
        <v>3780227.0</v>
      </c>
      <c r="I64" s="135" t="s">
        <v>200</v>
      </c>
      <c r="J64" s="242" t="s">
        <v>110</v>
      </c>
      <c r="K64" s="359"/>
      <c r="L64" s="361"/>
    </row>
    <row r="65">
      <c r="A65" s="135">
        <v>2021.0</v>
      </c>
      <c r="B65" s="356" t="s">
        <v>102</v>
      </c>
      <c r="C65" s="135" t="s">
        <v>14</v>
      </c>
      <c r="D65" s="135" t="s">
        <v>1462</v>
      </c>
      <c r="E65" s="135">
        <v>4.1160006E7</v>
      </c>
      <c r="F65" s="363" t="s">
        <v>1210</v>
      </c>
      <c r="G65" s="135" t="s">
        <v>152</v>
      </c>
      <c r="H65" s="165">
        <v>2814993.0</v>
      </c>
      <c r="I65" s="135" t="s">
        <v>200</v>
      </c>
      <c r="J65" s="242" t="s">
        <v>110</v>
      </c>
      <c r="K65" s="364"/>
      <c r="L65" s="361"/>
    </row>
    <row r="66">
      <c r="A66" s="366">
        <v>2020.0</v>
      </c>
      <c r="B66" s="366" t="s">
        <v>102</v>
      </c>
      <c r="C66" s="366" t="s">
        <v>1094</v>
      </c>
      <c r="D66" s="366" t="s">
        <v>1133</v>
      </c>
      <c r="E66" s="368">
        <v>4.1160012E7</v>
      </c>
      <c r="F66" s="366" t="s">
        <v>151</v>
      </c>
      <c r="G66" s="366" t="s">
        <v>152</v>
      </c>
      <c r="H66" s="370">
        <v>162125.0</v>
      </c>
      <c r="I66" s="366" t="s">
        <v>155</v>
      </c>
      <c r="J66" s="366" t="s">
        <v>1476</v>
      </c>
      <c r="K66" s="368" t="s">
        <v>1136</v>
      </c>
      <c r="L66" s="366"/>
    </row>
    <row r="67">
      <c r="A67" s="366">
        <v>2020.0</v>
      </c>
      <c r="B67" s="366" t="s">
        <v>102</v>
      </c>
      <c r="C67" s="366" t="s">
        <v>1094</v>
      </c>
      <c r="D67" s="366" t="s">
        <v>1133</v>
      </c>
      <c r="E67" s="368">
        <v>4.1160012E7</v>
      </c>
      <c r="F67" s="366" t="s">
        <v>151</v>
      </c>
      <c r="G67" s="366" t="s">
        <v>152</v>
      </c>
      <c r="H67" s="370"/>
      <c r="I67" s="366" t="s">
        <v>155</v>
      </c>
      <c r="J67" s="366" t="s">
        <v>1478</v>
      </c>
      <c r="K67" s="368" t="s">
        <v>1479</v>
      </c>
      <c r="L67" s="366"/>
    </row>
    <row r="68">
      <c r="A68" s="229">
        <v>2020.0</v>
      </c>
      <c r="B68" s="229" t="s">
        <v>102</v>
      </c>
      <c r="C68" s="229" t="s">
        <v>485</v>
      </c>
      <c r="D68" s="229" t="s">
        <v>1480</v>
      </c>
      <c r="E68" s="282" t="s">
        <v>578</v>
      </c>
      <c r="F68" s="229" t="s">
        <v>488</v>
      </c>
      <c r="G68" s="229" t="s">
        <v>152</v>
      </c>
      <c r="H68" s="246">
        <v>1874000.0</v>
      </c>
      <c r="I68" s="229" t="s">
        <v>389</v>
      </c>
      <c r="J68" s="242" t="s">
        <v>110</v>
      </c>
      <c r="K68" s="229" t="s">
        <v>1483</v>
      </c>
      <c r="L68" s="377" t="s">
        <v>1484</v>
      </c>
    </row>
    <row r="69">
      <c r="A69" s="229">
        <v>2020.0</v>
      </c>
      <c r="B69" s="229" t="s">
        <v>102</v>
      </c>
      <c r="C69" s="229" t="s">
        <v>14</v>
      </c>
      <c r="D69" s="229" t="s">
        <v>74</v>
      </c>
      <c r="E69" s="229">
        <v>4.1160001E7</v>
      </c>
      <c r="F69" s="229" t="s">
        <v>193</v>
      </c>
      <c r="G69" s="229" t="s">
        <v>84</v>
      </c>
      <c r="H69" s="246">
        <v>100000.0</v>
      </c>
      <c r="I69" s="229" t="s">
        <v>200</v>
      </c>
      <c r="J69" s="242" t="s">
        <v>110</v>
      </c>
      <c r="K69" s="229" t="s">
        <v>1023</v>
      </c>
      <c r="L69" s="244"/>
    </row>
    <row r="70">
      <c r="A70" s="379">
        <v>2020.0</v>
      </c>
      <c r="B70" s="379" t="s">
        <v>102</v>
      </c>
      <c r="C70" s="379" t="s">
        <v>1065</v>
      </c>
      <c r="D70" s="379" t="s">
        <v>1143</v>
      </c>
      <c r="E70" s="381"/>
      <c r="F70" s="379" t="s">
        <v>151</v>
      </c>
      <c r="G70" s="379" t="s">
        <v>152</v>
      </c>
      <c r="H70" s="383">
        <v>209500.0</v>
      </c>
      <c r="I70" s="379" t="s">
        <v>389</v>
      </c>
      <c r="J70" s="379" t="s">
        <v>1067</v>
      </c>
      <c r="K70" s="379" t="s">
        <v>1144</v>
      </c>
      <c r="L70" s="387" t="s">
        <v>1509</v>
      </c>
    </row>
    <row r="71">
      <c r="A71" s="209">
        <v>2022.0</v>
      </c>
      <c r="B71" s="208" t="s">
        <v>102</v>
      </c>
      <c r="C71" s="209" t="s">
        <v>485</v>
      </c>
      <c r="D71" s="208" t="s">
        <v>1480</v>
      </c>
      <c r="E71" s="120">
        <v>7120004.0</v>
      </c>
      <c r="F71" s="120" t="s">
        <v>488</v>
      </c>
      <c r="G71" s="120" t="s">
        <v>84</v>
      </c>
      <c r="H71" s="211">
        <v>106674.25</v>
      </c>
      <c r="I71" s="120" t="s">
        <v>1516</v>
      </c>
      <c r="J71" s="227" t="s">
        <v>1208</v>
      </c>
      <c r="K71" s="219" t="s">
        <v>1213</v>
      </c>
      <c r="L71" s="220"/>
    </row>
    <row r="72">
      <c r="A72" s="388">
        <v>2020.0</v>
      </c>
      <c r="B72" s="389" t="s">
        <v>102</v>
      </c>
      <c r="C72" s="390" t="s">
        <v>139</v>
      </c>
      <c r="D72" s="391"/>
      <c r="E72" s="391"/>
      <c r="F72" s="366" t="s">
        <v>151</v>
      </c>
      <c r="G72" s="366" t="s">
        <v>152</v>
      </c>
      <c r="H72" s="397">
        <v>384370.17</v>
      </c>
      <c r="I72" s="388" t="s">
        <v>389</v>
      </c>
      <c r="J72" s="366" t="s">
        <v>1534</v>
      </c>
      <c r="K72" s="390" t="s">
        <v>1341</v>
      </c>
      <c r="L72" s="399"/>
    </row>
    <row r="73">
      <c r="A73" s="229">
        <v>2019.0</v>
      </c>
      <c r="B73" s="229" t="s">
        <v>619</v>
      </c>
      <c r="C73" s="229" t="s">
        <v>556</v>
      </c>
      <c r="D73" s="229" t="s">
        <v>1016</v>
      </c>
      <c r="E73" s="229">
        <v>7.1220005E7</v>
      </c>
      <c r="F73" s="229" t="s">
        <v>558</v>
      </c>
      <c r="G73" s="229" t="s">
        <v>152</v>
      </c>
      <c r="H73" s="246">
        <v>64000.0</v>
      </c>
      <c r="I73" s="229" t="s">
        <v>560</v>
      </c>
      <c r="J73" s="229" t="s">
        <v>110</v>
      </c>
      <c r="K73" s="229" t="s">
        <v>561</v>
      </c>
      <c r="L73" s="239" t="s">
        <v>563</v>
      </c>
    </row>
    <row r="74">
      <c r="A74" s="229">
        <v>2020.0</v>
      </c>
      <c r="B74" s="229" t="s">
        <v>141</v>
      </c>
      <c r="C74" s="229" t="s">
        <v>14</v>
      </c>
      <c r="D74" s="229" t="s">
        <v>74</v>
      </c>
      <c r="E74" s="229">
        <v>4.1160009E7</v>
      </c>
      <c r="F74" s="229" t="s">
        <v>488</v>
      </c>
      <c r="G74" s="229" t="s">
        <v>84</v>
      </c>
      <c r="H74" s="246">
        <v>150000.0</v>
      </c>
      <c r="I74" s="229" t="s">
        <v>490</v>
      </c>
      <c r="J74" s="242" t="s">
        <v>110</v>
      </c>
      <c r="K74" s="229" t="s">
        <v>491</v>
      </c>
      <c r="L74" s="239" t="s">
        <v>1545</v>
      </c>
    </row>
    <row r="75">
      <c r="A75" s="120">
        <v>2022.0</v>
      </c>
      <c r="B75" s="120" t="s">
        <v>632</v>
      </c>
      <c r="C75" s="135" t="s">
        <v>485</v>
      </c>
      <c r="D75" s="248" t="s">
        <v>1126</v>
      </c>
      <c r="E75" s="135">
        <v>4.1160003E7</v>
      </c>
      <c r="F75" s="120" t="s">
        <v>1087</v>
      </c>
      <c r="G75" s="135" t="s">
        <v>152</v>
      </c>
      <c r="H75" s="165">
        <v>260500.0</v>
      </c>
      <c r="I75" s="135" t="s">
        <v>200</v>
      </c>
      <c r="J75" s="135" t="s">
        <v>1082</v>
      </c>
      <c r="K75" s="179" t="s">
        <v>1546</v>
      </c>
      <c r="L75" s="160"/>
    </row>
    <row r="76">
      <c r="A76" s="405">
        <v>2020.0</v>
      </c>
      <c r="B76" s="405" t="s">
        <v>632</v>
      </c>
      <c r="C76" s="405" t="s">
        <v>139</v>
      </c>
      <c r="D76" s="409" t="s">
        <v>1194</v>
      </c>
      <c r="E76" s="405">
        <v>4.116001E7</v>
      </c>
      <c r="F76" s="405" t="s">
        <v>151</v>
      </c>
      <c r="G76" s="405" t="s">
        <v>152</v>
      </c>
      <c r="H76" s="414">
        <v>162142.85</v>
      </c>
      <c r="I76" s="405" t="s">
        <v>155</v>
      </c>
      <c r="J76" s="405" t="s">
        <v>1196</v>
      </c>
      <c r="K76" s="409" t="s">
        <v>1197</v>
      </c>
      <c r="L76" s="405"/>
    </row>
    <row r="77">
      <c r="A77" s="229">
        <v>2019.0</v>
      </c>
      <c r="B77" s="229" t="s">
        <v>632</v>
      </c>
      <c r="C77" s="229" t="s">
        <v>556</v>
      </c>
      <c r="D77" s="229" t="s">
        <v>1014</v>
      </c>
      <c r="E77" s="229">
        <v>7.1220005E7</v>
      </c>
      <c r="F77" s="229" t="s">
        <v>558</v>
      </c>
      <c r="G77" s="229" t="s">
        <v>152</v>
      </c>
      <c r="H77" s="246">
        <v>63000.0</v>
      </c>
      <c r="I77" s="229" t="s">
        <v>560</v>
      </c>
      <c r="J77" s="229" t="s">
        <v>110</v>
      </c>
      <c r="K77" s="229" t="s">
        <v>561</v>
      </c>
      <c r="L77" s="239" t="s">
        <v>563</v>
      </c>
    </row>
    <row r="78">
      <c r="A78" s="229">
        <v>2020.0</v>
      </c>
      <c r="B78" s="229" t="s">
        <v>632</v>
      </c>
      <c r="C78" s="229" t="s">
        <v>485</v>
      </c>
      <c r="D78" s="229" t="s">
        <v>1126</v>
      </c>
      <c r="E78" s="229">
        <v>4.1160005E7</v>
      </c>
      <c r="F78" s="229" t="s">
        <v>488</v>
      </c>
      <c r="G78" s="229" t="s">
        <v>84</v>
      </c>
      <c r="H78" s="246">
        <v>100000.0</v>
      </c>
      <c r="I78" s="229" t="s">
        <v>490</v>
      </c>
      <c r="J78" s="242" t="s">
        <v>110</v>
      </c>
      <c r="K78" s="229" t="s">
        <v>1076</v>
      </c>
      <c r="L78" s="239" t="s">
        <v>1127</v>
      </c>
    </row>
    <row r="79" ht="27.75" customHeight="1">
      <c r="A79" s="120">
        <v>2020.0</v>
      </c>
      <c r="B79" s="120" t="s">
        <v>310</v>
      </c>
      <c r="C79" s="120" t="s">
        <v>1094</v>
      </c>
      <c r="D79" s="120" t="s">
        <v>1200</v>
      </c>
      <c r="E79" s="325">
        <v>4.1160012E7</v>
      </c>
      <c r="F79" s="120" t="s">
        <v>151</v>
      </c>
      <c r="G79" s="120" t="s">
        <v>152</v>
      </c>
      <c r="H79" s="327">
        <v>162125.0</v>
      </c>
      <c r="I79" s="120" t="s">
        <v>155</v>
      </c>
      <c r="J79" s="120" t="s">
        <v>1134</v>
      </c>
      <c r="K79" s="325" t="s">
        <v>1136</v>
      </c>
      <c r="L79" s="120"/>
    </row>
    <row r="80">
      <c r="A80" s="242">
        <v>2020.0</v>
      </c>
      <c r="B80" s="242" t="s">
        <v>310</v>
      </c>
      <c r="C80" s="242" t="s">
        <v>485</v>
      </c>
      <c r="D80" s="242" t="s">
        <v>999</v>
      </c>
      <c r="E80" s="231" t="s">
        <v>578</v>
      </c>
      <c r="F80" s="229" t="s">
        <v>488</v>
      </c>
      <c r="G80" s="242" t="s">
        <v>84</v>
      </c>
      <c r="H80" s="233">
        <v>60000.0</v>
      </c>
      <c r="I80" s="242" t="s">
        <v>389</v>
      </c>
      <c r="J80" s="242" t="s">
        <v>110</v>
      </c>
      <c r="K80" s="242" t="s">
        <v>589</v>
      </c>
      <c r="L80" s="244"/>
    </row>
    <row r="81">
      <c r="A81" s="191">
        <v>2021.0</v>
      </c>
      <c r="B81" s="190" t="s">
        <v>310</v>
      </c>
      <c r="C81" s="191" t="s">
        <v>485</v>
      </c>
      <c r="D81" s="190" t="s">
        <v>999</v>
      </c>
      <c r="E81" s="192">
        <v>4.1160003E7</v>
      </c>
      <c r="F81" s="192" t="s">
        <v>488</v>
      </c>
      <c r="G81" s="192" t="s">
        <v>84</v>
      </c>
      <c r="H81" s="194">
        <v>210000.0</v>
      </c>
      <c r="I81" s="192" t="s">
        <v>1062</v>
      </c>
      <c r="J81" s="192" t="s">
        <v>1567</v>
      </c>
      <c r="K81" s="190" t="s">
        <v>1569</v>
      </c>
      <c r="L81" s="197"/>
    </row>
    <row r="82">
      <c r="A82" s="229">
        <v>2020.0</v>
      </c>
      <c r="B82" s="229" t="s">
        <v>165</v>
      </c>
      <c r="C82" s="229" t="s">
        <v>14</v>
      </c>
      <c r="D82" s="229" t="s">
        <v>74</v>
      </c>
      <c r="E82" s="229">
        <v>4.1160001E7</v>
      </c>
      <c r="F82" s="229" t="s">
        <v>193</v>
      </c>
      <c r="G82" s="229" t="s">
        <v>84</v>
      </c>
      <c r="H82" s="246">
        <v>100000.0</v>
      </c>
      <c r="I82" s="229" t="s">
        <v>490</v>
      </c>
      <c r="J82" s="242" t="s">
        <v>110</v>
      </c>
      <c r="K82" s="229" t="s">
        <v>1023</v>
      </c>
      <c r="L82" s="244"/>
    </row>
    <row r="83">
      <c r="A83" s="229">
        <v>2020.0</v>
      </c>
      <c r="B83" s="229" t="s">
        <v>165</v>
      </c>
      <c r="C83" s="229" t="s">
        <v>14</v>
      </c>
      <c r="D83" s="229" t="s">
        <v>74</v>
      </c>
      <c r="E83" s="229">
        <v>4.1160004E7</v>
      </c>
      <c r="F83" s="229" t="s">
        <v>1572</v>
      </c>
      <c r="G83" s="229" t="s">
        <v>1573</v>
      </c>
      <c r="H83" s="246">
        <v>300000.0</v>
      </c>
      <c r="I83" s="229" t="s">
        <v>490</v>
      </c>
      <c r="J83" s="229" t="s">
        <v>1574</v>
      </c>
      <c r="K83" s="229" t="s">
        <v>1576</v>
      </c>
      <c r="L83" s="239" t="s">
        <v>1577</v>
      </c>
    </row>
    <row r="84">
      <c r="A84" s="229">
        <v>2020.0</v>
      </c>
      <c r="B84" s="229" t="s">
        <v>182</v>
      </c>
      <c r="C84" s="229" t="s">
        <v>485</v>
      </c>
      <c r="D84" s="229" t="s">
        <v>1579</v>
      </c>
      <c r="E84" s="229">
        <v>4.1160005E7</v>
      </c>
      <c r="F84" s="229" t="s">
        <v>488</v>
      </c>
      <c r="G84" s="229" t="s">
        <v>84</v>
      </c>
      <c r="H84" s="246">
        <v>200000.0</v>
      </c>
      <c r="I84" s="229" t="s">
        <v>490</v>
      </c>
      <c r="J84" s="242" t="s">
        <v>110</v>
      </c>
      <c r="K84" s="229" t="s">
        <v>1076</v>
      </c>
      <c r="L84" s="239" t="s">
        <v>1581</v>
      </c>
    </row>
    <row r="85">
      <c r="A85" s="209">
        <v>2022.0</v>
      </c>
      <c r="B85" s="208" t="s">
        <v>182</v>
      </c>
      <c r="C85" s="209" t="s">
        <v>485</v>
      </c>
      <c r="D85" s="208" t="s">
        <v>1583</v>
      </c>
      <c r="E85" s="120">
        <v>7120004.0</v>
      </c>
      <c r="F85" s="120" t="s">
        <v>488</v>
      </c>
      <c r="G85" s="120" t="s">
        <v>84</v>
      </c>
      <c r="H85" s="211">
        <v>250000.0</v>
      </c>
      <c r="I85" s="120" t="s">
        <v>1193</v>
      </c>
      <c r="J85" s="227" t="s">
        <v>1584</v>
      </c>
      <c r="K85" s="219" t="s">
        <v>1213</v>
      </c>
      <c r="L85" s="220"/>
    </row>
    <row r="86">
      <c r="A86" s="229">
        <v>2020.0</v>
      </c>
      <c r="B86" s="229" t="s">
        <v>114</v>
      </c>
      <c r="C86" s="229" t="s">
        <v>14</v>
      </c>
      <c r="D86" s="229" t="s">
        <v>74</v>
      </c>
      <c r="E86" s="229">
        <v>4.1160009E7</v>
      </c>
      <c r="F86" s="229" t="s">
        <v>488</v>
      </c>
      <c r="G86" s="229" t="s">
        <v>84</v>
      </c>
      <c r="H86" s="246">
        <v>100000.0</v>
      </c>
      <c r="I86" s="229" t="s">
        <v>490</v>
      </c>
      <c r="J86" s="242" t="s">
        <v>110</v>
      </c>
      <c r="K86" s="229" t="s">
        <v>1131</v>
      </c>
      <c r="L86" s="239" t="s">
        <v>1132</v>
      </c>
    </row>
    <row r="87">
      <c r="A87" s="229">
        <v>2021.0</v>
      </c>
      <c r="B87" s="229" t="s">
        <v>114</v>
      </c>
      <c r="C87" s="229" t="s">
        <v>14</v>
      </c>
      <c r="D87" s="229" t="s">
        <v>74</v>
      </c>
      <c r="E87" s="421">
        <v>4.1160004E7</v>
      </c>
      <c r="F87" s="229" t="s">
        <v>20</v>
      </c>
      <c r="G87" s="229" t="s">
        <v>152</v>
      </c>
      <c r="H87" s="233">
        <v>250000.0</v>
      </c>
      <c r="I87" s="229" t="s">
        <v>490</v>
      </c>
      <c r="J87" s="234" t="s">
        <v>265</v>
      </c>
      <c r="K87" s="236" t="s">
        <v>1588</v>
      </c>
      <c r="L87" s="239"/>
    </row>
    <row r="88">
      <c r="A88" s="135">
        <v>2021.0</v>
      </c>
      <c r="B88" s="135" t="s">
        <v>651</v>
      </c>
      <c r="C88" s="135" t="s">
        <v>1094</v>
      </c>
      <c r="D88" s="135" t="s">
        <v>1216</v>
      </c>
      <c r="E88" s="423">
        <v>4.1160001E7</v>
      </c>
      <c r="F88" s="120" t="s">
        <v>151</v>
      </c>
      <c r="G88" s="135" t="s">
        <v>152</v>
      </c>
      <c r="H88" s="327">
        <v>333333.0</v>
      </c>
      <c r="I88" s="120" t="s">
        <v>155</v>
      </c>
      <c r="J88" s="135"/>
      <c r="K88" s="424" t="s">
        <v>1218</v>
      </c>
      <c r="L88" s="205"/>
    </row>
    <row r="89">
      <c r="A89" s="209"/>
      <c r="B89" s="222" t="s">
        <v>657</v>
      </c>
      <c r="C89" s="222" t="s">
        <v>1065</v>
      </c>
      <c r="D89" s="224"/>
      <c r="E89" s="224"/>
      <c r="F89" s="224"/>
      <c r="G89" s="224"/>
      <c r="H89" s="268">
        <v>384370.17</v>
      </c>
      <c r="I89" s="120"/>
      <c r="J89" s="227"/>
      <c r="K89" s="222" t="s">
        <v>1341</v>
      </c>
      <c r="L89" s="220"/>
    </row>
    <row r="90">
      <c r="A90" s="229">
        <v>2020.0</v>
      </c>
      <c r="B90" s="229" t="s">
        <v>658</v>
      </c>
      <c r="C90" s="229" t="s">
        <v>14</v>
      </c>
      <c r="D90" s="229" t="s">
        <v>74</v>
      </c>
      <c r="E90" s="229">
        <v>4.1160009E7</v>
      </c>
      <c r="F90" s="229" t="s">
        <v>488</v>
      </c>
      <c r="G90" s="229" t="s">
        <v>84</v>
      </c>
      <c r="H90" s="246">
        <v>150000.0</v>
      </c>
      <c r="I90" s="229" t="s">
        <v>490</v>
      </c>
      <c r="J90" s="242" t="s">
        <v>110</v>
      </c>
      <c r="K90" s="229" t="s">
        <v>1595</v>
      </c>
      <c r="L90" s="244"/>
    </row>
    <row r="91">
      <c r="A91" s="135">
        <v>2021.0</v>
      </c>
      <c r="B91" s="135" t="s">
        <v>666</v>
      </c>
      <c r="C91" s="135" t="s">
        <v>1094</v>
      </c>
      <c r="D91" s="135" t="s">
        <v>1238</v>
      </c>
      <c r="E91" s="423">
        <v>4.1160001E7</v>
      </c>
      <c r="F91" s="120" t="s">
        <v>151</v>
      </c>
      <c r="G91" s="135" t="s">
        <v>152</v>
      </c>
      <c r="H91" s="327">
        <v>333333.0</v>
      </c>
      <c r="I91" s="120" t="s">
        <v>155</v>
      </c>
      <c r="J91" s="135"/>
      <c r="K91" s="424" t="s">
        <v>1218</v>
      </c>
      <c r="L91" s="205"/>
    </row>
    <row r="92" ht="76.5" customHeight="1">
      <c r="A92" s="120">
        <v>2022.0</v>
      </c>
      <c r="B92" s="120" t="s">
        <v>48</v>
      </c>
      <c r="C92" s="135" t="s">
        <v>14</v>
      </c>
      <c r="D92" s="135" t="s">
        <v>74</v>
      </c>
      <c r="E92" s="135">
        <v>4.1160007E7</v>
      </c>
      <c r="F92" s="363" t="s">
        <v>1210</v>
      </c>
      <c r="G92" s="135" t="s">
        <v>152</v>
      </c>
      <c r="H92" s="165">
        <v>500000.0</v>
      </c>
      <c r="I92" s="135" t="s">
        <v>200</v>
      </c>
      <c r="J92" s="135" t="s">
        <v>1082</v>
      </c>
      <c r="K92" s="179"/>
      <c r="L92" s="160"/>
    </row>
    <row r="93">
      <c r="A93" s="229">
        <v>2020.0</v>
      </c>
      <c r="B93" s="229" t="s">
        <v>48</v>
      </c>
      <c r="C93" s="229" t="s">
        <v>485</v>
      </c>
      <c r="D93" s="229" t="s">
        <v>599</v>
      </c>
      <c r="E93" s="282" t="s">
        <v>578</v>
      </c>
      <c r="F93" s="229" t="s">
        <v>488</v>
      </c>
      <c r="G93" s="229" t="s">
        <v>84</v>
      </c>
      <c r="H93" s="246">
        <v>50000.0</v>
      </c>
      <c r="I93" s="229" t="s">
        <v>389</v>
      </c>
      <c r="J93" s="242" t="s">
        <v>110</v>
      </c>
      <c r="K93" s="425" t="s">
        <v>600</v>
      </c>
      <c r="L93" s="244"/>
    </row>
    <row r="94">
      <c r="A94" s="209"/>
      <c r="B94" s="222" t="s">
        <v>188</v>
      </c>
      <c r="C94" s="222" t="s">
        <v>139</v>
      </c>
      <c r="D94" s="224"/>
      <c r="E94" s="224"/>
      <c r="F94" s="224"/>
      <c r="G94" s="224"/>
      <c r="H94" s="268">
        <v>234954.25</v>
      </c>
      <c r="I94" s="120"/>
      <c r="J94" s="227"/>
      <c r="K94" s="222" t="s">
        <v>1227</v>
      </c>
      <c r="L94" s="220"/>
    </row>
    <row r="95" ht="82.5" customHeight="1">
      <c r="A95" s="242">
        <v>2020.0</v>
      </c>
      <c r="B95" s="242" t="s">
        <v>449</v>
      </c>
      <c r="C95" s="242" t="s">
        <v>14</v>
      </c>
      <c r="D95" s="242" t="s">
        <v>74</v>
      </c>
      <c r="E95" s="242">
        <v>4.1160009E7</v>
      </c>
      <c r="F95" s="242" t="s">
        <v>193</v>
      </c>
      <c r="G95" s="242" t="s">
        <v>84</v>
      </c>
      <c r="H95" s="233">
        <v>150000.0</v>
      </c>
      <c r="I95" s="242" t="s">
        <v>490</v>
      </c>
      <c r="J95" s="242" t="s">
        <v>110</v>
      </c>
      <c r="K95" s="242" t="s">
        <v>1023</v>
      </c>
      <c r="L95" s="244"/>
    </row>
    <row r="96">
      <c r="A96" s="229">
        <v>2019.0</v>
      </c>
      <c r="B96" s="229" t="s">
        <v>505</v>
      </c>
      <c r="C96" s="229" t="s">
        <v>556</v>
      </c>
      <c r="D96" s="229" t="s">
        <v>557</v>
      </c>
      <c r="E96" s="229">
        <v>7.1220005E7</v>
      </c>
      <c r="F96" s="229" t="s">
        <v>558</v>
      </c>
      <c r="G96" s="229" t="s">
        <v>152</v>
      </c>
      <c r="H96" s="246">
        <v>50000.0</v>
      </c>
      <c r="I96" s="229" t="s">
        <v>560</v>
      </c>
      <c r="J96" s="229" t="s">
        <v>110</v>
      </c>
      <c r="K96" s="229" t="s">
        <v>561</v>
      </c>
      <c r="L96" s="239" t="s">
        <v>563</v>
      </c>
    </row>
    <row r="97">
      <c r="A97" s="229">
        <v>2019.0</v>
      </c>
      <c r="B97" s="229" t="s">
        <v>678</v>
      </c>
      <c r="C97" s="229" t="s">
        <v>556</v>
      </c>
      <c r="D97" s="229" t="s">
        <v>1057</v>
      </c>
      <c r="E97" s="229">
        <v>7.1220005E7</v>
      </c>
      <c r="F97" s="229" t="s">
        <v>558</v>
      </c>
      <c r="G97" s="229" t="s">
        <v>152</v>
      </c>
      <c r="H97" s="246">
        <v>78705.88</v>
      </c>
      <c r="I97" s="229" t="s">
        <v>560</v>
      </c>
      <c r="J97" s="229" t="s">
        <v>110</v>
      </c>
      <c r="K97" s="229" t="s">
        <v>561</v>
      </c>
      <c r="L97" s="239" t="s">
        <v>563</v>
      </c>
    </row>
    <row r="98">
      <c r="A98" s="229">
        <v>2020.0</v>
      </c>
      <c r="B98" s="229" t="s">
        <v>681</v>
      </c>
      <c r="C98" s="229" t="s">
        <v>14</v>
      </c>
      <c r="D98" s="229" t="s">
        <v>74</v>
      </c>
      <c r="E98" s="229">
        <v>4.1160001E7</v>
      </c>
      <c r="F98" s="229" t="s">
        <v>193</v>
      </c>
      <c r="G98" s="229" t="s">
        <v>84</v>
      </c>
      <c r="H98" s="246">
        <v>100000.0</v>
      </c>
      <c r="I98" s="229" t="s">
        <v>490</v>
      </c>
      <c r="J98" s="242" t="s">
        <v>110</v>
      </c>
      <c r="K98" s="229" t="s">
        <v>1138</v>
      </c>
      <c r="L98" s="239" t="s">
        <v>1139</v>
      </c>
    </row>
    <row r="99">
      <c r="A99" s="229">
        <v>2019.0</v>
      </c>
      <c r="B99" s="229" t="s">
        <v>191</v>
      </c>
      <c r="C99" s="229" t="s">
        <v>485</v>
      </c>
      <c r="D99" s="229" t="s">
        <v>606</v>
      </c>
      <c r="E99" s="229">
        <v>7.1220009E7</v>
      </c>
      <c r="F99" s="229" t="s">
        <v>488</v>
      </c>
      <c r="G99" s="229" t="s">
        <v>84</v>
      </c>
      <c r="H99" s="246">
        <v>250000.0</v>
      </c>
      <c r="I99" s="229" t="s">
        <v>389</v>
      </c>
      <c r="J99" s="229" t="s">
        <v>110</v>
      </c>
      <c r="K99" s="229" t="s">
        <v>1076</v>
      </c>
      <c r="L99" s="239" t="s">
        <v>1606</v>
      </c>
    </row>
    <row r="100">
      <c r="A100" s="229">
        <v>2020.0</v>
      </c>
      <c r="B100" s="229" t="s">
        <v>191</v>
      </c>
      <c r="C100" s="229" t="s">
        <v>485</v>
      </c>
      <c r="D100" s="229" t="s">
        <v>606</v>
      </c>
      <c r="E100" s="282" t="s">
        <v>578</v>
      </c>
      <c r="F100" s="229" t="s">
        <v>488</v>
      </c>
      <c r="G100" s="229" t="s">
        <v>84</v>
      </c>
      <c r="H100" s="246">
        <v>50000.0</v>
      </c>
      <c r="I100" s="229" t="s">
        <v>389</v>
      </c>
      <c r="J100" s="242" t="s">
        <v>110</v>
      </c>
      <c r="K100" s="425" t="s">
        <v>600</v>
      </c>
      <c r="L100" s="244"/>
    </row>
    <row r="101">
      <c r="A101" s="229">
        <v>2020.0</v>
      </c>
      <c r="B101" s="229" t="s">
        <v>191</v>
      </c>
      <c r="C101" s="229" t="s">
        <v>14</v>
      </c>
      <c r="D101" s="229" t="s">
        <v>74</v>
      </c>
      <c r="E101" s="229">
        <v>4.1160001E7</v>
      </c>
      <c r="F101" s="229" t="s">
        <v>193</v>
      </c>
      <c r="G101" s="229" t="s">
        <v>84</v>
      </c>
      <c r="H101" s="246">
        <v>100000.0</v>
      </c>
      <c r="I101" s="229" t="s">
        <v>490</v>
      </c>
      <c r="J101" s="242" t="s">
        <v>110</v>
      </c>
      <c r="K101" s="229" t="s">
        <v>1030</v>
      </c>
      <c r="L101" s="244"/>
    </row>
    <row r="102">
      <c r="A102" s="229">
        <v>2020.0</v>
      </c>
      <c r="B102" s="229" t="s">
        <v>698</v>
      </c>
      <c r="C102" s="229" t="s">
        <v>485</v>
      </c>
      <c r="D102" s="229" t="s">
        <v>1147</v>
      </c>
      <c r="E102" s="229">
        <v>4.1160005E7</v>
      </c>
      <c r="F102" s="229" t="s">
        <v>488</v>
      </c>
      <c r="G102" s="229" t="s">
        <v>84</v>
      </c>
      <c r="H102" s="246">
        <v>100000.0</v>
      </c>
      <c r="I102" s="229" t="s">
        <v>490</v>
      </c>
      <c r="J102" s="242" t="s">
        <v>110</v>
      </c>
      <c r="K102" s="229" t="s">
        <v>1076</v>
      </c>
      <c r="L102" s="244"/>
    </row>
    <row r="103">
      <c r="A103" s="242">
        <v>2020.0</v>
      </c>
      <c r="B103" s="242" t="s">
        <v>458</v>
      </c>
      <c r="C103" s="242" t="s">
        <v>14</v>
      </c>
      <c r="D103" s="242" t="s">
        <v>74</v>
      </c>
      <c r="E103" s="242">
        <v>4.1160009E7</v>
      </c>
      <c r="F103" s="242" t="s">
        <v>488</v>
      </c>
      <c r="G103" s="242" t="s">
        <v>84</v>
      </c>
      <c r="H103" s="233">
        <v>68418.0</v>
      </c>
      <c r="I103" s="242" t="s">
        <v>490</v>
      </c>
      <c r="J103" s="242" t="s">
        <v>110</v>
      </c>
      <c r="K103" s="242" t="s">
        <v>1030</v>
      </c>
      <c r="L103" s="239" t="s">
        <v>1045</v>
      </c>
    </row>
    <row r="104">
      <c r="A104" s="120">
        <v>2022.0</v>
      </c>
      <c r="B104" s="120" t="s">
        <v>198</v>
      </c>
      <c r="C104" s="135" t="s">
        <v>14</v>
      </c>
      <c r="D104" s="135" t="s">
        <v>74</v>
      </c>
      <c r="E104" s="135">
        <v>4.1160007E7</v>
      </c>
      <c r="F104" s="363" t="s">
        <v>1210</v>
      </c>
      <c r="G104" s="135" t="s">
        <v>152</v>
      </c>
      <c r="H104" s="165">
        <v>1139365.0</v>
      </c>
      <c r="I104" s="135" t="s">
        <v>200</v>
      </c>
      <c r="J104" s="135" t="s">
        <v>1082</v>
      </c>
      <c r="K104" s="179"/>
      <c r="L104" s="160"/>
    </row>
    <row r="105">
      <c r="A105" s="229">
        <v>2019.0</v>
      </c>
      <c r="B105" s="229" t="s">
        <v>198</v>
      </c>
      <c r="C105" s="229" t="s">
        <v>485</v>
      </c>
      <c r="D105" s="229" t="s">
        <v>1610</v>
      </c>
      <c r="E105" s="229">
        <v>7.1220009E7</v>
      </c>
      <c r="F105" s="229" t="s">
        <v>488</v>
      </c>
      <c r="G105" s="229" t="s">
        <v>84</v>
      </c>
      <c r="H105" s="246">
        <v>250000.0</v>
      </c>
      <c r="I105" s="229" t="s">
        <v>389</v>
      </c>
      <c r="J105" s="229" t="s">
        <v>110</v>
      </c>
      <c r="K105" s="229" t="s">
        <v>1076</v>
      </c>
      <c r="L105" s="244"/>
    </row>
    <row r="106">
      <c r="A106" s="229">
        <v>2020.0</v>
      </c>
      <c r="B106" s="229" t="s">
        <v>198</v>
      </c>
      <c r="C106" s="229" t="s">
        <v>485</v>
      </c>
      <c r="D106" s="229" t="s">
        <v>618</v>
      </c>
      <c r="E106" s="282" t="s">
        <v>578</v>
      </c>
      <c r="F106" s="229" t="s">
        <v>488</v>
      </c>
      <c r="G106" s="229" t="s">
        <v>84</v>
      </c>
      <c r="H106" s="246">
        <v>50000.0</v>
      </c>
      <c r="I106" s="229" t="s">
        <v>389</v>
      </c>
      <c r="J106" s="64" t="s">
        <v>110</v>
      </c>
      <c r="K106" s="425" t="s">
        <v>600</v>
      </c>
      <c r="L106" s="244"/>
    </row>
    <row r="107">
      <c r="A107" s="135">
        <v>2021.0</v>
      </c>
      <c r="B107" s="219" t="s">
        <v>198</v>
      </c>
      <c r="C107" s="135" t="s">
        <v>485</v>
      </c>
      <c r="D107" s="219" t="s">
        <v>1613</v>
      </c>
      <c r="E107" s="135">
        <v>4.1160002E7</v>
      </c>
      <c r="F107" s="135" t="s">
        <v>1087</v>
      </c>
      <c r="G107" s="135" t="s">
        <v>152</v>
      </c>
      <c r="H107" s="203">
        <v>570714.02</v>
      </c>
      <c r="I107" s="120" t="s">
        <v>1062</v>
      </c>
      <c r="J107" s="135" t="s">
        <v>1614</v>
      </c>
      <c r="K107" s="201" t="s">
        <v>1615</v>
      </c>
      <c r="L107" s="205"/>
    </row>
    <row r="108">
      <c r="A108" s="135">
        <v>2021.0</v>
      </c>
      <c r="B108" s="135" t="s">
        <v>198</v>
      </c>
      <c r="C108" s="135" t="s">
        <v>1094</v>
      </c>
      <c r="D108" s="135" t="s">
        <v>1242</v>
      </c>
      <c r="E108" s="423">
        <v>4.1160001E7</v>
      </c>
      <c r="F108" s="120" t="s">
        <v>151</v>
      </c>
      <c r="G108" s="135" t="s">
        <v>152</v>
      </c>
      <c r="H108" s="327">
        <v>333333.0</v>
      </c>
      <c r="I108" s="120" t="s">
        <v>155</v>
      </c>
      <c r="J108" s="146" t="s">
        <v>1082</v>
      </c>
      <c r="K108" s="424" t="s">
        <v>1218</v>
      </c>
      <c r="L108" s="205"/>
    </row>
    <row r="109">
      <c r="A109" s="229">
        <v>2020.0</v>
      </c>
      <c r="B109" s="229" t="s">
        <v>735</v>
      </c>
      <c r="C109" s="229" t="s">
        <v>485</v>
      </c>
      <c r="D109" s="229" t="s">
        <v>1617</v>
      </c>
      <c r="E109" s="229">
        <v>4.1160005E7</v>
      </c>
      <c r="F109" s="229" t="s">
        <v>1559</v>
      </c>
      <c r="G109" s="229" t="s">
        <v>84</v>
      </c>
      <c r="H109" s="246">
        <v>200000.0</v>
      </c>
      <c r="I109" s="229" t="s">
        <v>490</v>
      </c>
      <c r="J109" s="242" t="s">
        <v>110</v>
      </c>
      <c r="K109" s="229" t="s">
        <v>1618</v>
      </c>
      <c r="L109" s="239" t="s">
        <v>1619</v>
      </c>
    </row>
    <row r="110">
      <c r="A110" s="229">
        <v>2019.0</v>
      </c>
      <c r="B110" s="229" t="s">
        <v>470</v>
      </c>
      <c r="C110" s="229" t="s">
        <v>556</v>
      </c>
      <c r="D110" s="229" t="s">
        <v>927</v>
      </c>
      <c r="E110" s="229">
        <v>7.1220005E7</v>
      </c>
      <c r="F110" s="229" t="s">
        <v>558</v>
      </c>
      <c r="G110" s="229" t="s">
        <v>152</v>
      </c>
      <c r="H110" s="246">
        <v>54000.0</v>
      </c>
      <c r="I110" s="229" t="s">
        <v>560</v>
      </c>
      <c r="J110" s="229" t="s">
        <v>110</v>
      </c>
      <c r="K110" s="229" t="s">
        <v>561</v>
      </c>
      <c r="L110" s="239" t="s">
        <v>563</v>
      </c>
    </row>
    <row r="111">
      <c r="A111" s="229">
        <v>2020.0</v>
      </c>
      <c r="B111" s="229" t="s">
        <v>470</v>
      </c>
      <c r="C111" s="229" t="s">
        <v>485</v>
      </c>
      <c r="D111" s="229" t="s">
        <v>1623</v>
      </c>
      <c r="E111" s="229">
        <v>4.1160009E7</v>
      </c>
      <c r="F111" s="242" t="s">
        <v>488</v>
      </c>
      <c r="G111" s="229" t="s">
        <v>84</v>
      </c>
      <c r="H111" s="246">
        <v>150000.0</v>
      </c>
      <c r="I111" s="229" t="s">
        <v>490</v>
      </c>
      <c r="J111" s="242" t="s">
        <v>110</v>
      </c>
      <c r="K111" s="229" t="s">
        <v>1131</v>
      </c>
      <c r="L111" s="239" t="s">
        <v>1624</v>
      </c>
    </row>
    <row r="112">
      <c r="A112" s="229">
        <v>2020.0</v>
      </c>
      <c r="B112" s="229" t="s">
        <v>115</v>
      </c>
      <c r="C112" s="229" t="s">
        <v>485</v>
      </c>
      <c r="D112" s="229" t="s">
        <v>1625</v>
      </c>
      <c r="E112" s="229">
        <v>4.1160005E7</v>
      </c>
      <c r="F112" s="229" t="s">
        <v>488</v>
      </c>
      <c r="G112" s="229" t="s">
        <v>84</v>
      </c>
      <c r="H112" s="246">
        <v>200000.0</v>
      </c>
      <c r="I112" s="229" t="s">
        <v>490</v>
      </c>
      <c r="J112" s="242" t="s">
        <v>110</v>
      </c>
      <c r="K112" s="229" t="s">
        <v>1076</v>
      </c>
      <c r="L112" s="239" t="s">
        <v>1627</v>
      </c>
    </row>
    <row r="113">
      <c r="A113" s="229">
        <v>2020.0</v>
      </c>
      <c r="B113" s="229" t="s">
        <v>115</v>
      </c>
      <c r="C113" s="229" t="s">
        <v>14</v>
      </c>
      <c r="D113" s="229" t="s">
        <v>74</v>
      </c>
      <c r="E113" s="229">
        <v>4.1160004E7</v>
      </c>
      <c r="F113" s="229" t="s">
        <v>1572</v>
      </c>
      <c r="G113" s="229" t="s">
        <v>1573</v>
      </c>
      <c r="H113" s="246">
        <v>300000.0</v>
      </c>
      <c r="I113" s="229" t="s">
        <v>490</v>
      </c>
      <c r="J113" s="229" t="s">
        <v>1574</v>
      </c>
      <c r="K113" s="229" t="s">
        <v>1576</v>
      </c>
      <c r="L113" s="239" t="s">
        <v>1577</v>
      </c>
    </row>
    <row r="114" ht="132.0" customHeight="1">
      <c r="A114" s="135">
        <v>2021.0</v>
      </c>
      <c r="B114" s="201" t="s">
        <v>115</v>
      </c>
      <c r="C114" s="135" t="s">
        <v>220</v>
      </c>
      <c r="D114" s="442" t="s">
        <v>74</v>
      </c>
      <c r="E114" s="135">
        <v>4.1160002E7</v>
      </c>
      <c r="F114" s="135" t="s">
        <v>1087</v>
      </c>
      <c r="G114" s="135" t="s">
        <v>152</v>
      </c>
      <c r="H114" s="444">
        <v>146165.0</v>
      </c>
      <c r="I114" s="120" t="s">
        <v>1062</v>
      </c>
      <c r="J114" s="135" t="s">
        <v>1303</v>
      </c>
      <c r="K114" s="219" t="s">
        <v>1635</v>
      </c>
      <c r="L114" s="205"/>
    </row>
    <row r="115">
      <c r="A115" s="242">
        <v>2020.0</v>
      </c>
      <c r="B115" s="242" t="s">
        <v>210</v>
      </c>
      <c r="C115" s="242" t="s">
        <v>566</v>
      </c>
      <c r="D115" s="242" t="s">
        <v>734</v>
      </c>
      <c r="E115" s="231" t="s">
        <v>578</v>
      </c>
      <c r="F115" s="242" t="s">
        <v>488</v>
      </c>
      <c r="G115" s="242" t="s">
        <v>84</v>
      </c>
      <c r="H115" s="233">
        <v>50000.0</v>
      </c>
      <c r="I115" s="242" t="s">
        <v>724</v>
      </c>
      <c r="J115" s="242" t="s">
        <v>110</v>
      </c>
      <c r="K115" s="242" t="s">
        <v>571</v>
      </c>
      <c r="L115" s="244"/>
    </row>
    <row r="116">
      <c r="A116" s="120">
        <v>2022.0</v>
      </c>
      <c r="B116" s="120" t="s">
        <v>755</v>
      </c>
      <c r="C116" s="135" t="s">
        <v>14</v>
      </c>
      <c r="D116" s="135" t="s">
        <v>74</v>
      </c>
      <c r="E116" s="135">
        <v>4.1160005E7</v>
      </c>
      <c r="F116" s="135" t="s">
        <v>20</v>
      </c>
      <c r="G116" s="135" t="s">
        <v>152</v>
      </c>
      <c r="H116" s="165">
        <v>250000.0</v>
      </c>
      <c r="I116" s="135" t="s">
        <v>490</v>
      </c>
      <c r="J116" s="135" t="s">
        <v>1082</v>
      </c>
      <c r="K116" s="179" t="s">
        <v>1325</v>
      </c>
      <c r="L116" s="160"/>
    </row>
    <row r="117">
      <c r="A117" s="120">
        <v>2022.0</v>
      </c>
      <c r="B117" s="120" t="s">
        <v>623</v>
      </c>
      <c r="C117" s="135"/>
      <c r="D117" s="248" t="s">
        <v>1237</v>
      </c>
      <c r="E117" s="135">
        <v>4.1160003E7</v>
      </c>
      <c r="F117" s="120" t="s">
        <v>1087</v>
      </c>
      <c r="G117" s="135" t="s">
        <v>152</v>
      </c>
      <c r="H117" s="165">
        <v>210000.0</v>
      </c>
      <c r="I117" s="135" t="s">
        <v>200</v>
      </c>
      <c r="J117" s="135" t="s">
        <v>1082</v>
      </c>
      <c r="K117" s="179"/>
      <c r="L117" s="160"/>
    </row>
    <row r="118">
      <c r="A118" s="229">
        <v>2020.0</v>
      </c>
      <c r="B118" s="229" t="s">
        <v>623</v>
      </c>
      <c r="C118" s="229" t="s">
        <v>485</v>
      </c>
      <c r="D118" s="229" t="s">
        <v>631</v>
      </c>
      <c r="E118" s="282" t="s">
        <v>578</v>
      </c>
      <c r="F118" s="229" t="s">
        <v>488</v>
      </c>
      <c r="G118" s="229" t="s">
        <v>84</v>
      </c>
      <c r="H118" s="246">
        <v>50000.0</v>
      </c>
      <c r="I118" s="229" t="s">
        <v>389</v>
      </c>
      <c r="J118" s="242" t="s">
        <v>110</v>
      </c>
      <c r="K118" s="425" t="s">
        <v>600</v>
      </c>
      <c r="L118" s="244"/>
    </row>
    <row r="119">
      <c r="A119" s="229">
        <v>2020.0</v>
      </c>
      <c r="B119" s="229" t="s">
        <v>338</v>
      </c>
      <c r="C119" s="229" t="s">
        <v>485</v>
      </c>
      <c r="D119" s="229" t="s">
        <v>1153</v>
      </c>
      <c r="E119" s="229">
        <v>4.1160009E7</v>
      </c>
      <c r="F119" s="229" t="s">
        <v>488</v>
      </c>
      <c r="G119" s="229" t="s">
        <v>84</v>
      </c>
      <c r="H119" s="246">
        <v>100000.0</v>
      </c>
      <c r="I119" s="229" t="s">
        <v>490</v>
      </c>
      <c r="J119" s="242" t="s">
        <v>110</v>
      </c>
      <c r="K119" s="229" t="s">
        <v>1076</v>
      </c>
      <c r="L119" s="239" t="s">
        <v>1155</v>
      </c>
    </row>
    <row r="120" ht="157.5" customHeight="1">
      <c r="A120" s="209">
        <v>2022.0</v>
      </c>
      <c r="B120" s="208" t="s">
        <v>338</v>
      </c>
      <c r="C120" s="209" t="s">
        <v>485</v>
      </c>
      <c r="D120" s="208" t="s">
        <v>1642</v>
      </c>
      <c r="E120" s="120">
        <v>7120004.0</v>
      </c>
      <c r="F120" s="120" t="s">
        <v>488</v>
      </c>
      <c r="G120" s="120" t="s">
        <v>84</v>
      </c>
      <c r="H120" s="211">
        <v>500000.0</v>
      </c>
      <c r="I120" s="120" t="s">
        <v>1193</v>
      </c>
      <c r="J120" s="227" t="s">
        <v>1208</v>
      </c>
      <c r="K120" s="219" t="s">
        <v>1213</v>
      </c>
      <c r="L120" s="220"/>
    </row>
    <row r="121">
      <c r="A121" s="120">
        <v>2022.0</v>
      </c>
      <c r="B121" s="120" t="s">
        <v>779</v>
      </c>
      <c r="C121" s="135" t="s">
        <v>485</v>
      </c>
      <c r="D121" s="248" t="s">
        <v>1251</v>
      </c>
      <c r="E121" s="135">
        <v>4.1160003E7</v>
      </c>
      <c r="F121" s="120" t="s">
        <v>1087</v>
      </c>
      <c r="G121" s="135" t="s">
        <v>152</v>
      </c>
      <c r="H121" s="165">
        <v>100000.0</v>
      </c>
      <c r="I121" s="135" t="s">
        <v>200</v>
      </c>
      <c r="J121" s="135" t="s">
        <v>1082</v>
      </c>
      <c r="K121" s="179"/>
      <c r="L121" s="160"/>
    </row>
    <row r="122">
      <c r="A122" s="120">
        <v>2022.0</v>
      </c>
      <c r="B122" s="120" t="s">
        <v>496</v>
      </c>
      <c r="C122" s="135" t="s">
        <v>14</v>
      </c>
      <c r="D122" s="135" t="s">
        <v>74</v>
      </c>
      <c r="E122" s="135">
        <v>4.1160005E7</v>
      </c>
      <c r="F122" s="135" t="s">
        <v>20</v>
      </c>
      <c r="G122" s="135" t="s">
        <v>152</v>
      </c>
      <c r="H122" s="165">
        <v>250000.0</v>
      </c>
      <c r="I122" s="135" t="s">
        <v>490</v>
      </c>
      <c r="J122" s="135" t="s">
        <v>1082</v>
      </c>
      <c r="K122" s="179" t="s">
        <v>1344</v>
      </c>
      <c r="L122" s="160"/>
    </row>
    <row r="123">
      <c r="A123" s="242">
        <v>2020.0</v>
      </c>
      <c r="B123" s="242" t="s">
        <v>496</v>
      </c>
      <c r="C123" s="242" t="s">
        <v>566</v>
      </c>
      <c r="D123" s="242" t="s">
        <v>739</v>
      </c>
      <c r="E123" s="231" t="s">
        <v>578</v>
      </c>
      <c r="F123" s="242" t="s">
        <v>488</v>
      </c>
      <c r="G123" s="242" t="s">
        <v>84</v>
      </c>
      <c r="H123" s="233">
        <v>50000.0</v>
      </c>
      <c r="I123" s="242" t="s">
        <v>724</v>
      </c>
      <c r="J123" s="242" t="s">
        <v>110</v>
      </c>
      <c r="K123" s="242" t="s">
        <v>571</v>
      </c>
      <c r="L123" s="239" t="s">
        <v>743</v>
      </c>
    </row>
    <row r="124">
      <c r="A124" s="135">
        <v>2021.0</v>
      </c>
      <c r="B124" s="201" t="s">
        <v>593</v>
      </c>
      <c r="C124" s="135"/>
      <c r="D124" s="201" t="s">
        <v>1495</v>
      </c>
      <c r="E124" s="451"/>
      <c r="F124" s="135"/>
      <c r="G124" s="135"/>
      <c r="H124" s="250">
        <v>400000.0</v>
      </c>
      <c r="I124" s="120" t="s">
        <v>1062</v>
      </c>
      <c r="J124" s="135" t="s">
        <v>1648</v>
      </c>
      <c r="K124" s="219" t="s">
        <v>1649</v>
      </c>
      <c r="L124" s="205"/>
    </row>
    <row r="125">
      <c r="A125" s="229">
        <v>2020.0</v>
      </c>
      <c r="B125" s="229" t="s">
        <v>785</v>
      </c>
      <c r="C125" s="229" t="s">
        <v>485</v>
      </c>
      <c r="D125" s="229" t="s">
        <v>1074</v>
      </c>
      <c r="E125" s="229">
        <v>4.1160005E7</v>
      </c>
      <c r="F125" s="229" t="s">
        <v>488</v>
      </c>
      <c r="G125" s="229" t="s">
        <v>84</v>
      </c>
      <c r="H125" s="246">
        <v>86000.0</v>
      </c>
      <c r="I125" s="229" t="s">
        <v>1075</v>
      </c>
      <c r="J125" s="242" t="s">
        <v>110</v>
      </c>
      <c r="K125" s="229" t="s">
        <v>1076</v>
      </c>
      <c r="L125" s="239" t="s">
        <v>1077</v>
      </c>
    </row>
    <row r="126">
      <c r="A126" s="209">
        <v>2022.0</v>
      </c>
      <c r="B126" s="208" t="s">
        <v>785</v>
      </c>
      <c r="C126" s="209" t="s">
        <v>485</v>
      </c>
      <c r="D126" s="208" t="s">
        <v>1653</v>
      </c>
      <c r="E126" s="120">
        <v>7120004.0</v>
      </c>
      <c r="F126" s="120" t="s">
        <v>488</v>
      </c>
      <c r="G126" s="120" t="s">
        <v>84</v>
      </c>
      <c r="H126" s="211">
        <v>200000.0</v>
      </c>
      <c r="I126" s="120" t="s">
        <v>1193</v>
      </c>
      <c r="J126" s="227" t="s">
        <v>1208</v>
      </c>
      <c r="K126" s="219" t="s">
        <v>1213</v>
      </c>
      <c r="L126" s="220"/>
    </row>
    <row r="127">
      <c r="A127" s="120">
        <v>2022.0</v>
      </c>
      <c r="B127" s="120" t="s">
        <v>757</v>
      </c>
      <c r="C127" s="135" t="s">
        <v>14</v>
      </c>
      <c r="D127" s="135" t="s">
        <v>74</v>
      </c>
      <c r="E127" s="135">
        <v>4.1160007E7</v>
      </c>
      <c r="F127" s="363" t="s">
        <v>1210</v>
      </c>
      <c r="G127" s="135"/>
      <c r="H127" s="165">
        <v>500000.0</v>
      </c>
      <c r="I127" s="135" t="s">
        <v>200</v>
      </c>
      <c r="J127" s="135" t="s">
        <v>1082</v>
      </c>
      <c r="K127" s="179"/>
      <c r="L127" s="160"/>
    </row>
    <row r="128">
      <c r="A128" s="229">
        <v>2020.0</v>
      </c>
      <c r="B128" s="229" t="s">
        <v>757</v>
      </c>
      <c r="C128" s="229" t="s">
        <v>14</v>
      </c>
      <c r="D128" s="229" t="s">
        <v>74</v>
      </c>
      <c r="E128" s="229">
        <v>4.1160001E7</v>
      </c>
      <c r="F128" s="229" t="s">
        <v>193</v>
      </c>
      <c r="G128" s="229" t="s">
        <v>84</v>
      </c>
      <c r="H128" s="246">
        <v>67727.0</v>
      </c>
      <c r="I128" s="229" t="s">
        <v>89</v>
      </c>
      <c r="J128" s="242" t="s">
        <v>110</v>
      </c>
      <c r="K128" s="229" t="s">
        <v>1030</v>
      </c>
      <c r="L128" s="239" t="s">
        <v>1031</v>
      </c>
    </row>
    <row r="129">
      <c r="A129" s="242">
        <v>2020.0</v>
      </c>
      <c r="B129" s="242" t="s">
        <v>757</v>
      </c>
      <c r="C129" s="242" t="s">
        <v>566</v>
      </c>
      <c r="D129" s="242" t="s">
        <v>567</v>
      </c>
      <c r="E129" s="231" t="s">
        <v>578</v>
      </c>
      <c r="F129" s="242" t="s">
        <v>488</v>
      </c>
      <c r="G129" s="242" t="s">
        <v>84</v>
      </c>
      <c r="H129" s="233">
        <v>50000.0</v>
      </c>
      <c r="I129" s="242" t="s">
        <v>724</v>
      </c>
      <c r="J129" s="242" t="s">
        <v>110</v>
      </c>
      <c r="K129" s="242" t="s">
        <v>571</v>
      </c>
      <c r="L129" s="244"/>
    </row>
    <row r="130">
      <c r="A130" s="229">
        <v>2021.0</v>
      </c>
      <c r="B130" s="229" t="s">
        <v>796</v>
      </c>
      <c r="C130" s="229" t="s">
        <v>14</v>
      </c>
      <c r="D130" s="229" t="s">
        <v>74</v>
      </c>
      <c r="E130" s="421">
        <v>4.1160004E7</v>
      </c>
      <c r="F130" s="229" t="s">
        <v>20</v>
      </c>
      <c r="G130" s="229" t="s">
        <v>152</v>
      </c>
      <c r="H130" s="233">
        <v>250000.0</v>
      </c>
      <c r="I130" s="229" t="s">
        <v>490</v>
      </c>
      <c r="J130" s="234" t="s">
        <v>265</v>
      </c>
      <c r="K130" s="236" t="s">
        <v>1660</v>
      </c>
      <c r="L130" s="239"/>
    </row>
    <row r="131">
      <c r="A131" s="173">
        <v>2020.0</v>
      </c>
      <c r="B131" s="173" t="s">
        <v>796</v>
      </c>
      <c r="C131" s="173" t="s">
        <v>1065</v>
      </c>
      <c r="D131" s="173" t="s">
        <v>1286</v>
      </c>
      <c r="E131" s="273">
        <v>7.1220004E7</v>
      </c>
      <c r="F131" s="173" t="s">
        <v>151</v>
      </c>
      <c r="G131" s="173" t="s">
        <v>152</v>
      </c>
      <c r="H131" s="275">
        <v>137569.0</v>
      </c>
      <c r="I131" s="173" t="s">
        <v>389</v>
      </c>
      <c r="J131" s="173" t="s">
        <v>1067</v>
      </c>
      <c r="K131" s="173" t="s">
        <v>1287</v>
      </c>
      <c r="L131" s="160" t="s">
        <v>1509</v>
      </c>
    </row>
    <row r="132">
      <c r="A132" s="229">
        <v>2020.0</v>
      </c>
      <c r="B132" s="229" t="s">
        <v>219</v>
      </c>
      <c r="C132" s="229" t="s">
        <v>485</v>
      </c>
      <c r="D132" s="229" t="s">
        <v>641</v>
      </c>
      <c r="E132" s="282" t="s">
        <v>578</v>
      </c>
      <c r="F132" s="229" t="s">
        <v>488</v>
      </c>
      <c r="G132" s="229" t="s">
        <v>84</v>
      </c>
      <c r="H132" s="246">
        <v>50000.0</v>
      </c>
      <c r="I132" s="229" t="s">
        <v>389</v>
      </c>
      <c r="J132" s="242" t="s">
        <v>110</v>
      </c>
      <c r="K132" s="425" t="s">
        <v>600</v>
      </c>
      <c r="L132" s="244"/>
    </row>
    <row r="133">
      <c r="A133" s="229">
        <v>2020.0</v>
      </c>
      <c r="B133" s="229" t="s">
        <v>219</v>
      </c>
      <c r="C133" s="229" t="s">
        <v>14</v>
      </c>
      <c r="D133" s="229" t="s">
        <v>74</v>
      </c>
      <c r="E133" s="229">
        <v>4.1160009E7</v>
      </c>
      <c r="F133" s="229" t="s">
        <v>488</v>
      </c>
      <c r="G133" s="229" t="s">
        <v>84</v>
      </c>
      <c r="H133" s="246">
        <v>100000.0</v>
      </c>
      <c r="I133" s="229" t="s">
        <v>490</v>
      </c>
      <c r="J133" s="242" t="s">
        <v>110</v>
      </c>
      <c r="K133" s="229" t="s">
        <v>1076</v>
      </c>
      <c r="L133" s="239" t="s">
        <v>1157</v>
      </c>
    </row>
    <row r="134">
      <c r="A134" s="135">
        <v>2021.0</v>
      </c>
      <c r="B134" s="201" t="s">
        <v>798</v>
      </c>
      <c r="C134" s="135" t="s">
        <v>220</v>
      </c>
      <c r="D134" s="442" t="s">
        <v>74</v>
      </c>
      <c r="E134" s="257">
        <v>4.1160003E7</v>
      </c>
      <c r="F134" s="135" t="s">
        <v>488</v>
      </c>
      <c r="G134" s="135" t="s">
        <v>84</v>
      </c>
      <c r="H134" s="203">
        <v>350000.0</v>
      </c>
      <c r="I134" s="120" t="s">
        <v>1062</v>
      </c>
      <c r="J134" s="135" t="s">
        <v>1665</v>
      </c>
      <c r="K134" s="219" t="s">
        <v>1667</v>
      </c>
      <c r="L134" s="205"/>
    </row>
    <row r="135">
      <c r="A135" s="120">
        <v>2022.0</v>
      </c>
      <c r="B135" s="120" t="s">
        <v>239</v>
      </c>
      <c r="C135" s="135"/>
      <c r="D135" s="248" t="s">
        <v>1226</v>
      </c>
      <c r="E135" s="135">
        <v>4.1160003E7</v>
      </c>
      <c r="F135" s="120" t="s">
        <v>1087</v>
      </c>
      <c r="G135" s="135" t="s">
        <v>152</v>
      </c>
      <c r="H135" s="165">
        <v>1000000.0</v>
      </c>
      <c r="I135" s="135" t="s">
        <v>200</v>
      </c>
      <c r="J135" s="135" t="s">
        <v>1082</v>
      </c>
      <c r="K135" s="179"/>
      <c r="L135" s="160"/>
    </row>
    <row r="136">
      <c r="A136" s="229">
        <v>2020.0</v>
      </c>
      <c r="B136" s="229" t="s">
        <v>239</v>
      </c>
      <c r="C136" s="229" t="s">
        <v>485</v>
      </c>
      <c r="D136" s="229" t="s">
        <v>1669</v>
      </c>
      <c r="E136" s="229">
        <v>4.1160005E7</v>
      </c>
      <c r="F136" s="229" t="s">
        <v>488</v>
      </c>
      <c r="G136" s="229" t="s">
        <v>84</v>
      </c>
      <c r="H136" s="246">
        <v>200000.0</v>
      </c>
      <c r="I136" s="229" t="s">
        <v>490</v>
      </c>
      <c r="J136" s="242" t="s">
        <v>110</v>
      </c>
      <c r="K136" s="229" t="s">
        <v>491</v>
      </c>
      <c r="L136" s="239" t="s">
        <v>1670</v>
      </c>
    </row>
    <row r="137">
      <c r="A137" s="229">
        <v>2020.0</v>
      </c>
      <c r="B137" s="229" t="s">
        <v>239</v>
      </c>
      <c r="C137" s="229" t="s">
        <v>485</v>
      </c>
      <c r="D137" s="229" t="s">
        <v>1159</v>
      </c>
      <c r="E137" s="229">
        <v>4.1160005E7</v>
      </c>
      <c r="F137" s="229" t="s">
        <v>488</v>
      </c>
      <c r="G137" s="229" t="s">
        <v>84</v>
      </c>
      <c r="H137" s="246">
        <v>100000.0</v>
      </c>
      <c r="I137" s="229" t="s">
        <v>490</v>
      </c>
      <c r="J137" s="242" t="s">
        <v>110</v>
      </c>
      <c r="K137" s="229" t="s">
        <v>491</v>
      </c>
      <c r="L137" s="244"/>
    </row>
    <row r="138">
      <c r="A138" s="229">
        <v>2020.0</v>
      </c>
      <c r="B138" s="229" t="s">
        <v>239</v>
      </c>
      <c r="C138" s="229" t="s">
        <v>485</v>
      </c>
      <c r="D138" s="229" t="s">
        <v>1159</v>
      </c>
      <c r="E138" s="282" t="s">
        <v>578</v>
      </c>
      <c r="F138" s="229" t="s">
        <v>488</v>
      </c>
      <c r="G138" s="229" t="s">
        <v>84</v>
      </c>
      <c r="H138" s="246">
        <v>250000.0</v>
      </c>
      <c r="I138" s="229" t="s">
        <v>389</v>
      </c>
      <c r="J138" s="242" t="s">
        <v>110</v>
      </c>
      <c r="K138" s="425" t="s">
        <v>600</v>
      </c>
      <c r="L138" s="244"/>
    </row>
    <row r="139">
      <c r="A139" s="120">
        <v>2021.0</v>
      </c>
      <c r="B139" s="120" t="s">
        <v>239</v>
      </c>
      <c r="C139" s="120" t="s">
        <v>251</v>
      </c>
      <c r="D139" s="120" t="s">
        <v>1295</v>
      </c>
      <c r="E139" s="325">
        <v>4.1160001E7</v>
      </c>
      <c r="F139" s="120" t="s">
        <v>151</v>
      </c>
      <c r="G139" s="120" t="s">
        <v>152</v>
      </c>
      <c r="H139" s="327">
        <v>26383.34</v>
      </c>
      <c r="I139" s="120" t="s">
        <v>155</v>
      </c>
      <c r="J139" s="146" t="s">
        <v>1082</v>
      </c>
      <c r="K139" s="459" t="s">
        <v>267</v>
      </c>
      <c r="L139" s="205"/>
    </row>
    <row r="140">
      <c r="A140" s="229">
        <v>2019.0</v>
      </c>
      <c r="B140" s="229" t="s">
        <v>810</v>
      </c>
      <c r="C140" s="229" t="s">
        <v>556</v>
      </c>
      <c r="D140" s="229" t="s">
        <v>1018</v>
      </c>
      <c r="E140" s="229">
        <v>7.1220005E7</v>
      </c>
      <c r="F140" s="229" t="s">
        <v>558</v>
      </c>
      <c r="G140" s="229" t="s">
        <v>152</v>
      </c>
      <c r="H140" s="246">
        <v>66000.0</v>
      </c>
      <c r="I140" s="229" t="s">
        <v>560</v>
      </c>
      <c r="J140" s="229" t="s">
        <v>110</v>
      </c>
      <c r="K140" s="229" t="s">
        <v>561</v>
      </c>
      <c r="L140" s="239" t="s">
        <v>563</v>
      </c>
    </row>
    <row r="141">
      <c r="A141" s="229">
        <v>2020.0</v>
      </c>
      <c r="B141" s="229" t="s">
        <v>812</v>
      </c>
      <c r="C141" s="229" t="s">
        <v>14</v>
      </c>
      <c r="D141" s="229" t="s">
        <v>74</v>
      </c>
      <c r="E141" s="229">
        <v>4.1160009E7</v>
      </c>
      <c r="F141" s="229" t="s">
        <v>488</v>
      </c>
      <c r="G141" s="229" t="s">
        <v>84</v>
      </c>
      <c r="H141" s="246">
        <v>100000.0</v>
      </c>
      <c r="I141" s="229" t="s">
        <v>490</v>
      </c>
      <c r="J141" s="242" t="s">
        <v>110</v>
      </c>
      <c r="K141" s="229" t="s">
        <v>491</v>
      </c>
      <c r="L141" s="239" t="s">
        <v>1161</v>
      </c>
    </row>
    <row r="142">
      <c r="A142" s="209">
        <v>2021.0</v>
      </c>
      <c r="B142" s="335" t="s">
        <v>816</v>
      </c>
      <c r="C142" s="209"/>
      <c r="D142" s="335" t="s">
        <v>1495</v>
      </c>
      <c r="E142" s="227">
        <v>4.1160002E7</v>
      </c>
      <c r="F142" s="227" t="s">
        <v>1087</v>
      </c>
      <c r="G142" s="227" t="s">
        <v>152</v>
      </c>
      <c r="H142" s="336">
        <v>105000.0</v>
      </c>
      <c r="I142" s="227" t="s">
        <v>1062</v>
      </c>
      <c r="J142" s="227" t="s">
        <v>1090</v>
      </c>
      <c r="K142" s="335" t="s">
        <v>1498</v>
      </c>
      <c r="L142" s="220"/>
    </row>
    <row r="143">
      <c r="A143" s="229">
        <v>2019.0</v>
      </c>
      <c r="B143" s="229" t="s">
        <v>462</v>
      </c>
      <c r="C143" s="229" t="s">
        <v>485</v>
      </c>
      <c r="D143" s="229" t="s">
        <v>1105</v>
      </c>
      <c r="E143" s="229">
        <v>7.1220009E7</v>
      </c>
      <c r="F143" s="229" t="s">
        <v>488</v>
      </c>
      <c r="G143" s="229" t="s">
        <v>84</v>
      </c>
      <c r="H143" s="246">
        <v>250000.0</v>
      </c>
      <c r="I143" s="229" t="s">
        <v>389</v>
      </c>
      <c r="J143" s="229" t="s">
        <v>110</v>
      </c>
      <c r="K143" s="302" t="s">
        <v>1076</v>
      </c>
      <c r="L143" s="244"/>
    </row>
    <row r="144">
      <c r="A144" s="229">
        <v>2020.0</v>
      </c>
      <c r="B144" s="229" t="s">
        <v>462</v>
      </c>
      <c r="C144" s="229" t="s">
        <v>485</v>
      </c>
      <c r="D144" s="229" t="s">
        <v>1105</v>
      </c>
      <c r="E144" s="282" t="s">
        <v>578</v>
      </c>
      <c r="F144" s="229" t="s">
        <v>488</v>
      </c>
      <c r="G144" s="229" t="s">
        <v>84</v>
      </c>
      <c r="H144" s="246">
        <v>100000.0</v>
      </c>
      <c r="I144" s="229" t="s">
        <v>389</v>
      </c>
      <c r="J144" s="242" t="s">
        <v>110</v>
      </c>
      <c r="K144" s="425" t="s">
        <v>600</v>
      </c>
      <c r="L144" s="244"/>
    </row>
    <row r="145">
      <c r="A145" s="344">
        <v>2021.0</v>
      </c>
      <c r="B145" s="346" t="s">
        <v>821</v>
      </c>
      <c r="C145" s="344" t="s">
        <v>1097</v>
      </c>
      <c r="D145" s="344" t="s">
        <v>1097</v>
      </c>
      <c r="E145" s="461">
        <v>4.11660007E8</v>
      </c>
      <c r="F145" s="344" t="s">
        <v>151</v>
      </c>
      <c r="G145" s="344" t="s">
        <v>152</v>
      </c>
      <c r="H145" s="353">
        <v>114993.0</v>
      </c>
      <c r="I145" s="344" t="s">
        <v>155</v>
      </c>
      <c r="J145" s="346" t="s">
        <v>1417</v>
      </c>
      <c r="K145" s="462" t="s">
        <v>1113</v>
      </c>
      <c r="L145" s="355"/>
    </row>
    <row r="146">
      <c r="A146" s="120">
        <v>2022.0</v>
      </c>
      <c r="B146" s="120" t="s">
        <v>821</v>
      </c>
      <c r="C146" s="229" t="s">
        <v>485</v>
      </c>
      <c r="D146" s="248" t="s">
        <v>1215</v>
      </c>
      <c r="E146" s="135">
        <v>4.1160003E7</v>
      </c>
      <c r="F146" s="120" t="s">
        <v>1087</v>
      </c>
      <c r="G146" s="135" t="s">
        <v>152</v>
      </c>
      <c r="H146" s="165">
        <v>720000.0</v>
      </c>
      <c r="I146" s="135" t="s">
        <v>200</v>
      </c>
      <c r="J146" s="135" t="s">
        <v>1082</v>
      </c>
      <c r="K146" s="179" t="s">
        <v>1689</v>
      </c>
      <c r="L146" s="160"/>
    </row>
    <row r="147">
      <c r="A147" s="120">
        <v>2022.0</v>
      </c>
      <c r="B147" s="120" t="s">
        <v>821</v>
      </c>
      <c r="C147" s="135"/>
      <c r="D147" s="248" t="s">
        <v>1234</v>
      </c>
      <c r="E147" s="135">
        <v>4.1160003E7</v>
      </c>
      <c r="F147" s="120" t="s">
        <v>1087</v>
      </c>
      <c r="G147" s="135" t="s">
        <v>152</v>
      </c>
      <c r="H147" s="165">
        <v>135000.0</v>
      </c>
      <c r="I147" s="135" t="s">
        <v>200</v>
      </c>
      <c r="J147" s="135" t="s">
        <v>1082</v>
      </c>
      <c r="K147" s="179"/>
      <c r="L147" s="160"/>
    </row>
    <row r="148">
      <c r="A148" s="405">
        <v>2020.0</v>
      </c>
      <c r="B148" s="409" t="s">
        <v>821</v>
      </c>
      <c r="C148" s="405" t="s">
        <v>139</v>
      </c>
      <c r="D148" s="405" t="s">
        <v>1317</v>
      </c>
      <c r="E148" s="405">
        <v>4.116001E7</v>
      </c>
      <c r="F148" s="405" t="s">
        <v>151</v>
      </c>
      <c r="G148" s="405" t="s">
        <v>152</v>
      </c>
      <c r="H148" s="414">
        <v>162142.85</v>
      </c>
      <c r="I148" s="405" t="s">
        <v>155</v>
      </c>
      <c r="J148" s="463" t="s">
        <v>1196</v>
      </c>
      <c r="K148" s="405" t="s">
        <v>1318</v>
      </c>
      <c r="L148" s="405"/>
    </row>
    <row r="149">
      <c r="A149" s="229">
        <v>2020.0</v>
      </c>
      <c r="B149" s="229" t="s">
        <v>821</v>
      </c>
      <c r="C149" s="229" t="s">
        <v>485</v>
      </c>
      <c r="D149" s="229" t="s">
        <v>1692</v>
      </c>
      <c r="E149" s="229">
        <v>4.1160005E7</v>
      </c>
      <c r="F149" s="229" t="s">
        <v>488</v>
      </c>
      <c r="G149" s="229" t="s">
        <v>84</v>
      </c>
      <c r="H149" s="246">
        <v>250000.0</v>
      </c>
      <c r="I149" s="229" t="s">
        <v>490</v>
      </c>
      <c r="J149" s="242" t="s">
        <v>110</v>
      </c>
      <c r="K149" s="229" t="s">
        <v>491</v>
      </c>
      <c r="L149" s="239" t="s">
        <v>1695</v>
      </c>
    </row>
    <row r="150">
      <c r="A150" s="229">
        <v>2020.0</v>
      </c>
      <c r="B150" s="229" t="s">
        <v>821</v>
      </c>
      <c r="C150" s="229" t="s">
        <v>485</v>
      </c>
      <c r="D150" s="229" t="s">
        <v>1060</v>
      </c>
      <c r="E150" s="282" t="s">
        <v>578</v>
      </c>
      <c r="F150" s="229" t="s">
        <v>488</v>
      </c>
      <c r="G150" s="229" t="s">
        <v>84</v>
      </c>
      <c r="H150" s="246">
        <v>80000.0</v>
      </c>
      <c r="I150" s="229" t="s">
        <v>389</v>
      </c>
      <c r="J150" s="242" t="s">
        <v>110</v>
      </c>
      <c r="K150" s="425" t="s">
        <v>600</v>
      </c>
      <c r="L150" s="244"/>
    </row>
    <row r="151">
      <c r="A151" s="120">
        <v>2022.0</v>
      </c>
      <c r="B151" s="120" t="s">
        <v>827</v>
      </c>
      <c r="C151" s="135" t="s">
        <v>485</v>
      </c>
      <c r="D151" s="248" t="s">
        <v>1241</v>
      </c>
      <c r="E151" s="135">
        <v>4.1160003E7</v>
      </c>
      <c r="F151" s="120" t="s">
        <v>1087</v>
      </c>
      <c r="G151" s="135" t="s">
        <v>152</v>
      </c>
      <c r="H151" s="165">
        <v>187000.0</v>
      </c>
      <c r="I151" s="135" t="s">
        <v>200</v>
      </c>
      <c r="J151" s="135" t="s">
        <v>1082</v>
      </c>
      <c r="K151" s="179"/>
      <c r="L151" s="160"/>
    </row>
    <row r="152">
      <c r="A152" s="120">
        <v>2022.0</v>
      </c>
      <c r="B152" s="120" t="s">
        <v>119</v>
      </c>
      <c r="C152" s="135" t="s">
        <v>485</v>
      </c>
      <c r="D152" s="248" t="s">
        <v>1252</v>
      </c>
      <c r="E152" s="135">
        <v>4.1160003E7</v>
      </c>
      <c r="F152" s="120" t="s">
        <v>1087</v>
      </c>
      <c r="G152" s="135" t="s">
        <v>152</v>
      </c>
      <c r="H152" s="165">
        <v>150000.0</v>
      </c>
      <c r="I152" s="135" t="s">
        <v>200</v>
      </c>
      <c r="J152" s="135" t="s">
        <v>1082</v>
      </c>
      <c r="K152" s="179"/>
      <c r="L152" s="160"/>
    </row>
    <row r="153">
      <c r="A153" s="229">
        <v>2020.0</v>
      </c>
      <c r="B153" s="229" t="s">
        <v>119</v>
      </c>
      <c r="C153" s="229" t="s">
        <v>485</v>
      </c>
      <c r="D153" s="229" t="s">
        <v>1164</v>
      </c>
      <c r="E153" s="229">
        <v>4.1160005E7</v>
      </c>
      <c r="F153" s="229" t="s">
        <v>488</v>
      </c>
      <c r="G153" s="229" t="s">
        <v>84</v>
      </c>
      <c r="H153" s="246">
        <v>100000.0</v>
      </c>
      <c r="I153" s="229" t="s">
        <v>490</v>
      </c>
      <c r="J153" s="242" t="s">
        <v>110</v>
      </c>
      <c r="K153" s="229" t="s">
        <v>491</v>
      </c>
      <c r="L153" s="239" t="s">
        <v>1165</v>
      </c>
    </row>
    <row r="154">
      <c r="A154" s="229">
        <v>2021.0</v>
      </c>
      <c r="B154" s="229" t="s">
        <v>119</v>
      </c>
      <c r="C154" s="229" t="s">
        <v>14</v>
      </c>
      <c r="D154" s="229" t="s">
        <v>74</v>
      </c>
      <c r="E154" s="421">
        <v>4.1160004E7</v>
      </c>
      <c r="F154" s="229" t="s">
        <v>20</v>
      </c>
      <c r="G154" s="229" t="s">
        <v>152</v>
      </c>
      <c r="H154" s="233">
        <v>250000.0</v>
      </c>
      <c r="I154" s="229" t="s">
        <v>490</v>
      </c>
      <c r="J154" s="234" t="s">
        <v>265</v>
      </c>
      <c r="K154" s="236" t="s">
        <v>1705</v>
      </c>
      <c r="L154" s="239" t="s">
        <v>1707</v>
      </c>
    </row>
    <row r="155">
      <c r="A155" s="344">
        <v>2021.0</v>
      </c>
      <c r="B155" s="344" t="s">
        <v>119</v>
      </c>
      <c r="C155" s="346" t="s">
        <v>465</v>
      </c>
      <c r="D155" s="346" t="s">
        <v>1322</v>
      </c>
      <c r="E155" s="461">
        <v>4.1160005E7</v>
      </c>
      <c r="F155" s="344" t="s">
        <v>151</v>
      </c>
      <c r="G155" s="344" t="s">
        <v>152</v>
      </c>
      <c r="H155" s="470">
        <v>180837.86</v>
      </c>
      <c r="I155" s="344" t="s">
        <v>155</v>
      </c>
      <c r="J155" s="346" t="s">
        <v>1327</v>
      </c>
      <c r="K155" s="472" t="s">
        <v>1329</v>
      </c>
      <c r="L155" s="355"/>
    </row>
    <row r="156">
      <c r="A156" s="242">
        <v>2020.0</v>
      </c>
      <c r="B156" s="242" t="s">
        <v>245</v>
      </c>
      <c r="C156" s="242" t="s">
        <v>566</v>
      </c>
      <c r="D156" s="242" t="s">
        <v>781</v>
      </c>
      <c r="E156" s="231" t="s">
        <v>578</v>
      </c>
      <c r="F156" s="242" t="s">
        <v>488</v>
      </c>
      <c r="G156" s="242" t="s">
        <v>84</v>
      </c>
      <c r="H156" s="233">
        <v>50000.0</v>
      </c>
      <c r="I156" s="242" t="s">
        <v>724</v>
      </c>
      <c r="J156" s="242" t="s">
        <v>110</v>
      </c>
      <c r="K156" s="242" t="s">
        <v>571</v>
      </c>
      <c r="L156" s="244"/>
    </row>
    <row r="157">
      <c r="A157" s="135">
        <v>2021.0</v>
      </c>
      <c r="B157" s="201" t="s">
        <v>245</v>
      </c>
      <c r="C157" s="135" t="s">
        <v>220</v>
      </c>
      <c r="D157" s="442" t="s">
        <v>74</v>
      </c>
      <c r="E157" s="257">
        <v>4.1160003E7</v>
      </c>
      <c r="F157" s="135" t="s">
        <v>488</v>
      </c>
      <c r="G157" s="135" t="s">
        <v>84</v>
      </c>
      <c r="H157" s="203">
        <v>80000.0</v>
      </c>
      <c r="I157" s="120" t="s">
        <v>1062</v>
      </c>
      <c r="J157" s="242" t="s">
        <v>110</v>
      </c>
      <c r="K157" s="219" t="s">
        <v>1063</v>
      </c>
      <c r="L157" s="205"/>
    </row>
    <row r="158">
      <c r="A158" s="229">
        <v>2020.0</v>
      </c>
      <c r="B158" s="229" t="s">
        <v>836</v>
      </c>
      <c r="C158" s="229" t="s">
        <v>14</v>
      </c>
      <c r="D158" s="229" t="s">
        <v>74</v>
      </c>
      <c r="E158" s="229">
        <v>4.1160001E7</v>
      </c>
      <c r="F158" s="229" t="s">
        <v>193</v>
      </c>
      <c r="G158" s="229" t="s">
        <v>84</v>
      </c>
      <c r="H158" s="246">
        <v>100000.0</v>
      </c>
      <c r="I158" s="229" t="s">
        <v>490</v>
      </c>
      <c r="J158" s="242" t="s">
        <v>110</v>
      </c>
      <c r="K158" s="229" t="s">
        <v>1030</v>
      </c>
      <c r="L158" s="239" t="s">
        <v>1167</v>
      </c>
    </row>
    <row r="159">
      <c r="A159" s="229">
        <v>2019.0</v>
      </c>
      <c r="B159" s="229" t="s">
        <v>646</v>
      </c>
      <c r="C159" s="229" t="s">
        <v>485</v>
      </c>
      <c r="D159" s="229" t="s">
        <v>652</v>
      </c>
      <c r="E159" s="229">
        <v>7.1220009E7</v>
      </c>
      <c r="F159" s="229" t="s">
        <v>488</v>
      </c>
      <c r="G159" s="229" t="s">
        <v>84</v>
      </c>
      <c r="H159" s="246">
        <v>250000.0</v>
      </c>
      <c r="I159" s="229" t="s">
        <v>389</v>
      </c>
      <c r="J159" s="229" t="s">
        <v>110</v>
      </c>
      <c r="K159" s="229" t="s">
        <v>1076</v>
      </c>
      <c r="L159" s="244"/>
    </row>
    <row r="160">
      <c r="A160" s="229">
        <v>2020.0</v>
      </c>
      <c r="B160" s="229" t="s">
        <v>646</v>
      </c>
      <c r="C160" s="229" t="s">
        <v>485</v>
      </c>
      <c r="D160" s="229" t="s">
        <v>652</v>
      </c>
      <c r="E160" s="282" t="s">
        <v>578</v>
      </c>
      <c r="F160" s="229" t="s">
        <v>488</v>
      </c>
      <c r="G160" s="229" t="s">
        <v>84</v>
      </c>
      <c r="H160" s="246">
        <v>50000.0</v>
      </c>
      <c r="I160" s="229" t="s">
        <v>389</v>
      </c>
      <c r="J160" s="242" t="s">
        <v>110</v>
      </c>
      <c r="K160" s="425" t="s">
        <v>600</v>
      </c>
      <c r="L160" s="244"/>
    </row>
    <row r="161" ht="375.0" customHeight="1">
      <c r="A161" s="209">
        <v>2022.0</v>
      </c>
      <c r="B161" s="208" t="s">
        <v>646</v>
      </c>
      <c r="C161" s="209" t="s">
        <v>485</v>
      </c>
      <c r="D161" s="208" t="s">
        <v>652</v>
      </c>
      <c r="E161" s="120">
        <v>7120004.0</v>
      </c>
      <c r="F161" s="120" t="s">
        <v>488</v>
      </c>
      <c r="G161" s="120" t="s">
        <v>84</v>
      </c>
      <c r="H161" s="211">
        <v>150000.0</v>
      </c>
      <c r="I161" s="120" t="s">
        <v>1193</v>
      </c>
      <c r="J161" s="120" t="s">
        <v>1208</v>
      </c>
      <c r="K161" s="219" t="s">
        <v>1213</v>
      </c>
      <c r="L161" s="220"/>
    </row>
    <row r="162">
      <c r="A162" s="120">
        <v>2022.0</v>
      </c>
      <c r="B162" s="135" t="s">
        <v>127</v>
      </c>
      <c r="C162" s="135"/>
      <c r="D162" s="476" t="s">
        <v>1203</v>
      </c>
      <c r="E162" s="135">
        <v>4.1160009E7</v>
      </c>
      <c r="F162" s="135"/>
      <c r="G162" s="135"/>
      <c r="H162" s="165">
        <v>300000.0</v>
      </c>
      <c r="I162" s="135" t="s">
        <v>200</v>
      </c>
      <c r="J162" s="135" t="s">
        <v>1082</v>
      </c>
      <c r="K162" s="179"/>
      <c r="L162" s="160"/>
    </row>
    <row r="163">
      <c r="A163" s="120">
        <v>2022.0</v>
      </c>
      <c r="B163" s="120" t="s">
        <v>127</v>
      </c>
      <c r="C163" s="135"/>
      <c r="D163" s="248" t="s">
        <v>1236</v>
      </c>
      <c r="E163" s="135">
        <v>4.1160003E7</v>
      </c>
      <c r="F163" s="120" t="s">
        <v>1087</v>
      </c>
      <c r="G163" s="135" t="s">
        <v>152</v>
      </c>
      <c r="H163" s="165">
        <v>569347.0</v>
      </c>
      <c r="I163" s="135" t="s">
        <v>200</v>
      </c>
      <c r="J163" s="135" t="s">
        <v>1082</v>
      </c>
      <c r="K163" s="179"/>
      <c r="L163" s="160"/>
    </row>
    <row r="164">
      <c r="A164" s="120">
        <v>2022.0</v>
      </c>
      <c r="B164" s="120" t="s">
        <v>127</v>
      </c>
      <c r="C164" s="135" t="s">
        <v>485</v>
      </c>
      <c r="D164" s="229" t="s">
        <v>1239</v>
      </c>
      <c r="E164" s="135">
        <v>4.1160003E7</v>
      </c>
      <c r="F164" s="120" t="s">
        <v>1087</v>
      </c>
      <c r="G164" s="135" t="s">
        <v>152</v>
      </c>
      <c r="H164" s="165">
        <v>776319.0</v>
      </c>
      <c r="I164" s="135" t="s">
        <v>200</v>
      </c>
      <c r="J164" s="135" t="s">
        <v>1082</v>
      </c>
      <c r="K164" s="179"/>
      <c r="L164" s="160"/>
    </row>
    <row r="165">
      <c r="A165" s="120">
        <v>2022.0</v>
      </c>
      <c r="B165" s="120" t="s">
        <v>127</v>
      </c>
      <c r="C165" s="135" t="s">
        <v>485</v>
      </c>
      <c r="D165" s="248" t="s">
        <v>1255</v>
      </c>
      <c r="E165" s="135">
        <v>4.1160003E7</v>
      </c>
      <c r="F165" s="120" t="s">
        <v>1087</v>
      </c>
      <c r="G165" s="135" t="s">
        <v>152</v>
      </c>
      <c r="H165" s="165">
        <v>500000.0</v>
      </c>
      <c r="I165" s="135" t="s">
        <v>200</v>
      </c>
      <c r="J165" s="135" t="s">
        <v>1082</v>
      </c>
      <c r="K165" s="179"/>
      <c r="L165" s="160"/>
    </row>
    <row r="166">
      <c r="A166" s="463">
        <v>2020.0</v>
      </c>
      <c r="B166" s="463" t="s">
        <v>127</v>
      </c>
      <c r="C166" s="463" t="s">
        <v>139</v>
      </c>
      <c r="D166" s="463" t="s">
        <v>1340</v>
      </c>
      <c r="E166" s="477">
        <v>4.1160006E7</v>
      </c>
      <c r="F166" s="463" t="s">
        <v>151</v>
      </c>
      <c r="G166" s="463" t="s">
        <v>152</v>
      </c>
      <c r="H166" s="478">
        <v>261914.0</v>
      </c>
      <c r="I166" s="463" t="s">
        <v>155</v>
      </c>
      <c r="J166" s="463" t="s">
        <v>1342</v>
      </c>
      <c r="K166" s="480" t="s">
        <v>1700</v>
      </c>
      <c r="L166" s="482"/>
    </row>
    <row r="167">
      <c r="A167" s="120">
        <v>2020.0</v>
      </c>
      <c r="B167" s="120" t="s">
        <v>127</v>
      </c>
      <c r="C167" s="120" t="s">
        <v>139</v>
      </c>
      <c r="D167" s="120" t="s">
        <v>412</v>
      </c>
      <c r="E167" s="120">
        <v>4.116001E7</v>
      </c>
      <c r="F167" s="120" t="s">
        <v>151</v>
      </c>
      <c r="G167" s="120" t="s">
        <v>152</v>
      </c>
      <c r="H167" s="327">
        <v>31428.6</v>
      </c>
      <c r="I167" s="120" t="s">
        <v>155</v>
      </c>
      <c r="J167" s="120" t="s">
        <v>418</v>
      </c>
      <c r="K167" s="120" t="s">
        <v>420</v>
      </c>
      <c r="L167" s="120"/>
    </row>
    <row r="168">
      <c r="A168" s="135">
        <v>2020.0</v>
      </c>
      <c r="B168" s="135" t="s">
        <v>127</v>
      </c>
      <c r="C168" s="135" t="s">
        <v>139</v>
      </c>
      <c r="D168" s="135" t="s">
        <v>1351</v>
      </c>
      <c r="E168" s="135">
        <v>4.116001E7</v>
      </c>
      <c r="F168" s="135" t="s">
        <v>151</v>
      </c>
      <c r="G168" s="135" t="s">
        <v>152</v>
      </c>
      <c r="H168" s="327">
        <v>111914.0</v>
      </c>
      <c r="I168" s="135" t="s">
        <v>155</v>
      </c>
      <c r="J168" s="135" t="s">
        <v>1352</v>
      </c>
      <c r="K168" s="120" t="s">
        <v>1353</v>
      </c>
      <c r="L168" s="120"/>
    </row>
    <row r="169">
      <c r="A169" s="344">
        <v>2020.0</v>
      </c>
      <c r="B169" s="344" t="s">
        <v>127</v>
      </c>
      <c r="C169" s="344" t="s">
        <v>1097</v>
      </c>
      <c r="D169" s="344" t="s">
        <v>1097</v>
      </c>
      <c r="E169" s="344">
        <v>4.1160007E7</v>
      </c>
      <c r="F169" s="344" t="s">
        <v>151</v>
      </c>
      <c r="G169" s="344" t="s">
        <v>152</v>
      </c>
      <c r="H169" s="353">
        <v>290000.0</v>
      </c>
      <c r="I169" s="344" t="s">
        <v>155</v>
      </c>
      <c r="J169" s="346" t="s">
        <v>1731</v>
      </c>
      <c r="K169" s="344" t="s">
        <v>1356</v>
      </c>
      <c r="L169" s="355" t="s">
        <v>1732</v>
      </c>
    </row>
    <row r="170">
      <c r="A170" s="229">
        <v>2020.0</v>
      </c>
      <c r="B170" s="229" t="s">
        <v>127</v>
      </c>
      <c r="C170" s="229" t="s">
        <v>485</v>
      </c>
      <c r="D170" s="229" t="s">
        <v>1735</v>
      </c>
      <c r="E170" s="302">
        <v>4.1160005E7</v>
      </c>
      <c r="F170" s="229" t="s">
        <v>488</v>
      </c>
      <c r="G170" s="229" t="s">
        <v>84</v>
      </c>
      <c r="H170" s="246">
        <v>300000.0</v>
      </c>
      <c r="I170" s="229" t="s">
        <v>490</v>
      </c>
      <c r="J170" s="242" t="s">
        <v>110</v>
      </c>
      <c r="K170" s="229" t="s">
        <v>491</v>
      </c>
      <c r="L170" s="239" t="s">
        <v>1737</v>
      </c>
    </row>
    <row r="171">
      <c r="A171" s="229">
        <v>2020.0</v>
      </c>
      <c r="B171" s="229" t="s">
        <v>127</v>
      </c>
      <c r="C171" s="229" t="s">
        <v>485</v>
      </c>
      <c r="D171" s="229" t="s">
        <v>1738</v>
      </c>
      <c r="E171" s="229">
        <v>4.1160005E7</v>
      </c>
      <c r="F171" s="229" t="s">
        <v>488</v>
      </c>
      <c r="G171" s="229" t="s">
        <v>84</v>
      </c>
      <c r="H171" s="246">
        <v>300000.0</v>
      </c>
      <c r="I171" s="229" t="s">
        <v>490</v>
      </c>
      <c r="J171" s="242" t="s">
        <v>110</v>
      </c>
      <c r="K171" s="229" t="s">
        <v>491</v>
      </c>
      <c r="L171" s="244"/>
    </row>
    <row r="172">
      <c r="A172" s="229">
        <v>2020.0</v>
      </c>
      <c r="B172" s="229" t="s">
        <v>127</v>
      </c>
      <c r="C172" s="229" t="s">
        <v>485</v>
      </c>
      <c r="D172" s="229" t="s">
        <v>486</v>
      </c>
      <c r="E172" s="229">
        <v>4.1160005E7</v>
      </c>
      <c r="F172" s="229" t="s">
        <v>488</v>
      </c>
      <c r="G172" s="229" t="s">
        <v>84</v>
      </c>
      <c r="H172" s="246">
        <v>40000.0</v>
      </c>
      <c r="I172" s="229" t="s">
        <v>490</v>
      </c>
      <c r="J172" s="242" t="s">
        <v>110</v>
      </c>
      <c r="K172" s="229" t="s">
        <v>491</v>
      </c>
      <c r="L172" s="239" t="s">
        <v>493</v>
      </c>
    </row>
    <row r="173">
      <c r="A173" s="229">
        <v>2020.0</v>
      </c>
      <c r="B173" s="229" t="s">
        <v>127</v>
      </c>
      <c r="C173" s="229" t="s">
        <v>485</v>
      </c>
      <c r="D173" s="229" t="s">
        <v>1239</v>
      </c>
      <c r="E173" s="229">
        <v>4.1160005E7</v>
      </c>
      <c r="F173" s="229" t="s">
        <v>488</v>
      </c>
      <c r="G173" s="229" t="s">
        <v>84</v>
      </c>
      <c r="H173" s="246">
        <v>360000.0</v>
      </c>
      <c r="I173" s="229" t="s">
        <v>490</v>
      </c>
      <c r="J173" s="242" t="s">
        <v>110</v>
      </c>
      <c r="K173" s="229" t="s">
        <v>491</v>
      </c>
      <c r="L173" s="244"/>
    </row>
    <row r="174">
      <c r="A174" s="135">
        <v>2021.0</v>
      </c>
      <c r="B174" s="219" t="s">
        <v>127</v>
      </c>
      <c r="C174" s="135" t="s">
        <v>485</v>
      </c>
      <c r="D174" s="201" t="s">
        <v>1233</v>
      </c>
      <c r="E174" s="120">
        <v>4.1160002E7</v>
      </c>
      <c r="F174" s="120" t="s">
        <v>1087</v>
      </c>
      <c r="G174" s="120" t="s">
        <v>152</v>
      </c>
      <c r="H174" s="250">
        <v>100000.0</v>
      </c>
      <c r="I174" s="120" t="s">
        <v>1062</v>
      </c>
      <c r="J174" s="120" t="s">
        <v>1090</v>
      </c>
      <c r="K174" s="219" t="s">
        <v>1235</v>
      </c>
      <c r="L174" s="205"/>
    </row>
    <row r="175">
      <c r="A175" s="120">
        <v>2021.0</v>
      </c>
      <c r="B175" s="120" t="s">
        <v>127</v>
      </c>
      <c r="C175" s="120" t="s">
        <v>251</v>
      </c>
      <c r="D175" s="484" t="s">
        <v>1358</v>
      </c>
      <c r="E175" s="325">
        <v>4.1160001E7</v>
      </c>
      <c r="F175" s="120" t="s">
        <v>151</v>
      </c>
      <c r="G175" s="120" t="s">
        <v>152</v>
      </c>
      <c r="H175" s="327">
        <v>186808.33</v>
      </c>
      <c r="I175" s="120" t="s">
        <v>155</v>
      </c>
      <c r="J175" s="146" t="s">
        <v>1082</v>
      </c>
      <c r="K175" s="330" t="s">
        <v>267</v>
      </c>
      <c r="L175" s="205"/>
    </row>
    <row r="176">
      <c r="A176" s="209"/>
      <c r="B176" s="296" t="s">
        <v>127</v>
      </c>
      <c r="C176" s="222" t="s">
        <v>139</v>
      </c>
      <c r="D176" s="224"/>
      <c r="E176" s="224"/>
      <c r="F176" s="224"/>
      <c r="G176" s="224"/>
      <c r="H176" s="268">
        <v>234954.25</v>
      </c>
      <c r="I176" s="120"/>
      <c r="J176" s="146" t="s">
        <v>1082</v>
      </c>
      <c r="K176" s="222" t="s">
        <v>1227</v>
      </c>
      <c r="L176" s="220"/>
    </row>
    <row r="177">
      <c r="A177" s="209"/>
      <c r="B177" s="296" t="s">
        <v>127</v>
      </c>
      <c r="C177" s="222" t="s">
        <v>1094</v>
      </c>
      <c r="D177" s="149" t="s">
        <v>1746</v>
      </c>
      <c r="E177" s="224"/>
      <c r="F177" s="224"/>
      <c r="G177" s="224"/>
      <c r="H177" s="268">
        <v>234954.25</v>
      </c>
      <c r="I177" s="120"/>
      <c r="J177" s="146" t="s">
        <v>1082</v>
      </c>
      <c r="K177" s="222" t="s">
        <v>1227</v>
      </c>
      <c r="L177" s="220"/>
    </row>
    <row r="178">
      <c r="A178" s="209">
        <v>2020.0</v>
      </c>
      <c r="B178" s="209" t="s">
        <v>127</v>
      </c>
      <c r="C178" s="209" t="s">
        <v>291</v>
      </c>
      <c r="D178" s="209" t="s">
        <v>1366</v>
      </c>
      <c r="E178" s="356">
        <v>4.1160008E7</v>
      </c>
      <c r="F178" s="209" t="s">
        <v>151</v>
      </c>
      <c r="G178" s="209" t="s">
        <v>152</v>
      </c>
      <c r="H178" s="485">
        <v>31616.04</v>
      </c>
      <c r="I178" s="209" t="s">
        <v>155</v>
      </c>
      <c r="J178" s="209" t="s">
        <v>305</v>
      </c>
      <c r="K178" s="248" t="s">
        <v>427</v>
      </c>
      <c r="L178" s="220"/>
    </row>
    <row r="179">
      <c r="A179" s="463">
        <v>2020.0</v>
      </c>
      <c r="B179" s="463" t="s">
        <v>127</v>
      </c>
      <c r="C179" s="463" t="s">
        <v>291</v>
      </c>
      <c r="D179" s="463" t="s">
        <v>1366</v>
      </c>
      <c r="E179" s="486">
        <v>4.1160008E7</v>
      </c>
      <c r="F179" s="463" t="s">
        <v>151</v>
      </c>
      <c r="G179" s="463" t="s">
        <v>152</v>
      </c>
      <c r="H179" s="487" t="s">
        <v>1376</v>
      </c>
      <c r="I179" s="463" t="s">
        <v>155</v>
      </c>
      <c r="J179" s="488" t="s">
        <v>1377</v>
      </c>
      <c r="K179" s="480" t="s">
        <v>1378</v>
      </c>
      <c r="L179" s="482"/>
    </row>
    <row r="180">
      <c r="A180" s="463">
        <v>2020.0</v>
      </c>
      <c r="B180" s="463" t="s">
        <v>127</v>
      </c>
      <c r="C180" s="463" t="s">
        <v>291</v>
      </c>
      <c r="D180" s="463" t="s">
        <v>1366</v>
      </c>
      <c r="E180" s="486">
        <v>4.1160008E7</v>
      </c>
      <c r="F180" s="463" t="s">
        <v>151</v>
      </c>
      <c r="G180" s="463" t="s">
        <v>152</v>
      </c>
      <c r="H180" s="487" t="s">
        <v>1380</v>
      </c>
      <c r="I180" s="463" t="s">
        <v>155</v>
      </c>
      <c r="J180" s="488" t="s">
        <v>523</v>
      </c>
      <c r="K180" s="489" t="s">
        <v>524</v>
      </c>
      <c r="L180" s="490"/>
    </row>
    <row r="181">
      <c r="A181" s="209">
        <v>2020.0</v>
      </c>
      <c r="B181" s="209" t="s">
        <v>127</v>
      </c>
      <c r="C181" s="209" t="s">
        <v>291</v>
      </c>
      <c r="D181" s="209" t="s">
        <v>1366</v>
      </c>
      <c r="E181" s="356">
        <v>4.1160008E7</v>
      </c>
      <c r="F181" s="209" t="s">
        <v>151</v>
      </c>
      <c r="G181" s="209" t="s">
        <v>152</v>
      </c>
      <c r="H181" s="485">
        <v>41565.73</v>
      </c>
      <c r="I181" s="209" t="s">
        <v>155</v>
      </c>
      <c r="J181" s="209" t="s">
        <v>305</v>
      </c>
      <c r="K181" s="248" t="s">
        <v>527</v>
      </c>
      <c r="L181" s="220"/>
    </row>
    <row r="182">
      <c r="A182" s="209">
        <v>2020.0</v>
      </c>
      <c r="B182" s="209" t="s">
        <v>127</v>
      </c>
      <c r="C182" s="209" t="s">
        <v>291</v>
      </c>
      <c r="D182" s="209" t="s">
        <v>1366</v>
      </c>
      <c r="E182" s="356">
        <v>4.1160008E7</v>
      </c>
      <c r="F182" s="209" t="s">
        <v>151</v>
      </c>
      <c r="G182" s="209" t="s">
        <v>152</v>
      </c>
      <c r="H182" s="485">
        <v>26706.33</v>
      </c>
      <c r="I182" s="209" t="s">
        <v>155</v>
      </c>
      <c r="J182" s="491" t="s">
        <v>305</v>
      </c>
      <c r="K182" s="476" t="s">
        <v>308</v>
      </c>
      <c r="L182" s="220"/>
    </row>
    <row r="183">
      <c r="A183" s="135">
        <v>2020.0</v>
      </c>
      <c r="B183" s="135" t="s">
        <v>127</v>
      </c>
      <c r="C183" s="135" t="s">
        <v>291</v>
      </c>
      <c r="D183" s="135" t="s">
        <v>1366</v>
      </c>
      <c r="E183" s="423">
        <v>4.116001E7</v>
      </c>
      <c r="F183" s="135" t="s">
        <v>151</v>
      </c>
      <c r="G183" s="135" t="s">
        <v>152</v>
      </c>
      <c r="H183" s="327">
        <v>88086.0</v>
      </c>
      <c r="I183" s="135" t="s">
        <v>155</v>
      </c>
      <c r="J183" s="135" t="s">
        <v>305</v>
      </c>
      <c r="K183" s="492" t="s">
        <v>1081</v>
      </c>
      <c r="L183" s="205"/>
    </row>
    <row r="184">
      <c r="A184" s="135">
        <v>2020.0</v>
      </c>
      <c r="B184" s="135" t="s">
        <v>127</v>
      </c>
      <c r="C184" s="135" t="s">
        <v>291</v>
      </c>
      <c r="D184" s="135" t="s">
        <v>1366</v>
      </c>
      <c r="E184" s="423">
        <v>4.116001E7</v>
      </c>
      <c r="F184" s="135" t="s">
        <v>151</v>
      </c>
      <c r="G184" s="135" t="s">
        <v>152</v>
      </c>
      <c r="H184" s="327">
        <v>200841.17</v>
      </c>
      <c r="I184" s="135" t="s">
        <v>155</v>
      </c>
      <c r="J184" s="135" t="s">
        <v>305</v>
      </c>
      <c r="K184" s="424" t="s">
        <v>1395</v>
      </c>
      <c r="L184" s="205"/>
    </row>
    <row r="185">
      <c r="A185" s="135">
        <v>2020.0</v>
      </c>
      <c r="B185" s="135" t="s">
        <v>127</v>
      </c>
      <c r="C185" s="135" t="s">
        <v>291</v>
      </c>
      <c r="D185" s="135" t="s">
        <v>1366</v>
      </c>
      <c r="E185" s="423">
        <v>4.116001E7</v>
      </c>
      <c r="F185" s="135" t="s">
        <v>151</v>
      </c>
      <c r="G185" s="135" t="s">
        <v>152</v>
      </c>
      <c r="H185" s="327">
        <v>122560.34</v>
      </c>
      <c r="I185" s="135" t="s">
        <v>155</v>
      </c>
      <c r="J185" s="135" t="s">
        <v>305</v>
      </c>
      <c r="K185" s="424" t="s">
        <v>1397</v>
      </c>
      <c r="L185" s="205"/>
    </row>
    <row r="186">
      <c r="A186" s="135">
        <v>2021.0</v>
      </c>
      <c r="B186" s="135" t="s">
        <v>127</v>
      </c>
      <c r="C186" s="135" t="s">
        <v>291</v>
      </c>
      <c r="D186" s="135" t="s">
        <v>1366</v>
      </c>
      <c r="E186" s="423">
        <v>4.1160001E7</v>
      </c>
      <c r="F186" s="135" t="s">
        <v>151</v>
      </c>
      <c r="G186" s="135" t="s">
        <v>152</v>
      </c>
      <c r="H186" s="327">
        <v>400000.0</v>
      </c>
      <c r="I186" s="120" t="s">
        <v>155</v>
      </c>
      <c r="J186" s="146" t="s">
        <v>1082</v>
      </c>
      <c r="K186" s="492" t="s">
        <v>1401</v>
      </c>
      <c r="L186" s="205"/>
    </row>
    <row r="187">
      <c r="A187" s="135">
        <v>2021.0</v>
      </c>
      <c r="B187" s="219" t="s">
        <v>842</v>
      </c>
      <c r="C187" s="135"/>
      <c r="D187" s="219"/>
      <c r="E187" s="120"/>
      <c r="F187" s="120"/>
      <c r="G187" s="120"/>
      <c r="H187" s="250">
        <v>200000.0</v>
      </c>
      <c r="I187" s="120" t="s">
        <v>1062</v>
      </c>
      <c r="J187" s="146" t="s">
        <v>1082</v>
      </c>
      <c r="K187" s="219"/>
      <c r="L187" s="205"/>
    </row>
    <row r="188">
      <c r="A188" s="242">
        <v>2020.0</v>
      </c>
      <c r="B188" s="242" t="s">
        <v>252</v>
      </c>
      <c r="C188" s="242" t="s">
        <v>566</v>
      </c>
      <c r="D188" s="242" t="s">
        <v>734</v>
      </c>
      <c r="E188" s="231" t="s">
        <v>578</v>
      </c>
      <c r="F188" s="242" t="s">
        <v>488</v>
      </c>
      <c r="G188" s="242" t="s">
        <v>84</v>
      </c>
      <c r="H188" s="233">
        <v>50000.0</v>
      </c>
      <c r="I188" s="242" t="s">
        <v>724</v>
      </c>
      <c r="J188" s="242" t="s">
        <v>110</v>
      </c>
      <c r="K188" s="242" t="s">
        <v>571</v>
      </c>
      <c r="L188" s="244"/>
    </row>
    <row r="189">
      <c r="A189" s="120">
        <v>2022.0</v>
      </c>
      <c r="B189" s="120" t="s">
        <v>851</v>
      </c>
      <c r="C189" s="135" t="s">
        <v>485</v>
      </c>
      <c r="D189" s="248" t="s">
        <v>1256</v>
      </c>
      <c r="E189" s="135">
        <v>4.1160003E7</v>
      </c>
      <c r="F189" s="120" t="s">
        <v>1087</v>
      </c>
      <c r="G189" s="135" t="s">
        <v>152</v>
      </c>
      <c r="H189" s="165">
        <v>117000.0</v>
      </c>
      <c r="I189" s="135" t="s">
        <v>200</v>
      </c>
      <c r="J189" s="135" t="s">
        <v>1082</v>
      </c>
      <c r="K189" s="179"/>
      <c r="L189" s="160"/>
    </row>
    <row r="190">
      <c r="A190" s="229">
        <v>2020.0</v>
      </c>
      <c r="B190" s="229" t="s">
        <v>855</v>
      </c>
      <c r="C190" s="229" t="s">
        <v>485</v>
      </c>
      <c r="D190" s="229" t="s">
        <v>1558</v>
      </c>
      <c r="E190" s="229">
        <v>4.1160005E7</v>
      </c>
      <c r="F190" s="229" t="s">
        <v>1559</v>
      </c>
      <c r="G190" s="229" t="s">
        <v>84</v>
      </c>
      <c r="H190" s="246">
        <v>114000.0</v>
      </c>
      <c r="I190" s="229" t="s">
        <v>89</v>
      </c>
      <c r="J190" s="242" t="s">
        <v>110</v>
      </c>
      <c r="K190" s="229" t="s">
        <v>1560</v>
      </c>
      <c r="L190" s="239"/>
    </row>
    <row r="191">
      <c r="A191" s="120">
        <v>2022.0</v>
      </c>
      <c r="B191" s="135" t="s">
        <v>96</v>
      </c>
      <c r="C191" s="476" t="s">
        <v>1201</v>
      </c>
      <c r="D191" s="2" t="s">
        <v>1403</v>
      </c>
      <c r="E191" s="135">
        <v>4.116001E7</v>
      </c>
      <c r="F191" s="149" t="s">
        <v>1403</v>
      </c>
      <c r="G191" s="135"/>
      <c r="H191" s="165">
        <v>350000.0</v>
      </c>
      <c r="I191" s="135" t="s">
        <v>200</v>
      </c>
      <c r="J191" s="135" t="s">
        <v>1082</v>
      </c>
      <c r="K191" s="179"/>
      <c r="L191" s="160"/>
    </row>
    <row r="192">
      <c r="A192" s="120">
        <v>2022.0</v>
      </c>
      <c r="B192" s="120" t="s">
        <v>96</v>
      </c>
      <c r="C192" s="135" t="s">
        <v>485</v>
      </c>
      <c r="D192" s="248" t="s">
        <v>1257</v>
      </c>
      <c r="E192" s="135">
        <v>4.1160003E7</v>
      </c>
      <c r="F192" s="120" t="s">
        <v>1087</v>
      </c>
      <c r="G192" s="135" t="s">
        <v>152</v>
      </c>
      <c r="H192" s="165">
        <v>300000.0</v>
      </c>
      <c r="I192" s="135" t="s">
        <v>200</v>
      </c>
      <c r="J192" s="135" t="s">
        <v>1082</v>
      </c>
      <c r="K192" s="179"/>
      <c r="L192" s="160"/>
    </row>
    <row r="193">
      <c r="A193" s="173">
        <v>2021.0</v>
      </c>
      <c r="B193" s="173" t="s">
        <v>543</v>
      </c>
      <c r="C193" s="179" t="s">
        <v>1094</v>
      </c>
      <c r="D193" s="173" t="s">
        <v>1094</v>
      </c>
      <c r="E193" s="173">
        <v>7.1220009E7</v>
      </c>
      <c r="F193" s="173" t="s">
        <v>27</v>
      </c>
      <c r="G193" s="173" t="s">
        <v>152</v>
      </c>
      <c r="H193" s="178">
        <v>330000.0</v>
      </c>
      <c r="I193" s="173" t="s">
        <v>389</v>
      </c>
      <c r="J193" s="146" t="s">
        <v>1082</v>
      </c>
      <c r="K193" s="179" t="s">
        <v>1367</v>
      </c>
      <c r="L193" s="160"/>
    </row>
    <row r="194">
      <c r="A194" s="229">
        <v>2020.0</v>
      </c>
      <c r="B194" s="229" t="s">
        <v>323</v>
      </c>
      <c r="C194" s="229" t="s">
        <v>485</v>
      </c>
      <c r="D194" s="229" t="s">
        <v>662</v>
      </c>
      <c r="E194" s="282" t="s">
        <v>578</v>
      </c>
      <c r="F194" s="229" t="s">
        <v>488</v>
      </c>
      <c r="G194" s="229" t="s">
        <v>84</v>
      </c>
      <c r="H194" s="246">
        <v>50000.0</v>
      </c>
      <c r="I194" s="229" t="s">
        <v>389</v>
      </c>
      <c r="J194" s="242" t="s">
        <v>110</v>
      </c>
      <c r="K194" s="425" t="s">
        <v>600</v>
      </c>
      <c r="L194" s="244"/>
    </row>
    <row r="195">
      <c r="A195" s="120">
        <v>2022.0</v>
      </c>
      <c r="B195" s="120" t="s">
        <v>861</v>
      </c>
      <c r="C195" s="135"/>
      <c r="D195" s="248" t="s">
        <v>1219</v>
      </c>
      <c r="E195" s="135">
        <v>4.1160003E7</v>
      </c>
      <c r="F195" s="120" t="s">
        <v>1087</v>
      </c>
      <c r="G195" s="135" t="s">
        <v>152</v>
      </c>
      <c r="H195" s="165">
        <v>250000.0</v>
      </c>
      <c r="I195" s="135" t="s">
        <v>200</v>
      </c>
      <c r="J195" s="135" t="s">
        <v>1082</v>
      </c>
      <c r="K195" s="179"/>
      <c r="L195" s="160"/>
    </row>
    <row r="196">
      <c r="A196" s="229">
        <v>2019.0</v>
      </c>
      <c r="B196" s="229" t="s">
        <v>673</v>
      </c>
      <c r="C196" s="229" t="s">
        <v>485</v>
      </c>
      <c r="D196" s="229" t="s">
        <v>682</v>
      </c>
      <c r="E196" s="229">
        <v>7.1220009E7</v>
      </c>
      <c r="F196" s="229" t="s">
        <v>488</v>
      </c>
      <c r="G196" s="229" t="s">
        <v>84</v>
      </c>
      <c r="H196" s="246">
        <v>250000.0</v>
      </c>
      <c r="I196" s="229" t="s">
        <v>389</v>
      </c>
      <c r="J196" s="229" t="s">
        <v>110</v>
      </c>
      <c r="K196" s="229" t="s">
        <v>1076</v>
      </c>
      <c r="L196" s="244"/>
    </row>
    <row r="197">
      <c r="A197" s="229">
        <v>2020.0</v>
      </c>
      <c r="B197" s="229" t="s">
        <v>673</v>
      </c>
      <c r="C197" s="229" t="s">
        <v>485</v>
      </c>
      <c r="D197" s="229" t="s">
        <v>682</v>
      </c>
      <c r="E197" s="282" t="s">
        <v>578</v>
      </c>
      <c r="F197" s="229" t="s">
        <v>488</v>
      </c>
      <c r="G197" s="229" t="s">
        <v>84</v>
      </c>
      <c r="H197" s="246">
        <v>50000.0</v>
      </c>
      <c r="I197" s="229" t="s">
        <v>389</v>
      </c>
      <c r="J197" s="242" t="s">
        <v>110</v>
      </c>
      <c r="K197" s="425" t="s">
        <v>600</v>
      </c>
      <c r="L197" s="244"/>
    </row>
    <row r="198">
      <c r="A198" s="135">
        <v>2022.0</v>
      </c>
      <c r="B198" s="219" t="s">
        <v>528</v>
      </c>
      <c r="C198" s="135" t="s">
        <v>485</v>
      </c>
      <c r="D198" s="219" t="s">
        <v>1285</v>
      </c>
      <c r="E198" s="120">
        <v>7120004.0</v>
      </c>
      <c r="F198" s="120" t="s">
        <v>488</v>
      </c>
      <c r="G198" s="120" t="s">
        <v>84</v>
      </c>
      <c r="H198" s="250">
        <v>100000.0</v>
      </c>
      <c r="I198" s="120" t="s">
        <v>1193</v>
      </c>
      <c r="J198" s="120" t="s">
        <v>1208</v>
      </c>
      <c r="K198" s="219" t="s">
        <v>1213</v>
      </c>
      <c r="L198" s="205"/>
    </row>
    <row r="199">
      <c r="A199" s="120">
        <v>2022.0</v>
      </c>
      <c r="B199" s="120" t="s">
        <v>875</v>
      </c>
      <c r="C199" s="135" t="s">
        <v>485</v>
      </c>
      <c r="D199" s="248" t="s">
        <v>1260</v>
      </c>
      <c r="E199" s="135">
        <v>4.1160003E7</v>
      </c>
      <c r="F199" s="120" t="s">
        <v>1087</v>
      </c>
      <c r="G199" s="135" t="s">
        <v>152</v>
      </c>
      <c r="H199" s="165">
        <v>200000.0</v>
      </c>
      <c r="I199" s="135" t="s">
        <v>200</v>
      </c>
      <c r="J199" s="135" t="s">
        <v>1082</v>
      </c>
      <c r="K199" s="179"/>
      <c r="L199" s="160"/>
    </row>
    <row r="200">
      <c r="A200" s="229">
        <v>2020.0</v>
      </c>
      <c r="B200" s="229" t="s">
        <v>875</v>
      </c>
      <c r="C200" s="229" t="s">
        <v>485</v>
      </c>
      <c r="D200" s="229" t="s">
        <v>1786</v>
      </c>
      <c r="E200" s="229">
        <v>4.1160005E7</v>
      </c>
      <c r="F200" s="229" t="s">
        <v>1559</v>
      </c>
      <c r="G200" s="229" t="s">
        <v>84</v>
      </c>
      <c r="H200" s="246">
        <v>200000.0</v>
      </c>
      <c r="I200" s="229" t="s">
        <v>89</v>
      </c>
      <c r="J200" s="242" t="s">
        <v>110</v>
      </c>
      <c r="K200" s="229" t="s">
        <v>1560</v>
      </c>
      <c r="L200" s="239" t="s">
        <v>1787</v>
      </c>
    </row>
    <row r="201">
      <c r="A201" s="229">
        <v>2020.0</v>
      </c>
      <c r="B201" s="229" t="s">
        <v>879</v>
      </c>
      <c r="C201" s="229" t="s">
        <v>485</v>
      </c>
      <c r="D201" s="229" t="s">
        <v>1789</v>
      </c>
      <c r="E201" s="229">
        <v>4.1160005E7</v>
      </c>
      <c r="F201" s="229" t="s">
        <v>488</v>
      </c>
      <c r="G201" s="229" t="s">
        <v>84</v>
      </c>
      <c r="H201" s="246">
        <v>200000.0</v>
      </c>
      <c r="I201" s="229" t="s">
        <v>490</v>
      </c>
      <c r="J201" s="242" t="s">
        <v>110</v>
      </c>
      <c r="K201" s="229" t="s">
        <v>491</v>
      </c>
      <c r="L201" s="239" t="s">
        <v>1792</v>
      </c>
    </row>
    <row r="202">
      <c r="A202" s="344">
        <v>2021.0</v>
      </c>
      <c r="B202" s="346" t="s">
        <v>879</v>
      </c>
      <c r="C202" s="344" t="s">
        <v>465</v>
      </c>
      <c r="D202" s="344" t="s">
        <v>1407</v>
      </c>
      <c r="E202" s="461">
        <v>4.1160005E7</v>
      </c>
      <c r="F202" s="344" t="s">
        <v>151</v>
      </c>
      <c r="G202" s="344" t="s">
        <v>152</v>
      </c>
      <c r="H202" s="496">
        <v>180837.86</v>
      </c>
      <c r="I202" s="344" t="s">
        <v>155</v>
      </c>
      <c r="J202" s="344" t="s">
        <v>1327</v>
      </c>
      <c r="K202" s="355" t="s">
        <v>1408</v>
      </c>
      <c r="L202" s="355"/>
    </row>
    <row r="203">
      <c r="A203" s="209">
        <v>2021.0</v>
      </c>
      <c r="B203" s="335" t="s">
        <v>879</v>
      </c>
      <c r="C203" s="209" t="s">
        <v>485</v>
      </c>
      <c r="D203" s="335" t="s">
        <v>1789</v>
      </c>
      <c r="E203" s="227">
        <v>4.1160002E7</v>
      </c>
      <c r="F203" s="227" t="s">
        <v>1087</v>
      </c>
      <c r="G203" s="227" t="s">
        <v>152</v>
      </c>
      <c r="H203" s="336">
        <v>250000.0</v>
      </c>
      <c r="I203" s="227" t="s">
        <v>1062</v>
      </c>
      <c r="J203" s="227" t="s">
        <v>1090</v>
      </c>
      <c r="K203" s="335" t="s">
        <v>1797</v>
      </c>
      <c r="L203" s="220"/>
    </row>
    <row r="204">
      <c r="A204" s="120">
        <v>2022.0</v>
      </c>
      <c r="B204" s="120" t="s">
        <v>879</v>
      </c>
      <c r="C204" s="135" t="s">
        <v>485</v>
      </c>
      <c r="D204" s="248" t="s">
        <v>1264</v>
      </c>
      <c r="E204" s="135">
        <v>4.1160003E7</v>
      </c>
      <c r="F204" s="120" t="s">
        <v>1087</v>
      </c>
      <c r="G204" s="135" t="s">
        <v>152</v>
      </c>
      <c r="H204" s="165">
        <v>300000.0</v>
      </c>
      <c r="I204" s="135" t="s">
        <v>200</v>
      </c>
      <c r="J204" s="135" t="s">
        <v>1082</v>
      </c>
      <c r="K204" s="179"/>
      <c r="L204" s="160"/>
    </row>
    <row r="205">
      <c r="A205" s="120">
        <v>2022.0</v>
      </c>
      <c r="B205" s="135" t="s">
        <v>355</v>
      </c>
      <c r="C205" s="498" t="s">
        <v>1205</v>
      </c>
      <c r="D205" s="498" t="s">
        <v>1421</v>
      </c>
      <c r="E205" s="135">
        <v>4.1160008E7</v>
      </c>
      <c r="F205" s="135"/>
      <c r="G205" s="135" t="s">
        <v>152</v>
      </c>
      <c r="H205" s="165">
        <v>300000.0</v>
      </c>
      <c r="I205" s="135" t="s">
        <v>200</v>
      </c>
      <c r="J205" s="135" t="s">
        <v>1082</v>
      </c>
      <c r="K205" s="179" t="s">
        <v>1801</v>
      </c>
      <c r="L205" s="160"/>
    </row>
    <row r="206">
      <c r="A206" s="120">
        <v>2022.0</v>
      </c>
      <c r="B206" s="120" t="s">
        <v>355</v>
      </c>
      <c r="C206" s="135" t="s">
        <v>485</v>
      </c>
      <c r="D206" s="248" t="s">
        <v>1266</v>
      </c>
      <c r="E206" s="135">
        <v>4.1160003E7</v>
      </c>
      <c r="F206" s="120" t="s">
        <v>1087</v>
      </c>
      <c r="G206" s="135" t="s">
        <v>152</v>
      </c>
      <c r="H206" s="165">
        <v>249303.0</v>
      </c>
      <c r="I206" s="135" t="s">
        <v>200</v>
      </c>
      <c r="J206" s="135" t="s">
        <v>1082</v>
      </c>
      <c r="K206" s="179" t="s">
        <v>1804</v>
      </c>
      <c r="L206" s="160"/>
    </row>
    <row r="207">
      <c r="A207" s="405">
        <v>2020.0</v>
      </c>
      <c r="B207" s="409" t="s">
        <v>355</v>
      </c>
      <c r="C207" s="405" t="s">
        <v>139</v>
      </c>
      <c r="D207" s="405" t="s">
        <v>1412</v>
      </c>
      <c r="E207" s="405">
        <v>4.116001E7</v>
      </c>
      <c r="F207" s="405" t="s">
        <v>151</v>
      </c>
      <c r="G207" s="405" t="s">
        <v>152</v>
      </c>
      <c r="H207" s="500">
        <v>162142.85</v>
      </c>
      <c r="I207" s="405" t="s">
        <v>155</v>
      </c>
      <c r="J207" s="463" t="s">
        <v>1196</v>
      </c>
      <c r="K207" s="409" t="s">
        <v>1413</v>
      </c>
      <c r="L207" s="405"/>
    </row>
    <row r="208">
      <c r="A208" s="344">
        <v>2020.0</v>
      </c>
      <c r="B208" s="346" t="s">
        <v>355</v>
      </c>
      <c r="C208" s="344" t="s">
        <v>1097</v>
      </c>
      <c r="D208" s="344" t="s">
        <v>1097</v>
      </c>
      <c r="E208" s="461">
        <v>4.1160007E7</v>
      </c>
      <c r="F208" s="344" t="s">
        <v>151</v>
      </c>
      <c r="G208" s="344" t="s">
        <v>152</v>
      </c>
      <c r="H208" s="353">
        <v>290000.0</v>
      </c>
      <c r="I208" s="344" t="s">
        <v>89</v>
      </c>
      <c r="J208" s="346" t="s">
        <v>1731</v>
      </c>
      <c r="K208" s="344" t="s">
        <v>1415</v>
      </c>
      <c r="L208" s="355" t="s">
        <v>1732</v>
      </c>
    </row>
    <row r="209">
      <c r="A209" s="229">
        <v>2020.0</v>
      </c>
      <c r="B209" s="229" t="s">
        <v>355</v>
      </c>
      <c r="C209" s="229" t="s">
        <v>485</v>
      </c>
      <c r="D209" s="229" t="s">
        <v>1808</v>
      </c>
      <c r="E209" s="229">
        <v>4.1160005E7</v>
      </c>
      <c r="F209" s="229" t="s">
        <v>488</v>
      </c>
      <c r="G209" s="229" t="s">
        <v>84</v>
      </c>
      <c r="H209" s="246">
        <v>250000.0</v>
      </c>
      <c r="I209" s="229" t="s">
        <v>490</v>
      </c>
      <c r="J209" s="242" t="s">
        <v>110</v>
      </c>
      <c r="K209" s="229" t="s">
        <v>491</v>
      </c>
      <c r="L209" s="244"/>
    </row>
    <row r="210">
      <c r="A210" s="344">
        <v>2021.0</v>
      </c>
      <c r="B210" s="346" t="s">
        <v>355</v>
      </c>
      <c r="C210" s="344" t="s">
        <v>465</v>
      </c>
      <c r="D210" s="344" t="s">
        <v>467</v>
      </c>
      <c r="E210" s="461">
        <v>4.1160005E7</v>
      </c>
      <c r="F210" s="344" t="s">
        <v>151</v>
      </c>
      <c r="G210" s="344" t="s">
        <v>152</v>
      </c>
      <c r="H210" s="353">
        <v>38354.48</v>
      </c>
      <c r="I210" s="344" t="s">
        <v>155</v>
      </c>
      <c r="J210" s="344" t="s">
        <v>1327</v>
      </c>
      <c r="K210" s="355" t="s">
        <v>474</v>
      </c>
      <c r="L210" s="355"/>
    </row>
    <row r="211">
      <c r="A211" s="344">
        <v>2019.0</v>
      </c>
      <c r="B211" s="346" t="s">
        <v>797</v>
      </c>
      <c r="C211" s="344" t="s">
        <v>1065</v>
      </c>
      <c r="D211" s="344" t="s">
        <v>1425</v>
      </c>
      <c r="E211" s="501"/>
      <c r="F211" s="344" t="s">
        <v>151</v>
      </c>
      <c r="G211" s="344" t="s">
        <v>152</v>
      </c>
      <c r="H211" s="353">
        <v>140000.0</v>
      </c>
      <c r="I211" s="344" t="s">
        <v>560</v>
      </c>
      <c r="J211" s="344" t="s">
        <v>110</v>
      </c>
      <c r="K211" s="344" t="s">
        <v>1434</v>
      </c>
      <c r="L211" s="355" t="s">
        <v>1457</v>
      </c>
    </row>
    <row r="212">
      <c r="A212" s="242">
        <v>2020.0</v>
      </c>
      <c r="B212" s="242" t="s">
        <v>797</v>
      </c>
      <c r="C212" s="242" t="s">
        <v>566</v>
      </c>
      <c r="D212" s="242" t="s">
        <v>739</v>
      </c>
      <c r="E212" s="231" t="s">
        <v>578</v>
      </c>
      <c r="F212" s="242" t="s">
        <v>488</v>
      </c>
      <c r="G212" s="242" t="s">
        <v>84</v>
      </c>
      <c r="H212" s="233">
        <v>50000.0</v>
      </c>
      <c r="I212" s="242" t="s">
        <v>724</v>
      </c>
      <c r="J212" s="242" t="s">
        <v>110</v>
      </c>
      <c r="K212" s="242" t="s">
        <v>571</v>
      </c>
      <c r="L212" s="239" t="s">
        <v>743</v>
      </c>
    </row>
    <row r="213">
      <c r="A213" s="229">
        <v>2020.0</v>
      </c>
      <c r="B213" s="229" t="s">
        <v>883</v>
      </c>
      <c r="C213" s="229" t="s">
        <v>14</v>
      </c>
      <c r="D213" s="229" t="s">
        <v>74</v>
      </c>
      <c r="E213" s="229">
        <v>4.1160009E7</v>
      </c>
      <c r="F213" s="229" t="s">
        <v>488</v>
      </c>
      <c r="G213" s="229" t="s">
        <v>84</v>
      </c>
      <c r="H213" s="246">
        <v>150000.0</v>
      </c>
      <c r="I213" s="229" t="s">
        <v>490</v>
      </c>
      <c r="J213" s="242" t="s">
        <v>110</v>
      </c>
      <c r="K213" s="229" t="s">
        <v>491</v>
      </c>
      <c r="L213" s="244"/>
    </row>
    <row r="214">
      <c r="A214" s="191">
        <v>2021.0</v>
      </c>
      <c r="B214" s="190" t="s">
        <v>885</v>
      </c>
      <c r="C214" s="191" t="s">
        <v>485</v>
      </c>
      <c r="D214" s="190" t="s">
        <v>1647</v>
      </c>
      <c r="E214" s="192">
        <v>4.1160003E7</v>
      </c>
      <c r="F214" s="192" t="s">
        <v>488</v>
      </c>
      <c r="G214" s="192" t="s">
        <v>84</v>
      </c>
      <c r="H214" s="194">
        <v>136540.0</v>
      </c>
      <c r="I214" s="192" t="s">
        <v>1062</v>
      </c>
      <c r="J214" s="192" t="s">
        <v>1171</v>
      </c>
      <c r="K214" s="190" t="s">
        <v>1213</v>
      </c>
      <c r="L214" s="197"/>
    </row>
    <row r="215">
      <c r="A215" s="242">
        <v>2020.0</v>
      </c>
      <c r="B215" s="242" t="s">
        <v>886</v>
      </c>
      <c r="C215" s="242" t="s">
        <v>1177</v>
      </c>
      <c r="D215" s="242" t="s">
        <v>1819</v>
      </c>
      <c r="E215" s="242">
        <v>4.1160005E7</v>
      </c>
      <c r="F215" s="242" t="s">
        <v>488</v>
      </c>
      <c r="G215" s="242" t="s">
        <v>84</v>
      </c>
      <c r="H215" s="233">
        <v>100000.0</v>
      </c>
      <c r="I215" s="242" t="s">
        <v>490</v>
      </c>
      <c r="J215" s="242" t="s">
        <v>110</v>
      </c>
      <c r="K215" s="242" t="s">
        <v>491</v>
      </c>
      <c r="L215" s="244"/>
    </row>
    <row r="216">
      <c r="A216" s="120">
        <v>2022.0</v>
      </c>
      <c r="B216" s="120" t="s">
        <v>888</v>
      </c>
      <c r="C216" s="135" t="s">
        <v>14</v>
      </c>
      <c r="D216" s="135" t="s">
        <v>74</v>
      </c>
      <c r="E216" s="135">
        <v>4.1160002E7</v>
      </c>
      <c r="F216" s="135" t="s">
        <v>193</v>
      </c>
      <c r="G216" s="135" t="s">
        <v>84</v>
      </c>
      <c r="H216" s="165">
        <v>175000.0</v>
      </c>
      <c r="I216" s="135" t="s">
        <v>200</v>
      </c>
      <c r="J216" s="135" t="s">
        <v>1082</v>
      </c>
      <c r="K216" s="179"/>
      <c r="L216" s="160"/>
    </row>
    <row r="217" ht="158.25" customHeight="1">
      <c r="A217" s="229">
        <v>2019.0</v>
      </c>
      <c r="B217" s="229" t="s">
        <v>888</v>
      </c>
      <c r="C217" s="229" t="s">
        <v>485</v>
      </c>
      <c r="D217" s="229" t="s">
        <v>1821</v>
      </c>
      <c r="E217" s="229">
        <v>7.1220009E7</v>
      </c>
      <c r="F217" s="229" t="s">
        <v>488</v>
      </c>
      <c r="G217" s="229" t="s">
        <v>84</v>
      </c>
      <c r="H217" s="246">
        <v>250000.0</v>
      </c>
      <c r="I217" s="229" t="s">
        <v>389</v>
      </c>
      <c r="J217" s="229" t="s">
        <v>110</v>
      </c>
      <c r="K217" s="229" t="s">
        <v>1076</v>
      </c>
      <c r="L217" s="239" t="s">
        <v>1822</v>
      </c>
    </row>
    <row r="218">
      <c r="A218" s="229">
        <v>2019.0</v>
      </c>
      <c r="B218" s="229" t="s">
        <v>889</v>
      </c>
      <c r="C218" s="229" t="s">
        <v>556</v>
      </c>
      <c r="D218" s="229" t="s">
        <v>918</v>
      </c>
      <c r="E218" s="229">
        <v>7.1220005E7</v>
      </c>
      <c r="F218" s="229" t="s">
        <v>558</v>
      </c>
      <c r="G218" s="229" t="s">
        <v>152</v>
      </c>
      <c r="H218" s="246">
        <v>54000.0</v>
      </c>
      <c r="I218" s="229" t="s">
        <v>389</v>
      </c>
      <c r="J218" s="229" t="s">
        <v>110</v>
      </c>
      <c r="K218" s="229" t="s">
        <v>561</v>
      </c>
      <c r="L218" s="244"/>
    </row>
    <row r="219">
      <c r="A219" s="209">
        <v>2021.0</v>
      </c>
      <c r="B219" s="335" t="s">
        <v>495</v>
      </c>
      <c r="C219" s="209" t="s">
        <v>485</v>
      </c>
      <c r="D219" s="335" t="s">
        <v>1824</v>
      </c>
      <c r="E219" s="227">
        <v>4.1160002E7</v>
      </c>
      <c r="F219" s="227" t="s">
        <v>1087</v>
      </c>
      <c r="G219" s="227" t="s">
        <v>152</v>
      </c>
      <c r="H219" s="336">
        <v>219347.0</v>
      </c>
      <c r="I219" s="227" t="s">
        <v>1062</v>
      </c>
      <c r="J219" s="227" t="s">
        <v>1090</v>
      </c>
      <c r="K219" s="335" t="s">
        <v>1828</v>
      </c>
      <c r="L219" s="220"/>
    </row>
    <row r="220">
      <c r="A220" s="229">
        <v>2020.0</v>
      </c>
      <c r="B220" s="229" t="s">
        <v>893</v>
      </c>
      <c r="C220" s="229" t="s">
        <v>485</v>
      </c>
      <c r="D220" s="229" t="s">
        <v>1182</v>
      </c>
      <c r="E220" s="229">
        <v>4.1160005E7</v>
      </c>
      <c r="F220" s="229" t="s">
        <v>488</v>
      </c>
      <c r="G220" s="229" t="s">
        <v>84</v>
      </c>
      <c r="H220" s="246">
        <v>100000.0</v>
      </c>
      <c r="I220" s="229" t="s">
        <v>490</v>
      </c>
      <c r="J220" s="242" t="s">
        <v>110</v>
      </c>
      <c r="K220" s="229" t="s">
        <v>491</v>
      </c>
      <c r="L220" s="239" t="s">
        <v>1183</v>
      </c>
    </row>
    <row r="221">
      <c r="A221" s="135">
        <v>2021.0</v>
      </c>
      <c r="B221" s="201" t="s">
        <v>893</v>
      </c>
      <c r="C221" s="135" t="s">
        <v>220</v>
      </c>
      <c r="D221" s="442" t="s">
        <v>74</v>
      </c>
      <c r="E221" s="29">
        <v>4.1160002E7</v>
      </c>
      <c r="F221" s="120" t="s">
        <v>1087</v>
      </c>
      <c r="G221" s="120" t="s">
        <v>152</v>
      </c>
      <c r="H221" s="203">
        <v>200000.0</v>
      </c>
      <c r="I221" s="120" t="s">
        <v>1062</v>
      </c>
      <c r="J221" s="135" t="s">
        <v>1833</v>
      </c>
      <c r="K221" s="219" t="s">
        <v>1834</v>
      </c>
      <c r="L221" s="205"/>
    </row>
    <row r="222">
      <c r="A222" s="209">
        <v>2021.0</v>
      </c>
      <c r="B222" s="335" t="s">
        <v>895</v>
      </c>
      <c r="C222" s="209" t="s">
        <v>220</v>
      </c>
      <c r="D222" s="506" t="s">
        <v>74</v>
      </c>
      <c r="E222" s="227">
        <v>4.1160002E7</v>
      </c>
      <c r="F222" s="227"/>
      <c r="G222" s="227"/>
      <c r="H222" s="211">
        <v>250000.0</v>
      </c>
      <c r="I222" s="227" t="s">
        <v>1062</v>
      </c>
      <c r="J222" s="209" t="s">
        <v>1833</v>
      </c>
      <c r="K222" s="208" t="s">
        <v>1837</v>
      </c>
      <c r="L222" s="220"/>
    </row>
    <row r="223">
      <c r="A223" s="229">
        <v>2020.0</v>
      </c>
      <c r="B223" s="229" t="s">
        <v>744</v>
      </c>
      <c r="C223" s="229" t="s">
        <v>485</v>
      </c>
      <c r="D223" s="229" t="s">
        <v>751</v>
      </c>
      <c r="E223" s="282" t="s">
        <v>578</v>
      </c>
      <c r="F223" s="229" t="s">
        <v>488</v>
      </c>
      <c r="G223" s="229" t="s">
        <v>84</v>
      </c>
      <c r="H223" s="246">
        <v>50000.0</v>
      </c>
      <c r="I223" s="229" t="s">
        <v>389</v>
      </c>
      <c r="J223" s="242" t="s">
        <v>110</v>
      </c>
      <c r="K223" s="425" t="s">
        <v>600</v>
      </c>
      <c r="L223" s="244"/>
    </row>
    <row r="224">
      <c r="A224" s="209">
        <v>2021.0</v>
      </c>
      <c r="B224" s="335" t="s">
        <v>744</v>
      </c>
      <c r="C224" s="209" t="s">
        <v>485</v>
      </c>
      <c r="D224" s="335" t="s">
        <v>751</v>
      </c>
      <c r="E224" s="227">
        <v>4.1160002E7</v>
      </c>
      <c r="F224" s="227" t="s">
        <v>1087</v>
      </c>
      <c r="G224" s="227" t="s">
        <v>152</v>
      </c>
      <c r="H224" s="336">
        <v>218250.0</v>
      </c>
      <c r="I224" s="227" t="s">
        <v>1062</v>
      </c>
      <c r="J224" s="209" t="s">
        <v>1090</v>
      </c>
      <c r="K224" s="335" t="s">
        <v>1841</v>
      </c>
      <c r="L224" s="220"/>
    </row>
    <row r="225">
      <c r="A225" s="344">
        <v>2019.0</v>
      </c>
      <c r="B225" s="344" t="s">
        <v>904</v>
      </c>
      <c r="C225" s="344" t="s">
        <v>139</v>
      </c>
      <c r="D225" s="344" t="s">
        <v>1450</v>
      </c>
      <c r="E225" s="346" t="s">
        <v>1676</v>
      </c>
      <c r="F225" s="344" t="s">
        <v>151</v>
      </c>
      <c r="G225" s="344" t="s">
        <v>152</v>
      </c>
      <c r="H225" s="353">
        <v>140000.0</v>
      </c>
      <c r="I225" s="344" t="s">
        <v>560</v>
      </c>
      <c r="J225" s="344" t="s">
        <v>110</v>
      </c>
      <c r="K225" s="344" t="s">
        <v>1452</v>
      </c>
      <c r="L225" s="355" t="s">
        <v>1677</v>
      </c>
    </row>
    <row r="226">
      <c r="A226" s="229">
        <v>2020.0</v>
      </c>
      <c r="B226" s="229" t="s">
        <v>520</v>
      </c>
      <c r="C226" s="229" t="s">
        <v>485</v>
      </c>
      <c r="D226" s="229" t="s">
        <v>1844</v>
      </c>
      <c r="E226" s="229">
        <v>4.1160005E7</v>
      </c>
      <c r="F226" s="229" t="s">
        <v>488</v>
      </c>
      <c r="G226" s="229" t="s">
        <v>84</v>
      </c>
      <c r="H226" s="507">
        <v>200000.0</v>
      </c>
      <c r="I226" s="229" t="s">
        <v>490</v>
      </c>
      <c r="J226" s="242" t="s">
        <v>110</v>
      </c>
      <c r="K226" s="229" t="s">
        <v>491</v>
      </c>
      <c r="L226" s="244"/>
    </row>
    <row r="227" ht="150.0" customHeight="1">
      <c r="A227" s="229">
        <v>2020.0</v>
      </c>
      <c r="B227" s="229" t="s">
        <v>520</v>
      </c>
      <c r="C227" s="229" t="s">
        <v>485</v>
      </c>
      <c r="D227" s="229" t="s">
        <v>1844</v>
      </c>
      <c r="E227" s="282" t="s">
        <v>578</v>
      </c>
      <c r="F227" s="229" t="s">
        <v>488</v>
      </c>
      <c r="G227" s="229" t="s">
        <v>84</v>
      </c>
      <c r="H227" s="246">
        <v>250000.0</v>
      </c>
      <c r="I227" s="229" t="s">
        <v>389</v>
      </c>
      <c r="J227" s="242" t="s">
        <v>110</v>
      </c>
      <c r="K227" s="425" t="s">
        <v>600</v>
      </c>
      <c r="L227" s="244"/>
    </row>
    <row r="228">
      <c r="A228" s="209"/>
      <c r="B228" s="296" t="s">
        <v>520</v>
      </c>
      <c r="C228" s="222" t="s">
        <v>1094</v>
      </c>
      <c r="D228" s="149" t="s">
        <v>1849</v>
      </c>
      <c r="E228" s="508"/>
      <c r="F228" s="224"/>
      <c r="G228" s="224"/>
      <c r="H228" s="268">
        <v>234954.25</v>
      </c>
      <c r="I228" s="120"/>
      <c r="J228" s="146" t="s">
        <v>1082</v>
      </c>
      <c r="K228" s="222" t="s">
        <v>1227</v>
      </c>
      <c r="L228" s="220"/>
    </row>
    <row r="229">
      <c r="A229" s="146">
        <v>2022.0</v>
      </c>
      <c r="B229" s="146" t="s">
        <v>520</v>
      </c>
      <c r="C229" s="229" t="s">
        <v>1097</v>
      </c>
      <c r="D229" s="229" t="s">
        <v>1097</v>
      </c>
      <c r="E229" s="224"/>
      <c r="F229" s="344" t="s">
        <v>151</v>
      </c>
      <c r="G229" s="135" t="s">
        <v>152</v>
      </c>
      <c r="H229" s="165">
        <v>500000.0</v>
      </c>
      <c r="I229" s="146" t="s">
        <v>570</v>
      </c>
      <c r="J229" s="135" t="s">
        <v>1082</v>
      </c>
      <c r="K229" s="179" t="s">
        <v>1852</v>
      </c>
      <c r="L229" s="160"/>
    </row>
    <row r="230">
      <c r="A230" s="229">
        <v>2019.0</v>
      </c>
      <c r="B230" s="229" t="s">
        <v>909</v>
      </c>
      <c r="C230" s="229" t="s">
        <v>556</v>
      </c>
      <c r="D230" s="229" t="s">
        <v>940</v>
      </c>
      <c r="E230" s="302">
        <v>7.1220005E7</v>
      </c>
      <c r="F230" s="229" t="s">
        <v>558</v>
      </c>
      <c r="G230" s="229" t="s">
        <v>152</v>
      </c>
      <c r="H230" s="246">
        <v>55000.0</v>
      </c>
      <c r="I230" s="229" t="s">
        <v>560</v>
      </c>
      <c r="J230" s="229" t="s">
        <v>110</v>
      </c>
      <c r="K230" s="229" t="s">
        <v>561</v>
      </c>
      <c r="L230" s="244"/>
    </row>
    <row r="231">
      <c r="A231" s="229">
        <v>2020.0</v>
      </c>
      <c r="B231" s="229" t="s">
        <v>377</v>
      </c>
      <c r="C231" s="229" t="s">
        <v>485</v>
      </c>
      <c r="D231" s="229" t="s">
        <v>773</v>
      </c>
      <c r="E231" s="282" t="s">
        <v>578</v>
      </c>
      <c r="F231" s="229" t="s">
        <v>488</v>
      </c>
      <c r="G231" s="229" t="s">
        <v>84</v>
      </c>
      <c r="H231" s="246">
        <v>50000.0</v>
      </c>
      <c r="I231" s="229" t="s">
        <v>389</v>
      </c>
      <c r="J231" s="242" t="s">
        <v>110</v>
      </c>
      <c r="K231" s="425" t="s">
        <v>600</v>
      </c>
      <c r="L231" s="244"/>
    </row>
    <row r="232">
      <c r="A232" s="209">
        <v>2022.0</v>
      </c>
      <c r="B232" s="208" t="s">
        <v>377</v>
      </c>
      <c r="C232" s="209" t="s">
        <v>485</v>
      </c>
      <c r="D232" s="208" t="s">
        <v>773</v>
      </c>
      <c r="E232" s="120">
        <v>7120004.0</v>
      </c>
      <c r="F232" s="120" t="s">
        <v>488</v>
      </c>
      <c r="G232" s="120" t="s">
        <v>84</v>
      </c>
      <c r="H232" s="211">
        <v>200000.0</v>
      </c>
      <c r="I232" s="120" t="s">
        <v>1193</v>
      </c>
      <c r="J232" s="227" t="s">
        <v>1208</v>
      </c>
      <c r="K232" s="219" t="s">
        <v>1338</v>
      </c>
      <c r="L232" s="220"/>
    </row>
    <row r="233">
      <c r="A233" s="120">
        <v>2022.0</v>
      </c>
      <c r="B233" s="120" t="s">
        <v>53</v>
      </c>
      <c r="C233" s="135" t="s">
        <v>14</v>
      </c>
      <c r="D233" s="135" t="s">
        <v>74</v>
      </c>
      <c r="E233" s="135">
        <v>4.1160005E7</v>
      </c>
      <c r="F233" s="135" t="s">
        <v>20</v>
      </c>
      <c r="G233" s="135" t="s">
        <v>152</v>
      </c>
      <c r="H233" s="165">
        <v>250000.0</v>
      </c>
      <c r="I233" s="135" t="s">
        <v>490</v>
      </c>
      <c r="J233" s="135" t="s">
        <v>1082</v>
      </c>
      <c r="K233" s="179" t="s">
        <v>1297</v>
      </c>
      <c r="L233" s="160"/>
    </row>
    <row r="234">
      <c r="A234" s="191">
        <v>2021.0</v>
      </c>
      <c r="B234" s="190" t="s">
        <v>53</v>
      </c>
      <c r="C234" s="191" t="s">
        <v>485</v>
      </c>
      <c r="D234" s="190" t="s">
        <v>1651</v>
      </c>
      <c r="E234" s="192">
        <v>4.1160003E7</v>
      </c>
      <c r="F234" s="192" t="s">
        <v>488</v>
      </c>
      <c r="G234" s="192" t="s">
        <v>84</v>
      </c>
      <c r="H234" s="194">
        <v>136540.0</v>
      </c>
      <c r="I234" s="192" t="s">
        <v>1062</v>
      </c>
      <c r="J234" s="192" t="s">
        <v>1171</v>
      </c>
      <c r="K234" s="190" t="s">
        <v>1213</v>
      </c>
      <c r="L234" s="197"/>
    </row>
    <row r="235">
      <c r="A235" s="120">
        <v>2022.0</v>
      </c>
      <c r="B235" s="120" t="s">
        <v>333</v>
      </c>
      <c r="C235" s="135"/>
      <c r="D235" s="248" t="s">
        <v>1226</v>
      </c>
      <c r="E235" s="135">
        <v>4.1160003E7</v>
      </c>
      <c r="F235" s="120" t="s">
        <v>1087</v>
      </c>
      <c r="G235" s="135" t="s">
        <v>152</v>
      </c>
      <c r="H235" s="165">
        <v>650000.0</v>
      </c>
      <c r="I235" s="135" t="s">
        <v>200</v>
      </c>
      <c r="J235" s="135" t="s">
        <v>1082</v>
      </c>
      <c r="K235" s="179"/>
      <c r="L235" s="160"/>
    </row>
    <row r="236">
      <c r="A236" s="120">
        <v>2022.0</v>
      </c>
      <c r="B236" s="120" t="s">
        <v>333</v>
      </c>
      <c r="C236" s="135" t="s">
        <v>485</v>
      </c>
      <c r="D236" s="248" t="s">
        <v>1269</v>
      </c>
      <c r="E236" s="135">
        <v>4.1160003E7</v>
      </c>
      <c r="F236" s="120" t="s">
        <v>1087</v>
      </c>
      <c r="G236" s="135" t="s">
        <v>152</v>
      </c>
      <c r="H236" s="165">
        <v>360000.0</v>
      </c>
      <c r="I236" s="135" t="s">
        <v>200</v>
      </c>
      <c r="J236" s="135" t="s">
        <v>1082</v>
      </c>
      <c r="K236" s="179"/>
      <c r="L236" s="160"/>
    </row>
    <row r="237">
      <c r="A237" s="229">
        <v>2019.0</v>
      </c>
      <c r="B237" s="229" t="s">
        <v>333</v>
      </c>
      <c r="C237" s="229" t="s">
        <v>485</v>
      </c>
      <c r="D237" s="229" t="s">
        <v>1864</v>
      </c>
      <c r="E237" s="229">
        <v>7.1220009E7</v>
      </c>
      <c r="F237" s="229" t="s">
        <v>488</v>
      </c>
      <c r="G237" s="229" t="s">
        <v>84</v>
      </c>
      <c r="H237" s="246">
        <v>250000.0</v>
      </c>
      <c r="I237" s="229" t="s">
        <v>389</v>
      </c>
      <c r="J237" s="229" t="s">
        <v>110</v>
      </c>
      <c r="K237" s="229" t="s">
        <v>1076</v>
      </c>
      <c r="L237" s="239" t="s">
        <v>1866</v>
      </c>
    </row>
    <row r="238">
      <c r="A238" s="229">
        <v>2020.0</v>
      </c>
      <c r="B238" s="229" t="s">
        <v>333</v>
      </c>
      <c r="C238" s="229" t="s">
        <v>485</v>
      </c>
      <c r="D238" s="229" t="s">
        <v>1169</v>
      </c>
      <c r="E238" s="282" t="s">
        <v>578</v>
      </c>
      <c r="F238" s="229" t="s">
        <v>488</v>
      </c>
      <c r="G238" s="229" t="s">
        <v>84</v>
      </c>
      <c r="H238" s="246">
        <v>100000.0</v>
      </c>
      <c r="I238" s="229" t="s">
        <v>389</v>
      </c>
      <c r="J238" s="242" t="s">
        <v>110</v>
      </c>
      <c r="K238" s="425" t="s">
        <v>600</v>
      </c>
      <c r="L238" s="244"/>
    </row>
    <row r="239">
      <c r="A239" s="229">
        <v>2020.0</v>
      </c>
      <c r="B239" s="229" t="s">
        <v>333</v>
      </c>
      <c r="C239" s="229" t="s">
        <v>14</v>
      </c>
      <c r="D239" s="229" t="s">
        <v>74</v>
      </c>
      <c r="E239" s="229">
        <v>4.1160009E7</v>
      </c>
      <c r="F239" s="229" t="s">
        <v>488</v>
      </c>
      <c r="G239" s="229" t="s">
        <v>84</v>
      </c>
      <c r="H239" s="246">
        <v>100000.0</v>
      </c>
      <c r="I239" s="229" t="s">
        <v>490</v>
      </c>
      <c r="J239" s="242" t="s">
        <v>110</v>
      </c>
      <c r="K239" s="229" t="s">
        <v>491</v>
      </c>
      <c r="L239" s="244"/>
    </row>
    <row r="240" ht="50.25" customHeight="1">
      <c r="A240" s="209"/>
      <c r="B240" s="222" t="s">
        <v>333</v>
      </c>
      <c r="C240" s="222" t="s">
        <v>139</v>
      </c>
      <c r="D240" s="224"/>
      <c r="E240" s="224"/>
      <c r="F240" s="224"/>
      <c r="G240" s="224"/>
      <c r="H240" s="268">
        <v>384370.17</v>
      </c>
      <c r="I240" s="120"/>
      <c r="J240" s="227"/>
      <c r="K240" s="222" t="s">
        <v>1341</v>
      </c>
      <c r="L240" s="220"/>
    </row>
    <row r="241">
      <c r="A241" s="229">
        <v>2020.0</v>
      </c>
      <c r="B241" s="229" t="s">
        <v>926</v>
      </c>
      <c r="C241" s="229" t="s">
        <v>14</v>
      </c>
      <c r="D241" s="229" t="s">
        <v>74</v>
      </c>
      <c r="E241" s="229">
        <v>4.1160001E7</v>
      </c>
      <c r="F241" s="229" t="s">
        <v>193</v>
      </c>
      <c r="G241" s="229" t="s">
        <v>84</v>
      </c>
      <c r="H241" s="246">
        <v>100000.0</v>
      </c>
      <c r="I241" s="229" t="s">
        <v>490</v>
      </c>
      <c r="J241" s="242" t="s">
        <v>110</v>
      </c>
      <c r="K241" s="229" t="s">
        <v>1026</v>
      </c>
      <c r="L241" s="244"/>
    </row>
    <row r="242">
      <c r="A242" s="120">
        <v>2022.0</v>
      </c>
      <c r="B242" s="120" t="s">
        <v>934</v>
      </c>
      <c r="C242" s="135" t="s">
        <v>485</v>
      </c>
      <c r="D242" s="248" t="s">
        <v>1246</v>
      </c>
      <c r="E242" s="135">
        <v>4.1160003E7</v>
      </c>
      <c r="F242" s="120" t="s">
        <v>1087</v>
      </c>
      <c r="G242" s="135" t="s">
        <v>152</v>
      </c>
      <c r="H242" s="165">
        <v>300000.0</v>
      </c>
      <c r="I242" s="135" t="s">
        <v>200</v>
      </c>
      <c r="J242" s="135" t="s">
        <v>1082</v>
      </c>
      <c r="K242" s="179"/>
      <c r="L242" s="160"/>
    </row>
    <row r="243" ht="45.0" customHeight="1">
      <c r="A243" s="229">
        <v>2020.0</v>
      </c>
      <c r="B243" s="229" t="s">
        <v>934</v>
      </c>
      <c r="C243" s="229" t="s">
        <v>14</v>
      </c>
      <c r="D243" s="229" t="s">
        <v>74</v>
      </c>
      <c r="E243" s="229">
        <v>4.1160001E7</v>
      </c>
      <c r="F243" s="229" t="s">
        <v>193</v>
      </c>
      <c r="G243" s="229" t="s">
        <v>84</v>
      </c>
      <c r="H243" s="246">
        <v>67500.0</v>
      </c>
      <c r="I243" s="229" t="s">
        <v>490</v>
      </c>
      <c r="J243" s="242" t="s">
        <v>110</v>
      </c>
      <c r="K243" s="229" t="s">
        <v>1026</v>
      </c>
      <c r="L243" s="239" t="s">
        <v>1027</v>
      </c>
    </row>
    <row r="244">
      <c r="A244" s="120">
        <v>2022.0</v>
      </c>
      <c r="B244" s="120" t="s">
        <v>942</v>
      </c>
      <c r="C244" s="135" t="s">
        <v>485</v>
      </c>
      <c r="D244" s="248" t="s">
        <v>1261</v>
      </c>
      <c r="E244" s="135">
        <v>4.1160003E7</v>
      </c>
      <c r="F244" s="120" t="s">
        <v>1087</v>
      </c>
      <c r="G244" s="135" t="s">
        <v>152</v>
      </c>
      <c r="H244" s="165">
        <v>100000.0</v>
      </c>
      <c r="I244" s="135" t="s">
        <v>200</v>
      </c>
      <c r="J244" s="135" t="s">
        <v>1082</v>
      </c>
      <c r="K244" s="179"/>
      <c r="L244" s="160"/>
    </row>
    <row r="245">
      <c r="A245" s="64">
        <v>2020.0</v>
      </c>
      <c r="B245" s="64" t="s">
        <v>945</v>
      </c>
      <c r="C245" s="64" t="s">
        <v>14</v>
      </c>
      <c r="D245" s="64" t="s">
        <v>74</v>
      </c>
      <c r="E245" s="64" t="s">
        <v>1880</v>
      </c>
      <c r="F245" s="64" t="s">
        <v>193</v>
      </c>
      <c r="G245" s="64" t="s">
        <v>84</v>
      </c>
      <c r="H245" s="519">
        <v>100000.0</v>
      </c>
      <c r="I245" s="64" t="s">
        <v>490</v>
      </c>
      <c r="J245" s="64" t="s">
        <v>110</v>
      </c>
      <c r="K245" s="64" t="s">
        <v>1026</v>
      </c>
      <c r="L245" s="70" t="s">
        <v>1211</v>
      </c>
    </row>
    <row r="246">
      <c r="A246" s="29">
        <v>2022.0</v>
      </c>
      <c r="B246" s="29" t="s">
        <v>822</v>
      </c>
      <c r="C246" s="136" t="s">
        <v>14</v>
      </c>
      <c r="D246" s="136" t="s">
        <v>74</v>
      </c>
      <c r="E246" s="136">
        <v>4.1160002E7</v>
      </c>
      <c r="F246" s="136" t="s">
        <v>193</v>
      </c>
      <c r="G246" s="136" t="s">
        <v>84</v>
      </c>
      <c r="H246" s="520">
        <v>50000.0</v>
      </c>
      <c r="I246" s="136" t="s">
        <v>200</v>
      </c>
      <c r="J246" s="136" t="s">
        <v>1082</v>
      </c>
      <c r="K246" s="521"/>
      <c r="L246" s="522"/>
    </row>
    <row r="247">
      <c r="A247" s="136">
        <v>2021.0</v>
      </c>
      <c r="B247" s="523" t="s">
        <v>822</v>
      </c>
      <c r="C247" s="136" t="s">
        <v>220</v>
      </c>
      <c r="D247" s="524" t="s">
        <v>74</v>
      </c>
      <c r="E247" s="136">
        <v>4.1160002E7</v>
      </c>
      <c r="F247" s="136" t="s">
        <v>193</v>
      </c>
      <c r="G247" s="136" t="s">
        <v>84</v>
      </c>
      <c r="H247" s="526">
        <v>50000.0</v>
      </c>
      <c r="I247" s="29" t="s">
        <v>229</v>
      </c>
      <c r="J247" s="136" t="s">
        <v>1302</v>
      </c>
      <c r="K247" s="523" t="s">
        <v>835</v>
      </c>
      <c r="L247" s="40"/>
    </row>
    <row r="248">
      <c r="A248" s="302">
        <v>2020.0</v>
      </c>
      <c r="B248" s="302" t="s">
        <v>400</v>
      </c>
      <c r="C248" s="302" t="s">
        <v>485</v>
      </c>
      <c r="D248" s="302" t="s">
        <v>1174</v>
      </c>
      <c r="E248" s="528" t="s">
        <v>578</v>
      </c>
      <c r="F248" s="302" t="s">
        <v>488</v>
      </c>
      <c r="G248" s="302" t="s">
        <v>84</v>
      </c>
      <c r="H248" s="507">
        <v>100000.0</v>
      </c>
      <c r="I248" s="302" t="s">
        <v>389</v>
      </c>
      <c r="J248" s="64" t="s">
        <v>110</v>
      </c>
      <c r="K248" s="529" t="s">
        <v>600</v>
      </c>
      <c r="L248" s="75"/>
    </row>
    <row r="249">
      <c r="A249" s="491">
        <v>2021.0</v>
      </c>
      <c r="B249" s="530" t="s">
        <v>400</v>
      </c>
      <c r="C249" s="491" t="s">
        <v>485</v>
      </c>
      <c r="D249" s="532" t="s">
        <v>1554</v>
      </c>
      <c r="E249" s="47">
        <v>4.1160002E7</v>
      </c>
      <c r="F249" s="47" t="s">
        <v>1087</v>
      </c>
      <c r="G249" s="47" t="s">
        <v>152</v>
      </c>
      <c r="H249" s="533">
        <v>112000.0</v>
      </c>
      <c r="I249" s="47" t="s">
        <v>1062</v>
      </c>
      <c r="J249" s="47" t="s">
        <v>1090</v>
      </c>
      <c r="K249" s="530" t="s">
        <v>1555</v>
      </c>
      <c r="L249" s="54"/>
    </row>
    <row r="250">
      <c r="A250" s="29">
        <v>2022.0</v>
      </c>
      <c r="B250" s="29" t="s">
        <v>952</v>
      </c>
      <c r="C250" s="136" t="s">
        <v>14</v>
      </c>
      <c r="D250" s="136" t="s">
        <v>74</v>
      </c>
      <c r="E250" s="136">
        <v>4.1160002E7</v>
      </c>
      <c r="F250" s="136" t="s">
        <v>193</v>
      </c>
      <c r="G250" s="136" t="s">
        <v>84</v>
      </c>
      <c r="H250" s="520">
        <v>100139.0</v>
      </c>
      <c r="I250" s="136" t="s">
        <v>200</v>
      </c>
      <c r="J250" s="136" t="s">
        <v>1082</v>
      </c>
      <c r="K250" s="521"/>
      <c r="L250" s="522"/>
    </row>
    <row r="251" ht="83.25" customHeight="1">
      <c r="A251" s="168">
        <v>2022.0</v>
      </c>
      <c r="B251" s="534" t="s">
        <v>960</v>
      </c>
      <c r="C251" s="168"/>
      <c r="D251" s="535" t="s">
        <v>1145</v>
      </c>
      <c r="E251" s="508"/>
      <c r="F251" s="168"/>
      <c r="G251" s="168"/>
      <c r="H251" s="520">
        <v>500000.0</v>
      </c>
      <c r="I251" s="168" t="s">
        <v>570</v>
      </c>
      <c r="J251" s="135" t="s">
        <v>1082</v>
      </c>
      <c r="K251" s="521"/>
      <c r="L251" s="522"/>
    </row>
    <row r="252">
      <c r="A252" s="209"/>
      <c r="B252" s="296" t="s">
        <v>960</v>
      </c>
      <c r="C252" s="222" t="s">
        <v>1094</v>
      </c>
      <c r="D252" s="149" t="s">
        <v>1900</v>
      </c>
      <c r="E252" s="224"/>
      <c r="F252" s="224"/>
      <c r="G252" s="224"/>
      <c r="H252" s="268">
        <v>384370.17</v>
      </c>
      <c r="I252" s="120"/>
      <c r="J252" s="146" t="s">
        <v>1082</v>
      </c>
      <c r="K252" s="222" t="s">
        <v>1341</v>
      </c>
      <c r="L252" s="220"/>
    </row>
    <row r="253">
      <c r="A253" s="120">
        <v>2022.0</v>
      </c>
      <c r="B253" s="120" t="s">
        <v>298</v>
      </c>
      <c r="C253" s="135" t="s">
        <v>485</v>
      </c>
      <c r="D253" s="248" t="s">
        <v>1250</v>
      </c>
      <c r="E253" s="135">
        <v>4.1160003E7</v>
      </c>
      <c r="F253" s="120" t="s">
        <v>1087</v>
      </c>
      <c r="G253" s="135" t="s">
        <v>152</v>
      </c>
      <c r="H253" s="165">
        <v>367500.0</v>
      </c>
      <c r="I253" s="135" t="s">
        <v>200</v>
      </c>
      <c r="J253" s="135" t="s">
        <v>1082</v>
      </c>
      <c r="K253" s="179"/>
      <c r="L253" s="160"/>
    </row>
    <row r="254">
      <c r="A254" s="229">
        <v>2019.0</v>
      </c>
      <c r="B254" s="229" t="s">
        <v>298</v>
      </c>
      <c r="C254" s="229" t="s">
        <v>485</v>
      </c>
      <c r="D254" s="229" t="s">
        <v>815</v>
      </c>
      <c r="E254" s="229">
        <v>7.1220009E7</v>
      </c>
      <c r="F254" s="229" t="s">
        <v>488</v>
      </c>
      <c r="G254" s="229" t="s">
        <v>84</v>
      </c>
      <c r="H254" s="246">
        <v>250000.0</v>
      </c>
      <c r="I254" s="229" t="s">
        <v>389</v>
      </c>
      <c r="J254" s="229" t="s">
        <v>110</v>
      </c>
      <c r="K254" s="229" t="s">
        <v>1076</v>
      </c>
      <c r="L254" s="239" t="s">
        <v>1903</v>
      </c>
    </row>
    <row r="255">
      <c r="A255" s="229">
        <v>2020.0</v>
      </c>
      <c r="B255" s="229" t="s">
        <v>298</v>
      </c>
      <c r="C255" s="229" t="s">
        <v>485</v>
      </c>
      <c r="D255" s="229" t="s">
        <v>815</v>
      </c>
      <c r="E255" s="541" t="s">
        <v>1904</v>
      </c>
      <c r="F255" s="229" t="s">
        <v>488</v>
      </c>
      <c r="G255" s="229" t="s">
        <v>84</v>
      </c>
      <c r="H255" s="246">
        <v>50000.0</v>
      </c>
      <c r="I255" s="229" t="s">
        <v>389</v>
      </c>
      <c r="J255" s="242" t="s">
        <v>110</v>
      </c>
      <c r="K255" s="425" t="s">
        <v>600</v>
      </c>
      <c r="L255" s="244"/>
    </row>
    <row r="256">
      <c r="A256" s="227">
        <v>2021.0</v>
      </c>
      <c r="B256" s="543" t="s">
        <v>298</v>
      </c>
      <c r="C256" s="227" t="s">
        <v>485</v>
      </c>
      <c r="D256" s="543" t="s">
        <v>1247</v>
      </c>
      <c r="E256" s="227">
        <v>4.1160002E7</v>
      </c>
      <c r="F256" s="227" t="s">
        <v>1087</v>
      </c>
      <c r="G256" s="227" t="s">
        <v>152</v>
      </c>
      <c r="H256" s="485">
        <v>100000.0</v>
      </c>
      <c r="I256" s="227" t="s">
        <v>1062</v>
      </c>
      <c r="J256" s="227" t="s">
        <v>1090</v>
      </c>
      <c r="K256" s="543" t="s">
        <v>1909</v>
      </c>
      <c r="L256" s="220"/>
    </row>
    <row r="257">
      <c r="A257" s="229">
        <v>2020.0</v>
      </c>
      <c r="B257" s="229" t="s">
        <v>966</v>
      </c>
      <c r="C257" s="229" t="s">
        <v>14</v>
      </c>
      <c r="D257" s="229" t="s">
        <v>74</v>
      </c>
      <c r="E257" s="229">
        <v>4.1160001E7</v>
      </c>
      <c r="F257" s="229" t="s">
        <v>193</v>
      </c>
      <c r="G257" s="229" t="s">
        <v>84</v>
      </c>
      <c r="H257" s="246">
        <v>100000.0</v>
      </c>
      <c r="I257" s="229" t="s">
        <v>490</v>
      </c>
      <c r="J257" s="229" t="s">
        <v>110</v>
      </c>
      <c r="K257" s="229" t="s">
        <v>1138</v>
      </c>
      <c r="L257" s="239" t="s">
        <v>1217</v>
      </c>
    </row>
    <row r="258">
      <c r="A258" s="344">
        <v>2019.0</v>
      </c>
      <c r="B258" s="344" t="s">
        <v>973</v>
      </c>
      <c r="C258" s="344" t="s">
        <v>1065</v>
      </c>
      <c r="D258" s="344" t="s">
        <v>1491</v>
      </c>
      <c r="E258" s="501"/>
      <c r="F258" s="344" t="s">
        <v>151</v>
      </c>
      <c r="G258" s="344" t="s">
        <v>152</v>
      </c>
      <c r="H258" s="353">
        <v>140000.0</v>
      </c>
      <c r="I258" s="344" t="s">
        <v>560</v>
      </c>
      <c r="J258" s="344" t="s">
        <v>110</v>
      </c>
      <c r="K258" s="344" t="s">
        <v>1434</v>
      </c>
      <c r="L258" s="355" t="s">
        <v>1457</v>
      </c>
    </row>
    <row r="259">
      <c r="A259" s="229">
        <v>2020.0</v>
      </c>
      <c r="B259" s="229" t="s">
        <v>982</v>
      </c>
      <c r="C259" s="229" t="s">
        <v>485</v>
      </c>
      <c r="D259" s="229" t="s">
        <v>1221</v>
      </c>
      <c r="E259" s="229">
        <v>4.1160005E7</v>
      </c>
      <c r="F259" s="229" t="s">
        <v>488</v>
      </c>
      <c r="G259" s="229" t="s">
        <v>84</v>
      </c>
      <c r="H259" s="246">
        <v>100000.0</v>
      </c>
      <c r="I259" s="229" t="s">
        <v>490</v>
      </c>
      <c r="J259" s="229" t="s">
        <v>110</v>
      </c>
      <c r="K259" s="229" t="s">
        <v>491</v>
      </c>
      <c r="L259" s="239" t="s">
        <v>1223</v>
      </c>
    </row>
    <row r="260">
      <c r="A260" s="209">
        <v>2021.0</v>
      </c>
      <c r="B260" s="335" t="s">
        <v>983</v>
      </c>
      <c r="C260" s="209" t="s">
        <v>485</v>
      </c>
      <c r="D260" s="335" t="s">
        <v>1687</v>
      </c>
      <c r="E260" s="227">
        <v>4.1160002E7</v>
      </c>
      <c r="F260" s="227" t="s">
        <v>1087</v>
      </c>
      <c r="G260" s="227" t="s">
        <v>152</v>
      </c>
      <c r="H260" s="336">
        <v>140000.0</v>
      </c>
      <c r="I260" s="227" t="s">
        <v>1062</v>
      </c>
      <c r="J260" s="209" t="s">
        <v>1090</v>
      </c>
      <c r="K260" s="335" t="s">
        <v>1688</v>
      </c>
      <c r="L260" s="220"/>
    </row>
    <row r="261" ht="63.0" customHeight="1">
      <c r="A261" s="209">
        <v>2020.0</v>
      </c>
      <c r="B261" s="209" t="s">
        <v>1499</v>
      </c>
      <c r="C261" s="209" t="s">
        <v>1065</v>
      </c>
      <c r="D261" s="209" t="s">
        <v>1500</v>
      </c>
      <c r="E261" s="549">
        <v>4.1160002E7</v>
      </c>
      <c r="F261" s="209" t="s">
        <v>151</v>
      </c>
      <c r="G261" s="209" t="s">
        <v>152</v>
      </c>
      <c r="H261" s="485">
        <v>317925.0</v>
      </c>
      <c r="I261" s="209" t="s">
        <v>155</v>
      </c>
      <c r="J261" s="209" t="s">
        <v>1501</v>
      </c>
      <c r="K261" s="551" t="s">
        <v>1502</v>
      </c>
      <c r="L261" s="220"/>
    </row>
    <row r="262">
      <c r="A262" s="463">
        <v>2020.0</v>
      </c>
      <c r="B262" s="463" t="s">
        <v>1499</v>
      </c>
      <c r="C262" s="552" t="s">
        <v>1065</v>
      </c>
      <c r="D262" s="488" t="s">
        <v>1500</v>
      </c>
      <c r="E262" s="486">
        <v>4.1160002E7</v>
      </c>
      <c r="F262" s="463" t="s">
        <v>151</v>
      </c>
      <c r="G262" s="463" t="s">
        <v>152</v>
      </c>
      <c r="H262" s="478" t="s">
        <v>1504</v>
      </c>
      <c r="I262" s="463" t="s">
        <v>155</v>
      </c>
      <c r="J262" s="463" t="s">
        <v>1505</v>
      </c>
      <c r="K262" s="554" t="s">
        <v>1506</v>
      </c>
      <c r="L262" s="490"/>
    </row>
    <row r="263">
      <c r="A263" s="405">
        <v>2020.0</v>
      </c>
      <c r="B263" s="405" t="s">
        <v>1499</v>
      </c>
      <c r="C263" s="405" t="s">
        <v>1065</v>
      </c>
      <c r="D263" s="555" t="s">
        <v>1508</v>
      </c>
      <c r="E263" s="557">
        <v>4.1160011E7</v>
      </c>
      <c r="F263" s="405" t="s">
        <v>151</v>
      </c>
      <c r="G263" s="405" t="s">
        <v>152</v>
      </c>
      <c r="H263" s="414" t="s">
        <v>1510</v>
      </c>
      <c r="I263" s="405" t="s">
        <v>155</v>
      </c>
      <c r="J263" s="405" t="s">
        <v>1512</v>
      </c>
      <c r="K263" s="559" t="s">
        <v>1513</v>
      </c>
      <c r="L263" s="560"/>
    </row>
    <row r="264">
      <c r="A264" s="135">
        <v>2020.0</v>
      </c>
      <c r="B264" s="135" t="s">
        <v>1499</v>
      </c>
      <c r="C264" s="135" t="s">
        <v>1065</v>
      </c>
      <c r="D264" s="492" t="s">
        <v>1508</v>
      </c>
      <c r="E264" s="423">
        <v>4.1160011E7</v>
      </c>
      <c r="F264" s="135" t="s">
        <v>151</v>
      </c>
      <c r="G264" s="135" t="s">
        <v>152</v>
      </c>
      <c r="H264" s="327">
        <v>156000.0</v>
      </c>
      <c r="I264" s="135" t="s">
        <v>155</v>
      </c>
      <c r="J264" s="146" t="s">
        <v>1082</v>
      </c>
      <c r="K264" s="424" t="s">
        <v>1518</v>
      </c>
      <c r="L264" s="40"/>
    </row>
    <row r="265">
      <c r="A265" s="135">
        <v>2020.0</v>
      </c>
      <c r="B265" s="135" t="s">
        <v>1499</v>
      </c>
      <c r="C265" s="135" t="s">
        <v>1065</v>
      </c>
      <c r="D265" s="492" t="s">
        <v>1508</v>
      </c>
      <c r="E265" s="423">
        <v>4.1160011E7</v>
      </c>
      <c r="F265" s="135" t="s">
        <v>151</v>
      </c>
      <c r="G265" s="135" t="s">
        <v>152</v>
      </c>
      <c r="H265" s="327">
        <v>149872.0</v>
      </c>
      <c r="I265" s="135" t="s">
        <v>155</v>
      </c>
      <c r="J265" s="146" t="s">
        <v>1082</v>
      </c>
      <c r="K265" s="562" t="s">
        <v>1521</v>
      </c>
      <c r="L265" s="40"/>
    </row>
    <row r="266">
      <c r="A266" s="405">
        <v>2020.0</v>
      </c>
      <c r="B266" s="405" t="s">
        <v>1499</v>
      </c>
      <c r="C266" s="405" t="s">
        <v>1094</v>
      </c>
      <c r="D266" s="405" t="s">
        <v>1523</v>
      </c>
      <c r="E266" s="564">
        <v>4.1160012E7</v>
      </c>
      <c r="F266" s="405" t="s">
        <v>151</v>
      </c>
      <c r="G266" s="405" t="s">
        <v>152</v>
      </c>
      <c r="H266" s="414" t="s">
        <v>1526</v>
      </c>
      <c r="I266" s="405" t="s">
        <v>155</v>
      </c>
      <c r="J266" s="409" t="s">
        <v>1527</v>
      </c>
      <c r="K266" s="557" t="s">
        <v>1529</v>
      </c>
      <c r="L266" s="567"/>
    </row>
    <row r="267">
      <c r="A267" s="120">
        <v>2021.0</v>
      </c>
      <c r="B267" s="135" t="s">
        <v>1499</v>
      </c>
      <c r="C267" s="120" t="s">
        <v>1065</v>
      </c>
      <c r="D267" s="120" t="s">
        <v>1532</v>
      </c>
      <c r="E267" s="325">
        <v>4.1160001E7</v>
      </c>
      <c r="F267" s="120" t="s">
        <v>151</v>
      </c>
      <c r="G267" s="120" t="s">
        <v>152</v>
      </c>
      <c r="H267" s="327">
        <v>1000000.0</v>
      </c>
      <c r="I267" s="120" t="s">
        <v>155</v>
      </c>
      <c r="J267" s="146" t="s">
        <v>1082</v>
      </c>
      <c r="K267" s="424" t="s">
        <v>1533</v>
      </c>
      <c r="L267" s="570"/>
    </row>
    <row r="268" ht="112.5" customHeight="1">
      <c r="A268" s="120">
        <v>2022.0</v>
      </c>
      <c r="B268" s="120" t="s">
        <v>435</v>
      </c>
      <c r="C268" s="135" t="s">
        <v>485</v>
      </c>
      <c r="D268" s="248" t="s">
        <v>1272</v>
      </c>
      <c r="E268" s="135">
        <v>4.1160003E7</v>
      </c>
      <c r="F268" s="120" t="s">
        <v>1087</v>
      </c>
      <c r="G268" s="135" t="s">
        <v>152</v>
      </c>
      <c r="H268" s="165">
        <v>450000.0</v>
      </c>
      <c r="I268" s="135" t="s">
        <v>200</v>
      </c>
      <c r="J268" s="135" t="s">
        <v>1082</v>
      </c>
      <c r="K268" s="179"/>
      <c r="L268" s="522"/>
    </row>
    <row r="269" ht="78.75" customHeight="1">
      <c r="A269" s="209">
        <v>2021.0</v>
      </c>
      <c r="B269" s="335" t="s">
        <v>551</v>
      </c>
      <c r="C269" s="209" t="s">
        <v>485</v>
      </c>
      <c r="D269" s="335" t="s">
        <v>1871</v>
      </c>
      <c r="E269" s="227">
        <v>4.1160002E7</v>
      </c>
      <c r="F269" s="227" t="s">
        <v>1087</v>
      </c>
      <c r="G269" s="227" t="s">
        <v>152</v>
      </c>
      <c r="H269" s="336">
        <v>162480.0</v>
      </c>
      <c r="I269" s="227" t="s">
        <v>1062</v>
      </c>
      <c r="J269" s="227" t="s">
        <v>1090</v>
      </c>
      <c r="K269" s="335" t="s">
        <v>1873</v>
      </c>
      <c r="L269" s="54"/>
    </row>
    <row r="270" ht="78.75" customHeight="1">
      <c r="A270" s="209"/>
      <c r="B270" s="222" t="s">
        <v>992</v>
      </c>
      <c r="C270" s="222" t="s">
        <v>1065</v>
      </c>
      <c r="D270" s="224"/>
      <c r="E270" s="120"/>
      <c r="F270" s="120"/>
      <c r="G270" s="120"/>
      <c r="H270" s="268">
        <v>234954.25</v>
      </c>
      <c r="I270" s="120"/>
      <c r="J270" s="146" t="s">
        <v>1082</v>
      </c>
      <c r="K270" s="222" t="s">
        <v>1227</v>
      </c>
      <c r="L270" s="54"/>
    </row>
    <row r="271">
      <c r="A271" s="146">
        <v>2022.0</v>
      </c>
      <c r="B271" s="574"/>
      <c r="C271" s="146"/>
      <c r="D271" s="576" t="s">
        <v>1140</v>
      </c>
      <c r="E271" s="224"/>
      <c r="F271" s="146"/>
      <c r="G271" s="135" t="s">
        <v>152</v>
      </c>
      <c r="H271" s="165">
        <v>250000.0</v>
      </c>
      <c r="I271" s="146" t="s">
        <v>570</v>
      </c>
      <c r="J271" s="135" t="s">
        <v>1082</v>
      </c>
      <c r="K271" s="179"/>
      <c r="L271" s="522"/>
    </row>
    <row r="272">
      <c r="A272" s="146">
        <v>2022.0</v>
      </c>
      <c r="B272" s="574"/>
      <c r="C272" s="146"/>
      <c r="D272" s="576" t="s">
        <v>1142</v>
      </c>
      <c r="E272" s="224"/>
      <c r="F272" s="146"/>
      <c r="G272" s="135" t="s">
        <v>152</v>
      </c>
      <c r="H272" s="165">
        <v>500000.0</v>
      </c>
      <c r="I272" s="146" t="s">
        <v>570</v>
      </c>
      <c r="J272" s="135" t="s">
        <v>1082</v>
      </c>
      <c r="K272" s="179"/>
      <c r="L272" s="522"/>
    </row>
    <row r="273">
      <c r="A273" s="146">
        <v>2022.0</v>
      </c>
      <c r="B273" s="146"/>
      <c r="C273" s="577"/>
      <c r="D273" s="578" t="s">
        <v>1148</v>
      </c>
      <c r="E273" s="224"/>
      <c r="F273" s="146"/>
      <c r="G273" s="135" t="s">
        <v>152</v>
      </c>
      <c r="H273" s="165">
        <v>1000000.0</v>
      </c>
      <c r="I273" s="146" t="s">
        <v>570</v>
      </c>
      <c r="J273" s="135" t="s">
        <v>1082</v>
      </c>
      <c r="K273" s="179" t="s">
        <v>1149</v>
      </c>
      <c r="L273" s="522"/>
    </row>
    <row r="274">
      <c r="A274" s="388"/>
      <c r="B274" s="390"/>
      <c r="C274" s="390"/>
      <c r="D274" s="391"/>
      <c r="E274" s="391"/>
      <c r="F274" s="366"/>
      <c r="G274" s="366"/>
      <c r="H274" s="579"/>
      <c r="I274" s="388"/>
      <c r="J274" s="366"/>
      <c r="K274" s="390"/>
      <c r="L274" s="348"/>
    </row>
    <row r="275">
      <c r="A275" s="209"/>
      <c r="B275" s="208"/>
      <c r="C275" s="209"/>
      <c r="D275" s="224"/>
      <c r="E275" s="224"/>
      <c r="F275" s="224"/>
      <c r="G275" s="224"/>
      <c r="H275" s="211"/>
      <c r="I275" s="120"/>
      <c r="J275" s="227"/>
      <c r="K275" s="530"/>
      <c r="L275" s="54"/>
    </row>
    <row r="276">
      <c r="A276" s="209"/>
      <c r="B276" s="208"/>
      <c r="C276" s="209"/>
      <c r="D276" s="208"/>
      <c r="E276" s="120"/>
      <c r="F276" s="120"/>
      <c r="G276" s="120"/>
      <c r="H276" s="211"/>
      <c r="I276" s="120"/>
      <c r="J276" s="227"/>
      <c r="K276" s="530"/>
      <c r="L276" s="54"/>
    </row>
    <row r="277">
      <c r="A277" s="209"/>
      <c r="B277" s="208"/>
      <c r="C277" s="209"/>
      <c r="D277" s="208"/>
      <c r="E277" s="120"/>
      <c r="F277" s="120"/>
      <c r="G277" s="120"/>
      <c r="H277" s="211"/>
      <c r="I277" s="120"/>
      <c r="J277" s="227"/>
      <c r="K277" s="530"/>
      <c r="L277" s="54"/>
    </row>
  </sheetData>
  <autoFilter ref="$A$1:$L$277">
    <sortState ref="A1:L277">
      <sortCondition ref="B1:B277"/>
      <sortCondition ref="I1:I277"/>
      <sortCondition ref="A1:A277"/>
      <sortCondition ref="E1:E277"/>
      <sortCondition descending="1" ref="C1:C277"/>
    </sortState>
  </autoFilter>
  <hyperlinks>
    <hyperlink r:id="rId1" location="page=6" ref="E15"/>
    <hyperlink r:id="rId2" location="page=6" ref="E37"/>
    <hyperlink r:id="rId3" location="page=6" ref="E39"/>
    <hyperlink r:id="rId4" location="page=6" ref="E43"/>
    <hyperlink r:id="rId5" location="page=6" ref="E49"/>
    <hyperlink r:id="rId6" location="page=6" ref="E51"/>
    <hyperlink r:id="rId7" location="page=6" ref="E68"/>
    <hyperlink r:id="rId8" location="page=6" ref="E80"/>
    <hyperlink r:id="rId9" location="page=6" ref="E93"/>
    <hyperlink r:id="rId10" location="page=6" ref="E100"/>
    <hyperlink r:id="rId11" location="page=6" ref="E106"/>
    <hyperlink r:id="rId12" location="page=6" ref="E115"/>
    <hyperlink r:id="rId13" location="page=6" ref="E118"/>
    <hyperlink r:id="rId14" location="page=6" ref="E123"/>
    <hyperlink r:id="rId15" location="page=6" ref="E129"/>
    <hyperlink r:id="rId16" location="page=6" ref="E132"/>
    <hyperlink r:id="rId17" location="page=6" ref="E138"/>
    <hyperlink r:id="rId18" location="page=6" ref="E144"/>
    <hyperlink r:id="rId19" location="page=6" ref="E150"/>
    <hyperlink r:id="rId20" location="page=6" ref="E156"/>
    <hyperlink r:id="rId21" location="page=6" ref="E160"/>
    <hyperlink r:id="rId22" location="page=6" ref="E188"/>
    <hyperlink r:id="rId23" location="page=6" ref="E194"/>
    <hyperlink r:id="rId24" location="page=6" ref="E197"/>
    <hyperlink r:id="rId25" location="page=6" ref="E212"/>
    <hyperlink r:id="rId26" location="page=6" ref="E223"/>
    <hyperlink r:id="rId27" location="page=6" ref="E227"/>
    <hyperlink r:id="rId28" location="page=6" ref="E231"/>
    <hyperlink r:id="rId29" location="page=6" ref="E238"/>
    <hyperlink r:id="rId30" location="page=6" ref="E248"/>
    <hyperlink r:id="rId31" location="page=6" ref="E255"/>
  </hyperlinks>
  <printOptions gridLines="1" horizontalCentered="1"/>
  <pageMargins bottom="0.75" footer="0.0" header="0.0" left="0.7" right="0.7" top="0.75"/>
  <pageSetup fitToHeight="0" paperSize="9" cellComments="atEnd" orientation="landscape" pageOrder="overThenDown"/>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9.63"/>
    <col customWidth="1" min="3" max="3" width="27.0"/>
    <col customWidth="1" min="4" max="4" width="34.5"/>
    <col customWidth="1" min="5" max="5" width="18.25"/>
    <col customWidth="1" min="6" max="6" width="24.88"/>
    <col customWidth="1" min="7" max="7" width="14.25"/>
    <col customWidth="1" min="8" max="8" width="17.75"/>
    <col customWidth="1" min="9" max="9" width="19.88"/>
    <col customWidth="1" min="10" max="10" width="31.88"/>
    <col customWidth="1" min="11" max="11" width="38.25"/>
    <col customWidth="1" min="12" max="12" width="21.0"/>
    <col customWidth="1" min="13" max="13" width="23.75"/>
    <col customWidth="1" min="14" max="14" width="36.5"/>
    <col customWidth="1" min="15" max="15" width="5.5"/>
  </cols>
  <sheetData>
    <row r="1">
      <c r="A1" s="110"/>
      <c r="B1" s="111" t="s">
        <v>14</v>
      </c>
      <c r="C1" s="111" t="s">
        <v>11</v>
      </c>
      <c r="D1" s="111" t="s">
        <v>16</v>
      </c>
      <c r="E1" s="114" t="s">
        <v>19</v>
      </c>
      <c r="F1" s="119" t="s">
        <v>24</v>
      </c>
      <c r="G1" s="119" t="s">
        <v>29</v>
      </c>
      <c r="H1" s="114" t="s">
        <v>32</v>
      </c>
      <c r="I1" s="111" t="s">
        <v>39</v>
      </c>
      <c r="J1" s="111" t="s">
        <v>41</v>
      </c>
      <c r="K1" s="111" t="s">
        <v>43</v>
      </c>
      <c r="L1" s="111" t="s">
        <v>10</v>
      </c>
      <c r="M1" s="122" t="s">
        <v>1042</v>
      </c>
      <c r="N1" s="122" t="s">
        <v>1088</v>
      </c>
      <c r="O1" s="125" t="s">
        <v>1044</v>
      </c>
    </row>
    <row r="2" ht="30.75" hidden="1" customHeight="1">
      <c r="A2" s="127">
        <v>2021.0</v>
      </c>
      <c r="B2" s="128" t="s">
        <v>102</v>
      </c>
      <c r="C2" s="130" t="s">
        <v>14</v>
      </c>
      <c r="D2" s="132"/>
      <c r="E2" s="137">
        <v>4.1160006E7</v>
      </c>
      <c r="F2" s="137"/>
      <c r="G2" s="137"/>
      <c r="H2" s="138">
        <v>2693000.0</v>
      </c>
      <c r="I2" s="130" t="s">
        <v>200</v>
      </c>
      <c r="J2" s="137"/>
      <c r="K2" s="141"/>
      <c r="L2" s="143"/>
      <c r="M2" s="143"/>
      <c r="N2" s="145"/>
      <c r="O2" s="147"/>
    </row>
    <row r="3" ht="30.75" hidden="1" customHeight="1">
      <c r="A3" s="155">
        <v>2022.0</v>
      </c>
      <c r="B3" s="159"/>
      <c r="C3" s="161"/>
      <c r="D3" s="164"/>
      <c r="E3" s="161"/>
      <c r="F3" s="161" t="s">
        <v>1128</v>
      </c>
      <c r="G3" s="161"/>
      <c r="H3" s="166">
        <v>2250000.0</v>
      </c>
      <c r="I3" s="161" t="s">
        <v>570</v>
      </c>
      <c r="J3" s="169" t="s">
        <v>1082</v>
      </c>
      <c r="K3" s="170"/>
      <c r="L3" s="172"/>
      <c r="M3" s="172"/>
      <c r="N3" s="174"/>
      <c r="O3" s="175"/>
    </row>
    <row r="4" ht="30.75" hidden="1" customHeight="1">
      <c r="A4" s="155">
        <v>2022.0</v>
      </c>
      <c r="B4" s="159"/>
      <c r="C4" s="161"/>
      <c r="D4" s="177" t="s">
        <v>1140</v>
      </c>
      <c r="E4" s="161"/>
      <c r="F4" s="161"/>
      <c r="G4" s="161"/>
      <c r="H4" s="166">
        <v>250000.0</v>
      </c>
      <c r="I4" s="161" t="s">
        <v>570</v>
      </c>
      <c r="J4" s="169" t="s">
        <v>1082</v>
      </c>
      <c r="K4" s="170"/>
      <c r="L4" s="172"/>
      <c r="M4" s="172"/>
      <c r="N4" s="174"/>
      <c r="O4" s="175"/>
    </row>
    <row r="5" ht="30.75" hidden="1" customHeight="1">
      <c r="A5" s="155">
        <v>2022.0</v>
      </c>
      <c r="B5" s="159"/>
      <c r="C5" s="161"/>
      <c r="D5" s="177" t="s">
        <v>1142</v>
      </c>
      <c r="E5" s="161"/>
      <c r="F5" s="161"/>
      <c r="G5" s="161"/>
      <c r="H5" s="166">
        <v>500000.0</v>
      </c>
      <c r="I5" s="161" t="s">
        <v>570</v>
      </c>
      <c r="J5" s="169" t="s">
        <v>1082</v>
      </c>
      <c r="K5" s="170"/>
      <c r="L5" s="172"/>
      <c r="M5" s="172"/>
      <c r="N5" s="174"/>
      <c r="O5" s="175"/>
    </row>
    <row r="6" ht="30.75" hidden="1" customHeight="1">
      <c r="A6" s="155">
        <v>2022.0</v>
      </c>
      <c r="B6" s="180" t="s">
        <v>960</v>
      </c>
      <c r="C6" s="161"/>
      <c r="D6" s="177" t="s">
        <v>1145</v>
      </c>
      <c r="E6" s="161"/>
      <c r="F6" s="161"/>
      <c r="G6" s="161"/>
      <c r="H6" s="166">
        <v>500000.0</v>
      </c>
      <c r="I6" s="161" t="s">
        <v>570</v>
      </c>
      <c r="J6" s="169" t="s">
        <v>1082</v>
      </c>
      <c r="K6" s="170"/>
      <c r="L6" s="172"/>
      <c r="M6" s="172"/>
      <c r="N6" s="174"/>
      <c r="O6" s="175"/>
    </row>
    <row r="7" ht="30.75" hidden="1" customHeight="1">
      <c r="A7" s="155">
        <v>2022.0</v>
      </c>
      <c r="B7" s="161"/>
      <c r="C7" s="161"/>
      <c r="D7" s="177" t="s">
        <v>1148</v>
      </c>
      <c r="E7" s="161"/>
      <c r="F7" s="161"/>
      <c r="G7" s="161"/>
      <c r="H7" s="166">
        <v>1000000.0</v>
      </c>
      <c r="I7" s="161" t="s">
        <v>570</v>
      </c>
      <c r="J7" s="169" t="s">
        <v>1082</v>
      </c>
      <c r="K7" s="170" t="s">
        <v>1149</v>
      </c>
      <c r="L7" s="172"/>
      <c r="M7" s="172"/>
      <c r="N7" s="174"/>
      <c r="O7" s="175"/>
    </row>
    <row r="8" ht="30.75" hidden="1" customHeight="1">
      <c r="A8" s="155">
        <v>2022.0</v>
      </c>
      <c r="B8" s="161"/>
      <c r="C8" s="161"/>
      <c r="D8" s="177" t="s">
        <v>1150</v>
      </c>
      <c r="E8" s="161"/>
      <c r="F8" s="161"/>
      <c r="G8" s="161"/>
      <c r="H8" s="166">
        <v>500000.0</v>
      </c>
      <c r="I8" s="161" t="s">
        <v>570</v>
      </c>
      <c r="J8" s="169" t="s">
        <v>1082</v>
      </c>
      <c r="K8" s="170"/>
      <c r="L8" s="172"/>
      <c r="M8" s="172"/>
      <c r="N8" s="174"/>
      <c r="O8" s="175"/>
    </row>
    <row r="9" hidden="1">
      <c r="A9" s="155">
        <v>2022.0</v>
      </c>
      <c r="B9" s="161" t="s">
        <v>1047</v>
      </c>
      <c r="C9" s="185" t="s">
        <v>1080</v>
      </c>
      <c r="D9" s="161" t="s">
        <v>1065</v>
      </c>
      <c r="E9" s="161">
        <v>4.1160001E7</v>
      </c>
      <c r="F9" s="161" t="s">
        <v>27</v>
      </c>
      <c r="G9" s="161"/>
      <c r="H9" s="186">
        <v>1238648.84</v>
      </c>
      <c r="I9" s="161" t="s">
        <v>200</v>
      </c>
      <c r="J9" s="161" t="s">
        <v>1082</v>
      </c>
      <c r="K9" s="189" t="s">
        <v>1083</v>
      </c>
      <c r="L9" s="172"/>
      <c r="M9" s="172"/>
      <c r="N9" s="174"/>
      <c r="O9" s="195"/>
    </row>
    <row r="10" ht="30.75" hidden="1" customHeight="1">
      <c r="A10" s="155">
        <v>2022.0</v>
      </c>
      <c r="B10" s="161" t="s">
        <v>1047</v>
      </c>
      <c r="C10" s="185" t="s">
        <v>1080</v>
      </c>
      <c r="D10" s="202" t="s">
        <v>139</v>
      </c>
      <c r="E10" s="161">
        <v>4.1160001E7</v>
      </c>
      <c r="F10" s="161" t="s">
        <v>27</v>
      </c>
      <c r="G10" s="204"/>
      <c r="H10" s="166">
        <v>1238648.84</v>
      </c>
      <c r="I10" s="161" t="s">
        <v>200</v>
      </c>
      <c r="J10" s="161" t="s">
        <v>1082</v>
      </c>
      <c r="K10" s="189" t="s">
        <v>1083</v>
      </c>
      <c r="L10" s="172"/>
      <c r="M10" s="172"/>
      <c r="N10" s="174"/>
      <c r="O10" s="195"/>
    </row>
    <row r="11" hidden="1">
      <c r="A11" s="155">
        <v>2022.0</v>
      </c>
      <c r="B11" s="161" t="s">
        <v>1047</v>
      </c>
      <c r="C11" s="185" t="s">
        <v>1080</v>
      </c>
      <c r="D11" s="202" t="s">
        <v>1094</v>
      </c>
      <c r="E11" s="161">
        <v>4.1160001E7</v>
      </c>
      <c r="F11" s="161" t="s">
        <v>27</v>
      </c>
      <c r="G11" s="204"/>
      <c r="H11" s="166">
        <v>1089232.92</v>
      </c>
      <c r="I11" s="161" t="s">
        <v>200</v>
      </c>
      <c r="J11" s="161" t="s">
        <v>1082</v>
      </c>
      <c r="K11" s="189" t="s">
        <v>1095</v>
      </c>
      <c r="L11" s="172"/>
      <c r="M11" s="172"/>
      <c r="N11" s="174"/>
      <c r="O11" s="195"/>
    </row>
    <row r="12" ht="30.75" hidden="1" customHeight="1">
      <c r="A12" s="210">
        <v>2022.0</v>
      </c>
      <c r="B12" s="212" t="s">
        <v>1190</v>
      </c>
      <c r="C12" s="213"/>
      <c r="D12" s="214" t="s">
        <v>1195</v>
      </c>
      <c r="E12" s="204">
        <v>4.1160004E7</v>
      </c>
      <c r="F12" s="204"/>
      <c r="G12" s="204"/>
      <c r="H12" s="166">
        <v>350000.0</v>
      </c>
      <c r="I12" s="204" t="s">
        <v>200</v>
      </c>
      <c r="J12" s="204" t="s">
        <v>1082</v>
      </c>
      <c r="K12" s="170"/>
      <c r="L12" s="172"/>
      <c r="M12" s="172"/>
      <c r="N12" s="174"/>
      <c r="O12" s="195"/>
    </row>
    <row r="13" ht="30.75" hidden="1" customHeight="1">
      <c r="A13" s="210">
        <v>2022.0</v>
      </c>
      <c r="B13" s="212" t="s">
        <v>1199</v>
      </c>
      <c r="C13" s="204"/>
      <c r="D13" s="215" t="s">
        <v>1096</v>
      </c>
      <c r="E13" s="204">
        <v>4.1160006E7</v>
      </c>
      <c r="F13" s="204"/>
      <c r="G13" s="204"/>
      <c r="H13" s="166">
        <v>350000.0</v>
      </c>
      <c r="I13" s="204" t="s">
        <v>200</v>
      </c>
      <c r="J13" s="204" t="s">
        <v>1082</v>
      </c>
      <c r="K13" s="170"/>
      <c r="L13" s="172"/>
      <c r="M13" s="172"/>
      <c r="N13" s="174"/>
      <c r="O13" s="195"/>
    </row>
    <row r="14" ht="30.75" hidden="1" customHeight="1">
      <c r="A14" s="210">
        <v>2022.0</v>
      </c>
      <c r="B14" s="204" t="s">
        <v>96</v>
      </c>
      <c r="C14" s="204"/>
      <c r="D14" s="215" t="s">
        <v>1201</v>
      </c>
      <c r="E14" s="204">
        <v>4.116001E7</v>
      </c>
      <c r="F14" s="204"/>
      <c r="G14" s="204"/>
      <c r="H14" s="166">
        <v>350000.0</v>
      </c>
      <c r="I14" s="204" t="s">
        <v>200</v>
      </c>
      <c r="J14" s="204" t="s">
        <v>1082</v>
      </c>
      <c r="K14" s="170"/>
      <c r="L14" s="172"/>
      <c r="M14" s="172"/>
      <c r="N14" s="174"/>
      <c r="O14" s="195"/>
    </row>
    <row r="15" ht="31.5" hidden="1" customHeight="1">
      <c r="A15" s="210">
        <v>2022.0</v>
      </c>
      <c r="B15" s="204" t="s">
        <v>127</v>
      </c>
      <c r="C15" s="204"/>
      <c r="D15" s="215" t="s">
        <v>1203</v>
      </c>
      <c r="E15" s="204">
        <v>4.1160009E7</v>
      </c>
      <c r="F15" s="204"/>
      <c r="G15" s="204"/>
      <c r="H15" s="166">
        <v>300000.0</v>
      </c>
      <c r="I15" s="204" t="s">
        <v>200</v>
      </c>
      <c r="J15" s="204" t="s">
        <v>1082</v>
      </c>
      <c r="K15" s="170"/>
      <c r="L15" s="172"/>
      <c r="M15" s="172"/>
      <c r="N15" s="174"/>
      <c r="O15" s="195"/>
    </row>
    <row r="16" ht="31.5" hidden="1" customHeight="1">
      <c r="A16" s="210">
        <v>2022.0</v>
      </c>
      <c r="B16" s="204" t="s">
        <v>355</v>
      </c>
      <c r="C16" s="204"/>
      <c r="D16" s="214" t="s">
        <v>1205</v>
      </c>
      <c r="E16" s="204">
        <v>4.1160008E7</v>
      </c>
      <c r="F16" s="204"/>
      <c r="G16" s="204"/>
      <c r="H16" s="166">
        <v>300000.0</v>
      </c>
      <c r="I16" s="204" t="s">
        <v>200</v>
      </c>
      <c r="J16" s="204" t="s">
        <v>1082</v>
      </c>
      <c r="K16" s="170"/>
      <c r="L16" s="172"/>
      <c r="M16" s="172"/>
      <c r="N16" s="174"/>
      <c r="O16" s="195"/>
    </row>
    <row r="17" ht="35.25" hidden="1" customHeight="1">
      <c r="A17" s="210">
        <v>2022.0</v>
      </c>
      <c r="B17" s="212" t="s">
        <v>198</v>
      </c>
      <c r="C17" s="204" t="s">
        <v>14</v>
      </c>
      <c r="D17" s="204" t="s">
        <v>74</v>
      </c>
      <c r="E17" s="204">
        <v>4.1160007E7</v>
      </c>
      <c r="F17" s="169" t="s">
        <v>1210</v>
      </c>
      <c r="G17" s="204"/>
      <c r="H17" s="166">
        <v>1139365.0</v>
      </c>
      <c r="I17" s="204" t="s">
        <v>200</v>
      </c>
      <c r="J17" s="204" t="s">
        <v>1082</v>
      </c>
      <c r="K17" s="170"/>
      <c r="L17" s="172"/>
      <c r="M17" s="172"/>
      <c r="N17" s="174"/>
      <c r="O17" s="195"/>
    </row>
    <row r="18" ht="35.25" hidden="1" customHeight="1">
      <c r="A18" s="210">
        <v>2022.0</v>
      </c>
      <c r="B18" s="212" t="s">
        <v>48</v>
      </c>
      <c r="C18" s="204" t="s">
        <v>14</v>
      </c>
      <c r="D18" s="204" t="s">
        <v>74</v>
      </c>
      <c r="E18" s="204">
        <v>4.1160007E7</v>
      </c>
      <c r="F18" s="169" t="s">
        <v>1210</v>
      </c>
      <c r="G18" s="204"/>
      <c r="H18" s="166">
        <v>500000.0</v>
      </c>
      <c r="I18" s="204" t="s">
        <v>200</v>
      </c>
      <c r="J18" s="204" t="s">
        <v>1082</v>
      </c>
      <c r="K18" s="170"/>
      <c r="L18" s="172"/>
      <c r="M18" s="172"/>
      <c r="N18" s="174"/>
      <c r="O18" s="195"/>
    </row>
    <row r="19" ht="35.25" hidden="1" customHeight="1">
      <c r="A19" s="210">
        <v>2022.0</v>
      </c>
      <c r="B19" s="212" t="s">
        <v>757</v>
      </c>
      <c r="C19" s="204" t="s">
        <v>14</v>
      </c>
      <c r="D19" s="204" t="s">
        <v>74</v>
      </c>
      <c r="E19" s="204">
        <v>4.1160007E7</v>
      </c>
      <c r="F19" s="169" t="s">
        <v>1210</v>
      </c>
      <c r="G19" s="204"/>
      <c r="H19" s="166">
        <v>500000.0</v>
      </c>
      <c r="I19" s="204" t="s">
        <v>200</v>
      </c>
      <c r="J19" s="204" t="s">
        <v>1082</v>
      </c>
      <c r="K19" s="170"/>
      <c r="L19" s="172"/>
      <c r="M19" s="172"/>
      <c r="N19" s="174"/>
      <c r="O19" s="195"/>
    </row>
    <row r="20" ht="35.25" hidden="1" customHeight="1">
      <c r="A20" s="210">
        <v>2022.0</v>
      </c>
      <c r="B20" s="212" t="s">
        <v>821</v>
      </c>
      <c r="C20" s="204"/>
      <c r="D20" s="221" t="s">
        <v>1215</v>
      </c>
      <c r="E20" s="204">
        <v>4.1160003E7</v>
      </c>
      <c r="F20" s="212" t="s">
        <v>1087</v>
      </c>
      <c r="G20" s="204" t="s">
        <v>152</v>
      </c>
      <c r="H20" s="166">
        <v>720000.0</v>
      </c>
      <c r="I20" s="204" t="s">
        <v>200</v>
      </c>
      <c r="J20" s="204" t="s">
        <v>1082</v>
      </c>
      <c r="K20" s="170"/>
      <c r="L20" s="172"/>
      <c r="M20" s="172"/>
      <c r="N20" s="174"/>
      <c r="O20" s="195"/>
    </row>
    <row r="21" ht="35.25" hidden="1" customHeight="1">
      <c r="A21" s="210">
        <v>2022.0</v>
      </c>
      <c r="B21" s="212" t="s">
        <v>861</v>
      </c>
      <c r="C21" s="204"/>
      <c r="D21" s="225" t="s">
        <v>1219</v>
      </c>
      <c r="E21" s="204">
        <v>4.1160003E7</v>
      </c>
      <c r="F21" s="212" t="s">
        <v>1087</v>
      </c>
      <c r="G21" s="204" t="s">
        <v>152</v>
      </c>
      <c r="H21" s="166">
        <v>250000.0</v>
      </c>
      <c r="I21" s="204" t="s">
        <v>200</v>
      </c>
      <c r="J21" s="204" t="s">
        <v>1082</v>
      </c>
      <c r="K21" s="170"/>
      <c r="L21" s="172"/>
      <c r="M21" s="172"/>
      <c r="N21" s="174"/>
      <c r="O21" s="195"/>
    </row>
    <row r="22" ht="35.25" hidden="1" customHeight="1">
      <c r="A22" s="210">
        <v>2022.0</v>
      </c>
      <c r="B22" s="212" t="s">
        <v>1225</v>
      </c>
      <c r="C22" s="204"/>
      <c r="D22" s="225" t="s">
        <v>1226</v>
      </c>
      <c r="E22" s="204">
        <v>4.1160003E7</v>
      </c>
      <c r="F22" s="212" t="s">
        <v>1087</v>
      </c>
      <c r="G22" s="204" t="s">
        <v>152</v>
      </c>
      <c r="H22" s="166">
        <v>650000.0</v>
      </c>
      <c r="I22" s="204" t="s">
        <v>200</v>
      </c>
      <c r="J22" s="204" t="s">
        <v>1082</v>
      </c>
      <c r="K22" s="170"/>
      <c r="L22" s="172"/>
      <c r="M22" s="172"/>
      <c r="N22" s="174"/>
      <c r="O22" s="195"/>
    </row>
    <row r="23" ht="35.25" hidden="1" customHeight="1">
      <c r="A23" s="210">
        <v>2022.0</v>
      </c>
      <c r="B23" s="212" t="s">
        <v>70</v>
      </c>
      <c r="C23" s="204"/>
      <c r="D23" s="225" t="s">
        <v>1226</v>
      </c>
      <c r="E23" s="204">
        <v>4.1160003E7</v>
      </c>
      <c r="F23" s="212" t="s">
        <v>1087</v>
      </c>
      <c r="G23" s="204" t="s">
        <v>152</v>
      </c>
      <c r="H23" s="166">
        <v>250000.0</v>
      </c>
      <c r="I23" s="204" t="s">
        <v>200</v>
      </c>
      <c r="J23" s="204" t="s">
        <v>1082</v>
      </c>
      <c r="K23" s="170"/>
      <c r="L23" s="172"/>
      <c r="M23" s="172"/>
      <c r="N23" s="174"/>
      <c r="O23" s="195"/>
    </row>
    <row r="24" ht="35.25" hidden="1" customHeight="1">
      <c r="A24" s="210">
        <v>2022.0</v>
      </c>
      <c r="B24" s="212" t="s">
        <v>180</v>
      </c>
      <c r="C24" s="204"/>
      <c r="D24" s="225" t="s">
        <v>1226</v>
      </c>
      <c r="E24" s="204">
        <v>4.1160003E7</v>
      </c>
      <c r="F24" s="212" t="s">
        <v>1087</v>
      </c>
      <c r="G24" s="204" t="s">
        <v>152</v>
      </c>
      <c r="H24" s="166">
        <v>610000.0</v>
      </c>
      <c r="I24" s="204" t="s">
        <v>200</v>
      </c>
      <c r="J24" s="204" t="s">
        <v>1082</v>
      </c>
      <c r="K24" s="170"/>
      <c r="L24" s="172"/>
      <c r="M24" s="172"/>
      <c r="N24" s="174"/>
      <c r="O24" s="195"/>
    </row>
    <row r="25" ht="35.25" hidden="1" customHeight="1">
      <c r="A25" s="210">
        <v>2022.0</v>
      </c>
      <c r="B25" s="212" t="s">
        <v>239</v>
      </c>
      <c r="C25" s="204"/>
      <c r="D25" s="225" t="s">
        <v>1226</v>
      </c>
      <c r="E25" s="204">
        <v>4.1160003E7</v>
      </c>
      <c r="F25" s="212" t="s">
        <v>1087</v>
      </c>
      <c r="G25" s="204" t="s">
        <v>152</v>
      </c>
      <c r="H25" s="166">
        <v>1000000.0</v>
      </c>
      <c r="I25" s="204" t="s">
        <v>200</v>
      </c>
      <c r="J25" s="204" t="s">
        <v>1082</v>
      </c>
      <c r="K25" s="170"/>
      <c r="L25" s="172"/>
      <c r="M25" s="172"/>
      <c r="N25" s="174"/>
      <c r="O25" s="195"/>
    </row>
    <row r="26" ht="35.25" hidden="1" customHeight="1">
      <c r="A26" s="210">
        <v>2022.0</v>
      </c>
      <c r="B26" s="212" t="s">
        <v>821</v>
      </c>
      <c r="C26" s="204"/>
      <c r="D26" s="225" t="s">
        <v>1234</v>
      </c>
      <c r="E26" s="204">
        <v>4.1160003E7</v>
      </c>
      <c r="F26" s="212" t="s">
        <v>1087</v>
      </c>
      <c r="G26" s="204" t="s">
        <v>152</v>
      </c>
      <c r="H26" s="166">
        <v>135000.0</v>
      </c>
      <c r="I26" s="204" t="s">
        <v>200</v>
      </c>
      <c r="J26" s="204" t="s">
        <v>1082</v>
      </c>
      <c r="K26" s="170"/>
      <c r="L26" s="172"/>
      <c r="M26" s="172"/>
      <c r="N26" s="174"/>
      <c r="O26" s="195"/>
    </row>
    <row r="27" ht="45.75" hidden="1" customHeight="1">
      <c r="A27" s="210">
        <v>2022.0</v>
      </c>
      <c r="B27" s="212" t="s">
        <v>127</v>
      </c>
      <c r="C27" s="204"/>
      <c r="D27" s="225" t="s">
        <v>1236</v>
      </c>
      <c r="E27" s="204">
        <v>4.1160003E7</v>
      </c>
      <c r="F27" s="212" t="s">
        <v>1087</v>
      </c>
      <c r="G27" s="204" t="s">
        <v>152</v>
      </c>
      <c r="H27" s="166">
        <v>569347.0</v>
      </c>
      <c r="I27" s="204" t="s">
        <v>200</v>
      </c>
      <c r="J27" s="204" t="s">
        <v>1082</v>
      </c>
      <c r="K27" s="170"/>
      <c r="L27" s="172"/>
      <c r="M27" s="172"/>
      <c r="N27" s="174"/>
      <c r="O27" s="195"/>
    </row>
    <row r="28" ht="45.75" hidden="1" customHeight="1">
      <c r="A28" s="210">
        <v>2022.0</v>
      </c>
      <c r="B28" s="212" t="s">
        <v>623</v>
      </c>
      <c r="C28" s="204"/>
      <c r="D28" s="225" t="s">
        <v>1237</v>
      </c>
      <c r="E28" s="204">
        <v>4.1160003E7</v>
      </c>
      <c r="F28" s="212" t="s">
        <v>1087</v>
      </c>
      <c r="G28" s="204" t="s">
        <v>152</v>
      </c>
      <c r="H28" s="166">
        <v>210000.0</v>
      </c>
      <c r="I28" s="204" t="s">
        <v>200</v>
      </c>
      <c r="J28" s="204" t="s">
        <v>1082</v>
      </c>
      <c r="K28" s="170"/>
      <c r="L28" s="172"/>
      <c r="M28" s="172"/>
      <c r="N28" s="174"/>
      <c r="O28" s="195"/>
    </row>
    <row r="29" ht="45.75" hidden="1" customHeight="1">
      <c r="A29" s="210">
        <v>2022.0</v>
      </c>
      <c r="B29" s="212" t="s">
        <v>127</v>
      </c>
      <c r="C29" s="204" t="s">
        <v>485</v>
      </c>
      <c r="D29" s="232" t="s">
        <v>1239</v>
      </c>
      <c r="E29" s="204">
        <v>4.1160003E7</v>
      </c>
      <c r="F29" s="212" t="s">
        <v>1087</v>
      </c>
      <c r="G29" s="204" t="s">
        <v>152</v>
      </c>
      <c r="H29" s="166">
        <v>776319.0</v>
      </c>
      <c r="I29" s="204" t="s">
        <v>200</v>
      </c>
      <c r="J29" s="204" t="s">
        <v>1082</v>
      </c>
      <c r="K29" s="170"/>
      <c r="L29" s="172"/>
      <c r="M29" s="172"/>
      <c r="N29" s="174"/>
      <c r="O29" s="195"/>
    </row>
    <row r="30" ht="45.75" hidden="1" customHeight="1">
      <c r="A30" s="210">
        <v>2022.0</v>
      </c>
      <c r="B30" s="212" t="s">
        <v>827</v>
      </c>
      <c r="C30" s="204" t="s">
        <v>485</v>
      </c>
      <c r="D30" s="225" t="s">
        <v>1241</v>
      </c>
      <c r="E30" s="204">
        <v>4.1160003E7</v>
      </c>
      <c r="F30" s="212" t="s">
        <v>1087</v>
      </c>
      <c r="G30" s="204" t="s">
        <v>152</v>
      </c>
      <c r="H30" s="166">
        <v>187000.0</v>
      </c>
      <c r="I30" s="204" t="s">
        <v>200</v>
      </c>
      <c r="J30" s="204" t="s">
        <v>1082</v>
      </c>
      <c r="K30" s="170"/>
      <c r="L30" s="172"/>
      <c r="M30" s="172"/>
      <c r="N30" s="174"/>
      <c r="O30" s="195"/>
    </row>
    <row r="31" ht="45.75" hidden="1" customHeight="1">
      <c r="A31" s="210">
        <v>2022.0</v>
      </c>
      <c r="B31" s="212" t="s">
        <v>632</v>
      </c>
      <c r="C31" s="204" t="s">
        <v>485</v>
      </c>
      <c r="D31" s="225" t="s">
        <v>1126</v>
      </c>
      <c r="E31" s="204">
        <v>4.1160003E7</v>
      </c>
      <c r="F31" s="212" t="s">
        <v>1087</v>
      </c>
      <c r="G31" s="204" t="s">
        <v>152</v>
      </c>
      <c r="H31" s="166">
        <v>260500.0</v>
      </c>
      <c r="I31" s="204" t="s">
        <v>200</v>
      </c>
      <c r="J31" s="204" t="s">
        <v>1082</v>
      </c>
      <c r="K31" s="170"/>
      <c r="L31" s="172"/>
      <c r="M31" s="172"/>
      <c r="N31" s="174"/>
      <c r="O31" s="195"/>
    </row>
    <row r="32" ht="45.75" hidden="1" customHeight="1">
      <c r="A32" s="210">
        <v>2022.0</v>
      </c>
      <c r="B32" s="212" t="s">
        <v>934</v>
      </c>
      <c r="C32" s="204" t="s">
        <v>485</v>
      </c>
      <c r="D32" s="225" t="s">
        <v>1246</v>
      </c>
      <c r="E32" s="204">
        <v>4.1160003E7</v>
      </c>
      <c r="F32" s="212" t="s">
        <v>1087</v>
      </c>
      <c r="G32" s="204" t="s">
        <v>152</v>
      </c>
      <c r="H32" s="166">
        <v>300000.0</v>
      </c>
      <c r="I32" s="204" t="s">
        <v>200</v>
      </c>
      <c r="J32" s="204" t="s">
        <v>1082</v>
      </c>
      <c r="K32" s="170"/>
      <c r="L32" s="172"/>
      <c r="M32" s="172"/>
      <c r="N32" s="174"/>
      <c r="O32" s="195"/>
    </row>
    <row r="33" ht="45.75" hidden="1" customHeight="1">
      <c r="A33" s="210">
        <v>2022.0</v>
      </c>
      <c r="B33" s="212" t="s">
        <v>298</v>
      </c>
      <c r="C33" s="204" t="s">
        <v>485</v>
      </c>
      <c r="D33" s="225" t="s">
        <v>1250</v>
      </c>
      <c r="E33" s="204">
        <v>4.1160003E7</v>
      </c>
      <c r="F33" s="212" t="s">
        <v>1087</v>
      </c>
      <c r="G33" s="204" t="s">
        <v>152</v>
      </c>
      <c r="H33" s="166">
        <v>367500.0</v>
      </c>
      <c r="I33" s="204" t="s">
        <v>200</v>
      </c>
      <c r="J33" s="204" t="s">
        <v>1082</v>
      </c>
      <c r="K33" s="170"/>
      <c r="L33" s="172"/>
      <c r="M33" s="172"/>
      <c r="N33" s="174"/>
      <c r="O33" s="195"/>
    </row>
    <row r="34" ht="45.75" hidden="1" customHeight="1">
      <c r="A34" s="210">
        <v>2022.0</v>
      </c>
      <c r="B34" s="212" t="s">
        <v>779</v>
      </c>
      <c r="C34" s="204" t="s">
        <v>485</v>
      </c>
      <c r="D34" s="225" t="s">
        <v>1251</v>
      </c>
      <c r="E34" s="204">
        <v>4.1160003E7</v>
      </c>
      <c r="F34" s="212" t="s">
        <v>1087</v>
      </c>
      <c r="G34" s="204" t="s">
        <v>152</v>
      </c>
      <c r="H34" s="166">
        <v>100000.0</v>
      </c>
      <c r="I34" s="204" t="s">
        <v>200</v>
      </c>
      <c r="J34" s="204" t="s">
        <v>1082</v>
      </c>
      <c r="K34" s="170"/>
      <c r="L34" s="172"/>
      <c r="M34" s="172"/>
      <c r="N34" s="174"/>
      <c r="O34" s="195"/>
    </row>
    <row r="35" ht="45.75" hidden="1" customHeight="1">
      <c r="A35" s="210">
        <v>2022.0</v>
      </c>
      <c r="B35" s="212" t="s">
        <v>119</v>
      </c>
      <c r="C35" s="204" t="s">
        <v>485</v>
      </c>
      <c r="D35" s="225" t="s">
        <v>1252</v>
      </c>
      <c r="E35" s="204">
        <v>4.1160003E7</v>
      </c>
      <c r="F35" s="212" t="s">
        <v>1087</v>
      </c>
      <c r="G35" s="204" t="s">
        <v>152</v>
      </c>
      <c r="H35" s="166">
        <v>150000.0</v>
      </c>
      <c r="I35" s="204" t="s">
        <v>200</v>
      </c>
      <c r="J35" s="204" t="s">
        <v>1082</v>
      </c>
      <c r="K35" s="170"/>
      <c r="L35" s="172"/>
      <c r="M35" s="172"/>
      <c r="N35" s="174"/>
      <c r="O35" s="195"/>
    </row>
    <row r="36" ht="45.75" hidden="1" customHeight="1">
      <c r="A36" s="210">
        <v>2022.0</v>
      </c>
      <c r="B36" s="212" t="s">
        <v>127</v>
      </c>
      <c r="C36" s="204" t="s">
        <v>485</v>
      </c>
      <c r="D36" s="225" t="s">
        <v>1255</v>
      </c>
      <c r="E36" s="204">
        <v>4.1160003E7</v>
      </c>
      <c r="F36" s="212" t="s">
        <v>1087</v>
      </c>
      <c r="G36" s="204" t="s">
        <v>152</v>
      </c>
      <c r="H36" s="166">
        <v>500000.0</v>
      </c>
      <c r="I36" s="204" t="s">
        <v>200</v>
      </c>
      <c r="J36" s="204" t="s">
        <v>1082</v>
      </c>
      <c r="K36" s="170"/>
      <c r="L36" s="172"/>
      <c r="M36" s="172"/>
      <c r="N36" s="174"/>
      <c r="O36" s="195"/>
    </row>
    <row r="37" ht="45.75" hidden="1" customHeight="1">
      <c r="A37" s="210">
        <v>2022.0</v>
      </c>
      <c r="B37" s="212" t="s">
        <v>851</v>
      </c>
      <c r="C37" s="204" t="s">
        <v>485</v>
      </c>
      <c r="D37" s="225" t="s">
        <v>1256</v>
      </c>
      <c r="E37" s="204">
        <v>4.1160003E7</v>
      </c>
      <c r="F37" s="212" t="s">
        <v>1087</v>
      </c>
      <c r="G37" s="204" t="s">
        <v>152</v>
      </c>
      <c r="H37" s="166">
        <v>117000.0</v>
      </c>
      <c r="I37" s="204" t="s">
        <v>200</v>
      </c>
      <c r="J37" s="204" t="s">
        <v>1082</v>
      </c>
      <c r="K37" s="170"/>
      <c r="L37" s="172"/>
      <c r="M37" s="172"/>
      <c r="N37" s="174"/>
      <c r="O37" s="195"/>
    </row>
    <row r="38" ht="45.75" hidden="1" customHeight="1">
      <c r="A38" s="210">
        <v>2022.0</v>
      </c>
      <c r="B38" s="212" t="s">
        <v>96</v>
      </c>
      <c r="C38" s="204" t="s">
        <v>485</v>
      </c>
      <c r="D38" s="225" t="s">
        <v>1257</v>
      </c>
      <c r="E38" s="204">
        <v>4.1160003E7</v>
      </c>
      <c r="F38" s="212" t="s">
        <v>1087</v>
      </c>
      <c r="G38" s="204" t="s">
        <v>152</v>
      </c>
      <c r="H38" s="166">
        <v>300000.0</v>
      </c>
      <c r="I38" s="204" t="s">
        <v>200</v>
      </c>
      <c r="J38" s="204" t="s">
        <v>1082</v>
      </c>
      <c r="K38" s="170"/>
      <c r="L38" s="172"/>
      <c r="M38" s="172"/>
      <c r="N38" s="174"/>
      <c r="O38" s="195"/>
    </row>
    <row r="39" ht="45.75" hidden="1" customHeight="1">
      <c r="A39" s="210">
        <v>2022.0</v>
      </c>
      <c r="B39" s="212" t="s">
        <v>875</v>
      </c>
      <c r="C39" s="204" t="s">
        <v>485</v>
      </c>
      <c r="D39" s="225" t="s">
        <v>1260</v>
      </c>
      <c r="E39" s="204">
        <v>4.1160003E7</v>
      </c>
      <c r="F39" s="212" t="s">
        <v>1087</v>
      </c>
      <c r="G39" s="204" t="s">
        <v>152</v>
      </c>
      <c r="H39" s="166">
        <v>200000.0</v>
      </c>
      <c r="I39" s="204" t="s">
        <v>200</v>
      </c>
      <c r="J39" s="204" t="s">
        <v>1082</v>
      </c>
      <c r="K39" s="170"/>
      <c r="L39" s="172"/>
      <c r="M39" s="172"/>
      <c r="N39" s="174"/>
      <c r="O39" s="195"/>
    </row>
    <row r="40" ht="45.75" hidden="1" customHeight="1">
      <c r="A40" s="210">
        <v>2022.0</v>
      </c>
      <c r="B40" s="212" t="s">
        <v>942</v>
      </c>
      <c r="C40" s="204" t="s">
        <v>485</v>
      </c>
      <c r="D40" s="225" t="s">
        <v>1261</v>
      </c>
      <c r="E40" s="204">
        <v>4.1160003E7</v>
      </c>
      <c r="F40" s="212" t="s">
        <v>1087</v>
      </c>
      <c r="G40" s="204" t="s">
        <v>152</v>
      </c>
      <c r="H40" s="166">
        <v>100000.0</v>
      </c>
      <c r="I40" s="204" t="s">
        <v>200</v>
      </c>
      <c r="J40" s="204" t="s">
        <v>1082</v>
      </c>
      <c r="K40" s="170"/>
      <c r="L40" s="172"/>
      <c r="M40" s="172"/>
      <c r="N40" s="174"/>
      <c r="O40" s="195"/>
    </row>
    <row r="41" ht="45.75" hidden="1" customHeight="1">
      <c r="A41" s="210">
        <v>2022.0</v>
      </c>
      <c r="B41" s="212" t="s">
        <v>1262</v>
      </c>
      <c r="C41" s="204" t="s">
        <v>485</v>
      </c>
      <c r="D41" s="225" t="s">
        <v>1264</v>
      </c>
      <c r="E41" s="204">
        <v>4.1160003E7</v>
      </c>
      <c r="F41" s="212" t="s">
        <v>1087</v>
      </c>
      <c r="G41" s="204" t="s">
        <v>152</v>
      </c>
      <c r="H41" s="166">
        <v>300000.0</v>
      </c>
      <c r="I41" s="204" t="s">
        <v>200</v>
      </c>
      <c r="J41" s="204" t="s">
        <v>1082</v>
      </c>
      <c r="K41" s="170"/>
      <c r="L41" s="172"/>
      <c r="M41" s="172"/>
      <c r="N41" s="174"/>
      <c r="O41" s="195"/>
    </row>
    <row r="42" ht="45.75" hidden="1" customHeight="1">
      <c r="A42" s="210">
        <v>2022.0</v>
      </c>
      <c r="B42" s="212" t="s">
        <v>355</v>
      </c>
      <c r="C42" s="204" t="s">
        <v>485</v>
      </c>
      <c r="D42" s="225" t="s">
        <v>1266</v>
      </c>
      <c r="E42" s="204">
        <v>4.1160003E7</v>
      </c>
      <c r="F42" s="212" t="s">
        <v>1087</v>
      </c>
      <c r="G42" s="204" t="s">
        <v>152</v>
      </c>
      <c r="H42" s="166">
        <v>249303.0</v>
      </c>
      <c r="I42" s="204" t="s">
        <v>200</v>
      </c>
      <c r="J42" s="204" t="s">
        <v>1082</v>
      </c>
      <c r="K42" s="170"/>
      <c r="L42" s="172"/>
      <c r="M42" s="172"/>
      <c r="N42" s="174"/>
      <c r="O42" s="195"/>
    </row>
    <row r="43" ht="45.75" hidden="1" customHeight="1">
      <c r="A43" s="210">
        <v>2022.0</v>
      </c>
      <c r="B43" s="212" t="s">
        <v>1225</v>
      </c>
      <c r="C43" s="204" t="s">
        <v>485</v>
      </c>
      <c r="D43" s="225" t="s">
        <v>1269</v>
      </c>
      <c r="E43" s="204">
        <v>4.1160003E7</v>
      </c>
      <c r="F43" s="212" t="s">
        <v>1087</v>
      </c>
      <c r="G43" s="204" t="s">
        <v>152</v>
      </c>
      <c r="H43" s="166">
        <v>360000.0</v>
      </c>
      <c r="I43" s="204" t="s">
        <v>200</v>
      </c>
      <c r="J43" s="204" t="s">
        <v>1082</v>
      </c>
      <c r="K43" s="170"/>
      <c r="L43" s="172"/>
      <c r="M43" s="172"/>
      <c r="N43" s="174"/>
      <c r="O43" s="195"/>
    </row>
    <row r="44" ht="45.75" hidden="1" customHeight="1">
      <c r="A44" s="210">
        <v>2022.0</v>
      </c>
      <c r="B44" s="212" t="s">
        <v>221</v>
      </c>
      <c r="C44" s="204" t="s">
        <v>485</v>
      </c>
      <c r="D44" s="225" t="s">
        <v>1270</v>
      </c>
      <c r="E44" s="204">
        <v>4.1160003E7</v>
      </c>
      <c r="F44" s="212" t="s">
        <v>1087</v>
      </c>
      <c r="G44" s="204" t="s">
        <v>152</v>
      </c>
      <c r="H44" s="166">
        <v>120000.0</v>
      </c>
      <c r="I44" s="204" t="s">
        <v>200</v>
      </c>
      <c r="J44" s="204" t="s">
        <v>1082</v>
      </c>
      <c r="K44" s="170"/>
      <c r="L44" s="172"/>
      <c r="M44" s="172"/>
      <c r="N44" s="174"/>
      <c r="O44" s="195"/>
    </row>
    <row r="45" ht="45.75" hidden="1" customHeight="1">
      <c r="A45" s="210">
        <v>2022.0</v>
      </c>
      <c r="B45" s="212" t="s">
        <v>435</v>
      </c>
      <c r="C45" s="204" t="s">
        <v>485</v>
      </c>
      <c r="D45" s="225" t="s">
        <v>1272</v>
      </c>
      <c r="E45" s="204">
        <v>4.1160003E7</v>
      </c>
      <c r="F45" s="212" t="s">
        <v>1087</v>
      </c>
      <c r="G45" s="204" t="s">
        <v>152</v>
      </c>
      <c r="H45" s="166">
        <v>450000.0</v>
      </c>
      <c r="I45" s="204" t="s">
        <v>200</v>
      </c>
      <c r="J45" s="204" t="s">
        <v>1082</v>
      </c>
      <c r="K45" s="170"/>
      <c r="L45" s="172"/>
      <c r="M45" s="172"/>
      <c r="N45" s="174"/>
      <c r="O45" s="195"/>
    </row>
    <row r="46" ht="45.75" hidden="1" customHeight="1">
      <c r="A46" s="210">
        <v>2022.0</v>
      </c>
      <c r="B46" s="212" t="s">
        <v>888</v>
      </c>
      <c r="C46" s="204" t="s">
        <v>14</v>
      </c>
      <c r="D46" s="204" t="s">
        <v>74</v>
      </c>
      <c r="E46" s="204">
        <v>4.1160002E7</v>
      </c>
      <c r="F46" s="204" t="s">
        <v>193</v>
      </c>
      <c r="G46" s="204" t="s">
        <v>84</v>
      </c>
      <c r="H46" s="166">
        <v>175000.0</v>
      </c>
      <c r="I46" s="204" t="s">
        <v>200</v>
      </c>
      <c r="J46" s="204" t="s">
        <v>1082</v>
      </c>
      <c r="K46" s="170"/>
      <c r="L46" s="172"/>
      <c r="M46" s="172"/>
      <c r="N46" s="174"/>
      <c r="O46" s="195"/>
    </row>
    <row r="47" ht="45.75" hidden="1" customHeight="1">
      <c r="A47" s="210">
        <v>2022.0</v>
      </c>
      <c r="B47" s="212" t="s">
        <v>429</v>
      </c>
      <c r="C47" s="204" t="s">
        <v>14</v>
      </c>
      <c r="D47" s="204" t="s">
        <v>74</v>
      </c>
      <c r="E47" s="204">
        <v>4.1160002E7</v>
      </c>
      <c r="F47" s="204" t="s">
        <v>193</v>
      </c>
      <c r="G47" s="204" t="s">
        <v>84</v>
      </c>
      <c r="H47" s="166">
        <v>35000.0</v>
      </c>
      <c r="I47" s="204" t="s">
        <v>200</v>
      </c>
      <c r="J47" s="204" t="s">
        <v>1082</v>
      </c>
      <c r="K47" s="170"/>
      <c r="L47" s="172"/>
      <c r="M47" s="172"/>
      <c r="N47" s="174"/>
      <c r="O47" s="195"/>
    </row>
    <row r="48" ht="45.75" hidden="1" customHeight="1">
      <c r="A48" s="210">
        <v>2022.0</v>
      </c>
      <c r="B48" s="212" t="s">
        <v>175</v>
      </c>
      <c r="C48" s="204" t="s">
        <v>14</v>
      </c>
      <c r="D48" s="204" t="s">
        <v>74</v>
      </c>
      <c r="E48" s="204">
        <v>4.1160002E7</v>
      </c>
      <c r="F48" s="204" t="s">
        <v>193</v>
      </c>
      <c r="G48" s="204" t="s">
        <v>84</v>
      </c>
      <c r="H48" s="166">
        <v>20000.0</v>
      </c>
      <c r="I48" s="204" t="s">
        <v>200</v>
      </c>
      <c r="J48" s="204" t="s">
        <v>1082</v>
      </c>
      <c r="K48" s="170"/>
      <c r="L48" s="172"/>
      <c r="M48" s="172"/>
      <c r="N48" s="174"/>
      <c r="O48" s="195"/>
    </row>
    <row r="49" ht="45.75" hidden="1" customHeight="1">
      <c r="A49" s="210">
        <v>2022.0</v>
      </c>
      <c r="B49" s="212" t="s">
        <v>822</v>
      </c>
      <c r="C49" s="204" t="s">
        <v>14</v>
      </c>
      <c r="D49" s="204" t="s">
        <v>74</v>
      </c>
      <c r="E49" s="204">
        <v>4.1160002E7</v>
      </c>
      <c r="F49" s="204" t="s">
        <v>193</v>
      </c>
      <c r="G49" s="204" t="s">
        <v>84</v>
      </c>
      <c r="H49" s="166">
        <v>50000.0</v>
      </c>
      <c r="I49" s="204" t="s">
        <v>200</v>
      </c>
      <c r="J49" s="204" t="s">
        <v>1082</v>
      </c>
      <c r="K49" s="170"/>
      <c r="L49" s="172"/>
      <c r="M49" s="172"/>
      <c r="N49" s="174"/>
      <c r="O49" s="195"/>
    </row>
    <row r="50" ht="45.75" hidden="1" customHeight="1">
      <c r="A50" s="210">
        <v>2022.0</v>
      </c>
      <c r="B50" s="212" t="s">
        <v>952</v>
      </c>
      <c r="C50" s="204" t="s">
        <v>14</v>
      </c>
      <c r="D50" s="204" t="s">
        <v>74</v>
      </c>
      <c r="E50" s="204">
        <v>4.1160002E7</v>
      </c>
      <c r="F50" s="204" t="s">
        <v>193</v>
      </c>
      <c r="G50" s="204" t="s">
        <v>84</v>
      </c>
      <c r="H50" s="166">
        <v>100139.0</v>
      </c>
      <c r="I50" s="204" t="s">
        <v>200</v>
      </c>
      <c r="J50" s="204" t="s">
        <v>1082</v>
      </c>
      <c r="K50" s="170"/>
      <c r="L50" s="172"/>
      <c r="M50" s="172"/>
      <c r="N50" s="174"/>
      <c r="O50" s="195"/>
    </row>
    <row r="51" hidden="1">
      <c r="A51" s="210">
        <v>2022.0</v>
      </c>
      <c r="B51" s="212" t="s">
        <v>54</v>
      </c>
      <c r="C51" s="204" t="s">
        <v>14</v>
      </c>
      <c r="D51" s="204" t="s">
        <v>74</v>
      </c>
      <c r="E51" s="204">
        <v>4.1160005E7</v>
      </c>
      <c r="F51" s="204" t="s">
        <v>20</v>
      </c>
      <c r="G51" s="204" t="s">
        <v>152</v>
      </c>
      <c r="H51" s="166">
        <v>250000.0</v>
      </c>
      <c r="I51" s="204" t="s">
        <v>490</v>
      </c>
      <c r="J51" s="204" t="s">
        <v>1082</v>
      </c>
      <c r="K51" s="170" t="s">
        <v>1154</v>
      </c>
      <c r="L51" s="172"/>
      <c r="M51" s="172"/>
      <c r="N51" s="174" t="s">
        <v>1284</v>
      </c>
      <c r="O51" s="195"/>
    </row>
    <row r="52" hidden="1">
      <c r="A52" s="210">
        <v>2022.0</v>
      </c>
      <c r="B52" s="212" t="s">
        <v>159</v>
      </c>
      <c r="C52" s="204" t="s">
        <v>14</v>
      </c>
      <c r="D52" s="204" t="s">
        <v>74</v>
      </c>
      <c r="E52" s="204">
        <v>4.1160005E7</v>
      </c>
      <c r="F52" s="204" t="s">
        <v>20</v>
      </c>
      <c r="G52" s="204" t="s">
        <v>152</v>
      </c>
      <c r="H52" s="166">
        <v>250000.0</v>
      </c>
      <c r="I52" s="204" t="s">
        <v>490</v>
      </c>
      <c r="J52" s="204" t="s">
        <v>1082</v>
      </c>
      <c r="K52" s="170" t="s">
        <v>1291</v>
      </c>
      <c r="L52" s="172"/>
      <c r="M52" s="172"/>
      <c r="N52" s="174" t="s">
        <v>1293</v>
      </c>
      <c r="O52" s="195"/>
    </row>
    <row r="53" hidden="1">
      <c r="A53" s="210">
        <v>2022.0</v>
      </c>
      <c r="B53" s="212" t="s">
        <v>53</v>
      </c>
      <c r="C53" s="204" t="s">
        <v>14</v>
      </c>
      <c r="D53" s="204" t="s">
        <v>74</v>
      </c>
      <c r="E53" s="204">
        <v>4.1160005E7</v>
      </c>
      <c r="F53" s="204" t="s">
        <v>20</v>
      </c>
      <c r="G53" s="204" t="s">
        <v>152</v>
      </c>
      <c r="H53" s="166">
        <v>250000.0</v>
      </c>
      <c r="I53" s="204" t="s">
        <v>490</v>
      </c>
      <c r="J53" s="204" t="s">
        <v>1082</v>
      </c>
      <c r="K53" s="170" t="s">
        <v>1297</v>
      </c>
      <c r="L53" s="172"/>
      <c r="M53" s="172"/>
      <c r="N53" s="258" t="s">
        <v>1299</v>
      </c>
      <c r="O53" s="195"/>
    </row>
    <row r="54" hidden="1">
      <c r="A54" s="210">
        <v>2022.0</v>
      </c>
      <c r="B54" s="212" t="s">
        <v>755</v>
      </c>
      <c r="C54" s="204" t="s">
        <v>14</v>
      </c>
      <c r="D54" s="204" t="s">
        <v>74</v>
      </c>
      <c r="E54" s="204">
        <v>4.1160005E7</v>
      </c>
      <c r="F54" s="204" t="s">
        <v>20</v>
      </c>
      <c r="G54" s="204" t="s">
        <v>152</v>
      </c>
      <c r="H54" s="166">
        <v>250000.0</v>
      </c>
      <c r="I54" s="204" t="s">
        <v>490</v>
      </c>
      <c r="J54" s="204" t="s">
        <v>1082</v>
      </c>
      <c r="K54" s="170" t="s">
        <v>1325</v>
      </c>
      <c r="L54" s="172"/>
      <c r="M54" s="172"/>
      <c r="N54" s="174" t="s">
        <v>1326</v>
      </c>
      <c r="O54" s="195"/>
    </row>
    <row r="55" hidden="1">
      <c r="A55" s="210">
        <v>2022.0</v>
      </c>
      <c r="B55" s="212" t="s">
        <v>611</v>
      </c>
      <c r="C55" s="204" t="s">
        <v>14</v>
      </c>
      <c r="D55" s="204" t="s">
        <v>74</v>
      </c>
      <c r="E55" s="204">
        <v>4.1160005E7</v>
      </c>
      <c r="F55" s="204" t="s">
        <v>20</v>
      </c>
      <c r="G55" s="204" t="s">
        <v>152</v>
      </c>
      <c r="H55" s="166">
        <v>250000.0</v>
      </c>
      <c r="I55" s="204" t="s">
        <v>490</v>
      </c>
      <c r="J55" s="204" t="s">
        <v>1082</v>
      </c>
      <c r="K55" s="262" t="s">
        <v>1332</v>
      </c>
      <c r="L55" s="172"/>
      <c r="M55" s="172"/>
      <c r="N55" s="174" t="s">
        <v>1299</v>
      </c>
      <c r="O55" s="195"/>
    </row>
    <row r="56" hidden="1">
      <c r="A56" s="264">
        <v>2022.0</v>
      </c>
      <c r="B56" s="265" t="s">
        <v>496</v>
      </c>
      <c r="C56" s="267" t="s">
        <v>14</v>
      </c>
      <c r="D56" s="267" t="s">
        <v>74</v>
      </c>
      <c r="E56" s="267">
        <v>4.1160005E7</v>
      </c>
      <c r="F56" s="267" t="s">
        <v>20</v>
      </c>
      <c r="G56" s="267" t="s">
        <v>152</v>
      </c>
      <c r="H56" s="269">
        <v>250000.0</v>
      </c>
      <c r="I56" s="267" t="s">
        <v>490</v>
      </c>
      <c r="J56" s="267" t="s">
        <v>1082</v>
      </c>
      <c r="K56" s="272" t="s">
        <v>1344</v>
      </c>
      <c r="L56" s="274"/>
      <c r="M56" s="274"/>
      <c r="N56" s="277" t="s">
        <v>1347</v>
      </c>
      <c r="O56" s="278"/>
    </row>
    <row r="57" ht="40.5" hidden="1" customHeight="1">
      <c r="A57" s="280">
        <v>2021.0</v>
      </c>
      <c r="B57" s="280" t="s">
        <v>1047</v>
      </c>
      <c r="C57" s="281" t="s">
        <v>139</v>
      </c>
      <c r="D57" s="280" t="s">
        <v>139</v>
      </c>
      <c r="E57" s="280">
        <v>7.1220009E7</v>
      </c>
      <c r="F57" s="280" t="s">
        <v>27</v>
      </c>
      <c r="G57" s="280" t="s">
        <v>152</v>
      </c>
      <c r="H57" s="283">
        <v>700000.0</v>
      </c>
      <c r="I57" s="280" t="s">
        <v>389</v>
      </c>
      <c r="J57" s="280"/>
      <c r="K57" s="284" t="s">
        <v>1053</v>
      </c>
      <c r="L57" s="285"/>
      <c r="M57" s="285"/>
      <c r="N57" s="289" t="s">
        <v>1360</v>
      </c>
      <c r="O57" s="290"/>
    </row>
    <row r="58" hidden="1">
      <c r="A58" s="291">
        <v>2021.0</v>
      </c>
      <c r="B58" s="291" t="s">
        <v>543</v>
      </c>
      <c r="C58" s="170" t="s">
        <v>1094</v>
      </c>
      <c r="D58" s="291" t="s">
        <v>1094</v>
      </c>
      <c r="E58" s="291">
        <v>7.1220009E7</v>
      </c>
      <c r="F58" s="291" t="s">
        <v>27</v>
      </c>
      <c r="G58" s="291" t="s">
        <v>152</v>
      </c>
      <c r="H58" s="292">
        <v>330000.0</v>
      </c>
      <c r="I58" s="291" t="s">
        <v>389</v>
      </c>
      <c r="J58" s="291"/>
      <c r="K58" s="170" t="s">
        <v>1367</v>
      </c>
      <c r="L58" s="172"/>
      <c r="M58" s="172"/>
      <c r="N58" s="258" t="s">
        <v>1370</v>
      </c>
      <c r="O58" s="295"/>
    </row>
    <row r="59" hidden="1">
      <c r="A59" s="291">
        <v>2021.0</v>
      </c>
      <c r="B59" s="291" t="s">
        <v>1047</v>
      </c>
      <c r="C59" s="299" t="s">
        <v>1065</v>
      </c>
      <c r="D59" s="291" t="s">
        <v>1065</v>
      </c>
      <c r="E59" s="291">
        <v>7.1220009E7</v>
      </c>
      <c r="F59" s="291" t="s">
        <v>27</v>
      </c>
      <c r="G59" s="291" t="s">
        <v>152</v>
      </c>
      <c r="H59" s="292">
        <v>358785.0</v>
      </c>
      <c r="I59" s="291" t="s">
        <v>389</v>
      </c>
      <c r="J59" s="291"/>
      <c r="K59" s="170" t="s">
        <v>1071</v>
      </c>
      <c r="L59" s="301"/>
      <c r="M59" s="172"/>
      <c r="N59" s="258" t="s">
        <v>1385</v>
      </c>
      <c r="O59" s="295"/>
    </row>
    <row r="60" hidden="1">
      <c r="A60" s="291">
        <v>2021.0</v>
      </c>
      <c r="B60" s="291" t="s">
        <v>1047</v>
      </c>
      <c r="C60" s="299" t="s">
        <v>1065</v>
      </c>
      <c r="D60" s="291" t="s">
        <v>1065</v>
      </c>
      <c r="E60" s="291">
        <v>7.1220009E7</v>
      </c>
      <c r="F60" s="291" t="s">
        <v>27</v>
      </c>
      <c r="G60" s="291" t="s">
        <v>152</v>
      </c>
      <c r="H60" s="292">
        <v>296745.33</v>
      </c>
      <c r="I60" s="291" t="s">
        <v>389</v>
      </c>
      <c r="J60" s="291"/>
      <c r="K60" s="170" t="s">
        <v>1078</v>
      </c>
      <c r="L60" s="172"/>
      <c r="M60" s="172"/>
      <c r="N60" s="258" t="s">
        <v>1393</v>
      </c>
      <c r="O60" s="295"/>
    </row>
    <row r="61" hidden="1">
      <c r="A61" s="204">
        <v>2021.0</v>
      </c>
      <c r="B61" s="306" t="s">
        <v>62</v>
      </c>
      <c r="C61" s="204" t="s">
        <v>485</v>
      </c>
      <c r="D61" s="306" t="s">
        <v>1180</v>
      </c>
      <c r="E61" s="212">
        <v>4.1160002E7</v>
      </c>
      <c r="F61" s="212" t="s">
        <v>1087</v>
      </c>
      <c r="G61" s="212" t="s">
        <v>152</v>
      </c>
      <c r="H61" s="308">
        <v>100000.0</v>
      </c>
      <c r="I61" s="212" t="s">
        <v>1062</v>
      </c>
      <c r="J61" s="212" t="s">
        <v>1090</v>
      </c>
      <c r="K61" s="306" t="s">
        <v>1184</v>
      </c>
      <c r="L61" s="311" t="s">
        <v>1400</v>
      </c>
      <c r="M61" s="313"/>
      <c r="N61" s="316" t="s">
        <v>1405</v>
      </c>
      <c r="O61" s="318">
        <v>9.0</v>
      </c>
    </row>
    <row r="62" hidden="1">
      <c r="A62" s="232">
        <v>2021.0</v>
      </c>
      <c r="B62" s="232" t="s">
        <v>163</v>
      </c>
      <c r="C62" s="232" t="s">
        <v>14</v>
      </c>
      <c r="D62" s="232" t="s">
        <v>74</v>
      </c>
      <c r="E62" s="320">
        <v>4.1160004E7</v>
      </c>
      <c r="F62" s="232" t="s">
        <v>20</v>
      </c>
      <c r="G62" s="232" t="s">
        <v>152</v>
      </c>
      <c r="H62" s="322">
        <v>250000.0</v>
      </c>
      <c r="I62" s="232" t="s">
        <v>490</v>
      </c>
      <c r="J62" s="323" t="s">
        <v>265</v>
      </c>
      <c r="K62" s="326" t="s">
        <v>1245</v>
      </c>
      <c r="L62" s="329" t="s">
        <v>1431</v>
      </c>
      <c r="M62" s="331" t="s">
        <v>1254</v>
      </c>
      <c r="N62" s="338" t="s">
        <v>1437</v>
      </c>
      <c r="O62" s="339">
        <v>116.0</v>
      </c>
    </row>
    <row r="63" hidden="1">
      <c r="A63" s="342">
        <v>2020.0</v>
      </c>
      <c r="B63" s="342" t="s">
        <v>178</v>
      </c>
      <c r="C63" s="342" t="s">
        <v>566</v>
      </c>
      <c r="D63" s="342" t="s">
        <v>567</v>
      </c>
      <c r="E63" s="349" t="s">
        <v>578</v>
      </c>
      <c r="F63" s="342" t="s">
        <v>488</v>
      </c>
      <c r="G63" s="342" t="s">
        <v>84</v>
      </c>
      <c r="H63" s="322">
        <v>50000.0</v>
      </c>
      <c r="I63" s="342" t="s">
        <v>570</v>
      </c>
      <c r="J63" s="342" t="s">
        <v>110</v>
      </c>
      <c r="K63" s="342" t="s">
        <v>571</v>
      </c>
      <c r="L63" s="349" t="s">
        <v>1455</v>
      </c>
      <c r="M63" s="352"/>
      <c r="N63" s="354"/>
      <c r="O63" s="339">
        <v>104.0</v>
      </c>
    </row>
    <row r="64" hidden="1">
      <c r="A64" s="232">
        <v>2020.0</v>
      </c>
      <c r="B64" s="232" t="s">
        <v>192</v>
      </c>
      <c r="C64" s="232" t="s">
        <v>14</v>
      </c>
      <c r="D64" s="232" t="s">
        <v>74</v>
      </c>
      <c r="E64" s="232">
        <v>4.1160001E7</v>
      </c>
      <c r="F64" s="232" t="s">
        <v>193</v>
      </c>
      <c r="G64" s="232" t="s">
        <v>84</v>
      </c>
      <c r="H64" s="357">
        <v>100000.0</v>
      </c>
      <c r="I64" s="232" t="s">
        <v>490</v>
      </c>
      <c r="J64" s="232" t="s">
        <v>110</v>
      </c>
      <c r="K64" s="232" t="s">
        <v>1026</v>
      </c>
      <c r="L64" s="360" t="s">
        <v>1461</v>
      </c>
      <c r="M64" s="352"/>
      <c r="N64" s="354"/>
      <c r="O64" s="339">
        <v>103.0</v>
      </c>
    </row>
    <row r="65" hidden="1">
      <c r="A65" s="232">
        <v>2020.0</v>
      </c>
      <c r="B65" s="232" t="s">
        <v>116</v>
      </c>
      <c r="C65" s="232" t="s">
        <v>485</v>
      </c>
      <c r="D65" s="232" t="s">
        <v>1108</v>
      </c>
      <c r="E65" s="232">
        <v>4.1160005E7</v>
      </c>
      <c r="F65" s="232" t="s">
        <v>488</v>
      </c>
      <c r="G65" s="232" t="s">
        <v>84</v>
      </c>
      <c r="H65" s="357">
        <v>100000.0</v>
      </c>
      <c r="I65" s="232" t="s">
        <v>490</v>
      </c>
      <c r="J65" s="232" t="s">
        <v>110</v>
      </c>
      <c r="K65" s="232" t="s">
        <v>1076</v>
      </c>
      <c r="L65" s="360" t="s">
        <v>1463</v>
      </c>
      <c r="M65" s="352"/>
      <c r="N65" s="338" t="s">
        <v>1464</v>
      </c>
      <c r="O65" s="339">
        <v>24.0</v>
      </c>
    </row>
    <row r="66" hidden="1">
      <c r="A66" s="130">
        <v>2020.0</v>
      </c>
      <c r="B66" s="130" t="s">
        <v>116</v>
      </c>
      <c r="C66" s="130" t="s">
        <v>139</v>
      </c>
      <c r="D66" s="130" t="s">
        <v>146</v>
      </c>
      <c r="E66" s="130">
        <v>4.116001E7</v>
      </c>
      <c r="F66" s="130" t="s">
        <v>151</v>
      </c>
      <c r="G66" s="130" t="s">
        <v>152</v>
      </c>
      <c r="H66" s="369">
        <v>12142.85</v>
      </c>
      <c r="I66" s="130" t="s">
        <v>155</v>
      </c>
      <c r="J66" s="130" t="s">
        <v>1102</v>
      </c>
      <c r="K66" s="130" t="s">
        <v>161</v>
      </c>
      <c r="L66" s="130" t="s">
        <v>1474</v>
      </c>
      <c r="M66" s="130"/>
      <c r="N66" s="375" t="s">
        <v>1477</v>
      </c>
      <c r="O66" s="378">
        <v>125.0</v>
      </c>
    </row>
    <row r="67" hidden="1">
      <c r="A67" s="232">
        <v>2020.0</v>
      </c>
      <c r="B67" s="232" t="s">
        <v>311</v>
      </c>
      <c r="C67" s="232" t="s">
        <v>14</v>
      </c>
      <c r="D67" s="232" t="s">
        <v>74</v>
      </c>
      <c r="E67" s="232">
        <v>4.1160001E7</v>
      </c>
      <c r="F67" s="232" t="s">
        <v>193</v>
      </c>
      <c r="G67" s="232" t="s">
        <v>84</v>
      </c>
      <c r="H67" s="357">
        <v>100000.0</v>
      </c>
      <c r="I67" s="232" t="s">
        <v>490</v>
      </c>
      <c r="J67" s="342" t="s">
        <v>110</v>
      </c>
      <c r="K67" s="380" t="s">
        <v>1023</v>
      </c>
      <c r="L67" s="313" t="s">
        <v>1494</v>
      </c>
      <c r="M67" s="331" t="s">
        <v>1111</v>
      </c>
      <c r="N67" s="382" t="s">
        <v>1111</v>
      </c>
      <c r="O67" s="339">
        <v>82.0</v>
      </c>
    </row>
    <row r="68" hidden="1">
      <c r="A68" s="204">
        <v>2021.0</v>
      </c>
      <c r="B68" s="306" t="s">
        <v>410</v>
      </c>
      <c r="C68" s="232" t="s">
        <v>14</v>
      </c>
      <c r="D68" s="385" t="s">
        <v>74</v>
      </c>
      <c r="E68" s="212">
        <v>4.1160002E7</v>
      </c>
      <c r="F68" s="212" t="s">
        <v>1087</v>
      </c>
      <c r="G68" s="212" t="s">
        <v>152</v>
      </c>
      <c r="H68" s="308">
        <v>245000.0</v>
      </c>
      <c r="I68" s="212" t="s">
        <v>1062</v>
      </c>
      <c r="J68" s="204" t="s">
        <v>1303</v>
      </c>
      <c r="K68" s="311" t="s">
        <v>1304</v>
      </c>
      <c r="L68" s="311" t="s">
        <v>1511</v>
      </c>
      <c r="M68" s="313"/>
      <c r="N68" s="316" t="s">
        <v>1514</v>
      </c>
      <c r="O68" s="318"/>
    </row>
    <row r="69" hidden="1">
      <c r="A69" s="232">
        <v>2020.0</v>
      </c>
      <c r="B69" s="232" t="s">
        <v>76</v>
      </c>
      <c r="C69" s="232" t="s">
        <v>485</v>
      </c>
      <c r="D69" s="232" t="s">
        <v>1116</v>
      </c>
      <c r="E69" s="232">
        <v>4.1160005E7</v>
      </c>
      <c r="F69" s="232" t="s">
        <v>488</v>
      </c>
      <c r="G69" s="232" t="s">
        <v>84</v>
      </c>
      <c r="H69" s="357">
        <v>100000.0</v>
      </c>
      <c r="I69" s="232" t="s">
        <v>490</v>
      </c>
      <c r="J69" s="232" t="s">
        <v>110</v>
      </c>
      <c r="K69" s="232" t="s">
        <v>1076</v>
      </c>
      <c r="L69" s="360" t="s">
        <v>1525</v>
      </c>
      <c r="M69" s="331" t="s">
        <v>1117</v>
      </c>
      <c r="N69" s="398" t="s">
        <v>1528</v>
      </c>
      <c r="O69" s="339">
        <v>25.0</v>
      </c>
    </row>
    <row r="70" hidden="1">
      <c r="A70" s="204">
        <v>2021.0</v>
      </c>
      <c r="B70" s="306" t="s">
        <v>76</v>
      </c>
      <c r="C70" s="204" t="s">
        <v>485</v>
      </c>
      <c r="D70" s="306" t="s">
        <v>1310</v>
      </c>
      <c r="E70" s="212">
        <v>4.1160002E7</v>
      </c>
      <c r="F70" s="212" t="s">
        <v>1087</v>
      </c>
      <c r="G70" s="212" t="s">
        <v>152</v>
      </c>
      <c r="H70" s="308">
        <v>140000.0</v>
      </c>
      <c r="I70" s="212" t="s">
        <v>1062</v>
      </c>
      <c r="J70" s="212" t="s">
        <v>1090</v>
      </c>
      <c r="K70" s="306" t="s">
        <v>1312</v>
      </c>
      <c r="L70" s="311" t="s">
        <v>1536</v>
      </c>
      <c r="M70" s="313"/>
      <c r="N70" s="316" t="s">
        <v>1537</v>
      </c>
      <c r="O70" s="318">
        <v>4.0</v>
      </c>
    </row>
    <row r="71" hidden="1">
      <c r="A71" s="204">
        <v>2021.0</v>
      </c>
      <c r="B71" s="306" t="s">
        <v>76</v>
      </c>
      <c r="C71" s="204" t="s">
        <v>1313</v>
      </c>
      <c r="D71" s="306" t="s">
        <v>1314</v>
      </c>
      <c r="E71" s="401">
        <v>4.1160003E7</v>
      </c>
      <c r="F71" s="204" t="s">
        <v>488</v>
      </c>
      <c r="G71" s="204" t="s">
        <v>84</v>
      </c>
      <c r="H71" s="308">
        <v>1000000.0</v>
      </c>
      <c r="I71" s="212" t="s">
        <v>1062</v>
      </c>
      <c r="J71" s="204" t="s">
        <v>1315</v>
      </c>
      <c r="K71" s="311" t="s">
        <v>1316</v>
      </c>
      <c r="L71" s="311" t="s">
        <v>1542</v>
      </c>
      <c r="M71" s="313"/>
      <c r="N71" s="403" t="s">
        <v>1544</v>
      </c>
      <c r="O71" s="318"/>
    </row>
    <row r="72" hidden="1">
      <c r="A72" s="232">
        <v>2020.0</v>
      </c>
      <c r="B72" s="232" t="s">
        <v>82</v>
      </c>
      <c r="C72" s="232" t="s">
        <v>14</v>
      </c>
      <c r="D72" s="232" t="s">
        <v>74</v>
      </c>
      <c r="E72" s="232">
        <v>4.1160001E7</v>
      </c>
      <c r="F72" s="232" t="s">
        <v>193</v>
      </c>
      <c r="G72" s="232" t="s">
        <v>84</v>
      </c>
      <c r="H72" s="357">
        <v>100000.0</v>
      </c>
      <c r="I72" s="232" t="s">
        <v>490</v>
      </c>
      <c r="J72" s="342" t="s">
        <v>110</v>
      </c>
      <c r="K72" s="232" t="s">
        <v>1023</v>
      </c>
      <c r="L72" s="360" t="s">
        <v>1547</v>
      </c>
      <c r="M72" s="352"/>
      <c r="N72" s="354"/>
      <c r="O72" s="339">
        <v>76.0</v>
      </c>
    </row>
    <row r="73" hidden="1">
      <c r="A73" s="232">
        <v>2019.0</v>
      </c>
      <c r="B73" s="232" t="s">
        <v>446</v>
      </c>
      <c r="C73" s="232" t="s">
        <v>556</v>
      </c>
      <c r="D73" s="232" t="s">
        <v>1012</v>
      </c>
      <c r="E73" s="232">
        <v>7.1220005E7</v>
      </c>
      <c r="F73" s="232" t="s">
        <v>558</v>
      </c>
      <c r="G73" s="232" t="s">
        <v>152</v>
      </c>
      <c r="H73" s="357">
        <v>63000.0</v>
      </c>
      <c r="I73" s="232" t="s">
        <v>560</v>
      </c>
      <c r="J73" s="232" t="s">
        <v>110</v>
      </c>
      <c r="K73" s="232" t="s">
        <v>561</v>
      </c>
      <c r="L73" s="360" t="s">
        <v>1550</v>
      </c>
      <c r="M73" s="331" t="s">
        <v>563</v>
      </c>
      <c r="N73" s="354"/>
      <c r="O73" s="339">
        <v>4.0</v>
      </c>
    </row>
    <row r="74" hidden="1">
      <c r="A74" s="232">
        <v>2020.0</v>
      </c>
      <c r="B74" s="232" t="s">
        <v>450</v>
      </c>
      <c r="C74" s="232" t="s">
        <v>14</v>
      </c>
      <c r="D74" s="232" t="s">
        <v>74</v>
      </c>
      <c r="E74" s="232">
        <v>4.1160001E7</v>
      </c>
      <c r="F74" s="232" t="s">
        <v>193</v>
      </c>
      <c r="G74" s="232" t="s">
        <v>84</v>
      </c>
      <c r="H74" s="357">
        <v>67500.0</v>
      </c>
      <c r="I74" s="232" t="s">
        <v>490</v>
      </c>
      <c r="J74" s="342" t="s">
        <v>110</v>
      </c>
      <c r="K74" s="232" t="s">
        <v>1023</v>
      </c>
      <c r="L74" s="360" t="s">
        <v>1551</v>
      </c>
      <c r="M74" s="352"/>
      <c r="N74" s="354"/>
      <c r="O74" s="339">
        <v>77.0</v>
      </c>
    </row>
    <row r="75" hidden="1">
      <c r="A75" s="232">
        <v>2020.0</v>
      </c>
      <c r="B75" s="232" t="s">
        <v>463</v>
      </c>
      <c r="C75" s="232" t="s">
        <v>14</v>
      </c>
      <c r="D75" s="232" t="s">
        <v>74</v>
      </c>
      <c r="E75" s="232">
        <v>4.1160001E7</v>
      </c>
      <c r="F75" s="232" t="s">
        <v>193</v>
      </c>
      <c r="G75" s="232" t="s">
        <v>84</v>
      </c>
      <c r="H75" s="357">
        <v>100000.0</v>
      </c>
      <c r="I75" s="232" t="s">
        <v>490</v>
      </c>
      <c r="J75" s="342" t="s">
        <v>110</v>
      </c>
      <c r="K75" s="407" t="s">
        <v>1023</v>
      </c>
      <c r="L75" s="360" t="s">
        <v>1552</v>
      </c>
      <c r="M75" s="331" t="s">
        <v>1121</v>
      </c>
      <c r="N75" s="398" t="s">
        <v>1528</v>
      </c>
      <c r="O75" s="339">
        <v>78.0</v>
      </c>
    </row>
    <row r="76" hidden="1">
      <c r="A76" s="291">
        <v>2020.0</v>
      </c>
      <c r="B76" s="291" t="s">
        <v>487</v>
      </c>
      <c r="C76" s="291" t="s">
        <v>1065</v>
      </c>
      <c r="D76" s="291" t="s">
        <v>1066</v>
      </c>
      <c r="E76" s="410"/>
      <c r="F76" s="291" t="s">
        <v>151</v>
      </c>
      <c r="G76" s="291" t="s">
        <v>152</v>
      </c>
      <c r="H76" s="412">
        <v>81280.0</v>
      </c>
      <c r="I76" s="291" t="s">
        <v>389</v>
      </c>
      <c r="J76" s="291" t="s">
        <v>1067</v>
      </c>
      <c r="K76" s="291" t="s">
        <v>1068</v>
      </c>
      <c r="L76" s="415" t="s">
        <v>1556</v>
      </c>
      <c r="M76" s="172" t="s">
        <v>1069</v>
      </c>
      <c r="N76" s="416"/>
      <c r="O76" s="295">
        <v>113.0</v>
      </c>
    </row>
    <row r="77" hidden="1">
      <c r="A77" s="342">
        <v>2020.0</v>
      </c>
      <c r="B77" s="342" t="s">
        <v>494</v>
      </c>
      <c r="C77" s="232" t="s">
        <v>485</v>
      </c>
      <c r="D77" s="342" t="s">
        <v>1350</v>
      </c>
      <c r="E77" s="349" t="s">
        <v>578</v>
      </c>
      <c r="F77" s="232" t="s">
        <v>488</v>
      </c>
      <c r="G77" s="342" t="s">
        <v>84</v>
      </c>
      <c r="H77" s="322">
        <v>174741.0</v>
      </c>
      <c r="I77" s="342" t="s">
        <v>389</v>
      </c>
      <c r="J77" s="232" t="s">
        <v>110</v>
      </c>
      <c r="K77" s="342" t="s">
        <v>589</v>
      </c>
      <c r="L77" s="342" t="s">
        <v>1561</v>
      </c>
      <c r="M77" s="352"/>
      <c r="N77" s="354"/>
      <c r="O77" s="339">
        <v>72.0</v>
      </c>
    </row>
    <row r="78" hidden="1">
      <c r="A78" s="232">
        <v>2020.0</v>
      </c>
      <c r="B78" s="232" t="s">
        <v>70</v>
      </c>
      <c r="C78" s="232" t="s">
        <v>485</v>
      </c>
      <c r="D78" s="232" t="s">
        <v>1101</v>
      </c>
      <c r="E78" s="417" t="s">
        <v>578</v>
      </c>
      <c r="F78" s="232" t="s">
        <v>488</v>
      </c>
      <c r="G78" s="232" t="s">
        <v>84</v>
      </c>
      <c r="H78" s="357">
        <v>100000.0</v>
      </c>
      <c r="I78" s="342" t="s">
        <v>389</v>
      </c>
      <c r="J78" s="232" t="s">
        <v>110</v>
      </c>
      <c r="K78" s="342" t="s">
        <v>589</v>
      </c>
      <c r="L78" s="232" t="s">
        <v>1563</v>
      </c>
      <c r="M78" s="352"/>
      <c r="N78" s="354"/>
      <c r="O78" s="339">
        <v>73.0</v>
      </c>
    </row>
    <row r="79" hidden="1">
      <c r="A79" s="232">
        <v>2020.0</v>
      </c>
      <c r="B79" s="232" t="s">
        <v>515</v>
      </c>
      <c r="C79" s="232" t="s">
        <v>485</v>
      </c>
      <c r="D79" s="232" t="s">
        <v>577</v>
      </c>
      <c r="E79" s="417" t="s">
        <v>578</v>
      </c>
      <c r="F79" s="232" t="s">
        <v>488</v>
      </c>
      <c r="G79" s="232" t="s">
        <v>84</v>
      </c>
      <c r="H79" s="357">
        <v>50000.0</v>
      </c>
      <c r="I79" s="342" t="s">
        <v>389</v>
      </c>
      <c r="J79" s="232" t="s">
        <v>110</v>
      </c>
      <c r="K79" s="342" t="s">
        <v>589</v>
      </c>
      <c r="L79" s="418" t="s">
        <v>1564</v>
      </c>
      <c r="M79" s="352"/>
      <c r="N79" s="354"/>
      <c r="O79" s="339">
        <v>74.0</v>
      </c>
    </row>
    <row r="80" hidden="1">
      <c r="A80" s="232">
        <v>2020.0</v>
      </c>
      <c r="B80" s="232" t="s">
        <v>515</v>
      </c>
      <c r="C80" s="232" t="s">
        <v>14</v>
      </c>
      <c r="D80" s="232" t="s">
        <v>74</v>
      </c>
      <c r="E80" s="232">
        <v>4.1160001E7</v>
      </c>
      <c r="F80" s="232" t="s">
        <v>193</v>
      </c>
      <c r="G80" s="232" t="s">
        <v>84</v>
      </c>
      <c r="H80" s="357">
        <v>67500.0</v>
      </c>
      <c r="I80" s="232" t="s">
        <v>490</v>
      </c>
      <c r="J80" s="342" t="s">
        <v>110</v>
      </c>
      <c r="K80" s="232" t="s">
        <v>1023</v>
      </c>
      <c r="L80" s="360" t="s">
        <v>1566</v>
      </c>
      <c r="M80" s="352"/>
      <c r="N80" s="354"/>
      <c r="O80" s="339">
        <v>83.0</v>
      </c>
    </row>
    <row r="81" hidden="1">
      <c r="A81" s="232">
        <v>2020.0</v>
      </c>
      <c r="B81" s="232" t="s">
        <v>180</v>
      </c>
      <c r="C81" s="232" t="s">
        <v>485</v>
      </c>
      <c r="D81" s="232" t="s">
        <v>1372</v>
      </c>
      <c r="E81" s="232">
        <v>4.1160005E7</v>
      </c>
      <c r="F81" s="232" t="s">
        <v>488</v>
      </c>
      <c r="G81" s="232" t="s">
        <v>84</v>
      </c>
      <c r="H81" s="232" t="s">
        <v>1568</v>
      </c>
      <c r="I81" s="232" t="s">
        <v>89</v>
      </c>
      <c r="J81" s="232" t="s">
        <v>110</v>
      </c>
      <c r="K81" s="232" t="s">
        <v>705</v>
      </c>
      <c r="L81" s="360" t="s">
        <v>1570</v>
      </c>
      <c r="M81" s="331" t="s">
        <v>1374</v>
      </c>
      <c r="N81" s="354"/>
      <c r="O81" s="339">
        <v>29.0</v>
      </c>
    </row>
    <row r="82" hidden="1">
      <c r="A82" s="232">
        <v>2020.0</v>
      </c>
      <c r="B82" s="232" t="s">
        <v>180</v>
      </c>
      <c r="C82" s="232" t="s">
        <v>485</v>
      </c>
      <c r="D82" s="232" t="s">
        <v>700</v>
      </c>
      <c r="E82" s="232">
        <v>4.1160005E7</v>
      </c>
      <c r="F82" s="232" t="s">
        <v>488</v>
      </c>
      <c r="G82" s="232" t="s">
        <v>84</v>
      </c>
      <c r="H82" s="357">
        <v>50000.0</v>
      </c>
      <c r="I82" s="232" t="s">
        <v>89</v>
      </c>
      <c r="J82" s="232" t="s">
        <v>110</v>
      </c>
      <c r="K82" s="232" t="s">
        <v>705</v>
      </c>
      <c r="L82" s="360" t="s">
        <v>1571</v>
      </c>
      <c r="M82" s="331" t="s">
        <v>708</v>
      </c>
      <c r="N82" s="398" t="s">
        <v>1575</v>
      </c>
      <c r="O82" s="339">
        <v>30.0</v>
      </c>
    </row>
    <row r="83" hidden="1">
      <c r="A83" s="342">
        <v>2020.0</v>
      </c>
      <c r="B83" s="342" t="s">
        <v>525</v>
      </c>
      <c r="C83" s="342" t="s">
        <v>566</v>
      </c>
      <c r="D83" s="342" t="s">
        <v>719</v>
      </c>
      <c r="E83" s="419" t="s">
        <v>578</v>
      </c>
      <c r="F83" s="342" t="s">
        <v>488</v>
      </c>
      <c r="G83" s="342" t="s">
        <v>84</v>
      </c>
      <c r="H83" s="322">
        <v>50000.0</v>
      </c>
      <c r="I83" s="342" t="s">
        <v>724</v>
      </c>
      <c r="J83" s="342" t="s">
        <v>110</v>
      </c>
      <c r="K83" s="342" t="s">
        <v>571</v>
      </c>
      <c r="L83" s="342" t="s">
        <v>1586</v>
      </c>
      <c r="M83" s="352"/>
      <c r="N83" s="354"/>
      <c r="O83" s="339">
        <v>111.0</v>
      </c>
    </row>
    <row r="84" hidden="1">
      <c r="A84" s="232">
        <v>2019.0</v>
      </c>
      <c r="B84" s="232" t="s">
        <v>538</v>
      </c>
      <c r="C84" s="232" t="s">
        <v>556</v>
      </c>
      <c r="D84" s="232" t="s">
        <v>989</v>
      </c>
      <c r="E84" s="232">
        <v>7.1220005E7</v>
      </c>
      <c r="F84" s="232" t="s">
        <v>558</v>
      </c>
      <c r="G84" s="232" t="s">
        <v>152</v>
      </c>
      <c r="H84" s="357">
        <v>59000.0</v>
      </c>
      <c r="I84" s="232" t="s">
        <v>560</v>
      </c>
      <c r="J84" s="232" t="s">
        <v>110</v>
      </c>
      <c r="K84" s="232" t="s">
        <v>561</v>
      </c>
      <c r="L84" s="360" t="s">
        <v>1587</v>
      </c>
      <c r="M84" s="331" t="s">
        <v>563</v>
      </c>
      <c r="N84" s="354"/>
      <c r="O84" s="339">
        <v>5.0</v>
      </c>
    </row>
    <row r="85" hidden="1">
      <c r="A85" s="232">
        <v>2020.0</v>
      </c>
      <c r="B85" s="232" t="s">
        <v>538</v>
      </c>
      <c r="C85" s="232" t="s">
        <v>485</v>
      </c>
      <c r="D85" s="232" t="s">
        <v>594</v>
      </c>
      <c r="E85" s="417" t="s">
        <v>578</v>
      </c>
      <c r="F85" s="232" t="s">
        <v>488</v>
      </c>
      <c r="G85" s="232" t="s">
        <v>84</v>
      </c>
      <c r="H85" s="357">
        <v>50000.0</v>
      </c>
      <c r="I85" s="232" t="s">
        <v>389</v>
      </c>
      <c r="J85" s="342" t="s">
        <v>110</v>
      </c>
      <c r="K85" s="342" t="s">
        <v>589</v>
      </c>
      <c r="L85" s="232" t="s">
        <v>1589</v>
      </c>
      <c r="M85" s="352"/>
      <c r="N85" s="354"/>
      <c r="O85" s="339">
        <v>75.0</v>
      </c>
    </row>
    <row r="86" hidden="1">
      <c r="A86" s="232">
        <v>2020.0</v>
      </c>
      <c r="B86" s="232" t="s">
        <v>544</v>
      </c>
      <c r="C86" s="232" t="s">
        <v>14</v>
      </c>
      <c r="D86" s="232" t="s">
        <v>74</v>
      </c>
      <c r="E86" s="232">
        <v>4.1160001E7</v>
      </c>
      <c r="F86" s="232" t="s">
        <v>193</v>
      </c>
      <c r="G86" s="232" t="s">
        <v>84</v>
      </c>
      <c r="H86" s="357">
        <v>100000.0</v>
      </c>
      <c r="I86" s="232" t="s">
        <v>490</v>
      </c>
      <c r="J86" s="342" t="s">
        <v>110</v>
      </c>
      <c r="K86" s="232" t="s">
        <v>1023</v>
      </c>
      <c r="L86" s="360" t="s">
        <v>1590</v>
      </c>
      <c r="M86" s="352"/>
      <c r="N86" s="354"/>
      <c r="O86" s="339">
        <v>84.0</v>
      </c>
    </row>
    <row r="87" hidden="1">
      <c r="A87" s="204">
        <v>2021.0</v>
      </c>
      <c r="B87" s="306" t="s">
        <v>544</v>
      </c>
      <c r="C87" s="204" t="s">
        <v>485</v>
      </c>
      <c r="D87" s="306" t="s">
        <v>1381</v>
      </c>
      <c r="E87" s="401">
        <v>4.1160003E7</v>
      </c>
      <c r="F87" s="204" t="s">
        <v>488</v>
      </c>
      <c r="G87" s="204" t="s">
        <v>84</v>
      </c>
      <c r="H87" s="308">
        <v>400000.0</v>
      </c>
      <c r="I87" s="212" t="s">
        <v>1062</v>
      </c>
      <c r="J87" s="204" t="s">
        <v>1315</v>
      </c>
      <c r="K87" s="311" t="s">
        <v>1383</v>
      </c>
      <c r="L87" s="311" t="s">
        <v>1591</v>
      </c>
      <c r="M87" s="313"/>
      <c r="N87" s="403" t="s">
        <v>1592</v>
      </c>
      <c r="O87" s="318"/>
    </row>
    <row r="88" hidden="1">
      <c r="A88" s="204">
        <v>2021.0</v>
      </c>
      <c r="B88" s="306" t="s">
        <v>549</v>
      </c>
      <c r="C88" s="204" t="s">
        <v>485</v>
      </c>
      <c r="D88" s="306" t="s">
        <v>1384</v>
      </c>
      <c r="E88" s="204">
        <v>4.1160002E7</v>
      </c>
      <c r="F88" s="204" t="s">
        <v>1087</v>
      </c>
      <c r="G88" s="204" t="s">
        <v>152</v>
      </c>
      <c r="H88" s="308">
        <v>250000.0</v>
      </c>
      <c r="I88" s="212" t="s">
        <v>1062</v>
      </c>
      <c r="J88" s="204"/>
      <c r="K88" s="306" t="s">
        <v>1386</v>
      </c>
      <c r="L88" s="311" t="s">
        <v>1593</v>
      </c>
      <c r="M88" s="313"/>
      <c r="N88" s="403" t="s">
        <v>1594</v>
      </c>
      <c r="O88" s="318"/>
    </row>
    <row r="89" hidden="1">
      <c r="A89" s="232">
        <v>2020.0</v>
      </c>
      <c r="B89" s="232" t="s">
        <v>1109</v>
      </c>
      <c r="C89" s="232" t="s">
        <v>485</v>
      </c>
      <c r="D89" s="232" t="s">
        <v>1388</v>
      </c>
      <c r="E89" s="232">
        <v>4.1160005E7</v>
      </c>
      <c r="F89" s="232" t="s">
        <v>488</v>
      </c>
      <c r="G89" s="232" t="s">
        <v>84</v>
      </c>
      <c r="H89" s="357">
        <v>300000.0</v>
      </c>
      <c r="I89" s="232" t="s">
        <v>490</v>
      </c>
      <c r="J89" s="342" t="s">
        <v>110</v>
      </c>
      <c r="K89" s="232" t="s">
        <v>1076</v>
      </c>
      <c r="L89" s="360" t="s">
        <v>1596</v>
      </c>
      <c r="M89" s="331" t="s">
        <v>1390</v>
      </c>
      <c r="N89" s="398" t="s">
        <v>1597</v>
      </c>
      <c r="O89" s="339">
        <v>26.0</v>
      </c>
    </row>
    <row r="90" hidden="1">
      <c r="A90" s="232">
        <v>2020.0</v>
      </c>
      <c r="B90" s="232" t="s">
        <v>1109</v>
      </c>
      <c r="C90" s="232" t="s">
        <v>485</v>
      </c>
      <c r="D90" s="232" t="s">
        <v>1392</v>
      </c>
      <c r="E90" s="232">
        <v>4.1160005E7</v>
      </c>
      <c r="F90" s="232" t="s">
        <v>488</v>
      </c>
      <c r="G90" s="232" t="s">
        <v>84</v>
      </c>
      <c r="H90" s="357">
        <v>200000.0</v>
      </c>
      <c r="I90" s="232" t="s">
        <v>490</v>
      </c>
      <c r="J90" s="342" t="s">
        <v>110</v>
      </c>
      <c r="K90" s="232" t="s">
        <v>1076</v>
      </c>
      <c r="L90" s="360" t="s">
        <v>1599</v>
      </c>
      <c r="M90" s="331" t="s">
        <v>1399</v>
      </c>
      <c r="N90" s="398" t="s">
        <v>1600</v>
      </c>
      <c r="O90" s="339">
        <v>27.0</v>
      </c>
    </row>
    <row r="91" hidden="1">
      <c r="A91" s="426">
        <v>2021.0</v>
      </c>
      <c r="B91" s="426" t="s">
        <v>1109</v>
      </c>
      <c r="C91" s="426" t="s">
        <v>1097</v>
      </c>
      <c r="D91" s="426" t="s">
        <v>1097</v>
      </c>
      <c r="E91" s="427">
        <v>4.11660007E8</v>
      </c>
      <c r="F91" s="212" t="s">
        <v>151</v>
      </c>
      <c r="G91" s="426" t="s">
        <v>152</v>
      </c>
      <c r="H91" s="428">
        <v>250000.0</v>
      </c>
      <c r="I91" s="426" t="s">
        <v>155</v>
      </c>
      <c r="J91" s="426" t="s">
        <v>1112</v>
      </c>
      <c r="K91" s="429" t="s">
        <v>1113</v>
      </c>
      <c r="L91" s="430" t="s">
        <v>1605</v>
      </c>
      <c r="M91" s="429"/>
      <c r="N91" s="431" t="s">
        <v>1114</v>
      </c>
      <c r="O91" s="432">
        <v>134.0</v>
      </c>
    </row>
    <row r="92" hidden="1">
      <c r="A92" s="212">
        <v>2020.0</v>
      </c>
      <c r="B92" s="212" t="s">
        <v>102</v>
      </c>
      <c r="C92" s="212" t="s">
        <v>1094</v>
      </c>
      <c r="D92" s="212" t="s">
        <v>1133</v>
      </c>
      <c r="E92" s="433">
        <v>4.1160012E7</v>
      </c>
      <c r="F92" s="212" t="s">
        <v>151</v>
      </c>
      <c r="G92" s="212" t="s">
        <v>152</v>
      </c>
      <c r="H92" s="434">
        <v>162125.0</v>
      </c>
      <c r="I92" s="212" t="s">
        <v>155</v>
      </c>
      <c r="J92" s="212" t="s">
        <v>1134</v>
      </c>
      <c r="K92" s="433" t="s">
        <v>1136</v>
      </c>
      <c r="L92" s="212" t="s">
        <v>1611</v>
      </c>
      <c r="M92" s="212"/>
      <c r="N92" s="436" t="s">
        <v>1612</v>
      </c>
      <c r="O92" s="318">
        <v>120.0</v>
      </c>
    </row>
    <row r="93" hidden="1">
      <c r="A93" s="437">
        <v>2021.0</v>
      </c>
      <c r="B93" s="438" t="s">
        <v>607</v>
      </c>
      <c r="C93" s="437" t="s">
        <v>485</v>
      </c>
      <c r="D93" s="439" t="s">
        <v>1442</v>
      </c>
      <c r="E93" s="437">
        <v>4.1160002E7</v>
      </c>
      <c r="F93" s="437" t="s">
        <v>1087</v>
      </c>
      <c r="G93" s="437" t="s">
        <v>152</v>
      </c>
      <c r="H93" s="440">
        <v>141478.98</v>
      </c>
      <c r="I93" s="441" t="s">
        <v>1062</v>
      </c>
      <c r="J93" s="437" t="s">
        <v>265</v>
      </c>
      <c r="K93" s="438" t="s">
        <v>1445</v>
      </c>
      <c r="L93" s="439" t="s">
        <v>1631</v>
      </c>
      <c r="M93" s="443"/>
      <c r="N93" s="446" t="s">
        <v>1633</v>
      </c>
      <c r="O93" s="447"/>
    </row>
    <row r="94" hidden="1">
      <c r="A94" s="426">
        <v>2019.0</v>
      </c>
      <c r="B94" s="426" t="s">
        <v>613</v>
      </c>
      <c r="C94" s="426" t="s">
        <v>1065</v>
      </c>
      <c r="D94" s="426" t="s">
        <v>1451</v>
      </c>
      <c r="E94" s="448"/>
      <c r="F94" s="426" t="s">
        <v>151</v>
      </c>
      <c r="G94" s="426" t="s">
        <v>152</v>
      </c>
      <c r="H94" s="428">
        <v>140000.0</v>
      </c>
      <c r="I94" s="426" t="s">
        <v>560</v>
      </c>
      <c r="J94" s="426" t="s">
        <v>110</v>
      </c>
      <c r="K94" s="426" t="s">
        <v>1434</v>
      </c>
      <c r="L94" s="430" t="s">
        <v>1639</v>
      </c>
      <c r="M94" s="429" t="s">
        <v>1457</v>
      </c>
      <c r="N94" s="449"/>
      <c r="O94" s="432">
        <v>1.0</v>
      </c>
    </row>
    <row r="95" hidden="1">
      <c r="A95" s="232">
        <v>2020.0</v>
      </c>
      <c r="B95" s="232" t="s">
        <v>102</v>
      </c>
      <c r="C95" s="232" t="s">
        <v>485</v>
      </c>
      <c r="D95" s="232" t="s">
        <v>1480</v>
      </c>
      <c r="E95" s="417" t="s">
        <v>578</v>
      </c>
      <c r="F95" s="232" t="s">
        <v>488</v>
      </c>
      <c r="G95" s="232" t="s">
        <v>152</v>
      </c>
      <c r="H95" s="357">
        <v>1874000.0</v>
      </c>
      <c r="I95" s="232" t="s">
        <v>389</v>
      </c>
      <c r="J95" s="342" t="s">
        <v>110</v>
      </c>
      <c r="K95" s="232" t="s">
        <v>1483</v>
      </c>
      <c r="L95" s="232" t="s">
        <v>1643</v>
      </c>
      <c r="M95" s="450" t="s">
        <v>1484</v>
      </c>
      <c r="N95" s="338" t="s">
        <v>1645</v>
      </c>
      <c r="O95" s="339">
        <v>23.0</v>
      </c>
    </row>
    <row r="96" hidden="1">
      <c r="A96" s="232">
        <v>2020.0</v>
      </c>
      <c r="B96" s="232" t="s">
        <v>102</v>
      </c>
      <c r="C96" s="232" t="s">
        <v>14</v>
      </c>
      <c r="D96" s="232" t="s">
        <v>74</v>
      </c>
      <c r="E96" s="232">
        <v>4.1160001E7</v>
      </c>
      <c r="F96" s="232" t="s">
        <v>193</v>
      </c>
      <c r="G96" s="232" t="s">
        <v>84</v>
      </c>
      <c r="H96" s="357">
        <v>100000.0</v>
      </c>
      <c r="I96" s="232" t="s">
        <v>490</v>
      </c>
      <c r="J96" s="342" t="s">
        <v>110</v>
      </c>
      <c r="K96" s="232" t="s">
        <v>1023</v>
      </c>
      <c r="L96" s="360" t="s">
        <v>1652</v>
      </c>
      <c r="M96" s="352"/>
      <c r="N96" s="354"/>
      <c r="O96" s="339">
        <v>85.0</v>
      </c>
    </row>
    <row r="97" hidden="1">
      <c r="A97" s="130">
        <v>2020.0</v>
      </c>
      <c r="B97" s="130" t="s">
        <v>632</v>
      </c>
      <c r="C97" s="130" t="s">
        <v>139</v>
      </c>
      <c r="D97" s="452" t="s">
        <v>1194</v>
      </c>
      <c r="E97" s="130">
        <v>4.116001E7</v>
      </c>
      <c r="F97" s="130" t="s">
        <v>151</v>
      </c>
      <c r="G97" s="130" t="s">
        <v>152</v>
      </c>
      <c r="H97" s="369">
        <v>162142.85</v>
      </c>
      <c r="I97" s="130" t="s">
        <v>155</v>
      </c>
      <c r="J97" s="130" t="s">
        <v>1196</v>
      </c>
      <c r="K97" s="452" t="s">
        <v>1197</v>
      </c>
      <c r="L97" s="130" t="s">
        <v>1655</v>
      </c>
      <c r="M97" s="130"/>
      <c r="N97" s="375" t="s">
        <v>1656</v>
      </c>
      <c r="O97" s="378">
        <v>124.0</v>
      </c>
    </row>
    <row r="98" hidden="1">
      <c r="A98" s="291">
        <v>2020.0</v>
      </c>
      <c r="B98" s="291" t="s">
        <v>102</v>
      </c>
      <c r="C98" s="291" t="s">
        <v>1065</v>
      </c>
      <c r="D98" s="291" t="s">
        <v>1143</v>
      </c>
      <c r="E98" s="410"/>
      <c r="F98" s="291" t="s">
        <v>151</v>
      </c>
      <c r="G98" s="291" t="s">
        <v>152</v>
      </c>
      <c r="H98" s="412">
        <v>209500.0</v>
      </c>
      <c r="I98" s="291" t="s">
        <v>389</v>
      </c>
      <c r="J98" s="291" t="s">
        <v>1067</v>
      </c>
      <c r="K98" s="291" t="s">
        <v>1144</v>
      </c>
      <c r="L98" s="415" t="s">
        <v>1657</v>
      </c>
      <c r="M98" s="172" t="s">
        <v>1509</v>
      </c>
      <c r="N98" s="416"/>
      <c r="O98" s="295">
        <v>114.0</v>
      </c>
    </row>
    <row r="99" hidden="1">
      <c r="A99" s="232">
        <v>2019.0</v>
      </c>
      <c r="B99" s="232" t="s">
        <v>619</v>
      </c>
      <c r="C99" s="232" t="s">
        <v>556</v>
      </c>
      <c r="D99" s="232" t="s">
        <v>1016</v>
      </c>
      <c r="E99" s="232">
        <v>7.1220005E7</v>
      </c>
      <c r="F99" s="232" t="s">
        <v>558</v>
      </c>
      <c r="G99" s="232" t="s">
        <v>152</v>
      </c>
      <c r="H99" s="357">
        <v>64000.0</v>
      </c>
      <c r="I99" s="232" t="s">
        <v>560</v>
      </c>
      <c r="J99" s="232" t="s">
        <v>110</v>
      </c>
      <c r="K99" s="232" t="s">
        <v>561</v>
      </c>
      <c r="L99" s="360" t="s">
        <v>1658</v>
      </c>
      <c r="M99" s="331" t="s">
        <v>563</v>
      </c>
      <c r="N99" s="354"/>
      <c r="O99" s="339">
        <v>6.0</v>
      </c>
    </row>
    <row r="100" hidden="1">
      <c r="A100" s="232">
        <v>2020.0</v>
      </c>
      <c r="B100" s="232" t="s">
        <v>141</v>
      </c>
      <c r="C100" s="232" t="s">
        <v>14</v>
      </c>
      <c r="D100" s="232" t="s">
        <v>74</v>
      </c>
      <c r="E100" s="232">
        <v>4.1160009E7</v>
      </c>
      <c r="F100" s="232" t="s">
        <v>488</v>
      </c>
      <c r="G100" s="232" t="s">
        <v>84</v>
      </c>
      <c r="H100" s="357">
        <v>150000.0</v>
      </c>
      <c r="I100" s="232" t="s">
        <v>490</v>
      </c>
      <c r="J100" s="342" t="s">
        <v>110</v>
      </c>
      <c r="K100" s="232" t="s">
        <v>491</v>
      </c>
      <c r="L100" s="360" t="s">
        <v>1661</v>
      </c>
      <c r="M100" s="331" t="s">
        <v>1545</v>
      </c>
      <c r="N100" s="398" t="s">
        <v>1662</v>
      </c>
      <c r="O100" s="339">
        <v>86.0</v>
      </c>
    </row>
    <row r="101" hidden="1">
      <c r="A101" s="232">
        <v>2019.0</v>
      </c>
      <c r="B101" s="232" t="s">
        <v>632</v>
      </c>
      <c r="C101" s="232" t="s">
        <v>556</v>
      </c>
      <c r="D101" s="232" t="s">
        <v>1014</v>
      </c>
      <c r="E101" s="232">
        <v>7.1220005E7</v>
      </c>
      <c r="F101" s="232" t="s">
        <v>558</v>
      </c>
      <c r="G101" s="232" t="s">
        <v>152</v>
      </c>
      <c r="H101" s="357">
        <v>63000.0</v>
      </c>
      <c r="I101" s="232" t="s">
        <v>560</v>
      </c>
      <c r="J101" s="232" t="s">
        <v>110</v>
      </c>
      <c r="K101" s="232" t="s">
        <v>561</v>
      </c>
      <c r="L101" s="360" t="s">
        <v>1663</v>
      </c>
      <c r="M101" s="331" t="s">
        <v>563</v>
      </c>
      <c r="N101" s="354"/>
      <c r="O101" s="339">
        <v>7.0</v>
      </c>
    </row>
    <row r="102" hidden="1">
      <c r="A102" s="232">
        <v>2020.0</v>
      </c>
      <c r="B102" s="232" t="s">
        <v>632</v>
      </c>
      <c r="C102" s="232" t="s">
        <v>485</v>
      </c>
      <c r="D102" s="232" t="s">
        <v>1126</v>
      </c>
      <c r="E102" s="232">
        <v>4.1160005E7</v>
      </c>
      <c r="F102" s="232" t="s">
        <v>488</v>
      </c>
      <c r="G102" s="232" t="s">
        <v>84</v>
      </c>
      <c r="H102" s="357">
        <v>100000.0</v>
      </c>
      <c r="I102" s="232" t="s">
        <v>490</v>
      </c>
      <c r="J102" s="342" t="s">
        <v>110</v>
      </c>
      <c r="K102" s="232" t="s">
        <v>1076</v>
      </c>
      <c r="L102" s="360" t="s">
        <v>1666</v>
      </c>
      <c r="M102" s="331" t="s">
        <v>1127</v>
      </c>
      <c r="N102" s="398" t="s">
        <v>1668</v>
      </c>
      <c r="O102" s="339">
        <v>28.0</v>
      </c>
    </row>
    <row r="103" hidden="1">
      <c r="A103" s="212">
        <v>2020.0</v>
      </c>
      <c r="B103" s="212" t="s">
        <v>310</v>
      </c>
      <c r="C103" s="212" t="s">
        <v>1094</v>
      </c>
      <c r="D103" s="212" t="s">
        <v>1200</v>
      </c>
      <c r="E103" s="433">
        <v>4.1160012E7</v>
      </c>
      <c r="F103" s="212" t="s">
        <v>151</v>
      </c>
      <c r="G103" s="212" t="s">
        <v>152</v>
      </c>
      <c r="H103" s="434">
        <v>162125.0</v>
      </c>
      <c r="I103" s="212" t="s">
        <v>155</v>
      </c>
      <c r="J103" s="212" t="s">
        <v>1134</v>
      </c>
      <c r="K103" s="433" t="s">
        <v>1136</v>
      </c>
      <c r="L103" s="212" t="s">
        <v>1671</v>
      </c>
      <c r="M103" s="212"/>
      <c r="N103" s="436" t="s">
        <v>1673</v>
      </c>
      <c r="O103" s="318">
        <v>121.0</v>
      </c>
    </row>
    <row r="104" hidden="1">
      <c r="A104" s="342">
        <v>2020.0</v>
      </c>
      <c r="B104" s="342" t="s">
        <v>310</v>
      </c>
      <c r="C104" s="342" t="s">
        <v>485</v>
      </c>
      <c r="D104" s="342" t="s">
        <v>999</v>
      </c>
      <c r="E104" s="349" t="s">
        <v>578</v>
      </c>
      <c r="F104" s="232" t="s">
        <v>488</v>
      </c>
      <c r="G104" s="342" t="s">
        <v>84</v>
      </c>
      <c r="H104" s="322">
        <v>60000.0</v>
      </c>
      <c r="I104" s="342" t="s">
        <v>389</v>
      </c>
      <c r="J104" s="342" t="s">
        <v>110</v>
      </c>
      <c r="K104" s="342" t="s">
        <v>589</v>
      </c>
      <c r="L104" s="342" t="s">
        <v>1674</v>
      </c>
      <c r="M104" s="352"/>
      <c r="N104" s="354"/>
      <c r="O104" s="339">
        <v>53.0</v>
      </c>
    </row>
    <row r="105" hidden="1">
      <c r="A105" s="130">
        <v>2020.0</v>
      </c>
      <c r="B105" s="130" t="s">
        <v>821</v>
      </c>
      <c r="C105" s="130" t="s">
        <v>139</v>
      </c>
      <c r="D105" s="130" t="s">
        <v>1317</v>
      </c>
      <c r="E105" s="130">
        <v>4.116001E7</v>
      </c>
      <c r="F105" s="130" t="s">
        <v>151</v>
      </c>
      <c r="G105" s="130" t="s">
        <v>152</v>
      </c>
      <c r="H105" s="369">
        <v>162142.85</v>
      </c>
      <c r="I105" s="130" t="s">
        <v>155</v>
      </c>
      <c r="J105" s="460" t="s">
        <v>1196</v>
      </c>
      <c r="K105" s="130" t="s">
        <v>1318</v>
      </c>
      <c r="L105" s="130" t="s">
        <v>1679</v>
      </c>
      <c r="M105" s="130"/>
      <c r="N105" s="375" t="s">
        <v>1680</v>
      </c>
      <c r="O105" s="378">
        <v>123.0</v>
      </c>
    </row>
    <row r="106" hidden="1">
      <c r="A106" s="232">
        <v>2020.0</v>
      </c>
      <c r="B106" s="232" t="s">
        <v>165</v>
      </c>
      <c r="C106" s="232" t="s">
        <v>14</v>
      </c>
      <c r="D106" s="232" t="s">
        <v>74</v>
      </c>
      <c r="E106" s="232">
        <v>4.1160001E7</v>
      </c>
      <c r="F106" s="232" t="s">
        <v>193</v>
      </c>
      <c r="G106" s="232" t="s">
        <v>84</v>
      </c>
      <c r="H106" s="357">
        <v>100000.0</v>
      </c>
      <c r="I106" s="232" t="s">
        <v>490</v>
      </c>
      <c r="J106" s="342" t="s">
        <v>110</v>
      </c>
      <c r="K106" s="232" t="s">
        <v>1023</v>
      </c>
      <c r="L106" s="360" t="s">
        <v>1681</v>
      </c>
      <c r="M106" s="352"/>
      <c r="N106" s="354"/>
      <c r="O106" s="339">
        <v>79.0</v>
      </c>
    </row>
    <row r="107" hidden="1">
      <c r="A107" s="232">
        <v>2020.0</v>
      </c>
      <c r="B107" s="232" t="s">
        <v>165</v>
      </c>
      <c r="C107" s="232" t="s">
        <v>14</v>
      </c>
      <c r="D107" s="232" t="s">
        <v>74</v>
      </c>
      <c r="E107" s="232">
        <v>4.1160004E7</v>
      </c>
      <c r="F107" s="232" t="s">
        <v>1572</v>
      </c>
      <c r="G107" s="232" t="s">
        <v>1573</v>
      </c>
      <c r="H107" s="357">
        <v>300000.0</v>
      </c>
      <c r="I107" s="232" t="s">
        <v>490</v>
      </c>
      <c r="J107" s="232" t="s">
        <v>1574</v>
      </c>
      <c r="K107" s="232" t="s">
        <v>1576</v>
      </c>
      <c r="L107" s="360" t="s">
        <v>1681</v>
      </c>
      <c r="M107" s="331" t="s">
        <v>1577</v>
      </c>
      <c r="N107" s="354"/>
      <c r="O107" s="339">
        <v>80.0</v>
      </c>
    </row>
    <row r="108" hidden="1">
      <c r="A108" s="232">
        <v>2020.0</v>
      </c>
      <c r="B108" s="232" t="s">
        <v>182</v>
      </c>
      <c r="C108" s="232" t="s">
        <v>485</v>
      </c>
      <c r="D108" s="232" t="s">
        <v>1579</v>
      </c>
      <c r="E108" s="232">
        <v>4.1160005E7</v>
      </c>
      <c r="F108" s="232" t="s">
        <v>488</v>
      </c>
      <c r="G108" s="232" t="s">
        <v>84</v>
      </c>
      <c r="H108" s="357">
        <v>200000.0</v>
      </c>
      <c r="I108" s="232" t="s">
        <v>490</v>
      </c>
      <c r="J108" s="342" t="s">
        <v>110</v>
      </c>
      <c r="K108" s="232" t="s">
        <v>1076</v>
      </c>
      <c r="L108" s="360" t="s">
        <v>1684</v>
      </c>
      <c r="M108" s="331" t="s">
        <v>1581</v>
      </c>
      <c r="N108" s="398" t="s">
        <v>1685</v>
      </c>
      <c r="O108" s="339">
        <v>31.0</v>
      </c>
    </row>
    <row r="109" hidden="1">
      <c r="A109" s="232">
        <v>2020.0</v>
      </c>
      <c r="B109" s="232" t="s">
        <v>114</v>
      </c>
      <c r="C109" s="232" t="s">
        <v>14</v>
      </c>
      <c r="D109" s="232" t="s">
        <v>74</v>
      </c>
      <c r="E109" s="232">
        <v>4.1160009E7</v>
      </c>
      <c r="F109" s="232" t="s">
        <v>488</v>
      </c>
      <c r="G109" s="232" t="s">
        <v>84</v>
      </c>
      <c r="H109" s="357">
        <v>100000.0</v>
      </c>
      <c r="I109" s="232" t="s">
        <v>490</v>
      </c>
      <c r="J109" s="342" t="s">
        <v>110</v>
      </c>
      <c r="K109" s="232" t="s">
        <v>1131</v>
      </c>
      <c r="L109" s="360" t="s">
        <v>1691</v>
      </c>
      <c r="M109" s="331" t="s">
        <v>1132</v>
      </c>
      <c r="N109" s="354"/>
      <c r="O109" s="339">
        <v>87.0</v>
      </c>
    </row>
    <row r="110" hidden="1">
      <c r="A110" s="232">
        <v>2021.0</v>
      </c>
      <c r="B110" s="232" t="s">
        <v>114</v>
      </c>
      <c r="C110" s="232" t="s">
        <v>14</v>
      </c>
      <c r="D110" s="232" t="s">
        <v>74</v>
      </c>
      <c r="E110" s="320">
        <v>4.1160004E7</v>
      </c>
      <c r="F110" s="232" t="s">
        <v>20</v>
      </c>
      <c r="G110" s="232" t="s">
        <v>152</v>
      </c>
      <c r="H110" s="322">
        <v>250000.0</v>
      </c>
      <c r="I110" s="232" t="s">
        <v>490</v>
      </c>
      <c r="J110" s="323" t="s">
        <v>265</v>
      </c>
      <c r="K110" s="326" t="s">
        <v>1588</v>
      </c>
      <c r="L110" s="329" t="s">
        <v>1693</v>
      </c>
      <c r="M110" s="331"/>
      <c r="N110" s="338" t="s">
        <v>1694</v>
      </c>
      <c r="O110" s="339">
        <v>118.0</v>
      </c>
    </row>
    <row r="111" hidden="1">
      <c r="A111" s="464">
        <v>2020.0</v>
      </c>
      <c r="B111" s="464" t="s">
        <v>127</v>
      </c>
      <c r="C111" s="464" t="s">
        <v>139</v>
      </c>
      <c r="D111" s="464" t="s">
        <v>1340</v>
      </c>
      <c r="E111" s="465">
        <v>4.1160006E7</v>
      </c>
      <c r="F111" s="464" t="s">
        <v>151</v>
      </c>
      <c r="G111" s="464" t="s">
        <v>152</v>
      </c>
      <c r="H111" s="466">
        <v>261914.0</v>
      </c>
      <c r="I111" s="464" t="s">
        <v>155</v>
      </c>
      <c r="J111" s="464" t="s">
        <v>1342</v>
      </c>
      <c r="K111" s="467" t="s">
        <v>1700</v>
      </c>
      <c r="L111" s="468" t="s">
        <v>1702</v>
      </c>
      <c r="M111" s="469"/>
      <c r="N111" s="471" t="s">
        <v>1704</v>
      </c>
      <c r="O111" s="473"/>
    </row>
    <row r="112" hidden="1">
      <c r="A112" s="232">
        <v>2020.0</v>
      </c>
      <c r="B112" s="232" t="s">
        <v>658</v>
      </c>
      <c r="C112" s="232" t="s">
        <v>14</v>
      </c>
      <c r="D112" s="232" t="s">
        <v>74</v>
      </c>
      <c r="E112" s="232">
        <v>4.1160009E7</v>
      </c>
      <c r="F112" s="232" t="s">
        <v>488</v>
      </c>
      <c r="G112" s="232" t="s">
        <v>84</v>
      </c>
      <c r="H112" s="357">
        <v>150000.0</v>
      </c>
      <c r="I112" s="232" t="s">
        <v>490</v>
      </c>
      <c r="J112" s="342" t="s">
        <v>110</v>
      </c>
      <c r="K112" s="232" t="s">
        <v>1595</v>
      </c>
      <c r="L112" s="360" t="s">
        <v>1711</v>
      </c>
      <c r="M112" s="352"/>
      <c r="N112" s="354"/>
      <c r="O112" s="339">
        <v>88.0</v>
      </c>
    </row>
    <row r="113" ht="132.0" hidden="1" customHeight="1">
      <c r="A113" s="212">
        <v>2020.0</v>
      </c>
      <c r="B113" s="212" t="s">
        <v>127</v>
      </c>
      <c r="C113" s="212" t="s">
        <v>139</v>
      </c>
      <c r="D113" s="212" t="s">
        <v>412</v>
      </c>
      <c r="E113" s="212">
        <v>4.116001E7</v>
      </c>
      <c r="F113" s="212" t="s">
        <v>151</v>
      </c>
      <c r="G113" s="212" t="s">
        <v>152</v>
      </c>
      <c r="H113" s="434">
        <v>31428.6</v>
      </c>
      <c r="I113" s="212" t="s">
        <v>155</v>
      </c>
      <c r="J113" s="212" t="s">
        <v>418</v>
      </c>
      <c r="K113" s="212" t="s">
        <v>420</v>
      </c>
      <c r="L113" s="212" t="s">
        <v>1713</v>
      </c>
      <c r="M113" s="212"/>
      <c r="N113" s="436" t="s">
        <v>1715</v>
      </c>
      <c r="O113" s="318">
        <v>121.0</v>
      </c>
    </row>
    <row r="114" hidden="1">
      <c r="A114" s="232">
        <v>2020.0</v>
      </c>
      <c r="B114" s="232" t="s">
        <v>48</v>
      </c>
      <c r="C114" s="232" t="s">
        <v>485</v>
      </c>
      <c r="D114" s="232" t="s">
        <v>599</v>
      </c>
      <c r="E114" s="417" t="s">
        <v>578</v>
      </c>
      <c r="F114" s="232" t="s">
        <v>488</v>
      </c>
      <c r="G114" s="232" t="s">
        <v>84</v>
      </c>
      <c r="H114" s="357">
        <v>50000.0</v>
      </c>
      <c r="I114" s="232" t="s">
        <v>389</v>
      </c>
      <c r="J114" s="342" t="s">
        <v>110</v>
      </c>
      <c r="K114" s="474" t="s">
        <v>600</v>
      </c>
      <c r="L114" s="418" t="s">
        <v>1718</v>
      </c>
      <c r="M114" s="352"/>
      <c r="N114" s="354"/>
      <c r="O114" s="339">
        <v>54.0</v>
      </c>
    </row>
    <row r="115" hidden="1">
      <c r="A115" s="342">
        <v>2020.0</v>
      </c>
      <c r="B115" s="342" t="s">
        <v>449</v>
      </c>
      <c r="C115" s="342" t="s">
        <v>14</v>
      </c>
      <c r="D115" s="342" t="s">
        <v>74</v>
      </c>
      <c r="E115" s="342">
        <v>4.1160009E7</v>
      </c>
      <c r="F115" s="342" t="s">
        <v>193</v>
      </c>
      <c r="G115" s="342" t="s">
        <v>84</v>
      </c>
      <c r="H115" s="322">
        <v>150000.0</v>
      </c>
      <c r="I115" s="342" t="s">
        <v>490</v>
      </c>
      <c r="J115" s="342" t="s">
        <v>110</v>
      </c>
      <c r="K115" s="342" t="s">
        <v>1023</v>
      </c>
      <c r="L115" s="331" t="s">
        <v>1719</v>
      </c>
      <c r="M115" s="352"/>
      <c r="N115" s="354"/>
      <c r="O115" s="339">
        <v>89.0</v>
      </c>
    </row>
    <row r="116" hidden="1">
      <c r="A116" s="232">
        <v>2019.0</v>
      </c>
      <c r="B116" s="232" t="s">
        <v>505</v>
      </c>
      <c r="C116" s="232" t="s">
        <v>556</v>
      </c>
      <c r="D116" s="232" t="s">
        <v>557</v>
      </c>
      <c r="E116" s="232">
        <v>7.1220005E7</v>
      </c>
      <c r="F116" s="232" t="s">
        <v>558</v>
      </c>
      <c r="G116" s="232" t="s">
        <v>152</v>
      </c>
      <c r="H116" s="357">
        <v>50000.0</v>
      </c>
      <c r="I116" s="232" t="s">
        <v>560</v>
      </c>
      <c r="J116" s="232" t="s">
        <v>110</v>
      </c>
      <c r="K116" s="232" t="s">
        <v>561</v>
      </c>
      <c r="L116" s="360" t="s">
        <v>1720</v>
      </c>
      <c r="M116" s="331" t="s">
        <v>563</v>
      </c>
      <c r="N116" s="354"/>
      <c r="O116" s="339">
        <v>8.0</v>
      </c>
    </row>
    <row r="117" hidden="1">
      <c r="A117" s="232">
        <v>2019.0</v>
      </c>
      <c r="B117" s="232" t="s">
        <v>678</v>
      </c>
      <c r="C117" s="232" t="s">
        <v>556</v>
      </c>
      <c r="D117" s="232" t="s">
        <v>1057</v>
      </c>
      <c r="E117" s="232">
        <v>7.1220005E7</v>
      </c>
      <c r="F117" s="232" t="s">
        <v>558</v>
      </c>
      <c r="G117" s="232" t="s">
        <v>152</v>
      </c>
      <c r="H117" s="357">
        <v>78705.88</v>
      </c>
      <c r="I117" s="232" t="s">
        <v>560</v>
      </c>
      <c r="J117" s="232" t="s">
        <v>110</v>
      </c>
      <c r="K117" s="232" t="s">
        <v>561</v>
      </c>
      <c r="L117" s="360" t="s">
        <v>1721</v>
      </c>
      <c r="M117" s="331" t="s">
        <v>563</v>
      </c>
      <c r="N117" s="354"/>
      <c r="O117" s="339">
        <v>9.0</v>
      </c>
    </row>
    <row r="118" hidden="1">
      <c r="A118" s="232">
        <v>2020.0</v>
      </c>
      <c r="B118" s="232" t="s">
        <v>681</v>
      </c>
      <c r="C118" s="232" t="s">
        <v>14</v>
      </c>
      <c r="D118" s="232" t="s">
        <v>74</v>
      </c>
      <c r="E118" s="232">
        <v>4.1160001E7</v>
      </c>
      <c r="F118" s="232" t="s">
        <v>193</v>
      </c>
      <c r="G118" s="232" t="s">
        <v>84</v>
      </c>
      <c r="H118" s="357">
        <v>100000.0</v>
      </c>
      <c r="I118" s="232" t="s">
        <v>490</v>
      </c>
      <c r="J118" s="342" t="s">
        <v>110</v>
      </c>
      <c r="K118" s="232" t="s">
        <v>1138</v>
      </c>
      <c r="L118" s="360" t="s">
        <v>1723</v>
      </c>
      <c r="M118" s="331" t="s">
        <v>1139</v>
      </c>
      <c r="N118" s="354"/>
      <c r="O118" s="339">
        <v>90.0</v>
      </c>
    </row>
    <row r="119" ht="157.5" hidden="1" customHeight="1">
      <c r="A119" s="232">
        <v>2019.0</v>
      </c>
      <c r="B119" s="232" t="s">
        <v>191</v>
      </c>
      <c r="C119" s="232" t="s">
        <v>485</v>
      </c>
      <c r="D119" s="232" t="s">
        <v>606</v>
      </c>
      <c r="E119" s="232">
        <v>7.1220009E7</v>
      </c>
      <c r="F119" s="232" t="s">
        <v>488</v>
      </c>
      <c r="G119" s="232" t="s">
        <v>84</v>
      </c>
      <c r="H119" s="357">
        <v>250000.0</v>
      </c>
      <c r="I119" s="232" t="s">
        <v>389</v>
      </c>
      <c r="J119" s="232" t="s">
        <v>110</v>
      </c>
      <c r="K119" s="232" t="s">
        <v>1076</v>
      </c>
      <c r="L119" s="360" t="s">
        <v>1725</v>
      </c>
      <c r="M119" s="331" t="s">
        <v>1606</v>
      </c>
      <c r="N119" s="398" t="s">
        <v>1727</v>
      </c>
      <c r="O119" s="339">
        <v>14.0</v>
      </c>
    </row>
    <row r="120" hidden="1">
      <c r="A120" s="232">
        <v>2020.0</v>
      </c>
      <c r="B120" s="232" t="s">
        <v>191</v>
      </c>
      <c r="C120" s="232" t="s">
        <v>485</v>
      </c>
      <c r="D120" s="232" t="s">
        <v>606</v>
      </c>
      <c r="E120" s="417" t="s">
        <v>578</v>
      </c>
      <c r="F120" s="232" t="s">
        <v>488</v>
      </c>
      <c r="G120" s="232" t="s">
        <v>84</v>
      </c>
      <c r="H120" s="357">
        <v>50000.0</v>
      </c>
      <c r="I120" s="232" t="s">
        <v>389</v>
      </c>
      <c r="J120" s="342" t="s">
        <v>110</v>
      </c>
      <c r="K120" s="474" t="s">
        <v>600</v>
      </c>
      <c r="L120" s="232" t="s">
        <v>1725</v>
      </c>
      <c r="M120" s="352"/>
      <c r="N120" s="354"/>
      <c r="O120" s="339">
        <v>55.0</v>
      </c>
    </row>
    <row r="121" hidden="1">
      <c r="A121" s="232">
        <v>2020.0</v>
      </c>
      <c r="B121" s="232" t="s">
        <v>191</v>
      </c>
      <c r="C121" s="232" t="s">
        <v>14</v>
      </c>
      <c r="D121" s="232" t="s">
        <v>74</v>
      </c>
      <c r="E121" s="232">
        <v>4.1160001E7</v>
      </c>
      <c r="F121" s="232" t="s">
        <v>193</v>
      </c>
      <c r="G121" s="232" t="s">
        <v>84</v>
      </c>
      <c r="H121" s="357">
        <v>100000.0</v>
      </c>
      <c r="I121" s="232" t="s">
        <v>490</v>
      </c>
      <c r="J121" s="342" t="s">
        <v>110</v>
      </c>
      <c r="K121" s="232" t="s">
        <v>1030</v>
      </c>
      <c r="L121" s="360" t="s">
        <v>1729</v>
      </c>
      <c r="M121" s="352"/>
      <c r="N121" s="354"/>
      <c r="O121" s="339">
        <v>91.0</v>
      </c>
    </row>
    <row r="122" hidden="1">
      <c r="A122" s="232">
        <v>2020.0</v>
      </c>
      <c r="B122" s="232" t="s">
        <v>698</v>
      </c>
      <c r="C122" s="232" t="s">
        <v>485</v>
      </c>
      <c r="D122" s="232" t="s">
        <v>1147</v>
      </c>
      <c r="E122" s="232">
        <v>4.1160005E7</v>
      </c>
      <c r="F122" s="232" t="s">
        <v>488</v>
      </c>
      <c r="G122" s="232" t="s">
        <v>84</v>
      </c>
      <c r="H122" s="357">
        <v>100000.0</v>
      </c>
      <c r="I122" s="232" t="s">
        <v>490</v>
      </c>
      <c r="J122" s="342" t="s">
        <v>110</v>
      </c>
      <c r="K122" s="232" t="s">
        <v>1076</v>
      </c>
      <c r="L122" s="360" t="s">
        <v>1730</v>
      </c>
      <c r="M122" s="352"/>
      <c r="N122" s="354"/>
      <c r="O122" s="339">
        <v>32.0</v>
      </c>
    </row>
    <row r="123" hidden="1">
      <c r="A123" s="342">
        <v>2020.0</v>
      </c>
      <c r="B123" s="342" t="s">
        <v>458</v>
      </c>
      <c r="C123" s="342" t="s">
        <v>14</v>
      </c>
      <c r="D123" s="342" t="s">
        <v>74</v>
      </c>
      <c r="E123" s="342">
        <v>4.1160009E7</v>
      </c>
      <c r="F123" s="342" t="s">
        <v>488</v>
      </c>
      <c r="G123" s="342" t="s">
        <v>84</v>
      </c>
      <c r="H123" s="322">
        <v>68418.0</v>
      </c>
      <c r="I123" s="342" t="s">
        <v>490</v>
      </c>
      <c r="J123" s="342" t="s">
        <v>110</v>
      </c>
      <c r="K123" s="342" t="s">
        <v>1030</v>
      </c>
      <c r="L123" s="331" t="s">
        <v>1733</v>
      </c>
      <c r="M123" s="331" t="s">
        <v>1045</v>
      </c>
      <c r="N123" s="398" t="s">
        <v>1734</v>
      </c>
      <c r="O123" s="339">
        <v>92.0</v>
      </c>
    </row>
    <row r="124" hidden="1">
      <c r="A124" s="232">
        <v>2019.0</v>
      </c>
      <c r="B124" s="232" t="s">
        <v>198</v>
      </c>
      <c r="C124" s="232" t="s">
        <v>485</v>
      </c>
      <c r="D124" s="232" t="s">
        <v>1610</v>
      </c>
      <c r="E124" s="232">
        <v>7.1220009E7</v>
      </c>
      <c r="F124" s="232" t="s">
        <v>488</v>
      </c>
      <c r="G124" s="232" t="s">
        <v>84</v>
      </c>
      <c r="H124" s="357">
        <v>250000.0</v>
      </c>
      <c r="I124" s="232" t="s">
        <v>389</v>
      </c>
      <c r="J124" s="232" t="s">
        <v>110</v>
      </c>
      <c r="K124" s="232" t="s">
        <v>1076</v>
      </c>
      <c r="L124" s="360" t="s">
        <v>1740</v>
      </c>
      <c r="M124" s="352"/>
      <c r="N124" s="354"/>
      <c r="O124" s="339">
        <v>15.0</v>
      </c>
    </row>
    <row r="125" hidden="1">
      <c r="A125" s="232">
        <v>2020.0</v>
      </c>
      <c r="B125" s="232" t="s">
        <v>198</v>
      </c>
      <c r="C125" s="232" t="s">
        <v>485</v>
      </c>
      <c r="D125" s="232" t="s">
        <v>618</v>
      </c>
      <c r="E125" s="417" t="s">
        <v>578</v>
      </c>
      <c r="F125" s="232" t="s">
        <v>488</v>
      </c>
      <c r="G125" s="232" t="s">
        <v>84</v>
      </c>
      <c r="H125" s="357">
        <v>50000.0</v>
      </c>
      <c r="I125" s="232" t="s">
        <v>389</v>
      </c>
      <c r="J125" s="342" t="s">
        <v>110</v>
      </c>
      <c r="K125" s="474" t="s">
        <v>600</v>
      </c>
      <c r="L125" s="232" t="s">
        <v>1740</v>
      </c>
      <c r="M125" s="352"/>
      <c r="N125" s="354"/>
      <c r="O125" s="339">
        <v>56.0</v>
      </c>
    </row>
    <row r="126" hidden="1">
      <c r="A126" s="204">
        <v>2020.0</v>
      </c>
      <c r="B126" s="204" t="s">
        <v>127</v>
      </c>
      <c r="C126" s="204" t="s">
        <v>139</v>
      </c>
      <c r="D126" s="204" t="s">
        <v>1351</v>
      </c>
      <c r="E126" s="204">
        <v>4.116001E7</v>
      </c>
      <c r="F126" s="204" t="s">
        <v>151</v>
      </c>
      <c r="G126" s="204" t="s">
        <v>152</v>
      </c>
      <c r="H126" s="434">
        <v>111914.0</v>
      </c>
      <c r="I126" s="204" t="s">
        <v>155</v>
      </c>
      <c r="J126" s="204" t="s">
        <v>1352</v>
      </c>
      <c r="K126" s="212" t="s">
        <v>1353</v>
      </c>
      <c r="L126" s="161" t="s">
        <v>1742</v>
      </c>
      <c r="M126" s="212"/>
      <c r="N126" s="436" t="s">
        <v>1743</v>
      </c>
      <c r="O126" s="318"/>
    </row>
    <row r="127" hidden="1">
      <c r="A127" s="204">
        <v>2021.0</v>
      </c>
      <c r="B127" s="306" t="s">
        <v>198</v>
      </c>
      <c r="C127" s="204" t="s">
        <v>485</v>
      </c>
      <c r="D127" s="311" t="s">
        <v>1613</v>
      </c>
      <c r="E127" s="204">
        <v>4.1160002E7</v>
      </c>
      <c r="F127" s="204" t="s">
        <v>1087</v>
      </c>
      <c r="G127" s="204" t="s">
        <v>152</v>
      </c>
      <c r="H127" s="308">
        <v>570714.02</v>
      </c>
      <c r="I127" s="212" t="s">
        <v>1062</v>
      </c>
      <c r="J127" s="204" t="s">
        <v>1614</v>
      </c>
      <c r="K127" s="306" t="s">
        <v>1615</v>
      </c>
      <c r="L127" s="311" t="s">
        <v>1745</v>
      </c>
      <c r="M127" s="313"/>
      <c r="N127" s="316" t="s">
        <v>1747</v>
      </c>
      <c r="O127" s="318"/>
    </row>
    <row r="128" hidden="1">
      <c r="A128" s="232">
        <v>2020.0</v>
      </c>
      <c r="B128" s="232" t="s">
        <v>735</v>
      </c>
      <c r="C128" s="232" t="s">
        <v>485</v>
      </c>
      <c r="D128" s="232" t="s">
        <v>1617</v>
      </c>
      <c r="E128" s="232">
        <v>4.1160005E7</v>
      </c>
      <c r="F128" s="232" t="s">
        <v>1559</v>
      </c>
      <c r="G128" s="232" t="s">
        <v>84</v>
      </c>
      <c r="H128" s="357">
        <v>200000.0</v>
      </c>
      <c r="I128" s="232" t="s">
        <v>490</v>
      </c>
      <c r="J128" s="342" t="s">
        <v>110</v>
      </c>
      <c r="K128" s="232" t="s">
        <v>1618</v>
      </c>
      <c r="L128" s="360" t="s">
        <v>1749</v>
      </c>
      <c r="M128" s="331" t="s">
        <v>1619</v>
      </c>
      <c r="N128" s="338" t="s">
        <v>1750</v>
      </c>
      <c r="O128" s="339">
        <v>33.0</v>
      </c>
    </row>
    <row r="129" hidden="1">
      <c r="A129" s="232">
        <v>2019.0</v>
      </c>
      <c r="B129" s="232" t="s">
        <v>470</v>
      </c>
      <c r="C129" s="232" t="s">
        <v>556</v>
      </c>
      <c r="D129" s="232" t="s">
        <v>927</v>
      </c>
      <c r="E129" s="232">
        <v>7.1220005E7</v>
      </c>
      <c r="F129" s="232" t="s">
        <v>558</v>
      </c>
      <c r="G129" s="232" t="s">
        <v>152</v>
      </c>
      <c r="H129" s="357">
        <v>54000.0</v>
      </c>
      <c r="I129" s="232" t="s">
        <v>560</v>
      </c>
      <c r="J129" s="232" t="s">
        <v>110</v>
      </c>
      <c r="K129" s="232" t="s">
        <v>561</v>
      </c>
      <c r="L129" s="360" t="s">
        <v>1753</v>
      </c>
      <c r="M129" s="331" t="s">
        <v>563</v>
      </c>
      <c r="N129" s="354"/>
      <c r="O129" s="339">
        <v>10.0</v>
      </c>
    </row>
    <row r="130" hidden="1">
      <c r="A130" s="232">
        <v>2020.0</v>
      </c>
      <c r="B130" s="232" t="s">
        <v>470</v>
      </c>
      <c r="C130" s="232" t="s">
        <v>485</v>
      </c>
      <c r="D130" s="232" t="s">
        <v>1623</v>
      </c>
      <c r="E130" s="232">
        <v>4.1160009E7</v>
      </c>
      <c r="F130" s="342" t="s">
        <v>488</v>
      </c>
      <c r="G130" s="232" t="s">
        <v>84</v>
      </c>
      <c r="H130" s="357">
        <v>150000.0</v>
      </c>
      <c r="I130" s="232" t="s">
        <v>490</v>
      </c>
      <c r="J130" s="342" t="s">
        <v>110</v>
      </c>
      <c r="K130" s="232" t="s">
        <v>1131</v>
      </c>
      <c r="L130" s="360" t="s">
        <v>1754</v>
      </c>
      <c r="M130" s="331" t="s">
        <v>1624</v>
      </c>
      <c r="N130" s="354"/>
      <c r="O130" s="339">
        <v>71.0</v>
      </c>
    </row>
    <row r="131" hidden="1">
      <c r="A131" s="232">
        <v>2020.0</v>
      </c>
      <c r="B131" s="232" t="s">
        <v>115</v>
      </c>
      <c r="C131" s="232" t="s">
        <v>485</v>
      </c>
      <c r="D131" s="232" t="s">
        <v>1625</v>
      </c>
      <c r="E131" s="232">
        <v>4.1160005E7</v>
      </c>
      <c r="F131" s="232" t="s">
        <v>488</v>
      </c>
      <c r="G131" s="232" t="s">
        <v>84</v>
      </c>
      <c r="H131" s="357">
        <v>200000.0</v>
      </c>
      <c r="I131" s="232" t="s">
        <v>490</v>
      </c>
      <c r="J131" s="342" t="s">
        <v>110</v>
      </c>
      <c r="K131" s="232" t="s">
        <v>1076</v>
      </c>
      <c r="L131" s="360" t="s">
        <v>1756</v>
      </c>
      <c r="M131" s="331" t="s">
        <v>1627</v>
      </c>
      <c r="N131" s="398" t="s">
        <v>1757</v>
      </c>
      <c r="O131" s="339">
        <v>34.0</v>
      </c>
    </row>
    <row r="132" hidden="1">
      <c r="A132" s="232">
        <v>2020.0</v>
      </c>
      <c r="B132" s="232" t="s">
        <v>115</v>
      </c>
      <c r="C132" s="232" t="s">
        <v>14</v>
      </c>
      <c r="D132" s="232" t="s">
        <v>74</v>
      </c>
      <c r="E132" s="232">
        <v>4.1160004E7</v>
      </c>
      <c r="F132" s="232" t="s">
        <v>1572</v>
      </c>
      <c r="G132" s="232" t="s">
        <v>1573</v>
      </c>
      <c r="H132" s="357">
        <v>300000.0</v>
      </c>
      <c r="I132" s="232" t="s">
        <v>490</v>
      </c>
      <c r="J132" s="232" t="s">
        <v>1574</v>
      </c>
      <c r="K132" s="232" t="s">
        <v>1576</v>
      </c>
      <c r="L132" s="360" t="s">
        <v>1761</v>
      </c>
      <c r="M132" s="331" t="s">
        <v>1577</v>
      </c>
      <c r="N132" s="354"/>
      <c r="O132" s="339">
        <v>81.0</v>
      </c>
    </row>
    <row r="133" hidden="1">
      <c r="A133" s="204">
        <v>2021.0</v>
      </c>
      <c r="B133" s="306" t="s">
        <v>115</v>
      </c>
      <c r="C133" s="204" t="s">
        <v>220</v>
      </c>
      <c r="D133" s="385" t="s">
        <v>74</v>
      </c>
      <c r="E133" s="204">
        <v>4.1160002E7</v>
      </c>
      <c r="F133" s="204" t="s">
        <v>1087</v>
      </c>
      <c r="G133" s="204" t="s">
        <v>152</v>
      </c>
      <c r="H133" s="493">
        <v>146165.0</v>
      </c>
      <c r="I133" s="212" t="s">
        <v>1062</v>
      </c>
      <c r="J133" s="204" t="s">
        <v>1303</v>
      </c>
      <c r="K133" s="311" t="s">
        <v>1635</v>
      </c>
      <c r="L133" s="311" t="s">
        <v>1763</v>
      </c>
      <c r="M133" s="313"/>
      <c r="N133" s="316" t="s">
        <v>1764</v>
      </c>
      <c r="O133" s="318">
        <v>11.0</v>
      </c>
    </row>
    <row r="134" hidden="1">
      <c r="A134" s="342">
        <v>2020.0</v>
      </c>
      <c r="B134" s="342" t="s">
        <v>210</v>
      </c>
      <c r="C134" s="342" t="s">
        <v>566</v>
      </c>
      <c r="D134" s="342" t="s">
        <v>734</v>
      </c>
      <c r="E134" s="349" t="s">
        <v>578</v>
      </c>
      <c r="F134" s="342" t="s">
        <v>488</v>
      </c>
      <c r="G134" s="342" t="s">
        <v>84</v>
      </c>
      <c r="H134" s="322">
        <v>50000.0</v>
      </c>
      <c r="I134" s="342" t="s">
        <v>724</v>
      </c>
      <c r="J134" s="342" t="s">
        <v>110</v>
      </c>
      <c r="K134" s="342" t="s">
        <v>571</v>
      </c>
      <c r="L134" s="342" t="s">
        <v>1770</v>
      </c>
      <c r="M134" s="352"/>
      <c r="N134" s="354"/>
      <c r="O134" s="339">
        <v>105.0</v>
      </c>
    </row>
    <row r="135" hidden="1">
      <c r="A135" s="232">
        <v>2020.0</v>
      </c>
      <c r="B135" s="232" t="s">
        <v>623</v>
      </c>
      <c r="C135" s="232" t="s">
        <v>485</v>
      </c>
      <c r="D135" s="232" t="s">
        <v>631</v>
      </c>
      <c r="E135" s="417" t="s">
        <v>578</v>
      </c>
      <c r="F135" s="232" t="s">
        <v>488</v>
      </c>
      <c r="G135" s="232" t="s">
        <v>84</v>
      </c>
      <c r="H135" s="357">
        <v>50000.0</v>
      </c>
      <c r="I135" s="232" t="s">
        <v>389</v>
      </c>
      <c r="J135" s="342" t="s">
        <v>110</v>
      </c>
      <c r="K135" s="474" t="s">
        <v>600</v>
      </c>
      <c r="L135" s="232" t="s">
        <v>1772</v>
      </c>
      <c r="M135" s="352"/>
      <c r="N135" s="354"/>
      <c r="O135" s="339">
        <v>57.0</v>
      </c>
    </row>
    <row r="136" hidden="1">
      <c r="A136" s="232">
        <v>2020.0</v>
      </c>
      <c r="B136" s="232" t="s">
        <v>338</v>
      </c>
      <c r="C136" s="232" t="s">
        <v>485</v>
      </c>
      <c r="D136" s="232" t="s">
        <v>1153</v>
      </c>
      <c r="E136" s="232">
        <v>4.1160009E7</v>
      </c>
      <c r="F136" s="232" t="s">
        <v>488</v>
      </c>
      <c r="G136" s="232" t="s">
        <v>84</v>
      </c>
      <c r="H136" s="357">
        <v>100000.0</v>
      </c>
      <c r="I136" s="232" t="s">
        <v>490</v>
      </c>
      <c r="J136" s="342" t="s">
        <v>110</v>
      </c>
      <c r="K136" s="232" t="s">
        <v>1076</v>
      </c>
      <c r="L136" s="360" t="s">
        <v>1775</v>
      </c>
      <c r="M136" s="331" t="s">
        <v>1155</v>
      </c>
      <c r="N136" s="398" t="s">
        <v>1776</v>
      </c>
      <c r="O136" s="339">
        <v>35.0</v>
      </c>
    </row>
    <row r="137" hidden="1">
      <c r="A137" s="342">
        <v>2020.0</v>
      </c>
      <c r="B137" s="342" t="s">
        <v>496</v>
      </c>
      <c r="C137" s="342" t="s">
        <v>566</v>
      </c>
      <c r="D137" s="342" t="s">
        <v>739</v>
      </c>
      <c r="E137" s="349" t="s">
        <v>578</v>
      </c>
      <c r="F137" s="342" t="s">
        <v>488</v>
      </c>
      <c r="G137" s="342" t="s">
        <v>84</v>
      </c>
      <c r="H137" s="322">
        <v>50000.0</v>
      </c>
      <c r="I137" s="342" t="s">
        <v>724</v>
      </c>
      <c r="J137" s="342" t="s">
        <v>110</v>
      </c>
      <c r="K137" s="342" t="s">
        <v>571</v>
      </c>
      <c r="L137" s="349" t="s">
        <v>1779</v>
      </c>
      <c r="M137" s="331" t="s">
        <v>743</v>
      </c>
      <c r="N137" s="354"/>
      <c r="O137" s="339">
        <v>106.0</v>
      </c>
    </row>
    <row r="138" hidden="1">
      <c r="A138" s="204">
        <v>2021.0</v>
      </c>
      <c r="B138" s="306" t="s">
        <v>593</v>
      </c>
      <c r="C138" s="204"/>
      <c r="D138" s="306" t="s">
        <v>1495</v>
      </c>
      <c r="E138" s="494"/>
      <c r="F138" s="204"/>
      <c r="G138" s="204"/>
      <c r="H138" s="495">
        <v>400000.0</v>
      </c>
      <c r="I138" s="212" t="s">
        <v>1062</v>
      </c>
      <c r="J138" s="204" t="s">
        <v>1648</v>
      </c>
      <c r="K138" s="311" t="s">
        <v>1649</v>
      </c>
      <c r="L138" s="311" t="s">
        <v>1782</v>
      </c>
      <c r="M138" s="313"/>
      <c r="N138" s="403"/>
      <c r="O138" s="318"/>
    </row>
    <row r="139" hidden="1">
      <c r="A139" s="232">
        <v>2020.0</v>
      </c>
      <c r="B139" s="232" t="s">
        <v>785</v>
      </c>
      <c r="C139" s="232" t="s">
        <v>485</v>
      </c>
      <c r="D139" s="232" t="s">
        <v>1074</v>
      </c>
      <c r="E139" s="232">
        <v>4.1160005E7</v>
      </c>
      <c r="F139" s="232" t="s">
        <v>488</v>
      </c>
      <c r="G139" s="232" t="s">
        <v>84</v>
      </c>
      <c r="H139" s="357">
        <v>86000.0</v>
      </c>
      <c r="I139" s="232" t="s">
        <v>1075</v>
      </c>
      <c r="J139" s="342" t="s">
        <v>110</v>
      </c>
      <c r="K139" s="232" t="s">
        <v>1076</v>
      </c>
      <c r="L139" s="360" t="s">
        <v>1785</v>
      </c>
      <c r="M139" s="331" t="s">
        <v>1077</v>
      </c>
      <c r="N139" s="354"/>
      <c r="O139" s="339">
        <v>36.0</v>
      </c>
    </row>
    <row r="140" hidden="1">
      <c r="A140" s="232">
        <v>2020.0</v>
      </c>
      <c r="B140" s="232" t="s">
        <v>757</v>
      </c>
      <c r="C140" s="232" t="s">
        <v>14</v>
      </c>
      <c r="D140" s="232" t="s">
        <v>74</v>
      </c>
      <c r="E140" s="232">
        <v>4.1160001E7</v>
      </c>
      <c r="F140" s="232" t="s">
        <v>193</v>
      </c>
      <c r="G140" s="232" t="s">
        <v>84</v>
      </c>
      <c r="H140" s="357">
        <v>67727.0</v>
      </c>
      <c r="I140" s="232" t="s">
        <v>89</v>
      </c>
      <c r="J140" s="342" t="s">
        <v>110</v>
      </c>
      <c r="K140" s="232" t="s">
        <v>1030</v>
      </c>
      <c r="L140" s="360" t="s">
        <v>1788</v>
      </c>
      <c r="M140" s="331" t="s">
        <v>1031</v>
      </c>
      <c r="N140" s="354"/>
      <c r="O140" s="339">
        <v>93.0</v>
      </c>
    </row>
    <row r="141" hidden="1">
      <c r="A141" s="342">
        <v>2020.0</v>
      </c>
      <c r="B141" s="342" t="s">
        <v>757</v>
      </c>
      <c r="C141" s="342" t="s">
        <v>566</v>
      </c>
      <c r="D141" s="342" t="s">
        <v>567</v>
      </c>
      <c r="E141" s="349" t="s">
        <v>578</v>
      </c>
      <c r="F141" s="342" t="s">
        <v>488</v>
      </c>
      <c r="G141" s="342" t="s">
        <v>84</v>
      </c>
      <c r="H141" s="322">
        <v>50000.0</v>
      </c>
      <c r="I141" s="342" t="s">
        <v>724</v>
      </c>
      <c r="J141" s="342" t="s">
        <v>110</v>
      </c>
      <c r="K141" s="342" t="s">
        <v>571</v>
      </c>
      <c r="L141" s="342" t="s">
        <v>1788</v>
      </c>
      <c r="M141" s="352"/>
      <c r="N141" s="354"/>
      <c r="O141" s="339">
        <v>107.0</v>
      </c>
    </row>
    <row r="142" hidden="1">
      <c r="A142" s="232">
        <v>2021.0</v>
      </c>
      <c r="B142" s="232" t="s">
        <v>796</v>
      </c>
      <c r="C142" s="232" t="s">
        <v>14</v>
      </c>
      <c r="D142" s="232" t="s">
        <v>74</v>
      </c>
      <c r="E142" s="320">
        <v>4.1160004E7</v>
      </c>
      <c r="F142" s="232" t="s">
        <v>20</v>
      </c>
      <c r="G142" s="232" t="s">
        <v>152</v>
      </c>
      <c r="H142" s="322">
        <v>250000.0</v>
      </c>
      <c r="I142" s="232" t="s">
        <v>490</v>
      </c>
      <c r="J142" s="323" t="s">
        <v>265</v>
      </c>
      <c r="K142" s="497" t="s">
        <v>1660</v>
      </c>
      <c r="L142" s="329" t="s">
        <v>1794</v>
      </c>
      <c r="M142" s="331"/>
      <c r="N142" s="338" t="s">
        <v>1796</v>
      </c>
      <c r="O142" s="339">
        <v>119.0</v>
      </c>
    </row>
    <row r="143" hidden="1">
      <c r="A143" s="291">
        <v>2020.0</v>
      </c>
      <c r="B143" s="291" t="s">
        <v>796</v>
      </c>
      <c r="C143" s="291" t="s">
        <v>1065</v>
      </c>
      <c r="D143" s="291" t="s">
        <v>1286</v>
      </c>
      <c r="E143" s="410">
        <v>7.1220004E7</v>
      </c>
      <c r="F143" s="291" t="s">
        <v>151</v>
      </c>
      <c r="G143" s="291" t="s">
        <v>152</v>
      </c>
      <c r="H143" s="412">
        <v>137569.0</v>
      </c>
      <c r="I143" s="291" t="s">
        <v>389</v>
      </c>
      <c r="J143" s="291" t="s">
        <v>1067</v>
      </c>
      <c r="K143" s="291" t="s">
        <v>1287</v>
      </c>
      <c r="L143" s="415" t="s">
        <v>1798</v>
      </c>
      <c r="M143" s="172" t="s">
        <v>1509</v>
      </c>
      <c r="N143" s="416" t="s">
        <v>1289</v>
      </c>
      <c r="O143" s="295">
        <v>115.0</v>
      </c>
    </row>
    <row r="144" hidden="1">
      <c r="A144" s="232">
        <v>2020.0</v>
      </c>
      <c r="B144" s="232" t="s">
        <v>219</v>
      </c>
      <c r="C144" s="232" t="s">
        <v>485</v>
      </c>
      <c r="D144" s="232" t="s">
        <v>641</v>
      </c>
      <c r="E144" s="417" t="s">
        <v>578</v>
      </c>
      <c r="F144" s="232" t="s">
        <v>488</v>
      </c>
      <c r="G144" s="232" t="s">
        <v>84</v>
      </c>
      <c r="H144" s="357">
        <v>50000.0</v>
      </c>
      <c r="I144" s="232" t="s">
        <v>389</v>
      </c>
      <c r="J144" s="342" t="s">
        <v>110</v>
      </c>
      <c r="K144" s="499" t="s">
        <v>600</v>
      </c>
      <c r="L144" s="418" t="s">
        <v>1802</v>
      </c>
      <c r="M144" s="352"/>
      <c r="N144" s="354"/>
      <c r="O144" s="339">
        <v>58.0</v>
      </c>
    </row>
    <row r="145" hidden="1">
      <c r="A145" s="232">
        <v>2020.0</v>
      </c>
      <c r="B145" s="232" t="s">
        <v>219</v>
      </c>
      <c r="C145" s="232" t="s">
        <v>14</v>
      </c>
      <c r="D145" s="232" t="s">
        <v>74</v>
      </c>
      <c r="E145" s="232">
        <v>4.1160009E7</v>
      </c>
      <c r="F145" s="232" t="s">
        <v>488</v>
      </c>
      <c r="G145" s="232" t="s">
        <v>84</v>
      </c>
      <c r="H145" s="357">
        <v>100000.0</v>
      </c>
      <c r="I145" s="232" t="s">
        <v>490</v>
      </c>
      <c r="J145" s="342" t="s">
        <v>110</v>
      </c>
      <c r="K145" s="232" t="s">
        <v>1076</v>
      </c>
      <c r="L145" s="360" t="s">
        <v>1805</v>
      </c>
      <c r="M145" s="331" t="s">
        <v>1157</v>
      </c>
      <c r="N145" s="398" t="s">
        <v>1806</v>
      </c>
      <c r="O145" s="339">
        <v>94.0</v>
      </c>
    </row>
    <row r="146" hidden="1">
      <c r="A146" s="204">
        <v>2021.0</v>
      </c>
      <c r="B146" s="306" t="s">
        <v>798</v>
      </c>
      <c r="C146" s="204" t="s">
        <v>220</v>
      </c>
      <c r="D146" s="385" t="s">
        <v>74</v>
      </c>
      <c r="E146" s="401">
        <v>4.1160003E7</v>
      </c>
      <c r="F146" s="204" t="s">
        <v>488</v>
      </c>
      <c r="G146" s="204" t="s">
        <v>84</v>
      </c>
      <c r="H146" s="308">
        <v>350000.0</v>
      </c>
      <c r="I146" s="212" t="s">
        <v>1062</v>
      </c>
      <c r="J146" s="204" t="s">
        <v>1665</v>
      </c>
      <c r="K146" s="311" t="s">
        <v>1667</v>
      </c>
      <c r="L146" s="311" t="s">
        <v>1810</v>
      </c>
      <c r="M146" s="313"/>
      <c r="N146" s="403" t="s">
        <v>1811</v>
      </c>
      <c r="O146" s="318"/>
    </row>
    <row r="147" hidden="1">
      <c r="A147" s="232">
        <v>2020.0</v>
      </c>
      <c r="B147" s="232" t="s">
        <v>239</v>
      </c>
      <c r="C147" s="232" t="s">
        <v>485</v>
      </c>
      <c r="D147" s="232" t="s">
        <v>1669</v>
      </c>
      <c r="E147" s="232">
        <v>4.1160005E7</v>
      </c>
      <c r="F147" s="232" t="s">
        <v>488</v>
      </c>
      <c r="G147" s="232" t="s">
        <v>84</v>
      </c>
      <c r="H147" s="357">
        <v>200000.0</v>
      </c>
      <c r="I147" s="232" t="s">
        <v>490</v>
      </c>
      <c r="J147" s="342" t="s">
        <v>110</v>
      </c>
      <c r="K147" s="232" t="s">
        <v>491</v>
      </c>
      <c r="L147" s="360" t="s">
        <v>1812</v>
      </c>
      <c r="M147" s="331" t="s">
        <v>1670</v>
      </c>
      <c r="N147" s="398" t="s">
        <v>1813</v>
      </c>
      <c r="O147" s="339">
        <v>37.0</v>
      </c>
    </row>
    <row r="148" hidden="1">
      <c r="A148" s="232">
        <v>2020.0</v>
      </c>
      <c r="B148" s="232" t="s">
        <v>239</v>
      </c>
      <c r="C148" s="232" t="s">
        <v>485</v>
      </c>
      <c r="D148" s="232" t="s">
        <v>1159</v>
      </c>
      <c r="E148" s="232">
        <v>4.1160005E7</v>
      </c>
      <c r="F148" s="232" t="s">
        <v>488</v>
      </c>
      <c r="G148" s="232" t="s">
        <v>84</v>
      </c>
      <c r="H148" s="357">
        <v>100000.0</v>
      </c>
      <c r="I148" s="232" t="s">
        <v>490</v>
      </c>
      <c r="J148" s="342" t="s">
        <v>110</v>
      </c>
      <c r="K148" s="232" t="s">
        <v>491</v>
      </c>
      <c r="L148" s="360" t="s">
        <v>1815</v>
      </c>
      <c r="M148" s="352"/>
      <c r="N148" s="398" t="s">
        <v>1816</v>
      </c>
      <c r="O148" s="339">
        <v>38.0</v>
      </c>
    </row>
    <row r="149" hidden="1">
      <c r="A149" s="232">
        <v>2020.0</v>
      </c>
      <c r="B149" s="232" t="s">
        <v>239</v>
      </c>
      <c r="C149" s="232" t="s">
        <v>485</v>
      </c>
      <c r="D149" s="232" t="s">
        <v>1159</v>
      </c>
      <c r="E149" s="417" t="s">
        <v>578</v>
      </c>
      <c r="F149" s="232" t="s">
        <v>488</v>
      </c>
      <c r="G149" s="232" t="s">
        <v>84</v>
      </c>
      <c r="H149" s="357">
        <v>250000.0</v>
      </c>
      <c r="I149" s="232" t="s">
        <v>389</v>
      </c>
      <c r="J149" s="342" t="s">
        <v>110</v>
      </c>
      <c r="K149" s="474" t="s">
        <v>600</v>
      </c>
      <c r="L149" s="232" t="s">
        <v>1815</v>
      </c>
      <c r="M149" s="352"/>
      <c r="N149" s="354"/>
      <c r="O149" s="339">
        <v>59.0</v>
      </c>
    </row>
    <row r="150" hidden="1">
      <c r="A150" s="437">
        <v>2020.0</v>
      </c>
      <c r="B150" s="437" t="s">
        <v>1365</v>
      </c>
      <c r="C150" s="437" t="s">
        <v>291</v>
      </c>
      <c r="D150" s="437" t="s">
        <v>1366</v>
      </c>
      <c r="E150" s="502">
        <v>4.1160008E7</v>
      </c>
      <c r="F150" s="437" t="s">
        <v>151</v>
      </c>
      <c r="G150" s="437" t="s">
        <v>152</v>
      </c>
      <c r="H150" s="503">
        <v>31616.04</v>
      </c>
      <c r="I150" s="437" t="s">
        <v>155</v>
      </c>
      <c r="J150" s="437" t="s">
        <v>305</v>
      </c>
      <c r="K150" s="221" t="s">
        <v>427</v>
      </c>
      <c r="L150" s="504" t="s">
        <v>1823</v>
      </c>
      <c r="M150" s="443"/>
      <c r="N150" s="446" t="s">
        <v>1825</v>
      </c>
      <c r="O150" s="447"/>
    </row>
    <row r="151" hidden="1">
      <c r="A151" s="426">
        <v>2021.0</v>
      </c>
      <c r="B151" s="426" t="s">
        <v>807</v>
      </c>
      <c r="C151" s="426" t="s">
        <v>1097</v>
      </c>
      <c r="D151" s="426" t="s">
        <v>1097</v>
      </c>
      <c r="E151" s="427">
        <v>4.11660007E8</v>
      </c>
      <c r="F151" s="426" t="s">
        <v>151</v>
      </c>
      <c r="G151" s="426" t="s">
        <v>152</v>
      </c>
      <c r="H151" s="428">
        <v>114993.0</v>
      </c>
      <c r="I151" s="426" t="s">
        <v>155</v>
      </c>
      <c r="J151" s="426" t="s">
        <v>1112</v>
      </c>
      <c r="K151" s="505" t="s">
        <v>1113</v>
      </c>
      <c r="L151" s="505" t="s">
        <v>1829</v>
      </c>
      <c r="M151" s="429"/>
      <c r="N151" s="431" t="s">
        <v>1114</v>
      </c>
      <c r="O151" s="432">
        <v>135.0</v>
      </c>
    </row>
    <row r="152" hidden="1">
      <c r="A152" s="232">
        <v>2019.0</v>
      </c>
      <c r="B152" s="232" t="s">
        <v>810</v>
      </c>
      <c r="C152" s="232" t="s">
        <v>556</v>
      </c>
      <c r="D152" s="232" t="s">
        <v>1018</v>
      </c>
      <c r="E152" s="232">
        <v>7.1220005E7</v>
      </c>
      <c r="F152" s="232" t="s">
        <v>558</v>
      </c>
      <c r="G152" s="232" t="s">
        <v>152</v>
      </c>
      <c r="H152" s="357">
        <v>66000.0</v>
      </c>
      <c r="I152" s="232" t="s">
        <v>560</v>
      </c>
      <c r="J152" s="232" t="s">
        <v>110</v>
      </c>
      <c r="K152" s="232" t="s">
        <v>561</v>
      </c>
      <c r="L152" s="360" t="s">
        <v>1832</v>
      </c>
      <c r="M152" s="331" t="s">
        <v>563</v>
      </c>
      <c r="N152" s="354"/>
      <c r="O152" s="339">
        <v>11.0</v>
      </c>
    </row>
    <row r="153" hidden="1">
      <c r="A153" s="232">
        <v>2020.0</v>
      </c>
      <c r="B153" s="232" t="s">
        <v>812</v>
      </c>
      <c r="C153" s="232" t="s">
        <v>14</v>
      </c>
      <c r="D153" s="232" t="s">
        <v>74</v>
      </c>
      <c r="E153" s="232">
        <v>4.1160009E7</v>
      </c>
      <c r="F153" s="232" t="s">
        <v>488</v>
      </c>
      <c r="G153" s="232" t="s">
        <v>84</v>
      </c>
      <c r="H153" s="357">
        <v>100000.0</v>
      </c>
      <c r="I153" s="232" t="s">
        <v>490</v>
      </c>
      <c r="J153" s="342" t="s">
        <v>110</v>
      </c>
      <c r="K153" s="232" t="s">
        <v>491</v>
      </c>
      <c r="L153" s="360" t="s">
        <v>1835</v>
      </c>
      <c r="M153" s="331" t="s">
        <v>1161</v>
      </c>
      <c r="N153" s="398" t="s">
        <v>1836</v>
      </c>
      <c r="O153" s="339">
        <v>95.0</v>
      </c>
    </row>
    <row r="154" hidden="1">
      <c r="A154" s="437">
        <v>2021.0</v>
      </c>
      <c r="B154" s="438" t="s">
        <v>816</v>
      </c>
      <c r="C154" s="437"/>
      <c r="D154" s="438" t="s">
        <v>1495</v>
      </c>
      <c r="E154" s="441">
        <v>4.1160002E7</v>
      </c>
      <c r="F154" s="441" t="s">
        <v>1087</v>
      </c>
      <c r="G154" s="441" t="s">
        <v>152</v>
      </c>
      <c r="H154" s="440">
        <v>105000.0</v>
      </c>
      <c r="I154" s="441" t="s">
        <v>1062</v>
      </c>
      <c r="J154" s="441" t="s">
        <v>1090</v>
      </c>
      <c r="K154" s="438" t="s">
        <v>1498</v>
      </c>
      <c r="L154" s="439" t="s">
        <v>1840</v>
      </c>
      <c r="M154" s="443"/>
      <c r="N154" s="446" t="s">
        <v>1842</v>
      </c>
      <c r="O154" s="447">
        <v>3.0</v>
      </c>
    </row>
    <row r="155" hidden="1">
      <c r="A155" s="232">
        <v>2019.0</v>
      </c>
      <c r="B155" s="232" t="s">
        <v>462</v>
      </c>
      <c r="C155" s="232" t="s">
        <v>485</v>
      </c>
      <c r="D155" s="232" t="s">
        <v>1105</v>
      </c>
      <c r="E155" s="232">
        <v>7.1220009E7</v>
      </c>
      <c r="F155" s="232" t="s">
        <v>488</v>
      </c>
      <c r="G155" s="232" t="s">
        <v>84</v>
      </c>
      <c r="H155" s="357">
        <v>250000.0</v>
      </c>
      <c r="I155" s="232" t="s">
        <v>389</v>
      </c>
      <c r="J155" s="232" t="s">
        <v>110</v>
      </c>
      <c r="K155" s="232" t="s">
        <v>1076</v>
      </c>
      <c r="L155" s="360" t="s">
        <v>1847</v>
      </c>
      <c r="M155" s="352"/>
      <c r="N155" s="354"/>
      <c r="O155" s="339">
        <v>16.0</v>
      </c>
    </row>
    <row r="156" hidden="1">
      <c r="A156" s="232">
        <v>2020.0</v>
      </c>
      <c r="B156" s="232" t="s">
        <v>462</v>
      </c>
      <c r="C156" s="232" t="s">
        <v>485</v>
      </c>
      <c r="D156" s="232" t="s">
        <v>1105</v>
      </c>
      <c r="E156" s="417" t="s">
        <v>578</v>
      </c>
      <c r="F156" s="232" t="s">
        <v>488</v>
      </c>
      <c r="G156" s="232" t="s">
        <v>84</v>
      </c>
      <c r="H156" s="357">
        <v>100000.0</v>
      </c>
      <c r="I156" s="232" t="s">
        <v>389</v>
      </c>
      <c r="J156" s="342" t="s">
        <v>110</v>
      </c>
      <c r="K156" s="474" t="s">
        <v>600</v>
      </c>
      <c r="L156" s="418" t="s">
        <v>1847</v>
      </c>
      <c r="M156" s="352"/>
      <c r="N156" s="354"/>
      <c r="O156" s="339">
        <v>60.0</v>
      </c>
    </row>
    <row r="157" hidden="1">
      <c r="A157" s="464">
        <v>2020.0</v>
      </c>
      <c r="B157" s="464" t="s">
        <v>1365</v>
      </c>
      <c r="C157" s="464" t="s">
        <v>291</v>
      </c>
      <c r="D157" s="464" t="s">
        <v>1366</v>
      </c>
      <c r="E157" s="509">
        <v>4.1160008E7</v>
      </c>
      <c r="F157" s="464" t="s">
        <v>151</v>
      </c>
      <c r="G157" s="464" t="s">
        <v>152</v>
      </c>
      <c r="H157" s="510" t="s">
        <v>1376</v>
      </c>
      <c r="I157" s="464" t="s">
        <v>155</v>
      </c>
      <c r="J157" s="512" t="s">
        <v>1377</v>
      </c>
      <c r="K157" s="467" t="s">
        <v>1378</v>
      </c>
      <c r="L157" s="468" t="s">
        <v>1851</v>
      </c>
      <c r="M157" s="469"/>
      <c r="N157" s="514" t="s">
        <v>1853</v>
      </c>
      <c r="O157" s="473"/>
    </row>
    <row r="158" hidden="1">
      <c r="A158" s="232">
        <v>2020.0</v>
      </c>
      <c r="B158" s="232" t="s">
        <v>821</v>
      </c>
      <c r="C158" s="232" t="s">
        <v>485</v>
      </c>
      <c r="D158" s="232" t="s">
        <v>1692</v>
      </c>
      <c r="E158" s="232">
        <v>4.1160005E7</v>
      </c>
      <c r="F158" s="232" t="s">
        <v>488</v>
      </c>
      <c r="G158" s="232" t="s">
        <v>84</v>
      </c>
      <c r="H158" s="357">
        <v>250000.0</v>
      </c>
      <c r="I158" s="232" t="s">
        <v>490</v>
      </c>
      <c r="J158" s="342" t="s">
        <v>110</v>
      </c>
      <c r="K158" s="232" t="s">
        <v>491</v>
      </c>
      <c r="L158" s="360" t="s">
        <v>1855</v>
      </c>
      <c r="M158" s="331" t="s">
        <v>1695</v>
      </c>
      <c r="N158" s="398" t="s">
        <v>1813</v>
      </c>
      <c r="O158" s="339">
        <v>39.0</v>
      </c>
    </row>
    <row r="159" hidden="1">
      <c r="A159" s="232">
        <v>2020.0</v>
      </c>
      <c r="B159" s="232" t="s">
        <v>821</v>
      </c>
      <c r="C159" s="232" t="s">
        <v>485</v>
      </c>
      <c r="D159" s="232" t="s">
        <v>1060</v>
      </c>
      <c r="E159" s="417" t="s">
        <v>578</v>
      </c>
      <c r="F159" s="232" t="s">
        <v>488</v>
      </c>
      <c r="G159" s="232" t="s">
        <v>84</v>
      </c>
      <c r="H159" s="357">
        <v>80000.0</v>
      </c>
      <c r="I159" s="232" t="s">
        <v>389</v>
      </c>
      <c r="J159" s="342" t="s">
        <v>110</v>
      </c>
      <c r="K159" s="474" t="s">
        <v>600</v>
      </c>
      <c r="L159" s="232" t="s">
        <v>1856</v>
      </c>
      <c r="M159" s="352"/>
      <c r="N159" s="354"/>
      <c r="O159" s="339">
        <v>61.0</v>
      </c>
    </row>
    <row r="160" ht="375.0" hidden="1" customHeight="1">
      <c r="A160" s="232">
        <v>2020.0</v>
      </c>
      <c r="B160" s="232" t="s">
        <v>119</v>
      </c>
      <c r="C160" s="232" t="s">
        <v>485</v>
      </c>
      <c r="D160" s="232" t="s">
        <v>1164</v>
      </c>
      <c r="E160" s="232">
        <v>4.1160005E7</v>
      </c>
      <c r="F160" s="232" t="s">
        <v>488</v>
      </c>
      <c r="G160" s="232" t="s">
        <v>84</v>
      </c>
      <c r="H160" s="357">
        <v>100000.0</v>
      </c>
      <c r="I160" s="232" t="s">
        <v>490</v>
      </c>
      <c r="J160" s="342" t="s">
        <v>110</v>
      </c>
      <c r="K160" s="232" t="s">
        <v>491</v>
      </c>
      <c r="L160" s="360" t="s">
        <v>1857</v>
      </c>
      <c r="M160" s="331" t="s">
        <v>1165</v>
      </c>
      <c r="N160" s="398" t="s">
        <v>1859</v>
      </c>
      <c r="O160" s="339">
        <v>40.0</v>
      </c>
    </row>
    <row r="161" hidden="1">
      <c r="A161" s="232">
        <v>2021.0</v>
      </c>
      <c r="B161" s="232" t="s">
        <v>119</v>
      </c>
      <c r="C161" s="232" t="s">
        <v>14</v>
      </c>
      <c r="D161" s="232" t="s">
        <v>74</v>
      </c>
      <c r="E161" s="320">
        <v>4.1160004E7</v>
      </c>
      <c r="F161" s="232" t="s">
        <v>20</v>
      </c>
      <c r="G161" s="232" t="s">
        <v>152</v>
      </c>
      <c r="H161" s="322">
        <v>250000.0</v>
      </c>
      <c r="I161" s="232" t="s">
        <v>490</v>
      </c>
      <c r="J161" s="323" t="s">
        <v>265</v>
      </c>
      <c r="K161" s="326" t="s">
        <v>1705</v>
      </c>
      <c r="L161" s="329" t="s">
        <v>1861</v>
      </c>
      <c r="M161" s="331" t="s">
        <v>1707</v>
      </c>
      <c r="N161" s="338" t="s">
        <v>1863</v>
      </c>
      <c r="O161" s="339">
        <v>117.0</v>
      </c>
    </row>
    <row r="162" hidden="1">
      <c r="A162" s="426">
        <v>2021.0</v>
      </c>
      <c r="B162" s="426" t="s">
        <v>119</v>
      </c>
      <c r="C162" s="515" t="s">
        <v>465</v>
      </c>
      <c r="D162" s="515" t="s">
        <v>1322</v>
      </c>
      <c r="E162" s="427">
        <v>4.1160005E7</v>
      </c>
      <c r="F162" s="426" t="s">
        <v>151</v>
      </c>
      <c r="G162" s="426" t="s">
        <v>152</v>
      </c>
      <c r="H162" s="516">
        <v>180837.86</v>
      </c>
      <c r="I162" s="426" t="s">
        <v>155</v>
      </c>
      <c r="J162" s="515" t="s">
        <v>1327</v>
      </c>
      <c r="K162" s="517" t="s">
        <v>1329</v>
      </c>
      <c r="L162" s="429" t="s">
        <v>1868</v>
      </c>
      <c r="M162" s="429"/>
      <c r="N162" s="518" t="s">
        <v>1869</v>
      </c>
      <c r="O162" s="432">
        <v>127.0</v>
      </c>
    </row>
    <row r="163" hidden="1">
      <c r="A163" s="342">
        <v>2020.0</v>
      </c>
      <c r="B163" s="342" t="s">
        <v>245</v>
      </c>
      <c r="C163" s="342" t="s">
        <v>566</v>
      </c>
      <c r="D163" s="342" t="s">
        <v>781</v>
      </c>
      <c r="E163" s="349" t="s">
        <v>578</v>
      </c>
      <c r="F163" s="342" t="s">
        <v>488</v>
      </c>
      <c r="G163" s="342" t="s">
        <v>84</v>
      </c>
      <c r="H163" s="322">
        <v>50000.0</v>
      </c>
      <c r="I163" s="342" t="s">
        <v>724</v>
      </c>
      <c r="J163" s="342" t="s">
        <v>110</v>
      </c>
      <c r="K163" s="342" t="s">
        <v>571</v>
      </c>
      <c r="L163" s="342" t="s">
        <v>1874</v>
      </c>
      <c r="M163" s="352"/>
      <c r="N163" s="354"/>
      <c r="O163" s="339">
        <v>108.0</v>
      </c>
    </row>
    <row r="164" hidden="1">
      <c r="A164" s="204">
        <v>2021.0</v>
      </c>
      <c r="B164" s="306" t="s">
        <v>245</v>
      </c>
      <c r="C164" s="204" t="s">
        <v>220</v>
      </c>
      <c r="D164" s="385" t="s">
        <v>74</v>
      </c>
      <c r="E164" s="401">
        <v>4.1160003E7</v>
      </c>
      <c r="F164" s="204" t="s">
        <v>488</v>
      </c>
      <c r="G164" s="204" t="s">
        <v>84</v>
      </c>
      <c r="H164" s="308">
        <v>80000.0</v>
      </c>
      <c r="I164" s="212" t="s">
        <v>1062</v>
      </c>
      <c r="J164" s="342" t="s">
        <v>110</v>
      </c>
      <c r="K164" s="311" t="s">
        <v>1063</v>
      </c>
      <c r="L164" s="311" t="s">
        <v>1875</v>
      </c>
      <c r="M164" s="313"/>
      <c r="N164" s="403" t="s">
        <v>1877</v>
      </c>
      <c r="O164" s="318"/>
    </row>
    <row r="165" hidden="1">
      <c r="A165" s="232">
        <v>2020.0</v>
      </c>
      <c r="B165" s="232" t="s">
        <v>836</v>
      </c>
      <c r="C165" s="232" t="s">
        <v>14</v>
      </c>
      <c r="D165" s="232" t="s">
        <v>74</v>
      </c>
      <c r="E165" s="232">
        <v>4.1160001E7</v>
      </c>
      <c r="F165" s="232" t="s">
        <v>193</v>
      </c>
      <c r="G165" s="232" t="s">
        <v>84</v>
      </c>
      <c r="H165" s="357">
        <v>100000.0</v>
      </c>
      <c r="I165" s="232" t="s">
        <v>490</v>
      </c>
      <c r="J165" s="342" t="s">
        <v>110</v>
      </c>
      <c r="K165" s="232" t="s">
        <v>1030</v>
      </c>
      <c r="L165" s="360" t="s">
        <v>1878</v>
      </c>
      <c r="M165" s="331" t="s">
        <v>1167</v>
      </c>
      <c r="N165" s="354"/>
      <c r="O165" s="339">
        <v>96.0</v>
      </c>
    </row>
    <row r="166" hidden="1">
      <c r="A166" s="232">
        <v>2019.0</v>
      </c>
      <c r="B166" s="232" t="s">
        <v>646</v>
      </c>
      <c r="C166" s="232" t="s">
        <v>485</v>
      </c>
      <c r="D166" s="232" t="s">
        <v>652</v>
      </c>
      <c r="E166" s="232">
        <v>7.1220009E7</v>
      </c>
      <c r="F166" s="232" t="s">
        <v>488</v>
      </c>
      <c r="G166" s="232" t="s">
        <v>84</v>
      </c>
      <c r="H166" s="357">
        <v>250000.0</v>
      </c>
      <c r="I166" s="232" t="s">
        <v>389</v>
      </c>
      <c r="J166" s="232" t="s">
        <v>110</v>
      </c>
      <c r="K166" s="232" t="s">
        <v>1076</v>
      </c>
      <c r="L166" s="360" t="s">
        <v>1882</v>
      </c>
      <c r="M166" s="352"/>
      <c r="N166" s="354"/>
      <c r="O166" s="339">
        <v>17.0</v>
      </c>
    </row>
    <row r="167" hidden="1">
      <c r="A167" s="232">
        <v>2020.0</v>
      </c>
      <c r="B167" s="232" t="s">
        <v>646</v>
      </c>
      <c r="C167" s="232" t="s">
        <v>485</v>
      </c>
      <c r="D167" s="232" t="s">
        <v>652</v>
      </c>
      <c r="E167" s="417" t="s">
        <v>578</v>
      </c>
      <c r="F167" s="232" t="s">
        <v>488</v>
      </c>
      <c r="G167" s="232" t="s">
        <v>84</v>
      </c>
      <c r="H167" s="357">
        <v>50000.0</v>
      </c>
      <c r="I167" s="232" t="s">
        <v>389</v>
      </c>
      <c r="J167" s="342" t="s">
        <v>110</v>
      </c>
      <c r="K167" s="474" t="s">
        <v>600</v>
      </c>
      <c r="L167" s="418" t="s">
        <v>1882</v>
      </c>
      <c r="M167" s="352"/>
      <c r="N167" s="354"/>
      <c r="O167" s="339">
        <v>62.0</v>
      </c>
    </row>
    <row r="168" hidden="1">
      <c r="A168" s="426">
        <v>2020.0</v>
      </c>
      <c r="B168" s="426" t="s">
        <v>127</v>
      </c>
      <c r="C168" s="426" t="s">
        <v>1097</v>
      </c>
      <c r="D168" s="426" t="s">
        <v>1097</v>
      </c>
      <c r="E168" s="426">
        <v>4.1160007E7</v>
      </c>
      <c r="F168" s="426" t="s">
        <v>151</v>
      </c>
      <c r="G168" s="426" t="s">
        <v>152</v>
      </c>
      <c r="H168" s="428">
        <v>290000.0</v>
      </c>
      <c r="I168" s="426" t="s">
        <v>155</v>
      </c>
      <c r="J168" s="426" t="s">
        <v>110</v>
      </c>
      <c r="K168" s="426" t="s">
        <v>1356</v>
      </c>
      <c r="L168" s="430" t="s">
        <v>1884</v>
      </c>
      <c r="M168" s="429" t="s">
        <v>1732</v>
      </c>
      <c r="N168" s="518" t="s">
        <v>1357</v>
      </c>
      <c r="O168" s="432">
        <v>112.0</v>
      </c>
    </row>
    <row r="169" hidden="1">
      <c r="A169" s="464">
        <v>2020.0</v>
      </c>
      <c r="B169" s="464" t="s">
        <v>1365</v>
      </c>
      <c r="C169" s="464" t="s">
        <v>291</v>
      </c>
      <c r="D169" s="464" t="s">
        <v>1366</v>
      </c>
      <c r="E169" s="525">
        <v>4.1160008E7</v>
      </c>
      <c r="F169" s="464" t="s">
        <v>151</v>
      </c>
      <c r="G169" s="464" t="s">
        <v>152</v>
      </c>
      <c r="H169" s="510" t="s">
        <v>1380</v>
      </c>
      <c r="I169" s="464" t="s">
        <v>155</v>
      </c>
      <c r="J169" s="512" t="s">
        <v>523</v>
      </c>
      <c r="K169" s="527" t="s">
        <v>524</v>
      </c>
      <c r="L169" s="468" t="s">
        <v>1886</v>
      </c>
      <c r="M169" s="469"/>
      <c r="N169" s="514" t="s">
        <v>1887</v>
      </c>
      <c r="O169" s="473"/>
    </row>
    <row r="170" hidden="1">
      <c r="A170" s="437">
        <v>2020.0</v>
      </c>
      <c r="B170" s="437" t="s">
        <v>1365</v>
      </c>
      <c r="C170" s="437" t="s">
        <v>291</v>
      </c>
      <c r="D170" s="437" t="s">
        <v>1366</v>
      </c>
      <c r="E170" s="502">
        <v>4.1160008E7</v>
      </c>
      <c r="F170" s="437" t="s">
        <v>151</v>
      </c>
      <c r="G170" s="437" t="s">
        <v>152</v>
      </c>
      <c r="H170" s="503">
        <v>41565.73</v>
      </c>
      <c r="I170" s="437" t="s">
        <v>155</v>
      </c>
      <c r="J170" s="437" t="s">
        <v>305</v>
      </c>
      <c r="K170" s="221" t="s">
        <v>527</v>
      </c>
      <c r="L170" s="504" t="s">
        <v>1888</v>
      </c>
      <c r="M170" s="443"/>
      <c r="N170" s="446" t="s">
        <v>1889</v>
      </c>
      <c r="O170" s="447"/>
    </row>
    <row r="171" hidden="1">
      <c r="A171" s="437">
        <v>2020.0</v>
      </c>
      <c r="B171" s="437" t="s">
        <v>1365</v>
      </c>
      <c r="C171" s="437" t="s">
        <v>291</v>
      </c>
      <c r="D171" s="437" t="s">
        <v>1366</v>
      </c>
      <c r="E171" s="502">
        <v>4.1160008E7</v>
      </c>
      <c r="F171" s="437" t="s">
        <v>151</v>
      </c>
      <c r="G171" s="437" t="s">
        <v>152</v>
      </c>
      <c r="H171" s="503">
        <v>26706.33</v>
      </c>
      <c r="I171" s="437" t="s">
        <v>155</v>
      </c>
      <c r="J171" s="437" t="s">
        <v>305</v>
      </c>
      <c r="K171" s="215" t="s">
        <v>308</v>
      </c>
      <c r="L171" s="504" t="s">
        <v>1891</v>
      </c>
      <c r="M171" s="443"/>
      <c r="N171" s="446" t="s">
        <v>1892</v>
      </c>
      <c r="O171" s="447"/>
    </row>
    <row r="172" hidden="1">
      <c r="A172" s="232">
        <v>2020.0</v>
      </c>
      <c r="B172" s="232" t="s">
        <v>127</v>
      </c>
      <c r="C172" s="232" t="s">
        <v>485</v>
      </c>
      <c r="D172" s="232" t="s">
        <v>1735</v>
      </c>
      <c r="E172" s="232">
        <v>4.1160005E7</v>
      </c>
      <c r="F172" s="232" t="s">
        <v>488</v>
      </c>
      <c r="G172" s="232" t="s">
        <v>84</v>
      </c>
      <c r="H172" s="357">
        <v>300000.0</v>
      </c>
      <c r="I172" s="232" t="s">
        <v>490</v>
      </c>
      <c r="J172" s="342" t="s">
        <v>110</v>
      </c>
      <c r="K172" s="232" t="s">
        <v>491</v>
      </c>
      <c r="L172" s="360" t="s">
        <v>1893</v>
      </c>
      <c r="M172" s="331" t="s">
        <v>1737</v>
      </c>
      <c r="N172" s="398" t="s">
        <v>1894</v>
      </c>
      <c r="O172" s="339">
        <v>41.0</v>
      </c>
    </row>
    <row r="173" hidden="1">
      <c r="A173" s="232">
        <v>2020.0</v>
      </c>
      <c r="B173" s="232" t="s">
        <v>127</v>
      </c>
      <c r="C173" s="232" t="s">
        <v>485</v>
      </c>
      <c r="D173" s="232" t="s">
        <v>1738</v>
      </c>
      <c r="E173" s="232">
        <v>4.1160005E7</v>
      </c>
      <c r="F173" s="232" t="s">
        <v>488</v>
      </c>
      <c r="G173" s="232" t="s">
        <v>84</v>
      </c>
      <c r="H173" s="357">
        <v>300000.0</v>
      </c>
      <c r="I173" s="232" t="s">
        <v>490</v>
      </c>
      <c r="J173" s="342" t="s">
        <v>110</v>
      </c>
      <c r="K173" s="232" t="s">
        <v>491</v>
      </c>
      <c r="L173" s="360" t="s">
        <v>1896</v>
      </c>
      <c r="M173" s="352"/>
      <c r="N173" s="354"/>
      <c r="O173" s="339">
        <v>42.0</v>
      </c>
    </row>
    <row r="174" hidden="1">
      <c r="A174" s="232">
        <v>2020.0</v>
      </c>
      <c r="B174" s="232" t="s">
        <v>127</v>
      </c>
      <c r="C174" s="232" t="s">
        <v>485</v>
      </c>
      <c r="D174" s="232" t="s">
        <v>486</v>
      </c>
      <c r="E174" s="232">
        <v>4.1160005E7</v>
      </c>
      <c r="F174" s="232" t="s">
        <v>488</v>
      </c>
      <c r="G174" s="232" t="s">
        <v>84</v>
      </c>
      <c r="H174" s="357">
        <v>40000.0</v>
      </c>
      <c r="I174" s="232" t="s">
        <v>490</v>
      </c>
      <c r="J174" s="342" t="s">
        <v>110</v>
      </c>
      <c r="K174" s="232" t="s">
        <v>491</v>
      </c>
      <c r="L174" s="360" t="s">
        <v>1899</v>
      </c>
      <c r="M174" s="331" t="s">
        <v>493</v>
      </c>
      <c r="N174" s="354"/>
      <c r="O174" s="339">
        <v>43.0</v>
      </c>
    </row>
    <row r="175" hidden="1">
      <c r="A175" s="232">
        <v>2020.0</v>
      </c>
      <c r="B175" s="232" t="s">
        <v>127</v>
      </c>
      <c r="C175" s="232" t="s">
        <v>485</v>
      </c>
      <c r="D175" s="232" t="s">
        <v>1239</v>
      </c>
      <c r="E175" s="232">
        <v>4.1160005E7</v>
      </c>
      <c r="F175" s="232" t="s">
        <v>488</v>
      </c>
      <c r="G175" s="232" t="s">
        <v>84</v>
      </c>
      <c r="H175" s="357">
        <v>360000.0</v>
      </c>
      <c r="I175" s="232" t="s">
        <v>490</v>
      </c>
      <c r="J175" s="342" t="s">
        <v>110</v>
      </c>
      <c r="K175" s="232" t="s">
        <v>491</v>
      </c>
      <c r="L175" s="360" t="s">
        <v>1901</v>
      </c>
      <c r="M175" s="352"/>
      <c r="N175" s="354"/>
      <c r="O175" s="339">
        <v>44.0</v>
      </c>
    </row>
    <row r="176" hidden="1">
      <c r="A176" s="204">
        <v>2020.0</v>
      </c>
      <c r="B176" s="204" t="s">
        <v>1365</v>
      </c>
      <c r="C176" s="204" t="s">
        <v>291</v>
      </c>
      <c r="D176" s="204" t="s">
        <v>1366</v>
      </c>
      <c r="E176" s="536">
        <v>4.116001E7</v>
      </c>
      <c r="F176" s="204" t="s">
        <v>151</v>
      </c>
      <c r="G176" s="204" t="s">
        <v>152</v>
      </c>
      <c r="H176" s="434">
        <v>88086.0</v>
      </c>
      <c r="I176" s="204" t="s">
        <v>155</v>
      </c>
      <c r="J176" s="204" t="s">
        <v>305</v>
      </c>
      <c r="K176" s="538" t="s">
        <v>1081</v>
      </c>
      <c r="L176" s="540" t="s">
        <v>1823</v>
      </c>
      <c r="M176" s="313"/>
      <c r="N176" s="316" t="s">
        <v>1905</v>
      </c>
      <c r="O176" s="318"/>
    </row>
    <row r="177" hidden="1">
      <c r="A177" s="204">
        <v>2020.0</v>
      </c>
      <c r="B177" s="204" t="s">
        <v>1365</v>
      </c>
      <c r="C177" s="204" t="s">
        <v>291</v>
      </c>
      <c r="D177" s="204" t="s">
        <v>1366</v>
      </c>
      <c r="E177" s="536">
        <v>4.116001E7</v>
      </c>
      <c r="F177" s="204" t="s">
        <v>151</v>
      </c>
      <c r="G177" s="204" t="s">
        <v>152</v>
      </c>
      <c r="H177" s="434">
        <v>200841.17</v>
      </c>
      <c r="I177" s="204" t="s">
        <v>155</v>
      </c>
      <c r="J177" s="204" t="s">
        <v>305</v>
      </c>
      <c r="K177" s="542" t="s">
        <v>1395</v>
      </c>
      <c r="L177" s="544" t="s">
        <v>1907</v>
      </c>
      <c r="M177" s="313"/>
      <c r="N177" s="316" t="s">
        <v>1908</v>
      </c>
      <c r="O177" s="318"/>
    </row>
    <row r="178" hidden="1">
      <c r="A178" s="212">
        <v>2021.0</v>
      </c>
      <c r="B178" s="313" t="s">
        <v>1910</v>
      </c>
      <c r="C178" s="212" t="s">
        <v>485</v>
      </c>
      <c r="D178" s="313" t="s">
        <v>1086</v>
      </c>
      <c r="E178" s="212">
        <v>4.1160002E7</v>
      </c>
      <c r="F178" s="212" t="s">
        <v>1087</v>
      </c>
      <c r="G178" s="212" t="s">
        <v>152</v>
      </c>
      <c r="H178" s="545">
        <v>987650.0</v>
      </c>
      <c r="I178" s="212" t="s">
        <v>1062</v>
      </c>
      <c r="J178" s="212" t="s">
        <v>1090</v>
      </c>
      <c r="K178" s="546" t="s">
        <v>1091</v>
      </c>
      <c r="L178" s="547" t="s">
        <v>1914</v>
      </c>
      <c r="M178" s="313"/>
      <c r="N178" s="316" t="s">
        <v>1915</v>
      </c>
      <c r="O178" s="318">
        <v>2.0</v>
      </c>
    </row>
    <row r="179" hidden="1">
      <c r="A179" s="204">
        <v>2021.0</v>
      </c>
      <c r="B179" s="306" t="s">
        <v>127</v>
      </c>
      <c r="C179" s="204" t="s">
        <v>485</v>
      </c>
      <c r="D179" s="306" t="s">
        <v>1233</v>
      </c>
      <c r="E179" s="212">
        <v>4.1160002E7</v>
      </c>
      <c r="F179" s="212" t="s">
        <v>1087</v>
      </c>
      <c r="G179" s="212" t="s">
        <v>152</v>
      </c>
      <c r="H179" s="495">
        <v>100000.0</v>
      </c>
      <c r="I179" s="212" t="s">
        <v>1062</v>
      </c>
      <c r="J179" s="212" t="s">
        <v>1090</v>
      </c>
      <c r="K179" s="311" t="s">
        <v>1235</v>
      </c>
      <c r="L179" s="311" t="s">
        <v>1917</v>
      </c>
      <c r="M179" s="548"/>
      <c r="N179" s="550" t="s">
        <v>1918</v>
      </c>
      <c r="O179" s="318">
        <v>7.0</v>
      </c>
    </row>
    <row r="180" hidden="1">
      <c r="A180" s="204">
        <v>2020.0</v>
      </c>
      <c r="B180" s="204" t="s">
        <v>1365</v>
      </c>
      <c r="C180" s="204" t="s">
        <v>291</v>
      </c>
      <c r="D180" s="204" t="s">
        <v>1366</v>
      </c>
      <c r="E180" s="536">
        <v>4.116001E7</v>
      </c>
      <c r="F180" s="204" t="s">
        <v>151</v>
      </c>
      <c r="G180" s="204" t="s">
        <v>152</v>
      </c>
      <c r="H180" s="434">
        <v>122560.34</v>
      </c>
      <c r="I180" s="204" t="s">
        <v>155</v>
      </c>
      <c r="J180" s="204" t="s">
        <v>305</v>
      </c>
      <c r="K180" s="542" t="s">
        <v>1397</v>
      </c>
      <c r="L180" s="544" t="s">
        <v>1920</v>
      </c>
      <c r="M180" s="313"/>
      <c r="N180" s="316" t="s">
        <v>1921</v>
      </c>
      <c r="O180" s="318"/>
    </row>
    <row r="181" hidden="1">
      <c r="A181" s="130">
        <v>2020.0</v>
      </c>
      <c r="B181" s="130" t="s">
        <v>355</v>
      </c>
      <c r="C181" s="130" t="s">
        <v>139</v>
      </c>
      <c r="D181" s="130" t="s">
        <v>1412</v>
      </c>
      <c r="E181" s="130">
        <v>4.116001E7</v>
      </c>
      <c r="F181" s="130" t="s">
        <v>151</v>
      </c>
      <c r="G181" s="130" t="s">
        <v>152</v>
      </c>
      <c r="H181" s="553">
        <v>162142.85</v>
      </c>
      <c r="I181" s="130" t="s">
        <v>155</v>
      </c>
      <c r="J181" s="460" t="s">
        <v>1196</v>
      </c>
      <c r="K181" s="452" t="s">
        <v>1413</v>
      </c>
      <c r="L181" s="130" t="s">
        <v>1922</v>
      </c>
      <c r="M181" s="130"/>
      <c r="N181" s="375" t="s">
        <v>1924</v>
      </c>
      <c r="O181" s="378">
        <v>122.0</v>
      </c>
    </row>
    <row r="182" hidden="1">
      <c r="A182" s="437">
        <v>2020.0</v>
      </c>
      <c r="B182" s="437" t="s">
        <v>1499</v>
      </c>
      <c r="C182" s="437" t="s">
        <v>1065</v>
      </c>
      <c r="D182" s="437" t="s">
        <v>1500</v>
      </c>
      <c r="E182" s="556">
        <v>4.1160002E7</v>
      </c>
      <c r="F182" s="437" t="s">
        <v>151</v>
      </c>
      <c r="G182" s="437" t="s">
        <v>152</v>
      </c>
      <c r="H182" s="503">
        <v>317925.0</v>
      </c>
      <c r="I182" s="437" t="s">
        <v>155</v>
      </c>
      <c r="J182" s="437" t="s">
        <v>1501</v>
      </c>
      <c r="K182" s="558" t="s">
        <v>1502</v>
      </c>
      <c r="L182" s="504"/>
      <c r="M182" s="443"/>
      <c r="N182" s="561" t="s">
        <v>1926</v>
      </c>
      <c r="O182" s="447"/>
    </row>
    <row r="183" hidden="1">
      <c r="A183" s="464">
        <v>2020.0</v>
      </c>
      <c r="B183" s="464" t="s">
        <v>1499</v>
      </c>
      <c r="C183" s="464" t="s">
        <v>1065</v>
      </c>
      <c r="D183" s="512" t="s">
        <v>1500</v>
      </c>
      <c r="E183" s="509">
        <v>4.1160002E7</v>
      </c>
      <c r="F183" s="464" t="s">
        <v>151</v>
      </c>
      <c r="G183" s="464" t="s">
        <v>152</v>
      </c>
      <c r="H183" s="466" t="s">
        <v>1504</v>
      </c>
      <c r="I183" s="464" t="s">
        <v>155</v>
      </c>
      <c r="J183" s="464" t="s">
        <v>1505</v>
      </c>
      <c r="K183" s="563" t="s">
        <v>1506</v>
      </c>
      <c r="L183" s="468"/>
      <c r="M183" s="469"/>
      <c r="N183" s="514" t="s">
        <v>1930</v>
      </c>
      <c r="O183" s="473"/>
    </row>
    <row r="184" hidden="1">
      <c r="A184" s="130">
        <v>2020.0</v>
      </c>
      <c r="B184" s="130" t="s">
        <v>1499</v>
      </c>
      <c r="C184" s="130" t="s">
        <v>1065</v>
      </c>
      <c r="D184" s="565" t="s">
        <v>1508</v>
      </c>
      <c r="E184" s="566">
        <v>4.1160011E7</v>
      </c>
      <c r="F184" s="130" t="s">
        <v>151</v>
      </c>
      <c r="G184" s="130" t="s">
        <v>152</v>
      </c>
      <c r="H184" s="369" t="s">
        <v>1510</v>
      </c>
      <c r="I184" s="130" t="s">
        <v>155</v>
      </c>
      <c r="J184" s="130" t="s">
        <v>1512</v>
      </c>
      <c r="K184" s="568" t="s">
        <v>1513</v>
      </c>
      <c r="L184" s="569"/>
      <c r="M184" s="571"/>
      <c r="N184" s="572" t="s">
        <v>1934</v>
      </c>
      <c r="O184" s="378"/>
    </row>
    <row r="185" hidden="1">
      <c r="A185" s="204">
        <v>2020.0</v>
      </c>
      <c r="B185" s="204" t="s">
        <v>1499</v>
      </c>
      <c r="C185" s="204" t="s">
        <v>1065</v>
      </c>
      <c r="D185" s="538" t="s">
        <v>1508</v>
      </c>
      <c r="E185" s="536">
        <v>4.1160011E7</v>
      </c>
      <c r="F185" s="204" t="s">
        <v>151</v>
      </c>
      <c r="G185" s="204" t="s">
        <v>152</v>
      </c>
      <c r="H185" s="434">
        <v>156000.0</v>
      </c>
      <c r="I185" s="204" t="s">
        <v>155</v>
      </c>
      <c r="J185" s="204"/>
      <c r="K185" s="542" t="s">
        <v>1518</v>
      </c>
      <c r="L185" s="544"/>
      <c r="M185" s="313"/>
      <c r="N185" s="174" t="s">
        <v>1936</v>
      </c>
      <c r="O185" s="318"/>
    </row>
    <row r="186" hidden="1">
      <c r="A186" s="204">
        <v>2020.0</v>
      </c>
      <c r="B186" s="204" t="s">
        <v>1499</v>
      </c>
      <c r="C186" s="204" t="s">
        <v>1065</v>
      </c>
      <c r="D186" s="538" t="s">
        <v>1508</v>
      </c>
      <c r="E186" s="536">
        <v>4.1160011E7</v>
      </c>
      <c r="F186" s="204" t="s">
        <v>151</v>
      </c>
      <c r="G186" s="204" t="s">
        <v>152</v>
      </c>
      <c r="H186" s="434">
        <v>149872.0</v>
      </c>
      <c r="I186" s="204" t="s">
        <v>155</v>
      </c>
      <c r="J186" s="204"/>
      <c r="K186" s="573" t="s">
        <v>1521</v>
      </c>
      <c r="L186" s="544"/>
      <c r="M186" s="313"/>
      <c r="N186" s="174" t="s">
        <v>1938</v>
      </c>
      <c r="O186" s="318"/>
    </row>
    <row r="187" hidden="1">
      <c r="A187" s="130">
        <v>2020.0</v>
      </c>
      <c r="B187" s="130" t="s">
        <v>1499</v>
      </c>
      <c r="C187" s="130" t="s">
        <v>1094</v>
      </c>
      <c r="D187" s="130" t="s">
        <v>1523</v>
      </c>
      <c r="E187" s="575">
        <v>4.1160012E7</v>
      </c>
      <c r="F187" s="130" t="s">
        <v>151</v>
      </c>
      <c r="G187" s="130" t="s">
        <v>152</v>
      </c>
      <c r="H187" s="369" t="s">
        <v>1526</v>
      </c>
      <c r="I187" s="130" t="s">
        <v>155</v>
      </c>
      <c r="J187" s="452" t="s">
        <v>1527</v>
      </c>
      <c r="K187" s="566" t="s">
        <v>1529</v>
      </c>
      <c r="L187" s="130"/>
      <c r="M187" s="130"/>
      <c r="N187" s="375" t="s">
        <v>1939</v>
      </c>
      <c r="O187" s="378"/>
    </row>
    <row r="188" hidden="1">
      <c r="A188" s="342">
        <v>2020.0</v>
      </c>
      <c r="B188" s="342" t="s">
        <v>252</v>
      </c>
      <c r="C188" s="342" t="s">
        <v>566</v>
      </c>
      <c r="D188" s="342" t="s">
        <v>734</v>
      </c>
      <c r="E188" s="349" t="s">
        <v>578</v>
      </c>
      <c r="F188" s="342" t="s">
        <v>488</v>
      </c>
      <c r="G188" s="342" t="s">
        <v>84</v>
      </c>
      <c r="H188" s="322">
        <v>50000.0</v>
      </c>
      <c r="I188" s="342" t="s">
        <v>724</v>
      </c>
      <c r="J188" s="342" t="s">
        <v>110</v>
      </c>
      <c r="K188" s="342" t="s">
        <v>571</v>
      </c>
      <c r="L188" s="342" t="s">
        <v>1941</v>
      </c>
      <c r="M188" s="352"/>
      <c r="N188" s="354"/>
      <c r="O188" s="339">
        <v>109.0</v>
      </c>
    </row>
    <row r="189" hidden="1">
      <c r="A189" s="232">
        <v>2020.0</v>
      </c>
      <c r="B189" s="232" t="s">
        <v>855</v>
      </c>
      <c r="C189" s="232" t="s">
        <v>485</v>
      </c>
      <c r="D189" s="232" t="s">
        <v>1558</v>
      </c>
      <c r="E189" s="232">
        <v>4.1160005E7</v>
      </c>
      <c r="F189" s="232" t="s">
        <v>1559</v>
      </c>
      <c r="G189" s="232" t="s">
        <v>84</v>
      </c>
      <c r="H189" s="357">
        <v>114000.0</v>
      </c>
      <c r="I189" s="232" t="s">
        <v>89</v>
      </c>
      <c r="J189" s="342" t="s">
        <v>110</v>
      </c>
      <c r="K189" s="232" t="s">
        <v>1560</v>
      </c>
      <c r="L189" s="360" t="s">
        <v>1942</v>
      </c>
      <c r="M189" s="331"/>
      <c r="N189" s="354"/>
      <c r="O189" s="339">
        <v>45.0</v>
      </c>
    </row>
    <row r="190" hidden="1">
      <c r="A190" s="232">
        <v>2020.0</v>
      </c>
      <c r="B190" s="232" t="s">
        <v>323</v>
      </c>
      <c r="C190" s="232" t="s">
        <v>485</v>
      </c>
      <c r="D190" s="232" t="s">
        <v>662</v>
      </c>
      <c r="E190" s="417" t="s">
        <v>578</v>
      </c>
      <c r="F190" s="232" t="s">
        <v>488</v>
      </c>
      <c r="G190" s="232" t="s">
        <v>84</v>
      </c>
      <c r="H190" s="357">
        <v>50000.0</v>
      </c>
      <c r="I190" s="232" t="s">
        <v>389</v>
      </c>
      <c r="J190" s="342" t="s">
        <v>110</v>
      </c>
      <c r="K190" s="474" t="s">
        <v>600</v>
      </c>
      <c r="L190" s="418" t="s">
        <v>1944</v>
      </c>
      <c r="M190" s="352"/>
      <c r="N190" s="354"/>
      <c r="O190" s="339">
        <v>63.0</v>
      </c>
    </row>
    <row r="191" hidden="1">
      <c r="A191" s="232">
        <v>2019.0</v>
      </c>
      <c r="B191" s="232" t="s">
        <v>673</v>
      </c>
      <c r="C191" s="232" t="s">
        <v>485</v>
      </c>
      <c r="D191" s="232" t="s">
        <v>682</v>
      </c>
      <c r="E191" s="232">
        <v>7.1220009E7</v>
      </c>
      <c r="F191" s="232" t="s">
        <v>488</v>
      </c>
      <c r="G191" s="232" t="s">
        <v>84</v>
      </c>
      <c r="H191" s="357">
        <v>250000.0</v>
      </c>
      <c r="I191" s="232" t="s">
        <v>389</v>
      </c>
      <c r="J191" s="232" t="s">
        <v>110</v>
      </c>
      <c r="K191" s="232" t="s">
        <v>1076</v>
      </c>
      <c r="L191" s="360" t="s">
        <v>1945</v>
      </c>
      <c r="M191" s="352"/>
      <c r="N191" s="354"/>
      <c r="O191" s="339">
        <v>18.0</v>
      </c>
    </row>
    <row r="192" hidden="1">
      <c r="A192" s="232">
        <v>2020.0</v>
      </c>
      <c r="B192" s="232" t="s">
        <v>673</v>
      </c>
      <c r="C192" s="232" t="s">
        <v>485</v>
      </c>
      <c r="D192" s="232" t="s">
        <v>682</v>
      </c>
      <c r="E192" s="417" t="s">
        <v>578</v>
      </c>
      <c r="F192" s="232" t="s">
        <v>488</v>
      </c>
      <c r="G192" s="232" t="s">
        <v>84</v>
      </c>
      <c r="H192" s="357">
        <v>50000.0</v>
      </c>
      <c r="I192" s="232" t="s">
        <v>389</v>
      </c>
      <c r="J192" s="342" t="s">
        <v>110</v>
      </c>
      <c r="K192" s="474" t="s">
        <v>600</v>
      </c>
      <c r="L192" s="418" t="s">
        <v>1945</v>
      </c>
      <c r="M192" s="352"/>
      <c r="N192" s="354"/>
      <c r="O192" s="339">
        <v>64.0</v>
      </c>
    </row>
    <row r="193" hidden="1">
      <c r="A193" s="232">
        <v>2020.0</v>
      </c>
      <c r="B193" s="232" t="s">
        <v>875</v>
      </c>
      <c r="C193" s="232" t="s">
        <v>485</v>
      </c>
      <c r="D193" s="232" t="s">
        <v>1786</v>
      </c>
      <c r="E193" s="232">
        <v>4.1160005E7</v>
      </c>
      <c r="F193" s="232" t="s">
        <v>1559</v>
      </c>
      <c r="G193" s="232" t="s">
        <v>84</v>
      </c>
      <c r="H193" s="357">
        <v>200000.0</v>
      </c>
      <c r="I193" s="232" t="s">
        <v>89</v>
      </c>
      <c r="J193" s="342" t="s">
        <v>110</v>
      </c>
      <c r="K193" s="232" t="s">
        <v>1560</v>
      </c>
      <c r="L193" s="360" t="s">
        <v>1947</v>
      </c>
      <c r="M193" s="331" t="s">
        <v>1787</v>
      </c>
      <c r="N193" s="354"/>
      <c r="O193" s="339">
        <v>46.0</v>
      </c>
    </row>
    <row r="194" hidden="1">
      <c r="A194" s="232">
        <v>2020.0</v>
      </c>
      <c r="B194" s="232" t="s">
        <v>879</v>
      </c>
      <c r="C194" s="232" t="s">
        <v>485</v>
      </c>
      <c r="D194" s="232" t="s">
        <v>1789</v>
      </c>
      <c r="E194" s="232">
        <v>4.1160005E7</v>
      </c>
      <c r="F194" s="232" t="s">
        <v>488</v>
      </c>
      <c r="G194" s="232" t="s">
        <v>84</v>
      </c>
      <c r="H194" s="357">
        <v>200000.0</v>
      </c>
      <c r="I194" s="232" t="s">
        <v>490</v>
      </c>
      <c r="J194" s="342" t="s">
        <v>110</v>
      </c>
      <c r="K194" s="232" t="s">
        <v>491</v>
      </c>
      <c r="L194" s="360" t="s">
        <v>1949</v>
      </c>
      <c r="M194" s="331" t="s">
        <v>1792</v>
      </c>
      <c r="N194" s="398" t="s">
        <v>1950</v>
      </c>
      <c r="O194" s="339">
        <v>47.0</v>
      </c>
    </row>
    <row r="195" hidden="1">
      <c r="A195" s="426">
        <v>2021.0</v>
      </c>
      <c r="B195" s="426" t="s">
        <v>879</v>
      </c>
      <c r="C195" s="426" t="s">
        <v>465</v>
      </c>
      <c r="D195" s="426" t="s">
        <v>1407</v>
      </c>
      <c r="E195" s="427">
        <v>4.1160005E7</v>
      </c>
      <c r="F195" s="426" t="s">
        <v>151</v>
      </c>
      <c r="G195" s="426" t="s">
        <v>152</v>
      </c>
      <c r="H195" s="580">
        <v>180837.86</v>
      </c>
      <c r="I195" s="426" t="s">
        <v>155</v>
      </c>
      <c r="J195" s="426" t="s">
        <v>1327</v>
      </c>
      <c r="K195" s="429" t="s">
        <v>1408</v>
      </c>
      <c r="L195" s="426" t="s">
        <v>1953</v>
      </c>
      <c r="M195" s="429"/>
      <c r="N195" s="518" t="s">
        <v>1954</v>
      </c>
      <c r="O195" s="432">
        <v>128.0</v>
      </c>
    </row>
    <row r="196" hidden="1">
      <c r="A196" s="437">
        <v>2021.0</v>
      </c>
      <c r="B196" s="438" t="s">
        <v>879</v>
      </c>
      <c r="C196" s="437" t="s">
        <v>485</v>
      </c>
      <c r="D196" s="438" t="s">
        <v>1789</v>
      </c>
      <c r="E196" s="441">
        <v>4.1160002E7</v>
      </c>
      <c r="F196" s="441" t="s">
        <v>1087</v>
      </c>
      <c r="G196" s="441" t="s">
        <v>152</v>
      </c>
      <c r="H196" s="440">
        <v>250000.0</v>
      </c>
      <c r="I196" s="441" t="s">
        <v>1062</v>
      </c>
      <c r="J196" s="441" t="s">
        <v>1090</v>
      </c>
      <c r="K196" s="438" t="s">
        <v>1797</v>
      </c>
      <c r="L196" s="439" t="s">
        <v>1955</v>
      </c>
      <c r="M196" s="443"/>
      <c r="N196" s="446" t="s">
        <v>1956</v>
      </c>
      <c r="O196" s="447">
        <v>6.0</v>
      </c>
    </row>
    <row r="197" hidden="1">
      <c r="A197" s="212">
        <v>2021.0</v>
      </c>
      <c r="B197" s="212" t="s">
        <v>559</v>
      </c>
      <c r="C197" s="212" t="s">
        <v>251</v>
      </c>
      <c r="D197" s="212" t="s">
        <v>1119</v>
      </c>
      <c r="E197" s="433">
        <v>4.1160001E8</v>
      </c>
      <c r="F197" s="212" t="s">
        <v>151</v>
      </c>
      <c r="G197" s="212" t="s">
        <v>152</v>
      </c>
      <c r="H197" s="434">
        <v>186808.33</v>
      </c>
      <c r="I197" s="212" t="s">
        <v>155</v>
      </c>
      <c r="J197" s="212"/>
      <c r="K197" s="582" t="s">
        <v>267</v>
      </c>
      <c r="L197" s="583" t="s">
        <v>1958</v>
      </c>
      <c r="M197" s="313"/>
      <c r="N197" s="316" t="s">
        <v>1959</v>
      </c>
      <c r="O197" s="318">
        <v>129.0</v>
      </c>
    </row>
    <row r="198" hidden="1">
      <c r="A198" s="426">
        <v>2020.0</v>
      </c>
      <c r="B198" s="426" t="s">
        <v>355</v>
      </c>
      <c r="C198" s="426" t="s">
        <v>1097</v>
      </c>
      <c r="D198" s="426" t="s">
        <v>1097</v>
      </c>
      <c r="E198" s="590">
        <v>4.1160007E7</v>
      </c>
      <c r="F198" s="426" t="s">
        <v>151</v>
      </c>
      <c r="G198" s="426" t="s">
        <v>152</v>
      </c>
      <c r="H198" s="428">
        <v>290000.0</v>
      </c>
      <c r="I198" s="426" t="s">
        <v>89</v>
      </c>
      <c r="J198" s="426" t="s">
        <v>110</v>
      </c>
      <c r="K198" s="426" t="s">
        <v>1415</v>
      </c>
      <c r="L198" s="430" t="s">
        <v>1961</v>
      </c>
      <c r="M198" s="429" t="s">
        <v>1732</v>
      </c>
      <c r="N198" s="518" t="s">
        <v>1357</v>
      </c>
      <c r="O198" s="432">
        <v>112.0</v>
      </c>
    </row>
    <row r="199" hidden="1">
      <c r="A199" s="232">
        <v>2020.0</v>
      </c>
      <c r="B199" s="232" t="s">
        <v>355</v>
      </c>
      <c r="C199" s="232" t="s">
        <v>485</v>
      </c>
      <c r="D199" s="232" t="s">
        <v>1808</v>
      </c>
      <c r="E199" s="232">
        <v>4.1160005E7</v>
      </c>
      <c r="F199" s="232" t="s">
        <v>488</v>
      </c>
      <c r="G199" s="232" t="s">
        <v>84</v>
      </c>
      <c r="H199" s="357">
        <v>250000.0</v>
      </c>
      <c r="I199" s="232" t="s">
        <v>490</v>
      </c>
      <c r="J199" s="342" t="s">
        <v>110</v>
      </c>
      <c r="K199" s="232" t="s">
        <v>491</v>
      </c>
      <c r="L199" s="360" t="s">
        <v>1963</v>
      </c>
      <c r="M199" s="352"/>
      <c r="N199" s="354"/>
      <c r="O199" s="339">
        <v>48.0</v>
      </c>
    </row>
    <row r="200" hidden="1">
      <c r="A200" s="426">
        <v>2021.0</v>
      </c>
      <c r="B200" s="426" t="s">
        <v>355</v>
      </c>
      <c r="C200" s="426" t="s">
        <v>465</v>
      </c>
      <c r="D200" s="426" t="s">
        <v>467</v>
      </c>
      <c r="E200" s="427">
        <v>4.1160005E7</v>
      </c>
      <c r="F200" s="426" t="s">
        <v>151</v>
      </c>
      <c r="G200" s="426" t="s">
        <v>152</v>
      </c>
      <c r="H200" s="428">
        <v>38354.48</v>
      </c>
      <c r="I200" s="426" t="s">
        <v>155</v>
      </c>
      <c r="J200" s="426" t="s">
        <v>1327</v>
      </c>
      <c r="K200" s="429" t="s">
        <v>474</v>
      </c>
      <c r="L200" s="426" t="s">
        <v>1964</v>
      </c>
      <c r="M200" s="429"/>
      <c r="N200" s="518" t="s">
        <v>1965</v>
      </c>
      <c r="O200" s="432">
        <v>126.0</v>
      </c>
    </row>
    <row r="201" hidden="1">
      <c r="A201" s="426">
        <v>2019.0</v>
      </c>
      <c r="B201" s="426" t="s">
        <v>797</v>
      </c>
      <c r="C201" s="426" t="s">
        <v>1065</v>
      </c>
      <c r="D201" s="426" t="s">
        <v>1425</v>
      </c>
      <c r="E201" s="593"/>
      <c r="F201" s="426" t="s">
        <v>151</v>
      </c>
      <c r="G201" s="426" t="s">
        <v>152</v>
      </c>
      <c r="H201" s="428">
        <v>140000.0</v>
      </c>
      <c r="I201" s="426" t="s">
        <v>560</v>
      </c>
      <c r="J201" s="426" t="s">
        <v>110</v>
      </c>
      <c r="K201" s="426" t="s">
        <v>1434</v>
      </c>
      <c r="L201" s="590" t="s">
        <v>1435</v>
      </c>
      <c r="M201" s="429" t="s">
        <v>1457</v>
      </c>
      <c r="N201" s="449"/>
      <c r="O201" s="432">
        <v>2.0</v>
      </c>
    </row>
    <row r="202" hidden="1">
      <c r="A202" s="342">
        <v>2020.0</v>
      </c>
      <c r="B202" s="342" t="s">
        <v>797</v>
      </c>
      <c r="C202" s="342" t="s">
        <v>566</v>
      </c>
      <c r="D202" s="342" t="s">
        <v>739</v>
      </c>
      <c r="E202" s="349" t="s">
        <v>578</v>
      </c>
      <c r="F202" s="342" t="s">
        <v>488</v>
      </c>
      <c r="G202" s="342" t="s">
        <v>84</v>
      </c>
      <c r="H202" s="322">
        <v>50000.0</v>
      </c>
      <c r="I202" s="342" t="s">
        <v>724</v>
      </c>
      <c r="J202" s="342" t="s">
        <v>110</v>
      </c>
      <c r="K202" s="342" t="s">
        <v>571</v>
      </c>
      <c r="L202" s="342" t="s">
        <v>1970</v>
      </c>
      <c r="M202" s="331" t="s">
        <v>743</v>
      </c>
      <c r="N202" s="354"/>
      <c r="O202" s="339">
        <v>110.0</v>
      </c>
    </row>
    <row r="203">
      <c r="A203" s="232">
        <v>2020.0</v>
      </c>
      <c r="B203" s="232" t="s">
        <v>883</v>
      </c>
      <c r="C203" s="232" t="s">
        <v>14</v>
      </c>
      <c r="D203" s="232" t="s">
        <v>74</v>
      </c>
      <c r="E203" s="232">
        <v>4.1160009E7</v>
      </c>
      <c r="F203" s="232" t="s">
        <v>488</v>
      </c>
      <c r="G203" s="232" t="s">
        <v>84</v>
      </c>
      <c r="H203" s="357">
        <v>150000.0</v>
      </c>
      <c r="I203" s="232" t="s">
        <v>490</v>
      </c>
      <c r="J203" s="342" t="s">
        <v>110</v>
      </c>
      <c r="K203" s="232" t="s">
        <v>491</v>
      </c>
      <c r="L203" s="360" t="s">
        <v>1971</v>
      </c>
      <c r="M203" s="352"/>
      <c r="N203" s="354"/>
      <c r="O203" s="339">
        <v>97.0</v>
      </c>
    </row>
    <row r="204">
      <c r="A204" s="342">
        <v>2020.0</v>
      </c>
      <c r="B204" s="342" t="s">
        <v>886</v>
      </c>
      <c r="C204" s="342" t="s">
        <v>1177</v>
      </c>
      <c r="D204" s="342" t="s">
        <v>1819</v>
      </c>
      <c r="E204" s="342">
        <v>4.1160005E7</v>
      </c>
      <c r="F204" s="342" t="s">
        <v>488</v>
      </c>
      <c r="G204" s="342" t="s">
        <v>84</v>
      </c>
      <c r="H204" s="322">
        <v>100000.0</v>
      </c>
      <c r="I204" s="342" t="s">
        <v>490</v>
      </c>
      <c r="J204" s="342" t="s">
        <v>110</v>
      </c>
      <c r="K204" s="342" t="s">
        <v>491</v>
      </c>
      <c r="L204" s="331" t="s">
        <v>1973</v>
      </c>
      <c r="M204" s="352"/>
      <c r="N204" s="354"/>
      <c r="O204" s="339">
        <v>49.0</v>
      </c>
    </row>
    <row r="205" hidden="1">
      <c r="A205" s="232">
        <v>2019.0</v>
      </c>
      <c r="B205" s="232" t="s">
        <v>888</v>
      </c>
      <c r="C205" s="232" t="s">
        <v>485</v>
      </c>
      <c r="D205" s="232" t="s">
        <v>1821</v>
      </c>
      <c r="E205" s="232">
        <v>7.1220009E7</v>
      </c>
      <c r="F205" s="232" t="s">
        <v>488</v>
      </c>
      <c r="G205" s="232" t="s">
        <v>84</v>
      </c>
      <c r="H205" s="357">
        <v>250000.0</v>
      </c>
      <c r="I205" s="232" t="s">
        <v>389</v>
      </c>
      <c r="J205" s="232" t="s">
        <v>110</v>
      </c>
      <c r="K205" s="232" t="s">
        <v>1076</v>
      </c>
      <c r="L205" s="360" t="s">
        <v>1974</v>
      </c>
      <c r="M205" s="331" t="s">
        <v>1822</v>
      </c>
      <c r="N205" s="398" t="s">
        <v>1975</v>
      </c>
      <c r="O205" s="339">
        <v>19.0</v>
      </c>
    </row>
    <row r="206">
      <c r="A206" s="437">
        <v>2021.0</v>
      </c>
      <c r="B206" s="438" t="s">
        <v>495</v>
      </c>
      <c r="C206" s="437" t="s">
        <v>485</v>
      </c>
      <c r="D206" s="438" t="s">
        <v>1824</v>
      </c>
      <c r="E206" s="441">
        <v>4.1160002E7</v>
      </c>
      <c r="F206" s="441" t="s">
        <v>1087</v>
      </c>
      <c r="G206" s="441" t="s">
        <v>152</v>
      </c>
      <c r="H206" s="440">
        <v>219347.0</v>
      </c>
      <c r="I206" s="441" t="s">
        <v>1062</v>
      </c>
      <c r="J206" s="441" t="s">
        <v>1090</v>
      </c>
      <c r="K206" s="438" t="s">
        <v>1828</v>
      </c>
      <c r="L206" s="439" t="s">
        <v>1979</v>
      </c>
      <c r="M206" s="443"/>
      <c r="N206" s="446" t="s">
        <v>1980</v>
      </c>
      <c r="O206" s="447">
        <v>8.0</v>
      </c>
    </row>
    <row r="207">
      <c r="A207" s="232">
        <v>2020.0</v>
      </c>
      <c r="B207" s="232" t="s">
        <v>893</v>
      </c>
      <c r="C207" s="232" t="s">
        <v>485</v>
      </c>
      <c r="D207" s="232" t="s">
        <v>1182</v>
      </c>
      <c r="E207" s="232">
        <v>4.1160005E7</v>
      </c>
      <c r="F207" s="232" t="s">
        <v>488</v>
      </c>
      <c r="G207" s="232" t="s">
        <v>84</v>
      </c>
      <c r="H207" s="357">
        <v>100000.0</v>
      </c>
      <c r="I207" s="232" t="s">
        <v>490</v>
      </c>
      <c r="J207" s="342" t="s">
        <v>110</v>
      </c>
      <c r="K207" s="232" t="s">
        <v>491</v>
      </c>
      <c r="L207" s="360" t="s">
        <v>1983</v>
      </c>
      <c r="M207" s="331" t="s">
        <v>1183</v>
      </c>
      <c r="N207" s="354"/>
      <c r="O207" s="339">
        <v>50.0</v>
      </c>
    </row>
    <row r="208">
      <c r="A208" s="204">
        <v>2021.0</v>
      </c>
      <c r="B208" s="306" t="s">
        <v>893</v>
      </c>
      <c r="C208" s="204" t="s">
        <v>220</v>
      </c>
      <c r="D208" s="385" t="s">
        <v>74</v>
      </c>
      <c r="E208" s="212">
        <v>4.1160002E7</v>
      </c>
      <c r="F208" s="212" t="s">
        <v>1087</v>
      </c>
      <c r="G208" s="212" t="s">
        <v>152</v>
      </c>
      <c r="H208" s="308">
        <v>200000.0</v>
      </c>
      <c r="I208" s="212" t="s">
        <v>1062</v>
      </c>
      <c r="J208" s="204" t="s">
        <v>1833</v>
      </c>
      <c r="K208" s="311" t="s">
        <v>1834</v>
      </c>
      <c r="L208" s="311" t="s">
        <v>1984</v>
      </c>
      <c r="M208" s="313"/>
      <c r="N208" s="316" t="s">
        <v>1988</v>
      </c>
      <c r="O208" s="318"/>
    </row>
    <row r="209" hidden="1">
      <c r="A209" s="437">
        <v>2021.0</v>
      </c>
      <c r="B209" s="438" t="s">
        <v>895</v>
      </c>
      <c r="C209" s="437" t="s">
        <v>220</v>
      </c>
      <c r="D209" s="597" t="s">
        <v>74</v>
      </c>
      <c r="E209" s="441">
        <v>4.1160002E7</v>
      </c>
      <c r="F209" s="441">
        <v>4.1160002E7</v>
      </c>
      <c r="G209" s="441">
        <v>4.1160002E7</v>
      </c>
      <c r="H209" s="598">
        <v>250000.0</v>
      </c>
      <c r="I209" s="441" t="s">
        <v>1062</v>
      </c>
      <c r="J209" s="437" t="s">
        <v>1833</v>
      </c>
      <c r="K209" s="439" t="s">
        <v>1837</v>
      </c>
      <c r="L209" s="439" t="s">
        <v>1992</v>
      </c>
      <c r="M209" s="443"/>
      <c r="N209" s="446" t="s">
        <v>1993</v>
      </c>
      <c r="O209" s="318"/>
    </row>
    <row r="210" hidden="1">
      <c r="A210" s="232">
        <v>2020.0</v>
      </c>
      <c r="B210" s="232" t="s">
        <v>744</v>
      </c>
      <c r="C210" s="232" t="s">
        <v>485</v>
      </c>
      <c r="D210" s="232" t="s">
        <v>751</v>
      </c>
      <c r="E210" s="417" t="s">
        <v>578</v>
      </c>
      <c r="F210" s="232" t="s">
        <v>488</v>
      </c>
      <c r="G210" s="232" t="s">
        <v>84</v>
      </c>
      <c r="H210" s="357">
        <v>50000.0</v>
      </c>
      <c r="I210" s="232" t="s">
        <v>389</v>
      </c>
      <c r="J210" s="342" t="s">
        <v>110</v>
      </c>
      <c r="K210" s="474" t="s">
        <v>600</v>
      </c>
      <c r="L210" s="232" t="s">
        <v>1997</v>
      </c>
      <c r="M210" s="352"/>
      <c r="N210" s="398" t="s">
        <v>1999</v>
      </c>
      <c r="O210" s="339">
        <v>65.0</v>
      </c>
    </row>
    <row r="211" hidden="1">
      <c r="A211" s="437">
        <v>2021.0</v>
      </c>
      <c r="B211" s="438" t="s">
        <v>744</v>
      </c>
      <c r="C211" s="437" t="s">
        <v>485</v>
      </c>
      <c r="D211" s="438" t="s">
        <v>751</v>
      </c>
      <c r="E211" s="441">
        <v>4.1160002E7</v>
      </c>
      <c r="F211" s="441" t="s">
        <v>1087</v>
      </c>
      <c r="G211" s="441" t="s">
        <v>152</v>
      </c>
      <c r="H211" s="440">
        <v>218250.0</v>
      </c>
      <c r="I211" s="441" t="s">
        <v>1062</v>
      </c>
      <c r="J211" s="437" t="s">
        <v>1090</v>
      </c>
      <c r="K211" s="438" t="s">
        <v>1841</v>
      </c>
      <c r="L211" s="439" t="s">
        <v>2003</v>
      </c>
      <c r="M211" s="443"/>
      <c r="N211" s="446" t="s">
        <v>2004</v>
      </c>
      <c r="O211" s="447"/>
    </row>
    <row r="212" hidden="1">
      <c r="A212" s="426">
        <v>2019.0</v>
      </c>
      <c r="B212" s="426" t="s">
        <v>904</v>
      </c>
      <c r="C212" s="426" t="s">
        <v>139</v>
      </c>
      <c r="D212" s="426" t="s">
        <v>1450</v>
      </c>
      <c r="E212" s="593"/>
      <c r="F212" s="426" t="s">
        <v>151</v>
      </c>
      <c r="G212" s="426" t="s">
        <v>152</v>
      </c>
      <c r="H212" s="428">
        <v>140000.0</v>
      </c>
      <c r="I212" s="426" t="s">
        <v>560</v>
      </c>
      <c r="J212" s="426" t="s">
        <v>110</v>
      </c>
      <c r="K212" s="426" t="s">
        <v>1452</v>
      </c>
      <c r="L212" s="429" t="s">
        <v>1454</v>
      </c>
      <c r="M212" s="429" t="s">
        <v>1677</v>
      </c>
      <c r="N212" s="518" t="s">
        <v>2006</v>
      </c>
      <c r="O212" s="432">
        <v>22.0</v>
      </c>
    </row>
    <row r="213" hidden="1">
      <c r="A213" s="232">
        <v>2020.0</v>
      </c>
      <c r="B213" s="232" t="s">
        <v>520</v>
      </c>
      <c r="C213" s="232" t="s">
        <v>485</v>
      </c>
      <c r="D213" s="232" t="s">
        <v>1844</v>
      </c>
      <c r="E213" s="232">
        <v>4.1160005E7</v>
      </c>
      <c r="F213" s="232" t="s">
        <v>488</v>
      </c>
      <c r="G213" s="232" t="s">
        <v>84</v>
      </c>
      <c r="H213" s="357">
        <v>200000.0</v>
      </c>
      <c r="I213" s="232" t="s">
        <v>490</v>
      </c>
      <c r="J213" s="342" t="s">
        <v>110</v>
      </c>
      <c r="K213" s="232" t="s">
        <v>491</v>
      </c>
      <c r="L213" s="360" t="s">
        <v>2008</v>
      </c>
      <c r="M213" s="352"/>
      <c r="N213" s="354"/>
      <c r="O213" s="339">
        <v>51.0</v>
      </c>
    </row>
    <row r="214" hidden="1">
      <c r="A214" s="232">
        <v>2020.0</v>
      </c>
      <c r="B214" s="232" t="s">
        <v>520</v>
      </c>
      <c r="C214" s="232" t="s">
        <v>485</v>
      </c>
      <c r="D214" s="232" t="s">
        <v>1844</v>
      </c>
      <c r="E214" s="417" t="s">
        <v>578</v>
      </c>
      <c r="F214" s="232" t="s">
        <v>488</v>
      </c>
      <c r="G214" s="232" t="s">
        <v>84</v>
      </c>
      <c r="H214" s="357">
        <v>250000.0</v>
      </c>
      <c r="I214" s="232" t="s">
        <v>389</v>
      </c>
      <c r="J214" s="342" t="s">
        <v>110</v>
      </c>
      <c r="K214" s="474" t="s">
        <v>600</v>
      </c>
      <c r="L214" s="232" t="s">
        <v>2008</v>
      </c>
      <c r="M214" s="352"/>
      <c r="N214" s="354"/>
      <c r="O214" s="339">
        <v>66.0</v>
      </c>
    </row>
    <row r="215" hidden="1">
      <c r="A215" s="232">
        <v>2019.0</v>
      </c>
      <c r="B215" s="232" t="s">
        <v>909</v>
      </c>
      <c r="C215" s="232" t="s">
        <v>556</v>
      </c>
      <c r="D215" s="232" t="s">
        <v>940</v>
      </c>
      <c r="E215" s="232">
        <v>7.1220005E7</v>
      </c>
      <c r="F215" s="232" t="s">
        <v>558</v>
      </c>
      <c r="G215" s="232" t="s">
        <v>152</v>
      </c>
      <c r="H215" s="357">
        <v>55000.0</v>
      </c>
      <c r="I215" s="232" t="s">
        <v>560</v>
      </c>
      <c r="J215" s="232" t="s">
        <v>110</v>
      </c>
      <c r="K215" s="232" t="s">
        <v>561</v>
      </c>
      <c r="L215" s="360" t="s">
        <v>2010</v>
      </c>
      <c r="M215" s="352"/>
      <c r="N215" s="354"/>
      <c r="O215" s="339">
        <v>12.0</v>
      </c>
    </row>
    <row r="216" ht="158.25" customHeight="1">
      <c r="A216" s="232">
        <v>2020.0</v>
      </c>
      <c r="B216" s="232" t="s">
        <v>377</v>
      </c>
      <c r="C216" s="232" t="s">
        <v>485</v>
      </c>
      <c r="D216" s="232" t="s">
        <v>773</v>
      </c>
      <c r="E216" s="417" t="s">
        <v>578</v>
      </c>
      <c r="F216" s="232" t="s">
        <v>488</v>
      </c>
      <c r="G216" s="232" t="s">
        <v>84</v>
      </c>
      <c r="H216" s="357">
        <v>50000.0</v>
      </c>
      <c r="I216" s="232" t="s">
        <v>389</v>
      </c>
      <c r="J216" s="342" t="s">
        <v>110</v>
      </c>
      <c r="K216" s="474" t="s">
        <v>600</v>
      </c>
      <c r="L216" s="232" t="s">
        <v>2011</v>
      </c>
      <c r="M216" s="352"/>
      <c r="N216" s="354"/>
      <c r="O216" s="339">
        <v>67.0</v>
      </c>
    </row>
    <row r="217" hidden="1">
      <c r="A217" s="232">
        <v>2019.0</v>
      </c>
      <c r="B217" s="232" t="s">
        <v>333</v>
      </c>
      <c r="C217" s="232" t="s">
        <v>485</v>
      </c>
      <c r="D217" s="232" t="s">
        <v>1864</v>
      </c>
      <c r="E217" s="232">
        <v>7.1220009E7</v>
      </c>
      <c r="F217" s="232" t="s">
        <v>488</v>
      </c>
      <c r="G217" s="232" t="s">
        <v>84</v>
      </c>
      <c r="H217" s="357">
        <v>250000.0</v>
      </c>
      <c r="I217" s="232" t="s">
        <v>389</v>
      </c>
      <c r="J217" s="232" t="s">
        <v>110</v>
      </c>
      <c r="K217" s="232" t="s">
        <v>1076</v>
      </c>
      <c r="L217" s="360" t="s">
        <v>2013</v>
      </c>
      <c r="M217" s="331" t="s">
        <v>1866</v>
      </c>
      <c r="N217" s="354"/>
      <c r="O217" s="339">
        <v>20.0</v>
      </c>
    </row>
    <row r="218" hidden="1">
      <c r="A218" s="232">
        <v>2020.0</v>
      </c>
      <c r="B218" s="232" t="s">
        <v>333</v>
      </c>
      <c r="C218" s="232" t="s">
        <v>485</v>
      </c>
      <c r="D218" s="232" t="s">
        <v>1169</v>
      </c>
      <c r="E218" s="417" t="s">
        <v>578</v>
      </c>
      <c r="F218" s="232" t="s">
        <v>488</v>
      </c>
      <c r="G218" s="232" t="s">
        <v>84</v>
      </c>
      <c r="H218" s="357">
        <v>100000.0</v>
      </c>
      <c r="I218" s="232" t="s">
        <v>389</v>
      </c>
      <c r="J218" s="342" t="s">
        <v>110</v>
      </c>
      <c r="K218" s="474" t="s">
        <v>600</v>
      </c>
      <c r="L218" s="232" t="s">
        <v>2013</v>
      </c>
      <c r="M218" s="352"/>
      <c r="N218" s="354"/>
      <c r="O218" s="339">
        <v>68.0</v>
      </c>
    </row>
    <row r="219" hidden="1">
      <c r="A219" s="232">
        <v>2020.0</v>
      </c>
      <c r="B219" s="232" t="s">
        <v>333</v>
      </c>
      <c r="C219" s="232" t="s">
        <v>14</v>
      </c>
      <c r="D219" s="232" t="s">
        <v>74</v>
      </c>
      <c r="E219" s="232">
        <v>4.1160009E7</v>
      </c>
      <c r="F219" s="232" t="s">
        <v>488</v>
      </c>
      <c r="G219" s="232" t="s">
        <v>84</v>
      </c>
      <c r="H219" s="357">
        <v>100000.0</v>
      </c>
      <c r="I219" s="232" t="s">
        <v>490</v>
      </c>
      <c r="J219" s="342" t="s">
        <v>110</v>
      </c>
      <c r="K219" s="232" t="s">
        <v>491</v>
      </c>
      <c r="L219" s="360" t="s">
        <v>2015</v>
      </c>
      <c r="M219" s="352"/>
      <c r="N219" s="354"/>
      <c r="O219" s="339">
        <v>98.0</v>
      </c>
    </row>
    <row r="220" hidden="1">
      <c r="A220" s="232">
        <v>2020.0</v>
      </c>
      <c r="B220" s="232" t="s">
        <v>926</v>
      </c>
      <c r="C220" s="232" t="s">
        <v>14</v>
      </c>
      <c r="D220" s="232" t="s">
        <v>74</v>
      </c>
      <c r="E220" s="599">
        <v>4.1160001E7</v>
      </c>
      <c r="F220" s="232" t="s">
        <v>193</v>
      </c>
      <c r="G220" s="232" t="s">
        <v>84</v>
      </c>
      <c r="H220" s="357">
        <v>100000.0</v>
      </c>
      <c r="I220" s="232" t="s">
        <v>490</v>
      </c>
      <c r="J220" s="342" t="s">
        <v>110</v>
      </c>
      <c r="K220" s="232" t="s">
        <v>1026</v>
      </c>
      <c r="L220" s="360" t="s">
        <v>2017</v>
      </c>
      <c r="M220" s="352"/>
      <c r="N220" s="354"/>
      <c r="O220" s="339">
        <v>99.0</v>
      </c>
    </row>
    <row r="221" hidden="1">
      <c r="A221" s="232">
        <v>2020.0</v>
      </c>
      <c r="B221" s="232" t="s">
        <v>934</v>
      </c>
      <c r="C221" s="232" t="s">
        <v>14</v>
      </c>
      <c r="D221" s="232" t="s">
        <v>74</v>
      </c>
      <c r="E221" s="232">
        <v>4.1160001E7</v>
      </c>
      <c r="F221" s="232" t="s">
        <v>193</v>
      </c>
      <c r="G221" s="232" t="s">
        <v>84</v>
      </c>
      <c r="H221" s="357">
        <v>67500.0</v>
      </c>
      <c r="I221" s="232" t="s">
        <v>490</v>
      </c>
      <c r="J221" s="342" t="s">
        <v>110</v>
      </c>
      <c r="K221" s="232" t="s">
        <v>1026</v>
      </c>
      <c r="L221" s="360" t="s">
        <v>2019</v>
      </c>
      <c r="M221" s="331" t="s">
        <v>1027</v>
      </c>
      <c r="N221" s="354"/>
      <c r="O221" s="339">
        <v>100.0</v>
      </c>
    </row>
    <row r="222" hidden="1">
      <c r="A222" s="232">
        <v>2019.0</v>
      </c>
      <c r="B222" s="232" t="s">
        <v>2020</v>
      </c>
      <c r="C222" s="232" t="s">
        <v>556</v>
      </c>
      <c r="D222" s="232" t="s">
        <v>918</v>
      </c>
      <c r="E222" s="232">
        <v>7.1220005E7</v>
      </c>
      <c r="F222" s="232" t="s">
        <v>558</v>
      </c>
      <c r="G222" s="232" t="s">
        <v>152</v>
      </c>
      <c r="H222" s="357">
        <v>54000.0</v>
      </c>
      <c r="I222" s="232" t="s">
        <v>389</v>
      </c>
      <c r="J222" s="232" t="s">
        <v>110</v>
      </c>
      <c r="K222" s="232" t="s">
        <v>561</v>
      </c>
      <c r="L222" s="360" t="s">
        <v>2022</v>
      </c>
      <c r="M222" s="352"/>
      <c r="N222" s="354"/>
      <c r="O222" s="339">
        <v>13.0</v>
      </c>
    </row>
    <row r="223" hidden="1">
      <c r="A223" s="342">
        <v>2020.0</v>
      </c>
      <c r="B223" s="342" t="s">
        <v>945</v>
      </c>
      <c r="C223" s="342" t="s">
        <v>14</v>
      </c>
      <c r="D223" s="342" t="s">
        <v>74</v>
      </c>
      <c r="E223" s="342" t="s">
        <v>2024</v>
      </c>
      <c r="F223" s="342" t="s">
        <v>193</v>
      </c>
      <c r="G223" s="342" t="s">
        <v>84</v>
      </c>
      <c r="H223" s="322">
        <v>100000.0</v>
      </c>
      <c r="I223" s="342" t="s">
        <v>490</v>
      </c>
      <c r="J223" s="342" t="s">
        <v>110</v>
      </c>
      <c r="K223" s="342" t="s">
        <v>1026</v>
      </c>
      <c r="L223" s="331" t="s">
        <v>2025</v>
      </c>
      <c r="M223" s="331" t="s">
        <v>1211</v>
      </c>
      <c r="N223" s="354"/>
      <c r="O223" s="339">
        <v>101.0</v>
      </c>
    </row>
    <row r="224" hidden="1">
      <c r="A224" s="232">
        <v>2020.0</v>
      </c>
      <c r="B224" s="232" t="s">
        <v>400</v>
      </c>
      <c r="C224" s="232" t="s">
        <v>485</v>
      </c>
      <c r="D224" s="232" t="s">
        <v>1174</v>
      </c>
      <c r="E224" s="417" t="s">
        <v>578</v>
      </c>
      <c r="F224" s="232" t="s">
        <v>488</v>
      </c>
      <c r="G224" s="232" t="s">
        <v>84</v>
      </c>
      <c r="H224" s="357">
        <v>100000.0</v>
      </c>
      <c r="I224" s="232" t="s">
        <v>389</v>
      </c>
      <c r="J224" s="342" t="s">
        <v>110</v>
      </c>
      <c r="K224" s="474" t="s">
        <v>600</v>
      </c>
      <c r="L224" s="232" t="s">
        <v>2026</v>
      </c>
      <c r="M224" s="352"/>
      <c r="N224" s="354"/>
      <c r="O224" s="339">
        <v>69.0</v>
      </c>
    </row>
    <row r="225" hidden="1">
      <c r="A225" s="437">
        <v>2021.0</v>
      </c>
      <c r="B225" s="438" t="s">
        <v>400</v>
      </c>
      <c r="C225" s="437" t="s">
        <v>485</v>
      </c>
      <c r="D225" s="439" t="s">
        <v>1554</v>
      </c>
      <c r="E225" s="441">
        <v>4.1160002E7</v>
      </c>
      <c r="F225" s="441" t="s">
        <v>1087</v>
      </c>
      <c r="G225" s="441" t="s">
        <v>152</v>
      </c>
      <c r="H225" s="600">
        <v>112000.0</v>
      </c>
      <c r="I225" s="441" t="s">
        <v>1062</v>
      </c>
      <c r="J225" s="441" t="s">
        <v>1090</v>
      </c>
      <c r="K225" s="438" t="s">
        <v>1555</v>
      </c>
      <c r="L225" s="439" t="s">
        <v>2029</v>
      </c>
      <c r="M225" s="443"/>
      <c r="N225" s="446" t="s">
        <v>2030</v>
      </c>
      <c r="O225" s="447">
        <v>5.0</v>
      </c>
    </row>
    <row r="226" ht="150.0" hidden="1" customHeight="1">
      <c r="A226" s="232">
        <v>2019.0</v>
      </c>
      <c r="B226" s="232" t="s">
        <v>298</v>
      </c>
      <c r="C226" s="232" t="s">
        <v>485</v>
      </c>
      <c r="D226" s="232" t="s">
        <v>815</v>
      </c>
      <c r="E226" s="232">
        <v>7.1220009E7</v>
      </c>
      <c r="F226" s="232" t="s">
        <v>488</v>
      </c>
      <c r="G226" s="232" t="s">
        <v>84</v>
      </c>
      <c r="H226" s="357">
        <v>250000.0</v>
      </c>
      <c r="I226" s="232" t="s">
        <v>389</v>
      </c>
      <c r="J226" s="232" t="s">
        <v>110</v>
      </c>
      <c r="K226" s="232" t="s">
        <v>1076</v>
      </c>
      <c r="L226" s="360" t="s">
        <v>2032</v>
      </c>
      <c r="M226" s="331" t="s">
        <v>1903</v>
      </c>
      <c r="N226" s="398" t="s">
        <v>2034</v>
      </c>
      <c r="O226" s="339">
        <v>21.0</v>
      </c>
    </row>
    <row r="227" hidden="1">
      <c r="A227" s="232">
        <v>2020.0</v>
      </c>
      <c r="B227" s="232" t="s">
        <v>298</v>
      </c>
      <c r="C227" s="232" t="s">
        <v>485</v>
      </c>
      <c r="D227" s="232" t="s">
        <v>815</v>
      </c>
      <c r="E227" s="601" t="s">
        <v>2036</v>
      </c>
      <c r="F227" s="232" t="s">
        <v>488</v>
      </c>
      <c r="G227" s="232" t="s">
        <v>84</v>
      </c>
      <c r="H227" s="357">
        <v>50000.0</v>
      </c>
      <c r="I227" s="232" t="s">
        <v>389</v>
      </c>
      <c r="J227" s="342" t="s">
        <v>110</v>
      </c>
      <c r="K227" s="474" t="s">
        <v>600</v>
      </c>
      <c r="L227" s="232" t="s">
        <v>2032</v>
      </c>
      <c r="M227" s="352"/>
      <c r="N227" s="354"/>
      <c r="O227" s="339">
        <v>70.0</v>
      </c>
    </row>
    <row r="228" hidden="1">
      <c r="A228" s="441">
        <v>2021.0</v>
      </c>
      <c r="B228" s="602" t="s">
        <v>298</v>
      </c>
      <c r="C228" s="441" t="s">
        <v>485</v>
      </c>
      <c r="D228" s="602" t="s">
        <v>1247</v>
      </c>
      <c r="E228" s="441">
        <v>4.1160002E7</v>
      </c>
      <c r="F228" s="441" t="s">
        <v>1087</v>
      </c>
      <c r="G228" s="441" t="s">
        <v>152</v>
      </c>
      <c r="H228" s="503">
        <v>100000.0</v>
      </c>
      <c r="I228" s="441" t="s">
        <v>1062</v>
      </c>
      <c r="J228" s="441" t="s">
        <v>1090</v>
      </c>
      <c r="K228" s="602" t="s">
        <v>1909</v>
      </c>
      <c r="L228" s="443" t="s">
        <v>2038</v>
      </c>
      <c r="M228" s="443"/>
      <c r="N228" s="446" t="s">
        <v>2039</v>
      </c>
      <c r="O228" s="447">
        <v>1.0</v>
      </c>
    </row>
    <row r="229" hidden="1">
      <c r="A229" s="232">
        <v>2020.0</v>
      </c>
      <c r="B229" s="232" t="s">
        <v>966</v>
      </c>
      <c r="C229" s="232" t="s">
        <v>14</v>
      </c>
      <c r="D229" s="232" t="s">
        <v>74</v>
      </c>
      <c r="E229" s="599">
        <v>4.1160001E7</v>
      </c>
      <c r="F229" s="232" t="s">
        <v>193</v>
      </c>
      <c r="G229" s="232" t="s">
        <v>84</v>
      </c>
      <c r="H229" s="357">
        <v>100000.0</v>
      </c>
      <c r="I229" s="232" t="s">
        <v>490</v>
      </c>
      <c r="J229" s="232" t="s">
        <v>110</v>
      </c>
      <c r="K229" s="232" t="s">
        <v>1138</v>
      </c>
      <c r="L229" s="360" t="s">
        <v>2043</v>
      </c>
      <c r="M229" s="331" t="s">
        <v>1217</v>
      </c>
      <c r="N229" s="354"/>
      <c r="O229" s="339">
        <v>102.0</v>
      </c>
    </row>
    <row r="230" hidden="1">
      <c r="A230" s="426">
        <v>2019.0</v>
      </c>
      <c r="B230" s="426" t="s">
        <v>973</v>
      </c>
      <c r="C230" s="426" t="s">
        <v>1065</v>
      </c>
      <c r="D230" s="426" t="s">
        <v>1491</v>
      </c>
      <c r="E230" s="593"/>
      <c r="F230" s="426" t="s">
        <v>151</v>
      </c>
      <c r="G230" s="426" t="s">
        <v>152</v>
      </c>
      <c r="H230" s="428">
        <v>140000.0</v>
      </c>
      <c r="I230" s="426" t="s">
        <v>560</v>
      </c>
      <c r="J230" s="426" t="s">
        <v>110</v>
      </c>
      <c r="K230" s="426" t="s">
        <v>1434</v>
      </c>
      <c r="L230" s="590" t="s">
        <v>1492</v>
      </c>
      <c r="M230" s="429" t="s">
        <v>1457</v>
      </c>
      <c r="N230" s="449"/>
      <c r="O230" s="432">
        <v>3.0</v>
      </c>
    </row>
    <row r="231" hidden="1">
      <c r="A231" s="232">
        <v>2020.0</v>
      </c>
      <c r="B231" s="232" t="s">
        <v>982</v>
      </c>
      <c r="C231" s="232" t="s">
        <v>485</v>
      </c>
      <c r="D231" s="232" t="s">
        <v>1221</v>
      </c>
      <c r="E231" s="232">
        <v>4.1160005E7</v>
      </c>
      <c r="F231" s="232" t="s">
        <v>488</v>
      </c>
      <c r="G231" s="232" t="s">
        <v>84</v>
      </c>
      <c r="H231" s="357">
        <v>100000.0</v>
      </c>
      <c r="I231" s="232" t="s">
        <v>490</v>
      </c>
      <c r="J231" s="232" t="s">
        <v>110</v>
      </c>
      <c r="K231" s="232" t="s">
        <v>491</v>
      </c>
      <c r="L231" s="360" t="s">
        <v>2048</v>
      </c>
      <c r="M231" s="331" t="s">
        <v>1223</v>
      </c>
      <c r="N231" s="398" t="s">
        <v>2049</v>
      </c>
      <c r="O231" s="339">
        <v>52.0</v>
      </c>
    </row>
    <row r="232" hidden="1">
      <c r="A232" s="437">
        <v>2021.0</v>
      </c>
      <c r="B232" s="438" t="s">
        <v>983</v>
      </c>
      <c r="C232" s="437" t="s">
        <v>485</v>
      </c>
      <c r="D232" s="438" t="s">
        <v>1687</v>
      </c>
      <c r="E232" s="441">
        <v>4.1160002E7</v>
      </c>
      <c r="F232" s="441" t="s">
        <v>1087</v>
      </c>
      <c r="G232" s="441" t="s">
        <v>152</v>
      </c>
      <c r="H232" s="440">
        <v>140000.0</v>
      </c>
      <c r="I232" s="441" t="s">
        <v>1062</v>
      </c>
      <c r="J232" s="437" t="s">
        <v>1090</v>
      </c>
      <c r="K232" s="438" t="s">
        <v>1688</v>
      </c>
      <c r="L232" s="439" t="s">
        <v>2053</v>
      </c>
      <c r="M232" s="443"/>
      <c r="N232" s="446" t="s">
        <v>2055</v>
      </c>
      <c r="O232" s="447"/>
    </row>
    <row r="233" hidden="1">
      <c r="A233" s="204">
        <v>2021.0</v>
      </c>
      <c r="B233" s="204" t="s">
        <v>651</v>
      </c>
      <c r="C233" s="204" t="s">
        <v>1094</v>
      </c>
      <c r="D233" s="204" t="s">
        <v>1216</v>
      </c>
      <c r="E233" s="536">
        <v>4.1160001E7</v>
      </c>
      <c r="F233" s="212" t="s">
        <v>151</v>
      </c>
      <c r="G233" s="204" t="s">
        <v>152</v>
      </c>
      <c r="H233" s="434">
        <v>333333.0</v>
      </c>
      <c r="I233" s="212" t="s">
        <v>155</v>
      </c>
      <c r="J233" s="204"/>
      <c r="K233" s="542" t="s">
        <v>1218</v>
      </c>
      <c r="L233" s="544" t="s">
        <v>2060</v>
      </c>
      <c r="M233" s="313"/>
      <c r="N233" s="316" t="s">
        <v>2061</v>
      </c>
      <c r="O233" s="318">
        <v>132.0</v>
      </c>
    </row>
    <row r="234" hidden="1">
      <c r="A234" s="204">
        <v>2021.0</v>
      </c>
      <c r="B234" s="204" t="s">
        <v>666</v>
      </c>
      <c r="C234" s="204" t="s">
        <v>1094</v>
      </c>
      <c r="D234" s="204" t="s">
        <v>1238</v>
      </c>
      <c r="E234" s="536">
        <v>4.1160001E7</v>
      </c>
      <c r="F234" s="212" t="s">
        <v>151</v>
      </c>
      <c r="G234" s="204" t="s">
        <v>152</v>
      </c>
      <c r="H234" s="434">
        <v>333333.0</v>
      </c>
      <c r="I234" s="212" t="s">
        <v>155</v>
      </c>
      <c r="J234" s="204"/>
      <c r="K234" s="542" t="s">
        <v>1218</v>
      </c>
      <c r="L234" s="547" t="s">
        <v>2066</v>
      </c>
      <c r="M234" s="313"/>
      <c r="N234" s="316" t="s">
        <v>2067</v>
      </c>
      <c r="O234" s="318">
        <v>131.0</v>
      </c>
    </row>
    <row r="235" hidden="1">
      <c r="A235" s="204">
        <v>2021.0</v>
      </c>
      <c r="B235" s="204" t="s">
        <v>198</v>
      </c>
      <c r="C235" s="204" t="s">
        <v>1094</v>
      </c>
      <c r="D235" s="204" t="s">
        <v>1242</v>
      </c>
      <c r="E235" s="536">
        <v>4.1160001E7</v>
      </c>
      <c r="F235" s="212" t="s">
        <v>151</v>
      </c>
      <c r="G235" s="204" t="s">
        <v>152</v>
      </c>
      <c r="H235" s="434">
        <v>333333.0</v>
      </c>
      <c r="I235" s="212" t="s">
        <v>155</v>
      </c>
      <c r="J235" s="204"/>
      <c r="K235" s="542" t="s">
        <v>1218</v>
      </c>
      <c r="L235" s="544" t="s">
        <v>2070</v>
      </c>
      <c r="M235" s="313"/>
      <c r="N235" s="316" t="s">
        <v>2071</v>
      </c>
      <c r="O235" s="318">
        <v>133.0</v>
      </c>
    </row>
    <row r="236" hidden="1">
      <c r="A236" s="212">
        <v>2021.0</v>
      </c>
      <c r="B236" s="212" t="s">
        <v>239</v>
      </c>
      <c r="C236" s="212" t="s">
        <v>251</v>
      </c>
      <c r="D236" s="212" t="s">
        <v>1295</v>
      </c>
      <c r="E236" s="433">
        <v>4.1160001E7</v>
      </c>
      <c r="F236" s="212" t="s">
        <v>151</v>
      </c>
      <c r="G236" s="212" t="s">
        <v>152</v>
      </c>
      <c r="H236" s="434">
        <v>26383.34</v>
      </c>
      <c r="I236" s="212" t="s">
        <v>155</v>
      </c>
      <c r="J236" s="212"/>
      <c r="K236" s="603" t="s">
        <v>267</v>
      </c>
      <c r="L236" s="212" t="s">
        <v>2076</v>
      </c>
      <c r="M236" s="313"/>
      <c r="N236" s="316" t="s">
        <v>2077</v>
      </c>
      <c r="O236" s="318">
        <v>136.0</v>
      </c>
    </row>
    <row r="237" hidden="1">
      <c r="A237" s="204">
        <v>2021.0</v>
      </c>
      <c r="B237" s="204" t="s">
        <v>1365</v>
      </c>
      <c r="C237" s="204" t="s">
        <v>291</v>
      </c>
      <c r="D237" s="204" t="s">
        <v>1366</v>
      </c>
      <c r="E237" s="536">
        <v>4.1160001E7</v>
      </c>
      <c r="F237" s="204" t="s">
        <v>151</v>
      </c>
      <c r="G237" s="204" t="s">
        <v>152</v>
      </c>
      <c r="H237" s="434">
        <v>400000.0</v>
      </c>
      <c r="I237" s="212" t="s">
        <v>155</v>
      </c>
      <c r="J237" s="204"/>
      <c r="K237" s="538" t="s">
        <v>1401</v>
      </c>
      <c r="L237" s="544" t="s">
        <v>2080</v>
      </c>
      <c r="M237" s="313"/>
      <c r="N237" s="316" t="s">
        <v>2082</v>
      </c>
      <c r="O237" s="318"/>
    </row>
    <row r="238" hidden="1">
      <c r="A238" s="212">
        <v>2021.0</v>
      </c>
      <c r="B238" s="212" t="s">
        <v>127</v>
      </c>
      <c r="C238" s="212" t="s">
        <v>251</v>
      </c>
      <c r="D238" s="583" t="s">
        <v>1358</v>
      </c>
      <c r="E238" s="433">
        <v>4.1160001E7</v>
      </c>
      <c r="F238" s="212" t="s">
        <v>151</v>
      </c>
      <c r="G238" s="212" t="s">
        <v>152</v>
      </c>
      <c r="H238" s="434">
        <v>186808.33</v>
      </c>
      <c r="I238" s="212" t="s">
        <v>155</v>
      </c>
      <c r="J238" s="212"/>
      <c r="K238" s="582" t="s">
        <v>267</v>
      </c>
      <c r="L238" s="583" t="s">
        <v>2085</v>
      </c>
      <c r="M238" s="313"/>
      <c r="N238" s="316" t="s">
        <v>2087</v>
      </c>
      <c r="O238" s="318">
        <v>130.0</v>
      </c>
    </row>
    <row r="239" hidden="1">
      <c r="A239" s="212">
        <v>2021.0</v>
      </c>
      <c r="B239" s="204" t="s">
        <v>1499</v>
      </c>
      <c r="C239" s="212" t="s">
        <v>1065</v>
      </c>
      <c r="D239" s="212" t="s">
        <v>1532</v>
      </c>
      <c r="E239" s="433">
        <v>4.1160001E7</v>
      </c>
      <c r="F239" s="212" t="s">
        <v>151</v>
      </c>
      <c r="G239" s="212" t="s">
        <v>152</v>
      </c>
      <c r="H239" s="434">
        <v>1000000.0</v>
      </c>
      <c r="I239" s="212" t="s">
        <v>155</v>
      </c>
      <c r="J239" s="169"/>
      <c r="K239" s="542" t="s">
        <v>1533</v>
      </c>
      <c r="L239" s="606"/>
      <c r="M239" s="607"/>
      <c r="N239" s="608" t="s">
        <v>2090</v>
      </c>
      <c r="O239" s="609"/>
    </row>
    <row r="240" hidden="1">
      <c r="A240" s="437">
        <v>2021.0</v>
      </c>
      <c r="B240" s="438" t="s">
        <v>551</v>
      </c>
      <c r="C240" s="437" t="s">
        <v>485</v>
      </c>
      <c r="D240" s="438" t="s">
        <v>1871</v>
      </c>
      <c r="E240" s="441">
        <v>4.1160002E7</v>
      </c>
      <c r="F240" s="441" t="s">
        <v>1087</v>
      </c>
      <c r="G240" s="441" t="s">
        <v>152</v>
      </c>
      <c r="H240" s="440">
        <v>162480.0</v>
      </c>
      <c r="I240" s="441" t="s">
        <v>1062</v>
      </c>
      <c r="J240" s="441" t="s">
        <v>1090</v>
      </c>
      <c r="K240" s="438" t="s">
        <v>1873</v>
      </c>
      <c r="L240" s="439" t="s">
        <v>2098</v>
      </c>
      <c r="M240" s="443"/>
      <c r="N240" s="446" t="s">
        <v>2099</v>
      </c>
      <c r="O240" s="447">
        <v>10.0</v>
      </c>
    </row>
    <row r="241" hidden="1">
      <c r="A241" s="204">
        <v>2022.0</v>
      </c>
      <c r="B241" s="306" t="s">
        <v>175</v>
      </c>
      <c r="C241" s="204" t="s">
        <v>220</v>
      </c>
      <c r="D241" s="385" t="s">
        <v>74</v>
      </c>
      <c r="E241" s="204">
        <v>4.1160002E7</v>
      </c>
      <c r="F241" s="204" t="s">
        <v>193</v>
      </c>
      <c r="G241" s="204" t="s">
        <v>84</v>
      </c>
      <c r="H241" s="495">
        <v>20000.0</v>
      </c>
      <c r="I241" s="212" t="s">
        <v>229</v>
      </c>
      <c r="J241" s="204" t="s">
        <v>1302</v>
      </c>
      <c r="K241" s="306" t="s">
        <v>234</v>
      </c>
      <c r="L241" s="610" t="s">
        <v>2103</v>
      </c>
      <c r="M241" s="313"/>
      <c r="N241" s="611"/>
      <c r="O241" s="313"/>
    </row>
    <row r="242" ht="45.0" hidden="1" customHeight="1">
      <c r="A242" s="204">
        <v>2022.0</v>
      </c>
      <c r="B242" s="306" t="s">
        <v>429</v>
      </c>
      <c r="C242" s="204" t="s">
        <v>220</v>
      </c>
      <c r="D242" s="385" t="s">
        <v>74</v>
      </c>
      <c r="E242" s="204">
        <v>4.1160002E7</v>
      </c>
      <c r="F242" s="204" t="s">
        <v>193</v>
      </c>
      <c r="G242" s="204" t="s">
        <v>84</v>
      </c>
      <c r="H242" s="308">
        <v>35000.0</v>
      </c>
      <c r="I242" s="212" t="s">
        <v>229</v>
      </c>
      <c r="J242" s="204" t="s">
        <v>1302</v>
      </c>
      <c r="K242" s="306" t="s">
        <v>438</v>
      </c>
      <c r="L242" s="311" t="s">
        <v>2107</v>
      </c>
      <c r="M242" s="313"/>
      <c r="N242" s="611"/>
      <c r="O242" s="313"/>
    </row>
    <row r="243" hidden="1">
      <c r="A243" s="204">
        <v>2021.0</v>
      </c>
      <c r="B243" s="612" t="s">
        <v>822</v>
      </c>
      <c r="C243" s="204" t="s">
        <v>220</v>
      </c>
      <c r="D243" s="613" t="s">
        <v>74</v>
      </c>
      <c r="E243" s="204">
        <v>4.1160002E7</v>
      </c>
      <c r="F243" s="204" t="s">
        <v>193</v>
      </c>
      <c r="G243" s="204" t="s">
        <v>84</v>
      </c>
      <c r="H243" s="614">
        <v>50000.0</v>
      </c>
      <c r="I243" s="212" t="s">
        <v>229</v>
      </c>
      <c r="J243" s="204" t="s">
        <v>1302</v>
      </c>
      <c r="K243" s="612" t="s">
        <v>835</v>
      </c>
      <c r="L243" s="311" t="s">
        <v>2109</v>
      </c>
      <c r="M243" s="313"/>
      <c r="N243" s="611"/>
      <c r="O243" s="313"/>
    </row>
    <row r="244" hidden="1">
      <c r="A244" s="615">
        <v>2021.0</v>
      </c>
      <c r="B244" s="616" t="s">
        <v>448</v>
      </c>
      <c r="C244" s="615" t="s">
        <v>485</v>
      </c>
      <c r="D244" s="616" t="s">
        <v>1324</v>
      </c>
      <c r="E244" s="617">
        <v>4.1160003E7</v>
      </c>
      <c r="F244" s="617" t="s">
        <v>488</v>
      </c>
      <c r="G244" s="617" t="s">
        <v>84</v>
      </c>
      <c r="H244" s="618">
        <v>114409.0</v>
      </c>
      <c r="I244" s="617" t="s">
        <v>1062</v>
      </c>
      <c r="J244" s="617" t="s">
        <v>1171</v>
      </c>
      <c r="K244" s="616" t="s">
        <v>1328</v>
      </c>
      <c r="L244" s="616"/>
      <c r="M244" s="619"/>
      <c r="N244" s="620"/>
      <c r="O244" s="621"/>
    </row>
    <row r="245" hidden="1">
      <c r="A245" s="615">
        <v>2021.0</v>
      </c>
      <c r="B245" s="616" t="s">
        <v>53</v>
      </c>
      <c r="C245" s="615" t="s">
        <v>485</v>
      </c>
      <c r="D245" s="616" t="s">
        <v>1651</v>
      </c>
      <c r="E245" s="617">
        <v>4.1160003E7</v>
      </c>
      <c r="F245" s="617" t="s">
        <v>488</v>
      </c>
      <c r="G245" s="617" t="s">
        <v>84</v>
      </c>
      <c r="H245" s="618">
        <v>136540.0</v>
      </c>
      <c r="I245" s="617" t="s">
        <v>1062</v>
      </c>
      <c r="J245" s="617" t="s">
        <v>1171</v>
      </c>
      <c r="K245" s="616" t="s">
        <v>1213</v>
      </c>
      <c r="L245" s="616"/>
      <c r="M245" s="619"/>
      <c r="N245" s="620"/>
      <c r="O245" s="621"/>
    </row>
    <row r="246">
      <c r="A246" s="615">
        <v>2021.0</v>
      </c>
      <c r="B246" s="616" t="s">
        <v>885</v>
      </c>
      <c r="C246" s="615" t="s">
        <v>485</v>
      </c>
      <c r="D246" s="616" t="s">
        <v>1647</v>
      </c>
      <c r="E246" s="617">
        <v>4.1160003E7</v>
      </c>
      <c r="F246" s="617" t="s">
        <v>488</v>
      </c>
      <c r="G246" s="617" t="s">
        <v>84</v>
      </c>
      <c r="H246" s="618">
        <v>136540.0</v>
      </c>
      <c r="I246" s="617" t="s">
        <v>1062</v>
      </c>
      <c r="J246" s="617" t="s">
        <v>1171</v>
      </c>
      <c r="K246" s="616" t="s">
        <v>1213</v>
      </c>
      <c r="L246" s="616"/>
      <c r="M246" s="619"/>
      <c r="N246" s="620"/>
      <c r="O246" s="621"/>
    </row>
    <row r="247" hidden="1">
      <c r="A247" s="615">
        <v>2021.0</v>
      </c>
      <c r="B247" s="616" t="s">
        <v>310</v>
      </c>
      <c r="C247" s="615" t="s">
        <v>485</v>
      </c>
      <c r="D247" s="616" t="s">
        <v>999</v>
      </c>
      <c r="E247" s="617">
        <v>4.1160003E7</v>
      </c>
      <c r="F247" s="617" t="s">
        <v>488</v>
      </c>
      <c r="G247" s="617" t="s">
        <v>84</v>
      </c>
      <c r="H247" s="618">
        <v>210000.0</v>
      </c>
      <c r="I247" s="617" t="s">
        <v>1062</v>
      </c>
      <c r="J247" s="617" t="s">
        <v>1171</v>
      </c>
      <c r="K247" s="616" t="s">
        <v>1569</v>
      </c>
      <c r="L247" s="616"/>
      <c r="M247" s="619"/>
      <c r="N247" s="620"/>
      <c r="O247" s="621"/>
    </row>
    <row r="248" hidden="1">
      <c r="A248" s="615">
        <v>2021.0</v>
      </c>
      <c r="B248" s="616" t="s">
        <v>559</v>
      </c>
      <c r="C248" s="615" t="s">
        <v>485</v>
      </c>
      <c r="D248" s="616" t="s">
        <v>1436</v>
      </c>
      <c r="E248" s="617">
        <v>4.1160003E7</v>
      </c>
      <c r="F248" s="617" t="s">
        <v>488</v>
      </c>
      <c r="G248" s="617" t="s">
        <v>84</v>
      </c>
      <c r="H248" s="618">
        <v>170000.0</v>
      </c>
      <c r="I248" s="617" t="s">
        <v>1062</v>
      </c>
      <c r="J248" s="617" t="s">
        <v>1439</v>
      </c>
      <c r="K248" s="616" t="s">
        <v>1213</v>
      </c>
      <c r="L248" s="616"/>
      <c r="M248" s="619"/>
      <c r="N248" s="620"/>
      <c r="O248" s="621"/>
    </row>
    <row r="249" hidden="1">
      <c r="A249" s="615">
        <v>2021.0</v>
      </c>
      <c r="B249" s="616" t="s">
        <v>54</v>
      </c>
      <c r="C249" s="615" t="s">
        <v>485</v>
      </c>
      <c r="D249" s="616" t="s">
        <v>1162</v>
      </c>
      <c r="E249" s="617">
        <v>4.1160003E7</v>
      </c>
      <c r="F249" s="617" t="s">
        <v>488</v>
      </c>
      <c r="G249" s="617" t="s">
        <v>84</v>
      </c>
      <c r="H249" s="618">
        <v>102000.0</v>
      </c>
      <c r="I249" s="617" t="s">
        <v>1062</v>
      </c>
      <c r="J249" s="617" t="s">
        <v>1171</v>
      </c>
      <c r="K249" s="616" t="s">
        <v>1172</v>
      </c>
      <c r="L249" s="616"/>
      <c r="M249" s="619"/>
      <c r="N249" s="620"/>
      <c r="O249" s="621"/>
    </row>
    <row r="250" ht="83.25" customHeight="1">
      <c r="A250" s="622">
        <v>2021.0</v>
      </c>
      <c r="B250" s="610" t="s">
        <v>842</v>
      </c>
      <c r="C250" s="622"/>
      <c r="D250" s="610"/>
      <c r="E250" s="623"/>
      <c r="F250" s="623"/>
      <c r="G250" s="623"/>
      <c r="H250" s="624">
        <v>200000.0</v>
      </c>
      <c r="I250" s="623" t="s">
        <v>1062</v>
      </c>
      <c r="J250" s="623"/>
      <c r="K250" s="610"/>
      <c r="L250" s="610"/>
      <c r="M250" s="548"/>
      <c r="N250" s="625"/>
      <c r="O250" s="626"/>
    </row>
    <row r="251" hidden="1">
      <c r="A251" s="204">
        <v>2022.0</v>
      </c>
      <c r="B251" s="311" t="s">
        <v>528</v>
      </c>
      <c r="C251" s="204" t="s">
        <v>485</v>
      </c>
      <c r="D251" s="311" t="s">
        <v>1285</v>
      </c>
      <c r="E251" s="212">
        <v>7120004.0</v>
      </c>
      <c r="F251" s="212" t="s">
        <v>488</v>
      </c>
      <c r="G251" s="212" t="s">
        <v>84</v>
      </c>
      <c r="H251" s="495">
        <v>100000.0</v>
      </c>
      <c r="I251" s="212" t="s">
        <v>1193</v>
      </c>
      <c r="J251" s="212" t="s">
        <v>1208</v>
      </c>
      <c r="K251" s="610" t="s">
        <v>1213</v>
      </c>
      <c r="L251" s="610"/>
      <c r="M251" s="548"/>
      <c r="N251" s="625"/>
      <c r="O251" s="626"/>
    </row>
    <row r="252" hidden="1">
      <c r="A252" s="437">
        <v>2022.0</v>
      </c>
      <c r="B252" s="439" t="s">
        <v>71</v>
      </c>
      <c r="C252" s="437" t="s">
        <v>485</v>
      </c>
      <c r="D252" s="439" t="s">
        <v>1187</v>
      </c>
      <c r="E252" s="212">
        <v>7120004.0</v>
      </c>
      <c r="F252" s="212" t="s">
        <v>488</v>
      </c>
      <c r="G252" s="212" t="s">
        <v>84</v>
      </c>
      <c r="H252" s="598">
        <v>300000.0</v>
      </c>
      <c r="I252" s="212" t="s">
        <v>1193</v>
      </c>
      <c r="J252" s="212" t="s">
        <v>1208</v>
      </c>
      <c r="K252" s="627"/>
      <c r="L252" s="628"/>
      <c r="M252" s="629"/>
      <c r="N252" s="630"/>
      <c r="O252" s="631"/>
    </row>
    <row r="253" hidden="1">
      <c r="A253" s="437">
        <v>2022.0</v>
      </c>
      <c r="B253" s="439" t="s">
        <v>646</v>
      </c>
      <c r="C253" s="437" t="s">
        <v>485</v>
      </c>
      <c r="D253" s="439" t="s">
        <v>652</v>
      </c>
      <c r="E253" s="212">
        <v>7120004.0</v>
      </c>
      <c r="F253" s="212" t="s">
        <v>488</v>
      </c>
      <c r="G253" s="212" t="s">
        <v>84</v>
      </c>
      <c r="H253" s="598">
        <v>150000.0</v>
      </c>
      <c r="I253" s="212" t="s">
        <v>1193</v>
      </c>
      <c r="J253" s="212" t="s">
        <v>1208</v>
      </c>
      <c r="K253" s="627"/>
      <c r="L253" s="628"/>
      <c r="M253" s="629"/>
      <c r="N253" s="630"/>
      <c r="O253" s="631"/>
    </row>
    <row r="254" hidden="1">
      <c r="A254" s="437">
        <v>2022.0</v>
      </c>
      <c r="B254" s="439" t="s">
        <v>182</v>
      </c>
      <c r="C254" s="437" t="s">
        <v>485</v>
      </c>
      <c r="D254" s="439" t="s">
        <v>1583</v>
      </c>
      <c r="E254" s="212">
        <v>7120004.0</v>
      </c>
      <c r="F254" s="212" t="s">
        <v>488</v>
      </c>
      <c r="G254" s="212" t="s">
        <v>84</v>
      </c>
      <c r="H254" s="598">
        <v>250000.0</v>
      </c>
      <c r="I254" s="212" t="s">
        <v>1193</v>
      </c>
      <c r="J254" s="441" t="s">
        <v>1584</v>
      </c>
      <c r="K254" s="627"/>
      <c r="L254" s="628"/>
      <c r="M254" s="629"/>
      <c r="N254" s="630"/>
      <c r="O254" s="631"/>
    </row>
    <row r="255" hidden="1">
      <c r="A255" s="437">
        <v>2022.0</v>
      </c>
      <c r="B255" s="439" t="s">
        <v>559</v>
      </c>
      <c r="C255" s="437" t="s">
        <v>485</v>
      </c>
      <c r="D255" s="439" t="s">
        <v>1392</v>
      </c>
      <c r="E255" s="212">
        <v>7120004.0</v>
      </c>
      <c r="F255" s="212" t="s">
        <v>488</v>
      </c>
      <c r="G255" s="212" t="s">
        <v>84</v>
      </c>
      <c r="H255" s="598">
        <v>350000.0</v>
      </c>
      <c r="I255" s="212" t="s">
        <v>1193</v>
      </c>
      <c r="J255" s="441" t="s">
        <v>1584</v>
      </c>
      <c r="K255" s="627"/>
      <c r="L255" s="628"/>
      <c r="M255" s="629"/>
      <c r="N255" s="630"/>
      <c r="O255" s="631"/>
    </row>
    <row r="256" hidden="1">
      <c r="A256" s="437">
        <v>2022.0</v>
      </c>
      <c r="B256" s="439" t="s">
        <v>338</v>
      </c>
      <c r="C256" s="437" t="s">
        <v>485</v>
      </c>
      <c r="D256" s="439" t="s">
        <v>1642</v>
      </c>
      <c r="E256" s="212">
        <v>7120004.0</v>
      </c>
      <c r="F256" s="212" t="s">
        <v>488</v>
      </c>
      <c r="G256" s="212" t="s">
        <v>84</v>
      </c>
      <c r="H256" s="598">
        <v>500000.0</v>
      </c>
      <c r="I256" s="212" t="s">
        <v>1193</v>
      </c>
      <c r="J256" s="441" t="s">
        <v>1208</v>
      </c>
      <c r="K256" s="627"/>
      <c r="L256" s="628"/>
      <c r="M256" s="629"/>
      <c r="N256" s="630"/>
      <c r="O256" s="631"/>
    </row>
    <row r="257">
      <c r="A257" s="437">
        <v>2022.0</v>
      </c>
      <c r="B257" s="439" t="s">
        <v>377</v>
      </c>
      <c r="C257" s="437" t="s">
        <v>485</v>
      </c>
      <c r="D257" s="439" t="s">
        <v>773</v>
      </c>
      <c r="E257" s="212">
        <v>7120004.0</v>
      </c>
      <c r="F257" s="212" t="s">
        <v>488</v>
      </c>
      <c r="G257" s="212" t="s">
        <v>84</v>
      </c>
      <c r="H257" s="598">
        <v>200000.0</v>
      </c>
      <c r="I257" s="212" t="s">
        <v>1193</v>
      </c>
      <c r="J257" s="441" t="s">
        <v>1208</v>
      </c>
      <c r="K257" s="627"/>
      <c r="L257" s="628"/>
      <c r="M257" s="629"/>
      <c r="N257" s="630"/>
      <c r="O257" s="631"/>
    </row>
    <row r="258" hidden="1">
      <c r="A258" s="437">
        <v>2022.0</v>
      </c>
      <c r="B258" s="439" t="s">
        <v>785</v>
      </c>
      <c r="C258" s="437" t="s">
        <v>485</v>
      </c>
      <c r="D258" s="439" t="s">
        <v>1653</v>
      </c>
      <c r="E258" s="212">
        <v>7120004.0</v>
      </c>
      <c r="F258" s="212" t="s">
        <v>488</v>
      </c>
      <c r="G258" s="212" t="s">
        <v>84</v>
      </c>
      <c r="H258" s="598">
        <v>200000.0</v>
      </c>
      <c r="I258" s="212" t="s">
        <v>1193</v>
      </c>
      <c r="J258" s="441" t="s">
        <v>1208</v>
      </c>
      <c r="K258" s="627"/>
      <c r="L258" s="628"/>
      <c r="M258" s="629"/>
      <c r="N258" s="630"/>
      <c r="O258" s="631"/>
    </row>
    <row r="259" hidden="1">
      <c r="A259" s="437">
        <v>2022.0</v>
      </c>
      <c r="B259" s="439" t="s">
        <v>473</v>
      </c>
      <c r="C259" s="437" t="s">
        <v>485</v>
      </c>
      <c r="D259" s="439" t="s">
        <v>1333</v>
      </c>
      <c r="E259" s="212">
        <v>7120004.0</v>
      </c>
      <c r="F259" s="212" t="s">
        <v>488</v>
      </c>
      <c r="G259" s="212" t="s">
        <v>84</v>
      </c>
      <c r="H259" s="598">
        <v>200000.0</v>
      </c>
      <c r="I259" s="212" t="s">
        <v>1193</v>
      </c>
      <c r="J259" s="441" t="s">
        <v>1584</v>
      </c>
      <c r="K259" s="627"/>
      <c r="L259" s="628"/>
      <c r="M259" s="629"/>
      <c r="N259" s="630"/>
      <c r="O259" s="631"/>
    </row>
    <row r="260" hidden="1">
      <c r="A260" s="437">
        <v>2022.0</v>
      </c>
      <c r="B260" s="439" t="s">
        <v>102</v>
      </c>
      <c r="C260" s="437" t="s">
        <v>485</v>
      </c>
      <c r="D260" s="439" t="s">
        <v>1480</v>
      </c>
      <c r="E260" s="212">
        <v>7120004.0</v>
      </c>
      <c r="F260" s="212" t="s">
        <v>488</v>
      </c>
      <c r="G260" s="212" t="s">
        <v>84</v>
      </c>
      <c r="H260" s="598">
        <v>106674.25</v>
      </c>
      <c r="I260" s="212" t="s">
        <v>1193</v>
      </c>
      <c r="J260" s="441" t="s">
        <v>1208</v>
      </c>
      <c r="K260" s="627"/>
      <c r="L260" s="628"/>
      <c r="M260" s="629"/>
      <c r="N260" s="630"/>
      <c r="O260" s="631"/>
    </row>
    <row r="261" hidden="1">
      <c r="A261" s="437"/>
      <c r="B261" s="632" t="s">
        <v>992</v>
      </c>
      <c r="C261" s="633" t="s">
        <v>1065</v>
      </c>
      <c r="D261" s="634"/>
      <c r="E261" s="212"/>
      <c r="F261" s="212"/>
      <c r="G261" s="212"/>
      <c r="H261" s="635">
        <v>234954.25</v>
      </c>
      <c r="I261" s="212"/>
      <c r="J261" s="441"/>
      <c r="K261" s="632" t="s">
        <v>1227</v>
      </c>
      <c r="L261" s="628"/>
      <c r="M261" s="629"/>
      <c r="N261" s="630"/>
      <c r="O261" s="631"/>
    </row>
    <row r="262" hidden="1">
      <c r="A262" s="437"/>
      <c r="B262" s="632" t="s">
        <v>47</v>
      </c>
      <c r="C262" s="636" t="s">
        <v>1065</v>
      </c>
      <c r="D262" s="634"/>
      <c r="E262" s="634"/>
      <c r="F262" s="634"/>
      <c r="G262" s="634"/>
      <c r="H262" s="635">
        <v>234954.25</v>
      </c>
      <c r="I262" s="212"/>
      <c r="J262" s="441"/>
      <c r="K262" s="632" t="s">
        <v>1227</v>
      </c>
      <c r="L262" s="628"/>
      <c r="M262" s="629"/>
      <c r="N262" s="630"/>
      <c r="O262" s="631"/>
    </row>
    <row r="263" hidden="1">
      <c r="A263" s="437"/>
      <c r="B263" s="632" t="s">
        <v>123</v>
      </c>
      <c r="C263" s="636" t="s">
        <v>1065</v>
      </c>
      <c r="D263" s="634"/>
      <c r="E263" s="634"/>
      <c r="F263" s="634"/>
      <c r="G263" s="634"/>
      <c r="H263" s="635">
        <v>384370.17</v>
      </c>
      <c r="I263" s="212"/>
      <c r="J263" s="441"/>
      <c r="K263" s="632" t="s">
        <v>1341</v>
      </c>
      <c r="L263" s="628"/>
      <c r="M263" s="629"/>
      <c r="N263" s="630"/>
      <c r="O263" s="631"/>
    </row>
    <row r="264" hidden="1">
      <c r="A264" s="437"/>
      <c r="B264" s="632" t="s">
        <v>657</v>
      </c>
      <c r="C264" s="636" t="s">
        <v>1065</v>
      </c>
      <c r="D264" s="634"/>
      <c r="E264" s="634"/>
      <c r="F264" s="634"/>
      <c r="G264" s="634"/>
      <c r="H264" s="635">
        <v>384370.17</v>
      </c>
      <c r="I264" s="212"/>
      <c r="J264" s="441"/>
      <c r="K264" s="632" t="s">
        <v>1341</v>
      </c>
      <c r="L264" s="628"/>
      <c r="M264" s="629"/>
      <c r="N264" s="630"/>
      <c r="O264" s="631"/>
    </row>
    <row r="265" hidden="1">
      <c r="A265" s="437"/>
      <c r="B265" s="632" t="s">
        <v>188</v>
      </c>
      <c r="C265" s="636" t="s">
        <v>139</v>
      </c>
      <c r="D265" s="634"/>
      <c r="E265" s="634"/>
      <c r="F265" s="634"/>
      <c r="G265" s="634"/>
      <c r="H265" s="635">
        <v>234954.25</v>
      </c>
      <c r="I265" s="212"/>
      <c r="J265" s="441"/>
      <c r="K265" s="632" t="s">
        <v>1227</v>
      </c>
      <c r="L265" s="628"/>
      <c r="M265" s="629"/>
      <c r="N265" s="630"/>
      <c r="O265" s="631"/>
    </row>
    <row r="266" hidden="1">
      <c r="A266" s="437"/>
      <c r="B266" s="632" t="s">
        <v>127</v>
      </c>
      <c r="C266" s="636" t="s">
        <v>139</v>
      </c>
      <c r="D266" s="634"/>
      <c r="E266" s="634"/>
      <c r="F266" s="634"/>
      <c r="G266" s="634"/>
      <c r="H266" s="635">
        <v>234954.25</v>
      </c>
      <c r="I266" s="212"/>
      <c r="J266" s="441"/>
      <c r="K266" s="632" t="s">
        <v>1227</v>
      </c>
      <c r="L266" s="628"/>
      <c r="M266" s="629"/>
      <c r="N266" s="630"/>
      <c r="O266" s="631"/>
    </row>
    <row r="267" hidden="1">
      <c r="A267" s="437"/>
      <c r="B267" s="632" t="s">
        <v>333</v>
      </c>
      <c r="C267" s="636" t="s">
        <v>139</v>
      </c>
      <c r="D267" s="634"/>
      <c r="E267" s="634"/>
      <c r="F267" s="634"/>
      <c r="G267" s="634"/>
      <c r="H267" s="635">
        <v>384370.17</v>
      </c>
      <c r="I267" s="212"/>
      <c r="J267" s="441"/>
      <c r="K267" s="632" t="s">
        <v>1341</v>
      </c>
      <c r="L267" s="628"/>
      <c r="M267" s="629"/>
      <c r="N267" s="630"/>
      <c r="O267" s="631"/>
    </row>
    <row r="268" hidden="1">
      <c r="A268" s="437"/>
      <c r="B268" s="632" t="s">
        <v>102</v>
      </c>
      <c r="C268" s="636" t="s">
        <v>139</v>
      </c>
      <c r="D268" s="634"/>
      <c r="E268" s="634"/>
      <c r="F268" s="634"/>
      <c r="G268" s="634"/>
      <c r="H268" s="635">
        <v>384370.17</v>
      </c>
      <c r="I268" s="212"/>
      <c r="J268" s="441"/>
      <c r="K268" s="632" t="s">
        <v>1341</v>
      </c>
      <c r="L268" s="628"/>
      <c r="M268" s="629"/>
      <c r="N268" s="630"/>
      <c r="O268" s="631"/>
    </row>
    <row r="269" hidden="1">
      <c r="A269" s="437"/>
      <c r="B269" s="637" t="s">
        <v>2147</v>
      </c>
      <c r="C269" s="636" t="s">
        <v>1094</v>
      </c>
      <c r="D269" s="185" t="s">
        <v>1746</v>
      </c>
      <c r="E269" s="634"/>
      <c r="F269" s="634"/>
      <c r="G269" s="634"/>
      <c r="H269" s="635">
        <v>234954.25</v>
      </c>
      <c r="I269" s="212"/>
      <c r="J269" s="441"/>
      <c r="K269" s="632" t="s">
        <v>1227</v>
      </c>
      <c r="L269" s="628"/>
      <c r="M269" s="629"/>
      <c r="N269" s="630"/>
      <c r="O269" s="631"/>
    </row>
    <row r="270" hidden="1">
      <c r="A270" s="437"/>
      <c r="B270" s="637" t="s">
        <v>2149</v>
      </c>
      <c r="C270" s="636" t="s">
        <v>1094</v>
      </c>
      <c r="D270" s="185" t="s">
        <v>1375</v>
      </c>
      <c r="E270" s="634"/>
      <c r="F270" s="634"/>
      <c r="G270" s="634"/>
      <c r="H270" s="635">
        <v>234954.25</v>
      </c>
      <c r="I270" s="212"/>
      <c r="J270" s="441"/>
      <c r="K270" s="632" t="s">
        <v>1227</v>
      </c>
      <c r="L270" s="628"/>
      <c r="M270" s="629"/>
      <c r="N270" s="630"/>
      <c r="O270" s="631"/>
    </row>
    <row r="271" hidden="1">
      <c r="A271" s="437"/>
      <c r="B271" s="637" t="s">
        <v>2150</v>
      </c>
      <c r="C271" s="636" t="s">
        <v>1094</v>
      </c>
      <c r="D271" s="185" t="s">
        <v>1849</v>
      </c>
      <c r="E271" s="634"/>
      <c r="F271" s="634"/>
      <c r="G271" s="634"/>
      <c r="H271" s="635">
        <v>234954.25</v>
      </c>
      <c r="I271" s="212"/>
      <c r="J271" s="441"/>
      <c r="K271" s="632" t="s">
        <v>1227</v>
      </c>
      <c r="L271" s="628"/>
      <c r="M271" s="629"/>
      <c r="N271" s="630"/>
      <c r="O271" s="631"/>
    </row>
    <row r="272" hidden="1">
      <c r="A272" s="437"/>
      <c r="B272" s="637" t="s">
        <v>2152</v>
      </c>
      <c r="C272" s="636" t="s">
        <v>1094</v>
      </c>
      <c r="D272" s="185" t="s">
        <v>1900</v>
      </c>
      <c r="E272" s="634"/>
      <c r="F272" s="634"/>
      <c r="G272" s="634"/>
      <c r="H272" s="635">
        <v>384370.17</v>
      </c>
      <c r="I272" s="212"/>
      <c r="J272" s="441"/>
      <c r="K272" s="632" t="s">
        <v>1341</v>
      </c>
      <c r="L272" s="628"/>
      <c r="M272" s="629"/>
      <c r="N272" s="630"/>
      <c r="O272" s="631"/>
    </row>
    <row r="273" hidden="1">
      <c r="A273" s="437"/>
      <c r="B273" s="439"/>
      <c r="C273" s="437"/>
      <c r="D273" s="634"/>
      <c r="E273" s="634"/>
      <c r="F273" s="634"/>
      <c r="G273" s="634"/>
      <c r="H273" s="598"/>
      <c r="I273" s="212"/>
      <c r="J273" s="441"/>
      <c r="K273" s="627"/>
      <c r="L273" s="628"/>
      <c r="M273" s="629"/>
      <c r="N273" s="630"/>
      <c r="O273" s="631"/>
    </row>
    <row r="274" hidden="1">
      <c r="A274" s="437"/>
      <c r="B274" s="439"/>
      <c r="C274" s="437"/>
      <c r="D274" s="439"/>
      <c r="E274" s="212"/>
      <c r="F274" s="212"/>
      <c r="G274" s="212"/>
      <c r="H274" s="598"/>
      <c r="I274" s="212"/>
      <c r="J274" s="441"/>
      <c r="K274" s="627"/>
      <c r="L274" s="628"/>
      <c r="M274" s="629"/>
      <c r="N274" s="630"/>
      <c r="O274" s="631"/>
    </row>
    <row r="275" hidden="1">
      <c r="A275" s="437"/>
      <c r="B275" s="439"/>
      <c r="C275" s="437"/>
      <c r="D275" s="439"/>
      <c r="E275" s="212"/>
      <c r="F275" s="212"/>
      <c r="G275" s="212"/>
      <c r="H275" s="598"/>
      <c r="I275" s="212"/>
      <c r="J275" s="441"/>
      <c r="K275" s="627"/>
      <c r="L275" s="628"/>
      <c r="M275" s="629"/>
      <c r="N275" s="630"/>
      <c r="O275" s="631"/>
    </row>
  </sheetData>
  <autoFilter ref="$A$1:$O$275">
    <filterColumn colId="1">
      <filters>
        <filter val="Porto Lucena"/>
        <filter val="Caxias do Sul"/>
        <filter val="Santiago"/>
        <filter val="São Luiz Gonzaga"/>
        <filter val="Santa Rosa"/>
        <filter val="São Borja"/>
        <filter val="Santo Ângelo"/>
        <filter val="Santo Augusto"/>
      </filters>
    </filterColumn>
    <sortState ref="A1:O275">
      <sortCondition ref="I1:I275"/>
      <sortCondition ref="A1:A275"/>
      <sortCondition ref="B1:B275"/>
      <sortCondition ref="E1:E275"/>
      <sortCondition descending="1" ref="C1:C275"/>
    </sortState>
  </autoFilter>
  <conditionalFormatting sqref="L82">
    <cfRule type="notContainsBlanks" dxfId="0" priority="1">
      <formula>LEN(TRIM(L82))&gt;0</formula>
    </cfRule>
  </conditionalFormatting>
  <hyperlinks>
    <hyperlink r:id="rId1" ref="N51"/>
    <hyperlink r:id="rId2" ref="N52"/>
    <hyperlink r:id="rId3" ref="N53"/>
    <hyperlink r:id="rId4" ref="N54"/>
    <hyperlink r:id="rId5" ref="N55"/>
    <hyperlink r:id="rId6" ref="N56"/>
    <hyperlink r:id="rId7" ref="N57"/>
    <hyperlink r:id="rId8" ref="N58"/>
    <hyperlink r:id="rId9" ref="N59"/>
    <hyperlink r:id="rId10" ref="N60"/>
    <hyperlink r:id="rId11" ref="N61"/>
    <hyperlink r:id="rId12" ref="N62"/>
    <hyperlink r:id="rId13" location="page=6" ref="E63"/>
    <hyperlink r:id="rId14" ref="N65"/>
    <hyperlink r:id="rId15" ref="N66"/>
    <hyperlink r:id="rId16" ref="N68"/>
    <hyperlink r:id="rId17" ref="N69"/>
    <hyperlink r:id="rId18" ref="N70"/>
    <hyperlink r:id="rId19" ref="N75"/>
    <hyperlink r:id="rId20" location="page=6" ref="E77"/>
    <hyperlink r:id="rId21" location="page=6" ref="E78"/>
    <hyperlink r:id="rId22" location="page=6" ref="E79"/>
    <hyperlink r:id="rId23" ref="N82"/>
    <hyperlink r:id="rId24" location="page=6" ref="E83"/>
    <hyperlink r:id="rId25" location="page=6" ref="E85"/>
    <hyperlink r:id="rId26" ref="N89"/>
    <hyperlink r:id="rId27" ref="N90"/>
    <hyperlink r:id="rId28" ref="N92"/>
    <hyperlink r:id="rId29" ref="N93"/>
    <hyperlink r:id="rId30" location="page=6" ref="E95"/>
    <hyperlink r:id="rId31" ref="N95"/>
    <hyperlink r:id="rId32" ref="N97"/>
    <hyperlink r:id="rId33" ref="N100"/>
    <hyperlink r:id="rId34" ref="N102"/>
    <hyperlink r:id="rId35" ref="N103"/>
    <hyperlink r:id="rId36" location="page=6" ref="E104"/>
    <hyperlink r:id="rId37" ref="N105"/>
    <hyperlink r:id="rId38" ref="N108"/>
    <hyperlink r:id="rId39" ref="N110"/>
    <hyperlink r:id="rId40" ref="N111"/>
    <hyperlink r:id="rId41" ref="N113"/>
    <hyperlink r:id="rId42" location="page=6" ref="E114"/>
    <hyperlink r:id="rId43" ref="N119"/>
    <hyperlink r:id="rId44" location="page=6" ref="E120"/>
    <hyperlink r:id="rId45" ref="N123"/>
    <hyperlink r:id="rId46" location="page=6" ref="E125"/>
    <hyperlink r:id="rId47" ref="N126"/>
    <hyperlink r:id="rId48" ref="N127"/>
    <hyperlink r:id="rId49" ref="N128"/>
    <hyperlink r:id="rId50" ref="N131"/>
    <hyperlink r:id="rId51" ref="N133"/>
    <hyperlink r:id="rId52" location="page=6" ref="E134"/>
    <hyperlink r:id="rId53" location="page=6" ref="E135"/>
    <hyperlink r:id="rId54" ref="N136"/>
    <hyperlink r:id="rId55" location="page=6" ref="E137"/>
    <hyperlink r:id="rId56" location="page=6" ref="E141"/>
    <hyperlink r:id="rId57" ref="N142"/>
    <hyperlink r:id="rId58" location="page=6" ref="E144"/>
    <hyperlink r:id="rId59" ref="N145"/>
    <hyperlink r:id="rId60" ref="N147"/>
    <hyperlink r:id="rId61" ref="N148"/>
    <hyperlink r:id="rId62" location="page=6" ref="E149"/>
    <hyperlink r:id="rId63" ref="N150"/>
    <hyperlink r:id="rId64" ref="N153"/>
    <hyperlink r:id="rId65" ref="N154"/>
    <hyperlink r:id="rId66" location="page=6" ref="E156"/>
    <hyperlink r:id="rId67" ref="N157"/>
    <hyperlink r:id="rId68" ref="N158"/>
    <hyperlink r:id="rId69" location="page=6" ref="E159"/>
    <hyperlink r:id="rId70" ref="N160"/>
    <hyperlink r:id="rId71" ref="N161"/>
    <hyperlink r:id="rId72" ref="N162"/>
    <hyperlink r:id="rId73" location="page=6" ref="E163"/>
    <hyperlink r:id="rId74" location="page=6" ref="E167"/>
    <hyperlink r:id="rId75" ref="N168"/>
    <hyperlink r:id="rId76" ref="N169"/>
    <hyperlink r:id="rId77" ref="N170"/>
    <hyperlink r:id="rId78" ref="N171"/>
    <hyperlink r:id="rId79" ref="N172"/>
    <hyperlink r:id="rId80" ref="N176"/>
    <hyperlink r:id="rId81" ref="N177"/>
    <hyperlink r:id="rId82" ref="N178"/>
    <hyperlink r:id="rId83" ref="N179"/>
    <hyperlink r:id="rId84" ref="N180"/>
    <hyperlink r:id="rId85" ref="N181"/>
    <hyperlink r:id="rId86" ref="N182"/>
    <hyperlink r:id="rId87" ref="N183"/>
    <hyperlink r:id="rId88" ref="N184"/>
    <hyperlink r:id="rId89" ref="N185"/>
    <hyperlink r:id="rId90" ref="N186"/>
    <hyperlink r:id="rId91" ref="N187"/>
    <hyperlink r:id="rId92" location="page=6" ref="E188"/>
    <hyperlink r:id="rId93" location="page=6" ref="E190"/>
    <hyperlink r:id="rId94" location="page=6" ref="E192"/>
    <hyperlink r:id="rId95" ref="N194"/>
    <hyperlink r:id="rId96" ref="N195"/>
    <hyperlink r:id="rId97" ref="N196"/>
    <hyperlink r:id="rId98" ref="N197"/>
    <hyperlink r:id="rId99" ref="N198"/>
    <hyperlink r:id="rId100" ref="N200"/>
    <hyperlink r:id="rId101" location="page=6" ref="E202"/>
    <hyperlink r:id="rId102" ref="N205"/>
    <hyperlink r:id="rId103" ref="N206"/>
    <hyperlink r:id="rId104" ref="N208"/>
    <hyperlink r:id="rId105" ref="N209"/>
    <hyperlink r:id="rId106" location="page=6" ref="E210"/>
    <hyperlink r:id="rId107" ref="N210"/>
    <hyperlink r:id="rId108" ref="N211"/>
    <hyperlink r:id="rId109" ref="N212"/>
    <hyperlink r:id="rId110" location="page=6" ref="E214"/>
    <hyperlink r:id="rId111" location="page=6" ref="E216"/>
    <hyperlink r:id="rId112" location="page=6" ref="E218"/>
    <hyperlink r:id="rId113" location="page=6" ref="E224"/>
    <hyperlink r:id="rId114" ref="N225"/>
    <hyperlink r:id="rId115" ref="N226"/>
    <hyperlink r:id="rId116" location="page=6" ref="E227"/>
    <hyperlink r:id="rId117" ref="N228"/>
    <hyperlink r:id="rId118" ref="N231"/>
    <hyperlink r:id="rId119" ref="N232"/>
    <hyperlink r:id="rId120" ref="N233"/>
    <hyperlink r:id="rId121" ref="N234"/>
    <hyperlink r:id="rId122" ref="N235"/>
    <hyperlink r:id="rId123" ref="N236"/>
    <hyperlink r:id="rId124" ref="N237"/>
    <hyperlink r:id="rId125" ref="N238"/>
    <hyperlink r:id="rId126" ref="N239"/>
    <hyperlink r:id="rId127" ref="N240"/>
  </hyperlinks>
  <printOptions gridLines="1" horizontalCentered="1"/>
  <pageMargins bottom="0.75" footer="0.0" header="0.0" left="0.7" right="0.7" top="0.75"/>
  <pageSetup fitToHeight="0" paperSize="9" cellComments="atEnd" orientation="landscape" pageOrder="overThenDown"/>
  <drawing r:id="rId12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9.63"/>
    <col customWidth="1" min="3" max="3" width="14.13"/>
    <col customWidth="1" min="4" max="4" width="34.5"/>
    <col customWidth="1" min="5" max="5" width="18.25"/>
    <col customWidth="1" min="6" max="6" width="24.88"/>
    <col customWidth="1" min="7" max="7" width="14.25"/>
    <col customWidth="1" min="8" max="8" width="17.75"/>
    <col customWidth="1" min="9" max="9" width="17.13"/>
    <col customWidth="1" min="10" max="10" width="31.88"/>
    <col customWidth="1" min="11" max="11" width="38.25"/>
    <col customWidth="1" min="12" max="12" width="21.0"/>
    <col customWidth="1" min="13" max="13" width="23.75"/>
    <col customWidth="1" min="14" max="14" width="36.5"/>
    <col customWidth="1" min="15" max="15" width="5.5"/>
  </cols>
  <sheetData>
    <row r="1">
      <c r="A1" s="591"/>
      <c r="B1" s="592" t="s">
        <v>14</v>
      </c>
      <c r="C1" s="592" t="s">
        <v>11</v>
      </c>
      <c r="D1" s="592" t="s">
        <v>16</v>
      </c>
      <c r="E1" s="594" t="s">
        <v>19</v>
      </c>
      <c r="F1" s="591" t="s">
        <v>24</v>
      </c>
      <c r="G1" s="591" t="s">
        <v>29</v>
      </c>
      <c r="H1" s="594" t="s">
        <v>32</v>
      </c>
      <c r="I1" s="592" t="s">
        <v>39</v>
      </c>
      <c r="J1" s="592" t="s">
        <v>41</v>
      </c>
      <c r="K1" s="592" t="s">
        <v>43</v>
      </c>
      <c r="L1" s="592" t="s">
        <v>10</v>
      </c>
      <c r="M1" s="595" t="s">
        <v>1042</v>
      </c>
      <c r="N1" s="595" t="s">
        <v>1088</v>
      </c>
      <c r="O1" s="596" t="s">
        <v>1044</v>
      </c>
    </row>
    <row r="2" ht="40.5" hidden="1" customHeight="1">
      <c r="A2" s="291">
        <v>2021.0</v>
      </c>
      <c r="B2" s="291" t="s">
        <v>1047</v>
      </c>
      <c r="C2" s="299" t="s">
        <v>139</v>
      </c>
      <c r="D2" s="291" t="s">
        <v>139</v>
      </c>
      <c r="E2" s="291">
        <v>7.1220009E7</v>
      </c>
      <c r="F2" s="291" t="s">
        <v>27</v>
      </c>
      <c r="G2" s="291" t="s">
        <v>152</v>
      </c>
      <c r="H2" s="292">
        <v>700000.0</v>
      </c>
      <c r="I2" s="291" t="s">
        <v>389</v>
      </c>
      <c r="J2" s="291"/>
      <c r="K2" s="170" t="s">
        <v>1053</v>
      </c>
      <c r="L2" s="172"/>
      <c r="M2" s="172"/>
      <c r="N2" s="258" t="s">
        <v>1977</v>
      </c>
      <c r="O2" s="295"/>
    </row>
    <row r="3" ht="30.75" hidden="1" customHeight="1">
      <c r="A3" s="161">
        <v>2022.0</v>
      </c>
      <c r="B3" s="161" t="s">
        <v>1047</v>
      </c>
      <c r="C3" s="161"/>
      <c r="D3" s="177" t="s">
        <v>1985</v>
      </c>
      <c r="E3" s="161">
        <v>4.1160001E7</v>
      </c>
      <c r="F3" s="161" t="s">
        <v>27</v>
      </c>
      <c r="G3" s="161"/>
      <c r="H3" s="186">
        <v>3500000.0</v>
      </c>
      <c r="I3" s="161" t="s">
        <v>200</v>
      </c>
      <c r="J3" s="161" t="s">
        <v>1082</v>
      </c>
      <c r="K3" s="170"/>
      <c r="L3" s="172"/>
      <c r="M3" s="172"/>
      <c r="N3" s="174"/>
      <c r="O3" s="295"/>
    </row>
    <row r="4" ht="30.75" hidden="1" customHeight="1">
      <c r="A4" s="212">
        <v>2022.0</v>
      </c>
      <c r="B4" s="212" t="s">
        <v>1190</v>
      </c>
      <c r="C4" s="213"/>
      <c r="D4" s="214" t="s">
        <v>1195</v>
      </c>
      <c r="E4" s="204">
        <v>4.1160004E7</v>
      </c>
      <c r="F4" s="204"/>
      <c r="G4" s="204"/>
      <c r="H4" s="166">
        <v>350000.0</v>
      </c>
      <c r="I4" s="204" t="s">
        <v>200</v>
      </c>
      <c r="J4" s="204" t="s">
        <v>1082</v>
      </c>
      <c r="K4" s="170"/>
      <c r="L4" s="172"/>
      <c r="M4" s="172"/>
      <c r="N4" s="174"/>
      <c r="O4" s="295"/>
    </row>
    <row r="5" ht="30.75" hidden="1" customHeight="1">
      <c r="A5" s="212">
        <v>2022.0</v>
      </c>
      <c r="B5" s="212" t="s">
        <v>1199</v>
      </c>
      <c r="C5" s="204"/>
      <c r="D5" s="215" t="s">
        <v>1096</v>
      </c>
      <c r="E5" s="204">
        <v>4.1160006E7</v>
      </c>
      <c r="F5" s="204"/>
      <c r="G5" s="204"/>
      <c r="H5" s="166">
        <v>350000.0</v>
      </c>
      <c r="I5" s="204" t="s">
        <v>200</v>
      </c>
      <c r="J5" s="204" t="s">
        <v>1082</v>
      </c>
      <c r="K5" s="170"/>
      <c r="L5" s="172"/>
      <c r="M5" s="172"/>
      <c r="N5" s="174"/>
      <c r="O5" s="295"/>
    </row>
    <row r="6" ht="30.75" hidden="1" customHeight="1">
      <c r="A6" s="212">
        <v>2022.0</v>
      </c>
      <c r="B6" s="169" t="s">
        <v>355</v>
      </c>
      <c r="C6" s="204"/>
      <c r="D6" s="215" t="s">
        <v>1201</v>
      </c>
      <c r="E6" s="204">
        <v>4.116001E7</v>
      </c>
      <c r="F6" s="204"/>
      <c r="G6" s="204"/>
      <c r="H6" s="166">
        <v>350000.0</v>
      </c>
      <c r="I6" s="204" t="s">
        <v>200</v>
      </c>
      <c r="J6" s="204" t="s">
        <v>1082</v>
      </c>
      <c r="K6" s="170"/>
      <c r="L6" s="172"/>
      <c r="M6" s="172"/>
      <c r="N6" s="174"/>
      <c r="O6" s="295"/>
    </row>
    <row r="7" ht="31.5" hidden="1" customHeight="1">
      <c r="A7" s="212">
        <v>2022.0</v>
      </c>
      <c r="B7" s="212" t="s">
        <v>127</v>
      </c>
      <c r="C7" s="204"/>
      <c r="D7" s="215" t="s">
        <v>1203</v>
      </c>
      <c r="E7" s="204">
        <v>4.1160009E7</v>
      </c>
      <c r="F7" s="204"/>
      <c r="G7" s="204"/>
      <c r="H7" s="166">
        <v>300000.0</v>
      </c>
      <c r="I7" s="204" t="s">
        <v>200</v>
      </c>
      <c r="J7" s="204" t="s">
        <v>1082</v>
      </c>
      <c r="K7" s="170"/>
      <c r="L7" s="172"/>
      <c r="M7" s="172"/>
      <c r="N7" s="174"/>
      <c r="O7" s="295"/>
    </row>
    <row r="8" ht="31.5" hidden="1" customHeight="1">
      <c r="A8" s="212">
        <v>2022.0</v>
      </c>
      <c r="B8" s="169" t="s">
        <v>355</v>
      </c>
      <c r="C8" s="204"/>
      <c r="D8" s="214" t="s">
        <v>1205</v>
      </c>
      <c r="E8" s="204">
        <v>4.1160008E7</v>
      </c>
      <c r="F8" s="204"/>
      <c r="G8" s="204"/>
      <c r="H8" s="166">
        <v>300000.0</v>
      </c>
      <c r="I8" s="204" t="s">
        <v>200</v>
      </c>
      <c r="J8" s="204" t="s">
        <v>1082</v>
      </c>
      <c r="K8" s="170"/>
      <c r="L8" s="172"/>
      <c r="M8" s="172"/>
      <c r="N8" s="174"/>
      <c r="O8" s="295"/>
    </row>
    <row r="9" ht="35.25" hidden="1" customHeight="1">
      <c r="A9" s="212">
        <v>2022.0</v>
      </c>
      <c r="B9" s="212" t="s">
        <v>198</v>
      </c>
      <c r="C9" s="204" t="s">
        <v>14</v>
      </c>
      <c r="D9" s="204" t="s">
        <v>74</v>
      </c>
      <c r="E9" s="204">
        <v>4.1160007E7</v>
      </c>
      <c r="F9" s="169" t="s">
        <v>1210</v>
      </c>
      <c r="G9" s="204"/>
      <c r="H9" s="166">
        <v>1139365.0</v>
      </c>
      <c r="I9" s="204" t="s">
        <v>200</v>
      </c>
      <c r="J9" s="204" t="s">
        <v>1082</v>
      </c>
      <c r="K9" s="170"/>
      <c r="L9" s="172"/>
      <c r="M9" s="172"/>
      <c r="N9" s="174"/>
      <c r="O9" s="295"/>
    </row>
    <row r="10" ht="35.25" hidden="1" customHeight="1">
      <c r="A10" s="232">
        <v>2020.0</v>
      </c>
      <c r="B10" s="232" t="s">
        <v>76</v>
      </c>
      <c r="C10" s="232" t="s">
        <v>485</v>
      </c>
      <c r="D10" s="232" t="s">
        <v>1116</v>
      </c>
      <c r="E10" s="232">
        <v>4.1160005E7</v>
      </c>
      <c r="F10" s="232" t="s">
        <v>488</v>
      </c>
      <c r="G10" s="232" t="s">
        <v>84</v>
      </c>
      <c r="H10" s="357">
        <v>100000.0</v>
      </c>
      <c r="I10" s="232" t="s">
        <v>490</v>
      </c>
      <c r="J10" s="232" t="s">
        <v>110</v>
      </c>
      <c r="K10" s="232" t="s">
        <v>1076</v>
      </c>
      <c r="L10" s="360" t="s">
        <v>1525</v>
      </c>
      <c r="M10" s="331" t="s">
        <v>1117</v>
      </c>
      <c r="N10" s="398" t="s">
        <v>1528</v>
      </c>
      <c r="O10" s="339">
        <v>25.0</v>
      </c>
    </row>
    <row r="11" ht="35.25" hidden="1" customHeight="1">
      <c r="A11" s="212">
        <v>2022.0</v>
      </c>
      <c r="B11" s="212" t="s">
        <v>757</v>
      </c>
      <c r="C11" s="204" t="s">
        <v>14</v>
      </c>
      <c r="D11" s="204" t="s">
        <v>74</v>
      </c>
      <c r="E11" s="204">
        <v>4.1160007E7</v>
      </c>
      <c r="F11" s="169" t="s">
        <v>1210</v>
      </c>
      <c r="G11" s="204"/>
      <c r="H11" s="166">
        <v>500000.0</v>
      </c>
      <c r="I11" s="204" t="s">
        <v>200</v>
      </c>
      <c r="J11" s="204" t="s">
        <v>1082</v>
      </c>
      <c r="K11" s="170"/>
      <c r="L11" s="172"/>
      <c r="M11" s="172"/>
      <c r="N11" s="174"/>
      <c r="O11" s="295"/>
    </row>
    <row r="12" ht="35.25" hidden="1" customHeight="1">
      <c r="A12" s="212">
        <v>2022.0</v>
      </c>
      <c r="B12" s="212" t="s">
        <v>821</v>
      </c>
      <c r="C12" s="204"/>
      <c r="D12" s="221" t="s">
        <v>1215</v>
      </c>
      <c r="E12" s="204">
        <v>4.1160003E7</v>
      </c>
      <c r="F12" s="212" t="s">
        <v>1087</v>
      </c>
      <c r="G12" s="204" t="s">
        <v>152</v>
      </c>
      <c r="H12" s="166">
        <v>720000.0</v>
      </c>
      <c r="I12" s="204" t="s">
        <v>200</v>
      </c>
      <c r="J12" s="204" t="s">
        <v>1082</v>
      </c>
      <c r="K12" s="170"/>
      <c r="L12" s="172"/>
      <c r="M12" s="172"/>
      <c r="N12" s="174"/>
      <c r="O12" s="295"/>
    </row>
    <row r="13" ht="35.25" hidden="1" customHeight="1">
      <c r="A13" s="212">
        <v>2022.0</v>
      </c>
      <c r="B13" s="212" t="s">
        <v>861</v>
      </c>
      <c r="C13" s="204"/>
      <c r="D13" s="225" t="s">
        <v>1219</v>
      </c>
      <c r="E13" s="204">
        <v>4.1160003E7</v>
      </c>
      <c r="F13" s="212" t="s">
        <v>1087</v>
      </c>
      <c r="G13" s="204" t="s">
        <v>152</v>
      </c>
      <c r="H13" s="166">
        <v>250000.0</v>
      </c>
      <c r="I13" s="204" t="s">
        <v>200</v>
      </c>
      <c r="J13" s="204" t="s">
        <v>1082</v>
      </c>
      <c r="K13" s="170"/>
      <c r="L13" s="172"/>
      <c r="M13" s="172"/>
      <c r="N13" s="174"/>
      <c r="O13" s="295"/>
    </row>
    <row r="14" ht="35.25" hidden="1" customHeight="1">
      <c r="A14" s="212">
        <v>2022.0</v>
      </c>
      <c r="B14" s="212" t="s">
        <v>1225</v>
      </c>
      <c r="C14" s="204"/>
      <c r="D14" s="225" t="s">
        <v>1226</v>
      </c>
      <c r="E14" s="204">
        <v>4.1160003E7</v>
      </c>
      <c r="F14" s="212" t="s">
        <v>1087</v>
      </c>
      <c r="G14" s="204" t="s">
        <v>152</v>
      </c>
      <c r="H14" s="166">
        <v>650000.0</v>
      </c>
      <c r="I14" s="204" t="s">
        <v>200</v>
      </c>
      <c r="J14" s="204" t="s">
        <v>1082</v>
      </c>
      <c r="K14" s="170"/>
      <c r="L14" s="172"/>
      <c r="M14" s="172"/>
      <c r="N14" s="174"/>
      <c r="O14" s="295"/>
    </row>
    <row r="15" ht="35.25" hidden="1" customHeight="1">
      <c r="A15" s="212">
        <v>2022.0</v>
      </c>
      <c r="B15" s="212" t="s">
        <v>70</v>
      </c>
      <c r="C15" s="204"/>
      <c r="D15" s="225" t="s">
        <v>1226</v>
      </c>
      <c r="E15" s="204">
        <v>4.1160003E7</v>
      </c>
      <c r="F15" s="212" t="s">
        <v>1087</v>
      </c>
      <c r="G15" s="204" t="s">
        <v>152</v>
      </c>
      <c r="H15" s="166">
        <v>250000.0</v>
      </c>
      <c r="I15" s="204" t="s">
        <v>200</v>
      </c>
      <c r="J15" s="204" t="s">
        <v>1082</v>
      </c>
      <c r="K15" s="170"/>
      <c r="L15" s="172"/>
      <c r="M15" s="172"/>
      <c r="N15" s="174"/>
      <c r="O15" s="295"/>
    </row>
    <row r="16" ht="35.25" hidden="1" customHeight="1">
      <c r="A16" s="212">
        <v>2022.0</v>
      </c>
      <c r="B16" s="212" t="s">
        <v>180</v>
      </c>
      <c r="C16" s="204"/>
      <c r="D16" s="225" t="s">
        <v>1226</v>
      </c>
      <c r="E16" s="204">
        <v>4.1160003E7</v>
      </c>
      <c r="F16" s="212" t="s">
        <v>1087</v>
      </c>
      <c r="G16" s="204" t="s">
        <v>152</v>
      </c>
      <c r="H16" s="166">
        <v>610000.0</v>
      </c>
      <c r="I16" s="204" t="s">
        <v>200</v>
      </c>
      <c r="J16" s="204" t="s">
        <v>1082</v>
      </c>
      <c r="K16" s="170"/>
      <c r="L16" s="172"/>
      <c r="M16" s="172"/>
      <c r="N16" s="174"/>
      <c r="O16" s="295"/>
    </row>
    <row r="17" ht="35.25" hidden="1" customHeight="1">
      <c r="A17" s="212">
        <v>2022.0</v>
      </c>
      <c r="B17" s="212" t="s">
        <v>239</v>
      </c>
      <c r="C17" s="204"/>
      <c r="D17" s="225" t="s">
        <v>1226</v>
      </c>
      <c r="E17" s="204">
        <v>4.1160003E7</v>
      </c>
      <c r="F17" s="212" t="s">
        <v>1087</v>
      </c>
      <c r="G17" s="204" t="s">
        <v>152</v>
      </c>
      <c r="H17" s="166">
        <v>1000000.0</v>
      </c>
      <c r="I17" s="204" t="s">
        <v>200</v>
      </c>
      <c r="J17" s="204" t="s">
        <v>1082</v>
      </c>
      <c r="K17" s="170"/>
      <c r="L17" s="172"/>
      <c r="M17" s="172"/>
      <c r="N17" s="174"/>
      <c r="O17" s="295"/>
    </row>
    <row r="18" ht="35.25" hidden="1" customHeight="1">
      <c r="A18" s="212">
        <v>2022.0</v>
      </c>
      <c r="B18" s="212" t="s">
        <v>821</v>
      </c>
      <c r="C18" s="204"/>
      <c r="D18" s="225" t="s">
        <v>1234</v>
      </c>
      <c r="E18" s="204">
        <v>4.1160003E7</v>
      </c>
      <c r="F18" s="212" t="s">
        <v>1087</v>
      </c>
      <c r="G18" s="204" t="s">
        <v>152</v>
      </c>
      <c r="H18" s="166">
        <v>135000.0</v>
      </c>
      <c r="I18" s="204" t="s">
        <v>200</v>
      </c>
      <c r="J18" s="204" t="s">
        <v>1082</v>
      </c>
      <c r="K18" s="170"/>
      <c r="L18" s="172"/>
      <c r="M18" s="172"/>
      <c r="N18" s="174"/>
      <c r="O18" s="295"/>
    </row>
    <row r="19" ht="45.75" hidden="1" customHeight="1">
      <c r="A19" s="212">
        <v>2022.0</v>
      </c>
      <c r="B19" s="212" t="s">
        <v>127</v>
      </c>
      <c r="C19" s="204"/>
      <c r="D19" s="225" t="s">
        <v>1236</v>
      </c>
      <c r="E19" s="204">
        <v>4.1160003E7</v>
      </c>
      <c r="F19" s="212" t="s">
        <v>1087</v>
      </c>
      <c r="G19" s="204" t="s">
        <v>152</v>
      </c>
      <c r="H19" s="166">
        <v>569347.0</v>
      </c>
      <c r="I19" s="204" t="s">
        <v>200</v>
      </c>
      <c r="J19" s="204" t="s">
        <v>1082</v>
      </c>
      <c r="K19" s="170"/>
      <c r="L19" s="172"/>
      <c r="M19" s="172"/>
      <c r="N19" s="174"/>
      <c r="O19" s="295"/>
    </row>
    <row r="20" ht="45.75" hidden="1" customHeight="1">
      <c r="A20" s="212">
        <v>2022.0</v>
      </c>
      <c r="B20" s="212" t="s">
        <v>623</v>
      </c>
      <c r="C20" s="204"/>
      <c r="D20" s="225" t="s">
        <v>1237</v>
      </c>
      <c r="E20" s="204">
        <v>4.1160003E7</v>
      </c>
      <c r="F20" s="212" t="s">
        <v>1087</v>
      </c>
      <c r="G20" s="204" t="s">
        <v>152</v>
      </c>
      <c r="H20" s="166">
        <v>210000.0</v>
      </c>
      <c r="I20" s="204" t="s">
        <v>200</v>
      </c>
      <c r="J20" s="204" t="s">
        <v>1082</v>
      </c>
      <c r="K20" s="170"/>
      <c r="L20" s="172"/>
      <c r="M20" s="172"/>
      <c r="N20" s="174"/>
      <c r="O20" s="295"/>
    </row>
    <row r="21" ht="45.75" hidden="1" customHeight="1">
      <c r="A21" s="212">
        <v>2022.0</v>
      </c>
      <c r="B21" s="212" t="s">
        <v>127</v>
      </c>
      <c r="C21" s="204"/>
      <c r="D21" s="225" t="s">
        <v>2028</v>
      </c>
      <c r="E21" s="204">
        <v>4.1160003E7</v>
      </c>
      <c r="F21" s="212" t="s">
        <v>1087</v>
      </c>
      <c r="G21" s="204" t="s">
        <v>152</v>
      </c>
      <c r="H21" s="166">
        <v>776319.0</v>
      </c>
      <c r="I21" s="204" t="s">
        <v>200</v>
      </c>
      <c r="J21" s="204" t="s">
        <v>1082</v>
      </c>
      <c r="K21" s="170"/>
      <c r="L21" s="172"/>
      <c r="M21" s="172"/>
      <c r="N21" s="174"/>
      <c r="O21" s="295"/>
    </row>
    <row r="22" ht="45.75" hidden="1" customHeight="1">
      <c r="A22" s="212">
        <v>2022.0</v>
      </c>
      <c r="B22" s="212" t="s">
        <v>827</v>
      </c>
      <c r="C22" s="204"/>
      <c r="D22" s="225" t="s">
        <v>1241</v>
      </c>
      <c r="E22" s="204">
        <v>4.1160003E7</v>
      </c>
      <c r="F22" s="212" t="s">
        <v>1087</v>
      </c>
      <c r="G22" s="204" t="s">
        <v>152</v>
      </c>
      <c r="H22" s="166">
        <v>187000.0</v>
      </c>
      <c r="I22" s="204" t="s">
        <v>200</v>
      </c>
      <c r="J22" s="204" t="s">
        <v>1082</v>
      </c>
      <c r="K22" s="170"/>
      <c r="L22" s="172"/>
      <c r="M22" s="172"/>
      <c r="N22" s="174"/>
      <c r="O22" s="295"/>
    </row>
    <row r="23" ht="45.75" hidden="1" customHeight="1">
      <c r="A23" s="212">
        <v>2022.0</v>
      </c>
      <c r="B23" s="212" t="s">
        <v>632</v>
      </c>
      <c r="C23" s="204"/>
      <c r="D23" s="225" t="s">
        <v>1126</v>
      </c>
      <c r="E23" s="204">
        <v>4.1160003E7</v>
      </c>
      <c r="F23" s="212" t="s">
        <v>1087</v>
      </c>
      <c r="G23" s="204" t="s">
        <v>152</v>
      </c>
      <c r="H23" s="166">
        <v>260500.0</v>
      </c>
      <c r="I23" s="204" t="s">
        <v>200</v>
      </c>
      <c r="J23" s="204" t="s">
        <v>1082</v>
      </c>
      <c r="K23" s="170"/>
      <c r="L23" s="172"/>
      <c r="M23" s="172"/>
      <c r="N23" s="174"/>
      <c r="O23" s="295"/>
    </row>
    <row r="24" ht="45.75" hidden="1" customHeight="1">
      <c r="A24" s="212">
        <v>2022.0</v>
      </c>
      <c r="B24" s="212" t="s">
        <v>934</v>
      </c>
      <c r="C24" s="204"/>
      <c r="D24" s="225" t="s">
        <v>1246</v>
      </c>
      <c r="E24" s="204">
        <v>4.1160003E7</v>
      </c>
      <c r="F24" s="212" t="s">
        <v>1087</v>
      </c>
      <c r="G24" s="204" t="s">
        <v>152</v>
      </c>
      <c r="H24" s="166">
        <v>300000.0</v>
      </c>
      <c r="I24" s="204" t="s">
        <v>200</v>
      </c>
      <c r="J24" s="204" t="s">
        <v>1082</v>
      </c>
      <c r="K24" s="170"/>
      <c r="L24" s="172"/>
      <c r="M24" s="172"/>
      <c r="N24" s="174"/>
      <c r="O24" s="295"/>
    </row>
    <row r="25" ht="45.75" hidden="1" customHeight="1">
      <c r="A25" s="212">
        <v>2022.0</v>
      </c>
      <c r="B25" s="212" t="s">
        <v>298</v>
      </c>
      <c r="C25" s="204"/>
      <c r="D25" s="225" t="s">
        <v>1250</v>
      </c>
      <c r="E25" s="204">
        <v>4.1160003E7</v>
      </c>
      <c r="F25" s="212" t="s">
        <v>1087</v>
      </c>
      <c r="G25" s="204" t="s">
        <v>152</v>
      </c>
      <c r="H25" s="166">
        <v>367500.0</v>
      </c>
      <c r="I25" s="204" t="s">
        <v>200</v>
      </c>
      <c r="J25" s="204" t="s">
        <v>1082</v>
      </c>
      <c r="K25" s="170"/>
      <c r="L25" s="172"/>
      <c r="M25" s="172"/>
      <c r="N25" s="174"/>
      <c r="O25" s="295"/>
    </row>
    <row r="26" ht="45.75" hidden="1" customHeight="1">
      <c r="A26" s="212">
        <v>2022.0</v>
      </c>
      <c r="B26" s="212" t="s">
        <v>779</v>
      </c>
      <c r="C26" s="204"/>
      <c r="D26" s="225" t="s">
        <v>1251</v>
      </c>
      <c r="E26" s="204">
        <v>4.1160003E7</v>
      </c>
      <c r="F26" s="212" t="s">
        <v>1087</v>
      </c>
      <c r="G26" s="204" t="s">
        <v>152</v>
      </c>
      <c r="H26" s="166">
        <v>100000.0</v>
      </c>
      <c r="I26" s="204" t="s">
        <v>200</v>
      </c>
      <c r="J26" s="204" t="s">
        <v>1082</v>
      </c>
      <c r="K26" s="170"/>
      <c r="L26" s="172"/>
      <c r="M26" s="172"/>
      <c r="N26" s="174"/>
      <c r="O26" s="295"/>
    </row>
    <row r="27" ht="45.75" hidden="1" customHeight="1">
      <c r="A27" s="212">
        <v>2022.0</v>
      </c>
      <c r="B27" s="212" t="s">
        <v>119</v>
      </c>
      <c r="C27" s="204"/>
      <c r="D27" s="225" t="s">
        <v>1252</v>
      </c>
      <c r="E27" s="204">
        <v>4.1160003E7</v>
      </c>
      <c r="F27" s="212" t="s">
        <v>1087</v>
      </c>
      <c r="G27" s="204" t="s">
        <v>152</v>
      </c>
      <c r="H27" s="166">
        <v>150000.0</v>
      </c>
      <c r="I27" s="204" t="s">
        <v>200</v>
      </c>
      <c r="J27" s="204" t="s">
        <v>1082</v>
      </c>
      <c r="K27" s="170"/>
      <c r="L27" s="172"/>
      <c r="M27" s="172"/>
      <c r="N27" s="174"/>
      <c r="O27" s="295"/>
    </row>
    <row r="28" ht="45.75" hidden="1" customHeight="1">
      <c r="A28" s="212">
        <v>2022.0</v>
      </c>
      <c r="B28" s="212" t="s">
        <v>127</v>
      </c>
      <c r="C28" s="204"/>
      <c r="D28" s="225" t="s">
        <v>1255</v>
      </c>
      <c r="E28" s="204">
        <v>4.1160003E7</v>
      </c>
      <c r="F28" s="212" t="s">
        <v>1087</v>
      </c>
      <c r="G28" s="204" t="s">
        <v>152</v>
      </c>
      <c r="H28" s="166">
        <v>500000.0</v>
      </c>
      <c r="I28" s="204" t="s">
        <v>200</v>
      </c>
      <c r="J28" s="204" t="s">
        <v>1082</v>
      </c>
      <c r="K28" s="170"/>
      <c r="L28" s="172"/>
      <c r="M28" s="172"/>
      <c r="N28" s="174"/>
      <c r="O28" s="295"/>
    </row>
    <row r="29" ht="45.75" hidden="1" customHeight="1">
      <c r="A29" s="212">
        <v>2022.0</v>
      </c>
      <c r="B29" s="212" t="s">
        <v>851</v>
      </c>
      <c r="C29" s="204"/>
      <c r="D29" s="225" t="s">
        <v>1256</v>
      </c>
      <c r="E29" s="204">
        <v>4.1160003E7</v>
      </c>
      <c r="F29" s="212" t="s">
        <v>1087</v>
      </c>
      <c r="G29" s="204" t="s">
        <v>152</v>
      </c>
      <c r="H29" s="166">
        <v>117000.0</v>
      </c>
      <c r="I29" s="204" t="s">
        <v>200</v>
      </c>
      <c r="J29" s="204" t="s">
        <v>1082</v>
      </c>
      <c r="K29" s="170"/>
      <c r="L29" s="172"/>
      <c r="M29" s="172"/>
      <c r="N29" s="174"/>
      <c r="O29" s="295"/>
    </row>
    <row r="30" ht="45.75" hidden="1" customHeight="1">
      <c r="A30" s="212">
        <v>2022.0</v>
      </c>
      <c r="B30" s="212" t="s">
        <v>96</v>
      </c>
      <c r="C30" s="204"/>
      <c r="D30" s="225" t="s">
        <v>1257</v>
      </c>
      <c r="E30" s="204">
        <v>4.1160003E7</v>
      </c>
      <c r="F30" s="212" t="s">
        <v>1087</v>
      </c>
      <c r="G30" s="204" t="s">
        <v>152</v>
      </c>
      <c r="H30" s="166">
        <v>300000.0</v>
      </c>
      <c r="I30" s="204" t="s">
        <v>200</v>
      </c>
      <c r="J30" s="204" t="s">
        <v>1082</v>
      </c>
      <c r="K30" s="170"/>
      <c r="L30" s="172"/>
      <c r="M30" s="172"/>
      <c r="N30" s="174"/>
      <c r="O30" s="295"/>
    </row>
    <row r="31" ht="45.75" hidden="1" customHeight="1">
      <c r="A31" s="212">
        <v>2022.0</v>
      </c>
      <c r="B31" s="212" t="s">
        <v>875</v>
      </c>
      <c r="C31" s="204"/>
      <c r="D31" s="225" t="s">
        <v>1260</v>
      </c>
      <c r="E31" s="204">
        <v>4.1160003E7</v>
      </c>
      <c r="F31" s="212" t="s">
        <v>1087</v>
      </c>
      <c r="G31" s="204" t="s">
        <v>152</v>
      </c>
      <c r="H31" s="166">
        <v>200000.0</v>
      </c>
      <c r="I31" s="204" t="s">
        <v>200</v>
      </c>
      <c r="J31" s="204" t="s">
        <v>1082</v>
      </c>
      <c r="K31" s="170"/>
      <c r="L31" s="172"/>
      <c r="M31" s="172"/>
      <c r="N31" s="174"/>
      <c r="O31" s="295"/>
    </row>
    <row r="32" ht="45.75" hidden="1" customHeight="1">
      <c r="A32" s="212">
        <v>2022.0</v>
      </c>
      <c r="B32" s="212" t="s">
        <v>942</v>
      </c>
      <c r="C32" s="204"/>
      <c r="D32" s="225" t="s">
        <v>1261</v>
      </c>
      <c r="E32" s="204">
        <v>4.1160003E7</v>
      </c>
      <c r="F32" s="212" t="s">
        <v>1087</v>
      </c>
      <c r="G32" s="204" t="s">
        <v>152</v>
      </c>
      <c r="H32" s="166">
        <v>100000.0</v>
      </c>
      <c r="I32" s="204" t="s">
        <v>200</v>
      </c>
      <c r="J32" s="204" t="s">
        <v>1082</v>
      </c>
      <c r="K32" s="170"/>
      <c r="L32" s="172"/>
      <c r="M32" s="172"/>
      <c r="N32" s="174"/>
      <c r="O32" s="295"/>
    </row>
    <row r="33" ht="45.75" hidden="1" customHeight="1">
      <c r="A33" s="212">
        <v>2022.0</v>
      </c>
      <c r="B33" s="212" t="s">
        <v>1262</v>
      </c>
      <c r="C33" s="204"/>
      <c r="D33" s="225" t="s">
        <v>1264</v>
      </c>
      <c r="E33" s="204">
        <v>4.1160003E7</v>
      </c>
      <c r="F33" s="212" t="s">
        <v>1087</v>
      </c>
      <c r="G33" s="204" t="s">
        <v>152</v>
      </c>
      <c r="H33" s="166">
        <v>300000.0</v>
      </c>
      <c r="I33" s="204" t="s">
        <v>200</v>
      </c>
      <c r="J33" s="204" t="s">
        <v>1082</v>
      </c>
      <c r="K33" s="170"/>
      <c r="L33" s="172"/>
      <c r="M33" s="172"/>
      <c r="N33" s="174"/>
      <c r="O33" s="295"/>
    </row>
    <row r="34" ht="45.75" hidden="1" customHeight="1">
      <c r="A34" s="212">
        <v>2022.0</v>
      </c>
      <c r="B34" s="212" t="s">
        <v>355</v>
      </c>
      <c r="C34" s="204"/>
      <c r="D34" s="225" t="s">
        <v>1266</v>
      </c>
      <c r="E34" s="204">
        <v>4.1160003E7</v>
      </c>
      <c r="F34" s="212" t="s">
        <v>1087</v>
      </c>
      <c r="G34" s="204" t="s">
        <v>152</v>
      </c>
      <c r="H34" s="166">
        <v>249303.0</v>
      </c>
      <c r="I34" s="204" t="s">
        <v>200</v>
      </c>
      <c r="J34" s="204" t="s">
        <v>1082</v>
      </c>
      <c r="K34" s="170"/>
      <c r="L34" s="172"/>
      <c r="M34" s="172"/>
      <c r="N34" s="174"/>
      <c r="O34" s="295"/>
    </row>
    <row r="35" ht="45.75" hidden="1" customHeight="1">
      <c r="A35" s="212">
        <v>2022.0</v>
      </c>
      <c r="B35" s="212" t="s">
        <v>1225</v>
      </c>
      <c r="C35" s="204"/>
      <c r="D35" s="225" t="s">
        <v>1269</v>
      </c>
      <c r="E35" s="204">
        <v>4.1160003E7</v>
      </c>
      <c r="F35" s="212" t="s">
        <v>1087</v>
      </c>
      <c r="G35" s="204" t="s">
        <v>152</v>
      </c>
      <c r="H35" s="166">
        <v>360000.0</v>
      </c>
      <c r="I35" s="204" t="s">
        <v>200</v>
      </c>
      <c r="J35" s="204" t="s">
        <v>1082</v>
      </c>
      <c r="K35" s="170"/>
      <c r="L35" s="172"/>
      <c r="M35" s="172"/>
      <c r="N35" s="174"/>
      <c r="O35" s="295"/>
    </row>
    <row r="36" ht="45.75" hidden="1" customHeight="1">
      <c r="A36" s="212">
        <v>2022.0</v>
      </c>
      <c r="B36" s="212" t="s">
        <v>221</v>
      </c>
      <c r="C36" s="204"/>
      <c r="D36" s="225" t="s">
        <v>1270</v>
      </c>
      <c r="E36" s="204">
        <v>4.1160003E7</v>
      </c>
      <c r="F36" s="212" t="s">
        <v>1087</v>
      </c>
      <c r="G36" s="204" t="s">
        <v>152</v>
      </c>
      <c r="H36" s="166">
        <v>120000.0</v>
      </c>
      <c r="I36" s="204" t="s">
        <v>200</v>
      </c>
      <c r="J36" s="204" t="s">
        <v>1082</v>
      </c>
      <c r="K36" s="170"/>
      <c r="L36" s="172"/>
      <c r="M36" s="172"/>
      <c r="N36" s="174"/>
      <c r="O36" s="295"/>
    </row>
    <row r="37" ht="45.75" hidden="1" customHeight="1">
      <c r="A37" s="212">
        <v>2022.0</v>
      </c>
      <c r="B37" s="212" t="s">
        <v>435</v>
      </c>
      <c r="C37" s="204"/>
      <c r="D37" s="225" t="s">
        <v>1272</v>
      </c>
      <c r="E37" s="204">
        <v>4.1160003E7</v>
      </c>
      <c r="F37" s="212" t="s">
        <v>1087</v>
      </c>
      <c r="G37" s="204" t="s">
        <v>152</v>
      </c>
      <c r="H37" s="166">
        <v>450000.0</v>
      </c>
      <c r="I37" s="204" t="s">
        <v>200</v>
      </c>
      <c r="J37" s="204" t="s">
        <v>1082</v>
      </c>
      <c r="K37" s="170"/>
      <c r="L37" s="172"/>
      <c r="M37" s="172"/>
      <c r="N37" s="174"/>
      <c r="O37" s="295"/>
    </row>
    <row r="38" ht="45.75" hidden="1" customHeight="1">
      <c r="A38" s="212">
        <v>2022.0</v>
      </c>
      <c r="B38" s="212" t="s">
        <v>888</v>
      </c>
      <c r="C38" s="204"/>
      <c r="D38" s="204" t="s">
        <v>74</v>
      </c>
      <c r="E38" s="204">
        <v>4.1160002E7</v>
      </c>
      <c r="F38" s="204" t="s">
        <v>193</v>
      </c>
      <c r="G38" s="204" t="s">
        <v>84</v>
      </c>
      <c r="H38" s="166">
        <v>175000.0</v>
      </c>
      <c r="I38" s="204" t="s">
        <v>200</v>
      </c>
      <c r="J38" s="204" t="s">
        <v>1082</v>
      </c>
      <c r="K38" s="170"/>
      <c r="L38" s="172"/>
      <c r="M38" s="172"/>
      <c r="N38" s="174"/>
      <c r="O38" s="295"/>
    </row>
    <row r="39" ht="45.75" hidden="1" customHeight="1">
      <c r="A39" s="212">
        <v>2022.0</v>
      </c>
      <c r="B39" s="212" t="s">
        <v>429</v>
      </c>
      <c r="C39" s="204"/>
      <c r="D39" s="204" t="s">
        <v>74</v>
      </c>
      <c r="E39" s="204">
        <v>4.1160002E7</v>
      </c>
      <c r="F39" s="204" t="s">
        <v>193</v>
      </c>
      <c r="G39" s="204" t="s">
        <v>84</v>
      </c>
      <c r="H39" s="166">
        <v>35000.0</v>
      </c>
      <c r="I39" s="204" t="s">
        <v>200</v>
      </c>
      <c r="J39" s="204" t="s">
        <v>1082</v>
      </c>
      <c r="K39" s="170"/>
      <c r="L39" s="172"/>
      <c r="M39" s="172"/>
      <c r="N39" s="174"/>
      <c r="O39" s="295"/>
    </row>
    <row r="40" ht="45.75" hidden="1" customHeight="1">
      <c r="A40" s="212">
        <v>2022.0</v>
      </c>
      <c r="B40" s="212" t="s">
        <v>175</v>
      </c>
      <c r="C40" s="204"/>
      <c r="D40" s="204" t="s">
        <v>74</v>
      </c>
      <c r="E40" s="204">
        <v>4.1160002E7</v>
      </c>
      <c r="F40" s="204" t="s">
        <v>193</v>
      </c>
      <c r="G40" s="204" t="s">
        <v>84</v>
      </c>
      <c r="H40" s="166">
        <v>20000.0</v>
      </c>
      <c r="I40" s="204" t="s">
        <v>200</v>
      </c>
      <c r="J40" s="204" t="s">
        <v>1082</v>
      </c>
      <c r="K40" s="170"/>
      <c r="L40" s="172"/>
      <c r="M40" s="172"/>
      <c r="N40" s="174"/>
      <c r="O40" s="295"/>
    </row>
    <row r="41" ht="45.75" hidden="1" customHeight="1">
      <c r="A41" s="212">
        <v>2022.0</v>
      </c>
      <c r="B41" s="212" t="s">
        <v>822</v>
      </c>
      <c r="C41" s="204"/>
      <c r="D41" s="204" t="s">
        <v>74</v>
      </c>
      <c r="E41" s="204">
        <v>4.1160002E7</v>
      </c>
      <c r="F41" s="204" t="s">
        <v>193</v>
      </c>
      <c r="G41" s="204" t="s">
        <v>84</v>
      </c>
      <c r="H41" s="166">
        <v>50000.0</v>
      </c>
      <c r="I41" s="204" t="s">
        <v>200</v>
      </c>
      <c r="J41" s="204" t="s">
        <v>1082</v>
      </c>
      <c r="K41" s="170"/>
      <c r="L41" s="172"/>
      <c r="M41" s="172"/>
      <c r="N41" s="174"/>
      <c r="O41" s="295"/>
    </row>
    <row r="42" ht="45.75" hidden="1" customHeight="1">
      <c r="A42" s="212">
        <v>2022.0</v>
      </c>
      <c r="B42" s="212" t="s">
        <v>952</v>
      </c>
      <c r="C42" s="204"/>
      <c r="D42" s="204" t="s">
        <v>74</v>
      </c>
      <c r="E42" s="204">
        <v>4.1160002E7</v>
      </c>
      <c r="F42" s="204" t="s">
        <v>193</v>
      </c>
      <c r="G42" s="204" t="s">
        <v>84</v>
      </c>
      <c r="H42" s="166">
        <v>100139.0</v>
      </c>
      <c r="I42" s="204" t="s">
        <v>200</v>
      </c>
      <c r="J42" s="204" t="s">
        <v>1082</v>
      </c>
      <c r="K42" s="170"/>
      <c r="L42" s="172"/>
      <c r="M42" s="172"/>
      <c r="N42" s="174"/>
      <c r="O42" s="295"/>
    </row>
    <row r="43" hidden="1">
      <c r="A43" s="212">
        <v>2022.0</v>
      </c>
      <c r="B43" s="212" t="s">
        <v>54</v>
      </c>
      <c r="C43" s="204" t="s">
        <v>14</v>
      </c>
      <c r="D43" s="204" t="s">
        <v>74</v>
      </c>
      <c r="E43" s="204">
        <v>4.1160005E7</v>
      </c>
      <c r="F43" s="204" t="s">
        <v>20</v>
      </c>
      <c r="G43" s="204" t="s">
        <v>152</v>
      </c>
      <c r="H43" s="166">
        <v>250000.0</v>
      </c>
      <c r="I43" s="204" t="s">
        <v>490</v>
      </c>
      <c r="J43" s="204" t="s">
        <v>1082</v>
      </c>
      <c r="K43" s="170" t="s">
        <v>1154</v>
      </c>
      <c r="L43" s="172"/>
      <c r="M43" s="172"/>
      <c r="N43" s="174" t="s">
        <v>1284</v>
      </c>
      <c r="O43" s="295"/>
    </row>
    <row r="44" hidden="1">
      <c r="A44" s="212">
        <v>2022.0</v>
      </c>
      <c r="B44" s="212" t="s">
        <v>159</v>
      </c>
      <c r="C44" s="204" t="s">
        <v>14</v>
      </c>
      <c r="D44" s="204" t="s">
        <v>74</v>
      </c>
      <c r="E44" s="204">
        <v>4.1160005E7</v>
      </c>
      <c r="F44" s="204" t="s">
        <v>20</v>
      </c>
      <c r="G44" s="204" t="s">
        <v>152</v>
      </c>
      <c r="H44" s="166">
        <v>250000.0</v>
      </c>
      <c r="I44" s="204" t="s">
        <v>490</v>
      </c>
      <c r="J44" s="204" t="s">
        <v>1082</v>
      </c>
      <c r="K44" s="170" t="s">
        <v>1291</v>
      </c>
      <c r="L44" s="172"/>
      <c r="M44" s="172"/>
      <c r="N44" s="174" t="s">
        <v>1293</v>
      </c>
      <c r="O44" s="295"/>
    </row>
    <row r="45" hidden="1">
      <c r="A45" s="212">
        <v>2022.0</v>
      </c>
      <c r="B45" s="212" t="s">
        <v>53</v>
      </c>
      <c r="C45" s="204" t="s">
        <v>14</v>
      </c>
      <c r="D45" s="204" t="s">
        <v>74</v>
      </c>
      <c r="E45" s="204">
        <v>4.1160005E7</v>
      </c>
      <c r="F45" s="204" t="s">
        <v>20</v>
      </c>
      <c r="G45" s="204" t="s">
        <v>152</v>
      </c>
      <c r="H45" s="166">
        <v>250000.0</v>
      </c>
      <c r="I45" s="204" t="s">
        <v>490</v>
      </c>
      <c r="J45" s="204" t="s">
        <v>1082</v>
      </c>
      <c r="K45" s="170" t="s">
        <v>1297</v>
      </c>
      <c r="L45" s="172"/>
      <c r="M45" s="172"/>
      <c r="N45" s="258" t="s">
        <v>1299</v>
      </c>
      <c r="O45" s="295"/>
    </row>
    <row r="46" hidden="1">
      <c r="A46" s="212">
        <v>2022.0</v>
      </c>
      <c r="B46" s="212" t="s">
        <v>755</v>
      </c>
      <c r="C46" s="204" t="s">
        <v>14</v>
      </c>
      <c r="D46" s="204" t="s">
        <v>74</v>
      </c>
      <c r="E46" s="204">
        <v>4.1160005E7</v>
      </c>
      <c r="F46" s="204" t="s">
        <v>20</v>
      </c>
      <c r="G46" s="204" t="s">
        <v>152</v>
      </c>
      <c r="H46" s="166">
        <v>250000.0</v>
      </c>
      <c r="I46" s="204" t="s">
        <v>490</v>
      </c>
      <c r="J46" s="204" t="s">
        <v>1082</v>
      </c>
      <c r="K46" s="170" t="s">
        <v>1325</v>
      </c>
      <c r="L46" s="172"/>
      <c r="M46" s="172"/>
      <c r="N46" s="174" t="s">
        <v>1326</v>
      </c>
      <c r="O46" s="295"/>
    </row>
    <row r="47" hidden="1">
      <c r="A47" s="212">
        <v>2022.0</v>
      </c>
      <c r="B47" s="212" t="s">
        <v>611</v>
      </c>
      <c r="C47" s="204" t="s">
        <v>14</v>
      </c>
      <c r="D47" s="204" t="s">
        <v>74</v>
      </c>
      <c r="E47" s="204">
        <v>4.1160005E7</v>
      </c>
      <c r="F47" s="204" t="s">
        <v>20</v>
      </c>
      <c r="G47" s="204" t="s">
        <v>152</v>
      </c>
      <c r="H47" s="166">
        <v>250000.0</v>
      </c>
      <c r="I47" s="204" t="s">
        <v>490</v>
      </c>
      <c r="J47" s="204" t="s">
        <v>1082</v>
      </c>
      <c r="K47" s="262" t="s">
        <v>1332</v>
      </c>
      <c r="L47" s="172"/>
      <c r="M47" s="172"/>
      <c r="N47" s="174" t="s">
        <v>1299</v>
      </c>
      <c r="O47" s="295"/>
    </row>
    <row r="48" hidden="1">
      <c r="A48" s="212">
        <v>2022.0</v>
      </c>
      <c r="B48" s="212" t="s">
        <v>496</v>
      </c>
      <c r="C48" s="204" t="s">
        <v>14</v>
      </c>
      <c r="D48" s="204" t="s">
        <v>74</v>
      </c>
      <c r="E48" s="204">
        <v>4.1160005E7</v>
      </c>
      <c r="F48" s="204" t="s">
        <v>20</v>
      </c>
      <c r="G48" s="204" t="s">
        <v>152</v>
      </c>
      <c r="H48" s="166">
        <v>250000.0</v>
      </c>
      <c r="I48" s="204" t="s">
        <v>490</v>
      </c>
      <c r="J48" s="204" t="s">
        <v>1082</v>
      </c>
      <c r="K48" s="170" t="s">
        <v>1344</v>
      </c>
      <c r="L48" s="172"/>
      <c r="M48" s="172"/>
      <c r="N48" s="174" t="s">
        <v>1347</v>
      </c>
      <c r="O48" s="295"/>
    </row>
    <row r="49" hidden="1">
      <c r="A49" s="291">
        <v>2021.0</v>
      </c>
      <c r="B49" s="291" t="s">
        <v>543</v>
      </c>
      <c r="C49" s="170" t="s">
        <v>1094</v>
      </c>
      <c r="D49" s="291" t="s">
        <v>1094</v>
      </c>
      <c r="E49" s="291">
        <v>7.1220009E7</v>
      </c>
      <c r="F49" s="291" t="s">
        <v>27</v>
      </c>
      <c r="G49" s="291" t="s">
        <v>152</v>
      </c>
      <c r="H49" s="292">
        <v>330000.0</v>
      </c>
      <c r="I49" s="291" t="s">
        <v>389</v>
      </c>
      <c r="J49" s="291"/>
      <c r="K49" s="170" t="s">
        <v>1367</v>
      </c>
      <c r="L49" s="172"/>
      <c r="M49" s="172"/>
      <c r="N49" s="258" t="s">
        <v>2112</v>
      </c>
      <c r="O49" s="295"/>
    </row>
    <row r="50" hidden="1">
      <c r="A50" s="291">
        <v>2021.0</v>
      </c>
      <c r="B50" s="291" t="s">
        <v>1047</v>
      </c>
      <c r="C50" s="299" t="s">
        <v>1065</v>
      </c>
      <c r="D50" s="291" t="s">
        <v>1065</v>
      </c>
      <c r="E50" s="291">
        <v>7.1220009E7</v>
      </c>
      <c r="F50" s="291" t="s">
        <v>27</v>
      </c>
      <c r="G50" s="291" t="s">
        <v>152</v>
      </c>
      <c r="H50" s="292">
        <v>358785.0</v>
      </c>
      <c r="I50" s="291" t="s">
        <v>389</v>
      </c>
      <c r="J50" s="291"/>
      <c r="K50" s="170" t="s">
        <v>1071</v>
      </c>
      <c r="L50" s="301"/>
      <c r="M50" s="172"/>
      <c r="N50" s="258" t="s">
        <v>2118</v>
      </c>
      <c r="O50" s="295"/>
    </row>
    <row r="51" hidden="1">
      <c r="A51" s="291">
        <v>2021.0</v>
      </c>
      <c r="B51" s="291" t="s">
        <v>1047</v>
      </c>
      <c r="C51" s="299" t="s">
        <v>1065</v>
      </c>
      <c r="D51" s="291" t="s">
        <v>1065</v>
      </c>
      <c r="E51" s="291">
        <v>7.1220009E7</v>
      </c>
      <c r="F51" s="291" t="s">
        <v>27</v>
      </c>
      <c r="G51" s="291" t="s">
        <v>152</v>
      </c>
      <c r="H51" s="292">
        <v>296745.33</v>
      </c>
      <c r="I51" s="291" t="s">
        <v>389</v>
      </c>
      <c r="J51" s="291"/>
      <c r="K51" s="170" t="s">
        <v>1078</v>
      </c>
      <c r="L51" s="172"/>
      <c r="M51" s="172"/>
      <c r="N51" s="258" t="s">
        <v>2122</v>
      </c>
      <c r="O51" s="295"/>
    </row>
    <row r="52" hidden="1">
      <c r="A52" s="204">
        <v>2021.0</v>
      </c>
      <c r="B52" s="306" t="s">
        <v>62</v>
      </c>
      <c r="C52" s="204" t="s">
        <v>485</v>
      </c>
      <c r="D52" s="306" t="s">
        <v>1180</v>
      </c>
      <c r="E52" s="212">
        <v>4.1160002E7</v>
      </c>
      <c r="F52" s="212" t="s">
        <v>1087</v>
      </c>
      <c r="G52" s="212" t="s">
        <v>152</v>
      </c>
      <c r="H52" s="308">
        <v>100000.0</v>
      </c>
      <c r="I52" s="212" t="s">
        <v>1062</v>
      </c>
      <c r="J52" s="212" t="s">
        <v>1090</v>
      </c>
      <c r="K52" s="306" t="s">
        <v>1184</v>
      </c>
      <c r="L52" s="311" t="s">
        <v>1400</v>
      </c>
      <c r="M52" s="313"/>
      <c r="N52" s="316" t="s">
        <v>2128</v>
      </c>
      <c r="O52" s="318">
        <v>9.0</v>
      </c>
    </row>
    <row r="53" hidden="1">
      <c r="A53" s="232">
        <v>2021.0</v>
      </c>
      <c r="B53" s="232" t="s">
        <v>163</v>
      </c>
      <c r="C53" s="232" t="s">
        <v>14</v>
      </c>
      <c r="D53" s="232" t="s">
        <v>74</v>
      </c>
      <c r="E53" s="320">
        <v>4.1160004E7</v>
      </c>
      <c r="F53" s="232" t="s">
        <v>20</v>
      </c>
      <c r="G53" s="232" t="s">
        <v>152</v>
      </c>
      <c r="H53" s="322">
        <v>250000.0</v>
      </c>
      <c r="I53" s="232" t="s">
        <v>490</v>
      </c>
      <c r="J53" s="323" t="s">
        <v>265</v>
      </c>
      <c r="K53" s="326" t="s">
        <v>1245</v>
      </c>
      <c r="L53" s="329" t="s">
        <v>1431</v>
      </c>
      <c r="M53" s="331" t="s">
        <v>1254</v>
      </c>
      <c r="N53" s="338" t="s">
        <v>2136</v>
      </c>
      <c r="O53" s="339">
        <v>116.0</v>
      </c>
    </row>
    <row r="54" hidden="1">
      <c r="A54" s="342">
        <v>2020.0</v>
      </c>
      <c r="B54" s="342" t="s">
        <v>178</v>
      </c>
      <c r="C54" s="342" t="s">
        <v>566</v>
      </c>
      <c r="D54" s="342" t="s">
        <v>567</v>
      </c>
      <c r="E54" s="349" t="s">
        <v>578</v>
      </c>
      <c r="F54" s="342" t="s">
        <v>488</v>
      </c>
      <c r="G54" s="342" t="s">
        <v>84</v>
      </c>
      <c r="H54" s="322">
        <v>50000.0</v>
      </c>
      <c r="I54" s="342" t="s">
        <v>570</v>
      </c>
      <c r="J54" s="342" t="s">
        <v>110</v>
      </c>
      <c r="K54" s="342" t="s">
        <v>571</v>
      </c>
      <c r="L54" s="349" t="s">
        <v>1455</v>
      </c>
      <c r="M54" s="352"/>
      <c r="N54" s="354"/>
      <c r="O54" s="339">
        <v>104.0</v>
      </c>
    </row>
    <row r="55" hidden="1">
      <c r="A55" s="232">
        <v>2020.0</v>
      </c>
      <c r="B55" s="232" t="s">
        <v>192</v>
      </c>
      <c r="C55" s="232" t="s">
        <v>14</v>
      </c>
      <c r="D55" s="232" t="s">
        <v>74</v>
      </c>
      <c r="E55" s="232">
        <v>4.1160001E7</v>
      </c>
      <c r="F55" s="232" t="s">
        <v>193</v>
      </c>
      <c r="G55" s="232" t="s">
        <v>84</v>
      </c>
      <c r="H55" s="357">
        <v>100000.0</v>
      </c>
      <c r="I55" s="232" t="s">
        <v>490</v>
      </c>
      <c r="J55" s="232" t="s">
        <v>110</v>
      </c>
      <c r="K55" s="232" t="s">
        <v>1026</v>
      </c>
      <c r="L55" s="360" t="s">
        <v>1461</v>
      </c>
      <c r="M55" s="352"/>
      <c r="N55" s="354"/>
      <c r="O55" s="339">
        <v>103.0</v>
      </c>
    </row>
    <row r="56" hidden="1">
      <c r="A56" s="232">
        <v>2020.0</v>
      </c>
      <c r="B56" s="232" t="s">
        <v>116</v>
      </c>
      <c r="C56" s="232" t="s">
        <v>485</v>
      </c>
      <c r="D56" s="232" t="s">
        <v>1108</v>
      </c>
      <c r="E56" s="232">
        <v>4.1160005E7</v>
      </c>
      <c r="F56" s="232" t="s">
        <v>488</v>
      </c>
      <c r="G56" s="232" t="s">
        <v>84</v>
      </c>
      <c r="H56" s="357">
        <v>100000.0</v>
      </c>
      <c r="I56" s="232" t="s">
        <v>490</v>
      </c>
      <c r="J56" s="232" t="s">
        <v>110</v>
      </c>
      <c r="K56" s="232" t="s">
        <v>1076</v>
      </c>
      <c r="L56" s="360" t="s">
        <v>1463</v>
      </c>
      <c r="M56" s="352"/>
      <c r="N56" s="338" t="s">
        <v>1464</v>
      </c>
      <c r="O56" s="339">
        <v>24.0</v>
      </c>
    </row>
    <row r="57" hidden="1">
      <c r="A57" s="130">
        <v>2020.0</v>
      </c>
      <c r="B57" s="130" t="s">
        <v>116</v>
      </c>
      <c r="C57" s="130" t="s">
        <v>139</v>
      </c>
      <c r="D57" s="130" t="s">
        <v>146</v>
      </c>
      <c r="E57" s="130">
        <v>4.116001E7</v>
      </c>
      <c r="F57" s="130" t="s">
        <v>151</v>
      </c>
      <c r="G57" s="130" t="s">
        <v>152</v>
      </c>
      <c r="H57" s="369">
        <v>12142.85</v>
      </c>
      <c r="I57" s="130" t="s">
        <v>155</v>
      </c>
      <c r="J57" s="130" t="s">
        <v>1102</v>
      </c>
      <c r="K57" s="130" t="s">
        <v>161</v>
      </c>
      <c r="L57" s="130" t="s">
        <v>1474</v>
      </c>
      <c r="M57" s="130"/>
      <c r="N57" s="375" t="s">
        <v>2154</v>
      </c>
      <c r="O57" s="378">
        <v>125.0</v>
      </c>
    </row>
    <row r="58" hidden="1">
      <c r="A58" s="232">
        <v>2020.0</v>
      </c>
      <c r="B58" s="232" t="s">
        <v>311</v>
      </c>
      <c r="C58" s="232" t="s">
        <v>14</v>
      </c>
      <c r="D58" s="232" t="s">
        <v>74</v>
      </c>
      <c r="E58" s="232">
        <v>4.1160001E7</v>
      </c>
      <c r="F58" s="232" t="s">
        <v>193</v>
      </c>
      <c r="G58" s="232" t="s">
        <v>84</v>
      </c>
      <c r="H58" s="357">
        <v>100000.0</v>
      </c>
      <c r="I58" s="232" t="s">
        <v>490</v>
      </c>
      <c r="J58" s="342" t="s">
        <v>110</v>
      </c>
      <c r="K58" s="380" t="s">
        <v>1023</v>
      </c>
      <c r="L58" s="313" t="s">
        <v>1494</v>
      </c>
      <c r="M58" s="331" t="s">
        <v>1111</v>
      </c>
      <c r="N58" s="382" t="s">
        <v>1111</v>
      </c>
      <c r="O58" s="339">
        <v>82.0</v>
      </c>
    </row>
    <row r="59" hidden="1">
      <c r="A59" s="204">
        <v>2021.0</v>
      </c>
      <c r="B59" s="306" t="s">
        <v>410</v>
      </c>
      <c r="C59" s="204" t="s">
        <v>220</v>
      </c>
      <c r="D59" s="385" t="s">
        <v>74</v>
      </c>
      <c r="E59" s="212">
        <v>4.1160002E7</v>
      </c>
      <c r="F59" s="212" t="s">
        <v>1087</v>
      </c>
      <c r="G59" s="212" t="s">
        <v>152</v>
      </c>
      <c r="H59" s="308">
        <v>245000.0</v>
      </c>
      <c r="I59" s="212" t="s">
        <v>1062</v>
      </c>
      <c r="J59" s="204" t="s">
        <v>1303</v>
      </c>
      <c r="K59" s="311" t="s">
        <v>1304</v>
      </c>
      <c r="L59" s="311" t="s">
        <v>1511</v>
      </c>
      <c r="M59" s="313"/>
      <c r="N59" s="316" t="s">
        <v>2158</v>
      </c>
      <c r="O59" s="318"/>
    </row>
    <row r="60" hidden="1">
      <c r="A60" s="204">
        <v>2021.0</v>
      </c>
      <c r="B60" s="306" t="s">
        <v>76</v>
      </c>
      <c r="C60" s="204" t="s">
        <v>485</v>
      </c>
      <c r="D60" s="306" t="s">
        <v>1310</v>
      </c>
      <c r="E60" s="212">
        <v>4.1160002E7</v>
      </c>
      <c r="F60" s="212" t="s">
        <v>1087</v>
      </c>
      <c r="G60" s="212" t="s">
        <v>152</v>
      </c>
      <c r="H60" s="308">
        <v>140000.0</v>
      </c>
      <c r="I60" s="212" t="s">
        <v>1062</v>
      </c>
      <c r="J60" s="212" t="s">
        <v>1090</v>
      </c>
      <c r="K60" s="306" t="s">
        <v>1312</v>
      </c>
      <c r="L60" s="311" t="s">
        <v>1536</v>
      </c>
      <c r="M60" s="313"/>
      <c r="N60" s="316" t="s">
        <v>2164</v>
      </c>
      <c r="O60" s="318">
        <v>4.0</v>
      </c>
    </row>
    <row r="61" hidden="1">
      <c r="A61" s="204">
        <v>2021.0</v>
      </c>
      <c r="B61" s="306" t="s">
        <v>76</v>
      </c>
      <c r="C61" s="204" t="s">
        <v>1313</v>
      </c>
      <c r="D61" s="306" t="s">
        <v>1314</v>
      </c>
      <c r="E61" s="401">
        <v>4.1160003E7</v>
      </c>
      <c r="F61" s="204" t="s">
        <v>488</v>
      </c>
      <c r="G61" s="204" t="s">
        <v>84</v>
      </c>
      <c r="H61" s="308">
        <v>1000000.0</v>
      </c>
      <c r="I61" s="212" t="s">
        <v>1062</v>
      </c>
      <c r="J61" s="204" t="s">
        <v>1315</v>
      </c>
      <c r="K61" s="311" t="s">
        <v>1316</v>
      </c>
      <c r="L61" s="311" t="s">
        <v>1542</v>
      </c>
      <c r="M61" s="313"/>
      <c r="N61" s="403" t="s">
        <v>1544</v>
      </c>
      <c r="O61" s="318"/>
    </row>
    <row r="62" hidden="1">
      <c r="A62" s="232">
        <v>2020.0</v>
      </c>
      <c r="B62" s="232" t="s">
        <v>515</v>
      </c>
      <c r="C62" s="232" t="s">
        <v>485</v>
      </c>
      <c r="D62" s="232" t="s">
        <v>577</v>
      </c>
      <c r="E62" s="417" t="s">
        <v>578</v>
      </c>
      <c r="F62" s="232" t="s">
        <v>488</v>
      </c>
      <c r="G62" s="232" t="s">
        <v>84</v>
      </c>
      <c r="H62" s="357">
        <v>50000.0</v>
      </c>
      <c r="I62" s="342" t="s">
        <v>389</v>
      </c>
      <c r="J62" s="232" t="s">
        <v>110</v>
      </c>
      <c r="K62" s="342" t="s">
        <v>589</v>
      </c>
      <c r="L62" s="418" t="s">
        <v>1564</v>
      </c>
      <c r="M62" s="352"/>
      <c r="N62" s="354"/>
      <c r="O62" s="339">
        <v>74.0</v>
      </c>
    </row>
    <row r="63" hidden="1">
      <c r="A63" s="232">
        <v>2020.0</v>
      </c>
      <c r="B63" s="232" t="s">
        <v>82</v>
      </c>
      <c r="C63" s="232" t="s">
        <v>14</v>
      </c>
      <c r="D63" s="232" t="s">
        <v>74</v>
      </c>
      <c r="E63" s="232">
        <v>4.1160001E7</v>
      </c>
      <c r="F63" s="232" t="s">
        <v>193</v>
      </c>
      <c r="G63" s="232" t="s">
        <v>84</v>
      </c>
      <c r="H63" s="357">
        <v>100000.0</v>
      </c>
      <c r="I63" s="232" t="s">
        <v>490</v>
      </c>
      <c r="J63" s="342" t="s">
        <v>110</v>
      </c>
      <c r="K63" s="232" t="s">
        <v>1023</v>
      </c>
      <c r="L63" s="360" t="s">
        <v>1547</v>
      </c>
      <c r="M63" s="352"/>
      <c r="N63" s="354"/>
      <c r="O63" s="339">
        <v>76.0</v>
      </c>
    </row>
    <row r="64" hidden="1">
      <c r="A64" s="232">
        <v>2019.0</v>
      </c>
      <c r="B64" s="232" t="s">
        <v>446</v>
      </c>
      <c r="C64" s="232" t="s">
        <v>556</v>
      </c>
      <c r="D64" s="232" t="s">
        <v>1012</v>
      </c>
      <c r="E64" s="232">
        <v>7.1220005E7</v>
      </c>
      <c r="F64" s="232" t="s">
        <v>558</v>
      </c>
      <c r="G64" s="232" t="s">
        <v>152</v>
      </c>
      <c r="H64" s="357">
        <v>63000.0</v>
      </c>
      <c r="I64" s="232" t="s">
        <v>560</v>
      </c>
      <c r="J64" s="232" t="s">
        <v>110</v>
      </c>
      <c r="K64" s="232" t="s">
        <v>561</v>
      </c>
      <c r="L64" s="360" t="s">
        <v>1550</v>
      </c>
      <c r="M64" s="331" t="s">
        <v>563</v>
      </c>
      <c r="N64" s="354"/>
      <c r="O64" s="339">
        <v>4.0</v>
      </c>
    </row>
    <row r="65" hidden="1">
      <c r="A65" s="232">
        <v>2020.0</v>
      </c>
      <c r="B65" s="232" t="s">
        <v>450</v>
      </c>
      <c r="C65" s="232" t="s">
        <v>14</v>
      </c>
      <c r="D65" s="232" t="s">
        <v>74</v>
      </c>
      <c r="E65" s="232">
        <v>4.1160001E7</v>
      </c>
      <c r="F65" s="232" t="s">
        <v>193</v>
      </c>
      <c r="G65" s="232" t="s">
        <v>84</v>
      </c>
      <c r="H65" s="357">
        <v>67500.0</v>
      </c>
      <c r="I65" s="232" t="s">
        <v>490</v>
      </c>
      <c r="J65" s="342" t="s">
        <v>110</v>
      </c>
      <c r="K65" s="232" t="s">
        <v>1023</v>
      </c>
      <c r="L65" s="360" t="s">
        <v>1551</v>
      </c>
      <c r="M65" s="352"/>
      <c r="N65" s="354"/>
      <c r="O65" s="339">
        <v>77.0</v>
      </c>
    </row>
    <row r="66" hidden="1">
      <c r="A66" s="232">
        <v>2020.0</v>
      </c>
      <c r="B66" s="232" t="s">
        <v>463</v>
      </c>
      <c r="C66" s="232" t="s">
        <v>14</v>
      </c>
      <c r="D66" s="232" t="s">
        <v>74</v>
      </c>
      <c r="E66" s="232">
        <v>4.1160001E7</v>
      </c>
      <c r="F66" s="232" t="s">
        <v>193</v>
      </c>
      <c r="G66" s="232" t="s">
        <v>84</v>
      </c>
      <c r="H66" s="357">
        <v>100000.0</v>
      </c>
      <c r="I66" s="232" t="s">
        <v>490</v>
      </c>
      <c r="J66" s="342" t="s">
        <v>110</v>
      </c>
      <c r="K66" s="407" t="s">
        <v>1023</v>
      </c>
      <c r="L66" s="360" t="s">
        <v>1552</v>
      </c>
      <c r="M66" s="331" t="s">
        <v>1121</v>
      </c>
      <c r="N66" s="398" t="s">
        <v>1528</v>
      </c>
      <c r="O66" s="339">
        <v>78.0</v>
      </c>
    </row>
    <row r="67" hidden="1">
      <c r="A67" s="291">
        <v>2020.0</v>
      </c>
      <c r="B67" s="291" t="s">
        <v>487</v>
      </c>
      <c r="C67" s="291" t="s">
        <v>1065</v>
      </c>
      <c r="D67" s="291" t="s">
        <v>1066</v>
      </c>
      <c r="E67" s="410"/>
      <c r="F67" s="291" t="s">
        <v>151</v>
      </c>
      <c r="G67" s="291" t="s">
        <v>152</v>
      </c>
      <c r="H67" s="412">
        <v>81280.0</v>
      </c>
      <c r="I67" s="291" t="s">
        <v>389</v>
      </c>
      <c r="J67" s="291" t="s">
        <v>1067</v>
      </c>
      <c r="K67" s="291" t="s">
        <v>1068</v>
      </c>
      <c r="L67" s="415" t="s">
        <v>1556</v>
      </c>
      <c r="M67" s="172" t="s">
        <v>1069</v>
      </c>
      <c r="N67" s="416"/>
      <c r="O67" s="295">
        <v>113.0</v>
      </c>
    </row>
    <row r="68" hidden="1">
      <c r="A68" s="342">
        <v>2020.0</v>
      </c>
      <c r="B68" s="342" t="s">
        <v>494</v>
      </c>
      <c r="C68" s="232" t="s">
        <v>485</v>
      </c>
      <c r="D68" s="342" t="s">
        <v>1350</v>
      </c>
      <c r="E68" s="349" t="s">
        <v>578</v>
      </c>
      <c r="F68" s="232" t="s">
        <v>488</v>
      </c>
      <c r="G68" s="342" t="s">
        <v>84</v>
      </c>
      <c r="H68" s="322">
        <v>174741.0</v>
      </c>
      <c r="I68" s="342" t="s">
        <v>389</v>
      </c>
      <c r="J68" s="232" t="s">
        <v>110</v>
      </c>
      <c r="K68" s="342" t="s">
        <v>589</v>
      </c>
      <c r="L68" s="342" t="s">
        <v>1561</v>
      </c>
      <c r="M68" s="352"/>
      <c r="N68" s="354"/>
      <c r="O68" s="339">
        <v>72.0</v>
      </c>
    </row>
    <row r="69" hidden="1">
      <c r="A69" s="232">
        <v>2020.0</v>
      </c>
      <c r="B69" s="232" t="s">
        <v>70</v>
      </c>
      <c r="C69" s="232" t="s">
        <v>485</v>
      </c>
      <c r="D69" s="232" t="s">
        <v>1101</v>
      </c>
      <c r="E69" s="417" t="s">
        <v>578</v>
      </c>
      <c r="F69" s="232" t="s">
        <v>488</v>
      </c>
      <c r="G69" s="232" t="s">
        <v>84</v>
      </c>
      <c r="H69" s="357">
        <v>100000.0</v>
      </c>
      <c r="I69" s="342" t="s">
        <v>389</v>
      </c>
      <c r="J69" s="232" t="s">
        <v>110</v>
      </c>
      <c r="K69" s="342" t="s">
        <v>589</v>
      </c>
      <c r="L69" s="232" t="s">
        <v>1563</v>
      </c>
      <c r="M69" s="352"/>
      <c r="N69" s="354"/>
      <c r="O69" s="339">
        <v>73.0</v>
      </c>
    </row>
    <row r="70" hidden="1">
      <c r="A70" s="232">
        <v>2020.0</v>
      </c>
      <c r="B70" s="232" t="s">
        <v>515</v>
      </c>
      <c r="C70" s="232" t="s">
        <v>14</v>
      </c>
      <c r="D70" s="232" t="s">
        <v>74</v>
      </c>
      <c r="E70" s="232">
        <v>4.1160001E7</v>
      </c>
      <c r="F70" s="232" t="s">
        <v>193</v>
      </c>
      <c r="G70" s="232" t="s">
        <v>84</v>
      </c>
      <c r="H70" s="357">
        <v>67500.0</v>
      </c>
      <c r="I70" s="232" t="s">
        <v>490</v>
      </c>
      <c r="J70" s="342" t="s">
        <v>110</v>
      </c>
      <c r="K70" s="232" t="s">
        <v>1023</v>
      </c>
      <c r="L70" s="360" t="s">
        <v>1566</v>
      </c>
      <c r="M70" s="352"/>
      <c r="N70" s="354"/>
      <c r="O70" s="339">
        <v>83.0</v>
      </c>
    </row>
    <row r="71" hidden="1">
      <c r="A71" s="232">
        <v>2020.0</v>
      </c>
      <c r="B71" s="232" t="s">
        <v>544</v>
      </c>
      <c r="C71" s="232" t="s">
        <v>14</v>
      </c>
      <c r="D71" s="232" t="s">
        <v>74</v>
      </c>
      <c r="E71" s="232">
        <v>4.1160001E7</v>
      </c>
      <c r="F71" s="232" t="s">
        <v>193</v>
      </c>
      <c r="G71" s="232" t="s">
        <v>84</v>
      </c>
      <c r="H71" s="357">
        <v>100000.0</v>
      </c>
      <c r="I71" s="232" t="s">
        <v>490</v>
      </c>
      <c r="J71" s="342" t="s">
        <v>110</v>
      </c>
      <c r="K71" s="232" t="s">
        <v>1023</v>
      </c>
      <c r="L71" s="360" t="s">
        <v>1590</v>
      </c>
      <c r="M71" s="352"/>
      <c r="N71" s="354"/>
      <c r="O71" s="339">
        <v>84.0</v>
      </c>
    </row>
    <row r="72" hidden="1">
      <c r="A72" s="232">
        <v>2020.0</v>
      </c>
      <c r="B72" s="232" t="s">
        <v>180</v>
      </c>
      <c r="C72" s="232" t="s">
        <v>485</v>
      </c>
      <c r="D72" s="232" t="s">
        <v>1372</v>
      </c>
      <c r="E72" s="232">
        <v>4.1160005E7</v>
      </c>
      <c r="F72" s="232" t="s">
        <v>488</v>
      </c>
      <c r="G72" s="232" t="s">
        <v>84</v>
      </c>
      <c r="H72" s="232" t="s">
        <v>2188</v>
      </c>
      <c r="I72" s="232" t="s">
        <v>89</v>
      </c>
      <c r="J72" s="232" t="s">
        <v>110</v>
      </c>
      <c r="K72" s="232" t="s">
        <v>705</v>
      </c>
      <c r="L72" s="360" t="s">
        <v>1570</v>
      </c>
      <c r="M72" s="331" t="s">
        <v>1374</v>
      </c>
      <c r="N72" s="354"/>
      <c r="O72" s="339">
        <v>29.0</v>
      </c>
    </row>
    <row r="73" hidden="1">
      <c r="A73" s="232">
        <v>2020.0</v>
      </c>
      <c r="B73" s="232" t="s">
        <v>180</v>
      </c>
      <c r="C73" s="232" t="s">
        <v>485</v>
      </c>
      <c r="D73" s="232" t="s">
        <v>700</v>
      </c>
      <c r="E73" s="232">
        <v>4.1160005E7</v>
      </c>
      <c r="F73" s="232" t="s">
        <v>488</v>
      </c>
      <c r="G73" s="232" t="s">
        <v>84</v>
      </c>
      <c r="H73" s="357">
        <v>50000.0</v>
      </c>
      <c r="I73" s="232" t="s">
        <v>89</v>
      </c>
      <c r="J73" s="232" t="s">
        <v>110</v>
      </c>
      <c r="K73" s="232" t="s">
        <v>705</v>
      </c>
      <c r="L73" s="360" t="s">
        <v>1571</v>
      </c>
      <c r="M73" s="331" t="s">
        <v>708</v>
      </c>
      <c r="N73" s="398" t="s">
        <v>1575</v>
      </c>
      <c r="O73" s="339">
        <v>30.0</v>
      </c>
    </row>
    <row r="74" hidden="1">
      <c r="A74" s="342">
        <v>2020.0</v>
      </c>
      <c r="B74" s="342" t="s">
        <v>525</v>
      </c>
      <c r="C74" s="342" t="s">
        <v>566</v>
      </c>
      <c r="D74" s="342" t="s">
        <v>719</v>
      </c>
      <c r="E74" s="419" t="s">
        <v>578</v>
      </c>
      <c r="F74" s="342" t="s">
        <v>488</v>
      </c>
      <c r="G74" s="342" t="s">
        <v>84</v>
      </c>
      <c r="H74" s="322">
        <v>50000.0</v>
      </c>
      <c r="I74" s="342" t="s">
        <v>724</v>
      </c>
      <c r="J74" s="342" t="s">
        <v>110</v>
      </c>
      <c r="K74" s="342" t="s">
        <v>571</v>
      </c>
      <c r="L74" s="342" t="s">
        <v>1586</v>
      </c>
      <c r="M74" s="352"/>
      <c r="N74" s="354"/>
      <c r="O74" s="339">
        <v>111.0</v>
      </c>
    </row>
    <row r="75" hidden="1">
      <c r="A75" s="232">
        <v>2019.0</v>
      </c>
      <c r="B75" s="232" t="s">
        <v>538</v>
      </c>
      <c r="C75" s="232" t="s">
        <v>556</v>
      </c>
      <c r="D75" s="232" t="s">
        <v>989</v>
      </c>
      <c r="E75" s="232">
        <v>7.1220005E7</v>
      </c>
      <c r="F75" s="232" t="s">
        <v>558</v>
      </c>
      <c r="G75" s="232" t="s">
        <v>152</v>
      </c>
      <c r="H75" s="357">
        <v>59000.0</v>
      </c>
      <c r="I75" s="232" t="s">
        <v>560</v>
      </c>
      <c r="J75" s="232" t="s">
        <v>110</v>
      </c>
      <c r="K75" s="232" t="s">
        <v>561</v>
      </c>
      <c r="L75" s="360" t="s">
        <v>1587</v>
      </c>
      <c r="M75" s="331" t="s">
        <v>563</v>
      </c>
      <c r="N75" s="354"/>
      <c r="O75" s="339">
        <v>5.0</v>
      </c>
    </row>
    <row r="76" hidden="1">
      <c r="A76" s="232">
        <v>2020.0</v>
      </c>
      <c r="B76" s="232" t="s">
        <v>538</v>
      </c>
      <c r="C76" s="232" t="s">
        <v>485</v>
      </c>
      <c r="D76" s="232" t="s">
        <v>594</v>
      </c>
      <c r="E76" s="417" t="s">
        <v>578</v>
      </c>
      <c r="F76" s="232" t="s">
        <v>488</v>
      </c>
      <c r="G76" s="232" t="s">
        <v>84</v>
      </c>
      <c r="H76" s="357">
        <v>50000.0</v>
      </c>
      <c r="I76" s="232" t="s">
        <v>389</v>
      </c>
      <c r="J76" s="342" t="s">
        <v>110</v>
      </c>
      <c r="K76" s="342" t="s">
        <v>589</v>
      </c>
      <c r="L76" s="232" t="s">
        <v>1589</v>
      </c>
      <c r="M76" s="352"/>
      <c r="N76" s="354"/>
      <c r="O76" s="339">
        <v>75.0</v>
      </c>
    </row>
    <row r="77" hidden="1">
      <c r="A77" s="204">
        <v>2021.0</v>
      </c>
      <c r="B77" s="306" t="s">
        <v>544</v>
      </c>
      <c r="C77" s="204" t="s">
        <v>485</v>
      </c>
      <c r="D77" s="306" t="s">
        <v>1381</v>
      </c>
      <c r="E77" s="401">
        <v>4.1160003E7</v>
      </c>
      <c r="F77" s="204" t="s">
        <v>488</v>
      </c>
      <c r="G77" s="204" t="s">
        <v>84</v>
      </c>
      <c r="H77" s="308">
        <v>400000.0</v>
      </c>
      <c r="I77" s="212" t="s">
        <v>1062</v>
      </c>
      <c r="J77" s="204" t="s">
        <v>1315</v>
      </c>
      <c r="K77" s="311" t="s">
        <v>1383</v>
      </c>
      <c r="L77" s="311" t="s">
        <v>1591</v>
      </c>
      <c r="M77" s="313"/>
      <c r="N77" s="403" t="s">
        <v>1592</v>
      </c>
      <c r="O77" s="318"/>
    </row>
    <row r="78" hidden="1">
      <c r="A78" s="232">
        <v>2020.0</v>
      </c>
      <c r="B78" s="232" t="s">
        <v>1109</v>
      </c>
      <c r="C78" s="232" t="s">
        <v>485</v>
      </c>
      <c r="D78" s="232" t="s">
        <v>1388</v>
      </c>
      <c r="E78" s="232">
        <v>4.1160005E7</v>
      </c>
      <c r="F78" s="232" t="s">
        <v>488</v>
      </c>
      <c r="G78" s="232" t="s">
        <v>84</v>
      </c>
      <c r="H78" s="357">
        <v>300000.0</v>
      </c>
      <c r="I78" s="232" t="s">
        <v>490</v>
      </c>
      <c r="J78" s="342" t="s">
        <v>110</v>
      </c>
      <c r="K78" s="232" t="s">
        <v>1076</v>
      </c>
      <c r="L78" s="360" t="s">
        <v>1596</v>
      </c>
      <c r="M78" s="331" t="s">
        <v>1390</v>
      </c>
      <c r="N78" s="398" t="s">
        <v>1597</v>
      </c>
      <c r="O78" s="339">
        <v>26.0</v>
      </c>
    </row>
    <row r="79" hidden="1">
      <c r="A79" s="204">
        <v>2021.0</v>
      </c>
      <c r="B79" s="306" t="s">
        <v>549</v>
      </c>
      <c r="C79" s="204" t="s">
        <v>485</v>
      </c>
      <c r="D79" s="306" t="s">
        <v>1384</v>
      </c>
      <c r="E79" s="204">
        <v>4.1160002E7</v>
      </c>
      <c r="F79" s="204" t="s">
        <v>1087</v>
      </c>
      <c r="G79" s="204" t="s">
        <v>152</v>
      </c>
      <c r="H79" s="308">
        <v>250000.0</v>
      </c>
      <c r="I79" s="212" t="s">
        <v>1062</v>
      </c>
      <c r="J79" s="204"/>
      <c r="K79" s="306" t="s">
        <v>1386</v>
      </c>
      <c r="L79" s="311" t="s">
        <v>1593</v>
      </c>
      <c r="M79" s="313"/>
      <c r="N79" s="403" t="s">
        <v>1594</v>
      </c>
      <c r="O79" s="318"/>
    </row>
    <row r="80" hidden="1">
      <c r="A80" s="232">
        <v>2020.0</v>
      </c>
      <c r="B80" s="232" t="s">
        <v>1109</v>
      </c>
      <c r="C80" s="232" t="s">
        <v>485</v>
      </c>
      <c r="D80" s="232" t="s">
        <v>1392</v>
      </c>
      <c r="E80" s="232">
        <v>4.1160005E7</v>
      </c>
      <c r="F80" s="232" t="s">
        <v>488</v>
      </c>
      <c r="G80" s="232" t="s">
        <v>84</v>
      </c>
      <c r="H80" s="357">
        <v>200000.0</v>
      </c>
      <c r="I80" s="232" t="s">
        <v>490</v>
      </c>
      <c r="J80" s="342" t="s">
        <v>110</v>
      </c>
      <c r="K80" s="232" t="s">
        <v>1076</v>
      </c>
      <c r="L80" s="360" t="s">
        <v>1599</v>
      </c>
      <c r="M80" s="331" t="s">
        <v>1399</v>
      </c>
      <c r="N80" s="398" t="s">
        <v>1600</v>
      </c>
      <c r="O80" s="339">
        <v>27.0</v>
      </c>
    </row>
    <row r="81" hidden="1">
      <c r="A81" s="426">
        <v>2021.0</v>
      </c>
      <c r="B81" s="426" t="s">
        <v>1109</v>
      </c>
      <c r="C81" s="426" t="s">
        <v>1097</v>
      </c>
      <c r="D81" s="426" t="s">
        <v>1097</v>
      </c>
      <c r="E81" s="427">
        <v>4.11660007E8</v>
      </c>
      <c r="F81" s="212" t="s">
        <v>151</v>
      </c>
      <c r="G81" s="426" t="s">
        <v>152</v>
      </c>
      <c r="H81" s="428">
        <v>250000.0</v>
      </c>
      <c r="I81" s="426" t="s">
        <v>155</v>
      </c>
      <c r="J81" s="426" t="s">
        <v>1112</v>
      </c>
      <c r="K81" s="429" t="s">
        <v>1113</v>
      </c>
      <c r="L81" s="430" t="s">
        <v>1605</v>
      </c>
      <c r="M81" s="429"/>
      <c r="N81" s="431" t="s">
        <v>1114</v>
      </c>
      <c r="O81" s="432">
        <v>134.0</v>
      </c>
    </row>
    <row r="82" hidden="1">
      <c r="A82" s="212">
        <v>2021.0</v>
      </c>
      <c r="B82" s="212" t="s">
        <v>559</v>
      </c>
      <c r="C82" s="212" t="s">
        <v>251</v>
      </c>
      <c r="D82" s="212" t="s">
        <v>1119</v>
      </c>
      <c r="E82" s="433">
        <v>4.1160001E8</v>
      </c>
      <c r="F82" s="212" t="s">
        <v>151</v>
      </c>
      <c r="G82" s="212" t="s">
        <v>152</v>
      </c>
      <c r="H82" s="434">
        <v>186808.33</v>
      </c>
      <c r="I82" s="212" t="s">
        <v>155</v>
      </c>
      <c r="J82" s="212"/>
      <c r="K82" s="582" t="s">
        <v>267</v>
      </c>
      <c r="L82" s="583" t="s">
        <v>1958</v>
      </c>
      <c r="M82" s="313"/>
      <c r="N82" s="316" t="s">
        <v>2222</v>
      </c>
      <c r="O82" s="318">
        <v>129.0</v>
      </c>
    </row>
    <row r="83">
      <c r="A83" s="212">
        <v>2020.0</v>
      </c>
      <c r="B83" s="212" t="s">
        <v>102</v>
      </c>
      <c r="C83" s="212" t="s">
        <v>1094</v>
      </c>
      <c r="D83" s="212" t="s">
        <v>1133</v>
      </c>
      <c r="E83" s="433">
        <v>4.1160012E7</v>
      </c>
      <c r="F83" s="212" t="s">
        <v>151</v>
      </c>
      <c r="G83" s="212" t="s">
        <v>152</v>
      </c>
      <c r="H83" s="434">
        <v>162125.0</v>
      </c>
      <c r="I83" s="212" t="s">
        <v>155</v>
      </c>
      <c r="J83" s="212" t="s">
        <v>1134</v>
      </c>
      <c r="K83" s="433" t="s">
        <v>1136</v>
      </c>
      <c r="L83" s="212" t="s">
        <v>1611</v>
      </c>
      <c r="M83" s="212"/>
      <c r="N83" s="436" t="s">
        <v>2226</v>
      </c>
      <c r="O83" s="318">
        <v>120.0</v>
      </c>
    </row>
    <row r="84" hidden="1">
      <c r="A84" s="437">
        <v>2021.0</v>
      </c>
      <c r="B84" s="438" t="s">
        <v>607</v>
      </c>
      <c r="C84" s="437" t="s">
        <v>485</v>
      </c>
      <c r="D84" s="439" t="s">
        <v>1442</v>
      </c>
      <c r="E84" s="437">
        <v>4.1160002E7</v>
      </c>
      <c r="F84" s="437" t="s">
        <v>1087</v>
      </c>
      <c r="G84" s="437" t="s">
        <v>152</v>
      </c>
      <c r="H84" s="440">
        <v>141478.98</v>
      </c>
      <c r="I84" s="441" t="s">
        <v>1062</v>
      </c>
      <c r="J84" s="437" t="s">
        <v>265</v>
      </c>
      <c r="K84" s="438" t="s">
        <v>1445</v>
      </c>
      <c r="L84" s="439" t="s">
        <v>1631</v>
      </c>
      <c r="M84" s="443"/>
      <c r="N84" s="446" t="s">
        <v>2233</v>
      </c>
      <c r="O84" s="447"/>
    </row>
    <row r="85" hidden="1">
      <c r="A85" s="426">
        <v>2019.0</v>
      </c>
      <c r="B85" s="426" t="s">
        <v>613</v>
      </c>
      <c r="C85" s="426" t="s">
        <v>1065</v>
      </c>
      <c r="D85" s="426" t="s">
        <v>1451</v>
      </c>
      <c r="E85" s="448"/>
      <c r="F85" s="426" t="s">
        <v>151</v>
      </c>
      <c r="G85" s="426" t="s">
        <v>152</v>
      </c>
      <c r="H85" s="428">
        <v>140000.0</v>
      </c>
      <c r="I85" s="426" t="s">
        <v>560</v>
      </c>
      <c r="J85" s="426" t="s">
        <v>110</v>
      </c>
      <c r="K85" s="426" t="s">
        <v>1434</v>
      </c>
      <c r="L85" s="430" t="s">
        <v>1639</v>
      </c>
      <c r="M85" s="429" t="s">
        <v>1457</v>
      </c>
      <c r="N85" s="449"/>
      <c r="O85" s="432">
        <v>1.0</v>
      </c>
    </row>
    <row r="86">
      <c r="A86" s="232">
        <v>2020.0</v>
      </c>
      <c r="B86" s="232" t="s">
        <v>102</v>
      </c>
      <c r="C86" s="232" t="s">
        <v>485</v>
      </c>
      <c r="D86" s="232" t="s">
        <v>1480</v>
      </c>
      <c r="E86" s="417" t="s">
        <v>578</v>
      </c>
      <c r="F86" s="232" t="s">
        <v>488</v>
      </c>
      <c r="G86" s="232" t="s">
        <v>152</v>
      </c>
      <c r="H86" s="357">
        <v>1874000.0</v>
      </c>
      <c r="I86" s="232" t="s">
        <v>389</v>
      </c>
      <c r="J86" s="342" t="s">
        <v>110</v>
      </c>
      <c r="K86" s="232" t="s">
        <v>1483</v>
      </c>
      <c r="L86" s="232" t="s">
        <v>1643</v>
      </c>
      <c r="M86" s="450" t="s">
        <v>1484</v>
      </c>
      <c r="N86" s="338" t="s">
        <v>2246</v>
      </c>
      <c r="O86" s="339">
        <v>23.0</v>
      </c>
    </row>
    <row r="87">
      <c r="A87" s="232">
        <v>2020.0</v>
      </c>
      <c r="B87" s="232" t="s">
        <v>102</v>
      </c>
      <c r="C87" s="232" t="s">
        <v>14</v>
      </c>
      <c r="D87" s="232" t="s">
        <v>74</v>
      </c>
      <c r="E87" s="232">
        <v>4.1160001E7</v>
      </c>
      <c r="F87" s="232" t="s">
        <v>193</v>
      </c>
      <c r="G87" s="232" t="s">
        <v>84</v>
      </c>
      <c r="H87" s="357">
        <v>100000.0</v>
      </c>
      <c r="I87" s="232" t="s">
        <v>490</v>
      </c>
      <c r="J87" s="342" t="s">
        <v>110</v>
      </c>
      <c r="K87" s="232" t="s">
        <v>1023</v>
      </c>
      <c r="L87" s="360" t="s">
        <v>1652</v>
      </c>
      <c r="M87" s="352"/>
      <c r="N87" s="354"/>
      <c r="O87" s="339">
        <v>85.0</v>
      </c>
    </row>
    <row r="88" hidden="1">
      <c r="A88" s="130">
        <v>2020.0</v>
      </c>
      <c r="B88" s="130" t="s">
        <v>632</v>
      </c>
      <c r="C88" s="130" t="s">
        <v>139</v>
      </c>
      <c r="D88" s="452" t="s">
        <v>1194</v>
      </c>
      <c r="E88" s="130">
        <v>4.116001E7</v>
      </c>
      <c r="F88" s="130" t="s">
        <v>151</v>
      </c>
      <c r="G88" s="130" t="s">
        <v>152</v>
      </c>
      <c r="H88" s="369">
        <v>162142.85</v>
      </c>
      <c r="I88" s="130" t="s">
        <v>155</v>
      </c>
      <c r="J88" s="130" t="s">
        <v>1196</v>
      </c>
      <c r="K88" s="452" t="s">
        <v>1197</v>
      </c>
      <c r="L88" s="130" t="s">
        <v>1655</v>
      </c>
      <c r="M88" s="130"/>
      <c r="N88" s="375" t="s">
        <v>2252</v>
      </c>
      <c r="O88" s="378">
        <v>124.0</v>
      </c>
    </row>
    <row r="89">
      <c r="A89" s="291">
        <v>2020.0</v>
      </c>
      <c r="B89" s="291" t="s">
        <v>102</v>
      </c>
      <c r="C89" s="291" t="s">
        <v>1065</v>
      </c>
      <c r="D89" s="291" t="s">
        <v>1143</v>
      </c>
      <c r="E89" s="410"/>
      <c r="F89" s="291" t="s">
        <v>151</v>
      </c>
      <c r="G89" s="291" t="s">
        <v>152</v>
      </c>
      <c r="H89" s="412">
        <v>209500.0</v>
      </c>
      <c r="I89" s="291" t="s">
        <v>389</v>
      </c>
      <c r="J89" s="291" t="s">
        <v>1067</v>
      </c>
      <c r="K89" s="291" t="s">
        <v>1144</v>
      </c>
      <c r="L89" s="415" t="s">
        <v>1657</v>
      </c>
      <c r="M89" s="172" t="s">
        <v>1509</v>
      </c>
      <c r="N89" s="416"/>
      <c r="O89" s="295">
        <v>114.0</v>
      </c>
    </row>
    <row r="90" hidden="1">
      <c r="A90" s="232">
        <v>2019.0</v>
      </c>
      <c r="B90" s="232" t="s">
        <v>619</v>
      </c>
      <c r="C90" s="232" t="s">
        <v>556</v>
      </c>
      <c r="D90" s="232" t="s">
        <v>1016</v>
      </c>
      <c r="E90" s="232">
        <v>7.1220005E7</v>
      </c>
      <c r="F90" s="232" t="s">
        <v>558</v>
      </c>
      <c r="G90" s="232" t="s">
        <v>152</v>
      </c>
      <c r="H90" s="357">
        <v>64000.0</v>
      </c>
      <c r="I90" s="232" t="s">
        <v>560</v>
      </c>
      <c r="J90" s="232" t="s">
        <v>110</v>
      </c>
      <c r="K90" s="232" t="s">
        <v>561</v>
      </c>
      <c r="L90" s="360" t="s">
        <v>1658</v>
      </c>
      <c r="M90" s="331" t="s">
        <v>563</v>
      </c>
      <c r="N90" s="354"/>
      <c r="O90" s="339">
        <v>6.0</v>
      </c>
    </row>
    <row r="91" hidden="1">
      <c r="A91" s="232">
        <v>2020.0</v>
      </c>
      <c r="B91" s="232" t="s">
        <v>141</v>
      </c>
      <c r="C91" s="232" t="s">
        <v>14</v>
      </c>
      <c r="D91" s="232" t="s">
        <v>74</v>
      </c>
      <c r="E91" s="232">
        <v>4.1160009E7</v>
      </c>
      <c r="F91" s="232" t="s">
        <v>488</v>
      </c>
      <c r="G91" s="232" t="s">
        <v>84</v>
      </c>
      <c r="H91" s="357">
        <v>150000.0</v>
      </c>
      <c r="I91" s="232" t="s">
        <v>490</v>
      </c>
      <c r="J91" s="342" t="s">
        <v>110</v>
      </c>
      <c r="K91" s="232" t="s">
        <v>491</v>
      </c>
      <c r="L91" s="360" t="s">
        <v>1661</v>
      </c>
      <c r="M91" s="331" t="s">
        <v>1545</v>
      </c>
      <c r="N91" s="398" t="s">
        <v>1662</v>
      </c>
      <c r="O91" s="339">
        <v>86.0</v>
      </c>
    </row>
    <row r="92" hidden="1">
      <c r="A92" s="232">
        <v>2019.0</v>
      </c>
      <c r="B92" s="232" t="s">
        <v>632</v>
      </c>
      <c r="C92" s="232" t="s">
        <v>556</v>
      </c>
      <c r="D92" s="232" t="s">
        <v>1014</v>
      </c>
      <c r="E92" s="232">
        <v>7.1220005E7</v>
      </c>
      <c r="F92" s="232" t="s">
        <v>558</v>
      </c>
      <c r="G92" s="232" t="s">
        <v>152</v>
      </c>
      <c r="H92" s="357">
        <v>63000.0</v>
      </c>
      <c r="I92" s="232" t="s">
        <v>560</v>
      </c>
      <c r="J92" s="232" t="s">
        <v>110</v>
      </c>
      <c r="K92" s="232" t="s">
        <v>561</v>
      </c>
      <c r="L92" s="360" t="s">
        <v>1663</v>
      </c>
      <c r="M92" s="331" t="s">
        <v>563</v>
      </c>
      <c r="N92" s="354"/>
      <c r="O92" s="339">
        <v>7.0</v>
      </c>
    </row>
    <row r="93" hidden="1">
      <c r="A93" s="232">
        <v>2020.0</v>
      </c>
      <c r="B93" s="232" t="s">
        <v>632</v>
      </c>
      <c r="C93" s="232" t="s">
        <v>485</v>
      </c>
      <c r="D93" s="232" t="s">
        <v>1126</v>
      </c>
      <c r="E93" s="232">
        <v>4.1160005E7</v>
      </c>
      <c r="F93" s="232" t="s">
        <v>488</v>
      </c>
      <c r="G93" s="232" t="s">
        <v>84</v>
      </c>
      <c r="H93" s="357">
        <v>100000.0</v>
      </c>
      <c r="I93" s="232" t="s">
        <v>490</v>
      </c>
      <c r="J93" s="342" t="s">
        <v>110</v>
      </c>
      <c r="K93" s="232" t="s">
        <v>1076</v>
      </c>
      <c r="L93" s="360" t="s">
        <v>1666</v>
      </c>
      <c r="M93" s="331" t="s">
        <v>1127</v>
      </c>
      <c r="N93" s="398" t="s">
        <v>1668</v>
      </c>
      <c r="O93" s="339">
        <v>28.0</v>
      </c>
    </row>
    <row r="94" hidden="1">
      <c r="A94" s="212">
        <v>2020.0</v>
      </c>
      <c r="B94" s="212" t="s">
        <v>310</v>
      </c>
      <c r="C94" s="212" t="s">
        <v>1094</v>
      </c>
      <c r="D94" s="212" t="s">
        <v>1200</v>
      </c>
      <c r="E94" s="433">
        <v>4.1160012E7</v>
      </c>
      <c r="F94" s="212" t="s">
        <v>151</v>
      </c>
      <c r="G94" s="212" t="s">
        <v>152</v>
      </c>
      <c r="H94" s="434">
        <v>162125.0</v>
      </c>
      <c r="I94" s="212" t="s">
        <v>155</v>
      </c>
      <c r="J94" s="212" t="s">
        <v>1134</v>
      </c>
      <c r="K94" s="433" t="s">
        <v>1136</v>
      </c>
      <c r="L94" s="212" t="s">
        <v>1671</v>
      </c>
      <c r="M94" s="212"/>
      <c r="N94" s="436" t="s">
        <v>2269</v>
      </c>
      <c r="O94" s="318">
        <v>121.0</v>
      </c>
    </row>
    <row r="95" hidden="1">
      <c r="A95" s="342">
        <v>2020.0</v>
      </c>
      <c r="B95" s="342" t="s">
        <v>310</v>
      </c>
      <c r="C95" s="342" t="s">
        <v>485</v>
      </c>
      <c r="D95" s="342" t="s">
        <v>999</v>
      </c>
      <c r="E95" s="349" t="s">
        <v>578</v>
      </c>
      <c r="F95" s="232" t="s">
        <v>488</v>
      </c>
      <c r="G95" s="342" t="s">
        <v>84</v>
      </c>
      <c r="H95" s="322">
        <v>60000.0</v>
      </c>
      <c r="I95" s="342" t="s">
        <v>389</v>
      </c>
      <c r="J95" s="342" t="s">
        <v>110</v>
      </c>
      <c r="K95" s="342" t="s">
        <v>589</v>
      </c>
      <c r="L95" s="342" t="s">
        <v>1674</v>
      </c>
      <c r="M95" s="352"/>
      <c r="N95" s="354"/>
      <c r="O95" s="339">
        <v>53.0</v>
      </c>
    </row>
    <row r="96" hidden="1">
      <c r="A96" s="130">
        <v>2020.0</v>
      </c>
      <c r="B96" s="130" t="s">
        <v>821</v>
      </c>
      <c r="C96" s="130" t="s">
        <v>139</v>
      </c>
      <c r="D96" s="130" t="s">
        <v>1317</v>
      </c>
      <c r="E96" s="130">
        <v>4.116001E7</v>
      </c>
      <c r="F96" s="130" t="s">
        <v>151</v>
      </c>
      <c r="G96" s="130" t="s">
        <v>152</v>
      </c>
      <c r="H96" s="369">
        <v>162142.85</v>
      </c>
      <c r="I96" s="130" t="s">
        <v>155</v>
      </c>
      <c r="J96" s="460" t="s">
        <v>1196</v>
      </c>
      <c r="K96" s="130" t="s">
        <v>1318</v>
      </c>
      <c r="L96" s="130" t="s">
        <v>1679</v>
      </c>
      <c r="M96" s="130"/>
      <c r="N96" s="375" t="s">
        <v>2273</v>
      </c>
      <c r="O96" s="378">
        <v>123.0</v>
      </c>
    </row>
    <row r="97" hidden="1">
      <c r="A97" s="232">
        <v>2020.0</v>
      </c>
      <c r="B97" s="232" t="s">
        <v>165</v>
      </c>
      <c r="C97" s="232" t="s">
        <v>14</v>
      </c>
      <c r="D97" s="232" t="s">
        <v>74</v>
      </c>
      <c r="E97" s="232">
        <v>4.1160001E7</v>
      </c>
      <c r="F97" s="232" t="s">
        <v>193</v>
      </c>
      <c r="G97" s="232" t="s">
        <v>84</v>
      </c>
      <c r="H97" s="357">
        <v>100000.0</v>
      </c>
      <c r="I97" s="232" t="s">
        <v>490</v>
      </c>
      <c r="J97" s="342" t="s">
        <v>110</v>
      </c>
      <c r="K97" s="232" t="s">
        <v>1023</v>
      </c>
      <c r="L97" s="360" t="s">
        <v>1681</v>
      </c>
      <c r="M97" s="352"/>
      <c r="N97" s="354"/>
      <c r="O97" s="339">
        <v>79.0</v>
      </c>
    </row>
    <row r="98" hidden="1">
      <c r="A98" s="232">
        <v>2020.0</v>
      </c>
      <c r="B98" s="232" t="s">
        <v>165</v>
      </c>
      <c r="C98" s="232" t="s">
        <v>14</v>
      </c>
      <c r="D98" s="232" t="s">
        <v>74</v>
      </c>
      <c r="E98" s="232">
        <v>4.1160004E7</v>
      </c>
      <c r="F98" s="232" t="s">
        <v>1572</v>
      </c>
      <c r="G98" s="232" t="s">
        <v>1573</v>
      </c>
      <c r="H98" s="357">
        <v>300000.0</v>
      </c>
      <c r="I98" s="232" t="s">
        <v>490</v>
      </c>
      <c r="J98" s="232" t="s">
        <v>1574</v>
      </c>
      <c r="K98" s="232" t="s">
        <v>1576</v>
      </c>
      <c r="L98" s="360" t="s">
        <v>1681</v>
      </c>
      <c r="M98" s="331" t="s">
        <v>1577</v>
      </c>
      <c r="N98" s="354"/>
      <c r="O98" s="339">
        <v>80.0</v>
      </c>
    </row>
    <row r="99" hidden="1">
      <c r="A99" s="652">
        <v>2021.0</v>
      </c>
      <c r="B99" s="662" t="s">
        <v>559</v>
      </c>
      <c r="C99" s="652" t="s">
        <v>485</v>
      </c>
      <c r="D99" s="662" t="s">
        <v>1436</v>
      </c>
      <c r="E99" s="656">
        <v>4.1160003E7</v>
      </c>
      <c r="F99" s="656" t="s">
        <v>488</v>
      </c>
      <c r="G99" s="656" t="s">
        <v>84</v>
      </c>
      <c r="H99" s="691">
        <v>170000.0</v>
      </c>
      <c r="I99" s="656" t="s">
        <v>1062</v>
      </c>
      <c r="J99" s="656" t="s">
        <v>1439</v>
      </c>
      <c r="K99" s="662" t="s">
        <v>1213</v>
      </c>
      <c r="L99" s="662"/>
      <c r="M99" s="657"/>
      <c r="N99" s="692"/>
      <c r="O99" s="693"/>
    </row>
    <row r="100" hidden="1">
      <c r="A100" s="232">
        <v>2020.0</v>
      </c>
      <c r="B100" s="232" t="s">
        <v>114</v>
      </c>
      <c r="C100" s="232" t="s">
        <v>14</v>
      </c>
      <c r="D100" s="232" t="s">
        <v>74</v>
      </c>
      <c r="E100" s="232">
        <v>4.1160009E7</v>
      </c>
      <c r="F100" s="232" t="s">
        <v>488</v>
      </c>
      <c r="G100" s="232" t="s">
        <v>84</v>
      </c>
      <c r="H100" s="357">
        <v>100000.0</v>
      </c>
      <c r="I100" s="232" t="s">
        <v>490</v>
      </c>
      <c r="J100" s="342" t="s">
        <v>110</v>
      </c>
      <c r="K100" s="232" t="s">
        <v>1131</v>
      </c>
      <c r="L100" s="360" t="s">
        <v>1691</v>
      </c>
      <c r="M100" s="331" t="s">
        <v>1132</v>
      </c>
      <c r="N100" s="354"/>
      <c r="O100" s="339">
        <v>87.0</v>
      </c>
    </row>
    <row r="101" hidden="1">
      <c r="A101" s="232">
        <v>2021.0</v>
      </c>
      <c r="B101" s="232" t="s">
        <v>114</v>
      </c>
      <c r="C101" s="232" t="s">
        <v>14</v>
      </c>
      <c r="D101" s="232" t="s">
        <v>74</v>
      </c>
      <c r="E101" s="320">
        <v>4.1160004E7</v>
      </c>
      <c r="F101" s="232" t="s">
        <v>20</v>
      </c>
      <c r="G101" s="232" t="s">
        <v>152</v>
      </c>
      <c r="H101" s="322">
        <v>250000.0</v>
      </c>
      <c r="I101" s="232" t="s">
        <v>490</v>
      </c>
      <c r="J101" s="323" t="s">
        <v>265</v>
      </c>
      <c r="K101" s="326" t="s">
        <v>1588</v>
      </c>
      <c r="L101" s="329" t="s">
        <v>1693</v>
      </c>
      <c r="M101" s="331"/>
      <c r="N101" s="338" t="s">
        <v>2293</v>
      </c>
      <c r="O101" s="339">
        <v>118.0</v>
      </c>
    </row>
    <row r="102" hidden="1">
      <c r="A102" s="464">
        <v>2020.0</v>
      </c>
      <c r="B102" s="464" t="s">
        <v>127</v>
      </c>
      <c r="C102" s="464" t="s">
        <v>139</v>
      </c>
      <c r="D102" s="464" t="s">
        <v>1340</v>
      </c>
      <c r="E102" s="465">
        <v>4.1160006E7</v>
      </c>
      <c r="F102" s="464" t="s">
        <v>151</v>
      </c>
      <c r="G102" s="464" t="s">
        <v>152</v>
      </c>
      <c r="H102" s="466">
        <v>261914.0</v>
      </c>
      <c r="I102" s="464" t="s">
        <v>155</v>
      </c>
      <c r="J102" s="464" t="s">
        <v>1342</v>
      </c>
      <c r="K102" s="467" t="s">
        <v>1700</v>
      </c>
      <c r="L102" s="468" t="s">
        <v>1702</v>
      </c>
      <c r="M102" s="469"/>
      <c r="N102" s="471" t="s">
        <v>2299</v>
      </c>
      <c r="O102" s="473"/>
    </row>
    <row r="103" hidden="1">
      <c r="A103" s="437">
        <v>2022.0</v>
      </c>
      <c r="B103" s="439" t="s">
        <v>559</v>
      </c>
      <c r="C103" s="437" t="s">
        <v>485</v>
      </c>
      <c r="D103" s="439" t="s">
        <v>1392</v>
      </c>
      <c r="E103" s="212">
        <v>7120004.0</v>
      </c>
      <c r="F103" s="212" t="s">
        <v>488</v>
      </c>
      <c r="G103" s="212" t="s">
        <v>84</v>
      </c>
      <c r="H103" s="598">
        <v>350000.0</v>
      </c>
      <c r="I103" s="212" t="s">
        <v>1193</v>
      </c>
      <c r="J103" s="441" t="s">
        <v>1584</v>
      </c>
      <c r="K103" s="438"/>
      <c r="L103" s="439"/>
      <c r="M103" s="443"/>
      <c r="N103" s="704"/>
      <c r="O103" s="447"/>
    </row>
    <row r="104" ht="132.0" hidden="1" customHeight="1">
      <c r="A104" s="212">
        <v>2020.0</v>
      </c>
      <c r="B104" s="212" t="s">
        <v>127</v>
      </c>
      <c r="C104" s="212" t="s">
        <v>139</v>
      </c>
      <c r="D104" s="212" t="s">
        <v>412</v>
      </c>
      <c r="E104" s="212">
        <v>4.116001E7</v>
      </c>
      <c r="F104" s="212" t="s">
        <v>151</v>
      </c>
      <c r="G104" s="212" t="s">
        <v>152</v>
      </c>
      <c r="H104" s="434">
        <v>31428.6</v>
      </c>
      <c r="I104" s="212" t="s">
        <v>155</v>
      </c>
      <c r="J104" s="212" t="s">
        <v>418</v>
      </c>
      <c r="K104" s="212" t="s">
        <v>420</v>
      </c>
      <c r="L104" s="212" t="s">
        <v>1713</v>
      </c>
      <c r="M104" s="212"/>
      <c r="N104" s="436" t="s">
        <v>2307</v>
      </c>
      <c r="O104" s="318">
        <v>121.0</v>
      </c>
    </row>
    <row r="105" hidden="1">
      <c r="A105" s="232">
        <v>2020.0</v>
      </c>
      <c r="B105" s="232" t="s">
        <v>182</v>
      </c>
      <c r="C105" s="232" t="s">
        <v>485</v>
      </c>
      <c r="D105" s="232" t="s">
        <v>1579</v>
      </c>
      <c r="E105" s="232">
        <v>4.1160005E7</v>
      </c>
      <c r="F105" s="232" t="s">
        <v>488</v>
      </c>
      <c r="G105" s="232" t="s">
        <v>84</v>
      </c>
      <c r="H105" s="357">
        <v>200000.0</v>
      </c>
      <c r="I105" s="232" t="s">
        <v>490</v>
      </c>
      <c r="J105" s="342" t="s">
        <v>110</v>
      </c>
      <c r="K105" s="232" t="s">
        <v>1076</v>
      </c>
      <c r="L105" s="360" t="s">
        <v>1684</v>
      </c>
      <c r="M105" s="331" t="s">
        <v>1581</v>
      </c>
      <c r="N105" s="398" t="s">
        <v>1685</v>
      </c>
      <c r="O105" s="339">
        <v>31.0</v>
      </c>
    </row>
    <row r="106" hidden="1">
      <c r="A106" s="342">
        <v>2020.0</v>
      </c>
      <c r="B106" s="342" t="s">
        <v>449</v>
      </c>
      <c r="C106" s="342" t="s">
        <v>14</v>
      </c>
      <c r="D106" s="342" t="s">
        <v>74</v>
      </c>
      <c r="E106" s="342">
        <v>4.1160009E7</v>
      </c>
      <c r="F106" s="342" t="s">
        <v>193</v>
      </c>
      <c r="G106" s="342" t="s">
        <v>84</v>
      </c>
      <c r="H106" s="322">
        <v>150000.0</v>
      </c>
      <c r="I106" s="342" t="s">
        <v>490</v>
      </c>
      <c r="J106" s="342" t="s">
        <v>110</v>
      </c>
      <c r="K106" s="342" t="s">
        <v>1023</v>
      </c>
      <c r="L106" s="331" t="s">
        <v>1719</v>
      </c>
      <c r="M106" s="352"/>
      <c r="N106" s="354"/>
      <c r="O106" s="339">
        <v>89.0</v>
      </c>
    </row>
    <row r="107" hidden="1">
      <c r="A107" s="232">
        <v>2019.0</v>
      </c>
      <c r="B107" s="232" t="s">
        <v>505</v>
      </c>
      <c r="C107" s="232" t="s">
        <v>556</v>
      </c>
      <c r="D107" s="232" t="s">
        <v>557</v>
      </c>
      <c r="E107" s="232">
        <v>7.1220005E7</v>
      </c>
      <c r="F107" s="232" t="s">
        <v>558</v>
      </c>
      <c r="G107" s="232" t="s">
        <v>152</v>
      </c>
      <c r="H107" s="357">
        <v>50000.0</v>
      </c>
      <c r="I107" s="232" t="s">
        <v>560</v>
      </c>
      <c r="J107" s="232" t="s">
        <v>110</v>
      </c>
      <c r="K107" s="232" t="s">
        <v>561</v>
      </c>
      <c r="L107" s="360" t="s">
        <v>1720</v>
      </c>
      <c r="M107" s="331" t="s">
        <v>563</v>
      </c>
      <c r="N107" s="354"/>
      <c r="O107" s="339">
        <v>8.0</v>
      </c>
    </row>
    <row r="108" hidden="1">
      <c r="A108" s="232">
        <v>2019.0</v>
      </c>
      <c r="B108" s="232" t="s">
        <v>678</v>
      </c>
      <c r="C108" s="232" t="s">
        <v>556</v>
      </c>
      <c r="D108" s="232" t="s">
        <v>1057</v>
      </c>
      <c r="E108" s="232">
        <v>7.1220005E7</v>
      </c>
      <c r="F108" s="232" t="s">
        <v>558</v>
      </c>
      <c r="G108" s="232" t="s">
        <v>152</v>
      </c>
      <c r="H108" s="357">
        <v>78705.88</v>
      </c>
      <c r="I108" s="232" t="s">
        <v>560</v>
      </c>
      <c r="J108" s="232" t="s">
        <v>110</v>
      </c>
      <c r="K108" s="232" t="s">
        <v>561</v>
      </c>
      <c r="L108" s="360" t="s">
        <v>1721</v>
      </c>
      <c r="M108" s="331" t="s">
        <v>563</v>
      </c>
      <c r="N108" s="354"/>
      <c r="O108" s="339">
        <v>9.0</v>
      </c>
    </row>
    <row r="109" hidden="1">
      <c r="A109" s="232">
        <v>2020.0</v>
      </c>
      <c r="B109" s="232" t="s">
        <v>681</v>
      </c>
      <c r="C109" s="232" t="s">
        <v>14</v>
      </c>
      <c r="D109" s="232" t="s">
        <v>74</v>
      </c>
      <c r="E109" s="232">
        <v>4.1160001E7</v>
      </c>
      <c r="F109" s="232" t="s">
        <v>193</v>
      </c>
      <c r="G109" s="232" t="s">
        <v>84</v>
      </c>
      <c r="H109" s="357">
        <v>100000.0</v>
      </c>
      <c r="I109" s="232" t="s">
        <v>490</v>
      </c>
      <c r="J109" s="342" t="s">
        <v>110</v>
      </c>
      <c r="K109" s="232" t="s">
        <v>1138</v>
      </c>
      <c r="L109" s="360" t="s">
        <v>1723</v>
      </c>
      <c r="M109" s="331" t="s">
        <v>1139</v>
      </c>
      <c r="N109" s="354"/>
      <c r="O109" s="339">
        <v>90.0</v>
      </c>
    </row>
    <row r="110" ht="157.5" hidden="1" customHeight="1">
      <c r="A110" s="232">
        <v>2019.0</v>
      </c>
      <c r="B110" s="232" t="s">
        <v>191</v>
      </c>
      <c r="C110" s="232" t="s">
        <v>485</v>
      </c>
      <c r="D110" s="232" t="s">
        <v>606</v>
      </c>
      <c r="E110" s="232">
        <v>7.1220009E7</v>
      </c>
      <c r="F110" s="232" t="s">
        <v>488</v>
      </c>
      <c r="G110" s="232" t="s">
        <v>84</v>
      </c>
      <c r="H110" s="357">
        <v>250000.0</v>
      </c>
      <c r="I110" s="232" t="s">
        <v>389</v>
      </c>
      <c r="J110" s="232" t="s">
        <v>110</v>
      </c>
      <c r="K110" s="232" t="s">
        <v>1076</v>
      </c>
      <c r="L110" s="360" t="s">
        <v>1725</v>
      </c>
      <c r="M110" s="331" t="s">
        <v>1606</v>
      </c>
      <c r="N110" s="398" t="s">
        <v>1727</v>
      </c>
      <c r="O110" s="339">
        <v>14.0</v>
      </c>
    </row>
    <row r="111" hidden="1">
      <c r="A111" s="232">
        <v>2020.0</v>
      </c>
      <c r="B111" s="232" t="s">
        <v>191</v>
      </c>
      <c r="C111" s="232" t="s">
        <v>485</v>
      </c>
      <c r="D111" s="232" t="s">
        <v>606</v>
      </c>
      <c r="E111" s="417" t="s">
        <v>578</v>
      </c>
      <c r="F111" s="232" t="s">
        <v>488</v>
      </c>
      <c r="G111" s="232" t="s">
        <v>84</v>
      </c>
      <c r="H111" s="357">
        <v>50000.0</v>
      </c>
      <c r="I111" s="232" t="s">
        <v>389</v>
      </c>
      <c r="J111" s="342" t="s">
        <v>110</v>
      </c>
      <c r="K111" s="474" t="s">
        <v>600</v>
      </c>
      <c r="L111" s="232" t="s">
        <v>1725</v>
      </c>
      <c r="M111" s="352"/>
      <c r="N111" s="354"/>
      <c r="O111" s="339">
        <v>55.0</v>
      </c>
    </row>
    <row r="112" hidden="1">
      <c r="A112" s="232">
        <v>2020.0</v>
      </c>
      <c r="B112" s="232" t="s">
        <v>191</v>
      </c>
      <c r="C112" s="232" t="s">
        <v>14</v>
      </c>
      <c r="D112" s="232" t="s">
        <v>74</v>
      </c>
      <c r="E112" s="232">
        <v>4.1160001E7</v>
      </c>
      <c r="F112" s="232" t="s">
        <v>193</v>
      </c>
      <c r="G112" s="232" t="s">
        <v>84</v>
      </c>
      <c r="H112" s="357">
        <v>100000.0</v>
      </c>
      <c r="I112" s="232" t="s">
        <v>490</v>
      </c>
      <c r="J112" s="342" t="s">
        <v>110</v>
      </c>
      <c r="K112" s="232" t="s">
        <v>1030</v>
      </c>
      <c r="L112" s="360" t="s">
        <v>1729</v>
      </c>
      <c r="M112" s="352"/>
      <c r="N112" s="354"/>
      <c r="O112" s="339">
        <v>91.0</v>
      </c>
    </row>
    <row r="113" hidden="1">
      <c r="A113" s="232">
        <v>2020.0</v>
      </c>
      <c r="B113" s="232" t="s">
        <v>698</v>
      </c>
      <c r="C113" s="232" t="s">
        <v>485</v>
      </c>
      <c r="D113" s="232" t="s">
        <v>1147</v>
      </c>
      <c r="E113" s="232">
        <v>4.1160005E7</v>
      </c>
      <c r="F113" s="232" t="s">
        <v>488</v>
      </c>
      <c r="G113" s="232" t="s">
        <v>84</v>
      </c>
      <c r="H113" s="357">
        <v>100000.0</v>
      </c>
      <c r="I113" s="232" t="s">
        <v>490</v>
      </c>
      <c r="J113" s="342" t="s">
        <v>110</v>
      </c>
      <c r="K113" s="232" t="s">
        <v>1076</v>
      </c>
      <c r="L113" s="360" t="s">
        <v>1730</v>
      </c>
      <c r="M113" s="352"/>
      <c r="N113" s="354"/>
      <c r="O113" s="339">
        <v>32.0</v>
      </c>
    </row>
    <row r="114" hidden="1">
      <c r="A114" s="342">
        <v>2020.0</v>
      </c>
      <c r="B114" s="342" t="s">
        <v>458</v>
      </c>
      <c r="C114" s="342" t="s">
        <v>14</v>
      </c>
      <c r="D114" s="342" t="s">
        <v>74</v>
      </c>
      <c r="E114" s="342">
        <v>4.1160009E7</v>
      </c>
      <c r="F114" s="342" t="s">
        <v>488</v>
      </c>
      <c r="G114" s="342" t="s">
        <v>84</v>
      </c>
      <c r="H114" s="322">
        <v>68418.0</v>
      </c>
      <c r="I114" s="342" t="s">
        <v>490</v>
      </c>
      <c r="J114" s="342" t="s">
        <v>110</v>
      </c>
      <c r="K114" s="342" t="s">
        <v>1030</v>
      </c>
      <c r="L114" s="331" t="s">
        <v>1733</v>
      </c>
      <c r="M114" s="331" t="s">
        <v>1045</v>
      </c>
      <c r="N114" s="398" t="s">
        <v>1734</v>
      </c>
      <c r="O114" s="339">
        <v>92.0</v>
      </c>
    </row>
    <row r="115" hidden="1">
      <c r="A115" s="232">
        <v>2019.0</v>
      </c>
      <c r="B115" s="232" t="s">
        <v>198</v>
      </c>
      <c r="C115" s="232" t="s">
        <v>485</v>
      </c>
      <c r="D115" s="232" t="s">
        <v>1610</v>
      </c>
      <c r="E115" s="232">
        <v>7.1220009E7</v>
      </c>
      <c r="F115" s="232" t="s">
        <v>488</v>
      </c>
      <c r="G115" s="232" t="s">
        <v>84</v>
      </c>
      <c r="H115" s="357">
        <v>250000.0</v>
      </c>
      <c r="I115" s="232" t="s">
        <v>389</v>
      </c>
      <c r="J115" s="232" t="s">
        <v>110</v>
      </c>
      <c r="K115" s="232" t="s">
        <v>1076</v>
      </c>
      <c r="L115" s="360" t="s">
        <v>1740</v>
      </c>
      <c r="M115" s="352"/>
      <c r="N115" s="354"/>
      <c r="O115" s="339">
        <v>15.0</v>
      </c>
    </row>
    <row r="116" hidden="1">
      <c r="A116" s="232">
        <v>2020.0</v>
      </c>
      <c r="B116" s="232" t="s">
        <v>198</v>
      </c>
      <c r="C116" s="232" t="s">
        <v>485</v>
      </c>
      <c r="D116" s="232" t="s">
        <v>618</v>
      </c>
      <c r="E116" s="417" t="s">
        <v>578</v>
      </c>
      <c r="F116" s="232" t="s">
        <v>488</v>
      </c>
      <c r="G116" s="232" t="s">
        <v>84</v>
      </c>
      <c r="H116" s="357">
        <v>50000.0</v>
      </c>
      <c r="I116" s="232" t="s">
        <v>389</v>
      </c>
      <c r="J116" s="342" t="s">
        <v>110</v>
      </c>
      <c r="K116" s="474" t="s">
        <v>600</v>
      </c>
      <c r="L116" s="232" t="s">
        <v>1740</v>
      </c>
      <c r="M116" s="352"/>
      <c r="N116" s="354"/>
      <c r="O116" s="339">
        <v>56.0</v>
      </c>
    </row>
    <row r="117" hidden="1">
      <c r="A117" s="204">
        <v>2020.0</v>
      </c>
      <c r="B117" s="204" t="s">
        <v>127</v>
      </c>
      <c r="C117" s="204" t="s">
        <v>139</v>
      </c>
      <c r="D117" s="204" t="s">
        <v>1351</v>
      </c>
      <c r="E117" s="204">
        <v>4.116001E7</v>
      </c>
      <c r="F117" s="204" t="s">
        <v>151</v>
      </c>
      <c r="G117" s="204" t="s">
        <v>152</v>
      </c>
      <c r="H117" s="434">
        <v>111914.0</v>
      </c>
      <c r="I117" s="204" t="s">
        <v>155</v>
      </c>
      <c r="J117" s="204" t="s">
        <v>1352</v>
      </c>
      <c r="K117" s="212" t="s">
        <v>1353</v>
      </c>
      <c r="L117" s="161" t="s">
        <v>1742</v>
      </c>
      <c r="M117" s="212"/>
      <c r="N117" s="436" t="s">
        <v>2328</v>
      </c>
      <c r="O117" s="318"/>
    </row>
    <row r="118" hidden="1">
      <c r="A118" s="204">
        <v>2021.0</v>
      </c>
      <c r="B118" s="306" t="s">
        <v>198</v>
      </c>
      <c r="C118" s="204" t="s">
        <v>485</v>
      </c>
      <c r="D118" s="311" t="s">
        <v>1613</v>
      </c>
      <c r="E118" s="204">
        <v>4.1160002E7</v>
      </c>
      <c r="F118" s="204" t="s">
        <v>1087</v>
      </c>
      <c r="G118" s="204" t="s">
        <v>152</v>
      </c>
      <c r="H118" s="308">
        <v>570714.02</v>
      </c>
      <c r="I118" s="212" t="s">
        <v>1062</v>
      </c>
      <c r="J118" s="204" t="s">
        <v>1614</v>
      </c>
      <c r="K118" s="306" t="s">
        <v>1615</v>
      </c>
      <c r="L118" s="311" t="s">
        <v>1745</v>
      </c>
      <c r="M118" s="313"/>
      <c r="N118" s="316" t="s">
        <v>2330</v>
      </c>
      <c r="O118" s="318"/>
    </row>
    <row r="119" hidden="1">
      <c r="A119" s="232">
        <v>2020.0</v>
      </c>
      <c r="B119" s="232" t="s">
        <v>735</v>
      </c>
      <c r="C119" s="232" t="s">
        <v>485</v>
      </c>
      <c r="D119" s="232" t="s">
        <v>1617</v>
      </c>
      <c r="E119" s="232">
        <v>4.1160005E7</v>
      </c>
      <c r="F119" s="232" t="s">
        <v>1559</v>
      </c>
      <c r="G119" s="232" t="s">
        <v>84</v>
      </c>
      <c r="H119" s="357">
        <v>200000.0</v>
      </c>
      <c r="I119" s="232" t="s">
        <v>490</v>
      </c>
      <c r="J119" s="342" t="s">
        <v>110</v>
      </c>
      <c r="K119" s="232" t="s">
        <v>1618</v>
      </c>
      <c r="L119" s="360" t="s">
        <v>1749</v>
      </c>
      <c r="M119" s="331" t="s">
        <v>1619</v>
      </c>
      <c r="N119" s="338" t="s">
        <v>1750</v>
      </c>
      <c r="O119" s="339">
        <v>33.0</v>
      </c>
    </row>
    <row r="120" hidden="1">
      <c r="A120" s="232">
        <v>2019.0</v>
      </c>
      <c r="B120" s="232" t="s">
        <v>470</v>
      </c>
      <c r="C120" s="232" t="s">
        <v>556</v>
      </c>
      <c r="D120" s="232" t="s">
        <v>927</v>
      </c>
      <c r="E120" s="232">
        <v>7.1220005E7</v>
      </c>
      <c r="F120" s="232" t="s">
        <v>558</v>
      </c>
      <c r="G120" s="232" t="s">
        <v>152</v>
      </c>
      <c r="H120" s="357">
        <v>54000.0</v>
      </c>
      <c r="I120" s="232" t="s">
        <v>560</v>
      </c>
      <c r="J120" s="232" t="s">
        <v>110</v>
      </c>
      <c r="K120" s="232" t="s">
        <v>561</v>
      </c>
      <c r="L120" s="360" t="s">
        <v>1753</v>
      </c>
      <c r="M120" s="331" t="s">
        <v>563</v>
      </c>
      <c r="N120" s="354"/>
      <c r="O120" s="339">
        <v>10.0</v>
      </c>
    </row>
    <row r="121" hidden="1">
      <c r="A121" s="232">
        <v>2020.0</v>
      </c>
      <c r="B121" s="232" t="s">
        <v>470</v>
      </c>
      <c r="C121" s="232" t="s">
        <v>485</v>
      </c>
      <c r="D121" s="232" t="s">
        <v>1623</v>
      </c>
      <c r="E121" s="232">
        <v>4.1160009E7</v>
      </c>
      <c r="F121" s="342" t="s">
        <v>488</v>
      </c>
      <c r="G121" s="232" t="s">
        <v>84</v>
      </c>
      <c r="H121" s="357">
        <v>150000.0</v>
      </c>
      <c r="I121" s="232" t="s">
        <v>490</v>
      </c>
      <c r="J121" s="342" t="s">
        <v>110</v>
      </c>
      <c r="K121" s="232" t="s">
        <v>1131</v>
      </c>
      <c r="L121" s="360" t="s">
        <v>1754</v>
      </c>
      <c r="M121" s="331" t="s">
        <v>1624</v>
      </c>
      <c r="N121" s="354"/>
      <c r="O121" s="339">
        <v>71.0</v>
      </c>
    </row>
    <row r="122" hidden="1">
      <c r="A122" s="232">
        <v>2020.0</v>
      </c>
      <c r="B122" s="232" t="s">
        <v>115</v>
      </c>
      <c r="C122" s="232" t="s">
        <v>485</v>
      </c>
      <c r="D122" s="232" t="s">
        <v>1625</v>
      </c>
      <c r="E122" s="232">
        <v>4.1160005E7</v>
      </c>
      <c r="F122" s="232" t="s">
        <v>488</v>
      </c>
      <c r="G122" s="232" t="s">
        <v>84</v>
      </c>
      <c r="H122" s="357">
        <v>200000.0</v>
      </c>
      <c r="I122" s="232" t="s">
        <v>490</v>
      </c>
      <c r="J122" s="342" t="s">
        <v>110</v>
      </c>
      <c r="K122" s="232" t="s">
        <v>1076</v>
      </c>
      <c r="L122" s="360" t="s">
        <v>1756</v>
      </c>
      <c r="M122" s="331" t="s">
        <v>1627</v>
      </c>
      <c r="N122" s="398" t="s">
        <v>1757</v>
      </c>
      <c r="O122" s="339">
        <v>34.0</v>
      </c>
    </row>
    <row r="123" hidden="1">
      <c r="A123" s="232">
        <v>2020.0</v>
      </c>
      <c r="B123" s="232" t="s">
        <v>115</v>
      </c>
      <c r="C123" s="232" t="s">
        <v>14</v>
      </c>
      <c r="D123" s="232" t="s">
        <v>74</v>
      </c>
      <c r="E123" s="232">
        <v>4.1160004E7</v>
      </c>
      <c r="F123" s="232" t="s">
        <v>1572</v>
      </c>
      <c r="G123" s="232" t="s">
        <v>1573</v>
      </c>
      <c r="H123" s="357">
        <v>300000.0</v>
      </c>
      <c r="I123" s="232" t="s">
        <v>490</v>
      </c>
      <c r="J123" s="232" t="s">
        <v>1574</v>
      </c>
      <c r="K123" s="232" t="s">
        <v>1576</v>
      </c>
      <c r="L123" s="360" t="s">
        <v>1761</v>
      </c>
      <c r="M123" s="331" t="s">
        <v>1577</v>
      </c>
      <c r="N123" s="354"/>
      <c r="O123" s="339">
        <v>81.0</v>
      </c>
    </row>
    <row r="124" hidden="1">
      <c r="A124" s="204">
        <v>2021.0</v>
      </c>
      <c r="B124" s="306" t="s">
        <v>115</v>
      </c>
      <c r="C124" s="204" t="s">
        <v>220</v>
      </c>
      <c r="D124" s="385" t="s">
        <v>74</v>
      </c>
      <c r="E124" s="204">
        <v>4.1160002E7</v>
      </c>
      <c r="F124" s="204" t="s">
        <v>1087</v>
      </c>
      <c r="G124" s="204" t="s">
        <v>152</v>
      </c>
      <c r="H124" s="493">
        <v>146165.0</v>
      </c>
      <c r="I124" s="212" t="s">
        <v>1062</v>
      </c>
      <c r="J124" s="204" t="s">
        <v>1303</v>
      </c>
      <c r="K124" s="311" t="s">
        <v>1635</v>
      </c>
      <c r="L124" s="311" t="s">
        <v>1763</v>
      </c>
      <c r="M124" s="313"/>
      <c r="N124" s="316" t="s">
        <v>2347</v>
      </c>
      <c r="O124" s="318">
        <v>11.0</v>
      </c>
    </row>
    <row r="125" hidden="1">
      <c r="A125" s="342">
        <v>2020.0</v>
      </c>
      <c r="B125" s="342" t="s">
        <v>210</v>
      </c>
      <c r="C125" s="342" t="s">
        <v>566</v>
      </c>
      <c r="D125" s="342" t="s">
        <v>734</v>
      </c>
      <c r="E125" s="349" t="s">
        <v>578</v>
      </c>
      <c r="F125" s="342" t="s">
        <v>488</v>
      </c>
      <c r="G125" s="342" t="s">
        <v>84</v>
      </c>
      <c r="H125" s="322">
        <v>50000.0</v>
      </c>
      <c r="I125" s="342" t="s">
        <v>724</v>
      </c>
      <c r="J125" s="342" t="s">
        <v>110</v>
      </c>
      <c r="K125" s="342" t="s">
        <v>571</v>
      </c>
      <c r="L125" s="342" t="s">
        <v>1770</v>
      </c>
      <c r="M125" s="352"/>
      <c r="N125" s="354"/>
      <c r="O125" s="339">
        <v>105.0</v>
      </c>
    </row>
    <row r="126" hidden="1">
      <c r="A126" s="232">
        <v>2020.0</v>
      </c>
      <c r="B126" s="232" t="s">
        <v>623</v>
      </c>
      <c r="C126" s="232" t="s">
        <v>485</v>
      </c>
      <c r="D126" s="232" t="s">
        <v>631</v>
      </c>
      <c r="E126" s="417" t="s">
        <v>578</v>
      </c>
      <c r="F126" s="232" t="s">
        <v>488</v>
      </c>
      <c r="G126" s="232" t="s">
        <v>84</v>
      </c>
      <c r="H126" s="357">
        <v>50000.0</v>
      </c>
      <c r="I126" s="232" t="s">
        <v>389</v>
      </c>
      <c r="J126" s="342" t="s">
        <v>110</v>
      </c>
      <c r="K126" s="474" t="s">
        <v>600</v>
      </c>
      <c r="L126" s="232" t="s">
        <v>1772</v>
      </c>
      <c r="M126" s="352"/>
      <c r="N126" s="354"/>
      <c r="O126" s="339">
        <v>57.0</v>
      </c>
    </row>
    <row r="127" hidden="1">
      <c r="A127" s="232">
        <v>2020.0</v>
      </c>
      <c r="B127" s="232" t="s">
        <v>338</v>
      </c>
      <c r="C127" s="232" t="s">
        <v>485</v>
      </c>
      <c r="D127" s="232" t="s">
        <v>1153</v>
      </c>
      <c r="E127" s="232">
        <v>4.1160009E7</v>
      </c>
      <c r="F127" s="232" t="s">
        <v>488</v>
      </c>
      <c r="G127" s="232" t="s">
        <v>84</v>
      </c>
      <c r="H127" s="357">
        <v>100000.0</v>
      </c>
      <c r="I127" s="232" t="s">
        <v>490</v>
      </c>
      <c r="J127" s="342" t="s">
        <v>110</v>
      </c>
      <c r="K127" s="232" t="s">
        <v>1076</v>
      </c>
      <c r="L127" s="360" t="s">
        <v>1775</v>
      </c>
      <c r="M127" s="331" t="s">
        <v>1155</v>
      </c>
      <c r="N127" s="398" t="s">
        <v>1776</v>
      </c>
      <c r="O127" s="339">
        <v>35.0</v>
      </c>
    </row>
    <row r="128" hidden="1">
      <c r="A128" s="342">
        <v>2020.0</v>
      </c>
      <c r="B128" s="342" t="s">
        <v>496</v>
      </c>
      <c r="C128" s="342" t="s">
        <v>566</v>
      </c>
      <c r="D128" s="342" t="s">
        <v>739</v>
      </c>
      <c r="E128" s="349" t="s">
        <v>578</v>
      </c>
      <c r="F128" s="342" t="s">
        <v>488</v>
      </c>
      <c r="G128" s="342" t="s">
        <v>84</v>
      </c>
      <c r="H128" s="322">
        <v>50000.0</v>
      </c>
      <c r="I128" s="342" t="s">
        <v>724</v>
      </c>
      <c r="J128" s="342" t="s">
        <v>110</v>
      </c>
      <c r="K128" s="342" t="s">
        <v>571</v>
      </c>
      <c r="L128" s="349" t="s">
        <v>1779</v>
      </c>
      <c r="M128" s="331" t="s">
        <v>743</v>
      </c>
      <c r="N128" s="354"/>
      <c r="O128" s="339">
        <v>106.0</v>
      </c>
    </row>
    <row r="129" hidden="1">
      <c r="A129" s="204">
        <v>2021.0</v>
      </c>
      <c r="B129" s="306" t="s">
        <v>593</v>
      </c>
      <c r="C129" s="204"/>
      <c r="D129" s="306" t="s">
        <v>1495</v>
      </c>
      <c r="E129" s="494"/>
      <c r="F129" s="204"/>
      <c r="G129" s="204"/>
      <c r="H129" s="495">
        <v>400000.0</v>
      </c>
      <c r="I129" s="212" t="s">
        <v>1062</v>
      </c>
      <c r="J129" s="204" t="s">
        <v>1648</v>
      </c>
      <c r="K129" s="311" t="s">
        <v>1649</v>
      </c>
      <c r="L129" s="311" t="s">
        <v>1782</v>
      </c>
      <c r="M129" s="313"/>
      <c r="N129" s="403"/>
      <c r="O129" s="318"/>
    </row>
    <row r="130" hidden="1">
      <c r="A130" s="232">
        <v>2020.0</v>
      </c>
      <c r="B130" s="232" t="s">
        <v>785</v>
      </c>
      <c r="C130" s="232" t="s">
        <v>485</v>
      </c>
      <c r="D130" s="232" t="s">
        <v>1074</v>
      </c>
      <c r="E130" s="232">
        <v>4.1160005E7</v>
      </c>
      <c r="F130" s="232" t="s">
        <v>488</v>
      </c>
      <c r="G130" s="232" t="s">
        <v>84</v>
      </c>
      <c r="H130" s="357">
        <v>86000.0</v>
      </c>
      <c r="I130" s="232" t="s">
        <v>1075</v>
      </c>
      <c r="J130" s="342" t="s">
        <v>110</v>
      </c>
      <c r="K130" s="232" t="s">
        <v>1076</v>
      </c>
      <c r="L130" s="360" t="s">
        <v>1785</v>
      </c>
      <c r="M130" s="331" t="s">
        <v>1077</v>
      </c>
      <c r="N130" s="354"/>
      <c r="O130" s="339">
        <v>36.0</v>
      </c>
    </row>
    <row r="131" hidden="1">
      <c r="A131" s="232">
        <v>2020.0</v>
      </c>
      <c r="B131" s="232" t="s">
        <v>757</v>
      </c>
      <c r="C131" s="232" t="s">
        <v>14</v>
      </c>
      <c r="D131" s="232" t="s">
        <v>74</v>
      </c>
      <c r="E131" s="232">
        <v>4.1160001E7</v>
      </c>
      <c r="F131" s="232" t="s">
        <v>193</v>
      </c>
      <c r="G131" s="232" t="s">
        <v>84</v>
      </c>
      <c r="H131" s="357">
        <v>67727.0</v>
      </c>
      <c r="I131" s="232" t="s">
        <v>89</v>
      </c>
      <c r="J131" s="342" t="s">
        <v>110</v>
      </c>
      <c r="K131" s="232" t="s">
        <v>1030</v>
      </c>
      <c r="L131" s="360" t="s">
        <v>1788</v>
      </c>
      <c r="M131" s="331" t="s">
        <v>1031</v>
      </c>
      <c r="N131" s="354"/>
      <c r="O131" s="339">
        <v>93.0</v>
      </c>
    </row>
    <row r="132" hidden="1">
      <c r="A132" s="342">
        <v>2020.0</v>
      </c>
      <c r="B132" s="342" t="s">
        <v>757</v>
      </c>
      <c r="C132" s="342" t="s">
        <v>566</v>
      </c>
      <c r="D132" s="342" t="s">
        <v>567</v>
      </c>
      <c r="E132" s="349" t="s">
        <v>578</v>
      </c>
      <c r="F132" s="342" t="s">
        <v>488</v>
      </c>
      <c r="G132" s="342" t="s">
        <v>84</v>
      </c>
      <c r="H132" s="322">
        <v>50000.0</v>
      </c>
      <c r="I132" s="342" t="s">
        <v>724</v>
      </c>
      <c r="J132" s="342" t="s">
        <v>110</v>
      </c>
      <c r="K132" s="342" t="s">
        <v>571</v>
      </c>
      <c r="L132" s="342" t="s">
        <v>1788</v>
      </c>
      <c r="M132" s="352"/>
      <c r="N132" s="354"/>
      <c r="O132" s="339">
        <v>107.0</v>
      </c>
    </row>
    <row r="133" hidden="1">
      <c r="A133" s="437">
        <v>2022.0</v>
      </c>
      <c r="B133" s="439" t="s">
        <v>182</v>
      </c>
      <c r="C133" s="437" t="s">
        <v>485</v>
      </c>
      <c r="D133" s="439" t="s">
        <v>1583</v>
      </c>
      <c r="E133" s="212">
        <v>7120004.0</v>
      </c>
      <c r="F133" s="212" t="s">
        <v>488</v>
      </c>
      <c r="G133" s="212" t="s">
        <v>84</v>
      </c>
      <c r="H133" s="598">
        <v>250000.0</v>
      </c>
      <c r="I133" s="212" t="s">
        <v>1193</v>
      </c>
      <c r="J133" s="441" t="s">
        <v>1584</v>
      </c>
      <c r="K133" s="627"/>
      <c r="L133" s="439"/>
      <c r="M133" s="443"/>
      <c r="N133" s="704"/>
      <c r="O133" s="447"/>
    </row>
    <row r="134" hidden="1">
      <c r="A134" s="204">
        <v>2021.0</v>
      </c>
      <c r="B134" s="204" t="s">
        <v>651</v>
      </c>
      <c r="C134" s="204" t="s">
        <v>1094</v>
      </c>
      <c r="D134" s="204" t="s">
        <v>1216</v>
      </c>
      <c r="E134" s="536">
        <v>4.1160001E7</v>
      </c>
      <c r="F134" s="212" t="s">
        <v>151</v>
      </c>
      <c r="G134" s="204" t="s">
        <v>152</v>
      </c>
      <c r="H134" s="434">
        <v>333333.0</v>
      </c>
      <c r="I134" s="212" t="s">
        <v>155</v>
      </c>
      <c r="J134" s="204"/>
      <c r="K134" s="542" t="s">
        <v>1218</v>
      </c>
      <c r="L134" s="544" t="s">
        <v>2060</v>
      </c>
      <c r="M134" s="313"/>
      <c r="N134" s="316" t="s">
        <v>2387</v>
      </c>
      <c r="O134" s="318">
        <v>132.0</v>
      </c>
    </row>
    <row r="135" hidden="1">
      <c r="A135" s="232">
        <v>2020.0</v>
      </c>
      <c r="B135" s="232" t="s">
        <v>658</v>
      </c>
      <c r="C135" s="232" t="s">
        <v>14</v>
      </c>
      <c r="D135" s="232" t="s">
        <v>74</v>
      </c>
      <c r="E135" s="232">
        <v>4.1160009E7</v>
      </c>
      <c r="F135" s="232" t="s">
        <v>488</v>
      </c>
      <c r="G135" s="232" t="s">
        <v>84</v>
      </c>
      <c r="H135" s="357">
        <v>150000.0</v>
      </c>
      <c r="I135" s="232" t="s">
        <v>490</v>
      </c>
      <c r="J135" s="342" t="s">
        <v>110</v>
      </c>
      <c r="K135" s="599" t="s">
        <v>1595</v>
      </c>
      <c r="L135" s="360" t="s">
        <v>1711</v>
      </c>
      <c r="M135" s="352"/>
      <c r="N135" s="354"/>
      <c r="O135" s="339">
        <v>88.0</v>
      </c>
    </row>
    <row r="136" hidden="1">
      <c r="A136" s="212">
        <v>2022.0</v>
      </c>
      <c r="B136" s="212" t="s">
        <v>48</v>
      </c>
      <c r="C136" s="204" t="s">
        <v>14</v>
      </c>
      <c r="D136" s="204" t="s">
        <v>74</v>
      </c>
      <c r="E136" s="204">
        <v>4.1160007E7</v>
      </c>
      <c r="F136" s="169" t="s">
        <v>1210</v>
      </c>
      <c r="G136" s="204"/>
      <c r="H136" s="166">
        <v>500000.0</v>
      </c>
      <c r="I136" s="204" t="s">
        <v>200</v>
      </c>
      <c r="J136" s="204" t="s">
        <v>1082</v>
      </c>
      <c r="K136" s="170"/>
      <c r="L136" s="172"/>
      <c r="M136" s="172"/>
      <c r="N136" s="174"/>
      <c r="O136" s="295"/>
    </row>
    <row r="137" hidden="1">
      <c r="A137" s="232">
        <v>2020.0</v>
      </c>
      <c r="B137" s="232" t="s">
        <v>48</v>
      </c>
      <c r="C137" s="232" t="s">
        <v>485</v>
      </c>
      <c r="D137" s="232" t="s">
        <v>599</v>
      </c>
      <c r="E137" s="417" t="s">
        <v>578</v>
      </c>
      <c r="F137" s="232" t="s">
        <v>488</v>
      </c>
      <c r="G137" s="232" t="s">
        <v>84</v>
      </c>
      <c r="H137" s="357">
        <v>50000.0</v>
      </c>
      <c r="I137" s="232" t="s">
        <v>389</v>
      </c>
      <c r="J137" s="342" t="s">
        <v>110</v>
      </c>
      <c r="K137" s="474" t="s">
        <v>600</v>
      </c>
      <c r="L137" s="418" t="s">
        <v>1718</v>
      </c>
      <c r="M137" s="352"/>
      <c r="N137" s="354"/>
      <c r="O137" s="339">
        <v>54.0</v>
      </c>
    </row>
    <row r="138" hidden="1">
      <c r="A138" s="232">
        <v>2020.0</v>
      </c>
      <c r="B138" s="232" t="s">
        <v>239</v>
      </c>
      <c r="C138" s="232" t="s">
        <v>485</v>
      </c>
      <c r="D138" s="232" t="s">
        <v>1669</v>
      </c>
      <c r="E138" s="232">
        <v>4.1160005E7</v>
      </c>
      <c r="F138" s="232" t="s">
        <v>488</v>
      </c>
      <c r="G138" s="232" t="s">
        <v>84</v>
      </c>
      <c r="H138" s="357">
        <v>200000.0</v>
      </c>
      <c r="I138" s="232" t="s">
        <v>490</v>
      </c>
      <c r="J138" s="342" t="s">
        <v>110</v>
      </c>
      <c r="K138" s="232" t="s">
        <v>491</v>
      </c>
      <c r="L138" s="360" t="s">
        <v>1812</v>
      </c>
      <c r="M138" s="331" t="s">
        <v>1670</v>
      </c>
      <c r="N138" s="398" t="s">
        <v>1813</v>
      </c>
      <c r="O138" s="339">
        <v>37.0</v>
      </c>
    </row>
    <row r="139" hidden="1">
      <c r="A139" s="232">
        <v>2020.0</v>
      </c>
      <c r="B139" s="232" t="s">
        <v>239</v>
      </c>
      <c r="C139" s="232" t="s">
        <v>485</v>
      </c>
      <c r="D139" s="232" t="s">
        <v>1159</v>
      </c>
      <c r="E139" s="232">
        <v>4.1160005E7</v>
      </c>
      <c r="F139" s="232" t="s">
        <v>488</v>
      </c>
      <c r="G139" s="232" t="s">
        <v>84</v>
      </c>
      <c r="H139" s="357">
        <v>100000.0</v>
      </c>
      <c r="I139" s="232" t="s">
        <v>490</v>
      </c>
      <c r="J139" s="342" t="s">
        <v>110</v>
      </c>
      <c r="K139" s="232" t="s">
        <v>491</v>
      </c>
      <c r="L139" s="360" t="s">
        <v>1815</v>
      </c>
      <c r="M139" s="352"/>
      <c r="N139" s="398" t="s">
        <v>1816</v>
      </c>
      <c r="O139" s="339">
        <v>38.0</v>
      </c>
    </row>
    <row r="140" hidden="1">
      <c r="A140" s="232">
        <v>2020.0</v>
      </c>
      <c r="B140" s="232" t="s">
        <v>239</v>
      </c>
      <c r="C140" s="232" t="s">
        <v>485</v>
      </c>
      <c r="D140" s="232" t="s">
        <v>1159</v>
      </c>
      <c r="E140" s="417" t="s">
        <v>578</v>
      </c>
      <c r="F140" s="232" t="s">
        <v>488</v>
      </c>
      <c r="G140" s="232" t="s">
        <v>84</v>
      </c>
      <c r="H140" s="357">
        <v>250000.0</v>
      </c>
      <c r="I140" s="232" t="s">
        <v>389</v>
      </c>
      <c r="J140" s="342" t="s">
        <v>110</v>
      </c>
      <c r="K140" s="474" t="s">
        <v>600</v>
      </c>
      <c r="L140" s="232" t="s">
        <v>1815</v>
      </c>
      <c r="M140" s="352"/>
      <c r="N140" s="354"/>
      <c r="O140" s="339">
        <v>59.0</v>
      </c>
    </row>
    <row r="141" hidden="1">
      <c r="A141" s="437">
        <v>2020.0</v>
      </c>
      <c r="B141" s="437" t="s">
        <v>1365</v>
      </c>
      <c r="C141" s="437" t="s">
        <v>291</v>
      </c>
      <c r="D141" s="437" t="s">
        <v>1366</v>
      </c>
      <c r="E141" s="502">
        <v>4.1160008E7</v>
      </c>
      <c r="F141" s="437" t="s">
        <v>151</v>
      </c>
      <c r="G141" s="437" t="s">
        <v>152</v>
      </c>
      <c r="H141" s="503">
        <v>31616.04</v>
      </c>
      <c r="I141" s="437" t="s">
        <v>155</v>
      </c>
      <c r="J141" s="437" t="s">
        <v>305</v>
      </c>
      <c r="K141" s="221" t="s">
        <v>427</v>
      </c>
      <c r="L141" s="504" t="s">
        <v>1823</v>
      </c>
      <c r="M141" s="443"/>
      <c r="N141" s="446" t="s">
        <v>2417</v>
      </c>
      <c r="O141" s="447"/>
    </row>
    <row r="142" hidden="1">
      <c r="A142" s="426">
        <v>2021.0</v>
      </c>
      <c r="B142" s="426" t="s">
        <v>807</v>
      </c>
      <c r="C142" s="426" t="s">
        <v>1097</v>
      </c>
      <c r="D142" s="426" t="s">
        <v>1097</v>
      </c>
      <c r="E142" s="427">
        <v>4.11660007E8</v>
      </c>
      <c r="F142" s="426" t="s">
        <v>151</v>
      </c>
      <c r="G142" s="426" t="s">
        <v>152</v>
      </c>
      <c r="H142" s="428">
        <v>114993.0</v>
      </c>
      <c r="I142" s="426" t="s">
        <v>155</v>
      </c>
      <c r="J142" s="426" t="s">
        <v>1112</v>
      </c>
      <c r="K142" s="505" t="s">
        <v>1113</v>
      </c>
      <c r="L142" s="505" t="s">
        <v>1829</v>
      </c>
      <c r="M142" s="429"/>
      <c r="N142" s="431" t="s">
        <v>1114</v>
      </c>
      <c r="O142" s="432">
        <v>135.0</v>
      </c>
    </row>
    <row r="143" hidden="1">
      <c r="A143" s="232">
        <v>2019.0</v>
      </c>
      <c r="B143" s="232" t="s">
        <v>810</v>
      </c>
      <c r="C143" s="232" t="s">
        <v>556</v>
      </c>
      <c r="D143" s="232" t="s">
        <v>1018</v>
      </c>
      <c r="E143" s="232">
        <v>7.1220005E7</v>
      </c>
      <c r="F143" s="232" t="s">
        <v>558</v>
      </c>
      <c r="G143" s="232" t="s">
        <v>152</v>
      </c>
      <c r="H143" s="357">
        <v>66000.0</v>
      </c>
      <c r="I143" s="232" t="s">
        <v>560</v>
      </c>
      <c r="J143" s="232" t="s">
        <v>110</v>
      </c>
      <c r="K143" s="232" t="s">
        <v>561</v>
      </c>
      <c r="L143" s="360" t="s">
        <v>1832</v>
      </c>
      <c r="M143" s="331" t="s">
        <v>563</v>
      </c>
      <c r="N143" s="354"/>
      <c r="O143" s="339">
        <v>11.0</v>
      </c>
    </row>
    <row r="144" hidden="1">
      <c r="A144" s="232">
        <v>2020.0</v>
      </c>
      <c r="B144" s="232" t="s">
        <v>812</v>
      </c>
      <c r="C144" s="232" t="s">
        <v>14</v>
      </c>
      <c r="D144" s="232" t="s">
        <v>74</v>
      </c>
      <c r="E144" s="232">
        <v>4.1160009E7</v>
      </c>
      <c r="F144" s="232" t="s">
        <v>488</v>
      </c>
      <c r="G144" s="232" t="s">
        <v>84</v>
      </c>
      <c r="H144" s="357">
        <v>100000.0</v>
      </c>
      <c r="I144" s="232" t="s">
        <v>490</v>
      </c>
      <c r="J144" s="342" t="s">
        <v>110</v>
      </c>
      <c r="K144" s="232" t="s">
        <v>491</v>
      </c>
      <c r="L144" s="360" t="s">
        <v>1835</v>
      </c>
      <c r="M144" s="331" t="s">
        <v>1161</v>
      </c>
      <c r="N144" s="398" t="s">
        <v>1836</v>
      </c>
      <c r="O144" s="339">
        <v>95.0</v>
      </c>
    </row>
    <row r="145" hidden="1">
      <c r="A145" s="437">
        <v>2021.0</v>
      </c>
      <c r="B145" s="438" t="s">
        <v>816</v>
      </c>
      <c r="C145" s="437"/>
      <c r="D145" s="438" t="s">
        <v>1495</v>
      </c>
      <c r="E145" s="441">
        <v>4.1160002E7</v>
      </c>
      <c r="F145" s="441" t="s">
        <v>1087</v>
      </c>
      <c r="G145" s="441" t="s">
        <v>152</v>
      </c>
      <c r="H145" s="440">
        <v>105000.0</v>
      </c>
      <c r="I145" s="441" t="s">
        <v>1062</v>
      </c>
      <c r="J145" s="441" t="s">
        <v>1090</v>
      </c>
      <c r="K145" s="438" t="s">
        <v>1498</v>
      </c>
      <c r="L145" s="439" t="s">
        <v>1840</v>
      </c>
      <c r="M145" s="443"/>
      <c r="N145" s="446" t="s">
        <v>2426</v>
      </c>
      <c r="O145" s="447">
        <v>3.0</v>
      </c>
    </row>
    <row r="146" hidden="1">
      <c r="A146" s="232">
        <v>2019.0</v>
      </c>
      <c r="B146" s="232" t="s">
        <v>462</v>
      </c>
      <c r="C146" s="232" t="s">
        <v>485</v>
      </c>
      <c r="D146" s="232" t="s">
        <v>1105</v>
      </c>
      <c r="E146" s="232">
        <v>7.1220009E7</v>
      </c>
      <c r="F146" s="232" t="s">
        <v>488</v>
      </c>
      <c r="G146" s="232" t="s">
        <v>84</v>
      </c>
      <c r="H146" s="357">
        <v>250000.0</v>
      </c>
      <c r="I146" s="232" t="s">
        <v>389</v>
      </c>
      <c r="J146" s="232" t="s">
        <v>110</v>
      </c>
      <c r="K146" s="232" t="s">
        <v>1076</v>
      </c>
      <c r="L146" s="360" t="s">
        <v>1847</v>
      </c>
      <c r="M146" s="352"/>
      <c r="N146" s="354"/>
      <c r="O146" s="339">
        <v>16.0</v>
      </c>
    </row>
    <row r="147" hidden="1">
      <c r="A147" s="232">
        <v>2020.0</v>
      </c>
      <c r="B147" s="232" t="s">
        <v>462</v>
      </c>
      <c r="C147" s="232" t="s">
        <v>485</v>
      </c>
      <c r="D147" s="232" t="s">
        <v>1105</v>
      </c>
      <c r="E147" s="417" t="s">
        <v>578</v>
      </c>
      <c r="F147" s="232" t="s">
        <v>488</v>
      </c>
      <c r="G147" s="232" t="s">
        <v>84</v>
      </c>
      <c r="H147" s="357">
        <v>100000.0</v>
      </c>
      <c r="I147" s="232" t="s">
        <v>389</v>
      </c>
      <c r="J147" s="342" t="s">
        <v>110</v>
      </c>
      <c r="K147" s="474" t="s">
        <v>600</v>
      </c>
      <c r="L147" s="418" t="s">
        <v>1847</v>
      </c>
      <c r="M147" s="352"/>
      <c r="N147" s="354"/>
      <c r="O147" s="339">
        <v>60.0</v>
      </c>
    </row>
    <row r="148" hidden="1">
      <c r="A148" s="464">
        <v>2020.0</v>
      </c>
      <c r="B148" s="464" t="s">
        <v>1365</v>
      </c>
      <c r="C148" s="464" t="s">
        <v>291</v>
      </c>
      <c r="D148" s="464" t="s">
        <v>1366</v>
      </c>
      <c r="E148" s="509">
        <v>4.1160008E7</v>
      </c>
      <c r="F148" s="464" t="s">
        <v>151</v>
      </c>
      <c r="G148" s="464" t="s">
        <v>152</v>
      </c>
      <c r="H148" s="510" t="s">
        <v>1376</v>
      </c>
      <c r="I148" s="464" t="s">
        <v>155</v>
      </c>
      <c r="J148" s="512" t="s">
        <v>1377</v>
      </c>
      <c r="K148" s="467" t="s">
        <v>1378</v>
      </c>
      <c r="L148" s="468" t="s">
        <v>1851</v>
      </c>
      <c r="M148" s="469"/>
      <c r="N148" s="514" t="s">
        <v>2437</v>
      </c>
      <c r="O148" s="473"/>
    </row>
    <row r="149" hidden="1">
      <c r="A149" s="232">
        <v>2020.0</v>
      </c>
      <c r="B149" s="232" t="s">
        <v>821</v>
      </c>
      <c r="C149" s="232" t="s">
        <v>485</v>
      </c>
      <c r="D149" s="232" t="s">
        <v>1692</v>
      </c>
      <c r="E149" s="232">
        <v>4.1160005E7</v>
      </c>
      <c r="F149" s="232" t="s">
        <v>488</v>
      </c>
      <c r="G149" s="232" t="s">
        <v>84</v>
      </c>
      <c r="H149" s="357">
        <v>250000.0</v>
      </c>
      <c r="I149" s="232" t="s">
        <v>490</v>
      </c>
      <c r="J149" s="342" t="s">
        <v>110</v>
      </c>
      <c r="K149" s="232" t="s">
        <v>491</v>
      </c>
      <c r="L149" s="360" t="s">
        <v>1855</v>
      </c>
      <c r="M149" s="331" t="s">
        <v>1695</v>
      </c>
      <c r="N149" s="398" t="s">
        <v>1813</v>
      </c>
      <c r="O149" s="339">
        <v>39.0</v>
      </c>
    </row>
    <row r="150" hidden="1">
      <c r="A150" s="232">
        <v>2020.0</v>
      </c>
      <c r="B150" s="232" t="s">
        <v>821</v>
      </c>
      <c r="C150" s="232" t="s">
        <v>485</v>
      </c>
      <c r="D150" s="232" t="s">
        <v>1060</v>
      </c>
      <c r="E150" s="417" t="s">
        <v>578</v>
      </c>
      <c r="F150" s="232" t="s">
        <v>488</v>
      </c>
      <c r="G150" s="232" t="s">
        <v>84</v>
      </c>
      <c r="H150" s="357">
        <v>80000.0</v>
      </c>
      <c r="I150" s="232" t="s">
        <v>389</v>
      </c>
      <c r="J150" s="342" t="s">
        <v>110</v>
      </c>
      <c r="K150" s="474" t="s">
        <v>600</v>
      </c>
      <c r="L150" s="232" t="s">
        <v>1856</v>
      </c>
      <c r="M150" s="352"/>
      <c r="N150" s="354"/>
      <c r="O150" s="339">
        <v>61.0</v>
      </c>
    </row>
    <row r="151" ht="375.0" hidden="1" customHeight="1">
      <c r="A151" s="232">
        <v>2020.0</v>
      </c>
      <c r="B151" s="232" t="s">
        <v>119</v>
      </c>
      <c r="C151" s="232" t="s">
        <v>485</v>
      </c>
      <c r="D151" s="232" t="s">
        <v>1164</v>
      </c>
      <c r="E151" s="232">
        <v>4.1160005E7</v>
      </c>
      <c r="F151" s="232" t="s">
        <v>488</v>
      </c>
      <c r="G151" s="232" t="s">
        <v>84</v>
      </c>
      <c r="H151" s="357">
        <v>100000.0</v>
      </c>
      <c r="I151" s="232" t="s">
        <v>490</v>
      </c>
      <c r="J151" s="342" t="s">
        <v>110</v>
      </c>
      <c r="K151" s="232" t="s">
        <v>491</v>
      </c>
      <c r="L151" s="360" t="s">
        <v>1857</v>
      </c>
      <c r="M151" s="331" t="s">
        <v>1165</v>
      </c>
      <c r="N151" s="398" t="s">
        <v>1859</v>
      </c>
      <c r="O151" s="339">
        <v>40.0</v>
      </c>
    </row>
    <row r="152" hidden="1">
      <c r="A152" s="232">
        <v>2021.0</v>
      </c>
      <c r="B152" s="232" t="s">
        <v>119</v>
      </c>
      <c r="C152" s="232" t="s">
        <v>14</v>
      </c>
      <c r="D152" s="232" t="s">
        <v>74</v>
      </c>
      <c r="E152" s="320">
        <v>4.1160004E7</v>
      </c>
      <c r="F152" s="232" t="s">
        <v>20</v>
      </c>
      <c r="G152" s="232" t="s">
        <v>152</v>
      </c>
      <c r="H152" s="322">
        <v>250000.0</v>
      </c>
      <c r="I152" s="232" t="s">
        <v>490</v>
      </c>
      <c r="J152" s="323" t="s">
        <v>265</v>
      </c>
      <c r="K152" s="326" t="s">
        <v>1705</v>
      </c>
      <c r="L152" s="329" t="s">
        <v>1861</v>
      </c>
      <c r="M152" s="331" t="s">
        <v>1707</v>
      </c>
      <c r="N152" s="338" t="s">
        <v>2445</v>
      </c>
      <c r="O152" s="339">
        <v>117.0</v>
      </c>
    </row>
    <row r="153" hidden="1">
      <c r="A153" s="426">
        <v>2021.0</v>
      </c>
      <c r="B153" s="426" t="s">
        <v>119</v>
      </c>
      <c r="C153" s="515" t="s">
        <v>465</v>
      </c>
      <c r="D153" s="515" t="s">
        <v>1322</v>
      </c>
      <c r="E153" s="427">
        <v>4.1160005E7</v>
      </c>
      <c r="F153" s="426" t="s">
        <v>151</v>
      </c>
      <c r="G153" s="426" t="s">
        <v>152</v>
      </c>
      <c r="H153" s="516">
        <v>180837.86</v>
      </c>
      <c r="I153" s="426" t="s">
        <v>155</v>
      </c>
      <c r="J153" s="515" t="s">
        <v>1327</v>
      </c>
      <c r="K153" s="517" t="s">
        <v>1329</v>
      </c>
      <c r="L153" s="429" t="s">
        <v>1868</v>
      </c>
      <c r="M153" s="429"/>
      <c r="N153" s="518" t="s">
        <v>2447</v>
      </c>
      <c r="O153" s="432">
        <v>127.0</v>
      </c>
    </row>
    <row r="154" hidden="1">
      <c r="A154" s="342">
        <v>2020.0</v>
      </c>
      <c r="B154" s="342" t="s">
        <v>245</v>
      </c>
      <c r="C154" s="342" t="s">
        <v>566</v>
      </c>
      <c r="D154" s="342" t="s">
        <v>781</v>
      </c>
      <c r="E154" s="349" t="s">
        <v>578</v>
      </c>
      <c r="F154" s="342" t="s">
        <v>488</v>
      </c>
      <c r="G154" s="342" t="s">
        <v>84</v>
      </c>
      <c r="H154" s="322">
        <v>50000.0</v>
      </c>
      <c r="I154" s="342" t="s">
        <v>724</v>
      </c>
      <c r="J154" s="342" t="s">
        <v>110</v>
      </c>
      <c r="K154" s="342" t="s">
        <v>571</v>
      </c>
      <c r="L154" s="342" t="s">
        <v>1874</v>
      </c>
      <c r="M154" s="352"/>
      <c r="N154" s="354"/>
      <c r="O154" s="339">
        <v>108.0</v>
      </c>
    </row>
    <row r="155" hidden="1">
      <c r="A155" s="204">
        <v>2021.0</v>
      </c>
      <c r="B155" s="306" t="s">
        <v>245</v>
      </c>
      <c r="C155" s="204" t="s">
        <v>220</v>
      </c>
      <c r="D155" s="385" t="s">
        <v>74</v>
      </c>
      <c r="E155" s="401">
        <v>4.1160003E7</v>
      </c>
      <c r="F155" s="204" t="s">
        <v>488</v>
      </c>
      <c r="G155" s="204" t="s">
        <v>84</v>
      </c>
      <c r="H155" s="308">
        <v>80000.0</v>
      </c>
      <c r="I155" s="212" t="s">
        <v>1062</v>
      </c>
      <c r="J155" s="342" t="s">
        <v>110</v>
      </c>
      <c r="K155" s="311" t="s">
        <v>1063</v>
      </c>
      <c r="L155" s="311" t="s">
        <v>1875</v>
      </c>
      <c r="M155" s="313"/>
      <c r="N155" s="403" t="s">
        <v>1877</v>
      </c>
      <c r="O155" s="318"/>
    </row>
    <row r="156" hidden="1">
      <c r="A156" s="232">
        <v>2020.0</v>
      </c>
      <c r="B156" s="232" t="s">
        <v>836</v>
      </c>
      <c r="C156" s="232" t="s">
        <v>14</v>
      </c>
      <c r="D156" s="232" t="s">
        <v>74</v>
      </c>
      <c r="E156" s="232">
        <v>4.1160001E7</v>
      </c>
      <c r="F156" s="232" t="s">
        <v>193</v>
      </c>
      <c r="G156" s="232" t="s">
        <v>84</v>
      </c>
      <c r="H156" s="357">
        <v>100000.0</v>
      </c>
      <c r="I156" s="232" t="s">
        <v>490</v>
      </c>
      <c r="J156" s="342" t="s">
        <v>110</v>
      </c>
      <c r="K156" s="232" t="s">
        <v>1030</v>
      </c>
      <c r="L156" s="360" t="s">
        <v>1878</v>
      </c>
      <c r="M156" s="331" t="s">
        <v>1167</v>
      </c>
      <c r="N156" s="354"/>
      <c r="O156" s="339">
        <v>96.0</v>
      </c>
    </row>
    <row r="157" hidden="1">
      <c r="A157" s="232">
        <v>2019.0</v>
      </c>
      <c r="B157" s="232" t="s">
        <v>646</v>
      </c>
      <c r="C157" s="232" t="s">
        <v>485</v>
      </c>
      <c r="D157" s="232" t="s">
        <v>652</v>
      </c>
      <c r="E157" s="232">
        <v>7.1220009E7</v>
      </c>
      <c r="F157" s="232" t="s">
        <v>488</v>
      </c>
      <c r="G157" s="232" t="s">
        <v>84</v>
      </c>
      <c r="H157" s="357">
        <v>250000.0</v>
      </c>
      <c r="I157" s="232" t="s">
        <v>389</v>
      </c>
      <c r="J157" s="232" t="s">
        <v>110</v>
      </c>
      <c r="K157" s="232" t="s">
        <v>1076</v>
      </c>
      <c r="L157" s="360" t="s">
        <v>1882</v>
      </c>
      <c r="M157" s="352"/>
      <c r="N157" s="354"/>
      <c r="O157" s="339">
        <v>17.0</v>
      </c>
    </row>
    <row r="158" hidden="1">
      <c r="A158" s="232">
        <v>2020.0</v>
      </c>
      <c r="B158" s="232" t="s">
        <v>646</v>
      </c>
      <c r="C158" s="232" t="s">
        <v>485</v>
      </c>
      <c r="D158" s="232" t="s">
        <v>652</v>
      </c>
      <c r="E158" s="417" t="s">
        <v>578</v>
      </c>
      <c r="F158" s="232" t="s">
        <v>488</v>
      </c>
      <c r="G158" s="232" t="s">
        <v>84</v>
      </c>
      <c r="H158" s="357">
        <v>50000.0</v>
      </c>
      <c r="I158" s="232" t="s">
        <v>389</v>
      </c>
      <c r="J158" s="342" t="s">
        <v>110</v>
      </c>
      <c r="K158" s="474" t="s">
        <v>600</v>
      </c>
      <c r="L158" s="418" t="s">
        <v>1882</v>
      </c>
      <c r="M158" s="352"/>
      <c r="N158" s="354"/>
      <c r="O158" s="339">
        <v>62.0</v>
      </c>
    </row>
    <row r="159" hidden="1">
      <c r="A159" s="426">
        <v>2020.0</v>
      </c>
      <c r="B159" s="426" t="s">
        <v>127</v>
      </c>
      <c r="C159" s="426" t="s">
        <v>1097</v>
      </c>
      <c r="D159" s="426" t="s">
        <v>1097</v>
      </c>
      <c r="E159" s="426">
        <v>4.1160007E7</v>
      </c>
      <c r="F159" s="426" t="s">
        <v>151</v>
      </c>
      <c r="G159" s="426" t="s">
        <v>152</v>
      </c>
      <c r="H159" s="428">
        <v>290000.0</v>
      </c>
      <c r="I159" s="426" t="s">
        <v>155</v>
      </c>
      <c r="J159" s="426" t="s">
        <v>110</v>
      </c>
      <c r="K159" s="426" t="s">
        <v>1356</v>
      </c>
      <c r="L159" s="430" t="s">
        <v>1884</v>
      </c>
      <c r="M159" s="429" t="s">
        <v>1732</v>
      </c>
      <c r="N159" s="518" t="s">
        <v>1357</v>
      </c>
      <c r="O159" s="432">
        <v>112.0</v>
      </c>
    </row>
    <row r="160" hidden="1">
      <c r="A160" s="464">
        <v>2020.0</v>
      </c>
      <c r="B160" s="464" t="s">
        <v>1365</v>
      </c>
      <c r="C160" s="464" t="s">
        <v>291</v>
      </c>
      <c r="D160" s="464" t="s">
        <v>1366</v>
      </c>
      <c r="E160" s="525">
        <v>4.1160008E7</v>
      </c>
      <c r="F160" s="464" t="s">
        <v>151</v>
      </c>
      <c r="G160" s="464" t="s">
        <v>152</v>
      </c>
      <c r="H160" s="510" t="s">
        <v>1380</v>
      </c>
      <c r="I160" s="464" t="s">
        <v>155</v>
      </c>
      <c r="J160" s="512" t="s">
        <v>523</v>
      </c>
      <c r="K160" s="527" t="s">
        <v>524</v>
      </c>
      <c r="L160" s="468" t="s">
        <v>1886</v>
      </c>
      <c r="M160" s="469"/>
      <c r="N160" s="514" t="s">
        <v>2477</v>
      </c>
      <c r="O160" s="473"/>
    </row>
    <row r="161" hidden="1">
      <c r="A161" s="437">
        <v>2020.0</v>
      </c>
      <c r="B161" s="437" t="s">
        <v>1365</v>
      </c>
      <c r="C161" s="437" t="s">
        <v>291</v>
      </c>
      <c r="D161" s="437" t="s">
        <v>1366</v>
      </c>
      <c r="E161" s="502">
        <v>4.1160008E7</v>
      </c>
      <c r="F161" s="437" t="s">
        <v>151</v>
      </c>
      <c r="G161" s="437" t="s">
        <v>152</v>
      </c>
      <c r="H161" s="503">
        <v>41565.73</v>
      </c>
      <c r="I161" s="437" t="s">
        <v>155</v>
      </c>
      <c r="J161" s="437" t="s">
        <v>305</v>
      </c>
      <c r="K161" s="221" t="s">
        <v>527</v>
      </c>
      <c r="L161" s="504" t="s">
        <v>1888</v>
      </c>
      <c r="M161" s="443"/>
      <c r="N161" s="446" t="s">
        <v>2484</v>
      </c>
      <c r="O161" s="447"/>
    </row>
    <row r="162" hidden="1">
      <c r="A162" s="437">
        <v>2020.0</v>
      </c>
      <c r="B162" s="437" t="s">
        <v>1365</v>
      </c>
      <c r="C162" s="437" t="s">
        <v>291</v>
      </c>
      <c r="D162" s="437" t="s">
        <v>1366</v>
      </c>
      <c r="E162" s="502">
        <v>4.1160008E7</v>
      </c>
      <c r="F162" s="437" t="s">
        <v>151</v>
      </c>
      <c r="G162" s="437" t="s">
        <v>152</v>
      </c>
      <c r="H162" s="503">
        <v>26706.33</v>
      </c>
      <c r="I162" s="437" t="s">
        <v>155</v>
      </c>
      <c r="J162" s="437" t="s">
        <v>305</v>
      </c>
      <c r="K162" s="215" t="s">
        <v>308</v>
      </c>
      <c r="L162" s="504" t="s">
        <v>1891</v>
      </c>
      <c r="M162" s="443"/>
      <c r="N162" s="446" t="s">
        <v>2490</v>
      </c>
      <c r="O162" s="447"/>
    </row>
    <row r="163" hidden="1">
      <c r="A163" s="232">
        <v>2020.0</v>
      </c>
      <c r="B163" s="232" t="s">
        <v>127</v>
      </c>
      <c r="C163" s="232" t="s">
        <v>485</v>
      </c>
      <c r="D163" s="232" t="s">
        <v>1735</v>
      </c>
      <c r="E163" s="232">
        <v>4.1160005E7</v>
      </c>
      <c r="F163" s="232" t="s">
        <v>488</v>
      </c>
      <c r="G163" s="232" t="s">
        <v>84</v>
      </c>
      <c r="H163" s="357">
        <v>300000.0</v>
      </c>
      <c r="I163" s="232" t="s">
        <v>490</v>
      </c>
      <c r="J163" s="342" t="s">
        <v>110</v>
      </c>
      <c r="K163" s="232" t="s">
        <v>491</v>
      </c>
      <c r="L163" s="360" t="s">
        <v>1893</v>
      </c>
      <c r="M163" s="331" t="s">
        <v>1737</v>
      </c>
      <c r="N163" s="398" t="s">
        <v>1894</v>
      </c>
      <c r="O163" s="339">
        <v>41.0</v>
      </c>
    </row>
    <row r="164" hidden="1">
      <c r="A164" s="232">
        <v>2020.0</v>
      </c>
      <c r="B164" s="232" t="s">
        <v>127</v>
      </c>
      <c r="C164" s="232" t="s">
        <v>485</v>
      </c>
      <c r="D164" s="232" t="s">
        <v>1738</v>
      </c>
      <c r="E164" s="232">
        <v>4.1160005E7</v>
      </c>
      <c r="F164" s="232" t="s">
        <v>488</v>
      </c>
      <c r="G164" s="232" t="s">
        <v>84</v>
      </c>
      <c r="H164" s="357">
        <v>300000.0</v>
      </c>
      <c r="I164" s="232" t="s">
        <v>490</v>
      </c>
      <c r="J164" s="342" t="s">
        <v>110</v>
      </c>
      <c r="K164" s="232" t="s">
        <v>491</v>
      </c>
      <c r="L164" s="360" t="s">
        <v>1896</v>
      </c>
      <c r="M164" s="352"/>
      <c r="N164" s="354"/>
      <c r="O164" s="339">
        <v>42.0</v>
      </c>
    </row>
    <row r="165" hidden="1">
      <c r="A165" s="232">
        <v>2020.0</v>
      </c>
      <c r="B165" s="232" t="s">
        <v>127</v>
      </c>
      <c r="C165" s="232" t="s">
        <v>485</v>
      </c>
      <c r="D165" s="232" t="s">
        <v>486</v>
      </c>
      <c r="E165" s="232">
        <v>4.1160005E7</v>
      </c>
      <c r="F165" s="232" t="s">
        <v>488</v>
      </c>
      <c r="G165" s="232" t="s">
        <v>84</v>
      </c>
      <c r="H165" s="357">
        <v>40000.0</v>
      </c>
      <c r="I165" s="232" t="s">
        <v>490</v>
      </c>
      <c r="J165" s="342" t="s">
        <v>110</v>
      </c>
      <c r="K165" s="232" t="s">
        <v>491</v>
      </c>
      <c r="L165" s="360" t="s">
        <v>1899</v>
      </c>
      <c r="M165" s="331" t="s">
        <v>493</v>
      </c>
      <c r="N165" s="354"/>
      <c r="O165" s="339">
        <v>43.0</v>
      </c>
    </row>
    <row r="166" hidden="1">
      <c r="A166" s="232">
        <v>2020.0</v>
      </c>
      <c r="B166" s="232" t="s">
        <v>127</v>
      </c>
      <c r="C166" s="232" t="s">
        <v>485</v>
      </c>
      <c r="D166" s="232" t="s">
        <v>1239</v>
      </c>
      <c r="E166" s="232">
        <v>4.1160005E7</v>
      </c>
      <c r="F166" s="232" t="s">
        <v>488</v>
      </c>
      <c r="G166" s="232" t="s">
        <v>84</v>
      </c>
      <c r="H166" s="357">
        <v>360000.0</v>
      </c>
      <c r="I166" s="232" t="s">
        <v>490</v>
      </c>
      <c r="J166" s="342" t="s">
        <v>110</v>
      </c>
      <c r="K166" s="232" t="s">
        <v>491</v>
      </c>
      <c r="L166" s="360" t="s">
        <v>1901</v>
      </c>
      <c r="M166" s="352"/>
      <c r="N166" s="354"/>
      <c r="O166" s="339">
        <v>44.0</v>
      </c>
    </row>
    <row r="167" hidden="1">
      <c r="A167" s="204">
        <v>2020.0</v>
      </c>
      <c r="B167" s="204" t="s">
        <v>1365</v>
      </c>
      <c r="C167" s="204" t="s">
        <v>291</v>
      </c>
      <c r="D167" s="204" t="s">
        <v>1366</v>
      </c>
      <c r="E167" s="536">
        <v>4.116001E7</v>
      </c>
      <c r="F167" s="204" t="s">
        <v>151</v>
      </c>
      <c r="G167" s="204" t="s">
        <v>152</v>
      </c>
      <c r="H167" s="434">
        <v>88086.0</v>
      </c>
      <c r="I167" s="204" t="s">
        <v>155</v>
      </c>
      <c r="J167" s="204" t="s">
        <v>305</v>
      </c>
      <c r="K167" s="538" t="s">
        <v>1081</v>
      </c>
      <c r="L167" s="540" t="s">
        <v>1823</v>
      </c>
      <c r="M167" s="313"/>
      <c r="N167" s="316" t="s">
        <v>2508</v>
      </c>
      <c r="O167" s="318"/>
    </row>
    <row r="168" hidden="1">
      <c r="A168" s="204">
        <v>2020.0</v>
      </c>
      <c r="B168" s="204" t="s">
        <v>1365</v>
      </c>
      <c r="C168" s="204" t="s">
        <v>291</v>
      </c>
      <c r="D168" s="204" t="s">
        <v>1366</v>
      </c>
      <c r="E168" s="536">
        <v>4.116001E7</v>
      </c>
      <c r="F168" s="204" t="s">
        <v>151</v>
      </c>
      <c r="G168" s="204" t="s">
        <v>152</v>
      </c>
      <c r="H168" s="434">
        <v>200841.17</v>
      </c>
      <c r="I168" s="204" t="s">
        <v>155</v>
      </c>
      <c r="J168" s="204" t="s">
        <v>305</v>
      </c>
      <c r="K168" s="542" t="s">
        <v>1395</v>
      </c>
      <c r="L168" s="544" t="s">
        <v>1907</v>
      </c>
      <c r="M168" s="313"/>
      <c r="N168" s="316" t="s">
        <v>2510</v>
      </c>
      <c r="O168" s="318"/>
    </row>
    <row r="169" hidden="1">
      <c r="A169" s="212">
        <v>2021.0</v>
      </c>
      <c r="B169" s="313" t="s">
        <v>1910</v>
      </c>
      <c r="C169" s="212" t="s">
        <v>485</v>
      </c>
      <c r="D169" s="313" t="s">
        <v>1086</v>
      </c>
      <c r="E169" s="212">
        <v>4.1160002E7</v>
      </c>
      <c r="F169" s="212" t="s">
        <v>1087</v>
      </c>
      <c r="G169" s="212" t="s">
        <v>152</v>
      </c>
      <c r="H169" s="545">
        <v>987650.0</v>
      </c>
      <c r="I169" s="212" t="s">
        <v>1062</v>
      </c>
      <c r="J169" s="212" t="s">
        <v>1090</v>
      </c>
      <c r="K169" s="546" t="s">
        <v>1091</v>
      </c>
      <c r="L169" s="547" t="s">
        <v>1914</v>
      </c>
      <c r="M169" s="313"/>
      <c r="N169" s="316" t="s">
        <v>2513</v>
      </c>
      <c r="O169" s="318">
        <v>2.0</v>
      </c>
    </row>
    <row r="170" hidden="1">
      <c r="A170" s="204">
        <v>2021.0</v>
      </c>
      <c r="B170" s="306" t="s">
        <v>127</v>
      </c>
      <c r="C170" s="204" t="s">
        <v>485</v>
      </c>
      <c r="D170" s="306" t="s">
        <v>1233</v>
      </c>
      <c r="E170" s="212">
        <v>4.1160002E7</v>
      </c>
      <c r="F170" s="212" t="s">
        <v>1087</v>
      </c>
      <c r="G170" s="212" t="s">
        <v>152</v>
      </c>
      <c r="H170" s="495">
        <v>100000.0</v>
      </c>
      <c r="I170" s="212" t="s">
        <v>1062</v>
      </c>
      <c r="J170" s="212" t="s">
        <v>1090</v>
      </c>
      <c r="K170" s="311" t="s">
        <v>1235</v>
      </c>
      <c r="L170" s="311" t="s">
        <v>1917</v>
      </c>
      <c r="M170" s="548"/>
      <c r="N170" s="550" t="s">
        <v>2514</v>
      </c>
      <c r="O170" s="318">
        <v>7.0</v>
      </c>
    </row>
    <row r="171" hidden="1">
      <c r="A171" s="204">
        <v>2020.0</v>
      </c>
      <c r="B171" s="204" t="s">
        <v>1365</v>
      </c>
      <c r="C171" s="204" t="s">
        <v>291</v>
      </c>
      <c r="D171" s="204" t="s">
        <v>1366</v>
      </c>
      <c r="E171" s="536">
        <v>4.116001E7</v>
      </c>
      <c r="F171" s="204" t="s">
        <v>151</v>
      </c>
      <c r="G171" s="204" t="s">
        <v>152</v>
      </c>
      <c r="H171" s="434">
        <v>122560.34</v>
      </c>
      <c r="I171" s="204" t="s">
        <v>155</v>
      </c>
      <c r="J171" s="204" t="s">
        <v>305</v>
      </c>
      <c r="K171" s="542" t="s">
        <v>1397</v>
      </c>
      <c r="L171" s="544" t="s">
        <v>1920</v>
      </c>
      <c r="M171" s="313"/>
      <c r="N171" s="316" t="s">
        <v>2517</v>
      </c>
      <c r="O171" s="318"/>
    </row>
    <row r="172" hidden="1">
      <c r="A172" s="130">
        <v>2020.0</v>
      </c>
      <c r="B172" s="130" t="s">
        <v>355</v>
      </c>
      <c r="C172" s="130" t="s">
        <v>139</v>
      </c>
      <c r="D172" s="130" t="s">
        <v>1412</v>
      </c>
      <c r="E172" s="130">
        <v>4.116001E7</v>
      </c>
      <c r="F172" s="130" t="s">
        <v>151</v>
      </c>
      <c r="G172" s="130" t="s">
        <v>152</v>
      </c>
      <c r="H172" s="553">
        <v>162142.85</v>
      </c>
      <c r="I172" s="130" t="s">
        <v>155</v>
      </c>
      <c r="J172" s="460" t="s">
        <v>1196</v>
      </c>
      <c r="K172" s="452" t="s">
        <v>1413</v>
      </c>
      <c r="L172" s="130" t="s">
        <v>1922</v>
      </c>
      <c r="M172" s="130"/>
      <c r="N172" s="375" t="s">
        <v>2520</v>
      </c>
      <c r="O172" s="378">
        <v>122.0</v>
      </c>
    </row>
    <row r="173" hidden="1">
      <c r="A173" s="437">
        <v>2020.0</v>
      </c>
      <c r="B173" s="437" t="s">
        <v>1499</v>
      </c>
      <c r="C173" s="437" t="s">
        <v>1065</v>
      </c>
      <c r="D173" s="437" t="s">
        <v>1500</v>
      </c>
      <c r="E173" s="556">
        <v>4.1160002E7</v>
      </c>
      <c r="F173" s="437" t="s">
        <v>151</v>
      </c>
      <c r="G173" s="437" t="s">
        <v>152</v>
      </c>
      <c r="H173" s="503">
        <v>317925.0</v>
      </c>
      <c r="I173" s="437" t="s">
        <v>155</v>
      </c>
      <c r="J173" s="437" t="s">
        <v>1501</v>
      </c>
      <c r="K173" s="558" t="s">
        <v>1502</v>
      </c>
      <c r="L173" s="504"/>
      <c r="M173" s="443"/>
      <c r="N173" s="561" t="s">
        <v>2522</v>
      </c>
      <c r="O173" s="447"/>
    </row>
    <row r="174" hidden="1">
      <c r="A174" s="464">
        <v>2020.0</v>
      </c>
      <c r="B174" s="464" t="s">
        <v>1499</v>
      </c>
      <c r="C174" s="464" t="s">
        <v>1065</v>
      </c>
      <c r="D174" s="512" t="s">
        <v>1500</v>
      </c>
      <c r="E174" s="509">
        <v>4.1160002E7</v>
      </c>
      <c r="F174" s="464" t="s">
        <v>151</v>
      </c>
      <c r="G174" s="464" t="s">
        <v>152</v>
      </c>
      <c r="H174" s="466" t="s">
        <v>1504</v>
      </c>
      <c r="I174" s="464" t="s">
        <v>155</v>
      </c>
      <c r="J174" s="464" t="s">
        <v>1505</v>
      </c>
      <c r="K174" s="563" t="s">
        <v>1506</v>
      </c>
      <c r="L174" s="468"/>
      <c r="M174" s="469"/>
      <c r="N174" s="514" t="s">
        <v>2523</v>
      </c>
      <c r="O174" s="473"/>
    </row>
    <row r="175" hidden="1">
      <c r="A175" s="130">
        <v>2020.0</v>
      </c>
      <c r="B175" s="130" t="s">
        <v>1499</v>
      </c>
      <c r="C175" s="130" t="s">
        <v>1065</v>
      </c>
      <c r="D175" s="565" t="s">
        <v>1508</v>
      </c>
      <c r="E175" s="566">
        <v>4.1160011E7</v>
      </c>
      <c r="F175" s="130" t="s">
        <v>151</v>
      </c>
      <c r="G175" s="130" t="s">
        <v>152</v>
      </c>
      <c r="H175" s="369" t="s">
        <v>1510</v>
      </c>
      <c r="I175" s="130" t="s">
        <v>155</v>
      </c>
      <c r="J175" s="130" t="s">
        <v>1512</v>
      </c>
      <c r="K175" s="568" t="s">
        <v>1513</v>
      </c>
      <c r="L175" s="569"/>
      <c r="M175" s="571"/>
      <c r="N175" s="572" t="s">
        <v>2526</v>
      </c>
      <c r="O175" s="378"/>
    </row>
    <row r="176" hidden="1">
      <c r="A176" s="204">
        <v>2020.0</v>
      </c>
      <c r="B176" s="204" t="s">
        <v>1499</v>
      </c>
      <c r="C176" s="204" t="s">
        <v>1065</v>
      </c>
      <c r="D176" s="538" t="s">
        <v>1508</v>
      </c>
      <c r="E176" s="536">
        <v>4.1160011E7</v>
      </c>
      <c r="F176" s="204" t="s">
        <v>151</v>
      </c>
      <c r="G176" s="204" t="s">
        <v>152</v>
      </c>
      <c r="H176" s="434">
        <v>156000.0</v>
      </c>
      <c r="I176" s="204" t="s">
        <v>155</v>
      </c>
      <c r="J176" s="204"/>
      <c r="K176" s="542" t="s">
        <v>1518</v>
      </c>
      <c r="L176" s="544"/>
      <c r="M176" s="313"/>
      <c r="N176" s="174" t="s">
        <v>2528</v>
      </c>
      <c r="O176" s="318"/>
    </row>
    <row r="177" hidden="1">
      <c r="A177" s="204">
        <v>2020.0</v>
      </c>
      <c r="B177" s="204" t="s">
        <v>1499</v>
      </c>
      <c r="C177" s="204" t="s">
        <v>1065</v>
      </c>
      <c r="D177" s="538" t="s">
        <v>1508</v>
      </c>
      <c r="E177" s="536">
        <v>4.1160011E7</v>
      </c>
      <c r="F177" s="204" t="s">
        <v>151</v>
      </c>
      <c r="G177" s="204" t="s">
        <v>152</v>
      </c>
      <c r="H177" s="434">
        <v>149872.0</v>
      </c>
      <c r="I177" s="204" t="s">
        <v>155</v>
      </c>
      <c r="J177" s="204"/>
      <c r="K177" s="573" t="s">
        <v>1521</v>
      </c>
      <c r="L177" s="544"/>
      <c r="M177" s="313"/>
      <c r="N177" s="174" t="s">
        <v>2530</v>
      </c>
      <c r="O177" s="318"/>
    </row>
    <row r="178" hidden="1">
      <c r="A178" s="130">
        <v>2020.0</v>
      </c>
      <c r="B178" s="130" t="s">
        <v>1499</v>
      </c>
      <c r="C178" s="130" t="s">
        <v>1094</v>
      </c>
      <c r="D178" s="130" t="s">
        <v>1523</v>
      </c>
      <c r="E178" s="575">
        <v>4.1160012E7</v>
      </c>
      <c r="F178" s="130" t="s">
        <v>151</v>
      </c>
      <c r="G178" s="130" t="s">
        <v>152</v>
      </c>
      <c r="H178" s="369" t="s">
        <v>1526</v>
      </c>
      <c r="I178" s="130" t="s">
        <v>155</v>
      </c>
      <c r="J178" s="452" t="s">
        <v>1527</v>
      </c>
      <c r="K178" s="566" t="s">
        <v>1529</v>
      </c>
      <c r="L178" s="130"/>
      <c r="M178" s="130"/>
      <c r="N178" s="375" t="s">
        <v>2532</v>
      </c>
      <c r="O178" s="378"/>
    </row>
    <row r="179" hidden="1">
      <c r="A179" s="342">
        <v>2020.0</v>
      </c>
      <c r="B179" s="342" t="s">
        <v>252</v>
      </c>
      <c r="C179" s="342" t="s">
        <v>566</v>
      </c>
      <c r="D179" s="342" t="s">
        <v>734</v>
      </c>
      <c r="E179" s="349" t="s">
        <v>578</v>
      </c>
      <c r="F179" s="342" t="s">
        <v>488</v>
      </c>
      <c r="G179" s="342" t="s">
        <v>84</v>
      </c>
      <c r="H179" s="322">
        <v>50000.0</v>
      </c>
      <c r="I179" s="342" t="s">
        <v>724</v>
      </c>
      <c r="J179" s="342" t="s">
        <v>110</v>
      </c>
      <c r="K179" s="342" t="s">
        <v>571</v>
      </c>
      <c r="L179" s="342" t="s">
        <v>1941</v>
      </c>
      <c r="M179" s="352"/>
      <c r="N179" s="354"/>
      <c r="O179" s="339">
        <v>109.0</v>
      </c>
    </row>
    <row r="180" hidden="1">
      <c r="A180" s="232">
        <v>2020.0</v>
      </c>
      <c r="B180" s="232" t="s">
        <v>855</v>
      </c>
      <c r="C180" s="232" t="s">
        <v>485</v>
      </c>
      <c r="D180" s="232" t="s">
        <v>1558</v>
      </c>
      <c r="E180" s="232">
        <v>4.1160005E7</v>
      </c>
      <c r="F180" s="232" t="s">
        <v>1559</v>
      </c>
      <c r="G180" s="232" t="s">
        <v>84</v>
      </c>
      <c r="H180" s="357">
        <v>114000.0</v>
      </c>
      <c r="I180" s="232" t="s">
        <v>89</v>
      </c>
      <c r="J180" s="342" t="s">
        <v>110</v>
      </c>
      <c r="K180" s="232" t="s">
        <v>1560</v>
      </c>
      <c r="L180" s="360" t="s">
        <v>1942</v>
      </c>
      <c r="M180" s="331"/>
      <c r="N180" s="354"/>
      <c r="O180" s="339">
        <v>45.0</v>
      </c>
    </row>
    <row r="181" hidden="1">
      <c r="A181" s="232">
        <v>2020.0</v>
      </c>
      <c r="B181" s="232" t="s">
        <v>323</v>
      </c>
      <c r="C181" s="232" t="s">
        <v>485</v>
      </c>
      <c r="D181" s="232" t="s">
        <v>662</v>
      </c>
      <c r="E181" s="417" t="s">
        <v>578</v>
      </c>
      <c r="F181" s="232" t="s">
        <v>488</v>
      </c>
      <c r="G181" s="232" t="s">
        <v>84</v>
      </c>
      <c r="H181" s="357">
        <v>50000.0</v>
      </c>
      <c r="I181" s="232" t="s">
        <v>389</v>
      </c>
      <c r="J181" s="342" t="s">
        <v>110</v>
      </c>
      <c r="K181" s="474" t="s">
        <v>600</v>
      </c>
      <c r="L181" s="418" t="s">
        <v>1944</v>
      </c>
      <c r="M181" s="352"/>
      <c r="N181" s="354"/>
      <c r="O181" s="339">
        <v>63.0</v>
      </c>
    </row>
    <row r="182" hidden="1">
      <c r="A182" s="232">
        <v>2019.0</v>
      </c>
      <c r="B182" s="232" t="s">
        <v>673</v>
      </c>
      <c r="C182" s="232" t="s">
        <v>485</v>
      </c>
      <c r="D182" s="232" t="s">
        <v>682</v>
      </c>
      <c r="E182" s="232">
        <v>7.1220009E7</v>
      </c>
      <c r="F182" s="232" t="s">
        <v>488</v>
      </c>
      <c r="G182" s="232" t="s">
        <v>84</v>
      </c>
      <c r="H182" s="357">
        <v>250000.0</v>
      </c>
      <c r="I182" s="232" t="s">
        <v>389</v>
      </c>
      <c r="J182" s="232" t="s">
        <v>110</v>
      </c>
      <c r="K182" s="232" t="s">
        <v>1076</v>
      </c>
      <c r="L182" s="360" t="s">
        <v>1945</v>
      </c>
      <c r="M182" s="352"/>
      <c r="N182" s="354"/>
      <c r="O182" s="339">
        <v>18.0</v>
      </c>
    </row>
    <row r="183" hidden="1">
      <c r="A183" s="232">
        <v>2020.0</v>
      </c>
      <c r="B183" s="232" t="s">
        <v>673</v>
      </c>
      <c r="C183" s="232" t="s">
        <v>485</v>
      </c>
      <c r="D183" s="232" t="s">
        <v>682</v>
      </c>
      <c r="E183" s="417" t="s">
        <v>578</v>
      </c>
      <c r="F183" s="232" t="s">
        <v>488</v>
      </c>
      <c r="G183" s="232" t="s">
        <v>84</v>
      </c>
      <c r="H183" s="357">
        <v>50000.0</v>
      </c>
      <c r="I183" s="232" t="s">
        <v>389</v>
      </c>
      <c r="J183" s="342" t="s">
        <v>110</v>
      </c>
      <c r="K183" s="474" t="s">
        <v>600</v>
      </c>
      <c r="L183" s="418" t="s">
        <v>1945</v>
      </c>
      <c r="M183" s="352"/>
      <c r="N183" s="354"/>
      <c r="O183" s="339">
        <v>64.0</v>
      </c>
    </row>
    <row r="184" hidden="1">
      <c r="A184" s="232">
        <v>2020.0</v>
      </c>
      <c r="B184" s="232" t="s">
        <v>875</v>
      </c>
      <c r="C184" s="232" t="s">
        <v>485</v>
      </c>
      <c r="D184" s="232" t="s">
        <v>1786</v>
      </c>
      <c r="E184" s="232">
        <v>4.1160005E7</v>
      </c>
      <c r="F184" s="232" t="s">
        <v>1559</v>
      </c>
      <c r="G184" s="232" t="s">
        <v>84</v>
      </c>
      <c r="H184" s="357">
        <v>200000.0</v>
      </c>
      <c r="I184" s="232" t="s">
        <v>89</v>
      </c>
      <c r="J184" s="342" t="s">
        <v>110</v>
      </c>
      <c r="K184" s="232" t="s">
        <v>1560</v>
      </c>
      <c r="L184" s="360" t="s">
        <v>1947</v>
      </c>
      <c r="M184" s="331" t="s">
        <v>1787</v>
      </c>
      <c r="N184" s="354"/>
      <c r="O184" s="339">
        <v>46.0</v>
      </c>
    </row>
    <row r="185" hidden="1">
      <c r="A185" s="232">
        <v>2020.0</v>
      </c>
      <c r="B185" s="232" t="s">
        <v>879</v>
      </c>
      <c r="C185" s="232" t="s">
        <v>485</v>
      </c>
      <c r="D185" s="232" t="s">
        <v>1789</v>
      </c>
      <c r="E185" s="232">
        <v>4.1160005E7</v>
      </c>
      <c r="F185" s="232" t="s">
        <v>488</v>
      </c>
      <c r="G185" s="232" t="s">
        <v>84</v>
      </c>
      <c r="H185" s="357">
        <v>200000.0</v>
      </c>
      <c r="I185" s="232" t="s">
        <v>490</v>
      </c>
      <c r="J185" s="342" t="s">
        <v>110</v>
      </c>
      <c r="K185" s="232" t="s">
        <v>491</v>
      </c>
      <c r="L185" s="360" t="s">
        <v>1949</v>
      </c>
      <c r="M185" s="331" t="s">
        <v>1792</v>
      </c>
      <c r="N185" s="398" t="s">
        <v>1950</v>
      </c>
      <c r="O185" s="339">
        <v>47.0</v>
      </c>
    </row>
    <row r="186" hidden="1">
      <c r="A186" s="426">
        <v>2021.0</v>
      </c>
      <c r="B186" s="426" t="s">
        <v>879</v>
      </c>
      <c r="C186" s="426" t="s">
        <v>465</v>
      </c>
      <c r="D186" s="426" t="s">
        <v>1407</v>
      </c>
      <c r="E186" s="427">
        <v>4.1160005E7</v>
      </c>
      <c r="F186" s="426" t="s">
        <v>151</v>
      </c>
      <c r="G186" s="426" t="s">
        <v>152</v>
      </c>
      <c r="H186" s="580">
        <v>180837.86</v>
      </c>
      <c r="I186" s="426" t="s">
        <v>155</v>
      </c>
      <c r="J186" s="426" t="s">
        <v>1327</v>
      </c>
      <c r="K186" s="429" t="s">
        <v>1408</v>
      </c>
      <c r="L186" s="426" t="s">
        <v>1953</v>
      </c>
      <c r="M186" s="429"/>
      <c r="N186" s="518" t="s">
        <v>2547</v>
      </c>
      <c r="O186" s="432">
        <v>128.0</v>
      </c>
    </row>
    <row r="187" hidden="1">
      <c r="A187" s="437">
        <v>2021.0</v>
      </c>
      <c r="B187" s="438" t="s">
        <v>879</v>
      </c>
      <c r="C187" s="437" t="s">
        <v>485</v>
      </c>
      <c r="D187" s="438" t="s">
        <v>1789</v>
      </c>
      <c r="E187" s="441">
        <v>4.1160002E7</v>
      </c>
      <c r="F187" s="441" t="s">
        <v>1087</v>
      </c>
      <c r="G187" s="441" t="s">
        <v>152</v>
      </c>
      <c r="H187" s="440">
        <v>250000.0</v>
      </c>
      <c r="I187" s="441" t="s">
        <v>1062</v>
      </c>
      <c r="J187" s="441" t="s">
        <v>1090</v>
      </c>
      <c r="K187" s="438" t="s">
        <v>1797</v>
      </c>
      <c r="L187" s="439" t="s">
        <v>1955</v>
      </c>
      <c r="M187" s="443"/>
      <c r="N187" s="446" t="s">
        <v>2550</v>
      </c>
      <c r="O187" s="447">
        <v>6.0</v>
      </c>
    </row>
    <row r="188" hidden="1">
      <c r="A188" s="232">
        <v>2021.0</v>
      </c>
      <c r="B188" s="232" t="s">
        <v>796</v>
      </c>
      <c r="C188" s="232" t="s">
        <v>14</v>
      </c>
      <c r="D188" s="232" t="s">
        <v>74</v>
      </c>
      <c r="E188" s="320">
        <v>4.1160004E7</v>
      </c>
      <c r="F188" s="232" t="s">
        <v>20</v>
      </c>
      <c r="G188" s="232" t="s">
        <v>152</v>
      </c>
      <c r="H188" s="322">
        <v>250000.0</v>
      </c>
      <c r="I188" s="232" t="s">
        <v>490</v>
      </c>
      <c r="J188" s="323" t="s">
        <v>265</v>
      </c>
      <c r="K188" s="326" t="s">
        <v>1660</v>
      </c>
      <c r="L188" s="329" t="s">
        <v>1794</v>
      </c>
      <c r="M188" s="331"/>
      <c r="N188" s="338" t="s">
        <v>2555</v>
      </c>
      <c r="O188" s="339">
        <v>119.0</v>
      </c>
    </row>
    <row r="189" hidden="1">
      <c r="A189" s="426">
        <v>2020.0</v>
      </c>
      <c r="B189" s="426" t="s">
        <v>355</v>
      </c>
      <c r="C189" s="426" t="s">
        <v>1097</v>
      </c>
      <c r="D189" s="426" t="s">
        <v>1097</v>
      </c>
      <c r="E189" s="590">
        <v>4.1160007E7</v>
      </c>
      <c r="F189" s="426" t="s">
        <v>151</v>
      </c>
      <c r="G189" s="426" t="s">
        <v>152</v>
      </c>
      <c r="H189" s="428">
        <v>290000.0</v>
      </c>
      <c r="I189" s="426" t="s">
        <v>89</v>
      </c>
      <c r="J189" s="426" t="s">
        <v>110</v>
      </c>
      <c r="K189" s="426" t="s">
        <v>1415</v>
      </c>
      <c r="L189" s="430" t="s">
        <v>1961</v>
      </c>
      <c r="M189" s="429" t="s">
        <v>1732</v>
      </c>
      <c r="N189" s="518" t="s">
        <v>1357</v>
      </c>
      <c r="O189" s="432">
        <v>112.0</v>
      </c>
    </row>
    <row r="190" hidden="1">
      <c r="A190" s="232">
        <v>2020.0</v>
      </c>
      <c r="B190" s="232" t="s">
        <v>355</v>
      </c>
      <c r="C190" s="232" t="s">
        <v>485</v>
      </c>
      <c r="D190" s="232" t="s">
        <v>1808</v>
      </c>
      <c r="E190" s="232">
        <v>4.1160005E7</v>
      </c>
      <c r="F190" s="232" t="s">
        <v>488</v>
      </c>
      <c r="G190" s="232" t="s">
        <v>84</v>
      </c>
      <c r="H190" s="357">
        <v>250000.0</v>
      </c>
      <c r="I190" s="232" t="s">
        <v>490</v>
      </c>
      <c r="J190" s="342" t="s">
        <v>110</v>
      </c>
      <c r="K190" s="232" t="s">
        <v>491</v>
      </c>
      <c r="L190" s="360" t="s">
        <v>1963</v>
      </c>
      <c r="M190" s="352"/>
      <c r="N190" s="354"/>
      <c r="O190" s="339">
        <v>48.0</v>
      </c>
    </row>
    <row r="191" hidden="1">
      <c r="A191" s="426">
        <v>2021.0</v>
      </c>
      <c r="B191" s="426" t="s">
        <v>355</v>
      </c>
      <c r="C191" s="426" t="s">
        <v>465</v>
      </c>
      <c r="D191" s="426" t="s">
        <v>467</v>
      </c>
      <c r="E191" s="427">
        <v>4.1160005E7</v>
      </c>
      <c r="F191" s="426" t="s">
        <v>151</v>
      </c>
      <c r="G191" s="426" t="s">
        <v>152</v>
      </c>
      <c r="H191" s="428">
        <v>38354.48</v>
      </c>
      <c r="I191" s="426" t="s">
        <v>155</v>
      </c>
      <c r="J191" s="426" t="s">
        <v>1327</v>
      </c>
      <c r="K191" s="429" t="s">
        <v>474</v>
      </c>
      <c r="L191" s="426" t="s">
        <v>1964</v>
      </c>
      <c r="M191" s="429"/>
      <c r="N191" s="518" t="s">
        <v>2561</v>
      </c>
      <c r="O191" s="432">
        <v>126.0</v>
      </c>
    </row>
    <row r="192" hidden="1">
      <c r="A192" s="426">
        <v>2019.0</v>
      </c>
      <c r="B192" s="426" t="s">
        <v>797</v>
      </c>
      <c r="C192" s="426" t="s">
        <v>1065</v>
      </c>
      <c r="D192" s="426" t="s">
        <v>1425</v>
      </c>
      <c r="E192" s="593"/>
      <c r="F192" s="426" t="s">
        <v>151</v>
      </c>
      <c r="G192" s="426" t="s">
        <v>152</v>
      </c>
      <c r="H192" s="428">
        <v>140000.0</v>
      </c>
      <c r="I192" s="426" t="s">
        <v>560</v>
      </c>
      <c r="J192" s="426" t="s">
        <v>110</v>
      </c>
      <c r="K192" s="426" t="s">
        <v>1434</v>
      </c>
      <c r="L192" s="590" t="s">
        <v>1435</v>
      </c>
      <c r="M192" s="429" t="s">
        <v>1457</v>
      </c>
      <c r="N192" s="449"/>
      <c r="O192" s="432">
        <v>2.0</v>
      </c>
    </row>
    <row r="193" hidden="1">
      <c r="A193" s="342">
        <v>2020.0</v>
      </c>
      <c r="B193" s="342" t="s">
        <v>797</v>
      </c>
      <c r="C193" s="342" t="s">
        <v>566</v>
      </c>
      <c r="D193" s="342" t="s">
        <v>739</v>
      </c>
      <c r="E193" s="349" t="s">
        <v>578</v>
      </c>
      <c r="F193" s="342" t="s">
        <v>488</v>
      </c>
      <c r="G193" s="342" t="s">
        <v>84</v>
      </c>
      <c r="H193" s="322">
        <v>50000.0</v>
      </c>
      <c r="I193" s="342" t="s">
        <v>724</v>
      </c>
      <c r="J193" s="342" t="s">
        <v>110</v>
      </c>
      <c r="K193" s="342" t="s">
        <v>571</v>
      </c>
      <c r="L193" s="342" t="s">
        <v>1970</v>
      </c>
      <c r="M193" s="331" t="s">
        <v>743</v>
      </c>
      <c r="N193" s="354"/>
      <c r="O193" s="339">
        <v>110.0</v>
      </c>
    </row>
    <row r="194" hidden="1">
      <c r="A194" s="232">
        <v>2020.0</v>
      </c>
      <c r="B194" s="232" t="s">
        <v>883</v>
      </c>
      <c r="C194" s="232" t="s">
        <v>14</v>
      </c>
      <c r="D194" s="232" t="s">
        <v>74</v>
      </c>
      <c r="E194" s="232">
        <v>4.1160009E7</v>
      </c>
      <c r="F194" s="232" t="s">
        <v>488</v>
      </c>
      <c r="G194" s="232" t="s">
        <v>84</v>
      </c>
      <c r="H194" s="357">
        <v>150000.0</v>
      </c>
      <c r="I194" s="232" t="s">
        <v>490</v>
      </c>
      <c r="J194" s="342" t="s">
        <v>110</v>
      </c>
      <c r="K194" s="232" t="s">
        <v>491</v>
      </c>
      <c r="L194" s="360" t="s">
        <v>1971</v>
      </c>
      <c r="M194" s="352"/>
      <c r="N194" s="354"/>
      <c r="O194" s="339">
        <v>97.0</v>
      </c>
    </row>
    <row r="195" hidden="1">
      <c r="A195" s="342">
        <v>2020.0</v>
      </c>
      <c r="B195" s="342" t="s">
        <v>886</v>
      </c>
      <c r="C195" s="342" t="s">
        <v>1177</v>
      </c>
      <c r="D195" s="342" t="s">
        <v>1819</v>
      </c>
      <c r="E195" s="342">
        <v>4.1160005E7</v>
      </c>
      <c r="F195" s="342" t="s">
        <v>488</v>
      </c>
      <c r="G195" s="342" t="s">
        <v>84</v>
      </c>
      <c r="H195" s="322">
        <v>100000.0</v>
      </c>
      <c r="I195" s="342" t="s">
        <v>490</v>
      </c>
      <c r="J195" s="342" t="s">
        <v>110</v>
      </c>
      <c r="K195" s="342" t="s">
        <v>491</v>
      </c>
      <c r="L195" s="331" t="s">
        <v>1973</v>
      </c>
      <c r="M195" s="352"/>
      <c r="N195" s="354"/>
      <c r="O195" s="339">
        <v>49.0</v>
      </c>
    </row>
    <row r="196" hidden="1">
      <c r="A196" s="232">
        <v>2019.0</v>
      </c>
      <c r="B196" s="232" t="s">
        <v>888</v>
      </c>
      <c r="C196" s="232" t="s">
        <v>485</v>
      </c>
      <c r="D196" s="232" t="s">
        <v>1821</v>
      </c>
      <c r="E196" s="232">
        <v>7.1220009E7</v>
      </c>
      <c r="F196" s="232" t="s">
        <v>488</v>
      </c>
      <c r="G196" s="232" t="s">
        <v>84</v>
      </c>
      <c r="H196" s="357">
        <v>250000.0</v>
      </c>
      <c r="I196" s="232" t="s">
        <v>389</v>
      </c>
      <c r="J196" s="232" t="s">
        <v>110</v>
      </c>
      <c r="K196" s="232" t="s">
        <v>1076</v>
      </c>
      <c r="L196" s="360" t="s">
        <v>1974</v>
      </c>
      <c r="M196" s="331" t="s">
        <v>1822</v>
      </c>
      <c r="N196" s="398" t="s">
        <v>1975</v>
      </c>
      <c r="O196" s="339">
        <v>19.0</v>
      </c>
    </row>
    <row r="197" hidden="1">
      <c r="A197" s="437">
        <v>2021.0</v>
      </c>
      <c r="B197" s="438" t="s">
        <v>495</v>
      </c>
      <c r="C197" s="437" t="s">
        <v>485</v>
      </c>
      <c r="D197" s="438" t="s">
        <v>1824</v>
      </c>
      <c r="E197" s="441">
        <v>4.1160002E7</v>
      </c>
      <c r="F197" s="441" t="s">
        <v>1087</v>
      </c>
      <c r="G197" s="441" t="s">
        <v>152</v>
      </c>
      <c r="H197" s="440">
        <v>219347.0</v>
      </c>
      <c r="I197" s="441" t="s">
        <v>1062</v>
      </c>
      <c r="J197" s="441" t="s">
        <v>1090</v>
      </c>
      <c r="K197" s="438" t="s">
        <v>1828</v>
      </c>
      <c r="L197" s="439" t="s">
        <v>1979</v>
      </c>
      <c r="M197" s="443"/>
      <c r="N197" s="446" t="s">
        <v>2571</v>
      </c>
      <c r="O197" s="447">
        <v>8.0</v>
      </c>
    </row>
    <row r="198" hidden="1">
      <c r="A198" s="232">
        <v>2020.0</v>
      </c>
      <c r="B198" s="232" t="s">
        <v>893</v>
      </c>
      <c r="C198" s="232" t="s">
        <v>485</v>
      </c>
      <c r="D198" s="232" t="s">
        <v>1182</v>
      </c>
      <c r="E198" s="232">
        <v>4.1160005E7</v>
      </c>
      <c r="F198" s="232" t="s">
        <v>488</v>
      </c>
      <c r="G198" s="232" t="s">
        <v>84</v>
      </c>
      <c r="H198" s="357">
        <v>100000.0</v>
      </c>
      <c r="I198" s="232" t="s">
        <v>490</v>
      </c>
      <c r="J198" s="342" t="s">
        <v>110</v>
      </c>
      <c r="K198" s="232" t="s">
        <v>491</v>
      </c>
      <c r="L198" s="360" t="s">
        <v>1983</v>
      </c>
      <c r="M198" s="331" t="s">
        <v>1183</v>
      </c>
      <c r="N198" s="354"/>
      <c r="O198" s="339">
        <v>50.0</v>
      </c>
    </row>
    <row r="199" hidden="1">
      <c r="A199" s="204">
        <v>2021.0</v>
      </c>
      <c r="B199" s="306" t="s">
        <v>893</v>
      </c>
      <c r="C199" s="204" t="s">
        <v>220</v>
      </c>
      <c r="D199" s="385" t="s">
        <v>74</v>
      </c>
      <c r="E199" s="212">
        <v>4.1160002E7</v>
      </c>
      <c r="F199" s="212" t="s">
        <v>1087</v>
      </c>
      <c r="G199" s="212" t="s">
        <v>152</v>
      </c>
      <c r="H199" s="308">
        <v>200000.0</v>
      </c>
      <c r="I199" s="212" t="s">
        <v>1062</v>
      </c>
      <c r="J199" s="204" t="s">
        <v>1833</v>
      </c>
      <c r="K199" s="311" t="s">
        <v>1834</v>
      </c>
      <c r="L199" s="311" t="s">
        <v>1984</v>
      </c>
      <c r="M199" s="313"/>
      <c r="N199" s="316" t="s">
        <v>2577</v>
      </c>
      <c r="O199" s="318"/>
    </row>
    <row r="200" hidden="1">
      <c r="A200" s="437">
        <v>2021.0</v>
      </c>
      <c r="B200" s="438" t="s">
        <v>895</v>
      </c>
      <c r="C200" s="437" t="s">
        <v>220</v>
      </c>
      <c r="D200" s="597" t="s">
        <v>74</v>
      </c>
      <c r="E200" s="441">
        <v>4.1160002E7</v>
      </c>
      <c r="F200" s="441">
        <v>4.1160002E7</v>
      </c>
      <c r="G200" s="441">
        <v>4.1160002E7</v>
      </c>
      <c r="H200" s="598">
        <v>250000.0</v>
      </c>
      <c r="I200" s="441" t="s">
        <v>1062</v>
      </c>
      <c r="J200" s="437" t="s">
        <v>1833</v>
      </c>
      <c r="K200" s="439" t="s">
        <v>1837</v>
      </c>
      <c r="L200" s="439" t="s">
        <v>1992</v>
      </c>
      <c r="M200" s="443"/>
      <c r="N200" s="446" t="s">
        <v>2581</v>
      </c>
      <c r="O200" s="318"/>
    </row>
    <row r="201" hidden="1">
      <c r="A201" s="232">
        <v>2020.0</v>
      </c>
      <c r="B201" s="232" t="s">
        <v>744</v>
      </c>
      <c r="C201" s="232" t="s">
        <v>485</v>
      </c>
      <c r="D201" s="232" t="s">
        <v>751</v>
      </c>
      <c r="E201" s="417" t="s">
        <v>578</v>
      </c>
      <c r="F201" s="232" t="s">
        <v>488</v>
      </c>
      <c r="G201" s="232" t="s">
        <v>84</v>
      </c>
      <c r="H201" s="357">
        <v>50000.0</v>
      </c>
      <c r="I201" s="232" t="s">
        <v>389</v>
      </c>
      <c r="J201" s="342" t="s">
        <v>110</v>
      </c>
      <c r="K201" s="474" t="s">
        <v>600</v>
      </c>
      <c r="L201" s="232" t="s">
        <v>1997</v>
      </c>
      <c r="M201" s="352"/>
      <c r="N201" s="398" t="s">
        <v>1999</v>
      </c>
      <c r="O201" s="339">
        <v>65.0</v>
      </c>
    </row>
    <row r="202" hidden="1">
      <c r="A202" s="437">
        <v>2021.0</v>
      </c>
      <c r="B202" s="438" t="s">
        <v>744</v>
      </c>
      <c r="C202" s="437" t="s">
        <v>485</v>
      </c>
      <c r="D202" s="438" t="s">
        <v>751</v>
      </c>
      <c r="E202" s="441">
        <v>4.1160002E7</v>
      </c>
      <c r="F202" s="441" t="s">
        <v>1087</v>
      </c>
      <c r="G202" s="441" t="s">
        <v>152</v>
      </c>
      <c r="H202" s="440">
        <v>218250.0</v>
      </c>
      <c r="I202" s="441" t="s">
        <v>1062</v>
      </c>
      <c r="J202" s="437" t="s">
        <v>1090</v>
      </c>
      <c r="K202" s="438" t="s">
        <v>1841</v>
      </c>
      <c r="L202" s="439" t="s">
        <v>2003</v>
      </c>
      <c r="M202" s="443"/>
      <c r="N202" s="446" t="s">
        <v>2587</v>
      </c>
      <c r="O202" s="447"/>
    </row>
    <row r="203" hidden="1">
      <c r="A203" s="426">
        <v>2019.0</v>
      </c>
      <c r="B203" s="426" t="s">
        <v>904</v>
      </c>
      <c r="C203" s="426" t="s">
        <v>139</v>
      </c>
      <c r="D203" s="426" t="s">
        <v>1450</v>
      </c>
      <c r="E203" s="593"/>
      <c r="F203" s="426" t="s">
        <v>151</v>
      </c>
      <c r="G203" s="426" t="s">
        <v>152</v>
      </c>
      <c r="H203" s="428">
        <v>140000.0</v>
      </c>
      <c r="I203" s="426" t="s">
        <v>560</v>
      </c>
      <c r="J203" s="426" t="s">
        <v>110</v>
      </c>
      <c r="K203" s="426" t="s">
        <v>1452</v>
      </c>
      <c r="L203" s="429" t="s">
        <v>1454</v>
      </c>
      <c r="M203" s="429" t="s">
        <v>1677</v>
      </c>
      <c r="N203" s="518" t="s">
        <v>2591</v>
      </c>
      <c r="O203" s="432">
        <v>22.0</v>
      </c>
    </row>
    <row r="204" hidden="1">
      <c r="A204" s="232">
        <v>2020.0</v>
      </c>
      <c r="B204" s="232" t="s">
        <v>520</v>
      </c>
      <c r="C204" s="232" t="s">
        <v>485</v>
      </c>
      <c r="D204" s="232" t="s">
        <v>1844</v>
      </c>
      <c r="E204" s="232">
        <v>4.1160005E7</v>
      </c>
      <c r="F204" s="232" t="s">
        <v>488</v>
      </c>
      <c r="G204" s="232" t="s">
        <v>84</v>
      </c>
      <c r="H204" s="357">
        <v>200000.0</v>
      </c>
      <c r="I204" s="232" t="s">
        <v>490</v>
      </c>
      <c r="J204" s="342" t="s">
        <v>110</v>
      </c>
      <c r="K204" s="232" t="s">
        <v>491</v>
      </c>
      <c r="L204" s="360" t="s">
        <v>2008</v>
      </c>
      <c r="M204" s="352"/>
      <c r="N204" s="354"/>
      <c r="O204" s="339">
        <v>51.0</v>
      </c>
    </row>
    <row r="205" hidden="1">
      <c r="A205" s="232">
        <v>2020.0</v>
      </c>
      <c r="B205" s="232" t="s">
        <v>520</v>
      </c>
      <c r="C205" s="232" t="s">
        <v>485</v>
      </c>
      <c r="D205" s="232" t="s">
        <v>1844</v>
      </c>
      <c r="E205" s="417" t="s">
        <v>578</v>
      </c>
      <c r="F205" s="232" t="s">
        <v>488</v>
      </c>
      <c r="G205" s="232" t="s">
        <v>84</v>
      </c>
      <c r="H205" s="357">
        <v>250000.0</v>
      </c>
      <c r="I205" s="232" t="s">
        <v>389</v>
      </c>
      <c r="J205" s="342" t="s">
        <v>110</v>
      </c>
      <c r="K205" s="474" t="s">
        <v>600</v>
      </c>
      <c r="L205" s="232" t="s">
        <v>2008</v>
      </c>
      <c r="M205" s="352"/>
      <c r="N205" s="354"/>
      <c r="O205" s="339">
        <v>66.0</v>
      </c>
    </row>
    <row r="206" hidden="1">
      <c r="A206" s="232">
        <v>2019.0</v>
      </c>
      <c r="B206" s="232" t="s">
        <v>909</v>
      </c>
      <c r="C206" s="232" t="s">
        <v>556</v>
      </c>
      <c r="D206" s="232" t="s">
        <v>940</v>
      </c>
      <c r="E206" s="232">
        <v>7.1220005E7</v>
      </c>
      <c r="F206" s="232" t="s">
        <v>558</v>
      </c>
      <c r="G206" s="232" t="s">
        <v>152</v>
      </c>
      <c r="H206" s="357">
        <v>55000.0</v>
      </c>
      <c r="I206" s="232" t="s">
        <v>560</v>
      </c>
      <c r="J206" s="232" t="s">
        <v>110</v>
      </c>
      <c r="K206" s="232" t="s">
        <v>561</v>
      </c>
      <c r="L206" s="360" t="s">
        <v>2010</v>
      </c>
      <c r="M206" s="352"/>
      <c r="N206" s="354"/>
      <c r="O206" s="339">
        <v>12.0</v>
      </c>
    </row>
    <row r="207" ht="158.25" hidden="1" customHeight="1">
      <c r="A207" s="232">
        <v>2020.0</v>
      </c>
      <c r="B207" s="232" t="s">
        <v>377</v>
      </c>
      <c r="C207" s="232" t="s">
        <v>485</v>
      </c>
      <c r="D207" s="232" t="s">
        <v>773</v>
      </c>
      <c r="E207" s="417" t="s">
        <v>578</v>
      </c>
      <c r="F207" s="232" t="s">
        <v>488</v>
      </c>
      <c r="G207" s="232" t="s">
        <v>84</v>
      </c>
      <c r="H207" s="357">
        <v>50000.0</v>
      </c>
      <c r="I207" s="232" t="s">
        <v>389</v>
      </c>
      <c r="J207" s="342" t="s">
        <v>110</v>
      </c>
      <c r="K207" s="474" t="s">
        <v>600</v>
      </c>
      <c r="L207" s="232" t="s">
        <v>2011</v>
      </c>
      <c r="M207" s="352"/>
      <c r="N207" s="354"/>
      <c r="O207" s="339">
        <v>67.0</v>
      </c>
    </row>
    <row r="208" hidden="1">
      <c r="A208" s="232">
        <v>2019.0</v>
      </c>
      <c r="B208" s="232" t="s">
        <v>333</v>
      </c>
      <c r="C208" s="232" t="s">
        <v>485</v>
      </c>
      <c r="D208" s="232" t="s">
        <v>1864</v>
      </c>
      <c r="E208" s="232">
        <v>7.1220009E7</v>
      </c>
      <c r="F208" s="232" t="s">
        <v>488</v>
      </c>
      <c r="G208" s="232" t="s">
        <v>84</v>
      </c>
      <c r="H208" s="357">
        <v>250000.0</v>
      </c>
      <c r="I208" s="232" t="s">
        <v>389</v>
      </c>
      <c r="J208" s="232" t="s">
        <v>110</v>
      </c>
      <c r="K208" s="232" t="s">
        <v>1076</v>
      </c>
      <c r="L208" s="360" t="s">
        <v>2013</v>
      </c>
      <c r="M208" s="331" t="s">
        <v>1866</v>
      </c>
      <c r="N208" s="354"/>
      <c r="O208" s="339">
        <v>20.0</v>
      </c>
    </row>
    <row r="209" hidden="1">
      <c r="A209" s="232">
        <v>2020.0</v>
      </c>
      <c r="B209" s="232" t="s">
        <v>333</v>
      </c>
      <c r="C209" s="232" t="s">
        <v>485</v>
      </c>
      <c r="D209" s="232" t="s">
        <v>1169</v>
      </c>
      <c r="E209" s="417" t="s">
        <v>578</v>
      </c>
      <c r="F209" s="232" t="s">
        <v>488</v>
      </c>
      <c r="G209" s="232" t="s">
        <v>84</v>
      </c>
      <c r="H209" s="357">
        <v>100000.0</v>
      </c>
      <c r="I209" s="232" t="s">
        <v>389</v>
      </c>
      <c r="J209" s="342" t="s">
        <v>110</v>
      </c>
      <c r="K209" s="474" t="s">
        <v>600</v>
      </c>
      <c r="L209" s="232" t="s">
        <v>2013</v>
      </c>
      <c r="M209" s="352"/>
      <c r="N209" s="354"/>
      <c r="O209" s="339">
        <v>68.0</v>
      </c>
    </row>
    <row r="210" hidden="1">
      <c r="A210" s="232">
        <v>2020.0</v>
      </c>
      <c r="B210" s="232" t="s">
        <v>333</v>
      </c>
      <c r="C210" s="232" t="s">
        <v>14</v>
      </c>
      <c r="D210" s="232" t="s">
        <v>74</v>
      </c>
      <c r="E210" s="232">
        <v>4.1160009E7</v>
      </c>
      <c r="F210" s="232" t="s">
        <v>488</v>
      </c>
      <c r="G210" s="232" t="s">
        <v>84</v>
      </c>
      <c r="H210" s="357">
        <v>100000.0</v>
      </c>
      <c r="I210" s="232" t="s">
        <v>490</v>
      </c>
      <c r="J210" s="342" t="s">
        <v>110</v>
      </c>
      <c r="K210" s="232" t="s">
        <v>491</v>
      </c>
      <c r="L210" s="360" t="s">
        <v>2015</v>
      </c>
      <c r="M210" s="352"/>
      <c r="N210" s="354"/>
      <c r="O210" s="339">
        <v>98.0</v>
      </c>
    </row>
    <row r="211" hidden="1">
      <c r="A211" s="232">
        <v>2020.0</v>
      </c>
      <c r="B211" s="232" t="s">
        <v>926</v>
      </c>
      <c r="C211" s="232" t="s">
        <v>14</v>
      </c>
      <c r="D211" s="232" t="s">
        <v>74</v>
      </c>
      <c r="E211" s="599">
        <v>4.1160001E7</v>
      </c>
      <c r="F211" s="232" t="s">
        <v>193</v>
      </c>
      <c r="G211" s="232" t="s">
        <v>84</v>
      </c>
      <c r="H211" s="357">
        <v>100000.0</v>
      </c>
      <c r="I211" s="232" t="s">
        <v>490</v>
      </c>
      <c r="J211" s="342" t="s">
        <v>110</v>
      </c>
      <c r="K211" s="232" t="s">
        <v>1026</v>
      </c>
      <c r="L211" s="360" t="s">
        <v>2017</v>
      </c>
      <c r="M211" s="352"/>
      <c r="N211" s="354"/>
      <c r="O211" s="339">
        <v>99.0</v>
      </c>
    </row>
    <row r="212" hidden="1">
      <c r="A212" s="232">
        <v>2020.0</v>
      </c>
      <c r="B212" s="232" t="s">
        <v>934</v>
      </c>
      <c r="C212" s="232" t="s">
        <v>14</v>
      </c>
      <c r="D212" s="232" t="s">
        <v>74</v>
      </c>
      <c r="E212" s="232">
        <v>4.1160001E7</v>
      </c>
      <c r="F212" s="232" t="s">
        <v>193</v>
      </c>
      <c r="G212" s="232" t="s">
        <v>84</v>
      </c>
      <c r="H212" s="357">
        <v>67500.0</v>
      </c>
      <c r="I212" s="232" t="s">
        <v>490</v>
      </c>
      <c r="J212" s="342" t="s">
        <v>110</v>
      </c>
      <c r="K212" s="232" t="s">
        <v>1026</v>
      </c>
      <c r="L212" s="360" t="s">
        <v>2019</v>
      </c>
      <c r="M212" s="331" t="s">
        <v>1027</v>
      </c>
      <c r="N212" s="354"/>
      <c r="O212" s="339">
        <v>100.0</v>
      </c>
    </row>
    <row r="213" hidden="1">
      <c r="A213" s="232">
        <v>2019.0</v>
      </c>
      <c r="B213" s="232" t="s">
        <v>2020</v>
      </c>
      <c r="C213" s="232" t="s">
        <v>556</v>
      </c>
      <c r="D213" s="232" t="s">
        <v>918</v>
      </c>
      <c r="E213" s="232">
        <v>7.1220005E7</v>
      </c>
      <c r="F213" s="232" t="s">
        <v>558</v>
      </c>
      <c r="G213" s="232" t="s">
        <v>152</v>
      </c>
      <c r="H213" s="357">
        <v>54000.0</v>
      </c>
      <c r="I213" s="232" t="s">
        <v>389</v>
      </c>
      <c r="J213" s="232" t="s">
        <v>110</v>
      </c>
      <c r="K213" s="232" t="s">
        <v>561</v>
      </c>
      <c r="L213" s="360" t="s">
        <v>2022</v>
      </c>
      <c r="M213" s="352"/>
      <c r="N213" s="354"/>
      <c r="O213" s="339">
        <v>13.0</v>
      </c>
    </row>
    <row r="214" hidden="1">
      <c r="A214" s="342">
        <v>2020.0</v>
      </c>
      <c r="B214" s="342" t="s">
        <v>945</v>
      </c>
      <c r="C214" s="342" t="s">
        <v>14</v>
      </c>
      <c r="D214" s="342" t="s">
        <v>74</v>
      </c>
      <c r="E214" s="342" t="s">
        <v>2603</v>
      </c>
      <c r="F214" s="342" t="s">
        <v>193</v>
      </c>
      <c r="G214" s="342" t="s">
        <v>84</v>
      </c>
      <c r="H214" s="322">
        <v>100000.0</v>
      </c>
      <c r="I214" s="342" t="s">
        <v>490</v>
      </c>
      <c r="J214" s="342" t="s">
        <v>110</v>
      </c>
      <c r="K214" s="342" t="s">
        <v>1026</v>
      </c>
      <c r="L214" s="331" t="s">
        <v>2025</v>
      </c>
      <c r="M214" s="331" t="s">
        <v>1211</v>
      </c>
      <c r="N214" s="354"/>
      <c r="O214" s="339">
        <v>101.0</v>
      </c>
    </row>
    <row r="215" hidden="1">
      <c r="A215" s="232">
        <v>2020.0</v>
      </c>
      <c r="B215" s="232" t="s">
        <v>400</v>
      </c>
      <c r="C215" s="232" t="s">
        <v>485</v>
      </c>
      <c r="D215" s="232" t="s">
        <v>1174</v>
      </c>
      <c r="E215" s="417" t="s">
        <v>578</v>
      </c>
      <c r="F215" s="232" t="s">
        <v>488</v>
      </c>
      <c r="G215" s="232" t="s">
        <v>84</v>
      </c>
      <c r="H215" s="357">
        <v>100000.0</v>
      </c>
      <c r="I215" s="232" t="s">
        <v>389</v>
      </c>
      <c r="J215" s="342" t="s">
        <v>110</v>
      </c>
      <c r="K215" s="474" t="s">
        <v>600</v>
      </c>
      <c r="L215" s="232" t="s">
        <v>2026</v>
      </c>
      <c r="M215" s="352"/>
      <c r="N215" s="354"/>
      <c r="O215" s="339">
        <v>69.0</v>
      </c>
    </row>
    <row r="216" hidden="1">
      <c r="A216" s="437">
        <v>2021.0</v>
      </c>
      <c r="B216" s="438" t="s">
        <v>400</v>
      </c>
      <c r="C216" s="437" t="s">
        <v>485</v>
      </c>
      <c r="D216" s="439" t="s">
        <v>1554</v>
      </c>
      <c r="E216" s="441">
        <v>4.1160002E7</v>
      </c>
      <c r="F216" s="441" t="s">
        <v>1087</v>
      </c>
      <c r="G216" s="441" t="s">
        <v>152</v>
      </c>
      <c r="H216" s="600">
        <v>112000.0</v>
      </c>
      <c r="I216" s="441" t="s">
        <v>1062</v>
      </c>
      <c r="J216" s="441" t="s">
        <v>1090</v>
      </c>
      <c r="K216" s="438" t="s">
        <v>1555</v>
      </c>
      <c r="L216" s="439" t="s">
        <v>2029</v>
      </c>
      <c r="M216" s="443"/>
      <c r="N216" s="446" t="s">
        <v>2609</v>
      </c>
      <c r="O216" s="447">
        <v>5.0</v>
      </c>
    </row>
    <row r="217" ht="150.0" hidden="1" customHeight="1">
      <c r="A217" s="232">
        <v>2019.0</v>
      </c>
      <c r="B217" s="232" t="s">
        <v>298</v>
      </c>
      <c r="C217" s="232" t="s">
        <v>485</v>
      </c>
      <c r="D217" s="232" t="s">
        <v>815</v>
      </c>
      <c r="E217" s="232">
        <v>7.1220009E7</v>
      </c>
      <c r="F217" s="232" t="s">
        <v>488</v>
      </c>
      <c r="G217" s="232" t="s">
        <v>84</v>
      </c>
      <c r="H217" s="357">
        <v>250000.0</v>
      </c>
      <c r="I217" s="232" t="s">
        <v>389</v>
      </c>
      <c r="J217" s="232" t="s">
        <v>110</v>
      </c>
      <c r="K217" s="232" t="s">
        <v>1076</v>
      </c>
      <c r="L217" s="360" t="s">
        <v>2032</v>
      </c>
      <c r="M217" s="331" t="s">
        <v>1903</v>
      </c>
      <c r="N217" s="398" t="s">
        <v>2034</v>
      </c>
      <c r="O217" s="339">
        <v>21.0</v>
      </c>
    </row>
    <row r="218" hidden="1">
      <c r="A218" s="232">
        <v>2020.0</v>
      </c>
      <c r="B218" s="232" t="s">
        <v>298</v>
      </c>
      <c r="C218" s="232" t="s">
        <v>485</v>
      </c>
      <c r="D218" s="232" t="s">
        <v>815</v>
      </c>
      <c r="E218" s="601" t="s">
        <v>2615</v>
      </c>
      <c r="F218" s="232" t="s">
        <v>488</v>
      </c>
      <c r="G218" s="232" t="s">
        <v>84</v>
      </c>
      <c r="H218" s="357">
        <v>50000.0</v>
      </c>
      <c r="I218" s="232" t="s">
        <v>389</v>
      </c>
      <c r="J218" s="342" t="s">
        <v>110</v>
      </c>
      <c r="K218" s="474" t="s">
        <v>600</v>
      </c>
      <c r="L218" s="232" t="s">
        <v>2032</v>
      </c>
      <c r="M218" s="352"/>
      <c r="N218" s="354"/>
      <c r="O218" s="339">
        <v>70.0</v>
      </c>
    </row>
    <row r="219" hidden="1">
      <c r="A219" s="441">
        <v>2021.0</v>
      </c>
      <c r="B219" s="602" t="s">
        <v>298</v>
      </c>
      <c r="C219" s="441" t="s">
        <v>485</v>
      </c>
      <c r="D219" s="602" t="s">
        <v>1247</v>
      </c>
      <c r="E219" s="441">
        <v>4.1160002E7</v>
      </c>
      <c r="F219" s="441" t="s">
        <v>1087</v>
      </c>
      <c r="G219" s="441" t="s">
        <v>152</v>
      </c>
      <c r="H219" s="503">
        <v>100000.0</v>
      </c>
      <c r="I219" s="441" t="s">
        <v>1062</v>
      </c>
      <c r="J219" s="441" t="s">
        <v>1090</v>
      </c>
      <c r="K219" s="602" t="s">
        <v>1909</v>
      </c>
      <c r="L219" s="443" t="s">
        <v>2038</v>
      </c>
      <c r="M219" s="443"/>
      <c r="N219" s="446" t="s">
        <v>2618</v>
      </c>
      <c r="O219" s="447">
        <v>1.0</v>
      </c>
    </row>
    <row r="220" hidden="1">
      <c r="A220" s="232">
        <v>2020.0</v>
      </c>
      <c r="B220" s="232" t="s">
        <v>966</v>
      </c>
      <c r="C220" s="232" t="s">
        <v>14</v>
      </c>
      <c r="D220" s="232" t="s">
        <v>74</v>
      </c>
      <c r="E220" s="599">
        <v>4.1160001E7</v>
      </c>
      <c r="F220" s="232" t="s">
        <v>193</v>
      </c>
      <c r="G220" s="232" t="s">
        <v>84</v>
      </c>
      <c r="H220" s="357">
        <v>100000.0</v>
      </c>
      <c r="I220" s="232" t="s">
        <v>490</v>
      </c>
      <c r="J220" s="232" t="s">
        <v>110</v>
      </c>
      <c r="K220" s="232" t="s">
        <v>1138</v>
      </c>
      <c r="L220" s="360" t="s">
        <v>2043</v>
      </c>
      <c r="M220" s="331" t="s">
        <v>1217</v>
      </c>
      <c r="N220" s="354"/>
      <c r="O220" s="339">
        <v>102.0</v>
      </c>
    </row>
    <row r="221" hidden="1">
      <c r="A221" s="426">
        <v>2019.0</v>
      </c>
      <c r="B221" s="426" t="s">
        <v>973</v>
      </c>
      <c r="C221" s="426" t="s">
        <v>1065</v>
      </c>
      <c r="D221" s="426" t="s">
        <v>1491</v>
      </c>
      <c r="E221" s="593"/>
      <c r="F221" s="426" t="s">
        <v>151</v>
      </c>
      <c r="G221" s="426" t="s">
        <v>152</v>
      </c>
      <c r="H221" s="428">
        <v>140000.0</v>
      </c>
      <c r="I221" s="426" t="s">
        <v>560</v>
      </c>
      <c r="J221" s="426" t="s">
        <v>110</v>
      </c>
      <c r="K221" s="426" t="s">
        <v>1434</v>
      </c>
      <c r="L221" s="590" t="s">
        <v>1492</v>
      </c>
      <c r="M221" s="429" t="s">
        <v>1457</v>
      </c>
      <c r="N221" s="449"/>
      <c r="O221" s="432">
        <v>3.0</v>
      </c>
    </row>
    <row r="222" hidden="1">
      <c r="A222" s="232">
        <v>2020.0</v>
      </c>
      <c r="B222" s="232" t="s">
        <v>982</v>
      </c>
      <c r="C222" s="232" t="s">
        <v>485</v>
      </c>
      <c r="D222" s="232" t="s">
        <v>1221</v>
      </c>
      <c r="E222" s="232">
        <v>4.1160005E7</v>
      </c>
      <c r="F222" s="232" t="s">
        <v>488</v>
      </c>
      <c r="G222" s="232" t="s">
        <v>84</v>
      </c>
      <c r="H222" s="357">
        <v>100000.0</v>
      </c>
      <c r="I222" s="232" t="s">
        <v>490</v>
      </c>
      <c r="J222" s="232" t="s">
        <v>110</v>
      </c>
      <c r="K222" s="232" t="s">
        <v>491</v>
      </c>
      <c r="L222" s="360" t="s">
        <v>2048</v>
      </c>
      <c r="M222" s="331" t="s">
        <v>1223</v>
      </c>
      <c r="N222" s="398" t="s">
        <v>2049</v>
      </c>
      <c r="O222" s="339">
        <v>52.0</v>
      </c>
    </row>
    <row r="223" hidden="1">
      <c r="A223" s="437">
        <v>2021.0</v>
      </c>
      <c r="B223" s="438" t="s">
        <v>983</v>
      </c>
      <c r="C223" s="437" t="s">
        <v>485</v>
      </c>
      <c r="D223" s="438" t="s">
        <v>1687</v>
      </c>
      <c r="E223" s="441">
        <v>4.1160002E7</v>
      </c>
      <c r="F223" s="441" t="s">
        <v>1087</v>
      </c>
      <c r="G223" s="441" t="s">
        <v>152</v>
      </c>
      <c r="H223" s="440">
        <v>140000.0</v>
      </c>
      <c r="I223" s="441" t="s">
        <v>1062</v>
      </c>
      <c r="J223" s="437" t="s">
        <v>1090</v>
      </c>
      <c r="K223" s="438" t="s">
        <v>1688</v>
      </c>
      <c r="L223" s="439" t="s">
        <v>2053</v>
      </c>
      <c r="M223" s="443"/>
      <c r="N223" s="446" t="s">
        <v>2626</v>
      </c>
      <c r="O223" s="447"/>
    </row>
    <row r="224" hidden="1">
      <c r="A224" s="291">
        <v>2020.0</v>
      </c>
      <c r="B224" s="291" t="s">
        <v>796</v>
      </c>
      <c r="C224" s="291" t="s">
        <v>1065</v>
      </c>
      <c r="D224" s="291" t="s">
        <v>1286</v>
      </c>
      <c r="E224" s="410">
        <v>7.1220004E7</v>
      </c>
      <c r="F224" s="291" t="s">
        <v>151</v>
      </c>
      <c r="G224" s="291" t="s">
        <v>152</v>
      </c>
      <c r="H224" s="412">
        <v>137569.0</v>
      </c>
      <c r="I224" s="291" t="s">
        <v>389</v>
      </c>
      <c r="J224" s="291" t="s">
        <v>1067</v>
      </c>
      <c r="K224" s="291" t="s">
        <v>1287</v>
      </c>
      <c r="L224" s="415" t="s">
        <v>1798</v>
      </c>
      <c r="M224" s="172" t="s">
        <v>1509</v>
      </c>
      <c r="N224" s="416" t="s">
        <v>1289</v>
      </c>
      <c r="O224" s="295">
        <v>115.0</v>
      </c>
    </row>
    <row r="225" hidden="1">
      <c r="A225" s="204">
        <v>2021.0</v>
      </c>
      <c r="B225" s="204" t="s">
        <v>666</v>
      </c>
      <c r="C225" s="204" t="s">
        <v>1094</v>
      </c>
      <c r="D225" s="204" t="s">
        <v>1238</v>
      </c>
      <c r="E225" s="536">
        <v>4.1160001E7</v>
      </c>
      <c r="F225" s="212" t="s">
        <v>151</v>
      </c>
      <c r="G225" s="204" t="s">
        <v>152</v>
      </c>
      <c r="H225" s="434">
        <v>333333.0</v>
      </c>
      <c r="I225" s="212" t="s">
        <v>155</v>
      </c>
      <c r="J225" s="204"/>
      <c r="K225" s="542" t="s">
        <v>1218</v>
      </c>
      <c r="L225" s="547" t="s">
        <v>2066</v>
      </c>
      <c r="M225" s="313"/>
      <c r="N225" s="316" t="s">
        <v>2630</v>
      </c>
      <c r="O225" s="318">
        <v>131.0</v>
      </c>
    </row>
    <row r="226" hidden="1">
      <c r="A226" s="204">
        <v>2021.0</v>
      </c>
      <c r="B226" s="204" t="s">
        <v>198</v>
      </c>
      <c r="C226" s="204" t="s">
        <v>1094</v>
      </c>
      <c r="D226" s="204" t="s">
        <v>1242</v>
      </c>
      <c r="E226" s="536">
        <v>4.1160001E7</v>
      </c>
      <c r="F226" s="212" t="s">
        <v>151</v>
      </c>
      <c r="G226" s="204" t="s">
        <v>152</v>
      </c>
      <c r="H226" s="434">
        <v>333333.0</v>
      </c>
      <c r="I226" s="212" t="s">
        <v>155</v>
      </c>
      <c r="J226" s="204"/>
      <c r="K226" s="542" t="s">
        <v>1218</v>
      </c>
      <c r="L226" s="544" t="s">
        <v>2070</v>
      </c>
      <c r="M226" s="313"/>
      <c r="N226" s="316" t="s">
        <v>2632</v>
      </c>
      <c r="O226" s="318">
        <v>133.0</v>
      </c>
    </row>
    <row r="227" hidden="1">
      <c r="A227" s="212">
        <v>2021.0</v>
      </c>
      <c r="B227" s="212" t="s">
        <v>239</v>
      </c>
      <c r="C227" s="212" t="s">
        <v>251</v>
      </c>
      <c r="D227" s="212" t="s">
        <v>1295</v>
      </c>
      <c r="E227" s="433">
        <v>4.1160001E7</v>
      </c>
      <c r="F227" s="212" t="s">
        <v>151</v>
      </c>
      <c r="G227" s="212" t="s">
        <v>152</v>
      </c>
      <c r="H227" s="434">
        <v>26383.34</v>
      </c>
      <c r="I227" s="212" t="s">
        <v>155</v>
      </c>
      <c r="J227" s="212"/>
      <c r="K227" s="603" t="s">
        <v>267</v>
      </c>
      <c r="L227" s="212" t="s">
        <v>2076</v>
      </c>
      <c r="M227" s="313"/>
      <c r="N227" s="316" t="s">
        <v>2634</v>
      </c>
      <c r="O227" s="318">
        <v>136.0</v>
      </c>
    </row>
    <row r="228" hidden="1">
      <c r="A228" s="204">
        <v>2021.0</v>
      </c>
      <c r="B228" s="204" t="s">
        <v>1365</v>
      </c>
      <c r="C228" s="204" t="s">
        <v>291</v>
      </c>
      <c r="D228" s="204" t="s">
        <v>1366</v>
      </c>
      <c r="E228" s="536">
        <v>4.1160001E7</v>
      </c>
      <c r="F228" s="204" t="s">
        <v>151</v>
      </c>
      <c r="G228" s="204" t="s">
        <v>152</v>
      </c>
      <c r="H228" s="434">
        <v>400000.0</v>
      </c>
      <c r="I228" s="212" t="s">
        <v>155</v>
      </c>
      <c r="J228" s="204"/>
      <c r="K228" s="538" t="s">
        <v>1401</v>
      </c>
      <c r="L228" s="544" t="s">
        <v>2080</v>
      </c>
      <c r="M228" s="313"/>
      <c r="N228" s="316" t="s">
        <v>2638</v>
      </c>
      <c r="O228" s="318"/>
    </row>
    <row r="229" hidden="1">
      <c r="A229" s="212">
        <v>2021.0</v>
      </c>
      <c r="B229" s="212" t="s">
        <v>127</v>
      </c>
      <c r="C229" s="212" t="s">
        <v>251</v>
      </c>
      <c r="D229" s="583" t="s">
        <v>1358</v>
      </c>
      <c r="E229" s="433">
        <v>4.1160001E7</v>
      </c>
      <c r="F229" s="212" t="s">
        <v>151</v>
      </c>
      <c r="G229" s="212" t="s">
        <v>152</v>
      </c>
      <c r="H229" s="434">
        <v>186808.33</v>
      </c>
      <c r="I229" s="212" t="s">
        <v>155</v>
      </c>
      <c r="J229" s="212"/>
      <c r="K229" s="582" t="s">
        <v>267</v>
      </c>
      <c r="L229" s="583" t="s">
        <v>2085</v>
      </c>
      <c r="M229" s="313"/>
      <c r="N229" s="316" t="s">
        <v>2642</v>
      </c>
      <c r="O229" s="318">
        <v>130.0</v>
      </c>
    </row>
    <row r="230" hidden="1">
      <c r="A230" s="212">
        <v>2021.0</v>
      </c>
      <c r="B230" s="204" t="s">
        <v>1499</v>
      </c>
      <c r="C230" s="212" t="s">
        <v>1065</v>
      </c>
      <c r="D230" s="212" t="s">
        <v>1532</v>
      </c>
      <c r="E230" s="433">
        <v>4.1160001E7</v>
      </c>
      <c r="F230" s="212" t="s">
        <v>151</v>
      </c>
      <c r="G230" s="212" t="s">
        <v>152</v>
      </c>
      <c r="H230" s="434">
        <v>1000000.0</v>
      </c>
      <c r="I230" s="212" t="s">
        <v>155</v>
      </c>
      <c r="J230" s="169"/>
      <c r="K230" s="542" t="s">
        <v>1533</v>
      </c>
      <c r="L230" s="606"/>
      <c r="M230" s="607"/>
      <c r="N230" s="608" t="s">
        <v>2645</v>
      </c>
      <c r="O230" s="609"/>
    </row>
    <row r="231" hidden="1">
      <c r="A231" s="232">
        <v>2020.0</v>
      </c>
      <c r="B231" s="232" t="s">
        <v>219</v>
      </c>
      <c r="C231" s="232" t="s">
        <v>485</v>
      </c>
      <c r="D231" s="232" t="s">
        <v>641</v>
      </c>
      <c r="E231" s="417" t="s">
        <v>578</v>
      </c>
      <c r="F231" s="232" t="s">
        <v>488</v>
      </c>
      <c r="G231" s="232" t="s">
        <v>84</v>
      </c>
      <c r="H231" s="357">
        <v>50000.0</v>
      </c>
      <c r="I231" s="232" t="s">
        <v>389</v>
      </c>
      <c r="J231" s="342" t="s">
        <v>110</v>
      </c>
      <c r="K231" s="474" t="s">
        <v>600</v>
      </c>
      <c r="L231" s="418" t="s">
        <v>1802</v>
      </c>
      <c r="M231" s="352"/>
      <c r="N231" s="354"/>
      <c r="O231" s="339">
        <v>58.0</v>
      </c>
    </row>
    <row r="232" hidden="1">
      <c r="A232" s="204">
        <v>2022.0</v>
      </c>
      <c r="B232" s="306" t="s">
        <v>175</v>
      </c>
      <c r="C232" s="204" t="s">
        <v>220</v>
      </c>
      <c r="D232" s="385" t="s">
        <v>74</v>
      </c>
      <c r="E232" s="204">
        <v>4.1160002E7</v>
      </c>
      <c r="F232" s="204" t="s">
        <v>193</v>
      </c>
      <c r="G232" s="204" t="s">
        <v>84</v>
      </c>
      <c r="H232" s="495">
        <v>20000.0</v>
      </c>
      <c r="I232" s="212" t="s">
        <v>229</v>
      </c>
      <c r="J232" s="204" t="s">
        <v>1302</v>
      </c>
      <c r="K232" s="306" t="s">
        <v>234</v>
      </c>
      <c r="L232" s="610" t="s">
        <v>2103</v>
      </c>
      <c r="M232" s="313"/>
      <c r="N232" s="611"/>
      <c r="O232" s="313"/>
    </row>
    <row r="233" ht="45.0" hidden="1" customHeight="1">
      <c r="A233" s="204">
        <v>2022.0</v>
      </c>
      <c r="B233" s="306" t="s">
        <v>429</v>
      </c>
      <c r="C233" s="204" t="s">
        <v>220</v>
      </c>
      <c r="D233" s="385" t="s">
        <v>74</v>
      </c>
      <c r="E233" s="204">
        <v>4.1160002E7</v>
      </c>
      <c r="F233" s="204" t="s">
        <v>193</v>
      </c>
      <c r="G233" s="204" t="s">
        <v>84</v>
      </c>
      <c r="H233" s="308">
        <v>35000.0</v>
      </c>
      <c r="I233" s="212" t="s">
        <v>229</v>
      </c>
      <c r="J233" s="204" t="s">
        <v>1302</v>
      </c>
      <c r="K233" s="306" t="s">
        <v>438</v>
      </c>
      <c r="L233" s="311" t="s">
        <v>2107</v>
      </c>
      <c r="M233" s="313"/>
      <c r="N233" s="611"/>
      <c r="O233" s="313"/>
    </row>
    <row r="234" hidden="1">
      <c r="A234" s="204">
        <v>2021.0</v>
      </c>
      <c r="B234" s="612" t="s">
        <v>822</v>
      </c>
      <c r="C234" s="204" t="s">
        <v>220</v>
      </c>
      <c r="D234" s="613" t="s">
        <v>74</v>
      </c>
      <c r="E234" s="204">
        <v>4.1160002E7</v>
      </c>
      <c r="F234" s="204" t="s">
        <v>193</v>
      </c>
      <c r="G234" s="204" t="s">
        <v>84</v>
      </c>
      <c r="H234" s="614">
        <v>50000.0</v>
      </c>
      <c r="I234" s="212" t="s">
        <v>229</v>
      </c>
      <c r="J234" s="204" t="s">
        <v>1302</v>
      </c>
      <c r="K234" s="612" t="s">
        <v>835</v>
      </c>
      <c r="L234" s="311" t="s">
        <v>2109</v>
      </c>
      <c r="M234" s="313"/>
      <c r="N234" s="611"/>
      <c r="O234" s="313"/>
    </row>
    <row r="235" hidden="1">
      <c r="A235" s="615">
        <v>2021.0</v>
      </c>
      <c r="B235" s="616" t="s">
        <v>448</v>
      </c>
      <c r="C235" s="615" t="s">
        <v>485</v>
      </c>
      <c r="D235" s="616" t="s">
        <v>1324</v>
      </c>
      <c r="E235" s="617">
        <v>4.1160003E7</v>
      </c>
      <c r="F235" s="617" t="s">
        <v>488</v>
      </c>
      <c r="G235" s="617" t="s">
        <v>84</v>
      </c>
      <c r="H235" s="618">
        <v>114409.0</v>
      </c>
      <c r="I235" s="617" t="s">
        <v>1062</v>
      </c>
      <c r="J235" s="617" t="s">
        <v>1171</v>
      </c>
      <c r="K235" s="616" t="s">
        <v>1328</v>
      </c>
      <c r="L235" s="616"/>
      <c r="M235" s="619"/>
      <c r="N235" s="620"/>
      <c r="O235" s="621"/>
    </row>
    <row r="236" hidden="1">
      <c r="A236" s="615">
        <v>2021.0</v>
      </c>
      <c r="B236" s="616" t="s">
        <v>53</v>
      </c>
      <c r="C236" s="615" t="s">
        <v>485</v>
      </c>
      <c r="D236" s="616" t="s">
        <v>1651</v>
      </c>
      <c r="E236" s="617">
        <v>4.1160003E7</v>
      </c>
      <c r="F236" s="617" t="s">
        <v>488</v>
      </c>
      <c r="G236" s="617" t="s">
        <v>84</v>
      </c>
      <c r="H236" s="618">
        <v>136540.0</v>
      </c>
      <c r="I236" s="617" t="s">
        <v>1062</v>
      </c>
      <c r="J236" s="617" t="s">
        <v>1171</v>
      </c>
      <c r="K236" s="616" t="s">
        <v>1213</v>
      </c>
      <c r="L236" s="616"/>
      <c r="M236" s="619"/>
      <c r="N236" s="620"/>
      <c r="O236" s="621"/>
    </row>
    <row r="237" hidden="1">
      <c r="A237" s="615">
        <v>2021.0</v>
      </c>
      <c r="B237" s="616" t="s">
        <v>885</v>
      </c>
      <c r="C237" s="615" t="s">
        <v>485</v>
      </c>
      <c r="D237" s="616" t="s">
        <v>1647</v>
      </c>
      <c r="E237" s="617">
        <v>4.1160003E7</v>
      </c>
      <c r="F237" s="617" t="s">
        <v>488</v>
      </c>
      <c r="G237" s="617" t="s">
        <v>84</v>
      </c>
      <c r="H237" s="618">
        <v>136540.0</v>
      </c>
      <c r="I237" s="617" t="s">
        <v>1062</v>
      </c>
      <c r="J237" s="617" t="s">
        <v>1171</v>
      </c>
      <c r="K237" s="616" t="s">
        <v>1213</v>
      </c>
      <c r="L237" s="616"/>
      <c r="M237" s="619"/>
      <c r="N237" s="620"/>
      <c r="O237" s="621"/>
    </row>
    <row r="238" hidden="1">
      <c r="A238" s="615">
        <v>2021.0</v>
      </c>
      <c r="B238" s="616" t="s">
        <v>310</v>
      </c>
      <c r="C238" s="615" t="s">
        <v>485</v>
      </c>
      <c r="D238" s="616" t="s">
        <v>999</v>
      </c>
      <c r="E238" s="617">
        <v>4.1160003E7</v>
      </c>
      <c r="F238" s="617" t="s">
        <v>488</v>
      </c>
      <c r="G238" s="617" t="s">
        <v>84</v>
      </c>
      <c r="H238" s="618">
        <v>210000.0</v>
      </c>
      <c r="I238" s="617" t="s">
        <v>1062</v>
      </c>
      <c r="J238" s="617" t="s">
        <v>1171</v>
      </c>
      <c r="K238" s="616" t="s">
        <v>1569</v>
      </c>
      <c r="L238" s="616"/>
      <c r="M238" s="619"/>
      <c r="N238" s="620"/>
      <c r="O238" s="621"/>
    </row>
    <row r="239" hidden="1">
      <c r="A239" s="599">
        <v>2020.0</v>
      </c>
      <c r="B239" s="599" t="s">
        <v>219</v>
      </c>
      <c r="C239" s="599" t="s">
        <v>14</v>
      </c>
      <c r="D239" s="599" t="s">
        <v>74</v>
      </c>
      <c r="E239" s="599">
        <v>4.1160009E7</v>
      </c>
      <c r="F239" s="599" t="s">
        <v>488</v>
      </c>
      <c r="G239" s="599" t="s">
        <v>84</v>
      </c>
      <c r="H239" s="793">
        <v>100000.0</v>
      </c>
      <c r="I239" s="599" t="s">
        <v>490</v>
      </c>
      <c r="J239" s="794" t="s">
        <v>110</v>
      </c>
      <c r="K239" s="599" t="s">
        <v>1076</v>
      </c>
      <c r="L239" s="795" t="s">
        <v>1805</v>
      </c>
      <c r="M239" s="796" t="s">
        <v>1157</v>
      </c>
      <c r="N239" s="797" t="s">
        <v>1806</v>
      </c>
      <c r="O239" s="798">
        <v>94.0</v>
      </c>
    </row>
    <row r="240" hidden="1">
      <c r="A240" s="615">
        <v>2021.0</v>
      </c>
      <c r="B240" s="616" t="s">
        <v>54</v>
      </c>
      <c r="C240" s="615" t="s">
        <v>485</v>
      </c>
      <c r="D240" s="616" t="s">
        <v>1162</v>
      </c>
      <c r="E240" s="617">
        <v>4.1160003E7</v>
      </c>
      <c r="F240" s="617" t="s">
        <v>488</v>
      </c>
      <c r="G240" s="617" t="s">
        <v>84</v>
      </c>
      <c r="H240" s="618">
        <v>102000.0</v>
      </c>
      <c r="I240" s="617" t="s">
        <v>1062</v>
      </c>
      <c r="J240" s="617" t="s">
        <v>1171</v>
      </c>
      <c r="K240" s="616" t="s">
        <v>1172</v>
      </c>
      <c r="L240" s="616"/>
      <c r="M240" s="619"/>
      <c r="N240" s="620"/>
      <c r="O240" s="621"/>
    </row>
    <row r="241" ht="83.25" hidden="1" customHeight="1">
      <c r="A241" s="622">
        <v>2021.0</v>
      </c>
      <c r="B241" s="610" t="s">
        <v>842</v>
      </c>
      <c r="C241" s="622"/>
      <c r="D241" s="610"/>
      <c r="E241" s="623"/>
      <c r="F241" s="623"/>
      <c r="G241" s="623"/>
      <c r="H241" s="624">
        <v>200000.0</v>
      </c>
      <c r="I241" s="623" t="s">
        <v>1062</v>
      </c>
      <c r="J241" s="623"/>
      <c r="K241" s="610"/>
      <c r="L241" s="610"/>
      <c r="M241" s="548"/>
      <c r="N241" s="625"/>
      <c r="O241" s="626"/>
    </row>
    <row r="242" hidden="1">
      <c r="A242" s="204">
        <v>2022.0</v>
      </c>
      <c r="B242" s="311" t="s">
        <v>528</v>
      </c>
      <c r="C242" s="204" t="s">
        <v>485</v>
      </c>
      <c r="D242" s="311" t="s">
        <v>1285</v>
      </c>
      <c r="E242" s="212">
        <v>7120004.0</v>
      </c>
      <c r="F242" s="212" t="s">
        <v>488</v>
      </c>
      <c r="G242" s="212" t="s">
        <v>84</v>
      </c>
      <c r="H242" s="495">
        <v>100000.0</v>
      </c>
      <c r="I242" s="212" t="s">
        <v>1193</v>
      </c>
      <c r="J242" s="212" t="s">
        <v>1208</v>
      </c>
      <c r="K242" s="610" t="s">
        <v>1213</v>
      </c>
      <c r="L242" s="610"/>
      <c r="M242" s="548"/>
      <c r="N242" s="625"/>
      <c r="O242" s="626"/>
    </row>
    <row r="243" hidden="1">
      <c r="A243" s="437">
        <v>2022.0</v>
      </c>
      <c r="B243" s="439" t="s">
        <v>71</v>
      </c>
      <c r="C243" s="437" t="s">
        <v>485</v>
      </c>
      <c r="D243" s="439" t="s">
        <v>1187</v>
      </c>
      <c r="E243" s="212">
        <v>7120004.0</v>
      </c>
      <c r="F243" s="212" t="s">
        <v>488</v>
      </c>
      <c r="G243" s="212" t="s">
        <v>84</v>
      </c>
      <c r="H243" s="598">
        <v>300000.0</v>
      </c>
      <c r="I243" s="212" t="s">
        <v>1193</v>
      </c>
      <c r="J243" s="212" t="s">
        <v>1208</v>
      </c>
      <c r="K243" s="627"/>
      <c r="L243" s="628"/>
      <c r="M243" s="629"/>
      <c r="N243" s="630"/>
      <c r="O243" s="631"/>
    </row>
    <row r="244" hidden="1">
      <c r="A244" s="437">
        <v>2022.0</v>
      </c>
      <c r="B244" s="439" t="s">
        <v>646</v>
      </c>
      <c r="C244" s="437" t="s">
        <v>485</v>
      </c>
      <c r="D244" s="439" t="s">
        <v>652</v>
      </c>
      <c r="E244" s="212">
        <v>7120004.0</v>
      </c>
      <c r="F244" s="212" t="s">
        <v>488</v>
      </c>
      <c r="G244" s="212" t="s">
        <v>84</v>
      </c>
      <c r="H244" s="598">
        <v>150000.0</v>
      </c>
      <c r="I244" s="212" t="s">
        <v>1193</v>
      </c>
      <c r="J244" s="212" t="s">
        <v>1208</v>
      </c>
      <c r="K244" s="627"/>
      <c r="L244" s="628"/>
      <c r="M244" s="629"/>
      <c r="N244" s="630"/>
      <c r="O244" s="631"/>
    </row>
    <row r="245" hidden="1">
      <c r="A245" s="204">
        <v>2021.0</v>
      </c>
      <c r="B245" s="306" t="s">
        <v>798</v>
      </c>
      <c r="C245" s="204" t="s">
        <v>220</v>
      </c>
      <c r="D245" s="385" t="s">
        <v>74</v>
      </c>
      <c r="E245" s="401">
        <v>4.1160003E7</v>
      </c>
      <c r="F245" s="204" t="s">
        <v>488</v>
      </c>
      <c r="G245" s="204" t="s">
        <v>84</v>
      </c>
      <c r="H245" s="308">
        <v>350000.0</v>
      </c>
      <c r="I245" s="212" t="s">
        <v>1062</v>
      </c>
      <c r="J245" s="204" t="s">
        <v>1665</v>
      </c>
      <c r="K245" s="610" t="s">
        <v>1667</v>
      </c>
      <c r="L245" s="610" t="s">
        <v>1810</v>
      </c>
      <c r="M245" s="548"/>
      <c r="N245" s="625" t="s">
        <v>1811</v>
      </c>
      <c r="O245" s="626"/>
    </row>
    <row r="246" hidden="1">
      <c r="A246" s="437">
        <v>2021.0</v>
      </c>
      <c r="B246" s="438" t="s">
        <v>551</v>
      </c>
      <c r="C246" s="437" t="s">
        <v>485</v>
      </c>
      <c r="D246" s="438" t="s">
        <v>1871</v>
      </c>
      <c r="E246" s="441">
        <v>4.1160002E7</v>
      </c>
      <c r="F246" s="441" t="s">
        <v>1087</v>
      </c>
      <c r="G246" s="441" t="s">
        <v>152</v>
      </c>
      <c r="H246" s="440">
        <v>162480.0</v>
      </c>
      <c r="I246" s="441" t="s">
        <v>1062</v>
      </c>
      <c r="J246" s="441" t="s">
        <v>1090</v>
      </c>
      <c r="K246" s="627" t="s">
        <v>1873</v>
      </c>
      <c r="L246" s="628" t="s">
        <v>2098</v>
      </c>
      <c r="M246" s="629"/>
      <c r="N246" s="799" t="s">
        <v>2677</v>
      </c>
      <c r="O246" s="631">
        <v>10.0</v>
      </c>
    </row>
    <row r="247" hidden="1">
      <c r="A247" s="437">
        <v>2022.0</v>
      </c>
      <c r="B247" s="439" t="s">
        <v>338</v>
      </c>
      <c r="C247" s="437" t="s">
        <v>485</v>
      </c>
      <c r="D247" s="439" t="s">
        <v>1642</v>
      </c>
      <c r="E247" s="212">
        <v>7120004.0</v>
      </c>
      <c r="F247" s="212" t="s">
        <v>488</v>
      </c>
      <c r="G247" s="212" t="s">
        <v>84</v>
      </c>
      <c r="H247" s="598">
        <v>500000.0</v>
      </c>
      <c r="I247" s="212" t="s">
        <v>1193</v>
      </c>
      <c r="J247" s="441" t="s">
        <v>1208</v>
      </c>
      <c r="K247" s="627"/>
      <c r="L247" s="628"/>
      <c r="M247" s="629"/>
      <c r="N247" s="630"/>
      <c r="O247" s="631"/>
    </row>
    <row r="248" hidden="1">
      <c r="A248" s="437">
        <v>2022.0</v>
      </c>
      <c r="B248" s="439" t="s">
        <v>377</v>
      </c>
      <c r="C248" s="437" t="s">
        <v>485</v>
      </c>
      <c r="D248" s="439" t="s">
        <v>773</v>
      </c>
      <c r="E248" s="212">
        <v>7120004.0</v>
      </c>
      <c r="F248" s="212" t="s">
        <v>488</v>
      </c>
      <c r="G248" s="212" t="s">
        <v>84</v>
      </c>
      <c r="H248" s="598">
        <v>200000.0</v>
      </c>
      <c r="I248" s="212" t="s">
        <v>1193</v>
      </c>
      <c r="J248" s="441" t="s">
        <v>1208</v>
      </c>
      <c r="K248" s="627"/>
      <c r="L248" s="628"/>
      <c r="M248" s="629"/>
      <c r="N248" s="630"/>
      <c r="O248" s="631"/>
    </row>
    <row r="249" hidden="1">
      <c r="A249" s="437">
        <v>2022.0</v>
      </c>
      <c r="B249" s="439" t="s">
        <v>785</v>
      </c>
      <c r="C249" s="437" t="s">
        <v>485</v>
      </c>
      <c r="D249" s="439" t="s">
        <v>1653</v>
      </c>
      <c r="E249" s="212">
        <v>7120004.0</v>
      </c>
      <c r="F249" s="212" t="s">
        <v>488</v>
      </c>
      <c r="G249" s="212" t="s">
        <v>84</v>
      </c>
      <c r="H249" s="598">
        <v>200000.0</v>
      </c>
      <c r="I249" s="212" t="s">
        <v>1193</v>
      </c>
      <c r="J249" s="441" t="s">
        <v>1208</v>
      </c>
      <c r="K249" s="627"/>
      <c r="L249" s="628"/>
      <c r="M249" s="629"/>
      <c r="N249" s="630"/>
      <c r="O249" s="631"/>
    </row>
    <row r="250" hidden="1">
      <c r="A250" s="437">
        <v>2022.0</v>
      </c>
      <c r="B250" s="439" t="s">
        <v>473</v>
      </c>
      <c r="C250" s="437" t="s">
        <v>485</v>
      </c>
      <c r="D250" s="439" t="s">
        <v>1333</v>
      </c>
      <c r="E250" s="212">
        <v>7120004.0</v>
      </c>
      <c r="F250" s="212" t="s">
        <v>488</v>
      </c>
      <c r="G250" s="212" t="s">
        <v>84</v>
      </c>
      <c r="H250" s="598">
        <v>200000.0</v>
      </c>
      <c r="I250" s="212" t="s">
        <v>1193</v>
      </c>
      <c r="J250" s="441" t="s">
        <v>1584</v>
      </c>
      <c r="K250" s="627"/>
      <c r="L250" s="628"/>
      <c r="M250" s="629"/>
      <c r="N250" s="630"/>
      <c r="O250" s="631"/>
    </row>
    <row r="251">
      <c r="A251" s="437">
        <v>2022.0</v>
      </c>
      <c r="B251" s="439" t="s">
        <v>102</v>
      </c>
      <c r="C251" s="437" t="s">
        <v>485</v>
      </c>
      <c r="D251" s="439" t="s">
        <v>1480</v>
      </c>
      <c r="E251" s="212">
        <v>7120004.0</v>
      </c>
      <c r="F251" s="212" t="s">
        <v>488</v>
      </c>
      <c r="G251" s="212" t="s">
        <v>84</v>
      </c>
      <c r="H251" s="598">
        <v>106674.25</v>
      </c>
      <c r="I251" s="212" t="s">
        <v>1193</v>
      </c>
      <c r="J251" s="441" t="s">
        <v>1208</v>
      </c>
      <c r="K251" s="627"/>
      <c r="L251" s="628"/>
      <c r="M251" s="629"/>
      <c r="N251" s="630"/>
      <c r="O251" s="631"/>
    </row>
  </sheetData>
  <autoFilter ref="$A$1:$O$251">
    <filterColumn colId="1">
      <filters>
        <filter val="Dois Irmãos"/>
        <filter val="Caxias do Sul"/>
      </filters>
    </filterColumn>
    <sortState ref="A1:O251">
      <sortCondition ref="B1:B251"/>
      <sortCondition ref="I1:I251"/>
      <sortCondition ref="A1:A251"/>
      <sortCondition ref="E1:E251"/>
      <sortCondition descending="1" ref="C1:C251"/>
    </sortState>
  </autoFilter>
  <conditionalFormatting sqref="L73">
    <cfRule type="notContainsBlanks" dxfId="0" priority="1">
      <formula>LEN(TRIM(L73))&gt;0</formula>
    </cfRule>
  </conditionalFormatting>
  <hyperlinks>
    <hyperlink r:id="rId1" ref="N2"/>
    <hyperlink r:id="rId2" ref="N10"/>
    <hyperlink r:id="rId3" ref="N43"/>
    <hyperlink r:id="rId4" ref="N44"/>
    <hyperlink r:id="rId5" ref="N45"/>
    <hyperlink r:id="rId6" ref="N46"/>
    <hyperlink r:id="rId7" ref="N47"/>
    <hyperlink r:id="rId8" ref="N48"/>
    <hyperlink r:id="rId9" ref="N49"/>
    <hyperlink r:id="rId10" ref="N50"/>
    <hyperlink r:id="rId11" ref="N51"/>
    <hyperlink r:id="rId12" ref="N52"/>
    <hyperlink r:id="rId13" ref="N53"/>
    <hyperlink r:id="rId14" location="page=6" ref="E54"/>
    <hyperlink r:id="rId15" ref="N56"/>
    <hyperlink r:id="rId16" ref="N57"/>
    <hyperlink r:id="rId17" ref="N59"/>
    <hyperlink r:id="rId18" ref="N60"/>
    <hyperlink r:id="rId19" location="page=6" ref="E62"/>
    <hyperlink r:id="rId20" ref="N66"/>
    <hyperlink r:id="rId21" location="page=6" ref="E68"/>
    <hyperlink r:id="rId22" location="page=6" ref="E69"/>
    <hyperlink r:id="rId23" ref="N73"/>
    <hyperlink r:id="rId24" location="page=6" ref="E74"/>
    <hyperlink r:id="rId25" location="page=6" ref="E76"/>
    <hyperlink r:id="rId26" ref="N78"/>
    <hyperlink r:id="rId27" ref="N80"/>
    <hyperlink r:id="rId28" ref="N82"/>
    <hyperlink r:id="rId29" ref="N83"/>
    <hyperlink r:id="rId30" ref="N84"/>
    <hyperlink r:id="rId31" location="page=6" ref="E86"/>
    <hyperlink r:id="rId32" ref="N86"/>
    <hyperlink r:id="rId33" ref="N88"/>
    <hyperlink r:id="rId34" ref="N91"/>
    <hyperlink r:id="rId35" ref="N93"/>
    <hyperlink r:id="rId36" ref="N94"/>
    <hyperlink r:id="rId37" location="page=6" ref="E95"/>
    <hyperlink r:id="rId38" ref="N96"/>
    <hyperlink r:id="rId39" ref="N101"/>
    <hyperlink r:id="rId40" ref="N102"/>
    <hyperlink r:id="rId41" ref="N104"/>
    <hyperlink r:id="rId42" ref="N105"/>
    <hyperlink r:id="rId43" ref="N110"/>
    <hyperlink r:id="rId44" location="page=6" ref="E111"/>
    <hyperlink r:id="rId45" ref="N114"/>
    <hyperlink r:id="rId46" location="page=6" ref="E116"/>
    <hyperlink r:id="rId47" ref="N117"/>
    <hyperlink r:id="rId48" ref="N118"/>
    <hyperlink r:id="rId49" ref="N119"/>
    <hyperlink r:id="rId50" ref="N122"/>
    <hyperlink r:id="rId51" ref="N124"/>
    <hyperlink r:id="rId52" location="page=6" ref="E125"/>
    <hyperlink r:id="rId53" location="page=6" ref="E126"/>
    <hyperlink r:id="rId54" ref="N127"/>
    <hyperlink r:id="rId55" location="page=6" ref="E128"/>
    <hyperlink r:id="rId56" location="page=6" ref="E132"/>
    <hyperlink r:id="rId57" ref="N134"/>
    <hyperlink r:id="rId58" location="page=6" ref="E137"/>
    <hyperlink r:id="rId59" ref="N138"/>
    <hyperlink r:id="rId60" ref="N139"/>
    <hyperlink r:id="rId61" location="page=6" ref="E140"/>
    <hyperlink r:id="rId62" ref="N141"/>
    <hyperlink r:id="rId63" ref="N144"/>
    <hyperlink r:id="rId64" ref="N145"/>
    <hyperlink r:id="rId65" location="page=6" ref="E147"/>
    <hyperlink r:id="rId66" ref="N148"/>
    <hyperlink r:id="rId67" ref="N149"/>
    <hyperlink r:id="rId68" location="page=6" ref="E150"/>
    <hyperlink r:id="rId69" ref="N151"/>
    <hyperlink r:id="rId70" ref="N152"/>
    <hyperlink r:id="rId71" ref="N153"/>
    <hyperlink r:id="rId72" location="page=6" ref="E154"/>
    <hyperlink r:id="rId73" location="page=6" ref="E158"/>
    <hyperlink r:id="rId74" ref="N159"/>
    <hyperlink r:id="rId75" ref="N160"/>
    <hyperlink r:id="rId76" ref="N161"/>
    <hyperlink r:id="rId77" ref="N162"/>
    <hyperlink r:id="rId78" ref="N163"/>
    <hyperlink r:id="rId79" ref="N167"/>
    <hyperlink r:id="rId80" ref="N168"/>
    <hyperlink r:id="rId81" ref="N169"/>
    <hyperlink r:id="rId82" ref="N170"/>
    <hyperlink r:id="rId83" ref="N171"/>
    <hyperlink r:id="rId84" ref="N172"/>
    <hyperlink r:id="rId85" ref="N173"/>
    <hyperlink r:id="rId86" ref="N174"/>
    <hyperlink r:id="rId87" ref="N175"/>
    <hyperlink r:id="rId88" ref="N176"/>
    <hyperlink r:id="rId89" ref="N177"/>
    <hyperlink r:id="rId90" ref="N178"/>
    <hyperlink r:id="rId91" location="page=6" ref="E179"/>
    <hyperlink r:id="rId92" location="page=6" ref="E181"/>
    <hyperlink r:id="rId93" location="page=6" ref="E183"/>
    <hyperlink r:id="rId94" ref="N185"/>
    <hyperlink r:id="rId95" ref="N186"/>
    <hyperlink r:id="rId96" ref="N187"/>
    <hyperlink r:id="rId97" ref="N188"/>
    <hyperlink r:id="rId98" ref="N189"/>
    <hyperlink r:id="rId99" ref="N191"/>
    <hyperlink r:id="rId100" location="page=6" ref="E193"/>
    <hyperlink r:id="rId101" ref="N196"/>
    <hyperlink r:id="rId102" ref="N197"/>
    <hyperlink r:id="rId103" ref="N199"/>
    <hyperlink r:id="rId104" ref="N200"/>
    <hyperlink r:id="rId105" location="page=6" ref="E201"/>
    <hyperlink r:id="rId106" ref="N201"/>
    <hyperlink r:id="rId107" ref="N202"/>
    <hyperlink r:id="rId108" ref="N203"/>
    <hyperlink r:id="rId109" location="page=6" ref="E205"/>
    <hyperlink r:id="rId110" location="page=6" ref="E207"/>
    <hyperlink r:id="rId111" location="page=6" ref="E209"/>
    <hyperlink r:id="rId112" location="page=6" ref="E215"/>
    <hyperlink r:id="rId113" ref="N216"/>
    <hyperlink r:id="rId114" ref="N217"/>
    <hyperlink r:id="rId115" location="page=6" ref="E218"/>
    <hyperlink r:id="rId116" ref="N219"/>
    <hyperlink r:id="rId117" ref="N222"/>
    <hyperlink r:id="rId118" ref="N223"/>
    <hyperlink r:id="rId119" ref="N225"/>
    <hyperlink r:id="rId120" ref="N226"/>
    <hyperlink r:id="rId121" ref="N227"/>
    <hyperlink r:id="rId122" ref="N228"/>
    <hyperlink r:id="rId123" ref="N229"/>
    <hyperlink r:id="rId124" ref="N230"/>
    <hyperlink r:id="rId125" location="page=6" ref="E231"/>
    <hyperlink r:id="rId126" ref="N239"/>
    <hyperlink r:id="rId127" ref="N246"/>
  </hyperlinks>
  <printOptions gridLines="1" horizontalCentered="1"/>
  <pageMargins bottom="0.75" footer="0.0" header="0.0" left="0.7" right="0.7" top="0.75"/>
  <pageSetup fitToHeight="0" paperSize="9" cellComments="atEnd" orientation="landscape" pageOrder="overThenDown"/>
  <drawing r:id="rId1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24.5"/>
    <col customWidth="1" min="3" max="3" width="14.13"/>
    <col customWidth="1" min="4" max="4" width="26.38"/>
    <col customWidth="1" min="5" max="5" width="14.88"/>
    <col customWidth="1" min="6" max="6" width="22.38"/>
    <col customWidth="1" min="7" max="7" width="12.63"/>
    <col customWidth="1" min="8" max="8" width="17.75"/>
    <col customWidth="1" min="9" max="9" width="16.38"/>
    <col customWidth="1" min="10" max="10" width="13.38"/>
    <col customWidth="1" min="11" max="11" width="27.0"/>
    <col customWidth="1" min="12" max="12" width="32.63"/>
    <col customWidth="1" min="13" max="13" width="61.75"/>
    <col customWidth="1" min="14" max="14" width="36.5"/>
    <col customWidth="1" min="15" max="15" width="9.75"/>
  </cols>
  <sheetData>
    <row r="1">
      <c r="A1" s="640" t="s">
        <v>1910</v>
      </c>
      <c r="B1" s="641" t="s">
        <v>14</v>
      </c>
      <c r="C1" s="641" t="s">
        <v>11</v>
      </c>
      <c r="D1" s="641" t="s">
        <v>16</v>
      </c>
      <c r="E1" s="641" t="s">
        <v>2178</v>
      </c>
      <c r="F1" s="640" t="s">
        <v>24</v>
      </c>
      <c r="G1" s="640" t="s">
        <v>29</v>
      </c>
      <c r="H1" s="640" t="s">
        <v>32</v>
      </c>
      <c r="I1" s="641" t="s">
        <v>39</v>
      </c>
      <c r="J1" s="641" t="s">
        <v>41</v>
      </c>
      <c r="K1" s="641" t="s">
        <v>43</v>
      </c>
      <c r="L1" s="641" t="s">
        <v>10</v>
      </c>
      <c r="M1" s="642" t="s">
        <v>1042</v>
      </c>
      <c r="N1" s="642" t="s">
        <v>1088</v>
      </c>
      <c r="O1" s="643" t="s">
        <v>1044</v>
      </c>
    </row>
    <row r="2">
      <c r="A2" s="644">
        <v>2021.0</v>
      </c>
      <c r="B2" s="645" t="s">
        <v>62</v>
      </c>
      <c r="C2" s="644" t="s">
        <v>485</v>
      </c>
      <c r="D2" s="645" t="s">
        <v>1180</v>
      </c>
      <c r="E2" s="646">
        <v>4.1160002E7</v>
      </c>
      <c r="F2" s="646" t="s">
        <v>1087</v>
      </c>
      <c r="G2" s="646" t="s">
        <v>152</v>
      </c>
      <c r="H2" s="647">
        <v>100000.0</v>
      </c>
      <c r="I2" s="646" t="s">
        <v>1062</v>
      </c>
      <c r="J2" s="646" t="s">
        <v>1090</v>
      </c>
      <c r="K2" s="645" t="s">
        <v>1184</v>
      </c>
      <c r="L2" s="649" t="s">
        <v>1400</v>
      </c>
      <c r="M2" s="650"/>
      <c r="N2" s="651" t="s">
        <v>2186</v>
      </c>
      <c r="O2" s="650">
        <v>9.0</v>
      </c>
    </row>
    <row r="3">
      <c r="A3" s="652">
        <v>2021.0</v>
      </c>
      <c r="B3" s="653" t="s">
        <v>175</v>
      </c>
      <c r="C3" s="652"/>
      <c r="D3" s="654" t="s">
        <v>74</v>
      </c>
      <c r="E3" s="655"/>
      <c r="F3" s="652"/>
      <c r="G3" s="652"/>
      <c r="H3" s="654">
        <v>18000.0</v>
      </c>
      <c r="I3" s="656" t="s">
        <v>1062</v>
      </c>
      <c r="J3" s="652"/>
      <c r="K3" s="653" t="s">
        <v>234</v>
      </c>
      <c r="L3" s="616" t="s">
        <v>2103</v>
      </c>
      <c r="M3" s="657"/>
      <c r="N3" s="658"/>
      <c r="O3" s="657"/>
    </row>
    <row r="4">
      <c r="A4" s="644">
        <v>2021.0</v>
      </c>
      <c r="B4" s="645" t="s">
        <v>410</v>
      </c>
      <c r="C4" s="644" t="s">
        <v>220</v>
      </c>
      <c r="D4" s="647" t="s">
        <v>74</v>
      </c>
      <c r="E4" s="646">
        <v>4.1160002E7</v>
      </c>
      <c r="F4" s="646" t="s">
        <v>1087</v>
      </c>
      <c r="G4" s="646" t="s">
        <v>152</v>
      </c>
      <c r="H4" s="647">
        <v>245000.0</v>
      </c>
      <c r="I4" s="646" t="s">
        <v>1062</v>
      </c>
      <c r="J4" s="644" t="s">
        <v>1303</v>
      </c>
      <c r="K4" s="659" t="s">
        <v>1304</v>
      </c>
      <c r="L4" s="649" t="s">
        <v>1511</v>
      </c>
      <c r="M4" s="650"/>
      <c r="N4" s="651" t="s">
        <v>2195</v>
      </c>
      <c r="O4" s="650"/>
    </row>
    <row r="5">
      <c r="A5" s="644">
        <v>2021.0</v>
      </c>
      <c r="B5" s="645" t="s">
        <v>76</v>
      </c>
      <c r="C5" s="644" t="s">
        <v>485</v>
      </c>
      <c r="D5" s="645" t="s">
        <v>1310</v>
      </c>
      <c r="E5" s="646">
        <v>4.1160002E7</v>
      </c>
      <c r="F5" s="646" t="s">
        <v>1087</v>
      </c>
      <c r="G5" s="646" t="s">
        <v>152</v>
      </c>
      <c r="H5" s="647">
        <v>140000.0</v>
      </c>
      <c r="I5" s="646" t="s">
        <v>1062</v>
      </c>
      <c r="J5" s="646" t="s">
        <v>1090</v>
      </c>
      <c r="K5" s="645" t="s">
        <v>1312</v>
      </c>
      <c r="L5" s="649" t="s">
        <v>2202</v>
      </c>
      <c r="M5" s="650"/>
      <c r="N5" s="651" t="s">
        <v>2204</v>
      </c>
      <c r="O5" s="650">
        <v>4.0</v>
      </c>
    </row>
    <row r="6">
      <c r="A6" s="644">
        <v>2021.0</v>
      </c>
      <c r="B6" s="645" t="s">
        <v>76</v>
      </c>
      <c r="C6" s="644" t="s">
        <v>1313</v>
      </c>
      <c r="D6" s="645" t="s">
        <v>1314</v>
      </c>
      <c r="E6" s="660">
        <v>4.1160003E7</v>
      </c>
      <c r="F6" s="644" t="s">
        <v>488</v>
      </c>
      <c r="G6" s="644" t="s">
        <v>84</v>
      </c>
      <c r="H6" s="647">
        <v>1000000.0</v>
      </c>
      <c r="I6" s="646" t="s">
        <v>1062</v>
      </c>
      <c r="J6" s="644" t="s">
        <v>1315</v>
      </c>
      <c r="K6" s="659" t="s">
        <v>1316</v>
      </c>
      <c r="L6" s="649" t="s">
        <v>1542</v>
      </c>
      <c r="M6" s="650"/>
      <c r="N6" s="661" t="s">
        <v>1544</v>
      </c>
      <c r="O6" s="650"/>
    </row>
    <row r="7">
      <c r="A7" s="652">
        <v>2021.0</v>
      </c>
      <c r="B7" s="653" t="s">
        <v>429</v>
      </c>
      <c r="C7" s="652"/>
      <c r="D7" s="654" t="s">
        <v>74</v>
      </c>
      <c r="E7" s="655"/>
      <c r="F7" s="652"/>
      <c r="G7" s="652"/>
      <c r="H7" s="654">
        <v>35000.0</v>
      </c>
      <c r="I7" s="656" t="s">
        <v>1062</v>
      </c>
      <c r="J7" s="652"/>
      <c r="K7" s="653" t="s">
        <v>438</v>
      </c>
      <c r="L7" s="662" t="s">
        <v>2107</v>
      </c>
      <c r="M7" s="657"/>
      <c r="N7" s="658"/>
      <c r="O7" s="657"/>
    </row>
    <row r="8">
      <c r="A8" s="644">
        <v>2021.0</v>
      </c>
      <c r="B8" s="645" t="s">
        <v>544</v>
      </c>
      <c r="C8" s="644"/>
      <c r="D8" s="645" t="s">
        <v>1381</v>
      </c>
      <c r="E8" s="660">
        <v>4.1160003E7</v>
      </c>
      <c r="F8" s="644" t="s">
        <v>488</v>
      </c>
      <c r="G8" s="644" t="s">
        <v>84</v>
      </c>
      <c r="H8" s="647">
        <v>400000.0</v>
      </c>
      <c r="I8" s="646" t="s">
        <v>1062</v>
      </c>
      <c r="J8" s="644" t="s">
        <v>1315</v>
      </c>
      <c r="K8" s="659" t="s">
        <v>1383</v>
      </c>
      <c r="L8" s="649" t="s">
        <v>1591</v>
      </c>
      <c r="M8" s="650"/>
      <c r="N8" s="661" t="s">
        <v>1592</v>
      </c>
      <c r="O8" s="650"/>
    </row>
    <row r="9">
      <c r="A9" s="644">
        <v>2021.0</v>
      </c>
      <c r="B9" s="645" t="s">
        <v>549</v>
      </c>
      <c r="C9" s="644" t="s">
        <v>485</v>
      </c>
      <c r="D9" s="645" t="s">
        <v>1384</v>
      </c>
      <c r="E9" s="644">
        <v>4.1160002E7</v>
      </c>
      <c r="F9" s="644" t="s">
        <v>1087</v>
      </c>
      <c r="G9" s="644" t="s">
        <v>152</v>
      </c>
      <c r="H9" s="647">
        <v>250000.0</v>
      </c>
      <c r="I9" s="646" t="s">
        <v>1062</v>
      </c>
      <c r="J9" s="644"/>
      <c r="K9" s="645" t="s">
        <v>1386</v>
      </c>
      <c r="L9" s="649"/>
      <c r="M9" s="650"/>
      <c r="N9" s="661" t="s">
        <v>1594</v>
      </c>
      <c r="O9" s="650"/>
    </row>
    <row r="10">
      <c r="A10" s="644">
        <v>2021.0</v>
      </c>
      <c r="B10" s="645" t="s">
        <v>607</v>
      </c>
      <c r="C10" s="644" t="s">
        <v>485</v>
      </c>
      <c r="D10" s="659" t="s">
        <v>1442</v>
      </c>
      <c r="E10" s="644">
        <v>4.1160002E7</v>
      </c>
      <c r="F10" s="644" t="s">
        <v>1087</v>
      </c>
      <c r="G10" s="644" t="s">
        <v>152</v>
      </c>
      <c r="H10" s="647">
        <v>141478.98</v>
      </c>
      <c r="I10" s="646" t="s">
        <v>1062</v>
      </c>
      <c r="J10" s="644" t="s">
        <v>265</v>
      </c>
      <c r="K10" s="645" t="s">
        <v>1445</v>
      </c>
      <c r="L10" s="649" t="s">
        <v>1631</v>
      </c>
      <c r="M10" s="650"/>
      <c r="N10" s="651" t="s">
        <v>2214</v>
      </c>
      <c r="O10" s="650"/>
    </row>
    <row r="11">
      <c r="A11" s="652">
        <v>2021.0</v>
      </c>
      <c r="B11" s="653" t="s">
        <v>632</v>
      </c>
      <c r="C11" s="652"/>
      <c r="D11" s="654" t="s">
        <v>74</v>
      </c>
      <c r="E11" s="655"/>
      <c r="F11" s="652"/>
      <c r="G11" s="652"/>
      <c r="H11" s="654">
        <v>170000.0</v>
      </c>
      <c r="I11" s="656" t="s">
        <v>1062</v>
      </c>
      <c r="J11" s="652"/>
      <c r="K11" s="653" t="s">
        <v>2216</v>
      </c>
      <c r="L11" s="662" t="s">
        <v>2217</v>
      </c>
      <c r="M11" s="657"/>
      <c r="N11" s="658"/>
      <c r="O11" s="657"/>
    </row>
    <row r="12">
      <c r="A12" s="644">
        <v>2021.0</v>
      </c>
      <c r="B12" s="645" t="s">
        <v>198</v>
      </c>
      <c r="C12" s="644" t="s">
        <v>485</v>
      </c>
      <c r="D12" s="659" t="s">
        <v>1613</v>
      </c>
      <c r="E12" s="644">
        <v>4.1160002E7</v>
      </c>
      <c r="F12" s="644" t="s">
        <v>1087</v>
      </c>
      <c r="G12" s="644" t="s">
        <v>152</v>
      </c>
      <c r="H12" s="647">
        <v>570714.02</v>
      </c>
      <c r="I12" s="646" t="s">
        <v>1062</v>
      </c>
      <c r="J12" s="644" t="s">
        <v>1614</v>
      </c>
      <c r="K12" s="645" t="s">
        <v>1615</v>
      </c>
      <c r="L12" s="649" t="s">
        <v>2220</v>
      </c>
      <c r="M12" s="650"/>
      <c r="N12" s="651" t="s">
        <v>2221</v>
      </c>
      <c r="O12" s="650"/>
    </row>
    <row r="13">
      <c r="A13" s="644">
        <v>2021.0</v>
      </c>
      <c r="B13" s="645" t="s">
        <v>115</v>
      </c>
      <c r="C13" s="644" t="s">
        <v>220</v>
      </c>
      <c r="D13" s="647" t="s">
        <v>74</v>
      </c>
      <c r="E13" s="644">
        <v>4.1160002E7</v>
      </c>
      <c r="F13" s="644" t="s">
        <v>1087</v>
      </c>
      <c r="G13" s="644" t="s">
        <v>152</v>
      </c>
      <c r="H13" s="663">
        <v>146165.0</v>
      </c>
      <c r="I13" s="646" t="s">
        <v>1062</v>
      </c>
      <c r="J13" s="644" t="s">
        <v>1303</v>
      </c>
      <c r="K13" s="659" t="s">
        <v>1635</v>
      </c>
      <c r="L13" s="649" t="s">
        <v>2224</v>
      </c>
      <c r="M13" s="650"/>
      <c r="N13" s="651" t="s">
        <v>2225</v>
      </c>
      <c r="O13" s="650">
        <v>11.0</v>
      </c>
    </row>
    <row r="14">
      <c r="A14" s="644">
        <v>2021.0</v>
      </c>
      <c r="B14" s="645" t="s">
        <v>593</v>
      </c>
      <c r="C14" s="644"/>
      <c r="D14" s="645" t="s">
        <v>1495</v>
      </c>
      <c r="E14" s="664"/>
      <c r="F14" s="644"/>
      <c r="G14" s="644"/>
      <c r="H14" s="647">
        <v>400000.0</v>
      </c>
      <c r="I14" s="646" t="s">
        <v>1062</v>
      </c>
      <c r="J14" s="644" t="s">
        <v>1648</v>
      </c>
      <c r="K14" s="659" t="s">
        <v>1649</v>
      </c>
      <c r="L14" s="649" t="s">
        <v>1782</v>
      </c>
      <c r="M14" s="650"/>
      <c r="N14" s="661"/>
      <c r="O14" s="650"/>
    </row>
    <row r="15">
      <c r="A15" s="644">
        <v>2021.0</v>
      </c>
      <c r="B15" s="645" t="s">
        <v>798</v>
      </c>
      <c r="C15" s="644" t="s">
        <v>220</v>
      </c>
      <c r="D15" s="647" t="s">
        <v>74</v>
      </c>
      <c r="E15" s="660">
        <v>4.1160003E7</v>
      </c>
      <c r="F15" s="644" t="s">
        <v>488</v>
      </c>
      <c r="G15" s="644" t="s">
        <v>84</v>
      </c>
      <c r="H15" s="647">
        <v>350000.0</v>
      </c>
      <c r="I15" s="646" t="s">
        <v>1062</v>
      </c>
      <c r="J15" s="644" t="s">
        <v>1665</v>
      </c>
      <c r="K15" s="659" t="s">
        <v>1667</v>
      </c>
      <c r="L15" s="649" t="s">
        <v>1810</v>
      </c>
      <c r="M15" s="650"/>
      <c r="N15" s="661" t="s">
        <v>1811</v>
      </c>
      <c r="O15" s="650"/>
    </row>
    <row r="16">
      <c r="A16" s="437">
        <v>2021.0</v>
      </c>
      <c r="B16" s="665" t="s">
        <v>807</v>
      </c>
      <c r="C16" s="437"/>
      <c r="D16" s="665" t="s">
        <v>2231</v>
      </c>
      <c r="E16" s="666"/>
      <c r="F16" s="437"/>
      <c r="G16" s="437"/>
      <c r="H16" s="667">
        <v>148000.0</v>
      </c>
      <c r="I16" s="441" t="s">
        <v>1062</v>
      </c>
      <c r="J16" s="437"/>
      <c r="K16" s="665" t="s">
        <v>2235</v>
      </c>
      <c r="L16" s="439" t="s">
        <v>2237</v>
      </c>
      <c r="M16" s="443"/>
      <c r="N16" s="668"/>
      <c r="O16" s="443"/>
    </row>
    <row r="17">
      <c r="A17" s="644">
        <v>2021.0</v>
      </c>
      <c r="B17" s="645" t="s">
        <v>816</v>
      </c>
      <c r="C17" s="644"/>
      <c r="D17" s="645" t="s">
        <v>1495</v>
      </c>
      <c r="E17" s="646">
        <v>4.1160002E7</v>
      </c>
      <c r="F17" s="646" t="s">
        <v>1087</v>
      </c>
      <c r="G17" s="646" t="s">
        <v>152</v>
      </c>
      <c r="H17" s="647">
        <v>105000.0</v>
      </c>
      <c r="I17" s="646" t="s">
        <v>1062</v>
      </c>
      <c r="J17" s="646" t="s">
        <v>1090</v>
      </c>
      <c r="K17" s="645" t="s">
        <v>1498</v>
      </c>
      <c r="L17" s="649" t="s">
        <v>1840</v>
      </c>
      <c r="M17" s="650"/>
      <c r="N17" s="651" t="s">
        <v>2239</v>
      </c>
      <c r="O17" s="650">
        <v>3.0</v>
      </c>
    </row>
    <row r="18">
      <c r="A18" s="437">
        <v>2021.0</v>
      </c>
      <c r="B18" s="665" t="s">
        <v>821</v>
      </c>
      <c r="C18" s="437" t="s">
        <v>485</v>
      </c>
      <c r="D18" s="665" t="s">
        <v>2241</v>
      </c>
      <c r="E18" s="646">
        <v>4.1160002E7</v>
      </c>
      <c r="F18" s="646" t="s">
        <v>1087</v>
      </c>
      <c r="G18" s="646" t="s">
        <v>152</v>
      </c>
      <c r="H18" s="667">
        <v>200000.0</v>
      </c>
      <c r="I18" s="441" t="s">
        <v>1062</v>
      </c>
      <c r="J18" s="437" t="s">
        <v>2242</v>
      </c>
      <c r="K18" s="665" t="s">
        <v>2243</v>
      </c>
      <c r="L18" s="439" t="s">
        <v>2244</v>
      </c>
      <c r="M18" s="443"/>
      <c r="N18" s="675" t="s">
        <v>2245</v>
      </c>
      <c r="O18" s="443"/>
    </row>
    <row r="19">
      <c r="A19" s="644">
        <v>2021.0</v>
      </c>
      <c r="B19" s="645" t="s">
        <v>245</v>
      </c>
      <c r="C19" s="644" t="s">
        <v>220</v>
      </c>
      <c r="D19" s="647" t="s">
        <v>74</v>
      </c>
      <c r="E19" s="660">
        <v>4.1160003E7</v>
      </c>
      <c r="F19" s="644" t="s">
        <v>488</v>
      </c>
      <c r="G19" s="644" t="s">
        <v>84</v>
      </c>
      <c r="H19" s="647">
        <v>80000.0</v>
      </c>
      <c r="I19" s="646" t="s">
        <v>1062</v>
      </c>
      <c r="J19" s="644"/>
      <c r="K19" s="659" t="s">
        <v>1063</v>
      </c>
      <c r="L19" s="649" t="s">
        <v>2248</v>
      </c>
      <c r="M19" s="650"/>
      <c r="N19" s="661" t="s">
        <v>1877</v>
      </c>
      <c r="O19" s="650"/>
    </row>
    <row r="20">
      <c r="A20" s="646">
        <v>2021.0</v>
      </c>
      <c r="B20" s="676" t="s">
        <v>127</v>
      </c>
      <c r="C20" s="646" t="s">
        <v>485</v>
      </c>
      <c r="D20" s="677" t="s">
        <v>1086</v>
      </c>
      <c r="E20" s="646">
        <v>4.1160002E7</v>
      </c>
      <c r="F20" s="646" t="s">
        <v>1087</v>
      </c>
      <c r="G20" s="646" t="s">
        <v>152</v>
      </c>
      <c r="H20" s="678">
        <v>987650.0</v>
      </c>
      <c r="I20" s="646" t="s">
        <v>1062</v>
      </c>
      <c r="J20" s="646" t="s">
        <v>1090</v>
      </c>
      <c r="K20" s="676" t="s">
        <v>1091</v>
      </c>
      <c r="L20" s="679" t="s">
        <v>1914</v>
      </c>
      <c r="M20" s="650"/>
      <c r="N20" s="651" t="s">
        <v>2251</v>
      </c>
      <c r="O20" s="650">
        <v>2.0</v>
      </c>
    </row>
    <row r="21">
      <c r="A21" s="644">
        <v>2021.0</v>
      </c>
      <c r="B21" s="645" t="s">
        <v>127</v>
      </c>
      <c r="C21" s="644" t="s">
        <v>485</v>
      </c>
      <c r="D21" s="645" t="s">
        <v>1233</v>
      </c>
      <c r="E21" s="646">
        <v>4.1160002E7</v>
      </c>
      <c r="F21" s="646" t="s">
        <v>1087</v>
      </c>
      <c r="G21" s="646" t="s">
        <v>152</v>
      </c>
      <c r="H21" s="680">
        <v>100000.0</v>
      </c>
      <c r="I21" s="646" t="s">
        <v>1062</v>
      </c>
      <c r="J21" s="646" t="s">
        <v>1090</v>
      </c>
      <c r="K21" s="659" t="s">
        <v>1235</v>
      </c>
      <c r="L21" s="649" t="s">
        <v>1917</v>
      </c>
      <c r="M21" s="650"/>
      <c r="N21" s="651" t="s">
        <v>2253</v>
      </c>
      <c r="O21" s="650">
        <v>7.0</v>
      </c>
    </row>
    <row r="22" ht="120.75" customHeight="1">
      <c r="A22" s="681">
        <v>2021.0</v>
      </c>
      <c r="B22" s="682" t="s">
        <v>842</v>
      </c>
      <c r="C22" s="681" t="s">
        <v>485</v>
      </c>
      <c r="D22" s="683" t="s">
        <v>2256</v>
      </c>
      <c r="E22" s="684"/>
      <c r="F22" s="681"/>
      <c r="G22" s="681"/>
      <c r="H22" s="685">
        <v>200000.0</v>
      </c>
      <c r="I22" s="686" t="s">
        <v>1062</v>
      </c>
      <c r="J22" s="681" t="s">
        <v>1315</v>
      </c>
      <c r="K22" s="683" t="s">
        <v>1208</v>
      </c>
      <c r="L22" s="687" t="s">
        <v>2259</v>
      </c>
      <c r="M22" s="688"/>
      <c r="N22" s="689"/>
      <c r="O22" s="688"/>
    </row>
    <row r="23">
      <c r="A23" s="644">
        <v>2021.0</v>
      </c>
      <c r="B23" s="645" t="s">
        <v>879</v>
      </c>
      <c r="C23" s="644" t="s">
        <v>485</v>
      </c>
      <c r="D23" s="645" t="s">
        <v>1789</v>
      </c>
      <c r="E23" s="646">
        <v>4.1160002E7</v>
      </c>
      <c r="F23" s="646" t="s">
        <v>1087</v>
      </c>
      <c r="G23" s="646" t="s">
        <v>152</v>
      </c>
      <c r="H23" s="647">
        <v>250000.0</v>
      </c>
      <c r="I23" s="646" t="s">
        <v>1062</v>
      </c>
      <c r="J23" s="646" t="s">
        <v>1090</v>
      </c>
      <c r="K23" s="645" t="s">
        <v>1797</v>
      </c>
      <c r="L23" s="649" t="s">
        <v>2263</v>
      </c>
      <c r="M23" s="650"/>
      <c r="N23" s="651" t="s">
        <v>2264</v>
      </c>
      <c r="O23" s="650">
        <v>6.0</v>
      </c>
    </row>
    <row r="24">
      <c r="A24" s="437">
        <v>2021.0</v>
      </c>
      <c r="B24" s="665" t="s">
        <v>342</v>
      </c>
      <c r="C24" s="437"/>
      <c r="D24" s="667" t="s">
        <v>74</v>
      </c>
      <c r="E24" s="666"/>
      <c r="F24" s="437"/>
      <c r="G24" s="437"/>
      <c r="H24" s="667">
        <v>273080.0</v>
      </c>
      <c r="I24" s="441" t="s">
        <v>1062</v>
      </c>
      <c r="J24" s="437"/>
      <c r="K24" s="665" t="s">
        <v>2265</v>
      </c>
      <c r="L24" s="439" t="s">
        <v>2266</v>
      </c>
      <c r="M24" s="443"/>
      <c r="N24" s="668"/>
      <c r="O24" s="443"/>
    </row>
    <row r="25">
      <c r="A25" s="644">
        <v>2021.0</v>
      </c>
      <c r="B25" s="645" t="s">
        <v>495</v>
      </c>
      <c r="C25" s="644" t="s">
        <v>485</v>
      </c>
      <c r="D25" s="645" t="s">
        <v>1824</v>
      </c>
      <c r="E25" s="646">
        <v>4.1160002E7</v>
      </c>
      <c r="F25" s="646" t="s">
        <v>1087</v>
      </c>
      <c r="G25" s="646" t="s">
        <v>152</v>
      </c>
      <c r="H25" s="647">
        <v>219347.0</v>
      </c>
      <c r="I25" s="646" t="s">
        <v>1062</v>
      </c>
      <c r="J25" s="646" t="s">
        <v>1090</v>
      </c>
      <c r="K25" s="645" t="s">
        <v>1828</v>
      </c>
      <c r="L25" s="649" t="s">
        <v>1979</v>
      </c>
      <c r="M25" s="650"/>
      <c r="N25" s="651" t="s">
        <v>2268</v>
      </c>
      <c r="O25" s="650">
        <v>8.0</v>
      </c>
    </row>
    <row r="26">
      <c r="A26" s="644">
        <v>2021.0</v>
      </c>
      <c r="B26" s="645" t="s">
        <v>893</v>
      </c>
      <c r="C26" s="644" t="s">
        <v>220</v>
      </c>
      <c r="D26" s="647" t="s">
        <v>74</v>
      </c>
      <c r="E26" s="646">
        <v>4.1160002E7</v>
      </c>
      <c r="F26" s="646" t="s">
        <v>1087</v>
      </c>
      <c r="G26" s="646" t="s">
        <v>152</v>
      </c>
      <c r="H26" s="647">
        <v>200000.0</v>
      </c>
      <c r="I26" s="646" t="s">
        <v>1062</v>
      </c>
      <c r="J26" s="644" t="s">
        <v>1833</v>
      </c>
      <c r="K26" s="659" t="s">
        <v>1834</v>
      </c>
      <c r="L26" s="649" t="s">
        <v>1984</v>
      </c>
      <c r="M26" s="650"/>
      <c r="N26" s="651" t="s">
        <v>2272</v>
      </c>
      <c r="O26" s="650"/>
    </row>
    <row r="27">
      <c r="A27" s="644">
        <v>2021.0</v>
      </c>
      <c r="B27" s="645" t="s">
        <v>895</v>
      </c>
      <c r="C27" s="644" t="s">
        <v>220</v>
      </c>
      <c r="D27" s="647" t="s">
        <v>74</v>
      </c>
      <c r="E27" s="646">
        <v>4.1160002E7</v>
      </c>
      <c r="F27" s="646">
        <v>4.1160002E7</v>
      </c>
      <c r="G27" s="646">
        <v>4.1160002E7</v>
      </c>
      <c r="H27" s="690">
        <v>250000.0</v>
      </c>
      <c r="I27" s="646" t="s">
        <v>1062</v>
      </c>
      <c r="J27" s="644" t="s">
        <v>1833</v>
      </c>
      <c r="K27" s="659" t="s">
        <v>1837</v>
      </c>
      <c r="L27" s="649" t="s">
        <v>1992</v>
      </c>
      <c r="M27" s="650"/>
      <c r="N27" s="651" t="s">
        <v>2276</v>
      </c>
      <c r="O27" s="650"/>
    </row>
    <row r="28">
      <c r="A28" s="644">
        <v>2021.0</v>
      </c>
      <c r="B28" s="645" t="s">
        <v>744</v>
      </c>
      <c r="C28" s="644" t="s">
        <v>485</v>
      </c>
      <c r="D28" s="645" t="s">
        <v>751</v>
      </c>
      <c r="E28" s="646">
        <v>4.1160002E7</v>
      </c>
      <c r="F28" s="646" t="s">
        <v>1087</v>
      </c>
      <c r="G28" s="646" t="s">
        <v>152</v>
      </c>
      <c r="H28" s="647">
        <v>218250.0</v>
      </c>
      <c r="I28" s="646" t="s">
        <v>1062</v>
      </c>
      <c r="J28" s="644" t="s">
        <v>1090</v>
      </c>
      <c r="K28" s="645" t="s">
        <v>1841</v>
      </c>
      <c r="L28" s="649" t="s">
        <v>2277</v>
      </c>
      <c r="M28" s="650"/>
      <c r="N28" s="651" t="s">
        <v>2278</v>
      </c>
      <c r="O28" s="650"/>
    </row>
    <row r="29">
      <c r="A29" s="437">
        <v>2021.0</v>
      </c>
      <c r="B29" s="665" t="s">
        <v>924</v>
      </c>
      <c r="C29" s="437"/>
      <c r="D29" s="665" t="s">
        <v>2279</v>
      </c>
      <c r="E29" s="666"/>
      <c r="F29" s="437"/>
      <c r="G29" s="437"/>
      <c r="H29" s="667">
        <v>125000.0</v>
      </c>
      <c r="I29" s="441" t="s">
        <v>1062</v>
      </c>
      <c r="J29" s="437"/>
      <c r="K29" s="665" t="s">
        <v>2280</v>
      </c>
      <c r="L29" s="439" t="s">
        <v>2281</v>
      </c>
      <c r="M29" s="443"/>
      <c r="N29" s="668"/>
      <c r="O29" s="443"/>
    </row>
    <row r="30">
      <c r="A30" s="437">
        <v>2021.0</v>
      </c>
      <c r="B30" s="665" t="s">
        <v>822</v>
      </c>
      <c r="C30" s="437"/>
      <c r="D30" s="667" t="s">
        <v>74</v>
      </c>
      <c r="E30" s="666"/>
      <c r="F30" s="437"/>
      <c r="G30" s="437"/>
      <c r="H30" s="667">
        <v>49000.0</v>
      </c>
      <c r="I30" s="441" t="s">
        <v>1062</v>
      </c>
      <c r="J30" s="437"/>
      <c r="K30" s="665" t="s">
        <v>835</v>
      </c>
      <c r="L30" s="439" t="s">
        <v>2109</v>
      </c>
      <c r="M30" s="443"/>
      <c r="N30" s="668"/>
      <c r="O30" s="443"/>
    </row>
    <row r="31">
      <c r="A31" s="644">
        <v>2021.0</v>
      </c>
      <c r="B31" s="645" t="s">
        <v>400</v>
      </c>
      <c r="C31" s="644" t="s">
        <v>485</v>
      </c>
      <c r="D31" s="659" t="s">
        <v>1554</v>
      </c>
      <c r="E31" s="646">
        <v>4.1160002E7</v>
      </c>
      <c r="F31" s="646" t="s">
        <v>1087</v>
      </c>
      <c r="G31" s="646" t="s">
        <v>152</v>
      </c>
      <c r="H31" s="647">
        <v>112000.0</v>
      </c>
      <c r="I31" s="646" t="s">
        <v>1062</v>
      </c>
      <c r="J31" s="646" t="s">
        <v>1090</v>
      </c>
      <c r="K31" s="645" t="s">
        <v>1555</v>
      </c>
      <c r="L31" s="649" t="s">
        <v>2026</v>
      </c>
      <c r="M31" s="650"/>
      <c r="N31" s="651" t="s">
        <v>2285</v>
      </c>
      <c r="O31" s="650">
        <v>5.0</v>
      </c>
    </row>
    <row r="32">
      <c r="A32" s="646">
        <v>2021.0</v>
      </c>
      <c r="B32" s="676" t="s">
        <v>298</v>
      </c>
      <c r="C32" s="646" t="s">
        <v>485</v>
      </c>
      <c r="D32" s="676" t="s">
        <v>1247</v>
      </c>
      <c r="E32" s="646">
        <v>4.1160002E7</v>
      </c>
      <c r="F32" s="646" t="s">
        <v>1087</v>
      </c>
      <c r="G32" s="646" t="s">
        <v>152</v>
      </c>
      <c r="H32" s="694">
        <v>100000.0</v>
      </c>
      <c r="I32" s="646" t="s">
        <v>1062</v>
      </c>
      <c r="J32" s="646" t="s">
        <v>1090</v>
      </c>
      <c r="K32" s="676" t="s">
        <v>1909</v>
      </c>
      <c r="L32" s="650" t="s">
        <v>2032</v>
      </c>
      <c r="M32" s="650"/>
      <c r="N32" s="651" t="s">
        <v>2290</v>
      </c>
      <c r="O32" s="650">
        <v>1.0</v>
      </c>
    </row>
    <row r="33">
      <c r="A33" s="644">
        <v>2021.0</v>
      </c>
      <c r="B33" s="645" t="s">
        <v>983</v>
      </c>
      <c r="C33" s="644" t="s">
        <v>485</v>
      </c>
      <c r="D33" s="645" t="s">
        <v>1687</v>
      </c>
      <c r="E33" s="646">
        <v>4.1160002E7</v>
      </c>
      <c r="F33" s="646" t="s">
        <v>1087</v>
      </c>
      <c r="G33" s="646" t="s">
        <v>152</v>
      </c>
      <c r="H33" s="647">
        <v>140000.0</v>
      </c>
      <c r="I33" s="646" t="s">
        <v>1062</v>
      </c>
      <c r="J33" s="644" t="s">
        <v>1090</v>
      </c>
      <c r="K33" s="645" t="s">
        <v>1688</v>
      </c>
      <c r="L33" s="649" t="s">
        <v>2053</v>
      </c>
      <c r="M33" s="650"/>
      <c r="N33" s="651" t="s">
        <v>2295</v>
      </c>
      <c r="O33" s="650"/>
    </row>
    <row r="34">
      <c r="A34" s="437">
        <v>2021.0</v>
      </c>
      <c r="B34" s="665" t="s">
        <v>69</v>
      </c>
      <c r="C34" s="437"/>
      <c r="D34" s="667" t="s">
        <v>74</v>
      </c>
      <c r="E34" s="666"/>
      <c r="F34" s="437"/>
      <c r="G34" s="437"/>
      <c r="H34" s="667">
        <v>130000.0</v>
      </c>
      <c r="I34" s="441" t="s">
        <v>1062</v>
      </c>
      <c r="J34" s="437"/>
      <c r="K34" s="665" t="s">
        <v>2297</v>
      </c>
      <c r="L34" s="439" t="s">
        <v>2298</v>
      </c>
      <c r="M34" s="443"/>
      <c r="N34" s="668"/>
      <c r="O34" s="443"/>
    </row>
    <row r="35">
      <c r="A35" s="644">
        <v>2021.0</v>
      </c>
      <c r="B35" s="645" t="s">
        <v>551</v>
      </c>
      <c r="C35" s="644" t="s">
        <v>485</v>
      </c>
      <c r="D35" s="645" t="s">
        <v>1871</v>
      </c>
      <c r="E35" s="646">
        <v>4.1160002E7</v>
      </c>
      <c r="F35" s="646" t="s">
        <v>1087</v>
      </c>
      <c r="G35" s="646" t="s">
        <v>152</v>
      </c>
      <c r="H35" s="647">
        <v>162480.0</v>
      </c>
      <c r="I35" s="646" t="s">
        <v>1062</v>
      </c>
      <c r="J35" s="646" t="s">
        <v>1090</v>
      </c>
      <c r="K35" s="645" t="s">
        <v>1873</v>
      </c>
      <c r="L35" s="649" t="s">
        <v>2098</v>
      </c>
      <c r="M35" s="650"/>
      <c r="N35" s="651" t="s">
        <v>2300</v>
      </c>
      <c r="O35" s="650">
        <v>10.0</v>
      </c>
    </row>
    <row r="36">
      <c r="A36" s="701">
        <v>2021.0</v>
      </c>
      <c r="B36" s="702" t="s">
        <v>559</v>
      </c>
      <c r="C36" s="701" t="s">
        <v>485</v>
      </c>
      <c r="D36" s="702" t="s">
        <v>2303</v>
      </c>
      <c r="E36" s="703">
        <v>4.1160003E7</v>
      </c>
      <c r="F36" s="705" t="s">
        <v>488</v>
      </c>
      <c r="G36" s="705" t="s">
        <v>84</v>
      </c>
      <c r="H36" s="706">
        <v>170000.0</v>
      </c>
      <c r="I36" s="646" t="s">
        <v>1062</v>
      </c>
      <c r="J36" s="705" t="s">
        <v>1833</v>
      </c>
      <c r="K36" s="702" t="s">
        <v>2305</v>
      </c>
      <c r="L36" s="707" t="s">
        <v>2306</v>
      </c>
      <c r="M36" s="708"/>
      <c r="N36" s="709" t="s">
        <v>2308</v>
      </c>
      <c r="O36" s="708"/>
    </row>
    <row r="37">
      <c r="A37" s="622"/>
      <c r="B37" s="710"/>
      <c r="C37" s="622"/>
      <c r="D37" s="710"/>
      <c r="E37" s="2"/>
      <c r="F37" s="623"/>
      <c r="G37" s="623"/>
      <c r="H37" s="712"/>
      <c r="I37" s="705"/>
      <c r="J37" s="623"/>
      <c r="K37" s="710"/>
      <c r="L37" s="610"/>
      <c r="M37" s="548"/>
      <c r="N37" s="625"/>
      <c r="O37" s="548"/>
    </row>
  </sheetData>
  <autoFilter ref="$A$1:$O$36">
    <sortState ref="A1:O36">
      <sortCondition ref="B1:B36"/>
      <sortCondition ref="O1:O36"/>
      <sortCondition ref="C1:C36"/>
      <sortCondition ref="F1:F36"/>
    </sortState>
  </autoFilter>
  <hyperlinks>
    <hyperlink r:id="rId1" ref="N2"/>
    <hyperlink r:id="rId2" ref="N4"/>
    <hyperlink r:id="rId3" ref="N5"/>
    <hyperlink r:id="rId4" ref="N10"/>
    <hyperlink r:id="rId5" ref="N12"/>
    <hyperlink r:id="rId6" ref="N13"/>
    <hyperlink r:id="rId7" ref="N17"/>
    <hyperlink r:id="rId8" ref="N18"/>
    <hyperlink r:id="rId9" ref="N20"/>
    <hyperlink r:id="rId10" ref="N21"/>
    <hyperlink r:id="rId11" ref="N23"/>
    <hyperlink r:id="rId12" ref="N25"/>
    <hyperlink r:id="rId13" ref="N26"/>
    <hyperlink r:id="rId14" ref="N27"/>
    <hyperlink r:id="rId15" ref="N28"/>
    <hyperlink r:id="rId16" ref="N31"/>
    <hyperlink r:id="rId17" ref="N32"/>
    <hyperlink r:id="rId18" ref="N33"/>
    <hyperlink r:id="rId19" ref="N35"/>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47.38"/>
  </cols>
  <sheetData>
    <row r="1">
      <c r="A1" s="715" t="s">
        <v>2313</v>
      </c>
      <c r="B1" s="716"/>
    </row>
    <row r="2">
      <c r="A2" s="717">
        <v>1.0E7</v>
      </c>
      <c r="B2" s="718" t="s">
        <v>2315</v>
      </c>
    </row>
    <row r="3">
      <c r="A3" s="717">
        <v>500000.0</v>
      </c>
      <c r="B3" s="719" t="s">
        <v>2316</v>
      </c>
    </row>
    <row r="4">
      <c r="A4" s="717">
        <v>1.2E8</v>
      </c>
      <c r="B4" s="718" t="s">
        <v>2317</v>
      </c>
    </row>
    <row r="5">
      <c r="A5" s="720">
        <v>1000000.0</v>
      </c>
      <c r="B5" s="718" t="s">
        <v>2318</v>
      </c>
    </row>
    <row r="6">
      <c r="A6" s="720">
        <v>500000.0</v>
      </c>
      <c r="B6" s="719" t="s">
        <v>2319</v>
      </c>
    </row>
    <row r="7">
      <c r="A7" s="721">
        <v>500000.0</v>
      </c>
      <c r="B7" s="722" t="s">
        <v>2320</v>
      </c>
    </row>
  </sheetData>
  <mergeCells count="1">
    <mergeCell ref="A1:B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s>
  <sheetData>
    <row r="1">
      <c r="A1" s="725" t="s">
        <v>2339</v>
      </c>
      <c r="B1" s="725" t="s">
        <v>1038</v>
      </c>
      <c r="C1" s="726"/>
      <c r="D1" s="726"/>
      <c r="E1" s="726"/>
      <c r="F1" s="727" t="s">
        <v>2342</v>
      </c>
      <c r="G1" s="726"/>
      <c r="H1" s="728"/>
      <c r="I1" s="728"/>
      <c r="J1" s="728"/>
      <c r="K1" s="728"/>
      <c r="L1" s="729" t="s">
        <v>2343</v>
      </c>
      <c r="T1" s="729" t="s">
        <v>2344</v>
      </c>
      <c r="Z1" s="728"/>
      <c r="AA1" s="728"/>
    </row>
    <row r="2">
      <c r="A2" s="730" t="s">
        <v>2346</v>
      </c>
      <c r="B2" s="731">
        <v>720000.0</v>
      </c>
      <c r="C2" s="726"/>
      <c r="D2" s="726"/>
      <c r="E2" s="726"/>
      <c r="F2" s="728"/>
      <c r="G2" s="728"/>
      <c r="H2" s="728"/>
      <c r="I2" s="728"/>
      <c r="J2" s="728"/>
      <c r="K2" s="728"/>
      <c r="L2" s="728"/>
      <c r="M2" s="728"/>
      <c r="N2" s="728"/>
      <c r="O2" s="728"/>
      <c r="P2" s="728"/>
      <c r="Q2" s="728"/>
      <c r="R2" s="728"/>
      <c r="S2" s="728"/>
      <c r="T2" s="728"/>
      <c r="U2" s="728"/>
      <c r="V2" s="728"/>
      <c r="W2" s="728"/>
      <c r="X2" s="728"/>
      <c r="Y2" s="728"/>
      <c r="Z2" s="728"/>
      <c r="AA2" s="728"/>
    </row>
    <row r="3">
      <c r="A3" s="730" t="s">
        <v>2348</v>
      </c>
      <c r="B3" s="731">
        <v>187000.0</v>
      </c>
      <c r="C3" s="726"/>
      <c r="D3" s="726"/>
      <c r="E3" s="726"/>
      <c r="F3" s="728"/>
      <c r="G3" s="728"/>
      <c r="H3" s="728"/>
      <c r="I3" s="728"/>
      <c r="J3" s="728"/>
      <c r="K3" s="728"/>
      <c r="L3" s="729" t="s">
        <v>2349</v>
      </c>
      <c r="N3" s="728"/>
      <c r="O3" s="728"/>
      <c r="P3" s="728"/>
      <c r="Q3" s="728"/>
      <c r="R3" s="728"/>
      <c r="S3" s="728"/>
      <c r="T3" s="729" t="s">
        <v>2349</v>
      </c>
      <c r="V3" s="728"/>
      <c r="W3" s="728"/>
      <c r="X3" s="728"/>
      <c r="Y3" s="728"/>
      <c r="Z3" s="728"/>
      <c r="AA3" s="728"/>
    </row>
    <row r="4">
      <c r="A4" s="730" t="s">
        <v>2351</v>
      </c>
      <c r="B4" s="731">
        <v>150000.0</v>
      </c>
      <c r="C4" s="726"/>
      <c r="D4" s="726"/>
      <c r="E4" s="726"/>
      <c r="F4" s="728"/>
      <c r="G4" s="728"/>
      <c r="H4" s="728"/>
      <c r="I4" s="728"/>
      <c r="J4" s="728"/>
      <c r="K4" s="728"/>
      <c r="L4" s="728"/>
      <c r="M4" s="728"/>
      <c r="N4" s="728"/>
      <c r="O4" s="728"/>
      <c r="P4" s="728"/>
      <c r="Q4" s="728"/>
      <c r="R4" s="728"/>
      <c r="S4" s="728"/>
      <c r="T4" s="729" t="s">
        <v>2352</v>
      </c>
      <c r="X4" s="728"/>
      <c r="Y4" s="728"/>
      <c r="Z4" s="728"/>
      <c r="AA4" s="728"/>
    </row>
    <row r="5">
      <c r="A5" s="732" t="s">
        <v>2353</v>
      </c>
      <c r="B5" s="733">
        <v>350000.0</v>
      </c>
      <c r="C5" s="726"/>
      <c r="D5" s="726"/>
      <c r="E5" s="726"/>
      <c r="F5" s="728"/>
      <c r="G5" s="728"/>
      <c r="H5" s="728"/>
      <c r="I5" s="728"/>
      <c r="J5" s="728"/>
      <c r="K5" s="728"/>
      <c r="L5" s="729" t="s">
        <v>2354</v>
      </c>
      <c r="O5" s="728"/>
      <c r="P5" s="728"/>
      <c r="Q5" s="728"/>
      <c r="R5" s="728"/>
      <c r="S5" s="728"/>
      <c r="T5" s="728"/>
      <c r="U5" s="728"/>
      <c r="V5" s="728"/>
      <c r="W5" s="728"/>
      <c r="X5" s="728"/>
      <c r="Y5" s="728"/>
      <c r="Z5" s="728"/>
      <c r="AA5" s="728"/>
    </row>
    <row r="6">
      <c r="A6" s="734" t="s">
        <v>2355</v>
      </c>
      <c r="B6" s="735">
        <v>219347.0</v>
      </c>
      <c r="C6" s="736"/>
      <c r="D6" s="737"/>
      <c r="E6" s="726"/>
      <c r="F6" s="728"/>
      <c r="G6" s="728"/>
      <c r="H6" s="728"/>
      <c r="I6" s="728"/>
      <c r="J6" s="728"/>
      <c r="K6" s="728"/>
      <c r="L6" s="729" t="s">
        <v>2356</v>
      </c>
      <c r="O6" s="728"/>
      <c r="P6" s="728"/>
      <c r="Q6" s="728"/>
      <c r="R6" s="728"/>
      <c r="S6" s="728"/>
      <c r="T6" s="729" t="s">
        <v>2357</v>
      </c>
      <c r="W6" s="728"/>
      <c r="X6" s="728"/>
      <c r="Y6" s="728"/>
      <c r="Z6" s="728"/>
      <c r="AA6" s="728"/>
    </row>
    <row r="7">
      <c r="A7" s="730" t="s">
        <v>2358</v>
      </c>
      <c r="B7" s="731">
        <v>117000.0</v>
      </c>
      <c r="C7" s="738"/>
      <c r="D7" s="726"/>
      <c r="E7" s="726"/>
      <c r="F7" s="726"/>
      <c r="G7" s="726"/>
      <c r="H7" s="728"/>
      <c r="I7" s="728"/>
      <c r="J7" s="728"/>
      <c r="K7" s="728"/>
      <c r="L7" s="729" t="s">
        <v>2359</v>
      </c>
      <c r="O7" s="728"/>
      <c r="P7" s="728"/>
      <c r="Q7" s="728"/>
      <c r="R7" s="728"/>
      <c r="S7" s="728"/>
      <c r="T7" s="728"/>
      <c r="U7" s="728"/>
      <c r="V7" s="728"/>
      <c r="W7" s="728"/>
      <c r="X7" s="728"/>
      <c r="Y7" s="728"/>
      <c r="Z7" s="728"/>
      <c r="AA7" s="728"/>
    </row>
    <row r="8">
      <c r="A8" s="730" t="s">
        <v>2360</v>
      </c>
      <c r="B8" s="731">
        <v>120000.0</v>
      </c>
      <c r="C8" s="726"/>
      <c r="D8" s="726"/>
      <c r="E8" s="726"/>
      <c r="F8" s="726"/>
      <c r="G8" s="726"/>
      <c r="H8" s="728"/>
      <c r="I8" s="728"/>
      <c r="J8" s="728"/>
      <c r="K8" s="728"/>
      <c r="L8" s="729" t="s">
        <v>2362</v>
      </c>
      <c r="O8" s="728"/>
      <c r="P8" s="728"/>
      <c r="Q8" s="728"/>
      <c r="R8" s="728"/>
      <c r="S8" s="728"/>
      <c r="T8" s="729" t="s">
        <v>2363</v>
      </c>
      <c r="X8" s="728"/>
      <c r="Y8" s="728"/>
      <c r="Z8" s="728"/>
      <c r="AA8" s="728"/>
    </row>
    <row r="9">
      <c r="A9" s="730" t="s">
        <v>2364</v>
      </c>
      <c r="B9" s="731">
        <v>260500.0</v>
      </c>
      <c r="C9" s="726"/>
      <c r="D9" s="726"/>
      <c r="E9" s="726"/>
      <c r="F9" s="726"/>
      <c r="G9" s="726"/>
      <c r="H9" s="728"/>
      <c r="I9" s="728"/>
      <c r="J9" s="728"/>
      <c r="K9" s="728"/>
      <c r="L9" s="729" t="s">
        <v>2365</v>
      </c>
      <c r="N9" s="728"/>
      <c r="O9" s="728"/>
      <c r="P9" s="728"/>
      <c r="Q9" s="728"/>
      <c r="R9" s="728"/>
      <c r="S9" s="728"/>
      <c r="T9" s="728"/>
      <c r="U9" s="728"/>
      <c r="V9" s="728"/>
      <c r="W9" s="728"/>
      <c r="X9" s="728"/>
      <c r="Y9" s="728"/>
      <c r="Z9" s="728"/>
      <c r="AA9" s="728"/>
    </row>
    <row r="10">
      <c r="A10" s="730" t="s">
        <v>2368</v>
      </c>
      <c r="B10" s="731">
        <v>210000.0</v>
      </c>
      <c r="C10" s="726"/>
      <c r="D10" s="726"/>
      <c r="E10" s="726"/>
      <c r="F10" s="727" t="s">
        <v>2369</v>
      </c>
      <c r="G10" s="739">
        <v>1350000.0</v>
      </c>
      <c r="H10" s="728"/>
      <c r="I10" s="728"/>
      <c r="J10" s="728"/>
      <c r="K10" s="728"/>
      <c r="L10" s="729" t="s">
        <v>2370</v>
      </c>
      <c r="O10" s="728"/>
      <c r="P10" s="728"/>
      <c r="Q10" s="728"/>
      <c r="R10" s="728"/>
      <c r="S10" s="728"/>
      <c r="T10" s="729" t="s">
        <v>2371</v>
      </c>
      <c r="V10" s="728"/>
      <c r="W10" s="728"/>
      <c r="X10" s="728"/>
      <c r="Y10" s="728"/>
      <c r="Z10" s="728"/>
      <c r="AA10" s="728"/>
    </row>
    <row r="11">
      <c r="A11" s="730" t="s">
        <v>2372</v>
      </c>
      <c r="B11" s="731">
        <v>100000.0</v>
      </c>
      <c r="C11" s="726"/>
      <c r="D11" s="726"/>
      <c r="E11" s="726"/>
      <c r="F11" s="728"/>
      <c r="G11" s="728"/>
      <c r="H11" s="728"/>
      <c r="I11" s="728"/>
      <c r="J11" s="728"/>
      <c r="K11" s="728"/>
      <c r="L11" s="729" t="s">
        <v>2373</v>
      </c>
      <c r="O11" s="728"/>
      <c r="P11" s="728"/>
      <c r="Q11" s="728"/>
      <c r="R11" s="728"/>
      <c r="S11" s="728"/>
      <c r="T11" s="728"/>
      <c r="U11" s="728"/>
      <c r="V11" s="728"/>
      <c r="W11" s="728"/>
      <c r="X11" s="728"/>
      <c r="Y11" s="728"/>
      <c r="Z11" s="728"/>
      <c r="AA11" s="728"/>
    </row>
    <row r="12">
      <c r="A12" s="730" t="s">
        <v>2374</v>
      </c>
      <c r="B12" s="731">
        <v>300000.0</v>
      </c>
      <c r="C12" s="726"/>
      <c r="D12" s="727" t="s">
        <v>2375</v>
      </c>
      <c r="E12" s="726"/>
      <c r="F12" s="726"/>
      <c r="G12" s="726"/>
      <c r="H12" s="728"/>
      <c r="I12" s="728"/>
      <c r="J12" s="728"/>
      <c r="K12" s="728"/>
      <c r="L12" s="729" t="s">
        <v>2376</v>
      </c>
      <c r="O12" s="728"/>
      <c r="P12" s="728"/>
      <c r="Q12" s="728"/>
      <c r="R12" s="728"/>
      <c r="S12" s="728"/>
      <c r="T12" s="728"/>
      <c r="U12" s="728"/>
      <c r="V12" s="728"/>
      <c r="W12" s="728"/>
      <c r="X12" s="728"/>
      <c r="Y12" s="728"/>
      <c r="Z12" s="728"/>
      <c r="AA12" s="728"/>
    </row>
    <row r="13">
      <c r="A13" s="730" t="s">
        <v>2377</v>
      </c>
      <c r="B13" s="731">
        <v>250000.0</v>
      </c>
      <c r="C13" s="726"/>
      <c r="D13" s="726"/>
      <c r="E13" s="726"/>
      <c r="F13" s="726"/>
      <c r="G13" s="726"/>
      <c r="H13" s="728"/>
      <c r="I13" s="728"/>
      <c r="J13" s="728"/>
      <c r="K13" s="728"/>
      <c r="L13" s="729" t="s">
        <v>2378</v>
      </c>
      <c r="O13" s="728"/>
      <c r="P13" s="728"/>
      <c r="Q13" s="728"/>
      <c r="R13" s="728"/>
      <c r="S13" s="728"/>
      <c r="T13" s="728"/>
      <c r="U13" s="728"/>
      <c r="V13" s="728"/>
      <c r="W13" s="728"/>
      <c r="X13" s="728"/>
      <c r="Y13" s="728"/>
      <c r="Z13" s="728"/>
      <c r="AA13" s="728"/>
    </row>
    <row r="14">
      <c r="A14" s="730" t="s">
        <v>2379</v>
      </c>
      <c r="B14" s="731">
        <v>200000.0</v>
      </c>
      <c r="C14" s="726"/>
      <c r="D14" s="726"/>
      <c r="E14" s="726"/>
      <c r="F14" s="726"/>
      <c r="G14" s="726"/>
      <c r="H14" s="728"/>
      <c r="I14" s="728"/>
      <c r="J14" s="728"/>
      <c r="K14" s="728"/>
      <c r="L14" s="729" t="s">
        <v>2380</v>
      </c>
      <c r="O14" s="728"/>
      <c r="P14" s="728"/>
      <c r="Q14" s="728"/>
      <c r="R14" s="728"/>
      <c r="S14" s="728"/>
      <c r="T14" s="728"/>
      <c r="U14" s="728"/>
      <c r="V14" s="728"/>
      <c r="W14" s="728"/>
      <c r="X14" s="728"/>
      <c r="Y14" s="728"/>
      <c r="Z14" s="728"/>
      <c r="AA14" s="728"/>
    </row>
    <row r="15">
      <c r="A15" s="730" t="s">
        <v>2381</v>
      </c>
      <c r="B15" s="731">
        <v>300000.0</v>
      </c>
      <c r="C15" s="736"/>
      <c r="D15" s="737"/>
      <c r="E15" s="726"/>
      <c r="F15" s="726"/>
      <c r="G15" s="726"/>
      <c r="H15" s="728"/>
      <c r="I15" s="728"/>
      <c r="J15" s="728"/>
      <c r="K15" s="728"/>
      <c r="L15" s="729" t="s">
        <v>2382</v>
      </c>
      <c r="O15" s="728"/>
      <c r="P15" s="728"/>
      <c r="Q15" s="728"/>
      <c r="R15" s="728"/>
      <c r="S15" s="728"/>
      <c r="T15" s="728"/>
      <c r="U15" s="728"/>
      <c r="V15" s="728"/>
      <c r="W15" s="728"/>
      <c r="X15" s="728"/>
      <c r="Y15" s="728"/>
      <c r="Z15" s="728"/>
      <c r="AA15" s="728"/>
    </row>
    <row r="16">
      <c r="A16" s="730" t="s">
        <v>2383</v>
      </c>
      <c r="B16" s="731">
        <v>249303.0</v>
      </c>
      <c r="C16" s="736"/>
      <c r="D16" s="737"/>
      <c r="E16" s="726"/>
      <c r="F16" s="726"/>
      <c r="G16" s="726"/>
      <c r="H16" s="728"/>
      <c r="I16" s="728"/>
      <c r="J16" s="728"/>
      <c r="K16" s="728"/>
      <c r="L16" s="729" t="s">
        <v>2384</v>
      </c>
      <c r="O16" s="728"/>
      <c r="P16" s="728"/>
      <c r="Q16" s="728"/>
      <c r="R16" s="728"/>
      <c r="S16" s="728"/>
      <c r="T16" s="728"/>
      <c r="U16" s="728"/>
      <c r="V16" s="728"/>
      <c r="W16" s="728"/>
      <c r="X16" s="728"/>
      <c r="Y16" s="728"/>
      <c r="Z16" s="728"/>
      <c r="AA16" s="728"/>
    </row>
    <row r="17">
      <c r="A17" s="730" t="s">
        <v>2385</v>
      </c>
      <c r="B17" s="731">
        <v>360000.0</v>
      </c>
      <c r="C17" s="726"/>
      <c r="D17" s="726"/>
      <c r="E17" s="726"/>
      <c r="F17" s="726"/>
      <c r="G17" s="726"/>
      <c r="H17" s="728"/>
      <c r="I17" s="728"/>
      <c r="J17" s="728"/>
      <c r="K17" s="728"/>
      <c r="L17" s="729" t="s">
        <v>2386</v>
      </c>
      <c r="O17" s="728"/>
      <c r="P17" s="728"/>
      <c r="Q17" s="728"/>
      <c r="R17" s="728"/>
      <c r="S17" s="728"/>
      <c r="T17" s="728"/>
      <c r="U17" s="728"/>
      <c r="V17" s="728"/>
      <c r="W17" s="728"/>
      <c r="X17" s="728"/>
      <c r="Y17" s="728"/>
      <c r="Z17" s="728"/>
      <c r="AA17" s="728"/>
    </row>
    <row r="18">
      <c r="A18" s="730" t="s">
        <v>2388</v>
      </c>
      <c r="B18" s="731">
        <v>300000.0</v>
      </c>
      <c r="C18" s="726"/>
      <c r="D18" s="726"/>
      <c r="E18" s="726"/>
      <c r="F18" s="726"/>
      <c r="G18" s="726"/>
      <c r="H18" s="728"/>
      <c r="I18" s="728"/>
      <c r="J18" s="728"/>
      <c r="K18" s="728"/>
      <c r="L18" s="729" t="s">
        <v>2389</v>
      </c>
      <c r="O18" s="728"/>
      <c r="P18" s="728"/>
      <c r="Q18" s="728"/>
      <c r="R18" s="728"/>
      <c r="S18" s="728"/>
      <c r="T18" s="728"/>
      <c r="U18" s="728"/>
      <c r="V18" s="728"/>
      <c r="W18" s="728"/>
      <c r="X18" s="728"/>
      <c r="Y18" s="728"/>
      <c r="Z18" s="728"/>
      <c r="AA18" s="728"/>
    </row>
    <row r="19">
      <c r="A19" s="730" t="s">
        <v>2391</v>
      </c>
      <c r="B19" s="731">
        <v>100000.0</v>
      </c>
      <c r="C19" s="726"/>
      <c r="D19" s="726"/>
      <c r="E19" s="726"/>
      <c r="F19" s="726"/>
      <c r="G19" s="726"/>
      <c r="H19" s="728"/>
      <c r="I19" s="728"/>
      <c r="J19" s="728"/>
      <c r="K19" s="728"/>
      <c r="L19" s="729" t="s">
        <v>2392</v>
      </c>
      <c r="O19" s="728"/>
      <c r="P19" s="728"/>
      <c r="Q19" s="728"/>
      <c r="R19" s="728"/>
      <c r="S19" s="728"/>
      <c r="T19" s="728"/>
      <c r="U19" s="728"/>
      <c r="V19" s="728"/>
      <c r="W19" s="728"/>
      <c r="X19" s="728"/>
      <c r="Y19" s="728"/>
      <c r="Z19" s="728"/>
      <c r="AA19" s="728"/>
    </row>
    <row r="20">
      <c r="A20" s="730" t="s">
        <v>2393</v>
      </c>
      <c r="B20" s="731">
        <v>367500.0</v>
      </c>
      <c r="C20" s="738"/>
      <c r="D20" s="726"/>
      <c r="E20" s="726"/>
      <c r="F20" s="726"/>
      <c r="G20" s="726"/>
      <c r="H20" s="728"/>
      <c r="I20" s="728"/>
      <c r="J20" s="728"/>
      <c r="K20" s="728"/>
      <c r="L20" s="729" t="s">
        <v>2394</v>
      </c>
      <c r="P20" s="728"/>
      <c r="Q20" s="728"/>
      <c r="R20" s="728"/>
      <c r="S20" s="728"/>
      <c r="T20" s="728"/>
      <c r="U20" s="728"/>
      <c r="V20" s="728"/>
      <c r="W20" s="728"/>
      <c r="X20" s="728"/>
      <c r="Y20" s="728"/>
      <c r="Z20" s="728"/>
      <c r="AA20" s="728"/>
    </row>
    <row r="21">
      <c r="A21" s="730" t="s">
        <v>2396</v>
      </c>
      <c r="B21" s="731">
        <v>450000.0</v>
      </c>
      <c r="C21" s="726"/>
      <c r="D21" s="726"/>
      <c r="E21" s="726"/>
      <c r="F21" s="726"/>
      <c r="G21" s="726"/>
      <c r="H21" s="728"/>
      <c r="I21" s="728"/>
      <c r="J21" s="728"/>
      <c r="K21" s="728"/>
      <c r="L21" s="729" t="s">
        <v>2397</v>
      </c>
      <c r="O21" s="728"/>
      <c r="P21" s="728"/>
      <c r="Q21" s="728"/>
      <c r="R21" s="728"/>
      <c r="S21" s="728"/>
      <c r="T21" s="728"/>
      <c r="U21" s="728"/>
      <c r="V21" s="728"/>
      <c r="W21" s="728"/>
      <c r="X21" s="728"/>
      <c r="Y21" s="728"/>
      <c r="Z21" s="728"/>
      <c r="AA21" s="728"/>
    </row>
    <row r="22">
      <c r="A22" s="730" t="s">
        <v>2398</v>
      </c>
      <c r="B22" s="740">
        <v>776319.0</v>
      </c>
      <c r="C22" s="737"/>
      <c r="D22" s="726"/>
      <c r="E22" s="726"/>
      <c r="F22" s="726"/>
      <c r="G22" s="726"/>
      <c r="H22" s="728"/>
      <c r="I22" s="728"/>
      <c r="J22" s="728"/>
      <c r="K22" s="728"/>
      <c r="L22" s="729" t="s">
        <v>2400</v>
      </c>
      <c r="O22" s="728"/>
      <c r="P22" s="728"/>
      <c r="Q22" s="728"/>
      <c r="R22" s="728"/>
      <c r="S22" s="728"/>
      <c r="T22" s="728"/>
      <c r="U22" s="728"/>
      <c r="V22" s="728"/>
      <c r="W22" s="728"/>
      <c r="X22" s="728"/>
      <c r="Y22" s="728"/>
      <c r="Z22" s="728"/>
      <c r="AA22" s="728"/>
    </row>
    <row r="23">
      <c r="A23" s="742" t="s">
        <v>2401</v>
      </c>
      <c r="B23" s="743">
        <v>500000.0</v>
      </c>
      <c r="C23" s="726"/>
      <c r="D23" s="726"/>
      <c r="E23" s="726"/>
      <c r="F23" s="726"/>
      <c r="G23" s="726"/>
      <c r="H23" s="728"/>
      <c r="I23" s="728"/>
      <c r="J23" s="728"/>
      <c r="K23" s="728"/>
      <c r="L23" s="729" t="s">
        <v>2402</v>
      </c>
      <c r="M23" s="728"/>
      <c r="N23" s="728"/>
      <c r="O23" s="728"/>
      <c r="P23" s="728"/>
      <c r="Q23" s="728"/>
      <c r="R23" s="728"/>
      <c r="S23" s="728"/>
      <c r="T23" s="728"/>
      <c r="U23" s="728"/>
      <c r="V23" s="728"/>
      <c r="W23" s="728"/>
      <c r="X23" s="728"/>
      <c r="Y23" s="728"/>
      <c r="Z23" s="728"/>
      <c r="AA23" s="728"/>
    </row>
    <row r="24">
      <c r="A24" s="744" t="s">
        <v>2342</v>
      </c>
      <c r="B24" s="726"/>
      <c r="C24" s="726"/>
      <c r="D24" s="726"/>
      <c r="E24" s="726"/>
      <c r="F24" s="726"/>
      <c r="G24" s="726"/>
      <c r="H24" s="728"/>
      <c r="I24" s="728"/>
      <c r="J24" s="728"/>
      <c r="K24" s="728"/>
      <c r="L24" s="729" t="s">
        <v>2405</v>
      </c>
      <c r="O24" s="728"/>
      <c r="P24" s="728"/>
      <c r="Q24" s="728"/>
      <c r="R24" s="728"/>
      <c r="S24" s="728"/>
      <c r="T24" s="728"/>
      <c r="U24" s="728"/>
      <c r="V24" s="728"/>
      <c r="W24" s="728"/>
      <c r="X24" s="728"/>
      <c r="Y24" s="728"/>
      <c r="Z24" s="728"/>
      <c r="AA24" s="728"/>
    </row>
    <row r="25">
      <c r="A25" s="742" t="s">
        <v>2406</v>
      </c>
      <c r="B25" s="743">
        <v>650000.0</v>
      </c>
      <c r="C25" s="726"/>
      <c r="D25" s="726"/>
      <c r="E25" s="726"/>
      <c r="F25" s="726"/>
      <c r="G25" s="726"/>
      <c r="H25" s="728"/>
      <c r="I25" s="728"/>
      <c r="J25" s="728"/>
      <c r="K25" s="728"/>
      <c r="L25" s="729" t="s">
        <v>2407</v>
      </c>
      <c r="O25" s="728"/>
      <c r="P25" s="728"/>
      <c r="Q25" s="728"/>
      <c r="R25" s="728"/>
      <c r="S25" s="728"/>
      <c r="T25" s="728"/>
      <c r="U25" s="728"/>
      <c r="V25" s="728"/>
      <c r="W25" s="728"/>
      <c r="X25" s="728"/>
      <c r="Y25" s="728"/>
      <c r="Z25" s="728"/>
      <c r="AA25" s="728"/>
    </row>
    <row r="26">
      <c r="A26" s="745" t="s">
        <v>2408</v>
      </c>
      <c r="B26" s="746">
        <v>610000.0</v>
      </c>
      <c r="C26" s="737"/>
      <c r="D26" s="726"/>
      <c r="E26" s="726"/>
      <c r="F26" s="726"/>
      <c r="G26" s="726"/>
      <c r="H26" s="728"/>
      <c r="I26" s="728"/>
      <c r="J26" s="728"/>
      <c r="K26" s="728"/>
      <c r="L26" s="729" t="s">
        <v>2410</v>
      </c>
      <c r="N26" s="728"/>
      <c r="O26" s="728"/>
      <c r="P26" s="728"/>
      <c r="Q26" s="728"/>
      <c r="R26" s="728"/>
      <c r="S26" s="728"/>
      <c r="T26" s="728"/>
      <c r="U26" s="728"/>
      <c r="V26" s="728"/>
      <c r="W26" s="728"/>
      <c r="X26" s="728"/>
      <c r="Y26" s="728"/>
      <c r="Z26" s="728"/>
      <c r="AA26" s="728"/>
    </row>
    <row r="27">
      <c r="A27" s="749" t="s">
        <v>2412</v>
      </c>
      <c r="B27" s="750">
        <v>135000.0</v>
      </c>
      <c r="C27" s="737"/>
      <c r="D27" s="726"/>
      <c r="E27" s="726"/>
      <c r="F27" s="726"/>
      <c r="G27" s="726"/>
      <c r="H27" s="728"/>
      <c r="I27" s="728"/>
      <c r="J27" s="728"/>
      <c r="K27" s="728"/>
      <c r="L27" s="729" t="s">
        <v>2413</v>
      </c>
      <c r="O27" s="728"/>
      <c r="P27" s="728"/>
      <c r="Q27" s="728"/>
      <c r="R27" s="728"/>
      <c r="S27" s="728"/>
      <c r="T27" s="728"/>
      <c r="U27" s="728"/>
      <c r="V27" s="728"/>
      <c r="W27" s="728"/>
      <c r="X27" s="728"/>
      <c r="Y27" s="728"/>
      <c r="Z27" s="728"/>
      <c r="AA27" s="728"/>
    </row>
    <row r="28">
      <c r="A28" s="754" t="s">
        <v>2414</v>
      </c>
      <c r="B28" s="756">
        <v>1000000.0</v>
      </c>
      <c r="C28" s="726"/>
      <c r="D28" s="726"/>
      <c r="E28" s="726"/>
      <c r="F28" s="726"/>
      <c r="G28" s="726"/>
      <c r="H28" s="728"/>
      <c r="I28" s="728"/>
      <c r="J28" s="728"/>
      <c r="K28" s="728"/>
      <c r="L28" s="729" t="s">
        <v>2415</v>
      </c>
      <c r="O28" s="728"/>
      <c r="P28" s="728"/>
      <c r="Q28" s="728"/>
      <c r="R28" s="728"/>
      <c r="S28" s="728"/>
      <c r="T28" s="728"/>
      <c r="U28" s="728"/>
      <c r="V28" s="728"/>
      <c r="W28" s="728"/>
      <c r="X28" s="728"/>
      <c r="Y28" s="728"/>
      <c r="Z28" s="728"/>
      <c r="AA28" s="728"/>
    </row>
    <row r="29">
      <c r="A29" s="730" t="s">
        <v>2418</v>
      </c>
      <c r="B29" s="731">
        <v>250000.0</v>
      </c>
      <c r="C29" s="726"/>
      <c r="D29" s="726"/>
      <c r="E29" s="726"/>
      <c r="F29" s="726"/>
      <c r="G29" s="726"/>
      <c r="H29" s="728"/>
      <c r="I29" s="728"/>
      <c r="J29" s="728"/>
      <c r="K29" s="728"/>
      <c r="L29" s="728"/>
      <c r="M29" s="728"/>
      <c r="N29" s="728"/>
      <c r="O29" s="728"/>
      <c r="P29" s="728"/>
      <c r="Q29" s="728"/>
      <c r="R29" s="728"/>
      <c r="S29" s="728"/>
      <c r="T29" s="728"/>
      <c r="U29" s="728"/>
      <c r="V29" s="728"/>
      <c r="W29" s="728"/>
      <c r="X29" s="728"/>
      <c r="Y29" s="728"/>
      <c r="Z29" s="728"/>
      <c r="AA29" s="728"/>
    </row>
    <row r="30">
      <c r="A30" s="758"/>
      <c r="B30" s="759"/>
      <c r="C30" s="726"/>
      <c r="D30" s="726"/>
      <c r="E30" s="726"/>
      <c r="F30" s="726"/>
      <c r="G30" s="726"/>
      <c r="H30" s="728"/>
      <c r="I30" s="728"/>
      <c r="J30" s="728"/>
      <c r="K30" s="728"/>
      <c r="L30" s="728"/>
      <c r="M30" s="728"/>
      <c r="N30" s="728"/>
      <c r="O30" s="728"/>
      <c r="P30" s="728"/>
      <c r="Q30" s="728"/>
      <c r="R30" s="728"/>
      <c r="S30" s="728"/>
      <c r="T30" s="728"/>
      <c r="U30" s="728"/>
      <c r="V30" s="728"/>
      <c r="W30" s="728"/>
      <c r="X30" s="728"/>
      <c r="Y30" s="728"/>
      <c r="Z30" s="728"/>
      <c r="AA30" s="728"/>
    </row>
    <row r="31">
      <c r="A31" s="758"/>
      <c r="B31" s="726"/>
      <c r="C31" s="726"/>
      <c r="D31" s="726"/>
      <c r="E31" s="726"/>
      <c r="F31" s="726"/>
      <c r="G31" s="726"/>
      <c r="H31" s="728"/>
      <c r="I31" s="728"/>
      <c r="J31" s="728"/>
      <c r="K31" s="728"/>
      <c r="L31" s="728"/>
      <c r="M31" s="728"/>
      <c r="N31" s="728"/>
      <c r="O31" s="728"/>
      <c r="P31" s="728"/>
      <c r="Q31" s="728"/>
      <c r="R31" s="728"/>
      <c r="S31" s="728"/>
      <c r="T31" s="728"/>
      <c r="U31" s="728"/>
      <c r="V31" s="728"/>
      <c r="W31" s="728"/>
      <c r="X31" s="728"/>
      <c r="Y31" s="728"/>
      <c r="Z31" s="728"/>
      <c r="AA31" s="728"/>
    </row>
    <row r="32">
      <c r="A32" s="726"/>
      <c r="B32" s="726"/>
      <c r="C32" s="726"/>
      <c r="D32" s="726"/>
      <c r="E32" s="726"/>
      <c r="F32" s="726"/>
      <c r="G32" s="726"/>
      <c r="H32" s="728"/>
      <c r="I32" s="728"/>
      <c r="J32" s="728"/>
      <c r="K32" s="728"/>
      <c r="L32" s="728"/>
      <c r="M32" s="728"/>
      <c r="N32" s="728"/>
      <c r="O32" s="728"/>
      <c r="P32" s="728"/>
      <c r="Q32" s="728"/>
      <c r="R32" s="728"/>
      <c r="S32" s="728"/>
      <c r="T32" s="728"/>
      <c r="U32" s="728"/>
      <c r="V32" s="728"/>
      <c r="W32" s="728"/>
      <c r="X32" s="728"/>
      <c r="Y32" s="728"/>
      <c r="Z32" s="728"/>
      <c r="AA32" s="728"/>
    </row>
    <row r="33">
      <c r="A33" s="726"/>
      <c r="B33" s="726"/>
      <c r="C33" s="758"/>
      <c r="D33" s="726"/>
      <c r="E33" s="726"/>
      <c r="F33" s="726"/>
      <c r="G33" s="726"/>
      <c r="H33" s="728"/>
      <c r="I33" s="728"/>
      <c r="J33" s="728"/>
      <c r="K33" s="728"/>
      <c r="L33" s="728"/>
      <c r="M33" s="728"/>
      <c r="N33" s="728"/>
      <c r="O33" s="728"/>
      <c r="P33" s="728"/>
      <c r="Q33" s="728"/>
      <c r="R33" s="728"/>
      <c r="S33" s="728"/>
      <c r="T33" s="728"/>
      <c r="U33" s="728"/>
      <c r="V33" s="728"/>
      <c r="W33" s="728"/>
      <c r="X33" s="728"/>
      <c r="Y33" s="728"/>
      <c r="Z33" s="728"/>
      <c r="AA33" s="728"/>
    </row>
    <row r="34">
      <c r="A34" s="727" t="s">
        <v>2425</v>
      </c>
      <c r="B34" s="739">
        <v>100000.0</v>
      </c>
      <c r="C34" s="726"/>
      <c r="D34" s="726"/>
      <c r="E34" s="726"/>
      <c r="F34" s="726"/>
      <c r="G34" s="726"/>
      <c r="H34" s="728"/>
      <c r="I34" s="728"/>
      <c r="J34" s="728"/>
      <c r="K34" s="728"/>
      <c r="L34" s="728"/>
      <c r="M34" s="728"/>
      <c r="N34" s="728"/>
      <c r="O34" s="728"/>
      <c r="P34" s="728"/>
      <c r="Q34" s="728"/>
      <c r="R34" s="728"/>
      <c r="S34" s="728"/>
      <c r="T34" s="728"/>
      <c r="U34" s="728"/>
      <c r="V34" s="728"/>
      <c r="W34" s="728"/>
      <c r="X34" s="728"/>
      <c r="Y34" s="728"/>
      <c r="Z34" s="728"/>
      <c r="AA34" s="728"/>
    </row>
    <row r="35">
      <c r="A35" s="727" t="s">
        <v>2427</v>
      </c>
      <c r="B35" s="739">
        <v>250000.0</v>
      </c>
      <c r="C35" s="726"/>
      <c r="D35" s="726"/>
      <c r="E35" s="726"/>
      <c r="F35" s="726"/>
      <c r="G35" s="726"/>
      <c r="H35" s="728"/>
      <c r="I35" s="728"/>
      <c r="J35" s="728"/>
      <c r="K35" s="728"/>
      <c r="L35" s="728"/>
      <c r="M35" s="728"/>
      <c r="N35" s="728"/>
      <c r="O35" s="728"/>
      <c r="P35" s="728"/>
      <c r="Q35" s="728"/>
      <c r="R35" s="728"/>
      <c r="S35" s="728"/>
      <c r="T35" s="728"/>
      <c r="U35" s="728"/>
      <c r="V35" s="728"/>
      <c r="W35" s="728"/>
      <c r="X35" s="728"/>
      <c r="Y35" s="728"/>
      <c r="Z35" s="728"/>
      <c r="AA35" s="728"/>
    </row>
    <row r="36">
      <c r="A36" s="727" t="s">
        <v>2428</v>
      </c>
      <c r="B36" s="739">
        <v>350000.0</v>
      </c>
      <c r="C36" s="728"/>
      <c r="D36" s="728"/>
      <c r="E36" s="728"/>
      <c r="F36" s="728"/>
      <c r="G36" s="728"/>
      <c r="H36" s="728"/>
      <c r="I36" s="728"/>
      <c r="J36" s="728"/>
      <c r="K36" s="728"/>
      <c r="L36" s="728"/>
      <c r="M36" s="728"/>
      <c r="N36" s="728"/>
      <c r="O36" s="728"/>
      <c r="P36" s="728"/>
      <c r="Q36" s="728"/>
      <c r="R36" s="728"/>
      <c r="S36" s="728"/>
      <c r="T36" s="728"/>
      <c r="U36" s="728"/>
      <c r="V36" s="728"/>
      <c r="W36" s="728"/>
      <c r="X36" s="728"/>
      <c r="Y36" s="728"/>
      <c r="Z36" s="728"/>
      <c r="AA36" s="728"/>
    </row>
    <row r="37">
      <c r="A37" s="727" t="s">
        <v>2430</v>
      </c>
      <c r="B37" s="739">
        <v>500000.0</v>
      </c>
      <c r="C37" s="728"/>
      <c r="D37" s="728"/>
      <c r="E37" s="728"/>
      <c r="F37" s="728"/>
      <c r="G37" s="728"/>
      <c r="H37" s="728"/>
      <c r="I37" s="728"/>
      <c r="J37" s="728"/>
      <c r="K37" s="728"/>
      <c r="L37" s="728"/>
      <c r="M37" s="728"/>
      <c r="N37" s="728"/>
      <c r="O37" s="728"/>
      <c r="P37" s="728"/>
      <c r="Q37" s="728"/>
      <c r="R37" s="728"/>
      <c r="S37" s="728"/>
      <c r="T37" s="728"/>
      <c r="U37" s="728"/>
      <c r="V37" s="728"/>
      <c r="W37" s="728"/>
      <c r="X37" s="728"/>
      <c r="Y37" s="728"/>
      <c r="Z37" s="728"/>
      <c r="AA37" s="728"/>
    </row>
    <row r="38">
      <c r="A38" s="727" t="s">
        <v>2431</v>
      </c>
      <c r="B38" s="739">
        <v>150000.0</v>
      </c>
      <c r="C38" s="728"/>
      <c r="D38" s="728"/>
      <c r="E38" s="728"/>
      <c r="F38" s="728"/>
      <c r="G38" s="728"/>
      <c r="H38" s="728"/>
      <c r="I38" s="728"/>
      <c r="J38" s="728"/>
      <c r="K38" s="728"/>
      <c r="L38" s="728"/>
      <c r="M38" s="728"/>
      <c r="N38" s="728"/>
      <c r="O38" s="728"/>
      <c r="P38" s="728"/>
      <c r="Q38" s="728"/>
      <c r="R38" s="728"/>
      <c r="S38" s="728"/>
      <c r="T38" s="728"/>
      <c r="U38" s="728"/>
      <c r="V38" s="728"/>
      <c r="W38" s="728"/>
      <c r="X38" s="728"/>
      <c r="Y38" s="728"/>
      <c r="Z38" s="728"/>
      <c r="AA38" s="728"/>
    </row>
    <row r="39">
      <c r="A39" s="728"/>
      <c r="B39" s="728"/>
      <c r="C39" s="728"/>
      <c r="D39" s="728"/>
      <c r="E39" s="728"/>
      <c r="F39" s="728"/>
      <c r="G39" s="728"/>
      <c r="H39" s="728"/>
      <c r="I39" s="728"/>
      <c r="J39" s="728"/>
      <c r="K39" s="728"/>
      <c r="L39" s="728"/>
      <c r="M39" s="728"/>
      <c r="N39" s="728"/>
      <c r="O39" s="728"/>
      <c r="P39" s="728"/>
      <c r="Q39" s="728"/>
      <c r="R39" s="728"/>
      <c r="S39" s="728"/>
      <c r="T39" s="728"/>
      <c r="U39" s="728"/>
      <c r="V39" s="728"/>
      <c r="W39" s="728"/>
      <c r="X39" s="728"/>
      <c r="Y39" s="728"/>
      <c r="Z39" s="728"/>
      <c r="AA39" s="728"/>
    </row>
    <row r="40">
      <c r="A40" s="728"/>
      <c r="B40" s="728"/>
      <c r="C40" s="728"/>
      <c r="D40" s="728"/>
      <c r="E40" s="728"/>
      <c r="F40" s="728"/>
      <c r="G40" s="728"/>
      <c r="H40" s="728"/>
      <c r="I40" s="728"/>
      <c r="J40" s="728"/>
      <c r="K40" s="728"/>
      <c r="L40" s="728"/>
      <c r="M40" s="728"/>
      <c r="N40" s="728"/>
      <c r="O40" s="728"/>
      <c r="P40" s="728"/>
      <c r="Q40" s="728"/>
      <c r="R40" s="728"/>
      <c r="S40" s="728"/>
      <c r="T40" s="728"/>
      <c r="U40" s="728"/>
      <c r="V40" s="728"/>
      <c r="W40" s="728"/>
      <c r="X40" s="728"/>
      <c r="Y40" s="728"/>
      <c r="Z40" s="728"/>
      <c r="AA40" s="728"/>
    </row>
    <row r="41">
      <c r="A41" s="761" t="s">
        <v>2435</v>
      </c>
      <c r="B41" s="763" t="s">
        <v>1164</v>
      </c>
      <c r="C41" s="764" t="s">
        <v>2439</v>
      </c>
      <c r="D41" s="764" t="s">
        <v>2441</v>
      </c>
      <c r="E41" s="728"/>
      <c r="F41" s="728"/>
      <c r="G41" s="728"/>
      <c r="H41" s="728"/>
      <c r="I41" s="728"/>
      <c r="J41" s="728"/>
      <c r="K41" s="728"/>
      <c r="L41" s="728"/>
      <c r="M41" s="728"/>
      <c r="N41" s="728"/>
      <c r="O41" s="728"/>
      <c r="P41" s="728"/>
      <c r="Q41" s="728"/>
      <c r="R41" s="728"/>
      <c r="S41" s="728"/>
      <c r="T41" s="728"/>
      <c r="U41" s="728"/>
      <c r="V41" s="728"/>
      <c r="W41" s="728"/>
      <c r="X41" s="728"/>
      <c r="Y41" s="728"/>
      <c r="Z41" s="728"/>
      <c r="AA41" s="728"/>
    </row>
    <row r="42">
      <c r="A42" s="765" t="s">
        <v>2442</v>
      </c>
      <c r="B42" s="766" t="s">
        <v>2443</v>
      </c>
      <c r="C42" s="767" t="s">
        <v>2439</v>
      </c>
      <c r="D42" s="768" t="s">
        <v>2446</v>
      </c>
      <c r="E42" s="728"/>
      <c r="F42" s="728"/>
      <c r="G42" s="728"/>
      <c r="H42" s="728"/>
      <c r="I42" s="728"/>
      <c r="J42" s="728"/>
      <c r="K42" s="728"/>
      <c r="L42" s="728"/>
      <c r="M42" s="728"/>
      <c r="N42" s="728"/>
      <c r="O42" s="728"/>
      <c r="P42" s="728"/>
      <c r="Q42" s="728"/>
      <c r="R42" s="728"/>
      <c r="S42" s="728"/>
      <c r="T42" s="728"/>
      <c r="U42" s="728"/>
      <c r="V42" s="728"/>
      <c r="W42" s="728"/>
      <c r="X42" s="728"/>
      <c r="Y42" s="728"/>
      <c r="Z42" s="728"/>
      <c r="AA42" s="728"/>
    </row>
    <row r="43">
      <c r="A43" s="765" t="s">
        <v>2442</v>
      </c>
      <c r="B43" s="766" t="s">
        <v>1255</v>
      </c>
      <c r="C43" s="767" t="s">
        <v>2439</v>
      </c>
      <c r="D43" s="768" t="s">
        <v>2448</v>
      </c>
      <c r="E43" s="728"/>
      <c r="F43" s="728"/>
      <c r="G43" s="728"/>
      <c r="H43" s="728"/>
      <c r="I43" s="728"/>
      <c r="J43" s="728"/>
      <c r="K43" s="728"/>
      <c r="L43" s="728"/>
      <c r="M43" s="728"/>
      <c r="N43" s="728"/>
      <c r="O43" s="728"/>
      <c r="P43" s="728"/>
      <c r="Q43" s="728"/>
      <c r="R43" s="728"/>
      <c r="S43" s="728"/>
      <c r="T43" s="728"/>
      <c r="U43" s="728"/>
      <c r="V43" s="728"/>
      <c r="W43" s="728"/>
      <c r="X43" s="728"/>
      <c r="Y43" s="728"/>
      <c r="Z43" s="728"/>
      <c r="AA43" s="728"/>
    </row>
    <row r="44">
      <c r="A44" s="765" t="s">
        <v>2442</v>
      </c>
      <c r="B44" s="766" t="s">
        <v>2449</v>
      </c>
      <c r="C44" s="767" t="s">
        <v>2439</v>
      </c>
      <c r="D44" s="768" t="s">
        <v>2451</v>
      </c>
      <c r="E44" s="728"/>
      <c r="F44" s="728"/>
      <c r="G44" s="728"/>
      <c r="H44" s="728"/>
      <c r="I44" s="728"/>
      <c r="J44" s="728"/>
      <c r="K44" s="728"/>
      <c r="L44" s="728"/>
      <c r="M44" s="728"/>
      <c r="N44" s="728"/>
      <c r="O44" s="728"/>
      <c r="P44" s="728"/>
      <c r="Q44" s="728"/>
      <c r="R44" s="728"/>
      <c r="S44" s="728"/>
      <c r="T44" s="728"/>
      <c r="U44" s="728"/>
      <c r="V44" s="728"/>
      <c r="W44" s="728"/>
      <c r="X44" s="728"/>
      <c r="Y44" s="728"/>
      <c r="Z44" s="728"/>
      <c r="AA44" s="728"/>
    </row>
    <row r="45">
      <c r="A45" s="761" t="s">
        <v>2454</v>
      </c>
      <c r="B45" s="763" t="s">
        <v>2455</v>
      </c>
      <c r="C45" s="764" t="s">
        <v>2439</v>
      </c>
      <c r="D45" s="770" t="s">
        <v>2456</v>
      </c>
      <c r="F45" s="728"/>
      <c r="G45" s="728"/>
      <c r="H45" s="728"/>
      <c r="I45" s="728"/>
      <c r="J45" s="728"/>
      <c r="K45" s="728"/>
      <c r="L45" s="728"/>
      <c r="M45" s="728"/>
      <c r="N45" s="728"/>
      <c r="O45" s="728"/>
      <c r="P45" s="728"/>
      <c r="Q45" s="728"/>
      <c r="R45" s="728"/>
      <c r="S45" s="728"/>
      <c r="T45" s="728"/>
      <c r="U45" s="728"/>
      <c r="V45" s="728"/>
      <c r="W45" s="728"/>
      <c r="X45" s="728"/>
      <c r="Y45" s="728"/>
      <c r="Z45" s="728"/>
      <c r="AA45" s="728"/>
    </row>
    <row r="46">
      <c r="A46" s="761" t="s">
        <v>2459</v>
      </c>
      <c r="B46" s="763" t="s">
        <v>1257</v>
      </c>
      <c r="C46" s="764" t="s">
        <v>2439</v>
      </c>
      <c r="D46" s="770" t="s">
        <v>2446</v>
      </c>
      <c r="G46" s="728"/>
      <c r="H46" s="728"/>
      <c r="I46" s="728"/>
      <c r="J46" s="728"/>
      <c r="K46" s="728"/>
      <c r="L46" s="728"/>
      <c r="M46" s="728"/>
      <c r="N46" s="728"/>
      <c r="O46" s="728"/>
      <c r="P46" s="728"/>
      <c r="Q46" s="728"/>
      <c r="R46" s="728"/>
      <c r="S46" s="728"/>
      <c r="T46" s="728"/>
      <c r="U46" s="728"/>
      <c r="V46" s="728"/>
      <c r="W46" s="728"/>
      <c r="X46" s="728"/>
      <c r="Y46" s="728"/>
      <c r="Z46" s="728"/>
      <c r="AA46" s="728"/>
    </row>
    <row r="47">
      <c r="A47" s="761" t="s">
        <v>2461</v>
      </c>
      <c r="B47" s="763" t="s">
        <v>2462</v>
      </c>
      <c r="C47" s="764" t="s">
        <v>2439</v>
      </c>
      <c r="D47" s="770" t="s">
        <v>2463</v>
      </c>
      <c r="G47" s="728"/>
      <c r="H47" s="728"/>
      <c r="I47" s="728"/>
      <c r="J47" s="728"/>
      <c r="K47" s="728"/>
      <c r="L47" s="728"/>
      <c r="M47" s="728"/>
      <c r="N47" s="728"/>
      <c r="O47" s="728"/>
      <c r="P47" s="728"/>
      <c r="Q47" s="728"/>
      <c r="R47" s="728"/>
      <c r="S47" s="728"/>
      <c r="T47" s="728"/>
      <c r="U47" s="728"/>
      <c r="V47" s="728"/>
      <c r="W47" s="728"/>
      <c r="X47" s="728"/>
      <c r="Y47" s="728"/>
      <c r="Z47" s="728"/>
      <c r="AA47" s="728"/>
    </row>
    <row r="48">
      <c r="A48" s="761" t="s">
        <v>2464</v>
      </c>
      <c r="B48" s="763" t="s">
        <v>1260</v>
      </c>
      <c r="C48" s="764" t="s">
        <v>2439</v>
      </c>
      <c r="D48" s="770" t="s">
        <v>2466</v>
      </c>
      <c r="E48" s="728"/>
      <c r="F48" s="728"/>
      <c r="G48" s="728"/>
      <c r="H48" s="728"/>
      <c r="I48" s="728"/>
      <c r="J48" s="728"/>
      <c r="K48" s="728"/>
      <c r="L48" s="728"/>
      <c r="M48" s="728"/>
      <c r="N48" s="728"/>
      <c r="O48" s="728"/>
      <c r="P48" s="728"/>
      <c r="Q48" s="728"/>
      <c r="R48" s="728"/>
      <c r="S48" s="728"/>
      <c r="T48" s="728"/>
      <c r="U48" s="728"/>
      <c r="V48" s="728"/>
      <c r="W48" s="728"/>
      <c r="X48" s="728"/>
      <c r="Y48" s="728"/>
      <c r="Z48" s="728"/>
      <c r="AA48" s="728"/>
    </row>
    <row r="49">
      <c r="A49" s="761" t="s">
        <v>2467</v>
      </c>
      <c r="B49" s="763" t="s">
        <v>2468</v>
      </c>
      <c r="C49" s="764" t="s">
        <v>2439</v>
      </c>
      <c r="D49" s="770" t="s">
        <v>2469</v>
      </c>
      <c r="G49" s="728"/>
      <c r="H49" s="728"/>
      <c r="I49" s="728"/>
      <c r="J49" s="728"/>
      <c r="K49" s="728"/>
      <c r="L49" s="728"/>
      <c r="M49" s="728"/>
      <c r="N49" s="728"/>
      <c r="O49" s="728"/>
      <c r="P49" s="728"/>
      <c r="Q49" s="728"/>
      <c r="R49" s="728"/>
      <c r="S49" s="728"/>
      <c r="T49" s="728"/>
      <c r="U49" s="728"/>
      <c r="V49" s="728"/>
      <c r="W49" s="728"/>
      <c r="X49" s="728"/>
      <c r="Y49" s="728"/>
      <c r="Z49" s="728"/>
      <c r="AA49" s="728"/>
    </row>
    <row r="50">
      <c r="A50" s="761" t="s">
        <v>2471</v>
      </c>
      <c r="B50" s="763" t="s">
        <v>2472</v>
      </c>
      <c r="C50" s="764" t="s">
        <v>2439</v>
      </c>
      <c r="D50" s="773" t="s">
        <v>2473</v>
      </c>
      <c r="G50" s="728"/>
      <c r="H50" s="728"/>
      <c r="I50" s="728"/>
      <c r="J50" s="728"/>
      <c r="K50" s="728"/>
      <c r="L50" s="728"/>
      <c r="M50" s="728"/>
      <c r="N50" s="728"/>
      <c r="O50" s="728"/>
      <c r="P50" s="728"/>
      <c r="Q50" s="728"/>
      <c r="R50" s="728"/>
      <c r="S50" s="728"/>
      <c r="T50" s="728"/>
      <c r="U50" s="728"/>
      <c r="V50" s="728"/>
      <c r="W50" s="728"/>
      <c r="X50" s="728"/>
      <c r="Y50" s="728"/>
      <c r="Z50" s="728"/>
      <c r="AA50" s="728"/>
    </row>
    <row r="51">
      <c r="A51" s="761" t="s">
        <v>2474</v>
      </c>
      <c r="B51" s="763" t="s">
        <v>2476</v>
      </c>
      <c r="C51" s="764" t="s">
        <v>2439</v>
      </c>
      <c r="D51" s="770" t="s">
        <v>2466</v>
      </c>
      <c r="E51" s="728"/>
      <c r="F51" s="728"/>
      <c r="G51" s="728"/>
      <c r="H51" s="728"/>
      <c r="I51" s="728"/>
      <c r="J51" s="728"/>
      <c r="K51" s="728"/>
      <c r="L51" s="728"/>
      <c r="M51" s="728"/>
      <c r="N51" s="728"/>
      <c r="O51" s="728"/>
      <c r="P51" s="728"/>
      <c r="Q51" s="728"/>
      <c r="R51" s="728"/>
      <c r="S51" s="728"/>
      <c r="T51" s="728"/>
      <c r="U51" s="728"/>
      <c r="V51" s="728"/>
      <c r="W51" s="728"/>
      <c r="X51" s="728"/>
      <c r="Y51" s="728"/>
      <c r="Z51" s="728"/>
      <c r="AA51" s="728"/>
    </row>
    <row r="52">
      <c r="A52" s="761" t="s">
        <v>2478</v>
      </c>
      <c r="B52" s="763" t="s">
        <v>2479</v>
      </c>
      <c r="C52" s="764" t="s">
        <v>2439</v>
      </c>
      <c r="D52" s="770" t="s">
        <v>2480</v>
      </c>
      <c r="G52" s="728"/>
      <c r="H52" s="728"/>
      <c r="I52" s="728"/>
      <c r="J52" s="728"/>
      <c r="K52" s="728"/>
      <c r="L52" s="728"/>
      <c r="M52" s="728"/>
      <c r="N52" s="728"/>
      <c r="O52" s="728"/>
      <c r="P52" s="728"/>
      <c r="Q52" s="728"/>
      <c r="R52" s="728"/>
      <c r="S52" s="728"/>
      <c r="T52" s="728"/>
      <c r="U52" s="728"/>
      <c r="V52" s="728"/>
      <c r="W52" s="728"/>
      <c r="X52" s="728"/>
      <c r="Y52" s="728"/>
      <c r="Z52" s="728"/>
      <c r="AA52" s="728"/>
    </row>
    <row r="53">
      <c r="A53" s="761" t="s">
        <v>2483</v>
      </c>
      <c r="B53" s="763" t="s">
        <v>1261</v>
      </c>
      <c r="C53" s="764" t="s">
        <v>2439</v>
      </c>
      <c r="D53" s="770" t="s">
        <v>2486</v>
      </c>
      <c r="G53" s="728"/>
      <c r="H53" s="728"/>
      <c r="I53" s="728"/>
      <c r="J53" s="728"/>
      <c r="K53" s="728"/>
      <c r="L53" s="728"/>
      <c r="M53" s="728"/>
      <c r="N53" s="728"/>
      <c r="O53" s="728"/>
      <c r="P53" s="728"/>
      <c r="Q53" s="728"/>
      <c r="R53" s="728"/>
      <c r="S53" s="728"/>
      <c r="T53" s="728"/>
      <c r="U53" s="728"/>
      <c r="V53" s="728"/>
      <c r="W53" s="728"/>
      <c r="X53" s="728"/>
      <c r="Y53" s="728"/>
      <c r="Z53" s="728"/>
      <c r="AA53" s="728"/>
    </row>
    <row r="54">
      <c r="A54" s="761" t="s">
        <v>2487</v>
      </c>
      <c r="B54" s="763" t="s">
        <v>1247</v>
      </c>
      <c r="C54" s="764" t="s">
        <v>2439</v>
      </c>
      <c r="D54" s="770" t="s">
        <v>2488</v>
      </c>
      <c r="G54" s="728"/>
      <c r="H54" s="728"/>
      <c r="I54" s="728"/>
      <c r="J54" s="728"/>
      <c r="K54" s="728"/>
      <c r="L54" s="728"/>
      <c r="M54" s="728"/>
      <c r="N54" s="728"/>
      <c r="O54" s="728"/>
      <c r="P54" s="728"/>
      <c r="Q54" s="728"/>
      <c r="R54" s="728"/>
      <c r="S54" s="728"/>
      <c r="T54" s="728"/>
      <c r="U54" s="728"/>
      <c r="V54" s="728"/>
      <c r="W54" s="728"/>
      <c r="X54" s="728"/>
      <c r="Y54" s="728"/>
      <c r="Z54" s="728"/>
      <c r="AA54" s="728"/>
    </row>
    <row r="55">
      <c r="A55" s="761" t="s">
        <v>2492</v>
      </c>
      <c r="B55" s="763" t="s">
        <v>2493</v>
      </c>
      <c r="C55" s="764" t="s">
        <v>2439</v>
      </c>
      <c r="D55" s="770" t="s">
        <v>2494</v>
      </c>
      <c r="G55" s="728"/>
      <c r="H55" s="728"/>
      <c r="I55" s="728"/>
      <c r="J55" s="728"/>
      <c r="K55" s="728"/>
      <c r="L55" s="728"/>
      <c r="M55" s="728"/>
      <c r="N55" s="728"/>
      <c r="O55" s="728"/>
      <c r="P55" s="728"/>
      <c r="Q55" s="728"/>
      <c r="R55" s="728"/>
      <c r="S55" s="728"/>
      <c r="T55" s="728"/>
      <c r="U55" s="728"/>
      <c r="V55" s="728"/>
      <c r="W55" s="728"/>
      <c r="X55" s="728"/>
      <c r="Y55" s="728"/>
      <c r="Z55" s="728"/>
      <c r="AA55" s="728"/>
    </row>
    <row r="56">
      <c r="A56" s="728"/>
      <c r="B56" s="728"/>
      <c r="C56" s="728"/>
      <c r="D56" s="728"/>
      <c r="E56" s="728"/>
      <c r="F56" s="728"/>
      <c r="G56" s="728"/>
      <c r="H56" s="728"/>
      <c r="I56" s="728"/>
      <c r="J56" s="728"/>
      <c r="K56" s="728"/>
      <c r="L56" s="728"/>
      <c r="M56" s="728"/>
      <c r="N56" s="728"/>
      <c r="O56" s="728"/>
      <c r="P56" s="728"/>
      <c r="Q56" s="728"/>
      <c r="R56" s="728"/>
      <c r="S56" s="728"/>
      <c r="T56" s="728"/>
      <c r="U56" s="728"/>
      <c r="V56" s="728"/>
      <c r="W56" s="728"/>
      <c r="X56" s="728"/>
      <c r="Y56" s="728"/>
      <c r="Z56" s="728"/>
      <c r="AA56" s="728"/>
    </row>
    <row r="57">
      <c r="A57" s="728"/>
      <c r="B57" s="728"/>
      <c r="C57" s="728"/>
      <c r="D57" s="728"/>
      <c r="E57" s="728"/>
      <c r="F57" s="728"/>
      <c r="G57" s="728"/>
      <c r="H57" s="728"/>
      <c r="I57" s="728"/>
      <c r="J57" s="728"/>
      <c r="K57" s="728"/>
      <c r="L57" s="728"/>
      <c r="M57" s="728"/>
      <c r="N57" s="728"/>
      <c r="O57" s="728"/>
      <c r="P57" s="728"/>
      <c r="Q57" s="728"/>
      <c r="R57" s="728"/>
      <c r="S57" s="728"/>
      <c r="T57" s="728"/>
      <c r="U57" s="728"/>
      <c r="V57" s="728"/>
      <c r="W57" s="728"/>
      <c r="X57" s="728"/>
      <c r="Y57" s="728"/>
      <c r="Z57" s="728"/>
      <c r="AA57" s="728"/>
    </row>
    <row r="58">
      <c r="A58" s="728"/>
      <c r="B58" s="728"/>
      <c r="C58" s="728"/>
      <c r="D58" s="728"/>
      <c r="E58" s="728"/>
      <c r="F58" s="728"/>
      <c r="G58" s="728"/>
      <c r="H58" s="728"/>
      <c r="I58" s="728"/>
      <c r="J58" s="728"/>
      <c r="K58" s="728"/>
      <c r="L58" s="728"/>
      <c r="M58" s="728"/>
      <c r="N58" s="728"/>
      <c r="O58" s="728"/>
      <c r="P58" s="728"/>
      <c r="Q58" s="728"/>
      <c r="R58" s="728"/>
      <c r="S58" s="728"/>
      <c r="T58" s="728"/>
      <c r="U58" s="728"/>
      <c r="V58" s="728"/>
      <c r="W58" s="728"/>
      <c r="X58" s="728"/>
      <c r="Y58" s="728"/>
      <c r="Z58" s="728"/>
      <c r="AA58" s="728"/>
    </row>
    <row r="59">
      <c r="A59" s="728"/>
      <c r="B59" s="728"/>
      <c r="C59" s="728"/>
      <c r="D59" s="728"/>
      <c r="E59" s="728"/>
      <c r="F59" s="728"/>
      <c r="G59" s="728"/>
      <c r="H59" s="728"/>
      <c r="I59" s="728"/>
      <c r="J59" s="728"/>
      <c r="K59" s="728"/>
      <c r="L59" s="728"/>
      <c r="M59" s="728"/>
      <c r="N59" s="728"/>
      <c r="O59" s="728"/>
      <c r="P59" s="728"/>
      <c r="Q59" s="728"/>
      <c r="R59" s="728"/>
      <c r="S59" s="728"/>
      <c r="T59" s="728"/>
      <c r="U59" s="728"/>
      <c r="V59" s="728"/>
      <c r="W59" s="728"/>
      <c r="X59" s="728"/>
      <c r="Y59" s="728"/>
      <c r="Z59" s="728"/>
      <c r="AA59" s="728"/>
    </row>
    <row r="60">
      <c r="A60" s="728"/>
      <c r="B60" s="728"/>
      <c r="C60" s="728"/>
      <c r="D60" s="728"/>
      <c r="E60" s="728"/>
      <c r="F60" s="728"/>
      <c r="G60" s="728"/>
      <c r="H60" s="728"/>
      <c r="I60" s="728"/>
      <c r="J60" s="728"/>
      <c r="K60" s="728"/>
      <c r="L60" s="728"/>
      <c r="M60" s="728"/>
      <c r="N60" s="728"/>
      <c r="O60" s="728"/>
      <c r="P60" s="728"/>
      <c r="Q60" s="728"/>
      <c r="R60" s="728"/>
      <c r="S60" s="728"/>
      <c r="T60" s="728"/>
      <c r="U60" s="728"/>
      <c r="V60" s="728"/>
      <c r="W60" s="728"/>
      <c r="X60" s="728"/>
      <c r="Y60" s="728"/>
      <c r="Z60" s="728"/>
      <c r="AA60" s="728"/>
    </row>
    <row r="61">
      <c r="A61" s="728"/>
      <c r="B61" s="728"/>
      <c r="C61" s="728"/>
      <c r="D61" s="728"/>
      <c r="E61" s="728"/>
      <c r="F61" s="728"/>
      <c r="G61" s="728"/>
      <c r="H61" s="728"/>
      <c r="I61" s="728"/>
      <c r="J61" s="728"/>
      <c r="K61" s="728"/>
      <c r="L61" s="728"/>
      <c r="M61" s="728"/>
      <c r="N61" s="728"/>
      <c r="O61" s="728"/>
      <c r="P61" s="728"/>
      <c r="Q61" s="728"/>
      <c r="R61" s="728"/>
      <c r="S61" s="728"/>
      <c r="T61" s="728"/>
      <c r="U61" s="728"/>
      <c r="V61" s="728"/>
      <c r="W61" s="728"/>
      <c r="X61" s="728"/>
      <c r="Y61" s="728"/>
      <c r="Z61" s="728"/>
      <c r="AA61" s="728"/>
    </row>
    <row r="62">
      <c r="A62" s="728"/>
      <c r="B62" s="728"/>
      <c r="C62" s="728"/>
      <c r="D62" s="728"/>
      <c r="E62" s="728"/>
      <c r="F62" s="728"/>
      <c r="G62" s="728"/>
      <c r="H62" s="728"/>
      <c r="I62" s="728"/>
      <c r="J62" s="728"/>
      <c r="K62" s="728"/>
      <c r="L62" s="728"/>
      <c r="M62" s="728"/>
      <c r="N62" s="728"/>
      <c r="O62" s="728"/>
      <c r="P62" s="728"/>
      <c r="Q62" s="728"/>
      <c r="R62" s="728"/>
      <c r="S62" s="728"/>
      <c r="T62" s="728"/>
      <c r="U62" s="728"/>
      <c r="V62" s="728"/>
      <c r="W62" s="728"/>
      <c r="X62" s="728"/>
      <c r="Y62" s="728"/>
      <c r="Z62" s="728"/>
      <c r="AA62" s="728"/>
    </row>
  </sheetData>
  <mergeCells count="40">
    <mergeCell ref="L1:S1"/>
    <mergeCell ref="T1:Y1"/>
    <mergeCell ref="L3:M3"/>
    <mergeCell ref="T3:U3"/>
    <mergeCell ref="T4:W4"/>
    <mergeCell ref="L5:N5"/>
    <mergeCell ref="T6:V6"/>
    <mergeCell ref="L6:N6"/>
    <mergeCell ref="L7:N7"/>
    <mergeCell ref="L8:N8"/>
    <mergeCell ref="T8:W8"/>
    <mergeCell ref="L9:M9"/>
    <mergeCell ref="L10:N10"/>
    <mergeCell ref="T10:U10"/>
    <mergeCell ref="L11:N11"/>
    <mergeCell ref="L12:N12"/>
    <mergeCell ref="L13:N13"/>
    <mergeCell ref="L14:N14"/>
    <mergeCell ref="L15:N15"/>
    <mergeCell ref="L16:N16"/>
    <mergeCell ref="L17:N17"/>
    <mergeCell ref="L18:N18"/>
    <mergeCell ref="L19:N19"/>
    <mergeCell ref="L20:O20"/>
    <mergeCell ref="L21:N21"/>
    <mergeCell ref="L22:N22"/>
    <mergeCell ref="L24:N24"/>
    <mergeCell ref="L25:N25"/>
    <mergeCell ref="D50:F50"/>
    <mergeCell ref="D52:F52"/>
    <mergeCell ref="D53:F53"/>
    <mergeCell ref="D54:F54"/>
    <mergeCell ref="D55:F55"/>
    <mergeCell ref="L26:M26"/>
    <mergeCell ref="L27:N27"/>
    <mergeCell ref="L28:N28"/>
    <mergeCell ref="D45:E45"/>
    <mergeCell ref="D46:F46"/>
    <mergeCell ref="D47:F47"/>
    <mergeCell ref="D49:F4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2.0"/>
    <col customWidth="1" min="3" max="3" width="14.13"/>
    <col customWidth="1" min="4" max="4" width="26.38"/>
    <col customWidth="1" min="5" max="5" width="15.75"/>
    <col customWidth="1" min="6" max="6" width="22.38"/>
    <col customWidth="1" min="7" max="7" width="14.25"/>
    <col customWidth="1" min="8" max="8" width="13.13"/>
    <col customWidth="1" min="9" max="9" width="16.38"/>
    <col customWidth="1" min="10" max="10" width="13.38"/>
    <col customWidth="1" min="11" max="11" width="37.38"/>
    <col customWidth="1" min="12" max="12" width="61.75"/>
    <col customWidth="1" min="13" max="13" width="36.5"/>
    <col customWidth="1" min="14" max="14" width="9.75"/>
  </cols>
  <sheetData>
    <row r="1">
      <c r="A1" s="774" t="s">
        <v>2575</v>
      </c>
      <c r="B1" s="775" t="s">
        <v>14</v>
      </c>
      <c r="C1" s="775" t="s">
        <v>11</v>
      </c>
      <c r="D1" s="775" t="s">
        <v>16</v>
      </c>
      <c r="E1" s="775" t="s">
        <v>19</v>
      </c>
      <c r="F1" s="776" t="s">
        <v>24</v>
      </c>
      <c r="G1" s="776" t="s">
        <v>29</v>
      </c>
      <c r="H1" s="775" t="s">
        <v>32</v>
      </c>
      <c r="I1" s="775" t="s">
        <v>39</v>
      </c>
      <c r="J1" s="775" t="s">
        <v>41</v>
      </c>
      <c r="K1" s="775" t="s">
        <v>43</v>
      </c>
      <c r="L1" s="775" t="s">
        <v>1042</v>
      </c>
      <c r="M1" s="775" t="s">
        <v>1088</v>
      </c>
      <c r="N1" s="775" t="s">
        <v>1044</v>
      </c>
    </row>
    <row r="2" hidden="1">
      <c r="A2" s="232">
        <v>2019.0</v>
      </c>
      <c r="B2" s="232" t="s">
        <v>446</v>
      </c>
      <c r="C2" s="232" t="s">
        <v>556</v>
      </c>
      <c r="D2" s="232" t="s">
        <v>1012</v>
      </c>
      <c r="E2" s="232">
        <v>7.1220005E7</v>
      </c>
      <c r="F2" s="232" t="s">
        <v>558</v>
      </c>
      <c r="G2" s="232" t="s">
        <v>152</v>
      </c>
      <c r="H2" s="357">
        <v>63000.0</v>
      </c>
      <c r="I2" s="232" t="s">
        <v>560</v>
      </c>
      <c r="J2" s="232" t="s">
        <v>110</v>
      </c>
      <c r="K2" s="232" t="s">
        <v>561</v>
      </c>
      <c r="L2" s="331" t="s">
        <v>563</v>
      </c>
      <c r="M2" s="352"/>
      <c r="N2" s="331">
        <v>4.0</v>
      </c>
    </row>
    <row r="3" hidden="1">
      <c r="A3" s="232">
        <v>2019.0</v>
      </c>
      <c r="B3" s="232" t="s">
        <v>538</v>
      </c>
      <c r="C3" s="232" t="s">
        <v>556</v>
      </c>
      <c r="D3" s="232" t="s">
        <v>989</v>
      </c>
      <c r="E3" s="232">
        <v>7.1220005E7</v>
      </c>
      <c r="F3" s="232" t="s">
        <v>558</v>
      </c>
      <c r="G3" s="232" t="s">
        <v>152</v>
      </c>
      <c r="H3" s="357">
        <v>59000.0</v>
      </c>
      <c r="I3" s="232" t="s">
        <v>560</v>
      </c>
      <c r="J3" s="232" t="s">
        <v>110</v>
      </c>
      <c r="K3" s="232" t="s">
        <v>561</v>
      </c>
      <c r="L3" s="331" t="s">
        <v>563</v>
      </c>
      <c r="M3" s="352"/>
      <c r="N3" s="331">
        <v>5.0</v>
      </c>
    </row>
    <row r="4" hidden="1">
      <c r="A4" s="232">
        <v>2019.0</v>
      </c>
      <c r="B4" s="232" t="s">
        <v>613</v>
      </c>
      <c r="C4" s="232" t="s">
        <v>1065</v>
      </c>
      <c r="D4" s="232" t="s">
        <v>1451</v>
      </c>
      <c r="E4" s="778"/>
      <c r="F4" s="232" t="s">
        <v>151</v>
      </c>
      <c r="G4" s="232" t="s">
        <v>152</v>
      </c>
      <c r="H4" s="357">
        <v>140000.0</v>
      </c>
      <c r="I4" s="232" t="s">
        <v>560</v>
      </c>
      <c r="J4" s="232" t="s">
        <v>110</v>
      </c>
      <c r="K4" s="232" t="s">
        <v>1434</v>
      </c>
      <c r="L4" s="331" t="s">
        <v>1457</v>
      </c>
      <c r="M4" s="352"/>
      <c r="N4" s="331">
        <v>1.0</v>
      </c>
    </row>
    <row r="5" hidden="1">
      <c r="A5" s="232">
        <v>2019.0</v>
      </c>
      <c r="B5" s="232" t="s">
        <v>619</v>
      </c>
      <c r="C5" s="232" t="s">
        <v>556</v>
      </c>
      <c r="D5" s="232" t="s">
        <v>1016</v>
      </c>
      <c r="E5" s="232">
        <v>7.1220005E7</v>
      </c>
      <c r="F5" s="232" t="s">
        <v>558</v>
      </c>
      <c r="G5" s="232" t="s">
        <v>152</v>
      </c>
      <c r="H5" s="357">
        <v>64000.0</v>
      </c>
      <c r="I5" s="232" t="s">
        <v>560</v>
      </c>
      <c r="J5" s="232" t="s">
        <v>110</v>
      </c>
      <c r="K5" s="232" t="s">
        <v>561</v>
      </c>
      <c r="L5" s="331" t="s">
        <v>563</v>
      </c>
      <c r="M5" s="352"/>
      <c r="N5" s="331">
        <v>6.0</v>
      </c>
    </row>
    <row r="6" hidden="1">
      <c r="A6" s="232">
        <v>2019.0</v>
      </c>
      <c r="B6" s="232" t="s">
        <v>632</v>
      </c>
      <c r="C6" s="232" t="s">
        <v>556</v>
      </c>
      <c r="D6" s="232" t="s">
        <v>1014</v>
      </c>
      <c r="E6" s="232">
        <v>7.1220005E7</v>
      </c>
      <c r="F6" s="232" t="s">
        <v>558</v>
      </c>
      <c r="G6" s="232" t="s">
        <v>152</v>
      </c>
      <c r="H6" s="357">
        <v>63000.0</v>
      </c>
      <c r="I6" s="232" t="s">
        <v>560</v>
      </c>
      <c r="J6" s="232" t="s">
        <v>110</v>
      </c>
      <c r="K6" s="232" t="s">
        <v>561</v>
      </c>
      <c r="L6" s="331" t="s">
        <v>563</v>
      </c>
      <c r="M6" s="352"/>
      <c r="N6" s="331">
        <v>7.0</v>
      </c>
    </row>
    <row r="7" hidden="1">
      <c r="A7" s="232">
        <v>2019.0</v>
      </c>
      <c r="B7" s="232" t="s">
        <v>505</v>
      </c>
      <c r="C7" s="232" t="s">
        <v>556</v>
      </c>
      <c r="D7" s="232" t="s">
        <v>557</v>
      </c>
      <c r="E7" s="232">
        <v>7.1220005E7</v>
      </c>
      <c r="F7" s="232" t="s">
        <v>558</v>
      </c>
      <c r="G7" s="232" t="s">
        <v>152</v>
      </c>
      <c r="H7" s="357">
        <v>50000.0</v>
      </c>
      <c r="I7" s="232" t="s">
        <v>560</v>
      </c>
      <c r="J7" s="232" t="s">
        <v>110</v>
      </c>
      <c r="K7" s="232" t="s">
        <v>561</v>
      </c>
      <c r="L7" s="331" t="s">
        <v>563</v>
      </c>
      <c r="M7" s="352"/>
      <c r="N7" s="331">
        <v>8.0</v>
      </c>
    </row>
    <row r="8" hidden="1">
      <c r="A8" s="232">
        <v>2019.0</v>
      </c>
      <c r="B8" s="232" t="s">
        <v>678</v>
      </c>
      <c r="C8" s="232" t="s">
        <v>556</v>
      </c>
      <c r="D8" s="232" t="s">
        <v>1057</v>
      </c>
      <c r="E8" s="232">
        <v>7.1220005E7</v>
      </c>
      <c r="F8" s="232" t="s">
        <v>558</v>
      </c>
      <c r="G8" s="232" t="s">
        <v>152</v>
      </c>
      <c r="H8" s="357">
        <v>78705.88</v>
      </c>
      <c r="I8" s="232" t="s">
        <v>560</v>
      </c>
      <c r="J8" s="232" t="s">
        <v>110</v>
      </c>
      <c r="K8" s="232" t="s">
        <v>561</v>
      </c>
      <c r="L8" s="331" t="s">
        <v>563</v>
      </c>
      <c r="M8" s="352"/>
      <c r="N8" s="331">
        <v>9.0</v>
      </c>
    </row>
    <row r="9" hidden="1">
      <c r="A9" s="232">
        <v>2019.0</v>
      </c>
      <c r="B9" s="232" t="s">
        <v>191</v>
      </c>
      <c r="C9" s="232" t="s">
        <v>485</v>
      </c>
      <c r="D9" s="232" t="s">
        <v>606</v>
      </c>
      <c r="E9" s="232">
        <v>7.1220009E7</v>
      </c>
      <c r="F9" s="232" t="s">
        <v>488</v>
      </c>
      <c r="G9" s="232" t="s">
        <v>84</v>
      </c>
      <c r="H9" s="357">
        <v>250000.0</v>
      </c>
      <c r="I9" s="232" t="s">
        <v>389</v>
      </c>
      <c r="J9" s="232" t="s">
        <v>110</v>
      </c>
      <c r="K9" s="232" t="s">
        <v>1076</v>
      </c>
      <c r="L9" s="331" t="s">
        <v>1606</v>
      </c>
      <c r="M9" s="779" t="s">
        <v>1727</v>
      </c>
      <c r="N9" s="331">
        <v>14.0</v>
      </c>
    </row>
    <row r="10" hidden="1">
      <c r="A10" s="232">
        <v>2019.0</v>
      </c>
      <c r="B10" s="232" t="s">
        <v>198</v>
      </c>
      <c r="C10" s="232" t="s">
        <v>485</v>
      </c>
      <c r="D10" s="232" t="s">
        <v>1610</v>
      </c>
      <c r="E10" s="232">
        <v>7.1220009E7</v>
      </c>
      <c r="F10" s="232" t="s">
        <v>488</v>
      </c>
      <c r="G10" s="232" t="s">
        <v>84</v>
      </c>
      <c r="H10" s="357">
        <v>250000.0</v>
      </c>
      <c r="I10" s="232" t="s">
        <v>389</v>
      </c>
      <c r="J10" s="232" t="s">
        <v>110</v>
      </c>
      <c r="K10" s="232" t="s">
        <v>1076</v>
      </c>
      <c r="L10" s="352"/>
      <c r="M10" s="352"/>
      <c r="N10" s="331">
        <v>15.0</v>
      </c>
    </row>
    <row r="11" hidden="1">
      <c r="A11" s="232">
        <v>2019.0</v>
      </c>
      <c r="B11" s="232" t="s">
        <v>470</v>
      </c>
      <c r="C11" s="232" t="s">
        <v>556</v>
      </c>
      <c r="D11" s="232" t="s">
        <v>927</v>
      </c>
      <c r="E11" s="232">
        <v>7.1220005E7</v>
      </c>
      <c r="F11" s="232" t="s">
        <v>558</v>
      </c>
      <c r="G11" s="232" t="s">
        <v>152</v>
      </c>
      <c r="H11" s="357">
        <v>54000.0</v>
      </c>
      <c r="I11" s="232" t="s">
        <v>560</v>
      </c>
      <c r="J11" s="232" t="s">
        <v>110</v>
      </c>
      <c r="K11" s="232" t="s">
        <v>561</v>
      </c>
      <c r="L11" s="331" t="s">
        <v>563</v>
      </c>
      <c r="M11" s="352"/>
      <c r="N11" s="331">
        <v>10.0</v>
      </c>
    </row>
    <row r="12" hidden="1">
      <c r="A12" s="232">
        <v>2019.0</v>
      </c>
      <c r="B12" s="232" t="s">
        <v>810</v>
      </c>
      <c r="C12" s="232" t="s">
        <v>556</v>
      </c>
      <c r="D12" s="232" t="s">
        <v>1018</v>
      </c>
      <c r="E12" s="232">
        <v>7.1220005E7</v>
      </c>
      <c r="F12" s="232" t="s">
        <v>558</v>
      </c>
      <c r="G12" s="232" t="s">
        <v>152</v>
      </c>
      <c r="H12" s="357">
        <v>66000.0</v>
      </c>
      <c r="I12" s="232" t="s">
        <v>560</v>
      </c>
      <c r="J12" s="232" t="s">
        <v>110</v>
      </c>
      <c r="K12" s="232" t="s">
        <v>561</v>
      </c>
      <c r="L12" s="331" t="s">
        <v>563</v>
      </c>
      <c r="M12" s="352"/>
      <c r="N12" s="331">
        <v>11.0</v>
      </c>
    </row>
    <row r="13" hidden="1">
      <c r="A13" s="232">
        <v>2019.0</v>
      </c>
      <c r="B13" s="232" t="s">
        <v>462</v>
      </c>
      <c r="C13" s="232" t="s">
        <v>485</v>
      </c>
      <c r="D13" s="232" t="s">
        <v>1105</v>
      </c>
      <c r="E13" s="232">
        <v>7.1220009E7</v>
      </c>
      <c r="F13" s="232" t="s">
        <v>488</v>
      </c>
      <c r="G13" s="232" t="s">
        <v>84</v>
      </c>
      <c r="H13" s="357">
        <v>250000.0</v>
      </c>
      <c r="I13" s="232" t="s">
        <v>389</v>
      </c>
      <c r="J13" s="232" t="s">
        <v>110</v>
      </c>
      <c r="K13" s="232" t="s">
        <v>1076</v>
      </c>
      <c r="L13" s="352"/>
      <c r="M13" s="352"/>
      <c r="N13" s="331">
        <v>16.0</v>
      </c>
    </row>
    <row r="14" hidden="1">
      <c r="A14" s="232">
        <v>2019.0</v>
      </c>
      <c r="B14" s="232" t="s">
        <v>646</v>
      </c>
      <c r="C14" s="232" t="s">
        <v>485</v>
      </c>
      <c r="D14" s="232" t="s">
        <v>652</v>
      </c>
      <c r="E14" s="232">
        <v>7.1220009E7</v>
      </c>
      <c r="F14" s="232" t="s">
        <v>488</v>
      </c>
      <c r="G14" s="232" t="s">
        <v>84</v>
      </c>
      <c r="H14" s="357">
        <v>250000.0</v>
      </c>
      <c r="I14" s="232" t="s">
        <v>389</v>
      </c>
      <c r="J14" s="232" t="s">
        <v>110</v>
      </c>
      <c r="K14" s="232" t="s">
        <v>1076</v>
      </c>
      <c r="L14" s="352"/>
      <c r="M14" s="352"/>
      <c r="N14" s="331">
        <v>17.0</v>
      </c>
    </row>
    <row r="15" hidden="1">
      <c r="A15" s="232">
        <v>2019.0</v>
      </c>
      <c r="B15" s="232" t="s">
        <v>673</v>
      </c>
      <c r="C15" s="232" t="s">
        <v>485</v>
      </c>
      <c r="D15" s="232" t="s">
        <v>682</v>
      </c>
      <c r="E15" s="232">
        <v>7.1220009E7</v>
      </c>
      <c r="F15" s="232" t="s">
        <v>488</v>
      </c>
      <c r="G15" s="232" t="s">
        <v>84</v>
      </c>
      <c r="H15" s="357">
        <v>250000.0</v>
      </c>
      <c r="I15" s="232" t="s">
        <v>389</v>
      </c>
      <c r="J15" s="232" t="s">
        <v>110</v>
      </c>
      <c r="K15" s="232" t="s">
        <v>1076</v>
      </c>
      <c r="L15" s="352"/>
      <c r="M15" s="352"/>
      <c r="N15" s="331">
        <v>18.0</v>
      </c>
    </row>
    <row r="16" hidden="1">
      <c r="A16" s="232">
        <v>2019.0</v>
      </c>
      <c r="B16" s="232" t="s">
        <v>797</v>
      </c>
      <c r="C16" s="232" t="s">
        <v>1065</v>
      </c>
      <c r="D16" s="232" t="s">
        <v>1425</v>
      </c>
      <c r="E16" s="780"/>
      <c r="F16" s="232" t="s">
        <v>151</v>
      </c>
      <c r="G16" s="232" t="s">
        <v>152</v>
      </c>
      <c r="H16" s="357">
        <v>140000.0</v>
      </c>
      <c r="I16" s="232" t="s">
        <v>560</v>
      </c>
      <c r="J16" s="232" t="s">
        <v>110</v>
      </c>
      <c r="K16" s="232" t="s">
        <v>1434</v>
      </c>
      <c r="L16" s="331" t="s">
        <v>1457</v>
      </c>
      <c r="M16" s="352"/>
      <c r="N16" s="331">
        <v>2.0</v>
      </c>
    </row>
    <row r="17" hidden="1">
      <c r="A17" s="232">
        <v>2019.0</v>
      </c>
      <c r="B17" s="232" t="s">
        <v>888</v>
      </c>
      <c r="C17" s="232" t="s">
        <v>485</v>
      </c>
      <c r="D17" s="232" t="s">
        <v>1821</v>
      </c>
      <c r="E17" s="232">
        <v>7.1220009E7</v>
      </c>
      <c r="F17" s="232" t="s">
        <v>488</v>
      </c>
      <c r="G17" s="232" t="s">
        <v>84</v>
      </c>
      <c r="H17" s="357">
        <v>250000.0</v>
      </c>
      <c r="I17" s="232" t="s">
        <v>389</v>
      </c>
      <c r="J17" s="232" t="s">
        <v>110</v>
      </c>
      <c r="K17" s="232" t="s">
        <v>1076</v>
      </c>
      <c r="L17" s="331" t="s">
        <v>1822</v>
      </c>
      <c r="M17" s="779" t="s">
        <v>1975</v>
      </c>
      <c r="N17" s="331">
        <v>19.0</v>
      </c>
    </row>
    <row r="18" hidden="1">
      <c r="A18" s="232">
        <v>2019.0</v>
      </c>
      <c r="B18" s="232" t="s">
        <v>904</v>
      </c>
      <c r="C18" s="232" t="s">
        <v>139</v>
      </c>
      <c r="D18" s="232" t="s">
        <v>1450</v>
      </c>
      <c r="E18" s="780"/>
      <c r="F18" s="232" t="s">
        <v>151</v>
      </c>
      <c r="G18" s="232" t="s">
        <v>152</v>
      </c>
      <c r="H18" s="322">
        <v>140000.0</v>
      </c>
      <c r="I18" s="232" t="s">
        <v>560</v>
      </c>
      <c r="J18" s="232" t="s">
        <v>110</v>
      </c>
      <c r="K18" s="232" t="s">
        <v>1452</v>
      </c>
      <c r="L18" s="331" t="s">
        <v>1677</v>
      </c>
      <c r="M18" s="781" t="s">
        <v>2602</v>
      </c>
      <c r="N18" s="331">
        <v>22.0</v>
      </c>
    </row>
    <row r="19" hidden="1">
      <c r="A19" s="232">
        <v>2019.0</v>
      </c>
      <c r="B19" s="232" t="s">
        <v>909</v>
      </c>
      <c r="C19" s="232" t="s">
        <v>556</v>
      </c>
      <c r="D19" s="232" t="s">
        <v>940</v>
      </c>
      <c r="E19" s="232">
        <v>7.1220005E7</v>
      </c>
      <c r="F19" s="232" t="s">
        <v>558</v>
      </c>
      <c r="G19" s="232" t="s">
        <v>152</v>
      </c>
      <c r="H19" s="357">
        <v>55000.0</v>
      </c>
      <c r="I19" s="232" t="s">
        <v>560</v>
      </c>
      <c r="J19" s="232" t="s">
        <v>110</v>
      </c>
      <c r="K19" s="232" t="s">
        <v>561</v>
      </c>
      <c r="L19" s="352"/>
      <c r="M19" s="352"/>
      <c r="N19" s="331">
        <v>12.0</v>
      </c>
    </row>
    <row r="20" hidden="1">
      <c r="A20" s="232">
        <v>2019.0</v>
      </c>
      <c r="B20" s="232" t="s">
        <v>333</v>
      </c>
      <c r="C20" s="232" t="s">
        <v>485</v>
      </c>
      <c r="D20" s="232" t="s">
        <v>1864</v>
      </c>
      <c r="E20" s="232">
        <v>7.1220009E7</v>
      </c>
      <c r="F20" s="232" t="s">
        <v>488</v>
      </c>
      <c r="G20" s="232" t="s">
        <v>84</v>
      </c>
      <c r="H20" s="357">
        <v>250000.0</v>
      </c>
      <c r="I20" s="232" t="s">
        <v>389</v>
      </c>
      <c r="J20" s="232" t="s">
        <v>110</v>
      </c>
      <c r="K20" s="232" t="s">
        <v>1076</v>
      </c>
      <c r="L20" s="331" t="s">
        <v>1866</v>
      </c>
      <c r="M20" s="352"/>
      <c r="N20" s="331">
        <v>20.0</v>
      </c>
    </row>
    <row r="21" hidden="1">
      <c r="A21" s="232">
        <v>2019.0</v>
      </c>
      <c r="B21" s="232" t="s">
        <v>2605</v>
      </c>
      <c r="C21" s="232" t="s">
        <v>556</v>
      </c>
      <c r="D21" s="232" t="s">
        <v>918</v>
      </c>
      <c r="E21" s="232">
        <v>7.1220005E7</v>
      </c>
      <c r="F21" s="232" t="s">
        <v>558</v>
      </c>
      <c r="G21" s="232" t="s">
        <v>152</v>
      </c>
      <c r="H21" s="357">
        <v>54000.0</v>
      </c>
      <c r="I21" s="232" t="s">
        <v>389</v>
      </c>
      <c r="J21" s="232" t="s">
        <v>2606</v>
      </c>
      <c r="K21" s="232" t="s">
        <v>561</v>
      </c>
      <c r="L21" s="352"/>
      <c r="M21" s="352"/>
      <c r="N21" s="331">
        <v>13.0</v>
      </c>
    </row>
    <row r="22" hidden="1">
      <c r="A22" s="232">
        <v>2019.0</v>
      </c>
      <c r="B22" s="232" t="s">
        <v>298</v>
      </c>
      <c r="C22" s="232" t="s">
        <v>485</v>
      </c>
      <c r="D22" s="232" t="s">
        <v>815</v>
      </c>
      <c r="E22" s="232">
        <v>7.1220009E7</v>
      </c>
      <c r="F22" s="232" t="s">
        <v>488</v>
      </c>
      <c r="G22" s="232" t="s">
        <v>84</v>
      </c>
      <c r="H22" s="357">
        <v>250000.0</v>
      </c>
      <c r="I22" s="232" t="s">
        <v>389</v>
      </c>
      <c r="J22" s="232" t="s">
        <v>110</v>
      </c>
      <c r="K22" s="232" t="s">
        <v>1076</v>
      </c>
      <c r="L22" s="331" t="s">
        <v>1903</v>
      </c>
      <c r="M22" s="779" t="s">
        <v>2034</v>
      </c>
      <c r="N22" s="331">
        <v>21.0</v>
      </c>
    </row>
    <row r="23" hidden="1">
      <c r="A23" s="232">
        <v>2019.0</v>
      </c>
      <c r="B23" s="232" t="s">
        <v>973</v>
      </c>
      <c r="C23" s="232" t="s">
        <v>1065</v>
      </c>
      <c r="D23" s="232" t="s">
        <v>1491</v>
      </c>
      <c r="E23" s="780"/>
      <c r="F23" s="232" t="s">
        <v>151</v>
      </c>
      <c r="G23" s="232" t="s">
        <v>152</v>
      </c>
      <c r="H23" s="357">
        <v>140000.0</v>
      </c>
      <c r="I23" s="232" t="s">
        <v>560</v>
      </c>
      <c r="J23" s="232" t="s">
        <v>110</v>
      </c>
      <c r="K23" s="232" t="s">
        <v>1434</v>
      </c>
      <c r="L23" s="331" t="s">
        <v>1457</v>
      </c>
      <c r="M23" s="352"/>
      <c r="N23" s="331">
        <v>3.0</v>
      </c>
    </row>
    <row r="24" hidden="1">
      <c r="A24" s="342">
        <v>2020.0</v>
      </c>
      <c r="B24" s="342" t="s">
        <v>178</v>
      </c>
      <c r="C24" s="342" t="s">
        <v>566</v>
      </c>
      <c r="D24" s="342" t="s">
        <v>567</v>
      </c>
      <c r="E24" s="349" t="s">
        <v>578</v>
      </c>
      <c r="F24" s="342" t="s">
        <v>488</v>
      </c>
      <c r="G24" s="342" t="s">
        <v>84</v>
      </c>
      <c r="H24" s="322">
        <v>50000.0</v>
      </c>
      <c r="I24" s="342" t="s">
        <v>570</v>
      </c>
      <c r="J24" s="342" t="s">
        <v>110</v>
      </c>
      <c r="K24" s="342" t="s">
        <v>571</v>
      </c>
      <c r="L24" s="352"/>
      <c r="M24" s="352"/>
      <c r="N24" s="331">
        <v>104.0</v>
      </c>
    </row>
    <row r="25" hidden="1">
      <c r="A25" s="232">
        <v>2020.0</v>
      </c>
      <c r="B25" s="232" t="s">
        <v>192</v>
      </c>
      <c r="C25" s="232" t="s">
        <v>14</v>
      </c>
      <c r="D25" s="232" t="s">
        <v>74</v>
      </c>
      <c r="E25" s="232">
        <v>4.1160001E7</v>
      </c>
      <c r="F25" s="232" t="s">
        <v>193</v>
      </c>
      <c r="G25" s="232" t="s">
        <v>84</v>
      </c>
      <c r="H25" s="357">
        <v>100000.0</v>
      </c>
      <c r="I25" s="232" t="s">
        <v>490</v>
      </c>
      <c r="J25" s="232" t="s">
        <v>110</v>
      </c>
      <c r="K25" s="232" t="s">
        <v>1026</v>
      </c>
      <c r="L25" s="352"/>
      <c r="M25" s="352"/>
      <c r="N25" s="331">
        <v>103.0</v>
      </c>
    </row>
    <row r="26" hidden="1">
      <c r="A26" s="232">
        <v>2020.0</v>
      </c>
      <c r="B26" s="232" t="s">
        <v>116</v>
      </c>
      <c r="C26" s="232" t="s">
        <v>485</v>
      </c>
      <c r="D26" s="232" t="s">
        <v>1108</v>
      </c>
      <c r="E26" s="232">
        <v>4.1160005E7</v>
      </c>
      <c r="F26" s="232" t="s">
        <v>488</v>
      </c>
      <c r="G26" s="232" t="s">
        <v>84</v>
      </c>
      <c r="H26" s="357">
        <v>100000.0</v>
      </c>
      <c r="I26" s="232" t="s">
        <v>490</v>
      </c>
      <c r="J26" s="232" t="s">
        <v>110</v>
      </c>
      <c r="K26" s="232" t="s">
        <v>1076</v>
      </c>
      <c r="L26" s="352"/>
      <c r="M26" s="781" t="s">
        <v>1464</v>
      </c>
      <c r="N26" s="331">
        <v>24.0</v>
      </c>
    </row>
    <row r="27" hidden="1">
      <c r="A27" s="342">
        <v>2020.0</v>
      </c>
      <c r="B27" s="342" t="s">
        <v>116</v>
      </c>
      <c r="C27" s="342" t="s">
        <v>139</v>
      </c>
      <c r="D27" s="782" t="s">
        <v>146</v>
      </c>
      <c r="E27" s="783">
        <v>4.116001E7</v>
      </c>
      <c r="F27" s="342" t="s">
        <v>151</v>
      </c>
      <c r="G27" s="342" t="s">
        <v>152</v>
      </c>
      <c r="H27" s="322">
        <v>12142.85</v>
      </c>
      <c r="I27" s="342" t="s">
        <v>155</v>
      </c>
      <c r="J27" s="342" t="s">
        <v>1352</v>
      </c>
      <c r="K27" s="342" t="s">
        <v>161</v>
      </c>
      <c r="L27" s="342"/>
      <c r="M27" s="419" t="s">
        <v>2619</v>
      </c>
      <c r="N27" s="342">
        <v>125.0</v>
      </c>
    </row>
    <row r="28" hidden="1">
      <c r="A28" s="232">
        <v>2020.0</v>
      </c>
      <c r="B28" s="232" t="s">
        <v>311</v>
      </c>
      <c r="C28" s="232" t="s">
        <v>14</v>
      </c>
      <c r="D28" s="232" t="s">
        <v>74</v>
      </c>
      <c r="E28" s="232">
        <v>4.1160001E7</v>
      </c>
      <c r="F28" s="232" t="s">
        <v>193</v>
      </c>
      <c r="G28" s="232" t="s">
        <v>84</v>
      </c>
      <c r="H28" s="357">
        <v>100000.0</v>
      </c>
      <c r="I28" s="232" t="s">
        <v>490</v>
      </c>
      <c r="J28" s="342" t="s">
        <v>110</v>
      </c>
      <c r="K28" s="380" t="s">
        <v>1023</v>
      </c>
      <c r="L28" s="352"/>
      <c r="M28" s="352"/>
      <c r="N28" s="331">
        <v>82.0</v>
      </c>
    </row>
    <row r="29" hidden="1">
      <c r="A29" s="232">
        <v>2020.0</v>
      </c>
      <c r="B29" s="232" t="s">
        <v>76</v>
      </c>
      <c r="C29" s="232" t="s">
        <v>485</v>
      </c>
      <c r="D29" s="232" t="s">
        <v>1116</v>
      </c>
      <c r="E29" s="232">
        <v>4.1160005E7</v>
      </c>
      <c r="F29" s="232" t="s">
        <v>488</v>
      </c>
      <c r="G29" s="232" t="s">
        <v>84</v>
      </c>
      <c r="H29" s="357">
        <v>100000.0</v>
      </c>
      <c r="I29" s="232" t="s">
        <v>490</v>
      </c>
      <c r="J29" s="232" t="s">
        <v>110</v>
      </c>
      <c r="K29" s="232" t="s">
        <v>1076</v>
      </c>
      <c r="L29" s="331" t="s">
        <v>1117</v>
      </c>
      <c r="M29" s="779" t="s">
        <v>1528</v>
      </c>
      <c r="N29" s="331">
        <v>25.0</v>
      </c>
    </row>
    <row r="30" hidden="1">
      <c r="A30" s="232">
        <v>2020.0</v>
      </c>
      <c r="B30" s="232" t="s">
        <v>82</v>
      </c>
      <c r="C30" s="232" t="s">
        <v>14</v>
      </c>
      <c r="D30" s="232" t="s">
        <v>74</v>
      </c>
      <c r="E30" s="232">
        <v>4.1160001E7</v>
      </c>
      <c r="F30" s="232" t="s">
        <v>193</v>
      </c>
      <c r="G30" s="232" t="s">
        <v>84</v>
      </c>
      <c r="H30" s="357">
        <v>100000.0</v>
      </c>
      <c r="I30" s="232" t="s">
        <v>490</v>
      </c>
      <c r="J30" s="342" t="s">
        <v>110</v>
      </c>
      <c r="K30" s="232" t="s">
        <v>1023</v>
      </c>
      <c r="L30" s="352"/>
      <c r="M30" s="352"/>
      <c r="N30" s="331">
        <v>76.0</v>
      </c>
    </row>
    <row r="31" hidden="1">
      <c r="A31" s="232">
        <v>2020.0</v>
      </c>
      <c r="B31" s="232" t="s">
        <v>450</v>
      </c>
      <c r="C31" s="232" t="s">
        <v>14</v>
      </c>
      <c r="D31" s="232" t="s">
        <v>74</v>
      </c>
      <c r="E31" s="232">
        <v>4.1160001E7</v>
      </c>
      <c r="F31" s="232" t="s">
        <v>193</v>
      </c>
      <c r="G31" s="232" t="s">
        <v>84</v>
      </c>
      <c r="H31" s="357">
        <v>67500.0</v>
      </c>
      <c r="I31" s="232" t="s">
        <v>490</v>
      </c>
      <c r="J31" s="342" t="s">
        <v>110</v>
      </c>
      <c r="K31" s="232" t="s">
        <v>1023</v>
      </c>
      <c r="L31" s="352"/>
      <c r="M31" s="352"/>
      <c r="N31" s="331">
        <v>77.0</v>
      </c>
    </row>
    <row r="32" hidden="1">
      <c r="A32" s="232">
        <v>2020.0</v>
      </c>
      <c r="B32" s="232" t="s">
        <v>463</v>
      </c>
      <c r="C32" s="232" t="s">
        <v>14</v>
      </c>
      <c r="D32" s="232" t="s">
        <v>74</v>
      </c>
      <c r="E32" s="232">
        <v>4.1160001E7</v>
      </c>
      <c r="F32" s="232" t="s">
        <v>193</v>
      </c>
      <c r="G32" s="232" t="s">
        <v>84</v>
      </c>
      <c r="H32" s="357">
        <v>100000.0</v>
      </c>
      <c r="I32" s="232" t="s">
        <v>490</v>
      </c>
      <c r="J32" s="342" t="s">
        <v>110</v>
      </c>
      <c r="K32" s="407" t="s">
        <v>1023</v>
      </c>
      <c r="L32" s="331" t="s">
        <v>1121</v>
      </c>
      <c r="M32" s="779" t="s">
        <v>1528</v>
      </c>
      <c r="N32" s="331">
        <v>78.0</v>
      </c>
    </row>
    <row r="33" hidden="1">
      <c r="A33" s="232">
        <v>2020.0</v>
      </c>
      <c r="B33" s="232" t="s">
        <v>487</v>
      </c>
      <c r="C33" s="232" t="s">
        <v>1065</v>
      </c>
      <c r="D33" s="232" t="s">
        <v>1066</v>
      </c>
      <c r="E33" s="784"/>
      <c r="F33" s="232" t="s">
        <v>151</v>
      </c>
      <c r="G33" s="232" t="s">
        <v>152</v>
      </c>
      <c r="H33" s="322">
        <v>81280.0</v>
      </c>
      <c r="I33" s="232" t="s">
        <v>389</v>
      </c>
      <c r="J33" s="232" t="s">
        <v>1067</v>
      </c>
      <c r="K33" s="232" t="s">
        <v>1068</v>
      </c>
      <c r="L33" s="331" t="s">
        <v>1069</v>
      </c>
      <c r="M33" s="450"/>
      <c r="N33" s="331">
        <v>113.0</v>
      </c>
    </row>
    <row r="34" hidden="1">
      <c r="A34" s="342">
        <v>2020.0</v>
      </c>
      <c r="B34" s="342" t="s">
        <v>494</v>
      </c>
      <c r="C34" s="232" t="s">
        <v>485</v>
      </c>
      <c r="D34" s="342" t="s">
        <v>1350</v>
      </c>
      <c r="E34" s="349" t="s">
        <v>578</v>
      </c>
      <c r="F34" s="232" t="s">
        <v>488</v>
      </c>
      <c r="G34" s="342" t="s">
        <v>84</v>
      </c>
      <c r="H34" s="322">
        <v>174741.0</v>
      </c>
      <c r="I34" s="342" t="s">
        <v>389</v>
      </c>
      <c r="J34" s="232" t="s">
        <v>110</v>
      </c>
      <c r="K34" s="342" t="s">
        <v>589</v>
      </c>
      <c r="L34" s="352"/>
      <c r="M34" s="352"/>
      <c r="N34" s="331">
        <v>72.0</v>
      </c>
    </row>
    <row r="35" hidden="1">
      <c r="A35" s="232">
        <v>2020.0</v>
      </c>
      <c r="B35" s="232" t="s">
        <v>70</v>
      </c>
      <c r="C35" s="232" t="s">
        <v>485</v>
      </c>
      <c r="D35" s="232" t="s">
        <v>1101</v>
      </c>
      <c r="E35" s="417" t="s">
        <v>578</v>
      </c>
      <c r="F35" s="232" t="s">
        <v>488</v>
      </c>
      <c r="G35" s="232" t="s">
        <v>84</v>
      </c>
      <c r="H35" s="357">
        <v>100000.0</v>
      </c>
      <c r="I35" s="342" t="s">
        <v>389</v>
      </c>
      <c r="J35" s="232" t="s">
        <v>110</v>
      </c>
      <c r="K35" s="342" t="s">
        <v>589</v>
      </c>
      <c r="L35" s="352"/>
      <c r="M35" s="352"/>
      <c r="N35" s="331">
        <v>73.0</v>
      </c>
    </row>
    <row r="36" hidden="1">
      <c r="A36" s="232">
        <v>2020.0</v>
      </c>
      <c r="B36" s="232" t="s">
        <v>515</v>
      </c>
      <c r="C36" s="232" t="s">
        <v>485</v>
      </c>
      <c r="D36" s="232" t="s">
        <v>577</v>
      </c>
      <c r="E36" s="417" t="s">
        <v>578</v>
      </c>
      <c r="F36" s="232" t="s">
        <v>488</v>
      </c>
      <c r="G36" s="232" t="s">
        <v>84</v>
      </c>
      <c r="H36" s="357">
        <v>50000.0</v>
      </c>
      <c r="I36" s="342" t="s">
        <v>389</v>
      </c>
      <c r="J36" s="232" t="s">
        <v>110</v>
      </c>
      <c r="K36" s="342" t="s">
        <v>589</v>
      </c>
      <c r="L36" s="352"/>
      <c r="M36" s="352"/>
      <c r="N36" s="331">
        <v>74.0</v>
      </c>
    </row>
    <row r="37" hidden="1">
      <c r="A37" s="232">
        <v>2020.0</v>
      </c>
      <c r="B37" s="232" t="s">
        <v>515</v>
      </c>
      <c r="C37" s="232" t="s">
        <v>14</v>
      </c>
      <c r="D37" s="232" t="s">
        <v>74</v>
      </c>
      <c r="E37" s="232">
        <v>4.1160001E7</v>
      </c>
      <c r="F37" s="232" t="s">
        <v>193</v>
      </c>
      <c r="G37" s="232" t="s">
        <v>84</v>
      </c>
      <c r="H37" s="357">
        <v>67500.0</v>
      </c>
      <c r="I37" s="232" t="s">
        <v>490</v>
      </c>
      <c r="J37" s="342" t="s">
        <v>110</v>
      </c>
      <c r="K37" s="232" t="s">
        <v>1023</v>
      </c>
      <c r="L37" s="352"/>
      <c r="M37" s="352"/>
      <c r="N37" s="331">
        <v>83.0</v>
      </c>
    </row>
    <row r="38" hidden="1">
      <c r="A38" s="232">
        <v>2020.0</v>
      </c>
      <c r="B38" s="232" t="s">
        <v>180</v>
      </c>
      <c r="C38" s="232" t="s">
        <v>485</v>
      </c>
      <c r="D38" s="232" t="s">
        <v>1372</v>
      </c>
      <c r="E38" s="232">
        <v>4.1160005E7</v>
      </c>
      <c r="F38" s="232" t="s">
        <v>488</v>
      </c>
      <c r="G38" s="232" t="s">
        <v>84</v>
      </c>
      <c r="H38" s="232" t="s">
        <v>2636</v>
      </c>
      <c r="I38" s="232" t="s">
        <v>89</v>
      </c>
      <c r="J38" s="232" t="s">
        <v>110</v>
      </c>
      <c r="K38" s="232" t="s">
        <v>705</v>
      </c>
      <c r="L38" s="331" t="s">
        <v>1374</v>
      </c>
      <c r="M38" s="352"/>
      <c r="N38" s="331">
        <v>29.0</v>
      </c>
    </row>
    <row r="39" hidden="1">
      <c r="A39" s="232">
        <v>2020.0</v>
      </c>
      <c r="B39" s="232" t="s">
        <v>180</v>
      </c>
      <c r="C39" s="232" t="s">
        <v>485</v>
      </c>
      <c r="D39" s="232" t="s">
        <v>700</v>
      </c>
      <c r="E39" s="232">
        <v>4.1160005E7</v>
      </c>
      <c r="F39" s="232" t="s">
        <v>488</v>
      </c>
      <c r="G39" s="232" t="s">
        <v>84</v>
      </c>
      <c r="H39" s="357">
        <v>50000.0</v>
      </c>
      <c r="I39" s="232" t="s">
        <v>89</v>
      </c>
      <c r="J39" s="232" t="s">
        <v>110</v>
      </c>
      <c r="K39" s="232" t="s">
        <v>705</v>
      </c>
      <c r="L39" s="331" t="s">
        <v>708</v>
      </c>
      <c r="M39" s="779" t="s">
        <v>1575</v>
      </c>
      <c r="N39" s="331">
        <v>30.0</v>
      </c>
    </row>
    <row r="40" hidden="1">
      <c r="A40" s="342">
        <v>2020.0</v>
      </c>
      <c r="B40" s="342" t="s">
        <v>525</v>
      </c>
      <c r="C40" s="342" t="s">
        <v>566</v>
      </c>
      <c r="D40" s="342" t="s">
        <v>719</v>
      </c>
      <c r="E40" s="419" t="s">
        <v>578</v>
      </c>
      <c r="F40" s="342" t="s">
        <v>488</v>
      </c>
      <c r="G40" s="342" t="s">
        <v>84</v>
      </c>
      <c r="H40" s="322">
        <v>50000.0</v>
      </c>
      <c r="I40" s="342" t="s">
        <v>724</v>
      </c>
      <c r="J40" s="342" t="s">
        <v>110</v>
      </c>
      <c r="K40" s="342" t="s">
        <v>571</v>
      </c>
      <c r="L40" s="352"/>
      <c r="M40" s="352"/>
      <c r="N40" s="331">
        <v>111.0</v>
      </c>
    </row>
    <row r="41" hidden="1">
      <c r="A41" s="232">
        <v>2020.0</v>
      </c>
      <c r="B41" s="232" t="s">
        <v>538</v>
      </c>
      <c r="C41" s="232" t="s">
        <v>485</v>
      </c>
      <c r="D41" s="232" t="s">
        <v>594</v>
      </c>
      <c r="E41" s="417" t="s">
        <v>578</v>
      </c>
      <c r="F41" s="232" t="s">
        <v>488</v>
      </c>
      <c r="G41" s="232" t="s">
        <v>84</v>
      </c>
      <c r="H41" s="357">
        <v>50000.0</v>
      </c>
      <c r="I41" s="232" t="s">
        <v>389</v>
      </c>
      <c r="J41" s="342" t="s">
        <v>110</v>
      </c>
      <c r="K41" s="342" t="s">
        <v>589</v>
      </c>
      <c r="L41" s="352"/>
      <c r="M41" s="352"/>
      <c r="N41" s="331">
        <v>75.0</v>
      </c>
    </row>
    <row r="42" hidden="1">
      <c r="A42" s="232">
        <v>2020.0</v>
      </c>
      <c r="B42" s="232" t="s">
        <v>544</v>
      </c>
      <c r="C42" s="232" t="s">
        <v>14</v>
      </c>
      <c r="D42" s="232" t="s">
        <v>74</v>
      </c>
      <c r="E42" s="232">
        <v>4.1160001E7</v>
      </c>
      <c r="F42" s="232" t="s">
        <v>193</v>
      </c>
      <c r="G42" s="232" t="s">
        <v>84</v>
      </c>
      <c r="H42" s="357">
        <v>100000.0</v>
      </c>
      <c r="I42" s="232" t="s">
        <v>490</v>
      </c>
      <c r="J42" s="342" t="s">
        <v>110</v>
      </c>
      <c r="K42" s="232" t="s">
        <v>1023</v>
      </c>
      <c r="L42" s="352"/>
      <c r="M42" s="352"/>
      <c r="N42" s="331">
        <v>84.0</v>
      </c>
    </row>
    <row r="43" hidden="1">
      <c r="A43" s="232">
        <v>2020.0</v>
      </c>
      <c r="B43" s="232" t="s">
        <v>1109</v>
      </c>
      <c r="C43" s="232" t="s">
        <v>485</v>
      </c>
      <c r="D43" s="232" t="s">
        <v>1388</v>
      </c>
      <c r="E43" s="232">
        <v>4.1160005E7</v>
      </c>
      <c r="F43" s="232" t="s">
        <v>488</v>
      </c>
      <c r="G43" s="232" t="s">
        <v>84</v>
      </c>
      <c r="H43" s="357">
        <v>300000.0</v>
      </c>
      <c r="I43" s="232" t="s">
        <v>490</v>
      </c>
      <c r="J43" s="342" t="s">
        <v>110</v>
      </c>
      <c r="K43" s="232" t="s">
        <v>1076</v>
      </c>
      <c r="L43" s="331" t="s">
        <v>1390</v>
      </c>
      <c r="M43" s="779" t="s">
        <v>1597</v>
      </c>
      <c r="N43" s="331">
        <v>26.0</v>
      </c>
    </row>
    <row r="44" hidden="1">
      <c r="A44" s="232">
        <v>2020.0</v>
      </c>
      <c r="B44" s="232" t="s">
        <v>1109</v>
      </c>
      <c r="C44" s="232" t="s">
        <v>485</v>
      </c>
      <c r="D44" s="232" t="s">
        <v>1392</v>
      </c>
      <c r="E44" s="232">
        <v>4.1160005E7</v>
      </c>
      <c r="F44" s="232" t="s">
        <v>488</v>
      </c>
      <c r="G44" s="232" t="s">
        <v>84</v>
      </c>
      <c r="H44" s="357">
        <v>200000.0</v>
      </c>
      <c r="I44" s="232" t="s">
        <v>490</v>
      </c>
      <c r="J44" s="342" t="s">
        <v>110</v>
      </c>
      <c r="K44" s="232" t="s">
        <v>1076</v>
      </c>
      <c r="L44" s="331" t="s">
        <v>1399</v>
      </c>
      <c r="M44" s="779" t="s">
        <v>1600</v>
      </c>
      <c r="N44" s="331">
        <v>27.0</v>
      </c>
    </row>
    <row r="45" hidden="1">
      <c r="A45" s="232">
        <v>2020.0</v>
      </c>
      <c r="B45" s="232" t="s">
        <v>102</v>
      </c>
      <c r="C45" s="232" t="s">
        <v>485</v>
      </c>
      <c r="D45" s="232" t="s">
        <v>1480</v>
      </c>
      <c r="E45" s="417" t="s">
        <v>578</v>
      </c>
      <c r="F45" s="232" t="s">
        <v>488</v>
      </c>
      <c r="G45" s="232" t="s">
        <v>152</v>
      </c>
      <c r="H45" s="357">
        <v>1874000.0</v>
      </c>
      <c r="I45" s="232" t="s">
        <v>389</v>
      </c>
      <c r="J45" s="342" t="s">
        <v>110</v>
      </c>
      <c r="K45" s="232" t="s">
        <v>1483</v>
      </c>
      <c r="L45" s="450" t="s">
        <v>1484</v>
      </c>
      <c r="M45" s="781" t="s">
        <v>2649</v>
      </c>
      <c r="N45" s="331">
        <v>23.0</v>
      </c>
    </row>
    <row r="46" hidden="1">
      <c r="A46" s="232">
        <v>2020.0</v>
      </c>
      <c r="B46" s="232" t="s">
        <v>102</v>
      </c>
      <c r="C46" s="232" t="s">
        <v>14</v>
      </c>
      <c r="D46" s="232" t="s">
        <v>74</v>
      </c>
      <c r="E46" s="232">
        <v>4.1160001E7</v>
      </c>
      <c r="F46" s="232" t="s">
        <v>193</v>
      </c>
      <c r="G46" s="232" t="s">
        <v>84</v>
      </c>
      <c r="H46" s="357">
        <v>100000.0</v>
      </c>
      <c r="I46" s="232" t="s">
        <v>490</v>
      </c>
      <c r="J46" s="342" t="s">
        <v>110</v>
      </c>
      <c r="K46" s="232" t="s">
        <v>1023</v>
      </c>
      <c r="L46" s="352"/>
      <c r="M46" s="352"/>
      <c r="N46" s="331">
        <v>85.0</v>
      </c>
    </row>
    <row r="47" hidden="1">
      <c r="A47" s="232">
        <v>2020.0</v>
      </c>
      <c r="B47" s="232" t="s">
        <v>102</v>
      </c>
      <c r="C47" s="232" t="s">
        <v>1065</v>
      </c>
      <c r="D47" s="232" t="s">
        <v>1143</v>
      </c>
      <c r="E47" s="784"/>
      <c r="F47" s="232" t="s">
        <v>151</v>
      </c>
      <c r="G47" s="232" t="s">
        <v>152</v>
      </c>
      <c r="H47" s="322">
        <v>209500.0</v>
      </c>
      <c r="I47" s="232" t="s">
        <v>389</v>
      </c>
      <c r="J47" s="232" t="s">
        <v>1067</v>
      </c>
      <c r="K47" s="232" t="s">
        <v>1144</v>
      </c>
      <c r="L47" s="331" t="s">
        <v>1509</v>
      </c>
      <c r="M47" s="450"/>
      <c r="N47" s="331">
        <v>114.0</v>
      </c>
    </row>
    <row r="48" hidden="1">
      <c r="A48" s="342">
        <v>2020.0</v>
      </c>
      <c r="B48" s="342" t="s">
        <v>102</v>
      </c>
      <c r="C48" s="342" t="s">
        <v>1094</v>
      </c>
      <c r="D48" s="342" t="s">
        <v>1133</v>
      </c>
      <c r="E48" s="791">
        <v>4.1160012E7</v>
      </c>
      <c r="F48" s="342" t="s">
        <v>151</v>
      </c>
      <c r="G48" s="342" t="s">
        <v>152</v>
      </c>
      <c r="H48" s="322">
        <v>162125.0</v>
      </c>
      <c r="I48" s="342" t="s">
        <v>155</v>
      </c>
      <c r="J48" s="342" t="s">
        <v>1134</v>
      </c>
      <c r="K48" s="792" t="s">
        <v>1136</v>
      </c>
      <c r="L48" s="342"/>
      <c r="M48" s="419" t="s">
        <v>2654</v>
      </c>
      <c r="N48" s="342">
        <v>120.0</v>
      </c>
    </row>
    <row r="49" hidden="1">
      <c r="A49" s="232">
        <v>2020.0</v>
      </c>
      <c r="B49" s="232" t="s">
        <v>141</v>
      </c>
      <c r="C49" s="232" t="s">
        <v>14</v>
      </c>
      <c r="D49" s="232" t="s">
        <v>74</v>
      </c>
      <c r="E49" s="232">
        <v>4.1160009E7</v>
      </c>
      <c r="F49" s="232" t="s">
        <v>488</v>
      </c>
      <c r="G49" s="232" t="s">
        <v>84</v>
      </c>
      <c r="H49" s="357">
        <v>150000.0</v>
      </c>
      <c r="I49" s="232" t="s">
        <v>490</v>
      </c>
      <c r="J49" s="342" t="s">
        <v>110</v>
      </c>
      <c r="K49" s="232" t="s">
        <v>491</v>
      </c>
      <c r="L49" s="331" t="s">
        <v>1545</v>
      </c>
      <c r="M49" s="779" t="s">
        <v>1662</v>
      </c>
      <c r="N49" s="331">
        <v>86.0</v>
      </c>
    </row>
    <row r="50" hidden="1">
      <c r="A50" s="232">
        <v>2020.0</v>
      </c>
      <c r="B50" s="232" t="s">
        <v>632</v>
      </c>
      <c r="C50" s="232" t="s">
        <v>485</v>
      </c>
      <c r="D50" s="232" t="s">
        <v>1126</v>
      </c>
      <c r="E50" s="232">
        <v>4.1160005E7</v>
      </c>
      <c r="F50" s="232" t="s">
        <v>488</v>
      </c>
      <c r="G50" s="232" t="s">
        <v>84</v>
      </c>
      <c r="H50" s="357">
        <v>100000.0</v>
      </c>
      <c r="I50" s="232" t="s">
        <v>490</v>
      </c>
      <c r="J50" s="342" t="s">
        <v>110</v>
      </c>
      <c r="K50" s="232" t="s">
        <v>1076</v>
      </c>
      <c r="L50" s="331" t="s">
        <v>1127</v>
      </c>
      <c r="M50" s="779" t="s">
        <v>1668</v>
      </c>
      <c r="N50" s="331">
        <v>28.0</v>
      </c>
    </row>
    <row r="51" hidden="1">
      <c r="A51" s="342">
        <v>2020.0</v>
      </c>
      <c r="B51" s="342" t="s">
        <v>632</v>
      </c>
      <c r="C51" s="342" t="s">
        <v>139</v>
      </c>
      <c r="D51" s="342" t="s">
        <v>1194</v>
      </c>
      <c r="E51" s="783">
        <v>4.116001E7</v>
      </c>
      <c r="F51" s="342" t="s">
        <v>151</v>
      </c>
      <c r="G51" s="342" t="s">
        <v>152</v>
      </c>
      <c r="H51" s="322">
        <v>162142.85</v>
      </c>
      <c r="I51" s="342" t="s">
        <v>155</v>
      </c>
      <c r="J51" s="342" t="s">
        <v>1352</v>
      </c>
      <c r="K51" s="342" t="s">
        <v>1197</v>
      </c>
      <c r="L51" s="342"/>
      <c r="M51" s="419" t="s">
        <v>2667</v>
      </c>
      <c r="N51" s="342">
        <v>124.0</v>
      </c>
    </row>
    <row r="52" hidden="1">
      <c r="A52" s="342">
        <v>2020.0</v>
      </c>
      <c r="B52" s="342" t="s">
        <v>310</v>
      </c>
      <c r="C52" s="342" t="s">
        <v>485</v>
      </c>
      <c r="D52" s="342" t="s">
        <v>999</v>
      </c>
      <c r="E52" s="349" t="s">
        <v>578</v>
      </c>
      <c r="F52" s="232" t="s">
        <v>488</v>
      </c>
      <c r="G52" s="342" t="s">
        <v>84</v>
      </c>
      <c r="H52" s="322">
        <v>60000.0</v>
      </c>
      <c r="I52" s="342" t="s">
        <v>389</v>
      </c>
      <c r="J52" s="342" t="s">
        <v>110</v>
      </c>
      <c r="K52" s="342" t="s">
        <v>589</v>
      </c>
      <c r="L52" s="352"/>
      <c r="M52" s="352"/>
      <c r="N52" s="331">
        <v>53.0</v>
      </c>
    </row>
    <row r="53" hidden="1">
      <c r="A53" s="342">
        <v>2020.0</v>
      </c>
      <c r="B53" s="342" t="s">
        <v>310</v>
      </c>
      <c r="C53" s="342" t="s">
        <v>1094</v>
      </c>
      <c r="D53" s="342" t="s">
        <v>1200</v>
      </c>
      <c r="E53" s="791">
        <v>4.1160012E7</v>
      </c>
      <c r="F53" s="342" t="s">
        <v>151</v>
      </c>
      <c r="G53" s="342" t="s">
        <v>152</v>
      </c>
      <c r="H53" s="322">
        <v>162125.0</v>
      </c>
      <c r="I53" s="342" t="s">
        <v>155</v>
      </c>
      <c r="J53" s="342" t="s">
        <v>1134</v>
      </c>
      <c r="K53" s="792" t="s">
        <v>1136</v>
      </c>
      <c r="L53" s="342"/>
      <c r="M53" s="419" t="s">
        <v>2672</v>
      </c>
      <c r="N53" s="342">
        <v>121.0</v>
      </c>
    </row>
    <row r="54" hidden="1">
      <c r="A54" s="232">
        <v>2020.0</v>
      </c>
      <c r="B54" s="232" t="s">
        <v>165</v>
      </c>
      <c r="C54" s="232" t="s">
        <v>14</v>
      </c>
      <c r="D54" s="232" t="s">
        <v>74</v>
      </c>
      <c r="E54" s="232">
        <v>4.1160001E7</v>
      </c>
      <c r="F54" s="232" t="s">
        <v>193</v>
      </c>
      <c r="G54" s="232" t="s">
        <v>84</v>
      </c>
      <c r="H54" s="357">
        <v>100000.0</v>
      </c>
      <c r="I54" s="232" t="s">
        <v>490</v>
      </c>
      <c r="J54" s="342" t="s">
        <v>110</v>
      </c>
      <c r="K54" s="232" t="s">
        <v>1023</v>
      </c>
      <c r="L54" s="352"/>
      <c r="M54" s="352"/>
      <c r="N54" s="331">
        <v>79.0</v>
      </c>
    </row>
    <row r="55" hidden="1">
      <c r="A55" s="232">
        <v>2020.0</v>
      </c>
      <c r="B55" s="232" t="s">
        <v>165</v>
      </c>
      <c r="C55" s="232" t="s">
        <v>14</v>
      </c>
      <c r="D55" s="232" t="s">
        <v>74</v>
      </c>
      <c r="E55" s="232">
        <v>4.1160004E7</v>
      </c>
      <c r="F55" s="232" t="s">
        <v>1572</v>
      </c>
      <c r="G55" s="232" t="s">
        <v>1573</v>
      </c>
      <c r="H55" s="357">
        <v>300000.0</v>
      </c>
      <c r="I55" s="232" t="s">
        <v>490</v>
      </c>
      <c r="J55" s="232" t="s">
        <v>1574</v>
      </c>
      <c r="K55" s="232" t="s">
        <v>1576</v>
      </c>
      <c r="L55" s="331" t="s">
        <v>1577</v>
      </c>
      <c r="M55" s="352"/>
      <c r="N55" s="331">
        <v>80.0</v>
      </c>
    </row>
    <row r="56" hidden="1">
      <c r="A56" s="232">
        <v>2020.0</v>
      </c>
      <c r="B56" s="232" t="s">
        <v>182</v>
      </c>
      <c r="C56" s="232" t="s">
        <v>485</v>
      </c>
      <c r="D56" s="232" t="s">
        <v>1579</v>
      </c>
      <c r="E56" s="232">
        <v>4.1160005E7</v>
      </c>
      <c r="F56" s="232" t="s">
        <v>488</v>
      </c>
      <c r="G56" s="232" t="s">
        <v>84</v>
      </c>
      <c r="H56" s="357">
        <v>200000.0</v>
      </c>
      <c r="I56" s="232" t="s">
        <v>490</v>
      </c>
      <c r="J56" s="342" t="s">
        <v>110</v>
      </c>
      <c r="K56" s="232" t="s">
        <v>1076</v>
      </c>
      <c r="L56" s="331" t="s">
        <v>1581</v>
      </c>
      <c r="M56" s="779" t="s">
        <v>1685</v>
      </c>
      <c r="N56" s="331">
        <v>31.0</v>
      </c>
    </row>
    <row r="57" hidden="1">
      <c r="A57" s="232">
        <v>2020.0</v>
      </c>
      <c r="B57" s="232" t="s">
        <v>114</v>
      </c>
      <c r="C57" s="232" t="s">
        <v>14</v>
      </c>
      <c r="D57" s="232" t="s">
        <v>74</v>
      </c>
      <c r="E57" s="232">
        <v>4.1160009E7</v>
      </c>
      <c r="F57" s="232" t="s">
        <v>488</v>
      </c>
      <c r="G57" s="232" t="s">
        <v>84</v>
      </c>
      <c r="H57" s="357">
        <v>100000.0</v>
      </c>
      <c r="I57" s="232" t="s">
        <v>490</v>
      </c>
      <c r="J57" s="342" t="s">
        <v>110</v>
      </c>
      <c r="K57" s="232" t="s">
        <v>1131</v>
      </c>
      <c r="L57" s="331" t="s">
        <v>1132</v>
      </c>
      <c r="M57" s="352"/>
      <c r="N57" s="331">
        <v>87.0</v>
      </c>
    </row>
    <row r="58" ht="54.0" hidden="1" customHeight="1">
      <c r="A58" s="232">
        <v>2020.0</v>
      </c>
      <c r="B58" s="232" t="s">
        <v>658</v>
      </c>
      <c r="C58" s="232" t="s">
        <v>14</v>
      </c>
      <c r="D58" s="232" t="s">
        <v>74</v>
      </c>
      <c r="E58" s="232">
        <v>4.1160009E7</v>
      </c>
      <c r="F58" s="232" t="s">
        <v>488</v>
      </c>
      <c r="G58" s="232" t="s">
        <v>84</v>
      </c>
      <c r="H58" s="357">
        <v>150000.0</v>
      </c>
      <c r="I58" s="232" t="s">
        <v>490</v>
      </c>
      <c r="J58" s="342" t="s">
        <v>110</v>
      </c>
      <c r="K58" s="232" t="s">
        <v>1595</v>
      </c>
      <c r="L58" s="352"/>
      <c r="M58" s="352"/>
      <c r="N58" s="331">
        <v>88.0</v>
      </c>
    </row>
    <row r="59" hidden="1">
      <c r="A59" s="232">
        <v>2020.0</v>
      </c>
      <c r="B59" s="232" t="s">
        <v>48</v>
      </c>
      <c r="C59" s="232" t="s">
        <v>485</v>
      </c>
      <c r="D59" s="232" t="s">
        <v>599</v>
      </c>
      <c r="E59" s="417" t="s">
        <v>578</v>
      </c>
      <c r="F59" s="232" t="s">
        <v>488</v>
      </c>
      <c r="G59" s="232" t="s">
        <v>84</v>
      </c>
      <c r="H59" s="357">
        <v>50000.0</v>
      </c>
      <c r="I59" s="232" t="s">
        <v>389</v>
      </c>
      <c r="J59" s="342" t="s">
        <v>110</v>
      </c>
      <c r="K59" s="474" t="s">
        <v>600</v>
      </c>
      <c r="L59" s="352"/>
      <c r="M59" s="352"/>
      <c r="N59" s="331">
        <v>54.0</v>
      </c>
    </row>
    <row r="60" hidden="1">
      <c r="A60" s="342">
        <v>2020.0</v>
      </c>
      <c r="B60" s="342" t="s">
        <v>449</v>
      </c>
      <c r="C60" s="342" t="s">
        <v>14</v>
      </c>
      <c r="D60" s="342" t="s">
        <v>74</v>
      </c>
      <c r="E60" s="342">
        <v>4.1160009E7</v>
      </c>
      <c r="F60" s="342" t="s">
        <v>193</v>
      </c>
      <c r="G60" s="342" t="s">
        <v>84</v>
      </c>
      <c r="H60" s="322">
        <v>150000.0</v>
      </c>
      <c r="I60" s="342" t="s">
        <v>490</v>
      </c>
      <c r="J60" s="342" t="s">
        <v>110</v>
      </c>
      <c r="K60" s="342" t="s">
        <v>1023</v>
      </c>
      <c r="L60" s="352"/>
      <c r="M60" s="352"/>
      <c r="N60" s="331">
        <v>89.0</v>
      </c>
    </row>
    <row r="61" hidden="1">
      <c r="A61" s="232">
        <v>2020.0</v>
      </c>
      <c r="B61" s="232" t="s">
        <v>681</v>
      </c>
      <c r="C61" s="232" t="s">
        <v>14</v>
      </c>
      <c r="D61" s="232" t="s">
        <v>74</v>
      </c>
      <c r="E61" s="232">
        <v>4.1160001E7</v>
      </c>
      <c r="F61" s="232" t="s">
        <v>193</v>
      </c>
      <c r="G61" s="232" t="s">
        <v>84</v>
      </c>
      <c r="H61" s="357">
        <v>100000.0</v>
      </c>
      <c r="I61" s="232" t="s">
        <v>490</v>
      </c>
      <c r="J61" s="342" t="s">
        <v>110</v>
      </c>
      <c r="K61" s="232" t="s">
        <v>1138</v>
      </c>
      <c r="L61" s="331" t="s">
        <v>1139</v>
      </c>
      <c r="M61" s="352"/>
      <c r="N61" s="331">
        <v>90.0</v>
      </c>
    </row>
    <row r="62" hidden="1">
      <c r="A62" s="232">
        <v>2020.0</v>
      </c>
      <c r="B62" s="232" t="s">
        <v>191</v>
      </c>
      <c r="C62" s="232" t="s">
        <v>485</v>
      </c>
      <c r="D62" s="232" t="s">
        <v>606</v>
      </c>
      <c r="E62" s="417" t="s">
        <v>578</v>
      </c>
      <c r="F62" s="232" t="s">
        <v>488</v>
      </c>
      <c r="G62" s="232" t="s">
        <v>84</v>
      </c>
      <c r="H62" s="357">
        <v>50000.0</v>
      </c>
      <c r="I62" s="232" t="s">
        <v>389</v>
      </c>
      <c r="J62" s="342" t="s">
        <v>110</v>
      </c>
      <c r="K62" s="474" t="s">
        <v>600</v>
      </c>
      <c r="L62" s="352"/>
      <c r="M62" s="352"/>
      <c r="N62" s="331">
        <v>55.0</v>
      </c>
    </row>
    <row r="63" hidden="1">
      <c r="A63" s="232">
        <v>2020.0</v>
      </c>
      <c r="B63" s="232" t="s">
        <v>191</v>
      </c>
      <c r="C63" s="232" t="s">
        <v>14</v>
      </c>
      <c r="D63" s="232" t="s">
        <v>74</v>
      </c>
      <c r="E63" s="232">
        <v>4.1160001E7</v>
      </c>
      <c r="F63" s="232" t="s">
        <v>193</v>
      </c>
      <c r="G63" s="232" t="s">
        <v>84</v>
      </c>
      <c r="H63" s="357">
        <v>100000.0</v>
      </c>
      <c r="I63" s="232" t="s">
        <v>490</v>
      </c>
      <c r="J63" s="342" t="s">
        <v>110</v>
      </c>
      <c r="K63" s="232" t="s">
        <v>1030</v>
      </c>
      <c r="L63" s="352"/>
      <c r="M63" s="352"/>
      <c r="N63" s="331">
        <v>91.0</v>
      </c>
    </row>
    <row r="64" hidden="1">
      <c r="A64" s="232">
        <v>2020.0</v>
      </c>
      <c r="B64" s="232" t="s">
        <v>698</v>
      </c>
      <c r="C64" s="232" t="s">
        <v>485</v>
      </c>
      <c r="D64" s="232" t="s">
        <v>1147</v>
      </c>
      <c r="E64" s="232">
        <v>4.1160005E7</v>
      </c>
      <c r="F64" s="232" t="s">
        <v>488</v>
      </c>
      <c r="G64" s="232" t="s">
        <v>84</v>
      </c>
      <c r="H64" s="357">
        <v>100000.0</v>
      </c>
      <c r="I64" s="232" t="s">
        <v>490</v>
      </c>
      <c r="J64" s="342" t="s">
        <v>110</v>
      </c>
      <c r="K64" s="232" t="s">
        <v>1076</v>
      </c>
      <c r="L64" s="352"/>
      <c r="M64" s="352"/>
      <c r="N64" s="331">
        <v>32.0</v>
      </c>
    </row>
    <row r="65" hidden="1">
      <c r="A65" s="342">
        <v>2020.0</v>
      </c>
      <c r="B65" s="342" t="s">
        <v>458</v>
      </c>
      <c r="C65" s="342" t="s">
        <v>14</v>
      </c>
      <c r="D65" s="342" t="s">
        <v>74</v>
      </c>
      <c r="E65" s="342">
        <v>4.1160009E7</v>
      </c>
      <c r="F65" s="342" t="s">
        <v>488</v>
      </c>
      <c r="G65" s="342" t="s">
        <v>84</v>
      </c>
      <c r="H65" s="322">
        <v>68418.0</v>
      </c>
      <c r="I65" s="342" t="s">
        <v>490</v>
      </c>
      <c r="J65" s="342" t="s">
        <v>110</v>
      </c>
      <c r="K65" s="342" t="s">
        <v>1030</v>
      </c>
      <c r="L65" s="331" t="s">
        <v>1045</v>
      </c>
      <c r="M65" s="779" t="s">
        <v>1734</v>
      </c>
      <c r="N65" s="331">
        <v>92.0</v>
      </c>
    </row>
    <row r="66" hidden="1">
      <c r="A66" s="232">
        <v>2020.0</v>
      </c>
      <c r="B66" s="232" t="s">
        <v>198</v>
      </c>
      <c r="C66" s="232" t="s">
        <v>485</v>
      </c>
      <c r="D66" s="232" t="s">
        <v>618</v>
      </c>
      <c r="E66" s="417" t="s">
        <v>578</v>
      </c>
      <c r="F66" s="232" t="s">
        <v>488</v>
      </c>
      <c r="G66" s="232" t="s">
        <v>84</v>
      </c>
      <c r="H66" s="357">
        <v>50000.0</v>
      </c>
      <c r="I66" s="232" t="s">
        <v>389</v>
      </c>
      <c r="J66" s="342" t="s">
        <v>110</v>
      </c>
      <c r="K66" s="474" t="s">
        <v>600</v>
      </c>
      <c r="L66" s="352"/>
      <c r="M66" s="352"/>
      <c r="N66" s="331">
        <v>56.0</v>
      </c>
    </row>
    <row r="67" hidden="1">
      <c r="A67" s="232">
        <v>2020.0</v>
      </c>
      <c r="B67" s="232" t="s">
        <v>735</v>
      </c>
      <c r="C67" s="232" t="s">
        <v>485</v>
      </c>
      <c r="D67" s="232" t="s">
        <v>1617</v>
      </c>
      <c r="E67" s="232">
        <v>4.1160005E7</v>
      </c>
      <c r="F67" s="232" t="s">
        <v>1559</v>
      </c>
      <c r="G67" s="232" t="s">
        <v>84</v>
      </c>
      <c r="H67" s="357">
        <v>200000.0</v>
      </c>
      <c r="I67" s="232" t="s">
        <v>490</v>
      </c>
      <c r="J67" s="342" t="s">
        <v>110</v>
      </c>
      <c r="K67" s="232" t="s">
        <v>1618</v>
      </c>
      <c r="L67" s="331" t="s">
        <v>1619</v>
      </c>
      <c r="M67" s="781" t="s">
        <v>1750</v>
      </c>
      <c r="N67" s="331">
        <v>33.0</v>
      </c>
    </row>
    <row r="68" hidden="1">
      <c r="A68" s="232">
        <v>2020.0</v>
      </c>
      <c r="B68" s="232" t="s">
        <v>470</v>
      </c>
      <c r="C68" s="232" t="s">
        <v>485</v>
      </c>
      <c r="D68" s="232" t="s">
        <v>1623</v>
      </c>
      <c r="E68" s="232">
        <v>4.1160009E7</v>
      </c>
      <c r="F68" s="342" t="s">
        <v>488</v>
      </c>
      <c r="G68" s="232" t="s">
        <v>84</v>
      </c>
      <c r="H68" s="357">
        <v>150000.0</v>
      </c>
      <c r="I68" s="232" t="s">
        <v>490</v>
      </c>
      <c r="J68" s="342" t="s">
        <v>110</v>
      </c>
      <c r="K68" s="232" t="s">
        <v>1131</v>
      </c>
      <c r="L68" s="331" t="s">
        <v>1624</v>
      </c>
      <c r="M68" s="352"/>
      <c r="N68" s="331">
        <v>71.0</v>
      </c>
    </row>
    <row r="69" hidden="1">
      <c r="A69" s="232">
        <v>2020.0</v>
      </c>
      <c r="B69" s="232" t="s">
        <v>115</v>
      </c>
      <c r="C69" s="232" t="s">
        <v>485</v>
      </c>
      <c r="D69" s="232" t="s">
        <v>1625</v>
      </c>
      <c r="E69" s="232">
        <v>4.1160005E7</v>
      </c>
      <c r="F69" s="232" t="s">
        <v>488</v>
      </c>
      <c r="G69" s="232" t="s">
        <v>84</v>
      </c>
      <c r="H69" s="357">
        <v>200000.0</v>
      </c>
      <c r="I69" s="232" t="s">
        <v>490</v>
      </c>
      <c r="J69" s="342" t="s">
        <v>110</v>
      </c>
      <c r="K69" s="232" t="s">
        <v>1076</v>
      </c>
      <c r="L69" s="331" t="s">
        <v>1627</v>
      </c>
      <c r="M69" s="779" t="s">
        <v>1757</v>
      </c>
      <c r="N69" s="331">
        <v>34.0</v>
      </c>
    </row>
    <row r="70" hidden="1">
      <c r="A70" s="232">
        <v>2020.0</v>
      </c>
      <c r="B70" s="232" t="s">
        <v>115</v>
      </c>
      <c r="C70" s="232" t="s">
        <v>14</v>
      </c>
      <c r="D70" s="232" t="s">
        <v>74</v>
      </c>
      <c r="E70" s="232">
        <v>4.1160004E7</v>
      </c>
      <c r="F70" s="232" t="s">
        <v>1572</v>
      </c>
      <c r="G70" s="232" t="s">
        <v>1573</v>
      </c>
      <c r="H70" s="357">
        <v>300000.0</v>
      </c>
      <c r="I70" s="232" t="s">
        <v>490</v>
      </c>
      <c r="J70" s="232" t="s">
        <v>1574</v>
      </c>
      <c r="K70" s="232" t="s">
        <v>1576</v>
      </c>
      <c r="L70" s="331" t="s">
        <v>1577</v>
      </c>
      <c r="M70" s="352"/>
      <c r="N70" s="331">
        <v>81.0</v>
      </c>
    </row>
    <row r="71" hidden="1">
      <c r="A71" s="342">
        <v>2020.0</v>
      </c>
      <c r="B71" s="342" t="s">
        <v>210</v>
      </c>
      <c r="C71" s="342" t="s">
        <v>566</v>
      </c>
      <c r="D71" s="342" t="s">
        <v>734</v>
      </c>
      <c r="E71" s="349" t="s">
        <v>578</v>
      </c>
      <c r="F71" s="342" t="s">
        <v>488</v>
      </c>
      <c r="G71" s="342" t="s">
        <v>84</v>
      </c>
      <c r="H71" s="322">
        <v>50000.0</v>
      </c>
      <c r="I71" s="342" t="s">
        <v>724</v>
      </c>
      <c r="J71" s="342" t="s">
        <v>110</v>
      </c>
      <c r="K71" s="342" t="s">
        <v>571</v>
      </c>
      <c r="L71" s="352"/>
      <c r="M71" s="352"/>
      <c r="N71" s="331">
        <v>105.0</v>
      </c>
    </row>
    <row r="72" hidden="1">
      <c r="A72" s="232">
        <v>2020.0</v>
      </c>
      <c r="B72" s="232" t="s">
        <v>623</v>
      </c>
      <c r="C72" s="232" t="s">
        <v>485</v>
      </c>
      <c r="D72" s="232" t="s">
        <v>631</v>
      </c>
      <c r="E72" s="417" t="s">
        <v>578</v>
      </c>
      <c r="F72" s="232" t="s">
        <v>488</v>
      </c>
      <c r="G72" s="232" t="s">
        <v>84</v>
      </c>
      <c r="H72" s="357">
        <v>50000.0</v>
      </c>
      <c r="I72" s="232" t="s">
        <v>389</v>
      </c>
      <c r="J72" s="342" t="s">
        <v>110</v>
      </c>
      <c r="K72" s="474" t="s">
        <v>600</v>
      </c>
      <c r="L72" s="352"/>
      <c r="M72" s="352"/>
      <c r="N72" s="331">
        <v>57.0</v>
      </c>
    </row>
    <row r="73" hidden="1">
      <c r="A73" s="232">
        <v>2020.0</v>
      </c>
      <c r="B73" s="232" t="s">
        <v>338</v>
      </c>
      <c r="C73" s="232" t="s">
        <v>485</v>
      </c>
      <c r="D73" s="232" t="s">
        <v>1153</v>
      </c>
      <c r="E73" s="232">
        <v>4.1160009E7</v>
      </c>
      <c r="F73" s="232" t="s">
        <v>488</v>
      </c>
      <c r="G73" s="232" t="s">
        <v>84</v>
      </c>
      <c r="H73" s="357">
        <v>100000.0</v>
      </c>
      <c r="I73" s="232" t="s">
        <v>490</v>
      </c>
      <c r="J73" s="342" t="s">
        <v>110</v>
      </c>
      <c r="K73" s="232" t="s">
        <v>1076</v>
      </c>
      <c r="L73" s="331" t="s">
        <v>1155</v>
      </c>
      <c r="M73" s="779" t="s">
        <v>1776</v>
      </c>
      <c r="N73" s="331">
        <v>35.0</v>
      </c>
    </row>
    <row r="74" hidden="1">
      <c r="A74" s="342">
        <v>2020.0</v>
      </c>
      <c r="B74" s="342" t="s">
        <v>496</v>
      </c>
      <c r="C74" s="342" t="s">
        <v>566</v>
      </c>
      <c r="D74" s="342" t="s">
        <v>739</v>
      </c>
      <c r="E74" s="349" t="s">
        <v>578</v>
      </c>
      <c r="F74" s="342" t="s">
        <v>488</v>
      </c>
      <c r="G74" s="342" t="s">
        <v>84</v>
      </c>
      <c r="H74" s="322">
        <v>50000.0</v>
      </c>
      <c r="I74" s="342" t="s">
        <v>724</v>
      </c>
      <c r="J74" s="342" t="s">
        <v>110</v>
      </c>
      <c r="K74" s="342" t="s">
        <v>571</v>
      </c>
      <c r="L74" s="331" t="s">
        <v>743</v>
      </c>
      <c r="M74" s="352"/>
      <c r="N74" s="331">
        <v>106.0</v>
      </c>
    </row>
    <row r="75" hidden="1">
      <c r="A75" s="232">
        <v>2020.0</v>
      </c>
      <c r="B75" s="232" t="s">
        <v>785</v>
      </c>
      <c r="C75" s="232" t="s">
        <v>485</v>
      </c>
      <c r="D75" s="232" t="s">
        <v>1074</v>
      </c>
      <c r="E75" s="232">
        <v>4.1160005E7</v>
      </c>
      <c r="F75" s="232" t="s">
        <v>488</v>
      </c>
      <c r="G75" s="232" t="s">
        <v>84</v>
      </c>
      <c r="H75" s="357">
        <v>86000.0</v>
      </c>
      <c r="I75" s="232" t="s">
        <v>1075</v>
      </c>
      <c r="J75" s="342" t="s">
        <v>110</v>
      </c>
      <c r="K75" s="232" t="s">
        <v>1076</v>
      </c>
      <c r="L75" s="331" t="s">
        <v>1077</v>
      </c>
      <c r="M75" s="352"/>
      <c r="N75" s="331">
        <v>36.0</v>
      </c>
    </row>
    <row r="76" hidden="1">
      <c r="A76" s="232">
        <v>2020.0</v>
      </c>
      <c r="B76" s="232" t="s">
        <v>757</v>
      </c>
      <c r="C76" s="232" t="s">
        <v>14</v>
      </c>
      <c r="D76" s="232" t="s">
        <v>74</v>
      </c>
      <c r="E76" s="232">
        <v>4.1160001E7</v>
      </c>
      <c r="F76" s="232" t="s">
        <v>193</v>
      </c>
      <c r="G76" s="232" t="s">
        <v>84</v>
      </c>
      <c r="H76" s="357">
        <v>67727.0</v>
      </c>
      <c r="I76" s="232" t="s">
        <v>89</v>
      </c>
      <c r="J76" s="342" t="s">
        <v>110</v>
      </c>
      <c r="K76" s="232" t="s">
        <v>1030</v>
      </c>
      <c r="L76" s="331" t="s">
        <v>1031</v>
      </c>
      <c r="M76" s="352"/>
      <c r="N76" s="331">
        <v>93.0</v>
      </c>
    </row>
    <row r="77" hidden="1">
      <c r="A77" s="342">
        <v>2020.0</v>
      </c>
      <c r="B77" s="342" t="s">
        <v>757</v>
      </c>
      <c r="C77" s="342" t="s">
        <v>566</v>
      </c>
      <c r="D77" s="342" t="s">
        <v>567</v>
      </c>
      <c r="E77" s="349" t="s">
        <v>578</v>
      </c>
      <c r="F77" s="342" t="s">
        <v>488</v>
      </c>
      <c r="G77" s="342" t="s">
        <v>84</v>
      </c>
      <c r="H77" s="322">
        <v>50000.0</v>
      </c>
      <c r="I77" s="342" t="s">
        <v>724</v>
      </c>
      <c r="J77" s="342" t="s">
        <v>110</v>
      </c>
      <c r="K77" s="342" t="s">
        <v>571</v>
      </c>
      <c r="L77" s="352"/>
      <c r="M77" s="352"/>
      <c r="N77" s="331">
        <v>107.0</v>
      </c>
    </row>
    <row r="78" hidden="1">
      <c r="A78" s="232">
        <v>2020.0</v>
      </c>
      <c r="B78" s="232" t="s">
        <v>796</v>
      </c>
      <c r="C78" s="232" t="s">
        <v>1065</v>
      </c>
      <c r="D78" s="232" t="s">
        <v>1286</v>
      </c>
      <c r="E78" s="784"/>
      <c r="F78" s="232" t="s">
        <v>151</v>
      </c>
      <c r="G78" s="232" t="s">
        <v>152</v>
      </c>
      <c r="H78" s="322">
        <v>137569.0</v>
      </c>
      <c r="I78" s="232" t="s">
        <v>389</v>
      </c>
      <c r="J78" s="232" t="s">
        <v>1067</v>
      </c>
      <c r="K78" s="232" t="s">
        <v>1287</v>
      </c>
      <c r="L78" s="331" t="s">
        <v>1509</v>
      </c>
      <c r="M78" s="450"/>
      <c r="N78" s="331">
        <v>115.0</v>
      </c>
    </row>
    <row r="79" hidden="1">
      <c r="A79" s="232">
        <v>2020.0</v>
      </c>
      <c r="B79" s="232" t="s">
        <v>219</v>
      </c>
      <c r="C79" s="232" t="s">
        <v>485</v>
      </c>
      <c r="D79" s="232" t="s">
        <v>641</v>
      </c>
      <c r="E79" s="417" t="s">
        <v>578</v>
      </c>
      <c r="F79" s="232" t="s">
        <v>488</v>
      </c>
      <c r="G79" s="232" t="s">
        <v>84</v>
      </c>
      <c r="H79" s="357">
        <v>50000.0</v>
      </c>
      <c r="I79" s="232" t="s">
        <v>389</v>
      </c>
      <c r="J79" s="342" t="s">
        <v>110</v>
      </c>
      <c r="K79" s="474" t="s">
        <v>600</v>
      </c>
      <c r="L79" s="352"/>
      <c r="M79" s="352"/>
      <c r="N79" s="331">
        <v>58.0</v>
      </c>
    </row>
    <row r="80" hidden="1">
      <c r="A80" s="232">
        <v>2020.0</v>
      </c>
      <c r="B80" s="232" t="s">
        <v>219</v>
      </c>
      <c r="C80" s="232" t="s">
        <v>14</v>
      </c>
      <c r="D80" s="232" t="s">
        <v>74</v>
      </c>
      <c r="E80" s="232">
        <v>4.1160009E7</v>
      </c>
      <c r="F80" s="232" t="s">
        <v>488</v>
      </c>
      <c r="G80" s="232" t="s">
        <v>84</v>
      </c>
      <c r="H80" s="357">
        <v>100000.0</v>
      </c>
      <c r="I80" s="232" t="s">
        <v>490</v>
      </c>
      <c r="J80" s="342" t="s">
        <v>110</v>
      </c>
      <c r="K80" s="232" t="s">
        <v>1076</v>
      </c>
      <c r="L80" s="331" t="s">
        <v>1157</v>
      </c>
      <c r="M80" s="779" t="s">
        <v>1806</v>
      </c>
      <c r="N80" s="331">
        <v>94.0</v>
      </c>
    </row>
    <row r="81" hidden="1">
      <c r="A81" s="232">
        <v>2020.0</v>
      </c>
      <c r="B81" s="232" t="s">
        <v>239</v>
      </c>
      <c r="C81" s="232" t="s">
        <v>485</v>
      </c>
      <c r="D81" s="232" t="s">
        <v>1669</v>
      </c>
      <c r="E81" s="232">
        <v>4.1160005E7</v>
      </c>
      <c r="F81" s="232" t="s">
        <v>488</v>
      </c>
      <c r="G81" s="232" t="s">
        <v>84</v>
      </c>
      <c r="H81" s="357">
        <v>200000.0</v>
      </c>
      <c r="I81" s="232" t="s">
        <v>490</v>
      </c>
      <c r="J81" s="342" t="s">
        <v>110</v>
      </c>
      <c r="K81" s="232" t="s">
        <v>491</v>
      </c>
      <c r="L81" s="331" t="s">
        <v>1670</v>
      </c>
      <c r="M81" s="779" t="s">
        <v>1813</v>
      </c>
      <c r="N81" s="331">
        <v>37.0</v>
      </c>
    </row>
    <row r="82" hidden="1">
      <c r="A82" s="232">
        <v>2020.0</v>
      </c>
      <c r="B82" s="232" t="s">
        <v>239</v>
      </c>
      <c r="C82" s="232" t="s">
        <v>485</v>
      </c>
      <c r="D82" s="232" t="s">
        <v>1159</v>
      </c>
      <c r="E82" s="232">
        <v>4.1160005E7</v>
      </c>
      <c r="F82" s="232" t="s">
        <v>488</v>
      </c>
      <c r="G82" s="232" t="s">
        <v>84</v>
      </c>
      <c r="H82" s="357">
        <v>100000.0</v>
      </c>
      <c r="I82" s="232" t="s">
        <v>490</v>
      </c>
      <c r="J82" s="342" t="s">
        <v>110</v>
      </c>
      <c r="K82" s="232" t="s">
        <v>491</v>
      </c>
      <c r="L82" s="352"/>
      <c r="M82" s="779" t="s">
        <v>1816</v>
      </c>
      <c r="N82" s="331">
        <v>38.0</v>
      </c>
    </row>
    <row r="83" hidden="1">
      <c r="A83" s="232">
        <v>2020.0</v>
      </c>
      <c r="B83" s="232" t="s">
        <v>239</v>
      </c>
      <c r="C83" s="232" t="s">
        <v>485</v>
      </c>
      <c r="D83" s="232" t="s">
        <v>1159</v>
      </c>
      <c r="E83" s="417" t="s">
        <v>578</v>
      </c>
      <c r="F83" s="232" t="s">
        <v>488</v>
      </c>
      <c r="G83" s="232" t="s">
        <v>84</v>
      </c>
      <c r="H83" s="357">
        <v>250000.0</v>
      </c>
      <c r="I83" s="232" t="s">
        <v>389</v>
      </c>
      <c r="J83" s="342" t="s">
        <v>110</v>
      </c>
      <c r="K83" s="474" t="s">
        <v>600</v>
      </c>
      <c r="L83" s="352"/>
      <c r="M83" s="352"/>
      <c r="N83" s="331">
        <v>59.0</v>
      </c>
    </row>
    <row r="84" hidden="1">
      <c r="A84" s="232">
        <v>2020.0</v>
      </c>
      <c r="B84" s="232" t="s">
        <v>812</v>
      </c>
      <c r="C84" s="232" t="s">
        <v>14</v>
      </c>
      <c r="D84" s="232" t="s">
        <v>74</v>
      </c>
      <c r="E84" s="232">
        <v>4.1160009E7</v>
      </c>
      <c r="F84" s="232" t="s">
        <v>488</v>
      </c>
      <c r="G84" s="232" t="s">
        <v>84</v>
      </c>
      <c r="H84" s="357">
        <v>100000.0</v>
      </c>
      <c r="I84" s="232" t="s">
        <v>490</v>
      </c>
      <c r="J84" s="342" t="s">
        <v>110</v>
      </c>
      <c r="K84" s="232" t="s">
        <v>491</v>
      </c>
      <c r="L84" s="331" t="s">
        <v>1161</v>
      </c>
      <c r="M84" s="779" t="s">
        <v>1836</v>
      </c>
      <c r="N84" s="331">
        <v>95.0</v>
      </c>
    </row>
    <row r="85" hidden="1">
      <c r="A85" s="232">
        <v>2020.0</v>
      </c>
      <c r="B85" s="232" t="s">
        <v>462</v>
      </c>
      <c r="C85" s="232" t="s">
        <v>485</v>
      </c>
      <c r="D85" s="232" t="s">
        <v>1105</v>
      </c>
      <c r="E85" s="417" t="s">
        <v>578</v>
      </c>
      <c r="F85" s="232" t="s">
        <v>488</v>
      </c>
      <c r="G85" s="232" t="s">
        <v>84</v>
      </c>
      <c r="H85" s="357">
        <v>100000.0</v>
      </c>
      <c r="I85" s="232" t="s">
        <v>389</v>
      </c>
      <c r="J85" s="342" t="s">
        <v>110</v>
      </c>
      <c r="K85" s="474" t="s">
        <v>600</v>
      </c>
      <c r="L85" s="352"/>
      <c r="M85" s="352"/>
      <c r="N85" s="331">
        <v>60.0</v>
      </c>
    </row>
    <row r="86" hidden="1">
      <c r="A86" s="232">
        <v>2020.0</v>
      </c>
      <c r="B86" s="232" t="s">
        <v>821</v>
      </c>
      <c r="C86" s="232" t="s">
        <v>485</v>
      </c>
      <c r="D86" s="232" t="s">
        <v>1692</v>
      </c>
      <c r="E86" s="232">
        <v>4.1160005E7</v>
      </c>
      <c r="F86" s="232" t="s">
        <v>488</v>
      </c>
      <c r="G86" s="232" t="s">
        <v>84</v>
      </c>
      <c r="H86" s="357">
        <v>250000.0</v>
      </c>
      <c r="I86" s="232" t="s">
        <v>490</v>
      </c>
      <c r="J86" s="342" t="s">
        <v>110</v>
      </c>
      <c r="K86" s="232" t="s">
        <v>491</v>
      </c>
      <c r="L86" s="331" t="s">
        <v>1695</v>
      </c>
      <c r="M86" s="779" t="s">
        <v>1813</v>
      </c>
      <c r="N86" s="331">
        <v>39.0</v>
      </c>
    </row>
    <row r="87" hidden="1">
      <c r="A87" s="232">
        <v>2020.0</v>
      </c>
      <c r="B87" s="232" t="s">
        <v>821</v>
      </c>
      <c r="C87" s="232" t="s">
        <v>485</v>
      </c>
      <c r="D87" s="232" t="s">
        <v>1060</v>
      </c>
      <c r="E87" s="417" t="s">
        <v>578</v>
      </c>
      <c r="F87" s="232" t="s">
        <v>488</v>
      </c>
      <c r="G87" s="232" t="s">
        <v>84</v>
      </c>
      <c r="H87" s="357">
        <v>80000.0</v>
      </c>
      <c r="I87" s="232" t="s">
        <v>389</v>
      </c>
      <c r="J87" s="342" t="s">
        <v>110</v>
      </c>
      <c r="K87" s="474" t="s">
        <v>600</v>
      </c>
      <c r="L87" s="352"/>
      <c r="M87" s="352"/>
      <c r="N87" s="331">
        <v>61.0</v>
      </c>
    </row>
    <row r="88" hidden="1">
      <c r="A88" s="342">
        <v>2020.0</v>
      </c>
      <c r="B88" s="342" t="s">
        <v>821</v>
      </c>
      <c r="C88" s="342" t="s">
        <v>139</v>
      </c>
      <c r="D88" s="342" t="s">
        <v>1317</v>
      </c>
      <c r="E88" s="783">
        <v>4.116001E7</v>
      </c>
      <c r="F88" s="342" t="s">
        <v>151</v>
      </c>
      <c r="G88" s="342" t="s">
        <v>152</v>
      </c>
      <c r="H88" s="322">
        <v>162142.85</v>
      </c>
      <c r="I88" s="342" t="s">
        <v>155</v>
      </c>
      <c r="J88" s="342" t="s">
        <v>418</v>
      </c>
      <c r="K88" s="342" t="s">
        <v>1318</v>
      </c>
      <c r="L88" s="342"/>
      <c r="M88" s="419" t="s">
        <v>2724</v>
      </c>
      <c r="N88" s="342">
        <v>123.0</v>
      </c>
    </row>
    <row r="89" hidden="1">
      <c r="A89" s="232">
        <v>2020.0</v>
      </c>
      <c r="B89" s="232" t="s">
        <v>119</v>
      </c>
      <c r="C89" s="232" t="s">
        <v>485</v>
      </c>
      <c r="D89" s="232" t="s">
        <v>1164</v>
      </c>
      <c r="E89" s="232">
        <v>4.1160005E7</v>
      </c>
      <c r="F89" s="232" t="s">
        <v>488</v>
      </c>
      <c r="G89" s="232" t="s">
        <v>84</v>
      </c>
      <c r="H89" s="357">
        <v>100000.0</v>
      </c>
      <c r="I89" s="232" t="s">
        <v>490</v>
      </c>
      <c r="J89" s="342" t="s">
        <v>110</v>
      </c>
      <c r="K89" s="232" t="s">
        <v>491</v>
      </c>
      <c r="L89" s="331" t="s">
        <v>1165</v>
      </c>
      <c r="M89" s="779" t="s">
        <v>1859</v>
      </c>
      <c r="N89" s="331">
        <v>40.0</v>
      </c>
    </row>
    <row r="90" hidden="1">
      <c r="A90" s="342">
        <v>2020.0</v>
      </c>
      <c r="B90" s="342" t="s">
        <v>245</v>
      </c>
      <c r="C90" s="342" t="s">
        <v>566</v>
      </c>
      <c r="D90" s="342" t="s">
        <v>781</v>
      </c>
      <c r="E90" s="349" t="s">
        <v>578</v>
      </c>
      <c r="F90" s="342" t="s">
        <v>488</v>
      </c>
      <c r="G90" s="342" t="s">
        <v>84</v>
      </c>
      <c r="H90" s="322">
        <v>50000.0</v>
      </c>
      <c r="I90" s="342" t="s">
        <v>724</v>
      </c>
      <c r="J90" s="342" t="s">
        <v>110</v>
      </c>
      <c r="K90" s="342" t="s">
        <v>571</v>
      </c>
      <c r="L90" s="352"/>
      <c r="M90" s="352"/>
      <c r="N90" s="331">
        <v>108.0</v>
      </c>
    </row>
    <row r="91" hidden="1">
      <c r="A91" s="232">
        <v>2020.0</v>
      </c>
      <c r="B91" s="232" t="s">
        <v>836</v>
      </c>
      <c r="C91" s="232" t="s">
        <v>14</v>
      </c>
      <c r="D91" s="232" t="s">
        <v>74</v>
      </c>
      <c r="E91" s="232">
        <v>4.1160001E7</v>
      </c>
      <c r="F91" s="232" t="s">
        <v>193</v>
      </c>
      <c r="G91" s="232" t="s">
        <v>84</v>
      </c>
      <c r="H91" s="357">
        <v>100000.0</v>
      </c>
      <c r="I91" s="232" t="s">
        <v>490</v>
      </c>
      <c r="J91" s="342" t="s">
        <v>110</v>
      </c>
      <c r="K91" s="232" t="s">
        <v>1030</v>
      </c>
      <c r="L91" s="331" t="s">
        <v>1167</v>
      </c>
      <c r="M91" s="352"/>
      <c r="N91" s="331">
        <v>96.0</v>
      </c>
    </row>
    <row r="92" hidden="1">
      <c r="A92" s="232">
        <v>2020.0</v>
      </c>
      <c r="B92" s="232" t="s">
        <v>646</v>
      </c>
      <c r="C92" s="232" t="s">
        <v>485</v>
      </c>
      <c r="D92" s="232" t="s">
        <v>652</v>
      </c>
      <c r="E92" s="417" t="s">
        <v>578</v>
      </c>
      <c r="F92" s="232" t="s">
        <v>488</v>
      </c>
      <c r="G92" s="232" t="s">
        <v>84</v>
      </c>
      <c r="H92" s="357">
        <v>50000.0</v>
      </c>
      <c r="I92" s="232" t="s">
        <v>389</v>
      </c>
      <c r="J92" s="342" t="s">
        <v>110</v>
      </c>
      <c r="K92" s="474" t="s">
        <v>600</v>
      </c>
      <c r="L92" s="352"/>
      <c r="M92" s="352"/>
      <c r="N92" s="331">
        <v>62.0</v>
      </c>
    </row>
    <row r="93" hidden="1">
      <c r="A93" s="232">
        <v>2020.0</v>
      </c>
      <c r="B93" s="232" t="s">
        <v>127</v>
      </c>
      <c r="C93" s="232" t="s">
        <v>485</v>
      </c>
      <c r="D93" s="232" t="s">
        <v>1735</v>
      </c>
      <c r="E93" s="232">
        <v>4.1160005E7</v>
      </c>
      <c r="F93" s="232" t="s">
        <v>488</v>
      </c>
      <c r="G93" s="232" t="s">
        <v>84</v>
      </c>
      <c r="H93" s="357">
        <v>300000.0</v>
      </c>
      <c r="I93" s="232" t="s">
        <v>490</v>
      </c>
      <c r="J93" s="342" t="s">
        <v>110</v>
      </c>
      <c r="K93" s="232" t="s">
        <v>491</v>
      </c>
      <c r="L93" s="331" t="s">
        <v>1737</v>
      </c>
      <c r="M93" s="779" t="s">
        <v>1894</v>
      </c>
      <c r="N93" s="331">
        <v>41.0</v>
      </c>
    </row>
    <row r="94" hidden="1">
      <c r="A94" s="232">
        <v>2020.0</v>
      </c>
      <c r="B94" s="232" t="s">
        <v>127</v>
      </c>
      <c r="C94" s="232" t="s">
        <v>485</v>
      </c>
      <c r="D94" s="232" t="s">
        <v>1738</v>
      </c>
      <c r="E94" s="232">
        <v>4.1160005E7</v>
      </c>
      <c r="F94" s="232" t="s">
        <v>488</v>
      </c>
      <c r="G94" s="232" t="s">
        <v>84</v>
      </c>
      <c r="H94" s="357">
        <v>300000.0</v>
      </c>
      <c r="I94" s="232" t="s">
        <v>490</v>
      </c>
      <c r="J94" s="342" t="s">
        <v>110</v>
      </c>
      <c r="K94" s="232" t="s">
        <v>491</v>
      </c>
      <c r="L94" s="352"/>
      <c r="M94" s="352"/>
      <c r="N94" s="331">
        <v>42.0</v>
      </c>
    </row>
    <row r="95" hidden="1">
      <c r="A95" s="232">
        <v>2020.0</v>
      </c>
      <c r="B95" s="232" t="s">
        <v>127</v>
      </c>
      <c r="C95" s="232" t="s">
        <v>485</v>
      </c>
      <c r="D95" s="232" t="s">
        <v>486</v>
      </c>
      <c r="E95" s="232">
        <v>4.1160005E7</v>
      </c>
      <c r="F95" s="232" t="s">
        <v>488</v>
      </c>
      <c r="G95" s="232" t="s">
        <v>84</v>
      </c>
      <c r="H95" s="357">
        <v>40000.0</v>
      </c>
      <c r="I95" s="232" t="s">
        <v>490</v>
      </c>
      <c r="J95" s="342" t="s">
        <v>110</v>
      </c>
      <c r="K95" s="232" t="s">
        <v>491</v>
      </c>
      <c r="L95" s="331" t="s">
        <v>493</v>
      </c>
      <c r="M95" s="352"/>
      <c r="N95" s="331">
        <v>43.0</v>
      </c>
    </row>
    <row r="96" hidden="1">
      <c r="A96" s="232">
        <v>2020.0</v>
      </c>
      <c r="B96" s="232" t="s">
        <v>127</v>
      </c>
      <c r="C96" s="232" t="s">
        <v>485</v>
      </c>
      <c r="D96" s="232" t="s">
        <v>1239</v>
      </c>
      <c r="E96" s="232">
        <v>4.1160005E7</v>
      </c>
      <c r="F96" s="232" t="s">
        <v>488</v>
      </c>
      <c r="G96" s="232" t="s">
        <v>84</v>
      </c>
      <c r="H96" s="357">
        <v>360000.0</v>
      </c>
      <c r="I96" s="232" t="s">
        <v>490</v>
      </c>
      <c r="J96" s="342" t="s">
        <v>110</v>
      </c>
      <c r="K96" s="232" t="s">
        <v>491</v>
      </c>
      <c r="L96" s="352"/>
      <c r="M96" s="352"/>
      <c r="N96" s="331">
        <v>44.0</v>
      </c>
    </row>
    <row r="97" hidden="1">
      <c r="A97" s="232">
        <v>2020.0</v>
      </c>
      <c r="B97" s="232" t="s">
        <v>127</v>
      </c>
      <c r="C97" s="232" t="s">
        <v>1097</v>
      </c>
      <c r="D97" s="232" t="s">
        <v>1097</v>
      </c>
      <c r="E97" s="232">
        <v>4.1160007E7</v>
      </c>
      <c r="F97" s="232" t="s">
        <v>151</v>
      </c>
      <c r="G97" s="232" t="s">
        <v>152</v>
      </c>
      <c r="H97" s="322">
        <v>290000.0</v>
      </c>
      <c r="I97" s="232" t="s">
        <v>155</v>
      </c>
      <c r="J97" s="232" t="s">
        <v>110</v>
      </c>
      <c r="K97" s="232" t="s">
        <v>1356</v>
      </c>
      <c r="L97" s="331" t="s">
        <v>1732</v>
      </c>
      <c r="M97" s="781" t="s">
        <v>1357</v>
      </c>
      <c r="N97" s="331">
        <v>112.0</v>
      </c>
    </row>
    <row r="98" hidden="1">
      <c r="A98" s="342">
        <v>2020.0</v>
      </c>
      <c r="B98" s="342" t="s">
        <v>127</v>
      </c>
      <c r="C98" s="342" t="s">
        <v>139</v>
      </c>
      <c r="D98" s="342" t="s">
        <v>412</v>
      </c>
      <c r="E98" s="783">
        <v>4.116001E7</v>
      </c>
      <c r="F98" s="342" t="s">
        <v>151</v>
      </c>
      <c r="G98" s="342" t="s">
        <v>152</v>
      </c>
      <c r="H98" s="816">
        <v>31428.6</v>
      </c>
      <c r="I98" s="342" t="s">
        <v>155</v>
      </c>
      <c r="J98" s="342" t="s">
        <v>418</v>
      </c>
      <c r="K98" s="342" t="s">
        <v>420</v>
      </c>
      <c r="L98" s="342"/>
      <c r="M98" s="419" t="s">
        <v>2738</v>
      </c>
      <c r="N98" s="342">
        <v>121.0</v>
      </c>
    </row>
    <row r="99" hidden="1">
      <c r="A99" s="437">
        <v>2020.0</v>
      </c>
      <c r="B99" s="437" t="s">
        <v>127</v>
      </c>
      <c r="C99" s="437" t="s">
        <v>139</v>
      </c>
      <c r="D99" s="437" t="s">
        <v>1351</v>
      </c>
      <c r="E99" s="817">
        <v>4.116001E7</v>
      </c>
      <c r="F99" s="437" t="s">
        <v>151</v>
      </c>
      <c r="G99" s="437" t="s">
        <v>152</v>
      </c>
      <c r="H99" s="503">
        <v>111914.0</v>
      </c>
      <c r="I99" s="437" t="s">
        <v>155</v>
      </c>
      <c r="J99" s="437" t="s">
        <v>1352</v>
      </c>
      <c r="K99" s="441" t="s">
        <v>1353</v>
      </c>
      <c r="L99" s="441"/>
      <c r="M99" s="818" t="s">
        <v>2739</v>
      </c>
      <c r="N99" s="441"/>
    </row>
    <row r="100" hidden="1">
      <c r="A100" s="437">
        <v>2020.0</v>
      </c>
      <c r="B100" s="437" t="s">
        <v>127</v>
      </c>
      <c r="C100" s="437" t="s">
        <v>139</v>
      </c>
      <c r="D100" s="437" t="s">
        <v>1340</v>
      </c>
      <c r="E100" s="556">
        <v>4.1160006E7</v>
      </c>
      <c r="F100" s="437" t="s">
        <v>151</v>
      </c>
      <c r="G100" s="437" t="s">
        <v>152</v>
      </c>
      <c r="H100" s="503">
        <v>261914.0</v>
      </c>
      <c r="I100" s="437" t="s">
        <v>155</v>
      </c>
      <c r="J100" s="437" t="s">
        <v>2741</v>
      </c>
      <c r="K100" s="215" t="s">
        <v>1700</v>
      </c>
      <c r="L100" s="443"/>
      <c r="M100" s="819" t="s">
        <v>2742</v>
      </c>
      <c r="N100" s="443"/>
    </row>
    <row r="101" hidden="1">
      <c r="A101" s="437">
        <v>2020.0</v>
      </c>
      <c r="B101" s="437" t="s">
        <v>1365</v>
      </c>
      <c r="C101" s="437" t="s">
        <v>291</v>
      </c>
      <c r="D101" s="437" t="s">
        <v>1366</v>
      </c>
      <c r="E101" s="556">
        <v>4.116001E7</v>
      </c>
      <c r="F101" s="437" t="s">
        <v>151</v>
      </c>
      <c r="G101" s="437" t="s">
        <v>152</v>
      </c>
      <c r="H101" s="503">
        <v>88086.0</v>
      </c>
      <c r="I101" s="437" t="s">
        <v>155</v>
      </c>
      <c r="J101" s="437" t="s">
        <v>305</v>
      </c>
      <c r="K101" s="820" t="s">
        <v>1081</v>
      </c>
      <c r="L101" s="443"/>
      <c r="M101" s="675" t="s">
        <v>2747</v>
      </c>
      <c r="N101" s="443"/>
    </row>
    <row r="102" hidden="1">
      <c r="A102" s="437">
        <v>2020.0</v>
      </c>
      <c r="B102" s="437" t="s">
        <v>1365</v>
      </c>
      <c r="C102" s="437" t="s">
        <v>291</v>
      </c>
      <c r="D102" s="437" t="s">
        <v>1366</v>
      </c>
      <c r="E102" s="556">
        <v>4.116001E7</v>
      </c>
      <c r="F102" s="437" t="s">
        <v>151</v>
      </c>
      <c r="G102" s="437" t="s">
        <v>152</v>
      </c>
      <c r="H102" s="503">
        <v>200841.17</v>
      </c>
      <c r="I102" s="437" t="s">
        <v>155</v>
      </c>
      <c r="J102" s="437" t="s">
        <v>305</v>
      </c>
      <c r="K102" s="215" t="s">
        <v>1395</v>
      </c>
      <c r="L102" s="443"/>
      <c r="M102" s="675" t="s">
        <v>2751</v>
      </c>
      <c r="N102" s="443"/>
    </row>
    <row r="103" hidden="1">
      <c r="A103" s="437">
        <v>2020.0</v>
      </c>
      <c r="B103" s="437" t="s">
        <v>1365</v>
      </c>
      <c r="C103" s="437" t="s">
        <v>291</v>
      </c>
      <c r="D103" s="437" t="s">
        <v>1366</v>
      </c>
      <c r="E103" s="556">
        <v>4.116001E7</v>
      </c>
      <c r="F103" s="437" t="s">
        <v>151</v>
      </c>
      <c r="G103" s="437" t="s">
        <v>152</v>
      </c>
      <c r="H103" s="503">
        <v>122560.34</v>
      </c>
      <c r="I103" s="437" t="s">
        <v>155</v>
      </c>
      <c r="J103" s="437" t="s">
        <v>305</v>
      </c>
      <c r="K103" s="215" t="s">
        <v>1397</v>
      </c>
      <c r="L103" s="443"/>
      <c r="M103" s="675" t="s">
        <v>2753</v>
      </c>
      <c r="N103" s="443"/>
    </row>
    <row r="104" hidden="1">
      <c r="A104" s="437">
        <v>2020.0</v>
      </c>
      <c r="B104" s="437" t="s">
        <v>1365</v>
      </c>
      <c r="C104" s="437" t="s">
        <v>291</v>
      </c>
      <c r="D104" s="437" t="s">
        <v>1366</v>
      </c>
      <c r="E104" s="821">
        <v>4.1160008E7</v>
      </c>
      <c r="F104" s="437" t="s">
        <v>151</v>
      </c>
      <c r="G104" s="437" t="s">
        <v>152</v>
      </c>
      <c r="H104" s="503">
        <v>31616.04</v>
      </c>
      <c r="I104" s="437" t="s">
        <v>155</v>
      </c>
      <c r="J104" s="437" t="s">
        <v>305</v>
      </c>
      <c r="K104" s="820" t="s">
        <v>427</v>
      </c>
      <c r="L104" s="443"/>
      <c r="M104" s="675" t="s">
        <v>2755</v>
      </c>
      <c r="N104" s="443"/>
    </row>
    <row r="105" hidden="1">
      <c r="A105" s="437">
        <v>2020.0</v>
      </c>
      <c r="B105" s="437" t="s">
        <v>1365</v>
      </c>
      <c r="C105" s="437" t="s">
        <v>291</v>
      </c>
      <c r="D105" s="437" t="s">
        <v>1366</v>
      </c>
      <c r="E105" s="821">
        <v>4.1160008E7</v>
      </c>
      <c r="F105" s="437" t="s">
        <v>151</v>
      </c>
      <c r="G105" s="437" t="s">
        <v>152</v>
      </c>
      <c r="H105" s="503">
        <v>355975.13</v>
      </c>
      <c r="I105" s="437" t="s">
        <v>155</v>
      </c>
      <c r="J105" s="437" t="s">
        <v>305</v>
      </c>
      <c r="K105" s="215" t="s">
        <v>2756</v>
      </c>
      <c r="L105" s="443"/>
      <c r="M105" s="675" t="s">
        <v>2757</v>
      </c>
      <c r="N105" s="443"/>
    </row>
    <row r="106" hidden="1">
      <c r="A106" s="437">
        <v>2020.0</v>
      </c>
      <c r="B106" s="437" t="s">
        <v>1365</v>
      </c>
      <c r="C106" s="437" t="s">
        <v>291</v>
      </c>
      <c r="D106" s="437" t="s">
        <v>1366</v>
      </c>
      <c r="E106" s="821">
        <v>4.1160008E7</v>
      </c>
      <c r="F106" s="437" t="s">
        <v>151</v>
      </c>
      <c r="G106" s="437" t="s">
        <v>152</v>
      </c>
      <c r="H106" s="503">
        <v>41388.5</v>
      </c>
      <c r="I106" s="437" t="s">
        <v>155</v>
      </c>
      <c r="J106" s="437" t="s">
        <v>305</v>
      </c>
      <c r="K106" s="215" t="s">
        <v>524</v>
      </c>
      <c r="L106" s="443"/>
      <c r="M106" s="675" t="s">
        <v>2759</v>
      </c>
      <c r="N106" s="443"/>
    </row>
    <row r="107" hidden="1">
      <c r="A107" s="437">
        <v>2020.0</v>
      </c>
      <c r="B107" s="437" t="s">
        <v>1365</v>
      </c>
      <c r="C107" s="437" t="s">
        <v>291</v>
      </c>
      <c r="D107" s="437" t="s">
        <v>1366</v>
      </c>
      <c r="E107" s="821">
        <v>4.1160008E7</v>
      </c>
      <c r="F107" s="437" t="s">
        <v>151</v>
      </c>
      <c r="G107" s="437" t="s">
        <v>152</v>
      </c>
      <c r="H107" s="503">
        <v>41565.73</v>
      </c>
      <c r="I107" s="437" t="s">
        <v>155</v>
      </c>
      <c r="J107" s="437" t="s">
        <v>305</v>
      </c>
      <c r="K107" s="820" t="s">
        <v>527</v>
      </c>
      <c r="L107" s="443"/>
      <c r="M107" s="675" t="s">
        <v>2760</v>
      </c>
      <c r="N107" s="443"/>
    </row>
    <row r="108" hidden="1">
      <c r="A108" s="437">
        <v>2020.0</v>
      </c>
      <c r="B108" s="437" t="s">
        <v>1365</v>
      </c>
      <c r="C108" s="437" t="s">
        <v>291</v>
      </c>
      <c r="D108" s="437" t="s">
        <v>1366</v>
      </c>
      <c r="E108" s="821">
        <v>4.1160008E7</v>
      </c>
      <c r="F108" s="437" t="s">
        <v>151</v>
      </c>
      <c r="G108" s="437" t="s">
        <v>152</v>
      </c>
      <c r="H108" s="503">
        <v>26706.33</v>
      </c>
      <c r="I108" s="437" t="s">
        <v>155</v>
      </c>
      <c r="J108" s="437" t="s">
        <v>305</v>
      </c>
      <c r="K108" s="215" t="s">
        <v>308</v>
      </c>
      <c r="L108" s="443"/>
      <c r="M108" s="675" t="s">
        <v>2761</v>
      </c>
      <c r="N108" s="443"/>
    </row>
    <row r="109" hidden="1">
      <c r="A109" s="342">
        <v>2020.0</v>
      </c>
      <c r="B109" s="342" t="s">
        <v>252</v>
      </c>
      <c r="C109" s="342" t="s">
        <v>566</v>
      </c>
      <c r="D109" s="342" t="s">
        <v>734</v>
      </c>
      <c r="E109" s="349" t="s">
        <v>578</v>
      </c>
      <c r="F109" s="342" t="s">
        <v>488</v>
      </c>
      <c r="G109" s="342" t="s">
        <v>84</v>
      </c>
      <c r="H109" s="322">
        <v>50000.0</v>
      </c>
      <c r="I109" s="342" t="s">
        <v>724</v>
      </c>
      <c r="J109" s="342" t="s">
        <v>110</v>
      </c>
      <c r="K109" s="342" t="s">
        <v>571</v>
      </c>
      <c r="L109" s="352"/>
      <c r="M109" s="352"/>
      <c r="N109" s="331">
        <v>109.0</v>
      </c>
    </row>
    <row r="110" hidden="1">
      <c r="A110" s="232">
        <v>2020.0</v>
      </c>
      <c r="B110" s="232" t="s">
        <v>855</v>
      </c>
      <c r="C110" s="232" t="s">
        <v>485</v>
      </c>
      <c r="D110" s="232" t="s">
        <v>1558</v>
      </c>
      <c r="E110" s="232">
        <v>4.1160005E7</v>
      </c>
      <c r="F110" s="232" t="s">
        <v>1559</v>
      </c>
      <c r="G110" s="232" t="s">
        <v>84</v>
      </c>
      <c r="H110" s="357">
        <v>114000.0</v>
      </c>
      <c r="I110" s="232" t="s">
        <v>89</v>
      </c>
      <c r="J110" s="342" t="s">
        <v>110</v>
      </c>
      <c r="K110" s="232" t="s">
        <v>1560</v>
      </c>
      <c r="L110" s="352"/>
      <c r="M110" s="352"/>
      <c r="N110" s="331">
        <v>45.0</v>
      </c>
    </row>
    <row r="111" hidden="1">
      <c r="A111" s="232">
        <v>2020.0</v>
      </c>
      <c r="B111" s="232" t="s">
        <v>323</v>
      </c>
      <c r="C111" s="232" t="s">
        <v>485</v>
      </c>
      <c r="D111" s="232" t="s">
        <v>662</v>
      </c>
      <c r="E111" s="417" t="s">
        <v>578</v>
      </c>
      <c r="F111" s="232" t="s">
        <v>488</v>
      </c>
      <c r="G111" s="232" t="s">
        <v>84</v>
      </c>
      <c r="H111" s="357">
        <v>50000.0</v>
      </c>
      <c r="I111" s="232" t="s">
        <v>389</v>
      </c>
      <c r="J111" s="342" t="s">
        <v>110</v>
      </c>
      <c r="K111" s="474" t="s">
        <v>600</v>
      </c>
      <c r="L111" s="352"/>
      <c r="M111" s="352"/>
      <c r="N111" s="331">
        <v>63.0</v>
      </c>
    </row>
    <row r="112" hidden="1">
      <c r="A112" s="232">
        <v>2020.0</v>
      </c>
      <c r="B112" s="232" t="s">
        <v>673</v>
      </c>
      <c r="C112" s="232" t="s">
        <v>485</v>
      </c>
      <c r="D112" s="232" t="s">
        <v>682</v>
      </c>
      <c r="E112" s="417" t="s">
        <v>578</v>
      </c>
      <c r="F112" s="232" t="s">
        <v>488</v>
      </c>
      <c r="G112" s="232" t="s">
        <v>84</v>
      </c>
      <c r="H112" s="357">
        <v>50000.0</v>
      </c>
      <c r="I112" s="232" t="s">
        <v>389</v>
      </c>
      <c r="J112" s="342" t="s">
        <v>110</v>
      </c>
      <c r="K112" s="474" t="s">
        <v>600</v>
      </c>
      <c r="L112" s="352"/>
      <c r="M112" s="352"/>
      <c r="N112" s="331">
        <v>64.0</v>
      </c>
    </row>
    <row r="113" hidden="1">
      <c r="A113" s="232">
        <v>2020.0</v>
      </c>
      <c r="B113" s="232" t="s">
        <v>875</v>
      </c>
      <c r="C113" s="232" t="s">
        <v>485</v>
      </c>
      <c r="D113" s="232" t="s">
        <v>1786</v>
      </c>
      <c r="E113" s="232">
        <v>4.1160005E7</v>
      </c>
      <c r="F113" s="232" t="s">
        <v>1559</v>
      </c>
      <c r="G113" s="232" t="s">
        <v>84</v>
      </c>
      <c r="H113" s="357">
        <v>200000.0</v>
      </c>
      <c r="I113" s="232" t="s">
        <v>89</v>
      </c>
      <c r="J113" s="342" t="s">
        <v>110</v>
      </c>
      <c r="K113" s="232" t="s">
        <v>1560</v>
      </c>
      <c r="L113" s="331" t="s">
        <v>1787</v>
      </c>
      <c r="M113" s="352"/>
      <c r="N113" s="331">
        <v>46.0</v>
      </c>
    </row>
    <row r="114" hidden="1">
      <c r="A114" s="232">
        <v>2020.0</v>
      </c>
      <c r="B114" s="232" t="s">
        <v>879</v>
      </c>
      <c r="C114" s="232" t="s">
        <v>485</v>
      </c>
      <c r="D114" s="232" t="s">
        <v>1789</v>
      </c>
      <c r="E114" s="232">
        <v>4.1160005E7</v>
      </c>
      <c r="F114" s="232" t="s">
        <v>488</v>
      </c>
      <c r="G114" s="232" t="s">
        <v>84</v>
      </c>
      <c r="H114" s="357">
        <v>200000.0</v>
      </c>
      <c r="I114" s="232" t="s">
        <v>490</v>
      </c>
      <c r="J114" s="342" t="s">
        <v>110</v>
      </c>
      <c r="K114" s="232" t="s">
        <v>491</v>
      </c>
      <c r="L114" s="331" t="s">
        <v>1792</v>
      </c>
      <c r="M114" s="779" t="s">
        <v>1950</v>
      </c>
      <c r="N114" s="331">
        <v>47.0</v>
      </c>
    </row>
    <row r="115">
      <c r="A115" s="824">
        <v>2020.0</v>
      </c>
      <c r="B115" s="825" t="s">
        <v>355</v>
      </c>
      <c r="C115" s="825" t="s">
        <v>485</v>
      </c>
      <c r="D115" s="825" t="s">
        <v>1808</v>
      </c>
      <c r="E115" s="825">
        <v>4.1160005E7</v>
      </c>
      <c r="F115" s="825" t="s">
        <v>488</v>
      </c>
      <c r="G115" s="825" t="s">
        <v>84</v>
      </c>
      <c r="H115" s="826">
        <v>250000.0</v>
      </c>
      <c r="I115" s="825" t="s">
        <v>490</v>
      </c>
      <c r="J115" s="825" t="s">
        <v>110</v>
      </c>
      <c r="K115" s="825" t="s">
        <v>491</v>
      </c>
      <c r="L115" s="827"/>
      <c r="M115" s="827"/>
      <c r="N115" s="828">
        <v>48.0</v>
      </c>
    </row>
    <row r="116">
      <c r="A116" s="824">
        <v>2020.0</v>
      </c>
      <c r="B116" s="825" t="s">
        <v>355</v>
      </c>
      <c r="C116" s="825" t="s">
        <v>1097</v>
      </c>
      <c r="D116" s="825" t="s">
        <v>1097</v>
      </c>
      <c r="E116" s="829">
        <v>4.1160007E7</v>
      </c>
      <c r="F116" s="825" t="s">
        <v>151</v>
      </c>
      <c r="G116" s="825" t="s">
        <v>152</v>
      </c>
      <c r="H116" s="826">
        <v>290000.0</v>
      </c>
      <c r="I116" s="825" t="s">
        <v>89</v>
      </c>
      <c r="J116" s="825" t="s">
        <v>110</v>
      </c>
      <c r="K116" s="825" t="s">
        <v>1415</v>
      </c>
      <c r="L116" s="830" t="s">
        <v>1732</v>
      </c>
      <c r="M116" s="835" t="s">
        <v>1357</v>
      </c>
      <c r="N116" s="828">
        <v>112.0</v>
      </c>
    </row>
    <row r="117">
      <c r="A117" s="824">
        <v>2020.0</v>
      </c>
      <c r="B117" s="825" t="s">
        <v>355</v>
      </c>
      <c r="C117" s="825" t="s">
        <v>139</v>
      </c>
      <c r="D117" s="825" t="s">
        <v>1412</v>
      </c>
      <c r="E117" s="825">
        <v>4.116001E7</v>
      </c>
      <c r="F117" s="825" t="s">
        <v>151</v>
      </c>
      <c r="G117" s="825" t="s">
        <v>152</v>
      </c>
      <c r="H117" s="826">
        <v>162142.85</v>
      </c>
      <c r="I117" s="825" t="s">
        <v>155</v>
      </c>
      <c r="J117" s="825" t="s">
        <v>418</v>
      </c>
      <c r="K117" s="825" t="s">
        <v>1413</v>
      </c>
      <c r="L117" s="825"/>
      <c r="M117" s="830" t="s">
        <v>2797</v>
      </c>
      <c r="N117" s="825">
        <v>122.0</v>
      </c>
    </row>
    <row r="118" hidden="1">
      <c r="A118" s="342">
        <v>2020.0</v>
      </c>
      <c r="B118" s="342" t="s">
        <v>797</v>
      </c>
      <c r="C118" s="342" t="s">
        <v>566</v>
      </c>
      <c r="D118" s="342" t="s">
        <v>739</v>
      </c>
      <c r="E118" s="349" t="s">
        <v>578</v>
      </c>
      <c r="F118" s="342" t="s">
        <v>488</v>
      </c>
      <c r="G118" s="342" t="s">
        <v>84</v>
      </c>
      <c r="H118" s="322">
        <v>50000.0</v>
      </c>
      <c r="I118" s="342" t="s">
        <v>724</v>
      </c>
      <c r="J118" s="342" t="s">
        <v>110</v>
      </c>
      <c r="K118" s="342" t="s">
        <v>571</v>
      </c>
      <c r="L118" s="331" t="s">
        <v>743</v>
      </c>
      <c r="M118" s="352"/>
      <c r="N118" s="331">
        <v>110.0</v>
      </c>
    </row>
    <row r="119" hidden="1">
      <c r="A119" s="232">
        <v>2020.0</v>
      </c>
      <c r="B119" s="232" t="s">
        <v>883</v>
      </c>
      <c r="C119" s="232" t="s">
        <v>14</v>
      </c>
      <c r="D119" s="232" t="s">
        <v>74</v>
      </c>
      <c r="E119" s="232">
        <v>4.1160009E7</v>
      </c>
      <c r="F119" s="232" t="s">
        <v>488</v>
      </c>
      <c r="G119" s="232" t="s">
        <v>84</v>
      </c>
      <c r="H119" s="357">
        <v>150000.0</v>
      </c>
      <c r="I119" s="232" t="s">
        <v>490</v>
      </c>
      <c r="J119" s="342" t="s">
        <v>110</v>
      </c>
      <c r="K119" s="232" t="s">
        <v>491</v>
      </c>
      <c r="L119" s="352"/>
      <c r="M119" s="352"/>
      <c r="N119" s="331">
        <v>97.0</v>
      </c>
    </row>
    <row r="120" hidden="1">
      <c r="A120" s="342">
        <v>2020.0</v>
      </c>
      <c r="B120" s="342" t="s">
        <v>886</v>
      </c>
      <c r="C120" s="342" t="s">
        <v>485</v>
      </c>
      <c r="D120" s="342" t="s">
        <v>2801</v>
      </c>
      <c r="E120" s="342">
        <v>4.1160005E7</v>
      </c>
      <c r="F120" s="342" t="s">
        <v>488</v>
      </c>
      <c r="G120" s="342" t="s">
        <v>84</v>
      </c>
      <c r="H120" s="322">
        <v>100000.0</v>
      </c>
      <c r="I120" s="342" t="s">
        <v>490</v>
      </c>
      <c r="J120" s="342" t="s">
        <v>110</v>
      </c>
      <c r="K120" s="342" t="s">
        <v>491</v>
      </c>
      <c r="L120" s="352"/>
      <c r="M120" s="352"/>
      <c r="N120" s="331">
        <v>49.0</v>
      </c>
    </row>
    <row r="121">
      <c r="A121" s="824">
        <v>2020.0</v>
      </c>
      <c r="B121" s="825" t="s">
        <v>893</v>
      </c>
      <c r="C121" s="825" t="s">
        <v>485</v>
      </c>
      <c r="D121" s="825" t="s">
        <v>1182</v>
      </c>
      <c r="E121" s="825">
        <v>4.1160005E7</v>
      </c>
      <c r="F121" s="825" t="s">
        <v>488</v>
      </c>
      <c r="G121" s="825" t="s">
        <v>84</v>
      </c>
      <c r="H121" s="826">
        <v>100000.0</v>
      </c>
      <c r="I121" s="825" t="s">
        <v>490</v>
      </c>
      <c r="J121" s="825" t="s">
        <v>110</v>
      </c>
      <c r="K121" s="825" t="s">
        <v>491</v>
      </c>
      <c r="L121" s="825" t="s">
        <v>1183</v>
      </c>
      <c r="M121" s="827"/>
      <c r="N121" s="828">
        <v>50.0</v>
      </c>
    </row>
    <row r="122" hidden="1">
      <c r="A122" s="232">
        <v>2020.0</v>
      </c>
      <c r="B122" s="232" t="s">
        <v>744</v>
      </c>
      <c r="C122" s="232" t="s">
        <v>485</v>
      </c>
      <c r="D122" s="232" t="s">
        <v>751</v>
      </c>
      <c r="E122" s="417" t="s">
        <v>578</v>
      </c>
      <c r="F122" s="232" t="s">
        <v>488</v>
      </c>
      <c r="G122" s="232" t="s">
        <v>84</v>
      </c>
      <c r="H122" s="357">
        <v>50000.0</v>
      </c>
      <c r="I122" s="232" t="s">
        <v>389</v>
      </c>
      <c r="J122" s="342" t="s">
        <v>110</v>
      </c>
      <c r="K122" s="474" t="s">
        <v>600</v>
      </c>
      <c r="L122" s="352"/>
      <c r="M122" s="779" t="s">
        <v>1999</v>
      </c>
      <c r="N122" s="331">
        <v>65.0</v>
      </c>
    </row>
    <row r="123" hidden="1">
      <c r="A123" s="232">
        <v>2020.0</v>
      </c>
      <c r="B123" s="232" t="s">
        <v>520</v>
      </c>
      <c r="C123" s="232" t="s">
        <v>485</v>
      </c>
      <c r="D123" s="232" t="s">
        <v>1844</v>
      </c>
      <c r="E123" s="232">
        <v>4.1160005E7</v>
      </c>
      <c r="F123" s="232" t="s">
        <v>488</v>
      </c>
      <c r="G123" s="232" t="s">
        <v>84</v>
      </c>
      <c r="H123" s="357">
        <v>200000.0</v>
      </c>
      <c r="I123" s="232" t="s">
        <v>490</v>
      </c>
      <c r="J123" s="342" t="s">
        <v>110</v>
      </c>
      <c r="K123" s="232" t="s">
        <v>491</v>
      </c>
      <c r="L123" s="352"/>
      <c r="M123" s="352"/>
      <c r="N123" s="331">
        <v>51.0</v>
      </c>
    </row>
    <row r="124" hidden="1">
      <c r="A124" s="232">
        <v>2020.0</v>
      </c>
      <c r="B124" s="232" t="s">
        <v>520</v>
      </c>
      <c r="C124" s="232" t="s">
        <v>485</v>
      </c>
      <c r="D124" s="232" t="s">
        <v>1844</v>
      </c>
      <c r="E124" s="417" t="s">
        <v>578</v>
      </c>
      <c r="F124" s="232" t="s">
        <v>488</v>
      </c>
      <c r="G124" s="232" t="s">
        <v>84</v>
      </c>
      <c r="H124" s="357">
        <v>250000.0</v>
      </c>
      <c r="I124" s="232" t="s">
        <v>389</v>
      </c>
      <c r="J124" s="342" t="s">
        <v>110</v>
      </c>
      <c r="K124" s="474" t="s">
        <v>600</v>
      </c>
      <c r="L124" s="352"/>
      <c r="M124" s="352"/>
      <c r="N124" s="331">
        <v>66.0</v>
      </c>
    </row>
    <row r="125" hidden="1">
      <c r="A125" s="232">
        <v>2020.0</v>
      </c>
      <c r="B125" s="232" t="s">
        <v>377</v>
      </c>
      <c r="C125" s="232" t="s">
        <v>485</v>
      </c>
      <c r="D125" s="232" t="s">
        <v>773</v>
      </c>
      <c r="E125" s="417" t="s">
        <v>578</v>
      </c>
      <c r="F125" s="232" t="s">
        <v>488</v>
      </c>
      <c r="G125" s="232" t="s">
        <v>84</v>
      </c>
      <c r="H125" s="357">
        <v>50000.0</v>
      </c>
      <c r="I125" s="232" t="s">
        <v>389</v>
      </c>
      <c r="J125" s="342" t="s">
        <v>110</v>
      </c>
      <c r="K125" s="474" t="s">
        <v>600</v>
      </c>
      <c r="L125" s="352"/>
      <c r="M125" s="352"/>
      <c r="N125" s="331">
        <v>67.0</v>
      </c>
    </row>
    <row r="126" hidden="1">
      <c r="A126" s="232">
        <v>2020.0</v>
      </c>
      <c r="B126" s="232" t="s">
        <v>333</v>
      </c>
      <c r="C126" s="232" t="s">
        <v>485</v>
      </c>
      <c r="D126" s="232" t="s">
        <v>1169</v>
      </c>
      <c r="E126" s="417" t="s">
        <v>578</v>
      </c>
      <c r="F126" s="232" t="s">
        <v>488</v>
      </c>
      <c r="G126" s="232" t="s">
        <v>84</v>
      </c>
      <c r="H126" s="357">
        <v>100000.0</v>
      </c>
      <c r="I126" s="232" t="s">
        <v>389</v>
      </c>
      <c r="J126" s="342" t="s">
        <v>110</v>
      </c>
      <c r="K126" s="474" t="s">
        <v>600</v>
      </c>
      <c r="L126" s="352"/>
      <c r="M126" s="352"/>
      <c r="N126" s="331">
        <v>68.0</v>
      </c>
    </row>
    <row r="127" hidden="1">
      <c r="A127" s="232">
        <v>2020.0</v>
      </c>
      <c r="B127" s="232" t="s">
        <v>333</v>
      </c>
      <c r="C127" s="232" t="s">
        <v>14</v>
      </c>
      <c r="D127" s="232" t="s">
        <v>74</v>
      </c>
      <c r="E127" s="232">
        <v>4.1160009E7</v>
      </c>
      <c r="F127" s="232" t="s">
        <v>488</v>
      </c>
      <c r="G127" s="232" t="s">
        <v>84</v>
      </c>
      <c r="H127" s="357">
        <v>100000.0</v>
      </c>
      <c r="I127" s="232" t="s">
        <v>490</v>
      </c>
      <c r="J127" s="342" t="s">
        <v>110</v>
      </c>
      <c r="K127" s="232" t="s">
        <v>491</v>
      </c>
      <c r="L127" s="352"/>
      <c r="M127" s="352"/>
      <c r="N127" s="331">
        <v>98.0</v>
      </c>
    </row>
    <row r="128" hidden="1">
      <c r="A128" s="232">
        <v>2020.0</v>
      </c>
      <c r="B128" s="232" t="s">
        <v>926</v>
      </c>
      <c r="C128" s="232" t="s">
        <v>14</v>
      </c>
      <c r="D128" s="232" t="s">
        <v>74</v>
      </c>
      <c r="E128" s="232">
        <v>4.1160001E7</v>
      </c>
      <c r="F128" s="232" t="s">
        <v>193</v>
      </c>
      <c r="G128" s="232" t="s">
        <v>84</v>
      </c>
      <c r="H128" s="357">
        <v>100000.0</v>
      </c>
      <c r="I128" s="232" t="s">
        <v>490</v>
      </c>
      <c r="J128" s="342" t="s">
        <v>110</v>
      </c>
      <c r="K128" s="232" t="s">
        <v>1026</v>
      </c>
      <c r="L128" s="352"/>
      <c r="M128" s="352"/>
      <c r="N128" s="331">
        <v>99.0</v>
      </c>
    </row>
    <row r="129" hidden="1">
      <c r="A129" s="232">
        <v>2020.0</v>
      </c>
      <c r="B129" s="232" t="s">
        <v>934</v>
      </c>
      <c r="C129" s="232" t="s">
        <v>14</v>
      </c>
      <c r="D129" s="232" t="s">
        <v>74</v>
      </c>
      <c r="E129" s="232">
        <v>4.1160001E7</v>
      </c>
      <c r="F129" s="232" t="s">
        <v>193</v>
      </c>
      <c r="G129" s="232" t="s">
        <v>84</v>
      </c>
      <c r="H129" s="357">
        <v>67500.0</v>
      </c>
      <c r="I129" s="232" t="s">
        <v>490</v>
      </c>
      <c r="J129" s="342" t="s">
        <v>110</v>
      </c>
      <c r="K129" s="232" t="s">
        <v>1026</v>
      </c>
      <c r="L129" s="331" t="s">
        <v>1027</v>
      </c>
      <c r="M129" s="352"/>
      <c r="N129" s="331">
        <v>100.0</v>
      </c>
    </row>
    <row r="130" hidden="1">
      <c r="A130" s="342">
        <v>2020.0</v>
      </c>
      <c r="B130" s="342" t="s">
        <v>945</v>
      </c>
      <c r="C130" s="342" t="s">
        <v>14</v>
      </c>
      <c r="D130" s="342" t="s">
        <v>74</v>
      </c>
      <c r="E130" s="342" t="s">
        <v>2817</v>
      </c>
      <c r="F130" s="342" t="s">
        <v>193</v>
      </c>
      <c r="G130" s="342" t="s">
        <v>84</v>
      </c>
      <c r="H130" s="322">
        <v>100000.0</v>
      </c>
      <c r="I130" s="342" t="s">
        <v>490</v>
      </c>
      <c r="J130" s="342" t="s">
        <v>110</v>
      </c>
      <c r="K130" s="342" t="s">
        <v>1026</v>
      </c>
      <c r="L130" s="331" t="s">
        <v>1211</v>
      </c>
      <c r="M130" s="352"/>
      <c r="N130" s="331">
        <v>101.0</v>
      </c>
    </row>
    <row r="131" hidden="1">
      <c r="A131" s="232">
        <v>2020.0</v>
      </c>
      <c r="B131" s="232" t="s">
        <v>400</v>
      </c>
      <c r="C131" s="232" t="s">
        <v>485</v>
      </c>
      <c r="D131" s="232" t="s">
        <v>1174</v>
      </c>
      <c r="E131" s="417" t="s">
        <v>578</v>
      </c>
      <c r="F131" s="232" t="s">
        <v>488</v>
      </c>
      <c r="G131" s="232" t="s">
        <v>84</v>
      </c>
      <c r="H131" s="357">
        <v>100000.0</v>
      </c>
      <c r="I131" s="232" t="s">
        <v>389</v>
      </c>
      <c r="J131" s="342" t="s">
        <v>110</v>
      </c>
      <c r="K131" s="474" t="s">
        <v>600</v>
      </c>
      <c r="L131" s="352"/>
      <c r="M131" s="352"/>
      <c r="N131" s="331">
        <v>69.0</v>
      </c>
    </row>
    <row r="132" hidden="1">
      <c r="A132" s="232">
        <v>2020.0</v>
      </c>
      <c r="B132" s="232" t="s">
        <v>298</v>
      </c>
      <c r="C132" s="232" t="s">
        <v>485</v>
      </c>
      <c r="D132" s="232" t="s">
        <v>815</v>
      </c>
      <c r="E132" s="847" t="s">
        <v>2822</v>
      </c>
      <c r="F132" s="232" t="s">
        <v>488</v>
      </c>
      <c r="G132" s="232" t="s">
        <v>84</v>
      </c>
      <c r="H132" s="357">
        <v>50000.0</v>
      </c>
      <c r="I132" s="232" t="s">
        <v>389</v>
      </c>
      <c r="J132" s="342" t="s">
        <v>110</v>
      </c>
      <c r="K132" s="474" t="s">
        <v>600</v>
      </c>
      <c r="L132" s="352"/>
      <c r="M132" s="352"/>
      <c r="N132" s="331">
        <v>70.0</v>
      </c>
    </row>
    <row r="133" hidden="1">
      <c r="A133" s="232">
        <v>2020.0</v>
      </c>
      <c r="B133" s="232" t="s">
        <v>966</v>
      </c>
      <c r="C133" s="232" t="s">
        <v>14</v>
      </c>
      <c r="D133" s="232" t="s">
        <v>74</v>
      </c>
      <c r="E133" s="232">
        <v>4.1160001E7</v>
      </c>
      <c r="F133" s="232" t="s">
        <v>193</v>
      </c>
      <c r="G133" s="232" t="s">
        <v>84</v>
      </c>
      <c r="H133" s="357">
        <v>100000.0</v>
      </c>
      <c r="I133" s="232" t="s">
        <v>490</v>
      </c>
      <c r="J133" s="232" t="s">
        <v>110</v>
      </c>
      <c r="K133" s="232" t="s">
        <v>1138</v>
      </c>
      <c r="L133" s="331" t="s">
        <v>1217</v>
      </c>
      <c r="M133" s="352"/>
      <c r="N133" s="331">
        <v>102.0</v>
      </c>
    </row>
    <row r="134" hidden="1">
      <c r="A134" s="232">
        <v>2020.0</v>
      </c>
      <c r="B134" s="232" t="s">
        <v>982</v>
      </c>
      <c r="C134" s="232" t="s">
        <v>485</v>
      </c>
      <c r="D134" s="232" t="s">
        <v>1221</v>
      </c>
      <c r="E134" s="232">
        <v>4.1160005E7</v>
      </c>
      <c r="F134" s="232" t="s">
        <v>488</v>
      </c>
      <c r="G134" s="232" t="s">
        <v>84</v>
      </c>
      <c r="H134" s="357">
        <v>100000.0</v>
      </c>
      <c r="I134" s="232" t="s">
        <v>490</v>
      </c>
      <c r="J134" s="232" t="s">
        <v>110</v>
      </c>
      <c r="K134" s="232" t="s">
        <v>491</v>
      </c>
      <c r="L134" s="331" t="s">
        <v>1223</v>
      </c>
      <c r="M134" s="779" t="s">
        <v>2049</v>
      </c>
      <c r="N134" s="331">
        <v>52.0</v>
      </c>
    </row>
    <row r="135" hidden="1">
      <c r="A135" s="437">
        <v>2020.0</v>
      </c>
      <c r="B135" s="437" t="s">
        <v>1499</v>
      </c>
      <c r="C135" s="437" t="s">
        <v>1094</v>
      </c>
      <c r="D135" s="437" t="s">
        <v>1523</v>
      </c>
      <c r="E135" s="852">
        <v>4.1160012E7</v>
      </c>
      <c r="F135" s="437" t="s">
        <v>151</v>
      </c>
      <c r="G135" s="437" t="s">
        <v>152</v>
      </c>
      <c r="H135" s="503">
        <v>134550.0</v>
      </c>
      <c r="I135" s="437" t="s">
        <v>155</v>
      </c>
      <c r="J135" s="437" t="s">
        <v>1134</v>
      </c>
      <c r="K135" s="852" t="s">
        <v>1529</v>
      </c>
      <c r="L135" s="441"/>
      <c r="M135" s="818" t="s">
        <v>2838</v>
      </c>
      <c r="N135" s="441"/>
    </row>
    <row r="136" hidden="1">
      <c r="A136" s="437">
        <v>2020.0</v>
      </c>
      <c r="B136" s="437" t="s">
        <v>1499</v>
      </c>
      <c r="C136" s="437" t="s">
        <v>1065</v>
      </c>
      <c r="D136" s="437" t="s">
        <v>1500</v>
      </c>
      <c r="E136" s="556">
        <v>4.1160002E7</v>
      </c>
      <c r="F136" s="437" t="s">
        <v>151</v>
      </c>
      <c r="G136" s="437" t="s">
        <v>152</v>
      </c>
      <c r="H136" s="503">
        <v>317925.0</v>
      </c>
      <c r="I136" s="437" t="s">
        <v>155</v>
      </c>
      <c r="J136" s="437"/>
      <c r="K136" s="558" t="s">
        <v>1502</v>
      </c>
      <c r="L136" s="443"/>
      <c r="M136" s="855" t="s">
        <v>2842</v>
      </c>
      <c r="N136" s="443"/>
    </row>
    <row r="137" hidden="1">
      <c r="A137" s="437">
        <v>2020.0</v>
      </c>
      <c r="B137" s="437" t="s">
        <v>1499</v>
      </c>
      <c r="C137" s="437" t="s">
        <v>1065</v>
      </c>
      <c r="D137" s="437" t="s">
        <v>1500</v>
      </c>
      <c r="E137" s="821">
        <v>4.1160002E7</v>
      </c>
      <c r="F137" s="437" t="s">
        <v>151</v>
      </c>
      <c r="G137" s="437" t="s">
        <v>152</v>
      </c>
      <c r="H137" s="503">
        <v>201110.34</v>
      </c>
      <c r="I137" s="437" t="s">
        <v>155</v>
      </c>
      <c r="J137" s="437"/>
      <c r="K137" s="558" t="s">
        <v>1506</v>
      </c>
      <c r="L137" s="443"/>
      <c r="M137" s="855" t="s">
        <v>2846</v>
      </c>
      <c r="N137" s="443"/>
    </row>
    <row r="138" hidden="1">
      <c r="A138" s="437">
        <v>2020.0</v>
      </c>
      <c r="B138" s="437" t="s">
        <v>1499</v>
      </c>
      <c r="C138" s="437" t="s">
        <v>1065</v>
      </c>
      <c r="D138" s="820" t="s">
        <v>1508</v>
      </c>
      <c r="E138" s="556">
        <v>4.1160011E7</v>
      </c>
      <c r="F138" s="437" t="s">
        <v>151</v>
      </c>
      <c r="G138" s="437" t="s">
        <v>152</v>
      </c>
      <c r="H138" s="503">
        <v>224845.32</v>
      </c>
      <c r="I138" s="437" t="s">
        <v>155</v>
      </c>
      <c r="J138" s="437"/>
      <c r="K138" s="558" t="s">
        <v>1513</v>
      </c>
      <c r="L138" s="443"/>
      <c r="M138" s="855" t="s">
        <v>2847</v>
      </c>
      <c r="N138" s="443"/>
    </row>
    <row r="139" hidden="1">
      <c r="A139" s="437">
        <v>2020.0</v>
      </c>
      <c r="B139" s="437" t="s">
        <v>1499</v>
      </c>
      <c r="C139" s="437" t="s">
        <v>1065</v>
      </c>
      <c r="D139" s="820" t="s">
        <v>1508</v>
      </c>
      <c r="E139" s="556">
        <v>4.1160011E7</v>
      </c>
      <c r="F139" s="437" t="s">
        <v>151</v>
      </c>
      <c r="G139" s="437" t="s">
        <v>152</v>
      </c>
      <c r="H139" s="503">
        <v>156000.0</v>
      </c>
      <c r="I139" s="437" t="s">
        <v>155</v>
      </c>
      <c r="J139" s="437"/>
      <c r="K139" s="215" t="s">
        <v>1518</v>
      </c>
      <c r="L139" s="443"/>
      <c r="M139" s="855" t="s">
        <v>2848</v>
      </c>
      <c r="N139" s="443"/>
    </row>
    <row r="140" hidden="1">
      <c r="A140" s="437">
        <v>2020.0</v>
      </c>
      <c r="B140" s="437" t="s">
        <v>1499</v>
      </c>
      <c r="C140" s="437" t="s">
        <v>1065</v>
      </c>
      <c r="D140" s="820" t="s">
        <v>1508</v>
      </c>
      <c r="E140" s="556">
        <v>4.1160011E7</v>
      </c>
      <c r="F140" s="437" t="s">
        <v>151</v>
      </c>
      <c r="G140" s="437" t="s">
        <v>152</v>
      </c>
      <c r="H140" s="503">
        <v>149872.0</v>
      </c>
      <c r="I140" s="437" t="s">
        <v>155</v>
      </c>
      <c r="J140" s="437"/>
      <c r="K140" s="856" t="s">
        <v>1521</v>
      </c>
      <c r="L140" s="443"/>
      <c r="M140" s="855" t="s">
        <v>2850</v>
      </c>
      <c r="N140" s="443"/>
    </row>
    <row r="141" hidden="1">
      <c r="A141" s="232">
        <v>2021.0</v>
      </c>
      <c r="B141" s="232" t="s">
        <v>163</v>
      </c>
      <c r="C141" s="232" t="s">
        <v>14</v>
      </c>
      <c r="D141" s="232" t="s">
        <v>74</v>
      </c>
      <c r="E141" s="320">
        <v>4.1160004E7</v>
      </c>
      <c r="F141" s="232" t="s">
        <v>20</v>
      </c>
      <c r="G141" s="232" t="s">
        <v>152</v>
      </c>
      <c r="H141" s="322">
        <v>250000.0</v>
      </c>
      <c r="I141" s="232" t="s">
        <v>490</v>
      </c>
      <c r="J141" s="323" t="s">
        <v>265</v>
      </c>
      <c r="K141" s="326" t="s">
        <v>1245</v>
      </c>
      <c r="L141" s="331" t="s">
        <v>1254</v>
      </c>
      <c r="M141" s="781" t="s">
        <v>2853</v>
      </c>
      <c r="N141" s="331">
        <v>116.0</v>
      </c>
    </row>
    <row r="142" hidden="1">
      <c r="A142" s="342">
        <v>2021.0</v>
      </c>
      <c r="B142" s="342" t="s">
        <v>559</v>
      </c>
      <c r="C142" s="342" t="s">
        <v>251</v>
      </c>
      <c r="D142" s="342" t="s">
        <v>1119</v>
      </c>
      <c r="E142" s="857">
        <v>4.1160001E7</v>
      </c>
      <c r="F142" s="342" t="s">
        <v>151</v>
      </c>
      <c r="G142" s="342" t="s">
        <v>152</v>
      </c>
      <c r="H142" s="322">
        <v>186808.33</v>
      </c>
      <c r="I142" s="342" t="s">
        <v>155</v>
      </c>
      <c r="J142" s="342"/>
      <c r="K142" s="326" t="s">
        <v>267</v>
      </c>
      <c r="L142" s="331"/>
      <c r="M142" s="781" t="s">
        <v>2861</v>
      </c>
      <c r="N142" s="331">
        <v>129.0</v>
      </c>
    </row>
    <row r="143" hidden="1">
      <c r="A143" s="342">
        <v>2021.0</v>
      </c>
      <c r="B143" s="342" t="s">
        <v>1109</v>
      </c>
      <c r="C143" s="342" t="s">
        <v>1097</v>
      </c>
      <c r="D143" s="342" t="s">
        <v>1097</v>
      </c>
      <c r="E143" s="857">
        <v>4.11660007E8</v>
      </c>
      <c r="F143" s="342" t="s">
        <v>151</v>
      </c>
      <c r="G143" s="342" t="s">
        <v>152</v>
      </c>
      <c r="H143" s="322">
        <v>250000.0</v>
      </c>
      <c r="I143" s="342" t="s">
        <v>155</v>
      </c>
      <c r="J143" s="342" t="s">
        <v>1112</v>
      </c>
      <c r="K143" s="331" t="s">
        <v>1113</v>
      </c>
      <c r="L143" s="331"/>
      <c r="M143" s="342" t="s">
        <v>1114</v>
      </c>
      <c r="N143" s="331">
        <v>134.0</v>
      </c>
    </row>
    <row r="144" hidden="1">
      <c r="A144" s="232">
        <v>2021.0</v>
      </c>
      <c r="B144" s="232" t="s">
        <v>114</v>
      </c>
      <c r="C144" s="232" t="s">
        <v>14</v>
      </c>
      <c r="D144" s="232" t="s">
        <v>74</v>
      </c>
      <c r="E144" s="320">
        <v>4.1160004E7</v>
      </c>
      <c r="F144" s="232" t="s">
        <v>20</v>
      </c>
      <c r="G144" s="232" t="s">
        <v>152</v>
      </c>
      <c r="H144" s="322">
        <v>250000.0</v>
      </c>
      <c r="I144" s="232" t="s">
        <v>490</v>
      </c>
      <c r="J144" s="323" t="s">
        <v>265</v>
      </c>
      <c r="K144" s="326" t="s">
        <v>1588</v>
      </c>
      <c r="L144" s="331"/>
      <c r="M144" s="781" t="s">
        <v>2870</v>
      </c>
      <c r="N144" s="331">
        <v>118.0</v>
      </c>
    </row>
    <row r="145" hidden="1">
      <c r="A145" s="232">
        <v>2021.0</v>
      </c>
      <c r="B145" s="232" t="s">
        <v>651</v>
      </c>
      <c r="C145" s="232" t="s">
        <v>2871</v>
      </c>
      <c r="D145" s="232" t="s">
        <v>1216</v>
      </c>
      <c r="E145" s="320">
        <v>4.1160001E7</v>
      </c>
      <c r="F145" s="342" t="s">
        <v>151</v>
      </c>
      <c r="G145" s="232" t="s">
        <v>152</v>
      </c>
      <c r="H145" s="322">
        <v>333333.0</v>
      </c>
      <c r="I145" s="342" t="s">
        <v>155</v>
      </c>
      <c r="J145" s="232"/>
      <c r="K145" s="474" t="s">
        <v>1218</v>
      </c>
      <c r="L145" s="331"/>
      <c r="M145" s="781" t="s">
        <v>2875</v>
      </c>
      <c r="N145" s="331">
        <v>132.0</v>
      </c>
    </row>
    <row r="146" hidden="1">
      <c r="A146" s="232">
        <v>2021.0</v>
      </c>
      <c r="B146" s="232" t="s">
        <v>666</v>
      </c>
      <c r="C146" s="232" t="s">
        <v>2871</v>
      </c>
      <c r="D146" s="232" t="s">
        <v>1238</v>
      </c>
      <c r="E146" s="320">
        <v>4.1160001E7</v>
      </c>
      <c r="F146" s="342" t="s">
        <v>151</v>
      </c>
      <c r="G146" s="232" t="s">
        <v>152</v>
      </c>
      <c r="H146" s="322">
        <v>333333.0</v>
      </c>
      <c r="I146" s="342" t="s">
        <v>155</v>
      </c>
      <c r="J146" s="232"/>
      <c r="K146" s="474" t="s">
        <v>1218</v>
      </c>
      <c r="L146" s="331"/>
      <c r="M146" s="781" t="s">
        <v>2882</v>
      </c>
      <c r="N146" s="331">
        <v>131.0</v>
      </c>
    </row>
    <row r="147" hidden="1">
      <c r="A147" s="232">
        <v>2021.0</v>
      </c>
      <c r="B147" s="232" t="s">
        <v>198</v>
      </c>
      <c r="C147" s="232" t="s">
        <v>2871</v>
      </c>
      <c r="D147" s="232" t="s">
        <v>1242</v>
      </c>
      <c r="E147" s="320">
        <v>4.1160001E7</v>
      </c>
      <c r="F147" s="342" t="s">
        <v>151</v>
      </c>
      <c r="G147" s="232" t="s">
        <v>152</v>
      </c>
      <c r="H147" s="322">
        <v>333333.0</v>
      </c>
      <c r="I147" s="342" t="s">
        <v>155</v>
      </c>
      <c r="J147" s="232"/>
      <c r="K147" s="474" t="s">
        <v>1218</v>
      </c>
      <c r="L147" s="331"/>
      <c r="M147" s="781" t="s">
        <v>2885</v>
      </c>
      <c r="N147" s="331">
        <v>133.0</v>
      </c>
    </row>
    <row r="148" hidden="1">
      <c r="A148" s="232">
        <v>2021.0</v>
      </c>
      <c r="B148" s="232" t="s">
        <v>796</v>
      </c>
      <c r="C148" s="232" t="s">
        <v>14</v>
      </c>
      <c r="D148" s="232" t="s">
        <v>74</v>
      </c>
      <c r="E148" s="320">
        <v>4.1160004E7</v>
      </c>
      <c r="F148" s="232" t="s">
        <v>20</v>
      </c>
      <c r="G148" s="232" t="s">
        <v>152</v>
      </c>
      <c r="H148" s="322">
        <v>250000.0</v>
      </c>
      <c r="I148" s="232" t="s">
        <v>490</v>
      </c>
      <c r="J148" s="323" t="s">
        <v>265</v>
      </c>
      <c r="K148" s="326" t="s">
        <v>1660</v>
      </c>
      <c r="L148" s="331"/>
      <c r="M148" s="781" t="s">
        <v>2886</v>
      </c>
      <c r="N148" s="331">
        <v>119.0</v>
      </c>
    </row>
    <row r="149" hidden="1">
      <c r="A149" s="342">
        <v>2021.0</v>
      </c>
      <c r="B149" s="342" t="s">
        <v>239</v>
      </c>
      <c r="C149" s="342" t="s">
        <v>251</v>
      </c>
      <c r="D149" s="342" t="s">
        <v>1295</v>
      </c>
      <c r="E149" s="857">
        <v>4.1160001E7</v>
      </c>
      <c r="F149" s="342" t="s">
        <v>151</v>
      </c>
      <c r="G149" s="342" t="s">
        <v>152</v>
      </c>
      <c r="H149" s="322">
        <v>26383.34</v>
      </c>
      <c r="I149" s="342" t="s">
        <v>155</v>
      </c>
      <c r="J149" s="342"/>
      <c r="K149" s="858" t="s">
        <v>267</v>
      </c>
      <c r="L149" s="331"/>
      <c r="M149" s="781" t="s">
        <v>2888</v>
      </c>
      <c r="N149" s="331">
        <v>136.0</v>
      </c>
    </row>
    <row r="150" hidden="1">
      <c r="A150" s="342">
        <v>2021.0</v>
      </c>
      <c r="B150" s="342" t="s">
        <v>807</v>
      </c>
      <c r="C150" s="342" t="s">
        <v>1097</v>
      </c>
      <c r="D150" s="342" t="s">
        <v>1097</v>
      </c>
      <c r="E150" s="857">
        <v>4.11660007E8</v>
      </c>
      <c r="F150" s="342" t="s">
        <v>151</v>
      </c>
      <c r="G150" s="342" t="s">
        <v>152</v>
      </c>
      <c r="H150" s="322">
        <v>114993.0</v>
      </c>
      <c r="I150" s="342" t="s">
        <v>155</v>
      </c>
      <c r="J150" s="342" t="s">
        <v>1112</v>
      </c>
      <c r="K150" s="474" t="s">
        <v>1113</v>
      </c>
      <c r="L150" s="331"/>
      <c r="M150" s="342" t="s">
        <v>1114</v>
      </c>
      <c r="N150" s="331">
        <v>135.0</v>
      </c>
    </row>
    <row r="151" hidden="1">
      <c r="A151" s="232">
        <v>2021.0</v>
      </c>
      <c r="B151" s="232" t="s">
        <v>119</v>
      </c>
      <c r="C151" s="232" t="s">
        <v>14</v>
      </c>
      <c r="D151" s="232" t="s">
        <v>74</v>
      </c>
      <c r="E151" s="320">
        <v>4.1160004E7</v>
      </c>
      <c r="F151" s="232" t="s">
        <v>20</v>
      </c>
      <c r="G151" s="232" t="s">
        <v>152</v>
      </c>
      <c r="H151" s="322">
        <v>250000.0</v>
      </c>
      <c r="I151" s="232" t="s">
        <v>490</v>
      </c>
      <c r="J151" s="323" t="s">
        <v>265</v>
      </c>
      <c r="K151" s="326" t="s">
        <v>1705</v>
      </c>
      <c r="L151" s="331" t="s">
        <v>1707</v>
      </c>
      <c r="M151" s="781" t="s">
        <v>2895</v>
      </c>
      <c r="N151" s="331">
        <v>117.0</v>
      </c>
    </row>
    <row r="152" hidden="1">
      <c r="A152" s="342">
        <v>2021.0</v>
      </c>
      <c r="B152" s="342" t="s">
        <v>119</v>
      </c>
      <c r="C152" s="342" t="s">
        <v>465</v>
      </c>
      <c r="D152" s="342" t="s">
        <v>1322</v>
      </c>
      <c r="E152" s="857">
        <v>4.1160005E7</v>
      </c>
      <c r="F152" s="342" t="s">
        <v>151</v>
      </c>
      <c r="G152" s="342" t="s">
        <v>152</v>
      </c>
      <c r="H152" s="859">
        <v>180837.86</v>
      </c>
      <c r="I152" s="342" t="s">
        <v>155</v>
      </c>
      <c r="J152" s="342" t="s">
        <v>1327</v>
      </c>
      <c r="K152" s="331" t="s">
        <v>1329</v>
      </c>
      <c r="L152" s="331"/>
      <c r="M152" s="781" t="s">
        <v>2900</v>
      </c>
      <c r="N152" s="331">
        <v>127.0</v>
      </c>
    </row>
    <row r="153" hidden="1">
      <c r="A153" s="342">
        <v>2021.0</v>
      </c>
      <c r="B153" s="342" t="s">
        <v>127</v>
      </c>
      <c r="C153" s="342" t="s">
        <v>251</v>
      </c>
      <c r="D153" s="323" t="s">
        <v>1358</v>
      </c>
      <c r="E153" s="857">
        <v>4.1160001E7</v>
      </c>
      <c r="F153" s="342" t="s">
        <v>151</v>
      </c>
      <c r="G153" s="342" t="s">
        <v>152</v>
      </c>
      <c r="H153" s="322">
        <v>186808.33</v>
      </c>
      <c r="I153" s="342" t="s">
        <v>155</v>
      </c>
      <c r="J153" s="342"/>
      <c r="K153" s="326" t="s">
        <v>267</v>
      </c>
      <c r="L153" s="331"/>
      <c r="M153" s="781" t="s">
        <v>2908</v>
      </c>
      <c r="N153" s="331">
        <v>130.0</v>
      </c>
    </row>
    <row r="154" hidden="1">
      <c r="A154" s="437">
        <v>2021.0</v>
      </c>
      <c r="B154" s="437" t="s">
        <v>127</v>
      </c>
      <c r="C154" s="437" t="s">
        <v>291</v>
      </c>
      <c r="D154" s="437" t="s">
        <v>1366</v>
      </c>
      <c r="E154" s="556">
        <v>4.1160001E7</v>
      </c>
      <c r="F154" s="437" t="s">
        <v>151</v>
      </c>
      <c r="G154" s="437" t="s">
        <v>152</v>
      </c>
      <c r="H154" s="503">
        <v>400000.0</v>
      </c>
      <c r="I154" s="441" t="s">
        <v>155</v>
      </c>
      <c r="J154" s="437"/>
      <c r="K154" s="861" t="s">
        <v>1401</v>
      </c>
      <c r="L154" s="443"/>
      <c r="M154" s="675" t="s">
        <v>2911</v>
      </c>
      <c r="N154" s="443"/>
    </row>
    <row r="155" hidden="1">
      <c r="A155" s="342">
        <v>2021.0</v>
      </c>
      <c r="B155" s="342" t="s">
        <v>879</v>
      </c>
      <c r="C155" s="342" t="s">
        <v>465</v>
      </c>
      <c r="D155" s="342" t="s">
        <v>1407</v>
      </c>
      <c r="E155" s="857">
        <v>4.1160005E7</v>
      </c>
      <c r="F155" s="342" t="s">
        <v>151</v>
      </c>
      <c r="G155" s="342" t="s">
        <v>152</v>
      </c>
      <c r="H155" s="859">
        <v>180837.86</v>
      </c>
      <c r="I155" s="342" t="s">
        <v>155</v>
      </c>
      <c r="J155" s="342" t="s">
        <v>1327</v>
      </c>
      <c r="K155" s="331" t="s">
        <v>1408</v>
      </c>
      <c r="L155" s="331"/>
      <c r="M155" s="781" t="s">
        <v>2917</v>
      </c>
      <c r="N155" s="331">
        <v>128.0</v>
      </c>
    </row>
    <row r="156">
      <c r="A156" s="824">
        <v>2021.0</v>
      </c>
      <c r="B156" s="825" t="s">
        <v>355</v>
      </c>
      <c r="C156" s="825" t="s">
        <v>465</v>
      </c>
      <c r="D156" s="825" t="s">
        <v>467</v>
      </c>
      <c r="E156" s="864">
        <v>4.1160005E7</v>
      </c>
      <c r="F156" s="825" t="s">
        <v>151</v>
      </c>
      <c r="G156" s="825" t="s">
        <v>152</v>
      </c>
      <c r="H156" s="826">
        <v>38354.48</v>
      </c>
      <c r="I156" s="825" t="s">
        <v>155</v>
      </c>
      <c r="J156" s="825" t="s">
        <v>1327</v>
      </c>
      <c r="K156" s="825" t="s">
        <v>474</v>
      </c>
      <c r="L156" s="825"/>
      <c r="M156" s="830" t="s">
        <v>2919</v>
      </c>
      <c r="N156" s="828">
        <v>126.0</v>
      </c>
    </row>
    <row r="157" hidden="1">
      <c r="A157" s="441">
        <v>2021.0</v>
      </c>
      <c r="B157" s="437" t="s">
        <v>1499</v>
      </c>
      <c r="C157" s="441" t="s">
        <v>1065</v>
      </c>
      <c r="D157" s="441" t="s">
        <v>2920</v>
      </c>
      <c r="E157" s="866">
        <v>4.1160001E7</v>
      </c>
      <c r="F157" s="441" t="s">
        <v>151</v>
      </c>
      <c r="G157" s="441" t="s">
        <v>152</v>
      </c>
      <c r="H157" s="503">
        <v>1000000.0</v>
      </c>
      <c r="I157" s="441" t="s">
        <v>155</v>
      </c>
      <c r="J157" s="867"/>
      <c r="K157" s="215" t="s">
        <v>1533</v>
      </c>
      <c r="L157" s="868"/>
      <c r="M157" s="869" t="s">
        <v>2923</v>
      </c>
      <c r="N157" s="868"/>
    </row>
    <row r="158" hidden="1">
      <c r="A158" s="441">
        <v>2021.0</v>
      </c>
      <c r="B158" s="441" t="s">
        <v>1047</v>
      </c>
      <c r="C158" s="870" t="s">
        <v>1065</v>
      </c>
      <c r="D158" s="441" t="s">
        <v>1065</v>
      </c>
      <c r="E158" s="441">
        <v>7.1220009E7</v>
      </c>
      <c r="F158" s="441" t="s">
        <v>27</v>
      </c>
      <c r="G158" s="441" t="s">
        <v>152</v>
      </c>
      <c r="H158" s="871">
        <v>358785.0</v>
      </c>
      <c r="I158" s="441" t="s">
        <v>389</v>
      </c>
      <c r="J158" s="867"/>
      <c r="K158" s="872" t="s">
        <v>1071</v>
      </c>
      <c r="L158" s="868"/>
      <c r="M158" s="675" t="s">
        <v>2929</v>
      </c>
      <c r="N158" s="868"/>
    </row>
    <row r="159" hidden="1">
      <c r="A159" s="441">
        <v>2021.0</v>
      </c>
      <c r="B159" s="441" t="s">
        <v>1047</v>
      </c>
      <c r="C159" s="870" t="s">
        <v>139</v>
      </c>
      <c r="D159" s="441" t="s">
        <v>139</v>
      </c>
      <c r="E159" s="441">
        <v>7.1220009E7</v>
      </c>
      <c r="F159" s="441" t="s">
        <v>27</v>
      </c>
      <c r="G159" s="441" t="s">
        <v>152</v>
      </c>
      <c r="H159" s="871">
        <v>700000.0</v>
      </c>
      <c r="I159" s="441" t="s">
        <v>389</v>
      </c>
      <c r="J159" s="867"/>
      <c r="K159" s="872" t="s">
        <v>1053</v>
      </c>
      <c r="L159" s="868"/>
      <c r="M159" s="675" t="s">
        <v>2934</v>
      </c>
      <c r="N159" s="868"/>
    </row>
    <row r="160" hidden="1">
      <c r="A160" s="441">
        <v>2021.0</v>
      </c>
      <c r="B160" s="441" t="s">
        <v>1047</v>
      </c>
      <c r="C160" s="872" t="s">
        <v>1094</v>
      </c>
      <c r="D160" s="441" t="s">
        <v>1094</v>
      </c>
      <c r="E160" s="441">
        <v>7.1220009E7</v>
      </c>
      <c r="F160" s="441" t="s">
        <v>27</v>
      </c>
      <c r="G160" s="441" t="s">
        <v>152</v>
      </c>
      <c r="H160" s="871">
        <v>330000.0</v>
      </c>
      <c r="I160" s="441" t="s">
        <v>389</v>
      </c>
      <c r="J160" s="867"/>
      <c r="K160" s="872" t="s">
        <v>1367</v>
      </c>
      <c r="L160" s="868"/>
      <c r="M160" s="675" t="s">
        <v>2938</v>
      </c>
      <c r="N160" s="868"/>
    </row>
    <row r="161" hidden="1">
      <c r="A161" s="441">
        <v>2021.0</v>
      </c>
      <c r="B161" s="441" t="s">
        <v>1047</v>
      </c>
      <c r="C161" s="870" t="s">
        <v>1065</v>
      </c>
      <c r="D161" s="441" t="s">
        <v>1065</v>
      </c>
      <c r="E161" s="441">
        <v>7.1220009E7</v>
      </c>
      <c r="F161" s="441" t="s">
        <v>27</v>
      </c>
      <c r="G161" s="441" t="s">
        <v>152</v>
      </c>
      <c r="H161" s="871">
        <v>296745.33</v>
      </c>
      <c r="I161" s="441" t="s">
        <v>389</v>
      </c>
      <c r="J161" s="867"/>
      <c r="K161" s="872" t="s">
        <v>1078</v>
      </c>
      <c r="L161" s="868"/>
      <c r="M161" s="675" t="s">
        <v>2944</v>
      </c>
      <c r="N161" s="868"/>
    </row>
    <row r="162">
      <c r="A162" s="824">
        <v>2021.0</v>
      </c>
      <c r="B162" s="877" t="s">
        <v>893</v>
      </c>
      <c r="C162" s="825" t="s">
        <v>220</v>
      </c>
      <c r="D162" s="825"/>
      <c r="E162" s="825">
        <v>4.1160002E7</v>
      </c>
      <c r="F162" s="825" t="s">
        <v>1087</v>
      </c>
      <c r="G162" s="825" t="s">
        <v>152</v>
      </c>
      <c r="H162" s="879">
        <v>200000.0</v>
      </c>
      <c r="I162" s="825" t="s">
        <v>1062</v>
      </c>
      <c r="J162" s="825" t="s">
        <v>1833</v>
      </c>
      <c r="K162" s="825" t="s">
        <v>2949</v>
      </c>
      <c r="L162" s="825"/>
      <c r="M162" s="825" t="s">
        <v>2950</v>
      </c>
      <c r="N162" s="825"/>
    </row>
    <row r="163">
      <c r="A163" s="824">
        <v>2022.0</v>
      </c>
      <c r="B163" s="825" t="s">
        <v>355</v>
      </c>
      <c r="C163" s="825" t="s">
        <v>2951</v>
      </c>
      <c r="D163" s="825" t="s">
        <v>2952</v>
      </c>
      <c r="E163" s="880">
        <v>4.1160008E7</v>
      </c>
      <c r="F163" s="825" t="s">
        <v>2954</v>
      </c>
      <c r="G163" s="825" t="s">
        <v>152</v>
      </c>
      <c r="H163" s="826">
        <v>300000.0</v>
      </c>
      <c r="I163" s="825" t="s">
        <v>155</v>
      </c>
      <c r="J163" s="825" t="s">
        <v>2956</v>
      </c>
      <c r="K163" s="881" t="s">
        <v>2957</v>
      </c>
      <c r="L163" s="825"/>
      <c r="M163" s="882"/>
      <c r="N163" s="825"/>
    </row>
    <row r="164">
      <c r="A164" s="883"/>
      <c r="F164" s="622"/>
      <c r="G164" s="622"/>
      <c r="H164" s="884"/>
      <c r="I164" s="622"/>
      <c r="J164" s="622"/>
      <c r="K164" s="885"/>
      <c r="L164" s="548"/>
      <c r="M164" s="625"/>
      <c r="N164" s="548"/>
    </row>
    <row r="165">
      <c r="A165" s="883"/>
      <c r="B165" s="883"/>
      <c r="C165" s="883"/>
      <c r="D165" s="883"/>
      <c r="E165" s="883"/>
      <c r="F165" s="622"/>
      <c r="G165" s="622"/>
      <c r="H165" s="884"/>
      <c r="I165" s="622"/>
      <c r="J165" s="622"/>
      <c r="K165" s="885"/>
      <c r="L165" s="548"/>
      <c r="M165" s="625"/>
      <c r="N165" s="548"/>
    </row>
    <row r="166">
      <c r="A166" s="886"/>
      <c r="B166" s="886"/>
      <c r="C166" s="886"/>
      <c r="D166" s="888"/>
      <c r="E166" s="889"/>
      <c r="F166" s="622"/>
      <c r="G166" s="622"/>
      <c r="H166" s="884"/>
      <c r="I166" s="622"/>
      <c r="J166" s="622"/>
      <c r="K166" s="885"/>
      <c r="L166" s="548"/>
      <c r="M166" s="625"/>
      <c r="N166" s="548"/>
    </row>
    <row r="167">
      <c r="A167" s="886"/>
      <c r="B167" s="886"/>
      <c r="C167" s="886"/>
      <c r="D167" s="888"/>
      <c r="E167" s="889"/>
      <c r="F167" s="888"/>
      <c r="G167" s="622"/>
      <c r="H167" s="884"/>
      <c r="I167" s="622"/>
      <c r="J167" s="622"/>
      <c r="K167" s="885"/>
      <c r="L167" s="548"/>
      <c r="M167" s="625"/>
      <c r="N167" s="548"/>
    </row>
    <row r="168">
      <c r="A168" s="886"/>
      <c r="B168" s="886"/>
      <c r="C168" s="886"/>
      <c r="D168" s="888"/>
      <c r="E168" s="888"/>
      <c r="F168" s="622"/>
      <c r="G168" s="622"/>
      <c r="H168" s="884"/>
      <c r="I168" s="622"/>
      <c r="J168" s="622"/>
      <c r="K168" s="885"/>
      <c r="L168" s="548"/>
      <c r="M168" s="625"/>
      <c r="N168" s="548"/>
    </row>
    <row r="169">
      <c r="A169" s="886"/>
      <c r="B169" s="886"/>
      <c r="C169" s="886"/>
      <c r="D169" s="888"/>
      <c r="E169" s="888"/>
      <c r="F169" s="622"/>
      <c r="G169" s="622"/>
      <c r="H169" s="884"/>
      <c r="I169" s="622"/>
      <c r="J169" s="622"/>
      <c r="K169" s="885"/>
      <c r="L169" s="548"/>
      <c r="M169" s="625"/>
      <c r="N169" s="548"/>
    </row>
    <row r="170">
      <c r="A170" s="890"/>
      <c r="B170" s="890"/>
      <c r="C170" s="891"/>
      <c r="D170" s="890"/>
      <c r="E170" s="892"/>
      <c r="F170" s="622"/>
      <c r="G170" s="622"/>
      <c r="H170" s="884"/>
      <c r="I170" s="622"/>
      <c r="J170" s="622"/>
      <c r="K170" s="885"/>
      <c r="L170" s="548"/>
      <c r="M170" s="625"/>
      <c r="N170" s="548"/>
    </row>
  </sheetData>
  <autoFilter ref="$A$1:$N$163">
    <filterColumn colId="1">
      <filters>
        <filter val="Santa Maria"/>
        <filter val="São Borja"/>
        <filter val="Caxias do Sul"/>
      </filters>
    </filterColumn>
  </autoFilter>
  <mergeCells count="1">
    <mergeCell ref="A164:E164"/>
  </mergeCells>
  <hyperlinks>
    <hyperlink r:id="rId1" ref="M9"/>
    <hyperlink r:id="rId2" ref="M17"/>
    <hyperlink r:id="rId3" ref="M18"/>
    <hyperlink r:id="rId4" ref="M22"/>
    <hyperlink r:id="rId5" location="page=6" ref="E24"/>
    <hyperlink r:id="rId6" ref="M26"/>
    <hyperlink r:id="rId7" ref="M27"/>
    <hyperlink r:id="rId8" ref="M29"/>
    <hyperlink r:id="rId9" ref="M32"/>
    <hyperlink r:id="rId10" location="page=6" ref="E34"/>
    <hyperlink r:id="rId11" location="page=6" ref="E35"/>
    <hyperlink r:id="rId12" location="page=6" ref="E36"/>
    <hyperlink r:id="rId13" ref="M39"/>
    <hyperlink r:id="rId14" location="page=6" ref="E40"/>
    <hyperlink r:id="rId15" location="page=6" ref="E41"/>
    <hyperlink r:id="rId16" ref="M43"/>
    <hyperlink r:id="rId17" ref="M44"/>
    <hyperlink r:id="rId18" location="page=6" ref="E45"/>
    <hyperlink r:id="rId19" ref="M45"/>
    <hyperlink r:id="rId20" ref="M48"/>
    <hyperlink r:id="rId21" ref="M49"/>
    <hyperlink r:id="rId22" ref="M50"/>
    <hyperlink r:id="rId23" ref="M51"/>
    <hyperlink r:id="rId24" location="page=6" ref="E52"/>
    <hyperlink r:id="rId25" ref="M53"/>
    <hyperlink r:id="rId26" ref="M56"/>
    <hyperlink r:id="rId27" location="page=6" ref="E59"/>
    <hyperlink r:id="rId28" location="page=6" ref="E62"/>
    <hyperlink r:id="rId29" ref="M65"/>
    <hyperlink r:id="rId30" location="page=6" ref="E66"/>
    <hyperlink r:id="rId31" ref="M67"/>
    <hyperlink r:id="rId32" ref="M69"/>
    <hyperlink r:id="rId33" location="page=6" ref="E71"/>
    <hyperlink r:id="rId34" location="page=6" ref="E72"/>
    <hyperlink r:id="rId35" ref="M73"/>
    <hyperlink r:id="rId36" location="page=6" ref="E74"/>
    <hyperlink r:id="rId37" location="page=6" ref="E77"/>
    <hyperlink r:id="rId38" location="page=6" ref="E79"/>
    <hyperlink r:id="rId39" ref="M80"/>
    <hyperlink r:id="rId40" ref="M81"/>
    <hyperlink r:id="rId41" ref="M82"/>
    <hyperlink r:id="rId42" location="page=6" ref="E83"/>
    <hyperlink r:id="rId43" ref="M84"/>
    <hyperlink r:id="rId44" location="page=6" ref="E85"/>
    <hyperlink r:id="rId45" ref="M86"/>
    <hyperlink r:id="rId46" location="page=6" ref="E87"/>
    <hyperlink r:id="rId47" ref="M88"/>
    <hyperlink r:id="rId48" ref="M89"/>
    <hyperlink r:id="rId49" location="page=6" ref="E90"/>
    <hyperlink r:id="rId50" location="page=6" ref="E92"/>
    <hyperlink r:id="rId51" ref="M93"/>
    <hyperlink r:id="rId52" ref="M97"/>
    <hyperlink r:id="rId53" ref="M98"/>
    <hyperlink r:id="rId54" ref="M99"/>
    <hyperlink r:id="rId55" ref="M100"/>
    <hyperlink r:id="rId56" ref="M101"/>
    <hyperlink r:id="rId57" ref="M102"/>
    <hyperlink r:id="rId58" ref="M103"/>
    <hyperlink r:id="rId59" ref="M104"/>
    <hyperlink r:id="rId60" ref="M105"/>
    <hyperlink r:id="rId61" ref="M106"/>
    <hyperlink r:id="rId62" ref="M107"/>
    <hyperlink r:id="rId63" ref="M108"/>
    <hyperlink r:id="rId64" location="page=6" ref="E109"/>
    <hyperlink r:id="rId65" location="page=6" ref="E111"/>
    <hyperlink r:id="rId66" location="page=6" ref="E112"/>
    <hyperlink r:id="rId67" ref="M114"/>
    <hyperlink r:id="rId68" location="page=6" ref="E118"/>
    <hyperlink r:id="rId69" location="page=6" ref="E122"/>
    <hyperlink r:id="rId70" ref="M122"/>
    <hyperlink r:id="rId71" location="page=6" ref="E124"/>
    <hyperlink r:id="rId72" location="page=6" ref="E125"/>
    <hyperlink r:id="rId73" location="page=6" ref="E126"/>
    <hyperlink r:id="rId74" location="page=6" ref="E131"/>
    <hyperlink r:id="rId75" location="page=6" ref="E132"/>
    <hyperlink r:id="rId76" ref="M134"/>
    <hyperlink r:id="rId77" ref="M135"/>
    <hyperlink r:id="rId78" ref="M136"/>
    <hyperlink r:id="rId79" ref="M137"/>
    <hyperlink r:id="rId80" ref="M138"/>
    <hyperlink r:id="rId81" ref="M139"/>
    <hyperlink r:id="rId82" ref="M140"/>
    <hyperlink r:id="rId83" ref="M141"/>
    <hyperlink r:id="rId84" ref="M142"/>
    <hyperlink r:id="rId85" ref="M144"/>
    <hyperlink r:id="rId86" ref="M145"/>
    <hyperlink r:id="rId87" ref="M146"/>
    <hyperlink r:id="rId88" ref="M147"/>
    <hyperlink r:id="rId89" ref="M148"/>
    <hyperlink r:id="rId90" ref="M149"/>
    <hyperlink r:id="rId91" ref="M151"/>
    <hyperlink r:id="rId92" ref="M152"/>
    <hyperlink r:id="rId93" ref="M153"/>
    <hyperlink r:id="rId94" ref="M154"/>
    <hyperlink r:id="rId95" ref="M155"/>
    <hyperlink r:id="rId96" ref="M157"/>
    <hyperlink r:id="rId97" ref="M158"/>
    <hyperlink r:id="rId98" ref="M159"/>
    <hyperlink r:id="rId99" ref="M160"/>
    <hyperlink r:id="rId100" ref="M161"/>
  </hyperlinks>
  <printOptions gridLines="1" horizontalCentered="1"/>
  <pageMargins bottom="0.75" footer="0.0" header="0.0" left="0.7" right="0.7" top="0.75"/>
  <pageSetup fitToHeight="0" paperSize="9" cellComments="atEnd" orientation="landscape" pageOrder="overThenDown"/>
  <drawing r:id="rId10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20.63"/>
  </cols>
  <sheetData>
    <row r="1">
      <c r="A1" s="591" t="s">
        <v>2575</v>
      </c>
      <c r="B1" s="592" t="s">
        <v>14</v>
      </c>
      <c r="C1" s="592" t="s">
        <v>11</v>
      </c>
      <c r="D1" s="592" t="s">
        <v>16</v>
      </c>
      <c r="E1" s="591" t="s">
        <v>24</v>
      </c>
      <c r="F1" s="594" t="s">
        <v>32</v>
      </c>
      <c r="G1" s="592" t="s">
        <v>39</v>
      </c>
      <c r="H1" s="592" t="s">
        <v>41</v>
      </c>
      <c r="I1" s="592" t="s">
        <v>43</v>
      </c>
      <c r="J1" s="595" t="s">
        <v>1042</v>
      </c>
    </row>
    <row r="2">
      <c r="A2" s="342">
        <v>2020.0</v>
      </c>
      <c r="B2" s="342" t="s">
        <v>178</v>
      </c>
      <c r="C2" s="342" t="s">
        <v>566</v>
      </c>
      <c r="D2" s="342" t="s">
        <v>567</v>
      </c>
      <c r="E2" s="342" t="s">
        <v>488</v>
      </c>
      <c r="F2" s="322">
        <v>50000.0</v>
      </c>
      <c r="G2" s="342" t="s">
        <v>570</v>
      </c>
      <c r="H2" s="342" t="s">
        <v>110</v>
      </c>
      <c r="I2" s="342" t="s">
        <v>571</v>
      </c>
      <c r="J2" s="352"/>
    </row>
    <row r="3">
      <c r="A3" s="232">
        <v>2020.0</v>
      </c>
      <c r="B3" s="232" t="s">
        <v>70</v>
      </c>
      <c r="C3" s="232" t="s">
        <v>485</v>
      </c>
      <c r="D3" s="232" t="s">
        <v>1101</v>
      </c>
      <c r="E3" s="232" t="s">
        <v>488</v>
      </c>
      <c r="F3" s="357">
        <v>100000.0</v>
      </c>
      <c r="G3" s="342" t="s">
        <v>389</v>
      </c>
      <c r="H3" s="232" t="s">
        <v>110</v>
      </c>
      <c r="I3" s="342" t="s">
        <v>589</v>
      </c>
      <c r="J3" s="352"/>
    </row>
    <row r="4">
      <c r="A4" s="232">
        <v>2019.0</v>
      </c>
      <c r="B4" s="232" t="s">
        <v>191</v>
      </c>
      <c r="C4" s="232" t="s">
        <v>485</v>
      </c>
      <c r="D4" s="232" t="s">
        <v>606</v>
      </c>
      <c r="E4" s="232" t="s">
        <v>488</v>
      </c>
      <c r="F4" s="357">
        <v>250000.0</v>
      </c>
      <c r="G4" s="232" t="s">
        <v>389</v>
      </c>
      <c r="H4" s="232" t="s">
        <v>110</v>
      </c>
      <c r="I4" s="232" t="s">
        <v>1076</v>
      </c>
      <c r="J4" s="331" t="s">
        <v>1606</v>
      </c>
    </row>
    <row r="5">
      <c r="A5" s="232">
        <v>2020.0</v>
      </c>
      <c r="B5" s="232" t="s">
        <v>191</v>
      </c>
      <c r="C5" s="232" t="s">
        <v>485</v>
      </c>
      <c r="D5" s="232" t="s">
        <v>606</v>
      </c>
      <c r="E5" s="232" t="s">
        <v>488</v>
      </c>
      <c r="F5" s="357">
        <v>50000.0</v>
      </c>
      <c r="G5" s="232" t="s">
        <v>389</v>
      </c>
      <c r="H5" s="342" t="s">
        <v>110</v>
      </c>
      <c r="I5" s="474" t="s">
        <v>600</v>
      </c>
      <c r="J5" s="352"/>
    </row>
    <row r="6">
      <c r="A6" s="232">
        <v>2020.0</v>
      </c>
      <c r="B6" s="232" t="s">
        <v>191</v>
      </c>
      <c r="C6" s="232" t="s">
        <v>14</v>
      </c>
      <c r="D6" s="232" t="s">
        <v>74</v>
      </c>
      <c r="E6" s="232" t="s">
        <v>193</v>
      </c>
      <c r="F6" s="357">
        <v>100000.0</v>
      </c>
      <c r="G6" s="232" t="s">
        <v>490</v>
      </c>
      <c r="H6" s="342" t="s">
        <v>110</v>
      </c>
      <c r="I6" s="232" t="s">
        <v>1030</v>
      </c>
      <c r="J6" s="352"/>
    </row>
    <row r="7">
      <c r="A7" s="232">
        <v>2020.0</v>
      </c>
      <c r="B7" s="232" t="s">
        <v>757</v>
      </c>
      <c r="C7" s="232" t="s">
        <v>14</v>
      </c>
      <c r="D7" s="232" t="s">
        <v>74</v>
      </c>
      <c r="E7" s="232" t="s">
        <v>193</v>
      </c>
      <c r="F7" s="357">
        <v>67727.0</v>
      </c>
      <c r="G7" s="232" t="s">
        <v>89</v>
      </c>
      <c r="H7" s="342" t="s">
        <v>110</v>
      </c>
      <c r="I7" s="232" t="s">
        <v>1030</v>
      </c>
      <c r="J7" s="331" t="s">
        <v>1031</v>
      </c>
    </row>
    <row r="8">
      <c r="A8" s="342">
        <v>2020.0</v>
      </c>
      <c r="B8" s="342" t="s">
        <v>757</v>
      </c>
      <c r="C8" s="342" t="s">
        <v>566</v>
      </c>
      <c r="D8" s="342" t="s">
        <v>567</v>
      </c>
      <c r="E8" s="342" t="s">
        <v>488</v>
      </c>
      <c r="F8" s="322">
        <v>50000.0</v>
      </c>
      <c r="G8" s="342" t="s">
        <v>724</v>
      </c>
      <c r="H8" s="342" t="s">
        <v>110</v>
      </c>
      <c r="I8" s="342" t="s">
        <v>571</v>
      </c>
      <c r="J8" s="352"/>
    </row>
    <row r="9">
      <c r="A9" s="232">
        <v>2019.0</v>
      </c>
      <c r="B9" s="232" t="s">
        <v>462</v>
      </c>
      <c r="C9" s="232" t="s">
        <v>485</v>
      </c>
      <c r="D9" s="232" t="s">
        <v>1105</v>
      </c>
      <c r="E9" s="232" t="s">
        <v>488</v>
      </c>
      <c r="F9" s="357">
        <v>250000.0</v>
      </c>
      <c r="G9" s="232" t="s">
        <v>389</v>
      </c>
      <c r="H9" s="232" t="s">
        <v>110</v>
      </c>
      <c r="I9" s="232" t="s">
        <v>1076</v>
      </c>
      <c r="J9" s="352"/>
    </row>
    <row r="10">
      <c r="A10" s="232">
        <v>2020.0</v>
      </c>
      <c r="B10" s="232" t="s">
        <v>462</v>
      </c>
      <c r="C10" s="232" t="s">
        <v>485</v>
      </c>
      <c r="D10" s="232" t="s">
        <v>1105</v>
      </c>
      <c r="E10" s="232" t="s">
        <v>488</v>
      </c>
      <c r="F10" s="357">
        <v>100000.0</v>
      </c>
      <c r="G10" s="232" t="s">
        <v>389</v>
      </c>
      <c r="H10" s="342" t="s">
        <v>110</v>
      </c>
      <c r="I10" s="474" t="s">
        <v>600</v>
      </c>
      <c r="J10" s="352"/>
    </row>
    <row r="11">
      <c r="A11" s="232">
        <v>2020.0</v>
      </c>
      <c r="B11" s="232" t="s">
        <v>323</v>
      </c>
      <c r="C11" s="232" t="s">
        <v>485</v>
      </c>
      <c r="D11" s="232" t="s">
        <v>662</v>
      </c>
      <c r="E11" s="232" t="s">
        <v>488</v>
      </c>
      <c r="F11" s="357">
        <v>50000.0</v>
      </c>
      <c r="G11" s="232" t="s">
        <v>389</v>
      </c>
      <c r="H11" s="342" t="s">
        <v>110</v>
      </c>
      <c r="I11" s="474" t="s">
        <v>600</v>
      </c>
      <c r="J11" s="352"/>
    </row>
    <row r="12">
      <c r="A12" s="232">
        <v>2019.0</v>
      </c>
      <c r="B12" s="232" t="s">
        <v>673</v>
      </c>
      <c r="C12" s="232" t="s">
        <v>485</v>
      </c>
      <c r="D12" s="232" t="s">
        <v>682</v>
      </c>
      <c r="E12" s="232" t="s">
        <v>488</v>
      </c>
      <c r="F12" s="357">
        <v>250000.0</v>
      </c>
      <c r="G12" s="232" t="s">
        <v>389</v>
      </c>
      <c r="H12" s="232" t="s">
        <v>110</v>
      </c>
      <c r="I12" s="232" t="s">
        <v>1076</v>
      </c>
      <c r="J12" s="352"/>
    </row>
    <row r="13">
      <c r="A13" s="232">
        <v>2020.0</v>
      </c>
      <c r="B13" s="232" t="s">
        <v>673</v>
      </c>
      <c r="C13" s="232" t="s">
        <v>485</v>
      </c>
      <c r="D13" s="232" t="s">
        <v>682</v>
      </c>
      <c r="E13" s="232" t="s">
        <v>488</v>
      </c>
      <c r="F13" s="357">
        <v>50000.0</v>
      </c>
      <c r="G13" s="232" t="s">
        <v>389</v>
      </c>
      <c r="H13" s="342" t="s">
        <v>110</v>
      </c>
      <c r="I13" s="474" t="s">
        <v>600</v>
      </c>
      <c r="J13" s="352"/>
    </row>
    <row r="14">
      <c r="A14" s="232">
        <v>2019.0</v>
      </c>
      <c r="B14" s="232" t="s">
        <v>333</v>
      </c>
      <c r="C14" s="232" t="s">
        <v>485</v>
      </c>
      <c r="D14" s="232" t="s">
        <v>1864</v>
      </c>
      <c r="E14" s="232" t="s">
        <v>488</v>
      </c>
      <c r="F14" s="357">
        <v>250000.0</v>
      </c>
      <c r="G14" s="232" t="s">
        <v>389</v>
      </c>
      <c r="H14" s="232" t="s">
        <v>110</v>
      </c>
      <c r="I14" s="232" t="s">
        <v>1076</v>
      </c>
      <c r="J14" s="331" t="s">
        <v>1866</v>
      </c>
    </row>
    <row r="15">
      <c r="A15" s="232">
        <v>2020.0</v>
      </c>
      <c r="B15" s="232" t="s">
        <v>333</v>
      </c>
      <c r="C15" s="232" t="s">
        <v>485</v>
      </c>
      <c r="D15" s="232" t="s">
        <v>1169</v>
      </c>
      <c r="E15" s="232" t="s">
        <v>488</v>
      </c>
      <c r="F15" s="357">
        <v>100000.0</v>
      </c>
      <c r="G15" s="232" t="s">
        <v>389</v>
      </c>
      <c r="H15" s="342" t="s">
        <v>110</v>
      </c>
      <c r="I15" s="474" t="s">
        <v>600</v>
      </c>
      <c r="J15" s="352"/>
    </row>
    <row r="16">
      <c r="A16" s="232">
        <v>2020.0</v>
      </c>
      <c r="B16" s="232" t="s">
        <v>333</v>
      </c>
      <c r="C16" s="232" t="s">
        <v>14</v>
      </c>
      <c r="D16" s="232" t="s">
        <v>74</v>
      </c>
      <c r="E16" s="232" t="s">
        <v>488</v>
      </c>
      <c r="F16" s="357">
        <v>100000.0</v>
      </c>
      <c r="G16" s="232" t="s">
        <v>490</v>
      </c>
      <c r="H16" s="342" t="s">
        <v>110</v>
      </c>
      <c r="I16" s="232" t="s">
        <v>491</v>
      </c>
      <c r="J16" s="352"/>
    </row>
    <row r="17">
      <c r="A17" s="232">
        <v>2020.0</v>
      </c>
      <c r="B17" s="232" t="s">
        <v>400</v>
      </c>
      <c r="C17" s="232" t="s">
        <v>485</v>
      </c>
      <c r="D17" s="232" t="s">
        <v>1174</v>
      </c>
      <c r="E17" s="232" t="s">
        <v>488</v>
      </c>
      <c r="F17" s="357">
        <v>100000.0</v>
      </c>
      <c r="G17" s="232" t="s">
        <v>389</v>
      </c>
      <c r="H17" s="342" t="s">
        <v>110</v>
      </c>
      <c r="I17" s="474" t="s">
        <v>600</v>
      </c>
      <c r="J17" s="352"/>
    </row>
    <row r="18">
      <c r="A18" s="803">
        <v>2021.0</v>
      </c>
      <c r="B18" s="804" t="s">
        <v>400</v>
      </c>
      <c r="C18" s="803" t="s">
        <v>485</v>
      </c>
      <c r="D18" s="805" t="s">
        <v>1554</v>
      </c>
      <c r="E18" s="806" t="s">
        <v>1087</v>
      </c>
      <c r="F18" s="807">
        <v>112000.0</v>
      </c>
      <c r="G18" s="806" t="s">
        <v>1062</v>
      </c>
      <c r="H18" s="806" t="s">
        <v>1090</v>
      </c>
      <c r="I18" s="804" t="s">
        <v>1555</v>
      </c>
      <c r="J18" s="808"/>
    </row>
    <row r="19">
      <c r="A19" s="232">
        <v>2019.0</v>
      </c>
      <c r="B19" s="232" t="s">
        <v>298</v>
      </c>
      <c r="C19" s="232" t="s">
        <v>485</v>
      </c>
      <c r="D19" s="232" t="s">
        <v>815</v>
      </c>
      <c r="E19" s="232" t="s">
        <v>488</v>
      </c>
      <c r="F19" s="357">
        <v>250000.0</v>
      </c>
      <c r="G19" s="232" t="s">
        <v>389</v>
      </c>
      <c r="H19" s="232" t="s">
        <v>110</v>
      </c>
      <c r="I19" s="232" t="s">
        <v>1076</v>
      </c>
      <c r="J19" s="331" t="s">
        <v>1903</v>
      </c>
    </row>
    <row r="20">
      <c r="A20" s="232">
        <v>2020.0</v>
      </c>
      <c r="B20" s="232" t="s">
        <v>298</v>
      </c>
      <c r="C20" s="232" t="s">
        <v>485</v>
      </c>
      <c r="D20" s="232" t="s">
        <v>815</v>
      </c>
      <c r="E20" s="232" t="s">
        <v>488</v>
      </c>
      <c r="F20" s="357">
        <v>50000.0</v>
      </c>
      <c r="G20" s="232" t="s">
        <v>389</v>
      </c>
      <c r="H20" s="342" t="s">
        <v>110</v>
      </c>
      <c r="I20" s="474" t="s">
        <v>600</v>
      </c>
      <c r="J20" s="352"/>
    </row>
    <row r="21">
      <c r="A21" s="806">
        <v>2021.0</v>
      </c>
      <c r="B21" s="809" t="s">
        <v>298</v>
      </c>
      <c r="C21" s="806" t="s">
        <v>485</v>
      </c>
      <c r="D21" s="809" t="s">
        <v>1247</v>
      </c>
      <c r="E21" s="806" t="s">
        <v>1087</v>
      </c>
      <c r="F21" s="810">
        <v>100000.0</v>
      </c>
      <c r="G21" s="806" t="s">
        <v>1062</v>
      </c>
      <c r="H21" s="806" t="s">
        <v>1090</v>
      </c>
      <c r="I21" s="809" t="s">
        <v>1909</v>
      </c>
      <c r="J21" s="808"/>
    </row>
  </sheetData>
  <autoFilter ref="$A$1:$J$21">
    <sortState ref="A1:J21">
      <sortCondition ref="B1:B21"/>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800" t="s">
        <v>2575</v>
      </c>
      <c r="B1" s="801" t="s">
        <v>14</v>
      </c>
      <c r="C1" s="801" t="s">
        <v>11</v>
      </c>
      <c r="D1" s="801" t="s">
        <v>16</v>
      </c>
      <c r="E1" s="800" t="s">
        <v>24</v>
      </c>
      <c r="F1" s="802" t="s">
        <v>32</v>
      </c>
      <c r="G1" s="801" t="s">
        <v>39</v>
      </c>
      <c r="H1" s="801" t="s">
        <v>41</v>
      </c>
      <c r="I1" s="801" t="s">
        <v>43</v>
      </c>
    </row>
    <row r="2">
      <c r="A2" s="212">
        <v>2020.0</v>
      </c>
      <c r="B2" s="212" t="s">
        <v>178</v>
      </c>
      <c r="C2" s="212" t="s">
        <v>566</v>
      </c>
      <c r="D2" s="212" t="s">
        <v>567</v>
      </c>
      <c r="E2" s="212" t="s">
        <v>488</v>
      </c>
      <c r="F2" s="434">
        <v>50000.0</v>
      </c>
      <c r="G2" s="212" t="s">
        <v>570</v>
      </c>
      <c r="H2" s="212" t="s">
        <v>110</v>
      </c>
      <c r="I2" s="212" t="s">
        <v>589</v>
      </c>
    </row>
    <row r="3">
      <c r="A3" s="204">
        <v>2020.0</v>
      </c>
      <c r="B3" s="204" t="s">
        <v>70</v>
      </c>
      <c r="C3" s="204" t="s">
        <v>485</v>
      </c>
      <c r="D3" s="204" t="s">
        <v>1101</v>
      </c>
      <c r="E3" s="204" t="s">
        <v>488</v>
      </c>
      <c r="F3" s="495">
        <v>100000.0</v>
      </c>
      <c r="G3" s="212" t="s">
        <v>389</v>
      </c>
      <c r="H3" s="204" t="s">
        <v>110</v>
      </c>
      <c r="I3" s="212" t="s">
        <v>589</v>
      </c>
    </row>
    <row r="4">
      <c r="A4" s="204">
        <v>2019.0</v>
      </c>
      <c r="B4" s="204" t="s">
        <v>191</v>
      </c>
      <c r="C4" s="204" t="s">
        <v>485</v>
      </c>
      <c r="D4" s="204" t="s">
        <v>606</v>
      </c>
      <c r="E4" s="204" t="s">
        <v>488</v>
      </c>
      <c r="F4" s="495">
        <v>250000.0</v>
      </c>
      <c r="G4" s="204" t="s">
        <v>389</v>
      </c>
      <c r="H4" s="204" t="s">
        <v>110</v>
      </c>
      <c r="I4" s="204" t="s">
        <v>1076</v>
      </c>
    </row>
    <row r="5">
      <c r="A5" s="204">
        <v>2020.0</v>
      </c>
      <c r="B5" s="204" t="s">
        <v>191</v>
      </c>
      <c r="C5" s="204" t="s">
        <v>485</v>
      </c>
      <c r="D5" s="204" t="s">
        <v>606</v>
      </c>
      <c r="E5" s="204" t="s">
        <v>488</v>
      </c>
      <c r="F5" s="495">
        <v>50000.0</v>
      </c>
      <c r="G5" s="204" t="s">
        <v>389</v>
      </c>
      <c r="H5" s="212" t="s">
        <v>110</v>
      </c>
      <c r="I5" s="542" t="s">
        <v>600</v>
      </c>
    </row>
    <row r="6">
      <c r="A6" s="204">
        <v>2020.0</v>
      </c>
      <c r="B6" s="204" t="s">
        <v>191</v>
      </c>
      <c r="C6" s="204" t="s">
        <v>14</v>
      </c>
      <c r="D6" s="204" t="s">
        <v>74</v>
      </c>
      <c r="E6" s="204" t="s">
        <v>193</v>
      </c>
      <c r="F6" s="495">
        <v>100000.0</v>
      </c>
      <c r="G6" s="204" t="s">
        <v>490</v>
      </c>
      <c r="H6" s="212" t="s">
        <v>110</v>
      </c>
      <c r="I6" s="204" t="s">
        <v>1030</v>
      </c>
    </row>
    <row r="7">
      <c r="A7" s="204">
        <v>2020.0</v>
      </c>
      <c r="B7" s="204" t="s">
        <v>757</v>
      </c>
      <c r="C7" s="204" t="s">
        <v>14</v>
      </c>
      <c r="D7" s="204" t="s">
        <v>74</v>
      </c>
      <c r="E7" s="204" t="s">
        <v>193</v>
      </c>
      <c r="F7" s="495">
        <v>67727.0</v>
      </c>
      <c r="G7" s="204" t="s">
        <v>89</v>
      </c>
      <c r="H7" s="212" t="s">
        <v>110</v>
      </c>
      <c r="I7" s="204" t="s">
        <v>1030</v>
      </c>
    </row>
    <row r="8">
      <c r="A8" s="212">
        <v>2020.0</v>
      </c>
      <c r="B8" s="212" t="s">
        <v>757</v>
      </c>
      <c r="C8" s="212" t="s">
        <v>566</v>
      </c>
      <c r="D8" s="212" t="s">
        <v>567</v>
      </c>
      <c r="E8" s="212" t="s">
        <v>488</v>
      </c>
      <c r="F8" s="434">
        <v>50000.0</v>
      </c>
      <c r="G8" s="212" t="s">
        <v>724</v>
      </c>
      <c r="H8" s="212" t="s">
        <v>110</v>
      </c>
      <c r="I8" s="212" t="s">
        <v>589</v>
      </c>
    </row>
    <row r="9">
      <c r="A9" s="204">
        <v>2019.0</v>
      </c>
      <c r="B9" s="204" t="s">
        <v>462</v>
      </c>
      <c r="C9" s="204" t="s">
        <v>485</v>
      </c>
      <c r="D9" s="204" t="s">
        <v>1105</v>
      </c>
      <c r="E9" s="204" t="s">
        <v>488</v>
      </c>
      <c r="F9" s="495">
        <v>250000.0</v>
      </c>
      <c r="G9" s="204" t="s">
        <v>389</v>
      </c>
      <c r="H9" s="204" t="s">
        <v>110</v>
      </c>
      <c r="I9" s="204" t="s">
        <v>1076</v>
      </c>
    </row>
    <row r="10">
      <c r="A10" s="204">
        <v>2020.0</v>
      </c>
      <c r="B10" s="204" t="s">
        <v>462</v>
      </c>
      <c r="C10" s="204" t="s">
        <v>485</v>
      </c>
      <c r="D10" s="204" t="s">
        <v>1105</v>
      </c>
      <c r="E10" s="204" t="s">
        <v>488</v>
      </c>
      <c r="F10" s="495">
        <v>100000.0</v>
      </c>
      <c r="G10" s="204" t="s">
        <v>389</v>
      </c>
      <c r="H10" s="212" t="s">
        <v>110</v>
      </c>
      <c r="I10" s="542" t="s">
        <v>600</v>
      </c>
    </row>
    <row r="11">
      <c r="A11" s="204">
        <v>2020.0</v>
      </c>
      <c r="B11" s="204" t="s">
        <v>323</v>
      </c>
      <c r="C11" s="204" t="s">
        <v>485</v>
      </c>
      <c r="D11" s="204" t="s">
        <v>662</v>
      </c>
      <c r="E11" s="204" t="s">
        <v>488</v>
      </c>
      <c r="F11" s="495">
        <v>50000.0</v>
      </c>
      <c r="G11" s="204" t="s">
        <v>389</v>
      </c>
      <c r="H11" s="212" t="s">
        <v>110</v>
      </c>
      <c r="I11" s="542" t="s">
        <v>600</v>
      </c>
    </row>
    <row r="12">
      <c r="A12" s="204">
        <v>2019.0</v>
      </c>
      <c r="B12" s="204" t="s">
        <v>673</v>
      </c>
      <c r="C12" s="204" t="s">
        <v>485</v>
      </c>
      <c r="D12" s="204" t="s">
        <v>682</v>
      </c>
      <c r="E12" s="204" t="s">
        <v>488</v>
      </c>
      <c r="F12" s="495">
        <v>250000.0</v>
      </c>
      <c r="G12" s="204" t="s">
        <v>389</v>
      </c>
      <c r="H12" s="204" t="s">
        <v>110</v>
      </c>
      <c r="I12" s="204" t="s">
        <v>1076</v>
      </c>
    </row>
    <row r="13">
      <c r="A13" s="204">
        <v>2020.0</v>
      </c>
      <c r="B13" s="204" t="s">
        <v>673</v>
      </c>
      <c r="C13" s="204" t="s">
        <v>485</v>
      </c>
      <c r="D13" s="204" t="s">
        <v>682</v>
      </c>
      <c r="E13" s="204" t="s">
        <v>488</v>
      </c>
      <c r="F13" s="495">
        <v>50000.0</v>
      </c>
      <c r="G13" s="204" t="s">
        <v>389</v>
      </c>
      <c r="H13" s="212" t="s">
        <v>110</v>
      </c>
      <c r="I13" s="542" t="s">
        <v>600</v>
      </c>
    </row>
    <row r="14">
      <c r="A14" s="204">
        <v>2019.0</v>
      </c>
      <c r="B14" s="204" t="s">
        <v>333</v>
      </c>
      <c r="C14" s="204" t="s">
        <v>485</v>
      </c>
      <c r="D14" s="204" t="s">
        <v>1864</v>
      </c>
      <c r="E14" s="204" t="s">
        <v>488</v>
      </c>
      <c r="F14" s="495">
        <v>250000.0</v>
      </c>
      <c r="G14" s="204" t="s">
        <v>389</v>
      </c>
      <c r="H14" s="204" t="s">
        <v>110</v>
      </c>
      <c r="I14" s="204" t="s">
        <v>1076</v>
      </c>
    </row>
    <row r="15">
      <c r="A15" s="204">
        <v>2020.0</v>
      </c>
      <c r="B15" s="204" t="s">
        <v>333</v>
      </c>
      <c r="C15" s="204" t="s">
        <v>485</v>
      </c>
      <c r="D15" s="204" t="s">
        <v>1169</v>
      </c>
      <c r="E15" s="204" t="s">
        <v>488</v>
      </c>
      <c r="F15" s="495">
        <v>100000.0</v>
      </c>
      <c r="G15" s="204" t="s">
        <v>389</v>
      </c>
      <c r="H15" s="212" t="s">
        <v>110</v>
      </c>
      <c r="I15" s="542" t="s">
        <v>600</v>
      </c>
    </row>
    <row r="16">
      <c r="A16" s="204">
        <v>2020.0</v>
      </c>
      <c r="B16" s="204" t="s">
        <v>333</v>
      </c>
      <c r="C16" s="204" t="s">
        <v>14</v>
      </c>
      <c r="D16" s="204" t="s">
        <v>74</v>
      </c>
      <c r="E16" s="204" t="s">
        <v>488</v>
      </c>
      <c r="F16" s="495">
        <v>100000.0</v>
      </c>
      <c r="G16" s="204" t="s">
        <v>490</v>
      </c>
      <c r="H16" s="212" t="s">
        <v>110</v>
      </c>
      <c r="I16" s="204" t="s">
        <v>491</v>
      </c>
    </row>
    <row r="17">
      <c r="A17" s="204">
        <v>2020.0</v>
      </c>
      <c r="B17" s="204" t="s">
        <v>400</v>
      </c>
      <c r="C17" s="204" t="s">
        <v>485</v>
      </c>
      <c r="D17" s="204" t="s">
        <v>1174</v>
      </c>
      <c r="E17" s="204" t="s">
        <v>488</v>
      </c>
      <c r="F17" s="495">
        <v>100000.0</v>
      </c>
      <c r="G17" s="204" t="s">
        <v>389</v>
      </c>
      <c r="H17" s="212" t="s">
        <v>110</v>
      </c>
      <c r="I17" s="542" t="s">
        <v>600</v>
      </c>
    </row>
    <row r="18">
      <c r="A18" s="204">
        <v>2021.0</v>
      </c>
      <c r="B18" s="612" t="s">
        <v>400</v>
      </c>
      <c r="C18" s="204" t="s">
        <v>485</v>
      </c>
      <c r="D18" s="811" t="s">
        <v>1554</v>
      </c>
      <c r="E18" s="212" t="s">
        <v>1087</v>
      </c>
      <c r="F18" s="613">
        <v>112000.0</v>
      </c>
      <c r="G18" s="212" t="s">
        <v>1062</v>
      </c>
      <c r="H18" s="212" t="s">
        <v>1090</v>
      </c>
      <c r="I18" s="612" t="s">
        <v>1555</v>
      </c>
    </row>
    <row r="19">
      <c r="A19" s="204">
        <v>2019.0</v>
      </c>
      <c r="B19" s="204" t="s">
        <v>298</v>
      </c>
      <c r="C19" s="204" t="s">
        <v>485</v>
      </c>
      <c r="D19" s="204" t="s">
        <v>815</v>
      </c>
      <c r="E19" s="204" t="s">
        <v>488</v>
      </c>
      <c r="F19" s="495">
        <v>250000.0</v>
      </c>
      <c r="G19" s="204" t="s">
        <v>389</v>
      </c>
      <c r="H19" s="204" t="s">
        <v>110</v>
      </c>
      <c r="I19" s="204" t="s">
        <v>1076</v>
      </c>
    </row>
    <row r="20">
      <c r="A20" s="204">
        <v>2020.0</v>
      </c>
      <c r="B20" s="204" t="s">
        <v>298</v>
      </c>
      <c r="C20" s="204" t="s">
        <v>485</v>
      </c>
      <c r="D20" s="204" t="s">
        <v>815</v>
      </c>
      <c r="E20" s="204" t="s">
        <v>488</v>
      </c>
      <c r="F20" s="495">
        <v>50000.0</v>
      </c>
      <c r="G20" s="204" t="s">
        <v>389</v>
      </c>
      <c r="H20" s="212" t="s">
        <v>110</v>
      </c>
      <c r="I20" s="542" t="s">
        <v>600</v>
      </c>
    </row>
    <row r="21">
      <c r="A21" s="212">
        <v>2021.0</v>
      </c>
      <c r="B21" s="812" t="s">
        <v>298</v>
      </c>
      <c r="C21" s="212" t="s">
        <v>485</v>
      </c>
      <c r="D21" s="812" t="s">
        <v>1247</v>
      </c>
      <c r="E21" s="212" t="s">
        <v>1087</v>
      </c>
      <c r="F21" s="813">
        <v>100000.0</v>
      </c>
      <c r="G21" s="212" t="s">
        <v>1062</v>
      </c>
      <c r="H21" s="212" t="s">
        <v>1090</v>
      </c>
      <c r="I21" s="812" t="s">
        <v>1909</v>
      </c>
    </row>
    <row r="23">
      <c r="E23" s="814" t="s">
        <v>2369</v>
      </c>
      <c r="F23" s="815">
        <f>SUM(F2:F22)</f>
        <v>2429727</v>
      </c>
    </row>
  </sheetData>
  <autoFilter ref="$A$1:$I$21">
    <sortState ref="A1:I21">
      <sortCondition ref="B1:B21"/>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6.13"/>
    <col customWidth="1" min="3" max="3" width="39.63"/>
    <col customWidth="1" min="4" max="4" width="19.0"/>
    <col customWidth="1" min="5" max="5" width="11.38"/>
    <col customWidth="1" min="6" max="6" width="30.0"/>
    <col customWidth="1" min="7" max="7" width="26.0"/>
    <col customWidth="1" min="8" max="8" width="17.0"/>
    <col customWidth="1" min="9" max="9" width="20.13"/>
    <col customWidth="1" min="10" max="10" width="17.0"/>
    <col customWidth="1" min="11" max="11" width="17.25"/>
    <col customWidth="1" min="12" max="12" width="24.25"/>
    <col customWidth="1" min="13" max="14" width="15.13"/>
    <col customWidth="1" min="15" max="15" width="34.38"/>
    <col customWidth="1" min="16" max="16" width="9.75"/>
    <col customWidth="1" min="17" max="17" width="34.75"/>
    <col customWidth="1" min="18" max="18" width="20.88"/>
    <col customWidth="1" min="19" max="19" width="18.63"/>
  </cols>
  <sheetData>
    <row r="1">
      <c r="A1" s="822" t="s">
        <v>0</v>
      </c>
      <c r="B1" s="823" t="s">
        <v>2768</v>
      </c>
      <c r="C1" s="823" t="s">
        <v>16</v>
      </c>
      <c r="D1" s="823" t="s">
        <v>2769</v>
      </c>
      <c r="E1" s="823" t="s">
        <v>19</v>
      </c>
      <c r="F1" s="822" t="s">
        <v>2771</v>
      </c>
      <c r="G1" s="822" t="s">
        <v>24</v>
      </c>
      <c r="H1" s="822" t="s">
        <v>29</v>
      </c>
      <c r="I1" s="822" t="s">
        <v>2773</v>
      </c>
      <c r="J1" s="823" t="s">
        <v>2774</v>
      </c>
      <c r="K1" s="822" t="s">
        <v>32</v>
      </c>
      <c r="L1" s="823" t="s">
        <v>39</v>
      </c>
      <c r="M1" s="823" t="s">
        <v>41</v>
      </c>
      <c r="N1" s="823" t="s">
        <v>2778</v>
      </c>
      <c r="O1" s="823" t="s">
        <v>2780</v>
      </c>
      <c r="P1" s="822" t="s">
        <v>2782</v>
      </c>
      <c r="Q1" s="823" t="s">
        <v>43</v>
      </c>
      <c r="R1" s="831" t="s">
        <v>10</v>
      </c>
      <c r="S1" s="185" t="s">
        <v>2784</v>
      </c>
    </row>
    <row r="2">
      <c r="A2" s="832">
        <v>2020.0</v>
      </c>
      <c r="B2" s="833" t="s">
        <v>178</v>
      </c>
      <c r="C2" s="834" t="s">
        <v>1169</v>
      </c>
      <c r="D2" s="836" t="s">
        <v>2789</v>
      </c>
      <c r="E2" s="837" t="s">
        <v>578</v>
      </c>
      <c r="F2" s="838" t="s">
        <v>2803</v>
      </c>
      <c r="G2" s="839" t="s">
        <v>2804</v>
      </c>
      <c r="H2" s="832" t="s">
        <v>84</v>
      </c>
      <c r="I2" s="840" t="s">
        <v>2806</v>
      </c>
      <c r="J2" s="841" t="s">
        <v>2807</v>
      </c>
      <c r="K2" s="842">
        <v>50000.0</v>
      </c>
      <c r="L2" s="832" t="s">
        <v>724</v>
      </c>
      <c r="M2" s="832"/>
      <c r="N2" s="832"/>
      <c r="O2" s="840" t="s">
        <v>1175</v>
      </c>
      <c r="P2" s="843"/>
      <c r="Q2" s="182" t="s">
        <v>2810</v>
      </c>
      <c r="R2" s="844"/>
      <c r="S2" s="846" t="s">
        <v>2812</v>
      </c>
    </row>
    <row r="3">
      <c r="A3" s="832">
        <v>2020.0</v>
      </c>
      <c r="B3" s="832" t="s">
        <v>192</v>
      </c>
      <c r="C3" s="182" t="s">
        <v>2824</v>
      </c>
      <c r="D3" s="832" t="s">
        <v>2825</v>
      </c>
      <c r="E3" s="848">
        <v>4.1160001E7</v>
      </c>
      <c r="F3" s="840" t="s">
        <v>2826</v>
      </c>
      <c r="G3" s="839" t="s">
        <v>2827</v>
      </c>
      <c r="H3" s="832" t="s">
        <v>84</v>
      </c>
      <c r="I3" s="840" t="s">
        <v>2806</v>
      </c>
      <c r="J3" s="832">
        <v>3.6000310091202E16</v>
      </c>
      <c r="K3" s="849">
        <v>100000.0</v>
      </c>
      <c r="L3" s="840" t="s">
        <v>89</v>
      </c>
      <c r="M3" s="840" t="s">
        <v>2829</v>
      </c>
      <c r="N3" s="832"/>
      <c r="O3" s="832" t="s">
        <v>2830</v>
      </c>
      <c r="P3" s="832" t="s">
        <v>1175</v>
      </c>
      <c r="Q3" s="182" t="s">
        <v>2831</v>
      </c>
      <c r="R3" s="850" t="s">
        <v>2832</v>
      </c>
      <c r="S3" s="836" t="s">
        <v>2834</v>
      </c>
    </row>
    <row r="4">
      <c r="A4" s="832">
        <v>2020.0</v>
      </c>
      <c r="B4" s="838" t="s">
        <v>116</v>
      </c>
      <c r="C4" s="851" t="s">
        <v>1108</v>
      </c>
      <c r="D4" s="832" t="s">
        <v>2789</v>
      </c>
      <c r="E4" s="848">
        <v>4.1160005E7</v>
      </c>
      <c r="F4" s="840" t="s">
        <v>2836</v>
      </c>
      <c r="G4" s="839" t="s">
        <v>2804</v>
      </c>
      <c r="H4" s="832" t="s">
        <v>84</v>
      </c>
      <c r="I4" s="840" t="s">
        <v>2806</v>
      </c>
      <c r="J4" s="832">
        <v>3.6000309413202E16</v>
      </c>
      <c r="K4" s="849">
        <v>100000.0</v>
      </c>
      <c r="L4" s="840" t="s">
        <v>89</v>
      </c>
      <c r="M4" s="840" t="s">
        <v>2829</v>
      </c>
      <c r="N4" s="832"/>
      <c r="O4" s="832" t="s">
        <v>2837</v>
      </c>
      <c r="P4" s="853" t="s">
        <v>1175</v>
      </c>
      <c r="Q4" s="182" t="s">
        <v>705</v>
      </c>
      <c r="R4" s="850" t="s">
        <v>1463</v>
      </c>
      <c r="S4" s="836" t="s">
        <v>2840</v>
      </c>
    </row>
    <row r="5">
      <c r="A5" s="832">
        <v>2020.0</v>
      </c>
      <c r="B5" s="832" t="s">
        <v>311</v>
      </c>
      <c r="C5" s="182" t="s">
        <v>2824</v>
      </c>
      <c r="D5" s="832" t="s">
        <v>2841</v>
      </c>
      <c r="E5" s="848">
        <v>4.1160001E7</v>
      </c>
      <c r="F5" s="840" t="s">
        <v>2826</v>
      </c>
      <c r="G5" s="839" t="s">
        <v>2827</v>
      </c>
      <c r="H5" s="832" t="s">
        <v>84</v>
      </c>
      <c r="I5" s="840" t="s">
        <v>2806</v>
      </c>
      <c r="J5" s="832">
        <v>3.6000305031202E16</v>
      </c>
      <c r="K5" s="849">
        <v>100000.0</v>
      </c>
      <c r="L5" s="840" t="s">
        <v>89</v>
      </c>
      <c r="M5" s="840" t="s">
        <v>2829</v>
      </c>
      <c r="N5" s="832"/>
      <c r="O5" s="832" t="s">
        <v>2844</v>
      </c>
      <c r="P5" s="832" t="s">
        <v>1175</v>
      </c>
      <c r="Q5" s="182" t="s">
        <v>2831</v>
      </c>
      <c r="R5" s="850" t="s">
        <v>1494</v>
      </c>
      <c r="S5" s="846" t="s">
        <v>2845</v>
      </c>
    </row>
    <row r="6">
      <c r="A6" s="832">
        <v>2020.0</v>
      </c>
      <c r="B6" s="838" t="s">
        <v>76</v>
      </c>
      <c r="C6" s="851" t="s">
        <v>1116</v>
      </c>
      <c r="D6" s="832" t="s">
        <v>2852</v>
      </c>
      <c r="E6" s="848">
        <v>4.1160005E7</v>
      </c>
      <c r="F6" s="840" t="s">
        <v>2826</v>
      </c>
      <c r="G6" s="839" t="s">
        <v>2804</v>
      </c>
      <c r="H6" s="832" t="s">
        <v>84</v>
      </c>
      <c r="I6" s="840" t="s">
        <v>2806</v>
      </c>
      <c r="J6" s="840">
        <v>3.6000309387202E16</v>
      </c>
      <c r="K6" s="849">
        <v>100000.0</v>
      </c>
      <c r="L6" s="840" t="s">
        <v>89</v>
      </c>
      <c r="M6" s="840" t="s">
        <v>2829</v>
      </c>
      <c r="N6" s="832"/>
      <c r="O6" s="832" t="s">
        <v>2854</v>
      </c>
      <c r="P6" s="832" t="s">
        <v>1175</v>
      </c>
      <c r="Q6" s="182" t="s">
        <v>705</v>
      </c>
      <c r="R6" s="850" t="s">
        <v>1525</v>
      </c>
      <c r="S6" s="836" t="s">
        <v>2856</v>
      </c>
    </row>
    <row r="7">
      <c r="A7" s="832">
        <v>2020.0</v>
      </c>
      <c r="B7" s="832" t="s">
        <v>82</v>
      </c>
      <c r="C7" s="182" t="s">
        <v>2824</v>
      </c>
      <c r="D7" s="832" t="s">
        <v>2857</v>
      </c>
      <c r="E7" s="848">
        <v>4.1160001E7</v>
      </c>
      <c r="F7" s="840" t="s">
        <v>2826</v>
      </c>
      <c r="G7" s="839" t="s">
        <v>2827</v>
      </c>
      <c r="H7" s="832" t="s">
        <v>84</v>
      </c>
      <c r="I7" s="840" t="s">
        <v>2806</v>
      </c>
      <c r="J7" s="832">
        <v>3.6000310467202E16</v>
      </c>
      <c r="K7" s="849">
        <v>100000.0</v>
      </c>
      <c r="L7" s="840" t="s">
        <v>89</v>
      </c>
      <c r="M7" s="840" t="s">
        <v>2829</v>
      </c>
      <c r="N7" s="832"/>
      <c r="O7" s="832" t="s">
        <v>2844</v>
      </c>
      <c r="P7" s="832" t="s">
        <v>1175</v>
      </c>
      <c r="Q7" s="182" t="s">
        <v>2831</v>
      </c>
      <c r="R7" s="850" t="s">
        <v>1547</v>
      </c>
      <c r="S7" s="846" t="s">
        <v>2859</v>
      </c>
    </row>
    <row r="8">
      <c r="A8" s="832">
        <v>2019.0</v>
      </c>
      <c r="B8" s="832" t="s">
        <v>2863</v>
      </c>
      <c r="C8" s="182" t="s">
        <v>1012</v>
      </c>
      <c r="D8" s="832"/>
      <c r="E8" s="848">
        <v>7.1220005E7</v>
      </c>
      <c r="F8" s="840" t="s">
        <v>2866</v>
      </c>
      <c r="G8" s="839" t="s">
        <v>2867</v>
      </c>
      <c r="H8" s="840" t="s">
        <v>152</v>
      </c>
      <c r="I8" s="832" t="s">
        <v>2868</v>
      </c>
      <c r="J8" s="832"/>
      <c r="K8" s="849">
        <v>63000.0</v>
      </c>
      <c r="L8" s="840" t="s">
        <v>389</v>
      </c>
      <c r="M8" s="840" t="s">
        <v>2606</v>
      </c>
      <c r="N8" s="832"/>
      <c r="O8" s="832" t="s">
        <v>2606</v>
      </c>
      <c r="P8" s="832"/>
      <c r="Q8" s="182" t="s">
        <v>561</v>
      </c>
      <c r="R8" s="850" t="s">
        <v>1550</v>
      </c>
      <c r="S8" s="836" t="s">
        <v>2872</v>
      </c>
    </row>
    <row r="9">
      <c r="A9" s="832">
        <v>2020.0</v>
      </c>
      <c r="B9" s="832" t="s">
        <v>450</v>
      </c>
      <c r="C9" s="182" t="s">
        <v>2824</v>
      </c>
      <c r="D9" s="832" t="s">
        <v>2876</v>
      </c>
      <c r="E9" s="848">
        <v>4.1160001E7</v>
      </c>
      <c r="F9" s="840" t="s">
        <v>2826</v>
      </c>
      <c r="G9" s="839" t="s">
        <v>2827</v>
      </c>
      <c r="H9" s="832" t="s">
        <v>84</v>
      </c>
      <c r="I9" s="840" t="s">
        <v>2806</v>
      </c>
      <c r="J9" s="832">
        <v>3.6000305500202E16</v>
      </c>
      <c r="K9" s="849">
        <v>67500.0</v>
      </c>
      <c r="L9" s="840" t="s">
        <v>89</v>
      </c>
      <c r="M9" s="840" t="s">
        <v>2829</v>
      </c>
      <c r="N9" s="832"/>
      <c r="O9" s="832" t="s">
        <v>2844</v>
      </c>
      <c r="P9" s="832" t="s">
        <v>1175</v>
      </c>
      <c r="Q9" s="182" t="s">
        <v>2831</v>
      </c>
      <c r="R9" s="850" t="s">
        <v>1551</v>
      </c>
      <c r="S9" s="846" t="s">
        <v>2880</v>
      </c>
    </row>
    <row r="10">
      <c r="A10" s="832">
        <v>2020.0</v>
      </c>
      <c r="B10" s="832" t="s">
        <v>463</v>
      </c>
      <c r="C10" s="182" t="s">
        <v>2824</v>
      </c>
      <c r="D10" s="832" t="s">
        <v>2892</v>
      </c>
      <c r="E10" s="848">
        <v>4.1160001E7</v>
      </c>
      <c r="F10" s="840" t="s">
        <v>2826</v>
      </c>
      <c r="G10" s="839" t="s">
        <v>2827</v>
      </c>
      <c r="H10" s="832" t="s">
        <v>84</v>
      </c>
      <c r="I10" s="840" t="s">
        <v>2806</v>
      </c>
      <c r="J10" s="832">
        <v>3.6000310892202E16</v>
      </c>
      <c r="K10" s="849">
        <v>100000.0</v>
      </c>
      <c r="L10" s="840" t="s">
        <v>89</v>
      </c>
      <c r="M10" s="840" t="s">
        <v>2829</v>
      </c>
      <c r="N10" s="832"/>
      <c r="O10" s="832" t="s">
        <v>2844</v>
      </c>
      <c r="P10" s="832" t="s">
        <v>1175</v>
      </c>
      <c r="Q10" s="182" t="s">
        <v>2831</v>
      </c>
      <c r="R10" s="850" t="s">
        <v>1552</v>
      </c>
      <c r="S10" s="836" t="s">
        <v>2897</v>
      </c>
    </row>
    <row r="11">
      <c r="A11" s="832">
        <v>2020.0</v>
      </c>
      <c r="B11" s="838" t="s">
        <v>494</v>
      </c>
      <c r="C11" s="834" t="s">
        <v>1350</v>
      </c>
      <c r="D11" s="836" t="s">
        <v>2898</v>
      </c>
      <c r="E11" s="837" t="s">
        <v>578</v>
      </c>
      <c r="F11" s="838" t="s">
        <v>2803</v>
      </c>
      <c r="G11" s="839" t="s">
        <v>2804</v>
      </c>
      <c r="H11" s="832" t="s">
        <v>84</v>
      </c>
      <c r="I11" s="840" t="s">
        <v>2806</v>
      </c>
      <c r="J11" s="841" t="s">
        <v>2902</v>
      </c>
      <c r="K11" s="842">
        <v>174741.0</v>
      </c>
      <c r="L11" s="832" t="s">
        <v>724</v>
      </c>
      <c r="M11" s="832"/>
      <c r="N11" s="832"/>
      <c r="O11" s="840" t="s">
        <v>1175</v>
      </c>
      <c r="P11" s="843"/>
      <c r="Q11" s="182" t="s">
        <v>2810</v>
      </c>
      <c r="R11" s="836"/>
      <c r="S11" s="846" t="s">
        <v>2905</v>
      </c>
    </row>
    <row r="12">
      <c r="A12" s="832">
        <v>2020.0</v>
      </c>
      <c r="B12" s="838" t="s">
        <v>70</v>
      </c>
      <c r="C12" s="834" t="s">
        <v>1101</v>
      </c>
      <c r="D12" s="836" t="s">
        <v>2914</v>
      </c>
      <c r="E12" s="837" t="s">
        <v>578</v>
      </c>
      <c r="F12" s="838" t="s">
        <v>1226</v>
      </c>
      <c r="G12" s="839" t="s">
        <v>2804</v>
      </c>
      <c r="H12" s="832" t="s">
        <v>84</v>
      </c>
      <c r="I12" s="840" t="s">
        <v>2806</v>
      </c>
      <c r="J12" s="863" t="s">
        <v>2916</v>
      </c>
      <c r="K12" s="842">
        <v>100000.0</v>
      </c>
      <c r="L12" s="832" t="s">
        <v>724</v>
      </c>
      <c r="M12" s="832"/>
      <c r="N12" s="832"/>
      <c r="O12" s="840" t="s">
        <v>1175</v>
      </c>
      <c r="P12" s="843"/>
      <c r="Q12" s="182" t="s">
        <v>2810</v>
      </c>
      <c r="R12" s="836"/>
      <c r="S12" s="846" t="s">
        <v>2918</v>
      </c>
    </row>
    <row r="13">
      <c r="A13" s="832">
        <v>2020.0</v>
      </c>
      <c r="B13" s="838" t="s">
        <v>515</v>
      </c>
      <c r="C13" s="834" t="s">
        <v>577</v>
      </c>
      <c r="D13" s="836" t="s">
        <v>2928</v>
      </c>
      <c r="E13" s="837" t="s">
        <v>578</v>
      </c>
      <c r="F13" s="838" t="s">
        <v>1226</v>
      </c>
      <c r="G13" s="839" t="s">
        <v>2804</v>
      </c>
      <c r="H13" s="832" t="s">
        <v>84</v>
      </c>
      <c r="I13" s="840" t="s">
        <v>2806</v>
      </c>
      <c r="J13" s="863" t="s">
        <v>2931</v>
      </c>
      <c r="K13" s="873">
        <v>50000.0</v>
      </c>
      <c r="L13" s="832" t="s">
        <v>724</v>
      </c>
      <c r="M13" s="832"/>
      <c r="N13" s="832"/>
      <c r="O13" s="840" t="s">
        <v>1175</v>
      </c>
      <c r="P13" s="843"/>
      <c r="Q13" s="182" t="s">
        <v>2810</v>
      </c>
      <c r="R13" s="874"/>
      <c r="S13" s="846" t="s">
        <v>2936</v>
      </c>
    </row>
    <row r="14">
      <c r="A14" s="832">
        <v>2020.0</v>
      </c>
      <c r="B14" s="832" t="s">
        <v>515</v>
      </c>
      <c r="C14" s="182" t="s">
        <v>2824</v>
      </c>
      <c r="D14" s="832" t="s">
        <v>2928</v>
      </c>
      <c r="E14" s="848">
        <v>4.1160001E7</v>
      </c>
      <c r="F14" s="840" t="s">
        <v>2826</v>
      </c>
      <c r="G14" s="839" t="s">
        <v>2827</v>
      </c>
      <c r="H14" s="832" t="s">
        <v>84</v>
      </c>
      <c r="I14" s="840" t="s">
        <v>2806</v>
      </c>
      <c r="J14" s="832">
        <v>3.6000306568202E16</v>
      </c>
      <c r="K14" s="876">
        <v>67500.0</v>
      </c>
      <c r="L14" s="840" t="s">
        <v>89</v>
      </c>
      <c r="M14" s="840" t="s">
        <v>2829</v>
      </c>
      <c r="N14" s="832"/>
      <c r="O14" s="832" t="s">
        <v>2844</v>
      </c>
      <c r="P14" s="832" t="s">
        <v>1175</v>
      </c>
      <c r="Q14" s="182" t="s">
        <v>2831</v>
      </c>
      <c r="R14" s="878" t="s">
        <v>1566</v>
      </c>
      <c r="S14" s="846" t="s">
        <v>2936</v>
      </c>
    </row>
    <row r="15">
      <c r="A15" s="832">
        <v>2020.0</v>
      </c>
      <c r="B15" s="838" t="s">
        <v>180</v>
      </c>
      <c r="C15" s="851" t="s">
        <v>1372</v>
      </c>
      <c r="D15" s="832" t="s">
        <v>2959</v>
      </c>
      <c r="E15" s="848">
        <v>4.1160005E7</v>
      </c>
      <c r="F15" s="840" t="s">
        <v>2826</v>
      </c>
      <c r="G15" s="839" t="s">
        <v>2804</v>
      </c>
      <c r="H15" s="832" t="s">
        <v>84</v>
      </c>
      <c r="I15" s="840" t="s">
        <v>2806</v>
      </c>
      <c r="J15" s="832">
        <v>3.6000309567202E16</v>
      </c>
      <c r="K15" s="849">
        <v>150000.0</v>
      </c>
      <c r="L15" s="840" t="s">
        <v>89</v>
      </c>
      <c r="M15" s="840" t="s">
        <v>2829</v>
      </c>
      <c r="N15" s="832"/>
      <c r="O15" s="832" t="s">
        <v>2837</v>
      </c>
      <c r="P15" s="832" t="s">
        <v>1175</v>
      </c>
      <c r="Q15" s="182" t="s">
        <v>705</v>
      </c>
      <c r="R15" s="850" t="s">
        <v>1570</v>
      </c>
      <c r="S15" s="836" t="s">
        <v>2962</v>
      </c>
    </row>
    <row r="16">
      <c r="A16" s="832">
        <v>2020.0</v>
      </c>
      <c r="B16" s="838" t="s">
        <v>180</v>
      </c>
      <c r="C16" s="851" t="s">
        <v>700</v>
      </c>
      <c r="D16" s="832" t="s">
        <v>2959</v>
      </c>
      <c r="E16" s="848">
        <v>4.1160005E7</v>
      </c>
      <c r="F16" s="840" t="s">
        <v>2826</v>
      </c>
      <c r="G16" s="839" t="s">
        <v>2804</v>
      </c>
      <c r="H16" s="832" t="s">
        <v>84</v>
      </c>
      <c r="I16" s="840" t="s">
        <v>2806</v>
      </c>
      <c r="J16" s="832">
        <v>3.6000309567202E16</v>
      </c>
      <c r="K16" s="849">
        <v>50000.0</v>
      </c>
      <c r="L16" s="840" t="s">
        <v>89</v>
      </c>
      <c r="M16" s="840" t="s">
        <v>2829</v>
      </c>
      <c r="N16" s="832"/>
      <c r="O16" s="832" t="s">
        <v>2837</v>
      </c>
      <c r="P16" s="832" t="s">
        <v>1175</v>
      </c>
      <c r="Q16" s="182" t="s">
        <v>705</v>
      </c>
      <c r="R16" s="850" t="s">
        <v>1571</v>
      </c>
      <c r="S16" s="836" t="s">
        <v>2965</v>
      </c>
    </row>
    <row r="17">
      <c r="A17" s="832">
        <v>2020.0</v>
      </c>
      <c r="B17" s="838" t="s">
        <v>525</v>
      </c>
      <c r="C17" s="834" t="s">
        <v>1623</v>
      </c>
      <c r="D17" s="836" t="s">
        <v>2789</v>
      </c>
      <c r="E17" s="837" t="s">
        <v>578</v>
      </c>
      <c r="F17" s="838" t="s">
        <v>2803</v>
      </c>
      <c r="G17" s="839" t="s">
        <v>2804</v>
      </c>
      <c r="H17" s="832" t="s">
        <v>84</v>
      </c>
      <c r="I17" s="840" t="s">
        <v>2806</v>
      </c>
      <c r="J17" s="863" t="s">
        <v>2968</v>
      </c>
      <c r="K17" s="842">
        <v>50000.0</v>
      </c>
      <c r="L17" s="832" t="s">
        <v>724</v>
      </c>
      <c r="M17" s="832"/>
      <c r="N17" s="832"/>
      <c r="O17" s="840" t="s">
        <v>1175</v>
      </c>
      <c r="P17" s="843"/>
      <c r="Q17" s="182" t="s">
        <v>2810</v>
      </c>
      <c r="R17" s="836"/>
      <c r="S17" s="846" t="s">
        <v>2969</v>
      </c>
    </row>
    <row r="18">
      <c r="A18" s="832">
        <v>2019.0</v>
      </c>
      <c r="B18" s="832" t="s">
        <v>2976</v>
      </c>
      <c r="C18" s="182" t="s">
        <v>989</v>
      </c>
      <c r="D18" s="832"/>
      <c r="E18" s="848">
        <v>7.1220005E7</v>
      </c>
      <c r="F18" s="840" t="s">
        <v>2866</v>
      </c>
      <c r="G18" s="839" t="s">
        <v>2867</v>
      </c>
      <c r="H18" s="840" t="s">
        <v>152</v>
      </c>
      <c r="I18" s="832" t="s">
        <v>2868</v>
      </c>
      <c r="J18" s="832"/>
      <c r="K18" s="849">
        <v>59000.0</v>
      </c>
      <c r="L18" s="840" t="s">
        <v>389</v>
      </c>
      <c r="M18" s="840" t="s">
        <v>2606</v>
      </c>
      <c r="N18" s="832"/>
      <c r="O18" s="832" t="s">
        <v>2606</v>
      </c>
      <c r="P18" s="832"/>
      <c r="Q18" s="182" t="s">
        <v>561</v>
      </c>
      <c r="R18" s="850" t="s">
        <v>1587</v>
      </c>
      <c r="S18" s="836" t="s">
        <v>2977</v>
      </c>
    </row>
    <row r="19">
      <c r="A19" s="832">
        <v>2020.0</v>
      </c>
      <c r="B19" s="838" t="s">
        <v>538</v>
      </c>
      <c r="C19" s="834" t="s">
        <v>594</v>
      </c>
      <c r="D19" s="836" t="s">
        <v>2979</v>
      </c>
      <c r="E19" s="837" t="s">
        <v>578</v>
      </c>
      <c r="F19" s="838" t="s">
        <v>1226</v>
      </c>
      <c r="G19" s="839" t="s">
        <v>2804</v>
      </c>
      <c r="H19" s="832" t="s">
        <v>84</v>
      </c>
      <c r="I19" s="840" t="s">
        <v>2806</v>
      </c>
      <c r="J19" s="863" t="s">
        <v>2980</v>
      </c>
      <c r="K19" s="842">
        <v>50000.0</v>
      </c>
      <c r="L19" s="832" t="s">
        <v>724</v>
      </c>
      <c r="M19" s="832"/>
      <c r="N19" s="832"/>
      <c r="O19" s="840" t="s">
        <v>1175</v>
      </c>
      <c r="P19" s="843"/>
      <c r="Q19" s="182" t="s">
        <v>2810</v>
      </c>
      <c r="R19" s="836"/>
      <c r="S19" s="846" t="s">
        <v>2981</v>
      </c>
    </row>
    <row r="20">
      <c r="A20" s="832">
        <v>2020.0</v>
      </c>
      <c r="B20" s="832" t="s">
        <v>544</v>
      </c>
      <c r="C20" s="839" t="s">
        <v>2824</v>
      </c>
      <c r="D20" s="832" t="s">
        <v>2988</v>
      </c>
      <c r="E20" s="848">
        <v>4.1160001E7</v>
      </c>
      <c r="F20" s="840" t="s">
        <v>2826</v>
      </c>
      <c r="G20" s="839" t="s">
        <v>2827</v>
      </c>
      <c r="H20" s="832" t="s">
        <v>84</v>
      </c>
      <c r="I20" s="840" t="s">
        <v>2806</v>
      </c>
      <c r="J20" s="832">
        <v>3.6000304445202E16</v>
      </c>
      <c r="K20" s="849">
        <v>100000.0</v>
      </c>
      <c r="L20" s="840" t="s">
        <v>89</v>
      </c>
      <c r="M20" s="840" t="s">
        <v>2829</v>
      </c>
      <c r="N20" s="832"/>
      <c r="O20" s="832" t="s">
        <v>2844</v>
      </c>
      <c r="P20" s="832" t="s">
        <v>1175</v>
      </c>
      <c r="Q20" s="182" t="s">
        <v>2831</v>
      </c>
      <c r="R20" s="850" t="s">
        <v>1590</v>
      </c>
      <c r="S20" s="846" t="s">
        <v>2991</v>
      </c>
    </row>
    <row r="21">
      <c r="A21" s="832">
        <v>2020.0</v>
      </c>
      <c r="B21" s="838" t="s">
        <v>1109</v>
      </c>
      <c r="C21" s="893" t="s">
        <v>1388</v>
      </c>
      <c r="D21" s="832" t="s">
        <v>2995</v>
      </c>
      <c r="E21" s="848">
        <v>4.1160005E7</v>
      </c>
      <c r="F21" s="840" t="s">
        <v>2826</v>
      </c>
      <c r="G21" s="839" t="s">
        <v>2804</v>
      </c>
      <c r="H21" s="832" t="s">
        <v>84</v>
      </c>
      <c r="I21" s="840" t="s">
        <v>2806</v>
      </c>
      <c r="J21" s="832">
        <v>3.6000304805202E16</v>
      </c>
      <c r="K21" s="849">
        <v>300000.0</v>
      </c>
      <c r="L21" s="840" t="s">
        <v>89</v>
      </c>
      <c r="M21" s="840" t="s">
        <v>2829</v>
      </c>
      <c r="N21" s="832"/>
      <c r="O21" s="832" t="s">
        <v>2998</v>
      </c>
      <c r="P21" s="832" t="s">
        <v>1175</v>
      </c>
      <c r="Q21" s="182" t="s">
        <v>705</v>
      </c>
      <c r="R21" s="894" t="s">
        <v>1596</v>
      </c>
      <c r="S21" s="836" t="s">
        <v>3000</v>
      </c>
    </row>
    <row r="22">
      <c r="A22" s="832">
        <v>2020.0</v>
      </c>
      <c r="B22" s="838" t="s">
        <v>1109</v>
      </c>
      <c r="C22" s="893" t="s">
        <v>1392</v>
      </c>
      <c r="D22" s="832" t="s">
        <v>2995</v>
      </c>
      <c r="E22" s="848">
        <v>4.1160005E7</v>
      </c>
      <c r="F22" s="840" t="s">
        <v>2826</v>
      </c>
      <c r="G22" s="839" t="s">
        <v>2804</v>
      </c>
      <c r="H22" s="832" t="s">
        <v>84</v>
      </c>
      <c r="I22" s="840" t="s">
        <v>2806</v>
      </c>
      <c r="J22" s="832">
        <v>3.6000304805202E16</v>
      </c>
      <c r="K22" s="849">
        <v>200000.0</v>
      </c>
      <c r="L22" s="840" t="s">
        <v>89</v>
      </c>
      <c r="M22" s="840" t="s">
        <v>2829</v>
      </c>
      <c r="N22" s="832"/>
      <c r="O22" s="832" t="s">
        <v>2998</v>
      </c>
      <c r="P22" s="832" t="s">
        <v>1175</v>
      </c>
      <c r="Q22" s="182" t="s">
        <v>705</v>
      </c>
      <c r="R22" s="850" t="s">
        <v>1599</v>
      </c>
      <c r="S22" s="836" t="s">
        <v>3002</v>
      </c>
    </row>
    <row r="23">
      <c r="A23" s="895">
        <v>2019.0</v>
      </c>
      <c r="B23" s="896" t="s">
        <v>3005</v>
      </c>
      <c r="C23" s="897" t="s">
        <v>3006</v>
      </c>
      <c r="D23" s="574" t="s">
        <v>3009</v>
      </c>
      <c r="E23" s="898"/>
      <c r="F23" s="840" t="s">
        <v>2866</v>
      </c>
      <c r="G23" s="899" t="s">
        <v>3011</v>
      </c>
      <c r="H23" s="895" t="s">
        <v>152</v>
      </c>
      <c r="I23" s="895" t="s">
        <v>3014</v>
      </c>
      <c r="J23" s="900" t="s">
        <v>3015</v>
      </c>
      <c r="K23" s="901"/>
      <c r="L23" s="840" t="s">
        <v>389</v>
      </c>
      <c r="M23" s="895" t="s">
        <v>3017</v>
      </c>
      <c r="N23" s="182"/>
      <c r="O23" s="182"/>
      <c r="P23" s="133"/>
      <c r="Q23" s="895" t="s">
        <v>1065</v>
      </c>
      <c r="R23" s="902" t="s">
        <v>3020</v>
      </c>
      <c r="S23" s="903" t="s">
        <v>3022</v>
      </c>
    </row>
    <row r="24">
      <c r="A24" s="832">
        <v>2020.0</v>
      </c>
      <c r="B24" s="838" t="s">
        <v>102</v>
      </c>
      <c r="C24" s="904" t="s">
        <v>1480</v>
      </c>
      <c r="D24" s="905" t="s">
        <v>2789</v>
      </c>
      <c r="E24" s="837" t="s">
        <v>578</v>
      </c>
      <c r="F24" s="838" t="s">
        <v>2803</v>
      </c>
      <c r="G24" s="839" t="s">
        <v>2804</v>
      </c>
      <c r="H24" s="832" t="s">
        <v>84</v>
      </c>
      <c r="I24" s="840" t="s">
        <v>2806</v>
      </c>
      <c r="J24" s="906" t="s">
        <v>3025</v>
      </c>
      <c r="K24" s="842">
        <v>1874000.0</v>
      </c>
      <c r="L24" s="840" t="s">
        <v>724</v>
      </c>
      <c r="M24" s="832"/>
      <c r="N24" s="832"/>
      <c r="O24" s="840" t="s">
        <v>1175</v>
      </c>
      <c r="P24" s="843"/>
      <c r="Q24" s="182" t="s">
        <v>2810</v>
      </c>
      <c r="R24" s="907"/>
      <c r="S24" s="846" t="s">
        <v>3026</v>
      </c>
    </row>
    <row r="25">
      <c r="A25" s="832">
        <v>2020.0</v>
      </c>
      <c r="B25" s="908" t="s">
        <v>102</v>
      </c>
      <c r="C25" s="909" t="s">
        <v>2824</v>
      </c>
      <c r="D25" s="832" t="s">
        <v>3031</v>
      </c>
      <c r="E25" s="848">
        <v>4.1160001E7</v>
      </c>
      <c r="F25" s="840" t="s">
        <v>2826</v>
      </c>
      <c r="G25" s="839" t="s">
        <v>2827</v>
      </c>
      <c r="H25" s="832" t="s">
        <v>84</v>
      </c>
      <c r="I25" s="840" t="s">
        <v>2806</v>
      </c>
      <c r="J25" s="832">
        <v>3.6000308346202E16</v>
      </c>
      <c r="K25" s="849">
        <v>100000.0</v>
      </c>
      <c r="L25" s="840" t="s">
        <v>89</v>
      </c>
      <c r="M25" s="840" t="s">
        <v>2829</v>
      </c>
      <c r="N25" s="832"/>
      <c r="O25" s="832" t="s">
        <v>2844</v>
      </c>
      <c r="P25" s="832" t="s">
        <v>1175</v>
      </c>
      <c r="Q25" s="182" t="s">
        <v>2831</v>
      </c>
      <c r="R25" s="878" t="s">
        <v>1652</v>
      </c>
      <c r="S25" s="846" t="s">
        <v>3026</v>
      </c>
    </row>
    <row r="26">
      <c r="A26" s="832">
        <v>2019.0</v>
      </c>
      <c r="B26" s="908" t="s">
        <v>3037</v>
      </c>
      <c r="C26" s="909" t="s">
        <v>1016</v>
      </c>
      <c r="D26" s="832"/>
      <c r="E26" s="848">
        <v>7.1220005E7</v>
      </c>
      <c r="F26" s="840" t="s">
        <v>2866</v>
      </c>
      <c r="G26" s="839" t="s">
        <v>2867</v>
      </c>
      <c r="H26" s="840" t="s">
        <v>152</v>
      </c>
      <c r="I26" s="832" t="s">
        <v>2868</v>
      </c>
      <c r="J26" s="832"/>
      <c r="K26" s="849">
        <v>64000.0</v>
      </c>
      <c r="L26" s="840" t="s">
        <v>389</v>
      </c>
      <c r="M26" s="840" t="s">
        <v>2606</v>
      </c>
      <c r="N26" s="832"/>
      <c r="O26" s="832" t="s">
        <v>2606</v>
      </c>
      <c r="P26" s="832"/>
      <c r="Q26" s="182" t="s">
        <v>561</v>
      </c>
      <c r="R26" s="910" t="s">
        <v>1658</v>
      </c>
      <c r="S26" s="843"/>
    </row>
    <row r="27">
      <c r="A27" s="832">
        <v>2020.0</v>
      </c>
      <c r="B27" s="908" t="s">
        <v>141</v>
      </c>
      <c r="C27" s="909" t="s">
        <v>2824</v>
      </c>
      <c r="D27" s="832" t="s">
        <v>3038</v>
      </c>
      <c r="E27" s="848">
        <v>4.1160009E7</v>
      </c>
      <c r="F27" s="840" t="s">
        <v>2826</v>
      </c>
      <c r="G27" s="839" t="s">
        <v>2827</v>
      </c>
      <c r="H27" s="832" t="s">
        <v>84</v>
      </c>
      <c r="I27" s="840" t="s">
        <v>2806</v>
      </c>
      <c r="J27" s="832">
        <v>3.6000305064202E16</v>
      </c>
      <c r="K27" s="849">
        <v>150000.0</v>
      </c>
      <c r="L27" s="840" t="s">
        <v>89</v>
      </c>
      <c r="M27" s="840" t="s">
        <v>2829</v>
      </c>
      <c r="N27" s="832"/>
      <c r="O27" s="832" t="s">
        <v>2998</v>
      </c>
      <c r="P27" s="832" t="s">
        <v>1175</v>
      </c>
      <c r="Q27" s="182" t="s">
        <v>2831</v>
      </c>
      <c r="R27" s="850" t="s">
        <v>1661</v>
      </c>
      <c r="S27" s="846" t="s">
        <v>3039</v>
      </c>
    </row>
    <row r="28">
      <c r="A28" s="832">
        <v>2019.0</v>
      </c>
      <c r="B28" s="908" t="s">
        <v>3048</v>
      </c>
      <c r="C28" s="909" t="s">
        <v>1014</v>
      </c>
      <c r="D28" s="832"/>
      <c r="E28" s="848">
        <v>7.1220005E7</v>
      </c>
      <c r="F28" s="840" t="s">
        <v>2866</v>
      </c>
      <c r="G28" s="839" t="s">
        <v>2867</v>
      </c>
      <c r="H28" s="840" t="s">
        <v>152</v>
      </c>
      <c r="I28" s="832" t="s">
        <v>2868</v>
      </c>
      <c r="J28" s="832"/>
      <c r="K28" s="849">
        <v>63000.0</v>
      </c>
      <c r="L28" s="840" t="s">
        <v>389</v>
      </c>
      <c r="M28" s="840" t="s">
        <v>2606</v>
      </c>
      <c r="N28" s="832"/>
      <c r="O28" s="832" t="s">
        <v>2606</v>
      </c>
      <c r="P28" s="832"/>
      <c r="Q28" s="182" t="s">
        <v>561</v>
      </c>
      <c r="R28" s="850" t="s">
        <v>1663</v>
      </c>
      <c r="S28" s="836" t="s">
        <v>3050</v>
      </c>
    </row>
    <row r="29">
      <c r="A29" s="832">
        <v>2020.0</v>
      </c>
      <c r="B29" s="911" t="s">
        <v>632</v>
      </c>
      <c r="C29" s="912" t="s">
        <v>1126</v>
      </c>
      <c r="D29" s="832" t="s">
        <v>2789</v>
      </c>
      <c r="E29" s="848">
        <v>4.1160005E7</v>
      </c>
      <c r="F29" s="840" t="s">
        <v>2836</v>
      </c>
      <c r="G29" s="839" t="s">
        <v>2804</v>
      </c>
      <c r="H29" s="832" t="s">
        <v>84</v>
      </c>
      <c r="I29" s="840" t="s">
        <v>2806</v>
      </c>
      <c r="J29" s="832">
        <v>3.6000309413202E16</v>
      </c>
      <c r="K29" s="849">
        <v>100000.0</v>
      </c>
      <c r="L29" s="840" t="s">
        <v>89</v>
      </c>
      <c r="M29" s="840" t="s">
        <v>2829</v>
      </c>
      <c r="N29" s="832"/>
      <c r="O29" s="832" t="s">
        <v>2837</v>
      </c>
      <c r="P29" s="840" t="s">
        <v>1175</v>
      </c>
      <c r="Q29" s="182" t="s">
        <v>705</v>
      </c>
      <c r="R29" s="850" t="s">
        <v>1666</v>
      </c>
      <c r="S29" s="836" t="s">
        <v>3051</v>
      </c>
    </row>
    <row r="30">
      <c r="A30" s="832">
        <v>2020.0</v>
      </c>
      <c r="B30" s="911" t="s">
        <v>310</v>
      </c>
      <c r="C30" s="913" t="s">
        <v>999</v>
      </c>
      <c r="D30" s="836" t="s">
        <v>2789</v>
      </c>
      <c r="E30" s="837" t="s">
        <v>578</v>
      </c>
      <c r="F30" s="838" t="s">
        <v>2803</v>
      </c>
      <c r="G30" s="839" t="s">
        <v>2804</v>
      </c>
      <c r="H30" s="832" t="s">
        <v>84</v>
      </c>
      <c r="I30" s="840" t="s">
        <v>2806</v>
      </c>
      <c r="J30" s="863" t="s">
        <v>3052</v>
      </c>
      <c r="K30" s="914">
        <v>60000.0</v>
      </c>
      <c r="L30" s="832" t="s">
        <v>724</v>
      </c>
      <c r="M30" s="832"/>
      <c r="N30" s="832"/>
      <c r="O30" s="840" t="s">
        <v>1175</v>
      </c>
      <c r="P30" s="843"/>
      <c r="Q30" s="182" t="s">
        <v>2810</v>
      </c>
      <c r="R30" s="836"/>
      <c r="S30" s="846" t="s">
        <v>3053</v>
      </c>
    </row>
    <row r="31">
      <c r="A31" s="832">
        <v>2020.0</v>
      </c>
      <c r="B31" s="908" t="s">
        <v>165</v>
      </c>
      <c r="C31" s="909" t="s">
        <v>2824</v>
      </c>
      <c r="D31" s="832" t="s">
        <v>3057</v>
      </c>
      <c r="E31" s="848">
        <v>4.1160001E7</v>
      </c>
      <c r="F31" s="840" t="s">
        <v>2826</v>
      </c>
      <c r="G31" s="839" t="s">
        <v>2827</v>
      </c>
      <c r="H31" s="832" t="s">
        <v>84</v>
      </c>
      <c r="I31" s="840" t="s">
        <v>2806</v>
      </c>
      <c r="J31" s="832">
        <v>3.6000311109202E16</v>
      </c>
      <c r="K31" s="849">
        <v>100000.0</v>
      </c>
      <c r="L31" s="840" t="s">
        <v>89</v>
      </c>
      <c r="M31" s="840" t="s">
        <v>3060</v>
      </c>
      <c r="N31" s="832"/>
      <c r="O31" s="840" t="s">
        <v>3061</v>
      </c>
      <c r="P31" s="832"/>
      <c r="Q31" s="182" t="s">
        <v>2831</v>
      </c>
      <c r="R31" s="850" t="s">
        <v>1681</v>
      </c>
      <c r="S31" s="916" t="s">
        <v>3062</v>
      </c>
    </row>
    <row r="32">
      <c r="A32" s="840">
        <v>2020.0</v>
      </c>
      <c r="B32" s="911" t="s">
        <v>182</v>
      </c>
      <c r="C32" s="912" t="s">
        <v>1579</v>
      </c>
      <c r="D32" s="832" t="s">
        <v>3064</v>
      </c>
      <c r="E32" s="848">
        <v>4.1160005E7</v>
      </c>
      <c r="F32" s="840" t="s">
        <v>2826</v>
      </c>
      <c r="G32" s="839" t="s">
        <v>2804</v>
      </c>
      <c r="H32" s="832" t="s">
        <v>84</v>
      </c>
      <c r="I32" s="840" t="s">
        <v>2806</v>
      </c>
      <c r="J32" s="832">
        <v>3.6000292118202E16</v>
      </c>
      <c r="K32" s="849">
        <v>200000.0</v>
      </c>
      <c r="L32" s="840" t="s">
        <v>89</v>
      </c>
      <c r="M32" s="840" t="s">
        <v>2829</v>
      </c>
      <c r="N32" s="832"/>
      <c r="O32" s="832" t="s">
        <v>3066</v>
      </c>
      <c r="P32" s="832" t="s">
        <v>1175</v>
      </c>
      <c r="Q32" s="182" t="s">
        <v>705</v>
      </c>
      <c r="R32" s="850" t="s">
        <v>1684</v>
      </c>
      <c r="S32" s="905" t="s">
        <v>3067</v>
      </c>
    </row>
    <row r="33">
      <c r="A33" s="840">
        <v>2020.0</v>
      </c>
      <c r="B33" s="908" t="s">
        <v>114</v>
      </c>
      <c r="C33" s="909" t="s">
        <v>2824</v>
      </c>
      <c r="D33" s="832" t="s">
        <v>3068</v>
      </c>
      <c r="E33" s="848">
        <v>4.1160009E7</v>
      </c>
      <c r="F33" s="840" t="s">
        <v>2826</v>
      </c>
      <c r="G33" s="839" t="s">
        <v>2827</v>
      </c>
      <c r="H33" s="832" t="s">
        <v>84</v>
      </c>
      <c r="I33" s="840" t="s">
        <v>2806</v>
      </c>
      <c r="J33" s="832">
        <v>3.6000302585202E16</v>
      </c>
      <c r="K33" s="849">
        <v>100000.0</v>
      </c>
      <c r="L33" s="840" t="s">
        <v>89</v>
      </c>
      <c r="M33" s="840" t="s">
        <v>2829</v>
      </c>
      <c r="N33" s="832"/>
      <c r="O33" s="832" t="s">
        <v>2998</v>
      </c>
      <c r="P33" s="832" t="s">
        <v>1175</v>
      </c>
      <c r="Q33" s="97" t="s">
        <v>2831</v>
      </c>
      <c r="R33" s="850" t="s">
        <v>1691</v>
      </c>
      <c r="S33" s="846" t="s">
        <v>3069</v>
      </c>
    </row>
    <row r="34">
      <c r="A34" s="840">
        <v>2020.0</v>
      </c>
      <c r="B34" s="908" t="s">
        <v>658</v>
      </c>
      <c r="C34" s="909" t="s">
        <v>2824</v>
      </c>
      <c r="D34" s="917" t="s">
        <v>3073</v>
      </c>
      <c r="E34" s="848">
        <v>4.1160009E7</v>
      </c>
      <c r="F34" s="840" t="s">
        <v>2826</v>
      </c>
      <c r="G34" s="839" t="s">
        <v>2827</v>
      </c>
      <c r="H34" s="832" t="s">
        <v>84</v>
      </c>
      <c r="I34" s="840" t="s">
        <v>2806</v>
      </c>
      <c r="J34" s="832">
        <v>3.6000304033202E16</v>
      </c>
      <c r="K34" s="832" t="s">
        <v>3074</v>
      </c>
      <c r="L34" s="840" t="s">
        <v>89</v>
      </c>
      <c r="M34" s="840" t="s">
        <v>2829</v>
      </c>
      <c r="N34" s="832"/>
      <c r="O34" s="832" t="s">
        <v>2854</v>
      </c>
      <c r="P34" s="832" t="s">
        <v>1175</v>
      </c>
      <c r="Q34" s="182" t="s">
        <v>2831</v>
      </c>
      <c r="R34" s="850" t="s">
        <v>1711</v>
      </c>
      <c r="S34" s="846" t="s">
        <v>3075</v>
      </c>
    </row>
    <row r="35">
      <c r="A35" s="832">
        <v>2020.0</v>
      </c>
      <c r="B35" s="911" t="s">
        <v>48</v>
      </c>
      <c r="C35" s="918" t="s">
        <v>599</v>
      </c>
      <c r="D35" s="836" t="s">
        <v>3081</v>
      </c>
      <c r="E35" s="837" t="s">
        <v>578</v>
      </c>
      <c r="F35" s="838" t="s">
        <v>1226</v>
      </c>
      <c r="G35" s="839" t="s">
        <v>2804</v>
      </c>
      <c r="H35" s="832" t="s">
        <v>84</v>
      </c>
      <c r="I35" s="840" t="s">
        <v>2806</v>
      </c>
      <c r="J35" s="863" t="s">
        <v>3084</v>
      </c>
      <c r="K35" s="842">
        <v>50000.0</v>
      </c>
      <c r="L35" s="832" t="s">
        <v>724</v>
      </c>
      <c r="M35" s="832"/>
      <c r="N35" s="832"/>
      <c r="O35" s="840" t="s">
        <v>1175</v>
      </c>
      <c r="P35" s="843"/>
      <c r="Q35" s="182" t="s">
        <v>2810</v>
      </c>
      <c r="R35" s="844"/>
      <c r="S35" s="846" t="s">
        <v>3085</v>
      </c>
    </row>
    <row r="36">
      <c r="A36" s="832">
        <v>2020.0</v>
      </c>
      <c r="B36" s="908" t="s">
        <v>449</v>
      </c>
      <c r="C36" s="909" t="s">
        <v>2824</v>
      </c>
      <c r="D36" s="840" t="s">
        <v>3093</v>
      </c>
      <c r="E36" s="848">
        <v>4.1160009E7</v>
      </c>
      <c r="F36" s="840" t="s">
        <v>2826</v>
      </c>
      <c r="G36" s="839" t="s">
        <v>2827</v>
      </c>
      <c r="H36" s="832" t="s">
        <v>84</v>
      </c>
      <c r="I36" s="840" t="s">
        <v>2806</v>
      </c>
      <c r="J36" s="843"/>
      <c r="K36" s="876">
        <v>150000.0</v>
      </c>
      <c r="L36" s="840" t="s">
        <v>89</v>
      </c>
      <c r="M36" s="922" t="s">
        <v>3060</v>
      </c>
      <c r="N36" s="843"/>
      <c r="O36" s="840" t="s">
        <v>3096</v>
      </c>
      <c r="P36" s="840" t="s">
        <v>265</v>
      </c>
      <c r="Q36" s="182" t="s">
        <v>2831</v>
      </c>
      <c r="R36" s="850" t="s">
        <v>1719</v>
      </c>
      <c r="S36" s="846" t="s">
        <v>3097</v>
      </c>
    </row>
    <row r="37">
      <c r="A37" s="832">
        <v>2019.0</v>
      </c>
      <c r="B37" s="908" t="s">
        <v>3100</v>
      </c>
      <c r="C37" s="909" t="s">
        <v>557</v>
      </c>
      <c r="D37" s="917"/>
      <c r="E37" s="848">
        <v>7.1220005E7</v>
      </c>
      <c r="F37" s="840" t="s">
        <v>2866</v>
      </c>
      <c r="G37" s="839" t="s">
        <v>2867</v>
      </c>
      <c r="H37" s="840" t="s">
        <v>152</v>
      </c>
      <c r="I37" s="832" t="s">
        <v>2868</v>
      </c>
      <c r="J37" s="832"/>
      <c r="K37" s="849">
        <v>50000.0</v>
      </c>
      <c r="L37" s="840" t="s">
        <v>389</v>
      </c>
      <c r="M37" s="840" t="s">
        <v>2606</v>
      </c>
      <c r="N37" s="832"/>
      <c r="O37" s="832" t="s">
        <v>2606</v>
      </c>
      <c r="P37" s="832"/>
      <c r="Q37" s="182" t="s">
        <v>561</v>
      </c>
      <c r="R37" s="850" t="s">
        <v>1720</v>
      </c>
      <c r="S37" s="836" t="s">
        <v>3103</v>
      </c>
    </row>
    <row r="38">
      <c r="A38" s="832">
        <v>2019.0</v>
      </c>
      <c r="B38" s="908" t="s">
        <v>3104</v>
      </c>
      <c r="C38" s="909" t="s">
        <v>1057</v>
      </c>
      <c r="D38" s="832"/>
      <c r="E38" s="848">
        <v>7.1220005E7</v>
      </c>
      <c r="F38" s="840" t="s">
        <v>2866</v>
      </c>
      <c r="G38" s="839" t="s">
        <v>2867</v>
      </c>
      <c r="H38" s="840" t="s">
        <v>152</v>
      </c>
      <c r="I38" s="832" t="s">
        <v>2868</v>
      </c>
      <c r="J38" s="917"/>
      <c r="K38" s="849">
        <v>78705.88</v>
      </c>
      <c r="L38" s="840" t="s">
        <v>389</v>
      </c>
      <c r="M38" s="840" t="s">
        <v>2606</v>
      </c>
      <c r="N38" s="832"/>
      <c r="O38" s="832" t="s">
        <v>2606</v>
      </c>
      <c r="P38" s="832"/>
      <c r="Q38" s="182" t="s">
        <v>561</v>
      </c>
      <c r="R38" s="850" t="s">
        <v>1721</v>
      </c>
      <c r="S38" s="836" t="s">
        <v>3106</v>
      </c>
    </row>
    <row r="39">
      <c r="A39" s="832">
        <v>2020.0</v>
      </c>
      <c r="B39" s="908" t="s">
        <v>681</v>
      </c>
      <c r="C39" s="909" t="s">
        <v>2824</v>
      </c>
      <c r="D39" s="832" t="s">
        <v>3107</v>
      </c>
      <c r="E39" s="848">
        <v>4.1160001E7</v>
      </c>
      <c r="F39" s="840" t="s">
        <v>2826</v>
      </c>
      <c r="G39" s="839" t="s">
        <v>2827</v>
      </c>
      <c r="H39" s="832" t="s">
        <v>84</v>
      </c>
      <c r="I39" s="840" t="s">
        <v>2806</v>
      </c>
      <c r="J39" s="832">
        <v>3.6000307438202E16</v>
      </c>
      <c r="K39" s="849">
        <v>100000.0</v>
      </c>
      <c r="L39" s="840" t="s">
        <v>89</v>
      </c>
      <c r="M39" s="840" t="s">
        <v>3060</v>
      </c>
      <c r="N39" s="832"/>
      <c r="O39" s="923" t="s">
        <v>3108</v>
      </c>
      <c r="P39" s="832"/>
      <c r="Q39" s="182" t="s">
        <v>2831</v>
      </c>
      <c r="R39" s="850" t="s">
        <v>1723</v>
      </c>
      <c r="S39" s="846" t="s">
        <v>3110</v>
      </c>
    </row>
    <row r="40">
      <c r="A40" s="832">
        <v>2019.0</v>
      </c>
      <c r="B40" s="908" t="s">
        <v>191</v>
      </c>
      <c r="C40" s="909" t="s">
        <v>606</v>
      </c>
      <c r="D40" s="836" t="s">
        <v>3115</v>
      </c>
      <c r="E40" s="848">
        <v>7.1220009E7</v>
      </c>
      <c r="F40" s="840" t="s">
        <v>2836</v>
      </c>
      <c r="G40" s="839" t="s">
        <v>2804</v>
      </c>
      <c r="H40" s="832" t="s">
        <v>84</v>
      </c>
      <c r="I40" s="840" t="s">
        <v>2806</v>
      </c>
      <c r="J40" s="843"/>
      <c r="K40" s="849">
        <v>250000.0</v>
      </c>
      <c r="L40" s="840" t="s">
        <v>389</v>
      </c>
      <c r="M40" s="840" t="s">
        <v>3060</v>
      </c>
      <c r="N40" s="843"/>
      <c r="O40" s="843"/>
      <c r="P40" s="840"/>
      <c r="Q40" s="182" t="s">
        <v>705</v>
      </c>
      <c r="R40" s="850" t="s">
        <v>1725</v>
      </c>
      <c r="S40" s="836" t="s">
        <v>3118</v>
      </c>
    </row>
    <row r="41">
      <c r="A41" s="832">
        <v>2020.0</v>
      </c>
      <c r="B41" s="911" t="s">
        <v>191</v>
      </c>
      <c r="C41" s="913" t="s">
        <v>606</v>
      </c>
      <c r="D41" s="836" t="s">
        <v>2789</v>
      </c>
      <c r="E41" s="837" t="s">
        <v>578</v>
      </c>
      <c r="F41" s="838" t="s">
        <v>2803</v>
      </c>
      <c r="G41" s="839" t="s">
        <v>2804</v>
      </c>
      <c r="H41" s="832" t="s">
        <v>84</v>
      </c>
      <c r="I41" s="840" t="s">
        <v>2806</v>
      </c>
      <c r="J41" s="841" t="s">
        <v>3120</v>
      </c>
      <c r="K41" s="842">
        <v>50000.0</v>
      </c>
      <c r="L41" s="832" t="s">
        <v>724</v>
      </c>
      <c r="M41" s="832"/>
      <c r="N41" s="832"/>
      <c r="O41" s="840" t="s">
        <v>1175</v>
      </c>
      <c r="P41" s="843"/>
      <c r="Q41" s="182" t="s">
        <v>2810</v>
      </c>
      <c r="R41" s="907"/>
      <c r="S41" s="846" t="s">
        <v>3122</v>
      </c>
    </row>
    <row r="42">
      <c r="A42" s="832">
        <v>2020.0</v>
      </c>
      <c r="B42" s="908" t="s">
        <v>191</v>
      </c>
      <c r="C42" s="909" t="s">
        <v>2824</v>
      </c>
      <c r="D42" s="832" t="s">
        <v>3115</v>
      </c>
      <c r="E42" s="848">
        <v>4.1160001E7</v>
      </c>
      <c r="F42" s="840" t="s">
        <v>2826</v>
      </c>
      <c r="G42" s="839" t="s">
        <v>2827</v>
      </c>
      <c r="H42" s="832" t="s">
        <v>84</v>
      </c>
      <c r="I42" s="840" t="s">
        <v>2806</v>
      </c>
      <c r="J42" s="832">
        <v>3.6000311325202E16</v>
      </c>
      <c r="K42" s="849">
        <v>100000.0</v>
      </c>
      <c r="L42" s="840" t="s">
        <v>89</v>
      </c>
      <c r="M42" s="840" t="s">
        <v>3060</v>
      </c>
      <c r="N42" s="832"/>
      <c r="O42" s="923" t="s">
        <v>3108</v>
      </c>
      <c r="P42" s="832"/>
      <c r="Q42" s="182" t="s">
        <v>2831</v>
      </c>
      <c r="R42" s="878" t="s">
        <v>1729</v>
      </c>
      <c r="S42" s="846" t="s">
        <v>3122</v>
      </c>
    </row>
    <row r="43">
      <c r="A43" s="832">
        <v>2020.0</v>
      </c>
      <c r="B43" s="911" t="s">
        <v>698</v>
      </c>
      <c r="C43" s="912" t="s">
        <v>1147</v>
      </c>
      <c r="D43" s="917" t="s">
        <v>2789</v>
      </c>
      <c r="E43" s="848">
        <v>4.1160005E7</v>
      </c>
      <c r="F43" s="840" t="s">
        <v>2836</v>
      </c>
      <c r="G43" s="839" t="s">
        <v>2804</v>
      </c>
      <c r="H43" s="832" t="s">
        <v>84</v>
      </c>
      <c r="I43" s="840" t="s">
        <v>2806</v>
      </c>
      <c r="J43" s="843"/>
      <c r="K43" s="832"/>
      <c r="L43" s="840" t="s">
        <v>89</v>
      </c>
      <c r="M43" s="840" t="s">
        <v>2829</v>
      </c>
      <c r="N43" s="832"/>
      <c r="O43" s="832" t="s">
        <v>2837</v>
      </c>
      <c r="P43" s="832" t="s">
        <v>1175</v>
      </c>
      <c r="Q43" s="182" t="s">
        <v>705</v>
      </c>
      <c r="R43" s="850" t="s">
        <v>1730</v>
      </c>
      <c r="S43" s="836" t="s">
        <v>3145</v>
      </c>
    </row>
    <row r="44">
      <c r="A44" s="832">
        <v>2020.0</v>
      </c>
      <c r="B44" s="908" t="s">
        <v>458</v>
      </c>
      <c r="C44" s="909" t="s">
        <v>2824</v>
      </c>
      <c r="D44" s="917" t="s">
        <v>3147</v>
      </c>
      <c r="E44" s="848">
        <v>4.1160009E7</v>
      </c>
      <c r="F44" s="840" t="s">
        <v>2826</v>
      </c>
      <c r="G44" s="839" t="s">
        <v>2827</v>
      </c>
      <c r="H44" s="832" t="s">
        <v>84</v>
      </c>
      <c r="I44" s="840" t="s">
        <v>2806</v>
      </c>
      <c r="J44" s="832">
        <v>3.6000311945202E16</v>
      </c>
      <c r="K44" s="832" t="s">
        <v>3148</v>
      </c>
      <c r="L44" s="840" t="s">
        <v>89</v>
      </c>
      <c r="M44" s="840" t="s">
        <v>2829</v>
      </c>
      <c r="N44" s="832"/>
      <c r="O44" s="832" t="s">
        <v>3066</v>
      </c>
      <c r="P44" s="832" t="s">
        <v>1175</v>
      </c>
      <c r="Q44" s="182" t="s">
        <v>2831</v>
      </c>
      <c r="R44" s="850" t="s">
        <v>1733</v>
      </c>
      <c r="S44" s="846" t="s">
        <v>3151</v>
      </c>
    </row>
    <row r="45">
      <c r="A45" s="832">
        <v>2019.0</v>
      </c>
      <c r="B45" s="908" t="s">
        <v>198</v>
      </c>
      <c r="C45" s="909" t="s">
        <v>1610</v>
      </c>
      <c r="D45" s="836" t="s">
        <v>3158</v>
      </c>
      <c r="E45" s="848">
        <v>7.1220009E7</v>
      </c>
      <c r="F45" s="840" t="s">
        <v>2836</v>
      </c>
      <c r="G45" s="839" t="s">
        <v>2804</v>
      </c>
      <c r="H45" s="832" t="s">
        <v>84</v>
      </c>
      <c r="I45" s="840" t="s">
        <v>2806</v>
      </c>
      <c r="J45" s="843"/>
      <c r="K45" s="849">
        <v>250000.0</v>
      </c>
      <c r="L45" s="840" t="s">
        <v>389</v>
      </c>
      <c r="M45" s="840" t="s">
        <v>2829</v>
      </c>
      <c r="N45" s="843"/>
      <c r="O45" s="843"/>
      <c r="P45" s="840" t="s">
        <v>1175</v>
      </c>
      <c r="Q45" s="182" t="s">
        <v>705</v>
      </c>
      <c r="R45" s="850" t="s">
        <v>1740</v>
      </c>
      <c r="S45" s="836" t="s">
        <v>3159</v>
      </c>
    </row>
    <row r="46">
      <c r="A46" s="832">
        <v>2020.0</v>
      </c>
      <c r="B46" s="911" t="s">
        <v>198</v>
      </c>
      <c r="C46" s="913" t="s">
        <v>3160</v>
      </c>
      <c r="D46" s="836" t="s">
        <v>2789</v>
      </c>
      <c r="E46" s="837" t="s">
        <v>578</v>
      </c>
      <c r="F46" s="838" t="s">
        <v>2803</v>
      </c>
      <c r="G46" s="839" t="s">
        <v>2804</v>
      </c>
      <c r="H46" s="832" t="s">
        <v>84</v>
      </c>
      <c r="I46" s="840" t="s">
        <v>2806</v>
      </c>
      <c r="J46" s="841" t="s">
        <v>3162</v>
      </c>
      <c r="K46" s="842">
        <v>50000.0</v>
      </c>
      <c r="L46" s="832" t="s">
        <v>724</v>
      </c>
      <c r="M46" s="832"/>
      <c r="N46" s="832"/>
      <c r="O46" s="840" t="s">
        <v>1175</v>
      </c>
      <c r="P46" s="843"/>
      <c r="Q46" s="182" t="s">
        <v>2810</v>
      </c>
      <c r="R46" s="836"/>
      <c r="S46" s="846" t="s">
        <v>3163</v>
      </c>
    </row>
    <row r="47">
      <c r="A47" s="832">
        <v>2020.0</v>
      </c>
      <c r="B47" s="908" t="s">
        <v>735</v>
      </c>
      <c r="C47" s="909" t="s">
        <v>1617</v>
      </c>
      <c r="D47" s="917" t="s">
        <v>2789</v>
      </c>
      <c r="E47" s="848">
        <v>4.1160005E7</v>
      </c>
      <c r="F47" s="840" t="s">
        <v>2836</v>
      </c>
      <c r="G47" s="839" t="s">
        <v>2804</v>
      </c>
      <c r="H47" s="832" t="s">
        <v>84</v>
      </c>
      <c r="I47" s="840" t="s">
        <v>2806</v>
      </c>
      <c r="J47" s="923">
        <v>3.6000310549202E16</v>
      </c>
      <c r="K47" s="876">
        <v>200000.0</v>
      </c>
      <c r="L47" s="840" t="s">
        <v>89</v>
      </c>
      <c r="M47" s="840" t="s">
        <v>2829</v>
      </c>
      <c r="N47" s="843"/>
      <c r="O47" s="840" t="s">
        <v>3096</v>
      </c>
      <c r="P47" s="840" t="s">
        <v>265</v>
      </c>
      <c r="Q47" s="182" t="s">
        <v>705</v>
      </c>
      <c r="R47" s="850" t="s">
        <v>1749</v>
      </c>
      <c r="S47" s="836" t="s">
        <v>3172</v>
      </c>
    </row>
    <row r="48">
      <c r="A48" s="832">
        <v>2019.0</v>
      </c>
      <c r="B48" s="832" t="s">
        <v>3173</v>
      </c>
      <c r="C48" s="182" t="s">
        <v>927</v>
      </c>
      <c r="D48" s="832"/>
      <c r="E48" s="848">
        <v>7.1220005E7</v>
      </c>
      <c r="F48" s="840" t="s">
        <v>2866</v>
      </c>
      <c r="G48" s="839" t="s">
        <v>2867</v>
      </c>
      <c r="H48" s="840" t="s">
        <v>152</v>
      </c>
      <c r="I48" s="832" t="s">
        <v>2868</v>
      </c>
      <c r="J48" s="832"/>
      <c r="K48" s="849">
        <v>54000.0</v>
      </c>
      <c r="L48" s="840" t="s">
        <v>389</v>
      </c>
      <c r="M48" s="840" t="s">
        <v>2606</v>
      </c>
      <c r="N48" s="832"/>
      <c r="O48" s="832" t="s">
        <v>2606</v>
      </c>
      <c r="P48" s="832"/>
      <c r="Q48" s="182" t="s">
        <v>561</v>
      </c>
      <c r="R48" s="850" t="s">
        <v>1753</v>
      </c>
      <c r="S48" s="836" t="s">
        <v>3175</v>
      </c>
    </row>
    <row r="49">
      <c r="A49" s="832">
        <v>2020.0</v>
      </c>
      <c r="B49" s="832" t="s">
        <v>470</v>
      </c>
      <c r="C49" s="182" t="s">
        <v>2824</v>
      </c>
      <c r="D49" s="917" t="s">
        <v>3176</v>
      </c>
      <c r="E49" s="848">
        <v>4.1160009E7</v>
      </c>
      <c r="F49" s="840" t="s">
        <v>2836</v>
      </c>
      <c r="G49" s="839" t="s">
        <v>2827</v>
      </c>
      <c r="H49" s="832" t="s">
        <v>84</v>
      </c>
      <c r="I49" s="840" t="s">
        <v>2806</v>
      </c>
      <c r="J49" s="832">
        <v>3.6000317675202E16</v>
      </c>
      <c r="K49" s="925">
        <v>150000.0</v>
      </c>
      <c r="L49" s="840" t="s">
        <v>89</v>
      </c>
      <c r="M49" s="840" t="s">
        <v>2829</v>
      </c>
      <c r="N49" s="832"/>
      <c r="O49" s="832" t="s">
        <v>3178</v>
      </c>
      <c r="P49" s="840" t="s">
        <v>1175</v>
      </c>
      <c r="Q49" s="182" t="s">
        <v>2831</v>
      </c>
      <c r="R49" s="850" t="s">
        <v>1754</v>
      </c>
      <c r="S49" s="846" t="s">
        <v>3179</v>
      </c>
    </row>
    <row r="50">
      <c r="A50" s="832">
        <v>2020.0</v>
      </c>
      <c r="B50" s="838" t="s">
        <v>115</v>
      </c>
      <c r="C50" s="851" t="s">
        <v>3184</v>
      </c>
      <c r="D50" s="832" t="s">
        <v>3185</v>
      </c>
      <c r="E50" s="848">
        <v>4.1160005E7</v>
      </c>
      <c r="F50" s="840" t="s">
        <v>2826</v>
      </c>
      <c r="G50" s="839" t="s">
        <v>2804</v>
      </c>
      <c r="H50" s="832" t="s">
        <v>84</v>
      </c>
      <c r="I50" s="840" t="s">
        <v>2806</v>
      </c>
      <c r="J50" s="832">
        <v>3.6000306010202E16</v>
      </c>
      <c r="K50" s="849">
        <v>200000.0</v>
      </c>
      <c r="L50" s="840" t="s">
        <v>89</v>
      </c>
      <c r="M50" s="840" t="s">
        <v>2829</v>
      </c>
      <c r="N50" s="832"/>
      <c r="O50" s="832" t="s">
        <v>2854</v>
      </c>
      <c r="P50" s="832" t="s">
        <v>1175</v>
      </c>
      <c r="Q50" s="182" t="s">
        <v>705</v>
      </c>
      <c r="R50" s="910" t="s">
        <v>1756</v>
      </c>
      <c r="S50" s="843"/>
    </row>
    <row r="51">
      <c r="A51" s="832">
        <v>2020.0</v>
      </c>
      <c r="B51" s="838" t="s">
        <v>210</v>
      </c>
      <c r="C51" s="834" t="s">
        <v>3160</v>
      </c>
      <c r="D51" s="836" t="s">
        <v>2789</v>
      </c>
      <c r="E51" s="837" t="s">
        <v>578</v>
      </c>
      <c r="F51" s="838" t="s">
        <v>2803</v>
      </c>
      <c r="G51" s="839" t="s">
        <v>2804</v>
      </c>
      <c r="H51" s="832" t="s">
        <v>84</v>
      </c>
      <c r="I51" s="840" t="s">
        <v>2806</v>
      </c>
      <c r="J51" s="841" t="s">
        <v>3162</v>
      </c>
      <c r="K51" s="842">
        <v>50000.0</v>
      </c>
      <c r="L51" s="832" t="s">
        <v>724</v>
      </c>
      <c r="M51" s="832"/>
      <c r="N51" s="832"/>
      <c r="O51" s="840" t="s">
        <v>1175</v>
      </c>
      <c r="P51" s="843"/>
      <c r="Q51" s="182" t="s">
        <v>2810</v>
      </c>
      <c r="R51" s="836"/>
      <c r="S51" s="846" t="s">
        <v>3190</v>
      </c>
    </row>
    <row r="52">
      <c r="A52" s="832">
        <v>2020.0</v>
      </c>
      <c r="B52" s="838" t="s">
        <v>623</v>
      </c>
      <c r="C52" s="834" t="s">
        <v>631</v>
      </c>
      <c r="D52" s="836" t="s">
        <v>2789</v>
      </c>
      <c r="E52" s="837" t="s">
        <v>578</v>
      </c>
      <c r="F52" s="838" t="s">
        <v>2803</v>
      </c>
      <c r="G52" s="839" t="s">
        <v>2804</v>
      </c>
      <c r="H52" s="832" t="s">
        <v>84</v>
      </c>
      <c r="I52" s="840" t="s">
        <v>2806</v>
      </c>
      <c r="J52" s="841" t="s">
        <v>3197</v>
      </c>
      <c r="K52" s="842">
        <v>50000.0</v>
      </c>
      <c r="L52" s="832" t="s">
        <v>724</v>
      </c>
      <c r="M52" s="832"/>
      <c r="N52" s="832"/>
      <c r="O52" s="840" t="s">
        <v>1175</v>
      </c>
      <c r="P52" s="843"/>
      <c r="Q52" s="182" t="s">
        <v>2810</v>
      </c>
      <c r="R52" s="836"/>
      <c r="S52" s="846" t="s">
        <v>3198</v>
      </c>
    </row>
    <row r="53">
      <c r="A53" s="832">
        <v>2020.0</v>
      </c>
      <c r="B53" s="838" t="s">
        <v>338</v>
      </c>
      <c r="C53" s="851" t="s">
        <v>1153</v>
      </c>
      <c r="D53" s="832" t="s">
        <v>2789</v>
      </c>
      <c r="E53" s="927"/>
      <c r="F53" s="840" t="s">
        <v>2836</v>
      </c>
      <c r="G53" s="839" t="s">
        <v>2804</v>
      </c>
      <c r="H53" s="832" t="s">
        <v>84</v>
      </c>
      <c r="I53" s="840" t="s">
        <v>2806</v>
      </c>
      <c r="J53" s="843"/>
      <c r="K53" s="832"/>
      <c r="L53" s="840" t="s">
        <v>89</v>
      </c>
      <c r="M53" s="840" t="s">
        <v>2829</v>
      </c>
      <c r="N53" s="832"/>
      <c r="O53" s="832" t="s">
        <v>2837</v>
      </c>
      <c r="P53" s="840" t="s">
        <v>1175</v>
      </c>
      <c r="Q53" s="182" t="s">
        <v>705</v>
      </c>
      <c r="R53" s="850" t="s">
        <v>3204</v>
      </c>
      <c r="S53" s="836" t="s">
        <v>3205</v>
      </c>
    </row>
    <row r="54">
      <c r="A54" s="832">
        <v>2020.0</v>
      </c>
      <c r="B54" s="838" t="s">
        <v>496</v>
      </c>
      <c r="C54" s="834" t="s">
        <v>1480</v>
      </c>
      <c r="D54" s="836" t="s">
        <v>2789</v>
      </c>
      <c r="E54" s="837" t="s">
        <v>578</v>
      </c>
      <c r="F54" s="838" t="s">
        <v>2803</v>
      </c>
      <c r="G54" s="839" t="s">
        <v>2804</v>
      </c>
      <c r="H54" s="832" t="s">
        <v>84</v>
      </c>
      <c r="I54" s="840" t="s">
        <v>2806</v>
      </c>
      <c r="J54" s="863" t="s">
        <v>3025</v>
      </c>
      <c r="K54" s="842">
        <v>50000.0</v>
      </c>
      <c r="L54" s="832" t="s">
        <v>724</v>
      </c>
      <c r="M54" s="832"/>
      <c r="N54" s="832"/>
      <c r="O54" s="840" t="s">
        <v>1175</v>
      </c>
      <c r="P54" s="843"/>
      <c r="Q54" s="182" t="s">
        <v>2810</v>
      </c>
      <c r="R54" s="844"/>
      <c r="S54" s="846" t="s">
        <v>3208</v>
      </c>
    </row>
    <row r="55">
      <c r="A55" s="832">
        <v>2020.0</v>
      </c>
      <c r="B55" s="840" t="s">
        <v>785</v>
      </c>
      <c r="C55" s="895" t="s">
        <v>1074</v>
      </c>
      <c r="D55" s="832" t="s">
        <v>2789</v>
      </c>
      <c r="E55" s="848">
        <v>4.1160005E7</v>
      </c>
      <c r="F55" s="840" t="s">
        <v>2836</v>
      </c>
      <c r="G55" s="899" t="s">
        <v>2804</v>
      </c>
      <c r="H55" s="832" t="s">
        <v>84</v>
      </c>
      <c r="I55" s="840" t="s">
        <v>2806</v>
      </c>
      <c r="J55" s="840">
        <v>3.6000317672202E16</v>
      </c>
      <c r="K55" s="876">
        <v>86000.0</v>
      </c>
      <c r="L55" s="840" t="s">
        <v>89</v>
      </c>
      <c r="M55" s="840" t="s">
        <v>2829</v>
      </c>
      <c r="N55" s="843"/>
      <c r="O55" s="840" t="s">
        <v>3096</v>
      </c>
      <c r="P55" s="840" t="s">
        <v>1175</v>
      </c>
      <c r="Q55" s="182" t="s">
        <v>705</v>
      </c>
      <c r="R55" s="850" t="s">
        <v>1785</v>
      </c>
      <c r="S55" s="836" t="s">
        <v>3214</v>
      </c>
    </row>
    <row r="56">
      <c r="A56" s="832">
        <v>2020.0</v>
      </c>
      <c r="B56" s="838" t="s">
        <v>757</v>
      </c>
      <c r="C56" s="834" t="s">
        <v>1169</v>
      </c>
      <c r="D56" s="836" t="s">
        <v>2789</v>
      </c>
      <c r="E56" s="837" t="s">
        <v>578</v>
      </c>
      <c r="F56" s="838" t="s">
        <v>2803</v>
      </c>
      <c r="G56" s="839" t="s">
        <v>2804</v>
      </c>
      <c r="H56" s="832" t="s">
        <v>84</v>
      </c>
      <c r="I56" s="840" t="s">
        <v>2806</v>
      </c>
      <c r="J56" s="841" t="s">
        <v>2807</v>
      </c>
      <c r="K56" s="842">
        <v>50000.0</v>
      </c>
      <c r="L56" s="832" t="s">
        <v>724</v>
      </c>
      <c r="M56" s="832"/>
      <c r="N56" s="832"/>
      <c r="O56" s="840" t="s">
        <v>1175</v>
      </c>
      <c r="P56" s="843"/>
      <c r="Q56" s="182" t="s">
        <v>2810</v>
      </c>
      <c r="R56" s="907"/>
      <c r="S56" s="846" t="s">
        <v>3216</v>
      </c>
    </row>
    <row r="57">
      <c r="A57" s="832">
        <v>2020.0</v>
      </c>
      <c r="B57" s="832" t="s">
        <v>757</v>
      </c>
      <c r="C57" s="182" t="s">
        <v>2824</v>
      </c>
      <c r="D57" s="832" t="s">
        <v>3219</v>
      </c>
      <c r="E57" s="848">
        <v>4.1160001E7</v>
      </c>
      <c r="F57" s="840" t="s">
        <v>2826</v>
      </c>
      <c r="G57" s="839" t="s">
        <v>2827</v>
      </c>
      <c r="H57" s="832" t="s">
        <v>84</v>
      </c>
      <c r="I57" s="840" t="s">
        <v>2806</v>
      </c>
      <c r="J57" s="832">
        <v>3.6000306746202E16</v>
      </c>
      <c r="K57" s="849">
        <v>67727.0</v>
      </c>
      <c r="L57" s="840" t="s">
        <v>89</v>
      </c>
      <c r="M57" s="840" t="s">
        <v>2829</v>
      </c>
      <c r="N57" s="832"/>
      <c r="O57" s="832" t="s">
        <v>2844</v>
      </c>
      <c r="P57" s="832" t="s">
        <v>1175</v>
      </c>
      <c r="Q57" s="182" t="s">
        <v>2831</v>
      </c>
      <c r="R57" s="878" t="s">
        <v>1788</v>
      </c>
      <c r="S57" s="846" t="s">
        <v>3220</v>
      </c>
    </row>
    <row r="58">
      <c r="A58" s="832">
        <v>2020.0</v>
      </c>
      <c r="B58" s="838" t="s">
        <v>219</v>
      </c>
      <c r="C58" s="834" t="s">
        <v>641</v>
      </c>
      <c r="D58" s="836" t="s">
        <v>3227</v>
      </c>
      <c r="E58" s="837" t="s">
        <v>578</v>
      </c>
      <c r="F58" s="838" t="s">
        <v>1226</v>
      </c>
      <c r="G58" s="839" t="s">
        <v>2804</v>
      </c>
      <c r="H58" s="832" t="s">
        <v>84</v>
      </c>
      <c r="I58" s="840" t="s">
        <v>2806</v>
      </c>
      <c r="J58" s="863" t="s">
        <v>3228</v>
      </c>
      <c r="K58" s="842">
        <v>50000.0</v>
      </c>
      <c r="L58" s="832" t="s">
        <v>724</v>
      </c>
      <c r="M58" s="832"/>
      <c r="N58" s="832"/>
      <c r="O58" s="840" t="s">
        <v>1175</v>
      </c>
      <c r="P58" s="843"/>
      <c r="Q58" s="182" t="s">
        <v>2810</v>
      </c>
      <c r="R58" s="874"/>
      <c r="S58" s="846" t="s">
        <v>3230</v>
      </c>
    </row>
    <row r="59">
      <c r="A59" s="832">
        <v>2020.0</v>
      </c>
      <c r="B59" s="832" t="s">
        <v>219</v>
      </c>
      <c r="C59" s="182" t="s">
        <v>2824</v>
      </c>
      <c r="D59" s="832" t="s">
        <v>3227</v>
      </c>
      <c r="E59" s="848">
        <v>4.1160009E7</v>
      </c>
      <c r="F59" s="840" t="s">
        <v>2826</v>
      </c>
      <c r="G59" s="839" t="s">
        <v>2827</v>
      </c>
      <c r="H59" s="832" t="s">
        <v>84</v>
      </c>
      <c r="I59" s="840" t="s">
        <v>2806</v>
      </c>
      <c r="J59" s="832">
        <v>3.6000311207202E16</v>
      </c>
      <c r="K59" s="849">
        <v>100000.0</v>
      </c>
      <c r="L59" s="840" t="s">
        <v>89</v>
      </c>
      <c r="M59" s="840" t="s">
        <v>2829</v>
      </c>
      <c r="N59" s="832"/>
      <c r="O59" s="832" t="s">
        <v>3238</v>
      </c>
      <c r="P59" s="832" t="s">
        <v>1175</v>
      </c>
      <c r="Q59" s="182" t="s">
        <v>2831</v>
      </c>
      <c r="R59" s="878" t="s">
        <v>1805</v>
      </c>
      <c r="S59" s="846" t="s">
        <v>3230</v>
      </c>
    </row>
    <row r="60">
      <c r="A60" s="832">
        <v>2020.0</v>
      </c>
      <c r="B60" s="838" t="s">
        <v>239</v>
      </c>
      <c r="C60" s="851" t="s">
        <v>1669</v>
      </c>
      <c r="D60" s="832" t="s">
        <v>3244</v>
      </c>
      <c r="E60" s="848">
        <v>4.1160005E7</v>
      </c>
      <c r="F60" s="840" t="s">
        <v>2826</v>
      </c>
      <c r="G60" s="839" t="s">
        <v>2804</v>
      </c>
      <c r="H60" s="832" t="s">
        <v>84</v>
      </c>
      <c r="I60" s="840" t="s">
        <v>2806</v>
      </c>
      <c r="J60" s="832">
        <v>3.6000303621202E16</v>
      </c>
      <c r="K60" s="849">
        <v>200000.0</v>
      </c>
      <c r="L60" s="840" t="s">
        <v>89</v>
      </c>
      <c r="M60" s="840" t="s">
        <v>2829</v>
      </c>
      <c r="N60" s="832"/>
      <c r="O60" s="832" t="s">
        <v>2998</v>
      </c>
      <c r="P60" s="832" t="s">
        <v>1175</v>
      </c>
      <c r="Q60" s="182" t="s">
        <v>705</v>
      </c>
      <c r="R60" s="850" t="s">
        <v>1812</v>
      </c>
      <c r="S60" s="836" t="s">
        <v>3246</v>
      </c>
    </row>
    <row r="61">
      <c r="A61" s="832">
        <v>2020.0</v>
      </c>
      <c r="B61" s="838" t="s">
        <v>239</v>
      </c>
      <c r="C61" s="851" t="s">
        <v>1159</v>
      </c>
      <c r="D61" s="832" t="s">
        <v>3244</v>
      </c>
      <c r="E61" s="848">
        <v>4.1160005E7</v>
      </c>
      <c r="F61" s="840" t="s">
        <v>2826</v>
      </c>
      <c r="G61" s="839" t="s">
        <v>2804</v>
      </c>
      <c r="H61" s="832" t="s">
        <v>84</v>
      </c>
      <c r="I61" s="840" t="s">
        <v>2806</v>
      </c>
      <c r="J61" s="832">
        <v>3.6000303621202E16</v>
      </c>
      <c r="K61" s="849">
        <v>100000.0</v>
      </c>
      <c r="L61" s="840" t="s">
        <v>89</v>
      </c>
      <c r="M61" s="840" t="s">
        <v>2829</v>
      </c>
      <c r="N61" s="832"/>
      <c r="O61" s="832" t="s">
        <v>2998</v>
      </c>
      <c r="P61" s="832" t="s">
        <v>1175</v>
      </c>
      <c r="Q61" s="182" t="s">
        <v>705</v>
      </c>
      <c r="R61" s="850" t="s">
        <v>1815</v>
      </c>
      <c r="S61" s="836" t="s">
        <v>3250</v>
      </c>
    </row>
    <row r="62">
      <c r="A62" s="832">
        <v>2020.0</v>
      </c>
      <c r="B62" s="838" t="s">
        <v>239</v>
      </c>
      <c r="C62" s="929" t="s">
        <v>1159</v>
      </c>
      <c r="D62" s="836" t="s">
        <v>3244</v>
      </c>
      <c r="E62" s="837" t="s">
        <v>578</v>
      </c>
      <c r="F62" s="838" t="s">
        <v>1226</v>
      </c>
      <c r="G62" s="839" t="s">
        <v>2804</v>
      </c>
      <c r="H62" s="832" t="s">
        <v>84</v>
      </c>
      <c r="I62" s="840" t="s">
        <v>2806</v>
      </c>
      <c r="J62" s="930" t="s">
        <v>3252</v>
      </c>
      <c r="K62" s="842">
        <v>250000.0</v>
      </c>
      <c r="L62" s="832" t="s">
        <v>724</v>
      </c>
      <c r="M62" s="832"/>
      <c r="N62" s="832"/>
      <c r="O62" s="840" t="s">
        <v>1175</v>
      </c>
      <c r="P62" s="843"/>
      <c r="Q62" s="182" t="s">
        <v>2810</v>
      </c>
      <c r="R62" s="836"/>
      <c r="S62" s="846" t="s">
        <v>3254</v>
      </c>
    </row>
    <row r="63">
      <c r="A63" s="832">
        <v>2019.0</v>
      </c>
      <c r="B63" s="832" t="s">
        <v>3259</v>
      </c>
      <c r="C63" s="182" t="s">
        <v>1018</v>
      </c>
      <c r="D63" s="832"/>
      <c r="E63" s="848">
        <v>7.1220005E7</v>
      </c>
      <c r="F63" s="840" t="s">
        <v>2866</v>
      </c>
      <c r="G63" s="839" t="s">
        <v>2867</v>
      </c>
      <c r="H63" s="840" t="s">
        <v>152</v>
      </c>
      <c r="I63" s="832" t="s">
        <v>2868</v>
      </c>
      <c r="J63" s="832"/>
      <c r="K63" s="849">
        <v>66000.0</v>
      </c>
      <c r="L63" s="840" t="s">
        <v>389</v>
      </c>
      <c r="M63" s="840" t="s">
        <v>2606</v>
      </c>
      <c r="N63" s="832"/>
      <c r="O63" s="832" t="s">
        <v>2606</v>
      </c>
      <c r="P63" s="832"/>
      <c r="Q63" s="182" t="s">
        <v>561</v>
      </c>
      <c r="R63" s="850" t="s">
        <v>3260</v>
      </c>
      <c r="S63" s="836" t="s">
        <v>3261</v>
      </c>
    </row>
    <row r="64">
      <c r="A64" s="832">
        <v>2020.0</v>
      </c>
      <c r="B64" s="832" t="s">
        <v>812</v>
      </c>
      <c r="C64" s="182" t="s">
        <v>2824</v>
      </c>
      <c r="D64" s="832" t="s">
        <v>3262</v>
      </c>
      <c r="E64" s="848">
        <v>4.1160009E7</v>
      </c>
      <c r="F64" s="840" t="s">
        <v>2826</v>
      </c>
      <c r="G64" s="839" t="s">
        <v>2827</v>
      </c>
      <c r="H64" s="832" t="s">
        <v>84</v>
      </c>
      <c r="I64" s="840" t="s">
        <v>2806</v>
      </c>
      <c r="J64" s="832">
        <v>3.6000302286202E16</v>
      </c>
      <c r="K64" s="849">
        <v>100000.0</v>
      </c>
      <c r="L64" s="840" t="s">
        <v>89</v>
      </c>
      <c r="M64" s="840" t="s">
        <v>2829</v>
      </c>
      <c r="N64" s="832"/>
      <c r="O64" s="832" t="s">
        <v>3264</v>
      </c>
      <c r="P64" s="832" t="s">
        <v>1175</v>
      </c>
      <c r="Q64" s="182" t="s">
        <v>2831</v>
      </c>
      <c r="R64" s="850" t="s">
        <v>1835</v>
      </c>
      <c r="S64" s="846" t="s">
        <v>3265</v>
      </c>
    </row>
    <row r="65">
      <c r="A65" s="832">
        <v>2020.0</v>
      </c>
      <c r="B65" s="832" t="s">
        <v>818</v>
      </c>
      <c r="C65" s="182" t="s">
        <v>3268</v>
      </c>
      <c r="D65" s="832" t="s">
        <v>3269</v>
      </c>
      <c r="E65" s="848">
        <v>4.1160005E7</v>
      </c>
      <c r="F65" s="840" t="s">
        <v>2826</v>
      </c>
      <c r="G65" s="839" t="s">
        <v>2804</v>
      </c>
      <c r="H65" s="832" t="s">
        <v>84</v>
      </c>
      <c r="I65" s="840" t="s">
        <v>2806</v>
      </c>
      <c r="J65" s="923">
        <v>3.6000310549202E16</v>
      </c>
      <c r="K65" s="849">
        <v>200000.0</v>
      </c>
      <c r="L65" s="840" t="s">
        <v>89</v>
      </c>
      <c r="M65" s="922" t="s">
        <v>3270</v>
      </c>
      <c r="N65" s="843"/>
      <c r="O65" s="840"/>
      <c r="P65" s="840"/>
      <c r="Q65" s="182" t="s">
        <v>705</v>
      </c>
      <c r="R65" s="933"/>
      <c r="S65" s="843"/>
    </row>
    <row r="66">
      <c r="A66" s="832">
        <v>2019.0</v>
      </c>
      <c r="B66" s="832" t="s">
        <v>462</v>
      </c>
      <c r="C66" s="182" t="s">
        <v>1105</v>
      </c>
      <c r="D66" s="836" t="s">
        <v>3274</v>
      </c>
      <c r="E66" s="848">
        <v>7.1220009E7</v>
      </c>
      <c r="F66" s="840" t="s">
        <v>2836</v>
      </c>
      <c r="G66" s="839" t="s">
        <v>2804</v>
      </c>
      <c r="H66" s="832" t="s">
        <v>84</v>
      </c>
      <c r="I66" s="840" t="s">
        <v>2806</v>
      </c>
      <c r="J66" s="843"/>
      <c r="K66" s="849">
        <v>250000.0</v>
      </c>
      <c r="L66" s="840" t="s">
        <v>89</v>
      </c>
      <c r="M66" s="840" t="s">
        <v>2829</v>
      </c>
      <c r="N66" s="843"/>
      <c r="O66" s="843"/>
      <c r="P66" s="840" t="s">
        <v>1175</v>
      </c>
      <c r="Q66" s="182" t="s">
        <v>705</v>
      </c>
      <c r="R66" s="850" t="s">
        <v>1847</v>
      </c>
      <c r="S66" s="836" t="s">
        <v>3276</v>
      </c>
    </row>
    <row r="67">
      <c r="A67" s="832">
        <v>2020.0</v>
      </c>
      <c r="B67" s="838" t="s">
        <v>462</v>
      </c>
      <c r="C67" s="834" t="s">
        <v>1105</v>
      </c>
      <c r="D67" s="836" t="s">
        <v>2789</v>
      </c>
      <c r="E67" s="837" t="s">
        <v>578</v>
      </c>
      <c r="F67" s="838" t="s">
        <v>2803</v>
      </c>
      <c r="G67" s="839" t="s">
        <v>2804</v>
      </c>
      <c r="H67" s="832" t="s">
        <v>84</v>
      </c>
      <c r="I67" s="840" t="s">
        <v>2806</v>
      </c>
      <c r="J67" s="841" t="s">
        <v>3277</v>
      </c>
      <c r="K67" s="842">
        <v>100000.0</v>
      </c>
      <c r="L67" s="832" t="s">
        <v>724</v>
      </c>
      <c r="M67" s="832"/>
      <c r="N67" s="832"/>
      <c r="O67" s="840" t="s">
        <v>1175</v>
      </c>
      <c r="P67" s="843"/>
      <c r="Q67" s="182" t="s">
        <v>2810</v>
      </c>
      <c r="R67" s="844"/>
      <c r="S67" s="846" t="s">
        <v>3279</v>
      </c>
    </row>
    <row r="68">
      <c r="A68" s="832">
        <v>2020.0</v>
      </c>
      <c r="B68" s="838" t="s">
        <v>821</v>
      </c>
      <c r="C68" s="934" t="s">
        <v>1692</v>
      </c>
      <c r="D68" s="840" t="s">
        <v>2789</v>
      </c>
      <c r="E68" s="927"/>
      <c r="F68" s="840" t="s">
        <v>2836</v>
      </c>
      <c r="G68" s="839" t="s">
        <v>2804</v>
      </c>
      <c r="H68" s="832" t="s">
        <v>84</v>
      </c>
      <c r="I68" s="840" t="s">
        <v>2806</v>
      </c>
      <c r="J68" s="843"/>
      <c r="K68" s="876">
        <v>250000.0</v>
      </c>
      <c r="L68" s="840" t="s">
        <v>89</v>
      </c>
      <c r="M68" s="840" t="s">
        <v>2829</v>
      </c>
      <c r="N68" s="832"/>
      <c r="O68" s="832" t="s">
        <v>2837</v>
      </c>
      <c r="P68" s="840" t="s">
        <v>1175</v>
      </c>
      <c r="Q68" s="182" t="s">
        <v>705</v>
      </c>
      <c r="R68" s="850" t="s">
        <v>1855</v>
      </c>
      <c r="S68" s="836" t="s">
        <v>3284</v>
      </c>
    </row>
    <row r="69">
      <c r="A69" s="832">
        <v>2020.0</v>
      </c>
      <c r="B69" s="838" t="s">
        <v>821</v>
      </c>
      <c r="C69" s="934" t="s">
        <v>1060</v>
      </c>
      <c r="D69" s="836" t="s">
        <v>2789</v>
      </c>
      <c r="E69" s="837" t="s">
        <v>578</v>
      </c>
      <c r="F69" s="838" t="s">
        <v>2803</v>
      </c>
      <c r="G69" s="839" t="s">
        <v>2804</v>
      </c>
      <c r="H69" s="832" t="s">
        <v>84</v>
      </c>
      <c r="I69" s="840" t="s">
        <v>2806</v>
      </c>
      <c r="J69" s="841" t="s">
        <v>3285</v>
      </c>
      <c r="K69" s="842">
        <v>80000.0</v>
      </c>
      <c r="L69" s="832" t="s">
        <v>724</v>
      </c>
      <c r="M69" s="832"/>
      <c r="N69" s="832"/>
      <c r="O69" s="840" t="s">
        <v>1175</v>
      </c>
      <c r="P69" s="843"/>
      <c r="Q69" s="182" t="s">
        <v>2810</v>
      </c>
      <c r="R69" s="836"/>
      <c r="S69" s="846" t="s">
        <v>3287</v>
      </c>
    </row>
    <row r="70">
      <c r="A70" s="832">
        <v>2020.0</v>
      </c>
      <c r="B70" s="838" t="s">
        <v>119</v>
      </c>
      <c r="C70" s="851" t="s">
        <v>1164</v>
      </c>
      <c r="D70" s="832" t="s">
        <v>3291</v>
      </c>
      <c r="E70" s="848">
        <v>4.1160005E7</v>
      </c>
      <c r="F70" s="840" t="s">
        <v>2826</v>
      </c>
      <c r="G70" s="839" t="s">
        <v>2804</v>
      </c>
      <c r="H70" s="832" t="s">
        <v>84</v>
      </c>
      <c r="I70" s="840" t="s">
        <v>2806</v>
      </c>
      <c r="J70" s="832">
        <v>3.6000312903202E16</v>
      </c>
      <c r="K70" s="849">
        <v>100000.0</v>
      </c>
      <c r="L70" s="840" t="s">
        <v>89</v>
      </c>
      <c r="M70" s="840" t="s">
        <v>2829</v>
      </c>
      <c r="N70" s="832"/>
      <c r="O70" s="832" t="s">
        <v>2854</v>
      </c>
      <c r="P70" s="840" t="s">
        <v>1175</v>
      </c>
      <c r="Q70" s="182" t="s">
        <v>705</v>
      </c>
      <c r="R70" s="850" t="s">
        <v>1857</v>
      </c>
      <c r="S70" s="836" t="s">
        <v>3293</v>
      </c>
    </row>
    <row r="71">
      <c r="A71" s="832">
        <v>2020.0</v>
      </c>
      <c r="B71" s="838" t="s">
        <v>245</v>
      </c>
      <c r="C71" s="834" t="s">
        <v>641</v>
      </c>
      <c r="D71" s="836" t="s">
        <v>2789</v>
      </c>
      <c r="E71" s="837" t="s">
        <v>578</v>
      </c>
      <c r="F71" s="838" t="s">
        <v>2803</v>
      </c>
      <c r="G71" s="839" t="s">
        <v>2804</v>
      </c>
      <c r="H71" s="832" t="s">
        <v>84</v>
      </c>
      <c r="I71" s="840" t="s">
        <v>2806</v>
      </c>
      <c r="J71" s="863" t="s">
        <v>3228</v>
      </c>
      <c r="K71" s="842">
        <v>50000.0</v>
      </c>
      <c r="L71" s="832" t="s">
        <v>724</v>
      </c>
      <c r="M71" s="832"/>
      <c r="N71" s="832"/>
      <c r="O71" s="840" t="s">
        <v>1175</v>
      </c>
      <c r="P71" s="843"/>
      <c r="Q71" s="182" t="s">
        <v>2810</v>
      </c>
      <c r="R71" s="836"/>
      <c r="S71" s="846" t="s">
        <v>3294</v>
      </c>
    </row>
    <row r="72">
      <c r="A72" s="832">
        <v>2020.0</v>
      </c>
      <c r="B72" s="832" t="s">
        <v>836</v>
      </c>
      <c r="C72" s="182" t="s">
        <v>2824</v>
      </c>
      <c r="D72" s="832" t="s">
        <v>3305</v>
      </c>
      <c r="E72" s="848">
        <v>4.1160001E7</v>
      </c>
      <c r="F72" s="840" t="s">
        <v>2826</v>
      </c>
      <c r="G72" s="839" t="s">
        <v>2827</v>
      </c>
      <c r="H72" s="832" t="s">
        <v>84</v>
      </c>
      <c r="I72" s="840" t="s">
        <v>2806</v>
      </c>
      <c r="J72" s="832">
        <v>3.6000305683202E16</v>
      </c>
      <c r="K72" s="849">
        <v>100000.0</v>
      </c>
      <c r="L72" s="840" t="s">
        <v>89</v>
      </c>
      <c r="M72" s="840" t="s">
        <v>2829</v>
      </c>
      <c r="N72" s="832"/>
      <c r="O72" s="832" t="s">
        <v>2844</v>
      </c>
      <c r="P72" s="832" t="s">
        <v>1175</v>
      </c>
      <c r="Q72" s="182" t="s">
        <v>2831</v>
      </c>
      <c r="R72" s="850" t="s">
        <v>1878</v>
      </c>
      <c r="S72" s="836" t="s">
        <v>3306</v>
      </c>
    </row>
    <row r="73">
      <c r="A73" s="832">
        <v>2019.0</v>
      </c>
      <c r="B73" s="832" t="s">
        <v>646</v>
      </c>
      <c r="C73" s="182" t="s">
        <v>652</v>
      </c>
      <c r="D73" s="836" t="s">
        <v>3307</v>
      </c>
      <c r="E73" s="848">
        <v>7.1220009E7</v>
      </c>
      <c r="F73" s="840" t="s">
        <v>2836</v>
      </c>
      <c r="G73" s="839" t="s">
        <v>2804</v>
      </c>
      <c r="H73" s="832" t="s">
        <v>84</v>
      </c>
      <c r="I73" s="840" t="s">
        <v>2806</v>
      </c>
      <c r="J73" s="843"/>
      <c r="K73" s="849">
        <v>250000.0</v>
      </c>
      <c r="L73" s="840" t="s">
        <v>89</v>
      </c>
      <c r="M73" s="840" t="s">
        <v>2829</v>
      </c>
      <c r="N73" s="843"/>
      <c r="O73" s="843"/>
      <c r="P73" s="840" t="s">
        <v>1175</v>
      </c>
      <c r="Q73" s="182" t="s">
        <v>705</v>
      </c>
      <c r="R73" s="850" t="s">
        <v>1882</v>
      </c>
      <c r="S73" s="836" t="s">
        <v>3309</v>
      </c>
    </row>
    <row r="74">
      <c r="A74" s="832">
        <v>2020.0</v>
      </c>
      <c r="B74" s="838" t="s">
        <v>646</v>
      </c>
      <c r="C74" s="834" t="s">
        <v>652</v>
      </c>
      <c r="D74" s="836" t="s">
        <v>2789</v>
      </c>
      <c r="E74" s="837" t="s">
        <v>578</v>
      </c>
      <c r="F74" s="838" t="s">
        <v>2803</v>
      </c>
      <c r="G74" s="839" t="s">
        <v>2804</v>
      </c>
      <c r="H74" s="832" t="s">
        <v>84</v>
      </c>
      <c r="I74" s="840" t="s">
        <v>2806</v>
      </c>
      <c r="J74" s="841" t="s">
        <v>3312</v>
      </c>
      <c r="K74" s="842">
        <v>50000.0</v>
      </c>
      <c r="L74" s="832" t="s">
        <v>724</v>
      </c>
      <c r="M74" s="832"/>
      <c r="N74" s="832"/>
      <c r="O74" s="840" t="s">
        <v>1175</v>
      </c>
      <c r="P74" s="843"/>
      <c r="Q74" s="182" t="s">
        <v>2810</v>
      </c>
      <c r="R74" s="844"/>
      <c r="S74" s="846" t="s">
        <v>3313</v>
      </c>
    </row>
    <row r="75">
      <c r="A75" s="832">
        <v>2020.0</v>
      </c>
      <c r="B75" s="838" t="s">
        <v>127</v>
      </c>
      <c r="C75" s="851" t="s">
        <v>1735</v>
      </c>
      <c r="D75" s="832" t="s">
        <v>3318</v>
      </c>
      <c r="E75" s="848">
        <v>4.1160005E7</v>
      </c>
      <c r="F75" s="840" t="s">
        <v>2826</v>
      </c>
      <c r="G75" s="839" t="s">
        <v>2804</v>
      </c>
      <c r="H75" s="832" t="s">
        <v>84</v>
      </c>
      <c r="I75" s="840" t="s">
        <v>2806</v>
      </c>
      <c r="J75" s="843"/>
      <c r="K75" s="849">
        <v>300000.0</v>
      </c>
      <c r="L75" s="840" t="s">
        <v>89</v>
      </c>
      <c r="M75" s="840" t="s">
        <v>2829</v>
      </c>
      <c r="N75" s="843"/>
      <c r="O75" s="840" t="s">
        <v>3096</v>
      </c>
      <c r="P75" s="840" t="s">
        <v>265</v>
      </c>
      <c r="Q75" s="182" t="s">
        <v>705</v>
      </c>
      <c r="R75" s="850" t="s">
        <v>1893</v>
      </c>
      <c r="S75" s="836" t="s">
        <v>3319</v>
      </c>
    </row>
    <row r="76">
      <c r="A76" s="832">
        <v>2020.0</v>
      </c>
      <c r="B76" s="838" t="s">
        <v>127</v>
      </c>
      <c r="C76" s="851" t="s">
        <v>1738</v>
      </c>
      <c r="D76" s="832" t="s">
        <v>3318</v>
      </c>
      <c r="E76" s="848">
        <v>4.1160005E7</v>
      </c>
      <c r="F76" s="840" t="s">
        <v>2826</v>
      </c>
      <c r="G76" s="839" t="s">
        <v>2804</v>
      </c>
      <c r="H76" s="832" t="s">
        <v>84</v>
      </c>
      <c r="I76" s="840" t="s">
        <v>2806</v>
      </c>
      <c r="J76" s="832">
        <v>3.6000314987202E16</v>
      </c>
      <c r="K76" s="849">
        <v>300000.0</v>
      </c>
      <c r="L76" s="840" t="s">
        <v>89</v>
      </c>
      <c r="M76" s="840" t="s">
        <v>2829</v>
      </c>
      <c r="N76" s="843"/>
      <c r="O76" s="840" t="s">
        <v>3096</v>
      </c>
      <c r="P76" s="840" t="s">
        <v>265</v>
      </c>
      <c r="Q76" s="182" t="s">
        <v>705</v>
      </c>
      <c r="R76" s="850" t="s">
        <v>1896</v>
      </c>
      <c r="S76" s="836" t="s">
        <v>3320</v>
      </c>
    </row>
    <row r="77">
      <c r="A77" s="832">
        <v>2020.0</v>
      </c>
      <c r="B77" s="838" t="s">
        <v>127</v>
      </c>
      <c r="C77" s="851" t="s">
        <v>486</v>
      </c>
      <c r="D77" s="832" t="s">
        <v>3318</v>
      </c>
      <c r="E77" s="848">
        <v>4.1160005E7</v>
      </c>
      <c r="F77" s="840" t="s">
        <v>2826</v>
      </c>
      <c r="G77" s="839" t="s">
        <v>2804</v>
      </c>
      <c r="H77" s="832" t="s">
        <v>84</v>
      </c>
      <c r="I77" s="840" t="s">
        <v>2806</v>
      </c>
      <c r="J77" s="832">
        <v>3.6000314987202E16</v>
      </c>
      <c r="K77" s="849">
        <v>40000.0</v>
      </c>
      <c r="L77" s="840" t="s">
        <v>89</v>
      </c>
      <c r="M77" s="840" t="s">
        <v>2829</v>
      </c>
      <c r="N77" s="843"/>
      <c r="O77" s="840" t="s">
        <v>3096</v>
      </c>
      <c r="P77" s="840" t="s">
        <v>265</v>
      </c>
      <c r="Q77" s="182" t="s">
        <v>705</v>
      </c>
      <c r="R77" s="850" t="s">
        <v>1899</v>
      </c>
      <c r="S77" s="836" t="s">
        <v>3322</v>
      </c>
    </row>
    <row r="78">
      <c r="A78" s="832">
        <v>2020.0</v>
      </c>
      <c r="B78" s="832" t="s">
        <v>127</v>
      </c>
      <c r="C78" s="182" t="s">
        <v>1239</v>
      </c>
      <c r="D78" s="832" t="s">
        <v>3318</v>
      </c>
      <c r="E78" s="848">
        <v>4.1160005E7</v>
      </c>
      <c r="F78" s="840" t="s">
        <v>2826</v>
      </c>
      <c r="G78" s="839" t="s">
        <v>2804</v>
      </c>
      <c r="H78" s="832" t="s">
        <v>84</v>
      </c>
      <c r="I78" s="840" t="s">
        <v>2806</v>
      </c>
      <c r="J78" s="923">
        <v>3.6000310549202E16</v>
      </c>
      <c r="K78" s="849">
        <v>360000.0</v>
      </c>
      <c r="L78" s="840" t="s">
        <v>89</v>
      </c>
      <c r="M78" s="840" t="s">
        <v>2829</v>
      </c>
      <c r="N78" s="843"/>
      <c r="O78" s="840" t="s">
        <v>3096</v>
      </c>
      <c r="P78" s="840" t="s">
        <v>265</v>
      </c>
      <c r="Q78" s="182" t="s">
        <v>705</v>
      </c>
      <c r="R78" s="850" t="s">
        <v>1901</v>
      </c>
      <c r="S78" s="836" t="s">
        <v>3324</v>
      </c>
    </row>
    <row r="79">
      <c r="A79" s="840">
        <v>2020.0</v>
      </c>
      <c r="B79" s="833" t="s">
        <v>127</v>
      </c>
      <c r="C79" s="895" t="s">
        <v>3325</v>
      </c>
      <c r="D79" s="936" t="s">
        <v>3326</v>
      </c>
      <c r="E79" s="937">
        <v>7.1220004E7</v>
      </c>
      <c r="F79" s="840" t="s">
        <v>3328</v>
      </c>
      <c r="G79" s="899" t="s">
        <v>3011</v>
      </c>
      <c r="H79" s="840" t="s">
        <v>152</v>
      </c>
      <c r="I79" s="840" t="s">
        <v>3014</v>
      </c>
      <c r="J79" s="843"/>
      <c r="K79" s="876">
        <v>886000.0</v>
      </c>
      <c r="L79" s="832" t="s">
        <v>724</v>
      </c>
      <c r="M79" s="843"/>
      <c r="N79" s="843"/>
      <c r="O79" s="843"/>
      <c r="P79" s="843"/>
      <c r="Q79" s="895" t="s">
        <v>3331</v>
      </c>
      <c r="R79" s="938"/>
      <c r="S79" s="903" t="s">
        <v>3332</v>
      </c>
    </row>
    <row r="80">
      <c r="A80" s="832">
        <v>2020.0</v>
      </c>
      <c r="B80" s="832" t="s">
        <v>127</v>
      </c>
      <c r="C80" s="182" t="s">
        <v>3011</v>
      </c>
      <c r="D80" s="836" t="s">
        <v>3333</v>
      </c>
      <c r="E80" s="939">
        <v>4.116001E7</v>
      </c>
      <c r="F80" s="840" t="s">
        <v>2866</v>
      </c>
      <c r="G80" s="839" t="s">
        <v>3334</v>
      </c>
      <c r="H80" s="832" t="s">
        <v>152</v>
      </c>
      <c r="I80" s="895" t="s">
        <v>3014</v>
      </c>
      <c r="J80" s="832" t="s">
        <v>3335</v>
      </c>
      <c r="K80" s="940">
        <v>641914.0</v>
      </c>
      <c r="L80" s="840" t="s">
        <v>89</v>
      </c>
      <c r="M80" s="840" t="s">
        <v>3270</v>
      </c>
      <c r="N80" s="832"/>
      <c r="O80" s="832" t="s">
        <v>3336</v>
      </c>
      <c r="P80" s="843"/>
      <c r="Q80" s="97" t="s">
        <v>3337</v>
      </c>
      <c r="R80" s="910" t="s">
        <v>3338</v>
      </c>
      <c r="S80" s="843"/>
    </row>
    <row r="81">
      <c r="A81" s="832">
        <v>2020.0</v>
      </c>
      <c r="B81" s="832" t="s">
        <v>127</v>
      </c>
      <c r="C81" s="182" t="s">
        <v>3011</v>
      </c>
      <c r="D81" s="836" t="s">
        <v>3333</v>
      </c>
      <c r="E81" s="939">
        <v>4.1160006E7</v>
      </c>
      <c r="F81" s="840" t="s">
        <v>2866</v>
      </c>
      <c r="G81" s="839" t="s">
        <v>3334</v>
      </c>
      <c r="H81" s="832" t="s">
        <v>152</v>
      </c>
      <c r="I81" s="895" t="s">
        <v>3014</v>
      </c>
      <c r="J81" s="832" t="s">
        <v>3339</v>
      </c>
      <c r="K81" s="940">
        <v>261914.0</v>
      </c>
      <c r="L81" s="840" t="s">
        <v>89</v>
      </c>
      <c r="M81" s="840" t="s">
        <v>3270</v>
      </c>
      <c r="N81" s="832"/>
      <c r="O81" s="832" t="s">
        <v>3336</v>
      </c>
      <c r="P81" s="843"/>
      <c r="Q81" s="97" t="s">
        <v>3337</v>
      </c>
      <c r="R81" s="910" t="s">
        <v>3338</v>
      </c>
      <c r="S81" s="133"/>
    </row>
    <row r="82">
      <c r="A82" s="832">
        <v>2020.0</v>
      </c>
      <c r="B82" s="832" t="s">
        <v>127</v>
      </c>
      <c r="C82" s="182" t="s">
        <v>3011</v>
      </c>
      <c r="D82" s="836" t="s">
        <v>3333</v>
      </c>
      <c r="E82" s="939">
        <v>4.1160012E7</v>
      </c>
      <c r="F82" s="840" t="s">
        <v>2866</v>
      </c>
      <c r="G82" s="839" t="s">
        <v>3334</v>
      </c>
      <c r="H82" s="832" t="s">
        <v>152</v>
      </c>
      <c r="I82" s="895" t="s">
        <v>3014</v>
      </c>
      <c r="J82" s="832" t="s">
        <v>3340</v>
      </c>
      <c r="K82" s="849">
        <v>500000.0</v>
      </c>
      <c r="L82" s="840" t="s">
        <v>89</v>
      </c>
      <c r="M82" s="840" t="s">
        <v>3270</v>
      </c>
      <c r="N82" s="832"/>
      <c r="O82" s="832" t="s">
        <v>3336</v>
      </c>
      <c r="P82" s="843"/>
      <c r="Q82" s="97" t="s">
        <v>3337</v>
      </c>
      <c r="R82" s="910" t="s">
        <v>3338</v>
      </c>
      <c r="S82" s="133"/>
    </row>
    <row r="83">
      <c r="A83" s="832">
        <v>2020.0</v>
      </c>
      <c r="B83" s="832" t="s">
        <v>127</v>
      </c>
      <c r="C83" s="182" t="s">
        <v>3011</v>
      </c>
      <c r="D83" s="836" t="s">
        <v>3333</v>
      </c>
      <c r="E83" s="939">
        <v>4.116001E7</v>
      </c>
      <c r="F83" s="840" t="s">
        <v>2866</v>
      </c>
      <c r="G83" s="839" t="s">
        <v>3334</v>
      </c>
      <c r="H83" s="832" t="s">
        <v>152</v>
      </c>
      <c r="I83" s="895" t="s">
        <v>3014</v>
      </c>
      <c r="J83" s="832" t="s">
        <v>3345</v>
      </c>
      <c r="K83" s="942">
        <v>857825.0</v>
      </c>
      <c r="L83" s="840" t="s">
        <v>89</v>
      </c>
      <c r="M83" s="840" t="s">
        <v>3270</v>
      </c>
      <c r="N83" s="832"/>
      <c r="O83" s="832" t="s">
        <v>3336</v>
      </c>
      <c r="P83" s="843"/>
      <c r="Q83" s="182" t="s">
        <v>3337</v>
      </c>
      <c r="R83" s="910" t="s">
        <v>3338</v>
      </c>
      <c r="S83" s="133"/>
    </row>
    <row r="84">
      <c r="A84" s="832">
        <v>2020.0</v>
      </c>
      <c r="B84" s="832" t="s">
        <v>127</v>
      </c>
      <c r="C84" s="182" t="s">
        <v>3011</v>
      </c>
      <c r="D84" s="836" t="s">
        <v>3333</v>
      </c>
      <c r="E84" s="898" t="s">
        <v>3349</v>
      </c>
      <c r="F84" s="840" t="s">
        <v>2866</v>
      </c>
      <c r="G84" s="839" t="s">
        <v>3334</v>
      </c>
      <c r="H84" s="832" t="s">
        <v>152</v>
      </c>
      <c r="I84" s="895" t="s">
        <v>3014</v>
      </c>
      <c r="J84" s="832" t="s">
        <v>3350</v>
      </c>
      <c r="K84" s="849">
        <v>1000000.0</v>
      </c>
      <c r="L84" s="840" t="s">
        <v>89</v>
      </c>
      <c r="M84" s="840" t="s">
        <v>3270</v>
      </c>
      <c r="N84" s="832"/>
      <c r="O84" s="832" t="s">
        <v>3336</v>
      </c>
      <c r="P84" s="843"/>
      <c r="Q84" s="182" t="s">
        <v>3337</v>
      </c>
      <c r="R84" s="944" t="s">
        <v>3338</v>
      </c>
      <c r="S84" s="133"/>
    </row>
    <row r="85">
      <c r="A85" s="840">
        <v>2020.0</v>
      </c>
      <c r="B85" s="832" t="s">
        <v>3353</v>
      </c>
      <c r="C85" s="217" t="s">
        <v>3354</v>
      </c>
      <c r="D85" s="936" t="s">
        <v>3355</v>
      </c>
      <c r="E85" s="939">
        <v>4.1160004E7</v>
      </c>
      <c r="F85" s="945" t="s">
        <v>2866</v>
      </c>
      <c r="G85" s="946" t="s">
        <v>3358</v>
      </c>
      <c r="H85" s="936" t="s">
        <v>3359</v>
      </c>
      <c r="I85" s="895" t="s">
        <v>3360</v>
      </c>
      <c r="J85" s="832" t="s">
        <v>3361</v>
      </c>
      <c r="K85" s="849">
        <v>300000.0</v>
      </c>
      <c r="L85" s="840" t="s">
        <v>89</v>
      </c>
      <c r="M85" s="840" t="s">
        <v>3270</v>
      </c>
      <c r="N85" s="832"/>
      <c r="O85" s="832" t="s">
        <v>3336</v>
      </c>
      <c r="P85" s="843"/>
      <c r="Q85" s="182" t="s">
        <v>3362</v>
      </c>
      <c r="R85" s="910" t="s">
        <v>1761</v>
      </c>
      <c r="S85" s="133"/>
    </row>
    <row r="86">
      <c r="A86" s="832">
        <v>2020.0</v>
      </c>
      <c r="B86" s="832" t="s">
        <v>3364</v>
      </c>
      <c r="C86" s="217" t="s">
        <v>3354</v>
      </c>
      <c r="D86" s="836" t="s">
        <v>3365</v>
      </c>
      <c r="E86" s="848">
        <v>4.1160004E7</v>
      </c>
      <c r="F86" s="840" t="s">
        <v>2866</v>
      </c>
      <c r="G86" s="839" t="s">
        <v>3358</v>
      </c>
      <c r="H86" s="936" t="s">
        <v>3359</v>
      </c>
      <c r="I86" s="895" t="s">
        <v>3360</v>
      </c>
      <c r="J86" s="832" t="s">
        <v>3366</v>
      </c>
      <c r="K86" s="849">
        <v>300000.0</v>
      </c>
      <c r="L86" s="840" t="s">
        <v>89</v>
      </c>
      <c r="M86" s="840" t="s">
        <v>3017</v>
      </c>
      <c r="N86" s="832"/>
      <c r="O86" s="947" t="s">
        <v>3367</v>
      </c>
      <c r="P86" s="716"/>
      <c r="Q86" s="182" t="s">
        <v>3362</v>
      </c>
      <c r="R86" s="910" t="s">
        <v>1681</v>
      </c>
      <c r="S86" s="133"/>
    </row>
    <row r="87">
      <c r="A87" s="832">
        <v>2020.0</v>
      </c>
      <c r="B87" s="838" t="s">
        <v>252</v>
      </c>
      <c r="C87" s="834" t="s">
        <v>3160</v>
      </c>
      <c r="D87" s="836" t="s">
        <v>2789</v>
      </c>
      <c r="E87" s="837" t="s">
        <v>578</v>
      </c>
      <c r="F87" s="838" t="s">
        <v>2803</v>
      </c>
      <c r="G87" s="839" t="s">
        <v>2804</v>
      </c>
      <c r="H87" s="832" t="s">
        <v>84</v>
      </c>
      <c r="I87" s="840" t="s">
        <v>2806</v>
      </c>
      <c r="J87" s="841" t="s">
        <v>3162</v>
      </c>
      <c r="K87" s="842">
        <v>50000.0</v>
      </c>
      <c r="L87" s="832" t="s">
        <v>724</v>
      </c>
      <c r="M87" s="832"/>
      <c r="N87" s="832"/>
      <c r="O87" s="840" t="s">
        <v>1175</v>
      </c>
      <c r="P87" s="843"/>
      <c r="Q87" s="182" t="s">
        <v>2810</v>
      </c>
      <c r="R87" s="836"/>
      <c r="S87" s="846" t="s">
        <v>3373</v>
      </c>
    </row>
    <row r="88">
      <c r="A88" s="832">
        <v>2020.0</v>
      </c>
      <c r="B88" s="832" t="s">
        <v>855</v>
      </c>
      <c r="C88" s="182" t="s">
        <v>1558</v>
      </c>
      <c r="D88" s="832" t="s">
        <v>2789</v>
      </c>
      <c r="E88" s="848">
        <v>4.1160005E7</v>
      </c>
      <c r="F88" s="840" t="s">
        <v>2836</v>
      </c>
      <c r="G88" s="839" t="s">
        <v>2804</v>
      </c>
      <c r="H88" s="832" t="s">
        <v>84</v>
      </c>
      <c r="I88" s="840" t="s">
        <v>2806</v>
      </c>
      <c r="J88" s="923">
        <v>3.6000310549202E16</v>
      </c>
      <c r="K88" s="876">
        <v>114000.0</v>
      </c>
      <c r="L88" s="840" t="s">
        <v>89</v>
      </c>
      <c r="M88" s="840" t="s">
        <v>2829</v>
      </c>
      <c r="N88" s="843"/>
      <c r="O88" s="840" t="s">
        <v>3096</v>
      </c>
      <c r="P88" s="840" t="s">
        <v>265</v>
      </c>
      <c r="Q88" s="182" t="s">
        <v>705</v>
      </c>
      <c r="R88" s="933"/>
      <c r="S88" s="843"/>
    </row>
    <row r="89">
      <c r="A89" s="832">
        <v>2020.0</v>
      </c>
      <c r="B89" s="838" t="s">
        <v>323</v>
      </c>
      <c r="C89" s="834" t="s">
        <v>662</v>
      </c>
      <c r="D89" s="836" t="s">
        <v>2789</v>
      </c>
      <c r="E89" s="916" t="s">
        <v>578</v>
      </c>
      <c r="F89" s="838" t="s">
        <v>2803</v>
      </c>
      <c r="G89" s="839" t="s">
        <v>2804</v>
      </c>
      <c r="H89" s="832" t="s">
        <v>84</v>
      </c>
      <c r="I89" s="840" t="s">
        <v>2806</v>
      </c>
      <c r="J89" s="841" t="s">
        <v>3376</v>
      </c>
      <c r="K89" s="842">
        <v>50000.0</v>
      </c>
      <c r="L89" s="832" t="s">
        <v>724</v>
      </c>
      <c r="M89" s="832"/>
      <c r="N89" s="832"/>
      <c r="O89" s="840" t="s">
        <v>1175</v>
      </c>
      <c r="P89" s="843"/>
      <c r="Q89" s="182" t="s">
        <v>2810</v>
      </c>
      <c r="R89" s="844"/>
      <c r="S89" s="846" t="s">
        <v>3377</v>
      </c>
    </row>
    <row r="90">
      <c r="A90" s="832">
        <v>2019.0</v>
      </c>
      <c r="B90" s="832" t="s">
        <v>673</v>
      </c>
      <c r="C90" s="182" t="s">
        <v>682</v>
      </c>
      <c r="D90" s="836" t="s">
        <v>3380</v>
      </c>
      <c r="E90" s="848">
        <v>7.1220009E7</v>
      </c>
      <c r="F90" s="840" t="s">
        <v>2836</v>
      </c>
      <c r="G90" s="839" t="s">
        <v>2804</v>
      </c>
      <c r="H90" s="832" t="s">
        <v>84</v>
      </c>
      <c r="I90" s="840" t="s">
        <v>2806</v>
      </c>
      <c r="J90" s="843"/>
      <c r="K90" s="849">
        <v>250000.0</v>
      </c>
      <c r="L90" s="840" t="s">
        <v>89</v>
      </c>
      <c r="M90" s="840" t="s">
        <v>2829</v>
      </c>
      <c r="N90" s="843"/>
      <c r="O90" s="843"/>
      <c r="P90" s="840" t="s">
        <v>1175</v>
      </c>
      <c r="Q90" s="182" t="s">
        <v>705</v>
      </c>
      <c r="R90" s="850" t="s">
        <v>1945</v>
      </c>
      <c r="S90" s="836" t="s">
        <v>3381</v>
      </c>
    </row>
    <row r="91">
      <c r="A91" s="832">
        <v>2020.0</v>
      </c>
      <c r="B91" s="838" t="s">
        <v>673</v>
      </c>
      <c r="C91" s="834" t="s">
        <v>682</v>
      </c>
      <c r="D91" s="836" t="s">
        <v>2789</v>
      </c>
      <c r="E91" s="837" t="s">
        <v>578</v>
      </c>
      <c r="F91" s="838" t="s">
        <v>2803</v>
      </c>
      <c r="G91" s="839" t="s">
        <v>2804</v>
      </c>
      <c r="H91" s="832" t="s">
        <v>84</v>
      </c>
      <c r="I91" s="840" t="s">
        <v>2806</v>
      </c>
      <c r="J91" s="841" t="s">
        <v>3384</v>
      </c>
      <c r="K91" s="842">
        <v>50000.0</v>
      </c>
      <c r="L91" s="832" t="s">
        <v>724</v>
      </c>
      <c r="M91" s="832"/>
      <c r="N91" s="832"/>
      <c r="O91" s="840" t="s">
        <v>1175</v>
      </c>
      <c r="P91" s="843"/>
      <c r="Q91" s="182" t="s">
        <v>2810</v>
      </c>
      <c r="R91" s="844"/>
      <c r="S91" s="846" t="s">
        <v>3385</v>
      </c>
    </row>
    <row r="92">
      <c r="A92" s="832">
        <v>2020.0</v>
      </c>
      <c r="B92" s="832" t="s">
        <v>875</v>
      </c>
      <c r="C92" s="182" t="s">
        <v>1786</v>
      </c>
      <c r="D92" s="832" t="s">
        <v>2789</v>
      </c>
      <c r="E92" s="848">
        <v>4.1160005E7</v>
      </c>
      <c r="F92" s="840" t="s">
        <v>2836</v>
      </c>
      <c r="G92" s="839" t="s">
        <v>2804</v>
      </c>
      <c r="H92" s="832" t="s">
        <v>84</v>
      </c>
      <c r="I92" s="840" t="s">
        <v>2806</v>
      </c>
      <c r="J92" s="840">
        <v>3.6000317672202E16</v>
      </c>
      <c r="K92" s="876">
        <v>200000.0</v>
      </c>
      <c r="L92" s="840" t="s">
        <v>89</v>
      </c>
      <c r="M92" s="840" t="s">
        <v>2829</v>
      </c>
      <c r="N92" s="843"/>
      <c r="O92" s="840" t="s">
        <v>3096</v>
      </c>
      <c r="P92" s="840" t="s">
        <v>2725</v>
      </c>
      <c r="Q92" s="182" t="s">
        <v>705</v>
      </c>
      <c r="R92" s="850" t="s">
        <v>1947</v>
      </c>
      <c r="S92" s="836" t="s">
        <v>3392</v>
      </c>
    </row>
    <row r="93">
      <c r="A93" s="832">
        <v>2020.0</v>
      </c>
      <c r="B93" s="838" t="s">
        <v>879</v>
      </c>
      <c r="C93" s="851" t="s">
        <v>1789</v>
      </c>
      <c r="D93" s="832" t="s">
        <v>3393</v>
      </c>
      <c r="E93" s="848">
        <v>4.1160005E7</v>
      </c>
      <c r="F93" s="840" t="s">
        <v>2826</v>
      </c>
      <c r="G93" s="839" t="s">
        <v>2804</v>
      </c>
      <c r="H93" s="832" t="s">
        <v>84</v>
      </c>
      <c r="I93" s="840" t="s">
        <v>2806</v>
      </c>
      <c r="J93" s="832">
        <v>3.6000312477202E16</v>
      </c>
      <c r="K93" s="849">
        <v>200000.0</v>
      </c>
      <c r="L93" s="840" t="s">
        <v>89</v>
      </c>
      <c r="M93" s="840" t="s">
        <v>2829</v>
      </c>
      <c r="N93" s="832"/>
      <c r="O93" s="849">
        <v>200000.0</v>
      </c>
      <c r="P93" s="832" t="s">
        <v>1175</v>
      </c>
      <c r="Q93" s="182" t="s">
        <v>705</v>
      </c>
      <c r="R93" s="850" t="s">
        <v>1949</v>
      </c>
      <c r="S93" s="836" t="s">
        <v>3394</v>
      </c>
    </row>
    <row r="94">
      <c r="A94" s="832">
        <v>2020.0</v>
      </c>
      <c r="B94" s="838" t="s">
        <v>355</v>
      </c>
      <c r="C94" s="851" t="s">
        <v>1808</v>
      </c>
      <c r="D94" s="832" t="s">
        <v>2789</v>
      </c>
      <c r="E94" s="848">
        <v>4.1160005E7</v>
      </c>
      <c r="F94" s="840" t="s">
        <v>2836</v>
      </c>
      <c r="G94" s="839" t="s">
        <v>2804</v>
      </c>
      <c r="H94" s="832" t="s">
        <v>84</v>
      </c>
      <c r="I94" s="840" t="s">
        <v>2806</v>
      </c>
      <c r="J94" s="840">
        <v>3.6000317672202E16</v>
      </c>
      <c r="K94" s="876">
        <v>250000.0</v>
      </c>
      <c r="L94" s="840" t="s">
        <v>89</v>
      </c>
      <c r="M94" s="840" t="s">
        <v>2829</v>
      </c>
      <c r="N94" s="843"/>
      <c r="O94" s="840" t="s">
        <v>3096</v>
      </c>
      <c r="P94" s="840" t="s">
        <v>265</v>
      </c>
      <c r="Q94" s="182" t="s">
        <v>705</v>
      </c>
      <c r="R94" s="850" t="s">
        <v>3396</v>
      </c>
      <c r="S94" s="836" t="s">
        <v>3397</v>
      </c>
    </row>
    <row r="95">
      <c r="A95" s="832">
        <v>2020.0</v>
      </c>
      <c r="B95" s="838" t="s">
        <v>797</v>
      </c>
      <c r="C95" s="834" t="s">
        <v>1480</v>
      </c>
      <c r="D95" s="836" t="s">
        <v>2789</v>
      </c>
      <c r="E95" s="837" t="s">
        <v>578</v>
      </c>
      <c r="F95" s="838" t="s">
        <v>2803</v>
      </c>
      <c r="G95" s="839" t="s">
        <v>2804</v>
      </c>
      <c r="H95" s="832" t="s">
        <v>84</v>
      </c>
      <c r="I95" s="840" t="s">
        <v>2806</v>
      </c>
      <c r="J95" s="863" t="s">
        <v>3025</v>
      </c>
      <c r="K95" s="914">
        <v>50000.0</v>
      </c>
      <c r="L95" s="832" t="s">
        <v>724</v>
      </c>
      <c r="M95" s="832"/>
      <c r="N95" s="832"/>
      <c r="O95" s="840" t="s">
        <v>1175</v>
      </c>
      <c r="P95" s="843"/>
      <c r="Q95" s="182" t="s">
        <v>2810</v>
      </c>
      <c r="R95" s="907"/>
      <c r="S95" s="846" t="s">
        <v>3401</v>
      </c>
    </row>
    <row r="96">
      <c r="A96" s="895">
        <v>2019.0</v>
      </c>
      <c r="B96" s="838" t="s">
        <v>797</v>
      </c>
      <c r="C96" s="934" t="s">
        <v>3409</v>
      </c>
      <c r="D96" s="948" t="s">
        <v>3410</v>
      </c>
      <c r="E96" s="898"/>
      <c r="F96" s="840" t="s">
        <v>2866</v>
      </c>
      <c r="G96" s="899" t="s">
        <v>3011</v>
      </c>
      <c r="H96" s="895" t="s">
        <v>152</v>
      </c>
      <c r="I96" s="895" t="s">
        <v>3014</v>
      </c>
      <c r="J96" s="900" t="s">
        <v>3015</v>
      </c>
      <c r="K96" s="716"/>
      <c r="L96" s="840" t="s">
        <v>389</v>
      </c>
      <c r="M96" s="895" t="s">
        <v>3017</v>
      </c>
      <c r="N96" s="182"/>
      <c r="O96" s="182"/>
      <c r="P96" s="133"/>
      <c r="Q96" s="895" t="s">
        <v>1065</v>
      </c>
      <c r="R96" s="949" t="s">
        <v>1970</v>
      </c>
      <c r="S96" s="903" t="s">
        <v>3413</v>
      </c>
    </row>
    <row r="97">
      <c r="A97" s="832">
        <v>2020.0</v>
      </c>
      <c r="B97" s="832" t="s">
        <v>883</v>
      </c>
      <c r="C97" s="182" t="s">
        <v>2824</v>
      </c>
      <c r="D97" s="832" t="s">
        <v>3414</v>
      </c>
      <c r="E97" s="848">
        <v>4.1160009E7</v>
      </c>
      <c r="F97" s="840" t="s">
        <v>2826</v>
      </c>
      <c r="G97" s="839" t="s">
        <v>2827</v>
      </c>
      <c r="H97" s="832" t="s">
        <v>84</v>
      </c>
      <c r="I97" s="840" t="s">
        <v>2806</v>
      </c>
      <c r="J97" s="832">
        <v>3.6000305619202E16</v>
      </c>
      <c r="K97" s="849">
        <v>150000.0</v>
      </c>
      <c r="L97" s="840" t="s">
        <v>89</v>
      </c>
      <c r="M97" s="840" t="s">
        <v>2829</v>
      </c>
      <c r="N97" s="832"/>
      <c r="O97" s="832" t="s">
        <v>3264</v>
      </c>
      <c r="P97" s="832" t="s">
        <v>1175</v>
      </c>
      <c r="Q97" s="182" t="s">
        <v>2831</v>
      </c>
      <c r="R97" s="850" t="s">
        <v>1971</v>
      </c>
      <c r="S97" s="846" t="s">
        <v>3416</v>
      </c>
    </row>
    <row r="98">
      <c r="A98" s="832">
        <v>2020.0</v>
      </c>
      <c r="B98" s="838" t="s">
        <v>886</v>
      </c>
      <c r="C98" s="851" t="s">
        <v>2801</v>
      </c>
      <c r="D98" s="832" t="s">
        <v>2789</v>
      </c>
      <c r="E98" s="848">
        <v>4.1160005E7</v>
      </c>
      <c r="F98" s="840" t="s">
        <v>2836</v>
      </c>
      <c r="G98" s="839" t="s">
        <v>2804</v>
      </c>
      <c r="H98" s="832" t="s">
        <v>84</v>
      </c>
      <c r="I98" s="840" t="s">
        <v>2806</v>
      </c>
      <c r="J98" s="840">
        <v>3.6000317672202E16</v>
      </c>
      <c r="K98" s="876">
        <v>100000.0</v>
      </c>
      <c r="L98" s="840" t="s">
        <v>89</v>
      </c>
      <c r="M98" s="840" t="s">
        <v>2829</v>
      </c>
      <c r="N98" s="843"/>
      <c r="O98" s="840" t="s">
        <v>3096</v>
      </c>
      <c r="P98" s="840" t="s">
        <v>265</v>
      </c>
      <c r="Q98" s="182" t="s">
        <v>705</v>
      </c>
      <c r="R98" s="850" t="s">
        <v>1973</v>
      </c>
      <c r="S98" s="836" t="s">
        <v>3419</v>
      </c>
    </row>
    <row r="99">
      <c r="A99" s="832">
        <v>2019.0</v>
      </c>
      <c r="B99" s="832" t="s">
        <v>3420</v>
      </c>
      <c r="C99" s="182" t="s">
        <v>1821</v>
      </c>
      <c r="D99" s="836" t="s">
        <v>3421</v>
      </c>
      <c r="E99" s="848">
        <v>7.1220009E7</v>
      </c>
      <c r="F99" s="840" t="s">
        <v>2836</v>
      </c>
      <c r="G99" s="839" t="s">
        <v>2804</v>
      </c>
      <c r="H99" s="832" t="s">
        <v>84</v>
      </c>
      <c r="I99" s="840" t="s">
        <v>2806</v>
      </c>
      <c r="J99" s="843"/>
      <c r="K99" s="849">
        <v>250000.0</v>
      </c>
      <c r="L99" s="840" t="s">
        <v>389</v>
      </c>
      <c r="M99" s="840" t="s">
        <v>2829</v>
      </c>
      <c r="N99" s="843"/>
      <c r="O99" s="843"/>
      <c r="P99" s="840" t="s">
        <v>1175</v>
      </c>
      <c r="Q99" s="182" t="s">
        <v>705</v>
      </c>
      <c r="R99" s="850" t="s">
        <v>1974</v>
      </c>
      <c r="S99" s="836" t="s">
        <v>3422</v>
      </c>
    </row>
    <row r="100">
      <c r="A100" s="832">
        <v>2019.0</v>
      </c>
      <c r="B100" s="832" t="s">
        <v>3423</v>
      </c>
      <c r="C100" s="182" t="s">
        <v>918</v>
      </c>
      <c r="D100" s="832"/>
      <c r="E100" s="848">
        <v>7.1220005E7</v>
      </c>
      <c r="F100" s="840" t="s">
        <v>2866</v>
      </c>
      <c r="G100" s="839" t="s">
        <v>2867</v>
      </c>
      <c r="H100" s="840" t="s">
        <v>152</v>
      </c>
      <c r="I100" s="832" t="s">
        <v>2868</v>
      </c>
      <c r="J100" s="832"/>
      <c r="K100" s="849">
        <v>54000.0</v>
      </c>
      <c r="L100" s="840" t="s">
        <v>389</v>
      </c>
      <c r="M100" s="840" t="s">
        <v>2606</v>
      </c>
      <c r="N100" s="832"/>
      <c r="O100" s="832" t="s">
        <v>2606</v>
      </c>
      <c r="P100" s="832"/>
      <c r="Q100" s="182" t="s">
        <v>561</v>
      </c>
      <c r="R100" s="954" t="s">
        <v>3425</v>
      </c>
      <c r="S100" s="836" t="s">
        <v>3426</v>
      </c>
    </row>
    <row r="101">
      <c r="A101" s="832">
        <v>2020.0</v>
      </c>
      <c r="B101" s="838" t="s">
        <v>893</v>
      </c>
      <c r="C101" s="851" t="s">
        <v>1182</v>
      </c>
      <c r="D101" s="832" t="s">
        <v>3427</v>
      </c>
      <c r="E101" s="848">
        <v>4.1160005E7</v>
      </c>
      <c r="F101" s="840" t="s">
        <v>2826</v>
      </c>
      <c r="G101" s="839" t="s">
        <v>2804</v>
      </c>
      <c r="H101" s="832" t="s">
        <v>84</v>
      </c>
      <c r="I101" s="840" t="s">
        <v>2806</v>
      </c>
      <c r="J101" s="832">
        <v>3.6000307580202E16</v>
      </c>
      <c r="K101" s="849">
        <v>100000.0</v>
      </c>
      <c r="L101" s="840" t="s">
        <v>89</v>
      </c>
      <c r="M101" s="840" t="s">
        <v>2829</v>
      </c>
      <c r="N101" s="832"/>
      <c r="O101" s="832" t="s">
        <v>2837</v>
      </c>
      <c r="P101" s="832" t="s">
        <v>1175</v>
      </c>
      <c r="Q101" s="182" t="s">
        <v>705</v>
      </c>
      <c r="R101" s="850" t="s">
        <v>1983</v>
      </c>
      <c r="S101" s="836" t="s">
        <v>3428</v>
      </c>
    </row>
    <row r="102">
      <c r="A102" s="832">
        <v>2020.0</v>
      </c>
      <c r="B102" s="838" t="s">
        <v>744</v>
      </c>
      <c r="C102" s="834" t="s">
        <v>751</v>
      </c>
      <c r="D102" s="836" t="s">
        <v>2789</v>
      </c>
      <c r="E102" s="837" t="s">
        <v>578</v>
      </c>
      <c r="F102" s="838" t="s">
        <v>2803</v>
      </c>
      <c r="G102" s="839" t="s">
        <v>2804</v>
      </c>
      <c r="H102" s="832" t="s">
        <v>84</v>
      </c>
      <c r="I102" s="840" t="s">
        <v>2806</v>
      </c>
      <c r="J102" s="841" t="s">
        <v>3429</v>
      </c>
      <c r="K102" s="842">
        <v>50000.0</v>
      </c>
      <c r="L102" s="832" t="s">
        <v>724</v>
      </c>
      <c r="M102" s="832"/>
      <c r="N102" s="832"/>
      <c r="O102" s="840" t="s">
        <v>1175</v>
      </c>
      <c r="P102" s="843"/>
      <c r="Q102" s="182" t="s">
        <v>2810</v>
      </c>
      <c r="R102" s="836"/>
      <c r="S102" s="846" t="s">
        <v>3430</v>
      </c>
    </row>
    <row r="103">
      <c r="A103" s="895">
        <v>2019.0</v>
      </c>
      <c r="B103" s="959" t="s">
        <v>3431</v>
      </c>
      <c r="C103" s="934" t="s">
        <v>3432</v>
      </c>
      <c r="D103" s="960"/>
      <c r="E103" s="898"/>
      <c r="F103" s="840" t="s">
        <v>2866</v>
      </c>
      <c r="G103" s="899" t="s">
        <v>3011</v>
      </c>
      <c r="H103" s="895" t="s">
        <v>152</v>
      </c>
      <c r="I103" s="895" t="s">
        <v>3014</v>
      </c>
      <c r="J103" s="900" t="s">
        <v>3015</v>
      </c>
      <c r="K103" s="716"/>
      <c r="L103" s="840" t="s">
        <v>389</v>
      </c>
      <c r="M103" s="895" t="s">
        <v>3017</v>
      </c>
      <c r="N103" s="182"/>
      <c r="O103" s="182"/>
      <c r="P103" s="133"/>
      <c r="Q103" s="895" t="s">
        <v>3433</v>
      </c>
      <c r="R103" s="961" t="s">
        <v>3434</v>
      </c>
      <c r="S103" s="903" t="s">
        <v>3435</v>
      </c>
    </row>
    <row r="104">
      <c r="A104" s="832">
        <v>2020.0</v>
      </c>
      <c r="B104" s="838" t="s">
        <v>520</v>
      </c>
      <c r="C104" s="851" t="s">
        <v>1844</v>
      </c>
      <c r="D104" s="832" t="s">
        <v>3436</v>
      </c>
      <c r="E104" s="848">
        <v>4.1160005E7</v>
      </c>
      <c r="F104" s="840" t="s">
        <v>2826</v>
      </c>
      <c r="G104" s="839" t="s">
        <v>2804</v>
      </c>
      <c r="H104" s="832" t="s">
        <v>84</v>
      </c>
      <c r="I104" s="840" t="s">
        <v>2806</v>
      </c>
      <c r="J104" s="840">
        <v>3.6000310549202E16</v>
      </c>
      <c r="K104" s="849">
        <v>200000.0</v>
      </c>
      <c r="L104" s="840" t="s">
        <v>89</v>
      </c>
      <c r="M104" s="840" t="s">
        <v>2829</v>
      </c>
      <c r="N104" s="832"/>
      <c r="O104" s="832" t="s">
        <v>3437</v>
      </c>
      <c r="P104" s="832" t="s">
        <v>1175</v>
      </c>
      <c r="Q104" s="182" t="s">
        <v>705</v>
      </c>
      <c r="R104" s="850" t="s">
        <v>2008</v>
      </c>
      <c r="S104" s="836" t="s">
        <v>3438</v>
      </c>
    </row>
    <row r="105">
      <c r="A105" s="832">
        <v>2020.0</v>
      </c>
      <c r="B105" s="838" t="s">
        <v>520</v>
      </c>
      <c r="C105" s="834" t="s">
        <v>1844</v>
      </c>
      <c r="D105" s="832" t="s">
        <v>3436</v>
      </c>
      <c r="E105" s="837" t="s">
        <v>578</v>
      </c>
      <c r="F105" s="838" t="s">
        <v>1226</v>
      </c>
      <c r="G105" s="839" t="s">
        <v>2804</v>
      </c>
      <c r="H105" s="832" t="s">
        <v>84</v>
      </c>
      <c r="I105" s="840" t="s">
        <v>2806</v>
      </c>
      <c r="J105" s="930" t="s">
        <v>3439</v>
      </c>
      <c r="K105" s="842">
        <v>250000.0</v>
      </c>
      <c r="L105" s="832" t="s">
        <v>724</v>
      </c>
      <c r="M105" s="832"/>
      <c r="N105" s="832"/>
      <c r="O105" s="840" t="s">
        <v>1175</v>
      </c>
      <c r="P105" s="843"/>
      <c r="Q105" s="182" t="s">
        <v>2810</v>
      </c>
      <c r="R105" s="843"/>
      <c r="S105" s="843"/>
    </row>
    <row r="106">
      <c r="A106" s="832">
        <v>2019.0</v>
      </c>
      <c r="B106" s="832" t="s">
        <v>3440</v>
      </c>
      <c r="C106" s="182" t="s">
        <v>3441</v>
      </c>
      <c r="D106" s="832"/>
      <c r="E106" s="848">
        <v>7.1220005E7</v>
      </c>
      <c r="F106" s="840" t="s">
        <v>2866</v>
      </c>
      <c r="G106" s="839" t="s">
        <v>2867</v>
      </c>
      <c r="H106" s="840" t="s">
        <v>152</v>
      </c>
      <c r="I106" s="832" t="s">
        <v>2868</v>
      </c>
      <c r="J106" s="832"/>
      <c r="K106" s="849">
        <v>55000.0</v>
      </c>
      <c r="L106" s="840" t="s">
        <v>389</v>
      </c>
      <c r="M106" s="840" t="s">
        <v>2606</v>
      </c>
      <c r="N106" s="832"/>
      <c r="O106" s="832" t="s">
        <v>2606</v>
      </c>
      <c r="P106" s="832"/>
      <c r="Q106" s="182" t="s">
        <v>561</v>
      </c>
      <c r="R106" s="850" t="s">
        <v>2010</v>
      </c>
      <c r="S106" s="836" t="s">
        <v>3442</v>
      </c>
    </row>
    <row r="107">
      <c r="A107" s="832">
        <v>2020.0</v>
      </c>
      <c r="B107" s="838" t="s">
        <v>377</v>
      </c>
      <c r="C107" s="834" t="s">
        <v>773</v>
      </c>
      <c r="D107" s="836" t="s">
        <v>2789</v>
      </c>
      <c r="E107" s="837" t="s">
        <v>578</v>
      </c>
      <c r="F107" s="838" t="s">
        <v>2803</v>
      </c>
      <c r="G107" s="839" t="s">
        <v>2804</v>
      </c>
      <c r="H107" s="832" t="s">
        <v>84</v>
      </c>
      <c r="I107" s="840" t="s">
        <v>2806</v>
      </c>
      <c r="J107" s="841" t="s">
        <v>3443</v>
      </c>
      <c r="K107" s="842">
        <v>50000.0</v>
      </c>
      <c r="L107" s="832" t="s">
        <v>724</v>
      </c>
      <c r="M107" s="832"/>
      <c r="N107" s="832"/>
      <c r="O107" s="840" t="s">
        <v>1175</v>
      </c>
      <c r="P107" s="843"/>
      <c r="Q107" s="182" t="s">
        <v>2810</v>
      </c>
      <c r="R107" s="836"/>
      <c r="S107" s="846" t="s">
        <v>3444</v>
      </c>
    </row>
    <row r="108">
      <c r="A108" s="832">
        <v>2020.0</v>
      </c>
      <c r="B108" s="832" t="s">
        <v>53</v>
      </c>
      <c r="C108" s="182" t="s">
        <v>2824</v>
      </c>
      <c r="D108" s="840" t="s">
        <v>3445</v>
      </c>
      <c r="E108" s="848">
        <v>4.1160009E7</v>
      </c>
      <c r="F108" s="840" t="s">
        <v>2836</v>
      </c>
      <c r="G108" s="839" t="s">
        <v>2827</v>
      </c>
      <c r="H108" s="832" t="s">
        <v>84</v>
      </c>
      <c r="I108" s="840" t="s">
        <v>2806</v>
      </c>
      <c r="J108" s="843"/>
      <c r="K108" s="849">
        <v>100000.0</v>
      </c>
      <c r="L108" s="840" t="s">
        <v>89</v>
      </c>
      <c r="M108" s="922" t="s">
        <v>3270</v>
      </c>
      <c r="N108" s="962"/>
      <c r="O108" s="922" t="s">
        <v>3446</v>
      </c>
      <c r="P108" s="922" t="s">
        <v>3446</v>
      </c>
      <c r="Q108" s="182" t="s">
        <v>2831</v>
      </c>
      <c r="R108" s="850" t="s">
        <v>3447</v>
      </c>
      <c r="S108" s="846" t="s">
        <v>3448</v>
      </c>
    </row>
    <row r="109">
      <c r="A109" s="832">
        <v>2020.0</v>
      </c>
      <c r="B109" s="832" t="s">
        <v>333</v>
      </c>
      <c r="C109" s="182" t="s">
        <v>2824</v>
      </c>
      <c r="D109" s="832" t="s">
        <v>3449</v>
      </c>
      <c r="E109" s="848">
        <v>4.1160009E7</v>
      </c>
      <c r="F109" s="840" t="s">
        <v>2826</v>
      </c>
      <c r="G109" s="839" t="s">
        <v>2827</v>
      </c>
      <c r="H109" s="832" t="s">
        <v>84</v>
      </c>
      <c r="I109" s="840" t="s">
        <v>2806</v>
      </c>
      <c r="J109" s="832">
        <v>3.6000310331202E16</v>
      </c>
      <c r="K109" s="925">
        <v>100000.0</v>
      </c>
      <c r="L109" s="840" t="s">
        <v>89</v>
      </c>
      <c r="M109" s="840" t="s">
        <v>2829</v>
      </c>
      <c r="N109" s="832"/>
      <c r="O109" s="832" t="s">
        <v>3066</v>
      </c>
      <c r="P109" s="832" t="s">
        <v>1175</v>
      </c>
      <c r="Q109" s="97" t="s">
        <v>2831</v>
      </c>
      <c r="R109" s="850" t="s">
        <v>2015</v>
      </c>
      <c r="S109" s="846" t="s">
        <v>3450</v>
      </c>
    </row>
    <row r="110">
      <c r="A110" s="832">
        <v>2020.0</v>
      </c>
      <c r="B110" s="838" t="s">
        <v>333</v>
      </c>
      <c r="C110" s="834" t="s">
        <v>1169</v>
      </c>
      <c r="D110" s="836" t="s">
        <v>2789</v>
      </c>
      <c r="E110" s="837" t="s">
        <v>578</v>
      </c>
      <c r="F110" s="838" t="s">
        <v>2803</v>
      </c>
      <c r="G110" s="839" t="s">
        <v>2804</v>
      </c>
      <c r="H110" s="832" t="s">
        <v>84</v>
      </c>
      <c r="I110" s="840" t="s">
        <v>2806</v>
      </c>
      <c r="J110" s="841" t="s">
        <v>2807</v>
      </c>
      <c r="K110" s="842">
        <v>100000.0</v>
      </c>
      <c r="L110" s="832" t="s">
        <v>724</v>
      </c>
      <c r="M110" s="832"/>
      <c r="N110" s="832"/>
      <c r="O110" s="840" t="s">
        <v>1175</v>
      </c>
      <c r="P110" s="843"/>
      <c r="Q110" s="182" t="s">
        <v>2810</v>
      </c>
      <c r="R110" s="836"/>
      <c r="S110" s="846" t="s">
        <v>3450</v>
      </c>
    </row>
    <row r="111">
      <c r="A111" s="832">
        <v>2019.0</v>
      </c>
      <c r="B111" s="832" t="s">
        <v>1225</v>
      </c>
      <c r="C111" s="182" t="s">
        <v>3451</v>
      </c>
      <c r="D111" s="836" t="s">
        <v>3449</v>
      </c>
      <c r="E111" s="848">
        <v>7.1220009E7</v>
      </c>
      <c r="F111" s="840" t="s">
        <v>2836</v>
      </c>
      <c r="G111" s="839" t="s">
        <v>2804</v>
      </c>
      <c r="H111" s="832" t="s">
        <v>84</v>
      </c>
      <c r="I111" s="840" t="s">
        <v>2806</v>
      </c>
      <c r="J111" s="843"/>
      <c r="K111" s="925">
        <v>250000.0</v>
      </c>
      <c r="L111" s="840" t="s">
        <v>389</v>
      </c>
      <c r="M111" s="840" t="s">
        <v>2829</v>
      </c>
      <c r="N111" s="843"/>
      <c r="O111" s="840" t="s">
        <v>3096</v>
      </c>
      <c r="P111" s="832" t="s">
        <v>1175</v>
      </c>
      <c r="Q111" s="182" t="s">
        <v>705</v>
      </c>
      <c r="R111" s="850" t="s">
        <v>2013</v>
      </c>
      <c r="S111" s="836" t="s">
        <v>3452</v>
      </c>
    </row>
    <row r="112">
      <c r="A112" s="832">
        <v>2020.0</v>
      </c>
      <c r="B112" s="832" t="s">
        <v>926</v>
      </c>
      <c r="C112" s="182" t="s">
        <v>2824</v>
      </c>
      <c r="D112" s="832" t="s">
        <v>3453</v>
      </c>
      <c r="E112" s="848">
        <v>4.1160001E7</v>
      </c>
      <c r="F112" s="840" t="s">
        <v>2826</v>
      </c>
      <c r="G112" s="839" t="s">
        <v>2827</v>
      </c>
      <c r="H112" s="832" t="s">
        <v>84</v>
      </c>
      <c r="I112" s="840" t="s">
        <v>2806</v>
      </c>
      <c r="J112" s="832">
        <v>3.6000311532202E16</v>
      </c>
      <c r="K112" s="925">
        <v>100000.0</v>
      </c>
      <c r="L112" s="840" t="s">
        <v>89</v>
      </c>
      <c r="M112" s="840" t="s">
        <v>2829</v>
      </c>
      <c r="N112" s="832"/>
      <c r="O112" s="832" t="s">
        <v>3454</v>
      </c>
      <c r="P112" s="832" t="s">
        <v>1175</v>
      </c>
      <c r="Q112" s="182" t="s">
        <v>2831</v>
      </c>
      <c r="R112" s="850" t="s">
        <v>2017</v>
      </c>
      <c r="S112" s="846" t="s">
        <v>3455</v>
      </c>
    </row>
    <row r="113">
      <c r="A113" s="832">
        <v>2020.0</v>
      </c>
      <c r="B113" s="832" t="s">
        <v>934</v>
      </c>
      <c r="C113" s="182" t="s">
        <v>2824</v>
      </c>
      <c r="D113" s="832" t="s">
        <v>3456</v>
      </c>
      <c r="E113" s="848">
        <v>4.1160001E7</v>
      </c>
      <c r="F113" s="840" t="s">
        <v>2826</v>
      </c>
      <c r="G113" s="839" t="s">
        <v>2827</v>
      </c>
      <c r="H113" s="832" t="s">
        <v>84</v>
      </c>
      <c r="I113" s="840" t="s">
        <v>2806</v>
      </c>
      <c r="J113" s="832">
        <v>3.6000305902202E16</v>
      </c>
      <c r="K113" s="925">
        <v>67500.0</v>
      </c>
      <c r="L113" s="840" t="s">
        <v>89</v>
      </c>
      <c r="M113" s="840" t="s">
        <v>2829</v>
      </c>
      <c r="N113" s="832"/>
      <c r="O113" s="832" t="s">
        <v>3454</v>
      </c>
      <c r="P113" s="832" t="s">
        <v>1175</v>
      </c>
      <c r="Q113" s="182" t="s">
        <v>2831</v>
      </c>
      <c r="R113" s="850" t="s">
        <v>2019</v>
      </c>
      <c r="S113" s="832" t="s">
        <v>3457</v>
      </c>
    </row>
    <row r="114">
      <c r="A114" s="832">
        <v>2020.0</v>
      </c>
      <c r="B114" s="832" t="s">
        <v>945</v>
      </c>
      <c r="C114" s="182" t="s">
        <v>2824</v>
      </c>
      <c r="D114" s="840" t="s">
        <v>3458</v>
      </c>
      <c r="E114" s="848">
        <v>4.1160009E7</v>
      </c>
      <c r="F114" s="840" t="s">
        <v>2826</v>
      </c>
      <c r="G114" s="839" t="s">
        <v>2827</v>
      </c>
      <c r="H114" s="832" t="s">
        <v>84</v>
      </c>
      <c r="I114" s="840" t="s">
        <v>2806</v>
      </c>
      <c r="J114" s="843"/>
      <c r="K114" s="843"/>
      <c r="L114" s="840" t="s">
        <v>89</v>
      </c>
      <c r="M114" s="922" t="s">
        <v>3060</v>
      </c>
      <c r="N114" s="962"/>
      <c r="O114" s="922" t="s">
        <v>3270</v>
      </c>
      <c r="P114" s="843"/>
      <c r="Q114" s="97" t="s">
        <v>2831</v>
      </c>
      <c r="R114" s="850" t="s">
        <v>2025</v>
      </c>
      <c r="S114" s="846" t="s">
        <v>3459</v>
      </c>
    </row>
    <row r="115">
      <c r="A115" s="832">
        <v>2020.0</v>
      </c>
      <c r="B115" s="838" t="s">
        <v>400</v>
      </c>
      <c r="C115" s="834" t="s">
        <v>1174</v>
      </c>
      <c r="D115" s="836" t="s">
        <v>2789</v>
      </c>
      <c r="E115" s="837" t="s">
        <v>578</v>
      </c>
      <c r="F115" s="838" t="s">
        <v>2803</v>
      </c>
      <c r="G115" s="839" t="s">
        <v>2804</v>
      </c>
      <c r="H115" s="840" t="s">
        <v>84</v>
      </c>
      <c r="I115" s="840" t="s">
        <v>2806</v>
      </c>
      <c r="J115" s="841" t="s">
        <v>3460</v>
      </c>
      <c r="K115" s="842">
        <v>100000.0</v>
      </c>
      <c r="L115" s="832" t="s">
        <v>724</v>
      </c>
      <c r="M115" s="832"/>
      <c r="N115" s="832"/>
      <c r="O115" s="840" t="s">
        <v>1175</v>
      </c>
      <c r="P115" s="843"/>
      <c r="Q115" s="182" t="s">
        <v>2810</v>
      </c>
      <c r="R115" s="836"/>
      <c r="S115" s="846" t="s">
        <v>3461</v>
      </c>
    </row>
    <row r="116">
      <c r="A116" s="832">
        <v>2019.0</v>
      </c>
      <c r="B116" s="840" t="s">
        <v>297</v>
      </c>
      <c r="C116" s="182" t="s">
        <v>3462</v>
      </c>
      <c r="D116" s="836" t="s">
        <v>3463</v>
      </c>
      <c r="E116" s="848">
        <v>7.1220009E7</v>
      </c>
      <c r="F116" s="840" t="s">
        <v>2836</v>
      </c>
      <c r="G116" s="839" t="s">
        <v>2804</v>
      </c>
      <c r="H116" s="832" t="s">
        <v>84</v>
      </c>
      <c r="I116" s="840" t="s">
        <v>2806</v>
      </c>
      <c r="J116" s="843"/>
      <c r="K116" s="849">
        <v>250000.0</v>
      </c>
      <c r="L116" s="840" t="s">
        <v>389</v>
      </c>
      <c r="M116" s="840" t="s">
        <v>2829</v>
      </c>
      <c r="N116" s="843"/>
      <c r="O116" s="840" t="s">
        <v>3096</v>
      </c>
      <c r="P116" s="832" t="s">
        <v>1175</v>
      </c>
      <c r="Q116" s="182" t="s">
        <v>705</v>
      </c>
      <c r="R116" s="850" t="s">
        <v>2032</v>
      </c>
      <c r="S116" s="836" t="s">
        <v>3464</v>
      </c>
    </row>
    <row r="117">
      <c r="A117" s="832">
        <v>2020.0</v>
      </c>
      <c r="B117" s="838" t="s">
        <v>298</v>
      </c>
      <c r="C117" s="834" t="s">
        <v>815</v>
      </c>
      <c r="D117" s="836" t="s">
        <v>2789</v>
      </c>
      <c r="E117" s="916" t="s">
        <v>578</v>
      </c>
      <c r="F117" s="838" t="s">
        <v>2803</v>
      </c>
      <c r="G117" s="839" t="s">
        <v>2804</v>
      </c>
      <c r="H117" s="832" t="s">
        <v>84</v>
      </c>
      <c r="I117" s="840" t="s">
        <v>2806</v>
      </c>
      <c r="J117" s="841" t="s">
        <v>3465</v>
      </c>
      <c r="K117" s="842">
        <v>50000.0</v>
      </c>
      <c r="L117" s="832" t="s">
        <v>724</v>
      </c>
      <c r="M117" s="832"/>
      <c r="N117" s="832"/>
      <c r="O117" s="840" t="s">
        <v>1175</v>
      </c>
      <c r="P117" s="843"/>
      <c r="Q117" s="182" t="s">
        <v>2810</v>
      </c>
      <c r="R117" s="836"/>
      <c r="S117" s="846" t="s">
        <v>3466</v>
      </c>
    </row>
    <row r="118">
      <c r="A118" s="832">
        <v>2020.0</v>
      </c>
      <c r="B118" s="832" t="s">
        <v>966</v>
      </c>
      <c r="C118" s="182" t="s">
        <v>2824</v>
      </c>
      <c r="D118" s="832" t="s">
        <v>3467</v>
      </c>
      <c r="E118" s="848">
        <v>4.1160001E7</v>
      </c>
      <c r="F118" s="840" t="s">
        <v>2826</v>
      </c>
      <c r="G118" s="839" t="s">
        <v>2827</v>
      </c>
      <c r="H118" s="832" t="s">
        <v>84</v>
      </c>
      <c r="I118" s="840" t="s">
        <v>2806</v>
      </c>
      <c r="J118" s="832">
        <v>3.6000315606202E16</v>
      </c>
      <c r="K118" s="849">
        <v>100000.0</v>
      </c>
      <c r="L118" s="840" t="s">
        <v>89</v>
      </c>
      <c r="M118" s="840" t="s">
        <v>2829</v>
      </c>
      <c r="N118" s="832"/>
      <c r="O118" s="832" t="s">
        <v>3468</v>
      </c>
      <c r="P118" s="832" t="s">
        <v>1175</v>
      </c>
      <c r="Q118" s="182" t="s">
        <v>2831</v>
      </c>
      <c r="R118" s="850" t="s">
        <v>2043</v>
      </c>
      <c r="S118" s="836" t="s">
        <v>3469</v>
      </c>
    </row>
    <row r="119">
      <c r="A119" s="895">
        <v>2019.0</v>
      </c>
      <c r="B119" s="959" t="s">
        <v>3470</v>
      </c>
      <c r="C119" s="934" t="s">
        <v>3471</v>
      </c>
      <c r="D119" s="963" t="s">
        <v>3472</v>
      </c>
      <c r="E119" s="898"/>
      <c r="F119" s="840" t="s">
        <v>2866</v>
      </c>
      <c r="G119" s="899" t="s">
        <v>3011</v>
      </c>
      <c r="H119" s="895" t="s">
        <v>152</v>
      </c>
      <c r="I119" s="895" t="s">
        <v>3014</v>
      </c>
      <c r="J119" s="900" t="s">
        <v>3015</v>
      </c>
      <c r="K119" s="716"/>
      <c r="L119" s="840" t="s">
        <v>389</v>
      </c>
      <c r="M119" s="895" t="s">
        <v>3017</v>
      </c>
      <c r="N119" s="182"/>
      <c r="O119" s="182"/>
      <c r="P119" s="133"/>
      <c r="Q119" s="895" t="s">
        <v>1065</v>
      </c>
      <c r="R119" s="961" t="s">
        <v>3473</v>
      </c>
      <c r="S119" s="903" t="s">
        <v>3474</v>
      </c>
    </row>
    <row r="120">
      <c r="A120" s="832">
        <v>2020.0</v>
      </c>
      <c r="B120" s="838" t="s">
        <v>982</v>
      </c>
      <c r="C120" s="851" t="s">
        <v>1221</v>
      </c>
      <c r="D120" s="832" t="s">
        <v>2789</v>
      </c>
      <c r="E120" s="832">
        <v>4.1160005E7</v>
      </c>
      <c r="F120" s="840" t="s">
        <v>2836</v>
      </c>
      <c r="G120" s="182" t="s">
        <v>2804</v>
      </c>
      <c r="H120" s="832" t="s">
        <v>84</v>
      </c>
      <c r="I120" s="840" t="s">
        <v>2806</v>
      </c>
      <c r="J120" s="840">
        <v>3.6000317672202E16</v>
      </c>
      <c r="K120" s="876">
        <v>100000.0</v>
      </c>
      <c r="L120" s="840" t="s">
        <v>89</v>
      </c>
      <c r="M120" s="840" t="s">
        <v>2829</v>
      </c>
      <c r="N120" s="843"/>
      <c r="O120" s="840" t="s">
        <v>3096</v>
      </c>
      <c r="P120" s="832" t="s">
        <v>1175</v>
      </c>
      <c r="Q120" s="182" t="s">
        <v>705</v>
      </c>
      <c r="R120" s="850" t="s">
        <v>2048</v>
      </c>
      <c r="S120" s="836" t="s">
        <v>3475</v>
      </c>
    </row>
    <row r="121">
      <c r="A121" s="964"/>
      <c r="C121" s="965"/>
      <c r="F121" s="964"/>
      <c r="G121" s="966"/>
      <c r="H121" s="964"/>
      <c r="I121" s="964"/>
      <c r="K121" s="964"/>
      <c r="L121" s="9"/>
      <c r="M121" s="9"/>
      <c r="Q121" s="965"/>
      <c r="R121" s="967"/>
    </row>
    <row r="122">
      <c r="A122" s="964"/>
      <c r="C122" s="965"/>
      <c r="F122" s="964"/>
      <c r="G122" s="966"/>
      <c r="H122" s="964"/>
      <c r="I122" s="964"/>
      <c r="K122" s="964"/>
      <c r="L122" s="9"/>
      <c r="M122" s="9"/>
      <c r="Q122" s="965"/>
      <c r="R122" s="967"/>
    </row>
    <row r="123">
      <c r="A123" s="964"/>
      <c r="C123" s="965"/>
      <c r="F123" s="964"/>
      <c r="G123" s="966"/>
      <c r="H123" s="964"/>
      <c r="I123" s="964"/>
      <c r="K123" s="964"/>
      <c r="L123" s="9"/>
      <c r="M123" s="9"/>
      <c r="Q123" s="965"/>
      <c r="R123" s="967"/>
    </row>
    <row r="124">
      <c r="A124" s="964"/>
      <c r="C124" s="965"/>
      <c r="F124" s="964"/>
      <c r="G124" s="966"/>
      <c r="H124" s="964"/>
      <c r="I124" s="964"/>
      <c r="K124" s="964"/>
      <c r="L124" s="9"/>
      <c r="M124" s="9"/>
      <c r="Q124" s="965"/>
      <c r="R124" s="967"/>
    </row>
    <row r="125">
      <c r="A125" s="964"/>
      <c r="C125" s="965"/>
      <c r="F125" s="964"/>
      <c r="G125" s="966"/>
      <c r="H125" s="964"/>
      <c r="I125" s="964"/>
      <c r="K125" s="964"/>
      <c r="L125" s="9"/>
      <c r="M125" s="9"/>
      <c r="Q125" s="965"/>
      <c r="R125" s="967"/>
    </row>
    <row r="126">
      <c r="A126" s="964"/>
      <c r="C126" s="965"/>
      <c r="F126" s="964"/>
      <c r="G126" s="966"/>
      <c r="H126" s="964"/>
      <c r="I126" s="964"/>
      <c r="K126" s="964"/>
      <c r="L126" s="9"/>
      <c r="M126" s="9"/>
      <c r="Q126" s="965"/>
      <c r="R126" s="967"/>
    </row>
    <row r="127">
      <c r="A127" s="964"/>
      <c r="C127" s="965"/>
      <c r="F127" s="964"/>
      <c r="G127" s="966"/>
      <c r="H127" s="964"/>
      <c r="I127" s="964"/>
      <c r="K127" s="964"/>
      <c r="L127" s="9"/>
      <c r="M127" s="9"/>
      <c r="Q127" s="965"/>
      <c r="R127" s="967"/>
    </row>
    <row r="128">
      <c r="A128" s="964"/>
      <c r="C128" s="965"/>
      <c r="F128" s="964"/>
      <c r="G128" s="966"/>
      <c r="H128" s="964"/>
      <c r="I128" s="964"/>
      <c r="K128" s="964"/>
      <c r="L128" s="9"/>
      <c r="M128" s="9"/>
      <c r="Q128" s="965"/>
      <c r="R128" s="967"/>
    </row>
    <row r="129">
      <c r="A129" s="964"/>
      <c r="C129" s="965"/>
      <c r="F129" s="964"/>
      <c r="G129" s="966"/>
      <c r="H129" s="964"/>
      <c r="I129" s="964"/>
      <c r="K129" s="964"/>
      <c r="L129" s="9"/>
      <c r="M129" s="9"/>
      <c r="Q129" s="965"/>
      <c r="R129" s="967"/>
    </row>
    <row r="130">
      <c r="A130" s="964"/>
      <c r="C130" s="965"/>
      <c r="F130" s="964"/>
      <c r="G130" s="966"/>
      <c r="H130" s="964"/>
      <c r="I130" s="964"/>
      <c r="K130" s="964"/>
      <c r="L130" s="9"/>
      <c r="M130" s="9"/>
      <c r="Q130" s="965"/>
      <c r="R130" s="967"/>
    </row>
    <row r="131">
      <c r="A131" s="964"/>
      <c r="C131" s="965"/>
      <c r="F131" s="964"/>
      <c r="G131" s="966"/>
      <c r="H131" s="964"/>
      <c r="I131" s="964"/>
      <c r="K131" s="964"/>
      <c r="L131" s="9"/>
      <c r="M131" s="9"/>
      <c r="Q131" s="965"/>
      <c r="R131" s="967"/>
    </row>
    <row r="132">
      <c r="A132" s="964"/>
      <c r="C132" s="965"/>
      <c r="F132" s="964"/>
      <c r="G132" s="966"/>
      <c r="H132" s="964"/>
      <c r="I132" s="964"/>
      <c r="K132" s="964"/>
      <c r="L132" s="9"/>
      <c r="M132" s="9"/>
      <c r="Q132" s="965"/>
      <c r="R132" s="967"/>
    </row>
    <row r="133">
      <c r="A133" s="964"/>
      <c r="C133" s="965"/>
      <c r="F133" s="964"/>
      <c r="G133" s="966"/>
      <c r="H133" s="964"/>
      <c r="I133" s="964"/>
      <c r="K133" s="964"/>
      <c r="L133" s="9"/>
      <c r="M133" s="9"/>
      <c r="Q133" s="965"/>
      <c r="R133" s="967"/>
    </row>
    <row r="134">
      <c r="A134" s="964"/>
      <c r="C134" s="965"/>
      <c r="F134" s="964"/>
      <c r="G134" s="966"/>
      <c r="H134" s="964"/>
      <c r="I134" s="964"/>
      <c r="K134" s="964"/>
      <c r="L134" s="9"/>
      <c r="M134" s="9"/>
      <c r="Q134" s="965"/>
      <c r="R134" s="967"/>
    </row>
    <row r="135">
      <c r="A135" s="964"/>
      <c r="C135" s="965"/>
      <c r="F135" s="964"/>
      <c r="G135" s="966"/>
      <c r="H135" s="964"/>
      <c r="I135" s="964"/>
      <c r="K135" s="964"/>
      <c r="L135" s="9"/>
      <c r="M135" s="9"/>
      <c r="Q135" s="965"/>
      <c r="R135" s="967"/>
    </row>
    <row r="136">
      <c r="A136" s="964"/>
      <c r="C136" s="965"/>
      <c r="F136" s="964"/>
      <c r="G136" s="966"/>
      <c r="H136" s="964"/>
      <c r="I136" s="964"/>
      <c r="K136" s="964"/>
      <c r="L136" s="9"/>
      <c r="M136" s="9"/>
      <c r="Q136" s="965"/>
      <c r="R136" s="967"/>
    </row>
    <row r="137">
      <c r="A137" s="964"/>
      <c r="C137" s="965"/>
      <c r="F137" s="964"/>
      <c r="G137" s="966"/>
      <c r="H137" s="964"/>
      <c r="I137" s="964"/>
      <c r="K137" s="964"/>
      <c r="L137" s="9"/>
      <c r="M137" s="9"/>
      <c r="Q137" s="965"/>
      <c r="R137" s="967"/>
    </row>
    <row r="138">
      <c r="A138" s="964"/>
      <c r="C138" s="965"/>
      <c r="F138" s="964"/>
      <c r="G138" s="966"/>
      <c r="H138" s="964"/>
      <c r="I138" s="964"/>
      <c r="K138" s="964"/>
      <c r="L138" s="9"/>
      <c r="M138" s="9"/>
      <c r="Q138" s="965"/>
      <c r="R138" s="967"/>
    </row>
    <row r="139">
      <c r="A139" s="964"/>
      <c r="C139" s="965"/>
      <c r="F139" s="964"/>
      <c r="G139" s="966"/>
      <c r="H139" s="964"/>
      <c r="I139" s="964"/>
      <c r="K139" s="964"/>
      <c r="L139" s="9"/>
      <c r="M139" s="9"/>
      <c r="Q139" s="965"/>
      <c r="R139" s="967"/>
    </row>
    <row r="140">
      <c r="A140" s="964"/>
      <c r="C140" s="965"/>
      <c r="F140" s="964"/>
      <c r="G140" s="966"/>
      <c r="H140" s="964"/>
      <c r="I140" s="964"/>
      <c r="K140" s="964"/>
      <c r="L140" s="9"/>
      <c r="M140" s="9"/>
      <c r="Q140" s="965"/>
      <c r="R140" s="967"/>
    </row>
    <row r="141">
      <c r="A141" s="964"/>
      <c r="C141" s="965"/>
      <c r="F141" s="964"/>
      <c r="G141" s="966"/>
      <c r="H141" s="964"/>
      <c r="I141" s="964"/>
      <c r="K141" s="964"/>
      <c r="L141" s="9"/>
      <c r="M141" s="9"/>
      <c r="Q141" s="965"/>
      <c r="R141" s="967"/>
    </row>
    <row r="142">
      <c r="A142" s="964"/>
      <c r="C142" s="965"/>
      <c r="F142" s="964"/>
      <c r="G142" s="966"/>
      <c r="H142" s="964"/>
      <c r="I142" s="964"/>
      <c r="K142" s="964"/>
      <c r="L142" s="9"/>
      <c r="M142" s="9"/>
      <c r="Q142" s="965"/>
      <c r="R142" s="967"/>
    </row>
    <row r="143">
      <c r="A143" s="964"/>
      <c r="C143" s="965"/>
      <c r="F143" s="964"/>
      <c r="G143" s="966"/>
      <c r="H143" s="964"/>
      <c r="I143" s="964"/>
      <c r="K143" s="964"/>
      <c r="L143" s="9"/>
      <c r="M143" s="9"/>
      <c r="Q143" s="965"/>
      <c r="R143" s="967"/>
    </row>
    <row r="144">
      <c r="A144" s="964"/>
      <c r="C144" s="965"/>
      <c r="F144" s="964"/>
      <c r="G144" s="966"/>
      <c r="H144" s="964"/>
      <c r="I144" s="964"/>
      <c r="K144" s="964"/>
      <c r="L144" s="9"/>
      <c r="M144" s="9"/>
      <c r="Q144" s="965"/>
      <c r="R144" s="967"/>
    </row>
    <row r="145">
      <c r="A145" s="964"/>
      <c r="C145" s="965"/>
      <c r="F145" s="964"/>
      <c r="G145" s="966"/>
      <c r="H145" s="964"/>
      <c r="I145" s="964"/>
      <c r="K145" s="964"/>
      <c r="L145" s="9"/>
      <c r="M145" s="9"/>
      <c r="Q145" s="965"/>
      <c r="R145" s="967"/>
    </row>
    <row r="146">
      <c r="A146" s="964"/>
      <c r="C146" s="965"/>
      <c r="F146" s="964"/>
      <c r="G146" s="966"/>
      <c r="H146" s="964"/>
      <c r="I146" s="964"/>
      <c r="K146" s="964"/>
      <c r="L146" s="9"/>
      <c r="M146" s="9"/>
      <c r="Q146" s="965"/>
      <c r="R146" s="967"/>
    </row>
    <row r="147">
      <c r="A147" s="964"/>
      <c r="C147" s="965"/>
      <c r="F147" s="964"/>
      <c r="G147" s="966"/>
      <c r="H147" s="964"/>
      <c r="I147" s="964"/>
      <c r="K147" s="964"/>
      <c r="L147" s="9"/>
      <c r="M147" s="9"/>
      <c r="Q147" s="965"/>
      <c r="R147" s="967"/>
    </row>
    <row r="148">
      <c r="A148" s="964"/>
      <c r="C148" s="965"/>
      <c r="F148" s="964"/>
      <c r="G148" s="966"/>
      <c r="H148" s="964"/>
      <c r="I148" s="964"/>
      <c r="K148" s="964"/>
      <c r="L148" s="9"/>
      <c r="M148" s="9"/>
      <c r="Q148" s="965"/>
      <c r="R148" s="967"/>
    </row>
    <row r="149">
      <c r="A149" s="964"/>
      <c r="C149" s="965"/>
      <c r="F149" s="964"/>
      <c r="G149" s="966"/>
      <c r="H149" s="964"/>
      <c r="I149" s="964"/>
      <c r="K149" s="964"/>
      <c r="L149" s="9"/>
      <c r="M149" s="9"/>
      <c r="Q149" s="965"/>
      <c r="R149" s="967"/>
    </row>
    <row r="150">
      <c r="A150" s="964"/>
      <c r="C150" s="965"/>
      <c r="F150" s="964"/>
      <c r="G150" s="966"/>
      <c r="H150" s="964"/>
      <c r="I150" s="964"/>
      <c r="K150" s="964"/>
      <c r="L150" s="9"/>
      <c r="M150" s="9"/>
      <c r="Q150" s="965"/>
      <c r="R150" s="967"/>
    </row>
    <row r="151">
      <c r="A151" s="964"/>
      <c r="C151" s="965"/>
      <c r="F151" s="964"/>
      <c r="G151" s="966"/>
      <c r="H151" s="964"/>
      <c r="I151" s="964"/>
      <c r="K151" s="964"/>
      <c r="L151" s="9"/>
      <c r="M151" s="9"/>
      <c r="Q151" s="965"/>
      <c r="R151" s="967"/>
    </row>
    <row r="152">
      <c r="A152" s="964"/>
      <c r="C152" s="965"/>
      <c r="F152" s="964"/>
      <c r="G152" s="966"/>
      <c r="H152" s="964"/>
      <c r="I152" s="964"/>
      <c r="K152" s="964"/>
      <c r="L152" s="9"/>
      <c r="M152" s="9"/>
      <c r="Q152" s="965"/>
      <c r="R152" s="967"/>
    </row>
    <row r="153">
      <c r="A153" s="964"/>
      <c r="C153" s="965"/>
      <c r="F153" s="964"/>
      <c r="G153" s="966"/>
      <c r="H153" s="964"/>
      <c r="I153" s="964"/>
      <c r="K153" s="964"/>
      <c r="L153" s="9"/>
      <c r="M153" s="9"/>
      <c r="Q153" s="965"/>
      <c r="R153" s="967"/>
    </row>
    <row r="154">
      <c r="A154" s="964"/>
      <c r="C154" s="965"/>
      <c r="F154" s="964"/>
      <c r="G154" s="966"/>
      <c r="H154" s="964"/>
      <c r="I154" s="964"/>
      <c r="K154" s="964"/>
      <c r="L154" s="9"/>
      <c r="M154" s="9"/>
      <c r="Q154" s="965"/>
      <c r="R154" s="967"/>
    </row>
    <row r="155">
      <c r="A155" s="964"/>
      <c r="C155" s="965"/>
      <c r="F155" s="964"/>
      <c r="G155" s="966"/>
      <c r="H155" s="964"/>
      <c r="I155" s="964"/>
      <c r="K155" s="964"/>
      <c r="L155" s="9"/>
      <c r="M155" s="9"/>
      <c r="Q155" s="965"/>
      <c r="R155" s="967"/>
    </row>
    <row r="156">
      <c r="A156" s="964"/>
      <c r="C156" s="965"/>
      <c r="F156" s="964"/>
      <c r="G156" s="966"/>
      <c r="H156" s="964"/>
      <c r="I156" s="964"/>
      <c r="K156" s="964"/>
      <c r="L156" s="9"/>
      <c r="M156" s="9"/>
      <c r="Q156" s="965"/>
      <c r="R156" s="967"/>
    </row>
    <row r="157">
      <c r="A157" s="964"/>
      <c r="C157" s="965"/>
      <c r="F157" s="964"/>
      <c r="G157" s="966"/>
      <c r="H157" s="964"/>
      <c r="I157" s="964"/>
      <c r="K157" s="964"/>
      <c r="L157" s="9"/>
      <c r="M157" s="9"/>
      <c r="Q157" s="965"/>
      <c r="R157" s="967"/>
    </row>
    <row r="158">
      <c r="A158" s="964"/>
      <c r="C158" s="965"/>
      <c r="F158" s="964"/>
      <c r="G158" s="966"/>
      <c r="H158" s="964"/>
      <c r="I158" s="964"/>
      <c r="K158" s="964"/>
      <c r="L158" s="9"/>
      <c r="M158" s="9"/>
      <c r="Q158" s="965"/>
      <c r="R158" s="967"/>
    </row>
    <row r="159">
      <c r="A159" s="964"/>
      <c r="C159" s="965"/>
      <c r="F159" s="964"/>
      <c r="G159" s="966"/>
      <c r="H159" s="964"/>
      <c r="I159" s="964"/>
      <c r="K159" s="964"/>
      <c r="L159" s="9"/>
      <c r="M159" s="9"/>
      <c r="Q159" s="965"/>
      <c r="R159" s="967"/>
    </row>
    <row r="160">
      <c r="A160" s="964"/>
      <c r="C160" s="965"/>
      <c r="F160" s="964"/>
      <c r="G160" s="966"/>
      <c r="H160" s="964"/>
      <c r="I160" s="964"/>
      <c r="K160" s="964"/>
      <c r="L160" s="9"/>
      <c r="M160" s="9"/>
      <c r="Q160" s="965"/>
      <c r="R160" s="967"/>
    </row>
    <row r="161">
      <c r="A161" s="964"/>
      <c r="C161" s="965"/>
      <c r="F161" s="964"/>
      <c r="G161" s="966"/>
      <c r="H161" s="964"/>
      <c r="I161" s="964"/>
      <c r="K161" s="964"/>
      <c r="L161" s="9"/>
      <c r="M161" s="9"/>
      <c r="Q161" s="965"/>
      <c r="R161" s="967"/>
    </row>
    <row r="162">
      <c r="A162" s="964"/>
      <c r="C162" s="965"/>
      <c r="F162" s="964"/>
      <c r="G162" s="966"/>
      <c r="H162" s="964"/>
      <c r="I162" s="964"/>
      <c r="K162" s="964"/>
      <c r="L162" s="9"/>
      <c r="M162" s="9"/>
      <c r="Q162" s="965"/>
      <c r="R162" s="967"/>
    </row>
    <row r="163">
      <c r="A163" s="964"/>
      <c r="C163" s="965"/>
      <c r="F163" s="964"/>
      <c r="G163" s="966"/>
      <c r="H163" s="964"/>
      <c r="I163" s="964"/>
      <c r="K163" s="964"/>
      <c r="L163" s="9"/>
      <c r="M163" s="9"/>
      <c r="Q163" s="965"/>
      <c r="R163" s="967"/>
    </row>
    <row r="164">
      <c r="A164" s="964"/>
      <c r="C164" s="965"/>
      <c r="F164" s="964"/>
      <c r="G164" s="966"/>
      <c r="H164" s="964"/>
      <c r="I164" s="964"/>
      <c r="K164" s="964"/>
      <c r="L164" s="9"/>
      <c r="M164" s="9"/>
      <c r="Q164" s="965"/>
      <c r="R164" s="967"/>
    </row>
    <row r="165">
      <c r="A165" s="964"/>
      <c r="C165" s="965"/>
      <c r="F165" s="964"/>
      <c r="G165" s="966"/>
      <c r="H165" s="964"/>
      <c r="I165" s="964"/>
      <c r="K165" s="964"/>
      <c r="L165" s="9"/>
      <c r="M165" s="9"/>
      <c r="Q165" s="965"/>
      <c r="R165" s="967"/>
    </row>
    <row r="166">
      <c r="A166" s="964"/>
      <c r="C166" s="965"/>
      <c r="F166" s="964"/>
      <c r="G166" s="966"/>
      <c r="H166" s="964"/>
      <c r="I166" s="964"/>
      <c r="K166" s="964"/>
      <c r="L166" s="9"/>
      <c r="M166" s="9"/>
      <c r="Q166" s="965"/>
      <c r="R166" s="967"/>
    </row>
    <row r="167">
      <c r="A167" s="964"/>
      <c r="C167" s="965"/>
      <c r="F167" s="964"/>
      <c r="G167" s="966"/>
      <c r="H167" s="964"/>
      <c r="I167" s="964"/>
      <c r="K167" s="964"/>
      <c r="L167" s="9"/>
      <c r="M167" s="9"/>
      <c r="Q167" s="965"/>
      <c r="R167" s="967"/>
    </row>
    <row r="168">
      <c r="A168" s="964"/>
      <c r="C168" s="965"/>
      <c r="F168" s="964"/>
      <c r="G168" s="966"/>
      <c r="H168" s="964"/>
      <c r="I168" s="964"/>
      <c r="K168" s="964"/>
      <c r="L168" s="9"/>
      <c r="M168" s="9"/>
      <c r="Q168" s="965"/>
      <c r="R168" s="967"/>
    </row>
    <row r="169">
      <c r="A169" s="964"/>
      <c r="C169" s="965"/>
      <c r="F169" s="964"/>
      <c r="G169" s="966"/>
      <c r="H169" s="964"/>
      <c r="I169" s="964"/>
      <c r="K169" s="964"/>
      <c r="L169" s="9"/>
      <c r="M169" s="9"/>
      <c r="Q169" s="965"/>
      <c r="R169" s="967"/>
    </row>
    <row r="170">
      <c r="A170" s="964"/>
      <c r="C170" s="965"/>
      <c r="F170" s="964"/>
      <c r="G170" s="966"/>
      <c r="H170" s="964"/>
      <c r="I170" s="964"/>
      <c r="K170" s="964"/>
      <c r="L170" s="9"/>
      <c r="M170" s="9"/>
      <c r="Q170" s="965"/>
      <c r="R170" s="967"/>
    </row>
    <row r="171">
      <c r="A171" s="964"/>
      <c r="C171" s="965"/>
      <c r="F171" s="964"/>
      <c r="G171" s="966"/>
      <c r="H171" s="964"/>
      <c r="I171" s="964"/>
      <c r="K171" s="964"/>
      <c r="L171" s="9"/>
      <c r="M171" s="9"/>
      <c r="Q171" s="965"/>
      <c r="R171" s="967"/>
    </row>
    <row r="172">
      <c r="A172" s="964"/>
      <c r="C172" s="965"/>
      <c r="F172" s="964"/>
      <c r="G172" s="966"/>
      <c r="H172" s="964"/>
      <c r="I172" s="964"/>
      <c r="K172" s="964"/>
      <c r="L172" s="9"/>
      <c r="M172" s="9"/>
      <c r="Q172" s="965"/>
      <c r="R172" s="967"/>
    </row>
    <row r="173">
      <c r="A173" s="964"/>
      <c r="C173" s="965"/>
      <c r="F173" s="964"/>
      <c r="G173" s="966"/>
      <c r="H173" s="964"/>
      <c r="I173" s="964"/>
      <c r="K173" s="964"/>
      <c r="L173" s="9"/>
      <c r="M173" s="9"/>
      <c r="Q173" s="965"/>
      <c r="R173" s="967"/>
    </row>
    <row r="174">
      <c r="A174" s="964"/>
      <c r="C174" s="965"/>
      <c r="F174" s="964"/>
      <c r="G174" s="966"/>
      <c r="H174" s="964"/>
      <c r="I174" s="964"/>
      <c r="K174" s="964"/>
      <c r="L174" s="9"/>
      <c r="M174" s="9"/>
      <c r="Q174" s="965"/>
      <c r="R174" s="967"/>
    </row>
    <row r="175">
      <c r="A175" s="964"/>
      <c r="C175" s="965"/>
      <c r="F175" s="964"/>
      <c r="G175" s="966"/>
      <c r="H175" s="964"/>
      <c r="I175" s="964"/>
      <c r="K175" s="964"/>
      <c r="L175" s="9"/>
      <c r="M175" s="9"/>
      <c r="Q175" s="965"/>
      <c r="R175" s="967"/>
    </row>
    <row r="176">
      <c r="A176" s="964"/>
      <c r="C176" s="965"/>
      <c r="F176" s="964"/>
      <c r="G176" s="966"/>
      <c r="H176" s="964"/>
      <c r="I176" s="964"/>
      <c r="K176" s="964"/>
      <c r="L176" s="9"/>
      <c r="M176" s="9"/>
      <c r="Q176" s="965"/>
      <c r="R176" s="967"/>
    </row>
    <row r="177">
      <c r="A177" s="964"/>
      <c r="C177" s="965"/>
      <c r="F177" s="964"/>
      <c r="G177" s="966"/>
      <c r="H177" s="964"/>
      <c r="I177" s="964"/>
      <c r="K177" s="964"/>
      <c r="L177" s="9"/>
      <c r="M177" s="9"/>
      <c r="Q177" s="965"/>
      <c r="R177" s="967"/>
    </row>
    <row r="178">
      <c r="A178" s="964"/>
      <c r="C178" s="965"/>
      <c r="F178" s="964"/>
      <c r="G178" s="966"/>
      <c r="H178" s="964"/>
      <c r="I178" s="964"/>
      <c r="K178" s="964"/>
      <c r="L178" s="9"/>
      <c r="M178" s="9"/>
      <c r="Q178" s="965"/>
      <c r="R178" s="967"/>
    </row>
    <row r="179">
      <c r="A179" s="964"/>
      <c r="C179" s="965"/>
      <c r="F179" s="964"/>
      <c r="G179" s="966"/>
      <c r="H179" s="964"/>
      <c r="I179" s="964"/>
      <c r="K179" s="964"/>
      <c r="L179" s="9"/>
      <c r="M179" s="9"/>
      <c r="Q179" s="965"/>
      <c r="R179" s="967"/>
    </row>
    <row r="180">
      <c r="A180" s="964"/>
      <c r="C180" s="965"/>
      <c r="F180" s="964"/>
      <c r="G180" s="966"/>
      <c r="H180" s="964"/>
      <c r="I180" s="964"/>
      <c r="K180" s="964"/>
      <c r="L180" s="9"/>
      <c r="M180" s="9"/>
      <c r="Q180" s="965"/>
      <c r="R180" s="967"/>
    </row>
    <row r="181">
      <c r="A181" s="964"/>
      <c r="C181" s="965"/>
      <c r="F181" s="964"/>
      <c r="G181" s="966"/>
      <c r="H181" s="964"/>
      <c r="I181" s="964"/>
      <c r="K181" s="964"/>
      <c r="L181" s="9"/>
      <c r="M181" s="9"/>
      <c r="Q181" s="965"/>
      <c r="R181" s="967"/>
    </row>
    <row r="182">
      <c r="A182" s="964"/>
      <c r="C182" s="965"/>
      <c r="F182" s="964"/>
      <c r="G182" s="966"/>
      <c r="H182" s="964"/>
      <c r="I182" s="964"/>
      <c r="K182" s="964"/>
      <c r="L182" s="9"/>
      <c r="M182" s="9"/>
      <c r="Q182" s="965"/>
      <c r="R182" s="967"/>
    </row>
    <row r="183">
      <c r="A183" s="964"/>
      <c r="C183" s="965"/>
      <c r="F183" s="964"/>
      <c r="G183" s="966"/>
      <c r="H183" s="964"/>
      <c r="I183" s="964"/>
      <c r="K183" s="964"/>
      <c r="L183" s="9"/>
      <c r="M183" s="9"/>
      <c r="Q183" s="965"/>
      <c r="R183" s="967"/>
    </row>
    <row r="184">
      <c r="A184" s="964"/>
      <c r="C184" s="965"/>
      <c r="F184" s="964"/>
      <c r="G184" s="966"/>
      <c r="H184" s="964"/>
      <c r="I184" s="964"/>
      <c r="K184" s="964"/>
      <c r="L184" s="9"/>
      <c r="M184" s="9"/>
      <c r="Q184" s="965"/>
      <c r="R184" s="967"/>
    </row>
    <row r="185">
      <c r="A185" s="964"/>
      <c r="C185" s="965"/>
      <c r="F185" s="964"/>
      <c r="G185" s="966"/>
      <c r="H185" s="964"/>
      <c r="I185" s="964"/>
      <c r="K185" s="964"/>
      <c r="L185" s="9"/>
      <c r="M185" s="9"/>
      <c r="Q185" s="965"/>
      <c r="R185" s="967"/>
    </row>
    <row r="186">
      <c r="A186" s="964"/>
      <c r="C186" s="965"/>
      <c r="F186" s="964"/>
      <c r="G186" s="966"/>
      <c r="H186" s="964"/>
      <c r="I186" s="964"/>
      <c r="K186" s="964"/>
      <c r="L186" s="9"/>
      <c r="M186" s="9"/>
      <c r="Q186" s="965"/>
      <c r="R186" s="967"/>
    </row>
    <row r="187">
      <c r="A187" s="964"/>
      <c r="C187" s="965"/>
      <c r="F187" s="964"/>
      <c r="G187" s="966"/>
      <c r="H187" s="964"/>
      <c r="I187" s="964"/>
      <c r="K187" s="964"/>
      <c r="L187" s="9"/>
      <c r="M187" s="9"/>
      <c r="Q187" s="965"/>
      <c r="R187" s="967"/>
    </row>
    <row r="188">
      <c r="A188" s="964"/>
      <c r="C188" s="965"/>
      <c r="F188" s="964"/>
      <c r="G188" s="966"/>
      <c r="H188" s="964"/>
      <c r="I188" s="964"/>
      <c r="K188" s="964"/>
      <c r="L188" s="9"/>
      <c r="M188" s="9"/>
      <c r="Q188" s="965"/>
      <c r="R188" s="967"/>
    </row>
    <row r="189">
      <c r="A189" s="964"/>
      <c r="C189" s="965"/>
      <c r="F189" s="964"/>
      <c r="G189" s="966"/>
      <c r="H189" s="964"/>
      <c r="I189" s="964"/>
      <c r="K189" s="964"/>
      <c r="L189" s="9"/>
      <c r="M189" s="9"/>
      <c r="Q189" s="965"/>
      <c r="R189" s="967"/>
    </row>
    <row r="190">
      <c r="A190" s="964"/>
      <c r="C190" s="965"/>
      <c r="F190" s="964"/>
      <c r="G190" s="966"/>
      <c r="H190" s="964"/>
      <c r="I190" s="964"/>
      <c r="K190" s="964"/>
      <c r="L190" s="9"/>
      <c r="M190" s="9"/>
      <c r="Q190" s="965"/>
      <c r="R190" s="967"/>
    </row>
    <row r="191">
      <c r="A191" s="964"/>
      <c r="C191" s="965"/>
      <c r="F191" s="964"/>
      <c r="G191" s="966"/>
      <c r="H191" s="964"/>
      <c r="I191" s="964"/>
      <c r="K191" s="964"/>
      <c r="L191" s="9"/>
      <c r="M191" s="9"/>
      <c r="Q191" s="965"/>
      <c r="R191" s="967"/>
    </row>
    <row r="192">
      <c r="A192" s="964"/>
      <c r="C192" s="965"/>
      <c r="F192" s="964"/>
      <c r="G192" s="966"/>
      <c r="H192" s="964"/>
      <c r="I192" s="964"/>
      <c r="K192" s="964"/>
      <c r="L192" s="9"/>
      <c r="M192" s="9"/>
      <c r="Q192" s="965"/>
      <c r="R192" s="967"/>
    </row>
    <row r="193">
      <c r="A193" s="964"/>
      <c r="C193" s="965"/>
      <c r="F193" s="964"/>
      <c r="G193" s="966"/>
      <c r="H193" s="964"/>
      <c r="I193" s="964"/>
      <c r="K193" s="964"/>
      <c r="L193" s="9"/>
      <c r="M193" s="9"/>
      <c r="Q193" s="965"/>
      <c r="R193" s="967"/>
    </row>
    <row r="194">
      <c r="A194" s="964"/>
      <c r="C194" s="965"/>
      <c r="F194" s="964"/>
      <c r="G194" s="966"/>
      <c r="H194" s="964"/>
      <c r="I194" s="964"/>
      <c r="K194" s="964"/>
      <c r="L194" s="9"/>
      <c r="M194" s="9"/>
      <c r="Q194" s="965"/>
      <c r="R194" s="967"/>
    </row>
    <row r="195">
      <c r="A195" s="964"/>
      <c r="C195" s="965"/>
      <c r="F195" s="964"/>
      <c r="G195" s="966"/>
      <c r="H195" s="964"/>
      <c r="I195" s="964"/>
      <c r="K195" s="964"/>
      <c r="L195" s="9"/>
      <c r="M195" s="9"/>
      <c r="Q195" s="965"/>
      <c r="R195" s="967"/>
    </row>
    <row r="196">
      <c r="A196" s="964"/>
      <c r="C196" s="965"/>
      <c r="F196" s="964"/>
      <c r="G196" s="966"/>
      <c r="H196" s="964"/>
      <c r="I196" s="964"/>
      <c r="K196" s="964"/>
      <c r="L196" s="9"/>
      <c r="M196" s="9"/>
      <c r="Q196" s="965"/>
      <c r="R196" s="967"/>
    </row>
    <row r="197">
      <c r="A197" s="964"/>
      <c r="C197" s="965"/>
      <c r="F197" s="964"/>
      <c r="G197" s="966"/>
      <c r="H197" s="964"/>
      <c r="I197" s="964"/>
      <c r="K197" s="964"/>
      <c r="L197" s="9"/>
      <c r="M197" s="9"/>
      <c r="Q197" s="965"/>
      <c r="R197" s="967"/>
    </row>
    <row r="198">
      <c r="A198" s="964"/>
      <c r="C198" s="965"/>
      <c r="F198" s="964"/>
      <c r="G198" s="966"/>
      <c r="H198" s="964"/>
      <c r="I198" s="964"/>
      <c r="K198" s="964"/>
      <c r="L198" s="9"/>
      <c r="M198" s="9"/>
      <c r="Q198" s="965"/>
      <c r="R198" s="967"/>
    </row>
    <row r="199">
      <c r="A199" s="964"/>
      <c r="C199" s="965"/>
      <c r="F199" s="964"/>
      <c r="G199" s="966"/>
      <c r="H199" s="964"/>
      <c r="I199" s="964"/>
      <c r="K199" s="964"/>
      <c r="L199" s="9"/>
      <c r="M199" s="9"/>
      <c r="Q199" s="965"/>
      <c r="R199" s="967"/>
    </row>
    <row r="200">
      <c r="A200" s="964"/>
      <c r="C200" s="965"/>
      <c r="F200" s="964"/>
      <c r="G200" s="966"/>
      <c r="H200" s="964"/>
      <c r="I200" s="964"/>
      <c r="K200" s="964"/>
      <c r="L200" s="9"/>
      <c r="M200" s="9"/>
      <c r="Q200" s="965"/>
      <c r="R200" s="967"/>
    </row>
    <row r="201">
      <c r="A201" s="964"/>
      <c r="C201" s="965"/>
      <c r="F201" s="964"/>
      <c r="G201" s="966"/>
      <c r="H201" s="964"/>
      <c r="I201" s="964"/>
      <c r="K201" s="964"/>
      <c r="L201" s="9"/>
      <c r="M201" s="9"/>
      <c r="Q201" s="965"/>
      <c r="R201" s="967"/>
    </row>
    <row r="202">
      <c r="A202" s="964"/>
      <c r="C202" s="965"/>
      <c r="F202" s="964"/>
      <c r="G202" s="966"/>
      <c r="H202" s="964"/>
      <c r="I202" s="964"/>
      <c r="K202" s="964"/>
      <c r="L202" s="9"/>
      <c r="M202" s="9"/>
      <c r="Q202" s="965"/>
      <c r="R202" s="967"/>
    </row>
    <row r="203">
      <c r="A203" s="964"/>
      <c r="C203" s="965"/>
      <c r="F203" s="964"/>
      <c r="G203" s="966"/>
      <c r="H203" s="964"/>
      <c r="I203" s="964"/>
      <c r="K203" s="964"/>
      <c r="L203" s="9"/>
      <c r="M203" s="9"/>
      <c r="Q203" s="965"/>
      <c r="R203" s="967"/>
    </row>
    <row r="204">
      <c r="A204" s="964"/>
      <c r="C204" s="965"/>
      <c r="F204" s="964"/>
      <c r="G204" s="966"/>
      <c r="H204" s="964"/>
      <c r="I204" s="964"/>
      <c r="K204" s="964"/>
      <c r="L204" s="9"/>
      <c r="M204" s="9"/>
      <c r="Q204" s="965"/>
      <c r="R204" s="967"/>
    </row>
    <row r="205">
      <c r="A205" s="964"/>
      <c r="C205" s="965"/>
      <c r="F205" s="964"/>
      <c r="G205" s="966"/>
      <c r="H205" s="964"/>
      <c r="I205" s="964"/>
      <c r="K205" s="964"/>
      <c r="L205" s="9"/>
      <c r="M205" s="9"/>
      <c r="Q205" s="965"/>
      <c r="R205" s="967"/>
    </row>
    <row r="206">
      <c r="A206" s="964"/>
      <c r="C206" s="965"/>
      <c r="F206" s="964"/>
      <c r="G206" s="966"/>
      <c r="H206" s="964"/>
      <c r="I206" s="964"/>
      <c r="K206" s="964"/>
      <c r="L206" s="9"/>
      <c r="M206" s="9"/>
      <c r="Q206" s="965"/>
      <c r="R206" s="967"/>
    </row>
    <row r="207">
      <c r="A207" s="964"/>
      <c r="C207" s="965"/>
      <c r="F207" s="964"/>
      <c r="G207" s="966"/>
      <c r="H207" s="964"/>
      <c r="I207" s="964"/>
      <c r="K207" s="964"/>
      <c r="L207" s="9"/>
      <c r="M207" s="9"/>
      <c r="Q207" s="965"/>
      <c r="R207" s="967"/>
    </row>
    <row r="208">
      <c r="A208" s="964"/>
      <c r="C208" s="965"/>
      <c r="F208" s="964"/>
      <c r="G208" s="966"/>
      <c r="H208" s="964"/>
      <c r="I208" s="964"/>
      <c r="K208" s="964"/>
      <c r="L208" s="9"/>
      <c r="M208" s="9"/>
      <c r="Q208" s="965"/>
      <c r="R208" s="967"/>
    </row>
    <row r="209">
      <c r="A209" s="964"/>
      <c r="C209" s="965"/>
      <c r="F209" s="964"/>
      <c r="G209" s="966"/>
      <c r="H209" s="964"/>
      <c r="I209" s="964"/>
      <c r="K209" s="964"/>
      <c r="L209" s="9"/>
      <c r="M209" s="9"/>
      <c r="Q209" s="965"/>
      <c r="R209" s="967"/>
    </row>
    <row r="210">
      <c r="A210" s="964"/>
      <c r="C210" s="965"/>
      <c r="F210" s="964"/>
      <c r="G210" s="966"/>
      <c r="H210" s="964"/>
      <c r="I210" s="964"/>
      <c r="K210" s="964"/>
      <c r="L210" s="9"/>
      <c r="M210" s="9"/>
      <c r="Q210" s="965"/>
      <c r="R210" s="967"/>
    </row>
    <row r="211">
      <c r="A211" s="964"/>
      <c r="C211" s="965"/>
      <c r="F211" s="964"/>
      <c r="G211" s="966"/>
      <c r="H211" s="964"/>
      <c r="I211" s="964"/>
      <c r="K211" s="964"/>
      <c r="L211" s="9"/>
      <c r="M211" s="9"/>
      <c r="Q211" s="965"/>
      <c r="R211" s="967"/>
    </row>
    <row r="212">
      <c r="A212" s="964"/>
      <c r="C212" s="965"/>
      <c r="F212" s="964"/>
      <c r="G212" s="966"/>
      <c r="H212" s="964"/>
      <c r="I212" s="964"/>
      <c r="K212" s="964"/>
      <c r="L212" s="9"/>
      <c r="M212" s="9"/>
      <c r="Q212" s="965"/>
      <c r="R212" s="967"/>
    </row>
    <row r="213">
      <c r="A213" s="964"/>
      <c r="C213" s="965"/>
      <c r="F213" s="964"/>
      <c r="G213" s="966"/>
      <c r="H213" s="964"/>
      <c r="I213" s="964"/>
      <c r="K213" s="964"/>
      <c r="L213" s="9"/>
      <c r="M213" s="9"/>
      <c r="Q213" s="965"/>
      <c r="R213" s="967"/>
    </row>
    <row r="214">
      <c r="A214" s="964"/>
      <c r="C214" s="965"/>
      <c r="F214" s="964"/>
      <c r="G214" s="966"/>
      <c r="H214" s="964"/>
      <c r="I214" s="964"/>
      <c r="K214" s="964"/>
      <c r="L214" s="9"/>
      <c r="M214" s="9"/>
      <c r="Q214" s="965"/>
      <c r="R214" s="967"/>
    </row>
    <row r="215">
      <c r="A215" s="964"/>
      <c r="C215" s="965"/>
      <c r="F215" s="964"/>
      <c r="G215" s="966"/>
      <c r="H215" s="964"/>
      <c r="I215" s="964"/>
      <c r="K215" s="964"/>
      <c r="L215" s="9"/>
      <c r="M215" s="9"/>
      <c r="Q215" s="965"/>
      <c r="R215" s="967"/>
    </row>
    <row r="216">
      <c r="A216" s="964"/>
      <c r="C216" s="965"/>
      <c r="F216" s="964"/>
      <c r="G216" s="966"/>
      <c r="H216" s="964"/>
      <c r="I216" s="964"/>
      <c r="K216" s="964"/>
      <c r="L216" s="9"/>
      <c r="M216" s="9"/>
      <c r="Q216" s="965"/>
      <c r="R216" s="967"/>
    </row>
    <row r="217">
      <c r="A217" s="964"/>
      <c r="C217" s="965"/>
      <c r="F217" s="964"/>
      <c r="G217" s="966"/>
      <c r="H217" s="964"/>
      <c r="I217" s="964"/>
      <c r="K217" s="964"/>
      <c r="L217" s="9"/>
      <c r="M217" s="9"/>
      <c r="Q217" s="965"/>
      <c r="R217" s="967"/>
    </row>
    <row r="218">
      <c r="A218" s="964"/>
      <c r="C218" s="965"/>
      <c r="F218" s="964"/>
      <c r="G218" s="966"/>
      <c r="H218" s="964"/>
      <c r="I218" s="964"/>
      <c r="K218" s="964"/>
      <c r="L218" s="9"/>
      <c r="M218" s="9"/>
      <c r="Q218" s="965"/>
      <c r="R218" s="967"/>
    </row>
    <row r="219">
      <c r="A219" s="964"/>
      <c r="C219" s="965"/>
      <c r="F219" s="964"/>
      <c r="G219" s="966"/>
      <c r="H219" s="964"/>
      <c r="I219" s="964"/>
      <c r="K219" s="964"/>
      <c r="L219" s="9"/>
      <c r="M219" s="9"/>
      <c r="Q219" s="965"/>
      <c r="R219" s="967"/>
    </row>
    <row r="220">
      <c r="A220" s="964"/>
      <c r="C220" s="965"/>
      <c r="F220" s="964"/>
      <c r="G220" s="966"/>
      <c r="H220" s="964"/>
      <c r="I220" s="964"/>
      <c r="K220" s="964"/>
      <c r="L220" s="9"/>
      <c r="M220" s="9"/>
      <c r="Q220" s="965"/>
      <c r="R220" s="967"/>
    </row>
    <row r="221">
      <c r="A221" s="964"/>
      <c r="C221" s="965"/>
      <c r="F221" s="964"/>
      <c r="G221" s="966"/>
      <c r="H221" s="964"/>
      <c r="I221" s="964"/>
      <c r="K221" s="964"/>
      <c r="L221" s="9"/>
      <c r="M221" s="9"/>
      <c r="Q221" s="965"/>
      <c r="R221" s="967"/>
    </row>
    <row r="222">
      <c r="A222" s="964"/>
      <c r="C222" s="965"/>
      <c r="F222" s="964"/>
      <c r="G222" s="966"/>
      <c r="H222" s="964"/>
      <c r="I222" s="964"/>
      <c r="K222" s="964"/>
      <c r="L222" s="9"/>
      <c r="M222" s="9"/>
      <c r="Q222" s="965"/>
      <c r="R222" s="967"/>
    </row>
    <row r="223">
      <c r="A223" s="964"/>
      <c r="C223" s="965"/>
      <c r="F223" s="964"/>
      <c r="G223" s="966"/>
      <c r="H223" s="964"/>
      <c r="I223" s="964"/>
      <c r="K223" s="964"/>
      <c r="L223" s="9"/>
      <c r="M223" s="9"/>
      <c r="Q223" s="965"/>
      <c r="R223" s="967"/>
    </row>
    <row r="224">
      <c r="A224" s="964"/>
      <c r="C224" s="965"/>
      <c r="F224" s="964"/>
      <c r="G224" s="966"/>
      <c r="H224" s="964"/>
      <c r="I224" s="964"/>
      <c r="K224" s="964"/>
      <c r="L224" s="9"/>
      <c r="M224" s="9"/>
      <c r="Q224" s="965"/>
      <c r="R224" s="967"/>
    </row>
    <row r="225">
      <c r="A225" s="964"/>
      <c r="C225" s="965"/>
      <c r="F225" s="964"/>
      <c r="G225" s="966"/>
      <c r="H225" s="964"/>
      <c r="I225" s="964"/>
      <c r="K225" s="964"/>
      <c r="L225" s="9"/>
      <c r="M225" s="9"/>
      <c r="Q225" s="965"/>
      <c r="R225" s="967"/>
    </row>
    <row r="226">
      <c r="A226" s="964"/>
      <c r="C226" s="965"/>
      <c r="F226" s="964"/>
      <c r="G226" s="966"/>
      <c r="H226" s="964"/>
      <c r="I226" s="964"/>
      <c r="K226" s="964"/>
      <c r="L226" s="9"/>
      <c r="M226" s="9"/>
      <c r="Q226" s="965"/>
      <c r="R226" s="967"/>
    </row>
    <row r="227">
      <c r="A227" s="964"/>
      <c r="C227" s="965"/>
      <c r="F227" s="964"/>
      <c r="G227" s="966"/>
      <c r="H227" s="964"/>
      <c r="I227" s="964"/>
      <c r="K227" s="964"/>
      <c r="L227" s="9"/>
      <c r="M227" s="9"/>
      <c r="Q227" s="965"/>
      <c r="R227" s="967"/>
    </row>
    <row r="228">
      <c r="A228" s="964"/>
      <c r="C228" s="965"/>
      <c r="F228" s="964"/>
      <c r="G228" s="966"/>
      <c r="H228" s="964"/>
      <c r="I228" s="964"/>
      <c r="K228" s="964"/>
      <c r="L228" s="9"/>
      <c r="M228" s="9"/>
      <c r="Q228" s="965"/>
      <c r="R228" s="967"/>
    </row>
    <row r="229">
      <c r="A229" s="964"/>
      <c r="C229" s="965"/>
      <c r="F229" s="964"/>
      <c r="G229" s="966"/>
      <c r="H229" s="964"/>
      <c r="I229" s="964"/>
      <c r="K229" s="964"/>
      <c r="L229" s="9"/>
      <c r="M229" s="9"/>
      <c r="Q229" s="965"/>
      <c r="R229" s="967"/>
    </row>
    <row r="230">
      <c r="A230" s="964"/>
      <c r="C230" s="965"/>
      <c r="F230" s="964"/>
      <c r="G230" s="966"/>
      <c r="H230" s="964"/>
      <c r="I230" s="964"/>
      <c r="K230" s="964"/>
      <c r="L230" s="9"/>
      <c r="M230" s="9"/>
      <c r="Q230" s="965"/>
      <c r="R230" s="967"/>
    </row>
    <row r="231">
      <c r="A231" s="964"/>
      <c r="C231" s="965"/>
      <c r="F231" s="964"/>
      <c r="G231" s="966"/>
      <c r="H231" s="964"/>
      <c r="I231" s="964"/>
      <c r="K231" s="964"/>
      <c r="L231" s="9"/>
      <c r="M231" s="9"/>
      <c r="Q231" s="965"/>
      <c r="R231" s="967"/>
    </row>
    <row r="232">
      <c r="A232" s="964"/>
      <c r="C232" s="965"/>
      <c r="F232" s="964"/>
      <c r="G232" s="966"/>
      <c r="H232" s="964"/>
      <c r="I232" s="964"/>
      <c r="K232" s="964"/>
      <c r="L232" s="9"/>
      <c r="M232" s="9"/>
      <c r="Q232" s="965"/>
      <c r="R232" s="967"/>
    </row>
    <row r="233">
      <c r="A233" s="964"/>
      <c r="C233" s="965"/>
      <c r="F233" s="964"/>
      <c r="G233" s="966"/>
      <c r="H233" s="964"/>
      <c r="I233" s="964"/>
      <c r="K233" s="964"/>
      <c r="L233" s="9"/>
      <c r="M233" s="9"/>
      <c r="Q233" s="965"/>
      <c r="R233" s="967"/>
    </row>
    <row r="234">
      <c r="A234" s="964"/>
      <c r="C234" s="965"/>
      <c r="F234" s="964"/>
      <c r="G234" s="966"/>
      <c r="H234" s="964"/>
      <c r="I234" s="964"/>
      <c r="K234" s="964"/>
      <c r="L234" s="9"/>
      <c r="M234" s="9"/>
      <c r="Q234" s="965"/>
      <c r="R234" s="967"/>
    </row>
    <row r="235">
      <c r="A235" s="964"/>
      <c r="C235" s="965"/>
      <c r="F235" s="964"/>
      <c r="G235" s="966"/>
      <c r="H235" s="964"/>
      <c r="I235" s="964"/>
      <c r="K235" s="964"/>
      <c r="L235" s="9"/>
      <c r="M235" s="9"/>
      <c r="Q235" s="965"/>
      <c r="R235" s="967"/>
    </row>
    <row r="236">
      <c r="A236" s="964"/>
      <c r="C236" s="965"/>
      <c r="F236" s="964"/>
      <c r="G236" s="966"/>
      <c r="H236" s="964"/>
      <c r="I236" s="964"/>
      <c r="K236" s="964"/>
      <c r="L236" s="9"/>
      <c r="M236" s="9"/>
      <c r="Q236" s="965"/>
      <c r="R236" s="967"/>
    </row>
    <row r="237">
      <c r="A237" s="964"/>
      <c r="C237" s="965"/>
      <c r="F237" s="964"/>
      <c r="G237" s="966"/>
      <c r="H237" s="964"/>
      <c r="I237" s="964"/>
      <c r="K237" s="964"/>
      <c r="L237" s="9"/>
      <c r="M237" s="9"/>
      <c r="Q237" s="965"/>
      <c r="R237" s="967"/>
    </row>
    <row r="238">
      <c r="A238" s="964"/>
      <c r="C238" s="965"/>
      <c r="F238" s="964"/>
      <c r="G238" s="966"/>
      <c r="H238" s="964"/>
      <c r="I238" s="964"/>
      <c r="K238" s="964"/>
      <c r="L238" s="9"/>
      <c r="M238" s="9"/>
      <c r="Q238" s="965"/>
      <c r="R238" s="967"/>
    </row>
    <row r="239">
      <c r="A239" s="964"/>
      <c r="C239" s="965"/>
      <c r="F239" s="964"/>
      <c r="G239" s="966"/>
      <c r="H239" s="964"/>
      <c r="I239" s="964"/>
      <c r="K239" s="964"/>
      <c r="L239" s="9"/>
      <c r="M239" s="9"/>
      <c r="Q239" s="965"/>
      <c r="R239" s="967"/>
    </row>
    <row r="240">
      <c r="A240" s="964"/>
      <c r="C240" s="965"/>
      <c r="F240" s="964"/>
      <c r="G240" s="966"/>
      <c r="H240" s="964"/>
      <c r="I240" s="964"/>
      <c r="K240" s="964"/>
      <c r="L240" s="9"/>
      <c r="M240" s="9"/>
      <c r="Q240" s="965"/>
      <c r="R240" s="967"/>
    </row>
    <row r="241">
      <c r="A241" s="964"/>
      <c r="C241" s="965"/>
      <c r="F241" s="964"/>
      <c r="G241" s="966"/>
      <c r="H241" s="964"/>
      <c r="I241" s="964"/>
      <c r="K241" s="964"/>
      <c r="L241" s="9"/>
      <c r="M241" s="9"/>
      <c r="Q241" s="965"/>
      <c r="R241" s="967"/>
    </row>
    <row r="242">
      <c r="A242" s="964"/>
      <c r="C242" s="965"/>
      <c r="F242" s="964"/>
      <c r="G242" s="966"/>
      <c r="H242" s="964"/>
      <c r="I242" s="964"/>
      <c r="K242" s="964"/>
      <c r="L242" s="9"/>
      <c r="M242" s="9"/>
      <c r="Q242" s="965"/>
      <c r="R242" s="967"/>
    </row>
    <row r="243">
      <c r="A243" s="964"/>
      <c r="C243" s="965"/>
      <c r="F243" s="964"/>
      <c r="G243" s="966"/>
      <c r="H243" s="964"/>
      <c r="I243" s="964"/>
      <c r="K243" s="964"/>
      <c r="L243" s="9"/>
      <c r="M243" s="9"/>
      <c r="Q243" s="965"/>
      <c r="R243" s="967"/>
    </row>
    <row r="244">
      <c r="A244" s="964"/>
      <c r="C244" s="965"/>
      <c r="F244" s="964"/>
      <c r="G244" s="966"/>
      <c r="H244" s="964"/>
      <c r="I244" s="964"/>
      <c r="K244" s="964"/>
      <c r="L244" s="9"/>
      <c r="M244" s="9"/>
      <c r="Q244" s="965"/>
      <c r="R244" s="967"/>
    </row>
    <row r="245">
      <c r="A245" s="964"/>
      <c r="C245" s="965"/>
      <c r="F245" s="964"/>
      <c r="G245" s="966"/>
      <c r="H245" s="964"/>
      <c r="I245" s="964"/>
      <c r="K245" s="964"/>
      <c r="L245" s="9"/>
      <c r="M245" s="9"/>
      <c r="Q245" s="965"/>
      <c r="R245" s="967"/>
    </row>
    <row r="246">
      <c r="A246" s="964"/>
      <c r="C246" s="965"/>
      <c r="F246" s="964"/>
      <c r="G246" s="966"/>
      <c r="H246" s="964"/>
      <c r="I246" s="964"/>
      <c r="K246" s="964"/>
      <c r="L246" s="9"/>
      <c r="M246" s="9"/>
      <c r="Q246" s="965"/>
      <c r="R246" s="967"/>
    </row>
    <row r="247">
      <c r="A247" s="964"/>
      <c r="C247" s="965"/>
      <c r="F247" s="964"/>
      <c r="G247" s="966"/>
      <c r="H247" s="964"/>
      <c r="I247" s="964"/>
      <c r="K247" s="964"/>
      <c r="L247" s="9"/>
      <c r="M247" s="9"/>
      <c r="Q247" s="965"/>
      <c r="R247" s="967"/>
    </row>
    <row r="248">
      <c r="A248" s="964"/>
      <c r="C248" s="965"/>
      <c r="F248" s="964"/>
      <c r="G248" s="966"/>
      <c r="H248" s="964"/>
      <c r="I248" s="964"/>
      <c r="K248" s="964"/>
      <c r="L248" s="9"/>
      <c r="M248" s="9"/>
      <c r="Q248" s="965"/>
      <c r="R248" s="967"/>
    </row>
    <row r="249">
      <c r="A249" s="964"/>
      <c r="C249" s="965"/>
      <c r="F249" s="964"/>
      <c r="G249" s="966"/>
      <c r="H249" s="964"/>
      <c r="I249" s="964"/>
      <c r="K249" s="964"/>
      <c r="L249" s="9"/>
      <c r="M249" s="9"/>
      <c r="Q249" s="965"/>
      <c r="R249" s="967"/>
    </row>
    <row r="250">
      <c r="A250" s="964"/>
      <c r="C250" s="965"/>
      <c r="F250" s="964"/>
      <c r="G250" s="966"/>
      <c r="H250" s="964"/>
      <c r="I250" s="964"/>
      <c r="K250" s="964"/>
      <c r="L250" s="9"/>
      <c r="M250" s="9"/>
      <c r="Q250" s="965"/>
      <c r="R250" s="967"/>
    </row>
    <row r="251">
      <c r="A251" s="964"/>
      <c r="C251" s="965"/>
      <c r="F251" s="964"/>
      <c r="G251" s="966"/>
      <c r="H251" s="964"/>
      <c r="I251" s="964"/>
      <c r="K251" s="964"/>
      <c r="L251" s="9"/>
      <c r="M251" s="9"/>
      <c r="Q251" s="965"/>
      <c r="R251" s="967"/>
    </row>
    <row r="252">
      <c r="A252" s="964"/>
      <c r="C252" s="965"/>
      <c r="F252" s="964"/>
      <c r="G252" s="966"/>
      <c r="H252" s="964"/>
      <c r="I252" s="964"/>
      <c r="K252" s="964"/>
      <c r="L252" s="9"/>
      <c r="M252" s="9"/>
      <c r="Q252" s="965"/>
      <c r="R252" s="967"/>
    </row>
    <row r="253">
      <c r="A253" s="964"/>
      <c r="C253" s="965"/>
      <c r="F253" s="964"/>
      <c r="G253" s="966"/>
      <c r="H253" s="964"/>
      <c r="I253" s="964"/>
      <c r="K253" s="964"/>
      <c r="L253" s="9"/>
      <c r="M253" s="9"/>
      <c r="Q253" s="965"/>
      <c r="R253" s="967"/>
    </row>
    <row r="254">
      <c r="A254" s="964"/>
      <c r="C254" s="965"/>
      <c r="F254" s="964"/>
      <c r="G254" s="966"/>
      <c r="H254" s="964"/>
      <c r="I254" s="964"/>
      <c r="K254" s="964"/>
      <c r="L254" s="9"/>
      <c r="M254" s="9"/>
      <c r="Q254" s="965"/>
      <c r="R254" s="967"/>
    </row>
    <row r="255">
      <c r="A255" s="964"/>
      <c r="C255" s="965"/>
      <c r="F255" s="964"/>
      <c r="G255" s="966"/>
      <c r="H255" s="964"/>
      <c r="I255" s="964"/>
      <c r="K255" s="964"/>
      <c r="L255" s="9"/>
      <c r="M255" s="9"/>
      <c r="Q255" s="965"/>
      <c r="R255" s="967"/>
    </row>
    <row r="256">
      <c r="A256" s="964"/>
      <c r="C256" s="965"/>
      <c r="F256" s="964"/>
      <c r="G256" s="966"/>
      <c r="H256" s="964"/>
      <c r="I256" s="964"/>
      <c r="K256" s="964"/>
      <c r="L256" s="9"/>
      <c r="M256" s="9"/>
      <c r="Q256" s="965"/>
      <c r="R256" s="967"/>
    </row>
    <row r="257">
      <c r="A257" s="964"/>
      <c r="C257" s="965"/>
      <c r="F257" s="964"/>
      <c r="G257" s="966"/>
      <c r="H257" s="964"/>
      <c r="I257" s="964"/>
      <c r="K257" s="964"/>
      <c r="L257" s="9"/>
      <c r="M257" s="9"/>
      <c r="Q257" s="965"/>
      <c r="R257" s="967"/>
    </row>
    <row r="258">
      <c r="A258" s="964"/>
      <c r="C258" s="965"/>
      <c r="F258" s="964"/>
      <c r="G258" s="966"/>
      <c r="H258" s="964"/>
      <c r="I258" s="964"/>
      <c r="K258" s="964"/>
      <c r="L258" s="9"/>
      <c r="M258" s="9"/>
      <c r="Q258" s="965"/>
      <c r="R258" s="967"/>
    </row>
    <row r="259">
      <c r="A259" s="964"/>
      <c r="C259" s="965"/>
      <c r="F259" s="964"/>
      <c r="G259" s="966"/>
      <c r="H259" s="964"/>
      <c r="I259" s="964"/>
      <c r="K259" s="964"/>
      <c r="L259" s="9"/>
      <c r="M259" s="9"/>
      <c r="Q259" s="965"/>
      <c r="R259" s="967"/>
    </row>
    <row r="260">
      <c r="A260" s="964"/>
      <c r="C260" s="965"/>
      <c r="F260" s="964"/>
      <c r="G260" s="966"/>
      <c r="H260" s="964"/>
      <c r="I260" s="964"/>
      <c r="K260" s="964"/>
      <c r="L260" s="9"/>
      <c r="M260" s="9"/>
      <c r="Q260" s="965"/>
      <c r="R260" s="967"/>
    </row>
    <row r="261">
      <c r="A261" s="964"/>
      <c r="C261" s="965"/>
      <c r="F261" s="964"/>
      <c r="G261" s="966"/>
      <c r="H261" s="964"/>
      <c r="I261" s="964"/>
      <c r="K261" s="964"/>
      <c r="L261" s="9"/>
      <c r="M261" s="9"/>
      <c r="Q261" s="965"/>
      <c r="R261" s="967"/>
    </row>
    <row r="262">
      <c r="A262" s="964"/>
      <c r="C262" s="965"/>
      <c r="F262" s="964"/>
      <c r="G262" s="966"/>
      <c r="H262" s="964"/>
      <c r="I262" s="964"/>
      <c r="K262" s="964"/>
      <c r="L262" s="9"/>
      <c r="M262" s="9"/>
      <c r="Q262" s="965"/>
      <c r="R262" s="967"/>
    </row>
    <row r="263">
      <c r="A263" s="964"/>
      <c r="C263" s="965"/>
      <c r="F263" s="964"/>
      <c r="G263" s="966"/>
      <c r="H263" s="964"/>
      <c r="I263" s="964"/>
      <c r="K263" s="964"/>
      <c r="L263" s="9"/>
      <c r="M263" s="9"/>
      <c r="Q263" s="965"/>
      <c r="R263" s="967"/>
    </row>
    <row r="264">
      <c r="A264" s="964"/>
      <c r="C264" s="965"/>
      <c r="F264" s="964"/>
      <c r="G264" s="966"/>
      <c r="H264" s="964"/>
      <c r="I264" s="964"/>
      <c r="K264" s="964"/>
      <c r="L264" s="9"/>
      <c r="M264" s="9"/>
      <c r="Q264" s="965"/>
      <c r="R264" s="967"/>
    </row>
    <row r="265">
      <c r="A265" s="964"/>
      <c r="C265" s="965"/>
      <c r="F265" s="964"/>
      <c r="G265" s="966"/>
      <c r="H265" s="964"/>
      <c r="I265" s="964"/>
      <c r="K265" s="964"/>
      <c r="L265" s="9"/>
      <c r="M265" s="9"/>
      <c r="Q265" s="965"/>
      <c r="R265" s="967"/>
    </row>
    <row r="266">
      <c r="A266" s="964"/>
      <c r="C266" s="965"/>
      <c r="F266" s="964"/>
      <c r="G266" s="966"/>
      <c r="H266" s="964"/>
      <c r="I266" s="964"/>
      <c r="K266" s="964"/>
      <c r="L266" s="9"/>
      <c r="M266" s="9"/>
      <c r="Q266" s="965"/>
      <c r="R266" s="967"/>
    </row>
    <row r="267">
      <c r="A267" s="964"/>
      <c r="C267" s="965"/>
      <c r="F267" s="964"/>
      <c r="G267" s="966"/>
      <c r="H267" s="964"/>
      <c r="I267" s="964"/>
      <c r="K267" s="964"/>
      <c r="L267" s="9"/>
      <c r="M267" s="9"/>
      <c r="Q267" s="965"/>
      <c r="R267" s="967"/>
    </row>
    <row r="268">
      <c r="A268" s="964"/>
      <c r="C268" s="965"/>
      <c r="F268" s="964"/>
      <c r="G268" s="966"/>
      <c r="H268" s="964"/>
      <c r="I268" s="964"/>
      <c r="K268" s="964"/>
      <c r="L268" s="9"/>
      <c r="M268" s="9"/>
      <c r="Q268" s="965"/>
      <c r="R268" s="967"/>
    </row>
    <row r="269">
      <c r="A269" s="964"/>
      <c r="C269" s="965"/>
      <c r="F269" s="964"/>
      <c r="G269" s="966"/>
      <c r="H269" s="964"/>
      <c r="I269" s="964"/>
      <c r="K269" s="964"/>
      <c r="L269" s="9"/>
      <c r="M269" s="9"/>
      <c r="Q269" s="965"/>
      <c r="R269" s="967"/>
    </row>
    <row r="270">
      <c r="A270" s="964"/>
      <c r="C270" s="965"/>
      <c r="F270" s="964"/>
      <c r="G270" s="966"/>
      <c r="H270" s="964"/>
      <c r="I270" s="964"/>
      <c r="K270" s="964"/>
      <c r="L270" s="9"/>
      <c r="M270" s="9"/>
      <c r="Q270" s="965"/>
      <c r="R270" s="967"/>
    </row>
    <row r="271">
      <c r="A271" s="964"/>
      <c r="C271" s="965"/>
      <c r="F271" s="964"/>
      <c r="G271" s="966"/>
      <c r="H271" s="964"/>
      <c r="I271" s="964"/>
      <c r="K271" s="964"/>
      <c r="L271" s="9"/>
      <c r="M271" s="9"/>
      <c r="Q271" s="965"/>
      <c r="R271" s="967"/>
    </row>
    <row r="272">
      <c r="A272" s="964"/>
      <c r="C272" s="965"/>
      <c r="F272" s="964"/>
      <c r="G272" s="966"/>
      <c r="H272" s="964"/>
      <c r="I272" s="964"/>
      <c r="K272" s="964"/>
      <c r="L272" s="9"/>
      <c r="M272" s="9"/>
      <c r="Q272" s="965"/>
      <c r="R272" s="967"/>
    </row>
    <row r="273">
      <c r="A273" s="964"/>
      <c r="C273" s="965"/>
      <c r="F273" s="964"/>
      <c r="G273" s="966"/>
      <c r="H273" s="964"/>
      <c r="I273" s="964"/>
      <c r="K273" s="964"/>
      <c r="L273" s="9"/>
      <c r="M273" s="9"/>
      <c r="Q273" s="965"/>
      <c r="R273" s="967"/>
    </row>
    <row r="274">
      <c r="A274" s="964"/>
      <c r="C274" s="965"/>
      <c r="F274" s="964"/>
      <c r="G274" s="966"/>
      <c r="H274" s="964"/>
      <c r="I274" s="964"/>
      <c r="K274" s="964"/>
      <c r="L274" s="9"/>
      <c r="M274" s="9"/>
      <c r="Q274" s="965"/>
      <c r="R274" s="967"/>
    </row>
    <row r="275">
      <c r="A275" s="964"/>
      <c r="C275" s="965"/>
      <c r="F275" s="964"/>
      <c r="G275" s="966"/>
      <c r="H275" s="964"/>
      <c r="I275" s="964"/>
      <c r="K275" s="964"/>
      <c r="L275" s="9"/>
      <c r="M275" s="9"/>
      <c r="Q275" s="965"/>
      <c r="R275" s="967"/>
    </row>
    <row r="276">
      <c r="A276" s="964"/>
      <c r="C276" s="965"/>
      <c r="F276" s="964"/>
      <c r="G276" s="966"/>
      <c r="H276" s="964"/>
      <c r="I276" s="964"/>
      <c r="K276" s="964"/>
      <c r="L276" s="9"/>
      <c r="M276" s="9"/>
      <c r="Q276" s="965"/>
      <c r="R276" s="967"/>
    </row>
    <row r="277">
      <c r="A277" s="964"/>
      <c r="C277" s="965"/>
      <c r="F277" s="964"/>
      <c r="G277" s="966"/>
      <c r="H277" s="964"/>
      <c r="I277" s="964"/>
      <c r="K277" s="964"/>
      <c r="L277" s="9"/>
      <c r="M277" s="9"/>
      <c r="Q277" s="965"/>
      <c r="R277" s="967"/>
    </row>
    <row r="278">
      <c r="A278" s="964"/>
      <c r="C278" s="965"/>
      <c r="F278" s="964"/>
      <c r="G278" s="966"/>
      <c r="H278" s="964"/>
      <c r="I278" s="964"/>
      <c r="K278" s="964"/>
      <c r="L278" s="9"/>
      <c r="M278" s="9"/>
      <c r="Q278" s="965"/>
      <c r="R278" s="967"/>
    </row>
    <row r="279">
      <c r="A279" s="964"/>
      <c r="C279" s="965"/>
      <c r="F279" s="964"/>
      <c r="G279" s="966"/>
      <c r="H279" s="964"/>
      <c r="I279" s="964"/>
      <c r="K279" s="964"/>
      <c r="L279" s="9"/>
      <c r="M279" s="9"/>
      <c r="Q279" s="965"/>
      <c r="R279" s="967"/>
    </row>
    <row r="280">
      <c r="A280" s="964"/>
      <c r="C280" s="965"/>
      <c r="F280" s="964"/>
      <c r="G280" s="966"/>
      <c r="H280" s="964"/>
      <c r="I280" s="964"/>
      <c r="K280" s="964"/>
      <c r="L280" s="9"/>
      <c r="M280" s="9"/>
      <c r="Q280" s="965"/>
      <c r="R280" s="967"/>
    </row>
    <row r="281">
      <c r="A281" s="964"/>
      <c r="C281" s="965"/>
      <c r="F281" s="964"/>
      <c r="G281" s="966"/>
      <c r="H281" s="964"/>
      <c r="I281" s="964"/>
      <c r="K281" s="964"/>
      <c r="L281" s="9"/>
      <c r="M281" s="9"/>
      <c r="Q281" s="965"/>
      <c r="R281" s="967"/>
    </row>
    <row r="282">
      <c r="A282" s="964"/>
      <c r="C282" s="965"/>
      <c r="F282" s="964"/>
      <c r="G282" s="966"/>
      <c r="H282" s="964"/>
      <c r="I282" s="964"/>
      <c r="K282" s="964"/>
      <c r="L282" s="9"/>
      <c r="M282" s="9"/>
      <c r="Q282" s="965"/>
      <c r="R282" s="967"/>
    </row>
    <row r="283">
      <c r="A283" s="964"/>
      <c r="C283" s="965"/>
      <c r="F283" s="964"/>
      <c r="G283" s="966"/>
      <c r="H283" s="964"/>
      <c r="I283" s="964"/>
      <c r="K283" s="964"/>
      <c r="L283" s="9"/>
      <c r="M283" s="9"/>
      <c r="Q283" s="965"/>
      <c r="R283" s="967"/>
    </row>
    <row r="284">
      <c r="A284" s="964"/>
      <c r="C284" s="965"/>
      <c r="F284" s="964"/>
      <c r="G284" s="966"/>
      <c r="H284" s="964"/>
      <c r="I284" s="964"/>
      <c r="K284" s="964"/>
      <c r="L284" s="9"/>
      <c r="M284" s="9"/>
      <c r="Q284" s="965"/>
      <c r="R284" s="967"/>
    </row>
    <row r="285">
      <c r="A285" s="964"/>
      <c r="C285" s="965"/>
      <c r="F285" s="964"/>
      <c r="G285" s="966"/>
      <c r="H285" s="964"/>
      <c r="I285" s="964"/>
      <c r="K285" s="964"/>
      <c r="L285" s="9"/>
      <c r="M285" s="9"/>
      <c r="Q285" s="965"/>
      <c r="R285" s="967"/>
    </row>
    <row r="286">
      <c r="A286" s="964"/>
      <c r="C286" s="965"/>
      <c r="F286" s="964"/>
      <c r="G286" s="966"/>
      <c r="H286" s="964"/>
      <c r="I286" s="964"/>
      <c r="K286" s="964"/>
      <c r="L286" s="9"/>
      <c r="M286" s="9"/>
      <c r="Q286" s="965"/>
      <c r="R286" s="967"/>
    </row>
    <row r="287">
      <c r="A287" s="964"/>
      <c r="C287" s="965"/>
      <c r="F287" s="964"/>
      <c r="G287" s="966"/>
      <c r="H287" s="964"/>
      <c r="I287" s="964"/>
      <c r="K287" s="964"/>
      <c r="L287" s="9"/>
      <c r="M287" s="9"/>
      <c r="Q287" s="965"/>
      <c r="R287" s="967"/>
    </row>
    <row r="288">
      <c r="A288" s="964"/>
      <c r="C288" s="965"/>
      <c r="F288" s="964"/>
      <c r="G288" s="966"/>
      <c r="H288" s="964"/>
      <c r="I288" s="964"/>
      <c r="K288" s="964"/>
      <c r="L288" s="9"/>
      <c r="M288" s="9"/>
      <c r="Q288" s="965"/>
      <c r="R288" s="967"/>
    </row>
    <row r="289">
      <c r="A289" s="964"/>
      <c r="C289" s="965"/>
      <c r="F289" s="964"/>
      <c r="G289" s="966"/>
      <c r="H289" s="964"/>
      <c r="I289" s="964"/>
      <c r="K289" s="964"/>
      <c r="L289" s="9"/>
      <c r="M289" s="9"/>
      <c r="Q289" s="965"/>
      <c r="R289" s="967"/>
    </row>
    <row r="290">
      <c r="A290" s="964"/>
      <c r="C290" s="965"/>
      <c r="F290" s="964"/>
      <c r="G290" s="966"/>
      <c r="H290" s="964"/>
      <c r="I290" s="964"/>
      <c r="K290" s="964"/>
      <c r="L290" s="9"/>
      <c r="M290" s="9"/>
      <c r="Q290" s="965"/>
      <c r="R290" s="967"/>
    </row>
    <row r="291">
      <c r="A291" s="964"/>
      <c r="C291" s="965"/>
      <c r="F291" s="964"/>
      <c r="G291" s="966"/>
      <c r="H291" s="964"/>
      <c r="I291" s="964"/>
      <c r="K291" s="964"/>
      <c r="L291" s="9"/>
      <c r="M291" s="9"/>
      <c r="Q291" s="965"/>
      <c r="R291" s="967"/>
    </row>
    <row r="292">
      <c r="A292" s="964"/>
      <c r="C292" s="965"/>
      <c r="F292" s="964"/>
      <c r="G292" s="966"/>
      <c r="H292" s="964"/>
      <c r="I292" s="964"/>
      <c r="K292" s="964"/>
      <c r="L292" s="9"/>
      <c r="M292" s="9"/>
      <c r="Q292" s="965"/>
      <c r="R292" s="967"/>
    </row>
    <row r="293">
      <c r="A293" s="964"/>
      <c r="C293" s="965"/>
      <c r="F293" s="964"/>
      <c r="G293" s="966"/>
      <c r="H293" s="964"/>
      <c r="I293" s="964"/>
      <c r="K293" s="964"/>
      <c r="L293" s="9"/>
      <c r="M293" s="9"/>
      <c r="Q293" s="965"/>
      <c r="R293" s="967"/>
    </row>
    <row r="294">
      <c r="A294" s="964"/>
      <c r="C294" s="965"/>
      <c r="F294" s="964"/>
      <c r="G294" s="966"/>
      <c r="H294" s="964"/>
      <c r="I294" s="964"/>
      <c r="K294" s="964"/>
      <c r="L294" s="9"/>
      <c r="M294" s="9"/>
      <c r="Q294" s="965"/>
      <c r="R294" s="967"/>
    </row>
    <row r="295">
      <c r="A295" s="964"/>
      <c r="C295" s="965"/>
      <c r="F295" s="964"/>
      <c r="G295" s="966"/>
      <c r="H295" s="964"/>
      <c r="I295" s="964"/>
      <c r="K295" s="964"/>
      <c r="L295" s="9"/>
      <c r="M295" s="9"/>
      <c r="Q295" s="965"/>
      <c r="R295" s="967"/>
    </row>
    <row r="296">
      <c r="A296" s="964"/>
      <c r="C296" s="965"/>
      <c r="F296" s="964"/>
      <c r="G296" s="966"/>
      <c r="H296" s="964"/>
      <c r="I296" s="964"/>
      <c r="K296" s="964"/>
      <c r="L296" s="9"/>
      <c r="M296" s="9"/>
      <c r="Q296" s="965"/>
      <c r="R296" s="967"/>
    </row>
    <row r="297">
      <c r="A297" s="964"/>
      <c r="C297" s="965"/>
      <c r="F297" s="964"/>
      <c r="G297" s="966"/>
      <c r="H297" s="964"/>
      <c r="I297" s="964"/>
      <c r="K297" s="964"/>
      <c r="L297" s="9"/>
      <c r="M297" s="9"/>
      <c r="Q297" s="965"/>
      <c r="R297" s="967"/>
    </row>
    <row r="298">
      <c r="A298" s="964"/>
      <c r="C298" s="965"/>
      <c r="F298" s="964"/>
      <c r="G298" s="966"/>
      <c r="H298" s="964"/>
      <c r="I298" s="964"/>
      <c r="K298" s="964"/>
      <c r="L298" s="9"/>
      <c r="M298" s="9"/>
      <c r="Q298" s="965"/>
      <c r="R298" s="967"/>
    </row>
    <row r="299">
      <c r="A299" s="964"/>
      <c r="C299" s="965"/>
      <c r="F299" s="964"/>
      <c r="G299" s="966"/>
      <c r="H299" s="964"/>
      <c r="I299" s="964"/>
      <c r="K299" s="964"/>
      <c r="L299" s="9"/>
      <c r="M299" s="9"/>
      <c r="Q299" s="965"/>
      <c r="R299" s="967"/>
    </row>
    <row r="300">
      <c r="A300" s="964"/>
      <c r="C300" s="965"/>
      <c r="F300" s="964"/>
      <c r="G300" s="966"/>
      <c r="H300" s="964"/>
      <c r="I300" s="964"/>
      <c r="K300" s="964"/>
      <c r="L300" s="9"/>
      <c r="M300" s="9"/>
      <c r="Q300" s="965"/>
      <c r="R300" s="967"/>
    </row>
    <row r="301">
      <c r="A301" s="964"/>
      <c r="C301" s="965"/>
      <c r="F301" s="964"/>
      <c r="G301" s="966"/>
      <c r="H301" s="964"/>
      <c r="I301" s="964"/>
      <c r="K301" s="964"/>
      <c r="L301" s="9"/>
      <c r="M301" s="9"/>
      <c r="Q301" s="965"/>
      <c r="R301" s="967"/>
    </row>
    <row r="302">
      <c r="A302" s="964"/>
      <c r="C302" s="965"/>
      <c r="F302" s="964"/>
      <c r="G302" s="966"/>
      <c r="H302" s="964"/>
      <c r="I302" s="964"/>
      <c r="K302" s="964"/>
      <c r="L302" s="9"/>
      <c r="M302" s="9"/>
      <c r="Q302" s="965"/>
      <c r="R302" s="967"/>
    </row>
    <row r="303">
      <c r="A303" s="964"/>
      <c r="C303" s="965"/>
      <c r="F303" s="964"/>
      <c r="G303" s="966"/>
      <c r="H303" s="964"/>
      <c r="I303" s="964"/>
      <c r="K303" s="964"/>
      <c r="L303" s="9"/>
      <c r="M303" s="9"/>
      <c r="Q303" s="965"/>
      <c r="R303" s="967"/>
    </row>
    <row r="304">
      <c r="A304" s="964"/>
      <c r="C304" s="965"/>
      <c r="F304" s="964"/>
      <c r="G304" s="966"/>
      <c r="H304" s="964"/>
      <c r="I304" s="964"/>
      <c r="K304" s="964"/>
      <c r="L304" s="9"/>
      <c r="M304" s="9"/>
      <c r="Q304" s="965"/>
      <c r="R304" s="967"/>
    </row>
    <row r="305">
      <c r="A305" s="964"/>
      <c r="C305" s="965"/>
      <c r="F305" s="964"/>
      <c r="G305" s="966"/>
      <c r="H305" s="964"/>
      <c r="I305" s="964"/>
      <c r="K305" s="964"/>
      <c r="L305" s="9"/>
      <c r="M305" s="9"/>
      <c r="Q305" s="965"/>
      <c r="R305" s="967"/>
    </row>
    <row r="306">
      <c r="A306" s="964"/>
      <c r="C306" s="965"/>
      <c r="F306" s="964"/>
      <c r="G306" s="966"/>
      <c r="H306" s="964"/>
      <c r="I306" s="964"/>
      <c r="K306" s="964"/>
      <c r="L306" s="9"/>
      <c r="M306" s="9"/>
      <c r="Q306" s="965"/>
      <c r="R306" s="967"/>
    </row>
    <row r="307">
      <c r="A307" s="964"/>
      <c r="C307" s="965"/>
      <c r="F307" s="964"/>
      <c r="G307" s="966"/>
      <c r="H307" s="964"/>
      <c r="I307" s="964"/>
      <c r="K307" s="964"/>
      <c r="L307" s="9"/>
      <c r="M307" s="9"/>
      <c r="Q307" s="965"/>
      <c r="R307" s="967"/>
    </row>
    <row r="308">
      <c r="A308" s="964"/>
      <c r="C308" s="965"/>
      <c r="F308" s="964"/>
      <c r="G308" s="966"/>
      <c r="H308" s="964"/>
      <c r="I308" s="964"/>
      <c r="K308" s="964"/>
      <c r="L308" s="9"/>
      <c r="M308" s="9"/>
      <c r="Q308" s="965"/>
      <c r="R308" s="967"/>
    </row>
    <row r="309">
      <c r="A309" s="964"/>
      <c r="C309" s="965"/>
      <c r="F309" s="964"/>
      <c r="G309" s="966"/>
      <c r="H309" s="964"/>
      <c r="I309" s="964"/>
      <c r="K309" s="964"/>
      <c r="L309" s="9"/>
      <c r="M309" s="9"/>
      <c r="Q309" s="965"/>
      <c r="R309" s="967"/>
    </row>
    <row r="310">
      <c r="A310" s="964"/>
      <c r="C310" s="965"/>
      <c r="F310" s="964"/>
      <c r="G310" s="966"/>
      <c r="H310" s="964"/>
      <c r="I310" s="964"/>
      <c r="K310" s="964"/>
      <c r="L310" s="9"/>
      <c r="M310" s="9"/>
      <c r="Q310" s="965"/>
      <c r="R310" s="967"/>
    </row>
    <row r="311">
      <c r="A311" s="964"/>
      <c r="C311" s="965"/>
      <c r="F311" s="964"/>
      <c r="G311" s="966"/>
      <c r="H311" s="964"/>
      <c r="I311" s="964"/>
      <c r="K311" s="964"/>
      <c r="L311" s="9"/>
      <c r="M311" s="9"/>
      <c r="Q311" s="965"/>
      <c r="R311" s="967"/>
    </row>
    <row r="312">
      <c r="A312" s="964"/>
      <c r="C312" s="965"/>
      <c r="F312" s="964"/>
      <c r="G312" s="966"/>
      <c r="H312" s="964"/>
      <c r="I312" s="964"/>
      <c r="K312" s="964"/>
      <c r="L312" s="9"/>
      <c r="M312" s="9"/>
      <c r="Q312" s="965"/>
      <c r="R312" s="967"/>
    </row>
    <row r="313">
      <c r="A313" s="964"/>
      <c r="C313" s="965"/>
      <c r="F313" s="964"/>
      <c r="G313" s="966"/>
      <c r="H313" s="964"/>
      <c r="I313" s="964"/>
      <c r="K313" s="964"/>
      <c r="L313" s="9"/>
      <c r="M313" s="9"/>
      <c r="Q313" s="965"/>
      <c r="R313" s="967"/>
    </row>
    <row r="314">
      <c r="A314" s="964"/>
      <c r="C314" s="965"/>
      <c r="F314" s="964"/>
      <c r="G314" s="966"/>
      <c r="H314" s="964"/>
      <c r="I314" s="964"/>
      <c r="K314" s="964"/>
      <c r="L314" s="9"/>
      <c r="M314" s="9"/>
      <c r="Q314" s="965"/>
      <c r="R314" s="967"/>
    </row>
    <row r="315">
      <c r="A315" s="964"/>
      <c r="C315" s="965"/>
      <c r="F315" s="964"/>
      <c r="G315" s="966"/>
      <c r="H315" s="964"/>
      <c r="I315" s="964"/>
      <c r="K315" s="964"/>
      <c r="L315" s="9"/>
      <c r="M315" s="9"/>
      <c r="Q315" s="965"/>
      <c r="R315" s="967"/>
    </row>
    <row r="316">
      <c r="A316" s="964"/>
      <c r="C316" s="965"/>
      <c r="F316" s="964"/>
      <c r="G316" s="966"/>
      <c r="H316" s="964"/>
      <c r="I316" s="964"/>
      <c r="K316" s="964"/>
      <c r="L316" s="9"/>
      <c r="M316" s="9"/>
      <c r="Q316" s="965"/>
      <c r="R316" s="967"/>
    </row>
    <row r="317">
      <c r="A317" s="964"/>
      <c r="C317" s="965"/>
      <c r="F317" s="964"/>
      <c r="G317" s="966"/>
      <c r="H317" s="964"/>
      <c r="I317" s="964"/>
      <c r="K317" s="964"/>
      <c r="L317" s="9"/>
      <c r="M317" s="9"/>
      <c r="Q317" s="965"/>
      <c r="R317" s="967"/>
    </row>
    <row r="318">
      <c r="A318" s="964"/>
      <c r="C318" s="965"/>
      <c r="F318" s="964"/>
      <c r="G318" s="966"/>
      <c r="H318" s="964"/>
      <c r="I318" s="964"/>
      <c r="K318" s="964"/>
      <c r="L318" s="9"/>
      <c r="M318" s="9"/>
      <c r="Q318" s="965"/>
      <c r="R318" s="967"/>
    </row>
    <row r="319">
      <c r="A319" s="964"/>
      <c r="C319" s="965"/>
      <c r="F319" s="964"/>
      <c r="G319" s="966"/>
      <c r="H319" s="964"/>
      <c r="I319" s="964"/>
      <c r="K319" s="964"/>
      <c r="L319" s="9"/>
      <c r="M319" s="9"/>
      <c r="Q319" s="965"/>
      <c r="R319" s="967"/>
    </row>
    <row r="320">
      <c r="A320" s="964"/>
      <c r="C320" s="965"/>
      <c r="F320" s="964"/>
      <c r="G320" s="966"/>
      <c r="H320" s="964"/>
      <c r="I320" s="964"/>
      <c r="K320" s="964"/>
      <c r="L320" s="9"/>
      <c r="M320" s="9"/>
      <c r="Q320" s="965"/>
      <c r="R320" s="967"/>
    </row>
    <row r="321">
      <c r="A321" s="964"/>
      <c r="C321" s="965"/>
      <c r="F321" s="964"/>
      <c r="G321" s="966"/>
      <c r="H321" s="964"/>
      <c r="I321" s="964"/>
      <c r="K321" s="964"/>
      <c r="L321" s="9"/>
      <c r="M321" s="9"/>
      <c r="Q321" s="965"/>
      <c r="R321" s="967"/>
    </row>
    <row r="322">
      <c r="A322" s="964"/>
      <c r="C322" s="965"/>
      <c r="F322" s="964"/>
      <c r="G322" s="966"/>
      <c r="H322" s="964"/>
      <c r="I322" s="964"/>
      <c r="K322" s="964"/>
      <c r="L322" s="9"/>
      <c r="M322" s="9"/>
      <c r="Q322" s="965"/>
      <c r="R322" s="967"/>
    </row>
    <row r="323">
      <c r="A323" s="964"/>
      <c r="C323" s="965"/>
      <c r="F323" s="964"/>
      <c r="G323" s="966"/>
      <c r="H323" s="964"/>
      <c r="I323" s="964"/>
      <c r="K323" s="964"/>
      <c r="L323" s="9"/>
      <c r="M323" s="9"/>
      <c r="Q323" s="965"/>
      <c r="R323" s="967"/>
    </row>
    <row r="324">
      <c r="A324" s="964"/>
      <c r="C324" s="965"/>
      <c r="F324" s="964"/>
      <c r="G324" s="966"/>
      <c r="H324" s="964"/>
      <c r="I324" s="964"/>
      <c r="K324" s="964"/>
      <c r="L324" s="9"/>
      <c r="M324" s="9"/>
      <c r="Q324" s="965"/>
      <c r="R324" s="967"/>
    </row>
    <row r="325">
      <c r="A325" s="964"/>
      <c r="C325" s="965"/>
      <c r="F325" s="964"/>
      <c r="G325" s="966"/>
      <c r="H325" s="964"/>
      <c r="I325" s="964"/>
      <c r="K325" s="964"/>
      <c r="L325" s="9"/>
      <c r="M325" s="9"/>
      <c r="Q325" s="965"/>
      <c r="R325" s="967"/>
    </row>
    <row r="326">
      <c r="A326" s="964"/>
      <c r="C326" s="965"/>
      <c r="F326" s="964"/>
      <c r="G326" s="966"/>
      <c r="H326" s="964"/>
      <c r="I326" s="964"/>
      <c r="K326" s="964"/>
      <c r="L326" s="9"/>
      <c r="M326" s="9"/>
      <c r="Q326" s="965"/>
      <c r="R326" s="967"/>
    </row>
    <row r="327">
      <c r="A327" s="964"/>
      <c r="C327" s="965"/>
      <c r="F327" s="964"/>
      <c r="G327" s="966"/>
      <c r="H327" s="964"/>
      <c r="I327" s="964"/>
      <c r="K327" s="964"/>
      <c r="L327" s="9"/>
      <c r="M327" s="9"/>
      <c r="Q327" s="965"/>
      <c r="R327" s="967"/>
    </row>
    <row r="328">
      <c r="A328" s="964"/>
      <c r="C328" s="965"/>
      <c r="F328" s="964"/>
      <c r="G328" s="966"/>
      <c r="H328" s="964"/>
      <c r="I328" s="964"/>
      <c r="K328" s="964"/>
      <c r="L328" s="9"/>
      <c r="M328" s="9"/>
      <c r="Q328" s="965"/>
      <c r="R328" s="967"/>
    </row>
    <row r="329">
      <c r="A329" s="964"/>
      <c r="C329" s="965"/>
      <c r="F329" s="964"/>
      <c r="G329" s="966"/>
      <c r="H329" s="964"/>
      <c r="I329" s="964"/>
      <c r="K329" s="964"/>
      <c r="L329" s="9"/>
      <c r="M329" s="9"/>
      <c r="Q329" s="965"/>
      <c r="R329" s="967"/>
    </row>
    <row r="330">
      <c r="A330" s="964"/>
      <c r="C330" s="965"/>
      <c r="F330" s="964"/>
      <c r="G330" s="966"/>
      <c r="H330" s="964"/>
      <c r="I330" s="964"/>
      <c r="K330" s="964"/>
      <c r="L330" s="9"/>
      <c r="M330" s="9"/>
      <c r="Q330" s="965"/>
      <c r="R330" s="967"/>
    </row>
    <row r="331">
      <c r="A331" s="964"/>
      <c r="C331" s="965"/>
      <c r="F331" s="964"/>
      <c r="G331" s="966"/>
      <c r="H331" s="964"/>
      <c r="I331" s="964"/>
      <c r="K331" s="964"/>
      <c r="L331" s="9"/>
      <c r="M331" s="9"/>
      <c r="Q331" s="965"/>
      <c r="R331" s="967"/>
    </row>
    <row r="332">
      <c r="A332" s="964"/>
      <c r="C332" s="965"/>
      <c r="F332" s="964"/>
      <c r="G332" s="966"/>
      <c r="H332" s="964"/>
      <c r="I332" s="964"/>
      <c r="K332" s="964"/>
      <c r="L332" s="9"/>
      <c r="M332" s="9"/>
      <c r="Q332" s="965"/>
      <c r="R332" s="967"/>
    </row>
    <row r="333">
      <c r="A333" s="964"/>
      <c r="C333" s="965"/>
      <c r="F333" s="964"/>
      <c r="G333" s="966"/>
      <c r="H333" s="964"/>
      <c r="I333" s="964"/>
      <c r="K333" s="964"/>
      <c r="L333" s="9"/>
      <c r="M333" s="9"/>
      <c r="Q333" s="965"/>
      <c r="R333" s="967"/>
    </row>
    <row r="334">
      <c r="A334" s="964"/>
      <c r="C334" s="965"/>
      <c r="F334" s="964"/>
      <c r="G334" s="966"/>
      <c r="H334" s="964"/>
      <c r="I334" s="964"/>
      <c r="K334" s="964"/>
      <c r="L334" s="9"/>
      <c r="M334" s="9"/>
      <c r="Q334" s="965"/>
      <c r="R334" s="967"/>
    </row>
    <row r="335">
      <c r="A335" s="964"/>
      <c r="C335" s="965"/>
      <c r="F335" s="964"/>
      <c r="G335" s="966"/>
      <c r="H335" s="964"/>
      <c r="I335" s="964"/>
      <c r="K335" s="964"/>
      <c r="L335" s="9"/>
      <c r="M335" s="9"/>
      <c r="Q335" s="965"/>
      <c r="R335" s="967"/>
    </row>
    <row r="336">
      <c r="A336" s="964"/>
      <c r="C336" s="965"/>
      <c r="F336" s="964"/>
      <c r="G336" s="966"/>
      <c r="H336" s="964"/>
      <c r="I336" s="964"/>
      <c r="K336" s="964"/>
      <c r="L336" s="9"/>
      <c r="M336" s="9"/>
      <c r="Q336" s="965"/>
      <c r="R336" s="967"/>
    </row>
    <row r="337">
      <c r="A337" s="964"/>
      <c r="C337" s="965"/>
      <c r="F337" s="964"/>
      <c r="G337" s="966"/>
      <c r="H337" s="964"/>
      <c r="I337" s="964"/>
      <c r="K337" s="964"/>
      <c r="L337" s="9"/>
      <c r="M337" s="9"/>
      <c r="Q337" s="965"/>
      <c r="R337" s="967"/>
    </row>
    <row r="338">
      <c r="A338" s="964"/>
      <c r="C338" s="965"/>
      <c r="F338" s="964"/>
      <c r="G338" s="966"/>
      <c r="H338" s="964"/>
      <c r="I338" s="964"/>
      <c r="K338" s="964"/>
      <c r="L338" s="9"/>
      <c r="M338" s="9"/>
      <c r="Q338" s="965"/>
      <c r="R338" s="967"/>
    </row>
    <row r="339">
      <c r="A339" s="964"/>
      <c r="C339" s="965"/>
      <c r="F339" s="964"/>
      <c r="G339" s="966"/>
      <c r="H339" s="964"/>
      <c r="I339" s="964"/>
      <c r="K339" s="964"/>
      <c r="L339" s="9"/>
      <c r="M339" s="9"/>
      <c r="Q339" s="965"/>
      <c r="R339" s="967"/>
    </row>
    <row r="340">
      <c r="A340" s="964"/>
      <c r="C340" s="965"/>
      <c r="F340" s="964"/>
      <c r="G340" s="966"/>
      <c r="H340" s="964"/>
      <c r="I340" s="964"/>
      <c r="K340" s="964"/>
      <c r="L340" s="9"/>
      <c r="M340" s="9"/>
      <c r="Q340" s="965"/>
      <c r="R340" s="967"/>
    </row>
    <row r="341">
      <c r="A341" s="964"/>
      <c r="C341" s="965"/>
      <c r="F341" s="964"/>
      <c r="G341" s="966"/>
      <c r="H341" s="964"/>
      <c r="I341" s="964"/>
      <c r="K341" s="964"/>
      <c r="L341" s="9"/>
      <c r="M341" s="9"/>
      <c r="Q341" s="965"/>
      <c r="R341" s="967"/>
    </row>
    <row r="342">
      <c r="A342" s="964"/>
      <c r="C342" s="965"/>
      <c r="F342" s="964"/>
      <c r="G342" s="966"/>
      <c r="H342" s="964"/>
      <c r="I342" s="964"/>
      <c r="K342" s="964"/>
      <c r="L342" s="9"/>
      <c r="M342" s="9"/>
      <c r="Q342" s="965"/>
      <c r="R342" s="967"/>
    </row>
    <row r="343">
      <c r="A343" s="964"/>
      <c r="C343" s="965"/>
      <c r="F343" s="964"/>
      <c r="G343" s="966"/>
      <c r="H343" s="964"/>
      <c r="I343" s="964"/>
      <c r="K343" s="964"/>
      <c r="L343" s="9"/>
      <c r="M343" s="9"/>
      <c r="Q343" s="965"/>
      <c r="R343" s="967"/>
    </row>
    <row r="344">
      <c r="A344" s="964"/>
      <c r="C344" s="965"/>
      <c r="F344" s="964"/>
      <c r="G344" s="966"/>
      <c r="H344" s="964"/>
      <c r="I344" s="964"/>
      <c r="K344" s="964"/>
      <c r="L344" s="9"/>
      <c r="M344" s="9"/>
      <c r="Q344" s="965"/>
      <c r="R344" s="967"/>
    </row>
    <row r="345">
      <c r="A345" s="964"/>
      <c r="C345" s="965"/>
      <c r="F345" s="964"/>
      <c r="G345" s="966"/>
      <c r="H345" s="964"/>
      <c r="I345" s="964"/>
      <c r="K345" s="964"/>
      <c r="L345" s="9"/>
      <c r="M345" s="9"/>
      <c r="Q345" s="965"/>
      <c r="R345" s="967"/>
    </row>
    <row r="346">
      <c r="A346" s="964"/>
      <c r="C346" s="965"/>
      <c r="F346" s="964"/>
      <c r="G346" s="966"/>
      <c r="H346" s="964"/>
      <c r="I346" s="964"/>
      <c r="K346" s="964"/>
      <c r="L346" s="9"/>
      <c r="M346" s="9"/>
      <c r="Q346" s="965"/>
      <c r="R346" s="967"/>
    </row>
    <row r="347">
      <c r="A347" s="964"/>
      <c r="C347" s="965"/>
      <c r="F347" s="964"/>
      <c r="G347" s="966"/>
      <c r="H347" s="964"/>
      <c r="I347" s="964"/>
      <c r="K347" s="964"/>
      <c r="L347" s="9"/>
      <c r="M347" s="9"/>
      <c r="Q347" s="965"/>
      <c r="R347" s="967"/>
    </row>
    <row r="348">
      <c r="A348" s="964"/>
      <c r="C348" s="965"/>
      <c r="F348" s="964"/>
      <c r="G348" s="966"/>
      <c r="H348" s="964"/>
      <c r="I348" s="964"/>
      <c r="K348" s="964"/>
      <c r="L348" s="9"/>
      <c r="M348" s="9"/>
      <c r="Q348" s="965"/>
      <c r="R348" s="967"/>
    </row>
    <row r="349">
      <c r="A349" s="964"/>
      <c r="C349" s="965"/>
      <c r="F349" s="964"/>
      <c r="G349" s="966"/>
      <c r="H349" s="964"/>
      <c r="I349" s="964"/>
      <c r="K349" s="964"/>
      <c r="L349" s="9"/>
      <c r="M349" s="9"/>
      <c r="Q349" s="965"/>
      <c r="R349" s="967"/>
    </row>
    <row r="350">
      <c r="A350" s="964"/>
      <c r="C350" s="965"/>
      <c r="F350" s="964"/>
      <c r="G350" s="966"/>
      <c r="H350" s="964"/>
      <c r="I350" s="964"/>
      <c r="K350" s="964"/>
      <c r="L350" s="9"/>
      <c r="M350" s="9"/>
      <c r="Q350" s="965"/>
      <c r="R350" s="967"/>
    </row>
    <row r="351">
      <c r="A351" s="964"/>
      <c r="C351" s="965"/>
      <c r="F351" s="964"/>
      <c r="G351" s="966"/>
      <c r="H351" s="964"/>
      <c r="I351" s="964"/>
      <c r="K351" s="964"/>
      <c r="L351" s="9"/>
      <c r="M351" s="9"/>
      <c r="Q351" s="965"/>
      <c r="R351" s="967"/>
    </row>
    <row r="352">
      <c r="A352" s="964"/>
      <c r="C352" s="965"/>
      <c r="F352" s="964"/>
      <c r="G352" s="966"/>
      <c r="H352" s="964"/>
      <c r="I352" s="964"/>
      <c r="K352" s="964"/>
      <c r="L352" s="9"/>
      <c r="M352" s="9"/>
      <c r="Q352" s="965"/>
      <c r="R352" s="967"/>
    </row>
    <row r="353">
      <c r="A353" s="964"/>
      <c r="C353" s="965"/>
      <c r="F353" s="964"/>
      <c r="G353" s="966"/>
      <c r="H353" s="964"/>
      <c r="I353" s="964"/>
      <c r="K353" s="964"/>
      <c r="L353" s="9"/>
      <c r="M353" s="9"/>
      <c r="Q353" s="965"/>
      <c r="R353" s="967"/>
    </row>
    <row r="354">
      <c r="A354" s="964"/>
      <c r="C354" s="965"/>
      <c r="F354" s="964"/>
      <c r="G354" s="966"/>
      <c r="H354" s="964"/>
      <c r="I354" s="964"/>
      <c r="K354" s="964"/>
      <c r="L354" s="9"/>
      <c r="M354" s="9"/>
      <c r="Q354" s="965"/>
      <c r="R354" s="967"/>
    </row>
    <row r="355">
      <c r="A355" s="964"/>
      <c r="C355" s="965"/>
      <c r="F355" s="964"/>
      <c r="G355" s="966"/>
      <c r="H355" s="964"/>
      <c r="I355" s="964"/>
      <c r="K355" s="964"/>
      <c r="L355" s="9"/>
      <c r="M355" s="9"/>
      <c r="Q355" s="965"/>
      <c r="R355" s="967"/>
    </row>
    <row r="356">
      <c r="A356" s="964"/>
      <c r="C356" s="965"/>
      <c r="F356" s="964"/>
      <c r="G356" s="966"/>
      <c r="H356" s="964"/>
      <c r="I356" s="964"/>
      <c r="K356" s="964"/>
      <c r="L356" s="9"/>
      <c r="M356" s="9"/>
      <c r="Q356" s="965"/>
      <c r="R356" s="967"/>
    </row>
    <row r="357">
      <c r="A357" s="964"/>
      <c r="C357" s="965"/>
      <c r="F357" s="964"/>
      <c r="G357" s="966"/>
      <c r="H357" s="964"/>
      <c r="I357" s="964"/>
      <c r="K357" s="964"/>
      <c r="L357" s="9"/>
      <c r="M357" s="9"/>
      <c r="Q357" s="965"/>
      <c r="R357" s="967"/>
    </row>
    <row r="358">
      <c r="A358" s="964"/>
      <c r="C358" s="965"/>
      <c r="F358" s="964"/>
      <c r="G358" s="966"/>
      <c r="H358" s="964"/>
      <c r="I358" s="964"/>
      <c r="K358" s="964"/>
      <c r="L358" s="9"/>
      <c r="M358" s="9"/>
      <c r="Q358" s="965"/>
      <c r="R358" s="967"/>
    </row>
    <row r="359">
      <c r="A359" s="964"/>
      <c r="C359" s="965"/>
      <c r="F359" s="964"/>
      <c r="G359" s="966"/>
      <c r="H359" s="964"/>
      <c r="I359" s="964"/>
      <c r="K359" s="964"/>
      <c r="L359" s="9"/>
      <c r="M359" s="9"/>
      <c r="Q359" s="965"/>
      <c r="R359" s="967"/>
    </row>
    <row r="360">
      <c r="A360" s="964"/>
      <c r="C360" s="965"/>
      <c r="F360" s="964"/>
      <c r="G360" s="966"/>
      <c r="H360" s="964"/>
      <c r="I360" s="964"/>
      <c r="K360" s="964"/>
      <c r="L360" s="9"/>
      <c r="M360" s="9"/>
      <c r="Q360" s="965"/>
      <c r="R360" s="967"/>
    </row>
    <row r="361">
      <c r="A361" s="964"/>
      <c r="C361" s="965"/>
      <c r="F361" s="964"/>
      <c r="G361" s="966"/>
      <c r="H361" s="964"/>
      <c r="I361" s="964"/>
      <c r="K361" s="964"/>
      <c r="L361" s="9"/>
      <c r="M361" s="9"/>
      <c r="Q361" s="965"/>
      <c r="R361" s="967"/>
    </row>
    <row r="362">
      <c r="A362" s="964"/>
      <c r="C362" s="965"/>
      <c r="F362" s="964"/>
      <c r="G362" s="966"/>
      <c r="H362" s="964"/>
      <c r="I362" s="964"/>
      <c r="K362" s="964"/>
      <c r="L362" s="9"/>
      <c r="M362" s="9"/>
      <c r="Q362" s="965"/>
      <c r="R362" s="967"/>
    </row>
    <row r="363">
      <c r="A363" s="964"/>
      <c r="C363" s="965"/>
      <c r="F363" s="964"/>
      <c r="G363" s="966"/>
      <c r="H363" s="964"/>
      <c r="I363" s="964"/>
      <c r="K363" s="964"/>
      <c r="L363" s="9"/>
      <c r="M363" s="9"/>
      <c r="Q363" s="965"/>
      <c r="R363" s="967"/>
    </row>
    <row r="364">
      <c r="A364" s="964"/>
      <c r="C364" s="965"/>
      <c r="F364" s="964"/>
      <c r="G364" s="966"/>
      <c r="H364" s="964"/>
      <c r="I364" s="964"/>
      <c r="K364" s="964"/>
      <c r="L364" s="9"/>
      <c r="M364" s="9"/>
      <c r="Q364" s="965"/>
      <c r="R364" s="967"/>
    </row>
    <row r="365">
      <c r="A365" s="964"/>
      <c r="C365" s="965"/>
      <c r="F365" s="964"/>
      <c r="G365" s="966"/>
      <c r="H365" s="964"/>
      <c r="I365" s="964"/>
      <c r="K365" s="964"/>
      <c r="L365" s="9"/>
      <c r="M365" s="9"/>
      <c r="Q365" s="965"/>
      <c r="R365" s="967"/>
    </row>
    <row r="366">
      <c r="A366" s="964"/>
      <c r="C366" s="965"/>
      <c r="F366" s="964"/>
      <c r="G366" s="966"/>
      <c r="H366" s="964"/>
      <c r="I366" s="964"/>
      <c r="K366" s="964"/>
      <c r="L366" s="9"/>
      <c r="M366" s="9"/>
      <c r="Q366" s="965"/>
      <c r="R366" s="967"/>
    </row>
    <row r="367">
      <c r="A367" s="964"/>
      <c r="C367" s="965"/>
      <c r="F367" s="964"/>
      <c r="G367" s="966"/>
      <c r="H367" s="964"/>
      <c r="I367" s="964"/>
      <c r="K367" s="964"/>
      <c r="L367" s="9"/>
      <c r="M367" s="9"/>
      <c r="Q367" s="965"/>
      <c r="R367" s="967"/>
    </row>
    <row r="368">
      <c r="A368" s="964"/>
      <c r="C368" s="965"/>
      <c r="F368" s="964"/>
      <c r="G368" s="966"/>
      <c r="H368" s="964"/>
      <c r="I368" s="964"/>
      <c r="K368" s="964"/>
      <c r="L368" s="9"/>
      <c r="M368" s="9"/>
      <c r="Q368" s="965"/>
      <c r="R368" s="967"/>
    </row>
    <row r="369">
      <c r="A369" s="964"/>
      <c r="C369" s="965"/>
      <c r="F369" s="964"/>
      <c r="G369" s="966"/>
      <c r="H369" s="964"/>
      <c r="I369" s="964"/>
      <c r="K369" s="964"/>
      <c r="L369" s="9"/>
      <c r="M369" s="9"/>
      <c r="Q369" s="965"/>
      <c r="R369" s="967"/>
    </row>
    <row r="370">
      <c r="A370" s="964"/>
      <c r="C370" s="965"/>
      <c r="F370" s="964"/>
      <c r="G370" s="966"/>
      <c r="H370" s="964"/>
      <c r="I370" s="964"/>
      <c r="K370" s="964"/>
      <c r="L370" s="9"/>
      <c r="M370" s="9"/>
      <c r="Q370" s="965"/>
      <c r="R370" s="967"/>
    </row>
    <row r="371">
      <c r="A371" s="964"/>
      <c r="C371" s="965"/>
      <c r="F371" s="964"/>
      <c r="G371" s="966"/>
      <c r="H371" s="964"/>
      <c r="I371" s="964"/>
      <c r="K371" s="964"/>
      <c r="L371" s="9"/>
      <c r="M371" s="9"/>
      <c r="Q371" s="965"/>
      <c r="R371" s="967"/>
    </row>
    <row r="372">
      <c r="A372" s="964"/>
      <c r="C372" s="965"/>
      <c r="F372" s="964"/>
      <c r="G372" s="966"/>
      <c r="H372" s="964"/>
      <c r="I372" s="964"/>
      <c r="K372" s="964"/>
      <c r="L372" s="9"/>
      <c r="M372" s="9"/>
      <c r="Q372" s="965"/>
      <c r="R372" s="967"/>
    </row>
    <row r="373">
      <c r="A373" s="964"/>
      <c r="C373" s="965"/>
      <c r="F373" s="964"/>
      <c r="G373" s="966"/>
      <c r="H373" s="964"/>
      <c r="I373" s="964"/>
      <c r="K373" s="964"/>
      <c r="L373" s="9"/>
      <c r="M373" s="9"/>
      <c r="Q373" s="965"/>
      <c r="R373" s="967"/>
    </row>
    <row r="374">
      <c r="A374" s="964"/>
      <c r="C374" s="965"/>
      <c r="F374" s="964"/>
      <c r="G374" s="966"/>
      <c r="H374" s="964"/>
      <c r="I374" s="964"/>
      <c r="K374" s="964"/>
      <c r="L374" s="9"/>
      <c r="M374" s="9"/>
      <c r="Q374" s="965"/>
      <c r="R374" s="967"/>
    </row>
    <row r="375">
      <c r="A375" s="964"/>
      <c r="C375" s="965"/>
      <c r="F375" s="964"/>
      <c r="G375" s="966"/>
      <c r="H375" s="964"/>
      <c r="I375" s="964"/>
      <c r="K375" s="964"/>
      <c r="L375" s="9"/>
      <c r="M375" s="9"/>
      <c r="Q375" s="965"/>
      <c r="R375" s="967"/>
    </row>
    <row r="376">
      <c r="A376" s="964"/>
      <c r="C376" s="965"/>
      <c r="F376" s="964"/>
      <c r="G376" s="966"/>
      <c r="H376" s="964"/>
      <c r="I376" s="964"/>
      <c r="K376" s="964"/>
      <c r="L376" s="9"/>
      <c r="M376" s="9"/>
      <c r="Q376" s="965"/>
      <c r="R376" s="967"/>
    </row>
    <row r="377">
      <c r="A377" s="964"/>
      <c r="C377" s="965"/>
      <c r="F377" s="964"/>
      <c r="G377" s="966"/>
      <c r="H377" s="964"/>
      <c r="I377" s="964"/>
      <c r="K377" s="964"/>
      <c r="L377" s="9"/>
      <c r="M377" s="9"/>
      <c r="Q377" s="965"/>
      <c r="R377" s="967"/>
    </row>
    <row r="378">
      <c r="A378" s="964"/>
      <c r="C378" s="965"/>
      <c r="F378" s="964"/>
      <c r="G378" s="966"/>
      <c r="H378" s="964"/>
      <c r="I378" s="964"/>
      <c r="K378" s="964"/>
      <c r="L378" s="9"/>
      <c r="M378" s="9"/>
      <c r="Q378" s="965"/>
      <c r="R378" s="967"/>
    </row>
    <row r="379">
      <c r="A379" s="964"/>
      <c r="C379" s="965"/>
      <c r="F379" s="964"/>
      <c r="G379" s="966"/>
      <c r="H379" s="964"/>
      <c r="I379" s="964"/>
      <c r="K379" s="964"/>
      <c r="L379" s="9"/>
      <c r="M379" s="9"/>
      <c r="Q379" s="965"/>
      <c r="R379" s="967"/>
    </row>
    <row r="380">
      <c r="A380" s="964"/>
      <c r="C380" s="965"/>
      <c r="F380" s="964"/>
      <c r="G380" s="966"/>
      <c r="H380" s="964"/>
      <c r="I380" s="964"/>
      <c r="K380" s="964"/>
      <c r="L380" s="9"/>
      <c r="M380" s="9"/>
      <c r="Q380" s="965"/>
      <c r="R380" s="967"/>
    </row>
    <row r="381">
      <c r="A381" s="964"/>
      <c r="C381" s="965"/>
      <c r="F381" s="964"/>
      <c r="G381" s="966"/>
      <c r="H381" s="964"/>
      <c r="I381" s="964"/>
      <c r="K381" s="964"/>
      <c r="L381" s="9"/>
      <c r="M381" s="9"/>
      <c r="Q381" s="965"/>
      <c r="R381" s="967"/>
    </row>
    <row r="382">
      <c r="A382" s="964"/>
      <c r="C382" s="965"/>
      <c r="F382" s="964"/>
      <c r="G382" s="966"/>
      <c r="H382" s="964"/>
      <c r="I382" s="964"/>
      <c r="K382" s="964"/>
      <c r="L382" s="9"/>
      <c r="M382" s="9"/>
      <c r="Q382" s="965"/>
      <c r="R382" s="967"/>
    </row>
    <row r="383">
      <c r="A383" s="964"/>
      <c r="C383" s="965"/>
      <c r="F383" s="964"/>
      <c r="G383" s="966"/>
      <c r="H383" s="964"/>
      <c r="I383" s="964"/>
      <c r="K383" s="964"/>
      <c r="L383" s="9"/>
      <c r="M383" s="9"/>
      <c r="Q383" s="965"/>
      <c r="R383" s="967"/>
    </row>
    <row r="384">
      <c r="A384" s="964"/>
      <c r="C384" s="965"/>
      <c r="F384" s="964"/>
      <c r="G384" s="966"/>
      <c r="H384" s="964"/>
      <c r="I384" s="964"/>
      <c r="K384" s="964"/>
      <c r="L384" s="9"/>
      <c r="M384" s="9"/>
      <c r="Q384" s="965"/>
      <c r="R384" s="967"/>
    </row>
    <row r="385">
      <c r="A385" s="964"/>
      <c r="C385" s="965"/>
      <c r="F385" s="964"/>
      <c r="G385" s="966"/>
      <c r="H385" s="964"/>
      <c r="I385" s="964"/>
      <c r="K385" s="964"/>
      <c r="L385" s="9"/>
      <c r="M385" s="9"/>
      <c r="Q385" s="965"/>
      <c r="R385" s="967"/>
    </row>
    <row r="386">
      <c r="A386" s="964"/>
      <c r="C386" s="965"/>
      <c r="F386" s="964"/>
      <c r="G386" s="966"/>
      <c r="H386" s="964"/>
      <c r="I386" s="964"/>
      <c r="K386" s="964"/>
      <c r="L386" s="9"/>
      <c r="M386" s="9"/>
      <c r="Q386" s="965"/>
      <c r="R386" s="967"/>
    </row>
    <row r="387">
      <c r="A387" s="964"/>
      <c r="C387" s="965"/>
      <c r="F387" s="964"/>
      <c r="G387" s="966"/>
      <c r="H387" s="964"/>
      <c r="I387" s="964"/>
      <c r="K387" s="964"/>
      <c r="L387" s="9"/>
      <c r="M387" s="9"/>
      <c r="Q387" s="965"/>
      <c r="R387" s="967"/>
    </row>
    <row r="388">
      <c r="A388" s="964"/>
      <c r="C388" s="965"/>
      <c r="F388" s="964"/>
      <c r="G388" s="966"/>
      <c r="H388" s="964"/>
      <c r="I388" s="964"/>
      <c r="K388" s="964"/>
      <c r="L388" s="9"/>
      <c r="M388" s="9"/>
      <c r="Q388" s="965"/>
      <c r="R388" s="967"/>
    </row>
    <row r="389">
      <c r="A389" s="964"/>
      <c r="C389" s="965"/>
      <c r="F389" s="964"/>
      <c r="G389" s="966"/>
      <c r="H389" s="964"/>
      <c r="I389" s="964"/>
      <c r="K389" s="964"/>
      <c r="L389" s="9"/>
      <c r="M389" s="9"/>
      <c r="Q389" s="965"/>
      <c r="R389" s="967"/>
    </row>
    <row r="390">
      <c r="A390" s="964"/>
      <c r="C390" s="965"/>
      <c r="F390" s="964"/>
      <c r="G390" s="966"/>
      <c r="H390" s="964"/>
      <c r="I390" s="964"/>
      <c r="K390" s="964"/>
      <c r="L390" s="9"/>
      <c r="M390" s="9"/>
      <c r="Q390" s="965"/>
      <c r="R390" s="967"/>
    </row>
    <row r="391">
      <c r="A391" s="964"/>
      <c r="C391" s="965"/>
      <c r="F391" s="964"/>
      <c r="G391" s="966"/>
      <c r="H391" s="964"/>
      <c r="I391" s="964"/>
      <c r="K391" s="964"/>
      <c r="L391" s="9"/>
      <c r="M391" s="9"/>
      <c r="Q391" s="965"/>
      <c r="R391" s="967"/>
    </row>
    <row r="392">
      <c r="A392" s="964"/>
      <c r="C392" s="965"/>
      <c r="F392" s="964"/>
      <c r="G392" s="966"/>
      <c r="H392" s="964"/>
      <c r="I392" s="964"/>
      <c r="K392" s="964"/>
      <c r="L392" s="9"/>
      <c r="M392" s="9"/>
      <c r="Q392" s="965"/>
      <c r="R392" s="967"/>
    </row>
    <row r="393">
      <c r="A393" s="964"/>
      <c r="C393" s="965"/>
      <c r="F393" s="964"/>
      <c r="G393" s="966"/>
      <c r="H393" s="964"/>
      <c r="I393" s="964"/>
      <c r="K393" s="964"/>
      <c r="L393" s="9"/>
      <c r="M393" s="9"/>
      <c r="Q393" s="965"/>
      <c r="R393" s="967"/>
    </row>
    <row r="394">
      <c r="A394" s="964"/>
      <c r="C394" s="965"/>
      <c r="F394" s="964"/>
      <c r="G394" s="966"/>
      <c r="H394" s="964"/>
      <c r="I394" s="964"/>
      <c r="K394" s="964"/>
      <c r="L394" s="9"/>
      <c r="M394" s="9"/>
      <c r="Q394" s="965"/>
      <c r="R394" s="967"/>
    </row>
    <row r="395">
      <c r="A395" s="964"/>
      <c r="C395" s="965"/>
      <c r="F395" s="964"/>
      <c r="G395" s="966"/>
      <c r="H395" s="964"/>
      <c r="I395" s="964"/>
      <c r="K395" s="964"/>
      <c r="L395" s="9"/>
      <c r="M395" s="9"/>
      <c r="Q395" s="965"/>
      <c r="R395" s="967"/>
    </row>
    <row r="396">
      <c r="A396" s="964"/>
      <c r="C396" s="965"/>
      <c r="F396" s="964"/>
      <c r="G396" s="966"/>
      <c r="H396" s="964"/>
      <c r="I396" s="964"/>
      <c r="K396" s="964"/>
      <c r="L396" s="9"/>
      <c r="M396" s="9"/>
      <c r="Q396" s="965"/>
      <c r="R396" s="967"/>
    </row>
    <row r="397">
      <c r="A397" s="964"/>
      <c r="C397" s="965"/>
      <c r="F397" s="964"/>
      <c r="G397" s="966"/>
      <c r="H397" s="964"/>
      <c r="I397" s="964"/>
      <c r="K397" s="964"/>
      <c r="L397" s="9"/>
      <c r="M397" s="9"/>
      <c r="Q397" s="965"/>
      <c r="R397" s="967"/>
    </row>
    <row r="398">
      <c r="A398" s="964"/>
      <c r="C398" s="965"/>
      <c r="F398" s="964"/>
      <c r="G398" s="966"/>
      <c r="H398" s="964"/>
      <c r="I398" s="964"/>
      <c r="K398" s="964"/>
      <c r="L398" s="9"/>
      <c r="M398" s="9"/>
      <c r="Q398" s="965"/>
      <c r="R398" s="967"/>
    </row>
    <row r="399">
      <c r="A399" s="964"/>
      <c r="C399" s="965"/>
      <c r="F399" s="964"/>
      <c r="G399" s="966"/>
      <c r="H399" s="964"/>
      <c r="I399" s="964"/>
      <c r="K399" s="964"/>
      <c r="L399" s="9"/>
      <c r="M399" s="9"/>
      <c r="Q399" s="965"/>
      <c r="R399" s="967"/>
    </row>
    <row r="400">
      <c r="A400" s="964"/>
      <c r="C400" s="965"/>
      <c r="F400" s="964"/>
      <c r="G400" s="966"/>
      <c r="H400" s="964"/>
      <c r="I400" s="964"/>
      <c r="K400" s="964"/>
      <c r="L400" s="9"/>
      <c r="M400" s="9"/>
      <c r="Q400" s="965"/>
      <c r="R400" s="967"/>
    </row>
    <row r="401">
      <c r="A401" s="964"/>
      <c r="C401" s="965"/>
      <c r="F401" s="964"/>
      <c r="G401" s="966"/>
      <c r="H401" s="964"/>
      <c r="I401" s="964"/>
      <c r="K401" s="964"/>
      <c r="L401" s="9"/>
      <c r="M401" s="9"/>
      <c r="Q401" s="965"/>
      <c r="R401" s="967"/>
    </row>
    <row r="402">
      <c r="A402" s="964"/>
      <c r="C402" s="965"/>
      <c r="F402" s="964"/>
      <c r="G402" s="966"/>
      <c r="H402" s="964"/>
      <c r="I402" s="964"/>
      <c r="K402" s="964"/>
      <c r="L402" s="9"/>
      <c r="M402" s="9"/>
      <c r="Q402" s="965"/>
      <c r="R402" s="967"/>
    </row>
    <row r="403">
      <c r="A403" s="964"/>
      <c r="C403" s="965"/>
      <c r="F403" s="964"/>
      <c r="G403" s="966"/>
      <c r="H403" s="964"/>
      <c r="I403" s="964"/>
      <c r="K403" s="964"/>
      <c r="L403" s="9"/>
      <c r="M403" s="9"/>
      <c r="Q403" s="965"/>
      <c r="R403" s="967"/>
    </row>
    <row r="404">
      <c r="A404" s="964"/>
      <c r="C404" s="965"/>
      <c r="F404" s="964"/>
      <c r="G404" s="966"/>
      <c r="H404" s="964"/>
      <c r="I404" s="964"/>
      <c r="K404" s="964"/>
      <c r="L404" s="9"/>
      <c r="M404" s="9"/>
      <c r="Q404" s="965"/>
      <c r="R404" s="967"/>
    </row>
    <row r="405">
      <c r="A405" s="964"/>
      <c r="C405" s="965"/>
      <c r="F405" s="964"/>
      <c r="G405" s="966"/>
      <c r="H405" s="964"/>
      <c r="I405" s="964"/>
      <c r="K405" s="964"/>
      <c r="L405" s="9"/>
      <c r="M405" s="9"/>
      <c r="Q405" s="965"/>
      <c r="R405" s="967"/>
    </row>
    <row r="406">
      <c r="A406" s="964"/>
      <c r="C406" s="965"/>
      <c r="F406" s="964"/>
      <c r="G406" s="966"/>
      <c r="H406" s="964"/>
      <c r="I406" s="964"/>
      <c r="K406" s="964"/>
      <c r="L406" s="9"/>
      <c r="M406" s="9"/>
      <c r="Q406" s="965"/>
      <c r="R406" s="967"/>
    </row>
    <row r="407">
      <c r="A407" s="964"/>
      <c r="C407" s="965"/>
      <c r="F407" s="964"/>
      <c r="G407" s="966"/>
      <c r="H407" s="964"/>
      <c r="I407" s="964"/>
      <c r="K407" s="964"/>
      <c r="L407" s="9"/>
      <c r="M407" s="9"/>
      <c r="Q407" s="965"/>
      <c r="R407" s="967"/>
    </row>
    <row r="408">
      <c r="A408" s="964"/>
      <c r="C408" s="965"/>
      <c r="F408" s="964"/>
      <c r="G408" s="966"/>
      <c r="H408" s="964"/>
      <c r="I408" s="964"/>
      <c r="K408" s="964"/>
      <c r="L408" s="9"/>
      <c r="M408" s="9"/>
      <c r="Q408" s="965"/>
      <c r="R408" s="967"/>
    </row>
    <row r="409">
      <c r="A409" s="964"/>
      <c r="C409" s="965"/>
      <c r="F409" s="964"/>
      <c r="G409" s="966"/>
      <c r="H409" s="964"/>
      <c r="I409" s="964"/>
      <c r="K409" s="964"/>
      <c r="L409" s="9"/>
      <c r="M409" s="9"/>
      <c r="Q409" s="965"/>
      <c r="R409" s="967"/>
    </row>
    <row r="410">
      <c r="A410" s="964"/>
      <c r="C410" s="965"/>
      <c r="F410" s="964"/>
      <c r="G410" s="966"/>
      <c r="H410" s="964"/>
      <c r="I410" s="964"/>
      <c r="K410" s="964"/>
      <c r="L410" s="9"/>
      <c r="M410" s="9"/>
      <c r="Q410" s="965"/>
      <c r="R410" s="967"/>
    </row>
    <row r="411">
      <c r="A411" s="964"/>
      <c r="C411" s="965"/>
      <c r="F411" s="964"/>
      <c r="G411" s="966"/>
      <c r="H411" s="964"/>
      <c r="I411" s="964"/>
      <c r="K411" s="964"/>
      <c r="L411" s="9"/>
      <c r="M411" s="9"/>
      <c r="Q411" s="965"/>
      <c r="R411" s="967"/>
    </row>
    <row r="412">
      <c r="A412" s="964"/>
      <c r="C412" s="965"/>
      <c r="F412" s="964"/>
      <c r="G412" s="966"/>
      <c r="H412" s="964"/>
      <c r="I412" s="964"/>
      <c r="K412" s="964"/>
      <c r="L412" s="9"/>
      <c r="M412" s="9"/>
      <c r="Q412" s="965"/>
      <c r="R412" s="967"/>
    </row>
    <row r="413">
      <c r="A413" s="964"/>
      <c r="C413" s="965"/>
      <c r="F413" s="964"/>
      <c r="G413" s="966"/>
      <c r="H413" s="964"/>
      <c r="I413" s="964"/>
      <c r="K413" s="964"/>
      <c r="L413" s="9"/>
      <c r="M413" s="9"/>
      <c r="Q413" s="965"/>
      <c r="R413" s="967"/>
    </row>
    <row r="414">
      <c r="A414" s="964"/>
      <c r="C414" s="965"/>
      <c r="F414" s="964"/>
      <c r="G414" s="966"/>
      <c r="H414" s="964"/>
      <c r="I414" s="964"/>
      <c r="K414" s="964"/>
      <c r="L414" s="9"/>
      <c r="M414" s="9"/>
      <c r="Q414" s="965"/>
      <c r="R414" s="967"/>
    </row>
    <row r="415">
      <c r="A415" s="964"/>
      <c r="C415" s="965"/>
      <c r="F415" s="964"/>
      <c r="G415" s="966"/>
      <c r="H415" s="964"/>
      <c r="I415" s="964"/>
      <c r="K415" s="964"/>
      <c r="L415" s="9"/>
      <c r="M415" s="9"/>
      <c r="Q415" s="965"/>
      <c r="R415" s="967"/>
    </row>
    <row r="416">
      <c r="A416" s="964"/>
      <c r="C416" s="965"/>
      <c r="F416" s="964"/>
      <c r="G416" s="966"/>
      <c r="H416" s="964"/>
      <c r="I416" s="964"/>
      <c r="K416" s="964"/>
      <c r="L416" s="9"/>
      <c r="M416" s="9"/>
      <c r="Q416" s="965"/>
      <c r="R416" s="967"/>
    </row>
    <row r="417">
      <c r="A417" s="964"/>
      <c r="C417" s="965"/>
      <c r="F417" s="964"/>
      <c r="G417" s="966"/>
      <c r="H417" s="964"/>
      <c r="I417" s="964"/>
      <c r="K417" s="964"/>
      <c r="L417" s="9"/>
      <c r="M417" s="9"/>
      <c r="Q417" s="965"/>
      <c r="R417" s="967"/>
    </row>
    <row r="418">
      <c r="A418" s="964"/>
      <c r="C418" s="965"/>
      <c r="F418" s="964"/>
      <c r="G418" s="966"/>
      <c r="H418" s="964"/>
      <c r="I418" s="964"/>
      <c r="K418" s="964"/>
      <c r="L418" s="9"/>
      <c r="M418" s="9"/>
      <c r="Q418" s="965"/>
      <c r="R418" s="967"/>
    </row>
    <row r="419">
      <c r="A419" s="964"/>
      <c r="C419" s="965"/>
      <c r="F419" s="964"/>
      <c r="G419" s="966"/>
      <c r="H419" s="964"/>
      <c r="I419" s="964"/>
      <c r="K419" s="964"/>
      <c r="L419" s="9"/>
      <c r="M419" s="9"/>
      <c r="Q419" s="965"/>
      <c r="R419" s="967"/>
    </row>
    <row r="420">
      <c r="A420" s="964"/>
      <c r="C420" s="965"/>
      <c r="F420" s="964"/>
      <c r="G420" s="966"/>
      <c r="H420" s="964"/>
      <c r="I420" s="964"/>
      <c r="K420" s="964"/>
      <c r="L420" s="9"/>
      <c r="M420" s="9"/>
      <c r="Q420" s="965"/>
      <c r="R420" s="967"/>
    </row>
    <row r="421">
      <c r="A421" s="964"/>
      <c r="C421" s="965"/>
      <c r="F421" s="964"/>
      <c r="G421" s="966"/>
      <c r="H421" s="964"/>
      <c r="I421" s="964"/>
      <c r="K421" s="964"/>
      <c r="L421" s="9"/>
      <c r="M421" s="9"/>
      <c r="Q421" s="965"/>
      <c r="R421" s="967"/>
    </row>
    <row r="422">
      <c r="A422" s="964"/>
      <c r="C422" s="965"/>
      <c r="F422" s="964"/>
      <c r="G422" s="966"/>
      <c r="H422" s="964"/>
      <c r="I422" s="964"/>
      <c r="K422" s="964"/>
      <c r="L422" s="9"/>
      <c r="M422" s="9"/>
      <c r="Q422" s="965"/>
      <c r="R422" s="967"/>
    </row>
    <row r="423">
      <c r="A423" s="964"/>
      <c r="C423" s="965"/>
      <c r="F423" s="964"/>
      <c r="G423" s="966"/>
      <c r="H423" s="964"/>
      <c r="I423" s="964"/>
      <c r="K423" s="964"/>
      <c r="L423" s="9"/>
      <c r="M423" s="9"/>
      <c r="Q423" s="965"/>
      <c r="R423" s="967"/>
    </row>
    <row r="424">
      <c r="A424" s="964"/>
      <c r="C424" s="965"/>
      <c r="F424" s="964"/>
      <c r="G424" s="966"/>
      <c r="H424" s="964"/>
      <c r="I424" s="964"/>
      <c r="K424" s="964"/>
      <c r="L424" s="9"/>
      <c r="M424" s="9"/>
      <c r="Q424" s="965"/>
      <c r="R424" s="967"/>
    </row>
    <row r="425">
      <c r="A425" s="964"/>
      <c r="C425" s="965"/>
      <c r="F425" s="964"/>
      <c r="G425" s="966"/>
      <c r="H425" s="964"/>
      <c r="I425" s="964"/>
      <c r="K425" s="964"/>
      <c r="L425" s="9"/>
      <c r="M425" s="9"/>
      <c r="Q425" s="965"/>
      <c r="R425" s="967"/>
    </row>
    <row r="426">
      <c r="A426" s="964"/>
      <c r="C426" s="965"/>
      <c r="F426" s="964"/>
      <c r="G426" s="966"/>
      <c r="H426" s="964"/>
      <c r="I426" s="964"/>
      <c r="K426" s="964"/>
      <c r="L426" s="9"/>
      <c r="M426" s="9"/>
      <c r="Q426" s="965"/>
      <c r="R426" s="967"/>
    </row>
    <row r="427">
      <c r="A427" s="964"/>
      <c r="C427" s="965"/>
      <c r="F427" s="964"/>
      <c r="G427" s="966"/>
      <c r="H427" s="964"/>
      <c r="I427" s="964"/>
      <c r="K427" s="964"/>
      <c r="L427" s="9"/>
      <c r="M427" s="9"/>
      <c r="Q427" s="965"/>
      <c r="R427" s="967"/>
    </row>
    <row r="428">
      <c r="A428" s="964"/>
      <c r="C428" s="965"/>
      <c r="F428" s="964"/>
      <c r="G428" s="966"/>
      <c r="H428" s="964"/>
      <c r="I428" s="964"/>
      <c r="K428" s="964"/>
      <c r="L428" s="9"/>
      <c r="M428" s="9"/>
      <c r="Q428" s="965"/>
      <c r="R428" s="967"/>
    </row>
    <row r="429">
      <c r="A429" s="964"/>
      <c r="C429" s="965"/>
      <c r="F429" s="964"/>
      <c r="G429" s="966"/>
      <c r="H429" s="964"/>
      <c r="I429" s="964"/>
      <c r="K429" s="964"/>
      <c r="L429" s="9"/>
      <c r="M429" s="9"/>
      <c r="Q429" s="965"/>
      <c r="R429" s="967"/>
    </row>
    <row r="430">
      <c r="A430" s="964"/>
      <c r="C430" s="965"/>
      <c r="F430" s="964"/>
      <c r="G430" s="966"/>
      <c r="H430" s="964"/>
      <c r="I430" s="964"/>
      <c r="K430" s="964"/>
      <c r="L430" s="9"/>
      <c r="M430" s="9"/>
      <c r="Q430" s="965"/>
      <c r="R430" s="967"/>
    </row>
    <row r="431">
      <c r="A431" s="964"/>
      <c r="C431" s="965"/>
      <c r="F431" s="964"/>
      <c r="G431" s="966"/>
      <c r="H431" s="964"/>
      <c r="I431" s="964"/>
      <c r="K431" s="964"/>
      <c r="L431" s="9"/>
      <c r="M431" s="9"/>
      <c r="Q431" s="965"/>
      <c r="R431" s="967"/>
    </row>
    <row r="432">
      <c r="A432" s="964"/>
      <c r="C432" s="965"/>
      <c r="F432" s="964"/>
      <c r="G432" s="966"/>
      <c r="H432" s="964"/>
      <c r="I432" s="964"/>
      <c r="K432" s="964"/>
      <c r="L432" s="9"/>
      <c r="M432" s="9"/>
      <c r="Q432" s="965"/>
      <c r="R432" s="967"/>
    </row>
    <row r="433">
      <c r="A433" s="964"/>
      <c r="C433" s="965"/>
      <c r="F433" s="964"/>
      <c r="G433" s="966"/>
      <c r="H433" s="964"/>
      <c r="I433" s="964"/>
      <c r="K433" s="964"/>
      <c r="L433" s="9"/>
      <c r="M433" s="9"/>
      <c r="Q433" s="965"/>
      <c r="R433" s="967"/>
    </row>
    <row r="434">
      <c r="A434" s="964"/>
      <c r="C434" s="965"/>
      <c r="F434" s="964"/>
      <c r="G434" s="966"/>
      <c r="H434" s="964"/>
      <c r="I434" s="964"/>
      <c r="K434" s="964"/>
      <c r="L434" s="9"/>
      <c r="M434" s="9"/>
      <c r="Q434" s="965"/>
      <c r="R434" s="967"/>
    </row>
    <row r="435">
      <c r="A435" s="964"/>
      <c r="C435" s="965"/>
      <c r="F435" s="964"/>
      <c r="G435" s="966"/>
      <c r="H435" s="964"/>
      <c r="I435" s="964"/>
      <c r="K435" s="964"/>
      <c r="L435" s="9"/>
      <c r="M435" s="9"/>
      <c r="Q435" s="965"/>
      <c r="R435" s="967"/>
    </row>
    <row r="436">
      <c r="A436" s="964"/>
      <c r="C436" s="965"/>
      <c r="F436" s="964"/>
      <c r="G436" s="966"/>
      <c r="H436" s="964"/>
      <c r="I436" s="964"/>
      <c r="K436" s="964"/>
      <c r="L436" s="9"/>
      <c r="M436" s="9"/>
      <c r="Q436" s="965"/>
      <c r="R436" s="967"/>
    </row>
    <row r="437">
      <c r="A437" s="964"/>
      <c r="C437" s="965"/>
      <c r="F437" s="964"/>
      <c r="G437" s="966"/>
      <c r="H437" s="964"/>
      <c r="I437" s="964"/>
      <c r="K437" s="964"/>
      <c r="L437" s="9"/>
      <c r="M437" s="9"/>
      <c r="Q437" s="965"/>
      <c r="R437" s="967"/>
    </row>
    <row r="438">
      <c r="A438" s="964"/>
      <c r="C438" s="965"/>
      <c r="F438" s="964"/>
      <c r="G438" s="966"/>
      <c r="H438" s="964"/>
      <c r="I438" s="964"/>
      <c r="K438" s="964"/>
      <c r="L438" s="9"/>
      <c r="M438" s="9"/>
      <c r="Q438" s="965"/>
      <c r="R438" s="967"/>
    </row>
    <row r="439">
      <c r="A439" s="964"/>
      <c r="C439" s="965"/>
      <c r="F439" s="964"/>
      <c r="G439" s="966"/>
      <c r="H439" s="964"/>
      <c r="I439" s="964"/>
      <c r="K439" s="964"/>
      <c r="L439" s="9"/>
      <c r="M439" s="9"/>
      <c r="Q439" s="965"/>
      <c r="R439" s="967"/>
    </row>
    <row r="440">
      <c r="A440" s="964"/>
      <c r="C440" s="965"/>
      <c r="F440" s="964"/>
      <c r="G440" s="966"/>
      <c r="H440" s="964"/>
      <c r="I440" s="964"/>
      <c r="K440" s="964"/>
      <c r="L440" s="9"/>
      <c r="M440" s="9"/>
      <c r="Q440" s="965"/>
      <c r="R440" s="967"/>
    </row>
    <row r="441">
      <c r="A441" s="964"/>
      <c r="C441" s="965"/>
      <c r="F441" s="964"/>
      <c r="G441" s="966"/>
      <c r="H441" s="964"/>
      <c r="I441" s="964"/>
      <c r="K441" s="964"/>
      <c r="L441" s="9"/>
      <c r="M441" s="9"/>
      <c r="Q441" s="965"/>
      <c r="R441" s="967"/>
    </row>
    <row r="442">
      <c r="A442" s="964"/>
      <c r="C442" s="965"/>
      <c r="F442" s="964"/>
      <c r="G442" s="966"/>
      <c r="H442" s="964"/>
      <c r="I442" s="964"/>
      <c r="K442" s="964"/>
      <c r="L442" s="9"/>
      <c r="M442" s="9"/>
      <c r="Q442" s="965"/>
      <c r="R442" s="967"/>
    </row>
    <row r="443">
      <c r="A443" s="964"/>
      <c r="C443" s="965"/>
      <c r="F443" s="964"/>
      <c r="G443" s="966"/>
      <c r="H443" s="964"/>
      <c r="I443" s="964"/>
      <c r="K443" s="964"/>
      <c r="L443" s="9"/>
      <c r="M443" s="9"/>
      <c r="Q443" s="965"/>
      <c r="R443" s="967"/>
    </row>
    <row r="444">
      <c r="A444" s="964"/>
      <c r="C444" s="965"/>
      <c r="F444" s="964"/>
      <c r="G444" s="966"/>
      <c r="H444" s="964"/>
      <c r="I444" s="964"/>
      <c r="K444" s="964"/>
      <c r="L444" s="9"/>
      <c r="M444" s="9"/>
      <c r="Q444" s="965"/>
      <c r="R444" s="967"/>
    </row>
    <row r="445">
      <c r="A445" s="964"/>
      <c r="C445" s="965"/>
      <c r="F445" s="964"/>
      <c r="G445" s="966"/>
      <c r="H445" s="964"/>
      <c r="I445" s="964"/>
      <c r="K445" s="964"/>
      <c r="L445" s="9"/>
      <c r="M445" s="9"/>
      <c r="Q445" s="965"/>
      <c r="R445" s="967"/>
    </row>
    <row r="446">
      <c r="A446" s="964"/>
      <c r="C446" s="965"/>
      <c r="F446" s="964"/>
      <c r="G446" s="966"/>
      <c r="H446" s="964"/>
      <c r="I446" s="964"/>
      <c r="K446" s="964"/>
      <c r="L446" s="9"/>
      <c r="M446" s="9"/>
      <c r="Q446" s="965"/>
      <c r="R446" s="967"/>
    </row>
    <row r="447">
      <c r="A447" s="964"/>
      <c r="C447" s="965"/>
      <c r="F447" s="964"/>
      <c r="G447" s="966"/>
      <c r="H447" s="964"/>
      <c r="I447" s="964"/>
      <c r="K447" s="964"/>
      <c r="L447" s="9"/>
      <c r="M447" s="9"/>
      <c r="Q447" s="965"/>
      <c r="R447" s="967"/>
    </row>
    <row r="448">
      <c r="A448" s="964"/>
      <c r="C448" s="965"/>
      <c r="F448" s="964"/>
      <c r="G448" s="966"/>
      <c r="H448" s="964"/>
      <c r="I448" s="964"/>
      <c r="K448" s="964"/>
      <c r="L448" s="9"/>
      <c r="M448" s="9"/>
      <c r="Q448" s="965"/>
      <c r="R448" s="967"/>
    </row>
    <row r="449">
      <c r="A449" s="964"/>
      <c r="C449" s="965"/>
      <c r="F449" s="964"/>
      <c r="G449" s="966"/>
      <c r="H449" s="964"/>
      <c r="I449" s="964"/>
      <c r="K449" s="964"/>
      <c r="L449" s="9"/>
      <c r="M449" s="9"/>
      <c r="Q449" s="965"/>
      <c r="R449" s="967"/>
    </row>
    <row r="450">
      <c r="A450" s="964"/>
      <c r="C450" s="965"/>
      <c r="F450" s="964"/>
      <c r="G450" s="966"/>
      <c r="H450" s="964"/>
      <c r="I450" s="964"/>
      <c r="K450" s="964"/>
      <c r="L450" s="9"/>
      <c r="M450" s="9"/>
      <c r="Q450" s="965"/>
      <c r="R450" s="967"/>
    </row>
    <row r="451">
      <c r="A451" s="964"/>
      <c r="C451" s="965"/>
      <c r="F451" s="964"/>
      <c r="G451" s="966"/>
      <c r="H451" s="964"/>
      <c r="I451" s="964"/>
      <c r="K451" s="964"/>
      <c r="L451" s="9"/>
      <c r="M451" s="9"/>
      <c r="Q451" s="965"/>
      <c r="R451" s="967"/>
    </row>
    <row r="452">
      <c r="A452" s="964"/>
      <c r="C452" s="965"/>
      <c r="F452" s="964"/>
      <c r="G452" s="966"/>
      <c r="H452" s="964"/>
      <c r="I452" s="964"/>
      <c r="K452" s="964"/>
      <c r="L452" s="9"/>
      <c r="M452" s="9"/>
      <c r="Q452" s="965"/>
      <c r="R452" s="967"/>
    </row>
    <row r="453">
      <c r="A453" s="964"/>
      <c r="C453" s="965"/>
      <c r="F453" s="964"/>
      <c r="G453" s="966"/>
      <c r="H453" s="964"/>
      <c r="I453" s="964"/>
      <c r="K453" s="964"/>
      <c r="L453" s="9"/>
      <c r="M453" s="9"/>
      <c r="Q453" s="965"/>
      <c r="R453" s="967"/>
    </row>
    <row r="454">
      <c r="A454" s="964"/>
      <c r="C454" s="965"/>
      <c r="F454" s="964"/>
      <c r="G454" s="966"/>
      <c r="H454" s="964"/>
      <c r="I454" s="964"/>
      <c r="K454" s="964"/>
      <c r="L454" s="9"/>
      <c r="M454" s="9"/>
      <c r="Q454" s="965"/>
      <c r="R454" s="967"/>
    </row>
    <row r="455">
      <c r="A455" s="964"/>
      <c r="C455" s="965"/>
      <c r="F455" s="964"/>
      <c r="G455" s="966"/>
      <c r="H455" s="964"/>
      <c r="I455" s="964"/>
      <c r="K455" s="964"/>
      <c r="L455" s="9"/>
      <c r="M455" s="9"/>
      <c r="Q455" s="965"/>
      <c r="R455" s="967"/>
    </row>
    <row r="456">
      <c r="A456" s="964"/>
      <c r="C456" s="965"/>
      <c r="F456" s="964"/>
      <c r="G456" s="966"/>
      <c r="H456" s="964"/>
      <c r="I456" s="964"/>
      <c r="K456" s="964"/>
      <c r="L456" s="9"/>
      <c r="M456" s="9"/>
      <c r="Q456" s="965"/>
      <c r="R456" s="967"/>
    </row>
    <row r="457">
      <c r="A457" s="964"/>
      <c r="C457" s="965"/>
      <c r="F457" s="964"/>
      <c r="G457" s="966"/>
      <c r="H457" s="964"/>
      <c r="I457" s="964"/>
      <c r="K457" s="964"/>
      <c r="L457" s="9"/>
      <c r="M457" s="9"/>
      <c r="Q457" s="965"/>
      <c r="R457" s="967"/>
    </row>
    <row r="458">
      <c r="A458" s="964"/>
      <c r="C458" s="965"/>
      <c r="F458" s="964"/>
      <c r="G458" s="966"/>
      <c r="H458" s="964"/>
      <c r="I458" s="964"/>
      <c r="K458" s="964"/>
      <c r="L458" s="9"/>
      <c r="M458" s="9"/>
      <c r="Q458" s="965"/>
      <c r="R458" s="967"/>
    </row>
    <row r="459">
      <c r="A459" s="964"/>
      <c r="C459" s="965"/>
      <c r="F459" s="964"/>
      <c r="G459" s="966"/>
      <c r="H459" s="964"/>
      <c r="I459" s="964"/>
      <c r="K459" s="964"/>
      <c r="L459" s="9"/>
      <c r="M459" s="9"/>
      <c r="Q459" s="965"/>
      <c r="R459" s="967"/>
    </row>
    <row r="460">
      <c r="A460" s="964"/>
      <c r="C460" s="965"/>
      <c r="F460" s="964"/>
      <c r="G460" s="966"/>
      <c r="H460" s="964"/>
      <c r="I460" s="964"/>
      <c r="K460" s="964"/>
      <c r="L460" s="9"/>
      <c r="M460" s="9"/>
      <c r="Q460" s="965"/>
      <c r="R460" s="967"/>
    </row>
    <row r="461">
      <c r="A461" s="964"/>
      <c r="C461" s="965"/>
      <c r="F461" s="964"/>
      <c r="G461" s="966"/>
      <c r="H461" s="964"/>
      <c r="I461" s="964"/>
      <c r="K461" s="964"/>
      <c r="L461" s="9"/>
      <c r="M461" s="9"/>
      <c r="Q461" s="965"/>
      <c r="R461" s="967"/>
    </row>
    <row r="462">
      <c r="A462" s="964"/>
      <c r="C462" s="965"/>
      <c r="F462" s="964"/>
      <c r="G462" s="966"/>
      <c r="H462" s="964"/>
      <c r="I462" s="964"/>
      <c r="K462" s="964"/>
      <c r="L462" s="9"/>
      <c r="M462" s="9"/>
      <c r="Q462" s="965"/>
      <c r="R462" s="967"/>
    </row>
    <row r="463">
      <c r="A463" s="964"/>
      <c r="C463" s="965"/>
      <c r="F463" s="964"/>
      <c r="G463" s="966"/>
      <c r="H463" s="964"/>
      <c r="I463" s="964"/>
      <c r="K463" s="964"/>
      <c r="L463" s="9"/>
      <c r="M463" s="9"/>
      <c r="Q463" s="965"/>
      <c r="R463" s="967"/>
    </row>
    <row r="464">
      <c r="A464" s="964"/>
      <c r="C464" s="965"/>
      <c r="F464" s="964"/>
      <c r="G464" s="966"/>
      <c r="H464" s="964"/>
      <c r="I464" s="964"/>
      <c r="K464" s="964"/>
      <c r="L464" s="9"/>
      <c r="M464" s="9"/>
      <c r="Q464" s="965"/>
      <c r="R464" s="967"/>
    </row>
    <row r="465">
      <c r="A465" s="964"/>
      <c r="C465" s="965"/>
      <c r="F465" s="964"/>
      <c r="G465" s="966"/>
      <c r="H465" s="964"/>
      <c r="I465" s="964"/>
      <c r="K465" s="964"/>
      <c r="L465" s="9"/>
      <c r="M465" s="9"/>
      <c r="Q465" s="965"/>
      <c r="R465" s="967"/>
    </row>
    <row r="466">
      <c r="A466" s="964"/>
      <c r="C466" s="965"/>
      <c r="F466" s="964"/>
      <c r="G466" s="966"/>
      <c r="H466" s="964"/>
      <c r="I466" s="964"/>
      <c r="K466" s="964"/>
      <c r="L466" s="9"/>
      <c r="M466" s="9"/>
      <c r="Q466" s="965"/>
      <c r="R466" s="967"/>
    </row>
    <row r="467">
      <c r="A467" s="964"/>
      <c r="C467" s="965"/>
      <c r="F467" s="964"/>
      <c r="G467" s="966"/>
      <c r="H467" s="964"/>
      <c r="I467" s="964"/>
      <c r="K467" s="964"/>
      <c r="L467" s="9"/>
      <c r="M467" s="9"/>
      <c r="Q467" s="965"/>
      <c r="R467" s="967"/>
    </row>
    <row r="468">
      <c r="A468" s="964"/>
      <c r="C468" s="965"/>
      <c r="F468" s="964"/>
      <c r="G468" s="966"/>
      <c r="H468" s="964"/>
      <c r="I468" s="964"/>
      <c r="K468" s="964"/>
      <c r="L468" s="9"/>
      <c r="M468" s="9"/>
      <c r="Q468" s="965"/>
      <c r="R468" s="967"/>
    </row>
    <row r="469">
      <c r="A469" s="964"/>
      <c r="C469" s="965"/>
      <c r="F469" s="964"/>
      <c r="G469" s="966"/>
      <c r="H469" s="964"/>
      <c r="I469" s="964"/>
      <c r="K469" s="964"/>
      <c r="L469" s="9"/>
      <c r="M469" s="9"/>
      <c r="Q469" s="965"/>
      <c r="R469" s="967"/>
    </row>
    <row r="470">
      <c r="A470" s="964"/>
      <c r="C470" s="965"/>
      <c r="F470" s="964"/>
      <c r="G470" s="966"/>
      <c r="H470" s="964"/>
      <c r="I470" s="964"/>
      <c r="K470" s="964"/>
      <c r="L470" s="9"/>
      <c r="M470" s="9"/>
      <c r="Q470" s="965"/>
      <c r="R470" s="967"/>
    </row>
    <row r="471">
      <c r="A471" s="964"/>
      <c r="C471" s="965"/>
      <c r="F471" s="964"/>
      <c r="G471" s="966"/>
      <c r="H471" s="964"/>
      <c r="I471" s="964"/>
      <c r="K471" s="964"/>
      <c r="L471" s="9"/>
      <c r="M471" s="9"/>
      <c r="Q471" s="965"/>
      <c r="R471" s="967"/>
    </row>
    <row r="472">
      <c r="A472" s="964"/>
      <c r="C472" s="965"/>
      <c r="F472" s="964"/>
      <c r="G472" s="966"/>
      <c r="H472" s="964"/>
      <c r="I472" s="964"/>
      <c r="K472" s="964"/>
      <c r="L472" s="9"/>
      <c r="M472" s="9"/>
      <c r="Q472" s="965"/>
      <c r="R472" s="967"/>
    </row>
    <row r="473">
      <c r="A473" s="964"/>
      <c r="C473" s="965"/>
      <c r="F473" s="964"/>
      <c r="G473" s="966"/>
      <c r="H473" s="964"/>
      <c r="I473" s="964"/>
      <c r="K473" s="964"/>
      <c r="L473" s="9"/>
      <c r="M473" s="9"/>
      <c r="Q473" s="965"/>
      <c r="R473" s="967"/>
    </row>
    <row r="474">
      <c r="A474" s="964"/>
      <c r="C474" s="965"/>
      <c r="F474" s="964"/>
      <c r="G474" s="966"/>
      <c r="H474" s="964"/>
      <c r="I474" s="964"/>
      <c r="K474" s="964"/>
      <c r="L474" s="9"/>
      <c r="M474" s="9"/>
      <c r="Q474" s="965"/>
      <c r="R474" s="967"/>
    </row>
    <row r="475">
      <c r="A475" s="964"/>
      <c r="C475" s="965"/>
      <c r="F475" s="964"/>
      <c r="G475" s="966"/>
      <c r="H475" s="964"/>
      <c r="I475" s="964"/>
      <c r="K475" s="964"/>
      <c r="L475" s="9"/>
      <c r="M475" s="9"/>
      <c r="Q475" s="965"/>
      <c r="R475" s="967"/>
    </row>
    <row r="476">
      <c r="A476" s="964"/>
      <c r="C476" s="965"/>
      <c r="F476" s="964"/>
      <c r="G476" s="966"/>
      <c r="H476" s="964"/>
      <c r="I476" s="964"/>
      <c r="K476" s="964"/>
      <c r="L476" s="9"/>
      <c r="M476" s="9"/>
      <c r="Q476" s="965"/>
      <c r="R476" s="967"/>
    </row>
    <row r="477">
      <c r="A477" s="964"/>
      <c r="C477" s="965"/>
      <c r="F477" s="964"/>
      <c r="G477" s="966"/>
      <c r="H477" s="964"/>
      <c r="I477" s="964"/>
      <c r="K477" s="964"/>
      <c r="L477" s="9"/>
      <c r="M477" s="9"/>
      <c r="Q477" s="965"/>
      <c r="R477" s="967"/>
    </row>
    <row r="478">
      <c r="A478" s="964"/>
      <c r="C478" s="965"/>
      <c r="F478" s="964"/>
      <c r="G478" s="966"/>
      <c r="H478" s="964"/>
      <c r="I478" s="964"/>
      <c r="K478" s="964"/>
      <c r="L478" s="9"/>
      <c r="M478" s="9"/>
      <c r="Q478" s="965"/>
      <c r="R478" s="967"/>
    </row>
    <row r="479">
      <c r="A479" s="964"/>
      <c r="C479" s="965"/>
      <c r="F479" s="964"/>
      <c r="G479" s="966"/>
      <c r="H479" s="964"/>
      <c r="I479" s="964"/>
      <c r="K479" s="964"/>
      <c r="L479" s="9"/>
      <c r="M479" s="9"/>
      <c r="Q479" s="965"/>
      <c r="R479" s="967"/>
    </row>
    <row r="480">
      <c r="A480" s="964"/>
      <c r="C480" s="965"/>
      <c r="F480" s="964"/>
      <c r="G480" s="966"/>
      <c r="H480" s="964"/>
      <c r="I480" s="964"/>
      <c r="K480" s="964"/>
      <c r="L480" s="9"/>
      <c r="M480" s="9"/>
      <c r="Q480" s="965"/>
      <c r="R480" s="967"/>
    </row>
    <row r="481">
      <c r="A481" s="964"/>
      <c r="C481" s="965"/>
      <c r="F481" s="964"/>
      <c r="G481" s="966"/>
      <c r="H481" s="964"/>
      <c r="I481" s="964"/>
      <c r="K481" s="964"/>
      <c r="L481" s="9"/>
      <c r="M481" s="9"/>
      <c r="Q481" s="965"/>
      <c r="R481" s="967"/>
    </row>
    <row r="482">
      <c r="A482" s="964"/>
      <c r="C482" s="965"/>
      <c r="F482" s="964"/>
      <c r="G482" s="966"/>
      <c r="H482" s="964"/>
      <c r="I482" s="964"/>
      <c r="K482" s="964"/>
      <c r="L482" s="9"/>
      <c r="M482" s="9"/>
      <c r="Q482" s="965"/>
      <c r="R482" s="967"/>
    </row>
    <row r="483">
      <c r="A483" s="964"/>
      <c r="C483" s="965"/>
      <c r="F483" s="964"/>
      <c r="G483" s="966"/>
      <c r="H483" s="964"/>
      <c r="I483" s="964"/>
      <c r="K483" s="964"/>
      <c r="L483" s="9"/>
      <c r="M483" s="9"/>
      <c r="Q483" s="965"/>
      <c r="R483" s="967"/>
    </row>
    <row r="484">
      <c r="A484" s="964"/>
      <c r="C484" s="965"/>
      <c r="F484" s="964"/>
      <c r="G484" s="966"/>
      <c r="H484" s="964"/>
      <c r="I484" s="964"/>
      <c r="K484" s="964"/>
      <c r="L484" s="9"/>
      <c r="M484" s="9"/>
      <c r="Q484" s="965"/>
      <c r="R484" s="967"/>
    </row>
    <row r="485">
      <c r="A485" s="964"/>
      <c r="C485" s="965"/>
      <c r="F485" s="964"/>
      <c r="G485" s="966"/>
      <c r="H485" s="964"/>
      <c r="I485" s="964"/>
      <c r="K485" s="964"/>
      <c r="L485" s="9"/>
      <c r="M485" s="9"/>
      <c r="Q485" s="965"/>
      <c r="R485" s="967"/>
    </row>
    <row r="486">
      <c r="A486" s="964"/>
      <c r="C486" s="965"/>
      <c r="F486" s="964"/>
      <c r="G486" s="966"/>
      <c r="H486" s="964"/>
      <c r="I486" s="964"/>
      <c r="K486" s="964"/>
      <c r="L486" s="9"/>
      <c r="M486" s="9"/>
      <c r="Q486" s="965"/>
      <c r="R486" s="967"/>
    </row>
    <row r="487">
      <c r="A487" s="964"/>
      <c r="C487" s="965"/>
      <c r="F487" s="964"/>
      <c r="G487" s="966"/>
      <c r="H487" s="964"/>
      <c r="I487" s="964"/>
      <c r="K487" s="964"/>
      <c r="L487" s="9"/>
      <c r="M487" s="9"/>
      <c r="Q487" s="965"/>
      <c r="R487" s="967"/>
    </row>
    <row r="488">
      <c r="A488" s="964"/>
      <c r="C488" s="965"/>
      <c r="F488" s="964"/>
      <c r="G488" s="966"/>
      <c r="H488" s="964"/>
      <c r="I488" s="964"/>
      <c r="K488" s="964"/>
      <c r="L488" s="9"/>
      <c r="M488" s="9"/>
      <c r="Q488" s="965"/>
      <c r="R488" s="967"/>
    </row>
    <row r="489">
      <c r="A489" s="964"/>
      <c r="C489" s="965"/>
      <c r="F489" s="964"/>
      <c r="G489" s="966"/>
      <c r="H489" s="964"/>
      <c r="I489" s="964"/>
      <c r="K489" s="964"/>
      <c r="L489" s="9"/>
      <c r="M489" s="9"/>
      <c r="Q489" s="965"/>
      <c r="R489" s="967"/>
    </row>
    <row r="490">
      <c r="A490" s="964"/>
      <c r="C490" s="965"/>
      <c r="F490" s="964"/>
      <c r="G490" s="966"/>
      <c r="H490" s="964"/>
      <c r="I490" s="964"/>
      <c r="K490" s="964"/>
      <c r="L490" s="9"/>
      <c r="M490" s="9"/>
      <c r="Q490" s="965"/>
      <c r="R490" s="967"/>
    </row>
    <row r="491">
      <c r="A491" s="964"/>
      <c r="C491" s="965"/>
      <c r="F491" s="964"/>
      <c r="G491" s="966"/>
      <c r="H491" s="964"/>
      <c r="I491" s="964"/>
      <c r="K491" s="964"/>
      <c r="L491" s="9"/>
      <c r="M491" s="9"/>
      <c r="Q491" s="965"/>
      <c r="R491" s="967"/>
    </row>
    <row r="492">
      <c r="A492" s="964"/>
      <c r="C492" s="965"/>
      <c r="F492" s="964"/>
      <c r="G492" s="966"/>
      <c r="H492" s="964"/>
      <c r="I492" s="964"/>
      <c r="K492" s="964"/>
      <c r="L492" s="9"/>
      <c r="M492" s="9"/>
      <c r="Q492" s="965"/>
      <c r="R492" s="967"/>
    </row>
    <row r="493">
      <c r="A493" s="964"/>
      <c r="C493" s="965"/>
      <c r="F493" s="964"/>
      <c r="G493" s="966"/>
      <c r="H493" s="964"/>
      <c r="I493" s="964"/>
      <c r="K493" s="964"/>
      <c r="L493" s="9"/>
      <c r="M493" s="9"/>
      <c r="Q493" s="965"/>
      <c r="R493" s="967"/>
    </row>
    <row r="494">
      <c r="A494" s="964"/>
      <c r="C494" s="965"/>
      <c r="F494" s="964"/>
      <c r="G494" s="966"/>
      <c r="H494" s="964"/>
      <c r="I494" s="964"/>
      <c r="K494" s="964"/>
      <c r="L494" s="9"/>
      <c r="M494" s="9"/>
      <c r="Q494" s="965"/>
      <c r="R494" s="967"/>
    </row>
    <row r="495">
      <c r="A495" s="964"/>
      <c r="C495" s="965"/>
      <c r="F495" s="964"/>
      <c r="G495" s="966"/>
      <c r="H495" s="964"/>
      <c r="I495" s="964"/>
      <c r="K495" s="964"/>
      <c r="L495" s="9"/>
      <c r="M495" s="9"/>
      <c r="Q495" s="965"/>
      <c r="R495" s="967"/>
    </row>
    <row r="496">
      <c r="A496" s="964"/>
      <c r="C496" s="965"/>
      <c r="F496" s="964"/>
      <c r="G496" s="966"/>
      <c r="H496" s="964"/>
      <c r="I496" s="964"/>
      <c r="K496" s="964"/>
      <c r="L496" s="9"/>
      <c r="M496" s="9"/>
      <c r="Q496" s="965"/>
      <c r="R496" s="967"/>
    </row>
    <row r="497">
      <c r="A497" s="964"/>
      <c r="C497" s="965"/>
      <c r="F497" s="964"/>
      <c r="G497" s="966"/>
      <c r="H497" s="964"/>
      <c r="I497" s="964"/>
      <c r="K497" s="964"/>
      <c r="L497" s="9"/>
      <c r="M497" s="9"/>
      <c r="Q497" s="965"/>
      <c r="R497" s="967"/>
    </row>
    <row r="498">
      <c r="A498" s="964"/>
      <c r="C498" s="965"/>
      <c r="F498" s="964"/>
      <c r="G498" s="966"/>
      <c r="H498" s="964"/>
      <c r="I498" s="964"/>
      <c r="K498" s="964"/>
      <c r="L498" s="9"/>
      <c r="M498" s="9"/>
      <c r="Q498" s="965"/>
      <c r="R498" s="967"/>
    </row>
    <row r="499">
      <c r="A499" s="964"/>
      <c r="C499" s="965"/>
      <c r="F499" s="964"/>
      <c r="G499" s="966"/>
      <c r="H499" s="964"/>
      <c r="I499" s="964"/>
      <c r="K499" s="964"/>
      <c r="L499" s="9"/>
      <c r="M499" s="9"/>
      <c r="Q499" s="965"/>
      <c r="R499" s="967"/>
    </row>
    <row r="500">
      <c r="A500" s="964"/>
      <c r="C500" s="965"/>
      <c r="F500" s="964"/>
      <c r="G500" s="966"/>
      <c r="H500" s="964"/>
      <c r="I500" s="964"/>
      <c r="K500" s="964"/>
      <c r="L500" s="9"/>
      <c r="M500" s="9"/>
      <c r="Q500" s="965"/>
      <c r="R500" s="967"/>
    </row>
    <row r="501">
      <c r="A501" s="964"/>
      <c r="C501" s="965"/>
      <c r="F501" s="964"/>
      <c r="G501" s="966"/>
      <c r="H501" s="964"/>
      <c r="I501" s="964"/>
      <c r="K501" s="964"/>
      <c r="L501" s="9"/>
      <c r="M501" s="9"/>
      <c r="Q501" s="965"/>
      <c r="R501" s="967"/>
    </row>
    <row r="502">
      <c r="A502" s="964"/>
      <c r="C502" s="965"/>
      <c r="F502" s="964"/>
      <c r="G502" s="966"/>
      <c r="H502" s="964"/>
      <c r="I502" s="964"/>
      <c r="K502" s="964"/>
      <c r="L502" s="9"/>
      <c r="M502" s="9"/>
      <c r="Q502" s="965"/>
      <c r="R502" s="967"/>
    </row>
    <row r="503">
      <c r="A503" s="964"/>
      <c r="C503" s="965"/>
      <c r="F503" s="964"/>
      <c r="G503" s="966"/>
      <c r="H503" s="964"/>
      <c r="I503" s="964"/>
      <c r="K503" s="964"/>
      <c r="L503" s="9"/>
      <c r="M503" s="9"/>
      <c r="Q503" s="965"/>
      <c r="R503" s="967"/>
    </row>
    <row r="504">
      <c r="A504" s="964"/>
      <c r="C504" s="965"/>
      <c r="F504" s="964"/>
      <c r="G504" s="966"/>
      <c r="H504" s="964"/>
      <c r="I504" s="964"/>
      <c r="K504" s="964"/>
      <c r="L504" s="9"/>
      <c r="M504" s="9"/>
      <c r="Q504" s="965"/>
      <c r="R504" s="967"/>
    </row>
    <row r="505">
      <c r="A505" s="964"/>
      <c r="C505" s="965"/>
      <c r="F505" s="964"/>
      <c r="G505" s="966"/>
      <c r="H505" s="964"/>
      <c r="I505" s="964"/>
      <c r="K505" s="964"/>
      <c r="L505" s="9"/>
      <c r="M505" s="9"/>
      <c r="Q505" s="965"/>
      <c r="R505" s="967"/>
    </row>
    <row r="506">
      <c r="A506" s="964"/>
      <c r="C506" s="965"/>
      <c r="F506" s="964"/>
      <c r="G506" s="966"/>
      <c r="H506" s="964"/>
      <c r="I506" s="964"/>
      <c r="K506" s="964"/>
      <c r="L506" s="9"/>
      <c r="M506" s="9"/>
      <c r="Q506" s="965"/>
      <c r="R506" s="967"/>
    </row>
    <row r="507">
      <c r="A507" s="964"/>
      <c r="C507" s="965"/>
      <c r="F507" s="964"/>
      <c r="G507" s="966"/>
      <c r="H507" s="964"/>
      <c r="I507" s="964"/>
      <c r="K507" s="964"/>
      <c r="L507" s="9"/>
      <c r="M507" s="9"/>
      <c r="Q507" s="965"/>
      <c r="R507" s="967"/>
    </row>
    <row r="508">
      <c r="A508" s="964"/>
      <c r="C508" s="965"/>
      <c r="F508" s="964"/>
      <c r="G508" s="966"/>
      <c r="H508" s="964"/>
      <c r="I508" s="964"/>
      <c r="K508" s="964"/>
      <c r="L508" s="9"/>
      <c r="M508" s="9"/>
      <c r="Q508" s="965"/>
      <c r="R508" s="967"/>
    </row>
    <row r="509">
      <c r="A509" s="964"/>
      <c r="C509" s="965"/>
      <c r="F509" s="964"/>
      <c r="G509" s="966"/>
      <c r="H509" s="964"/>
      <c r="I509" s="964"/>
      <c r="K509" s="964"/>
      <c r="L509" s="9"/>
      <c r="M509" s="9"/>
      <c r="Q509" s="965"/>
      <c r="R509" s="967"/>
    </row>
    <row r="510">
      <c r="A510" s="964"/>
      <c r="C510" s="965"/>
      <c r="F510" s="964"/>
      <c r="G510" s="966"/>
      <c r="H510" s="964"/>
      <c r="I510" s="964"/>
      <c r="K510" s="964"/>
      <c r="L510" s="9"/>
      <c r="M510" s="9"/>
      <c r="Q510" s="965"/>
      <c r="R510" s="967"/>
    </row>
    <row r="511">
      <c r="A511" s="964"/>
      <c r="C511" s="965"/>
      <c r="F511" s="964"/>
      <c r="G511" s="966"/>
      <c r="H511" s="964"/>
      <c r="I511" s="964"/>
      <c r="K511" s="964"/>
      <c r="L511" s="9"/>
      <c r="M511" s="9"/>
      <c r="Q511" s="965"/>
      <c r="R511" s="967"/>
    </row>
    <row r="512">
      <c r="A512" s="964"/>
      <c r="C512" s="965"/>
      <c r="F512" s="964"/>
      <c r="G512" s="966"/>
      <c r="H512" s="964"/>
      <c r="I512" s="964"/>
      <c r="K512" s="964"/>
      <c r="L512" s="9"/>
      <c r="M512" s="9"/>
      <c r="Q512" s="965"/>
      <c r="R512" s="967"/>
    </row>
    <row r="513">
      <c r="A513" s="964"/>
      <c r="C513" s="965"/>
      <c r="F513" s="964"/>
      <c r="G513" s="966"/>
      <c r="H513" s="964"/>
      <c r="I513" s="964"/>
      <c r="K513" s="964"/>
      <c r="L513" s="9"/>
      <c r="M513" s="9"/>
      <c r="Q513" s="965"/>
      <c r="R513" s="967"/>
    </row>
    <row r="514">
      <c r="A514" s="964"/>
      <c r="C514" s="965"/>
      <c r="F514" s="964"/>
      <c r="G514" s="966"/>
      <c r="H514" s="964"/>
      <c r="I514" s="964"/>
      <c r="K514" s="964"/>
      <c r="L514" s="9"/>
      <c r="M514" s="9"/>
      <c r="Q514" s="965"/>
      <c r="R514" s="967"/>
    </row>
    <row r="515">
      <c r="A515" s="964"/>
      <c r="C515" s="965"/>
      <c r="F515" s="964"/>
      <c r="G515" s="966"/>
      <c r="H515" s="964"/>
      <c r="I515" s="964"/>
      <c r="K515" s="964"/>
      <c r="L515" s="9"/>
      <c r="M515" s="9"/>
      <c r="Q515" s="965"/>
      <c r="R515" s="967"/>
    </row>
    <row r="516">
      <c r="A516" s="964"/>
      <c r="C516" s="965"/>
      <c r="F516" s="964"/>
      <c r="G516" s="966"/>
      <c r="H516" s="964"/>
      <c r="I516" s="964"/>
      <c r="K516" s="964"/>
      <c r="L516" s="9"/>
      <c r="M516" s="9"/>
      <c r="Q516" s="965"/>
      <c r="R516" s="967"/>
    </row>
    <row r="517">
      <c r="A517" s="964"/>
      <c r="C517" s="965"/>
      <c r="F517" s="964"/>
      <c r="G517" s="966"/>
      <c r="H517" s="964"/>
      <c r="I517" s="964"/>
      <c r="K517" s="964"/>
      <c r="L517" s="9"/>
      <c r="M517" s="9"/>
      <c r="Q517" s="965"/>
      <c r="R517" s="967"/>
    </row>
    <row r="518">
      <c r="A518" s="964"/>
      <c r="C518" s="965"/>
      <c r="F518" s="964"/>
      <c r="G518" s="966"/>
      <c r="H518" s="964"/>
      <c r="I518" s="964"/>
      <c r="K518" s="964"/>
      <c r="L518" s="9"/>
      <c r="M518" s="9"/>
      <c r="Q518" s="965"/>
      <c r="R518" s="967"/>
    </row>
    <row r="519">
      <c r="A519" s="964"/>
      <c r="C519" s="965"/>
      <c r="F519" s="964"/>
      <c r="G519" s="966"/>
      <c r="H519" s="964"/>
      <c r="I519" s="964"/>
      <c r="K519" s="964"/>
      <c r="L519" s="9"/>
      <c r="M519" s="9"/>
      <c r="Q519" s="965"/>
      <c r="R519" s="967"/>
    </row>
    <row r="520">
      <c r="A520" s="964"/>
      <c r="C520" s="965"/>
      <c r="F520" s="964"/>
      <c r="G520" s="966"/>
      <c r="H520" s="964"/>
      <c r="I520" s="964"/>
      <c r="K520" s="964"/>
      <c r="L520" s="9"/>
      <c r="M520" s="9"/>
      <c r="Q520" s="965"/>
      <c r="R520" s="967"/>
    </row>
    <row r="521">
      <c r="A521" s="964"/>
      <c r="C521" s="965"/>
      <c r="F521" s="964"/>
      <c r="G521" s="966"/>
      <c r="H521" s="964"/>
      <c r="I521" s="964"/>
      <c r="K521" s="964"/>
      <c r="L521" s="9"/>
      <c r="M521" s="9"/>
      <c r="Q521" s="965"/>
      <c r="R521" s="967"/>
    </row>
    <row r="522">
      <c r="A522" s="964"/>
      <c r="C522" s="965"/>
      <c r="F522" s="964"/>
      <c r="G522" s="966"/>
      <c r="H522" s="964"/>
      <c r="I522" s="964"/>
      <c r="K522" s="964"/>
      <c r="L522" s="9"/>
      <c r="M522" s="9"/>
      <c r="Q522" s="965"/>
      <c r="R522" s="967"/>
    </row>
    <row r="523">
      <c r="A523" s="964"/>
      <c r="C523" s="965"/>
      <c r="F523" s="964"/>
      <c r="G523" s="966"/>
      <c r="H523" s="964"/>
      <c r="I523" s="964"/>
      <c r="K523" s="964"/>
      <c r="L523" s="9"/>
      <c r="M523" s="9"/>
      <c r="Q523" s="965"/>
      <c r="R523" s="967"/>
    </row>
    <row r="524">
      <c r="A524" s="964"/>
      <c r="C524" s="965"/>
      <c r="F524" s="964"/>
      <c r="G524" s="966"/>
      <c r="H524" s="964"/>
      <c r="I524" s="964"/>
      <c r="K524" s="964"/>
      <c r="L524" s="9"/>
      <c r="M524" s="9"/>
      <c r="Q524" s="965"/>
      <c r="R524" s="967"/>
    </row>
    <row r="525">
      <c r="A525" s="964"/>
      <c r="C525" s="965"/>
      <c r="F525" s="964"/>
      <c r="G525" s="966"/>
      <c r="H525" s="964"/>
      <c r="I525" s="964"/>
      <c r="K525" s="964"/>
      <c r="L525" s="9"/>
      <c r="M525" s="9"/>
      <c r="Q525" s="965"/>
      <c r="R525" s="967"/>
    </row>
    <row r="526">
      <c r="A526" s="964"/>
      <c r="C526" s="965"/>
      <c r="F526" s="964"/>
      <c r="G526" s="966"/>
      <c r="H526" s="964"/>
      <c r="I526" s="964"/>
      <c r="K526" s="964"/>
      <c r="L526" s="9"/>
      <c r="M526" s="9"/>
      <c r="Q526" s="965"/>
      <c r="R526" s="967"/>
    </row>
    <row r="527">
      <c r="A527" s="964"/>
      <c r="C527" s="965"/>
      <c r="F527" s="964"/>
      <c r="G527" s="966"/>
      <c r="H527" s="964"/>
      <c r="I527" s="964"/>
      <c r="K527" s="964"/>
      <c r="L527" s="9"/>
      <c r="M527" s="9"/>
      <c r="Q527" s="965"/>
      <c r="R527" s="967"/>
    </row>
    <row r="528">
      <c r="A528" s="964"/>
      <c r="C528" s="965"/>
      <c r="F528" s="964"/>
      <c r="G528" s="966"/>
      <c r="H528" s="964"/>
      <c r="I528" s="964"/>
      <c r="K528" s="964"/>
      <c r="L528" s="9"/>
      <c r="M528" s="9"/>
      <c r="Q528" s="965"/>
      <c r="R528" s="967"/>
    </row>
    <row r="529">
      <c r="A529" s="964"/>
      <c r="C529" s="965"/>
      <c r="F529" s="964"/>
      <c r="G529" s="966"/>
      <c r="H529" s="964"/>
      <c r="I529" s="964"/>
      <c r="K529" s="964"/>
      <c r="L529" s="9"/>
      <c r="M529" s="9"/>
      <c r="Q529" s="965"/>
      <c r="R529" s="967"/>
    </row>
    <row r="530">
      <c r="A530" s="964"/>
      <c r="C530" s="965"/>
      <c r="F530" s="964"/>
      <c r="G530" s="966"/>
      <c r="H530" s="964"/>
      <c r="I530" s="964"/>
      <c r="K530" s="964"/>
      <c r="L530" s="9"/>
      <c r="M530" s="9"/>
      <c r="Q530" s="965"/>
      <c r="R530" s="967"/>
    </row>
    <row r="531">
      <c r="A531" s="964"/>
      <c r="C531" s="965"/>
      <c r="F531" s="964"/>
      <c r="G531" s="966"/>
      <c r="H531" s="964"/>
      <c r="I531" s="964"/>
      <c r="K531" s="964"/>
      <c r="L531" s="9"/>
      <c r="M531" s="9"/>
      <c r="Q531" s="965"/>
      <c r="R531" s="967"/>
    </row>
    <row r="532">
      <c r="A532" s="964"/>
      <c r="C532" s="965"/>
      <c r="F532" s="964"/>
      <c r="G532" s="966"/>
      <c r="H532" s="964"/>
      <c r="I532" s="964"/>
      <c r="K532" s="964"/>
      <c r="L532" s="9"/>
      <c r="M532" s="9"/>
      <c r="Q532" s="965"/>
      <c r="R532" s="967"/>
    </row>
    <row r="533">
      <c r="A533" s="964"/>
      <c r="C533" s="965"/>
      <c r="F533" s="964"/>
      <c r="G533" s="966"/>
      <c r="H533" s="964"/>
      <c r="I533" s="964"/>
      <c r="K533" s="964"/>
      <c r="L533" s="9"/>
      <c r="M533" s="9"/>
      <c r="Q533" s="965"/>
      <c r="R533" s="967"/>
    </row>
    <row r="534">
      <c r="A534" s="964"/>
      <c r="C534" s="965"/>
      <c r="F534" s="964"/>
      <c r="G534" s="966"/>
      <c r="H534" s="964"/>
      <c r="I534" s="964"/>
      <c r="K534" s="964"/>
      <c r="L534" s="9"/>
      <c r="M534" s="9"/>
      <c r="Q534" s="965"/>
      <c r="R534" s="967"/>
    </row>
    <row r="535">
      <c r="A535" s="964"/>
      <c r="C535" s="965"/>
      <c r="F535" s="964"/>
      <c r="G535" s="966"/>
      <c r="H535" s="964"/>
      <c r="I535" s="964"/>
      <c r="K535" s="964"/>
      <c r="L535" s="9"/>
      <c r="M535" s="9"/>
      <c r="Q535" s="965"/>
      <c r="R535" s="967"/>
    </row>
    <row r="536">
      <c r="A536" s="964"/>
      <c r="C536" s="965"/>
      <c r="F536" s="964"/>
      <c r="G536" s="966"/>
      <c r="H536" s="964"/>
      <c r="I536" s="964"/>
      <c r="K536" s="964"/>
      <c r="L536" s="9"/>
      <c r="M536" s="9"/>
      <c r="Q536" s="965"/>
      <c r="R536" s="967"/>
    </row>
    <row r="537">
      <c r="A537" s="964"/>
      <c r="C537" s="965"/>
      <c r="F537" s="964"/>
      <c r="G537" s="966"/>
      <c r="H537" s="964"/>
      <c r="I537" s="964"/>
      <c r="K537" s="964"/>
      <c r="L537" s="9"/>
      <c r="M537" s="9"/>
      <c r="Q537" s="965"/>
      <c r="R537" s="967"/>
    </row>
    <row r="538">
      <c r="A538" s="964"/>
      <c r="C538" s="965"/>
      <c r="F538" s="964"/>
      <c r="G538" s="966"/>
      <c r="H538" s="964"/>
      <c r="I538" s="964"/>
      <c r="K538" s="964"/>
      <c r="L538" s="9"/>
      <c r="M538" s="9"/>
      <c r="Q538" s="965"/>
      <c r="R538" s="967"/>
    </row>
    <row r="539">
      <c r="A539" s="964"/>
      <c r="C539" s="965"/>
      <c r="F539" s="964"/>
      <c r="G539" s="966"/>
      <c r="H539" s="964"/>
      <c r="I539" s="964"/>
      <c r="K539" s="964"/>
      <c r="L539" s="9"/>
      <c r="M539" s="9"/>
      <c r="Q539" s="965"/>
      <c r="R539" s="967"/>
    </row>
    <row r="540">
      <c r="A540" s="964"/>
      <c r="C540" s="965"/>
      <c r="F540" s="964"/>
      <c r="G540" s="966"/>
      <c r="H540" s="964"/>
      <c r="I540" s="964"/>
      <c r="K540" s="964"/>
      <c r="L540" s="9"/>
      <c r="M540" s="9"/>
      <c r="Q540" s="965"/>
      <c r="R540" s="967"/>
    </row>
    <row r="541">
      <c r="A541" s="964"/>
      <c r="C541" s="965"/>
      <c r="F541" s="964"/>
      <c r="G541" s="966"/>
      <c r="H541" s="964"/>
      <c r="I541" s="964"/>
      <c r="K541" s="964"/>
      <c r="L541" s="9"/>
      <c r="M541" s="9"/>
      <c r="Q541" s="965"/>
      <c r="R541" s="967"/>
    </row>
    <row r="542">
      <c r="A542" s="964"/>
      <c r="C542" s="965"/>
      <c r="F542" s="964"/>
      <c r="G542" s="966"/>
      <c r="H542" s="964"/>
      <c r="I542" s="964"/>
      <c r="K542" s="964"/>
      <c r="L542" s="9"/>
      <c r="M542" s="9"/>
      <c r="Q542" s="965"/>
      <c r="R542" s="967"/>
    </row>
    <row r="543">
      <c r="A543" s="964"/>
      <c r="C543" s="965"/>
      <c r="F543" s="964"/>
      <c r="G543" s="966"/>
      <c r="H543" s="964"/>
      <c r="I543" s="964"/>
      <c r="K543" s="964"/>
      <c r="L543" s="9"/>
      <c r="M543" s="9"/>
      <c r="Q543" s="965"/>
      <c r="R543" s="967"/>
    </row>
    <row r="544">
      <c r="A544" s="964"/>
      <c r="C544" s="965"/>
      <c r="F544" s="964"/>
      <c r="G544" s="966"/>
      <c r="H544" s="964"/>
      <c r="I544" s="964"/>
      <c r="K544" s="964"/>
      <c r="L544" s="9"/>
      <c r="M544" s="9"/>
      <c r="Q544" s="965"/>
      <c r="R544" s="967"/>
    </row>
    <row r="545">
      <c r="A545" s="964"/>
      <c r="C545" s="965"/>
      <c r="F545" s="964"/>
      <c r="G545" s="966"/>
      <c r="H545" s="964"/>
      <c r="I545" s="964"/>
      <c r="K545" s="964"/>
      <c r="L545" s="9"/>
      <c r="M545" s="9"/>
      <c r="Q545" s="965"/>
      <c r="R545" s="967"/>
    </row>
    <row r="546">
      <c r="A546" s="964"/>
      <c r="C546" s="965"/>
      <c r="F546" s="964"/>
      <c r="G546" s="966"/>
      <c r="H546" s="964"/>
      <c r="I546" s="964"/>
      <c r="K546" s="964"/>
      <c r="L546" s="9"/>
      <c r="M546" s="9"/>
      <c r="Q546" s="965"/>
      <c r="R546" s="967"/>
    </row>
    <row r="547">
      <c r="A547" s="964"/>
      <c r="C547" s="965"/>
      <c r="F547" s="964"/>
      <c r="G547" s="966"/>
      <c r="H547" s="964"/>
      <c r="I547" s="964"/>
      <c r="K547" s="964"/>
      <c r="L547" s="9"/>
      <c r="M547" s="9"/>
      <c r="Q547" s="965"/>
      <c r="R547" s="967"/>
    </row>
    <row r="548">
      <c r="A548" s="964"/>
      <c r="C548" s="965"/>
      <c r="F548" s="964"/>
      <c r="G548" s="966"/>
      <c r="H548" s="964"/>
      <c r="I548" s="964"/>
      <c r="K548" s="964"/>
      <c r="L548" s="9"/>
      <c r="M548" s="9"/>
      <c r="Q548" s="965"/>
      <c r="R548" s="967"/>
    </row>
    <row r="549">
      <c r="A549" s="964"/>
      <c r="C549" s="965"/>
      <c r="F549" s="964"/>
      <c r="G549" s="966"/>
      <c r="H549" s="964"/>
      <c r="I549" s="964"/>
      <c r="K549" s="964"/>
      <c r="L549" s="9"/>
      <c r="M549" s="9"/>
      <c r="Q549" s="965"/>
      <c r="R549" s="967"/>
    </row>
    <row r="550">
      <c r="A550" s="964"/>
      <c r="C550" s="965"/>
      <c r="F550" s="964"/>
      <c r="G550" s="966"/>
      <c r="H550" s="964"/>
      <c r="I550" s="964"/>
      <c r="K550" s="964"/>
      <c r="L550" s="9"/>
      <c r="M550" s="9"/>
      <c r="Q550" s="965"/>
      <c r="R550" s="967"/>
    </row>
    <row r="551">
      <c r="A551" s="964"/>
      <c r="C551" s="965"/>
      <c r="F551" s="964"/>
      <c r="G551" s="966"/>
      <c r="H551" s="964"/>
      <c r="I551" s="964"/>
      <c r="K551" s="964"/>
      <c r="L551" s="9"/>
      <c r="M551" s="9"/>
      <c r="Q551" s="965"/>
      <c r="R551" s="967"/>
    </row>
    <row r="552">
      <c r="A552" s="964"/>
      <c r="C552" s="965"/>
      <c r="F552" s="964"/>
      <c r="G552" s="966"/>
      <c r="H552" s="964"/>
      <c r="I552" s="964"/>
      <c r="K552" s="964"/>
      <c r="L552" s="9"/>
      <c r="M552" s="9"/>
      <c r="Q552" s="965"/>
      <c r="R552" s="967"/>
    </row>
    <row r="553">
      <c r="A553" s="964"/>
      <c r="C553" s="965"/>
      <c r="F553" s="964"/>
      <c r="G553" s="966"/>
      <c r="H553" s="964"/>
      <c r="I553" s="964"/>
      <c r="K553" s="964"/>
      <c r="L553" s="9"/>
      <c r="M553" s="9"/>
      <c r="Q553" s="965"/>
      <c r="R553" s="967"/>
    </row>
    <row r="554">
      <c r="A554" s="964"/>
      <c r="C554" s="965"/>
      <c r="F554" s="964"/>
      <c r="G554" s="966"/>
      <c r="H554" s="964"/>
      <c r="I554" s="964"/>
      <c r="K554" s="964"/>
      <c r="L554" s="9"/>
      <c r="M554" s="9"/>
      <c r="Q554" s="965"/>
      <c r="R554" s="967"/>
    </row>
    <row r="555">
      <c r="A555" s="964"/>
      <c r="C555" s="965"/>
      <c r="F555" s="964"/>
      <c r="G555" s="966"/>
      <c r="H555" s="964"/>
      <c r="I555" s="964"/>
      <c r="K555" s="964"/>
      <c r="L555" s="9"/>
      <c r="M555" s="9"/>
      <c r="Q555" s="965"/>
      <c r="R555" s="967"/>
    </row>
    <row r="556">
      <c r="A556" s="964"/>
      <c r="C556" s="965"/>
      <c r="F556" s="964"/>
      <c r="G556" s="966"/>
      <c r="H556" s="964"/>
      <c r="I556" s="964"/>
      <c r="K556" s="964"/>
      <c r="L556" s="9"/>
      <c r="M556" s="9"/>
      <c r="Q556" s="965"/>
      <c r="R556" s="967"/>
    </row>
    <row r="557">
      <c r="A557" s="964"/>
      <c r="C557" s="965"/>
      <c r="F557" s="964"/>
      <c r="G557" s="966"/>
      <c r="H557" s="964"/>
      <c r="I557" s="964"/>
      <c r="K557" s="964"/>
      <c r="L557" s="9"/>
      <c r="M557" s="9"/>
      <c r="Q557" s="965"/>
      <c r="R557" s="967"/>
    </row>
    <row r="558">
      <c r="A558" s="964"/>
      <c r="C558" s="965"/>
      <c r="F558" s="964"/>
      <c r="G558" s="966"/>
      <c r="H558" s="964"/>
      <c r="I558" s="964"/>
      <c r="K558" s="964"/>
      <c r="L558" s="9"/>
      <c r="M558" s="9"/>
      <c r="Q558" s="965"/>
      <c r="R558" s="967"/>
    </row>
    <row r="559">
      <c r="A559" s="964"/>
      <c r="C559" s="965"/>
      <c r="F559" s="964"/>
      <c r="G559" s="966"/>
      <c r="H559" s="964"/>
      <c r="I559" s="964"/>
      <c r="K559" s="964"/>
      <c r="L559" s="9"/>
      <c r="M559" s="9"/>
      <c r="Q559" s="965"/>
      <c r="R559" s="967"/>
    </row>
    <row r="560">
      <c r="A560" s="964"/>
      <c r="C560" s="965"/>
      <c r="F560" s="964"/>
      <c r="G560" s="966"/>
      <c r="H560" s="964"/>
      <c r="I560" s="964"/>
      <c r="K560" s="964"/>
      <c r="L560" s="9"/>
      <c r="M560" s="9"/>
      <c r="Q560" s="965"/>
      <c r="R560" s="967"/>
    </row>
    <row r="561">
      <c r="A561" s="964"/>
      <c r="C561" s="965"/>
      <c r="F561" s="964"/>
      <c r="G561" s="966"/>
      <c r="H561" s="964"/>
      <c r="I561" s="964"/>
      <c r="K561" s="964"/>
      <c r="L561" s="9"/>
      <c r="M561" s="9"/>
      <c r="Q561" s="965"/>
      <c r="R561" s="967"/>
    </row>
    <row r="562">
      <c r="A562" s="964"/>
      <c r="C562" s="965"/>
      <c r="F562" s="964"/>
      <c r="G562" s="966"/>
      <c r="H562" s="964"/>
      <c r="I562" s="964"/>
      <c r="K562" s="964"/>
      <c r="L562" s="9"/>
      <c r="M562" s="9"/>
      <c r="Q562" s="965"/>
      <c r="R562" s="967"/>
    </row>
    <row r="563">
      <c r="A563" s="964"/>
      <c r="C563" s="965"/>
      <c r="F563" s="964"/>
      <c r="G563" s="966"/>
      <c r="H563" s="964"/>
      <c r="I563" s="964"/>
      <c r="K563" s="964"/>
      <c r="L563" s="9"/>
      <c r="M563" s="9"/>
      <c r="Q563" s="965"/>
      <c r="R563" s="967"/>
    </row>
    <row r="564">
      <c r="A564" s="964"/>
      <c r="C564" s="965"/>
      <c r="F564" s="964"/>
      <c r="G564" s="966"/>
      <c r="H564" s="964"/>
      <c r="I564" s="964"/>
      <c r="K564" s="964"/>
      <c r="L564" s="9"/>
      <c r="M564" s="9"/>
      <c r="Q564" s="965"/>
      <c r="R564" s="967"/>
    </row>
    <row r="565">
      <c r="A565" s="964"/>
      <c r="C565" s="965"/>
      <c r="F565" s="964"/>
      <c r="G565" s="966"/>
      <c r="H565" s="964"/>
      <c r="I565" s="964"/>
      <c r="K565" s="964"/>
      <c r="L565" s="9"/>
      <c r="M565" s="9"/>
      <c r="Q565" s="965"/>
      <c r="R565" s="967"/>
    </row>
    <row r="566">
      <c r="A566" s="964"/>
      <c r="C566" s="965"/>
      <c r="F566" s="964"/>
      <c r="G566" s="966"/>
      <c r="H566" s="964"/>
      <c r="I566" s="964"/>
      <c r="K566" s="964"/>
      <c r="L566" s="9"/>
      <c r="M566" s="9"/>
      <c r="Q566" s="965"/>
      <c r="R566" s="967"/>
    </row>
    <row r="567">
      <c r="A567" s="964"/>
      <c r="C567" s="965"/>
      <c r="F567" s="964"/>
      <c r="G567" s="966"/>
      <c r="H567" s="964"/>
      <c r="I567" s="964"/>
      <c r="K567" s="964"/>
      <c r="L567" s="9"/>
      <c r="M567" s="9"/>
      <c r="Q567" s="965"/>
      <c r="R567" s="967"/>
    </row>
    <row r="568">
      <c r="A568" s="964"/>
      <c r="C568" s="965"/>
      <c r="F568" s="964"/>
      <c r="G568" s="966"/>
      <c r="H568" s="964"/>
      <c r="I568" s="964"/>
      <c r="K568" s="964"/>
      <c r="L568" s="9"/>
      <c r="M568" s="9"/>
      <c r="Q568" s="965"/>
      <c r="R568" s="967"/>
    </row>
    <row r="569">
      <c r="A569" s="964"/>
      <c r="C569" s="965"/>
      <c r="F569" s="964"/>
      <c r="G569" s="966"/>
      <c r="H569" s="964"/>
      <c r="I569" s="964"/>
      <c r="K569" s="964"/>
      <c r="L569" s="9"/>
      <c r="M569" s="9"/>
      <c r="Q569" s="965"/>
      <c r="R569" s="967"/>
    </row>
    <row r="570">
      <c r="A570" s="964"/>
      <c r="C570" s="965"/>
      <c r="F570" s="964"/>
      <c r="G570" s="966"/>
      <c r="H570" s="964"/>
      <c r="I570" s="964"/>
      <c r="K570" s="964"/>
      <c r="L570" s="9"/>
      <c r="M570" s="9"/>
      <c r="Q570" s="965"/>
      <c r="R570" s="967"/>
    </row>
    <row r="571">
      <c r="A571" s="964"/>
      <c r="C571" s="965"/>
      <c r="F571" s="964"/>
      <c r="G571" s="966"/>
      <c r="H571" s="964"/>
      <c r="I571" s="964"/>
      <c r="K571" s="964"/>
      <c r="L571" s="9"/>
      <c r="M571" s="9"/>
      <c r="Q571" s="965"/>
      <c r="R571" s="967"/>
    </row>
    <row r="572">
      <c r="A572" s="964"/>
      <c r="C572" s="965"/>
      <c r="F572" s="964"/>
      <c r="G572" s="966"/>
      <c r="H572" s="964"/>
      <c r="I572" s="964"/>
      <c r="K572" s="964"/>
      <c r="L572" s="9"/>
      <c r="M572" s="9"/>
      <c r="Q572" s="965"/>
      <c r="R572" s="967"/>
    </row>
    <row r="573">
      <c r="A573" s="964"/>
      <c r="C573" s="965"/>
      <c r="F573" s="964"/>
      <c r="G573" s="966"/>
      <c r="H573" s="964"/>
      <c r="I573" s="964"/>
      <c r="K573" s="964"/>
      <c r="L573" s="9"/>
      <c r="M573" s="9"/>
      <c r="Q573" s="965"/>
      <c r="R573" s="967"/>
    </row>
    <row r="574">
      <c r="A574" s="964"/>
      <c r="C574" s="965"/>
      <c r="F574" s="964"/>
      <c r="G574" s="966"/>
      <c r="H574" s="964"/>
      <c r="I574" s="964"/>
      <c r="K574" s="964"/>
      <c r="L574" s="9"/>
      <c r="M574" s="9"/>
      <c r="Q574" s="965"/>
      <c r="R574" s="967"/>
    </row>
    <row r="575">
      <c r="A575" s="964"/>
      <c r="C575" s="965"/>
      <c r="F575" s="964"/>
      <c r="G575" s="966"/>
      <c r="H575" s="964"/>
      <c r="I575" s="964"/>
      <c r="K575" s="964"/>
      <c r="L575" s="9"/>
      <c r="M575" s="9"/>
      <c r="Q575" s="965"/>
      <c r="R575" s="967"/>
    </row>
    <row r="576">
      <c r="A576" s="964"/>
      <c r="C576" s="965"/>
      <c r="F576" s="964"/>
      <c r="G576" s="966"/>
      <c r="H576" s="964"/>
      <c r="I576" s="964"/>
      <c r="K576" s="964"/>
      <c r="L576" s="9"/>
      <c r="M576" s="9"/>
      <c r="Q576" s="965"/>
      <c r="R576" s="967"/>
    </row>
    <row r="577">
      <c r="A577" s="964"/>
      <c r="C577" s="965"/>
      <c r="F577" s="964"/>
      <c r="G577" s="966"/>
      <c r="H577" s="964"/>
      <c r="I577" s="964"/>
      <c r="K577" s="964"/>
      <c r="L577" s="9"/>
      <c r="M577" s="9"/>
      <c r="Q577" s="965"/>
      <c r="R577" s="967"/>
    </row>
    <row r="578">
      <c r="A578" s="964"/>
      <c r="C578" s="965"/>
      <c r="F578" s="964"/>
      <c r="G578" s="966"/>
      <c r="H578" s="964"/>
      <c r="I578" s="964"/>
      <c r="K578" s="964"/>
      <c r="L578" s="9"/>
      <c r="M578" s="9"/>
      <c r="Q578" s="965"/>
      <c r="R578" s="967"/>
    </row>
    <row r="579">
      <c r="A579" s="964"/>
      <c r="C579" s="965"/>
      <c r="F579" s="964"/>
      <c r="G579" s="966"/>
      <c r="H579" s="964"/>
      <c r="I579" s="964"/>
      <c r="K579" s="964"/>
      <c r="L579" s="9"/>
      <c r="M579" s="9"/>
      <c r="Q579" s="965"/>
      <c r="R579" s="967"/>
    </row>
    <row r="580">
      <c r="A580" s="964"/>
      <c r="C580" s="965"/>
      <c r="F580" s="964"/>
      <c r="G580" s="966"/>
      <c r="H580" s="964"/>
      <c r="I580" s="964"/>
      <c r="K580" s="964"/>
      <c r="L580" s="9"/>
      <c r="M580" s="9"/>
      <c r="Q580" s="965"/>
      <c r="R580" s="967"/>
    </row>
    <row r="581">
      <c r="A581" s="964"/>
      <c r="C581" s="965"/>
      <c r="F581" s="964"/>
      <c r="G581" s="966"/>
      <c r="H581" s="964"/>
      <c r="I581" s="964"/>
      <c r="K581" s="964"/>
      <c r="L581" s="9"/>
      <c r="M581" s="9"/>
      <c r="Q581" s="965"/>
      <c r="R581" s="967"/>
    </row>
    <row r="582">
      <c r="A582" s="964"/>
      <c r="C582" s="965"/>
      <c r="F582" s="964"/>
      <c r="G582" s="966"/>
      <c r="H582" s="964"/>
      <c r="I582" s="964"/>
      <c r="K582" s="964"/>
      <c r="L582" s="9"/>
      <c r="M582" s="9"/>
      <c r="Q582" s="965"/>
      <c r="R582" s="967"/>
    </row>
    <row r="583">
      <c r="A583" s="964"/>
      <c r="C583" s="965"/>
      <c r="F583" s="964"/>
      <c r="G583" s="966"/>
      <c r="H583" s="964"/>
      <c r="I583" s="964"/>
      <c r="K583" s="964"/>
      <c r="L583" s="9"/>
      <c r="M583" s="9"/>
      <c r="Q583" s="965"/>
      <c r="R583" s="967"/>
    </row>
    <row r="584">
      <c r="A584" s="964"/>
      <c r="C584" s="965"/>
      <c r="F584" s="964"/>
      <c r="G584" s="966"/>
      <c r="H584" s="964"/>
      <c r="I584" s="964"/>
      <c r="K584" s="964"/>
      <c r="L584" s="9"/>
      <c r="M584" s="9"/>
      <c r="Q584" s="965"/>
      <c r="R584" s="967"/>
    </row>
    <row r="585">
      <c r="A585" s="964"/>
      <c r="C585" s="965"/>
      <c r="F585" s="964"/>
      <c r="G585" s="966"/>
      <c r="H585" s="964"/>
      <c r="I585" s="964"/>
      <c r="K585" s="964"/>
      <c r="L585" s="9"/>
      <c r="M585" s="9"/>
      <c r="Q585" s="965"/>
      <c r="R585" s="967"/>
    </row>
    <row r="586">
      <c r="A586" s="964"/>
      <c r="C586" s="965"/>
      <c r="F586" s="964"/>
      <c r="G586" s="966"/>
      <c r="H586" s="964"/>
      <c r="I586" s="964"/>
      <c r="K586" s="964"/>
      <c r="L586" s="9"/>
      <c r="M586" s="9"/>
      <c r="Q586" s="965"/>
      <c r="R586" s="967"/>
    </row>
    <row r="587">
      <c r="A587" s="964"/>
      <c r="C587" s="965"/>
      <c r="F587" s="964"/>
      <c r="G587" s="966"/>
      <c r="H587" s="964"/>
      <c r="I587" s="964"/>
      <c r="K587" s="964"/>
      <c r="L587" s="9"/>
      <c r="M587" s="9"/>
      <c r="Q587" s="965"/>
      <c r="R587" s="967"/>
    </row>
    <row r="588">
      <c r="A588" s="964"/>
      <c r="C588" s="965"/>
      <c r="F588" s="964"/>
      <c r="G588" s="966"/>
      <c r="H588" s="964"/>
      <c r="I588" s="964"/>
      <c r="K588" s="964"/>
      <c r="L588" s="9"/>
      <c r="M588" s="9"/>
      <c r="Q588" s="965"/>
      <c r="R588" s="967"/>
    </row>
    <row r="589">
      <c r="A589" s="964"/>
      <c r="C589" s="965"/>
      <c r="F589" s="964"/>
      <c r="G589" s="966"/>
      <c r="H589" s="964"/>
      <c r="I589" s="964"/>
      <c r="K589" s="964"/>
      <c r="L589" s="9"/>
      <c r="M589" s="9"/>
      <c r="Q589" s="965"/>
      <c r="R589" s="967"/>
    </row>
    <row r="590">
      <c r="A590" s="964"/>
      <c r="C590" s="965"/>
      <c r="F590" s="964"/>
      <c r="G590" s="966"/>
      <c r="H590" s="964"/>
      <c r="I590" s="964"/>
      <c r="K590" s="964"/>
      <c r="L590" s="9"/>
      <c r="M590" s="9"/>
      <c r="Q590" s="965"/>
      <c r="R590" s="967"/>
    </row>
    <row r="591">
      <c r="A591" s="964"/>
      <c r="C591" s="965"/>
      <c r="F591" s="964"/>
      <c r="G591" s="966"/>
      <c r="H591" s="964"/>
      <c r="I591" s="964"/>
      <c r="K591" s="964"/>
      <c r="L591" s="9"/>
      <c r="M591" s="9"/>
      <c r="Q591" s="965"/>
      <c r="R591" s="967"/>
    </row>
    <row r="592">
      <c r="A592" s="964"/>
      <c r="C592" s="965"/>
      <c r="F592" s="964"/>
      <c r="G592" s="966"/>
      <c r="H592" s="964"/>
      <c r="I592" s="964"/>
      <c r="K592" s="964"/>
      <c r="L592" s="9"/>
      <c r="M592" s="9"/>
      <c r="Q592" s="965"/>
      <c r="R592" s="967"/>
    </row>
    <row r="593">
      <c r="A593" s="964"/>
      <c r="C593" s="965"/>
      <c r="F593" s="964"/>
      <c r="G593" s="966"/>
      <c r="H593" s="964"/>
      <c r="I593" s="964"/>
      <c r="K593" s="964"/>
      <c r="L593" s="9"/>
      <c r="M593" s="9"/>
      <c r="Q593" s="965"/>
      <c r="R593" s="967"/>
    </row>
    <row r="594">
      <c r="A594" s="964"/>
      <c r="C594" s="965"/>
      <c r="F594" s="964"/>
      <c r="G594" s="966"/>
      <c r="H594" s="964"/>
      <c r="I594" s="964"/>
      <c r="K594" s="964"/>
      <c r="L594" s="9"/>
      <c r="M594" s="9"/>
      <c r="Q594" s="965"/>
      <c r="R594" s="967"/>
    </row>
    <row r="595">
      <c r="A595" s="964"/>
      <c r="C595" s="965"/>
      <c r="F595" s="964"/>
      <c r="G595" s="966"/>
      <c r="H595" s="964"/>
      <c r="I595" s="964"/>
      <c r="K595" s="964"/>
      <c r="L595" s="9"/>
      <c r="M595" s="9"/>
      <c r="Q595" s="965"/>
      <c r="R595" s="967"/>
    </row>
    <row r="596">
      <c r="A596" s="964"/>
      <c r="C596" s="965"/>
      <c r="F596" s="964"/>
      <c r="G596" s="966"/>
      <c r="H596" s="964"/>
      <c r="I596" s="964"/>
      <c r="K596" s="964"/>
      <c r="L596" s="9"/>
      <c r="M596" s="9"/>
      <c r="Q596" s="965"/>
      <c r="R596" s="967"/>
    </row>
    <row r="597">
      <c r="A597" s="964"/>
      <c r="C597" s="965"/>
      <c r="F597" s="964"/>
      <c r="G597" s="966"/>
      <c r="H597" s="964"/>
      <c r="I597" s="964"/>
      <c r="K597" s="964"/>
      <c r="L597" s="9"/>
      <c r="M597" s="9"/>
      <c r="Q597" s="965"/>
      <c r="R597" s="967"/>
    </row>
    <row r="598">
      <c r="A598" s="964"/>
      <c r="C598" s="965"/>
      <c r="F598" s="964"/>
      <c r="G598" s="966"/>
      <c r="H598" s="964"/>
      <c r="I598" s="964"/>
      <c r="K598" s="964"/>
      <c r="L598" s="9"/>
      <c r="M598" s="9"/>
      <c r="Q598" s="965"/>
      <c r="R598" s="967"/>
    </row>
    <row r="599">
      <c r="A599" s="964"/>
      <c r="C599" s="965"/>
      <c r="F599" s="964"/>
      <c r="G599" s="966"/>
      <c r="H599" s="964"/>
      <c r="I599" s="964"/>
      <c r="K599" s="964"/>
      <c r="L599" s="9"/>
      <c r="M599" s="9"/>
      <c r="Q599" s="965"/>
      <c r="R599" s="967"/>
    </row>
    <row r="600">
      <c r="A600" s="964"/>
      <c r="C600" s="965"/>
      <c r="F600" s="964"/>
      <c r="G600" s="966"/>
      <c r="H600" s="964"/>
      <c r="I600" s="964"/>
      <c r="K600" s="964"/>
      <c r="L600" s="9"/>
      <c r="M600" s="9"/>
      <c r="Q600" s="965"/>
      <c r="R600" s="967"/>
    </row>
    <row r="601">
      <c r="A601" s="964"/>
      <c r="C601" s="965"/>
      <c r="F601" s="964"/>
      <c r="G601" s="966"/>
      <c r="H601" s="964"/>
      <c r="I601" s="964"/>
      <c r="K601" s="964"/>
      <c r="L601" s="9"/>
      <c r="M601" s="9"/>
      <c r="Q601" s="965"/>
      <c r="R601" s="967"/>
    </row>
    <row r="602">
      <c r="A602" s="964"/>
      <c r="C602" s="965"/>
      <c r="F602" s="964"/>
      <c r="G602" s="966"/>
      <c r="H602" s="964"/>
      <c r="I602" s="964"/>
      <c r="K602" s="964"/>
      <c r="L602" s="9"/>
      <c r="M602" s="9"/>
      <c r="Q602" s="965"/>
      <c r="R602" s="967"/>
    </row>
    <row r="603">
      <c r="A603" s="964"/>
      <c r="C603" s="965"/>
      <c r="F603" s="964"/>
      <c r="G603" s="966"/>
      <c r="H603" s="964"/>
      <c r="I603" s="964"/>
      <c r="K603" s="964"/>
      <c r="L603" s="9"/>
      <c r="M603" s="9"/>
      <c r="Q603" s="965"/>
      <c r="R603" s="967"/>
    </row>
    <row r="604">
      <c r="A604" s="964"/>
      <c r="C604" s="965"/>
      <c r="F604" s="964"/>
      <c r="G604" s="966"/>
      <c r="H604" s="964"/>
      <c r="I604" s="964"/>
      <c r="K604" s="964"/>
      <c r="L604" s="9"/>
      <c r="M604" s="9"/>
      <c r="Q604" s="965"/>
      <c r="R604" s="967"/>
    </row>
    <row r="605">
      <c r="A605" s="964"/>
      <c r="C605" s="965"/>
      <c r="F605" s="964"/>
      <c r="G605" s="966"/>
      <c r="H605" s="964"/>
      <c r="I605" s="964"/>
      <c r="K605" s="964"/>
      <c r="L605" s="9"/>
      <c r="M605" s="9"/>
      <c r="Q605" s="965"/>
      <c r="R605" s="967"/>
    </row>
    <row r="606">
      <c r="A606" s="964"/>
      <c r="C606" s="965"/>
      <c r="F606" s="964"/>
      <c r="G606" s="966"/>
      <c r="H606" s="964"/>
      <c r="I606" s="964"/>
      <c r="K606" s="964"/>
      <c r="L606" s="9"/>
      <c r="M606" s="9"/>
      <c r="Q606" s="965"/>
      <c r="R606" s="967"/>
    </row>
    <row r="607">
      <c r="A607" s="964"/>
      <c r="C607" s="965"/>
      <c r="F607" s="964"/>
      <c r="G607" s="966"/>
      <c r="H607" s="964"/>
      <c r="I607" s="964"/>
      <c r="K607" s="964"/>
      <c r="L607" s="9"/>
      <c r="M607" s="9"/>
      <c r="Q607" s="965"/>
      <c r="R607" s="967"/>
    </row>
    <row r="608">
      <c r="A608" s="964"/>
      <c r="C608" s="965"/>
      <c r="F608" s="964"/>
      <c r="G608" s="966"/>
      <c r="H608" s="964"/>
      <c r="I608" s="964"/>
      <c r="K608" s="964"/>
      <c r="L608" s="9"/>
      <c r="M608" s="9"/>
      <c r="Q608" s="965"/>
      <c r="R608" s="967"/>
    </row>
    <row r="609">
      <c r="A609" s="964"/>
      <c r="C609" s="965"/>
      <c r="F609" s="964"/>
      <c r="G609" s="966"/>
      <c r="H609" s="964"/>
      <c r="I609" s="964"/>
      <c r="K609" s="964"/>
      <c r="L609" s="9"/>
      <c r="M609" s="9"/>
      <c r="Q609" s="965"/>
      <c r="R609" s="967"/>
    </row>
    <row r="610">
      <c r="A610" s="964"/>
      <c r="C610" s="965"/>
      <c r="F610" s="964"/>
      <c r="G610" s="966"/>
      <c r="H610" s="964"/>
      <c r="I610" s="964"/>
      <c r="K610" s="964"/>
      <c r="L610" s="9"/>
      <c r="M610" s="9"/>
      <c r="Q610" s="965"/>
      <c r="R610" s="967"/>
    </row>
    <row r="611">
      <c r="A611" s="964"/>
      <c r="C611" s="965"/>
      <c r="F611" s="964"/>
      <c r="G611" s="966"/>
      <c r="H611" s="964"/>
      <c r="I611" s="964"/>
      <c r="K611" s="964"/>
      <c r="L611" s="9"/>
      <c r="M611" s="9"/>
      <c r="Q611" s="965"/>
      <c r="R611" s="967"/>
    </row>
    <row r="612">
      <c r="A612" s="964"/>
      <c r="C612" s="965"/>
      <c r="F612" s="964"/>
      <c r="G612" s="966"/>
      <c r="H612" s="964"/>
      <c r="I612" s="964"/>
      <c r="K612" s="964"/>
      <c r="L612" s="9"/>
      <c r="M612" s="9"/>
      <c r="Q612" s="965"/>
      <c r="R612" s="967"/>
    </row>
    <row r="613">
      <c r="A613" s="964"/>
      <c r="C613" s="965"/>
      <c r="F613" s="964"/>
      <c r="G613" s="966"/>
      <c r="H613" s="964"/>
      <c r="I613" s="964"/>
      <c r="K613" s="964"/>
      <c r="L613" s="9"/>
      <c r="M613" s="9"/>
      <c r="Q613" s="965"/>
      <c r="R613" s="967"/>
    </row>
    <row r="614">
      <c r="A614" s="964"/>
      <c r="C614" s="965"/>
      <c r="F614" s="964"/>
      <c r="G614" s="966"/>
      <c r="H614" s="964"/>
      <c r="I614" s="964"/>
      <c r="K614" s="964"/>
      <c r="L614" s="9"/>
      <c r="M614" s="9"/>
      <c r="Q614" s="965"/>
      <c r="R614" s="967"/>
    </row>
    <row r="615">
      <c r="A615" s="964"/>
      <c r="C615" s="965"/>
      <c r="F615" s="964"/>
      <c r="G615" s="966"/>
      <c r="H615" s="964"/>
      <c r="I615" s="964"/>
      <c r="K615" s="964"/>
      <c r="L615" s="9"/>
      <c r="M615" s="9"/>
      <c r="Q615" s="965"/>
      <c r="R615" s="967"/>
    </row>
    <row r="616">
      <c r="A616" s="964"/>
      <c r="C616" s="965"/>
      <c r="F616" s="964"/>
      <c r="G616" s="966"/>
      <c r="H616" s="964"/>
      <c r="I616" s="964"/>
      <c r="K616" s="964"/>
      <c r="L616" s="9"/>
      <c r="M616" s="9"/>
      <c r="Q616" s="965"/>
      <c r="R616" s="967"/>
    </row>
    <row r="617">
      <c r="A617" s="964"/>
      <c r="C617" s="965"/>
      <c r="F617" s="964"/>
      <c r="G617" s="966"/>
      <c r="H617" s="964"/>
      <c r="I617" s="964"/>
      <c r="K617" s="964"/>
      <c r="L617" s="9"/>
      <c r="M617" s="9"/>
      <c r="Q617" s="965"/>
      <c r="R617" s="967"/>
    </row>
    <row r="618">
      <c r="A618" s="964"/>
      <c r="C618" s="965"/>
      <c r="F618" s="964"/>
      <c r="G618" s="966"/>
      <c r="H618" s="964"/>
      <c r="I618" s="964"/>
      <c r="K618" s="964"/>
      <c r="L618" s="9"/>
      <c r="M618" s="9"/>
      <c r="Q618" s="965"/>
      <c r="R618" s="967"/>
    </row>
    <row r="619">
      <c r="A619" s="964"/>
      <c r="C619" s="965"/>
      <c r="F619" s="964"/>
      <c r="G619" s="966"/>
      <c r="H619" s="964"/>
      <c r="I619" s="964"/>
      <c r="K619" s="964"/>
      <c r="L619" s="9"/>
      <c r="M619" s="9"/>
      <c r="Q619" s="965"/>
      <c r="R619" s="967"/>
    </row>
    <row r="620">
      <c r="A620" s="964"/>
      <c r="C620" s="965"/>
      <c r="F620" s="964"/>
      <c r="G620" s="966"/>
      <c r="H620" s="964"/>
      <c r="I620" s="964"/>
      <c r="K620" s="964"/>
      <c r="L620" s="9"/>
      <c r="M620" s="9"/>
      <c r="Q620" s="965"/>
      <c r="R620" s="967"/>
    </row>
    <row r="621">
      <c r="A621" s="964"/>
      <c r="C621" s="965"/>
      <c r="F621" s="964"/>
      <c r="G621" s="966"/>
      <c r="H621" s="964"/>
      <c r="I621" s="964"/>
      <c r="K621" s="964"/>
      <c r="L621" s="9"/>
      <c r="M621" s="9"/>
      <c r="Q621" s="965"/>
      <c r="R621" s="967"/>
    </row>
    <row r="622">
      <c r="A622" s="964"/>
      <c r="C622" s="965"/>
      <c r="F622" s="964"/>
      <c r="G622" s="966"/>
      <c r="H622" s="964"/>
      <c r="I622" s="964"/>
      <c r="K622" s="964"/>
      <c r="L622" s="9"/>
      <c r="M622" s="9"/>
      <c r="Q622" s="965"/>
      <c r="R622" s="967"/>
    </row>
    <row r="623">
      <c r="A623" s="964"/>
      <c r="C623" s="965"/>
      <c r="F623" s="964"/>
      <c r="G623" s="966"/>
      <c r="H623" s="964"/>
      <c r="I623" s="964"/>
      <c r="K623" s="964"/>
      <c r="L623" s="9"/>
      <c r="M623" s="9"/>
      <c r="Q623" s="965"/>
      <c r="R623" s="967"/>
    </row>
    <row r="624">
      <c r="A624" s="964"/>
      <c r="C624" s="965"/>
      <c r="F624" s="964"/>
      <c r="G624" s="966"/>
      <c r="H624" s="964"/>
      <c r="I624" s="964"/>
      <c r="K624" s="964"/>
      <c r="L624" s="9"/>
      <c r="M624" s="9"/>
      <c r="Q624" s="965"/>
      <c r="R624" s="967"/>
    </row>
    <row r="625">
      <c r="A625" s="964"/>
      <c r="C625" s="965"/>
      <c r="F625" s="964"/>
      <c r="G625" s="966"/>
      <c r="H625" s="964"/>
      <c r="I625" s="964"/>
      <c r="K625" s="964"/>
      <c r="L625" s="9"/>
      <c r="M625" s="9"/>
      <c r="Q625" s="965"/>
      <c r="R625" s="967"/>
    </row>
    <row r="626">
      <c r="A626" s="964"/>
      <c r="C626" s="965"/>
      <c r="F626" s="964"/>
      <c r="G626" s="966"/>
      <c r="H626" s="964"/>
      <c r="I626" s="964"/>
      <c r="K626" s="964"/>
      <c r="L626" s="9"/>
      <c r="M626" s="9"/>
      <c r="Q626" s="965"/>
      <c r="R626" s="967"/>
    </row>
    <row r="627">
      <c r="A627" s="964"/>
      <c r="C627" s="965"/>
      <c r="F627" s="964"/>
      <c r="G627" s="966"/>
      <c r="H627" s="964"/>
      <c r="I627" s="964"/>
      <c r="K627" s="964"/>
      <c r="L627" s="9"/>
      <c r="M627" s="9"/>
      <c r="Q627" s="965"/>
      <c r="R627" s="967"/>
    </row>
    <row r="628">
      <c r="A628" s="964"/>
      <c r="C628" s="965"/>
      <c r="F628" s="964"/>
      <c r="G628" s="966"/>
      <c r="H628" s="964"/>
      <c r="I628" s="964"/>
      <c r="K628" s="964"/>
      <c r="L628" s="9"/>
      <c r="M628" s="9"/>
      <c r="Q628" s="965"/>
      <c r="R628" s="967"/>
    </row>
    <row r="629">
      <c r="A629" s="964"/>
      <c r="C629" s="965"/>
      <c r="F629" s="964"/>
      <c r="G629" s="966"/>
      <c r="H629" s="964"/>
      <c r="I629" s="964"/>
      <c r="K629" s="964"/>
      <c r="L629" s="9"/>
      <c r="M629" s="9"/>
      <c r="Q629" s="965"/>
      <c r="R629" s="967"/>
    </row>
    <row r="630">
      <c r="A630" s="964"/>
      <c r="C630" s="965"/>
      <c r="F630" s="964"/>
      <c r="G630" s="966"/>
      <c r="H630" s="964"/>
      <c r="I630" s="964"/>
      <c r="K630" s="964"/>
      <c r="L630" s="9"/>
      <c r="M630" s="9"/>
      <c r="Q630" s="965"/>
      <c r="R630" s="967"/>
    </row>
    <row r="631">
      <c r="A631" s="964"/>
      <c r="C631" s="965"/>
      <c r="F631" s="964"/>
      <c r="G631" s="966"/>
      <c r="H631" s="964"/>
      <c r="I631" s="964"/>
      <c r="K631" s="964"/>
      <c r="L631" s="9"/>
      <c r="M631" s="9"/>
      <c r="Q631" s="965"/>
      <c r="R631" s="967"/>
    </row>
    <row r="632">
      <c r="A632" s="964"/>
      <c r="C632" s="965"/>
      <c r="F632" s="964"/>
      <c r="G632" s="966"/>
      <c r="H632" s="964"/>
      <c r="I632" s="964"/>
      <c r="K632" s="964"/>
      <c r="L632" s="9"/>
      <c r="M632" s="9"/>
      <c r="Q632" s="965"/>
      <c r="R632" s="967"/>
    </row>
    <row r="633">
      <c r="A633" s="964"/>
      <c r="C633" s="965"/>
      <c r="F633" s="964"/>
      <c r="G633" s="966"/>
      <c r="H633" s="964"/>
      <c r="I633" s="964"/>
      <c r="K633" s="964"/>
      <c r="L633" s="9"/>
      <c r="M633" s="9"/>
      <c r="Q633" s="965"/>
      <c r="R633" s="967"/>
    </row>
    <row r="634">
      <c r="A634" s="964"/>
      <c r="C634" s="965"/>
      <c r="F634" s="964"/>
      <c r="G634" s="966"/>
      <c r="H634" s="964"/>
      <c r="I634" s="964"/>
      <c r="K634" s="964"/>
      <c r="L634" s="9"/>
      <c r="M634" s="9"/>
      <c r="Q634" s="965"/>
      <c r="R634" s="967"/>
    </row>
    <row r="635">
      <c r="A635" s="964"/>
      <c r="C635" s="965"/>
      <c r="F635" s="964"/>
      <c r="G635" s="966"/>
      <c r="H635" s="964"/>
      <c r="I635" s="964"/>
      <c r="K635" s="964"/>
      <c r="L635" s="9"/>
      <c r="M635" s="9"/>
      <c r="Q635" s="965"/>
      <c r="R635" s="967"/>
    </row>
    <row r="636">
      <c r="A636" s="964"/>
      <c r="C636" s="965"/>
      <c r="F636" s="964"/>
      <c r="G636" s="966"/>
      <c r="H636" s="964"/>
      <c r="I636" s="964"/>
      <c r="K636" s="964"/>
      <c r="L636" s="9"/>
      <c r="M636" s="9"/>
      <c r="Q636" s="965"/>
      <c r="R636" s="967"/>
    </row>
    <row r="637">
      <c r="A637" s="964"/>
      <c r="C637" s="965"/>
      <c r="F637" s="964"/>
      <c r="G637" s="966"/>
      <c r="H637" s="964"/>
      <c r="I637" s="964"/>
      <c r="K637" s="964"/>
      <c r="L637" s="9"/>
      <c r="M637" s="9"/>
      <c r="Q637" s="965"/>
      <c r="R637" s="967"/>
    </row>
    <row r="638">
      <c r="A638" s="964"/>
      <c r="C638" s="965"/>
      <c r="F638" s="964"/>
      <c r="G638" s="966"/>
      <c r="H638" s="964"/>
      <c r="I638" s="964"/>
      <c r="K638" s="964"/>
      <c r="L638" s="9"/>
      <c r="M638" s="9"/>
      <c r="Q638" s="965"/>
      <c r="R638" s="967"/>
    </row>
    <row r="639">
      <c r="A639" s="964"/>
      <c r="C639" s="965"/>
      <c r="F639" s="964"/>
      <c r="G639" s="966"/>
      <c r="H639" s="964"/>
      <c r="I639" s="964"/>
      <c r="K639" s="964"/>
      <c r="L639" s="9"/>
      <c r="M639" s="9"/>
      <c r="Q639" s="965"/>
      <c r="R639" s="967"/>
    </row>
    <row r="640">
      <c r="A640" s="964"/>
      <c r="C640" s="965"/>
      <c r="F640" s="964"/>
      <c r="G640" s="966"/>
      <c r="H640" s="964"/>
      <c r="I640" s="964"/>
      <c r="K640" s="964"/>
      <c r="L640" s="9"/>
      <c r="M640" s="9"/>
      <c r="Q640" s="965"/>
      <c r="R640" s="967"/>
    </row>
    <row r="641">
      <c r="A641" s="964"/>
      <c r="C641" s="965"/>
      <c r="F641" s="964"/>
      <c r="G641" s="966"/>
      <c r="H641" s="964"/>
      <c r="I641" s="964"/>
      <c r="K641" s="964"/>
      <c r="L641" s="9"/>
      <c r="M641" s="9"/>
      <c r="Q641" s="965"/>
      <c r="R641" s="967"/>
    </row>
    <row r="642">
      <c r="A642" s="964"/>
      <c r="C642" s="965"/>
      <c r="F642" s="964"/>
      <c r="G642" s="966"/>
      <c r="H642" s="964"/>
      <c r="I642" s="964"/>
      <c r="K642" s="964"/>
      <c r="L642" s="9"/>
      <c r="M642" s="9"/>
      <c r="Q642" s="965"/>
      <c r="R642" s="967"/>
    </row>
    <row r="643">
      <c r="A643" s="964"/>
      <c r="C643" s="965"/>
      <c r="F643" s="964"/>
      <c r="G643" s="966"/>
      <c r="H643" s="964"/>
      <c r="I643" s="964"/>
      <c r="K643" s="964"/>
      <c r="L643" s="9"/>
      <c r="M643" s="9"/>
      <c r="Q643" s="965"/>
      <c r="R643" s="967"/>
    </row>
    <row r="644">
      <c r="A644" s="964"/>
      <c r="C644" s="965"/>
      <c r="F644" s="964"/>
      <c r="G644" s="966"/>
      <c r="H644" s="964"/>
      <c r="I644" s="964"/>
      <c r="K644" s="964"/>
      <c r="L644" s="9"/>
      <c r="M644" s="9"/>
      <c r="Q644" s="965"/>
      <c r="R644" s="967"/>
    </row>
    <row r="645">
      <c r="A645" s="964"/>
      <c r="C645" s="965"/>
      <c r="F645" s="964"/>
      <c r="G645" s="966"/>
      <c r="H645" s="964"/>
      <c r="I645" s="964"/>
      <c r="K645" s="964"/>
      <c r="L645" s="9"/>
      <c r="M645" s="9"/>
      <c r="Q645" s="965"/>
      <c r="R645" s="967"/>
    </row>
    <row r="646">
      <c r="A646" s="964"/>
      <c r="C646" s="965"/>
      <c r="F646" s="964"/>
      <c r="G646" s="966"/>
      <c r="H646" s="964"/>
      <c r="I646" s="964"/>
      <c r="K646" s="964"/>
      <c r="L646" s="9"/>
      <c r="M646" s="9"/>
      <c r="Q646" s="965"/>
      <c r="R646" s="967"/>
    </row>
    <row r="647">
      <c r="A647" s="964"/>
      <c r="C647" s="965"/>
      <c r="F647" s="964"/>
      <c r="G647" s="966"/>
      <c r="H647" s="964"/>
      <c r="I647" s="964"/>
      <c r="K647" s="964"/>
      <c r="L647" s="9"/>
      <c r="M647" s="9"/>
      <c r="Q647" s="965"/>
      <c r="R647" s="967"/>
    </row>
    <row r="648">
      <c r="A648" s="964"/>
      <c r="C648" s="965"/>
      <c r="F648" s="964"/>
      <c r="G648" s="966"/>
      <c r="H648" s="964"/>
      <c r="I648" s="964"/>
      <c r="K648" s="964"/>
      <c r="L648" s="9"/>
      <c r="M648" s="9"/>
      <c r="Q648" s="965"/>
      <c r="R648" s="967"/>
    </row>
    <row r="649">
      <c r="A649" s="964"/>
      <c r="C649" s="965"/>
      <c r="F649" s="964"/>
      <c r="G649" s="966"/>
      <c r="H649" s="964"/>
      <c r="I649" s="964"/>
      <c r="K649" s="964"/>
      <c r="L649" s="9"/>
      <c r="M649" s="9"/>
      <c r="Q649" s="965"/>
      <c r="R649" s="967"/>
    </row>
    <row r="650">
      <c r="A650" s="964"/>
      <c r="C650" s="965"/>
      <c r="F650" s="964"/>
      <c r="G650" s="966"/>
      <c r="H650" s="964"/>
      <c r="I650" s="964"/>
      <c r="K650" s="964"/>
      <c r="L650" s="9"/>
      <c r="M650" s="9"/>
      <c r="Q650" s="965"/>
      <c r="R650" s="967"/>
    </row>
    <row r="651">
      <c r="A651" s="964"/>
      <c r="C651" s="965"/>
      <c r="F651" s="964"/>
      <c r="G651" s="966"/>
      <c r="H651" s="964"/>
      <c r="I651" s="964"/>
      <c r="K651" s="964"/>
      <c r="L651" s="9"/>
      <c r="M651" s="9"/>
      <c r="Q651" s="965"/>
      <c r="R651" s="967"/>
    </row>
    <row r="652">
      <c r="A652" s="964"/>
      <c r="C652" s="965"/>
      <c r="F652" s="964"/>
      <c r="G652" s="966"/>
      <c r="H652" s="964"/>
      <c r="I652" s="964"/>
      <c r="K652" s="964"/>
      <c r="L652" s="9"/>
      <c r="M652" s="9"/>
      <c r="Q652" s="965"/>
      <c r="R652" s="967"/>
    </row>
    <row r="653">
      <c r="A653" s="964"/>
      <c r="C653" s="965"/>
      <c r="F653" s="964"/>
      <c r="G653" s="966"/>
      <c r="H653" s="964"/>
      <c r="I653" s="964"/>
      <c r="K653" s="964"/>
      <c r="L653" s="9"/>
      <c r="M653" s="9"/>
      <c r="Q653" s="965"/>
      <c r="R653" s="967"/>
    </row>
    <row r="654">
      <c r="A654" s="964"/>
      <c r="C654" s="965"/>
      <c r="F654" s="964"/>
      <c r="G654" s="966"/>
      <c r="H654" s="964"/>
      <c r="I654" s="964"/>
      <c r="K654" s="964"/>
      <c r="L654" s="9"/>
      <c r="M654" s="9"/>
      <c r="Q654" s="965"/>
      <c r="R654" s="967"/>
    </row>
    <row r="655">
      <c r="A655" s="964"/>
      <c r="C655" s="965"/>
      <c r="F655" s="964"/>
      <c r="G655" s="966"/>
      <c r="H655" s="964"/>
      <c r="I655" s="964"/>
      <c r="K655" s="964"/>
      <c r="L655" s="9"/>
      <c r="M655" s="9"/>
      <c r="Q655" s="965"/>
      <c r="R655" s="967"/>
    </row>
    <row r="656">
      <c r="A656" s="964"/>
      <c r="C656" s="965"/>
      <c r="F656" s="964"/>
      <c r="G656" s="966"/>
      <c r="H656" s="964"/>
      <c r="I656" s="964"/>
      <c r="K656" s="964"/>
      <c r="L656" s="9"/>
      <c r="M656" s="9"/>
      <c r="Q656" s="965"/>
      <c r="R656" s="967"/>
    </row>
    <row r="657">
      <c r="A657" s="964"/>
      <c r="C657" s="965"/>
      <c r="F657" s="964"/>
      <c r="G657" s="966"/>
      <c r="H657" s="964"/>
      <c r="I657" s="964"/>
      <c r="K657" s="964"/>
      <c r="L657" s="9"/>
      <c r="M657" s="9"/>
      <c r="Q657" s="965"/>
      <c r="R657" s="967"/>
    </row>
    <row r="658">
      <c r="A658" s="964"/>
      <c r="C658" s="965"/>
      <c r="F658" s="964"/>
      <c r="G658" s="966"/>
      <c r="H658" s="964"/>
      <c r="I658" s="964"/>
      <c r="K658" s="964"/>
      <c r="L658" s="9"/>
      <c r="M658" s="9"/>
      <c r="Q658" s="965"/>
      <c r="R658" s="967"/>
    </row>
    <row r="659">
      <c r="A659" s="964"/>
      <c r="C659" s="965"/>
      <c r="F659" s="964"/>
      <c r="G659" s="966"/>
      <c r="H659" s="964"/>
      <c r="I659" s="964"/>
      <c r="K659" s="964"/>
      <c r="L659" s="9"/>
      <c r="M659" s="9"/>
      <c r="Q659" s="965"/>
      <c r="R659" s="967"/>
    </row>
    <row r="660">
      <c r="A660" s="964"/>
      <c r="C660" s="965"/>
      <c r="F660" s="964"/>
      <c r="G660" s="966"/>
      <c r="H660" s="964"/>
      <c r="I660" s="964"/>
      <c r="K660" s="964"/>
      <c r="L660" s="9"/>
      <c r="M660" s="9"/>
      <c r="Q660" s="965"/>
      <c r="R660" s="967"/>
    </row>
    <row r="661">
      <c r="A661" s="964"/>
      <c r="C661" s="965"/>
      <c r="F661" s="964"/>
      <c r="G661" s="966"/>
      <c r="H661" s="964"/>
      <c r="I661" s="964"/>
      <c r="K661" s="964"/>
      <c r="L661" s="9"/>
      <c r="M661" s="9"/>
      <c r="Q661" s="965"/>
      <c r="R661" s="967"/>
    </row>
    <row r="662">
      <c r="A662" s="964"/>
      <c r="C662" s="965"/>
      <c r="F662" s="964"/>
      <c r="G662" s="966"/>
      <c r="H662" s="964"/>
      <c r="I662" s="964"/>
      <c r="K662" s="964"/>
      <c r="L662" s="9"/>
      <c r="M662" s="9"/>
      <c r="Q662" s="965"/>
      <c r="R662" s="967"/>
    </row>
    <row r="663">
      <c r="A663" s="964"/>
      <c r="C663" s="965"/>
      <c r="F663" s="964"/>
      <c r="G663" s="966"/>
      <c r="H663" s="964"/>
      <c r="I663" s="964"/>
      <c r="K663" s="964"/>
      <c r="L663" s="9"/>
      <c r="M663" s="9"/>
      <c r="Q663" s="965"/>
      <c r="R663" s="967"/>
    </row>
    <row r="664">
      <c r="A664" s="964"/>
      <c r="C664" s="965"/>
      <c r="F664" s="964"/>
      <c r="G664" s="966"/>
      <c r="H664" s="964"/>
      <c r="I664" s="964"/>
      <c r="K664" s="964"/>
      <c r="L664" s="9"/>
      <c r="M664" s="9"/>
      <c r="Q664" s="965"/>
      <c r="R664" s="967"/>
    </row>
    <row r="665">
      <c r="A665" s="964"/>
      <c r="C665" s="965"/>
      <c r="F665" s="964"/>
      <c r="G665" s="966"/>
      <c r="H665" s="964"/>
      <c r="I665" s="964"/>
      <c r="K665" s="964"/>
      <c r="L665" s="9"/>
      <c r="M665" s="9"/>
      <c r="Q665" s="965"/>
      <c r="R665" s="967"/>
    </row>
    <row r="666">
      <c r="A666" s="964"/>
      <c r="C666" s="965"/>
      <c r="F666" s="964"/>
      <c r="G666" s="966"/>
      <c r="H666" s="964"/>
      <c r="I666" s="964"/>
      <c r="K666" s="964"/>
      <c r="L666" s="9"/>
      <c r="M666" s="9"/>
      <c r="Q666" s="965"/>
      <c r="R666" s="967"/>
    </row>
    <row r="667">
      <c r="A667" s="964"/>
      <c r="C667" s="965"/>
      <c r="F667" s="964"/>
      <c r="G667" s="966"/>
      <c r="H667" s="964"/>
      <c r="I667" s="964"/>
      <c r="K667" s="964"/>
      <c r="L667" s="9"/>
      <c r="M667" s="9"/>
      <c r="Q667" s="965"/>
      <c r="R667" s="967"/>
    </row>
    <row r="668">
      <c r="A668" s="964"/>
      <c r="C668" s="965"/>
      <c r="F668" s="964"/>
      <c r="G668" s="966"/>
      <c r="H668" s="964"/>
      <c r="I668" s="964"/>
      <c r="K668" s="964"/>
      <c r="L668" s="9"/>
      <c r="M668" s="9"/>
      <c r="Q668" s="965"/>
      <c r="R668" s="967"/>
    </row>
    <row r="669">
      <c r="A669" s="964"/>
      <c r="C669" s="965"/>
      <c r="F669" s="964"/>
      <c r="G669" s="966"/>
      <c r="H669" s="964"/>
      <c r="I669" s="964"/>
      <c r="K669" s="964"/>
      <c r="L669" s="9"/>
      <c r="M669" s="9"/>
      <c r="Q669" s="965"/>
      <c r="R669" s="967"/>
    </row>
    <row r="670">
      <c r="A670" s="964"/>
      <c r="C670" s="965"/>
      <c r="F670" s="964"/>
      <c r="G670" s="966"/>
      <c r="H670" s="964"/>
      <c r="I670" s="964"/>
      <c r="K670" s="964"/>
      <c r="L670" s="9"/>
      <c r="M670" s="9"/>
      <c r="Q670" s="965"/>
      <c r="R670" s="967"/>
    </row>
    <row r="671">
      <c r="A671" s="964"/>
      <c r="C671" s="965"/>
      <c r="F671" s="964"/>
      <c r="G671" s="966"/>
      <c r="H671" s="964"/>
      <c r="I671" s="964"/>
      <c r="K671" s="964"/>
      <c r="L671" s="9"/>
      <c r="M671" s="9"/>
      <c r="Q671" s="965"/>
      <c r="R671" s="967"/>
    </row>
    <row r="672">
      <c r="A672" s="964"/>
      <c r="C672" s="965"/>
      <c r="F672" s="964"/>
      <c r="G672" s="966"/>
      <c r="H672" s="964"/>
      <c r="I672" s="964"/>
      <c r="K672" s="964"/>
      <c r="L672" s="9"/>
      <c r="M672" s="9"/>
      <c r="Q672" s="965"/>
      <c r="R672" s="967"/>
    </row>
    <row r="673">
      <c r="A673" s="964"/>
      <c r="C673" s="965"/>
      <c r="F673" s="964"/>
      <c r="G673" s="966"/>
      <c r="H673" s="964"/>
      <c r="I673" s="964"/>
      <c r="K673" s="964"/>
      <c r="L673" s="9"/>
      <c r="M673" s="9"/>
      <c r="Q673" s="965"/>
      <c r="R673" s="967"/>
    </row>
    <row r="674">
      <c r="A674" s="964"/>
      <c r="C674" s="965"/>
      <c r="F674" s="964"/>
      <c r="G674" s="966"/>
      <c r="H674" s="964"/>
      <c r="I674" s="964"/>
      <c r="K674" s="964"/>
      <c r="L674" s="9"/>
      <c r="M674" s="9"/>
      <c r="Q674" s="965"/>
      <c r="R674" s="967"/>
    </row>
    <row r="675">
      <c r="A675" s="964"/>
      <c r="C675" s="965"/>
      <c r="F675" s="964"/>
      <c r="G675" s="966"/>
      <c r="H675" s="964"/>
      <c r="I675" s="964"/>
      <c r="K675" s="964"/>
      <c r="L675" s="9"/>
      <c r="M675" s="9"/>
      <c r="Q675" s="965"/>
      <c r="R675" s="967"/>
    </row>
    <row r="676">
      <c r="A676" s="964"/>
      <c r="C676" s="965"/>
      <c r="F676" s="964"/>
      <c r="G676" s="966"/>
      <c r="H676" s="964"/>
      <c r="I676" s="964"/>
      <c r="K676" s="964"/>
      <c r="L676" s="9"/>
      <c r="M676" s="9"/>
      <c r="Q676" s="965"/>
      <c r="R676" s="967"/>
    </row>
    <row r="677">
      <c r="A677" s="964"/>
      <c r="C677" s="965"/>
      <c r="F677" s="964"/>
      <c r="G677" s="966"/>
      <c r="H677" s="964"/>
      <c r="I677" s="964"/>
      <c r="K677" s="964"/>
      <c r="L677" s="9"/>
      <c r="M677" s="9"/>
      <c r="Q677" s="965"/>
      <c r="R677" s="967"/>
    </row>
    <row r="678">
      <c r="A678" s="964"/>
      <c r="C678" s="965"/>
      <c r="F678" s="964"/>
      <c r="G678" s="966"/>
      <c r="H678" s="964"/>
      <c r="I678" s="964"/>
      <c r="K678" s="964"/>
      <c r="L678" s="9"/>
      <c r="M678" s="9"/>
      <c r="Q678" s="965"/>
      <c r="R678" s="967"/>
    </row>
    <row r="679">
      <c r="A679" s="964"/>
      <c r="C679" s="965"/>
      <c r="F679" s="964"/>
      <c r="G679" s="966"/>
      <c r="H679" s="964"/>
      <c r="I679" s="964"/>
      <c r="K679" s="964"/>
      <c r="L679" s="9"/>
      <c r="M679" s="9"/>
      <c r="Q679" s="965"/>
      <c r="R679" s="967"/>
    </row>
    <row r="680">
      <c r="A680" s="964"/>
      <c r="C680" s="965"/>
      <c r="F680" s="964"/>
      <c r="G680" s="966"/>
      <c r="H680" s="964"/>
      <c r="I680" s="964"/>
      <c r="K680" s="964"/>
      <c r="L680" s="9"/>
      <c r="M680" s="9"/>
      <c r="Q680" s="965"/>
      <c r="R680" s="967"/>
    </row>
    <row r="681">
      <c r="A681" s="964"/>
      <c r="C681" s="965"/>
      <c r="F681" s="964"/>
      <c r="G681" s="966"/>
      <c r="H681" s="964"/>
      <c r="I681" s="964"/>
      <c r="K681" s="964"/>
      <c r="L681" s="9"/>
      <c r="M681" s="9"/>
      <c r="Q681" s="965"/>
      <c r="R681" s="967"/>
    </row>
    <row r="682">
      <c r="A682" s="964"/>
      <c r="C682" s="965"/>
      <c r="F682" s="964"/>
      <c r="G682" s="966"/>
      <c r="H682" s="964"/>
      <c r="I682" s="964"/>
      <c r="K682" s="964"/>
      <c r="L682" s="9"/>
      <c r="M682" s="9"/>
      <c r="Q682" s="965"/>
      <c r="R682" s="967"/>
    </row>
    <row r="683">
      <c r="A683" s="964"/>
      <c r="C683" s="965"/>
      <c r="F683" s="964"/>
      <c r="G683" s="966"/>
      <c r="H683" s="964"/>
      <c r="I683" s="964"/>
      <c r="K683" s="964"/>
      <c r="L683" s="9"/>
      <c r="M683" s="9"/>
      <c r="Q683" s="965"/>
      <c r="R683" s="967"/>
    </row>
    <row r="684">
      <c r="A684" s="964"/>
      <c r="C684" s="965"/>
      <c r="F684" s="964"/>
      <c r="G684" s="966"/>
      <c r="H684" s="964"/>
      <c r="I684" s="964"/>
      <c r="K684" s="964"/>
      <c r="L684" s="9"/>
      <c r="M684" s="9"/>
      <c r="Q684" s="965"/>
      <c r="R684" s="967"/>
    </row>
    <row r="685">
      <c r="A685" s="964"/>
      <c r="C685" s="965"/>
      <c r="F685" s="964"/>
      <c r="G685" s="966"/>
      <c r="H685" s="964"/>
      <c r="I685" s="964"/>
      <c r="K685" s="964"/>
      <c r="L685" s="9"/>
      <c r="M685" s="9"/>
      <c r="Q685" s="965"/>
      <c r="R685" s="967"/>
    </row>
    <row r="686">
      <c r="A686" s="964"/>
      <c r="C686" s="965"/>
      <c r="F686" s="964"/>
      <c r="G686" s="966"/>
      <c r="H686" s="964"/>
      <c r="I686" s="964"/>
      <c r="K686" s="964"/>
      <c r="L686" s="9"/>
      <c r="M686" s="9"/>
      <c r="Q686" s="965"/>
      <c r="R686" s="967"/>
    </row>
    <row r="687">
      <c r="A687" s="964"/>
      <c r="C687" s="965"/>
      <c r="F687" s="964"/>
      <c r="G687" s="966"/>
      <c r="H687" s="964"/>
      <c r="I687" s="964"/>
      <c r="K687" s="964"/>
      <c r="L687" s="9"/>
      <c r="M687" s="9"/>
      <c r="Q687" s="965"/>
      <c r="R687" s="967"/>
    </row>
    <row r="688">
      <c r="A688" s="964"/>
      <c r="C688" s="965"/>
      <c r="F688" s="964"/>
      <c r="G688" s="966"/>
      <c r="H688" s="964"/>
      <c r="I688" s="964"/>
      <c r="K688" s="964"/>
      <c r="L688" s="9"/>
      <c r="M688" s="9"/>
      <c r="Q688" s="965"/>
      <c r="R688" s="967"/>
    </row>
    <row r="689">
      <c r="A689" s="964"/>
      <c r="C689" s="965"/>
      <c r="F689" s="964"/>
      <c r="G689" s="966"/>
      <c r="H689" s="964"/>
      <c r="I689" s="964"/>
      <c r="K689" s="964"/>
      <c r="L689" s="9"/>
      <c r="M689" s="9"/>
      <c r="Q689" s="965"/>
      <c r="R689" s="967"/>
    </row>
    <row r="690">
      <c r="A690" s="964"/>
      <c r="C690" s="965"/>
      <c r="F690" s="964"/>
      <c r="G690" s="966"/>
      <c r="H690" s="964"/>
      <c r="I690" s="964"/>
      <c r="K690" s="964"/>
      <c r="L690" s="9"/>
      <c r="M690" s="9"/>
      <c r="Q690" s="965"/>
      <c r="R690" s="967"/>
    </row>
    <row r="691">
      <c r="A691" s="964"/>
      <c r="C691" s="965"/>
      <c r="F691" s="964"/>
      <c r="G691" s="966"/>
      <c r="H691" s="964"/>
      <c r="I691" s="964"/>
      <c r="K691" s="964"/>
      <c r="L691" s="9"/>
      <c r="M691" s="9"/>
      <c r="Q691" s="965"/>
      <c r="R691" s="967"/>
    </row>
    <row r="692">
      <c r="A692" s="964"/>
      <c r="C692" s="965"/>
      <c r="F692" s="964"/>
      <c r="G692" s="966"/>
      <c r="H692" s="964"/>
      <c r="I692" s="964"/>
      <c r="K692" s="964"/>
      <c r="L692" s="9"/>
      <c r="M692" s="9"/>
      <c r="Q692" s="965"/>
      <c r="R692" s="967"/>
    </row>
    <row r="693">
      <c r="A693" s="964"/>
      <c r="C693" s="965"/>
      <c r="F693" s="964"/>
      <c r="G693" s="966"/>
      <c r="H693" s="964"/>
      <c r="I693" s="964"/>
      <c r="K693" s="964"/>
      <c r="L693" s="9"/>
      <c r="M693" s="9"/>
      <c r="Q693" s="965"/>
      <c r="R693" s="967"/>
    </row>
    <row r="694">
      <c r="A694" s="964"/>
      <c r="C694" s="965"/>
      <c r="F694" s="964"/>
      <c r="G694" s="966"/>
      <c r="H694" s="964"/>
      <c r="I694" s="964"/>
      <c r="K694" s="964"/>
      <c r="L694" s="9"/>
      <c r="M694" s="9"/>
      <c r="Q694" s="965"/>
      <c r="R694" s="967"/>
    </row>
    <row r="695">
      <c r="A695" s="964"/>
      <c r="C695" s="965"/>
      <c r="F695" s="964"/>
      <c r="G695" s="966"/>
      <c r="H695" s="964"/>
      <c r="I695" s="964"/>
      <c r="K695" s="964"/>
      <c r="L695" s="9"/>
      <c r="M695" s="9"/>
      <c r="Q695" s="965"/>
      <c r="R695" s="967"/>
    </row>
    <row r="696">
      <c r="A696" s="964"/>
      <c r="C696" s="965"/>
      <c r="F696" s="964"/>
      <c r="G696" s="966"/>
      <c r="H696" s="964"/>
      <c r="I696" s="964"/>
      <c r="K696" s="964"/>
      <c r="L696" s="9"/>
      <c r="M696" s="9"/>
      <c r="Q696" s="965"/>
      <c r="R696" s="967"/>
    </row>
    <row r="697">
      <c r="A697" s="964"/>
      <c r="C697" s="965"/>
      <c r="F697" s="964"/>
      <c r="G697" s="966"/>
      <c r="H697" s="964"/>
      <c r="I697" s="964"/>
      <c r="K697" s="964"/>
      <c r="L697" s="9"/>
      <c r="M697" s="9"/>
      <c r="Q697" s="965"/>
      <c r="R697" s="967"/>
    </row>
    <row r="698">
      <c r="A698" s="964"/>
      <c r="C698" s="965"/>
      <c r="F698" s="964"/>
      <c r="G698" s="966"/>
      <c r="H698" s="964"/>
      <c r="I698" s="964"/>
      <c r="K698" s="964"/>
      <c r="L698" s="9"/>
      <c r="M698" s="9"/>
      <c r="Q698" s="965"/>
      <c r="R698" s="967"/>
    </row>
    <row r="699">
      <c r="A699" s="964"/>
      <c r="C699" s="965"/>
      <c r="F699" s="964"/>
      <c r="G699" s="966"/>
      <c r="H699" s="964"/>
      <c r="I699" s="964"/>
      <c r="K699" s="964"/>
      <c r="L699" s="9"/>
      <c r="M699" s="9"/>
      <c r="Q699" s="965"/>
      <c r="R699" s="967"/>
    </row>
    <row r="700">
      <c r="A700" s="964"/>
      <c r="C700" s="965"/>
      <c r="F700" s="964"/>
      <c r="G700" s="966"/>
      <c r="H700" s="964"/>
      <c r="I700" s="964"/>
      <c r="K700" s="964"/>
      <c r="L700" s="9"/>
      <c r="M700" s="9"/>
      <c r="Q700" s="965"/>
      <c r="R700" s="967"/>
    </row>
    <row r="701">
      <c r="A701" s="964"/>
      <c r="C701" s="965"/>
      <c r="F701" s="964"/>
      <c r="G701" s="966"/>
      <c r="H701" s="964"/>
      <c r="I701" s="964"/>
      <c r="K701" s="964"/>
      <c r="L701" s="9"/>
      <c r="M701" s="9"/>
      <c r="Q701" s="965"/>
      <c r="R701" s="967"/>
    </row>
    <row r="702">
      <c r="A702" s="964"/>
      <c r="C702" s="965"/>
      <c r="F702" s="964"/>
      <c r="G702" s="966"/>
      <c r="H702" s="964"/>
      <c r="I702" s="964"/>
      <c r="K702" s="964"/>
      <c r="L702" s="9"/>
      <c r="M702" s="9"/>
      <c r="Q702" s="965"/>
      <c r="R702" s="967"/>
    </row>
    <row r="703">
      <c r="A703" s="964"/>
      <c r="C703" s="965"/>
      <c r="F703" s="964"/>
      <c r="G703" s="966"/>
      <c r="H703" s="964"/>
      <c r="I703" s="964"/>
      <c r="K703" s="964"/>
      <c r="L703" s="9"/>
      <c r="M703" s="9"/>
      <c r="Q703" s="965"/>
      <c r="R703" s="967"/>
    </row>
    <row r="704">
      <c r="A704" s="964"/>
      <c r="C704" s="965"/>
      <c r="F704" s="964"/>
      <c r="G704" s="966"/>
      <c r="H704" s="964"/>
      <c r="I704" s="964"/>
      <c r="K704" s="964"/>
      <c r="L704" s="9"/>
      <c r="M704" s="9"/>
      <c r="Q704" s="965"/>
      <c r="R704" s="967"/>
    </row>
    <row r="705">
      <c r="A705" s="964"/>
      <c r="C705" s="965"/>
      <c r="F705" s="964"/>
      <c r="G705" s="966"/>
      <c r="H705" s="964"/>
      <c r="I705" s="964"/>
      <c r="K705" s="964"/>
      <c r="L705" s="9"/>
      <c r="M705" s="9"/>
      <c r="Q705" s="965"/>
      <c r="R705" s="967"/>
    </row>
    <row r="706">
      <c r="A706" s="964"/>
      <c r="C706" s="965"/>
      <c r="F706" s="964"/>
      <c r="G706" s="966"/>
      <c r="H706" s="964"/>
      <c r="I706" s="964"/>
      <c r="K706" s="964"/>
      <c r="L706" s="9"/>
      <c r="M706" s="9"/>
      <c r="Q706" s="965"/>
      <c r="R706" s="967"/>
    </row>
    <row r="707">
      <c r="A707" s="964"/>
      <c r="C707" s="965"/>
      <c r="F707" s="964"/>
      <c r="G707" s="966"/>
      <c r="H707" s="964"/>
      <c r="I707" s="964"/>
      <c r="K707" s="964"/>
      <c r="L707" s="9"/>
      <c r="M707" s="9"/>
      <c r="Q707" s="965"/>
      <c r="R707" s="967"/>
    </row>
    <row r="708">
      <c r="A708" s="964"/>
      <c r="C708" s="965"/>
      <c r="F708" s="964"/>
      <c r="G708" s="966"/>
      <c r="H708" s="964"/>
      <c r="I708" s="964"/>
      <c r="K708" s="964"/>
      <c r="L708" s="9"/>
      <c r="M708" s="9"/>
      <c r="Q708" s="965"/>
      <c r="R708" s="967"/>
    </row>
    <row r="709">
      <c r="A709" s="964"/>
      <c r="C709" s="965"/>
      <c r="F709" s="964"/>
      <c r="G709" s="966"/>
      <c r="H709" s="964"/>
      <c r="I709" s="964"/>
      <c r="K709" s="964"/>
      <c r="L709" s="9"/>
      <c r="M709" s="9"/>
      <c r="Q709" s="965"/>
      <c r="R709" s="967"/>
    </row>
    <row r="710">
      <c r="A710" s="964"/>
      <c r="C710" s="965"/>
      <c r="F710" s="964"/>
      <c r="G710" s="966"/>
      <c r="H710" s="964"/>
      <c r="I710" s="964"/>
      <c r="K710" s="964"/>
      <c r="L710" s="9"/>
      <c r="M710" s="9"/>
      <c r="Q710" s="965"/>
      <c r="R710" s="967"/>
    </row>
    <row r="711">
      <c r="A711" s="964"/>
      <c r="C711" s="965"/>
      <c r="F711" s="964"/>
      <c r="G711" s="966"/>
      <c r="H711" s="964"/>
      <c r="I711" s="964"/>
      <c r="K711" s="964"/>
      <c r="L711" s="9"/>
      <c r="M711" s="9"/>
      <c r="Q711" s="965"/>
      <c r="R711" s="967"/>
    </row>
    <row r="712">
      <c r="A712" s="964"/>
      <c r="C712" s="965"/>
      <c r="F712" s="964"/>
      <c r="G712" s="966"/>
      <c r="H712" s="964"/>
      <c r="I712" s="964"/>
      <c r="K712" s="964"/>
      <c r="L712" s="9"/>
      <c r="M712" s="9"/>
      <c r="Q712" s="965"/>
      <c r="R712" s="967"/>
    </row>
    <row r="713">
      <c r="A713" s="964"/>
      <c r="C713" s="965"/>
      <c r="F713" s="964"/>
      <c r="G713" s="966"/>
      <c r="H713" s="964"/>
      <c r="I713" s="964"/>
      <c r="K713" s="964"/>
      <c r="L713" s="9"/>
      <c r="M713" s="9"/>
      <c r="Q713" s="965"/>
      <c r="R713" s="967"/>
    </row>
    <row r="714">
      <c r="A714" s="964"/>
      <c r="C714" s="965"/>
      <c r="F714" s="964"/>
      <c r="G714" s="966"/>
      <c r="H714" s="964"/>
      <c r="I714" s="964"/>
      <c r="K714" s="964"/>
      <c r="L714" s="9"/>
      <c r="M714" s="9"/>
      <c r="Q714" s="965"/>
      <c r="R714" s="967"/>
    </row>
    <row r="715">
      <c r="A715" s="964"/>
      <c r="C715" s="965"/>
      <c r="F715" s="964"/>
      <c r="G715" s="966"/>
      <c r="H715" s="964"/>
      <c r="I715" s="964"/>
      <c r="K715" s="964"/>
      <c r="L715" s="9"/>
      <c r="M715" s="9"/>
      <c r="Q715" s="965"/>
      <c r="R715" s="967"/>
    </row>
    <row r="716">
      <c r="A716" s="964"/>
      <c r="C716" s="965"/>
      <c r="F716" s="964"/>
      <c r="G716" s="966"/>
      <c r="H716" s="964"/>
      <c r="I716" s="964"/>
      <c r="K716" s="964"/>
      <c r="L716" s="9"/>
      <c r="M716" s="9"/>
      <c r="Q716" s="965"/>
      <c r="R716" s="967"/>
    </row>
    <row r="717">
      <c r="A717" s="964"/>
      <c r="C717" s="965"/>
      <c r="F717" s="964"/>
      <c r="G717" s="966"/>
      <c r="H717" s="964"/>
      <c r="I717" s="964"/>
      <c r="K717" s="964"/>
      <c r="L717" s="9"/>
      <c r="M717" s="9"/>
      <c r="Q717" s="965"/>
      <c r="R717" s="967"/>
    </row>
    <row r="718">
      <c r="A718" s="964"/>
      <c r="C718" s="965"/>
      <c r="F718" s="964"/>
      <c r="G718" s="966"/>
      <c r="H718" s="964"/>
      <c r="I718" s="964"/>
      <c r="K718" s="964"/>
      <c r="L718" s="9"/>
      <c r="M718" s="9"/>
      <c r="Q718" s="965"/>
      <c r="R718" s="967"/>
    </row>
    <row r="719">
      <c r="A719" s="964"/>
      <c r="C719" s="965"/>
      <c r="F719" s="964"/>
      <c r="G719" s="966"/>
      <c r="H719" s="964"/>
      <c r="I719" s="964"/>
      <c r="K719" s="964"/>
      <c r="L719" s="9"/>
      <c r="M719" s="9"/>
      <c r="Q719" s="965"/>
      <c r="R719" s="967"/>
    </row>
    <row r="720">
      <c r="A720" s="964"/>
      <c r="C720" s="965"/>
      <c r="F720" s="964"/>
      <c r="G720" s="966"/>
      <c r="H720" s="964"/>
      <c r="I720" s="964"/>
      <c r="K720" s="964"/>
      <c r="L720" s="9"/>
      <c r="M720" s="9"/>
      <c r="Q720" s="965"/>
      <c r="R720" s="967"/>
    </row>
    <row r="721">
      <c r="A721" s="964"/>
      <c r="C721" s="965"/>
      <c r="F721" s="964"/>
      <c r="G721" s="966"/>
      <c r="H721" s="964"/>
      <c r="I721" s="964"/>
      <c r="K721" s="964"/>
      <c r="L721" s="9"/>
      <c r="M721" s="9"/>
      <c r="Q721" s="965"/>
      <c r="R721" s="967"/>
    </row>
    <row r="722">
      <c r="A722" s="964"/>
      <c r="C722" s="965"/>
      <c r="F722" s="964"/>
      <c r="G722" s="966"/>
      <c r="H722" s="964"/>
      <c r="I722" s="964"/>
      <c r="K722" s="964"/>
      <c r="L722" s="9"/>
      <c r="M722" s="9"/>
      <c r="Q722" s="965"/>
      <c r="R722" s="967"/>
    </row>
    <row r="723">
      <c r="A723" s="964"/>
      <c r="C723" s="965"/>
      <c r="F723" s="964"/>
      <c r="G723" s="966"/>
      <c r="H723" s="964"/>
      <c r="I723" s="964"/>
      <c r="K723" s="964"/>
      <c r="L723" s="9"/>
      <c r="M723" s="9"/>
      <c r="Q723" s="965"/>
      <c r="R723" s="967"/>
    </row>
    <row r="724">
      <c r="A724" s="964"/>
      <c r="C724" s="965"/>
      <c r="F724" s="964"/>
      <c r="G724" s="966"/>
      <c r="H724" s="964"/>
      <c r="I724" s="964"/>
      <c r="K724" s="964"/>
      <c r="L724" s="9"/>
      <c r="M724" s="9"/>
      <c r="Q724" s="965"/>
      <c r="R724" s="967"/>
    </row>
    <row r="725">
      <c r="A725" s="964"/>
      <c r="C725" s="965"/>
      <c r="F725" s="964"/>
      <c r="G725" s="966"/>
      <c r="H725" s="964"/>
      <c r="I725" s="964"/>
      <c r="K725" s="964"/>
      <c r="L725" s="9"/>
      <c r="M725" s="9"/>
      <c r="Q725" s="965"/>
      <c r="R725" s="967"/>
    </row>
    <row r="726">
      <c r="A726" s="964"/>
      <c r="C726" s="965"/>
      <c r="F726" s="964"/>
      <c r="G726" s="966"/>
      <c r="H726" s="964"/>
      <c r="I726" s="964"/>
      <c r="K726" s="964"/>
      <c r="L726" s="9"/>
      <c r="M726" s="9"/>
      <c r="Q726" s="965"/>
      <c r="R726" s="967"/>
    </row>
    <row r="727">
      <c r="A727" s="964"/>
      <c r="C727" s="965"/>
      <c r="F727" s="964"/>
      <c r="G727" s="966"/>
      <c r="H727" s="964"/>
      <c r="I727" s="964"/>
      <c r="K727" s="964"/>
      <c r="L727" s="9"/>
      <c r="M727" s="9"/>
      <c r="Q727" s="965"/>
      <c r="R727" s="967"/>
    </row>
    <row r="728">
      <c r="A728" s="964"/>
      <c r="C728" s="965"/>
      <c r="F728" s="964"/>
      <c r="G728" s="966"/>
      <c r="H728" s="964"/>
      <c r="I728" s="964"/>
      <c r="K728" s="964"/>
      <c r="L728" s="9"/>
      <c r="M728" s="9"/>
      <c r="Q728" s="965"/>
      <c r="R728" s="967"/>
    </row>
    <row r="729">
      <c r="A729" s="964"/>
      <c r="C729" s="965"/>
      <c r="F729" s="964"/>
      <c r="G729" s="966"/>
      <c r="H729" s="964"/>
      <c r="I729" s="964"/>
      <c r="K729" s="964"/>
      <c r="L729" s="9"/>
      <c r="M729" s="9"/>
      <c r="Q729" s="965"/>
      <c r="R729" s="967"/>
    </row>
    <row r="730">
      <c r="A730" s="964"/>
      <c r="C730" s="965"/>
      <c r="F730" s="964"/>
      <c r="G730" s="966"/>
      <c r="H730" s="964"/>
      <c r="I730" s="964"/>
      <c r="K730" s="964"/>
      <c r="L730" s="9"/>
      <c r="M730" s="9"/>
      <c r="Q730" s="965"/>
      <c r="R730" s="967"/>
    </row>
    <row r="731">
      <c r="A731" s="964"/>
      <c r="C731" s="965"/>
      <c r="F731" s="964"/>
      <c r="G731" s="966"/>
      <c r="H731" s="964"/>
      <c r="I731" s="964"/>
      <c r="K731" s="964"/>
      <c r="L731" s="9"/>
      <c r="M731" s="9"/>
      <c r="Q731" s="965"/>
      <c r="R731" s="967"/>
    </row>
    <row r="732">
      <c r="A732" s="964"/>
      <c r="C732" s="965"/>
      <c r="F732" s="964"/>
      <c r="G732" s="966"/>
      <c r="H732" s="964"/>
      <c r="I732" s="964"/>
      <c r="K732" s="964"/>
      <c r="L732" s="9"/>
      <c r="M732" s="9"/>
      <c r="Q732" s="965"/>
      <c r="R732" s="967"/>
    </row>
    <row r="733">
      <c r="A733" s="964"/>
      <c r="C733" s="965"/>
      <c r="F733" s="964"/>
      <c r="G733" s="966"/>
      <c r="H733" s="964"/>
      <c r="I733" s="964"/>
      <c r="K733" s="964"/>
      <c r="L733" s="9"/>
      <c r="M733" s="9"/>
      <c r="Q733" s="965"/>
      <c r="R733" s="967"/>
    </row>
    <row r="734">
      <c r="A734" s="964"/>
      <c r="C734" s="965"/>
      <c r="F734" s="964"/>
      <c r="G734" s="966"/>
      <c r="H734" s="964"/>
      <c r="I734" s="964"/>
      <c r="K734" s="964"/>
      <c r="L734" s="9"/>
      <c r="M734" s="9"/>
      <c r="Q734" s="965"/>
      <c r="R734" s="967"/>
    </row>
    <row r="735">
      <c r="A735" s="964"/>
      <c r="C735" s="965"/>
      <c r="F735" s="964"/>
      <c r="G735" s="966"/>
      <c r="H735" s="964"/>
      <c r="I735" s="964"/>
      <c r="K735" s="964"/>
      <c r="L735" s="9"/>
      <c r="M735" s="9"/>
      <c r="Q735" s="965"/>
      <c r="R735" s="967"/>
    </row>
    <row r="736">
      <c r="A736" s="964"/>
      <c r="C736" s="965"/>
      <c r="F736" s="964"/>
      <c r="G736" s="966"/>
      <c r="H736" s="964"/>
      <c r="I736" s="964"/>
      <c r="K736" s="964"/>
      <c r="L736" s="9"/>
      <c r="M736" s="9"/>
      <c r="Q736" s="965"/>
      <c r="R736" s="967"/>
    </row>
    <row r="737">
      <c r="A737" s="964"/>
      <c r="C737" s="965"/>
      <c r="F737" s="964"/>
      <c r="G737" s="966"/>
      <c r="H737" s="964"/>
      <c r="I737" s="964"/>
      <c r="K737" s="964"/>
      <c r="L737" s="9"/>
      <c r="M737" s="9"/>
      <c r="Q737" s="965"/>
      <c r="R737" s="967"/>
    </row>
    <row r="738">
      <c r="A738" s="964"/>
      <c r="C738" s="965"/>
      <c r="F738" s="964"/>
      <c r="G738" s="966"/>
      <c r="H738" s="964"/>
      <c r="I738" s="964"/>
      <c r="K738" s="964"/>
      <c r="L738" s="9"/>
      <c r="M738" s="9"/>
      <c r="Q738" s="965"/>
      <c r="R738" s="967"/>
    </row>
    <row r="739">
      <c r="A739" s="964"/>
      <c r="C739" s="965"/>
      <c r="F739" s="964"/>
      <c r="G739" s="966"/>
      <c r="H739" s="964"/>
      <c r="I739" s="964"/>
      <c r="K739" s="964"/>
      <c r="L739" s="9"/>
      <c r="M739" s="9"/>
      <c r="Q739" s="965"/>
      <c r="R739" s="967"/>
    </row>
    <row r="740">
      <c r="A740" s="964"/>
      <c r="C740" s="965"/>
      <c r="F740" s="964"/>
      <c r="G740" s="966"/>
      <c r="H740" s="964"/>
      <c r="I740" s="964"/>
      <c r="K740" s="964"/>
      <c r="L740" s="9"/>
      <c r="M740" s="9"/>
      <c r="Q740" s="965"/>
      <c r="R740" s="967"/>
    </row>
    <row r="741">
      <c r="A741" s="964"/>
      <c r="C741" s="965"/>
      <c r="F741" s="964"/>
      <c r="G741" s="966"/>
      <c r="H741" s="964"/>
      <c r="I741" s="964"/>
      <c r="K741" s="964"/>
      <c r="L741" s="9"/>
      <c r="M741" s="9"/>
      <c r="Q741" s="965"/>
      <c r="R741" s="967"/>
    </row>
    <row r="742">
      <c r="A742" s="964"/>
      <c r="C742" s="965"/>
      <c r="F742" s="964"/>
      <c r="G742" s="966"/>
      <c r="H742" s="964"/>
      <c r="I742" s="964"/>
      <c r="K742" s="964"/>
      <c r="L742" s="9"/>
      <c r="M742" s="9"/>
      <c r="Q742" s="965"/>
      <c r="R742" s="967"/>
    </row>
    <row r="743">
      <c r="A743" s="964"/>
      <c r="C743" s="965"/>
      <c r="F743" s="964"/>
      <c r="G743" s="966"/>
      <c r="H743" s="964"/>
      <c r="I743" s="964"/>
      <c r="K743" s="964"/>
      <c r="L743" s="9"/>
      <c r="M743" s="9"/>
      <c r="Q743" s="965"/>
      <c r="R743" s="967"/>
    </row>
    <row r="744">
      <c r="A744" s="964"/>
      <c r="C744" s="965"/>
      <c r="F744" s="964"/>
      <c r="G744" s="966"/>
      <c r="H744" s="964"/>
      <c r="I744" s="964"/>
      <c r="K744" s="964"/>
      <c r="L744" s="9"/>
      <c r="M744" s="9"/>
      <c r="Q744" s="965"/>
      <c r="R744" s="967"/>
    </row>
    <row r="745">
      <c r="A745" s="964"/>
      <c r="C745" s="965"/>
      <c r="F745" s="964"/>
      <c r="G745" s="966"/>
      <c r="H745" s="964"/>
      <c r="I745" s="964"/>
      <c r="K745" s="964"/>
      <c r="L745" s="9"/>
      <c r="M745" s="9"/>
      <c r="Q745" s="965"/>
      <c r="R745" s="967"/>
    </row>
    <row r="746">
      <c r="A746" s="964"/>
      <c r="C746" s="965"/>
      <c r="F746" s="964"/>
      <c r="G746" s="966"/>
      <c r="H746" s="964"/>
      <c r="I746" s="964"/>
      <c r="K746" s="964"/>
      <c r="L746" s="9"/>
      <c r="M746" s="9"/>
      <c r="Q746" s="965"/>
      <c r="R746" s="967"/>
    </row>
    <row r="747">
      <c r="A747" s="964"/>
      <c r="C747" s="965"/>
      <c r="F747" s="964"/>
      <c r="G747" s="966"/>
      <c r="H747" s="964"/>
      <c r="I747" s="964"/>
      <c r="K747" s="964"/>
      <c r="L747" s="9"/>
      <c r="M747" s="9"/>
      <c r="Q747" s="965"/>
      <c r="R747" s="967"/>
    </row>
    <row r="748">
      <c r="A748" s="964"/>
      <c r="C748" s="965"/>
      <c r="F748" s="964"/>
      <c r="G748" s="966"/>
      <c r="H748" s="964"/>
      <c r="I748" s="964"/>
      <c r="K748" s="964"/>
      <c r="L748" s="9"/>
      <c r="M748" s="9"/>
      <c r="Q748" s="965"/>
      <c r="R748" s="967"/>
    </row>
    <row r="749">
      <c r="A749" s="964"/>
      <c r="C749" s="965"/>
      <c r="F749" s="964"/>
      <c r="G749" s="966"/>
      <c r="H749" s="964"/>
      <c r="I749" s="964"/>
      <c r="K749" s="964"/>
      <c r="L749" s="9"/>
      <c r="M749" s="9"/>
      <c r="Q749" s="965"/>
      <c r="R749" s="967"/>
    </row>
    <row r="750">
      <c r="A750" s="964"/>
      <c r="C750" s="965"/>
      <c r="F750" s="964"/>
      <c r="G750" s="966"/>
      <c r="H750" s="964"/>
      <c r="I750" s="964"/>
      <c r="K750" s="964"/>
      <c r="L750" s="9"/>
      <c r="M750" s="9"/>
      <c r="Q750" s="965"/>
      <c r="R750" s="967"/>
    </row>
    <row r="751">
      <c r="A751" s="964"/>
      <c r="C751" s="965"/>
      <c r="F751" s="964"/>
      <c r="G751" s="966"/>
      <c r="H751" s="964"/>
      <c r="I751" s="964"/>
      <c r="K751" s="964"/>
      <c r="L751" s="9"/>
      <c r="M751" s="9"/>
      <c r="Q751" s="965"/>
      <c r="R751" s="967"/>
    </row>
    <row r="752">
      <c r="A752" s="964"/>
      <c r="C752" s="965"/>
      <c r="F752" s="964"/>
      <c r="G752" s="966"/>
      <c r="H752" s="964"/>
      <c r="I752" s="964"/>
      <c r="K752" s="964"/>
      <c r="L752" s="9"/>
      <c r="M752" s="9"/>
      <c r="Q752" s="965"/>
      <c r="R752" s="967"/>
    </row>
    <row r="753">
      <c r="A753" s="964"/>
      <c r="C753" s="965"/>
      <c r="F753" s="964"/>
      <c r="G753" s="966"/>
      <c r="H753" s="964"/>
      <c r="I753" s="964"/>
      <c r="K753" s="964"/>
      <c r="L753" s="9"/>
      <c r="M753" s="9"/>
      <c r="Q753" s="965"/>
      <c r="R753" s="967"/>
    </row>
    <row r="754">
      <c r="A754" s="964"/>
      <c r="C754" s="965"/>
      <c r="F754" s="964"/>
      <c r="G754" s="966"/>
      <c r="H754" s="964"/>
      <c r="I754" s="964"/>
      <c r="K754" s="964"/>
      <c r="L754" s="9"/>
      <c r="M754" s="9"/>
      <c r="Q754" s="965"/>
      <c r="R754" s="967"/>
    </row>
    <row r="755">
      <c r="A755" s="964"/>
      <c r="C755" s="965"/>
      <c r="F755" s="964"/>
      <c r="G755" s="966"/>
      <c r="H755" s="964"/>
      <c r="I755" s="964"/>
      <c r="K755" s="964"/>
      <c r="L755" s="9"/>
      <c r="M755" s="9"/>
      <c r="Q755" s="965"/>
      <c r="R755" s="967"/>
    </row>
    <row r="756">
      <c r="A756" s="964"/>
      <c r="C756" s="965"/>
      <c r="F756" s="964"/>
      <c r="G756" s="966"/>
      <c r="H756" s="964"/>
      <c r="I756" s="964"/>
      <c r="K756" s="964"/>
      <c r="L756" s="9"/>
      <c r="M756" s="9"/>
      <c r="Q756" s="965"/>
      <c r="R756" s="967"/>
    </row>
    <row r="757">
      <c r="A757" s="964"/>
      <c r="C757" s="965"/>
      <c r="F757" s="964"/>
      <c r="G757" s="966"/>
      <c r="H757" s="964"/>
      <c r="I757" s="964"/>
      <c r="K757" s="964"/>
      <c r="L757" s="9"/>
      <c r="M757" s="9"/>
      <c r="Q757" s="965"/>
      <c r="R757" s="967"/>
    </row>
    <row r="758">
      <c r="A758" s="964"/>
      <c r="C758" s="965"/>
      <c r="F758" s="964"/>
      <c r="G758" s="966"/>
      <c r="H758" s="964"/>
      <c r="I758" s="964"/>
      <c r="K758" s="964"/>
      <c r="L758" s="9"/>
      <c r="M758" s="9"/>
      <c r="Q758" s="965"/>
      <c r="R758" s="967"/>
    </row>
    <row r="759">
      <c r="A759" s="964"/>
      <c r="C759" s="965"/>
      <c r="F759" s="964"/>
      <c r="G759" s="966"/>
      <c r="H759" s="964"/>
      <c r="I759" s="964"/>
      <c r="K759" s="964"/>
      <c r="L759" s="9"/>
      <c r="M759" s="9"/>
      <c r="Q759" s="965"/>
      <c r="R759" s="967"/>
    </row>
    <row r="760">
      <c r="A760" s="964"/>
      <c r="C760" s="965"/>
      <c r="F760" s="964"/>
      <c r="G760" s="966"/>
      <c r="H760" s="964"/>
      <c r="I760" s="964"/>
      <c r="K760" s="964"/>
      <c r="L760" s="9"/>
      <c r="M760" s="9"/>
      <c r="Q760" s="965"/>
      <c r="R760" s="967"/>
    </row>
    <row r="761">
      <c r="A761" s="964"/>
      <c r="C761" s="965"/>
      <c r="F761" s="964"/>
      <c r="G761" s="966"/>
      <c r="H761" s="964"/>
      <c r="I761" s="964"/>
      <c r="K761" s="964"/>
      <c r="L761" s="9"/>
      <c r="M761" s="9"/>
      <c r="Q761" s="965"/>
      <c r="R761" s="967"/>
    </row>
    <row r="762">
      <c r="A762" s="964"/>
      <c r="C762" s="965"/>
      <c r="F762" s="964"/>
      <c r="G762" s="966"/>
      <c r="H762" s="964"/>
      <c r="I762" s="964"/>
      <c r="K762" s="964"/>
      <c r="L762" s="9"/>
      <c r="M762" s="9"/>
      <c r="Q762" s="965"/>
      <c r="R762" s="967"/>
    </row>
    <row r="763">
      <c r="A763" s="964"/>
      <c r="C763" s="965"/>
      <c r="F763" s="964"/>
      <c r="G763" s="966"/>
      <c r="H763" s="964"/>
      <c r="I763" s="964"/>
      <c r="K763" s="964"/>
      <c r="L763" s="9"/>
      <c r="M763" s="9"/>
      <c r="Q763" s="965"/>
      <c r="R763" s="967"/>
    </row>
    <row r="764">
      <c r="A764" s="964"/>
      <c r="C764" s="965"/>
      <c r="F764" s="964"/>
      <c r="G764" s="966"/>
      <c r="H764" s="964"/>
      <c r="I764" s="964"/>
      <c r="K764" s="964"/>
      <c r="L764" s="9"/>
      <c r="M764" s="9"/>
      <c r="Q764" s="965"/>
      <c r="R764" s="967"/>
    </row>
    <row r="765">
      <c r="A765" s="964"/>
      <c r="C765" s="965"/>
      <c r="F765" s="964"/>
      <c r="G765" s="966"/>
      <c r="H765" s="964"/>
      <c r="I765" s="964"/>
      <c r="K765" s="964"/>
      <c r="L765" s="9"/>
      <c r="M765" s="9"/>
      <c r="Q765" s="965"/>
      <c r="R765" s="967"/>
    </row>
    <row r="766">
      <c r="A766" s="964"/>
      <c r="C766" s="965"/>
      <c r="F766" s="964"/>
      <c r="G766" s="966"/>
      <c r="H766" s="964"/>
      <c r="I766" s="964"/>
      <c r="K766" s="964"/>
      <c r="L766" s="9"/>
      <c r="M766" s="9"/>
      <c r="Q766" s="965"/>
      <c r="R766" s="967"/>
    </row>
    <row r="767">
      <c r="A767" s="964"/>
      <c r="C767" s="965"/>
      <c r="F767" s="964"/>
      <c r="G767" s="966"/>
      <c r="H767" s="964"/>
      <c r="I767" s="964"/>
      <c r="K767" s="964"/>
      <c r="L767" s="9"/>
      <c r="M767" s="9"/>
      <c r="Q767" s="965"/>
      <c r="R767" s="967"/>
    </row>
    <row r="768">
      <c r="A768" s="964"/>
      <c r="C768" s="965"/>
      <c r="F768" s="964"/>
      <c r="G768" s="966"/>
      <c r="H768" s="964"/>
      <c r="I768" s="964"/>
      <c r="K768" s="964"/>
      <c r="L768" s="9"/>
      <c r="M768" s="9"/>
      <c r="Q768" s="965"/>
      <c r="R768" s="967"/>
    </row>
    <row r="769">
      <c r="A769" s="964"/>
      <c r="C769" s="965"/>
      <c r="F769" s="964"/>
      <c r="G769" s="966"/>
      <c r="H769" s="964"/>
      <c r="I769" s="964"/>
      <c r="K769" s="964"/>
      <c r="L769" s="9"/>
      <c r="M769" s="9"/>
      <c r="Q769" s="965"/>
      <c r="R769" s="967"/>
    </row>
    <row r="770">
      <c r="A770" s="964"/>
      <c r="C770" s="965"/>
      <c r="F770" s="964"/>
      <c r="G770" s="966"/>
      <c r="H770" s="964"/>
      <c r="I770" s="964"/>
      <c r="K770" s="964"/>
      <c r="L770" s="9"/>
      <c r="M770" s="9"/>
      <c r="Q770" s="965"/>
      <c r="R770" s="967"/>
    </row>
    <row r="771">
      <c r="A771" s="964"/>
      <c r="C771" s="965"/>
      <c r="F771" s="964"/>
      <c r="G771" s="966"/>
      <c r="H771" s="964"/>
      <c r="I771" s="964"/>
      <c r="K771" s="964"/>
      <c r="L771" s="9"/>
      <c r="M771" s="9"/>
      <c r="Q771" s="965"/>
      <c r="R771" s="967"/>
    </row>
    <row r="772">
      <c r="A772" s="964"/>
      <c r="C772" s="965"/>
      <c r="F772" s="964"/>
      <c r="G772" s="966"/>
      <c r="H772" s="964"/>
      <c r="I772" s="964"/>
      <c r="K772" s="964"/>
      <c r="L772" s="9"/>
      <c r="M772" s="9"/>
      <c r="Q772" s="965"/>
      <c r="R772" s="967"/>
    </row>
    <row r="773">
      <c r="A773" s="964"/>
      <c r="C773" s="965"/>
      <c r="F773" s="964"/>
      <c r="G773" s="966"/>
      <c r="H773" s="964"/>
      <c r="I773" s="964"/>
      <c r="K773" s="964"/>
      <c r="L773" s="9"/>
      <c r="M773" s="9"/>
      <c r="Q773" s="965"/>
      <c r="R773" s="967"/>
    </row>
    <row r="774">
      <c r="A774" s="964"/>
      <c r="C774" s="965"/>
      <c r="F774" s="964"/>
      <c r="G774" s="966"/>
      <c r="H774" s="964"/>
      <c r="I774" s="964"/>
      <c r="K774" s="964"/>
      <c r="L774" s="9"/>
      <c r="M774" s="9"/>
      <c r="Q774" s="965"/>
      <c r="R774" s="967"/>
    </row>
    <row r="775">
      <c r="A775" s="964"/>
      <c r="C775" s="965"/>
      <c r="F775" s="964"/>
      <c r="G775" s="966"/>
      <c r="H775" s="964"/>
      <c r="I775" s="964"/>
      <c r="K775" s="964"/>
      <c r="L775" s="9"/>
      <c r="M775" s="9"/>
      <c r="Q775" s="965"/>
      <c r="R775" s="967"/>
    </row>
    <row r="776">
      <c r="A776" s="964"/>
      <c r="C776" s="965"/>
      <c r="F776" s="964"/>
      <c r="G776" s="966"/>
      <c r="H776" s="964"/>
      <c r="I776" s="964"/>
      <c r="K776" s="964"/>
      <c r="L776" s="9"/>
      <c r="M776" s="9"/>
      <c r="Q776" s="965"/>
      <c r="R776" s="967"/>
    </row>
    <row r="777">
      <c r="A777" s="964"/>
      <c r="C777" s="965"/>
      <c r="F777" s="964"/>
      <c r="G777" s="966"/>
      <c r="H777" s="964"/>
      <c r="I777" s="964"/>
      <c r="K777" s="964"/>
      <c r="L777" s="9"/>
      <c r="M777" s="9"/>
      <c r="Q777" s="965"/>
      <c r="R777" s="967"/>
    </row>
    <row r="778">
      <c r="A778" s="964"/>
      <c r="C778" s="965"/>
      <c r="F778" s="964"/>
      <c r="G778" s="966"/>
      <c r="H778" s="964"/>
      <c r="I778" s="964"/>
      <c r="K778" s="964"/>
      <c r="L778" s="9"/>
      <c r="M778" s="9"/>
      <c r="Q778" s="965"/>
      <c r="R778" s="967"/>
    </row>
    <row r="779">
      <c r="A779" s="964"/>
      <c r="C779" s="965"/>
      <c r="F779" s="964"/>
      <c r="G779" s="966"/>
      <c r="H779" s="964"/>
      <c r="I779" s="964"/>
      <c r="K779" s="964"/>
      <c r="L779" s="9"/>
      <c r="M779" s="9"/>
      <c r="Q779" s="965"/>
      <c r="R779" s="967"/>
    </row>
    <row r="780">
      <c r="A780" s="964"/>
      <c r="C780" s="965"/>
      <c r="F780" s="964"/>
      <c r="G780" s="966"/>
      <c r="H780" s="964"/>
      <c r="I780" s="964"/>
      <c r="K780" s="964"/>
      <c r="L780" s="9"/>
      <c r="M780" s="9"/>
      <c r="Q780" s="965"/>
      <c r="R780" s="967"/>
    </row>
    <row r="781">
      <c r="A781" s="964"/>
      <c r="C781" s="965"/>
      <c r="F781" s="964"/>
      <c r="G781" s="966"/>
      <c r="H781" s="964"/>
      <c r="I781" s="964"/>
      <c r="K781" s="964"/>
      <c r="L781" s="9"/>
      <c r="M781" s="9"/>
      <c r="Q781" s="965"/>
      <c r="R781" s="967"/>
    </row>
    <row r="782">
      <c r="A782" s="964"/>
      <c r="C782" s="965"/>
      <c r="F782" s="964"/>
      <c r="G782" s="966"/>
      <c r="H782" s="964"/>
      <c r="I782" s="964"/>
      <c r="K782" s="964"/>
      <c r="L782" s="9"/>
      <c r="M782" s="9"/>
      <c r="Q782" s="965"/>
      <c r="R782" s="967"/>
    </row>
    <row r="783">
      <c r="A783" s="964"/>
      <c r="C783" s="965"/>
      <c r="F783" s="964"/>
      <c r="G783" s="966"/>
      <c r="H783" s="964"/>
      <c r="I783" s="964"/>
      <c r="K783" s="964"/>
      <c r="L783" s="9"/>
      <c r="M783" s="9"/>
      <c r="Q783" s="965"/>
      <c r="R783" s="967"/>
    </row>
    <row r="784">
      <c r="A784" s="964"/>
      <c r="C784" s="965"/>
      <c r="F784" s="964"/>
      <c r="G784" s="966"/>
      <c r="H784" s="964"/>
      <c r="I784" s="964"/>
      <c r="K784" s="964"/>
      <c r="L784" s="9"/>
      <c r="M784" s="9"/>
      <c r="Q784" s="965"/>
      <c r="R784" s="967"/>
    </row>
    <row r="785">
      <c r="A785" s="964"/>
      <c r="C785" s="965"/>
      <c r="F785" s="964"/>
      <c r="G785" s="966"/>
      <c r="H785" s="964"/>
      <c r="I785" s="964"/>
      <c r="K785" s="964"/>
      <c r="L785" s="9"/>
      <c r="M785" s="9"/>
      <c r="Q785" s="965"/>
      <c r="R785" s="967"/>
    </row>
    <row r="786">
      <c r="A786" s="964"/>
      <c r="C786" s="965"/>
      <c r="F786" s="964"/>
      <c r="G786" s="966"/>
      <c r="H786" s="964"/>
      <c r="I786" s="964"/>
      <c r="K786" s="964"/>
      <c r="L786" s="9"/>
      <c r="M786" s="9"/>
      <c r="Q786" s="965"/>
      <c r="R786" s="967"/>
    </row>
    <row r="787">
      <c r="A787" s="964"/>
      <c r="C787" s="965"/>
      <c r="F787" s="964"/>
      <c r="G787" s="966"/>
      <c r="H787" s="964"/>
      <c r="I787" s="964"/>
      <c r="K787" s="964"/>
      <c r="L787" s="9"/>
      <c r="M787" s="9"/>
      <c r="Q787" s="965"/>
      <c r="R787" s="967"/>
    </row>
    <row r="788">
      <c r="A788" s="964"/>
      <c r="C788" s="965"/>
      <c r="F788" s="964"/>
      <c r="G788" s="966"/>
      <c r="H788" s="964"/>
      <c r="I788" s="964"/>
      <c r="K788" s="964"/>
      <c r="L788" s="9"/>
      <c r="M788" s="9"/>
      <c r="Q788" s="965"/>
      <c r="R788" s="967"/>
    </row>
    <row r="789">
      <c r="A789" s="964"/>
      <c r="C789" s="965"/>
      <c r="F789" s="964"/>
      <c r="G789" s="966"/>
      <c r="H789" s="964"/>
      <c r="I789" s="964"/>
      <c r="K789" s="964"/>
      <c r="L789" s="9"/>
      <c r="M789" s="9"/>
      <c r="Q789" s="965"/>
      <c r="R789" s="967"/>
    </row>
    <row r="790">
      <c r="A790" s="964"/>
      <c r="C790" s="965"/>
      <c r="F790" s="964"/>
      <c r="G790" s="966"/>
      <c r="H790" s="964"/>
      <c r="I790" s="964"/>
      <c r="K790" s="964"/>
      <c r="L790" s="9"/>
      <c r="M790" s="9"/>
      <c r="Q790" s="965"/>
      <c r="R790" s="967"/>
    </row>
    <row r="791">
      <c r="A791" s="964"/>
      <c r="C791" s="965"/>
      <c r="F791" s="964"/>
      <c r="G791" s="966"/>
      <c r="H791" s="964"/>
      <c r="I791" s="964"/>
      <c r="K791" s="964"/>
      <c r="L791" s="9"/>
      <c r="M791" s="9"/>
      <c r="Q791" s="965"/>
      <c r="R791" s="967"/>
    </row>
    <row r="792">
      <c r="A792" s="964"/>
      <c r="C792" s="965"/>
      <c r="F792" s="964"/>
      <c r="G792" s="966"/>
      <c r="H792" s="964"/>
      <c r="I792" s="964"/>
      <c r="K792" s="964"/>
      <c r="L792" s="9"/>
      <c r="M792" s="9"/>
      <c r="Q792" s="965"/>
      <c r="R792" s="967"/>
    </row>
    <row r="793">
      <c r="A793" s="964"/>
      <c r="C793" s="965"/>
      <c r="F793" s="964"/>
      <c r="G793" s="966"/>
      <c r="H793" s="964"/>
      <c r="I793" s="964"/>
      <c r="K793" s="964"/>
      <c r="L793" s="9"/>
      <c r="M793" s="9"/>
      <c r="Q793" s="965"/>
      <c r="R793" s="967"/>
    </row>
    <row r="794">
      <c r="A794" s="964"/>
      <c r="C794" s="965"/>
      <c r="F794" s="964"/>
      <c r="G794" s="966"/>
      <c r="H794" s="964"/>
      <c r="I794" s="964"/>
      <c r="K794" s="964"/>
      <c r="L794" s="9"/>
      <c r="M794" s="9"/>
      <c r="Q794" s="965"/>
      <c r="R794" s="967"/>
    </row>
    <row r="795">
      <c r="A795" s="964"/>
      <c r="C795" s="965"/>
      <c r="F795" s="964"/>
      <c r="G795" s="966"/>
      <c r="H795" s="964"/>
      <c r="I795" s="964"/>
      <c r="K795" s="964"/>
      <c r="L795" s="9"/>
      <c r="M795" s="9"/>
      <c r="Q795" s="965"/>
      <c r="R795" s="967"/>
    </row>
    <row r="796">
      <c r="A796" s="964"/>
      <c r="C796" s="965"/>
      <c r="F796" s="964"/>
      <c r="G796" s="966"/>
      <c r="H796" s="964"/>
      <c r="I796" s="964"/>
      <c r="K796" s="964"/>
      <c r="L796" s="9"/>
      <c r="M796" s="9"/>
      <c r="Q796" s="965"/>
      <c r="R796" s="967"/>
    </row>
    <row r="797">
      <c r="A797" s="964"/>
      <c r="C797" s="965"/>
      <c r="F797" s="964"/>
      <c r="G797" s="966"/>
      <c r="H797" s="964"/>
      <c r="I797" s="964"/>
      <c r="K797" s="964"/>
      <c r="L797" s="9"/>
      <c r="M797" s="9"/>
      <c r="Q797" s="965"/>
      <c r="R797" s="967"/>
    </row>
    <row r="798">
      <c r="A798" s="964"/>
      <c r="C798" s="965"/>
      <c r="F798" s="964"/>
      <c r="G798" s="966"/>
      <c r="H798" s="964"/>
      <c r="I798" s="964"/>
      <c r="K798" s="964"/>
      <c r="L798" s="9"/>
      <c r="M798" s="9"/>
      <c r="Q798" s="965"/>
      <c r="R798" s="967"/>
    </row>
    <row r="799">
      <c r="A799" s="964"/>
      <c r="C799" s="965"/>
      <c r="F799" s="964"/>
      <c r="G799" s="966"/>
      <c r="H799" s="964"/>
      <c r="I799" s="964"/>
      <c r="K799" s="964"/>
      <c r="L799" s="9"/>
      <c r="M799" s="9"/>
      <c r="Q799" s="965"/>
      <c r="R799" s="967"/>
    </row>
    <row r="800">
      <c r="A800" s="964"/>
      <c r="C800" s="965"/>
      <c r="F800" s="964"/>
      <c r="G800" s="966"/>
      <c r="H800" s="964"/>
      <c r="I800" s="964"/>
      <c r="K800" s="964"/>
      <c r="L800" s="9"/>
      <c r="M800" s="9"/>
      <c r="Q800" s="965"/>
      <c r="R800" s="967"/>
    </row>
    <row r="801">
      <c r="A801" s="964"/>
      <c r="C801" s="965"/>
      <c r="F801" s="964"/>
      <c r="G801" s="966"/>
      <c r="H801" s="964"/>
      <c r="I801" s="964"/>
      <c r="K801" s="964"/>
      <c r="L801" s="9"/>
      <c r="M801" s="9"/>
      <c r="Q801" s="965"/>
      <c r="R801" s="967"/>
    </row>
    <row r="802">
      <c r="A802" s="964"/>
      <c r="C802" s="965"/>
      <c r="F802" s="964"/>
      <c r="G802" s="966"/>
      <c r="H802" s="964"/>
      <c r="I802" s="964"/>
      <c r="K802" s="964"/>
      <c r="L802" s="9"/>
      <c r="M802" s="9"/>
      <c r="Q802" s="965"/>
      <c r="R802" s="967"/>
    </row>
    <row r="803">
      <c r="A803" s="964"/>
      <c r="C803" s="965"/>
      <c r="F803" s="964"/>
      <c r="G803" s="966"/>
      <c r="H803" s="964"/>
      <c r="I803" s="964"/>
      <c r="K803" s="964"/>
      <c r="L803" s="9"/>
      <c r="M803" s="9"/>
      <c r="Q803" s="965"/>
      <c r="R803" s="967"/>
    </row>
    <row r="804">
      <c r="A804" s="964"/>
      <c r="C804" s="965"/>
      <c r="F804" s="964"/>
      <c r="G804" s="966"/>
      <c r="H804" s="964"/>
      <c r="I804" s="964"/>
      <c r="K804" s="964"/>
      <c r="L804" s="9"/>
      <c r="M804" s="9"/>
      <c r="Q804" s="965"/>
      <c r="R804" s="967"/>
    </row>
    <row r="805">
      <c r="A805" s="964"/>
      <c r="C805" s="965"/>
      <c r="F805" s="964"/>
      <c r="G805" s="966"/>
      <c r="H805" s="964"/>
      <c r="I805" s="964"/>
      <c r="K805" s="964"/>
      <c r="L805" s="9"/>
      <c r="M805" s="9"/>
      <c r="Q805" s="965"/>
      <c r="R805" s="967"/>
    </row>
    <row r="806">
      <c r="A806" s="964"/>
      <c r="C806" s="965"/>
      <c r="F806" s="964"/>
      <c r="G806" s="966"/>
      <c r="H806" s="964"/>
      <c r="I806" s="964"/>
      <c r="K806" s="964"/>
      <c r="L806" s="9"/>
      <c r="M806" s="9"/>
      <c r="Q806" s="965"/>
      <c r="R806" s="967"/>
    </row>
    <row r="807">
      <c r="A807" s="964"/>
      <c r="C807" s="965"/>
      <c r="F807" s="964"/>
      <c r="G807" s="966"/>
      <c r="H807" s="964"/>
      <c r="I807" s="964"/>
      <c r="K807" s="964"/>
      <c r="L807" s="9"/>
      <c r="M807" s="9"/>
      <c r="Q807" s="965"/>
      <c r="R807" s="967"/>
    </row>
    <row r="808">
      <c r="A808" s="964"/>
      <c r="C808" s="965"/>
      <c r="F808" s="964"/>
      <c r="G808" s="966"/>
      <c r="H808" s="964"/>
      <c r="I808" s="964"/>
      <c r="K808" s="964"/>
      <c r="L808" s="9"/>
      <c r="M808" s="9"/>
      <c r="Q808" s="965"/>
      <c r="R808" s="967"/>
    </row>
    <row r="809">
      <c r="A809" s="964"/>
      <c r="C809" s="965"/>
      <c r="F809" s="964"/>
      <c r="G809" s="966"/>
      <c r="H809" s="964"/>
      <c r="I809" s="964"/>
      <c r="K809" s="964"/>
      <c r="L809" s="9"/>
      <c r="M809" s="9"/>
      <c r="Q809" s="965"/>
      <c r="R809" s="967"/>
    </row>
    <row r="810">
      <c r="A810" s="964"/>
      <c r="C810" s="965"/>
      <c r="F810" s="964"/>
      <c r="G810" s="966"/>
      <c r="H810" s="964"/>
      <c r="I810" s="964"/>
      <c r="K810" s="964"/>
      <c r="L810" s="9"/>
      <c r="M810" s="9"/>
      <c r="Q810" s="965"/>
      <c r="R810" s="967"/>
    </row>
    <row r="811">
      <c r="A811" s="964"/>
      <c r="C811" s="965"/>
      <c r="F811" s="964"/>
      <c r="G811" s="966"/>
      <c r="H811" s="964"/>
      <c r="I811" s="964"/>
      <c r="K811" s="964"/>
      <c r="L811" s="9"/>
      <c r="M811" s="9"/>
      <c r="Q811" s="965"/>
      <c r="R811" s="967"/>
    </row>
    <row r="812">
      <c r="A812" s="964"/>
      <c r="C812" s="965"/>
      <c r="F812" s="964"/>
      <c r="G812" s="966"/>
      <c r="H812" s="964"/>
      <c r="I812" s="964"/>
      <c r="K812" s="964"/>
      <c r="L812" s="9"/>
      <c r="M812" s="9"/>
      <c r="Q812" s="965"/>
      <c r="R812" s="967"/>
    </row>
    <row r="813">
      <c r="A813" s="964"/>
      <c r="C813" s="965"/>
      <c r="F813" s="964"/>
      <c r="G813" s="966"/>
      <c r="H813" s="964"/>
      <c r="I813" s="964"/>
      <c r="K813" s="964"/>
      <c r="L813" s="9"/>
      <c r="M813" s="9"/>
      <c r="Q813" s="965"/>
      <c r="R813" s="967"/>
    </row>
    <row r="814">
      <c r="A814" s="964"/>
      <c r="C814" s="965"/>
      <c r="F814" s="964"/>
      <c r="G814" s="966"/>
      <c r="H814" s="964"/>
      <c r="I814" s="964"/>
      <c r="K814" s="964"/>
      <c r="L814" s="9"/>
      <c r="M814" s="9"/>
      <c r="Q814" s="965"/>
      <c r="R814" s="967"/>
    </row>
    <row r="815">
      <c r="A815" s="964"/>
      <c r="C815" s="965"/>
      <c r="F815" s="964"/>
      <c r="G815" s="966"/>
      <c r="H815" s="964"/>
      <c r="I815" s="964"/>
      <c r="K815" s="964"/>
      <c r="L815" s="9"/>
      <c r="M815" s="9"/>
      <c r="Q815" s="965"/>
      <c r="R815" s="967"/>
    </row>
    <row r="816">
      <c r="A816" s="964"/>
      <c r="C816" s="965"/>
      <c r="F816" s="964"/>
      <c r="G816" s="966"/>
      <c r="H816" s="964"/>
      <c r="I816" s="964"/>
      <c r="K816" s="964"/>
      <c r="L816" s="9"/>
      <c r="M816" s="9"/>
      <c r="Q816" s="965"/>
      <c r="R816" s="967"/>
    </row>
    <row r="817">
      <c r="A817" s="964"/>
      <c r="C817" s="965"/>
      <c r="F817" s="964"/>
      <c r="G817" s="966"/>
      <c r="H817" s="964"/>
      <c r="I817" s="964"/>
      <c r="K817" s="964"/>
      <c r="L817" s="9"/>
      <c r="M817" s="9"/>
      <c r="Q817" s="965"/>
      <c r="R817" s="967"/>
    </row>
    <row r="818">
      <c r="A818" s="964"/>
      <c r="C818" s="965"/>
      <c r="F818" s="964"/>
      <c r="G818" s="966"/>
      <c r="H818" s="964"/>
      <c r="I818" s="964"/>
      <c r="K818" s="964"/>
      <c r="L818" s="9"/>
      <c r="M818" s="9"/>
      <c r="Q818" s="965"/>
      <c r="R818" s="967"/>
    </row>
    <row r="819">
      <c r="A819" s="964"/>
      <c r="C819" s="965"/>
      <c r="F819" s="964"/>
      <c r="G819" s="966"/>
      <c r="H819" s="964"/>
      <c r="I819" s="964"/>
      <c r="K819" s="964"/>
      <c r="L819" s="9"/>
      <c r="M819" s="9"/>
      <c r="Q819" s="965"/>
      <c r="R819" s="967"/>
    </row>
    <row r="820">
      <c r="A820" s="964"/>
      <c r="C820" s="965"/>
      <c r="F820" s="964"/>
      <c r="G820" s="966"/>
      <c r="H820" s="964"/>
      <c r="I820" s="964"/>
      <c r="K820" s="964"/>
      <c r="L820" s="9"/>
      <c r="M820" s="9"/>
      <c r="Q820" s="965"/>
      <c r="R820" s="967"/>
    </row>
    <row r="821">
      <c r="A821" s="964"/>
      <c r="C821" s="965"/>
      <c r="F821" s="964"/>
      <c r="G821" s="966"/>
      <c r="H821" s="964"/>
      <c r="I821" s="964"/>
      <c r="K821" s="964"/>
      <c r="L821" s="9"/>
      <c r="M821" s="9"/>
      <c r="Q821" s="965"/>
      <c r="R821" s="967"/>
    </row>
    <row r="822">
      <c r="A822" s="964"/>
      <c r="C822" s="965"/>
      <c r="F822" s="964"/>
      <c r="G822" s="966"/>
      <c r="H822" s="964"/>
      <c r="I822" s="964"/>
      <c r="K822" s="964"/>
      <c r="L822" s="9"/>
      <c r="M822" s="9"/>
      <c r="Q822" s="965"/>
      <c r="R822" s="967"/>
    </row>
    <row r="823">
      <c r="A823" s="964"/>
      <c r="C823" s="965"/>
      <c r="F823" s="964"/>
      <c r="G823" s="966"/>
      <c r="H823" s="964"/>
      <c r="I823" s="964"/>
      <c r="K823" s="964"/>
      <c r="L823" s="9"/>
      <c r="M823" s="9"/>
      <c r="Q823" s="965"/>
      <c r="R823" s="967"/>
    </row>
    <row r="824">
      <c r="A824" s="964"/>
      <c r="C824" s="965"/>
      <c r="F824" s="964"/>
      <c r="G824" s="966"/>
      <c r="H824" s="964"/>
      <c r="I824" s="964"/>
      <c r="K824" s="964"/>
      <c r="L824" s="9"/>
      <c r="M824" s="9"/>
      <c r="Q824" s="965"/>
      <c r="R824" s="967"/>
    </row>
    <row r="825">
      <c r="A825" s="964"/>
      <c r="C825" s="965"/>
      <c r="F825" s="964"/>
      <c r="G825" s="966"/>
      <c r="H825" s="964"/>
      <c r="I825" s="964"/>
      <c r="K825" s="964"/>
      <c r="L825" s="9"/>
      <c r="M825" s="9"/>
      <c r="Q825" s="965"/>
      <c r="R825" s="967"/>
    </row>
    <row r="826">
      <c r="A826" s="964"/>
      <c r="C826" s="965"/>
      <c r="F826" s="964"/>
      <c r="G826" s="966"/>
      <c r="H826" s="964"/>
      <c r="I826" s="964"/>
      <c r="K826" s="964"/>
      <c r="L826" s="9"/>
      <c r="M826" s="9"/>
      <c r="Q826" s="965"/>
      <c r="R826" s="967"/>
    </row>
    <row r="827">
      <c r="A827" s="964"/>
      <c r="C827" s="965"/>
      <c r="F827" s="964"/>
      <c r="G827" s="966"/>
      <c r="H827" s="964"/>
      <c r="I827" s="964"/>
      <c r="K827" s="964"/>
      <c r="L827" s="9"/>
      <c r="M827" s="9"/>
      <c r="Q827" s="965"/>
      <c r="R827" s="967"/>
    </row>
    <row r="828">
      <c r="A828" s="964"/>
      <c r="C828" s="965"/>
      <c r="F828" s="964"/>
      <c r="G828" s="966"/>
      <c r="H828" s="964"/>
      <c r="I828" s="964"/>
      <c r="K828" s="964"/>
      <c r="L828" s="9"/>
      <c r="M828" s="9"/>
      <c r="Q828" s="965"/>
      <c r="R828" s="967"/>
    </row>
    <row r="829">
      <c r="A829" s="964"/>
      <c r="C829" s="965"/>
      <c r="F829" s="964"/>
      <c r="G829" s="966"/>
      <c r="H829" s="964"/>
      <c r="I829" s="964"/>
      <c r="K829" s="964"/>
      <c r="L829" s="9"/>
      <c r="M829" s="9"/>
      <c r="Q829" s="965"/>
      <c r="R829" s="967"/>
    </row>
    <row r="830">
      <c r="A830" s="964"/>
      <c r="C830" s="965"/>
      <c r="F830" s="964"/>
      <c r="G830" s="966"/>
      <c r="H830" s="964"/>
      <c r="I830" s="964"/>
      <c r="K830" s="964"/>
      <c r="L830" s="9"/>
      <c r="M830" s="9"/>
      <c r="Q830" s="965"/>
      <c r="R830" s="967"/>
    </row>
    <row r="831">
      <c r="A831" s="964"/>
      <c r="C831" s="965"/>
      <c r="F831" s="964"/>
      <c r="G831" s="966"/>
      <c r="H831" s="964"/>
      <c r="I831" s="964"/>
      <c r="K831" s="964"/>
      <c r="L831" s="9"/>
      <c r="M831" s="9"/>
      <c r="Q831" s="965"/>
      <c r="R831" s="967"/>
    </row>
    <row r="832">
      <c r="A832" s="964"/>
      <c r="C832" s="965"/>
      <c r="F832" s="964"/>
      <c r="G832" s="966"/>
      <c r="H832" s="964"/>
      <c r="I832" s="964"/>
      <c r="K832" s="964"/>
      <c r="L832" s="9"/>
      <c r="M832" s="9"/>
      <c r="Q832" s="965"/>
      <c r="R832" s="967"/>
    </row>
    <row r="833">
      <c r="A833" s="964"/>
      <c r="C833" s="965"/>
      <c r="F833" s="964"/>
      <c r="G833" s="966"/>
      <c r="H833" s="964"/>
      <c r="I833" s="964"/>
      <c r="K833" s="964"/>
      <c r="L833" s="9"/>
      <c r="M833" s="9"/>
      <c r="Q833" s="965"/>
      <c r="R833" s="967"/>
    </row>
    <row r="834">
      <c r="A834" s="964"/>
      <c r="C834" s="965"/>
      <c r="F834" s="964"/>
      <c r="G834" s="966"/>
      <c r="H834" s="964"/>
      <c r="I834" s="964"/>
      <c r="K834" s="964"/>
      <c r="L834" s="9"/>
      <c r="M834" s="9"/>
      <c r="Q834" s="965"/>
      <c r="R834" s="967"/>
    </row>
    <row r="835">
      <c r="A835" s="964"/>
      <c r="C835" s="965"/>
      <c r="F835" s="964"/>
      <c r="G835" s="966"/>
      <c r="H835" s="964"/>
      <c r="I835" s="964"/>
      <c r="K835" s="964"/>
      <c r="L835" s="9"/>
      <c r="M835" s="9"/>
      <c r="Q835" s="965"/>
      <c r="R835" s="967"/>
    </row>
    <row r="836">
      <c r="A836" s="964"/>
      <c r="C836" s="965"/>
      <c r="F836" s="964"/>
      <c r="G836" s="966"/>
      <c r="H836" s="964"/>
      <c r="I836" s="964"/>
      <c r="K836" s="964"/>
      <c r="L836" s="9"/>
      <c r="M836" s="9"/>
      <c r="Q836" s="965"/>
      <c r="R836" s="967"/>
    </row>
    <row r="837">
      <c r="A837" s="964"/>
      <c r="C837" s="965"/>
      <c r="F837" s="964"/>
      <c r="G837" s="966"/>
      <c r="H837" s="964"/>
      <c r="I837" s="964"/>
      <c r="K837" s="964"/>
      <c r="L837" s="9"/>
      <c r="M837" s="9"/>
      <c r="Q837" s="965"/>
      <c r="R837" s="967"/>
    </row>
    <row r="838">
      <c r="A838" s="964"/>
      <c r="C838" s="965"/>
      <c r="F838" s="964"/>
      <c r="G838" s="966"/>
      <c r="H838" s="964"/>
      <c r="I838" s="964"/>
      <c r="K838" s="964"/>
      <c r="L838" s="9"/>
      <c r="M838" s="9"/>
      <c r="Q838" s="965"/>
      <c r="R838" s="967"/>
    </row>
    <row r="839">
      <c r="A839" s="964"/>
      <c r="C839" s="965"/>
      <c r="F839" s="964"/>
      <c r="G839" s="966"/>
      <c r="H839" s="964"/>
      <c r="I839" s="964"/>
      <c r="K839" s="964"/>
      <c r="L839" s="9"/>
      <c r="M839" s="9"/>
      <c r="Q839" s="965"/>
      <c r="R839" s="967"/>
    </row>
    <row r="840">
      <c r="A840" s="964"/>
      <c r="C840" s="965"/>
      <c r="F840" s="964"/>
      <c r="G840" s="966"/>
      <c r="H840" s="964"/>
      <c r="I840" s="964"/>
      <c r="K840" s="964"/>
      <c r="L840" s="9"/>
      <c r="M840" s="9"/>
      <c r="Q840" s="965"/>
      <c r="R840" s="967"/>
    </row>
    <row r="841">
      <c r="A841" s="964"/>
      <c r="C841" s="965"/>
      <c r="F841" s="964"/>
      <c r="G841" s="966"/>
      <c r="H841" s="964"/>
      <c r="I841" s="964"/>
      <c r="K841" s="964"/>
      <c r="L841" s="9"/>
      <c r="M841" s="9"/>
      <c r="Q841" s="965"/>
      <c r="R841" s="967"/>
    </row>
    <row r="842">
      <c r="A842" s="964"/>
      <c r="C842" s="965"/>
      <c r="F842" s="964"/>
      <c r="G842" s="966"/>
      <c r="H842" s="964"/>
      <c r="I842" s="964"/>
      <c r="K842" s="964"/>
      <c r="L842" s="9"/>
      <c r="M842" s="9"/>
      <c r="Q842" s="965"/>
      <c r="R842" s="967"/>
    </row>
    <row r="843">
      <c r="A843" s="964"/>
      <c r="C843" s="965"/>
      <c r="F843" s="964"/>
      <c r="G843" s="966"/>
      <c r="H843" s="964"/>
      <c r="I843" s="964"/>
      <c r="K843" s="964"/>
      <c r="L843" s="9"/>
      <c r="M843" s="9"/>
      <c r="Q843" s="965"/>
      <c r="R843" s="967"/>
    </row>
    <row r="844">
      <c r="A844" s="964"/>
      <c r="C844" s="965"/>
      <c r="F844" s="964"/>
      <c r="G844" s="966"/>
      <c r="H844" s="964"/>
      <c r="I844" s="964"/>
      <c r="K844" s="964"/>
      <c r="L844" s="9"/>
      <c r="M844" s="9"/>
      <c r="Q844" s="965"/>
      <c r="R844" s="967"/>
    </row>
    <row r="845">
      <c r="A845" s="964"/>
      <c r="C845" s="965"/>
      <c r="F845" s="964"/>
      <c r="G845" s="966"/>
      <c r="H845" s="964"/>
      <c r="I845" s="964"/>
      <c r="K845" s="964"/>
      <c r="L845" s="9"/>
      <c r="M845" s="9"/>
      <c r="Q845" s="965"/>
      <c r="R845" s="967"/>
    </row>
    <row r="846">
      <c r="A846" s="964"/>
      <c r="C846" s="965"/>
      <c r="F846" s="964"/>
      <c r="G846" s="966"/>
      <c r="H846" s="964"/>
      <c r="I846" s="964"/>
      <c r="K846" s="964"/>
      <c r="L846" s="9"/>
      <c r="M846" s="9"/>
      <c r="Q846" s="965"/>
      <c r="R846" s="967"/>
    </row>
    <row r="847">
      <c r="A847" s="964"/>
      <c r="C847" s="965"/>
      <c r="F847" s="964"/>
      <c r="G847" s="966"/>
      <c r="H847" s="964"/>
      <c r="I847" s="964"/>
      <c r="K847" s="964"/>
      <c r="L847" s="9"/>
      <c r="M847" s="9"/>
      <c r="Q847" s="965"/>
      <c r="R847" s="967"/>
    </row>
    <row r="848">
      <c r="A848" s="964"/>
      <c r="C848" s="965"/>
      <c r="F848" s="964"/>
      <c r="G848" s="966"/>
      <c r="H848" s="964"/>
      <c r="I848" s="964"/>
      <c r="K848" s="964"/>
      <c r="L848" s="9"/>
      <c r="M848" s="9"/>
      <c r="Q848" s="965"/>
      <c r="R848" s="967"/>
    </row>
    <row r="849">
      <c r="A849" s="964"/>
      <c r="C849" s="965"/>
      <c r="F849" s="964"/>
      <c r="G849" s="966"/>
      <c r="H849" s="964"/>
      <c r="I849" s="964"/>
      <c r="K849" s="964"/>
      <c r="L849" s="9"/>
      <c r="M849" s="9"/>
      <c r="Q849" s="965"/>
      <c r="R849" s="967"/>
    </row>
    <row r="850">
      <c r="A850" s="964"/>
      <c r="C850" s="965"/>
      <c r="F850" s="964"/>
      <c r="G850" s="966"/>
      <c r="H850" s="964"/>
      <c r="I850" s="964"/>
      <c r="K850" s="964"/>
      <c r="L850" s="9"/>
      <c r="M850" s="9"/>
      <c r="Q850" s="965"/>
      <c r="R850" s="967"/>
    </row>
    <row r="851">
      <c r="A851" s="964"/>
      <c r="C851" s="965"/>
      <c r="F851" s="964"/>
      <c r="G851" s="966"/>
      <c r="H851" s="964"/>
      <c r="I851" s="964"/>
      <c r="K851" s="964"/>
      <c r="L851" s="9"/>
      <c r="M851" s="9"/>
      <c r="Q851" s="965"/>
      <c r="R851" s="967"/>
    </row>
    <row r="852">
      <c r="A852" s="964"/>
      <c r="C852" s="965"/>
      <c r="F852" s="964"/>
      <c r="G852" s="966"/>
      <c r="H852" s="964"/>
      <c r="I852" s="964"/>
      <c r="K852" s="964"/>
      <c r="L852" s="9"/>
      <c r="M852" s="9"/>
      <c r="Q852" s="965"/>
      <c r="R852" s="967"/>
    </row>
    <row r="853">
      <c r="A853" s="964"/>
      <c r="C853" s="965"/>
      <c r="F853" s="964"/>
      <c r="G853" s="966"/>
      <c r="H853" s="964"/>
      <c r="I853" s="964"/>
      <c r="K853" s="964"/>
      <c r="L853" s="9"/>
      <c r="M853" s="9"/>
      <c r="Q853" s="965"/>
      <c r="R853" s="967"/>
    </row>
    <row r="854">
      <c r="A854" s="964"/>
      <c r="C854" s="965"/>
      <c r="F854" s="964"/>
      <c r="G854" s="966"/>
      <c r="H854" s="964"/>
      <c r="I854" s="964"/>
      <c r="K854" s="964"/>
      <c r="L854" s="9"/>
      <c r="M854" s="9"/>
      <c r="Q854" s="965"/>
      <c r="R854" s="967"/>
    </row>
    <row r="855">
      <c r="A855" s="964"/>
      <c r="C855" s="965"/>
      <c r="F855" s="964"/>
      <c r="G855" s="966"/>
      <c r="H855" s="964"/>
      <c r="I855" s="964"/>
      <c r="K855" s="964"/>
      <c r="L855" s="9"/>
      <c r="M855" s="9"/>
      <c r="Q855" s="965"/>
      <c r="R855" s="967"/>
    </row>
    <row r="856">
      <c r="A856" s="964"/>
      <c r="C856" s="965"/>
      <c r="F856" s="964"/>
      <c r="G856" s="966"/>
      <c r="H856" s="964"/>
      <c r="I856" s="964"/>
      <c r="K856" s="964"/>
      <c r="L856" s="9"/>
      <c r="M856" s="9"/>
      <c r="Q856" s="965"/>
      <c r="R856" s="967"/>
    </row>
    <row r="857">
      <c r="A857" s="964"/>
      <c r="C857" s="965"/>
      <c r="F857" s="964"/>
      <c r="G857" s="966"/>
      <c r="H857" s="964"/>
      <c r="I857" s="964"/>
      <c r="K857" s="964"/>
      <c r="L857" s="9"/>
      <c r="M857" s="9"/>
      <c r="Q857" s="965"/>
      <c r="R857" s="967"/>
    </row>
    <row r="858">
      <c r="A858" s="964"/>
      <c r="C858" s="965"/>
      <c r="F858" s="964"/>
      <c r="G858" s="966"/>
      <c r="H858" s="964"/>
      <c r="I858" s="964"/>
      <c r="K858" s="964"/>
      <c r="L858" s="9"/>
      <c r="M858" s="9"/>
      <c r="Q858" s="965"/>
      <c r="R858" s="967"/>
    </row>
    <row r="859">
      <c r="A859" s="964"/>
      <c r="C859" s="965"/>
      <c r="F859" s="964"/>
      <c r="G859" s="966"/>
      <c r="H859" s="964"/>
      <c r="I859" s="964"/>
      <c r="K859" s="964"/>
      <c r="L859" s="9"/>
      <c r="M859" s="9"/>
      <c r="Q859" s="965"/>
      <c r="R859" s="967"/>
    </row>
    <row r="860">
      <c r="A860" s="964"/>
      <c r="C860" s="965"/>
      <c r="F860" s="964"/>
      <c r="G860" s="966"/>
      <c r="H860" s="964"/>
      <c r="I860" s="964"/>
      <c r="K860" s="964"/>
      <c r="L860" s="9"/>
      <c r="M860" s="9"/>
      <c r="Q860" s="965"/>
      <c r="R860" s="967"/>
    </row>
    <row r="861">
      <c r="A861" s="964"/>
      <c r="C861" s="965"/>
      <c r="F861" s="964"/>
      <c r="G861" s="966"/>
      <c r="H861" s="964"/>
      <c r="I861" s="964"/>
      <c r="K861" s="964"/>
      <c r="L861" s="9"/>
      <c r="M861" s="9"/>
      <c r="Q861" s="965"/>
      <c r="R861" s="967"/>
    </row>
    <row r="862">
      <c r="A862" s="964"/>
      <c r="C862" s="965"/>
      <c r="F862" s="964"/>
      <c r="G862" s="966"/>
      <c r="H862" s="964"/>
      <c r="I862" s="964"/>
      <c r="K862" s="964"/>
      <c r="L862" s="9"/>
      <c r="M862" s="9"/>
      <c r="Q862" s="965"/>
      <c r="R862" s="967"/>
    </row>
    <row r="863">
      <c r="A863" s="964"/>
      <c r="C863" s="965"/>
      <c r="F863" s="964"/>
      <c r="G863" s="966"/>
      <c r="H863" s="964"/>
      <c r="I863" s="964"/>
      <c r="K863" s="964"/>
      <c r="L863" s="9"/>
      <c r="M863" s="9"/>
      <c r="Q863" s="965"/>
      <c r="R863" s="967"/>
    </row>
    <row r="864">
      <c r="A864" s="964"/>
      <c r="C864" s="965"/>
      <c r="F864" s="964"/>
      <c r="G864" s="966"/>
      <c r="H864" s="964"/>
      <c r="I864" s="964"/>
      <c r="K864" s="964"/>
      <c r="L864" s="9"/>
      <c r="M864" s="9"/>
      <c r="Q864" s="965"/>
      <c r="R864" s="967"/>
    </row>
    <row r="865">
      <c r="A865" s="964"/>
      <c r="C865" s="965"/>
      <c r="F865" s="964"/>
      <c r="G865" s="966"/>
      <c r="H865" s="964"/>
      <c r="I865" s="964"/>
      <c r="K865" s="964"/>
      <c r="L865" s="9"/>
      <c r="M865" s="9"/>
      <c r="Q865" s="965"/>
      <c r="R865" s="967"/>
    </row>
    <row r="866">
      <c r="A866" s="964"/>
      <c r="C866" s="965"/>
      <c r="F866" s="964"/>
      <c r="G866" s="966"/>
      <c r="H866" s="964"/>
      <c r="I866" s="964"/>
      <c r="K866" s="964"/>
      <c r="L866" s="9"/>
      <c r="M866" s="9"/>
      <c r="Q866" s="965"/>
      <c r="R866" s="967"/>
    </row>
    <row r="867">
      <c r="A867" s="964"/>
      <c r="C867" s="965"/>
      <c r="F867" s="964"/>
      <c r="G867" s="966"/>
      <c r="H867" s="964"/>
      <c r="I867" s="964"/>
      <c r="K867" s="964"/>
      <c r="L867" s="9"/>
      <c r="M867" s="9"/>
      <c r="Q867" s="965"/>
      <c r="R867" s="967"/>
    </row>
    <row r="868">
      <c r="A868" s="964"/>
      <c r="C868" s="965"/>
      <c r="F868" s="964"/>
      <c r="G868" s="966"/>
      <c r="H868" s="964"/>
      <c r="I868" s="964"/>
      <c r="K868" s="964"/>
      <c r="L868" s="9"/>
      <c r="M868" s="9"/>
      <c r="Q868" s="965"/>
      <c r="R868" s="967"/>
    </row>
    <row r="869">
      <c r="A869" s="964"/>
      <c r="C869" s="965"/>
      <c r="F869" s="964"/>
      <c r="G869" s="966"/>
      <c r="H869" s="964"/>
      <c r="I869" s="964"/>
      <c r="K869" s="964"/>
      <c r="L869" s="9"/>
      <c r="M869" s="9"/>
      <c r="Q869" s="965"/>
      <c r="R869" s="967"/>
    </row>
    <row r="870">
      <c r="A870" s="964"/>
      <c r="C870" s="965"/>
      <c r="F870" s="964"/>
      <c r="G870" s="966"/>
      <c r="H870" s="964"/>
      <c r="I870" s="964"/>
      <c r="K870" s="964"/>
      <c r="L870" s="9"/>
      <c r="M870" s="9"/>
      <c r="Q870" s="965"/>
      <c r="R870" s="967"/>
    </row>
    <row r="871">
      <c r="A871" s="964"/>
      <c r="C871" s="965"/>
      <c r="F871" s="964"/>
      <c r="G871" s="966"/>
      <c r="H871" s="964"/>
      <c r="I871" s="964"/>
      <c r="K871" s="964"/>
      <c r="L871" s="9"/>
      <c r="M871" s="9"/>
      <c r="Q871" s="965"/>
      <c r="R871" s="967"/>
    </row>
    <row r="872">
      <c r="A872" s="964"/>
      <c r="C872" s="965"/>
      <c r="F872" s="964"/>
      <c r="G872" s="966"/>
      <c r="H872" s="964"/>
      <c r="I872" s="964"/>
      <c r="K872" s="964"/>
      <c r="L872" s="9"/>
      <c r="M872" s="9"/>
      <c r="Q872" s="965"/>
      <c r="R872" s="967"/>
    </row>
    <row r="873">
      <c r="A873" s="964"/>
      <c r="C873" s="965"/>
      <c r="F873" s="964"/>
      <c r="G873" s="966"/>
      <c r="H873" s="964"/>
      <c r="I873" s="964"/>
      <c r="K873" s="964"/>
      <c r="L873" s="9"/>
      <c r="M873" s="9"/>
      <c r="Q873" s="965"/>
      <c r="R873" s="967"/>
    </row>
    <row r="874">
      <c r="A874" s="964"/>
      <c r="C874" s="965"/>
      <c r="F874" s="964"/>
      <c r="G874" s="966"/>
      <c r="H874" s="964"/>
      <c r="I874" s="964"/>
      <c r="K874" s="964"/>
      <c r="L874" s="9"/>
      <c r="M874" s="9"/>
      <c r="Q874" s="965"/>
      <c r="R874" s="967"/>
    </row>
    <row r="875">
      <c r="A875" s="964"/>
      <c r="C875" s="965"/>
      <c r="F875" s="964"/>
      <c r="G875" s="966"/>
      <c r="H875" s="964"/>
      <c r="I875" s="964"/>
      <c r="K875" s="964"/>
      <c r="L875" s="9"/>
      <c r="M875" s="9"/>
      <c r="Q875" s="965"/>
      <c r="R875" s="967"/>
    </row>
    <row r="876">
      <c r="A876" s="964"/>
      <c r="C876" s="965"/>
      <c r="F876" s="964"/>
      <c r="G876" s="966"/>
      <c r="H876" s="964"/>
      <c r="I876" s="964"/>
      <c r="K876" s="964"/>
      <c r="L876" s="9"/>
      <c r="M876" s="9"/>
      <c r="Q876" s="965"/>
      <c r="R876" s="967"/>
    </row>
    <row r="877">
      <c r="A877" s="964"/>
      <c r="C877" s="965"/>
      <c r="F877" s="964"/>
      <c r="G877" s="966"/>
      <c r="H877" s="964"/>
      <c r="I877" s="964"/>
      <c r="K877" s="964"/>
      <c r="L877" s="9"/>
      <c r="M877" s="9"/>
      <c r="Q877" s="965"/>
      <c r="R877" s="967"/>
    </row>
    <row r="878">
      <c r="A878" s="964"/>
      <c r="C878" s="965"/>
      <c r="F878" s="964"/>
      <c r="G878" s="966"/>
      <c r="H878" s="964"/>
      <c r="I878" s="964"/>
      <c r="K878" s="964"/>
      <c r="L878" s="9"/>
      <c r="M878" s="9"/>
      <c r="Q878" s="965"/>
      <c r="R878" s="967"/>
    </row>
    <row r="879">
      <c r="A879" s="964"/>
      <c r="C879" s="965"/>
      <c r="F879" s="964"/>
      <c r="G879" s="966"/>
      <c r="H879" s="964"/>
      <c r="I879" s="964"/>
      <c r="K879" s="964"/>
      <c r="L879" s="9"/>
      <c r="M879" s="9"/>
      <c r="Q879" s="965"/>
      <c r="R879" s="967"/>
    </row>
    <row r="880">
      <c r="A880" s="964"/>
      <c r="C880" s="965"/>
      <c r="F880" s="964"/>
      <c r="G880" s="966"/>
      <c r="H880" s="964"/>
      <c r="I880" s="964"/>
      <c r="K880" s="964"/>
      <c r="L880" s="9"/>
      <c r="M880" s="9"/>
      <c r="Q880" s="965"/>
      <c r="R880" s="967"/>
    </row>
    <row r="881">
      <c r="A881" s="964"/>
      <c r="C881" s="965"/>
      <c r="F881" s="964"/>
      <c r="G881" s="966"/>
      <c r="H881" s="964"/>
      <c r="I881" s="964"/>
      <c r="K881" s="964"/>
      <c r="L881" s="9"/>
      <c r="M881" s="9"/>
      <c r="Q881" s="965"/>
      <c r="R881" s="967"/>
    </row>
    <row r="882">
      <c r="A882" s="964"/>
      <c r="C882" s="965"/>
      <c r="F882" s="964"/>
      <c r="G882" s="966"/>
      <c r="H882" s="964"/>
      <c r="I882" s="964"/>
      <c r="K882" s="964"/>
      <c r="L882" s="9"/>
      <c r="M882" s="9"/>
      <c r="Q882" s="965"/>
      <c r="R882" s="967"/>
    </row>
    <row r="883">
      <c r="A883" s="964"/>
      <c r="C883" s="965"/>
      <c r="F883" s="964"/>
      <c r="G883" s="966"/>
      <c r="H883" s="964"/>
      <c r="I883" s="964"/>
      <c r="K883" s="964"/>
      <c r="L883" s="9"/>
      <c r="M883" s="9"/>
      <c r="Q883" s="965"/>
      <c r="R883" s="967"/>
    </row>
    <row r="884">
      <c r="A884" s="964"/>
      <c r="C884" s="965"/>
      <c r="F884" s="964"/>
      <c r="G884" s="966"/>
      <c r="H884" s="964"/>
      <c r="I884" s="964"/>
      <c r="K884" s="964"/>
      <c r="L884" s="9"/>
      <c r="M884" s="9"/>
      <c r="Q884" s="965"/>
      <c r="R884" s="967"/>
    </row>
    <row r="885">
      <c r="A885" s="964"/>
      <c r="C885" s="965"/>
      <c r="F885" s="964"/>
      <c r="G885" s="966"/>
      <c r="H885" s="964"/>
      <c r="I885" s="964"/>
      <c r="K885" s="964"/>
      <c r="L885" s="9"/>
      <c r="M885" s="9"/>
      <c r="Q885" s="965"/>
      <c r="R885" s="967"/>
    </row>
    <row r="886">
      <c r="A886" s="964"/>
      <c r="C886" s="965"/>
      <c r="F886" s="964"/>
      <c r="G886" s="966"/>
      <c r="H886" s="964"/>
      <c r="I886" s="964"/>
      <c r="K886" s="964"/>
      <c r="L886" s="9"/>
      <c r="M886" s="9"/>
      <c r="Q886" s="965"/>
      <c r="R886" s="967"/>
    </row>
    <row r="887">
      <c r="A887" s="964"/>
      <c r="C887" s="965"/>
      <c r="F887" s="964"/>
      <c r="G887" s="966"/>
      <c r="H887" s="964"/>
      <c r="I887" s="964"/>
      <c r="K887" s="964"/>
      <c r="L887" s="9"/>
      <c r="M887" s="9"/>
      <c r="Q887" s="965"/>
      <c r="R887" s="967"/>
    </row>
    <row r="888">
      <c r="A888" s="964"/>
      <c r="C888" s="965"/>
      <c r="F888" s="964"/>
      <c r="G888" s="966"/>
      <c r="H888" s="964"/>
      <c r="I888" s="964"/>
      <c r="K888" s="964"/>
      <c r="L888" s="9"/>
      <c r="M888" s="9"/>
      <c r="Q888" s="965"/>
      <c r="R888" s="967"/>
    </row>
    <row r="889">
      <c r="A889" s="964"/>
      <c r="C889" s="965"/>
      <c r="F889" s="964"/>
      <c r="G889" s="966"/>
      <c r="H889" s="964"/>
      <c r="I889" s="964"/>
      <c r="K889" s="964"/>
      <c r="L889" s="9"/>
      <c r="M889" s="9"/>
      <c r="Q889" s="965"/>
      <c r="R889" s="967"/>
    </row>
    <row r="890">
      <c r="A890" s="964"/>
      <c r="C890" s="965"/>
      <c r="F890" s="964"/>
      <c r="G890" s="966"/>
      <c r="H890" s="964"/>
      <c r="I890" s="964"/>
      <c r="K890" s="964"/>
      <c r="L890" s="9"/>
      <c r="M890" s="9"/>
      <c r="Q890" s="965"/>
      <c r="R890" s="967"/>
    </row>
    <row r="891">
      <c r="A891" s="964"/>
      <c r="C891" s="965"/>
      <c r="F891" s="964"/>
      <c r="G891" s="966"/>
      <c r="H891" s="964"/>
      <c r="I891" s="964"/>
      <c r="K891" s="964"/>
      <c r="L891" s="9"/>
      <c r="M891" s="9"/>
      <c r="Q891" s="965"/>
      <c r="R891" s="967"/>
    </row>
    <row r="892">
      <c r="A892" s="964"/>
      <c r="C892" s="965"/>
      <c r="F892" s="964"/>
      <c r="G892" s="966"/>
      <c r="H892" s="964"/>
      <c r="I892" s="964"/>
      <c r="K892" s="964"/>
      <c r="L892" s="9"/>
      <c r="M892" s="9"/>
      <c r="Q892" s="965"/>
      <c r="R892" s="967"/>
    </row>
    <row r="893">
      <c r="A893" s="964"/>
      <c r="C893" s="965"/>
      <c r="F893" s="964"/>
      <c r="G893" s="966"/>
      <c r="H893" s="964"/>
      <c r="I893" s="964"/>
      <c r="K893" s="964"/>
      <c r="L893" s="9"/>
      <c r="M893" s="9"/>
      <c r="Q893" s="965"/>
      <c r="R893" s="967"/>
    </row>
    <row r="894">
      <c r="A894" s="964"/>
      <c r="C894" s="965"/>
      <c r="F894" s="964"/>
      <c r="G894" s="966"/>
      <c r="H894" s="964"/>
      <c r="I894" s="964"/>
      <c r="K894" s="964"/>
      <c r="L894" s="9"/>
      <c r="M894" s="9"/>
      <c r="Q894" s="965"/>
      <c r="R894" s="967"/>
    </row>
    <row r="895">
      <c r="A895" s="964"/>
      <c r="C895" s="965"/>
      <c r="F895" s="964"/>
      <c r="G895" s="966"/>
      <c r="H895" s="964"/>
      <c r="I895" s="964"/>
      <c r="K895" s="964"/>
      <c r="L895" s="9"/>
      <c r="M895" s="9"/>
      <c r="Q895" s="965"/>
      <c r="R895" s="967"/>
    </row>
    <row r="896">
      <c r="A896" s="964"/>
      <c r="C896" s="965"/>
      <c r="F896" s="964"/>
      <c r="G896" s="966"/>
      <c r="H896" s="964"/>
      <c r="I896" s="964"/>
      <c r="K896" s="964"/>
      <c r="L896" s="9"/>
      <c r="M896" s="9"/>
      <c r="Q896" s="965"/>
      <c r="R896" s="967"/>
    </row>
    <row r="897">
      <c r="A897" s="964"/>
      <c r="C897" s="965"/>
      <c r="F897" s="964"/>
      <c r="G897" s="966"/>
      <c r="H897" s="964"/>
      <c r="I897" s="964"/>
      <c r="K897" s="964"/>
      <c r="L897" s="9"/>
      <c r="M897" s="9"/>
      <c r="Q897" s="965"/>
      <c r="R897" s="967"/>
    </row>
    <row r="898">
      <c r="A898" s="964"/>
      <c r="C898" s="965"/>
      <c r="F898" s="964"/>
      <c r="G898" s="966"/>
      <c r="H898" s="964"/>
      <c r="I898" s="964"/>
      <c r="K898" s="964"/>
      <c r="L898" s="9"/>
      <c r="M898" s="9"/>
      <c r="Q898" s="965"/>
      <c r="R898" s="967"/>
    </row>
    <row r="899">
      <c r="A899" s="964"/>
      <c r="C899" s="965"/>
      <c r="F899" s="964"/>
      <c r="G899" s="966"/>
      <c r="H899" s="964"/>
      <c r="I899" s="964"/>
      <c r="K899" s="964"/>
      <c r="L899" s="9"/>
      <c r="M899" s="9"/>
      <c r="Q899" s="965"/>
      <c r="R899" s="967"/>
    </row>
    <row r="900">
      <c r="A900" s="964"/>
      <c r="C900" s="965"/>
      <c r="F900" s="964"/>
      <c r="G900" s="966"/>
      <c r="H900" s="964"/>
      <c r="I900" s="964"/>
      <c r="K900" s="964"/>
      <c r="L900" s="9"/>
      <c r="M900" s="9"/>
      <c r="Q900" s="965"/>
      <c r="R900" s="967"/>
    </row>
    <row r="901">
      <c r="A901" s="964"/>
      <c r="C901" s="965"/>
      <c r="F901" s="964"/>
      <c r="G901" s="966"/>
      <c r="H901" s="964"/>
      <c r="I901" s="964"/>
      <c r="K901" s="964"/>
      <c r="L901" s="9"/>
      <c r="M901" s="9"/>
      <c r="Q901" s="965"/>
      <c r="R901" s="967"/>
    </row>
    <row r="902">
      <c r="A902" s="964"/>
      <c r="C902" s="965"/>
      <c r="F902" s="964"/>
      <c r="G902" s="966"/>
      <c r="H902" s="964"/>
      <c r="I902" s="964"/>
      <c r="K902" s="964"/>
      <c r="L902" s="9"/>
      <c r="M902" s="9"/>
      <c r="Q902" s="965"/>
      <c r="R902" s="967"/>
    </row>
    <row r="903">
      <c r="A903" s="964"/>
      <c r="C903" s="965"/>
      <c r="F903" s="964"/>
      <c r="G903" s="966"/>
      <c r="H903" s="964"/>
      <c r="I903" s="964"/>
      <c r="K903" s="964"/>
      <c r="L903" s="9"/>
      <c r="M903" s="9"/>
      <c r="Q903" s="965"/>
      <c r="R903" s="967"/>
    </row>
    <row r="904">
      <c r="A904" s="964"/>
      <c r="C904" s="965"/>
      <c r="F904" s="964"/>
      <c r="G904" s="966"/>
      <c r="H904" s="964"/>
      <c r="I904" s="964"/>
      <c r="K904" s="964"/>
      <c r="L904" s="9"/>
      <c r="M904" s="9"/>
      <c r="Q904" s="965"/>
      <c r="R904" s="967"/>
    </row>
    <row r="905">
      <c r="A905" s="964"/>
      <c r="C905" s="965"/>
      <c r="F905" s="964"/>
      <c r="G905" s="966"/>
      <c r="H905" s="964"/>
      <c r="I905" s="964"/>
      <c r="K905" s="964"/>
      <c r="L905" s="9"/>
      <c r="M905" s="9"/>
      <c r="Q905" s="965"/>
      <c r="R905" s="967"/>
    </row>
    <row r="906">
      <c r="A906" s="964"/>
      <c r="C906" s="965"/>
      <c r="F906" s="964"/>
      <c r="G906" s="966"/>
      <c r="H906" s="964"/>
      <c r="I906" s="964"/>
      <c r="K906" s="964"/>
      <c r="L906" s="9"/>
      <c r="M906" s="9"/>
      <c r="Q906" s="965"/>
      <c r="R906" s="967"/>
    </row>
    <row r="907">
      <c r="A907" s="964"/>
      <c r="C907" s="965"/>
      <c r="F907" s="964"/>
      <c r="G907" s="966"/>
      <c r="H907" s="964"/>
      <c r="I907" s="964"/>
      <c r="K907" s="964"/>
      <c r="L907" s="9"/>
      <c r="M907" s="9"/>
      <c r="Q907" s="965"/>
      <c r="R907" s="967"/>
    </row>
    <row r="908">
      <c r="A908" s="964"/>
      <c r="C908" s="965"/>
      <c r="F908" s="964"/>
      <c r="G908" s="966"/>
      <c r="H908" s="964"/>
      <c r="I908" s="964"/>
      <c r="K908" s="964"/>
      <c r="L908" s="9"/>
      <c r="M908" s="9"/>
      <c r="Q908" s="965"/>
      <c r="R908" s="967"/>
    </row>
    <row r="909">
      <c r="A909" s="964"/>
      <c r="C909" s="965"/>
      <c r="F909" s="964"/>
      <c r="G909" s="966"/>
      <c r="H909" s="964"/>
      <c r="I909" s="964"/>
      <c r="K909" s="964"/>
      <c r="L909" s="9"/>
      <c r="M909" s="9"/>
      <c r="Q909" s="965"/>
      <c r="R909" s="967"/>
    </row>
    <row r="910">
      <c r="A910" s="964"/>
      <c r="C910" s="965"/>
      <c r="F910" s="964"/>
      <c r="G910" s="966"/>
      <c r="H910" s="964"/>
      <c r="I910" s="964"/>
      <c r="K910" s="964"/>
      <c r="L910" s="9"/>
      <c r="M910" s="9"/>
      <c r="Q910" s="965"/>
      <c r="R910" s="967"/>
    </row>
    <row r="911">
      <c r="A911" s="964"/>
      <c r="C911" s="965"/>
      <c r="F911" s="964"/>
      <c r="G911" s="966"/>
      <c r="H911" s="964"/>
      <c r="I911" s="964"/>
      <c r="K911" s="964"/>
      <c r="L911" s="9"/>
      <c r="M911" s="9"/>
      <c r="Q911" s="965"/>
      <c r="R911" s="967"/>
    </row>
    <row r="912">
      <c r="A912" s="964"/>
      <c r="C912" s="965"/>
      <c r="F912" s="964"/>
      <c r="G912" s="966"/>
      <c r="H912" s="964"/>
      <c r="I912" s="964"/>
      <c r="K912" s="964"/>
      <c r="L912" s="9"/>
      <c r="M912" s="9"/>
      <c r="Q912" s="965"/>
      <c r="R912" s="967"/>
    </row>
    <row r="913">
      <c r="A913" s="964"/>
      <c r="C913" s="965"/>
      <c r="F913" s="964"/>
      <c r="G913" s="966"/>
      <c r="H913" s="964"/>
      <c r="I913" s="964"/>
      <c r="K913" s="964"/>
      <c r="L913" s="9"/>
      <c r="M913" s="9"/>
      <c r="Q913" s="965"/>
      <c r="R913" s="967"/>
    </row>
    <row r="914">
      <c r="A914" s="964"/>
      <c r="C914" s="965"/>
      <c r="F914" s="964"/>
      <c r="G914" s="966"/>
      <c r="H914" s="964"/>
      <c r="I914" s="964"/>
      <c r="K914" s="964"/>
      <c r="L914" s="9"/>
      <c r="M914" s="9"/>
      <c r="Q914" s="965"/>
      <c r="R914" s="967"/>
    </row>
    <row r="915">
      <c r="A915" s="964"/>
      <c r="C915" s="965"/>
      <c r="F915" s="964"/>
      <c r="G915" s="966"/>
      <c r="H915" s="964"/>
      <c r="I915" s="964"/>
      <c r="K915" s="964"/>
      <c r="L915" s="9"/>
      <c r="M915" s="9"/>
      <c r="Q915" s="965"/>
      <c r="R915" s="967"/>
    </row>
    <row r="916">
      <c r="A916" s="964"/>
      <c r="C916" s="965"/>
      <c r="F916" s="964"/>
      <c r="G916" s="966"/>
      <c r="H916" s="964"/>
      <c r="I916" s="964"/>
      <c r="K916" s="964"/>
      <c r="L916" s="9"/>
      <c r="M916" s="9"/>
      <c r="Q916" s="965"/>
      <c r="R916" s="967"/>
    </row>
    <row r="917">
      <c r="A917" s="964"/>
      <c r="C917" s="965"/>
      <c r="F917" s="964"/>
      <c r="G917" s="966"/>
      <c r="H917" s="964"/>
      <c r="I917" s="964"/>
      <c r="K917" s="964"/>
      <c r="L917" s="9"/>
      <c r="M917" s="9"/>
      <c r="Q917" s="965"/>
      <c r="R917" s="967"/>
    </row>
    <row r="918">
      <c r="A918" s="964"/>
      <c r="C918" s="965"/>
      <c r="F918" s="964"/>
      <c r="G918" s="966"/>
      <c r="H918" s="964"/>
      <c r="I918" s="964"/>
      <c r="K918" s="964"/>
      <c r="L918" s="9"/>
      <c r="M918" s="9"/>
      <c r="Q918" s="965"/>
      <c r="R918" s="967"/>
    </row>
    <row r="919">
      <c r="A919" s="964"/>
      <c r="C919" s="965"/>
      <c r="F919" s="964"/>
      <c r="G919" s="966"/>
      <c r="H919" s="964"/>
      <c r="I919" s="964"/>
      <c r="K919" s="964"/>
      <c r="L919" s="9"/>
      <c r="M919" s="9"/>
      <c r="Q919" s="965"/>
      <c r="R919" s="967"/>
    </row>
    <row r="920">
      <c r="A920" s="964"/>
      <c r="C920" s="965"/>
      <c r="F920" s="964"/>
      <c r="G920" s="966"/>
      <c r="H920" s="964"/>
      <c r="I920" s="964"/>
      <c r="K920" s="964"/>
      <c r="L920" s="9"/>
      <c r="M920" s="9"/>
      <c r="Q920" s="965"/>
      <c r="R920" s="967"/>
    </row>
    <row r="921">
      <c r="A921" s="964"/>
      <c r="C921" s="965"/>
      <c r="F921" s="964"/>
      <c r="G921" s="966"/>
      <c r="H921" s="964"/>
      <c r="I921" s="964"/>
      <c r="K921" s="964"/>
      <c r="L921" s="9"/>
      <c r="M921" s="9"/>
      <c r="Q921" s="965"/>
      <c r="R921" s="967"/>
    </row>
    <row r="922">
      <c r="A922" s="964"/>
      <c r="C922" s="965"/>
      <c r="F922" s="964"/>
      <c r="G922" s="966"/>
      <c r="H922" s="964"/>
      <c r="I922" s="964"/>
      <c r="K922" s="964"/>
      <c r="L922" s="9"/>
      <c r="M922" s="9"/>
      <c r="Q922" s="965"/>
      <c r="R922" s="967"/>
    </row>
    <row r="923">
      <c r="A923" s="964"/>
      <c r="C923" s="965"/>
      <c r="F923" s="964"/>
      <c r="G923" s="966"/>
      <c r="H923" s="964"/>
      <c r="I923" s="964"/>
      <c r="K923" s="964"/>
      <c r="L923" s="9"/>
      <c r="M923" s="9"/>
      <c r="Q923" s="965"/>
      <c r="R923" s="967"/>
    </row>
    <row r="924">
      <c r="A924" s="964"/>
      <c r="C924" s="965"/>
      <c r="F924" s="964"/>
      <c r="G924" s="966"/>
      <c r="H924" s="964"/>
      <c r="I924" s="964"/>
      <c r="K924" s="964"/>
      <c r="L924" s="9"/>
      <c r="M924" s="9"/>
      <c r="Q924" s="965"/>
      <c r="R924" s="967"/>
    </row>
    <row r="925">
      <c r="A925" s="964"/>
      <c r="C925" s="965"/>
      <c r="F925" s="964"/>
      <c r="G925" s="966"/>
      <c r="H925" s="964"/>
      <c r="I925" s="964"/>
      <c r="K925" s="964"/>
      <c r="L925" s="9"/>
      <c r="M925" s="9"/>
      <c r="Q925" s="965"/>
      <c r="R925" s="967"/>
    </row>
    <row r="926">
      <c r="A926" s="964"/>
      <c r="C926" s="965"/>
      <c r="F926" s="964"/>
      <c r="G926" s="966"/>
      <c r="H926" s="964"/>
      <c r="I926" s="964"/>
      <c r="K926" s="964"/>
      <c r="L926" s="9"/>
      <c r="M926" s="9"/>
      <c r="Q926" s="965"/>
      <c r="R926" s="967"/>
    </row>
    <row r="927">
      <c r="A927" s="964"/>
      <c r="C927" s="965"/>
      <c r="F927" s="964"/>
      <c r="G927" s="966"/>
      <c r="H927" s="964"/>
      <c r="I927" s="964"/>
      <c r="K927" s="964"/>
      <c r="L927" s="9"/>
      <c r="M927" s="9"/>
      <c r="Q927" s="965"/>
      <c r="R927" s="967"/>
    </row>
    <row r="928">
      <c r="A928" s="964"/>
      <c r="C928" s="965"/>
      <c r="F928" s="964"/>
      <c r="G928" s="966"/>
      <c r="H928" s="964"/>
      <c r="I928" s="964"/>
      <c r="K928" s="964"/>
      <c r="L928" s="9"/>
      <c r="M928" s="9"/>
      <c r="Q928" s="965"/>
      <c r="R928" s="967"/>
    </row>
    <row r="929">
      <c r="A929" s="964"/>
      <c r="C929" s="965"/>
      <c r="F929" s="964"/>
      <c r="G929" s="966"/>
      <c r="H929" s="964"/>
      <c r="I929" s="964"/>
      <c r="K929" s="964"/>
      <c r="L929" s="9"/>
      <c r="M929" s="9"/>
      <c r="Q929" s="965"/>
      <c r="R929" s="967"/>
    </row>
    <row r="930">
      <c r="A930" s="964"/>
      <c r="C930" s="965"/>
      <c r="F930" s="964"/>
      <c r="G930" s="966"/>
      <c r="H930" s="964"/>
      <c r="I930" s="964"/>
      <c r="K930" s="964"/>
      <c r="L930" s="9"/>
      <c r="M930" s="9"/>
      <c r="Q930" s="965"/>
      <c r="R930" s="967"/>
    </row>
    <row r="931">
      <c r="A931" s="964"/>
      <c r="C931" s="965"/>
      <c r="F931" s="964"/>
      <c r="G931" s="966"/>
      <c r="H931" s="964"/>
      <c r="I931" s="964"/>
      <c r="K931" s="964"/>
      <c r="L931" s="9"/>
      <c r="M931" s="9"/>
      <c r="Q931" s="965"/>
      <c r="R931" s="967"/>
    </row>
    <row r="932">
      <c r="A932" s="964"/>
      <c r="C932" s="965"/>
      <c r="F932" s="964"/>
      <c r="G932" s="966"/>
      <c r="H932" s="964"/>
      <c r="I932" s="964"/>
      <c r="K932" s="964"/>
      <c r="L932" s="9"/>
      <c r="M932" s="9"/>
      <c r="Q932" s="965"/>
      <c r="R932" s="967"/>
    </row>
    <row r="933">
      <c r="A933" s="964"/>
      <c r="C933" s="965"/>
      <c r="F933" s="964"/>
      <c r="G933" s="966"/>
      <c r="H933" s="964"/>
      <c r="I933" s="964"/>
      <c r="K933" s="964"/>
      <c r="L933" s="9"/>
      <c r="M933" s="9"/>
      <c r="Q933" s="965"/>
      <c r="R933" s="967"/>
    </row>
    <row r="934">
      <c r="A934" s="964"/>
      <c r="C934" s="965"/>
      <c r="F934" s="964"/>
      <c r="G934" s="966"/>
      <c r="H934" s="964"/>
      <c r="I934" s="964"/>
      <c r="K934" s="964"/>
      <c r="L934" s="9"/>
      <c r="M934" s="9"/>
      <c r="Q934" s="965"/>
      <c r="R934" s="967"/>
    </row>
    <row r="935">
      <c r="A935" s="964"/>
      <c r="C935" s="965"/>
      <c r="F935" s="964"/>
      <c r="G935" s="966"/>
      <c r="H935" s="964"/>
      <c r="I935" s="964"/>
      <c r="K935" s="964"/>
      <c r="L935" s="9"/>
      <c r="M935" s="9"/>
      <c r="Q935" s="965"/>
      <c r="R935" s="967"/>
    </row>
    <row r="936">
      <c r="A936" s="964"/>
      <c r="C936" s="965"/>
      <c r="F936" s="964"/>
      <c r="G936" s="966"/>
      <c r="H936" s="964"/>
      <c r="I936" s="964"/>
      <c r="K936" s="964"/>
      <c r="L936" s="9"/>
      <c r="M936" s="9"/>
      <c r="Q936" s="965"/>
      <c r="R936" s="967"/>
    </row>
    <row r="937">
      <c r="A937" s="964"/>
      <c r="C937" s="965"/>
      <c r="F937" s="964"/>
      <c r="G937" s="966"/>
      <c r="H937" s="964"/>
      <c r="I937" s="964"/>
      <c r="K937" s="964"/>
      <c r="L937" s="9"/>
      <c r="M937" s="9"/>
      <c r="Q937" s="965"/>
      <c r="R937" s="967"/>
    </row>
    <row r="938">
      <c r="A938" s="964"/>
      <c r="C938" s="965"/>
      <c r="F938" s="964"/>
      <c r="G938" s="966"/>
      <c r="H938" s="964"/>
      <c r="I938" s="964"/>
      <c r="K938" s="964"/>
      <c r="L938" s="9"/>
      <c r="M938" s="9"/>
      <c r="Q938" s="965"/>
      <c r="R938" s="967"/>
    </row>
    <row r="939">
      <c r="A939" s="964"/>
      <c r="C939" s="965"/>
      <c r="F939" s="964"/>
      <c r="G939" s="966"/>
      <c r="H939" s="964"/>
      <c r="I939" s="964"/>
      <c r="K939" s="964"/>
      <c r="L939" s="9"/>
      <c r="M939" s="9"/>
      <c r="Q939" s="965"/>
      <c r="R939" s="967"/>
    </row>
    <row r="940">
      <c r="A940" s="964"/>
      <c r="C940" s="965"/>
      <c r="F940" s="964"/>
      <c r="G940" s="966"/>
      <c r="H940" s="964"/>
      <c r="I940" s="964"/>
      <c r="K940" s="964"/>
      <c r="L940" s="9"/>
      <c r="M940" s="9"/>
      <c r="Q940" s="965"/>
      <c r="R940" s="967"/>
    </row>
    <row r="941">
      <c r="A941" s="964"/>
      <c r="C941" s="965"/>
      <c r="F941" s="964"/>
      <c r="G941" s="966"/>
      <c r="H941" s="964"/>
      <c r="I941" s="964"/>
      <c r="K941" s="964"/>
      <c r="L941" s="9"/>
      <c r="M941" s="9"/>
      <c r="Q941" s="965"/>
      <c r="R941" s="967"/>
    </row>
    <row r="942">
      <c r="A942" s="964"/>
      <c r="C942" s="965"/>
      <c r="F942" s="964"/>
      <c r="G942" s="966"/>
      <c r="H942" s="964"/>
      <c r="I942" s="964"/>
      <c r="K942" s="964"/>
      <c r="L942" s="9"/>
      <c r="M942" s="9"/>
      <c r="Q942" s="965"/>
      <c r="R942" s="967"/>
    </row>
    <row r="943">
      <c r="A943" s="964"/>
      <c r="C943" s="965"/>
      <c r="F943" s="964"/>
      <c r="G943" s="966"/>
      <c r="H943" s="964"/>
      <c r="I943" s="964"/>
      <c r="K943" s="964"/>
      <c r="L943" s="9"/>
      <c r="M943" s="9"/>
      <c r="Q943" s="965"/>
      <c r="R943" s="967"/>
    </row>
    <row r="944">
      <c r="A944" s="964"/>
      <c r="C944" s="965"/>
      <c r="F944" s="964"/>
      <c r="G944" s="966"/>
      <c r="H944" s="964"/>
      <c r="I944" s="964"/>
      <c r="K944" s="964"/>
      <c r="L944" s="9"/>
      <c r="M944" s="9"/>
      <c r="Q944" s="965"/>
      <c r="R944" s="967"/>
    </row>
    <row r="945">
      <c r="A945" s="964"/>
      <c r="C945" s="965"/>
      <c r="F945" s="964"/>
      <c r="G945" s="966"/>
      <c r="H945" s="964"/>
      <c r="I945" s="964"/>
      <c r="K945" s="964"/>
      <c r="L945" s="9"/>
      <c r="M945" s="9"/>
      <c r="Q945" s="965"/>
      <c r="R945" s="967"/>
    </row>
    <row r="946">
      <c r="A946" s="964"/>
      <c r="C946" s="965"/>
      <c r="F946" s="964"/>
      <c r="G946" s="966"/>
      <c r="H946" s="964"/>
      <c r="I946" s="964"/>
      <c r="K946" s="964"/>
      <c r="L946" s="9"/>
      <c r="M946" s="9"/>
      <c r="Q946" s="965"/>
      <c r="R946" s="967"/>
    </row>
    <row r="947">
      <c r="A947" s="964"/>
      <c r="C947" s="965"/>
      <c r="F947" s="964"/>
      <c r="G947" s="966"/>
      <c r="H947" s="964"/>
      <c r="I947" s="964"/>
      <c r="K947" s="964"/>
      <c r="L947" s="9"/>
      <c r="M947" s="9"/>
      <c r="Q947" s="965"/>
      <c r="R947" s="967"/>
    </row>
    <row r="948">
      <c r="A948" s="964"/>
      <c r="C948" s="965"/>
      <c r="F948" s="964"/>
      <c r="G948" s="966"/>
      <c r="H948" s="964"/>
      <c r="I948" s="964"/>
      <c r="K948" s="964"/>
      <c r="L948" s="9"/>
      <c r="M948" s="9"/>
      <c r="Q948" s="965"/>
      <c r="R948" s="967"/>
    </row>
    <row r="949">
      <c r="A949" s="964"/>
      <c r="C949" s="965"/>
      <c r="F949" s="964"/>
      <c r="G949" s="966"/>
      <c r="H949" s="964"/>
      <c r="I949" s="964"/>
      <c r="K949" s="964"/>
      <c r="L949" s="9"/>
      <c r="M949" s="9"/>
      <c r="Q949" s="965"/>
      <c r="R949" s="967"/>
    </row>
    <row r="950">
      <c r="A950" s="964"/>
      <c r="C950" s="965"/>
      <c r="F950" s="964"/>
      <c r="G950" s="966"/>
      <c r="H950" s="964"/>
      <c r="I950" s="964"/>
      <c r="K950" s="964"/>
      <c r="L950" s="9"/>
      <c r="M950" s="9"/>
      <c r="Q950" s="965"/>
      <c r="R950" s="967"/>
    </row>
    <row r="951">
      <c r="A951" s="964"/>
      <c r="C951" s="965"/>
      <c r="F951" s="964"/>
      <c r="G951" s="966"/>
      <c r="H951" s="964"/>
      <c r="I951" s="964"/>
      <c r="K951" s="964"/>
      <c r="L951" s="9"/>
      <c r="M951" s="9"/>
      <c r="Q951" s="965"/>
      <c r="R951" s="967"/>
    </row>
    <row r="952">
      <c r="A952" s="964"/>
      <c r="C952" s="965"/>
      <c r="F952" s="964"/>
      <c r="G952" s="966"/>
      <c r="H952" s="964"/>
      <c r="I952" s="964"/>
      <c r="K952" s="964"/>
      <c r="L952" s="9"/>
      <c r="M952" s="9"/>
      <c r="Q952" s="965"/>
      <c r="R952" s="967"/>
    </row>
    <row r="953">
      <c r="A953" s="964"/>
      <c r="C953" s="965"/>
      <c r="F953" s="964"/>
      <c r="G953" s="966"/>
      <c r="H953" s="964"/>
      <c r="I953" s="964"/>
      <c r="K953" s="964"/>
      <c r="L953" s="9"/>
      <c r="M953" s="9"/>
      <c r="Q953" s="965"/>
      <c r="R953" s="967"/>
    </row>
    <row r="954">
      <c r="A954" s="964"/>
      <c r="C954" s="965"/>
      <c r="F954" s="964"/>
      <c r="G954" s="966"/>
      <c r="H954" s="964"/>
      <c r="I954" s="964"/>
      <c r="K954" s="964"/>
      <c r="L954" s="9"/>
      <c r="M954" s="9"/>
      <c r="Q954" s="965"/>
      <c r="R954" s="967"/>
    </row>
    <row r="955">
      <c r="A955" s="964"/>
      <c r="C955" s="965"/>
      <c r="F955" s="964"/>
      <c r="G955" s="966"/>
      <c r="H955" s="964"/>
      <c r="I955" s="964"/>
      <c r="K955" s="964"/>
      <c r="L955" s="9"/>
      <c r="M955" s="9"/>
      <c r="Q955" s="965"/>
      <c r="R955" s="967"/>
    </row>
    <row r="956">
      <c r="A956" s="964"/>
      <c r="C956" s="965"/>
      <c r="F956" s="964"/>
      <c r="G956" s="966"/>
      <c r="H956" s="964"/>
      <c r="I956" s="964"/>
      <c r="K956" s="964"/>
      <c r="L956" s="9"/>
      <c r="M956" s="9"/>
      <c r="Q956" s="965"/>
      <c r="R956" s="967"/>
    </row>
    <row r="957">
      <c r="A957" s="964"/>
      <c r="C957" s="965"/>
      <c r="F957" s="964"/>
      <c r="G957" s="966"/>
      <c r="H957" s="964"/>
      <c r="I957" s="964"/>
      <c r="K957" s="964"/>
      <c r="L957" s="9"/>
      <c r="M957" s="9"/>
      <c r="Q957" s="965"/>
      <c r="R957" s="967"/>
    </row>
    <row r="958">
      <c r="A958" s="964"/>
      <c r="C958" s="965"/>
      <c r="F958" s="964"/>
      <c r="G958" s="966"/>
      <c r="H958" s="964"/>
      <c r="I958" s="964"/>
      <c r="K958" s="964"/>
      <c r="L958" s="9"/>
      <c r="M958" s="9"/>
      <c r="Q958" s="965"/>
      <c r="R958" s="967"/>
    </row>
    <row r="959">
      <c r="A959" s="964"/>
      <c r="C959" s="965"/>
      <c r="F959" s="964"/>
      <c r="G959" s="966"/>
      <c r="H959" s="964"/>
      <c r="I959" s="964"/>
      <c r="K959" s="964"/>
      <c r="L959" s="9"/>
      <c r="M959" s="9"/>
      <c r="Q959" s="965"/>
      <c r="R959" s="967"/>
    </row>
    <row r="960">
      <c r="A960" s="964"/>
      <c r="C960" s="965"/>
      <c r="F960" s="964"/>
      <c r="G960" s="966"/>
      <c r="H960" s="964"/>
      <c r="I960" s="964"/>
      <c r="K960" s="964"/>
      <c r="L960" s="9"/>
      <c r="M960" s="9"/>
      <c r="Q960" s="965"/>
      <c r="R960" s="967"/>
    </row>
    <row r="961">
      <c r="A961" s="964"/>
      <c r="C961" s="965"/>
      <c r="F961" s="964"/>
      <c r="G961" s="966"/>
      <c r="H961" s="964"/>
      <c r="I961" s="964"/>
      <c r="K961" s="964"/>
      <c r="L961" s="9"/>
      <c r="M961" s="9"/>
      <c r="Q961" s="965"/>
      <c r="R961" s="967"/>
    </row>
    <row r="962">
      <c r="A962" s="964"/>
      <c r="C962" s="965"/>
      <c r="F962" s="964"/>
      <c r="G962" s="966"/>
      <c r="H962" s="964"/>
      <c r="I962" s="964"/>
      <c r="K962" s="964"/>
      <c r="L962" s="9"/>
      <c r="M962" s="9"/>
      <c r="Q962" s="965"/>
      <c r="R962" s="967"/>
    </row>
    <row r="963">
      <c r="A963" s="964"/>
      <c r="C963" s="965"/>
      <c r="F963" s="964"/>
      <c r="G963" s="966"/>
      <c r="H963" s="964"/>
      <c r="I963" s="964"/>
      <c r="K963" s="964"/>
      <c r="L963" s="9"/>
      <c r="M963" s="9"/>
      <c r="Q963" s="965"/>
      <c r="R963" s="967"/>
    </row>
    <row r="964">
      <c r="A964" s="964"/>
      <c r="C964" s="965"/>
      <c r="F964" s="964"/>
      <c r="G964" s="966"/>
      <c r="H964" s="964"/>
      <c r="I964" s="964"/>
      <c r="K964" s="964"/>
      <c r="L964" s="9"/>
      <c r="M964" s="9"/>
      <c r="Q964" s="965"/>
      <c r="R964" s="967"/>
    </row>
    <row r="965">
      <c r="A965" s="964"/>
      <c r="C965" s="965"/>
      <c r="F965" s="964"/>
      <c r="G965" s="966"/>
      <c r="H965" s="964"/>
      <c r="I965" s="964"/>
      <c r="K965" s="964"/>
      <c r="L965" s="9"/>
      <c r="M965" s="9"/>
      <c r="Q965" s="965"/>
      <c r="R965" s="967"/>
    </row>
    <row r="966">
      <c r="A966" s="964"/>
      <c r="C966" s="965"/>
      <c r="F966" s="964"/>
      <c r="G966" s="966"/>
      <c r="H966" s="964"/>
      <c r="I966" s="964"/>
      <c r="K966" s="964"/>
      <c r="L966" s="9"/>
      <c r="M966" s="9"/>
      <c r="Q966" s="965"/>
      <c r="R966" s="967"/>
    </row>
    <row r="967">
      <c r="A967" s="964"/>
      <c r="C967" s="965"/>
      <c r="F967" s="964"/>
      <c r="G967" s="966"/>
      <c r="H967" s="964"/>
      <c r="I967" s="964"/>
      <c r="K967" s="964"/>
      <c r="L967" s="9"/>
      <c r="M967" s="9"/>
      <c r="Q967" s="965"/>
      <c r="R967" s="967"/>
    </row>
    <row r="968">
      <c r="A968" s="964"/>
      <c r="C968" s="965"/>
      <c r="F968" s="964"/>
      <c r="G968" s="966"/>
      <c r="H968" s="964"/>
      <c r="I968" s="964"/>
      <c r="K968" s="964"/>
      <c r="L968" s="9"/>
      <c r="M968" s="9"/>
      <c r="Q968" s="965"/>
      <c r="R968" s="967"/>
    </row>
    <row r="969">
      <c r="A969" s="964"/>
      <c r="C969" s="965"/>
      <c r="F969" s="964"/>
      <c r="G969" s="966"/>
      <c r="H969" s="964"/>
      <c r="I969" s="964"/>
      <c r="K969" s="964"/>
      <c r="L969" s="9"/>
      <c r="M969" s="9"/>
      <c r="Q969" s="965"/>
      <c r="R969" s="967"/>
    </row>
    <row r="970">
      <c r="A970" s="964"/>
      <c r="C970" s="965"/>
      <c r="F970" s="964"/>
      <c r="G970" s="966"/>
      <c r="H970" s="964"/>
      <c r="I970" s="964"/>
      <c r="K970" s="964"/>
      <c r="L970" s="9"/>
      <c r="M970" s="9"/>
      <c r="Q970" s="965"/>
      <c r="R970" s="967"/>
    </row>
    <row r="971">
      <c r="A971" s="964"/>
      <c r="C971" s="965"/>
      <c r="F971" s="964"/>
      <c r="G971" s="966"/>
      <c r="H971" s="964"/>
      <c r="I971" s="964"/>
      <c r="K971" s="964"/>
      <c r="L971" s="9"/>
      <c r="M971" s="9"/>
      <c r="Q971" s="965"/>
      <c r="R971" s="967"/>
    </row>
    <row r="972">
      <c r="A972" s="964"/>
      <c r="C972" s="965"/>
      <c r="F972" s="964"/>
      <c r="G972" s="966"/>
      <c r="H972" s="964"/>
      <c r="I972" s="964"/>
      <c r="K972" s="964"/>
      <c r="L972" s="9"/>
      <c r="M972" s="9"/>
      <c r="Q972" s="965"/>
      <c r="R972" s="967"/>
    </row>
    <row r="973">
      <c r="A973" s="964"/>
      <c r="C973" s="965"/>
      <c r="F973" s="964"/>
      <c r="G973" s="966"/>
      <c r="H973" s="964"/>
      <c r="I973" s="964"/>
      <c r="K973" s="964"/>
      <c r="L973" s="9"/>
      <c r="M973" s="9"/>
      <c r="Q973" s="965"/>
      <c r="R973" s="967"/>
    </row>
    <row r="974">
      <c r="A974" s="964"/>
      <c r="C974" s="965"/>
      <c r="F974" s="964"/>
      <c r="G974" s="966"/>
      <c r="H974" s="964"/>
      <c r="I974" s="964"/>
      <c r="K974" s="964"/>
      <c r="L974" s="9"/>
      <c r="M974" s="9"/>
      <c r="Q974" s="965"/>
      <c r="R974" s="967"/>
    </row>
    <row r="975">
      <c r="A975" s="964"/>
      <c r="C975" s="965"/>
      <c r="F975" s="964"/>
      <c r="G975" s="966"/>
      <c r="H975" s="964"/>
      <c r="I975" s="964"/>
      <c r="K975" s="964"/>
      <c r="L975" s="9"/>
      <c r="M975" s="9"/>
      <c r="Q975" s="965"/>
      <c r="R975" s="967"/>
    </row>
    <row r="976">
      <c r="A976" s="964"/>
      <c r="C976" s="965"/>
      <c r="F976" s="964"/>
      <c r="G976" s="966"/>
      <c r="H976" s="964"/>
      <c r="I976" s="964"/>
      <c r="K976" s="964"/>
      <c r="L976" s="9"/>
      <c r="M976" s="9"/>
      <c r="Q976" s="965"/>
      <c r="R976" s="967"/>
    </row>
    <row r="977">
      <c r="A977" s="964"/>
      <c r="C977" s="965"/>
      <c r="F977" s="964"/>
      <c r="G977" s="966"/>
      <c r="H977" s="964"/>
      <c r="I977" s="964"/>
      <c r="K977" s="964"/>
      <c r="L977" s="9"/>
      <c r="M977" s="9"/>
      <c r="Q977" s="965"/>
      <c r="R977" s="967"/>
    </row>
    <row r="978">
      <c r="A978" s="964"/>
      <c r="C978" s="965"/>
      <c r="F978" s="964"/>
      <c r="G978" s="966"/>
      <c r="H978" s="964"/>
      <c r="I978" s="964"/>
      <c r="K978" s="964"/>
      <c r="L978" s="9"/>
      <c r="M978" s="9"/>
      <c r="Q978" s="965"/>
      <c r="R978" s="967"/>
    </row>
    <row r="979">
      <c r="A979" s="964"/>
      <c r="C979" s="965"/>
      <c r="F979" s="964"/>
      <c r="G979" s="966"/>
      <c r="H979" s="964"/>
      <c r="I979" s="964"/>
      <c r="K979" s="964"/>
      <c r="L979" s="9"/>
      <c r="M979" s="9"/>
      <c r="Q979" s="965"/>
      <c r="R979" s="967"/>
    </row>
    <row r="980">
      <c r="A980" s="964"/>
      <c r="C980" s="965"/>
      <c r="F980" s="964"/>
      <c r="G980" s="966"/>
      <c r="H980" s="964"/>
      <c r="I980" s="964"/>
      <c r="K980" s="964"/>
      <c r="L980" s="9"/>
      <c r="M980" s="9"/>
      <c r="Q980" s="965"/>
      <c r="R980" s="967"/>
    </row>
    <row r="981">
      <c r="A981" s="964"/>
      <c r="C981" s="965"/>
      <c r="F981" s="964"/>
      <c r="G981" s="966"/>
      <c r="H981" s="964"/>
      <c r="I981" s="964"/>
      <c r="K981" s="964"/>
      <c r="L981" s="9"/>
      <c r="M981" s="9"/>
      <c r="Q981" s="965"/>
      <c r="R981" s="967"/>
    </row>
    <row r="982">
      <c r="A982" s="964"/>
      <c r="C982" s="965"/>
      <c r="F982" s="964"/>
      <c r="G982" s="966"/>
      <c r="H982" s="964"/>
      <c r="I982" s="964"/>
      <c r="K982" s="964"/>
      <c r="L982" s="9"/>
      <c r="M982" s="9"/>
      <c r="Q982" s="965"/>
      <c r="R982" s="967"/>
    </row>
    <row r="983">
      <c r="A983" s="964"/>
      <c r="C983" s="965"/>
      <c r="F983" s="964"/>
      <c r="G983" s="966"/>
      <c r="H983" s="964"/>
      <c r="I983" s="964"/>
      <c r="K983" s="964"/>
      <c r="L983" s="9"/>
      <c r="M983" s="9"/>
      <c r="Q983" s="965"/>
      <c r="R983" s="967"/>
    </row>
    <row r="984">
      <c r="A984" s="964"/>
      <c r="C984" s="965"/>
      <c r="F984" s="964"/>
      <c r="G984" s="966"/>
      <c r="H984" s="964"/>
      <c r="I984" s="964"/>
      <c r="K984" s="964"/>
      <c r="L984" s="9"/>
      <c r="M984" s="9"/>
      <c r="Q984" s="965"/>
      <c r="R984" s="967"/>
    </row>
    <row r="985">
      <c r="A985" s="964"/>
      <c r="C985" s="965"/>
      <c r="F985" s="964"/>
      <c r="G985" s="966"/>
      <c r="H985" s="964"/>
      <c r="I985" s="964"/>
      <c r="K985" s="964"/>
      <c r="L985" s="9"/>
      <c r="M985" s="9"/>
      <c r="Q985" s="965"/>
      <c r="R985" s="967"/>
    </row>
    <row r="986">
      <c r="A986" s="964"/>
      <c r="C986" s="965"/>
      <c r="F986" s="964"/>
      <c r="G986" s="966"/>
      <c r="H986" s="964"/>
      <c r="I986" s="964"/>
      <c r="K986" s="964"/>
      <c r="L986" s="9"/>
      <c r="M986" s="9"/>
      <c r="Q986" s="965"/>
      <c r="R986" s="967"/>
    </row>
    <row r="987">
      <c r="A987" s="964"/>
      <c r="C987" s="965"/>
      <c r="F987" s="964"/>
      <c r="G987" s="966"/>
      <c r="H987" s="964"/>
      <c r="I987" s="964"/>
      <c r="K987" s="964"/>
      <c r="L987" s="9"/>
      <c r="M987" s="9"/>
      <c r="Q987" s="965"/>
      <c r="R987" s="967"/>
    </row>
    <row r="988">
      <c r="A988" s="964"/>
      <c r="C988" s="965"/>
      <c r="F988" s="964"/>
      <c r="G988" s="966"/>
      <c r="H988" s="964"/>
      <c r="I988" s="964"/>
      <c r="K988" s="964"/>
      <c r="L988" s="9"/>
      <c r="M988" s="9"/>
      <c r="Q988" s="965"/>
      <c r="R988" s="967"/>
    </row>
    <row r="989">
      <c r="A989" s="964"/>
      <c r="C989" s="965"/>
      <c r="F989" s="964"/>
      <c r="G989" s="966"/>
      <c r="H989" s="964"/>
      <c r="I989" s="964"/>
      <c r="K989" s="964"/>
      <c r="L989" s="9"/>
      <c r="M989" s="9"/>
      <c r="Q989" s="965"/>
      <c r="R989" s="967"/>
    </row>
    <row r="990">
      <c r="A990" s="964"/>
      <c r="C990" s="965"/>
      <c r="F990" s="964"/>
      <c r="G990" s="966"/>
      <c r="H990" s="964"/>
      <c r="I990" s="964"/>
      <c r="K990" s="964"/>
      <c r="L990" s="9"/>
      <c r="M990" s="9"/>
      <c r="Q990" s="965"/>
      <c r="R990" s="967"/>
    </row>
    <row r="991">
      <c r="A991" s="964"/>
      <c r="C991" s="965"/>
      <c r="F991" s="964"/>
      <c r="G991" s="966"/>
      <c r="H991" s="964"/>
      <c r="I991" s="964"/>
      <c r="K991" s="964"/>
      <c r="L991" s="9"/>
      <c r="M991" s="9"/>
      <c r="Q991" s="965"/>
      <c r="R991" s="967"/>
    </row>
    <row r="992">
      <c r="A992" s="964"/>
      <c r="C992" s="965"/>
      <c r="F992" s="964"/>
      <c r="G992" s="966"/>
      <c r="H992" s="964"/>
      <c r="I992" s="964"/>
      <c r="K992" s="964"/>
      <c r="L992" s="9"/>
      <c r="M992" s="9"/>
      <c r="Q992" s="965"/>
      <c r="R992" s="967"/>
    </row>
    <row r="993">
      <c r="A993" s="964"/>
      <c r="C993" s="965"/>
      <c r="F993" s="964"/>
      <c r="G993" s="966"/>
      <c r="H993" s="964"/>
      <c r="I993" s="964"/>
      <c r="K993" s="964"/>
      <c r="L993" s="9"/>
      <c r="M993" s="9"/>
      <c r="Q993" s="965"/>
      <c r="R993" s="967"/>
    </row>
    <row r="994">
      <c r="A994" s="964"/>
      <c r="C994" s="965"/>
      <c r="F994" s="964"/>
      <c r="G994" s="966"/>
      <c r="H994" s="964"/>
      <c r="I994" s="964"/>
      <c r="K994" s="964"/>
      <c r="L994" s="9"/>
      <c r="M994" s="9"/>
      <c r="Q994" s="965"/>
      <c r="R994" s="967"/>
    </row>
    <row r="995">
      <c r="A995" s="964"/>
      <c r="C995" s="965"/>
      <c r="F995" s="964"/>
      <c r="G995" s="966"/>
      <c r="H995" s="964"/>
      <c r="I995" s="964"/>
      <c r="K995" s="964"/>
      <c r="L995" s="9"/>
      <c r="M995" s="9"/>
      <c r="Q995" s="965"/>
      <c r="R995" s="967"/>
    </row>
    <row r="996">
      <c r="A996" s="964"/>
      <c r="C996" s="965"/>
      <c r="F996" s="964"/>
      <c r="G996" s="966"/>
      <c r="H996" s="964"/>
      <c r="I996" s="964"/>
      <c r="K996" s="964"/>
      <c r="L996" s="9"/>
      <c r="M996" s="9"/>
      <c r="Q996" s="965"/>
      <c r="R996" s="967"/>
    </row>
  </sheetData>
  <autoFilter ref="$A$1:$S$996">
    <sortState ref="A1:S996">
      <sortCondition ref="B1:B996"/>
      <sortCondition ref="G1:G996"/>
      <sortCondition ref="C1:C996"/>
    </sortState>
  </autoFilter>
  <mergeCells count="4">
    <mergeCell ref="O86:P86"/>
    <mergeCell ref="J96:K96"/>
    <mergeCell ref="J103:K103"/>
    <mergeCell ref="J119:K119"/>
  </mergeCells>
  <conditionalFormatting sqref="J57">
    <cfRule type="colorScale" priority="1">
      <colorScale>
        <cfvo type="min"/>
        <cfvo type="max"/>
        <color rgb="FF57BB8A"/>
        <color rgb="FFFFFFFF"/>
      </colorScale>
    </cfRule>
  </conditionalFormatting>
  <conditionalFormatting sqref="Q82">
    <cfRule type="notContainsBlanks" dxfId="0" priority="2">
      <formula>LEN(TRIM(Q82))&gt;0</formula>
    </cfRule>
  </conditionalFormatting>
  <conditionalFormatting sqref="G87">
    <cfRule type="notContainsBlanks" dxfId="0" priority="3">
      <formula>LEN(TRIM(G87))&gt;0</formula>
    </cfRule>
  </conditionalFormatting>
  <dataValidations>
    <dataValidation type="list" allowBlank="1" sqref="H1 H3:H10 H14:H16 H18 H20:H23 H25:H29 H31:H34 H36:H40 H42:H45 H47:H50 H53 H55 H57 H59:H61 H63:H66 H68 H70 H72:H73 H75:H78 H80:H86 H88 H90 H92:H94 H96:H101 H103:H104 H106 H108:H109 H111:H114 H116 H118:H996">
      <formula1>"Custeio,Investimento,Misto"</formula1>
    </dataValidation>
    <dataValidation type="list" allowBlank="1" sqref="I1:I996">
      <formula1>"Ministério da Justiça e Segurança Publica,Min da Saúde,MEC,FNDE,MAPA,M.Desenvolvimento Regional,M.Infraestrutura,M.turismo,Ministério da Mulher Família e Dir. Humanos,M Ciência Tec. Inovações e Comunicações"</formula1>
    </dataValidation>
    <dataValidation type="list" allowBlank="1" sqref="F1 F3:F10 F14:F16 F18 F20:F23 F25:F29 F31:F34 F36:F40 F42:F45 F47:F50 F53 F55 F57 F59:F61 F63:F66 F68 F70 F72:F73 F75:F78 F80:F86 F88 F90 F92:F94 F96:F101 F103:F104 F106 F108:F109 F111:F114 F116 F118:F996">
      <formula1>"Transferência a Município,Transferência Municipal Fundo a Fundo,Transferência Estadual  Fdo a Fdo,Transferência Direta"</formula1>
    </dataValidation>
    <dataValidation type="list" allowBlank="1" sqref="L1 L3:L10 L14:L16 L18 L20:L23 L25:L29 L31:L34 L36:L40 L42:L45 L47:L50 L53 L55 L57 L59:L61 L63:L66 L68 L70 L72:L73 L75:L78 L80:L86 L88 L90 L92:L94 L96:L101 L103:L104 L106 L108:L109 L111:L114 L116 L118:L996">
      <formula1>"Emenda Individual,Extraorçamentário,Emenda de Bancada"</formula1>
    </dataValidation>
    <dataValidation type="list" allowBlank="1" sqref="M1 M3:M10 M14:M16 M18 M20:M23 M25:M29 M31:M34 M36:M40 M42:M45 M47:M50 M53 M55 M57 M59:M61 M63:M66 M68 M70 M72:M73 M75:M78 M80:M86 M88 M90 M92:M94 M96:M101 M103:M104 M106 M108:M109 M111:M114 M116 M118:M996">
      <formula1>"não cadastrada,Cadastrada,Analise,Aprovada,Empenhada,Paga,Clausula Suspensiva,Licitação,Execução do Objeto,Prestação de Contas"</formula1>
    </dataValidation>
    <dataValidation type="list" allowBlank="1" sqref="A3:A10 A14:A16 A18 A20:A23 A25:A29 A31:A34 A36:A40 A42:A45 A47:A50 A53 A55 A57 A59:A61 A63:A66 A68 A70 A72:A73 A75:A78 A80:A86 A88 A90 A92:A94 A96:A101 A103:A104 A106 A108:A109 A111:A114 A116 A118:A208">
      <formula1>"2019,2020,2021,2022,2023"</formula1>
    </dataValidation>
  </dataValidations>
  <hyperlinks>
    <hyperlink r:id="rId1" location="page=6" ref="E2"/>
    <hyperlink r:id="rId2" ref="S2"/>
    <hyperlink r:id="rId3" ref="S5"/>
    <hyperlink r:id="rId4" ref="S7"/>
    <hyperlink r:id="rId5" ref="S9"/>
    <hyperlink r:id="rId6" location="page=6" ref="E11"/>
    <hyperlink r:id="rId7" ref="S11"/>
    <hyperlink r:id="rId8" location="page=6" ref="E12"/>
    <hyperlink r:id="rId9" ref="S12"/>
    <hyperlink r:id="rId10" location="page=6" ref="E13"/>
    <hyperlink r:id="rId11" ref="S13"/>
    <hyperlink r:id="rId12" ref="S14"/>
    <hyperlink r:id="rId13" location="page=6" ref="E17"/>
    <hyperlink r:id="rId14" ref="S17"/>
    <hyperlink r:id="rId15" location="page=6" ref="E19"/>
    <hyperlink r:id="rId16" ref="S19"/>
    <hyperlink r:id="rId17" ref="S20"/>
    <hyperlink r:id="rId18" location="page=6" ref="E24"/>
    <hyperlink r:id="rId19" ref="S24"/>
    <hyperlink r:id="rId20" ref="S25"/>
    <hyperlink r:id="rId21" ref="S27"/>
    <hyperlink r:id="rId22" location="page=6" ref="E30"/>
    <hyperlink r:id="rId23" ref="S30"/>
    <hyperlink r:id="rId24" ref="S31"/>
    <hyperlink r:id="rId25" ref="S33"/>
    <hyperlink r:id="rId26" ref="S34"/>
    <hyperlink r:id="rId27" location="page=6" ref="E35"/>
    <hyperlink r:id="rId28" ref="S35"/>
    <hyperlink r:id="rId29" ref="S36"/>
    <hyperlink r:id="rId30" ref="S39"/>
    <hyperlink r:id="rId31" location="page=6" ref="E41"/>
    <hyperlink r:id="rId32" ref="S41"/>
    <hyperlink r:id="rId33" ref="S42"/>
    <hyperlink r:id="rId34" ref="S44"/>
    <hyperlink r:id="rId35" location="page=6" ref="E46"/>
    <hyperlink r:id="rId36" ref="S46"/>
    <hyperlink r:id="rId37" ref="S49"/>
    <hyperlink r:id="rId38" location="page=6" ref="E51"/>
    <hyperlink r:id="rId39" ref="S51"/>
    <hyperlink r:id="rId40" location="page=6" ref="E52"/>
    <hyperlink r:id="rId41" ref="S52"/>
    <hyperlink r:id="rId42" location="page=6" ref="E54"/>
    <hyperlink r:id="rId43" ref="S54"/>
    <hyperlink r:id="rId44" location="page=6" ref="E56"/>
    <hyperlink r:id="rId45" ref="S56"/>
    <hyperlink r:id="rId46" ref="S57"/>
    <hyperlink r:id="rId47" location="page=6" ref="E58"/>
    <hyperlink r:id="rId48" ref="S58"/>
    <hyperlink r:id="rId49" ref="S59"/>
    <hyperlink r:id="rId50" location="page=6" ref="E62"/>
    <hyperlink r:id="rId51" ref="S62"/>
    <hyperlink r:id="rId52" ref="S64"/>
    <hyperlink r:id="rId53" location="page=6" ref="E67"/>
    <hyperlink r:id="rId54" ref="S67"/>
    <hyperlink r:id="rId55" location="page=6" ref="E69"/>
    <hyperlink r:id="rId56" ref="S69"/>
    <hyperlink r:id="rId57" location="page=6" ref="E71"/>
    <hyperlink r:id="rId58" ref="S71"/>
    <hyperlink r:id="rId59" location="page=6" ref="E74"/>
    <hyperlink r:id="rId60" ref="S74"/>
    <hyperlink r:id="rId61" location="page=4" ref="E79"/>
    <hyperlink r:id="rId62" location="page=6" ref="E87"/>
    <hyperlink r:id="rId63" ref="S87"/>
    <hyperlink r:id="rId64" location="page=6" ref="E89"/>
    <hyperlink r:id="rId65" ref="S89"/>
    <hyperlink r:id="rId66" location="page=6" ref="E91"/>
    <hyperlink r:id="rId67" ref="S91"/>
    <hyperlink r:id="rId68" location="page=6" ref="E95"/>
    <hyperlink r:id="rId69" ref="S95"/>
    <hyperlink r:id="rId70" ref="S97"/>
    <hyperlink r:id="rId71" ref="R100"/>
    <hyperlink r:id="rId72" location="page=6" ref="E102"/>
    <hyperlink r:id="rId73" ref="S102"/>
    <hyperlink r:id="rId74" location="page=6" ref="E105"/>
    <hyperlink r:id="rId75" location="page=6" ref="E107"/>
    <hyperlink r:id="rId76" ref="S107"/>
    <hyperlink r:id="rId77" ref="S108"/>
    <hyperlink r:id="rId78" ref="S109"/>
    <hyperlink r:id="rId79" location="page=6" ref="E110"/>
    <hyperlink r:id="rId80" ref="S110"/>
    <hyperlink r:id="rId81" ref="S112"/>
    <hyperlink r:id="rId82" ref="S114"/>
    <hyperlink r:id="rId83" location="page=6" ref="E115"/>
    <hyperlink r:id="rId84" ref="S115"/>
    <hyperlink r:id="rId85" location="page=6" ref="E117"/>
    <hyperlink r:id="rId86" ref="S117"/>
  </hyperlinks>
  <drawing r:id="rId87"/>
</worksheet>
</file>