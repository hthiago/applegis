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comments1.xml" ContentType="application/vnd.openxmlformats-officedocument.spreadsheetml.comments+xml"/>
  <Override PartName="/xl/threadedcomments/threadedcomment.xml" ContentType="application/vnd.ms-excel.threaded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ables/table1.xml" ContentType="application/vnd.openxmlformats-officedocument.spreadsheetml.table+xml"/>
  <Override PartName="/xl/worksheets/sheet6.xml" ContentType="application/vnd.openxmlformats-officedocument.spreadsheetml.worksheet+xml"/>
  <Override PartName="/xl/tables/table2.xml" ContentType="application/vnd.openxmlformats-officedocument.spreadsheetml.table+xml"/>
  <Override PartName="/xl/worksheets/sheet7.xml" ContentType="application/vnd.openxmlformats-officedocument.spreadsheetml.worksheet+xml"/>
  <Override PartName="/xl/tables/table3.xml" ContentType="application/vnd.openxmlformats-officedocument.spreadsheetml.table+xml"/>
  <Override PartName="/xl/worksheets/sheet8.xml" ContentType="application/vnd.openxmlformats-officedocument.spreadsheetml.worksheet+xml"/>
  <Override PartName="/xl/tables/table4.xml" ContentType="application/vnd.openxmlformats-officedocument.spreadsheetml.table+xml"/>
  <Override PartName="/xl/worksheets/sheet9.xml" ContentType="application/vnd.openxmlformats-officedocument.spreadsheetml.worksheet+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3101c03dca1e40b9" /></Relationships>
</file>

<file path=xl/workbook.xml><?xml version="1.0" encoding="utf-8"?>
<x:workbook xmlns:x="http://schemas.openxmlformats.org/spreadsheetml/2006/main">
  <x:sheets>
    <x:sheet xmlns:r="http://schemas.openxmlformats.org/officeDocument/2006/relationships" name="Mapa de emendas" sheetId="1" r:id="R9af2d12c2ab44968"/>
    <x:sheet xmlns:r="http://schemas.openxmlformats.org/officeDocument/2006/relationships" name="Regiões" sheetId="5" r:id="R1d473beead1b4844"/>
    <x:sheet xmlns:r="http://schemas.openxmlformats.org/officeDocument/2006/relationships" name="backup" sheetId="16" r:id="Rb3f77cce95c74b4c"/>
    <x:sheet xmlns:r="http://schemas.openxmlformats.org/officeDocument/2006/relationships" name="Resumo conciliação" sheetId="17" r:id="R1d0e2d5023794ca4"/>
    <x:sheet xmlns:r="http://schemas.openxmlformats.org/officeDocument/2006/relationships" name="Conciliação" sheetId="18" r:id="R817b33f4bdc2472e"/>
    <x:sheet xmlns:r="http://schemas.openxmlformats.org/officeDocument/2006/relationships" name="Divergências" sheetId="19" r:id="R8cfba5f1117941b8"/>
    <x:sheet xmlns:r="http://schemas.openxmlformats.org/officeDocument/2006/relationships" name="Por Emenda" sheetId="20" r:id="Rdf0939864f644456"/>
    <x:sheet xmlns:r="http://schemas.openxmlformats.org/officeDocument/2006/relationships" name="PIX - fonte" sheetId="21" r:id="R1d580376dad8459c"/>
    <x:sheet xmlns:r="http://schemas.openxmlformats.org/officeDocument/2006/relationships" name="Fontes e critérios" sheetId="22" r:id="Rfd43556a39874721"/>
  </x:sheets>
</x:workbook>
</file>

<file path=xl/comments1.xml><?xml version="1.0" encoding="utf-8"?>
<x:comments xmlns:x="http://schemas.openxmlformats.org/spreadsheetml/2006/main">
  <x:authors>
    <x:author>tc={C60BD629-5A80-4C90-9C37-B8F505C3A43B}</x:author>
  </x:authors>
  <x:commentList>
    <x:comment ref="A1" authorId="0">
      <x:text>
        <x:r>
          <x:t>[Threaded comment]
 Your version of Excel allows you to read this threaded comment; however, any edits to it will get removed if the file is opened in a newer version of Excel. Learn more: https://go.microsoft.com/fwlink/?linkid=870924
Comment:
	Inserido por Hiago, com a finalidade de aparecer no mapa de emendas.
</x:t>
        </x:r>
      </x:text>
    </x:comment>
  </x:commentList>
</x:comments>
</file>

<file path=xl/sharedStrings.xml><?xml version="1.0" encoding="utf-8"?>
<x:sst xmlns:x="http://schemas.openxmlformats.org/spreadsheetml/2006/main">
  <x:si>
    <x:t xml:space="preserve">Ano</x:t>
  </x:si>
  <x:si>
    <x:t xml:space="preserve">Região</x:t>
  </x:si>
  <x:si>
    <x:t xml:space="preserve">Endereço</x:t>
  </x:si>
  <x:si>
    <x:t xml:space="preserve">Beneficiário</x:t>
  </x:si>
  <x:si>
    <x:t xml:space="preserve">CNPJ Beneficiário</x:t>
  </x:si>
  <x:si>
    <x:t xml:space="preserve">Instituição</x:t>
  </x:si>
  <x:si>
    <x:t xml:space="preserve">Nº da Emenda</x:t>
  </x:si>
  <x:si>
    <x:t xml:space="preserve">Área de alocação</x:t>
  </x:si>
  <x:si>
    <x:t xml:space="preserve">Área</x:t>
  </x:si>
  <x:si>
    <x:t xml:space="preserve">Modalidade</x:t>
  </x:si>
  <x:si>
    <x:t xml:space="preserve">Valores destinados</x:t>
  </x:si>
  <x:si>
    <x:t xml:space="preserve">Observação</x:t>
  </x:si>
  <x:si>
    <x:t xml:space="preserve">Tipo da emenda</x:t>
  </x:si>
  <x:si>
    <x:t xml:space="preserve">Situação</x:t>
  </x:si>
  <x:si>
    <x:t xml:space="preserve">Informações adicionais</x:t>
  </x:si>
  <x:si>
    <x:t xml:space="preserve">Andamento</x:t>
  </x:si>
  <x:si>
    <x:t xml:space="preserve">Gramado</x:t>
  </x:si>
  <x:si>
    <x:t xml:space="preserve">Avenida das Hortênsias, 2029 - Centro, Gramado - RS, CEP 95670-000, Brasil</x:t>
  </x:si>
  <x:si>
    <x:t xml:space="preserve">Prefeitura Municipal</x:t>
  </x:si>
  <x:si>
    <x:t xml:space="preserve">Defesa Civil</x:t>
  </x:si>
  <x:si>
    <x:t xml:space="preserve">Custeio</x:t>
  </x:si>
  <x:si>
    <x:t xml:space="preserve">Emenda Individual</x:t>
  </x:si>
  <x:si>
    <x:t xml:space="preserve">Rio Grande</x:t>
  </x:si>
  <x:si>
    <x:t xml:space="preserve">Marinha, Rio Grande,RS</x:t>
  </x:si>
  <x:si>
    <x:t xml:space="preserve">Fundo Naval</x:t>
  </x:si>
  <x:si>
    <x:t xml:space="preserve">Segurança Pública</x:t>
  </x:si>
  <x:si>
    <x:t xml:space="preserve">Recurso pago</x:t>
  </x:si>
  <x:si>
    <x:t xml:space="preserve">Bagé</x:t>
  </x:si>
  <x:si>
    <x:t xml:space="preserve">9ª Delegacia de Polícia Regional – Bagé, Bagé, RS</x:t>
  </x:si>
  <x:si>
    <x:t xml:space="preserve">Polícia Civil</x:t>
  </x:si>
  <x:si>
    <x:t xml:space="preserve">9ª Delegacia de Polícia Regional – Bagé</x:t>
  </x:si>
  <x:si>
    <x:t xml:space="preserve">Segurança pública</x:t>
  </x:si>
  <x:si>
    <x:t xml:space="preserve">Investimento</x:t>
  </x:si>
  <x:si>
    <x:t xml:space="preserve">Emenda individual</x:t>
  </x:si>
  <x:si>
    <x:t xml:space="preserve">Recurso empenhado. Inexigibilidade de licitação aceita pelo Ministério. Recurso pago em 25/04/2022. De acordo com consulta feita no Transferegov, em 03/04/2024, não é possível afirmar que foi pago. Há dois convênio com o MS vinculados a essa emenda, um deles vigente até 04/2025. Será necessário consultar o órgão para verificar se o valor referente à Polícia Civil de Bagé foi recebido.</x:t>
  </x:si>
  <x:si>
    <x:t xml:space="preserve">Aquisição de Ferramenta Forense para extração, processamento e apoio na análise de dados e informações a partir de plataformas eletrônicas portáteis para estruturar a 9ª Delegacia de Polícia Regional do Interior - Bagé.</x:t>
  </x:si>
  <x:si>
    <x:t xml:space="preserve">Barão de Cotegipe</x:t>
  </x:si>
  <x:si>
    <x:t xml:space="preserve">Prefeitura Municipal, Barão de Cotegipe, RS</x:t>
  </x:si>
  <x:si>
    <x:t xml:space="preserve">Município</x:t>
  </x:si>
  <x:si>
    <x:t xml:space="preserve">Saúde (Custeio - PAB)</x:t>
  </x:si>
  <x:si>
    <x:t xml:space="preserve">Saúde</x:t>
  </x:si>
  <x:si>
    <x:t xml:space="preserve">Emenda Individual </x:t>
  </x:si>
  <x:si>
    <x:t xml:space="preserve">Prefeitura</x:t>
  </x:si>
  <x:si>
    <x:t xml:space="preserve">Emenda individual (processo seletivo 2021)</x:t>
  </x:si>
  <x:si>
    <x:t xml:space="preserve">Câmara para conservação de vacinas, medicamentos e termolábeis de 420L para a UBS do município.</x:t>
  </x:si>
  <x:si>
    <x:t xml:space="preserve">Novo Hamburgo</x:t>
  </x:si>
  <x:si>
    <x:t xml:space="preserve">2ª Delegacia de Polícia de Novo Hamburgo , Novo Hamburgo, RS</x:t>
  </x:si>
  <x:si>
    <x:t xml:space="preserve"> Polícia Civil </x:t>
  </x:si>
  <x:si>
    <x:t xml:space="preserve">2ª Delegacia de Polícia de Novo Hamburgo</x:t>
  </x:si>
  <x:si>
    <x:t xml:space="preserve">Empenhado</x:t>
  </x:si>
  <x:si>
    <x:t xml:space="preserve">Viatura caracterizada tipo SUV.</x:t>
  </x:si>
  <x:si>
    <x:t xml:space="preserve">Porto Alegre</x:t>
  </x:si>
  <x:si>
    <x:t xml:space="preserve">Instituto Geral de Perícias , Porto Alegre, RS</x:t>
  </x:si>
  <x:si>
    <x:t xml:space="preserve">Instituto Geral de Perícias</x:t>
  </x:si>
  <x:si>
    <x:t xml:space="preserve">Pregão eletrônio concluído.</x:t>
  </x:si>
  <x:si>
    <x:t xml:space="preserve">Equipamentos e insumos para o IGP: Vials 20 ml com tampa, lacre e septo (50 caixas com 100 unidades).</x:t>
  </x:si>
  <x:si>
    <x:t xml:space="preserve">Cerro Branco</x:t>
  </x:si>
  <x:si>
    <x:t xml:space="preserve">Avenida Doze de Maio, 520 - Centro, Cerro Branco - RS, CEP 96535-000</x:t>
  </x:si>
  <x:si>
    <x:t xml:space="preserve">Custeio - PAB</x:t>
  </x:si>
  <x:si>
    <x:t xml:space="preserve">Santa Vitória do Palmar</x:t>
  </x:si>
  <x:si>
    <x:t xml:space="preserve">Rua Dom Diogo de Souza, 1761,
Centro - Santa Vitória do Palmar - RS</x:t>
  </x:si>
  <x:si>
    <x:t xml:space="preserve">APAE</x:t>
  </x:si>
  <x:si>
    <x:t xml:space="preserve">APAE de Santa Vitória do Palmar</x:t>
  </x:si>
  <x:si>
    <x:t xml:space="preserve">Saúde (Custeio)</x:t>
  </x:si>
  <x:si>
    <x:t xml:space="preserve">Emenda de Bancada</x:t>
  </x:si>
  <x:si>
    <x:t xml:space="preserve">Aquisição de eletrônicos para fins pedagógicos</x:t>
  </x:si>
  <x:si>
    <x:t xml:space="preserve">Divisão Estadual de Combate à Corrupção e à Lavagem de Dinheiro, Porto Alegre, RS</x:t>
  </x:si>
  <x:si>
    <x:t xml:space="preserve">Divisão Estadual de Combate à Corrupção e à Lavagem de Dinheiro</x:t>
  </x:si>
  <x:si>
    <x:t xml:space="preserve">Recurso empenhado. Inexigibilidade de licitação aceita pelo Ministério. </x:t>
  </x:si>
  <x:si>
    <x:t xml:space="preserve">Aquisição de Ferramenta Forense de extração e processamento de dados provenientes da navegação na Internet para a estruturação da Divisão Estadual de Combate à Corrupção e à Lavagem de Dinheiro.</x:t>
  </x:si>
  <x:si>
    <x:t xml:space="preserve">Equipamentos e insumos para o IGP: 2 colunas LC/MS.</x:t>
  </x:si>
  <x:si>
    <x:t xml:space="preserve">Campos Borges</x:t>
  </x:si>
  <x:si>
    <x:t xml:space="preserve">Prefeitura Municipal, Campos Borges, RS</x:t>
  </x:si>
  <x:si>
    <x:t xml:space="preserve">Equipamentos de fisioterapia (barra, eletroestimulador, bicicleta ergométrica, maca hidráulica) para ampliar a rede de atendimento e a oferta de serviços fisioterápicos na UBS do município.</x:t>
  </x:si>
  <x:si>
    <x:t xml:space="preserve">Espumoso</x:t>
  </x:si>
  <x:si>
    <x:t xml:space="preserve">R. Vasco da Gama, 277 - Jardim, Espumoso - RS, 99400-000</x:t>
  </x:si>
  <x:si>
    <x:t xml:space="preserve">APAE de Espumoso</x:t>
  </x:si>
  <x:si>
    <x:t xml:space="preserve">Recursos pago.</x:t>
  </x:si>
  <x:si>
    <x:t xml:space="preserve">Aquisição e instalação de uma casa de brinquedos para PCD</x:t>
  </x:si>
  <x:si>
    <x:t xml:space="preserve">Aratiba</x:t>
  </x:si>
  <x:si>
    <x:t xml:space="preserve">Aratiba, RS</x:t>
  </x:si>
  <x:si>
    <x:t xml:space="preserve">APAE de Aratiba</x:t>
  </x:si>
  <x:si>
    <x:t xml:space="preserve">Instalação de painéis solares</x:t>
  </x:si>
  <x:si>
    <x:t xml:space="preserve">Santa Maria</x:t>
  </x:si>
  <x:si>
    <x:t xml:space="preserve">2ª Delegacia Penitenciária Regional - Santa Maria, Santa Maria, RS</x:t>
  </x:si>
  <x:si>
    <x:t xml:space="preserve">Secretaria de Administração Penitenciária </x:t>
  </x:si>
  <x:si>
    <x:t xml:space="preserve">2ª Delegacia Penitenciária Regional - Santa Maria</x:t>
  </x:si>
  <x:si>
    <x:t xml:space="preserve">Aparelhamento do Grupo de Intervenção Regional (GIR):1 Escudo Balístico, 10 Espingarda PUMP Calibre 12. </x:t>
  </x:si>
  <x:si>
    <x:t xml:space="preserve">Bossoroca</x:t>
  </x:si>
  <x:si>
    <x:t xml:space="preserve">Rua João Pedro Furtado Fabrício, 068 - Bonfim, Bossoroca - RS, 97850-000</x:t>
  </x:si>
  <x:si>
    <x:t xml:space="preserve">APAE de Bossoroca</x:t>
  </x:si>
  <x:si>
    <x:t xml:space="preserve">Contratação de empresa para realização de aulas de canto e dança</x:t>
  </x:si>
  <x:si>
    <x:t xml:space="preserve">Rede de Saúde Div. Prov.- Hosp. Independência, Porto Alegre, RS</x:t>
  </x:si>
  <x:si>
    <x:t xml:space="preserve">Hospital</x:t>
  </x:si>
  <x:si>
    <x:t xml:space="preserve">Rede de Saúde Div. Prov.- Hosp. Independência</x:t>
  </x:si>
  <x:si>
    <x:t xml:space="preserve">Saúde (Custeio - MAC)</x:t>
  </x:si>
  <x:si>
    <x:t xml:space="preserve">Emenda Individual (processo seletivo)</x:t>
  </x:si>
  <x:si>
    <x:t xml:space="preserve">Recurso para custeio dos serviços de saúde (Média e Alta Complexidade)
</x:t>
  </x:si>
  <x:si>
    <x:t xml:space="preserve">O recurso foi utilizado na aquisição de materiais e medicamentos para o cuidado e tratamento de pacientes com COVID-19, atendidos no Hospital Independência. Itens como EPIS(Itens de Proteção Individual), equipos e insumos hospitalares.</x:t>
  </x:si>
  <x:si>
    <x:t xml:space="preserve">Santo Augusto</x:t>
  </x:si>
  <x:si>
    <x:t xml:space="preserve">R. José Gutkowski, 490 - São João, Santo Augusto - RS, 98590-000</x:t>
  </x:si>
  <x:si>
    <x:t xml:space="preserve">APAE de Santo Augusto</x:t>
  </x:si>
  <x:si>
    <x:t xml:space="preserve">Instalação de uma oficina de embelezamento, com duração de 10 meses</x:t>
  </x:si>
  <x:si>
    <x:t xml:space="preserve">Campestre da Serra</x:t>
  </x:si>
  <x:si>
    <x:t xml:space="preserve">Secretaria Municipal da Saúde (SMS) – Fundo Municipal da Saúde, Rua Bardini, 215 - Centro, Campestre da Serra - RS, CEP 95255-000</x:t>
  </x:si>
  <x:si>
    <x:t xml:space="preserve">Fundo Municipal De Saude De Campestre Da Serra - Rs Campestre Da Serra - Rs</x:t>
  </x:si>
  <x:si>
    <x:t xml:space="preserve">Custeio dos Serviços de Atenção Primária à Saúde</x:t>
  </x:si>
  <x:si>
    <x:t xml:space="preserve">Recurso de custeio para apoio aos serviços de atenção básica da saúde do Município</x:t>
  </x:si>
  <x:si>
    <x:t xml:space="preserve">(na licitação ficou em  27999,00)</x:t>
  </x:si>
  <x:si>
    <x:t xml:space="preserve">Pregão eletrônio concluído. Pagamento no valor de  27.999,00 realizado em 25/10/2021. O valor unitário das mesas ginecológicas da proposta vencedora ficou em  1.866,00, economizando recursos públicos, já que o valor empenhado era de  2,759,23 por mesa (total de  41.388,50 conforme o Plano de Trabalho) </x:t>
  </x:si>
  <x:si>
    <x:t xml:space="preserve">Equipamentos e insumos para o IGP: 15 mesas ginecológicas.</x:t>
  </x:si>
  <x:si>
    <x:t xml:space="preserve">Equipamentos e insumos para o IGP: Vials 1,5 -2 ml com tampa e septo (287 caixas com 100 unidades).</x:t>
  </x:si>
  <x:si>
    <x:t xml:space="preserve">Rosário do Sul</x:t>
  </x:si>
  <x:si>
    <x:t xml:space="preserve">Analvina Severo Coelho, Rosário do Sul - RS, 97590-000</x:t>
  </x:si>
  <x:si>
    <x:t xml:space="preserve">APAE de Rosário do Sul</x:t>
  </x:si>
  <x:si>
    <x:t xml:space="preserve">Energia solar</x:t>
  </x:si>
  <x:si>
    <x:t xml:space="preserve">Bom Retiro do Sul</x:t>
  </x:si>
  <x:si>
    <x:t xml:space="preserve">Rua Pedro Carneiro Pereira, 204, Centro - Bom Retiro do Sul - RS</x:t>
  </x:si>
  <x:si>
    <x:t xml:space="preserve">APAE de Bom Retiro do Sul</x:t>
  </x:si>
  <x:si>
    <x:t xml:space="preserve">Placa fotovoltaica</x:t>
  </x:si>
  <x:si>
    <x:t xml:space="preserve">Campo Novo</x:t>
  </x:si>
  <x:si>
    <x:t xml:space="preserve">Rua Teodomiro Luciano Souza, s/n - Cel. Bicaco, RS, 98580-000</x:t>
  </x:si>
  <x:si>
    <x:t xml:space="preserve">APAE de Campo Novo</x:t>
  </x:si>
  <x:si>
    <x:t xml:space="preserve">Usina solar</x:t>
  </x:si>
  <x:si>
    <x:t xml:space="preserve">Guaporé</x:t>
  </x:si>
  <x:si>
    <x:t xml:space="preserve">Escola Estadual Técnica Agrícola Guaporé, Guaporé, RS</x:t>
  </x:si>
  <x:si>
    <x:t xml:space="preserve">Escola Agrotécnica</x:t>
  </x:si>
  <x:si>
    <x:t xml:space="preserve">Escola Estadual Técnica Agrícola Guaporé</x:t>
  </x:si>
  <x:si>
    <x:t xml:space="preserve">Educação (escola estadual agrotécnica)</x:t>
  </x:si>
  <x:si>
    <x:t xml:space="preserve">Educação</x:t>
  </x:si>
  <x:si>
    <x:t xml:space="preserve">Emenda de Bancada (processo seletivo)</x:t>
  </x:si>
  <x:si>
    <x:t xml:space="preserve">Recurso para a aquisição de implementos agrícolas</x:t>
  </x:si>
  <x:si>
    <x:t xml:space="preserve">Implementos agrícolas entregues a partir de abril de 2021.</x:t>
  </x:si>
  <x:si>
    <x:t xml:space="preserve">Araricá</x:t>
  </x:si>
  <x:si>
    <x:t xml:space="preserve">Prefeitura/Hospital Sapiranga, Araricá, RS</x:t>
  </x:si>
  <x:si>
    <x:t xml:space="preserve">Município/hospital mais próximo</x:t>
  </x:si>
  <x:si>
    <x:t xml:space="preserve">Prefeitura/Hospital Sapiranga</x:t>
  </x:si>
  <x:si>
    <x:t xml:space="preserve">Emenda de bancada</x:t>
  </x:si>
  <x:si>
    <x:t xml:space="preserve">Recursos para custeio do combate à COVID-19 (Média e Alta Complexidade). Como o município não possuía hospital para atender pacientes de COVID-19, e como o recurso era destinado a hospitais, a emenda foi alocada no hospital de referência do município. Prefeitos e hospitais foram comunicados.</x:t>
  </x:si>
  <x:si>
    <x:t xml:space="preserve">Canela</x:t>
  </x:si>
  <x:si>
    <x:t xml:space="preserve">Hospital de Caridade de Canela, Canela, RS</x:t>
  </x:si>
  <x:si>
    <x:t xml:space="preserve">Hospital de Caridade de Canela</x:t>
  </x:si>
  <x:si>
    <x:t xml:space="preserve">7122 0006</x:t>
  </x:si>
  <x:si>
    <x:t xml:space="preserve">Recursos para custeio do combate à COVID-19 (Média e Alta Complexidade) </x:t>
  </x:si>
  <x:si>
    <x:t xml:space="preserve">Carazinho</x:t>
  </x:si>
  <x:si>
    <x:t xml:space="preserve">Hospital Comunitário de Carazinho, Carazinho, RS</x:t>
  </x:si>
  <x:si>
    <x:t xml:space="preserve">Hospital Comunitário de Carazinho</x:t>
  </x:si>
  <x:si>
    <x:t xml:space="preserve">Hospital Arcanjo São Miguel, Gramado, RS</x:t>
  </x:si>
  <x:si>
    <x:t xml:space="preserve">Hospital Arcanjo São Miguel</x:t>
  </x:si>
  <x:si>
    <x:t xml:space="preserve">Recursos para custeio do combate à COVID-19 (Média e Alta Complexidade)</x:t>
  </x:si>
  <x:si>
    <x:t xml:space="preserve">Igrejinha</x:t>
  </x:si>
  <x:si>
    <x:t xml:space="preserve">Hospital Bom Pastor, Igrejinha, RS</x:t>
  </x:si>
  <x:si>
    <x:t xml:space="preserve">Hospital Bom Pastor</x:t>
  </x:si>
  <x:si>
    <x:t xml:space="preserve">Ivoti</x:t>
  </x:si>
  <x:si>
    <x:t xml:space="preserve">Hospital São José de Ivoti, Ivoti, RS</x:t>
  </x:si>
  <x:si>
    <x:t xml:space="preserve">Hospital São José de Ivoti</x:t>
  </x:si>
  <x:si>
    <x:t xml:space="preserve">Marau</x:t>
  </x:si>
  <x:si>
    <x:t xml:space="preserve">Hospital Cristo Redentor Marau, Marau, RS</x:t>
  </x:si>
  <x:si>
    <x:t xml:space="preserve">Hospital Cristo Redentor Marau</x:t>
  </x:si>
  <x:si>
    <x:t xml:space="preserve">Nova Petrópolis</x:t>
  </x:si>
  <x:si>
    <x:t xml:space="preserve">Hospital Nova Petrópolis, Nova Petrópolis, RS</x:t>
  </x:si>
  <x:si>
    <x:t xml:space="preserve">Hospital Nova Petrópolis</x:t>
  </x:si>
  <x:si>
    <x:t xml:space="preserve">Portão</x:t>
  </x:si>
  <x:si>
    <x:t xml:space="preserve">Hospital de Portão, Portão, RS</x:t>
  </x:si>
  <x:si>
    <x:t xml:space="preserve">Hospital de Portão</x:t>
  </x:si>
  <x:si>
    <x:t xml:space="preserve">Riozinho</x:t>
  </x:si>
  <x:si>
    <x:t xml:space="preserve">Hospital Nossa Senhora do Rosário de Riozinho, Riozinho, RS</x:t>
  </x:si>
  <x:si>
    <x:t xml:space="preserve">Hospital Nossa Senhora do Rosário de Riozinho</x:t>
  </x:si>
  <x:si>
    <x:t xml:space="preserve">Rolante</x:t>
  </x:si>
  <x:si>
    <x:t xml:space="preserve">Fundação Hospitalar de Rolante, Rolante, RS</x:t>
  </x:si>
  <x:si>
    <x:t xml:space="preserve">Fundação Hospitalar de Rolante</x:t>
  </x:si>
  <x:si>
    <x:t xml:space="preserve">Canoas</x:t>
  </x:si>
  <x:si>
    <x:t xml:space="preserve">Hospital Nossa Senhora das Graças, Canoas, RS</x:t>
  </x:si>
  <x:si>
    <x:t xml:space="preserve">Hospital Nossa Senhora das Graças</x:t>
  </x:si>
  <x:si>
    <x:t xml:space="preserve">Recurso para Implemento Mac</x:t>
  </x:si>
  <x:si>
    <x:t xml:space="preserve">Após cumprimentá-lo, vimos através desta, em resposta ao ofício de n. 137/2020, prestar informações atualizadas sobre o recurso financeiro destinado ao HNSG, em razão de emenda parlamentar impositiva individual de nº 41160005, na área da saúde (custeio) no Orçamento Geral da União 2020, no valor de  50.000,00 (cinqüenta mil reais). Primeiramente, insta apontar que o recurso em questão restou aplicado no Fundo Municipal de Saúde do Município de Canoas/RS, porém, com o não atingimento das metas do Plano Operativo do ano corrente, tais verbas não foram repassadas ao Hospital. A instituição destinatária da emenda parlamentar esteve, durante todo o ano de 2020, em estado crítico financeiro e assistencial, de forma tão grave que desencadeou a declaração de Requisição Administrativa pela Prefeitura Municipal de Canoas, através do Decreto nº 263, de 23 de outubro de 2020, como forma de tentativa de reversão deste quadro. Por isso, apesar de não ter observado o Plano Operativo de 2020 em sua integralidade, tem chances reais e concretas de fazê-lo em 2021, em razão do advento da nova diretoria nomeada pelo Poder Público Municipal, bem como por conta da ampliação de previsão de procedimentos e serviços à população Canoense no novo Plano Operativo. Com isso, haverá, então, o repasse dos recursos financeiros do Fundo Municipal da Saúde ao nosocômio, e a efetiva aplicação destes, possibilitando a prestação de contas requerida.</x:t>
  </x:si>
  <x:si>
    <x:t xml:space="preserve">Capão Bonito do Sul</x:t>
  </x:si>
  <x:si>
    <x:t xml:space="preserve">Prefeitura/Hospital São Paulo de Lagoa Vermelha, Capão Bonito do Sul, RS</x:t>
  </x:si>
  <x:si>
    <x:t xml:space="preserve">Prefeitura/Hospital São Paulo de Lagoa Vermelha</x:t>
  </x:si>
  <x:si>
    <x:t xml:space="preserve">Emenda de bancada OGU 2020</x:t>
  </x:si>
  <x:si>
    <x:t xml:space="preserve">Lindolfo Collor</x:t>
  </x:si>
  <x:si>
    <x:t xml:space="preserve">Prefeitura/Hospital São José Ivoti, Lindolfo Collor, RS</x:t>
  </x:si>
  <x:si>
    <x:t xml:space="preserve">Prefeitura/Hospital São José Ivoti</x:t>
  </x:si>
  <x:si>
    <x:t xml:space="preserve">Morro Reuter</x:t>
  </x:si>
  <x:si>
    <x:t xml:space="preserve">Prefeitura/Hospital São José de Dois Irmãos, Morro Reuter, RS</x:t>
  </x:si>
  <x:si>
    <x:t xml:space="preserve">Prefeitura/Hospital São José de Dois Irmãos</x:t>
  </x:si>
  <x:si>
    <x:t xml:space="preserve">Recurso utilizado para auxiliar no financiamento da nova ala COVID-19 do Hospital São José de Dois Irmãos.</x:t>
  </x:si>
  <x:si>
    <x:t xml:space="preserve">São Francisco de Paula</x:t>
  </x:si>
  <x:si>
    <x:t xml:space="preserve">Hospital São Francisco de Paula, São Francisco de Paula, RS</x:t>
  </x:si>
  <x:si>
    <x:t xml:space="preserve">Hospital São Francisco de Paula</x:t>
  </x:si>
  <x:si>
    <x:t xml:space="preserve">Nova Hartz</x:t>
  </x:si>
  <x:si>
    <x:t xml:space="preserve">Prefeitura/Hospital Sapiranga, Nova Hartz, RS</x:t>
  </x:si>
  <x:si>
    <x:t xml:space="preserve">São Luiz Gonzaga</x:t>
  </x:si>
  <x:si>
    <x:t xml:space="preserve">Hospital São Luiz Gonzaga, São Luiz Gonzaga, RS</x:t>
  </x:si>
  <x:si>
    <x:t xml:space="preserve">Hospital São Luiz Gonzaga</x:t>
  </x:si>
  <x:si>
    <x:t xml:space="preserve">Picada Café</x:t>
  </x:si>
  <x:si>
    <x:t xml:space="preserve">Prefeitura/Hospital Nova Petrópolis, Picada Café, RS</x:t>
  </x:si>
  <x:si>
    <x:t xml:space="preserve">Prefeitura/Hospital Nova Petrópolis</x:t>
  </x:si>
  <x:si>
    <x:t xml:space="preserve">Presidente Lucena</x:t>
  </x:si>
  <x:si>
    <x:t xml:space="preserve">Prefeitura/Hospital São José Ivoti, Presidente Lucena, RS</x:t>
  </x:si>
  <x:si>
    <x:t xml:space="preserve">Santa Maria do Herval</x:t>
  </x:si>
  <x:si>
    <x:t xml:space="preserve">Prefeitura/Hospital São José de Dois Irmãos, Santa Maria do Herval, RS</x:t>
  </x:si>
  <x:si>
    <x:t xml:space="preserve">Três Coroas</x:t>
  </x:si>
  <x:si>
    <x:t xml:space="preserve">Hospital Dr Oswaldo Diesel, Três Coroas, RS</x:t>
  </x:si>
  <x:si>
    <x:t xml:space="preserve">Hospital Dr Oswaldo Diesel</x:t>
  </x:si>
  <x:si>
    <x:r>
      <x:rPr>
        <x:u val="single"/>
        <x:sz val="10"/>
        <x:color rgb="FF000000"/>
        <x:rFont val="Arial"/>
      </x:rPr>
      <x:t xml:space="preserve">7122 0006</x:t>
    </x:r>
    <x:r>
      <x:rPr>
        <x:u val="single"/>
        <x:sz val="10"/>
        <x:color rgb="FF000000"/>
        <x:rFont val="Arial"/>
      </x:rPr>
      <x:t xml:space="preserve"> </x:t>
    </x:r>
  </x:si>
  <x:si>
    <x:t xml:space="preserve">Tapera</x:t>
  </x:si>
  <x:si>
    <x:t xml:space="preserve">Prefeitura Municipal, Tapera, RS</x:t>
  </x:si>
  <x:si>
    <x:t xml:space="preserve">Prefeitura submeteu proposta ao Ministério da Saúde (Em 02/05/2024 consultei o SIOP, para verificar a situação da emenda e não localizei o beneficiário FMS-Tapera. A emenda 41160002, referenciada na planilha, não é de Custeio-PAB; é de Investimento-MAC. Em 2021 não foram indicados recursos de emendas individuais para custeio-PAB. Também não localizei o beneficiário na emenda de Custeio-MAC.</x:t>
  </x:si>
  <x:si>
    <x:t xml:space="preserve">Monitor multiparâmetros e cardiversor para equipar a ambulância do município e reduzir custos com a contratação de veículos com esses equipamentos e que a Prefeitura não possui.</x:t>
  </x:si>
  <x:si>
    <x:t xml:space="preserve">Boa Vista do Buricá</x:t>
  </x:si>
  <x:si>
    <x:t xml:space="preserve">R. Santa Clara, 49, Boa Vista do Buricá - RS, 98918-000</x:t>
  </x:si>
  <x:si>
    <x:t xml:space="preserve">APAE de Boa Vista do Buricá</x:t>
  </x:si>
  <x:si>
    <x:t xml:space="preserve">Aquisição de equipamentos e adequação do espaço</x:t>
  </x:si>
  <x:si>
    <x:t xml:space="preserve">Feliz</x:t>
  </x:si>
  <x:si>
    <x:t xml:space="preserve">Av. Dóris José Schlatter, 30, Feliz - RS, 95770-000</x:t>
  </x:si>
  <x:si>
    <x:t xml:space="preserve">APAE de Feliz</x:t>
  </x:si>
  <x:si>
    <x:t xml:space="preserve">Aquisição de 2 conteiners que se tornarão espaços para o bazar da instituição e área de preparação para o mercado de trabalho</x:t>
  </x:si>
  <x:si>
    <x:t xml:space="preserve">São Martinho</x:t>
  </x:si>
  <x:si>
    <x:t xml:space="preserve">Rua Jacob Hermindo Hartmann, 62. Centro - São Martinho - RS</x:t>
  </x:si>
  <x:si>
    <x:t xml:space="preserve">APAE de São Martinho</x:t>
  </x:si>
  <x:si>
    <x:t xml:space="preserve">Placas solares</x:t>
  </x:si>
  <x:si>
    <x:t xml:space="preserve">Forquetinha</x:t>
  </x:si>
  <x:si>
    <x:t xml:space="preserve">Rua Johann Kremer, 1.316 (1316), Centro, Forquetinha - RS, CEP 95937-000</x:t>
  </x:si>
  <x:si>
    <x:t xml:space="preserve">Custeio - MAC</x:t>
  </x:si>
  <x:si>
    <x:t xml:space="preserve">Imigrante</x:t>
  </x:si>
  <x:si>
    <x:t xml:space="preserve">Rua Castelo Branco, 15 - Centro, Imigrante - RS, CEP 95885-000</x:t>
  </x:si>
  <x:si>
    <x:t xml:space="preserve">Santo Antônio das Missões</x:t>
  </x:si>
  <x:si>
    <x:t xml:space="preserve">E.T.E. Achilino de Santis, Santo Antônio das Missões, RS</x:t>
  </x:si>
  <x:si>
    <x:t xml:space="preserve">E.T.E. Achilino de Santis</x:t>
  </x:si>
  <x:si>
    <x:t xml:space="preserve">Lagoa Vermelha</x:t>
  </x:si>
  <x:si>
    <x:t xml:space="preserve">E.E.T.A Desidério Finamor, Lagoa Vermelha, RS</x:t>
  </x:si>
  <x:si>
    <x:t xml:space="preserve">E.E.T.A Desidério Finamor</x:t>
  </x:si>
  <x:si>
    <x:t xml:space="preserve">São Lourenço do Sul</x:t>
  </x:si>
  <x:si>
    <x:t xml:space="preserve">Escola Técnica Estadual Santa Isabel, São Lourenço do Sul, RS</x:t>
  </x:si>
  <x:si>
    <x:t xml:space="preserve">Escola Técnica Estadual Santa Isabel</x:t>
  </x:si>
  <x:si>
    <x:t xml:space="preserve">Formigueiro</x:t>
  </x:si>
  <x:si>
    <x:t xml:space="preserve">R. São João, 988, Formigueiro - RS, 97210-000</x:t>
  </x:si>
  <x:si>
    <x:t xml:space="preserve">Prefeitura de Formigueiro</x:t>
  </x:si>
  <x:si>
    <x:t xml:space="preserve">Segurança Pública (Investimento)</x:t>
  </x:si>
  <x:si>
    <x:t xml:space="preserve">Recurso Pago</x:t>
  </x:si>
  <x:si>
    <x:t xml:space="preserve">Aquisição de armas e equipamentos  (Transferência Especial) Transferegov: OB enviada pagto em 30/08/2023.</x:t>
  </x:si>
  <x:si>
    <x:t xml:space="preserve">APAE de Formigueiro</x:t>
  </x:si>
  <x:si>
    <x:t xml:space="preserve">E.E.E.P. de Carazinho, Carazinho, RS</x:t>
  </x:si>
  <x:si>
    <x:t xml:space="preserve">E.E.E.P. de Carazinho</x:t>
  </x:si>
  <x:si>
    <x:t xml:space="preserve">Estância Velha</x:t>
  </x:si>
  <x:si>
    <x:t xml:space="preserve">Hospital Municipal Getúlio Vargas, Estância Velha, RS</x:t>
  </x:si>
  <x:si>
    <x:t xml:space="preserve">Hospital Municipal Getúlio Vargas</x:t>
  </x:si>
  <x:si>
    <x:t xml:space="preserve">Tupandi</x:t>
  </x:si>
  <x:si>
    <x:t xml:space="preserve">Av. Salvador, 1919, Tupandi - RS, 95775-000</x:t>
  </x:si>
  <x:si>
    <x:t xml:space="preserve">Prefeitura de Tupandi</x:t>
  </x:si>
  <x:si>
    <x:t xml:space="preserve">Videomonitoramento</x:t>
  </x:si>
  <x:si>
    <x:t xml:space="preserve">Bom Princípio</x:t>
  </x:si>
  <x:si>
    <x:t xml:space="preserve">Avenida Guilherme Winter, 65 - Centro, Bom Princípio - RS, 95765-000</x:t>
  </x:si>
  <x:si>
    <x:t xml:space="preserve">Bom Progresso</x:t>
  </x:si>
  <x:si>
    <x:t xml:space="preserve">E.T.E. Celeiro, Bom Progresso, RS</x:t>
  </x:si>
  <x:si>
    <x:t xml:space="preserve">E.T.E. Celeiro</x:t>
  </x:si>
  <x:si>
    <x:t xml:space="preserve">Erechim</x:t>
  </x:si>
  <x:si>
    <x:t xml:space="preserve">C.A.E. Ângelo Emílio Grando, Erechim, RS</x:t>
  </x:si>
  <x:si>
    <x:t xml:space="preserve">C.A.E. Ângelo Emílio Grando</x:t>
  </x:si>
  <x:si>
    <x:t xml:space="preserve">Dom Pedrito</x:t>
  </x:si>
  <x:si>
    <x:t xml:space="preserve">E.E.E.P. Dom Pedrito, Dom Pedrito, RS</x:t>
  </x:si>
  <x:si>
    <x:t xml:space="preserve">E.E.E.P. Dom Pedrito</x:t>
  </x:si>
  <x:si>
    <x:t xml:space="preserve">Palmeira das Missões</x:t>
  </x:si>
  <x:si>
    <x:t xml:space="preserve">E.E.T. Celeste Gobbato, Palmeira das Missões, RS</x:t>
  </x:si>
  <x:si>
    <x:t xml:space="preserve">E.E.T. Celeste Gobbato</x:t>
  </x:si>
  <x:si>
    <x:t xml:space="preserve">São Sepé</x:t>
  </x:si>
  <x:si>
    <x:t xml:space="preserve">RUA PERCIVAL BRENNER, 1992. Centro - São Sepé - RS</x:t>
  </x:si>
  <x:si>
    <x:t xml:space="preserve">APAE de São Sepé</x:t>
  </x:si>
  <x:si>
    <x:t xml:space="preserve">Painéis solares</x:t>
  </x:si>
  <x:si>
    <x:t xml:space="preserve">Boqueirão do Leão</x:t>
  </x:si>
  <x:si>
    <x:t xml:space="preserve">Prefeitura Municipal, Boqueirão do Leão, RS</x:t>
  </x:si>
  <x:si>
    <x:t xml:space="preserve">Recurso para custeio dos serviços de saúde (Piso de Atenção Básica)</x:t>
  </x:si>
  <x:si>
    <x:t xml:space="preserve">Prefeitura Municipal, Canela, RS</x:t>
  </x:si>
  <x:si>
    <x:t xml:space="preserve">Serafina Corrêa</x:t>
  </x:si>
  <x:si>
    <x:t xml:space="preserve">Prefeitura Municipal, Serafina Corrêa, RS</x:t>
  </x:si>
  <x:si>
    <x:t xml:space="preserve">Recurso para custeio dos serviços de saúde (Piso de Atenção Básica)
</x:t>
  </x:si>
  <x:si>
    <x:t xml:space="preserve">Sim, recurso foi investido na manutenção da frota municipal, manutenção das unidades básicas de saúde e aquisição de insumos para o combate a pandemia do covid-19.</x:t>
  </x:si>
  <x:si>
    <x:t xml:space="preserve">Prefeitura Municipal, Nova Hartz, RS</x:t>
  </x:si>
  <x:si>
    <x:t xml:space="preserve">Utilizamos para pagamento da empresa prestadora de serviços médicos - proativa saude coop. Prof area saude ltda cnpj 07.656.276/0001-71</x:t>
  </x:si>
  <x:si>
    <x:t xml:space="preserve">Putinga</x:t>
  </x:si>
  <x:si>
    <x:t xml:space="preserve">Rua Duque de Caxias, 333 - Centro, Putinga - RS, CEP 95975-000</x:t>
  </x:si>
  <x:si>
    <x:t xml:space="preserve">Prefeitura Municipal, Imigrante, RS</x:t>
  </x:si>
  <x:si>
    <x:t xml:space="preserve">Pagamento de outros serviços de terceiros, pessoa jurídica, Convênio com Hospital Estrela para atendimento de urgência/emergência, exames de diagnóstico, cirurgias, partos, avaliações com especialistas, internações em leito de UTI.</x:t>
  </x:si>
  <x:si>
    <x:t xml:space="preserve">Prefeitura Municipal de Porto Alegre (Paço Municipal), Praça Montevidéu, 10 - Porto Alegre - RS, CEP 90010-170, Brasil</x:t>
  </x:si>
  <x:si>
    <x:t xml:space="preserve">Investimento MAC</x:t>
  </x:si>
  <x:si>
    <x:t xml:space="preserve">Tapejara</x:t>
  </x:si>
  <x:si>
    <x:t xml:space="preserve">R. Luís Costa, 293 - São Cristóvão, Tapejara - RS, 99950-000</x:t>
  </x:si>
  <x:si>
    <x:t xml:space="preserve">APAE de Tapejara</x:t>
  </x:si>
  <x:si>
    <x:t xml:space="preserve">Painéis fotovoltaicos</x:t>
  </x:si>
  <x:si>
    <x:t xml:space="preserve">Rua Anita Garibaldi, 219 - Centro, Morro Reuter - RS, CEP 93990-000</x:t>
  </x:si>
  <x:si>
    <x:t xml:space="preserve">Santo Antônio da Patrulha</x:t>
  </x:si>
  <x:si>
    <x:t xml:space="preserve">R. Marcolino de Carli - Centro, Santo Antônio da Patrulha - RS, 95500-000</x:t>
  </x:si>
  <x:si>
    <x:t xml:space="preserve">APAE de Santo Antônio da Patrulha</x:t>
  </x:si>
  <x:si>
    <x:t xml:space="preserve">Guarani das Missões</x:t>
  </x:si>
  <x:si>
    <x:t xml:space="preserve">E.E.T. Guaramano, Guarani das Missões, RS</x:t>
  </x:si>
  <x:si>
    <x:t xml:space="preserve">E.E.T. Guaramano</x:t>
  </x:si>
  <x:si>
    <x:t xml:space="preserve">Passo Fundo</x:t>
  </x:si>
  <x:si>
    <x:t xml:space="preserve">Hospital São Vicente de Paulo, Passo Fundo, RS</x:t>
  </x:si>
  <x:si>
    <x:t xml:space="preserve">Hospital São Vicente de Paulo</x:t>
  </x:si>
  <x:si>
    <x:t xml:space="preserve">Prefeitura Municipal, Picada Café, RS</x:t>
  </x:si>
  <x:si>
    <x:t xml:space="preserve">Emenda individual (processo seletivo)</x:t>
  </x:si>
  <x:si>
    <x:t xml:space="preserve">Autoclave (75 a 150 litros), ar-condicionado, analisador de ions/eletrolitos, deionizador, micropipeta monocanal e termohigrometro para aumentar a resolutividade dos exames realizados na UBS do município. Emenda de investimento foi transformada em custeio para recebimento por parte do município.</x:t>
  </x:si>
  <x:si>
    <x:t xml:space="preserve">Camaquã</x:t>
  </x:si>
  <x:si>
    <x:t xml:space="preserve">Brigada Militar de Camaquã, Camaquã, RS</x:t>
  </x:si>
  <x:si>
    <x:t xml:space="preserve">Brigada Militar</x:t>
  </x:si>
  <x:si>
    <x:t xml:space="preserve">Brigada Militar de Camaquã</x:t>
  </x:si>
  <x:si>
    <x:t xml:space="preserve">Em licitação</x:t>
  </x:si>
  <x:si>
    <x:t xml:space="preserve">Coletes balísticos e pistolas para o contingente da Brigada Militar</x:t>
  </x:si>
  <x:si>
    <x:t xml:space="preserve">Material em processo licitatório pela Secretaria de Segurança Pública do Rio Grande do Sul</x:t>
  </x:si>
  <x:si>
    <x:t xml:space="preserve">Alvorada</x:t>
  </x:si>
  <x:si>
    <x:t xml:space="preserve">Avenida Presidente Getúlio Vargas, 2266, Bairro Sumaré (ou Bela Vista), Alvorada - RS, CEP 94810-001.</x:t>
  </x:si>
  <x:si>
    <x:t xml:space="preserve">Não-Me-Toque</x:t>
  </x:si>
  <x:si>
    <x:t xml:space="preserve">Hospital Beneficência Alto Jacuí, Não-Me-Toque, RS</x:t>
  </x:si>
  <x:si>
    <x:t xml:space="preserve">Hospital Beneficência Alto Jacuí</x:t>
  </x:si>
  <x:si>
    <x:t xml:space="preserve">Emenda Individual (suplente - processo seletivo)</x:t>
  </x:si>
  <x:si>
    <x:t xml:space="preserve">Recurso para custeio dos serviços de saúde (Média e Alta Complexidade)</x:t>
  </x:si>
  <x:si>
    <x:t xml:space="preserve">Medicamentos, Material Médico Hospitalar e Alimentação</x:t>
  </x:si>
  <x:si>
    <x:t xml:space="preserve">Atualização de equipamento de extração de dados de dispositivos móveis para o IGP.</x:t>
  </x:si>
  <x:si>
    <x:t xml:space="preserve">São José do Herval</x:t>
  </x:si>
  <x:si>
    <x:t xml:space="preserve">Avenida Getúlio Vargas, 731 - Centro, São José do Herval - RS, CEP 99380-000</x:t>
  </x:si>
  <x:si>
    <x:t xml:space="preserve">São Vendelino</x:t>
  </x:si>
  <x:si>
    <x:t xml:space="preserve">Rua Padre Emílio Schneider, 70, Centro, São Vendelino - RS, CEP 95795-000</x:t>
  </x:si>
  <x:si>
    <x:t xml:space="preserve">Três de Maio</x:t>
  </x:si>
  <x:si>
    <x:t xml:space="preserve">R. Minas Gerais - Três de Maio, RS, 98910-000</x:t>
  </x:si>
  <x:si>
    <x:t xml:space="preserve">Prefeitura de Três de Maio</x:t>
  </x:si>
  <x:si>
    <x:t xml:space="preserve">Caseiros</x:t>
  </x:si>
  <x:si>
    <x:t xml:space="preserve">Fundo Municipal de Saúde de Caseiros - RS</x:t>
  </x:si>
  <x:si>
    <x:t xml:space="preserve">PAP Custeio</x:t>
  </x:si>
  <x:si>
    <x:t xml:space="preserve">Campo Bom</x:t>
  </x:si>
  <x:si>
    <x:t xml:space="preserve">Hospital de Campo Bom Dr. Lauro Reus, Campo Bom, RS</x:t>
  </x:si>
  <x:si>
    <x:t xml:space="preserve">Hospital de Campo Bom Dr. Lauro Reus</x:t>
  </x:si>
  <x:si>
    <x:t xml:space="preserve">Parobé</x:t>
  </x:si>
  <x:si>
    <x:t xml:space="preserve">Hospital São Francisco de Assis, Parobé, RS</x:t>
  </x:si>
  <x:si>
    <x:t xml:space="preserve">Hospital São Francisco de Assis</x:t>
  </x:si>
  <x:si>
    <x:t xml:space="preserve">Arroio do Meio</x:t>
  </x:si>
  <x:si>
    <x:t xml:space="preserve">Prefeitura Municipal, Arroio do Meio, RS</x:t>
  </x:si>
  <x:si>
    <x:t xml:space="preserve">Santa Casa de Caridade de Bagé, Bagé, RS</x:t>
  </x:si>
  <x:si>
    <x:t xml:space="preserve">Santa Casa de Caridade de Bagé</x:t>
  </x:si>
  <x:si>
    <x:t xml:space="preserve">Barão</x:t>
  </x:si>
  <x:si>
    <x:t xml:space="preserve">Prefeitura Municipal, Barão, RS</x:t>
  </x:si>
  <x:si>
    <x:t xml:space="preserve">.</x:t>
  </x:si>
  <x:si>
    <x:t xml:space="preserve">Bento Gonçalves</x:t>
  </x:si>
  <x:si>
    <x:t xml:space="preserve">Hospital Tacchini, Bento Gonçalves, RS</x:t>
  </x:si>
  <x:si>
    <x:t xml:space="preserve">Hospital Tacchini</x:t>
  </x:si>
  <x:si>
    <x:t xml:space="preserve">Em atenção ao Of. n. 135/2020, de 26/11/2020, e com base no Projeto apresentado através do e-mail datado de 27/07/2020 (leitura realizada em 28/07/2020), com o valor de  100.000,00 recebido através de Emenda Parlamentar - Portaria GM/MS nº 679/2020, de autoria do Deputado Federal Marcel Van Hattem, foi possível reduzir o indicador percentual de tempo de espera cirúrgica acima de 60 dias, de 54,00% para 30,33% , ao mesmo tempo em que, foi possível ampliar o atendimento e beneficiar na realização de tratamento cirúrgico em oncologia de 26 novos pacientes oncológicos, que ingressaram na UNACON do Hospital Tacchini (Bento Gonçalves - RS), período de agosto, setembro e outubro de 2020, conforme as seguintes AIH's: Agosto/2020 - 4320104280140; 4320105042715; 4320105069049; 4320105808865; 4320103526959; 4320103526937; 4320103527400 / Setembro/2020 - 4320104281537; 4320104281548; 4320104281890; 4320104283891; 4320104281603; 4320104277907; 4320104281559 / Outubro/2020 - 4320104284353; 4320106584453; 4320106586796; 4320107313566; 4320107346115; 4320105048699; 4320105048534; 4320105809900; 4320105048370; 4320105822087; 4320104286069; 4320105050635.</x:t>
  </x:si>
  <x:si>
    <x:t xml:space="preserve">Prefeitura Municipal, Bom Princípio, RS</x:t>
  </x:si>
  <x:si>
    <x:t xml:space="preserve">Brochier</x:t>
  </x:si>
  <x:si>
    <x:t xml:space="preserve">Prefeitura Municipal, Brochier, RS</x:t>
  </x:si>
  <x:si>
    <x:t xml:space="preserve">1) Pagamento de parte das despesas com Serviços Médicos e profissionais de saúde, através do Consórcio dos Municípios do Vale do Caí - CIS/CAI conforme empenhos a seguir relacionados:
- 3818/2020 - no valor de  20.993,50; 
- 3494/2020 - no valor de  20.553,00;
- 3218/2020 - no valor de    9.344,00;
- 3216/2020 - no valor de    6.230,00;
- 2928/2020 - no valor de  13.333,00;
- 2926/2020 - no valor de    9.065,00;
- 2587/2020 - no valor de    6.722,00;
- 2580/2020 - no valor de    6.610,00;
- 2579/2020 - no valor de  41.552,00;
- 2237/2020 - no valor de  42.754,00;   Trata esta prestação de contas de informação complementar à prestação de contas enviada na data de ontem, no intuito de esclarecer que os recursos aplicados serviram para ampliar o horário de atendimento no posto de saúde da sede do Município, que ocorre então das 7h da manhã até às 21h ininterruptamente. Com pode ser observado os recursos servem para custear parte da contratação de pessoal necessário para possibilitar o atendimento estendido no posto de saúde.</x:t>
  </x:si>
  <x:si>
    <x:t xml:space="preserve">Carlos Barbosa</x:t>
  </x:si>
  <x:si>
    <x:t xml:space="preserve">Prefeitura Municipal, Carlos Barbosa, RS</x:t>
  </x:si>
  <x:si>
    <x:t xml:space="preserve">Dois Irmãos</x:t>
  </x:si>
  <x:si>
    <x:t xml:space="preserve">Prefeitura Municipal, Dois Irmãos, RS</x:t>
  </x:si>
  <x:si>
    <x:t xml:space="preserve">Fundação Hospitalar Santa Terezinha, Erechim, RS</x:t>
  </x:si>
  <x:si>
    <x:t xml:space="preserve">Fundação Hospitalar Santa Terezinha</x:t>
  </x:si>
  <x:si>
    <x:t xml:space="preserve">Aquisição de Luvas de Procedimento, conforme Nota Fiscal 104855 da Stock Med no valor de  99.258,00 e Nota Fiscal 337852 da Cooperativa Central de Cooperativas UNIMED RS no valor de 2.760,00</x:t>
  </x:si>
  <x:si>
    <x:t xml:space="preserve">Esteio</x:t>
  </x:si>
  <x:si>
    <x:t xml:space="preserve">Prefeitura Municipal, Esteio, RS</x:t>
  </x:si>
  <x:si>
    <x:t xml:space="preserve">Prefeitura Municipal, Feliz, RS</x:t>
  </x:si>
  <x:si>
    <x:t xml:space="preserve">Conforme definido no projeto beneficiado, o recurso foi utilizado junto ao Contrato de Gestão mantido com a Associação de Saúde e Feliz para a manutenção de plantão médico presencial 24 horas no Hospital Schlatter para atendimentos de urgência e emergência, bem como ambulatoriais nos horários em que as Unidades Básicas de Saúde estão fechadas. De tal forma foi custeado a permanência de segundo plantonista médico (presencial) aos finais de semana e feriados, qualificando e agilizando os atendimentos.</x:t>
  </x:si>
  <x:si>
    <x:t xml:space="preserve">Harmonia</x:t>
  </x:si>
  <x:si>
    <x:t xml:space="preserve">Prefeitura Municipal, Harmonia, RS</x:t>
  </x:si>
  <x:si>
    <x:t xml:space="preserve">O recurso será aplicado em 2021, tendo em virtude de possuir alguma parte neste ano de 2019. Assim, de forma mais justa e uniforme, a administração municipal entendeu da melhor aplicação no próximo ano.</x:t>
  </x:si>
  <x:si>
    <x:t xml:space="preserve">Prefeitura Municipal, Igrejinha, RS</x:t>
  </x:si>
  <x:si>
    <x:t xml:space="preserve">Ijuí</x:t>
  </x:si>
  <x:si>
    <x:t xml:space="preserve">Associação Hospitalar de Caridade Ijuí, Ijuí, RS</x:t>
  </x:si>
  <x:si>
    <x:t xml:space="preserve">Associação Hospitalar de Caridade Ijuí</x:t>
  </x:si>
  <x:si>
    <x:t xml:space="preserve">Montenegro</x:t>
  </x:si>
  <x:si>
    <x:t xml:space="preserve">OASE- Hospital Montenegro, Montenegro, RS</x:t>
  </x:si>
  <x:si>
    <x:t xml:space="preserve">OASE- Hospital Montenegro</x:t>
  </x:si>
  <x:si>
    <x:t xml:space="preserve">Custeio energia elétrica competência agosto no valor de  74.343,17 e setembro ( parcial)  25.656,83, conforme comprovantes anexados.</x:t>
  </x:si>
  <x:si>
    <x:t xml:space="preserve">Prefeitura Municipal, Nova Petrópolis, RS</x:t>
  </x:si>
  <x:si>
    <x:t xml:space="preserve">O recurso, recebido pelo Fundo Municipal de Saúde de Nova Petrópolis mas com destinação específica para a Ordem Auxiliadora das Senhoras Evangélicas de Nova Petrópolis (Hospital de Nova Petrópolis), foi transferido para a entidade por meio de subvenção social cujo objeto foi o custeio de materiais hospitalares, medicamentos, EPI's, energia elétrica e água, em conformidade com os Planos de Trabalho pactuados por meio do 1º Termo de Aditamento ao Convênio nº 040/2019.</x:t>
  </x:si>
  <x:si>
    <x:t xml:space="preserve">Hospital Municipal de Novo Hamburgo, Novo Hamburgo, RS</x:t>
  </x:si>
  <x:si>
    <x:t xml:space="preserve">Hospital Municipal de Novo Hamburgo</x:t>
  </x:si>
  <x:si>
    <x:t xml:space="preserve">Panambi</x:t>
  </x:si>
  <x:si>
    <x:t xml:space="preserve">Prefeitura Municipal, Panambi, RS</x:t>
  </x:si>
  <x:si>
    <x:t xml:space="preserve">Os recursos da emenda parlamentar foram destinados para a realização de exames e consultas especializadas. Existia uma grande demanda reprimida em algumas especialidades. Com o recurso foi elaborado um cronograma onde os valores foram distribuídos mensalmente (Setembro, Outubro, Novembro e Dezembro), sendo que no momento o município já utilizou  75.437,95, faltando o saldo ser utilizado no mês de dezembro. Temos o relatório completo com os exames e consultas realizadas, bem como os pacientes que foram atendidos.</x:t>
  </x:si>
  <x:si>
    <x:t xml:space="preserve">Pelotas</x:t>
  </x:si>
  <x:si>
    <x:t xml:space="preserve">Santa Casa de Misericórdia de Pelotas, Pelotas, RS</x:t>
  </x:si>
  <x:si>
    <x:t xml:space="preserve">Santa Casa de Misericórdia de Pelotas</x:t>
  </x:si>
  <x:si>
    <x:t xml:space="preserve">O recurso já foi executado e está em fase de prestação de contas nos órgãos pertinentes. O mesmo foi utilizado para consertos de mesas cirúrgicas do centro cirúrgico da instituição, com aquisição de um acessório importantíssimo para o bom funcionamento das mesas, além de também ter sido adquirido insumos hospitalares para suprir a demanda do centro cirúrgico por certo período no ano de 2020, como por ex: atadura, gaze, seringas ,agulhas, luvas, etc. Totalizando  101.915,47. </x:t>
  </x:si>
  <x:si>
    <x:t xml:space="preserve">Pinto Bandeira</x:t>
  </x:si>
  <x:si>
    <x:t xml:space="preserve">Prefeitura Municipal, Pinto Bandeira, RS</x:t>
  </x:si>
  <x:si>
    <x:t xml:space="preserve">Foi aplicado em pagamento dos profissionais da saúde, em consultas e exames clínicos e ainda adquirido material ambulatorial e remédios para a Unidade Básica de Saúde.</x:t>
  </x:si>
  <x:si>
    <x:t xml:space="preserve">Sapiranga</x:t>
  </x:si>
  <x:si>
    <x:t xml:space="preserve">Hospital Sapiranga, Sapiranga, RS</x:t>
  </x:si>
  <x:si>
    <x:t xml:space="preserve">Hospital Sapiranga</x:t>
  </x:si>
  <x:si>
    <x:t xml:space="preserve">Taquara</x:t>
  </x:si>
  <x:si>
    <x:t xml:space="preserve">Hospital Bom Jesus, Taquara, RS</x:t>
  </x:si>
  <x:si>
    <x:t xml:space="preserve">Hospital Bom Jesus</x:t>
  </x:si>
  <x:si>
    <x:t xml:space="preserve">Santo Ângelo</x:t>
  </x:si>
  <x:si>
    <x:t xml:space="preserve">Prefeitura Municipal , Santo Ângelo, RS</x:t>
  </x:si>
  <x:si>
    <x:t xml:space="preserve">Município </x:t>
  </x:si>
  <x:si>
    <x:t xml:space="preserve">São Borja</x:t>
  </x:si>
  <x:si>
    <x:t xml:space="preserve">Hospital Ivan Goulart, São Borja, RS</x:t>
  </x:si>
  <x:si>
    <x:t xml:space="preserve">Hospital Ivan Goulart</x:t>
  </x:si>
  <x:si>
    <x:t xml:space="preserve">Recurso aplicado em exames para pacientes SUS: 20 exames de densitometria, 70 exames de tomografia e 70 exames de ressonância e compra de medicamentos para atender a demanda da pandemia COVID.</x:t>
  </x:si>
  <x:si>
    <x:t xml:space="preserve">Prefeitura Municipal, Sapiranga, RS</x:t>
  </x:si>
  <x:si>
    <x:t xml:space="preserve">Sapucaia do Sul</x:t>
  </x:si>
  <x:si>
    <x:t xml:space="preserve">Prefeitura Municipal, Sapucaia do Sul, RS</x:t>
  </x:si>
  <x:si>
    <x:t xml:space="preserve">Prefeitura Municipal, Tapejara, RS</x:t>
  </x:si>
  <x:si>
    <x:r>
      <x:rPr>
        <x:sz val="10"/>
        <x:color rgb="FF000000"/>
        <x:rFont val="Arial"/>
      </x:rPr>
      <x:t xml:space="preserve">41160009 </x:t>
    </x:r>
    <x:r>
      <x:rPr>
        <x:sz val="10"/>
        <x:color rgb="FF000000"/>
        <x:rFont val="Arial"/>
      </x:rPr>
      <x:t xml:space="preserve">/ 41160001</x:t>
    </x:r>
  </x:si>
  <x:si>
    <x:t xml:space="preserve">O pagamento do recurso ao Município se efetivou dia 01/12/2020.</x:t>
  </x:si>
  <x:si>
    <x:t xml:space="preserve">Três Palmeiras</x:t>
  </x:si>
  <x:si>
    <x:t xml:space="preserve">Prefeitura Municipal, Três Palmeiras, RS</x:t>
  </x:si>
  <x:si>
    <x:t xml:space="preserve">O recurso ora destinado ao município de Três Palmeiras, foi empregado conforme proposto no plano de trabalho. Conforme apresentado, o município de Três Palmeiras possui o programa Juventude com Ideais, que além da orientação para nortear as crianças e os jovens para o empreendedorismo e ideal de vida, possui um viés antidrogas. Este programa é amplamente reconhecido e premiado nacionalmente. Com o recurso da emenda parlamentar, conseguimos custear a prestação de serviço das psicólogas que acompanham os alunos no programa, bem como aqueles que possuem alguma dependência química. Além disso. foram custeadas internações de jovens dependentes. Fabricação de material de orientação a respeito do programa, além dos brides para sorteio entre os melhores  alunos.   </x:t>
  </x:si>
  <x:si>
    <x:t xml:space="preserve">Uruguaiana</x:t>
  </x:si>
  <x:si>
    <x:t xml:space="preserve">Hospital Santa Casa de Uruguaiana, Uruguaiana, RS</x:t>
  </x:si>
  <x:si>
    <x:t xml:space="preserve">Hospital Santa Casa de Uruguaiana</x:t>
  </x:si>
  <x:si>
    <x:t xml:space="preserve">Esse valor compôs o plano operativo entregue a SES, e aprovado. Contempla no plano: Pagamento de salários, Realização de 85 cirurgias de Traumato ortopedia, compensação de serviços realizados nos últimos 12 meses, 30 RTU de bexiga e 30 citoscopias, compra de Corrimão para atender o PPCI e vigilância sanitária, manutenção de equipamentos e pagamento de contas de luz.</x:t>
  </x:si>
  <x:si>
    <x:t xml:space="preserve">Ajuricaba</x:t>
  </x:si>
  <x:si>
    <x:t xml:space="preserve">Associação Hospitalar Beneficente Ajuricaba, Ajuricaba, RS</x:t>
  </x:si>
  <x:si>
    <x:t xml:space="preserve">Associação Hospitalar Beneficente Ajuricaba</x:t>
  </x:si>
  <x:si>
    <x:t xml:space="preserve">Saúde (Investimento - MAC)</x:t>
  </x:si>
  <x:si>
    <x:t xml:space="preserve">Recurso pago em 21/07/2023.</x:t>
  </x:si>
  <x:si>
    <x:t xml:space="preserve">Grupo-gerador movido a diesel, com potência mínima de 100 KVA, para manter em funcionamento ininterrupto os equipamentos essenciais ao suporte de pacientes do Hospital. Assegura-se, assim, o abastecimento de energia em momentos de desabastecimento, mantendo a qualidade e segurança dos atendimentos.</x:t>
  </x:si>
  <x:si>
    <x:t xml:space="preserve">Irmandade Santa Casa de Misericórdia de Porto Alegre, Porto Alegre, RS</x:t>
  </x:si>
  <x:si>
    <x:t xml:space="preserve">Irmandade Santa Casa de Misericórdia de Porto Alegre</x:t>
  </x:si>
  <x:si>
    <x:t xml:space="preserve">Ultrassom Diagnóstico sem Aplicação Transesofágica. Aparelho de ecografia portátil para a implantação de projeto para atendimento de pacientes com cirrose descompensada. Com o auxílio de equipamento de ecografia, que garante a segurança do procedimento (evita que sejam perfuradas estruturais como vasos sanguíneos ou intestino), médicos hepatologistas e gastroenterologistas realizarão drenagem de líquido abdominal semanal nesses pacientes. </x:t>
  </x:si>
  <x:si>
    <x:t xml:space="preserve">Fundação Hospitalar Dr. Oswaldo Diesel, Três Coroas, RS</x:t>
  </x:si>
  <x:si>
    <x:t xml:space="preserve">Fundação Hospitalar Dr. Oswaldo Diesel</x:t>
  </x:si>
  <x:si>
    <x:t xml:space="preserve">Consultado o Ambiente Parlamentar em 26/03/2024 e o recurso ainda não foi pago. Dez modernas bombas de infusão para otimizar o tempo de realização de determinados processos no atendimento ao paciente, permitindo que os profissionais possam se dedicar a outras demandas do atendimento hospitalar.</x:t>
  </x:si>
  <x:si>
    <x:t xml:space="preserve">Consultado o Ambiente Parlamentar em 26/03/2024 e o recurso ainda não foi pago.</x:t>
  </x:si>
  <x:si>
    <x:t xml:space="preserve">Morro Redondo</x:t>
  </x:si>
  <x:si>
    <x:t xml:space="preserve">Hospital Dr Ernesto Mauricio Arndt, Morro Redondo, RS</x:t>
  </x:si>
  <x:si>
    <x:t xml:space="preserve">Hospital Dr Ernesto Mauricio Arndt</x:t>
  </x:si>
  <x:si>
    <x:t xml:space="preserve">Indicado (Recurso perdido. Consultas realizadas SIOP e Ambiente Parlamentar em 16/04/2024).</x:t>
  </x:si>
  <x:si>
    <x:t xml:space="preserve">Proposta não foi cadastrada, consequentemente o recurso não foi empenhado. RECURSO DA EMENDA FOI PERDIDO.</x:t>
  </x:si>
  <x:si>
    <x:t xml:space="preserve">Hospital Auxiliadora, Rosário do Sul, RS</x:t>
  </x:si>
  <x:si>
    <x:t xml:space="preserve">Hospital Auxiliadora</x:t>
  </x:si>
  <x:si>
    <x:t xml:space="preserve">Emenda de bancada (processo seletivo)</x:t>
  </x:si>
  <x:si>
    <x:t xml:space="preserve">Custeio para o hospital.</x:t>
  </x:si>
  <x:si>
    <x:t xml:space="preserve">Sinimbu</x:t>
  </x:si>
  <x:si>
    <x:t xml:space="preserve">Hospital Beneficente Sinimbu, Sinimbu, RS</x:t>
  </x:si>
  <x:si>
    <x:t xml:space="preserve">Hospital Beneficente Sinimbu</x:t>
  </x:si>
  <x:si>
    <x:t xml:space="preserve">Alegria</x:t>
  </x:si>
  <x:si>
    <x:t xml:space="preserve">R. São Nicolau, 27 - Alegria, RS, 98905-000</x:t>
  </x:si>
  <x:si>
    <x:t xml:space="preserve">APAE de Alegria</x:t>
  </x:si>
  <x:si>
    <x:t xml:space="preserve">Restruturação da cobertura da área de recreação</x:t>
  </x:si>
  <x:si>
    <x:t xml:space="preserve">Nova Roma Do Sul</x:t>
  </x:si>
  <x:si>
    <x:t xml:space="preserve">Av. Júlio de Castilhos, 895 - Centro, Nova Roma do Sul - RS, 95260-000</x:t>
  </x:si>
  <x:si>
    <x:t xml:space="preserve">Prefeitura de Nova Roma Do Sul</x:t>
  </x:si>
  <x:si>
    <x:t xml:space="preserve">Saúde (Investimento)</x:t>
  </x:si>
  <x:si>
    <x:t xml:space="preserve">Central de exames para serviços médicos locais eficientes.</x:t>
  </x:si>
  <x:si>
    <x:t xml:space="preserve">Av. Sapiranga, 729 - Industrial, Dois Irmãos - RS, 93950-000</x:t>
  </x:si>
  <x:si>
    <x:t xml:space="preserve">APAE de Dois Irmãos</x:t>
  </x:si>
  <x:si>
    <x:t xml:space="preserve">Custeio da unidade</x:t>
  </x:si>
  <x:si>
    <x:t xml:space="preserve">Nova Palma</x:t>
  </x:si>
  <x:si>
    <x:t xml:space="preserve">Av. Dom Érico Ferrari, 145 - Centro, Nova Palma - RS, 97250-000</x:t>
  </x:si>
  <x:si>
    <x:t xml:space="preserve">Rua Ipiranga, 375 - Centro, Presidente Lucena - RS, CEP 93945-000</x:t>
  </x:si>
  <x:si>
    <x:t xml:space="preserve">Santa Cruz do Sul</x:t>
  </x:si>
  <x:si>
    <x:t xml:space="preserve">Palacinho da Praça da Bandeira, Praça da Bandeira, Centro, Santa Cruz do Sul - RS</x:t>
  </x:si>
  <x:si>
    <x:t xml:space="preserve">Venâncio Aires</x:t>
  </x:si>
  <x:si>
    <x:t xml:space="preserve">Prefeitura Municipal de Venâncio Aires, Rua Osvaldo Aranha, 634 - Centro, Venâncio Aires - RS, CEP 95800-000</x:t>
  </x:si>
  <x:si>
    <x:t xml:space="preserve">Guaíba</x:t>
  </x:si>
  <x:si>
    <x:t xml:space="preserve">Avenida Nestor de Moura Jardim, 111, Centro, Guaíba/RS, CEP 92.704-300</x:t>
  </x:si>
  <x:si>
    <x:t xml:space="preserve">Avenida João Mosmann Filho, 143, Centro, Parobé - RS, 95630-000</x:t>
  </x:si>
  <x:si>
    <x:t xml:space="preserve">Prefeitura Municipal de Igrejinha, Av. Ildo Meneghetti, nº 757 - Bairro XV de Novembro, Igrejinha - RS</x:t>
  </x:si>
  <x:si>
    <x:t xml:space="preserve">Barra do Rio Azul</x:t>
  </x:si>
  <x:si>
    <x:t xml:space="preserve">Rua das Rosas, 268, Centro, Barra do Rio Azul - RS, CEP 99795-000.</x:t>
  </x:si>
  <x:si>
    <x:t xml:space="preserve">Fundo Municipal De Saude De Barra Do Rio Azul Barra Do Rio Azul - Rs</x:t>
  </x:si>
  <x:si>
    <x:t xml:space="preserve">Investimento em Atenção Primária à Saúde</x:t>
  </x:si>
  <x:si>
    <x:t xml:space="preserve">Rua das Rosas, 268 - Centro, Barra do Rio Azul - RS, CEP 99795-000</x:t>
  </x:si>
  <x:si>
    <x:t xml:space="preserve">Balneário Pinhal</x:t>
  </x:si>
  <x:si>
    <x:t xml:space="preserve">Fundo Municipal de Saúde do Balneário Pinhal, Avenida Italia, 3100, Bairro Centro, Balneário Pinhal, RS, CEP 95599-000</x:t>
  </x:si>
  <x:si>
    <x:t xml:space="preserve">Fundo Municipal De Saude Do Balneario Pinhal Balneário Pinhal - Rs</x:t>
  </x:si>
  <x:si>
    <x:t xml:space="preserve">Custeio dos Serviços de Média e Alta Complexidade</x:t>
  </x:si>
  <x:si>
    <x:t xml:space="preserve">Aquisição de um veículo com acesso para pessoas com deficiência</x:t>
  </x:si>
  <x:si>
    <x:t xml:space="preserve">Frederico Westphalen</x:t>
  </x:si>
  <x:si>
    <x:t xml:space="preserve">Rua José Canellas, 258, Centro, Frederico Westphalen - RS, 98400-000, Brasil.</x:t>
  </x:si>
  <x:si>
    <x:t xml:space="preserve">Fundo Municipal De Saude Frederico Westphalen - Rs</x:t>
  </x:si>
  <x:si>
    <x:t xml:space="preserve">Aquisição de veículo para transporte de pacientes</x:t>
  </x:si>
  <x:si>
    <x:t xml:space="preserve">Rua Jose Canellas, 258, Casa, Centro, Frederico Westphalen - RS, 98400-000</x:t>
  </x:si>
  <x:si>
    <x:t xml:space="preserve">Recurso de custeio para apoio aos serviços essenciais de média e alta complexidade da saúde do Município</x:t>
  </x:si>
  <x:si>
    <x:t xml:space="preserve">Muitos Capões</x:t>
  </x:si>
  <x:si>
    <x:t xml:space="preserve">Fundo Municipal de Saúde de Muitos Capões - RS</x:t>
  </x:si>
  <x:si>
    <x:t xml:space="preserve">Município de Muitos Capões</x:t>
  </x:si>
  <x:si>
    <x:t xml:space="preserve">Sete de Setembro</x:t>
  </x:si>
  <x:si>
    <x:t xml:space="preserve">Fundo Municipal de Saúde de Sete de Setembro - RS</x:t>
  </x:si>
  <x:si>
    <x:t xml:space="preserve">Município de Sete de Setembro</x:t>
  </x:si>
  <x:si>
    <x:t xml:space="preserve">Arvorezinha</x:t>
  </x:si>
  <x:si>
    <x:t xml:space="preserve">Fundo Municipal de Saúde de Arvorezinha - RS</x:t>
  </x:si>
  <x:si>
    <x:t xml:space="preserve">Itati</x:t>
  </x:si>
  <x:si>
    <x:t xml:space="preserve">Fundo Municipal de Saúde de Itati - RS</x:t>
  </x:si>
  <x:si>
    <x:t xml:space="preserve">Mato Castelhano</x:t>
  </x:si>
  <x:si>
    <x:t xml:space="preserve">Fundo Municipal de Saúde de Mato Castelhano - RS</x:t>
  </x:si>
  <x:si>
    <x:t xml:space="preserve">Terra de Areia</x:t>
  </x:si>
  <x:si>
    <x:t xml:space="preserve">Prefeitura Municipal, Terra de Areia, RS</x:t>
  </x:si>
  <x:si>
    <x:t xml:space="preserve">São Francisco De Assis</x:t>
  </x:si>
  <x:si>
    <x:t xml:space="preserve">R. 13 de Janeiro, 1424 - Centro, São Francisco de Assis - RS, 97610-000</x:t>
  </x:si>
  <x:si>
    <x:t xml:space="preserve">Hospital Santo Antonio</x:t>
  </x:si>
  <x:si>
    <x:t xml:space="preserve">Aquisição de equipamentos </x:t>
  </x:si>
  <x:si>
    <x:t xml:space="preserve">Aquisição de painéis fotovoltaicos</x:t>
  </x:si>
  <x:si>
    <x:t xml:space="preserve">Agudo</x:t>
  </x:si>
  <x:si>
    <x:t xml:space="preserve">Hospital Agudo, Agudo, RS</x:t>
  </x:si>
  <x:si>
    <x:t xml:space="preserve">Hospital Agudo</x:t>
  </x:si>
  <x:si>
    <x:t xml:space="preserve">Recurso indicado via Fundo Estadual de Saúde. Emenda paga, falttando o Fundo transferir os recursos para os hospitais.</x:t>
  </x:si>
  <x:si>
    <x:t xml:space="preserve">Aquisição de um novo gerador de energia elétrica para o hospital.</x:t>
  </x:si>
  <x:si>
    <x:t xml:space="preserve">Associação Hospitalar HM Regional - em Recuperação Judicial, Rua Assis Brasil, 1621, Sala 01, Centro, Montenegro - RS, CEP 92510-180, Brasil</x:t>
  </x:si>
  <x:si>
    <x:t xml:space="preserve">Associacao Hospitalar Hm Regional - Em Recuperacao Judicial Montenegro - Rs</x:t>
  </x:si>
  <x:si>
    <x:t xml:space="preserve">Investimento em Atenção Especializada em Saúde</x:t>
  </x:si>
  <x:si>
    <x:t xml:space="preserve">Aquisição de 12 camas mecanicas</x:t>
  </x:si>
  <x:si>
    <x:t xml:space="preserve">Paraí</x:t>
  </x:si>
  <x:si>
    <x:t xml:space="preserve">Hospital Beneficente Nossa Senhora Aparecida, Paraí, RS</x:t>
  </x:si>
  <x:si>
    <x:t xml:space="preserve">Hospital Beneficente Nossa Senhora Aparecida</x:t>
  </x:si>
  <x:si>
    <x:t xml:space="preserve">Recurso empenhado.</x:t>
  </x:si>
  <x:si>
    <x:t xml:space="preserve">Melhorias nos quartos do hospital com novas camas hospitalares, monitores, bomba de seringa e oxímetro para torná-los compatíveis com novo padrão de atendimento, mais moderno e adequado a uma melhor recepção dos pacientes.</x:t>
  </x:si>
  <x:si>
    <x:t xml:space="preserve">Amaral Ferrador</x:t>
  </x:si>
  <x:si>
    <x:t xml:space="preserve">Av. Cel. Amaral Ferrador, 441, Amaral Ferrador - RS, 96635-000</x:t>
  </x:si>
  <x:si>
    <x:t xml:space="preserve">Sociedade Hospitalar São José</x:t>
  </x:si>
  <x:si>
    <x:t xml:space="preserve">Informatizar e qualificar os dados de modo a adotar princípios da eficiência e da publicidade, gerando economicidade e transparência entre funcionários, médicos e população em geral.</x:t>
  </x:si>
  <x:si>
    <x:t xml:space="preserve">Hospital São José de Dois Irmãos, Dois Irmãos, RS</x:t>
  </x:si>
  <x:si>
    <x:t xml:space="preserve">Hospital São José de Dois Irmãos</x:t>
  </x:si>
  <x:si>
    <x:t xml:space="preserve">Emenda de bancada </x:t>
  </x:si>
  <x:si>
    <x:t xml:space="preserve">R. Henrique Lenzi, 15 - Centro, Paraí - RS, 95360-000</x:t>
  </x:si>
  <x:si>
    <x:t xml:space="preserve">Aquisição de equipamentos hospitalar - cama hospitalar; carro de transporte de alimentos e; lavadora de roupas</x:t>
  </x:si>
  <x:si>
    <x:t xml:space="preserve">Rua Conego Caspary, 386 – Centro, São Vendelino/RS, CEP 95795-000.</x:t>
  </x:si>
  <x:si>
    <x:t xml:space="preserve">Fundo Municipal De Saude - Sao Vendelino/Rs São Vendelino - Rs</x:t>
  </x:si>
  <x:si>
    <x:t xml:space="preserve">"Veiculo – AMBULÂNCIA SIMPLES REMOÇÃO TIPO FURGÃO (LONGO TETO ALTO) – Ambulância Tipo A. - Cor: Branca; Nova - Zero Km - 02 portas (motorista e passageiro); porta lateral no compartimento do paciente e duas portas traseiras com abertura horizontal mínima em duas posições (de 90 e 180 graus ou 90 e 270 graus), ambas as portas (lateral e traseira) tendo um.</x:t>
  </x:si>
  <x:si>
    <x:t xml:space="preserve">Gabinete de Inteligência e Assuntos Estratégicos da Polícia Civil , Porto Alegre, RS</x:t>
  </x:si>
  <x:si>
    <x:t xml:space="preserve">Gabinete de Inteligência e Assuntos Estratégicos da Polícia Civil</x:t>
  </x:si>
  <x:si>
    <x:t xml:space="preserve">Recurso empenhado. Inexigibilidade de licitação aceita pelo Ministério.</x:t>
  </x:si>
  <x:si>
    <x:t xml:space="preserve">Aquisição de renovação de licença para
solução de extração de dados (01 renovação de licença) para o Gabinete de Inteligência e Assuntos Estratégicos da Polícia Civil.</x:t>
  </x:si>
  <x:si>
    <x:t xml:space="preserve">Hospital Bom Jesus de Taquara (matriz: Associação Hospitalar Vila Nova), Taquara, RS</x:t>
  </x:si>
  <x:si>
    <x:t xml:space="preserve">Hospital Bom Jesus de Taquara (matriz: Associação Hospitalar Vila Nova)</x:t>
  </x:si>
  <x:si>
    <x:t xml:space="preserve">Grupo-gerador diesel, com potência de 100 a 300 KVA, para dar suporte à demanda de energia em momentos de falha do sistema da rede externa, podendo provocar situação catastrófica principalmente na UTI do hospital.</x:t>
  </x:si>
  <x:si>
    <x:t xml:space="preserve">Quinze de Novembro</x:t>
  </x:si>
  <x:si>
    <x:t xml:space="preserve">Associação Hospitalar 15 de Novembro, Quinze de Novembro, RS</x:t>
  </x:si>
  <x:si>
    <x:t xml:space="preserve">Associação Hospitalar 15 de Novembro</x:t>
  </x:si>
  <x:si>
    <x:t xml:space="preserve">Energia solar fotovoltaica para o hospital</x:t>
  </x:si>
  <x:si>
    <x:t xml:space="preserve">Recurso para a transformação da fonte de energia do hospital de tradicional para solar fotovoltaica 
</x:t>
  </x:si>
  <x:si>
    <x:t xml:space="preserve">Hospital de Caridade Santana, Bom Retiro do Sul, RS</x:t>
  </x:si>
  <x:si>
    <x:t xml:space="preserve">Hospital de Caridade Santana</x:t>
  </x:si>
  <x:si>
    <x:t xml:space="preserve">Usina de energia solar fotovoltaica.</x:t>
  </x:si>
  <x:si>
    <x:t xml:space="preserve">Quaraí</x:t>
  </x:si>
  <x:si>
    <x:t xml:space="preserve">Fundação Hospital de Caridade de Quarai, Quaraí, RS</x:t>
  </x:si>
  <x:si>
    <x:t xml:space="preserve">Fundação Hospital de Caridade de Quarai</x:t>
  </x:si>
  <x:si>
    <x:t xml:space="preserve">Indicado</x:t>
  </x:si>
  <x:si>
    <x:t xml:space="preserve">Caxias do Sul</x:t>
  </x:si>
  <x:si>
    <x:t xml:space="preserve">R. Profa. Maria d'Ávila Pinto, 52 - Cinquentenário, Caxias do Sul - RS, 95013-270</x:t>
  </x:si>
  <x:si>
    <x:t xml:space="preserve">APAE de Caxias do Sul</x:t>
  </x:si>
  <x:si>
    <x:t xml:space="preserve">Reforma do assoalho e forro da instituição</x:t>
  </x:si>
  <x:si>
    <x:t xml:space="preserve">Arroio do Tigre</x:t>
  </x:si>
  <x:si>
    <x:t xml:space="preserve">Associação Beneficente Santa Rosa De Lima, Arroio do Tigre, RS</x:t>
  </x:si>
  <x:si>
    <x:t xml:space="preserve">Associação Beneficente Santa Rosa De Lima</x:t>
  </x:si>
  <x:si>
    <x:t xml:space="preserve">Recurso pago parcialmente: R$ 94.500,00, em 28/11/2023. Saldo a receber: R$ 25.500,00.</x:t>
  </x:si>
  <x:si>
    <x:t xml:space="preserve">R. Nelsom Zang, 420 - Partenon, Porto Alegre - RS, 91530-350</x:t>
  </x:si>
  <x:si>
    <x:t xml:space="preserve">Casa Do Menino Jesus De Praga</x:t>
  </x:si>
  <x:si>
    <x:t xml:space="preserve">Recurso pago (quem recebeu o recurso foi o FMS de Porto Alegre. Encaminhei e-mail ao FMS pedindo posicionamento sobre o repasse à instituição beneficiária, em 27/02/2024. Aguardando resposta. Cobrei algumas vezes, sem sucesso.</x:t>
  </x:si>
  <x:si>
    <x:t xml:space="preserve">Pagamento mensal do ar comprimido hospitalar e oxigênio hospitalar utilizado nos atendimentos.</x:t>
  </x:si>
  <x:si>
    <x:t xml:space="preserve">Rua Monsenhor João Baptista Scalabrini, 260, Serafina Corrêa, Rio Grande do Sul, CEP 99250-000</x:t>
  </x:si>
  <x:si>
    <x:t xml:space="preserve">Hospital Nossa Senhora Do Rosario Serafina Corrêa - Rs</x:t>
  </x:si>
  <x:si>
    <x:t xml:space="preserve">Aquisição de monitores, bisturi eletronico e lavadora ultrassonica</x:t>
  </x:si>
  <x:si>
    <x:t xml:space="preserve">Kit Forense de Extração Celular unidade portátil para o IGP.</x:t>
  </x:si>
  <x:si>
    <x:t xml:space="preserve">Flores Da Cunha</x:t>
  </x:si>
  <x:si>
    <x:t xml:space="preserve">Corpo de Bombeiros de Flores da Cunha, Flores da Cunha, RS</x:t>
  </x:si>
  <x:si>
    <x:t xml:space="preserve">Prefeitura de Flores Da Cunha</x:t>
  </x:si>
  <x:si>
    <x:t xml:space="preserve">Cadeiras odontológicas</x:t>
  </x:si>
  <x:si>
    <x:t xml:space="preserve">Rua Catarino Andreatta, 155 - Bairro Vila Nova, Porto Alegre - RS, 91750-040, Brasil</x:t>
  </x:si>
  <x:si>
    <x:t xml:space="preserve">Associacao Hospitalar Vila Nova Campo Bom - Rs</x:t>
  </x:si>
  <x:si>
    <x:t xml:space="preserve">Aquisição de 1 ecógrafo</x:t>
  </x:si>
  <x:si>
    <x:t xml:space="preserve">Avenida Independência, 800 - Centro, Campo Bom - RS, CEP 93700-000</x:t>
  </x:si>
  <x:si>
    <x:t xml:space="preserve">Fundo Municipal De Saude De Campo Bom Campo Bom - Rs</x:t>
  </x:si>
  <x:si>
    <x:t xml:space="preserve">Vários municípios</x:t>
  </x:si>
  <x:si>
    <x:t xml:space="preserve">2º Batalhão de Bombeiros Militar nas seguintes cidades: Campo Bom, Dois Irmãos, Estância Velha, Ivoti, Montenegro, Novo Hamburgo, Parobé, Portão , Sapiranga, Sapucaia do Sul, Taquara e Taquari, Vários municípios, RS</x:t>
  </x:si>
  <x:si>
    <x:t xml:space="preserve">Corpo de Bombeiros</x:t>
  </x:si>
  <x:si>
    <x:t xml:space="preserve">2º Batalhão de Bombeiros Militar nas seguintes cidades: Campo Bom, Dois Irmãos, Estância Velha, Ivoti, Montenegro, Novo Hamburgo, Parobé, Portão , Sapiranga, Sapucaia do Sul, Taquara e Taquari</x:t>
  </x:si>
  <x:si>
    <x:t xml:space="preserve">(na licitação ficou  99387,60)</x:t>
  </x:si>
  <x:si>
    <x:t xml:space="preserve">Pago. Equipamentos recebidos em 12/08/2022.
As roupas de proteção irão para o 2o Batalhão de Bombeiro Militar, com sede em São Leopoldo, e assim assim distribuídas: Campo Bom (2 unidades), Estância Velha (2), Dois Irmãos (2), Ivoti (2), Montenegro (2), Parobé (2), Portão (2), Sapiranga (2), Sapucaia do Sul (2), Taquara (2), Taquari (2), Novo Hamburgo (1).
O valor unitário das roupas de combate a incêndio ficou em  4.321,20, totalizando  99.387.60. Houve economia de recursos públicos porque o valor unitário empenhado para as roubas era de  5.850,00 (totalizando  134.550,00, já com a contrapartida do governo do RS). No total o valor das roupas ficou em  99.387,060, sendo  73.864,86 da emenda do deputado e  25.522,74 do governo do RS como contrapartida.</x:t>
  </x:si>
  <x:si>
    <x:t xml:space="preserve">23 roupas de combate a incêndio RIP STOP</x:t>
  </x:si>
  <x:si>
    <x:t xml:space="preserve">Fundo Municipal de Saúde Passo, Passo Fundo, RS</x:t>
  </x:si>
  <x:si>
    <x:t xml:space="preserve">Fundo Municipal de Saúde Passo</x:t>
  </x:si>
  <x:si>
    <x:t xml:space="preserve">Santiago</x:t>
  </x:si>
  <x:si>
    <x:t xml:space="preserve">Hospital de Caridade de Santiago, Santiago, RS</x:t>
  </x:si>
  <x:si>
    <x:t xml:space="preserve">Hospital de Caridade de Santiago</x:t>
  </x:si>
  <x:si>
    <x:t xml:space="preserve">São Sebastião do Caí</x:t>
  </x:si>
  <x:si>
    <x:t xml:space="preserve">Hospital Sagrada Família (Assoc. Congregação de Santa Catarina), São Sebastião do Caí, RS</x:t>
  </x:si>
  <x:si>
    <x:t xml:space="preserve">Hospital Sagrada Família (Assoc. Congregação de Santa Catarina)</x:t>
  </x:si>
  <x:si>
    <x:t xml:space="preserve">Nova Pádua</x:t>
  </x:si>
  <x:si>
    <x:t xml:space="preserve">Brigada Militar de Nova Pádua, Nova Pádua, RS</x:t>
  </x:si>
  <x:si>
    <x:t xml:space="preserve">Brigada Militar de Nova Pádua</x:t>
  </x:si>
  <x:si>
    <x:t xml:space="preserve">Viatura camionete/SUV 118 CV flex 4x2 para o grupamento da Brigada Militar</x:t>
  </x:si>
  <x:si>
    <x:t xml:space="preserve">Viatura em processo licitatório pela Secretaria de Segurança Pública do Rio Grande do Sul</x:t>
  </x:si>
  <x:si>
    <x:t xml:space="preserve">Rua Venâncio Aires, 2277 - Centro, Santa Maria - RS, CEP 97010-005, Brasil</x:t>
  </x:si>
  <x:si>
    <x:t xml:space="preserve">Dilermando de Aguiar</x:t>
  </x:si>
  <x:si>
    <x:t xml:space="preserve">Brigada Militar de Dilermando de Aguiar, Dilermando de Aguiar, RS</x:t>
  </x:si>
  <x:si>
    <x:t xml:space="preserve">Brigada Militar de Dilermando de Aguiar</x:t>
  </x:si>
  <x:si>
    <x:t xml:space="preserve">Viatura Duster semi-blindada para a Brigada Militar</x:t>
  </x:si>
  <x:si>
    <x:t xml:space="preserve">Viatura entregue em maio de 2021.</x:t>
  </x:si>
  <x:si>
    <x:t xml:space="preserve">Brigada Militar de Santa Maria do Herval, Santa Maria do Herval, RS</x:t>
  </x:si>
  <x:si>
    <x:t xml:space="preserve">Brigada Militar de Santa Maria do Herval</x:t>
  </x:si>
  <x:si>
    <x:t xml:space="preserve">São José do Hortêncio</x:t>
  </x:si>
  <x:si>
    <x:t xml:space="preserve">Polícia Civil de São José do Hortêncio, São José do Hortêncio, RS</x:t>
  </x:si>
  <x:si>
    <x:t xml:space="preserve">Polícia Civil de São José do Hortêncio</x:t>
  </x:si>
  <x:si>
    <x:t xml:space="preserve">Conv: 894721</x:t>
  </x:si>
  <x:si>
    <x:t xml:space="preserve">Viatura Duster semi-blindada para a Polícia Civil
</x:t>
  </x:si>
  <x:si>
    <x:t xml:space="preserve">Viatura entregue em janeiro de 2021.</x:t>
  </x:si>
  <x:si>
    <x:t xml:space="preserve">Tupanci do Sul</x:t>
  </x:si>
  <x:si>
    <x:t xml:space="preserve">Brigada Militar de Tupanci do Sul, Tupanci do Sul, RS</x:t>
  </x:si>
  <x:si>
    <x:t xml:space="preserve">Brigada Militar de Tupanci do Sul</x:t>
  </x:si>
  <x:si>
    <x:t xml:space="preserve">Associação Dr. Bartholomeu Tacchini - Hospital Tacchini, Bento Gonçalves, RS</x:t>
  </x:si>
  <x:si>
    <x:t xml:space="preserve">Associação Dr. Bartholomeu Tacchini - Hospital Tacchini</x:t>
  </x:si>
  <x:si>
    <x:t xml:space="preserve">Foram pagos R$ 119.800,00, que foi o valor necessário para execução do objeto da proposta apresentada ao FNS. Aquisição e instalação de duas novas máquinas de hemodiálise para o tratamento de pacientes nefrológicos crônicos e agudos através do SUS. O hospital atende pacientes de oito municípios da Serra Gaúcha.</x:t>
  </x:si>
  <x:si>
    <x:t xml:space="preserve">Vacaria</x:t>
  </x:si>
  <x:si>
    <x:t xml:space="preserve">Hospital Nossa Senhora da Oliveira, Vacaria, RS</x:t>
  </x:si>
  <x:si>
    <x:t xml:space="preserve">Hospital Nossa Senhora da Oliveira</x:t>
  </x:si>
  <x:si>
    <x:t xml:space="preserve">Aquisição de duas novas máquinas de hemodiálise para aumentar a oferta de vagas. Hoje o hospital tem em tratamento 76 pacientes fixos e mais os excedentes de pacientes de UTI. São realizadas inclusive sessões no turno da noite para atender à demanda. A instituição atende dez municípios da região.</x:t>
  </x:si>
  <x:si>
    <x:t xml:space="preserve">Prefeitura de Montenegro</x:t>
  </x:si>
  <x:si>
    <x:t xml:space="preserve">Videomonitoramento  (Transferência Especial) Transferegov: OB enviada pagto em 30/08/2023.</x:t>
  </x:si>
  <x:si>
    <x:t xml:space="preserve">Santa Rosa</x:t>
  </x:si>
  <x:si>
    <x:t xml:space="preserve">R. Carazinho, 63 - Sulina, Santa Rosa - RS, 98796-244</x:t>
  </x:si>
  <x:si>
    <x:t xml:space="preserve">APAE de Santa Rosa</x:t>
  </x:si>
  <x:si>
    <x:t xml:space="preserve">Melhorar acessibilidade da instituição</x:t>
  </x:si>
  <x:si>
    <x:t xml:space="preserve">Veranópolis</x:t>
  </x:si>
  <x:si>
    <x:t xml:space="preserve">R. São Francisco de Assis, 237 - Centro, Veranópolis - RS, 95330-000</x:t>
  </x:si>
  <x:si>
    <x:t xml:space="preserve">APAE de Veranópolis</x:t>
  </x:si>
  <x:si>
    <x:t xml:space="preserve">Construir duas salas de atendimento. Bom, tem orçamento e projeto arquitetônico</x:t>
  </x:si>
  <x:si>
    <x:t xml:space="preserve">Arroio Grande</x:t>
  </x:si>
  <x:si>
    <x:t xml:space="preserve">Hospital Santa Casa - R. Dr. Monteiro, 1164 - Arroio Grande, RS, 96330-000</x:t>
  </x:si>
  <x:si>
    <x:t xml:space="preserve">Santa Casa De Misericórdia De Arroio Grande</x:t>
  </x:si>
  <x:si>
    <x:t xml:space="preserve">Cruz Alta</x:t>
  </x:si>
  <x:si>
    <x:t xml:space="preserve">Hospital São Vicente de Paulo (Associação das Damas de Caridade), Cruz Alta, RS</x:t>
  </x:si>
  <x:si>
    <x:t xml:space="preserve">Hospital São Vicente de Paulo (Associação das Damas de Caridade)</x:t>
  </x:si>
  <x:si>
    <x:t xml:space="preserve">Recurso pago. Foram recebidos R$ 115.600,00. (Consulta realizada no Transferegov em 09/04/2024).</x:t>
  </x:si>
  <x:si>
    <x:t xml:space="preserve">Modernização do serviço de diálise com a aquisição de duas novas máquinas para tratamento. Aumento do número de atendimentos na Unidade de Terapia Renal e UTI.</x:t>
  </x:si>
  <x:si>
    <x:t xml:space="preserve">Rua Theno Jose Berlitz, 50 - Centro, Parobé - RS, CEP 95630-000</x:t>
  </x:si>
  <x:si>
    <x:t xml:space="preserve">Associacao Beneficente De Parobe Parobé - Rs</x:t>
  </x:si>
  <x:si>
    <x:t xml:space="preserve">Aquisição de 01 respirador neonatal, 01 ecografo portatil com transdutor linear e cardio e 01 monitor neonatal</x:t>
  </x:si>
  <x:si>
    <x:t xml:space="preserve">Lajeado</x:t>
  </x:si>
  <x:si>
    <x:t xml:space="preserve">Prefeitura Municipal, Lajeado, RS</x:t>
  </x:si>
  <x:si>
    <x:t xml:space="preserve">Equipamento de ultrassom para ser utilizado na qualificação do pré-natal e diagnóstico precoce de doenças ginecológicas na rede de atenção básica do município. Recurso enviado via Fundo Municipal de Saúde de Lajeado.</x:t>
  </x:si>
  <x:si>
    <x:t xml:space="preserve">Rua Guia Lopes, 4201, Bairro Canudos, Novo Hamburgo (NH), Rio Grande do Sul, CEP 93.548-013, Brasil.</x:t>
  </x:si>
  <x:si>
    <x:t xml:space="preserve">Investimento PAB</x:t>
  </x:si>
  <x:si>
    <x:t xml:space="preserve">Unidades da Brigada Militar em Porto Alegre e Região Metropolitana., Vários municípios, RS</x:t>
  </x:si>
  <x:si>
    <x:t xml:space="preserve">Unidades da Brigada Militar em Porto Alegre e Região Metropolitana.</x:t>
  </x:si>
  <x:si>
    <x:t xml:space="preserve">30400 unidades de munição calibre 9mm Luger para emprego dos brigadianos.</x:t>
  </x:si>
  <x:si>
    <x:t xml:space="preserve">Encantado</x:t>
  </x:si>
  <x:si>
    <x:t xml:space="preserve">Prefeitura Municipal, Encantado, RS</x:t>
  </x:si>
  <x:si>
    <x:t xml:space="preserve">Foram pagos procedimentos especializados para o hospital beneficencia camiliada do sul - hospital santa terezinha de encantado, no mes de maio/2020</x:t>
  </x:si>
  <x:si>
    <x:t xml:space="preserve">Garibaldi</x:t>
  </x:si>
  <x:si>
    <x:t xml:space="preserve">Prefeitura Municipal, Garibaldi, RS</x:t>
  </x:si>
  <x:si>
    <x:t xml:space="preserve">Prefeitura Municipal, Guaíba, RS</x:t>
  </x:si>
  <x:si>
    <x:t xml:space="preserve">Hospital São Paulo de Lagoa Vermelha, Lagoa Vermelha, RS</x:t>
  </x:si>
  <x:si>
    <x:t xml:space="preserve">Hospital São Paulo de Lagoa Vermelha</x:t>
  </x:si>
  <x:si>
    <x:t xml:space="preserve"> 102.000,00 para pagamento das contas de energia elétrica do Hospital dos meses de agosto, setembro, outubro, novembro e dezembro/2020 e janeiro, fevereiro e março/2021;  18.000,00 para aquisição de medicamentos, valor que vem sendo utilizado para cobrir o acréscimo de despesas decorrentes do aumento dos custos de medicamentos em razão da pandemia e  30.000,00 referente ao incremento dos contratos SUS (exigência do Estado do RS).</x:t>
  </x:si>
  <x:si>
    <x:t xml:space="preserve">Prefeitura Municipal, Santa Rosa, RS</x:t>
  </x:si>
  <x:si>
    <x:t xml:space="preserve">Santa Casa De Misericórdia de Pelotas, Pelotas, RS</x:t>
  </x:si>
  <x:si>
    <x:t xml:space="preserve">Santa Casa De Misericórdia de Pelotas</x:t>
  </x:si>
  <x:si>
    <x:t xml:space="preserve">Av. Jacarandá, S/N - CENTRO, Morro Redondo - RS, 96150-000</x:t>
  </x:si>
  <x:si>
    <x:t xml:space="preserve">Hospital Dr. Ernesto Maurício Arndt (Recurso transferido via FMS Morro Redondo - Ação 8581)</x:t>
  </x:si>
  <x:si>
    <x:t xml:space="preserve">Aquisição de Equipamentos Médicos Hospitalar (01 Cardioversor, 01 Monitor e 01 Ventilador Pulmonar) para o Hospital Dr. Ernesto Maurício Arndt de Morro Redondo/RS.</x:t>
  </x:si>
  <x:si>
    <x:t xml:space="preserve">Teutônia</x:t>
  </x:si>
  <x:si>
    <x:t xml:space="preserve">R. Fernando Ferrari, 506 - Centro, Teutônia - RS, 95890-000</x:t>
  </x:si>
  <x:si>
    <x:t xml:space="preserve">Hospital Ouro Branco</x:t>
  </x:si>
  <x:si>
    <x:t xml:space="preserve">Recurso pago (via FMS de Teutönia, que repassou ao hospital)</x:t>
  </x:si>
  <x:si>
    <x:t xml:space="preserve">Prefeitura de Feliz</x:t>
  </x:si>
  <x:si>
    <x:t xml:space="preserve">Cercamento eletrônico (Transferência Especial) Transferegov: OB enviada pagto em 30/08/2023.</x:t>
  </x:si>
  <x:si>
    <x:t xml:space="preserve">R. Cel. Benjamin Dávila Prado, 400 - Juscelino Kubitschek, Santa Maria - RS, 97035-230</x:t>
  </x:si>
  <x:si>
    <x:t xml:space="preserve">APAE de Santa Maria</x:t>
  </x:si>
  <x:si>
    <x:t xml:space="preserve">Construção de banheiro e reforma dos espaços da instituição</x:t>
  </x:si>
  <x:si>
    <x:t xml:space="preserve">Nova Prata</x:t>
  </x:si>
  <x:si>
    <x:t xml:space="preserve">Avenida Conego Peres, 765 - Centro, Nova Prata - RS</x:t>
  </x:si>
  <x:si>
    <x:t xml:space="preserve">Hospital Sao Joao Batista Nova Prata - Rs</x:t>
  </x:si>
  <x:si>
    <x:t xml:space="preserve">Aquisição 02 equipamentos de hemodiálise</x:t>
  </x:si>
  <x:si>
    <x:t xml:space="preserve">Rua Goiânia, 590 - Bairro Botafogo, Bento Gonçalves - RS, CEP 95700-010</x:t>
  </x:si>
  <x:si>
    <x:t xml:space="preserve">Fundo Municipal De Saude Bento Gonçalves - Rs</x:t>
  </x:si>
  <x:si>
    <x:t xml:space="preserve">Rua 20 de Setembro, 1216 - Centro, Bagé - Rio Grande do Sul, CEP 96400-050, Brasil</x:t>
  </x:si>
  <x:si>
    <x:t xml:space="preserve">Fundo Municipal De Saude Bagé - Rs</x:t>
  </x:si>
  <x:si>
    <x:t xml:space="preserve">Travessa Emilio Wolff, 40, Centro, Nova Prata - RS, CEP 95320-000</x:t>
  </x:si>
  <x:si>
    <x:t xml:space="preserve">Fundo Municipal Da Saude Nova Prata - Rs</x:t>
  </x:si>
  <x:si>
    <x:t xml:space="preserve">Ubiretama</x:t>
  </x:si>
  <x:si>
    <x:t xml:space="preserve">Município de Ubiretama - RS</x:t>
  </x:si>
  <x:si>
    <x:t xml:space="preserve">Município de Ubiretama</x:t>
  </x:si>
  <x:si>
    <x:t xml:space="preserve">Porto Mauá</x:t>
  </x:si>
  <x:si>
    <x:t xml:space="preserve">Fundo Municipal de Saúde de Porto Mauá - RS</x:t>
  </x:si>
  <x:si>
    <x:t xml:space="preserve">Município de Porto Mauá</x:t>
  </x:si>
  <x:si>
    <x:t xml:space="preserve">Três Forquilhas</x:t>
  </x:si>
  <x:si>
    <x:t xml:space="preserve">Fundo Municipal de Saúde de Três Forquilhas - RS</x:t>
  </x:si>
  <x:si>
    <x:t xml:space="preserve">Município de Três Forquilhas</x:t>
  </x:si>
  <x:si>
    <x:t xml:space="preserve">Entre-Ijuís</x:t>
  </x:si>
  <x:si>
    <x:t xml:space="preserve">Fundo Municipal de Saúde de Entre-Ijuís - RS</x:t>
  </x:si>
  <x:si>
    <x:t xml:space="preserve">Município de Entre-Ijuís</x:t>
  </x:si>
  <x:si>
    <x:t xml:space="preserve">Fundo Municipal de Saúde de Alegria - RS</x:t>
  </x:si>
  <x:si>
    <x:t xml:space="preserve">Nova Bassano</x:t>
  </x:si>
  <x:si>
    <x:t xml:space="preserve">Município de Nova Bassano - RS</x:t>
  </x:si>
  <x:si>
    <x:t xml:space="preserve">Município de Quinze de Novembro - RS</x:t>
  </x:si>
  <x:si>
    <x:t xml:space="preserve">Vale Real</x:t>
  </x:si>
  <x:si>
    <x:t xml:space="preserve">Fundo Municipal de Saúde de Vale Real - RS</x:t>
  </x:si>
  <x:si>
    <x:t xml:space="preserve">Senador Salgado Filho</x:t>
  </x:si>
  <x:si>
    <x:t xml:space="preserve">Rua Cruz Alta, 15, Centro, Senador Salgado Filho, RS, CEP 98895-000</x:t>
  </x:si>
  <x:si>
    <x:t xml:space="preserve">Fundo Municipal De Saude De Senador Salgado Filho Senador Salgado Filho - Rs</x:t>
  </x:si>
  <x:si>
    <x:t xml:space="preserve">Prefeitura de Riozinho</x:t>
  </x:si>
  <x:si>
    <x:t xml:space="preserve">Equipamentos para realização de exames de imagem e cirurgias eletivas.</x:t>
  </x:si>
  <x:si>
    <x:t xml:space="preserve">São Valentim</x:t>
  </x:si>
  <x:si>
    <x:t xml:space="preserve">Rua Osvaldo Telo, 144 - Centro, São Valentim - RS, CEP 99640-000</x:t>
  </x:si>
  <x:si>
    <x:t xml:space="preserve">Fundo Municipal De Saude - Sao Valentim São Valentim - Rs</x:t>
  </x:si>
  <x:si>
    <x:t xml:space="preserve">São João do Polêsine</x:t>
  </x:si>
  <x:si>
    <x:t xml:space="preserve">Fundo Municipal da Saúde, Rua Guilherme Alberti, 1631, Bairro Centro, São João do Polêsine - RS, CEP 97230-000</x:t>
  </x:si>
  <x:si>
    <x:t xml:space="preserve">Fundo Municipal Da Saude São João Do Polêsine - Rs</x:t>
  </x:si>
  <x:si>
    <x:t xml:space="preserve">75 mil unidades de munição calibre 9mm Luger para treinamento.</x:t>
  </x:si>
  <x:si>
    <x:t xml:space="preserve">Sananduva</x:t>
  </x:si>
  <x:si>
    <x:t xml:space="preserve">R. Eugênio Bernardi, 64 - Centro, Sananduva - RS, 99840-000</x:t>
  </x:si>
  <x:si>
    <x:t xml:space="preserve">APAE de Sananduva</x:t>
  </x:si>
  <x:si>
    <x:t xml:space="preserve">Construção de um jardim sensorial</x:t>
  </x:si>
  <x:si>
    <x:t xml:space="preserve">R. Águas Brancas, 300 - Águas Brancas, Três Coroas - RS, 95660-000</x:t>
  </x:si>
  <x:si>
    <x:t xml:space="preserve">APAE de Três Coroas</x:t>
  </x:si>
  <x:si>
    <x:t xml:space="preserve">Carro adaptado para transporte de cadeirantes (spin)</x:t>
  </x:si>
  <x:si>
    <x:t xml:space="preserve">Corpo de Bombeiros de Dois Irmãos, Dois Irmãos, RS</x:t>
  </x:si>
  <x:si>
    <x:t xml:space="preserve">Corpo de Bombeiros de Dois Irmãos</x:t>
  </x:si>
  <x:si>
    <x:t xml:space="preserve">Desencarcerador hidráulico</x:t>
  </x:si>
  <x:si>
    <x:t xml:space="preserve">Corpo de Bombeiros de Estância Velha, Estância Velha, RS</x:t>
  </x:si>
  <x:si>
    <x:t xml:space="preserve">Corpo de Bombeiros de Estância Velha</x:t>
  </x:si>
  <x:si>
    <x:t xml:space="preserve">11ª Delegacia de Polícia Regional – Erechim, Erechim, RS</x:t>
  </x:si>
  <x:si>
    <x:t xml:space="preserve">11ª Delegacia de Polícia Regional – Erechim</x:t>
  </x:si>
  <x:si>
    <x:t xml:space="preserve">Aquisição de Ferramenta Forense para extração, processamento e apoio na análise de dados e informações a partir de plataformas eletrônicas portáteis para a estruturação da 11ª Delegacia de Polícia Regional – Erechim</x:t>
  </x:si>
  <x:si>
    <x:t xml:space="preserve">6ª Delegacia de Polícia Regional – Passo Fundo, Passo Fundo, RS</x:t>
  </x:si>
  <x:si>
    <x:t xml:space="preserve">6ª Delegacia de Polícia Regional – Passo Fundo</x:t>
  </x:si>
  <x:si>
    <x:t xml:space="preserve">Recurso pago em 25/04/2022.</x:t>
  </x:si>
  <x:si>
    <x:t xml:space="preserve">Aquisição de Ferramenta Forense para extração, processamento e apoio na análise de dados e informações a partir de plataformas eletrônicas portáteis para a estruturação da 6ª Delegacia de Polícia Regional – Passo Fundo.</x:t>
  </x:si>
  <x:si>
    <x:t xml:space="preserve">3ª Delegacia de Polícia Regional – Santa Maria, Santa Maria, RS</x:t>
  </x:si>
  <x:si>
    <x:t xml:space="preserve">3ª Delegacia de Polícia Regional – Santa Maria</x:t>
  </x:si>
  <x:si>
    <x:t xml:space="preserve">Inexigibilidade de licitação aceita pelo Ministério. Recurso pago em 25/04/2022.</x:t>
  </x:si>
  <x:si>
    <x:t xml:space="preserve">Aquisição de Ferramenta Forense para extração, processamento e apoio na análise de dados e informações a partir de plataformas eletrônicas portáteis para a estruturação da 3ª Delegacia de Polícia Regional – Santa Maria.</x:t>
  </x:si>
  <x:si>
    <x:t xml:space="preserve">Associação Veranense de Assistência em Saúde - Hospital Comunitário São Peregrino Lazziozi, Veranópolis, RS</x:t>
  </x:si>
  <x:si>
    <x:t xml:space="preserve">Associação Veranense de Assistência em Saúde - Hospital Comunitário São Peregrino Lazziozi</x:t>
  </x:si>
  <x:si>
    <x:t xml:space="preserve">Convênio nº 914265 segue em execução. Já foram pagos R$ 125.745,00, com último desembolso em 03/07/2023. Saldo a desembolsar: R$ 36.735,00.</x:t>
  </x:si>
  <x:si>
    <x:t xml:space="preserve">Aparelho de anestesia para o bloco cirúrgico do hospital, substituindo um dos três aparelhos em operação desde 2011.</x:t>
  </x:si>
  <x:si>
    <x:t xml:space="preserve">Prefeitura de Lajeado</x:t>
  </x:si>
  <x:si>
    <x:t xml:space="preserve">Aquisição de armas e equipamentos (Transferência Especial) Transferegov: OB enviada pagto em 30/08/2023.</x:t>
  </x:si>
  <x:si>
    <x:t xml:space="preserve">Caxias do sul</x:t>
  </x:si>
  <x:si>
    <x:t xml:space="preserve">Hospital Pompeia, Caxias do sul, RS</x:t>
  </x:si>
  <x:si>
    <x:t xml:space="preserve">Hospital Pompeia (indicado através do Fundo Municipal de Saúde)</x:t>
  </x:si>
  <x:si>
    <x:t xml:space="preserve">Cambará do Sul</x:t>
  </x:si>
  <x:si>
    <x:t xml:space="preserve">Fundação Hospitalar São José de Cambará do Sul, Cambará do Sul, RS</x:t>
  </x:si>
  <x:si>
    <x:t xml:space="preserve">Fundação Hospitalar São José de Cambará do Sul</x:t>
  </x:si>
  <x:si>
    <x:t xml:space="preserve">Prefeitura Municipal, Santo Antônio da Patrulha, RS</x:t>
  </x:si>
  <x:si>
    <x:t xml:space="preserve">5ª Delegacia Penitenciária Regional - Pelotas, Pelotas, RS</x:t>
  </x:si>
  <x:si>
    <x:t xml:space="preserve">5ª Delegacia Penitenciária Regional - Pelotas</x:t>
  </x:si>
  <x:si>
    <x:t xml:space="preserve">Aparelhamento do Grupo de Intervenção Regional (GIR): 1 Viatura Tática de Transporte Rápido, 1 Escudo Balístico, 10 Espingarda PUMP Calibre 12.</x:t>
  </x:si>
  <x:si>
    <x:t xml:space="preserve">8ª Delegacia Penitenciária Regional - Santa Cruz do Sul, Santa Cruz do Sul, RS</x:t>
  </x:si>
  <x:si>
    <x:t xml:space="preserve">8ª Delegacia Penitenciária Regional - Santa Cruz do Sul</x:t>
  </x:si>
  <x:si>
    <x:t xml:space="preserve">Aparelhamento do Grupo de Intervenção Regional (GIR): 1 Viatura Tática de Transporte Rápido,10 Espingarda PUMP Calibre 12, 1 Escudo Balístico. </x:t>
  </x:si>
  <x:si>
    <x:t xml:space="preserve">8ª Delegacia de Polícia Regional - Caxias do Sul , Caxias do sul, RS</x:t>
  </x:si>
  <x:si>
    <x:t xml:space="preserve">8ª Delegacia de Polícia Regional - Caxias do Sul</x:t>
  </x:si>
  <x:si>
    <x:t xml:space="preserve">Departamento Estadual de Investigações do Narcotráfico (DENARC), Porto Alegre, RS</x:t>
  </x:si>
  <x:si>
    <x:t xml:space="preserve">Departamento Estadual de Investigações do Narcotráfico (DENARC)</x:t>
  </x:si>
  <x:si>
    <x:t xml:space="preserve">Pejuçara</x:t>
  </x:si>
  <x:si>
    <x:t xml:space="preserve">Associação Hospitalar Rio Branco De Pejuçara, Pejuçara, RS</x:t>
  </x:si>
  <x:si>
    <x:t xml:space="preserve">Associação Hospitalar Rio Branco De Pejuçara</x:t>
  </x:si>
  <x:si>
    <x:t xml:space="preserve">R. Carijós, 602 - Mauá, Novo Hamburgo - RS, 93548-500</x:t>
  </x:si>
  <x:si>
    <x:t xml:space="preserve">APAE de Novo Hamburgo</x:t>
  </x:si>
  <x:si>
    <x:t xml:space="preserve">Aquisição de mobília e equipamentos para a instituição</x:t>
  </x:si>
  <x:si>
    <x:t xml:space="preserve">Prefeitura de Encantado</x:t>
  </x:si>
  <x:si>
    <x:t xml:space="preserve">Equipamentos médicos para a CASA DA MULHER</x:t>
  </x:si>
  <x:si>
    <x:t xml:space="preserve">Avenida Sílvio Sanson, 1135, Centro, Guaporé – RS, 99200-000.</x:t>
  </x:si>
  <x:si>
    <x:t xml:space="preserve">Silveira Martins</x:t>
  </x:si>
  <x:si>
    <x:t xml:space="preserve">Rua 21 de Abril, 163, Centro, Silveira Martins - RS, CEP 97195-000.</x:t>
  </x:si>
  <x:si>
    <x:t xml:space="preserve">Rio Pardo</x:t>
  </x:si>
  <x:si>
    <x:t xml:space="preserve">Rua Andrade Neves, 324 - Centro, Rio Pardo - RS, 96640-000</x:t>
  </x:si>
  <x:si>
    <x:t xml:space="preserve">Ibarama</x:t>
  </x:si>
  <x:si>
    <x:t xml:space="preserve">Prefeitura Municipal de Ibarama, Rua Júlio Bridi, 523, Centro, Ibarama – Rio Grande do Sul, CEP 96925-000</x:t>
  </x:si>
  <x:si>
    <x:t xml:space="preserve">Avenida Independência, 800 - Campo Bom - RS, CEP 93700-000</x:t>
  </x:si>
  <x:si>
    <x:t xml:space="preserve">Charqueadas</x:t>
  </x:si>
  <x:si>
    <x:t xml:space="preserve">Avenida Dr. José Athanásio, 460 - Centro, Charqueadas - RS, CEP 96745-000</x:t>
  </x:si>
  <x:si>
    <x:t xml:space="preserve">General Câmara</x:t>
  </x:si>
  <x:si>
    <x:t xml:space="preserve">Rua Gal. Davi Canabarro, 120, Gen. Câmara, RS, 95820-000, Brasil</x:t>
  </x:si>
  <x:si>
    <x:t xml:space="preserve">São José do Norte</x:t>
  </x:si>
  <x:si>
    <x:t xml:space="preserve">Prefeitura Municipal de São José do Norte - Rua Edgardo Pereira Velho, 635 - Bairro Tamandaré, São José do Norte - RS, CEP 96225-000</x:t>
  </x:si>
  <x:si>
    <x:t xml:space="preserve">Rua Carlos Enslin, 165 - Centro, Arroio do Tigre - RS, CEP 96950-000</x:t>
  </x:si>
  <x:si>
    <x:t xml:space="preserve">Rua Monsenhor Scalabrini, 1047 – Centro, Encantado – RS, CEP 95960-000</x:t>
  </x:si>
  <x:si>
    <x:t xml:space="preserve">Rua Venâncio Aires, 2277 - Centro, Santa Maria - RS, CEP 97010-005</x:t>
  </x:si>
  <x:si>
    <x:t xml:space="preserve">Nova Santa Rita</x:t>
  </x:si>
  <x:si>
    <x:t xml:space="preserve">Rua Doutor Lourenço Záccaro, 1449 - Centro, Nova Santa Rita - RS, CEP 92480-000</x:t>
  </x:si>
  <x:si>
    <x:t xml:space="preserve">Hospital Geral de Caxias do Sul, Caxias do sul, RS</x:t>
  </x:si>
  <x:si>
    <x:t xml:space="preserve">Hospital Geral de Caxias do Sul</x:t>
  </x:si>
  <x:si>
    <x:t xml:space="preserve">O recurso foi utilizado para a aquisição de insumos de uso mensal, como: Papel A4, Luvas de procedimentos, Micropore, Máscara descartável, Campo operatório, Escova descartável com clorexidina, Compressa cirúrgica, Algodão, Gaze e Compressa de gaze.</x:t>
  </x:si>
  <x:si>
    <x:t xml:space="preserve">Farroupilha</x:t>
  </x:si>
  <x:si>
    <x:t xml:space="preserve">Hospital Beneficente São Carlos, Farroupilha, RS</x:t>
  </x:si>
  <x:si>
    <x:t xml:space="preserve">Hospital Beneficente São Carlos</x:t>
  </x:si>
  <x:si>
    <x:t xml:space="preserve">O recurso foi utilizado para a complementação de pagamento de Serviços de Terceiros - Pessoa Jurídica , especialmente para honorários médicos. O plano de trabalho foi apresentado e aprovado pelo Conselho Municipal de Saúde de Farroupilha, fez parte através de termo Aditivo ao Contrato de Prestação de Serviços 01/2020 que este Hospital mantém com o Município que é Gestão Plena na saúde, e após a aplicação foi realizada a devida prestação de contas, de acordo com as normas estabelecidas pelo Gestor Local de Saúde.</x:t>
  </x:si>
  <x:si>
    <x:t xml:space="preserve">Júlio de Castilhos</x:t>
  </x:si>
  <x:si>
    <x:t xml:space="preserve">Hospital Bernardina Salles de Barros, Júlio de Castilhos, RS</x:t>
  </x:si>
  <x:si>
    <x:t xml:space="preserve">Hospital Bernardina Salles de Barros</x:t>
  </x:si>
  <x:si>
    <x:t xml:space="preserve">Recurso para a transformação da fonte de energia do hospital de tradicional para solar fotovoltaica</x:t>
  </x:si>
  <x:si>
    <x:t xml:space="preserve">Módulos fotovoltaicos (painéis solares) com potência mínima de 335kWp e garantia de 10 anos; Inversor fotovoltaico com potência mínima de 75kWp e 05 anos de garantia, sendo vedada a utilização de mais de um inversor para a proposta; A empresa deve ter filial em uma distância máxima de 150 quilômetros da sede da contratante; A geração anual estimada de energia deve ser de no mínimo 81.000,00 kWh, sendo 200 painéis o quantitativo máximo a ser instalado; </x:t>
  </x:si>
  <x:si>
    <x:t xml:space="preserve">Soc. Beneficência e Caridade de Lajeado (Hosp. Bruno Born), Lajeado, RS</x:t>
  </x:si>
  <x:si>
    <x:t xml:space="preserve">Soc. Beneficência e Caridade de Lajeado (Hosp. Bruno Born)</x:t>
  </x:si>
  <x:si>
    <x:t xml:space="preserve">Materiais e medicamentos exclusivamente para pacientes do SUS.</x:t>
  </x:si>
  <x:si>
    <x:t xml:space="preserve">ACSC - Hospital Regina, Novo Hamburgo, RS</x:t>
  </x:si>
  <x:si>
    <x:t xml:space="preserve">ACSC - Hospital Regina</x:t>
  </x:si>
  <x:si>
    <x:t xml:space="preserve">Com os nossos cordiais cumprimentos, a Associação Congregação de Santa Catarina - Hospital Regina, inscrito sob CNPJ nº 91.681.361/0003-68 e CNES 2232057, vem por meio desta apresentar a prestação de contas referente à indicação de Emenda Impositiva Individual de número 41160005 no valor de  200.000,00. Conforme acompanhamento da liberação da emenda parlamentar supramencionada, a liberação de recursos financeiros foi realizada através da Portaria Nº 599 de 27 de março de 2020, repassada pelo Fundo Nacional de Saúde ao Fundo Municipal de Saúde de Novo Hamburgo em 08/04/2020. O plano de trabalho referente à aplicação do recurso financeiro (em anexo) foi entregue para a Secretaria Municipal de Saúde de Novo Hamburgo em 13/04/2020, sendo celebrado o Convênio 005/2020 em 09/06/2020 com depósito bancário para o Hospital Regina em 18/06/2020. Tendo em vista o plano de trabalho apresentado, foram liberados 20 novos acessos para o serviço de oncologia /SUS (primeira consulta), entre os meses de julho e agosto, nas especialidades oncológicas de ginecologia e cirurgia geral (conforme necessidade relatada pelo Gestor Municipal) e todos os pacientes continuam em tratamento no serviço. Desta forma, segue em anexo a lista com os pacientes encaminhados pelo setor de regulação da Secretaria Municipal de Saúde de Novo Hamburgo e atendidos por esta Instituição com recursos oriundos da emenda parlamentar. Nome* Dt. Primeira Consulta Especialista Município 1 A.F. da R. 12/08/2020 Gineco Onco Novo Hamburgo 2 A. M. F. 12/08/2020 Gineco Onco Novo Hamburgo 3 C. C. dos R. 30/07/2020 Cirugico Geral Onco Novo Hamburgo 4 C. C. R. 30/07/2020 Cirugico Geral Onco Novo Hamburgo 5 D. F. do N. 29/07/2020 Gineco Onco Novo Hamburgo 6 G. K. de G. 12/08/2020 Gineco Onco Novo Hamburgo 7 G. S. V. 23/07/2020 Cirugico Geral Onco Novo Hamburgo 8 I. J. L. 28/07/2020 Cirugico Geral Onco Dois Irmãos 9 L. B. 12/08/2020 Gineco Onco Novo Hamburgo 10 L. G. da S. C. B. 28/07/2020 Cirugico Geral Onco Novo Hamburgo 11 M. R. de O. 05/08/2020 Gineco Onco Novo Hamburgo 12 M. W. 28/07/2020 Cirugico Geral Onco Dois Irmãos 13 M. de F. da S. 12/08/2020 Gineco Onco Novo Hamburgo 14 M. E. da S. de A. 28/07/2020 Cirugico Geral Onco Novo Hamburgo 15 O. M. K. L. 23/07/2020 Cirugico Geral Onco Novo Hamburgo 16 P. A. M. 30/07/2020 Cirugico Geral Onco Novo Hamburgo 17 R. H. 28/07/2020 Cirugico Geral Onco Estância Velha 18 R. S. 28/07/2020 Cirugico Geral Onco Estância Velha 19 S. S. V. 05/08/2020 Gineco Onco Novo Hamburgo 20 S. A. de S. 23/07/2020 Cirugico Geral Onco Novo Hamburgo * Devido a LGPD, colocamos as iniciais do nome dos pacientes a fim de preservar os dados pessoais. Neste sentido, a Associação Congregação de Santa Catarina - Hospital Regina expressa gratidão pelo gesto e ação realizada pelo Deputado Federal Marcel Van Hatten em prol da população atendida em nossa unidade de Oncologia/SUS.</x:t>
  </x:si>
  <x:si>
    <x:t xml:space="preserve">Santa Bárbara do Sul</x:t>
  </x:si>
  <x:si>
    <x:t xml:space="preserve">Hospital Santa Bárbara Beneficente, Santa Bárbara do Sul, RS</x:t>
  </x:si>
  <x:si>
    <x:t xml:space="preserve">Hospital Santa Bárbara Beneficente</x:t>
  </x:si>
  <x:si>
    <x:t xml:space="preserve"> 162.800,00 Instalação do Sistema Fotovoltaico -  7.000,00 Instalação de Sistema de Vigilância Eletrônica -  30.200,00 Honorários Médicos</x:t>
  </x:si>
  <x:si>
    <x:t xml:space="preserve">Hospital Ana Nery, Santa Cruz do Sul, RS</x:t>
  </x:si>
  <x:si>
    <x:t xml:space="preserve">Hospital Ana Nery</x:t>
  </x:si>
  <x:si>
    <x:t xml:space="preserve">Exmo. Deputado. Informamos que já executamos a totalidade do recurso encaminhado pelo Sr. ao nosso hospital. Devido as intensas adversidades deste ano - com a pandemia do Covid-19, nos vimos obrigados a nos reinventar financeiramente e alterar nossos plenos de curto e médio prazo, com objetivo de atender a população e combater os avanços e os danos da pandemia. Desta forma, declaramos que o recurso foi utilizado para aquisição de equipamentos e instrumentais de video cirurgia (conforme plano original), mas também para conserto de equipamentos da mesma área. Bem como, de forma emergencial, fizemos a aquisição de um respirador/ventilador pulmonar e também de um monitor multiparâmetros, ambos utilizados diretamente no combate do Covid-19. Em anexo encaminhamos documento PDF com o compilado de todas NFs anexadas a esta prestação de contas. O valor total aplicado soma  216.956,44. Agradeçemos mais uma vez a sua indicação e nos colocamos a inteira disposição. E seguimos com nosso objetivo de aquisição de um novo sistema de video-cirurgia - contamos com seu futuro apoio na indicação de novos recursos para alcançarmos este objetivo!</x:t>
  </x:si>
  <x:si>
    <x:t xml:space="preserve">São Leopoldo</x:t>
  </x:si>
  <x:si>
    <x:t xml:space="preserve">Fundação Hospital Centenário, São Leopoldo, RS</x:t>
  </x:si>
  <x:si>
    <x:t xml:space="preserve">Fundação Hospital Centenário</x:t>
  </x:si>
  <x:si>
    <x:t xml:space="preserve">
Hospital Beneficente Dr. Cesar Santos, Passo Fundo, RS</x:t>
  </x:si>
  <x:si>
    <x:t xml:space="preserve">
Hospital Beneficente Dr. Cesar Santos</x:t>
  </x:si>
  <x:si>
    <x:t xml:space="preserve">Equipamento pediátrico</x:t>
  </x:si>
  <x:si>
    <x:t xml:space="preserve">Porto Lucena</x:t>
  </x:si>
  <x:si>
    <x:t xml:space="preserve">, Porto Lucena, RS</x:t>
  </x:si>
  <x:si>
    <x:t xml:space="preserve">Prefeitura Municipal, São Borja, RS</x:t>
  </x:si>
  <x:si>
    <x:t xml:space="preserve">Equipamentos para o Centro/Núcleo de Atenção Psicossocial (CAPS/NAPS)
 e veículo de transporte de equipe (5 lugares). Recurso enviado via Fundo Municipal de Saúde de São Borja. </x:t>
  </x:si>
  <x:si>
    <x:t xml:space="preserve">Cachoeira do Sul</x:t>
  </x:si>
  <x:si>
    <x:t xml:space="preserve">Hospital de Caridade e Beneficência de Cachoeira do Sul, Cachoeira do Sul, RS</x:t>
  </x:si>
  <x:si>
    <x:t xml:space="preserve">Hospital de Caridade e Beneficência de Cachoeira do Sul</x:t>
  </x:si>
  <x:si>
    <x:t xml:space="preserve">Energia fotovoltaica</x:t>
  </x:si>
  <x:si>
    <x:t xml:space="preserve">Hospital Beneficente Alto Jacuí, Não-Me-Toque, RS</x:t>
  </x:si>
  <x:si>
    <x:t xml:space="preserve">Hospital Beneficente Alto Jacuí</x:t>
  </x:si>
  <x:si>
    <x:t xml:space="preserve">Custeio para o hospital (emenda de bancada).</x:t>
  </x:si>
  <x:si>
    <x:t xml:space="preserve">Hospital Santa Barbara Beneficente, Santa Bárbara do Sul, RS</x:t>
  </x:si>
  <x:si>
    <x:t xml:space="preserve">Hospital Santa Barbara Beneficente</x:t>
  </x:si>
  <x:si>
    <x:t xml:space="preserve">Prefeitura Municipal, Ivoti, RS</x:t>
  </x:si>
  <x:si>
    <x:t xml:space="preserve">Prefeitura de Ivoti</x:t>
  </x:si>
  <x:si>
    <x:t xml:space="preserve">- 1 mesa cirúrgica elétrica
- 5 monitores multiparamétricos
- 1 desfibrilador automático de mesa
- 1 eletrocautério
- 2 carros-maca hidráulicos.</x:t>
  </x:si>
  <x:si>
    <x:t xml:space="preserve">R. Bento Gonçalves, 10 - Vl Borges, Marau - RS, 99150-000</x:t>
  </x:si>
  <x:si>
    <x:t xml:space="preserve">Associação Hospitalar Beneficente De Marau</x:t>
  </x:si>
  <x:si>
    <x:t xml:space="preserve">Unitarizadora de medicamentos</x:t>
  </x:si>
  <x:si>
    <x:t xml:space="preserve">Rua Pastor Hunshe, 823 - Logradouro, Nova Petrópolis - RS, 95150-000</x:t>
  </x:si>
  <x:si>
    <x:t xml:space="preserve">Na compra de equipamento (s): VM Transporte, Ap. ECG, Eletrocautério, etc</x:t>
  </x:si>
  <x:si>
    <x:t xml:space="preserve">R. São Leopoldo, 996 - Centro, Portão - RS, 93180-000</x:t>
  </x:si>
  <x:si>
    <x:t xml:space="preserve">Fundação Hospitalar Educacional E Social De Portão</x:t>
  </x:si>
  <x:si>
    <x:t xml:space="preserve">Contratação de empresa Especializada para busca da Acreditação Hospitalar</x:t>
  </x:si>
  <x:si>
    <x:t xml:space="preserve">Hospital Da Criança Santo Antonio</x:t>
  </x:si>
  <x:si>
    <x:t xml:space="preserve">Hospital Da Criança Santo Antonio- Complexo Hospitalar Santa Casa De Misericordia De Porto Alegre</x:t>
  </x:si>
  <x:si>
    <x:t xml:space="preserve">2 aparelhos móveis de eletroencefalograma para monitorização dos pacientes da UTI pediátrica do Hospital da Criança Santo Antônio</x:t>
  </x:si>
  <x:si>
    <x:t xml:space="preserve">Lançado no SIOP como beneficiário o Fundo Estadual de Saúde</x:t>
  </x:si>
  <x:si>
    <x:t xml:space="preserve">Maximiliano de Almeida</x:t>
  </x:si>
  <x:si>
    <x:t xml:space="preserve">Av. José Bonifácio, 340, Maximiliano de Almeida - RS, 99890-000</x:t>
  </x:si>
  <x:si>
    <x:t xml:space="preserve">Prefeitura de Maximiliano de Almeida</x:t>
  </x:si>
  <x:si>
    <x:t xml:space="preserve">Rua Marechal Floriano Peixoto, 426, Bairro Centro, São Sebastião do Caí, RS, CEP 95760-000.</x:t>
  </x:si>
  <x:si>
    <x:t xml:space="preserve">Rua XV de Novembro, 364 - Centro, Cachoeira do Sul - RS, CEP 96508-750, Brasil</x:t>
  </x:si>
  <x:si>
    <x:t xml:space="preserve">Candelária</x:t>
  </x:si>
  <x:si>
    <x:t xml:space="preserve">Avenida Pereira Rego, 1665, Centro, Candelária - RS, CEP 96930-000</x:t>
  </x:si>
  <x:si>
    <x:t xml:space="preserve">Avenida Ruby Kney, 350, Bairro Industrial, Lindolfo Collor - RS, CEP 93940-000.</x:t>
  </x:si>
  <x:si>
    <x:t xml:space="preserve">Rua XV de Novembro, 364 - Centro, Cachoeira do Sul - RS, CEP 96508-750</x:t>
  </x:si>
  <x:si>
    <x:t xml:space="preserve">Avenida Independência, 800 - Centro, Campo Bom - RS, CEP 93701-900</x:t>
  </x:si>
  <x:si>
    <x:t xml:space="preserve">Rua Engenheiro Hener de Souza Nunes, 150 - Centro, Esteio - RS, CEP 93260-120</x:t>
  </x:si>
  <x:si>
    <x:t xml:space="preserve">Restinga Sêca</x:t>
  </x:si>
  <x:si>
    <x:t xml:space="preserve">Rua Moisés Cantarelli, 368 - Centro, Restinga Seca - RS, CEP 97200-000</x:t>
  </x:si>
  <x:si>
    <x:t xml:space="preserve">Rua Marechal Floriano Peixoto, 426 - Centro, São Sebastião do Caí - RS, CEP 95760-000, Brasil</x:t>
  </x:si>
  <x:si>
    <x:t xml:space="preserve">São Martinho da Serra</x:t>
  </x:si>
  <x:si>
    <x:t xml:space="preserve">Avenida Osvaldo de Souza, nº 124 - Centro, São Martinho da Serra - RS, CEP 97190-000</x:t>
  </x:si>
  <x:si>
    <x:t xml:space="preserve">São Valentim do Sul</x:t>
  </x:si>
  <x:si>
    <x:t xml:space="preserve">Prefeitura Municipal de São Valentim do Sul, Rua João Scussel, 66 - Centro, São Valentim do Sul - RS, CEP 99240-000</x:t>
  </x:si>
  <x:si>
    <x:t xml:space="preserve">Prefeitura Municipal de Igrejinha, Av. Ildo Meneghetti, nº 757 - Bairro XV de Novembro, Igrejinha - RS, CEP 95650-000</x:t>
  </x:si>
  <x:si>
    <x:t xml:space="preserve">Pareci Novo</x:t>
  </x:si>
  <x:si>
    <x:t xml:space="preserve">Rua João Inácio Teixeira, 70 - Centro, Pareci Novo - RS, CEP 95783-000</x:t>
  </x:si>
  <x:si>
    <x:t xml:space="preserve">Triunfo</x:t>
  </x:si>
  <x:si>
    <x:t xml:space="preserve">Avenida José Veríssimo dos Santos, 365 - Centro, Triunfo - PE, 56870-000</x:t>
  </x:si>
  <x:si>
    <x:t xml:space="preserve">Rua Alfredo Chaves, 366 - Centro, Veranópolis - RS, CEP 95330-000, Brasil</x:t>
  </x:si>
  <x:si>
    <x:t xml:space="preserve">Fundo Municipal de saúde de Veranópolis</x:t>
  </x:si>
  <x:si>
    <x:t xml:space="preserve">Veículo de passeio para transporte de equipe e Itens de apoio para a unidade do CAPS</x:t>
  </x:si>
  <x:si>
    <x:t xml:space="preserve">Doutor Ricardo</x:t>
  </x:si>
  <x:si>
    <x:t xml:space="preserve">RS 332, KM 21, 1111, Centro, Doutor Ricardo, Rio Grande do Sul, CEP 95967-000</x:t>
  </x:si>
  <x:si>
    <x:t xml:space="preserve">Fundo Municipal De Saude De Doutor Ricardo Doutor Ricardo - Rs</x:t>
  </x:si>
  <x:si>
    <x:t xml:space="preserve">Fontoura Xavier</x:t>
  </x:si>
  <x:si>
    <x:t xml:space="preserve">Avenida 25 de Abril, 900 - Centro, Fontoura Xavier - RS, CEP 99370-000</x:t>
  </x:si>
  <x:si>
    <x:t xml:space="preserve">Fundo Municipal De Saude Fontoura Xavier - Rs</x:t>
  </x:si>
  <x:si>
    <x:t xml:space="preserve">A aquisição de equipamentos para a UBS de Itacurubi para melhorar a qualidade do atendimento à população.
 A compra de itens como mesas, cadeiras, computadores, equipamentos médicos (balanças, oxímetros, estetoscópios) e materiais para atendimento emergencial (maca, nebulizador, autoclave) proporcionará diagnósticos mais rápidos, maior conforto para os pacientes e mais eficiência nas atividades da unidade.</x:t>
  </x:si>
  <x:si>
    <x:t xml:space="preserve">Passa Sete</x:t>
  </x:si>
  <x:si>
    <x:t xml:space="preserve">Adolpho Emílio Karnopp, 660 - Centro, Passa Sete - RS</x:t>
  </x:si>
  <x:si>
    <x:t xml:space="preserve">Fundo Municipal De Saude De Passa Sete Rs Passa Sete - Rs</x:t>
  </x:si>
  <x:si>
    <x:t xml:space="preserve">Aquisição de um VEÍCULO DE TRANSPORTE SANITÁRIO, equipado para atender a um cadeirante, e uma AMBULÂNCIA TIPO A, destinada a simples remoção, tipo furgão.</x:t>
  </x:si>
  <x:si>
    <x:t xml:space="preserve">Pinhal Grande</x:t>
  </x:si>
  <x:si>
    <x:t xml:space="preserve">Avenida Integração, 2600, Centro, Pinhal Grande - RS, CEP 98150-000</x:t>
  </x:si>
  <x:si>
    <x:t xml:space="preserve">Fundo Municipal De Saude Pinhal Grande - Rs</x:t>
  </x:si>
  <x:si>
    <x:t xml:space="preserve">Vale Verde</x:t>
  </x:si>
  <x:si>
    <x:t xml:space="preserve">Rua Frederico Trarbach, 716 - Centro, Vale Verde - RS, CEP 95833-000, Brasil.</x:t>
  </x:si>
  <x:si>
    <x:t xml:space="preserve">Fundo Municipal De Saude De Vale Verde - Rs Vale Verde - Rs</x:t>
  </x:si>
  <x:si>
    <x:t xml:space="preserve">O projeto tem como finalidade a aquisição de um VEÍCULO DE TRANSPORTE SANITÁRIO, equipado para atender a um cadeirante, e uma AMBULÂNCIA TIPO A, destinada a simples remoção, tipo furgão.</x:t>
  </x:si>
  <x:si>
    <x:t xml:space="preserve">Bozano</x:t>
  </x:si>
  <x:si>
    <x:t xml:space="preserve">Rua Silvio Frederico Ceccato, nº 518, Centro, Bozano - RS, CEP 98733-000</x:t>
  </x:si>
  <x:si>
    <x:t xml:space="preserve">Municipio De Bozano Bozano - Rs</x:t>
  </x:si>
  <x:si>
    <x:t xml:space="preserve">Transferências Especiais para investimento em Segurança Pública</x:t>
  </x:si>
  <x:si>
    <x:t xml:space="preserve">Aquisição de Viatura para Brigada Militar do Município de Bozano</x:t>
  </x:si>
  <x:si>
    <x:t xml:space="preserve">Barra do Ribeiro</x:t>
  </x:si>
  <x:si>
    <x:t xml:space="preserve">Fundo Municipal de Saúde – FMS Barra do Ribeiro RS, Rodovia 709, SN (Km 03), Bairro Três Vendas, Barra do Ribeiro - RS, CEP 92870-000</x:t>
  </x:si>
  <x:si>
    <x:t xml:space="preserve">Fundo Municipal De Saude-Fms Barra Do Ribeiro Rs Barra Do Ribeiro - Rs</x:t>
  </x:si>
  <x:si>
    <x:t xml:space="preserve">Equipamentos diversos para O Pronto Atendimento Municipal 24 horas Wilmar Bischoff</x:t>
  </x:si>
  <x:si>
    <x:t xml:space="preserve">Fundo Municipal de Saúde de São Lourenço do Sul, Rua Senador Pinheiro Machado, 100, Casa, Centro, São Lourenço do Sul - RS, 96170-000</x:t>
  </x:si>
  <x:si>
    <x:t xml:space="preserve">Fundo Municipal De Saude De Sao Lourenco Do Sul São Lourenço Do Sul - Rs</x:t>
  </x:si>
  <x:si>
    <x:t xml:space="preserve">Aquisição de Equipamentos - Santa Casa da Misericórdia de São Lourenço do Sul</x:t>
  </x:si>
  <x:si>
    <x:t xml:space="preserve">Taquari</x:t>
  </x:si>
  <x:si>
    <x:t xml:space="preserve">Rua Osvaldo Aranha, 1697 - Centro, Taquari - RS, CEP 95860-000, Brasil</x:t>
  </x:si>
  <x:si>
    <x:t xml:space="preserve">Fundo Municipal De Saude - Taquari Taquari - Rs</x:t>
  </x:si>
  <x:si>
    <x:t xml:space="preserve">Aquisição de onze monitores multiparâmetros para a UTI da Associação Taquariense de Saúde.</x:t>
  </x:si>
  <x:si>
    <x:t xml:space="preserve">São Jerônimo</x:t>
  </x:si>
  <x:si>
    <x:t xml:space="preserve">Rua Luis Miller Picarelli, S/N, Centro, São Jerônimo, RS, 96700-000</x:t>
  </x:si>
  <x:si>
    <x:t xml:space="preserve">Fundo Municipal De Saude De Sao Jeronimo Rs São Jerônimo - Rs</x:t>
  </x:si>
  <x:si>
    <x:t xml:space="preserve">Compra de três equipamentos para o Centro Cirúrgico:
  Intensificador de Imagens do Arco Cirúrgico (Arco C)
  Aparelho de Litotripsia
 Instrumentação para CPRE (Colangiopancreatografia Endoscópica Retrógrada)</x:t>
  </x:si>
  <x:si>
    <x:t xml:space="preserve">Porto Xavier</x:t>
  </x:si>
  <x:si>
    <x:t xml:space="preserve">Associação da Rede de Beneficência Cristã – Associação Privada, Rua Osvaldo Cruz, Centro, Navegantes - SC, CEP 88370-543, Brasil</x:t>
  </x:si>
  <x:si>
    <x:t xml:space="preserve">Associacao Hospital De Caridade Nossa Senhora Dos Navegantes Porto Xavier - Rs</x:t>
  </x:si>
  <x:si>
    <x:t xml:space="preserve">"1 Ultrassom Diagnóstico sem Aplicação Transesofágica
 1 Carro maca avançado
 37 Suporte de Soro
 2 Bomba de Infusão
 1 Elevador para Transposição de Leito"</x:t>
  </x:si>
  <x:si>
    <x:t xml:space="preserve">Progresso</x:t>
  </x:si>
  <x:si>
    <x:t xml:space="preserve">Rua da Gruta, 145, Bairro Cascata, Porto Alegre - RS, CEP 91712-160, Brasil. Telefone: (51) 3320-6000.</x:t>
  </x:si>
  <x:si>
    <x:t xml:space="preserve">Sociedade Sulina Divina Providencia Progresso - Rs</x:t>
  </x:si>
  <x:si>
    <x:t xml:space="preserve">Adquirir 2 Videolaringoscópio e 
 1 Berço aquecido de calor irradiante</x:t>
  </x:si>
  <x:si>
    <x:t xml:space="preserve">Seberi</x:t>
  </x:si>
  <x:si>
    <x:t xml:space="preserve">Travessa Roberto Schmidt, 73 - Centro, Seberi - RS, CEP 98380-000</x:t>
  </x:si>
  <x:si>
    <x:t xml:space="preserve">Fundacao Hospitalar Pio Xii Seberi - Rs</x:t>
  </x:si>
  <x:si>
    <x:t xml:space="preserve">Equipar nossa maternidade regional:
 Berço Aquecido
 Amnioscópio
 Bilirrubinômetro
 BIPAP com Monitor Gráfico
 Detector Fetal
 Incubadora Neonatal (estacionária)
 Incubadora de Transporte Neonatal</x:t>
  </x:si>
  <x:si>
    <x:t xml:space="preserve">Canudos do Vale</x:t>
  </x:si>
  <x:si>
    <x:t xml:space="preserve">Rua João José Briesch, 457, Centro, Canudos do Vale - RS, CEP 95933-000</x:t>
  </x:si>
  <x:si>
    <x:t xml:space="preserve">Fundo Municipal Da Saude - Canudos Do Vale Canudos Do Vale - Rs</x:t>
  </x:si>
  <x:si>
    <x:t xml:space="preserve">Colinas</x:t>
  </x:si>
  <x:si>
    <x:t xml:space="preserve">Fundo Municipal De Saude Colinas - Rs</x:t>
  </x:si>
  <x:si>
    <x:t xml:space="preserve">Aquisição de veículo tipo VAN - para transporte pacientes em consultas especializadas</x:t>
  </x:si>
  <x:si>
    <x:t xml:space="preserve">Coqueiro Baixo</x:t>
  </x:si>
  <x:si>
    <x:t xml:space="preserve">Avenida Italia, 1660, Centro, Coqueiro Baixo, Rio Grande do Sul, CEP 95955-000</x:t>
  </x:si>
  <x:si>
    <x:t xml:space="preserve">Coqueiro Baixo - Fundo Municipal De Saude Coqueiro Baixo - Rs</x:t>
  </x:si>
  <x:si>
    <x:t xml:space="preserve">Dois veículos de transporte de Paciente</x:t>
  </x:si>
  <x:si>
    <x:t xml:space="preserve">Rua dos Andradas, 846, Centro, Porto Alegre, RS, 90020-006</x:t>
  </x:si>
  <x:si>
    <x:t xml:space="preserve">Associacao Dos Funcionarios Publicos Do Estado Do Rio Grande Do Sul São Jerônimo - Rs</x:t>
  </x:si>
  <x:si>
    <x:t xml:space="preserve">Severiano de Almeida</x:t>
  </x:si>
  <x:si>
    <x:t xml:space="preserve">Praça 12 de Abril, 117 - Centro, Severiano de Almeida - RS, CEP 99810-000</x:t>
  </x:si>
  <x:si>
    <x:t xml:space="preserve">Municipio De Severiano De Almeida Severiano De Almeida - Rs</x:t>
  </x:si>
  <x:si>
    <x:t xml:space="preserve">Transferências Especiais para investimento em Saúde</x:t>
  </x:si>
  <x:si>
    <x:t xml:space="preserve">Investimento em atenção Primária</x:t>
  </x:si>
  <x:si>
    <x:t xml:space="preserve">Ponte Preta</x:t>
  </x:si>
  <x:si>
    <x:t xml:space="preserve">Av. Severino Senhori, 299 - Centro, Ponte Preta - RS, CEP 99735-000</x:t>
  </x:si>
  <x:si>
    <x:t xml:space="preserve">Municipio De Ponte Preta Ponte Preta - Rs</x:t>
  </x:si>
  <x:si>
    <x:t xml:space="preserve">Aquisição de uma Van para transportes de pacientes</x:t>
  </x:si>
  <x:si>
    <x:t xml:space="preserve">Ivorá</x:t>
  </x:si>
  <x:si>
    <x:t xml:space="preserve">Rua Garibaldi, 304, Centro, Ivorá - RS, CEP 98160-000, Brasil.</x:t>
  </x:si>
  <x:si>
    <x:t xml:space="preserve">Municipio De Ivora Ivorá - Rs</x:t>
  </x:si>
  <x:si>
    <x:t xml:space="preserve">Dona Francisca</x:t>
  </x:si>
  <x:si>
    <x:t xml:space="preserve">Rua do Comércio, 619 - Centro, Dona Francisca - RS, CEP 97280-000</x:t>
  </x:si>
  <x:si>
    <x:t xml:space="preserve">Municipio De Dona Francisca Dona Francisca - Rs</x:t>
  </x:si>
  <x:si>
    <x:t xml:space="preserve">Equipamentos para equipar as unidades de Saúde</x:t>
  </x:si>
  <x:si>
    <x:t xml:space="preserve">Piratini</x:t>
  </x:si>
  <x:si>
    <x:t xml:space="preserve">Avenida Seis de Julho, 42 - Centro, Piratini - RS, CEP 96490-000</x:t>
  </x:si>
  <x:si>
    <x:t xml:space="preserve">Hospital De Caridade Nossa Senhora Da Conceicao De Pira Piratini - Rs</x:t>
  </x:si>
  <x:si>
    <x:t xml:space="preserve">Aquisição de 01 (um) sistema de vídeo endoscópio rígido, 01 (uma) mesa cirúrgica elétrica e 01 (um) foco cirúrgico de teto, ambos equipamentos para complementar as salas cirúrgicas que possuímos na instituição.</x:t>
  </x:si>
  <x:si>
    <x:t xml:space="preserve">Ibiaçá</x:t>
  </x:si>
  <x:si>
    <x:t xml:space="preserve">Marechal Castelo Branco, 545, Centro, Ibiaçá – RS, CEP 99940-000</x:t>
  </x:si>
  <x:si>
    <x:t xml:space="preserve">Fundo Municipal De Saude De Ibiaca Rs Ibiaçá - Rs</x:t>
  </x:si>
  <x:si>
    <x:t xml:space="preserve">Arroio dos Ratos</x:t>
  </x:si>
  <x:si>
    <x:t xml:space="preserve">Fernando Ferrari, 78 - Centro, Arroio dos Ratos - RS, CEP 96740-000</x:t>
  </x:si>
  <x:si>
    <x:t xml:space="preserve">Fundo Municipal De Saude - Arroio Dos Ratos Arroio Dos Ratos - Rs</x:t>
  </x:si>
  <x:si>
    <x:t xml:space="preserve">Aquisição de exames de imagem - Ecografias.</x:t>
  </x:si>
  <x:si>
    <x:t xml:space="preserve">Rua Roberto de Souza Feijo, 147, Andar 01, Bairro Bela Vista, Alvorada - Rio Grande do Sul, CEP 94814-560</x:t>
  </x:si>
  <x:si>
    <x:t xml:space="preserve">Fundo Municipal De Saude De Alvorada Alvorada - Rs</x:t>
  </x:si>
  <x:si>
    <x:t xml:space="preserve">uma ambulância do tipo Unidade de Suporte Básico (USB)</x:t>
  </x:si>
  <x:si>
    <x:t xml:space="preserve">Crissiumal</x:t>
  </x:si>
  <x:si>
    <x:t xml:space="preserve">Rua Horizontina, 557, Centro, Crissiumal - RS, CEP 98640-000</x:t>
  </x:si>
  <x:si>
    <x:t xml:space="preserve">Fundo Municipal Da Saude Crissiumal - Rs</x:t>
  </x:si>
  <x:si>
    <x:t xml:space="preserve">São Marcos</x:t>
  </x:si>
  <x:si>
    <x:t xml:space="preserve">Avenida Venâncio Aires, 720 - Centro, São Marcos - RS, CEP 95190-000, Brasil</x:t>
  </x:si>
  <x:si>
    <x:t xml:space="preserve">Fundo Municipal De Saude De Sao Marcos - Rs São Marcos - Rs</x:t>
  </x:si>
  <x:si>
    <x:t xml:space="preserve">Getúlio Vargas</x:t>
  </x:si>
  <x:si>
    <x:t xml:space="preserve">Avenida Engenheiro Firmino Girardello, 85 - Centro, Getúlio Vargas - RS, CEP 99900-000</x:t>
  </x:si>
  <x:si>
    <x:t xml:space="preserve">Fundo Municipal De Saude Getúlio Vargas - Rs</x:t>
  </x:si>
  <x:si>
    <x:t xml:space="preserve">Rua Bernardo Vieira Dias, 485 - Bairro Olaria, Camaquã - RS, CEP 96785-222</x:t>
  </x:si>
  <x:si>
    <x:t xml:space="preserve">Fundo Municipal De Saude De Camaqua - Rs Camaquã - Rs</x:t>
  </x:si>
  <x:si>
    <x:t xml:space="preserve">Avenida Getúlio Vargas, 1116 - Bela Vista, Alvorada - RS, CEP 94810-000, Brasil</x:t>
  </x:si>
  <x:si>
    <x:t xml:space="preserve">Fundo Municipal de Saúde de Ibiaçá, Rua do Interventor, 510 - Centro, Anexo Centro Administrativo, Ibiaçá - Rio Grande do Sul, CEP 99940-000</x:t>
  </x:si>
  <x:si>
    <x:t xml:space="preserve">Hospital de Caridade Nossa Senhora da Conceição de Piratini, Avenida Seis de Julho, 42 - Centro, Piratini - RS, CEP 96490-000</x:t>
  </x:si>
  <x:si>
    <x:t xml:space="preserve">Investimento em  Média e Alta Complexidade</x:t>
  </x:si>
  <x:si>
    <x:t xml:space="preserve">Nova Alvorada</x:t>
  </x:si>
  <x:si>
    <x:t xml:space="preserve">Avenida Vicente Guerra, 1429 - Centro, Nova Alvorada - RS, CEP 95985-000</x:t>
  </x:si>
  <x:si>
    <x:t xml:space="preserve">Coxilha</x:t>
  </x:si>
  <x:si>
    <x:t xml:space="preserve">Prefeitura Municipal de Coxilha, Avenida Fioravante Franciosi, 68 - Centro, Coxilha - RS, CEP 99145-000.</x:t>
  </x:si>
  <x:si>
    <x:t xml:space="preserve">Cacequi</x:t>
  </x:si>
  <x:si>
    <x:t xml:space="preserve">-</x:t>
  </x:si>
  <x:si>
    <x:t xml:space="preserve">Avenida Getúlio Vargas, 427 - Centro, Herval - RS, CEP 96310-000</x:t>
  </x:si>
  <x:si>
    <x:t xml:space="preserve">Liga Assistencia Social Hospital Nossa Senhora Gloria</x:t>
  </x:si>
  <x:si>
    <x:t xml:space="preserve">Sociedade Beneficente Do Hospital de Caridade</x:t>
  </x:si>
  <x:si>
    <x:t xml:space="preserve">MAC Investimento</x:t>
  </x:si>
  <x:si>
    <x:t xml:space="preserve">Horizontina</x:t>
  </x:si>
  <x:si>
    <x:t xml:space="preserve">Rua Balduíno Schneider, 375 - Centro, Horizontina - RS, CEP 98920-000</x:t>
  </x:si>
  <x:si>
    <x:t xml:space="preserve">Associacao Beneficente Oswaldo Cruz de Horizontina</x:t>
  </x:si>
  <x:si>
    <x:t xml:space="preserve">Associação Hospitalar São João Batista, Avenida Bento Gonçalves, 1184 - Centro, Nova Bréscia - RS, CEP 95950-000</x:t>
  </x:si>
  <x:si>
    <x:t xml:space="preserve">Associacao Hospitalar Sao Joao Batista</x:t>
  </x:si>
  <x:si>
    <x:t xml:space="preserve">Fundo Municipal de Saude de Ivoti</x:t>
  </x:si>
  <x:si>
    <x:t xml:space="preserve">Nova Bréscia</x:t>
  </x:si>
  <x:si>
    <x:t xml:space="preserve">Rua Agenor Diamantino, nº 223, Vila Amália, Rio Verde, GO, CEP 75906-260. Telefone: (64) 3620-0600; Rua Tiradentes, 144, Centro, Fontoura Xavier, RS, CEP 99370-000. Telefone: (54) 3389-1378; Rua Padre Vicente Perez, 15, Centro, Monte Carmelo, MG, CEP 38500-000. Telefone: (34) 3842-2400.</x:t>
  </x:si>
  <x:si>
    <x:t xml:space="preserve">Hospital Santa Terezinha</x:t>
  </x:si>
  <x:si>
    <x:t xml:space="preserve">Paim Filho</x:t>
  </x:si>
  <x:si>
    <x:t xml:space="preserve">Avenida Konrad Adenauer, 1870 - Bairro São Jorge, Panambi - RS, CEP 98280-000</x:t>
  </x:si>
  <x:si>
    <x:t xml:space="preserve">Fundo Municipal de Saude de Panambi</x:t>
  </x:si>
  <x:si>
    <x:t xml:space="preserve">Sertão</x:t>
  </x:si>
  <x:si>
    <x:t xml:space="preserve">Avenida Getúlio Vargas, 563 - Centro, Sertão - RS, CEP 99170-000</x:t>
  </x:si>
  <x:si>
    <x:t xml:space="preserve">Hospital Sao Jose</x:t>
  </x:si>
  <x:si>
    <x:t xml:space="preserve">Rua Romário Rosa Lopes, 42, Centro, Tenente Portela, RS, 98500-000, Brasil.</x:t>
  </x:si>
  <x:si>
    <x:t xml:space="preserve">Associacao Hospitalar Beneficente Santo Antonio</x:t>
  </x:si>
  <x:si>
    <x:t xml:space="preserve">Fundo Municipal de Saude - Fms</x:t>
  </x:si>
  <x:si>
    <x:t xml:space="preserve">Tenente Portela</x:t>
  </x:si>
  <x:si>
    <x:t xml:space="preserve">Rua Fernando Ferrari, 506, Languiru, Teutônia, Rio Grande do Sul, 95890-000, Brasil</x:t>
  </x:si>
  <x:si>
    <x:t xml:space="preserve">Associacao Beneficente Ouro Branco</x:t>
  </x:si>
  <x:si>
    <x:t xml:space="preserve">Tucunduva</x:t>
  </x:si>
  <x:si>
    <x:t xml:space="preserve">Prefeitura Municipal de Tucunduva, Rua Santa Rosa, 520 - Centro, Tucunduva - RS, CEP 98930-000, Brasil</x:t>
  </x:si>
  <x:si>
    <x:t xml:space="preserve">Associacao Hospitalar Tucunduva E Novo Machado</x:t>
  </x:si>
  <x:si>
    <x:t xml:space="preserve">Rua Borges de Medeiros, esquina com a Rua Bernardino Angelo, s/n - Centro, Dom Pedrito - RS, CEP 96450-000</x:t>
  </x:si>
  <x:si>
    <x:t xml:space="preserve">Fundo Municipal de Saude</x:t>
  </x:si>
  <x:si>
    <x:t xml:space="preserve">PAP Investimento</x:t>
  </x:si>
  <x:si>
    <x:t xml:space="preserve">Estação</x:t>
  </x:si>
  <x:si>
    <x:t xml:space="preserve">Rua Fiorelo Piazzetta, 95 - Estação - RS, CEP 99930-000</x:t>
  </x:si>
  <x:si>
    <x:t xml:space="preserve">Gramado dos Loureiros</x:t>
  </x:si>
  <x:si>
    <x:t xml:space="preserve">Av. José Pedro Loureiro de Melo, nº 1070, Centro, Gramado dos Loureiros - RS, CEP 99605-000</x:t>
  </x:si>
  <x:si>
    <x:t xml:space="preserve">Fundo Municipal de Saude de Gramado Dos Loureiros</x:t>
  </x:si>
  <x:si>
    <x:t xml:space="preserve">Nova Boa Vista</x:t>
  </x:si>
  <x:si>
    <x:t xml:space="preserve">Av. Jacob Wagner Sobrinho, 939 - Centro, Nova Boa Vista - RS, CEP 99580-000</x:t>
  </x:si>
  <x:si>
    <x:t xml:space="preserve">Fundo Municipal de Saude de Nova Boa Vista</x:t>
  </x:si>
  <x:si>
    <x:t xml:space="preserve">Avenida Fernando Luzato, 158 - Centro, Nova Prata - RS, CEP 95320-000</x:t>
  </x:si>
  <x:si>
    <x:t xml:space="preserve">Fundo Municipal Da Saude</x:t>
  </x:si>
  <x:si>
    <x:t xml:space="preserve">Palmitinho</x:t>
  </x:si>
  <x:si>
    <x:t xml:space="preserve">Rua Santos Dumont, 25 - Centro, Palmitinho - RS, CEP 98430-000</x:t>
  </x:si>
  <x:si>
    <x:t xml:space="preserve">Fundo Municipal de Saude de Palmitinho</x:t>
  </x:si>
  <x:si>
    <x:t xml:space="preserve">Pinheiro Machado</x:t>
  </x:si>
  <x:si>
    <x:t xml:space="preserve">Rua Nico de Oliveira, 763 - Centro, Pinheiro Machado - RS, CEP 96470-000</x:t>
  </x:si>
  <x:si>
    <x:t xml:space="preserve">Fundo Municipal de Saude de Pinheiro Machado</x:t>
  </x:si>
  <x:si>
    <x:t xml:space="preserve">Salvador das MIssões</x:t>
  </x:si>
  <x:si>
    <x:t xml:space="preserve">Avenida Independência, 1131 - Centro, Salvador das Missões - RS, CEP 97.940-000</x:t>
  </x:si>
  <x:si>
    <x:t xml:space="preserve">Fundo Municipal de Saude de Salvador Das Missoes</x:t>
  </x:si>
  <x:si>
    <x:t xml:space="preserve">São Paulo das Missões</x:t>
  </x:si>
  <x:si>
    <x:t xml:space="preserve">Rua Independência, nº 536 - Centro, São Paulo das Missões - RS, CEP 97980-000</x:t>
  </x:si>
  <x:si>
    <x:t xml:space="preserve">Fundo Municipal de Saude de Sao Paulo Das Missoes</x:t>
  </x:si>
  <x:si>
    <x:t xml:space="preserve">Tuparendi</x:t>
  </x:si>
  <x:si>
    <x:t xml:space="preserve">Avenida Tucunduva, 2617 - Tuparendi - RS, CEP 98940-000</x:t>
  </x:si>
  <x:si>
    <x:t xml:space="preserve">Fundo Municipal de Saúde de Brochier - RS</x:t>
  </x:si>
  <x:si>
    <x:t xml:space="preserve">Município de Brochier</x:t>
  </x:si>
  <x:si>
    <x:t xml:space="preserve">Fundo Municipal de Saúde de Caxias do Sul - RS</x:t>
  </x:si>
  <x:si>
    <x:t xml:space="preserve">Município de Caxias do Sul</x:t>
  </x:si>
  <x:si>
    <x:t xml:space="preserve">Fundo Municipal de Saúde de Putinga - RS</x:t>
  </x:si>
  <x:si>
    <x:t xml:space="preserve">Município de Putinga</x:t>
  </x:si>
  <x:si>
    <x:t xml:space="preserve">Associação Hospitalar Beneficente de Marau - Marau - RS</x:t>
  </x:si>
  <x:si>
    <x:t xml:space="preserve">Fundo Municipal de Saúde de Encantado - RS</x:t>
  </x:si>
  <x:si>
    <x:t xml:space="preserve">Município de Encantado</x:t>
  </x:si>
  <x:si>
    <x:t xml:space="preserve">Fundo Municipal de Saúde de Campestre da Serra - RS</x:t>
  </x:si>
  <x:si>
    <x:t xml:space="preserve">Kit Forense de Extração Celular para PC para o IGP. </x:t>
  </x:si>
  <x:si>
    <x:t xml:space="preserve">Unidades da Brigada Militar em Porto Alegre, Canoas, Cruz Alta, Santa Maria, Guaíba, Santa Rosa, Osório, Santo Ângelo, Passo Fundo, Caxias do Sul, Pelotas, Montenegro, Santa Cruz do Sul, Novo Hamburgo e Lajeado., Vários municípios, RS</x:t>
  </x:si>
  <x:si>
    <x:t xml:space="preserve">Unidades da Brigada Militar em Porto Alegre, Canoas, Cruz Alta, Santa Maria, Guaíba, Santa Rosa, Osório, Santo Ângelo, Passo Fundo, Caxias do Sul, Pelotas, Montenegro, Santa Cruz do Sul, Novo Hamburgo e Lajeado.</x:t>
  </x:si>
  <x:si>
    <x:t xml:space="preserve">(valor final da licitação  91,292,31)</x:t>
  </x:si>
  <x:si>
    <x:t xml:space="preserve">Pagamento da emenda realizado em 25/06/2021. 102 Coletes Balísticos IIIA Masculino M, totalizando  91.292,31. Valor unitário mais baixo do que aquele previsto no Plano de Trabalho. Os 102 coletes foram direcionados para o Comando de Policiamento da Capital.   </x:t>
  </x:si>
  <x:si>
    <x:t xml:space="preserve">102 coletes balísticos IIIA Masculino M</x:t>
  </x:si>
  <x:si>
    <x:t xml:space="preserve">Rua Antônio Manoel, 701 - Centro, Santo Ângelo - RS, CEP 98801-690, Brasil</x:t>
  </x:si>
  <x:si>
    <x:t xml:space="preserve">Associacao Hospital De Caridade De Santo Angelo Santo Ângelo - Rs</x:t>
  </x:si>
  <x:si>
    <x:t xml:space="preserve">Aquisição de mediastinoscopio, elétrocautério, focos de luz cirurgico, poltronas reclinaveis para infusao e cadeiras de rodas</x:t>
  </x:si>
  <x:si>
    <x:t xml:space="preserve">Rua Getúlio Vargas, 527 - Centro, Sapiranga - RS, CEP 93800-010</x:t>
  </x:si>
  <x:si>
    <x:t xml:space="preserve">Hospital Sapiranga - Sociedade Beneficente Sapiranga - Rs</x:t>
  </x:si>
  <x:si>
    <x:t xml:space="preserve">Aquisição de 01 ventilador pulmonar</x:t>
  </x:si>
  <x:si>
    <x:t xml:space="preserve">Brigada Militar de Dois Irmãos, Dois Irmãos, RS</x:t>
  </x:si>
  <x:si>
    <x:t xml:space="preserve">Brigada Militar de Dois Irmãos</x:t>
  </x:si>
  <x:si>
    <x:t xml:space="preserve">Viatura camionete pick-up 150 CV flex 4x2 para a Brigada Militar</x:t>
  </x:si>
  <x:si>
    <x:t xml:space="preserve">Aquisição de um raio-X para o hospital.</x:t>
  </x:si>
  <x:si>
    <x:t xml:space="preserve">Associação Hospitalar Beneficente de Marau, Marau, RS</x:t>
  </x:si>
  <x:si>
    <x:t xml:space="preserve">Associação Hospitalar Beneficente de Marau</x:t>
  </x:si>
  <x:si>
    <x:t xml:space="preserve">Emenda não localizada. (Consultado SIOP em 16/04/2024).</x:t>
  </x:si>
  <x:si>
    <x:t xml:space="preserve">Rua Guia Lopes, 4201, Bairro Canudos, Novo Hamburgo - RS, CEP 93548-013</x:t>
  </x:si>
  <x:si>
    <x:t xml:space="preserve">Polícia Rodoviária Federal, Passo Fundo, RS</x:t>
  </x:si>
  <x:si>
    <x:t xml:space="preserve">Polícia Rodoviária Federal</x:t>
  </x:si>
  <x:si>
    <x:t xml:space="preserve">Recurso pago (consultado Transferegov e Portal da Transparência em 12/03/2024)</x:t>
  </x:si>
  <x:si>
    <x:t xml:space="preserve">1 cobertura de pista para unidade da PRF </x:t>
  </x:si>
  <x:si>
    <x:t xml:space="preserve">Protásio Alves</x:t>
  </x:si>
  <x:si>
    <x:t xml:space="preserve">Rua do Poço, 488 - Centro, Protásio Alves - RS, CEP 95345-000</x:t>
  </x:si>
  <x:si>
    <x:t xml:space="preserve">Fundo Municipal de Saude de Protasio Alves</x:t>
  </x:si>
  <x:si>
    <x:t xml:space="preserve">Vale do Sol</x:t>
  </x:si>
  <x:si>
    <x:t xml:space="preserve">Rua Lindolfo Machado, 36, Centro, Vale do Sol, Rio Grande do Sul, CEP 96878-000, Brasil</x:t>
  </x:si>
  <x:si>
    <x:t xml:space="preserve">Hospital Beneficente Vale Do Sol - Hbvs Vale Do Sol - Rs</x:t>
  </x:si>
  <x:si>
    <x:t xml:space="preserve">ELEVADOR P/ TRANSPORTE DE MACAS E/OU CADEIRA DE RODAS COM O PACIENTE E UM ACOMPANHANTE.</x:t>
  </x:si>
  <x:si>
    <x:t xml:space="preserve">Trinta modernas camas hospitalares para troca do mobiliário precário do hospital com setenta anos de uso, proporcionando um ambiente mais confortável. O mobiliário tem sido apontado pela Vigilância Sanitária como em desconformidade com as normas vigentes, devendo ser substituído.</x:t>
  </x:si>
  <x:si>
    <x:t xml:space="preserve">Associação Hospitalar Bom Pastor, Santo Augusto, RS</x:t>
  </x:si>
  <x:si>
    <x:t xml:space="preserve">Associação Hospitalar Bom Pastor</x:t>
  </x:si>
  <x:si>
    <x:t xml:space="preserve">Grupo-gerador estacionário silenciado, com potência superior a 300 KVA, para assegurar atendimento contínuo e ininterrupto aos pacientes. O hospital faz 30 mil atendimentos por ano. O atual gerador encontra-se defasado e em condições precárias, devendo ser substituído</x:t>
  </x:si>
  <x:si>
    <x:t xml:space="preserve">Av. Independência, 800 - Centro Histórico, Campo Bom - RS, 93700-000</x:t>
  </x:si>
  <x:si>
    <x:t xml:space="preserve">Prefeitura de Campo Bom</x:t>
  </x:si>
  <x:si>
    <x:t xml:space="preserve">Equipamentos para reduzir fila de cirurgias eletivas.</x:t>
  </x:si>
  <x:si>
    <x:t xml:space="preserve">Lançado como beneficiário Associação Hospitalar Vila Nova - Porto Alegre (Mantenedora).</x:t>
  </x:si>
  <x:si>
    <x:t xml:space="preserve"> (valor final da licitação  200000,00)</x:t>
  </x:si>
  <x:si>
    <x:t xml:space="preserve">Pagamento realizado em 25/08/2021. Dos 42 dispositivos elétricos incapacitantes, 23 foram para o Comando de Policiamento Metropolitano e 19 para o Comando de Policiamento da Capital. O valor final da licitação foi de  200.000,00, abaixo dos  224.845,32 reservado pela emenda para a compra dos equipamentos</x:t>
  </x:si>
  <x:si>
    <x:t xml:space="preserve">42 dispositivo elétricos incapacitantes.</x:t>
  </x:si>
  <x:si>
    <x:t xml:space="preserve">Santo Cristo</x:t>
  </x:si>
  <x:si>
    <x:t xml:space="preserve">Rua Amandaú, 157 - Centro, Santo Cristo - RS, CEP 98960-000, Brasil</x:t>
  </x:si>
  <x:si>
    <x:t xml:space="preserve">Associacao Hospital De Caridade De Santo Cristo Santo Cristo - Rs</x:t>
  </x:si>
  <x:si>
    <x:t xml:space="preserve">Aquisição de equipamentos que estão defasados e com alto custo de manutenção, com risco a segurança de colaboradores e usuários. Equipamentos necessários para a qualificação dos serviços prestados a comunidade oportunizando a ampliação do numero de atendimentos a população através da modernização dos equipamentos na área de urgência e emergência cirúrgica e neonatal, sendo estes equipamentos abaixo descritos:
 1 Secadora de roupas 60kg
 1 Forno combinado + coifa
 1 Mini câmara fria 4 portas
 1 Mini câmara fria 1 porta
 2 Vídeo laringoscópios
 1 berço de fototerapia
 1 berço aquecido</x:t>
  </x:si>
  <x:si>
    <x:t xml:space="preserve">Avenida 12 de Maio, 470, Centro, Cerro Branco - RS, CEP 96535-000.</x:t>
  </x:si>
  <x:si>
    <x:t xml:space="preserve">Cerro Branco Fundo Municipal De Saude Cerro Branco - Rs</x:t>
  </x:si>
  <x:si>
    <x:t xml:space="preserve">Aquisição de uma ambulância tipo A para atender a população</x:t>
  </x:si>
  <x:si>
    <x:t xml:space="preserve">Cotiporã</x:t>
  </x:si>
  <x:si>
    <x:t xml:space="preserve">Rua Silveira Martins, 163 - Centro, Cotiporã - RS, CEP 95335-000</x:t>
  </x:si>
  <x:si>
    <x:t xml:space="preserve">Rua São Cristóvão, 34, Andar Segundo, Bairro Freitas, Sapucaia do Sul, RS, CEP 93218-380.</x:t>
  </x:si>
  <x:si>
    <x:t xml:space="preserve">Fundo Municipal De Saude Sapucaia Do Sul - Rs</x:t>
  </x:si>
  <x:si>
    <x:t xml:space="preserve">Cama Hospitalar Tipo Fawler Elétrica 1 25.100,00 25.100,00
 Cama Hospitalar Tipo Fawler Mecânica 2 6.040,00 12.080,00
 Ventilador Pulmonar Pressométrico e Volumétrico 2 90.417,00 180.834,00
 Computador (Desktop-Básico) 2 4.136,00 8.272,00
 Esfigmomanômetro Adulto 3 308,00 924,00
 Laringoscópio Infantil 1 1.645,00 1.645,00
 Esfigmomanômetro Obeso 1 331,00 331,00
 Esfigmomanômetro Infantil 4</x:t>
  </x:si>
  <x:si>
    <x:t xml:space="preserve">Brigada Militar, Alvorada, RS</x:t>
  </x:si>
  <x:si>
    <x:t xml:space="preserve">Secretaria de Segurança Pública</x:t>
  </x:si>
  <x:si>
    <x:t xml:space="preserve">SUV 118CV</x:t>
  </x:si>
  <x:si>
    <x:t xml:space="preserve">8º Batalhão de Bombeiro Militar, Canoas, RS</x:t>
  </x:si>
  <x:si>
    <x:t xml:space="preserve">8º Batalhão de Bombeiro Militar</x:t>
  </x:si>
  <x:si>
    <x:t xml:space="preserve">Gravataí</x:t>
  </x:si>
  <x:si>
    <x:t xml:space="preserve">Polícia Civil, Gravataí, RS</x:t>
  </x:si>
  <x:si>
    <x:t xml:space="preserve">Polícia Civil, Porto Alegre, RS</x:t>
  </x:si>
  <x:si>
    <x:t xml:space="preserve">1º Batalhão de Bombeiro Militar, Porto Alegre, RS</x:t>
  </x:si>
  <x:si>
    <x:t xml:space="preserve">1º Batalhão de Bombeiro Militar</x:t>
  </x:si>
  <x:si>
    <x:t xml:space="preserve">2º Batalhão de Bombeiro Militar, São Leopoldo, RS</x:t>
  </x:si>
  <x:si>
    <x:t xml:space="preserve">2º Batalhão de Bombeiro Militar</x:t>
  </x:si>
  <x:si>
    <x:t xml:space="preserve">Viamão</x:t>
  </x:si>
  <x:si>
    <x:t xml:space="preserve">Secretaria de Segurança Pública, Viamão, RS</x:t>
  </x:si>
  <x:si>
    <x:t xml:space="preserve">Emenda individual </x:t>
  </x:si>
  <x:si>
    <x:t xml:space="preserve">Prefeitura de Santa Maria do Herval</x:t>
  </x:si>
  <x:si>
    <x:t xml:space="preserve">Prefeitura Municipal, Nova Pádua, RS</x:t>
  </x:si>
  <x:si>
    <x:t xml:space="preserve">Infraestrutura Turística</x:t>
  </x:si>
  <x:si>
    <x:t xml:space="preserve">Infraestrutura</x:t>
  </x:si>
  <x:si>
    <x:t xml:space="preserve">Plataforma de vidro no Belvedere Sonda</x:t>
  </x:si>
  <x:si>
    <x:t xml:space="preserve">R. Doze de Maio, 555 - Centro, Três Coroas - RS, 95660-000</x:t>
  </x:si>
  <x:si>
    <x:t xml:space="preserve">Hospital Dr. Oswaldo Diesel</x:t>
  </x:si>
  <x:si>
    <x:t xml:space="preserve">Aquisição de um aparelho de raio-x digital móvel.</x:t>
  </x:si>
  <x:si>
    <x:t xml:space="preserve">Avenida Pereira Rego, 1665 - Centro, Candelária - RS, CEP 96930-000</x:t>
  </x:si>
  <x:si>
    <x:t xml:space="preserve">Pouso Novo</x:t>
  </x:si>
  <x:si>
    <x:t xml:space="preserve">Rua Bento Gonçalves, 263 - Centro, Pouso Novo - RS, CEP 95945-000</x:t>
  </x:si>
  <x:si>
    <x:t xml:space="preserve">Fundo Municipal Da Saude Pouso Novo Pouso Novo - Rs</x:t>
  </x:si>
  <x:si>
    <x:t xml:space="preserve">AQUISIÇÃO DE VÉICULO TIPO VAN</x:t>
  </x:si>
  <x:si>
    <x:t xml:space="preserve">Rua Bento Gonçalves, 263 - Centro, Pouso Novo - Rio Grande do Sul, CEP 95945-000</x:t>
  </x:si>
  <x:si>
    <x:t xml:space="preserve">Fundo Estadual De Saude Porto Alegre - Rs</x:t>
  </x:si>
  <x:si>
    <x:t xml:space="preserve">Barracão</x:t>
  </x:si>
  <x:si>
    <x:t xml:space="preserve">Rua José Albano de Souza, 140 - Centro, Canguçu - RS, CEP 96600-000</x:t>
  </x:si>
  <x:si>
    <x:t xml:space="preserve">Hospital de Caridade de Cangucu</x:t>
  </x:si>
  <x:si>
    <x:t xml:space="preserve">Hospital Sao Valentim</x:t>
  </x:si>
  <x:si>
    <x:t xml:space="preserve">Barros Cassal</x:t>
  </x:si>
  <x:si>
    <x:t xml:space="preserve">Prefeitura Municipal, Barros Cassal, RS</x:t>
  </x:si>
  <x:si>
    <x:t xml:space="preserve">Recurso pago. (Foram pagos R$ 235.000,00, porque o saldo restante não teve a proposta aprovada pelo FNS)</x:t>
  </x:si>
  <x:si>
    <x:t xml:space="preserve">Van para implantar o transporte sanitário eletivo, beneficiando a população de baixa renda que necessita deslocar-se a hospitais da região para atendimentos com médicos especializados e realização de procedimentos de maior complexidade. Recurso enviado via Fundo Municipal de Saúde de Barros Cassal.</x:t>
  </x:si>
  <x:si>
    <x:t xml:space="preserve">Associação Amparo Providencia - Lar Das Vovozinhas, Santa Maria, RS</x:t>
  </x:si>
  <x:si>
    <x:t xml:space="preserve">Associação Amparo Providencia - Lar Das Vovozinhas</x:t>
  </x:si>
  <x:si>
    <x:t xml:space="preserve">Proposta foi cadastrada pelo beneficiário, mas caiu em diligëncia pelo Ministério da Saúde, a qual não foi atendida. RECURSO DA EMENDA FOI PERDIDO.</x:t>
  </x:si>
  <x:si>
    <x:t xml:space="preserve">Aquisição de lavadora e secadora de roupas para a lavanderia da instituição.</x:t>
  </x:si>
  <x:si>
    <x:t xml:space="preserve">Av. Venâncio Aires, 720 - Centro, São Marcos - RS, 95190-000</x:t>
  </x:si>
  <x:si>
    <x:t xml:space="preserve">Prefeitura de São Marcos</x:t>
  </x:si>
  <x:si>
    <x:t xml:space="preserve">Ambulância tipo A</x:t>
  </x:si>
  <x:si>
    <x:t xml:space="preserve">Eldorado do Sul</x:t>
  </x:si>
  <x:si>
    <x:t xml:space="preserve">Estrada da Arrozeira, nº 270 - Centro, Eldorado do Sul - RS, CEP 92990-000</x:t>
  </x:si>
  <x:si>
    <x:t xml:space="preserve">A Associação Beneficente de Igrejinha (CNPJ 87.369.799/0001-76) está utilizando parte do recurso recebido em procedimentos odontológicos para pacientes especiais, que conforme plano de trabalho, o valor total é de  172.834,00 (100 procedimentos) e o valor já utilizado está em  133.082,18, restando apenas 23 procedimentos para conclusão. O restante do valor da emenda foi utilizado para complementar folha de pagamento ( 77.166,00). Em anexo colocamos o relatório de procedimentos odontológicos até então realizados e demonstrativo de folha de pagamento no mês de dezembro de 2019.</x:t>
  </x:si>
  <x:si>
    <x:t xml:space="preserve">Hospital São Jose de Ivoti, Ivoti, RS</x:t>
  </x:si>
  <x:si>
    <x:t xml:space="preserve">Hospital São Jose de Ivoti</x:t>
  </x:si>
  <x:si>
    <x:t xml:space="preserve">Hospital Santo Antonio da Patrulha, Santo Antônio da Patrulha, RS</x:t>
  </x:si>
  <x:si>
    <x:t xml:space="preserve">Hospital Santo Antonio da Patrulha</x:t>
  </x:si>
  <x:si>
    <x:t xml:space="preserve">Os recursos foram utilizados na oferta de serviços de Vasectomias, Laqueduras, Cirurgias de Traumatologia e Consultas Oftálmicas Pediátricas, pagamento de água, luz e folha de pessoal.</x:t>
  </x:si>
  <x:si>
    <x:t xml:space="preserve">Sociedade Beneficente Sapiranguese , Sapiranga, RS</x:t>
  </x:si>
  <x:si>
    <x:t xml:space="preserve">Sociedade Beneficente Sapiranguese</x:t>
  </x:si>
  <x:si>
    <x:t xml:space="preserve">Recurso foi utilizado na aquisição de material médico e medicamentos, auxiliando o custeio e reduzindo a defasagem da tabela na prestação de serviços aos usuários do SUS. Em contrapartida foram ofertados serviços como: Litotripsia extracorpórea, colecistectomia videolaparoscópica e herniorrafias em geral, além dos já contratualizados com o Estado.</x:t>
  </x:si>
  <x:si>
    <x:t xml:space="preserve">O recurso foi de grande auxílio para a instituição em 2019, devido todo o momento de crise que as casas de saúde estavam passando e ainda passam devido a pandemia deste ano(2020). Com o recurso a Fundação conseguiu cumprir as obrigações com o 13º Salário com os colaborares nas datas de vencimento no final do ano de 2019. A emenda de custeio sendo de bancada, foi utilizada para o pagamento dos colaboradores em novembro/2019, liquidado em 04/12/2019, com o valor integral de  153.619,34, e o pagamento parcial em torno de 66,63% da folha de pagamento dos colaboradores de dezembro/2019, liquidado em 07/01/2020 no valor de  96.380,66, sendo que neste mês o valor da folha foi de  144.636,44. Em anexo as folhas de pagamento sintética de novembro e dezembro de 2019 de forma sintética.</x:t>
  </x:si>
  <x:si>
    <x:t xml:space="preserve">Hospital de Clínicas de Passo Fundo, Passo Fundo, RS</x:t>
  </x:si>
  <x:si>
    <x:t xml:space="preserve">Hospital de Clínicas de Passo Fundo</x:t>
  </x:si>
  <x:si>
    <x:t xml:space="preserve">O recurso está sendo executado conforme Plano Operativo referente Portaria 726/2020 de 06/04/2020 no valor de  550.000,00 enviado ao Governo do Estado do RS em 27/03/2020; Neste Plano Operativo foram incluídos os seguintes valores de despesas: - Serviços Ofertados - 63 cirurgias colecistectomias no valor de  110.000,00; - Pagamento de luz, água e telefone - energia elétrica meses 04 e 05/2020 no valor de  440.000,00; - Em outro Plano Operativo referente Portaria 957/2020 de 24/04/2020 (que não contemplava cirurgias) foram contempladas mais 90 colecistectomias, 20 hérnias, 10 histerectomias e 10 artroplastias de joelho, para completar o atendimento às suas recomendações na emenda 41160005.</x:t>
  </x:si>
  <x:si>
    <x:t xml:space="preserve">Casa de Saúde, Santa Maria, RS</x:t>
  </x:si>
  <x:si>
    <x:t xml:space="preserve">Casa de Saúde</x:t>
  </x:si>
  <x:si>
    <x:t xml:space="preserve">Arambaré</x:t>
  </x:si>
  <x:si>
    <x:t xml:space="preserve">Prefeitura Municipal, Arambaré, RS</x:t>
  </x:si>
  <x:si>
    <x:t xml:space="preserve">Iluminação da orla da praia da Costa Doce</x:t>
  </x:si>
  <x:si>
    <x:t xml:space="preserve">Proposta Aceita. Plano de Trabalho em Análise.</x:t>
  </x:si>
  <x:si>
    <x:t xml:space="preserve">Casca</x:t>
  </x:si>
  <x:si>
    <x:t xml:space="preserve">Hospital Beneficente Santa Lucia, Casca, RS</x:t>
  </x:si>
  <x:si>
    <x:t xml:space="preserve">Hospital Beneficente Santa Lucia</x:t>
  </x:si>
  <x:si>
    <x:t xml:space="preserve">Recurso pago. Valor recebido: R$ 216.807,80. (Consultado Transferegov em 09/04/2024)</x:t>
  </x:si>
  <x:si>
    <x:t xml:space="preserve">Aparelho de endoscopia e colonoscopia para qualificar o atendimento SUS e possibilitar que o hospital torne-se referência regional de média complexidade na especialidade de proctologia, beneficiando 32 municípios da região e atendendo demanda reprimida.</x:t>
  </x:si>
  <x:si>
    <x:t xml:space="preserve">Revitalização da Orla do Rio Caí</x:t>
  </x:si>
  <x:si>
    <x:t xml:space="preserve">Prefeitura Municipal, Pelotas, RS</x:t>
  </x:si>
  <x:si>
    <x:t xml:space="preserve">Empenhado. Recurso ainda não pago. Consultado Transferegov em 12/04/2024.</x:t>
  </x:si>
  <x:si>
    <x:t xml:space="preserve">Restauração do Obelisco Republicano</x:t>
  </x:si>
  <x:si>
    <x:t xml:space="preserve">Pleito passível de aprovação, pois atende aos requisitos determinados pela legislação vigente e em consonância com Plano Nacional de Turismo, a contrapartida do proponente de 1% está em conformidade.</x:t>
  </x:si>
  <x:si>
    <x:t xml:space="preserve">Aparelho de anestesia com monitor multiparâmetros para uso em sala cirúrgica hospitalar com capacidade de atender cirurgias de alta complexidade de diversas especialidades, aumentando a capacidade de atendimento de pacientes e diminuindo a fila de espera.</x:t>
  </x:si>
  <x:si>
    <x:t xml:space="preserve">São Francisco de Assis</x:t>
  </x:si>
  <x:si>
    <x:t xml:space="preserve">Prefeitura Municipal, São Francisco de Assis, RS</x:t>
  </x:si>
  <x:si>
    <x:t xml:space="preserve">Ambulância Tipo A - Simples Remoção Tipo Furgão para redução do gasto que a Prefeitura possui com contratos de ambulâncias e que em 2020 somou  200.000,00. Recurso enviado via Fundo Municipal de Saúde de São Francisco de Assis.</x:t>
  </x:si>
  <x:si>
    <x:t xml:space="preserve">Prefeitura Municipal, Agudo, RS</x:t>
  </x:si>
  <x:si>
    <x:t xml:space="preserve">Empenhado (Consultado Transferegov em 16/04/2024)</x:t>
  </x:si>
  <x:si>
    <x:t xml:space="preserve">Volkslager como centro de comercialização de produtos gastronômicos turísticos</x:t>
  </x:si>
  <x:si>
    <x:t xml:space="preserve">Fundo Municipal de Saúde, Campo Bom, RS</x:t>
  </x:si>
  <x:si>
    <x:t xml:space="preserve">Fundo Municipal de Saúde</x:t>
  </x:si>
  <x:si>
    <x:t xml:space="preserve">Indicação não localizada no SIOP (08/04/2024)</x:t>
  </x:si>
  <x:si>
    <x:t xml:space="preserve">Prefeitura Municipal, Candelária, RS</x:t>
  </x:si>
  <x:si>
    <x:t xml:space="preserve">Colocação de escada no Morro Botucaraí e construção de dois sanitários aos pés do Morro.</x:t>
  </x:si>
  <x:si>
    <x:t xml:space="preserve">Derrubadas</x:t>
  </x:si>
  <x:si>
    <x:t xml:space="preserve">Prefeitura Municipal, Derrubadas, RS</x:t>
  </x:si>
  <x:si>
    <x:t xml:space="preserve">Instalação de pontos de apoio e centro regional de atendimento ao turista (rotas de cicloturismo e caminhada).</x:t>
  </x:si>
  <x:si>
    <x:t xml:space="preserve">Hospital São Carlos, Farroupilha, RS</x:t>
  </x:si>
  <x:si>
    <x:t xml:space="preserve">Hospital São Carlos</x:t>
  </x:si>
  <x:si>
    <x:t xml:space="preserve">Maratá</x:t>
  </x:si>
  <x:si>
    <x:t xml:space="preserve">Prefeitura Municipal, Maratá, RS</x:t>
  </x:si>
  <x:si>
    <x:t xml:space="preserve">Recurso pago. (Foram pagos R$ 238,856, consultado no Transferegov em 16/04/2024). O saldo restante não foi empenhado.</x:t>
  </x:si>
  <x:si>
    <x:t xml:space="preserve">Execução de faixa compartilhada destinada à circulação de pedestres e ciclistas, com
acessibilidade e iluminação (530 metros de extensão que liga o centro da cidade até a Cachoeira Maratá).</x:t>
  </x:si>
  <x:si>
    <x:t xml:space="preserve">Prefeitura Municipal, Morro Reuter, RS</x:t>
  </x:si>
  <x:si>
    <x:t xml:space="preserve">Recurso pago. (Foram pagos R$ 238.856,00, conforme consulta no Transferegov em 16/04/2024. O saldo remanescente não foi empenhado).</x:t>
  </x:si>
  <x:si>
    <x:t xml:space="preserve">Revitalização da Rua Independência (365m de extensão) - substituição dos bloquetos por pedras regulares, bem como a substituição do passeio público. </x:t>
  </x:si>
  <x:si>
    <x:t xml:space="preserve">Rodeio Bonito</x:t>
  </x:si>
  <x:si>
    <x:t xml:space="preserve">Associação Hospitalar São Jose., Rodeio Bonito, RS</x:t>
  </x:si>
  <x:si>
    <x:t xml:space="preserve">Associação Hospitalar São Jose</x:t>
  </x:si>
  <x:si>
    <x:t xml:space="preserve">Prefeitura Municipal, São Sebastião do Caí, RS</x:t>
  </x:si>
  <x:si>
    <x:t xml:space="preserve">Revitalização do Cais do Porto (paisagismo, sinalização turística, execução de calçadas, instalação de bancos, mesas, pergolados, construção de mirante).</x:t>
  </x:si>
  <x:si>
    <x:t xml:space="preserve">Posto de Saúde na Vila Mário Quintana (com Lasier Martins) , , RS</x:t>
  </x:si>
  <x:si>
    <x:t xml:space="preserve">Posto de Saúde na Vila Mário Quintana (com Lasier Martins)</x:t>
  </x:si>
  <x:si>
    <x:t xml:space="preserve">Indicado. </x:t>
  </x:si>
  <x:si>
    <x:t xml:space="preserve">Hospital Virvi Ramos, Caxias do sul, RS</x:t>
  </x:si>
  <x:si>
    <x:t xml:space="preserve">Prefeitura de Caxias do Sul</x:t>
  </x:si>
  <x:si>
    <x:t xml:space="preserve">Infraestrutura (Investimento)</x:t>
  </x:si>
  <x:si>
    <x:t xml:space="preserve">Implantação de Rotas de Cicloturismo Autoguiadas no Município de Caxias do Sul</x:t>
  </x:si>
  <x:si>
    <x:t xml:space="preserve">Prefeitura de Harmonia</x:t>
  </x:si>
  <x:si>
    <x:t xml:space="preserve">Recurso empenhado</x:t>
  </x:si>
  <x:si>
    <x:t xml:space="preserve">Construção do Museu na Praça Pedro Bertoldo Gewehr</x:t>
  </x:si>
  <x:si>
    <x:t xml:space="preserve">São Miguel das Missões</x:t>
  </x:si>
  <x:si>
    <x:t xml:space="preserve">R. Vinte e Nove de Abril, 165 - Centro, São Miguel das Missões - RS, 98865-000</x:t>
  </x:si>
  <x:si>
    <x:t xml:space="preserve">Prefeitura de São Miguel das Missões</x:t>
  </x:si>
  <x:si>
    <x:t xml:space="preserve">Revitalização da Arquibancada do Espetáculo Som e Luz</x:t>
  </x:si>
  <x:si>
    <x:t xml:space="preserve">Campina das Missões</x:t>
  </x:si>
  <x:si>
    <x:t xml:space="preserve">Bairro: Centro ; CEP: 98975000 ; Cidade: Campina das Missões ; Estado: RS</x:t>
  </x:si>
  <x:si>
    <x:t xml:space="preserve">Associação Assistencial Cultural E Hospitalar Pe. Benedito Meister</x:t>
  </x:si>
  <x:si>
    <x:t xml:space="preserve">Mesa Cirúrgica Elétrica, Foco Cirúrgico de Teto, Mesa para Exames (ginecológicos), Colposcópio, Amnioscopio, Detector Fetal</x:t>
  </x:si>
  <x:si>
    <x:t xml:space="preserve">Capão da Canoa</x:t>
  </x:si>
  <x:si>
    <x:t xml:space="preserve">Capão da Canoa, RS, 95555-000</x:t>
  </x:si>
  <x:si>
    <x:t xml:space="preserve">Hospital Santa Luzia</x:t>
  </x:si>
  <x:si>
    <x:t xml:space="preserve">Qualificação técnico-assistencial do centro cirúrgico do Hospital Santa Luzia de Capão da Canoa, por meio da aquisição de 1 carro de anestesia, provida à Rede de Atenção à Saúde do Sistema Único de Saúde (SUS) dos municípios da 18ª Regional de Saúde condições de infraestrutura e tecnologia para o suporte a eventos eletivos e de urgência nas especialidades de cirurgia geral, traumatologia e neurocirurgia.</x:t>
  </x:si>
  <x:si>
    <x:t xml:space="preserve">Av. Duque de Caxias, nº 450 - Fragata, Pelotas - RS, 96050-500</x:t>
  </x:si>
  <x:si>
    <x:t xml:space="preserve">Santa De Misericórdia De Pelotas</x:t>
  </x:si>
  <x:si>
    <x:t xml:space="preserve">Aquisição de equipamentos hospitalares (04 unidades-Perfuradores Ósseos) para o centro cirúrgico da Santa Casa de Pelotas.</x:t>
  </x:si>
  <x:si>
    <x:t xml:space="preserve">R. Dr. Pedro Eggler, 600 - Monte Alverne, Santa Cruz do Sul - RS, 96859-000</x:t>
  </x:si>
  <x:si>
    <x:t xml:space="preserve">Hospital Beneficente Monte Alverne</x:t>
  </x:si>
  <x:si>
    <x:t xml:space="preserve">Aquisição de equipamento de Raio-X móvel e sistema de digitalização de imagens</x:t>
  </x:si>
  <x:si>
    <x:t xml:space="preserve">R. Amandau, 157 - Centro, Santo Cristo - RS, 98960-000</x:t>
  </x:si>
  <x:si>
    <x:t xml:space="preserve">Associação Hospital De Caridade De Santo Cristo</x:t>
  </x:si>
  <x:si>
    <x:t xml:space="preserve">Aquisição de equipamento para o Bloco Cirúrgico,  APARELHO DE ANESTESIA COMPLETO  DE QUALIDADE COMPROVADA DE ACORDO COM AS NORMAS BRASILEIRAS DE QUALIDADE</x:t>
  </x:si>
  <x:si>
    <x:t xml:space="preserve">Entre Rios do Sul</x:t>
  </x:si>
  <x:si>
    <x:t xml:space="preserve">Av. Danilo Lorenzi, 585, Entre Rios do Sul - RS, 99645-000</x:t>
  </x:si>
  <x:si>
    <x:t xml:space="preserve">Prefeitura de Entre Rios do Sul</x:t>
  </x:si>
  <x:si>
    <x:t xml:space="preserve">Prefeitura de Picada Café</x:t>
  </x:si>
  <x:si>
    <x:t xml:space="preserve">Cercamento eletrônico</x:t>
  </x:si>
  <x:si>
    <x:t xml:space="preserve">Faxinal do Soturno</x:t>
  </x:si>
  <x:si>
    <x:t xml:space="preserve">Rua Júlio de Castilhos, 609 - Centro, Faxinal do Soturno - RS, CEP 97220-000</x:t>
  </x:si>
  <x:si>
    <x:t xml:space="preserve">Avenida Presidente Lucena, 3527 - Centro, Ivoti - RS, Brasil</x:t>
  </x:si>
  <x:si>
    <x:t xml:space="preserve">Rua Sete de Setembro, 330, 2º Piso, Centro, Nova Petrópolis - RS, CEP 95150-000</x:t>
  </x:si>
  <x:si>
    <x:t xml:space="preserve">Passo do Sobrado</x:t>
  </x:si>
  <x:si>
    <x:t xml:space="preserve">Prefeitura Municipal de Passo do Sobrado, Rua Rodolfo Antônio Bruckner, 445 - Centro, Passo do Sobrado - RS, CEP 96685-000</x:t>
  </x:si>
  <x:si>
    <x:t xml:space="preserve">Segredo</x:t>
  </x:si>
  <x:si>
    <x:t xml:space="preserve">Largo da Matriz, s/n – Centro, Segredo – RS, CEP 96910-000</x:t>
  </x:si>
  <x:si>
    <x:t xml:space="preserve">Avenida João Corrêa, 380 - Centro, Três Coroas - RS, 95660-000</x:t>
  </x:si>
  <x:si>
    <x:t xml:space="preserve">Prefeitura Municipal de São Sebastião do Caí, Rua Marechal Floriano Peixoto, 426, Bairro Centro, São Sebastião do Caí - RS, CEP 95760-000.</x:t>
  </x:si>
  <x:si>
    <x:t xml:space="preserve">Rua Marechal Deodoro da Fonseca, 70 - Centro, Bento Gonçalves - RS, CEP 95700-000</x:t>
  </x:si>
  <x:si>
    <x:t xml:space="preserve">Rua Monsenhor Scalabrini, 1047 – Centro, Encantado – RS, CEP 95960-000.</x:t>
  </x:si>
  <x:si>
    <x:t xml:space="preserve">Marques de Souza</x:t>
  </x:si>
  <x:si>
    <x:t xml:space="preserve">Rua Getúlio Vargas, 796, Centro Administrativo, Centro, Marques de Souza - RS, 95923-000</x:t>
  </x:si>
  <x:si>
    <x:t xml:space="preserve">Prefeitura Municipal de Eldorado do Sul, Estrada da Arrozeira, nº 270 - Centro, Eldorado do Sul - RS, CEP 92990-000</x:t>
  </x:si>
  <x:si>
    <x:t xml:space="preserve">XV de Novembro, 41 - Centro, São José do Norte - RS, CEP 96225-000</x:t>
  </x:si>
  <x:si>
    <x:t xml:space="preserve">Fundo Municipal De Saude São José Do Norte - Rs</x:t>
  </x:si>
  <x:si>
    <x:t xml:space="preserve">Aquisição de placas fotovoltaicas para o Hospital de São José do Norte</x:t>
  </x:si>
  <x:si>
    <x:t xml:space="preserve">Iraí</x:t>
  </x:si>
  <x:si>
    <x:t xml:space="preserve">Rua Torres Gonçalves, 537 - Centro, Iraí - RS, CEP 98460-000</x:t>
  </x:si>
  <x:si>
    <x:t xml:space="preserve">Fundo Municipal De Saude De Irai-Rs Iraí - Rs</x:t>
  </x:si>
  <x:si>
    <x:t xml:space="preserve">Adquirir uma ambulância do tipo UTI móvel para o município de Iraí</x:t>
  </x:si>
  <x:si>
    <x:t xml:space="preserve">Rua General Osório, 625 - Centro, Rio Grande - RS, CEP 96200-400</x:t>
  </x:si>
  <x:si>
    <x:t xml:space="preserve">Associacao De Caridade Santa Casa De Rio Grande Rio Grande - Rs</x:t>
  </x:si>
  <x:si>
    <x:t xml:space="preserve">Aquisição de 1 carro de anestesia</x:t>
  </x:si>
  <x:si>
    <x:t xml:space="preserve">Herval</x:t>
  </x:si>
  <x:si>
    <x:t xml:space="preserve">Rua Oswaldo Cruz, 154 - Centro, Horizontina - RS, 98920-000, Brasil.</x:t>
  </x:si>
  <x:si>
    <x:t xml:space="preserve">Caçapava do Sul</x:t>
  </x:si>
  <x:si>
    <x:t xml:space="preserve">Rua XV de Novembro, 438 - Centro, Caçapava do Sul - RS, CEP 96570-000</x:t>
  </x:si>
  <x:si>
    <x:t xml:space="preserve">Lagoa dos Três Cantos</x:t>
  </x:si>
  <x:si>
    <x:t xml:space="preserve">Rua Ervino Petry, 100 - Centro, Lagoa dos Três Cantos - RS, CEP 99495-000</x:t>
  </x:si>
  <x:si>
    <x:t xml:space="preserve">Fundo Municipal de Saude de Lagoa Dos Tres Cantos</x:t>
  </x:si>
  <x:si>
    <x:t xml:space="preserve">Benjamin Constant, 1441, São Francisco de Paula, RS, CEP 95400-000</x:t>
  </x:si>
  <x:si>
    <x:t xml:space="preserve">SAO LEOPOLDO</x:t>
  </x:si>
  <x:si>
    <x:t xml:space="preserve">Município de São Leopoldo - RS</x:t>
  </x:si>
  <x:si>
    <x:t xml:space="preserve">Município de SAO LEOPOLDO</x:t>
  </x:si>
  <x:si>
    <x:t xml:space="preserve">Bancada Gaúcha</x:t>
  </x:si>
  <x:si>
    <x:t xml:space="preserve">Hospital Tacchini - Bento Gonçalves - RS</x:t>
  </x:si>
  <x:si>
    <x:t xml:space="preserve">Fundo Municipal de Saúde de Igrejinha - RS</x:t>
  </x:si>
  <x:si>
    <x:t xml:space="preserve">Município de Igrejinha</x:t>
  </x:si>
  <x:si>
    <x:t xml:space="preserve">MAC Custeio</x:t>
  </x:si>
  <x:si>
    <x:t xml:space="preserve">Santa Casa de Misericórdia - Porto Alegre - RS</x:t>
  </x:si>
  <x:si>
    <x:t xml:space="preserve">Rua Guia Lopes, 4201, Bairro Canudos, Novo Hamburgo – RS, CEP 93.548-013</x:t>
  </x:si>
  <x:si>
    <x:t xml:space="preserve">Fundacao de Saude Publica de Novo Hamburgo - Fsnh</x:t>
  </x:si>
  <x:si>
    <x:t xml:space="preserve">Fundo Municipal de Saúde de Gramado - RS</x:t>
  </x:si>
  <x:si>
    <x:t xml:space="preserve">Município de Gramado</x:t>
  </x:si>
  <x:si>
    <x:t xml:space="preserve">Prefeitura de Novo Hamburgo</x:t>
  </x:si>
  <x:si>
    <x:t xml:space="preserve">Sistema de sinalização turística e cicloturística para a região de Lomba Grande</x:t>
  </x:si>
  <x:si>
    <x:t xml:space="preserve">Prefeitura de Barão</x:t>
  </x:si>
  <x:si>
    <x:t xml:space="preserve">Implantação de sinalização e estruturação de 3 rotas de cicloturismo</x:t>
  </x:si>
  <x:si>
    <x:t xml:space="preserve">Rua Catarino Andreatta, 155, Vila Nova, Porto Alegre, RS, CEP 91750-040.</x:t>
  </x:si>
  <x:si>
    <x:t xml:space="preserve">Associacao Hospitalar Vila Nova Guaíba - Rs</x:t>
  </x:si>
  <x:si>
    <x:t xml:space="preserve">Aquisisção de 1 carro de anestesia</x:t>
  </x:si>
  <x:si>
    <x:t xml:space="preserve">Vera Cruz</x:t>
  </x:si>
  <x:si>
    <x:t xml:space="preserve">Avenida Nestor Frederico Henn, 1645, Centro, Vera Cruz - RS, CEP 96880-000</x:t>
  </x:si>
  <x:si>
    <x:t xml:space="preserve">Av. Cel. Coriolano de Castro, 920 - Caçapava do Sul, RS, 96570-000</x:t>
  </x:si>
  <x:si>
    <x:t xml:space="preserve">Associação Hospital De Caridade Dr Victor Lang</x:t>
  </x:si>
  <x:si>
    <x:t xml:space="preserve">Aquisição de equipamentos oftalmológicos para o ambulatório de oftalmologia.</x:t>
  </x:si>
  <x:si>
    <x:t xml:space="preserve">Rua Paulino Afonso, 477 - Centro, Petrópolis - RJ, CEP 25680-003</x:t>
  </x:si>
  <x:si>
    <x:t xml:space="preserve">Associacao Hospitalar Santa Teresa Guarani Das Missões - Rs</x:t>
  </x:si>
  <x:si>
    <x:t xml:space="preserve">Aquisição de Aparelho de RX DIGITAL</x:t>
  </x:si>
  <x:si>
    <x:t xml:space="preserve">Equipamento e material permanente para unidade de atenção especializada.</x:t>
  </x:si>
  <x:si>
    <x:t xml:space="preserve">Divisão Estadual de Combate à Corrupção e à Lavagem de Dinheiro da Polícia Civil, Porto Alegre, RS</x:t>
  </x:si>
  <x:si>
    <x:t xml:space="preserve">Divisão Estadual de Combate à Corrupção e à Lavagem de Dinheiro da Polícia Civil</x:t>
  </x:si>
  <x:si>
    <x:t xml:space="preserve">Recurso pago.</x:t>
  </x:si>
  <x:si>
    <x:t xml:space="preserve"> Aquisição e renovação de solução de extração de dados e análise criminal para a Divisão Estadual de Combate à Corrupção e à Lavagem de Dinheiro da Polícia Civil do Rio Grande do Sul. } RENOVAÇÃO DE LICENÇA DE SOLUÇÃO DE EXTRAÇÃO DE DADOS: UFED 4PC EXTENDED WARRANTY (1 YEAR)(3 UN), UFED 4PC ULTIMATE SW RENEWAL(3 UN), SUPORTE 8X5 REMOTO MOBILETECH (3 UN). }}}}} SOLUÇÃO DE EXTRAÇÃO DE DADOS: UFED 4PC ULTIMATE STANDARD-HARDWARE (1 UN), UFED 4PC ULTIMATE STANDARD-SOFTWARE(1 UN), UFED 4PC EXTENDED WARRANTY (1 YEAR)(2 UN), UFED 4PC ULTIMATE SW RENEWAL(2 UN), SUPORTE 8X5 REMOTO MOBILETECH(3 UN), SERVIÇO DE DESBLOQUEIO (CAS)(1 UN), CMS POR 36 MESES PARA UFED 4PC (SUBSCRIPTION)(1 UN).</x:t>
  </x:si>
  <x:si>
    <x:t xml:space="preserve">Espaços turísticos no Parque Centenário</x:t>
  </x:si>
  <x:si>
    <x:t xml:space="preserve">Roca Sales</x:t>
  </x:si>
  <x:si>
    <x:t xml:space="preserve">Rua Eliseu Orlandini, 51 - Centro, Roca Sales - RS, CEP 95735-000</x:t>
  </x:si>
  <x:si>
    <x:t xml:space="preserve">Rua Doutor Francisco Timm, 656 - Centro, Santa Rosa - RS, CEP 98780-803</x:t>
  </x:si>
  <x:si>
    <x:t xml:space="preserve">Associacao Hospitalar Santa Rosa Santa Rosa - Rs</x:t>
  </x:si>
  <x:si>
    <x:t xml:space="preserve">Aquisição de 03 equipamentos de hemodialise</x:t>
  </x:si>
  <x:si>
    <x:t xml:space="preserve">Cândido Godói</x:t>
  </x:si>
  <x:si>
    <x:t xml:space="preserve">Rua João Magalhães, 146, Centro, Cândido Godói, RS, CEP 98970-000, Brasil.</x:t>
  </x:si>
  <x:si>
    <x:t xml:space="preserve">Associacao Hospitalar Santo Afonso Cândido Godói - Rs</x:t>
  </x:si>
  <x:si>
    <x:t xml:space="preserve">EQUIPAMENTO DE ENDOSCOPIA E COLONOSCOPIA</x:t>
  </x:si>
  <x:si>
    <x:t xml:space="preserve">Avenida da Paz, 978, Jaraguá, Maceió – AL, CEP 57022-050. Telefones: (82) 98846-7493; (82) 3315-1117. Av. Estados Unidos 161, Edif. Suerdik, 8º andar, Comércio, CEP 40010-020, Salvador, BA.</x:t>
  </x:si>
  <x:si>
    <x:t xml:space="preserve">Rua Tristão Monteiro, 1278 - Centro, Taquara - RS, 95600-000</x:t>
  </x:si>
  <x:si>
    <x:t xml:space="preserve">Polícia Rodoviária Federal, Porto Alegre, RS</x:t>
  </x:si>
  <x:si>
    <x:t xml:space="preserve">Entregue</x:t>
  </x:si>
  <x:si>
    <x:t xml:space="preserve">Corolla blindado para a Delegacia de Santa Maria</x:t>
  </x:si>
  <x:si>
    <x:t xml:space="preserve">Viatura entregue em junho de 2021. Com o recurso total da emenda ( 290.000,00) foi possível comprar uma viatura e com o saldo restante foi possível participar da compra de outra viatura, em conjunto com parlamentares que também destinaram emendas à PRF)</x:t>
  </x:si>
  <x:si>
    <x:t xml:space="preserve">Polícia Rodoviária Federal, Santa Maria, RS</x:t>
  </x:si>
  <x:si>
    <x:t xml:space="preserve">Recurso pago. Entregue</x:t>
  </x:si>
  <x:si>
    <x:t xml:space="preserve">Trailblazer caminhonete 4x4 para o Centro de Operações Especiais da PRF, com sede em Porto Alegre</x:t>
  </x:si>
  <x:si>
    <x:t xml:space="preserve">Avenida Dr. José Loureiro da Silva, 1350 - Centro, Gravataí - RS, 94010-000</x:t>
  </x:si>
  <x:si>
    <x:t xml:space="preserve">Municipio De Gravatai Gravataí - Rs</x:t>
  </x:si>
  <x:si>
    <x:t xml:space="preserve">O projeto propõe a aquisição de dois drones DJI Matrice 30T, com estações autônomas de decolagem, pouso e recarga, câmeras térmicas e visuais, sensores climáticos e integração em nuvem, para uso estratégico pela Guarda Municipal de Gravataí. Com investimento de R$ 291.960,00, a iniciativa visa ampliar a vigilância aérea, reduzir o tempo de resposta a ocorrências, otimizar recursos humanos e apoiar ações conjuntas com outras forças de segurança (FERRAZ et al., 2020).</x:t>
  </x:si>
  <x:si>
    <x:t xml:space="preserve">A definir</x:t>
  </x:si>
  <x:si>
    <x:t xml:space="preserve">Brigada Militar, A definir, RS</x:t>
  </x:si>
  <x:si>
    <x:t xml:space="preserve">04 Viatura ostensiva tipo pick up</x:t>
  </x:si>
  <x:si>
    <x:t xml:space="preserve">Hospital Virvi Ramos</x:t>
  </x:si>
  <x:si>
    <x:t xml:space="preserve">Foi elaborado um Termo de Fomento com a Prefeitura Municipal de Caxias do Sul juntamente com outras Emendas Parlamentares. O valor será utilizado para aquisição de medicamentos , pagamento aos fornecedores de gases medicinais, Energia Elétrica, Água e prestadores de serviços de manutenção de equipamentos e descarte de resíduos. Termo de Fomento nº 2020/716.</x:t>
  </x:si>
  <x:si>
    <x:t xml:space="preserve">Empreendedorismo, educação e inovação</x:t>
  </x:si>
  <x:si>
    <x:t xml:space="preserve">Misto (custeio e investimento)</x:t>
  </x:si>
  <x:si>
    <x:t xml:space="preserve">Investimento em laboratório de produção criativa (ESPAÇO 4.0), inspirado nos FabLabs do MIT</x:t>
  </x:si>
  <x:si>
    <x:t xml:space="preserve">Processo licitatório da prefeitura encontra-se em análise no Ministério da Mulher.</x:t>
  </x:si>
  <x:si>
    <x:t xml:space="preserve">Hospital de Clínicas de Porto Alegre, Porto Alegre, RS</x:t>
  </x:si>
  <x:si>
    <x:t xml:space="preserve">Hospital de Clínicas de Porto Alegre</x:t>
  </x:si>
  <x:si>
    <x:t xml:space="preserve">Conforme indicação do Gabinete Sr. Deputado a verba para custeio foi direcionada para aquisição de" instrumentais". Tendo em vista que os recursos foram disponibilizados inicialmente para a PMPA e somente recentemente em 03 de novembro houve viabilidade de disponibilidade do recurso ao HCPA, iniciou-se o processo de seleção dos instrumentais a serem adquiridos bem como o início de liberação destas aquisições. Foram já liberados para compra  76.488,50 e estão em fase final de geração da documentação para aquisição do saldo  223.511,50.</x:t>
  </x:si>
  <x:si>
    <x:t xml:space="preserve">Santa Casa de Misericórdia de Porto Alegre, Porto Alegre, RS</x:t>
  </x:si>
  <x:si>
    <x:t xml:space="preserve">Santa Casa de Misericórdia de Porto Alegre</x:t>
  </x:si>
  <x:si>
    <x:t xml:space="preserve">Alegrete</x:t>
  </x:si>
  <x:si>
    <x:t xml:space="preserve">Santa Casa de Caridade de Alegrete, Alegrete, RS</x:t>
  </x:si>
  <x:si>
    <x:t xml:space="preserve">Santa Casa de Caridade de Alegrete</x:t>
  </x:si>
  <x:si>
    <x:t xml:space="preserve">Comando do Exército , Porto Alegre, RS</x:t>
  </x:si>
  <x:si>
    <x:t xml:space="preserve">Comando do Exército</x:t>
  </x:si>
  <x:si>
    <x:t xml:space="preserve">Associação de Caridade Santa Casa de Rio Grande, Rio Grande, RS</x:t>
  </x:si>
  <x:si>
    <x:t xml:space="preserve">Associação de Caridade Santa Casa de Rio Grande</x:t>
  </x:si>
  <x:si>
    <x:t xml:space="preserve">Associação Pro Ensino Em Santa Cruz Do Sul, Santa Cruz do Sul, RS</x:t>
  </x:si>
  <x:si>
    <x:t xml:space="preserve">Associação Pro Ensino Em Santa Cruz Do Sul</x:t>
  </x:si>
  <x:si>
    <x:t xml:space="preserve">Aeronáutica do Brasil, Santa Maria, RS</x:t>
  </x:si>
  <x:si>
    <x:t xml:space="preserve">Comando da Aeronáutica Brasília</x:t>
  </x:si>
  <x:si>
    <x:t xml:space="preserve">Aeronáutica do Brasil</x:t>
  </x:si>
  <x:si>
    <x:t xml:space="preserve">Reforma de instalações da Base Aérea de Santa Maria (programa PROFESP para crianças e adolescentes). 
</x:t>
  </x:si>
  <x:si>
    <x:t xml:space="preserve">Hospital Nossa Senhora do Rosário, Serafina Corrêa, RS</x:t>
  </x:si>
  <x:si>
    <x:t xml:space="preserve">Hospital Nossa Senhora do Rosário</x:t>
  </x:si>
  <x:si>
    <x:t xml:space="preserve">Prefeitura de Lindolfo Collor</x:t>
  </x:si>
  <x:si>
    <x:t xml:space="preserve">Restauro de uma casa enxaimel para uso cultural e turístico em Lindolfo Collor;</x:t>
  </x:si>
  <x:si>
    <x:t xml:space="preserve">Av. Santos Ferreira, 1864 - Mal. Rondon, Canoas - RS, 92030-000</x:t>
  </x:si>
  <x:si>
    <x:t xml:space="preserve">Hospital Nossa Senhora Das Graças</x:t>
  </x:si>
  <x:si>
    <x:t xml:space="preserve">O presente projeto consiste na aquisição de uma mesa cirúrgica elétrica e aparelho de raio x fixo e analógico.</x:t>
  </x:si>
  <x:si>
    <x:t xml:space="preserve">Caxias Do Sul</x:t>
  </x:si>
  <x:si>
    <x:t xml:space="preserve">Equipamento para diagnóstico por imagem ultrassônica.</x:t>
  </x:si>
  <x:si>
    <x:t xml:space="preserve">Prefeitura de Igrejinha</x:t>
  </x:si>
  <x:si>
    <x:t xml:space="preserve">40 computadores para interligar as 14 estruturas de saúde do Município</x:t>
  </x:si>
  <x:si>
    <x:t xml:space="preserve">Av. Seis de Julho, 42 - Parque da Bica, Piratini - RS, 96490-000</x:t>
  </x:si>
  <x:si>
    <x:t xml:space="preserve">Hospital De Caridade Nossa Senhora Da Conceição De Piratini</x:t>
  </x:si>
  <x:si>
    <x:t xml:space="preserve">Aquisição de  um Sistema de Vídeo para Cirurgias</x:t>
  </x:si>
  <x:si>
    <x:t xml:space="preserve">R. Emílio Lúcio Esteves, 900-1070 - Sagrada Família, Taquara - RS, 95600-000</x:t>
  </x:si>
  <x:si>
    <x:t xml:space="preserve">Aquisição de equipamentos, um foco cirúrgico, uma mesa cirúrgica e um carro de anestesia completo, para otimizar o fluxo e segurança na rotina cirúrgica.</x:t>
  </x:si>
  <x:si>
    <x:t xml:space="preserve">Osório</x:t>
  </x:si>
  <x:si>
    <x:t xml:space="preserve">Av. Jorge Dariva, 1251 - Centro, Osório - RS, 95520-000</x:t>
  </x:si>
  <x:si>
    <x:t xml:space="preserve">Prefeitura de Osório</x:t>
  </x:si>
  <x:si>
    <x:t xml:space="preserve">Exército do Brasil</x:t>
  </x:si>
  <x:si>
    <x:t xml:space="preserve">Foram pagos R$ 357.374,65,00, de acordo com a planilha de pagtos de 31/08/2023. </x:t>
  </x:si>
  <x:si>
    <x:t xml:space="preserve">Prefeitura de São Jernônimo</x:t>
  </x:si>
  <x:si>
    <x:t xml:space="preserve">Projeto Construção de Ponte sobre o Rio Jacuí entre São Jerônimo e Triunfo - na BR-470/RS</x:t>
  </x:si>
  <x:si>
    <x:t xml:space="preserve">Emenda bancada</x:t>
  </x:si>
  <x:si>
    <x:t xml:space="preserve">Indicação total </x:t>
  </x:si>
  <x:si>
    <x:t xml:space="preserve">Avenida Guilherme Winter, 65 – Caixa Postal 4 – Centro, Bom Princípio/RS, CEP 95765-000.</x:t>
  </x:si>
  <x:si>
    <x:t xml:space="preserve">Rua Berlim, 240 - Centro, Dois Irmãos - RS, CEP 93950-000</x:t>
  </x:si>
  <x:si>
    <x:t xml:space="preserve">Rua Pinheiro Machado, nº 55, Centro, Feliz - RS, CEP 95770-000</x:t>
  </x:si>
  <x:si>
    <x:t xml:space="preserve">Rua Coronel Oscar Rafael Jost, 1551, Centro, Santa Cruz do Sul - RS, CEP 96815-713.</x:t>
  </x:si>
  <x:si>
    <x:t xml:space="preserve">Praça da Emancipação, s/n - Centro, Farroupilha - RS, Brasil</x:t>
  </x:si>
  <x:si>
    <x:t xml:space="preserve">Jaguari</x:t>
  </x:si>
  <x:si>
    <x:t xml:space="preserve">Praça Gilson Carlos Reginato, Centro, Jaguari - RS, CEP 97760-000</x:t>
  </x:si>
  <x:si>
    <x:t xml:space="preserve">Avenida Fridolino Ritter, 379 - Centro, Picada Café - RS, CEP 95166-000</x:t>
  </x:si>
  <x:si>
    <x:t xml:space="preserve">Anita Garibaldi, 299, Centro, Estância Velha - RS</x:t>
  </x:si>
  <x:si>
    <x:t xml:space="preserve">Avenida João Corrêa, 793 - Centro, Sapiranga - RS, 93800-000</x:t>
  </x:si>
  <x:si>
    <x:t xml:space="preserve">Rua Manoel Serafim, 905 - Centro, Sapucaia do Sul - RS, CEP 93220-250</x:t>
  </x:si>
  <x:si>
    <x:t xml:space="preserve">Avenida das Hortênsias, 2029, Centro, Gramado - Rio Grande do Sul, CEP 95670-000</x:t>
  </x:si>
  <x:si>
    <x:t xml:space="preserve">Sarandi</x:t>
  </x:si>
  <x:si>
    <x:t xml:space="preserve">Rua Ignacio Giordani, 1075, Centro, Sarandi, RS, CEP 99560-000</x:t>
  </x:si>
  <x:si>
    <x:t xml:space="preserve">Fundo Municipal De Saude De Sarandi-Rs Sarandi - Rs</x:t>
  </x:si>
  <x:si>
    <x:t xml:space="preserve">Implantar um laboratório de análises clínicas municipal, junto aos serviços da Secretaria Municipal de Saúde</x:t>
  </x:si>
  <x:si>
    <x:t xml:space="preserve">Avenida Guerino Pandolfo, Centro, Riozinho, RS, CEP 95695-000</x:t>
  </x:si>
  <x:si>
    <x:t xml:space="preserve">Associacao Filhas De Sao Camilo Riozinho - Rs</x:t>
  </x:si>
  <x:si>
    <x:t xml:space="preserve">"01 SECADOR ROTATIVO COM CAPACIDADE PARA 36,7 KG;
 01 APARELHO DE ULTRASSONOGRAFIA"</x:t>
  </x:si>
  <x:si>
    <x:t xml:space="preserve">Ronda Alta</x:t>
  </x:si>
  <x:si>
    <x:t xml:space="preserve">Travessa São Jorge, nº 38, Casa, Centro, Ronda Alta - RS, CEP 99670-000</x:t>
  </x:si>
  <x:si>
    <x:t xml:space="preserve">Associacao Hospitalar De Ronda Alta Ronda Alta - Rs</x:t>
  </x:si>
  <x:si>
    <x:t xml:space="preserve">Aquisição de 1 Mesa Cirurgica Eletrica 
 1 Aparelho de Enestesia 
 Camas Fawlwer Mecânica</x:t>
  </x:si>
  <x:si>
    <x:t xml:space="preserve">Avenida Presidente Vargas, 1440 – Centro, São Borja – RS, CEP 97670-000.</x:t>
  </x:si>
  <x:si>
    <x:t xml:space="preserve">Fundacao Ivan Goulart São Borja - Rs</x:t>
  </x:si>
  <x:si>
    <x:t xml:space="preserve">Aquisição de 02 (dois) ventiladores pulmonares, com valor unitário de R$ 120.000,00, e 02 (dois) monitores multiparâmetros, com valor unitário de R$ 30.000,00, totalizando R$ 300.000,00. Para Centro de Terapia Intensiva (CTI)</x:t>
  </x:si>
  <x:si>
    <x:t xml:space="preserve">Avenida Bernardino de Campos, 47, Santos - SP, CEP aproximado de 11015-470 (Brasil)</x:t>
  </x:si>
  <x:si>
    <x:t xml:space="preserve">Sociedade Portuguesa De Beneficencia Pelotas - Rs</x:t>
  </x:si>
  <x:si>
    <x:t xml:space="preserve">Ventilador pulmonar de beira de leito</x:t>
  </x:si>
  <x:si>
    <x:t xml:space="preserve">São Gabriel</x:t>
  </x:si>
  <x:si>
    <x:t xml:space="preserve">Largo da Pátria, nº 132, Centro, São Gabriel - BA, CEP 44915-000; Av. Álvaro Maia, nº 569, Centro, São Gabriel da Cachoeira - AM, CEP 69750-000; Rua Duque de Caxias, 268, Centro, São Gabriel - RS (sem CEP listado na página de contato).</x:t>
  </x:si>
  <x:si>
    <x:t xml:space="preserve">Municipio De Sao Gabriel São Gabriel - Rs</x:t>
  </x:si>
  <x:si>
    <x:t xml:space="preserve">Aquisição de 02 pick ups para serviços de Fiscalização e Segurança no Trânsito</x:t>
  </x:si>
  <x:si>
    <x:t xml:space="preserve">Rua Cel. Cornélio Maciel, 101, Centro, Cruzília, MG, CEP 37445-000</x:t>
  </x:si>
  <x:si>
    <x:t xml:space="preserve">Rua Doutor Francisco Timm, 656, Centro, Santa Rosa - RS, CEP 98780-803, Brasil</x:t>
  </x:si>
  <x:si>
    <x:t xml:space="preserve">Associacao Hospitalar Santa Rosa</x:t>
  </x:si>
  <x:si>
    <x:t xml:space="preserve">Associacao Pro-Ensino Em Santa Cruz Do Sul - Apesc</x:t>
  </x:si>
  <x:si>
    <x:t xml:space="preserve">Três Passos</x:t>
  </x:si>
  <x:si>
    <x:t xml:space="preserve">Rua São Luiz, 90, Centro, Tucunduva - Rio Grande do Sul, CEP 98.930-000</x:t>
  </x:si>
  <x:si>
    <x:t xml:space="preserve">Associacao Hospital de Caridade Tres Passos</x:t>
  </x:si>
  <x:si>
    <x:t xml:space="preserve">Nova Araçá</x:t>
  </x:si>
  <x:si>
    <x:t xml:space="preserve">Rua Alexandre Gazzoni, 200 - Centro, Nova Araçá - RS, CEP 95350-000</x:t>
  </x:si>
  <x:si>
    <x:t xml:space="preserve">Nova Araça</x:t>
  </x:si>
  <x:si>
    <x:t xml:space="preserve">Rua Plácido Chiquiti, 900 – Centro, São Sepé – RS, 97340-000</x:t>
  </x:si>
  <x:si>
    <x:t xml:space="preserve">Municipio De Sao Sepe São Sepé - Rs</x:t>
  </x:si>
  <x:si>
    <x:t xml:space="preserve">Aquisição de aquisição de almofadas pneumáticas para o Corpo de Bombeiros e equipamentos de escritórios para Brigada Militar e pelo Corpo de Bombeiros</x:t>
  </x:si>
  <x:si>
    <x:t xml:space="preserve">Mata</x:t>
  </x:si>
  <x:si>
    <x:t xml:space="preserve">R. do Comércio, 495 - Mata, RS, 97410-000</x:t>
  </x:si>
  <x:si>
    <x:t xml:space="preserve">Prefeitura de Mata</x:t>
  </x:si>
  <x:si>
    <x:t xml:space="preserve">Revitalização da estação férrea de Mata</x:t>
  </x:si>
  <x:si>
    <x:t xml:space="preserve">R. Saul Irineu Farina, 160 - São Pelegrino, Veranópolis - RS, 95330-000</x:t>
  </x:si>
  <x:si>
    <x:t xml:space="preserve">Associação Veranense De Assistência Em Saúde - Hospital Comunitário São Peregrino Lazziozi</x:t>
  </x:si>
  <x:si>
    <x:t xml:space="preserve">Segurança e Qualidade nos Processos de Esterilização Interna de Materiais do Hospital Comunitário São Peregrino Lazziozi: Adequação da Central de Material e Esterilização – CME com a aquisição para substituição do equipamento Autoclave Horizontal.</x:t>
  </x:si>
  <x:si>
    <x:t xml:space="preserve">Praça Emancipação, s/nº, Centro, Farroupilha - RS, 95170-444, Brasil</x:t>
  </x:si>
  <x:si>
    <x:t xml:space="preserve">Santa Tereza</x:t>
  </x:si>
  <x:si>
    <x:t xml:space="preserve">Rua Darly Nerty Vervloet, 446 – Centro, Santa Teresa – ES, CEP 29650-000.</x:t>
  </x:si>
  <x:si>
    <x:t xml:space="preserve">Fundo Municipal De Saude De Santa Tereza Santa Tereza - Rs</x:t>
  </x:si>
  <x:si>
    <x:t xml:space="preserve">Incorporação de uma ambulância, visando garantir o transporte seguro e eficiente de pacientes, especialmente aqueles em estado grave ou com necessidade de cuidados intensivos durante o deslocamento.</x:t>
  </x:si>
  <x:si>
    <x:t xml:space="preserve">Tupanciretã</x:t>
  </x:si>
  <x:si>
    <x:t xml:space="preserve">Rua Expedicionário João Moreira Alberto, 181 - Centro, Tupanciretã - RS, CEP 98170-000</x:t>
  </x:si>
  <x:si>
    <x:t xml:space="preserve">Fundo Municipal de Saude de Tupancireta</x:t>
  </x:si>
  <x:si>
    <x:t xml:space="preserve">Av. Presidente Tancredo Neves, 965, Centro, Tapera - RS, CEP 99490-000.</x:t>
  </x:si>
  <x:si>
    <x:t xml:space="preserve">Setor Comercial Sul (SCS), Quadra 9, Edifício Parque Cidade Corporate, Bloco C, 1º ao 3º pavimentos, CEP: 70308-200, Brasília, DF, Brasil</x:t>
  </x:si>
  <x:si>
    <x:t xml:space="preserve">Empresa Brasileira de Servicos Hospitalares - Ebserh</x:t>
  </x:si>
  <x:si>
    <x:t xml:space="preserve">Convênio 905241/2020 (23/12/2020).</x:t>
  </x:si>
  <x:si>
    <x:t xml:space="preserve">471 capacetes de motociclista.</x:t>
  </x:si>
  <x:si>
    <x:t xml:space="preserve">R. Cel. Chananeco, 600 - Centro, São Sepé - RS, 97340-000</x:t>
  </x:si>
  <x:si>
    <x:t xml:space="preserve">Associação Beneficente Hospital Santo Antonio</x:t>
  </x:si>
  <x:si>
    <x:t xml:space="preserve">Torre de video para urologia, servira para ampliar os atendimentos nessa area aos usuario do sus da regiao</x:t>
  </x:si>
  <x:si>
    <x:t xml:space="preserve">Prefeitura de Taquara</x:t>
  </x:si>
  <x:si>
    <x:t xml:space="preserve">Veículo de Transporte Sanitário com acessibilidade</x:t>
  </x:si>
  <x:si>
    <x:t xml:space="preserve">Rua Júlio May, 242 - Centro, Lajeado - RS, CEP 95900-000</x:t>
  </x:si>
  <x:si>
    <x:t xml:space="preserve">Municipio De Lajeado Lajeado - Rs</x:t>
  </x:si>
  <x:si>
    <x:t xml:space="preserve">Aquisição de equipamentos para estruturar a UBS MONTANHA, a qual comporta 03 Equipes de ESF.</x:t>
  </x:si>
  <x:si>
    <x:t xml:space="preserve">Sant'Ana do Livramento</x:t>
  </x:si>
  <x:si>
    <x:t xml:space="preserve">Rua Antônio Manoel, 701 - Centro, Santo Ângelo - RS, CEP 98801-690 (Hospital Regional das Missoes, Associacao Hospital de Caridade de Santo Angelo)</x:t>
  </x:si>
  <x:si>
    <x:t xml:space="preserve">Associacao Hospital de Caridade de Santo Angelo</x:t>
  </x:si>
  <x:si>
    <x:t xml:space="preserve">Santa Casa de Misericordia</x:t>
  </x:si>
  <x:si>
    <x:t xml:space="preserve">Rua Ormezinda Ramos Loureiro, 180 - Caramuru, Arambaré - RS, CEP 96178-000</x:t>
  </x:si>
  <x:si>
    <x:t xml:space="preserve">Rua Aurelio Vieira Gonçalves, 291 - Centro, Barracão - RS, CEP 95370-000</x:t>
  </x:si>
  <x:si>
    <x:t xml:space="preserve">Fundo Municipal de Saude de Alvorada</x:t>
  </x:si>
  <x:si>
    <x:t xml:space="preserve">Corpo de Bombeiros, Rio Pardo, RS</x:t>
  </x:si>
  <x:si>
    <x:t xml:space="preserve">01 ambulância/resgate tipo C furgão teto alto.</x:t>
  </x:si>
  <x:si>
    <x:t xml:space="preserve">R. Itália, 919 - Centro, Erechim - RS, 99700-000</x:t>
  </x:si>
  <x:si>
    <x:t xml:space="preserve">Fundação Hospitalar Santa Terezinha De Erechim</x:t>
  </x:si>
  <x:si>
    <x:t xml:space="preserve">Aquisição de 02 (dois) bisturis eletrônicos completos para o Centro Cirúrgico</x:t>
  </x:si>
  <x:si>
    <x:t xml:space="preserve">R. Ceci Leite Costa, 1266, Faxinal do Soturno - RS, 97220-000</x:t>
  </x:si>
  <x:si>
    <x:t xml:space="preserve">Hospital De Caridade São Roque</x:t>
  </x:si>
  <x:si>
    <x:t xml:space="preserve">COMPRA DE DOIS APARELHOS DE HEMODIALISE CONTINUA E DOIS RESPIRADORES PARA A UTI</x:t>
  </x:si>
  <x:si>
    <x:t xml:space="preserve">Flores da Cunha</x:t>
  </x:si>
  <x:si>
    <x:t xml:space="preserve">Corpo de Bombeiros de Flores da Cunha</x:t>
  </x:si>
  <x:si>
    <x:t xml:space="preserve">Ambulância/Resgate tipo C Furgão
teto alto</x:t>
  </x:si>
  <x:si>
    <x:t xml:space="preserve">Giruá</x:t>
  </x:si>
  <x:si>
    <x:t xml:space="preserve">Corpo de Bombeiros de Giruá, Giruá, RS</x:t>
  </x:si>
  <x:si>
    <x:t xml:space="preserve">Corpo de Bombeiros de Giruá</x:t>
  </x:si>
  <x:si>
    <x:t xml:space="preserve">Corpo de Bombeiros de Ivoti, Ivoti, RS</x:t>
  </x:si>
  <x:si>
    <x:t xml:space="preserve">Corpo de Bombeiros de Ivoti</x:t>
  </x:si>
  <x:si>
    <x:t xml:space="preserve">Marinha do Brasil</x:t>
  </x:si>
  <x:si>
    <x:t xml:space="preserve">PAGO</x:t>
  </x:si>
  <x:si>
    <x:t xml:space="preserve">Foram pagos R$ 333.800,00, de acordo com a planilha de pagtos de 31/08/2023. </x:t>
  </x:si>
  <x:si>
    <x:t xml:space="preserve">Av. Pres. Lucena, 3598 - Centro, Ivoti - RS, 93900-000</x:t>
  </x:si>
  <x:si>
    <x:t xml:space="preserve">Hospital Sao Jose De Ivoti</x:t>
  </x:si>
  <x:si>
    <x:t xml:space="preserve">Adquisiçao de Hardware para Implementaçao de Rastreabilidade de medicamentos no Hospital Sao Jose de Ivoti</x:t>
  </x:si>
  <x:si>
    <x:t xml:space="preserve">Paraíso do Sul</x:t>
  </x:si>
  <x:si>
    <x:t xml:space="preserve">Avenida Afonso Pena, 250 - Centro, Paraíso do Sul - RS, 96530-000</x:t>
  </x:si>
  <x:si>
    <x:t xml:space="preserve">Fundo Municipal De Saude Paraíso Do Sul - Rs</x:t>
  </x:si>
  <x:si>
    <x:t xml:space="preserve">Aquisição de uma ambulância para transporte e remoção de pacientes.</x:t>
  </x:si>
  <x:si>
    <x:t xml:space="preserve">Prefeitura Municipal, Nova Prata, RS</x:t>
  </x:si>
  <x:si>
    <x:t xml:space="preserve">Equipamento de ultrassonografia para a UBS para acrescer em 30% a oferta de exames, principalmente os de tipo ginecológicos e obstétricos, para a população regional em razão de o hospital ser referência para oito municípios. Recurso enviado via Fundo Municipal de Saúde de Nova Prata.</x:t>
  </x:si>
  <x:si>
    <x:t xml:space="preserve">Fundação Universidade Federal do Pampa, Bagé, RS</x:t>
  </x:si>
  <x:si>
    <x:t xml:space="preserve">Fundação Universidade Federal do Pampa</x:t>
  </x:si>
  <x:si>
    <x:t xml:space="preserve">Recurso pago parcialmente: R$ 228.332,35.</x:t>
  </x:si>
  <x:si>
    <x:t xml:space="preserve">Liberado para pagamento, conf. planilha de 31082023, o valor de R$ 23.546,41, favorecido Fachini Engenharia Ltda. </x:t>
  </x:si>
  <x:si>
    <x:t xml:space="preserve">Universidade Federal do Rio Grande Do Sul,         
Porto Alegre, RS</x:t>
  </x:si>
  <x:si>
    <x:t xml:space="preserve">Universidade Federal do Rio Grande Do Sul</x:t>
  </x:si>
  <x:si>
    <x:t xml:space="preserve">Marinha do Brasil, Rio Grande, RS</x:t>
  </x:si>
  <x:si>
    <x:t xml:space="preserve">Comando da Marinha Rio Grande</x:t>
  </x:si>
  <x:si>
    <x:t xml:space="preserve">Prefeitura de Santo Antônio da Patrulha</x:t>
  </x:si>
  <x:si>
    <x:t xml:space="preserve">Aquisição de viaturas</x:t>
  </x:si>
  <x:si>
    <x:t xml:space="preserve">Rua Alfredo Chaves, 1333 – Bairro Exposição – Caxias do Sul, RS, CEP 95020-460.</x:t>
  </x:si>
  <x:si>
    <x:t xml:space="preserve">Prefeitura de Dom Pedrito</x:t>
  </x:si>
  <x:si>
    <x:t xml:space="preserve">Potencialização dos atrativos turísticos da região com a primeira Casa de Cultura de Dom Pedrito;</x:t>
  </x:si>
  <x:si>
    <x:t xml:space="preserve">R. João Inácio Teixeira, 70 - Centro, Pareci Novo - RS, 95783-000</x:t>
  </x:si>
  <x:si>
    <x:t xml:space="preserve">Prefeitura de Pareci Novo</x:t>
  </x:si>
  <x:si>
    <x:t xml:space="preserve">Revitalização do Seminário Jesuíta São José</x:t>
  </x:si>
  <x:si>
    <x:t xml:space="preserve">Rua General Sampaio, 88 - Vila Nova, Alegrete - RS, CEP 97541-260</x:t>
  </x:si>
  <x:si>
    <x:t xml:space="preserve">Irmandade Da Santa Casa De Caridade De Alegrete Alegrete - Rs</x:t>
  </x:si>
  <x:si>
    <x:t xml:space="preserve">Aquisisção de 1 carro de anestesia completo com ventilador integrado</x:t>
  </x:si>
  <x:si>
    <x:t xml:space="preserve">(na licitação ficou em  330 mil)</x:t>
  </x:si>
  <x:si>
    <x:t xml:space="preserve">Pregão eletrônio concluído. 
Pagamento no valor de  330.000,00 realizado em 25/04/2022. O valor unitário do espectrômetro da proposta vencedora ficou em  330.000,00 economizando recursos públicos, já que o valor empenhado era de  355.975,13 pelo aparelho.
</x:t>
  </x:si>
  <x:si>
    <x:t xml:space="preserve">Equipamentos e insumos para o IGP: espectrômetro na região do infravermelho. Pagamento realizado em 25/04/2022.</x:t>
  </x:si>
  <x:si>
    <x:t xml:space="preserve">Avenida Cruz Cabugá, 1563 – Santo Amaro, Recife – PE; Rua Doutor Cesário Mota Júnior, 112 – São Paulo – SP; Avenida Ernani Cardoso Cascadura, Rio de Janeiro – RJ (CEP 21310-310)</x:t>
  </x:si>
  <x:si>
    <x:t xml:space="preserve">09 motocicletas caracterizadas</x:t>
  </x:si>
  <x:si>
    <x:t xml:space="preserve">R. Dr. João Manoel Pereira, 951 - Centro, Guaporé - RS, 99200-000</x:t>
  </x:si>
  <x:si>
    <x:t xml:space="preserve">Associação Hospitalar Manoel Francisco Guerreiro - Hospital De Guaporé</x:t>
  </x:si>
  <x:si>
    <x:t xml:space="preserve">Aquisição de Aparelho de Raio-X Fixo Digital</x:t>
  </x:si>
  <x:si>
    <x:t xml:space="preserve">Rua Fernando Abott, 174 - Centro, Santa Cruz do Sul - RS, 96810-072</x:t>
  </x:si>
  <x:si>
    <x:t xml:space="preserve">Hospital Santa Cruz</x:t>
  </x:si>
  <x:si>
    <x:t xml:space="preserve">O recurso será utilizado para aquisição de um aparelho de raio X digital, que será alocado no Plantão de Atendimento - PA, a fim de garantir que os exames radiológicos são simples, rápido, indolor e não invasivo, que emprega radiação ionizante para gerar imagens digitais de áreas internas do organismo, mas extremamente importantes para as condutas de saúde no serviço de pronto atendimento.</x:t>
  </x:si>
  <x:si>
    <x:t xml:space="preserve">Hospital São Lucas da PUCRS, Porto Alegre, RS</x:t>
  </x:si>
  <x:si>
    <x:t xml:space="preserve">Hospital São Lucas da PUCRS</x:t>
  </x:si>
  <x:si>
    <x:t xml:space="preserve">Sociedade Beneficente Sa Piranguense, Sapiranga, RS</x:t>
  </x:si>
  <x:si>
    <x:t xml:space="preserve">Sociedade Beneficente Sa Piranguense</x:t>
  </x:si>
  <x:si>
    <x:t xml:space="preserve">Rua Carlos Bianchini, 996, Marechal Floriano, Caxias do Sul – RS, 95013-000.</x:t>
  </x:si>
  <x:si>
    <x:t xml:space="preserve">Associacao Educadora Sao Carlos - Aesc Capão Da Canoa - Rs</x:t>
  </x:si>
  <x:si>
    <x:t xml:space="preserve">Aquisição de 02 sistemas de anestesia.</x:t>
  </x:si>
  <x:si>
    <x:t xml:space="preserve">Canguçu</x:t>
  </x:si>
  <x:si>
    <x:t xml:space="preserve">Rua Silva Tavares, 1085 - Centro, Canguçu - RS, CEP 96600-000</x:t>
  </x:si>
  <x:si>
    <x:t xml:space="preserve">Fundo Municipal De Saude - Cangucu Canguçu - Rs</x:t>
  </x:si>
  <x:si>
    <x:t xml:space="preserve">O recurso será utilizado para a aquisição de um Micro- ônibus para a área da saúde mental com o objetivo de transportar usuários dos serviços dando acesso as diversas áreas da saúde, tanto no tratamento de doenças como no trabalho de prevenção.</x:t>
  </x:si>
  <x:si>
    <x:t xml:space="preserve">R. São Paulo, 800 - Parque 35, Guaíba - RS, 92500-000</x:t>
  </x:si>
  <x:si>
    <x:t xml:space="preserve">Hospital Regional Nelson Cornetet</x:t>
  </x:si>
  <x:si>
    <x:t xml:space="preserve">Recursos para aquisição de videoendoscópio flexivel para realização de exames de endoscopia digestiva alta e colonoscopia</x:t>
  </x:si>
  <x:si>
    <x:t xml:space="preserve">Essa emenda foi indicada no CNPJ da mantenedora, Associação Hospitalar Vila Nova, que fica em Porto Alegre.</x:t>
  </x:si>
  <x:si>
    <x:t xml:space="preserve">Pavimentação da Rua Ivo Koetz</x:t>
  </x:si>
  <x:si>
    <x:t xml:space="preserve">Fundação Hospitalar Dr Oswaldo Diesel, Três Coroas, RS</x:t>
  </x:si>
  <x:si>
    <x:t xml:space="preserve">Fundação Hospitalar Dr Oswaldo Diesel</x:t>
  </x:si>
  <x:si>
    <x:t xml:space="preserve">Rua Ernesto Alves, 858, Centro, Santa Cruz do Sul - RS, CEP 96810-060, Brasil</x:t>
  </x:si>
  <x:si>
    <x:t xml:space="preserve">Fundo Municipal De Saude Santa Cruz Do Sul - Rs</x:t>
  </x:si>
  <x:si>
    <x:t xml:space="preserve">Aquisição equipamentos de informática e ambulância destinada a transporte para remoção simples, voltados ao fortalecimento da capacidade operacional dos serviços da Atenção Especializada em Saúde</x:t>
  </x:si>
  <x:si>
    <x:t xml:space="preserve">Rua São José, 2500 - Centro, Flores da Cunha - RS, CEP 95270-000, Caixa Postal 39.</x:t>
  </x:si>
  <x:si>
    <x:t xml:space="preserve">Maquiné</x:t>
  </x:si>
  <x:si>
    <x:t xml:space="preserve">Rua Osvaldo Bastos, 622 - Centro, Maquiné/RS, CEP 95530-000</x:t>
  </x:si>
  <x:si>
    <x:t xml:space="preserve">Construção de Centro de Apoio ao Turista no município de Maquiné/RS.</x:t>
  </x:si>
  <x:si>
    <x:t xml:space="preserve">Relvado</x:t>
  </x:si>
  <x:si>
    <x:t xml:space="preserve">Rua das Hortênsias, 57 - Centro, Relvado - RS, CEP 95965-000</x:t>
  </x:si>
  <x:si>
    <x:t xml:space="preserve">Avenida 24 de Janeiro, 853 - Centro, São Martinho da Serra - RS, CEP 97190-000</x:t>
  </x:si>
  <x:si>
    <x:t xml:space="preserve">Sobradinho</x:t>
  </x:si>
  <x:si>
    <x:t xml:space="preserve">Prefeitura Municipal de Sobradinho, Rua General Osório, 200 – Centro, Sobradinho – RS 96900-000</x:t>
  </x:si>
  <x:si>
    <x:t xml:space="preserve">Polícia Civil, Dois Irmãos, RS</x:t>
  </x:si>
  <x:si>
    <x:t xml:space="preserve">Aguarda aprovação de licitação e liberação de recurso</x:t>
  </x:si>
  <x:si>
    <x:t xml:space="preserve">PICK UP 4X4</x:t>
  </x:si>
  <x:si>
    <x:t xml:space="preserve">Cachoeirinha</x:t>
  </x:si>
  <x:si>
    <x:t xml:space="preserve">Brigada Militar, Cachoeirinha, RS</x:t>
  </x:si>
  <x:si>
    <x:t xml:space="preserve">Enpenhado</x:t>
  </x:si>
  <x:si>
    <x:t xml:space="preserve">Brigada Militar, Frederico Westphalen, RS</x:t>
  </x:si>
  <x:si>
    <x:t xml:space="preserve">Individual</x:t>
  </x:si>
  <x:si>
    <x:t xml:space="preserve">Valor:  3.500.000,00 - Emenda Impositiva Individual na área da Segurança Pública no Orçamento Geral da União de 2022. 
Ação: 21BM - Desenvolvimento de Políticas de Segurança Pública, Prevenção e Enfrentamento à Criminalidade
Beneficiário: Secretaria da Segurança Pública Porto Alegre – RS
Brigada Militar 
- Duas SUV 118CV ( 234.954,25/un) -   469.908,50
- Duas PICK UP 4X4
( 384.370,17/un) -  768.740,34
Polícia Civil
- Duas SUV 118CV -  469.908,50
- Duas PICK UP 4X4 - 768.740,34
Corpo de Bombeiros
- três SUV 118CV -  704.862,75
- uma PICK UP 4X4 -  384.370,17
TOTAL:  3.566.530,60
</x:t>
  </x:si>
  <x:si>
    <x:t xml:space="preserve">Polícia Civil, Sapiranga, RS</x:t>
  </x:si>
  <x:si>
    <x:t xml:space="preserve">Tramandaí</x:t>
  </x:si>
  <x:si>
    <x:t xml:space="preserve">9º Batalhão de Bombeiro Militar, Tramandaí, RS</x:t>
  </x:si>
  <x:si>
    <x:t xml:space="preserve">9º Batalhão de Bombeiro Militar</x:t>
  </x:si>
  <x:si>
    <x:t xml:space="preserve">Carlos Gomes</x:t>
  </x:si>
  <x:si>
    <x:t xml:space="preserve">Fundo Municipal de Saúde de Carlos Gomes - RS</x:t>
  </x:si>
  <x:si>
    <x:t xml:space="preserve">Município de Carlos Gomes</x:t>
  </x:si>
  <x:si>
    <x:t xml:space="preserve">Rua Mario Totta, 157 - Centro, Três Passos - RS, CEP 98600-000</x:t>
  </x:si>
  <x:si>
    <x:t xml:space="preserve">Associacao de Literatura E Beneficencia</x:t>
  </x:si>
  <x:si>
    <x:t xml:space="preserve">Rua 21 de Abril, 1525 - Centro, Cachoeirinha - TO, CEP 77915-000</x:t>
  </x:si>
  <x:si>
    <x:t xml:space="preserve">Rua Galvão Gosta, 755 - Centro, Santa Cruz do Sul - RS, CEP 96810-510</x:t>
  </x:si>
  <x:si>
    <x:t xml:space="preserve">Avenida Nestor de Moura Jardim, 111 - Centro, Guaíba - RS, CEP 92.704-300</x:t>
  </x:si>
  <x:si>
    <x:t xml:space="preserve">Prefeitura Municipal do Rio Grande - Largo Engenheiro João Fernandes Moreira, S/N, CEP 96200-015, Rio Grande - RS, Brasil</x:t>
  </x:si>
  <x:si>
    <x:t xml:space="preserve">Hospital São Roque, Carlos Barbosa, RS</x:t>
  </x:si>
  <x:si>
    <x:t xml:space="preserve">Hospital São Roque</x:t>
  </x:si>
  <x:si>
    <x:t xml:space="preserve">Instalação de um gerador fotovoltaico com capacidade de 10.800 kW/mês. O hospital gastou, em 2020,  260.000,00 com energia elétrica. O projeto irá reduzir em 40% a energia consumida, produzindo uma economia, no longo prazo (em 20 anos e considerando uma inflação de 5% na energia ao ano) de  4.405.336,21. A redução desse custo permitirá investimentos em equipamentos, ampliação do hospital e capacitação dos funcionários. Recurso enviado via Fundo Municipal de Saúde de Carlos Barbosa.</x:t>
  </x:si>
  <x:si>
    <x:t xml:space="preserve">Muçum</x:t>
  </x:si>
  <x:si>
    <x:t xml:space="preserve">Hospital Beneficente Nossa Senhora Aparecida, Muçum, RS</x:t>
  </x:si>
  <x:si>
    <x:t xml:space="preserve">Instalação de placas de energia solar fotovoltaica para reduzir em até 90% o gasto com energia que, em 2020, foi de  92.000,00. A economia prevista permitirá a recuperação do bloco cirúrgico do hospital, incluindo os serviços de parto, otimizando o serviço prestado à comunidade local e regional, além de chamar a atenção da população para aderir a iniciativas ambientais sustentáveis. O hospital é microrregional e atende quatro municípios. Recurso enviado via Fundo Municipal de Saúde de Muçum (Emenda 41160002, valor 240.951,00 e Emenda 41160003, valor  159.049,00).</x:t>
  </x:si>
  <x:si>
    <x:t xml:space="preserve">44 câmeras fotográficas, 08 lentes para câmeras fotográficas, 05 licença perpétua do magnet ief, 01 manequim adulto para reprodução simulada dos fatos, 01 manequim infantil para reprodução simulada dos fatos, 89 pincéis para aplicação de pó revelador de impressões papilares.</x:t>
  </x:si>
  <x:si>
    <x:t xml:space="preserve">Revitalização da zona bancária de Santo Antônio da Patrulha;</x:t>
  </x:si>
  <x:si>
    <x:t xml:space="preserve">Prefeitura de Presidente Lucena</x:t>
  </x:si>
  <x:si>
    <x:t xml:space="preserve">Ambulância</x:t>
  </x:si>
  <x:si>
    <x:t xml:space="preserve">Prefeitura de Tapejara</x:t>
  </x:si>
  <x:si>
    <x:t xml:space="preserve">Videomonitoramento (Transferência Especial) Transferegov: OB, no valor de R$ 240.000,00, enviada pagto em 30/08/2023. OB, no valor de R$ 160.000,00, enviada pagto em 02/10/2023.</x:t>
  </x:si>
  <x:si>
    <x:t xml:space="preserve">Avenida Presidente Getúlio Vargas, 2266 - Bela Vista, Alvorada - RS, CEP 94810-001</x:t>
  </x:si>
  <x:si>
    <x:t xml:space="preserve">Avenida Ildo Meneghetti, nº 757, Bairro XV de Novembro, Igrejinha - RS, CEP 95650-000</x:t>
  </x:si>
  <x:si>
    <x:t xml:space="preserve">Rua Venâncio Aires, nº 2438 - Centro, São Luiz Gonzaga - RS, CEP 97800-000, Brasil (Paço Municipal Sepé Tiaraju)</x:t>
  </x:si>
  <x:si>
    <x:t xml:space="preserve">Avenida General Flores da Cunha, 449 - Centro, Sinimbu - RS, CEP 96890-000, Brasil.</x:t>
  </x:si>
  <x:si>
    <x:t xml:space="preserve">Municipio De Sinimbu Sinimbu - Rs</x:t>
  </x:si>
  <x:si>
    <x:t xml:space="preserve">Apoio a Projetos de Infraestrutura Turística</x:t>
  </x:si>
  <x:si>
    <x:t xml:space="preserve">Recuperação da Praça do Imigrante no Município de Sinimbu – RS, que é o principal ponto turístico do município, e foi duramente destruído durante as enchentes do dia 30 de abril de 2024.</x:t>
  </x:si>
  <x:si>
    <x:t xml:space="preserve">Praça da Bandeira, 354 - Centro, Erechim - RS, CEP 99700-010</x:t>
  </x:si>
  <x:si>
    <x:t xml:space="preserve">Municipio De Erechim Erechim - Rs</x:t>
  </x:si>
  <x:si>
    <x:t xml:space="preserve">Revitalização e Reforma da Escadaria Por do sol</x:t>
  </x:si>
  <x:si>
    <x:t xml:space="preserve">Praça Arthur Ritter de Medeiros, S/N - Centro, CEP 99400-000, Espumoso - RS</x:t>
  </x:si>
  <x:si>
    <x:t xml:space="preserve">Municipio De Espumoso Espumoso - Rs</x:t>
  </x:si>
  <x:si>
    <x:t xml:space="preserve">Revitalização e Modernização do Parque de Exposições Armídio Bertani</x:t>
  </x:si>
  <x:si>
    <x:t xml:space="preserve">Rua Uruguai, 155 - Centro, Porto Mauá - RS, CEP 98947-000, Brasil</x:t>
  </x:si>
  <x:si>
    <x:t xml:space="preserve">Municipio De Porto Maua Porto Mauá - Rs</x:t>
  </x:si>
  <x:si>
    <x:t xml:space="preserve">Desenvolvimento revitalização sustentável da Orla de Porto Mauá.</x:t>
  </x:si>
  <x:si>
    <x:t xml:space="preserve">Rua Tito Beccon, nº 1754, Santiago - RS, CEP 97.700-910</x:t>
  </x:si>
  <x:si>
    <x:t xml:space="preserve">Municipio De Santiago Santiago - Rs</x:t>
  </x:si>
  <x:si>
    <x:t xml:space="preserve">Revitalização da Praça Franklin Frota Município de Santiago.</x:t>
  </x:si>
  <x:si>
    <x:t xml:space="preserve">Prefeitura Municipal de Taquara, Rua Tristão Monteiro, 1278 - Centro, Taquara - RS, CEP 95600-000</x:t>
  </x:si>
  <x:si>
    <x:t xml:space="preserve">Municipio De Taquara Taquara - Rs</x:t>
  </x:si>
  <x:si>
    <x:t xml:space="preserve">Construção da Feira do Produtor na Rua Coberta de Taquara.</x:t>
  </x:si>
  <x:si>
    <x:t xml:space="preserve">Municipio De Santa Maria Santa Maria - Rs</x:t>
  </x:si>
  <x:si>
    <x:t xml:space="preserve">A criação de uma Base Móvel Comunitária de Videomonitoramento para ser utilizada em pontos estratégicos do nosso município, grandes eventos em que se tenha um elevado fluxo de pessoas, Catástrofes Climáticas e para aproximar a segurança pública dos bairros.</x:t>
  </x:si>
  <x:si>
    <x:t xml:space="preserve">Avenida Brasil, 399 - Centro, Santo Ângelo - RS, CEP 98801-590</x:t>
  </x:si>
  <x:si>
    <x:t xml:space="preserve">Municipio De Santo Angelo Santo Ângelo - Rs</x:t>
  </x:si>
  <x:si>
    <x:t xml:space="preserve">Câmeras de segurança;</x:t>
  </x:si>
  <x:si>
    <x:t xml:space="preserve">Palácio Rio Branco, Rua 15 de Novembro, 1882 - Centro, Uruguaiana - RS, CEP 97501-532</x:t>
  </x:si>
  <x:si>
    <x:t xml:space="preserve">Municipio De Uruguaiana Uruguaiana - Rs</x:t>
  </x:si>
  <x:si>
    <x:t xml:space="preserve">Cercamento Eletrônico</x:t>
  </x:si>
  <x:si>
    <x:t xml:space="preserve">Vespasiano Corrêa</x:t>
  </x:si>
  <x:si>
    <x:t xml:space="preserve">Avenida Professor Sérgio Beninho Gheno, 1046 - Centro, Vespasiano Corrêa - RS, CEP 95972-000</x:t>
  </x:si>
  <x:si>
    <x:t xml:space="preserve">Municipio De Vespasiano Correa Vespasiano Corrêa - Rs</x:t>
  </x:si>
  <x:si>
    <x:t xml:space="preserve">Transferências Especiais para Custeio em Segurança Pública</x:t>
  </x:si>
  <x:si>
    <x:t xml:space="preserve">Alto Feliz</x:t>
  </x:si>
  <x:si>
    <x:t xml:space="preserve">Rua Eugênio Kuhn, 300, Centro, Alto Feliz - RS, CEP 95773-000</x:t>
  </x:si>
  <x:si>
    <x:t xml:space="preserve">Rua João Gonçalves, 296 - Centro, Bossoroca - RS, CEP 97850-000</x:t>
  </x:si>
  <x:si>
    <x:t xml:space="preserve">Municipio de Bossoroca</x:t>
  </x:si>
  <x:si>
    <x:t xml:space="preserve">Rua Santa Teresa, 821 - Centro, Campina das Missões - RS, CEP 98975-000</x:t>
  </x:si>
  <x:si>
    <x:t xml:space="preserve">Municipio de Campina Das Missoes</x:t>
  </x:si>
  <x:si>
    <x:t xml:space="preserve">Capela de Santana</x:t>
  </x:si>
  <x:si>
    <x:t xml:space="preserve">Avenida Coronel Orestes Lucas, 2335 - Centro, Capela de Santana - RS, CEP 95745-000</x:t>
  </x:si>
  <x:si>
    <x:t xml:space="preserve">Municipio de Capela de Santana</x:t>
  </x:si>
  <x:si>
    <x:t xml:space="preserve">Rua Tiradentes, 778 - Centro, Casca - RS, CEP 99260-000</x:t>
  </x:si>
  <x:si>
    <x:t xml:space="preserve">Municipio de Casca</x:t>
  </x:si>
  <x:si>
    <x:t xml:space="preserve">Rua do Interventor, 510 - Centro, Ibiaçá - RS, CEP 99.940-000, Brasil</x:t>
  </x:si>
  <x:si>
    <x:t xml:space="preserve">Municipio de Ibiaca</x:t>
  </x:si>
  <x:si>
    <x:t xml:space="preserve">Municipio de Morro Reuter</x:t>
  </x:si>
  <x:si>
    <x:t xml:space="preserve">Mostardas</x:t>
  </x:si>
  <x:si>
    <x:t xml:space="preserve">Rua Bento Gonçalves, 1020 - Centro, Mostardas - RS, CEP 96270-000</x:t>
  </x:si>
  <x:si>
    <x:t xml:space="preserve">Municipio de Mostardas</x:t>
  </x:si>
  <x:si>
    <x:t xml:space="preserve">Construção de um parque urbano</x:t>
  </x:si>
  <x:si>
    <x:t xml:space="preserve">Rua Dr. João Freitas, 75, Centro, Passo Fundo - RS, CEP 99010-005</x:t>
  </x:si>
  <x:si>
    <x:t xml:space="preserve">Municipio de Passo Fundo</x:t>
  </x:si>
  <x:si>
    <x:t xml:space="preserve">Rua Tito Beccon, nº 1.754, Centro, Santiago - RS, CEP 97700-910, Brasil</x:t>
  </x:si>
  <x:si>
    <x:t xml:space="preserve">Municipio de Santiago</x:t>
  </x:si>
  <x:si>
    <x:t xml:space="preserve">Prefeitura Municipal de São João do Polêsine, Rua Guilherme Alberti, 1631 - Centro, São João do Polêsine - RS, CEP 97230-000</x:t>
  </x:si>
  <x:si>
    <x:t xml:space="preserve">Municipio de Sao Joao Do Polesine</x:t>
  </x:si>
  <x:si>
    <x:t xml:space="preserve">São Pedro do Sul</x:t>
  </x:si>
  <x:si>
    <x:t xml:space="preserve">Rua Floriano Peixoto, 222 - Centro, São Pedro do Sul - RS, CEP 97400-000</x:t>
  </x:si>
  <x:si>
    <x:t xml:space="preserve">Municipio de Sao Pedro Do Sul</x:t>
  </x:si>
  <x:si>
    <x:t xml:space="preserve">Rua Sete de Setembro, 90, Centro, Frederico Westphalen, RS, 98400-000</x:t>
  </x:si>
  <x:si>
    <x:t xml:space="preserve">Aceguá</x:t>
  </x:si>
  <x:si>
    <x:t xml:space="preserve">Rua 510, 76 – Aceguá – RS, CEP 96445-000</x:t>
  </x:si>
  <x:si>
    <x:t xml:space="preserve">Municipio de Acegua</x:t>
  </x:si>
  <x:si>
    <x:t xml:space="preserve">Transferênicia Especial para Segurança</x:t>
  </x:si>
  <x:si>
    <x:t xml:space="preserve">Transferência Especial</x:t>
  </x:si>
  <x:si>
    <x:t xml:space="preserve">Água Santa</x:t>
  </x:si>
  <x:si>
    <x:t xml:space="preserve">Avenida Dário Roman, 695 - Centro, Água Santa - RS, CEP 99965-000</x:t>
  </x:si>
  <x:si>
    <x:t xml:space="preserve">Municipio de Agua Santa</x:t>
  </x:si>
  <x:si>
    <x:t xml:space="preserve">Anta Gorda</x:t>
  </x:si>
  <x:si>
    <x:t xml:space="preserve">Rua Padre Hermínio Catelli, 659, Centro - Anta Gorda/RS, CEP 95980-000</x:t>
  </x:si>
  <x:si>
    <x:t xml:space="preserve">Municipio de Anta Gorda</x:t>
  </x:si>
  <x:si>
    <x:t xml:space="preserve">Cerro Largo</x:t>
  </x:si>
  <x:si>
    <x:t xml:space="preserve">Rua Coronel Jorge Frantz, 675 - Centro, Cerro Largo - RS, CEP 97900-000</x:t>
  </x:si>
  <x:si>
    <x:t xml:space="preserve">Municipio de Cerro Largo</x:t>
  </x:si>
  <x:si>
    <x:t xml:space="preserve">Constantina</x:t>
  </x:si>
  <x:si>
    <x:t xml:space="preserve">Calle Eduardo Dato, 7, 41450 Constantina, Sevilla, Espanha</x:t>
  </x:si>
  <x:si>
    <x:t xml:space="preserve">Municipio de Constantina</x:t>
  </x:si>
  <x:si>
    <x:t xml:space="preserve">Municipio de Esteio</x:t>
  </x:si>
  <x:si>
    <x:t xml:space="preserve">Jacutinga</x:t>
  </x:si>
  <x:si>
    <x:t xml:space="preserve">Praça dos Andradas, s/n, Centro, Jacutinga, MG, CEP 37590-000</x:t>
  </x:si>
  <x:si>
    <x:t xml:space="preserve">Municipio de Jacutinga</x:t>
  </x:si>
  <x:si>
    <x:t xml:space="preserve">Lavras do Sul</x:t>
  </x:si>
  <x:si>
    <x:t xml:space="preserve">Rua Dr. Pires Porto, 365, Centro, Lavras do Sul - RS, CEP 97390-000</x:t>
  </x:si>
  <x:si>
    <x:t xml:space="preserve">Municipio de Lavras Do Sul</x:t>
  </x:si>
  <x:si>
    <x:t xml:space="preserve">Machadinho</x:t>
  </x:si>
  <x:si>
    <x:t xml:space="preserve">Avenida Frei Teófilo, 414, Centro, Machadinho, RS, CEP 99880-000.</x:t>
  </x:si>
  <x:si>
    <x:t xml:space="preserve">Municipio de Machadinho</x:t>
  </x:si>
  <x:si>
    <x:t xml:space="preserve">Avenida Presidente Castelo Branco, 1033 - Centro, Paraí - RS, CEP 95360-000</x:t>
  </x:si>
  <x:si>
    <x:t xml:space="preserve">Municipio de Parai</x:t>
  </x:si>
  <x:si>
    <x:t xml:space="preserve">Municipio de Sao Marcos</x:t>
  </x:si>
  <x:si>
    <x:t xml:space="preserve">Trindade do Sul</x:t>
  </x:si>
  <x:si>
    <x:t xml:space="preserve">Rua Alecrim, 120, Centro, Trindade do Sul - RS, CEP 99615-000</x:t>
  </x:si>
  <x:si>
    <x:t xml:space="preserve">Municipio de Trindade Do Sul</x:t>
  </x:si>
  <x:si>
    <x:t xml:space="preserve">Praça Júlio de Castilhos, s/n - Centro, Viamão, RS, CEP 94410-055.</x:t>
  </x:si>
  <x:si>
    <x:t xml:space="preserve">Municipio de Viamao</x:t>
  </x:si>
  <x:si>
    <x:t xml:space="preserve">Município de Flores da Cunha - RS</x:t>
  </x:si>
  <x:si>
    <x:t xml:space="preserve">Município de Flores da Cunha</x:t>
  </x:si>
  <x:si>
    <x:t xml:space="preserve">David Canabarro</x:t>
  </x:si>
  <x:si>
    <x:t xml:space="preserve">Município de David Canabarro - RS</x:t>
  </x:si>
  <x:si>
    <x:t xml:space="preserve">Município de David Canabarro</x:t>
  </x:si>
  <x:si>
    <x:t xml:space="preserve">Município de Nova Petrópolis - RS</x:t>
  </x:si>
  <x:si>
    <x:t xml:space="preserve">Município de Nova Petrópolis</x:t>
  </x:si>
  <x:si>
    <x:t xml:space="preserve">Transferência Especial para Segurança</x:t>
  </x:si>
  <x:si>
    <x:t xml:space="preserve">Avenida Konrad Adenauer, 1870 - Panambi - RS, CEP 98280-000</x:t>
  </x:si>
  <x:si>
    <x:t xml:space="preserve">Municipio De Panambi Panambi - Rs</x:t>
  </x:si>
  <x:si>
    <x:t xml:space="preserve">Conjunto Desencarcerador, equipamento essencial utilizado pelo Corpo de Bombeiros</x:t>
  </x:si>
  <x:si>
    <x:t xml:space="preserve">Ibirubá</x:t>
  </x:si>
  <x:si>
    <x:t xml:space="preserve">Rua Diniz Dias, 309, Odila, Ibirubá - RS, CEP 98200-000</x:t>
  </x:si>
  <x:si>
    <x:t xml:space="preserve">Associacao Hospitalar Annes Dias Ibirubá - Rs</x:t>
  </x:si>
  <x:si>
    <x:t xml:space="preserve">Intensificador de Imagens</x:t>
  </x:si>
  <x:si>
    <x:t xml:space="preserve">Município de Santa Maria - RS</x:t>
  </x:si>
  <x:si>
    <x:t xml:space="preserve">Município de Santa Maria</x:t>
  </x:si>
  <x:si>
    <x:t xml:space="preserve">R. Cel - R. Cristóvão Gomes de Andrade, 665 - Centro, Camaquã - RS, 96180-000</x:t>
  </x:si>
  <x:si>
    <x:t xml:space="preserve">Nossa Senhora Aparecida</x:t>
  </x:si>
  <x:si>
    <x:t xml:space="preserve">Mobiliário para nova unidade de internação com 46 leitos 100% SUS</x:t>
  </x:si>
  <x:si>
    <x:t xml:space="preserve">Associacao Beneficente Hospital Santo Atonio</x:t>
  </x:si>
  <x:si>
    <x:t xml:space="preserve">Pc Pres Getúlio Vargas - Sarandi, RS, 99560-000</x:t>
  </x:si>
  <x:si>
    <x:t xml:space="preserve">Prefeitura de Sarandi</x:t>
  </x:si>
  <x:si>
    <x:t xml:space="preserve">Aquisição de viaturas (Transferência Especial) Transferegov: OB enviada pagto em 30/08/2023.</x:t>
  </x:si>
  <x:si>
    <x:t xml:space="preserve">Prefeitura de Carlos Barbosa</x:t>
  </x:si>
  <x:si>
    <x:t xml:space="preserve">Revitalização da Feira do Produtor e construção de Memorial das Bandeiras das Etnias de Carlos Barbosa</x:t>
  </x:si>
  <x:si>
    <x:t xml:space="preserve">Hospital São Sebastiao Martir, Venâncio Aires, RS</x:t>
  </x:si>
  <x:si>
    <x:t xml:space="preserve">Hospital São Sebastiao Martir</x:t>
  </x:si>
  <x:si>
    <x:t xml:space="preserve">Prefeitura de Morro Reuter</x:t>
  </x:si>
  <x:si>
    <x:t xml:space="preserve">Prefeitura de Nova Petrópolis</x:t>
  </x:si>
  <x:si>
    <x:t xml:space="preserve">Rua Alcy Ramos Tomasi, 46 - Centro, Três de Maio - RS, CEP 98910-000</x:t>
  </x:si>
  <x:si>
    <x:t xml:space="preserve">Municipio De Tres De Maio Três De Maio - Rs</x:t>
  </x:si>
  <x:si>
    <x:t xml:space="preserve">Transferências Especiais para investimento em aquisição de Retroescavadeira</x:t>
  </x:si>
  <x:si>
    <x:t xml:space="preserve">Aquisição de retroescavadeira</x:t>
  </x:si>
  <x:si>
    <x:t xml:space="preserve">Felix da Cunha, Centro, Pelotas, RS, CEP 96010-000</x:t>
  </x:si>
  <x:si>
    <x:t xml:space="preserve">Associacao Pelotense De Assistencia E Cultura Pelotas - Rs</x:t>
  </x:si>
  <x:si>
    <x:t xml:space="preserve">Sistema de Bomba Intraórtico / Balão Intraórtico</x:t>
  </x:si>
  <x:si>
    <x:t xml:space="preserve">Avenida General Osório, 533 - Centro, Cruz Alta - RS, CEP 98005-150</x:t>
  </x:si>
  <x:si>
    <x:t xml:space="preserve">Municipio De Cruz Alta Cruz Alta - Rs</x:t>
  </x:si>
  <x:si>
    <x:t xml:space="preserve">Aquisição de viaturas e drones integrandointegrado com a Brigada Militar</x:t>
  </x:si>
  <x:si>
    <x:t xml:space="preserve">Prefeitura de Sapucaia do Sul</x:t>
  </x:si>
  <x:si>
    <x:t xml:space="preserve">Dois Lajeados</x:t>
  </x:si>
  <x:si>
    <x:t xml:space="preserve">Rua Dr. Afrânio Hidalgo Lemos, 549, Centro, Dois Lajeados/RS, CEP 99220-000</x:t>
  </x:si>
  <x:si>
    <x:t xml:space="preserve">Avenida Borges de Medeiros, 50 - Centro, Muçum - RS, CEP 95970-000</x:t>
  </x:si>
  <x:si>
    <x:t xml:space="preserve">Exército, Alegrete/RS</x:t>
  </x:si>
  <x:si>
    <x:t xml:space="preserve">Recurso pago parcialmente</x:t>
  </x:si>
  <x:si>
    <x:t xml:space="preserve">Valor pago: R$ 357.374,65</x:t>
  </x:si>
  <x:si>
    <x:t xml:space="preserve">Fundo Municipal De Saude Novo Hamburgo - Rs</x:t>
  </x:si>
  <x:si>
    <x:t xml:space="preserve">Campinas do Sul</x:t>
  </x:si>
  <x:si>
    <x:t xml:space="preserve">RS-211 até RS-324 (Campinas do Sul e Ronda Alta), , RS</x:t>
  </x:si>
  <x:si>
    <x:t xml:space="preserve">RS-211 até RS-324 (Campinas do Sul e Ronda Alta)</x:t>
  </x:si>
  <x:si>
    <x:t xml:space="preserve">Prefeitura Municipal, Gramado, RS</x:t>
  </x:si>
  <x:si>
    <x:t xml:space="preserve">Ministério do Desenvolvimento Regional</x:t>
  </x:si>
  <x:si>
    <x:t xml:space="preserve">Recurso pago, no valor de R$ 481.104, 00, conforme planilha de pgto de emendas de 31/08/2023 e consulta TRANSFEREGOV (OB paga em 22/08/2023). A diferença de R$ 18.896,00 refere-se a tarifa Caixa.</x:t>
  </x:si>
  <x:si>
    <x:t xml:space="preserve">Hospital Montenegro 100% SUS, Montenegro, RS</x:t>
  </x:si>
  <x:si>
    <x:t xml:space="preserve">Hospital Montenegro 100% SUS</x:t>
  </x:si>
  <x:si>
    <x:t xml:space="preserve">
Pavimentação asfáltica da Estrada Linha Ávila Alta-Trecho 01.
</x:t>
  </x:si>
  <x:si>
    <x:t xml:space="preserve">Irmandade da Santa Casa de Misericórdia de Porto Alegre, Porto Alegre, RS</x:t>
  </x:si>
  <x:si>
    <x:t xml:space="preserve">Irmandade da Santa Casa de Misericórdia de Porto Alegre</x:t>
  </x:si>
  <x:si>
    <x:t xml:space="preserve">Em execução. Total pago: R$ 463.328,00 (29/02/2024)</x:t>
  </x:si>
  <x:si>
    <x:t xml:space="preserve">Polícia Rodoviária Federal, São Leopoldo, RS</x:t>
  </x:si>
  <x:si>
    <x:t xml:space="preserve">Construção de unidades operacionais e aprimoramento e manutenção da infraestrutura na Região Sul.</x:t>
  </x:si>
  <x:si>
    <x:t xml:space="preserve">Ponte de Tramandaí-RS, Tramandaí, RS</x:t>
  </x:si>
  <x:si>
    <x:t xml:space="preserve">Ponte de Tramandaí-RS</x:t>
  </x:si>
  <x:si>
    <x:t xml:space="preserve">Av. Venâncio Aires, 163 - Centro, Cruz Alta - RS, 98025-790</x:t>
  </x:si>
  <x:si>
    <x:t xml:space="preserve">Associação Das Damas De Caridade - Hospital De Caridade São Vicente De Paulo</x:t>
  </x:si>
  <x:si>
    <x:t xml:space="preserve">A captação de recursos para aquisição de materiais, medicamentos e insumos, de modo à garantir a manutenção dos serviços do Hospital de Caridade São Vicente de Paulo.</x:t>
  </x:si>
  <x:si>
    <x:t xml:space="preserve">Universidade Federal de Santa Maria - UFSM - Av. Roraima, 1000 - Prédio 22 - Camobi, Santa Maria - RS, 97105-900</x:t>
  </x:si>
  <x:si>
    <x:t xml:space="preserve">Hospital Universitário De Santa Maria</x:t>
  </x:si>
  <x:si>
    <x:t xml:space="preserve">Não foi possível executar a indicação porque o Ministério da Saúde não aceitou em 2023 destinar verbas a hospitais universitários.</x:t>
  </x:si>
  <x:si>
    <x:t xml:space="preserve">Ultrassom com ecocardiografia transesofagica</x:t>
  </x:si>
  <x:si>
    <x:t xml:space="preserve">Lançado no SIOP como beneficiário EBSERH Brasília (mantenedora)</x:t>
  </x:si>
  <x:si>
    <x:t xml:space="preserve">São Lourenço Do Sul</x:t>
  </x:si>
  <x:si>
    <x:t xml:space="preserve">R. Alm. Abreu, 437 - São Lourenço do Sul, RS, 96170-000</x:t>
  </x:si>
  <x:si>
    <x:t xml:space="preserve">Santa Casa De Misericórdia De São Lourenço Do Sul</x:t>
  </x:si>
  <x:si>
    <x:t xml:space="preserve">PF</x:t>
  </x:si>
  <x:si>
    <x:t xml:space="preserve">PRF</x:t>
  </x:si>
  <x:si>
    <x:t xml:space="preserve">RS-307, 4 - Auxiliadora, Santa Rosa - RS, 98900-000</x:t>
  </x:si>
  <x:si>
    <x:t xml:space="preserve">Reforma, ampliação e reaparelhamento do Aeroporto de Santa Rosa/RS – Fundo Nacional de Aviação Civil – FNAC – Ação 15YQ</x:t>
  </x:si>
  <x:si>
    <x:t xml:space="preserve">Rua Marechal Deodoro da Fonseca, 70 - Centro, Bento Gonçalves - RS, 95700-000</x:t>
  </x:si>
  <x:si>
    <x:t xml:space="preserve">Praça Cel. Pedro Osório, nº 101 – Centro, Pelotas – RS, CEP 96015-010.</x:t>
  </x:si>
  <x:si>
    <x:t xml:space="preserve">Rua Monsenhor Jacob Seger, 186 - Centro, Arroio do Meio - RS, CEP 95940-000, Brasil.</x:t>
  </x:si>
  <x:si>
    <x:t xml:space="preserve">Av. Getúlio Vargas, 110, Centro, Rolante - RS, CEP 95690-000</x:t>
  </x:si>
  <x:si>
    <x:t xml:space="preserve">Municipio De Rolante Rolante - Rs</x:t>
  </x:si>
  <x:si>
    <x:t xml:space="preserve">Pavimentação e drenagem da “Estrada da Asa Delta”,</x:t>
  </x:si>
  <x:si>
    <x:t xml:space="preserve">Antônio Prado</x:t>
  </x:si>
  <x:si>
    <x:t xml:space="preserve">Rua Dr. Osvaldo Hampe, 258, Centro, Antônio Prado - RS, CEP 95250-000, Brasil</x:t>
  </x:si>
  <x:si>
    <x:t xml:space="preserve">Sociedade Hospitalar Sao Jose Antônio Prado - Rs</x:t>
  </x:si>
  <x:si>
    <x:t xml:space="preserve">Aparelho de Raios X - Fixo Digital</x:t>
  </x:si>
  <x:si>
    <x:t xml:space="preserve">Rua da Estação, 1085 - Centro, Barão - RS, CEP 95730-000</x:t>
  </x:si>
  <x:si>
    <x:t xml:space="preserve">Municipio De Barao Barão - Rs</x:t>
  </x:si>
  <x:si>
    <x:t xml:space="preserve">Construção da Rua Coberta no Centro Município de Barão</x:t>
  </x:si>
  <x:si>
    <x:t xml:space="preserve">Imbé</x:t>
  </x:si>
  <x:si>
    <x:t xml:space="preserve">Prefeitura Municipal de Imbé, Centro Administrativo Municipal, Av. Paraguassú, 1144 - Centro, Imbé - RS, CEP 95625-000.</x:t>
  </x:si>
  <x:si>
    <x:t xml:space="preserve">Municipio De Imbe Imbé - Rs</x:t>
  </x:si>
  <x:si>
    <x:t xml:space="preserve">Revitalizar a infraestrutura urbana da Praça Lourdes Rodrigues</x:t>
  </x:si>
  <x:si>
    <x:t xml:space="preserve">Praça Dom Felipe de Nadal, 299 - Porto Lucena - RS, CEP 98980-000</x:t>
  </x:si>
  <x:si>
    <x:t xml:space="preserve">Municipio De Porto Lucena Porto Lucena - Rs</x:t>
  </x:si>
  <x:si>
    <x:t xml:space="preserve">Revitalização de área de lazer na orla do Rio Uruguai</x:t>
  </x:si>
  <x:si>
    <x:t xml:space="preserve">Avenida João Corrêa, 380 – Centro, Três Coroas, RS, CEP 95660-000</x:t>
  </x:si>
  <x:si>
    <x:t xml:space="preserve">Municipio De Tres Coroas Três Coroas - Rs</x:t>
  </x:si>
  <x:si>
    <x:t xml:space="preserve">CONSTRUÇÃO DO PARQUE URBANO CIDADE VERDE</x:t>
  </x:si>
  <x:si>
    <x:t xml:space="preserve">Prefeitura Municipal de Vacaria, Rua Ramiro Barcelos, 915 - Centro, Vacaria - RS, CEP 95200-061</x:t>
  </x:si>
  <x:si>
    <x:t xml:space="preserve">Municipio De Vacaria Vacaria - Rs</x:t>
  </x:si>
  <x:si>
    <x:t xml:space="preserve">Fazer a revitalização do complexo turístico denominado COMPLEXO TURÍSTICO DO RIO PEO objetivo do projeto é fazer a revitalização do complexo turístico denominado COMPLEXO TURÍSTICO DO RIO PELOTAS - DIVISA DO RIO GRANDE DO SUL com SANTA CATARINA, localizado no município de Vacaria-RS e conhecido como “A PORTEIRA DO RIO GRANDE”. O empreendimento localiza-se às margens da BR 116 e do rio Pelotas, divisor dos estados gaúcho e catarinense. (anexos)LOTAS</x:t>
  </x:si>
  <x:si>
    <x:t xml:space="preserve">Cruzeiro do Sul</x:t>
  </x:si>
  <x:si>
    <x:t xml:space="preserve">Rua General Neto, 192 - Centro, Cruzeiro do Sul - RS, CEP 95930-000</x:t>
  </x:si>
  <x:si>
    <x:t xml:space="preserve">Sociedade Hospital Sao Gabriel Arcanjo Cruzeiro Do Sul - Rs</x:t>
  </x:si>
  <x:si>
    <x:t xml:space="preserve">Aquisição de equipamentos e materiais permanentes para unidade de atenção especializada em saúde: Poltronas e camas hospitalares, computadores e servidores para tecnologia da informação.</x:t>
  </x:si>
  <x:si>
    <x:t xml:space="preserve">Rua Quinze de Janeiro, 11 – Centro, Canoas/RS, CEP 92010-300.</x:t>
  </x:si>
  <x:si>
    <x:t xml:space="preserve">Municipio De Canoas Canoas - Rs</x:t>
  </x:si>
  <x:si>
    <x:t xml:space="preserve">"4.2.2. Objeto do Projeto
 Modernização da frota da Guarda Municipal de Canoas com:
 1. 03 viaturas SUV para patrulhamento ostensivo.
 2. 02 motocicletas para rondas e escoltas.
 Justificativa: Frota atual datada de 2017, com veículos em estado precário,
 comprometendo a eficiência operacional.</x:t>
  </x:si>
  <x:si>
    <x:t xml:space="preserve">Avenida Ipiranga, 6681, Jardim Botânico, Porto Alegre, RS, CEP 90610-001</x:t>
  </x:si>
  <x:si>
    <x:t xml:space="preserve">Uniao Brasileira De Educacao E Assistencia Porto Alegre - Rs</x:t>
  </x:si>
  <x:si>
    <x:t xml:space="preserve">Sala de cirúrgicas do hospital São Lucas</x:t>
  </x:si>
  <x:si>
    <x:t xml:space="preserve">Rua Dona Carlinda, 455 - Centro, Canela - RS, CEP 95680-900, Brasil.</x:t>
  </x:si>
  <x:si>
    <x:t xml:space="preserve">Municipio De Canela Canela - Rs</x:t>
  </x:si>
  <x:si>
    <x:t xml:space="preserve">Aquisição de viaturas; Aquisição de um caminhão 0km com munck para o Corpo de Bombeiros</x:t>
  </x:si>
  <x:si>
    <x:t xml:space="preserve">Rua General Osório, 900 - Centro, Bagé - RS, CEP 96400-100</x:t>
  </x:si>
  <x:si>
    <x:t xml:space="preserve">Fundacao Universidade Federal Do Pampa - Unipampa Bagé - Rs</x:t>
  </x:si>
  <x:si>
    <x:t xml:space="preserve">Apoio à Consolidação, Reestruturação e Modernização das Instituições Federais de Ensino Superior</x:t>
  </x:si>
  <x:si>
    <x:t xml:space="preserve">Prefeitura Municipal de Porto Alegre, Praça Montevidéo, 10 - Centro Histórico, Porto Alegre - RS, CEP 90010-170, Brasil</x:t>
  </x:si>
  <x:si>
    <x:t xml:space="preserve">Municipio de Porto Alegre</x:t>
  </x:si>
  <x:si>
    <x:t xml:space="preserve">Rua Coronel Chananeco, 600 - Centro, São Sepé, RS, 97340-000.</x:t>
  </x:si>
  <x:si>
    <x:t xml:space="preserve">Rua 15 de Novembro, 1882, Bairro Centro, Uruguaiana - RS, CEP 97501-532</x:t>
  </x:si>
  <x:si>
    <x:t xml:space="preserve">Rua Guia Lopes, 4201 - Bairro Canudos, Novo Hamburgo - RS, CEP 93548-013</x:t>
  </x:si>
  <x:si>
    <x:t xml:space="preserve">Municipio de Novo Hamburgo</x:t>
  </x:si>
  <x:si>
    <x:t xml:space="preserve">Transferênicia Especial para Infraestrutura Aeropostruária</x:t>
  </x:si>
  <x:si>
    <x:t xml:space="preserve">Aeródromo</x:t>
  </x:si>
  <x:si>
    <x:t xml:space="preserve">Execução de obras de pavimentação asfáltica da pista de pouso do Aeródromo Regional Pedro Adams Neto, no Município de Novo Hamburgo/RS, compreendendo serviços de regularização e compactação do subleito, execução de base de brita graduada, imprimação, pintura de ligação e aplicação de revestimento asfáltico em Concreto Betuminoso Usinado a Quente (CBUQ), incluindo serviços complementares necessários à adequada funcionalidade da infraestrutura aeroportuária.</x:t>
  </x:si>
  <x:si>
    <x:t xml:space="preserve">Hospital de Caridade São Roque - Faxinal do Soturno - RS</x:t>
  </x:si>
  <x:si>
    <x:t xml:space="preserve">Fundo Municipal de Saúde de Dois Irmãos - RS</x:t>
  </x:si>
  <x:si>
    <x:t xml:space="preserve">Município de Dois Irmãos</x:t>
  </x:si>
  <x:si>
    <x:t xml:space="preserve">Hospital Bernardina Salles de Barros, Júlio de Castilhos - RS</x:t>
  </x:si>
  <x:si>
    <x:t xml:space="preserve">Prefeitura de Santa Maria</x:t>
  </x:si>
  <x:si>
    <x:t xml:space="preserve">Melhoria da infraestrutura do atrativo turístico Estrada do Perau</x:t>
  </x:si>
  <x:si>
    <x:t xml:space="preserve">Prefeitura Municipal de Esteio, Rua Engenheiro Hener de Souza Nunes, 150 - Centro, Esteio - RS, CEP 93260-120</x:t>
  </x:si>
  <x:si>
    <x:t xml:space="preserve">Ibiraiaras</x:t>
  </x:si>
  <x:si>
    <x:t xml:space="preserve">Prefeitura Municipal de Ibiraiaras, Rua João Stella, 55 - Centro, Ibiraiaras - RS, CEP 95305-000</x:t>
  </x:si>
  <x:si>
    <x:t xml:space="preserve">Fundo Municipal de Saude de Ibiraiaras</x:t>
  </x:si>
  <x:si>
    <x:t xml:space="preserve">R. Gen. Sampaio, 88 - Centro, Alegrete - RS, 97541-260</x:t>
  </x:si>
  <x:si>
    <x:t xml:space="preserve">Irmandade Santa Casa De Alegrete</x:t>
  </x:si>
  <x:si>
    <x:t xml:space="preserve">Aquisição de 03 Máquina Autoclaves</x:t>
  </x:si>
  <x:si>
    <x:t xml:space="preserve">A proposta será cadastrada pelo Fundo Municipal de Saúde de Alegrete, a pedido da Santa Casa. Foi solicitada ao MS a troca do beneficiário da emenda.</x:t>
  </x:si>
  <x:si>
    <x:t xml:space="preserve">Min. Desenvolvimento Regional , Dois Irmãos, RS</x:t>
  </x:si>
  <x:si>
    <x:t xml:space="preserve">Prefeitura de Dois Irmãos</x:t>
  </x:si>
  <x:si>
    <x:t xml:space="preserve">Videomonitoramento (Transferência Especial) Transferegov: OB enviada pagto em 30/08/2023.</x:t>
  </x:si>
  <x:si>
    <x:t xml:space="preserve">Avenida Borges de Medeiros, 456 - Prédio Anexo, Santo Antônio da Patrulha - RS, CEP 95500-000</x:t>
  </x:si>
  <x:si>
    <x:t xml:space="preserve">Municipio De Santo Antonio Da Patrulha Santo Antônio Da Patrulha - Rs</x:t>
  </x:si>
  <x:si>
    <x:t xml:space="preserve">Revitalização do Centro de Convenções Qorpo Santo</x:t>
  </x:si>
  <x:si>
    <x:t xml:space="preserve">Avenida Independência, 2293, Universitário, Santa Cruz do Sul - RS, 96815-900, Brasil.</x:t>
  </x:si>
  <x:si>
    <x:t xml:space="preserve">Prefeitura de Flores da Cunha</x:t>
  </x:si>
  <x:si>
    <x:t xml:space="preserve">Prefeitura de Gravataí</x:t>
  </x:si>
  <x:si>
    <x:t xml:space="preserve">Unidade Móvel de Saúde – SAMU e três equipamentos cardioversores</x:t>
  </x:si>
  <x:si>
    <x:t xml:space="preserve">Valor já autorizado para pagamento pelo MS e não aprovado pela SRI/PR.</x:t>
  </x:si>
  <x:si>
    <x:t xml:space="preserve">Sociedade Sulina Divina Providencia, Porto Alegre, RS</x:t>
  </x:si>
  <x:si>
    <x:t xml:space="preserve">Sociedade Sulina Divina Providencia</x:t>
  </x:si>
  <x:si>
    <x:t xml:space="preserve">Em execução. Total pago: R$ 512.537,88 (29/02/2024)</x:t>
  </x:si>
  <x:si>
    <x:t xml:space="preserve">Hospital São José de Ivoti (Associação Congregação de Santa Catarina), Ivoti, RS</x:t>
  </x:si>
  <x:si>
    <x:t xml:space="preserve">Hospital São José de Ivoti (Associação Congregação de Santa Catarina)</x:t>
  </x:si>
  <x:si>
    <x:t xml:space="preserve">Recurso pago parcialmente: R$ 475.169,41 (consultado Transferegov em 12/04/2024). Observação: a emenda foi cadastrada no CNPJ da Associação Congreção de Santa Catarina de Novo Hamburgo. </x:t>
  </x:si>
  <x:si>
    <x:t xml:space="preserve">Sistema de vídeo endoscopia rígida para realização de procedimentos cirúrgicos por videolaparoscopia, diminuindo a fila de espera por procedimentos, a média de tempo de permanência no hospital dos pacientes atendidos e redução do custo por procedimento realizado.</x:t>
  </x:si>
  <x:si>
    <x:t xml:space="preserve">R. Saldanha Marinho, 478 - Centro, Bento Gonçalves - RS, 95700-082</x:t>
  </x:si>
  <x:si>
    <x:t xml:space="preserve">Associação Dr. Bartholomeu Tacchini – Hospital Tacchini</x:t>
  </x:si>
  <x:si>
    <x:t xml:space="preserve">Destina-se para a aquisição de 5 máquinas de Hemodiálise e 1 aparelho de Ecografia, para o tratamento de pacientes nefrológicos crônicos e agudos através do SUS, abrangendo uma região de 8 municípios da serra gaúcha com 220 mil habitantes.</x:t>
  </x:si>
  <x:si>
    <x:t xml:space="preserve">Avenida Afonso Pena, 14, Centro, Lagoa Vermelha - RS, CEP 95300-000</x:t>
  </x:si>
  <x:si>
    <x:t xml:space="preserve">Prefeitura de Estância Velha</x:t>
  </x:si>
  <x:si>
    <x:t xml:space="preserve">Revitalização da Avenida Sete de Setembro</x:t>
  </x:si>
  <x:si>
    <x:t xml:space="preserve">Prefeitura Municipal de Montenegro, Centro Administrativo, Rua Ramiro Barcelos, 2993 - Montenegro - RS, CEP 92510-275, Brasil</x:t>
  </x:si>
  <x:si>
    <x:t xml:space="preserve">Fundo Municipal de Saúde, Canoas, RS</x:t>
  </x:si>
  <x:si>
    <x:t xml:space="preserve">Av. Ipiranga, 6690 - Partenon, Porto Alegre - RS, 90610-001</x:t>
  </x:si>
  <x:si>
    <x:t xml:space="preserve">Hospital São Lucas Da Pucrs</x:t>
  </x:si>
  <x:si>
    <x:t xml:space="preserve">Aquisição de um aspirador ultrassônico, uma mesa cirúrgica e um foco cirúrgico, para substituir equipamentos danificados/obsoletos e qualificar o atendimento aos pacientes do Sistema Único de Saúde, portadores de tumores de base de crânio, diminuindo o tempo de internação, morbidade e mortalidade e inclusive diminuindo a incidência de radioterapia pós operatória e novas intervenções cirúrgicas.</x:t>
  </x:si>
  <x:si>
    <x:t xml:space="preserve">Prefeitura de Arroio do Meio</x:t>
  </x:si>
  <x:si>
    <x:t xml:space="preserve">Execução de calçadas de passeio na VRS 811 - Rodovia Prefeito Arnesto Dalpian</x:t>
  </x:si>
  <x:si>
    <x:t xml:space="preserve">Associação Cultural e Científica Virvi Ramos (Hospital Virvi Ramos)</x:t>
  </x:si>
  <x:si>
    <x:t xml:space="preserve">Autoclave e secadora de instumentos para atendimento do Centro Obstétrico e da UTI Neonatal.</x:t>
  </x:si>
  <x:si>
    <x:t xml:space="preserve">Avenida Paraguassu, 2070 – Centro, Imbé, RS, 95625-000, Brasil</x:t>
  </x:si>
  <x:si>
    <x:t xml:space="preserve">Fundo Municipal De Saude Imbé - Rs</x:t>
  </x:si>
  <x:si>
    <x:t xml:space="preserve">Unidade Móvel de Saúde - SAMU (Suporte Avançado de Vida) - Ambulância</x:t>
  </x:si>
  <x:si>
    <x:t xml:space="preserve">Fundo Municipal de Saúde, Sapiranga, RS</x:t>
  </x:si>
  <x:si>
    <x:t xml:space="preserve">Rua Ramiro Barcelos, 2350, Bloco A (ou área central), Bom Fim, Porto Alegre, RS, CEP 90035-903, Brasil.</x:t>
  </x:si>
  <x:si>
    <x:t xml:space="preserve">Hospital De Clinicas De Porto Alegre Porto Alegre - Rs</x:t>
  </x:si>
  <x:si>
    <x:t xml:space="preserve">Aquisição de um aspirador ultrassônico (console mais peças de mão para neurocirurgia e cirurgia digestiva)</x:t>
  </x:si>
  <x:si>
    <x:t xml:space="preserve">Rua Dr. João Freitas, 75 - Passo Fundo - RS, CEP 99010-005, Brasil</x:t>
  </x:si>
  <x:si>
    <x:t xml:space="preserve">Municipio De Passo Fundo Passo Fundo - Rs</x:t>
  </x:si>
  <x:si>
    <x:t xml:space="preserve">Programa Jornada Segura, no Hospital Municipal, para a implementação de um sistema integrado e digitalizado de identificação do paciente, unitarização automatizada de</x:t>
  </x:si>
  <x:si>
    <x:t xml:space="preserve">R. Tiradentes, 295 - Centro, Passo Fundo - RS, 99010-260</x:t>
  </x:si>
  <x:si>
    <x:t xml:space="preserve">Hospital De Clínicas De Passo Fundo</x:t>
  </x:si>
  <x:si>
    <x:t xml:space="preserve">Aquisição de três Aparelhos de Anestesia - Ambiente do Bloco Cirúrgico.</x:t>
  </x:si>
  <x:si>
    <x:t xml:space="preserve">Polícia Civil, A definir, RS</x:t>
  </x:si>
  <x:si>
    <x:t xml:space="preserve">2 viaturas pick up ostensiva com cela</x:t>
  </x:si>
  <x:si>
    <x:t xml:space="preserve">Rua José Mário Monaco, 358, Centro, Bento Gonçalves, RS, CEP 95700-000</x:t>
  </x:si>
  <x:si>
    <x:t xml:space="preserve">Associacao Dr Bartholomeu Tacchini Bento Gonçalves - Rs</x:t>
  </x:si>
  <x:si>
    <x:t xml:space="preserve">Aquisição, substituição e instalação de 01 aparelho de raio x – fixo digital</x:t>
  </x:si>
  <x:si>
    <x:t xml:space="preserve">Rua Doutor José Mário Monaco, 358, Centro, Bento Gonçalves, RS, CEP 95700-068.</x:t>
  </x:si>
  <x:si>
    <x:t xml:space="preserve">Fundação Hospitalar Oftalmológica Universitária Lions, Passo Fundo, RS</x:t>
  </x:si>
  <x:si>
    <x:t xml:space="preserve">Fundação Hospitalar Oftalmológica Universitária Lions</x:t>
  </x:si>
  <x:si>
    <x:t xml:space="preserve">A Fundação Hospitalar Oftalmológica Universitária Lions priorizou a compra dos aparelhos solicitados neste projeto no valor total de  720.000,00 (Setecentos vinte mil reais) para que o projeto se efetive integralmente.
•        01 Biômetro de Coerência Óptica  295.000,00
•        01 Paquímetro Computadorizado  85.000,00
•        01 Lâmpada de Fenda  40.000,00
•        01 Projetor Oftalmológico  15.000,00
•        02 Monitor Multiparametro  40.000,00
•        01 Carro de anestesia  165.000,00
•        04 Mesa cirúrgica  80.000,00</x:t>
  </x:si>
  <x:si>
    <x:t xml:space="preserve">Estrela</x:t>
  </x:si>
  <x:si>
    <x:t xml:space="preserve">Rua Geraldo Pereira, 405, Centro, Estrela, RS, CEP 95880-000, Brasil.</x:t>
  </x:si>
  <x:si>
    <x:t xml:space="preserve">Sociedade Sulina Divina Providência – Hospital Estrela</x:t>
  </x:si>
  <x:si>
    <x:t xml:space="preserve">Aquisição de duas Autoclave Hospitalar Horizontal (acima de 350 litros)</x:t>
  </x:si>
  <x:si>
    <x:t xml:space="preserve">Construção de Terminal Rodoviário</x:t>
  </x:si>
  <x:si>
    <x:t xml:space="preserve">Prefeitura Municipal de Lajeado (RS), Rua Cel. Júlio May, 242 - Centro, Lajeado - RS, 95900-178</x:t>
  </x:si>
  <x:si>
    <x:t xml:space="preserve">Prefeitura de Sapiranga</x:t>
  </x:si>
  <x:si>
    <x:t xml:space="preserve">- 1 equipamento de Raio-X com CR
- 1 impressora dry
- 6 computadores básicos
- 1 computador Desktop Avançado
- 2 aparelhos de ar condicionado
- 1 escada 2 degraus
- 2 cadeiras
- 1 banqueta
- 1 cadeira de rodízios</x:t>
  </x:si>
  <x:si>
    <x:t xml:space="preserve">Hospital de Clínicas de Carazinho, Rua General Câmara, 70 - Centro, Carazinho - RS, CEP: 99500-000</x:t>
  </x:si>
  <x:si>
    <x:t xml:space="preserve">Hospital De Clinicas De Carazinho Carazinho - Rs</x:t>
  </x:si>
  <x:si>
    <x:t xml:space="preserve">Aquisição de 2(dois) intensificadores de imagem (ARCO EM C)</x:t>
  </x:si>
  <x:si>
    <x:t xml:space="preserve">Incremento Temporário ao Custeio dos Serviços de Atenção Primária</x:t>
  </x:si>
  <x:si>
    <x:t xml:space="preserve">COSMO FAVRETTO, 676 - Centro, Sarandi - RS, 99560-000</x:t>
  </x:si>
  <x:si>
    <x:t xml:space="preserve">Hospital Comunitario Sarandi</x:t>
  </x:si>
  <x:si>
    <x:t xml:space="preserve">Hospital Banco de Olhos de Porto Alegre (Associação de Literatura e Beneficência),         
Porto Alegre, RS</x:t>
  </x:si>
  <x:si>
    <x:t xml:space="preserve">Hospital Banco de Olhos de Porto Alegre (Associação de Literatura e Beneficência)</x:t>
  </x:si>
  <x:si>
    <x:t xml:space="preserve">Recurso empenhado.Conforme consulta em 23/04/2024, não consta pagamento no Ambiente Parlamentar e o convênio não aparece no Transferegov. Ao menos uma parte do recurso foi paga, porque de acordo com Portal da Transparência existe apenas um saldo de R$ 459.604,88 a ser pago referente à emenda 41160002/2021.</x:t>
  </x:si>
  <x:si>
    <x:t xml:space="preserve">Equipamentos de diagnóstico oftalmológico e gerenciamento de imagens para o Centro de Diagnósticos do hospital. Os equipamentos (microscópio especular, ecógrafo ocular, biômetro ultrassônico, tomógrafo de coerência óptica, biômetro óptico, servidor e armazenamento para sistema PACS) irão permitir maior agilidade no atendimento dos pacientes, redução no tempo de avaliação diagnóstica e diminuição da fila de espera da instituição.</x:t>
  </x:si>
  <x:si>
    <x:t xml:space="preserve">Prefeitura Municipal de São Leopoldo (Centro Administrativo), Avenida Dom João Becker, 754 - Centro, São Leopoldo - RS, CEP 93010-010, Brasil.</x:t>
  </x:si>
  <x:si>
    <x:t xml:space="preserve">Complexo Hospitalar de Bento Gonçalves, Bento Gonçalves, RS</x:t>
  </x:si>
  <x:si>
    <x:t xml:space="preserve">Hospital Municipal</x:t>
  </x:si>
  <x:si>
    <x:t xml:space="preserve">Complexo Hospitalar de Bento Gonçalves</x:t>
  </x:si>
  <x:si>
    <x:t xml:space="preserve">Instalação de energia fotovoltaica no Complexo de Saúde do Trabalhador, que compreende laboratório, centro de imagens, UPA 24 horas, farmácia e 40 leitos. O Complexo gastou, em 2020,  400.000,00 com energia elétrica. A usina de energia solar fotovoltaica, com a instalação de 811 placas de 330W, pretende reduzir em 70% o valor do gasto com energia, uma economia de  26.000,00 mensais. O valor economizado será revertido para a ampliação do atendimento da população que procura o complexo público de saúde. Recurso enviado via Fundo Municipal de Saúde de Bento Gonçalves.</x:t>
  </x:si>
  <x:si>
    <x:t xml:space="preserve">Unidade da Brigada Militar a ser definida , Vários municípios, RS</x:t>
  </x:si>
  <x:si>
    <x:t xml:space="preserve">Unidade da Brigada Militar a ser definida</x:t>
  </x:si>
  <x:si>
    <x:t xml:space="preserve">05 viaturas sedan </x:t>
  </x:si>
  <x:si>
    <x:t xml:space="preserve">Fundo Municipal de Saúde, Novo Hamburgo, RS</x:t>
  </x:si>
  <x:si>
    <x:t xml:space="preserve">BR 448, , RS</x:t>
  </x:si>
  <x:si>
    <x:t xml:space="preserve">BR 448</x:t>
  </x:si>
  <x:si>
    <x:t xml:space="preserve">Pavimentação e serviços de infraestrutura em trecho da Rua Pedro Einzweiler, na Localidade do Travessão</x:t>
  </x:si>
  <x:si>
    <x:t xml:space="preserve">Prefeitura de Campinas do Sul</x:t>
  </x:si>
  <x:si>
    <x:t xml:space="preserve">Asfaltamento da Rodovia ERS-483 no trecho de Cruzaltense até Três Palmeiras via Entre Rios do Sul/RS ao Norte Gaúcho</x:t>
  </x:si>
  <x:si>
    <x:t xml:space="preserve">MDR</x:t>
  </x:si>
  <x:si>
    <x:t xml:space="preserve">Obras de infraestrutura de turismo no entorno do Cristo Protetor de Encantado</x:t>
  </x:si>
  <x:si>
    <x:t xml:space="preserve">Prefeitura de Ijuí</x:t>
  </x:si>
  <x:si>
    <x:t xml:space="preserve">Construção de vias paralelas na BR 285, na extensão de 9 km em Ijui / RS</x:t>
  </x:si>
  <x:si>
    <x:t xml:space="preserve">Porto Alegre - Novo Hamburgo</x:t>
  </x:si>
  <x:si>
    <x:t xml:space="preserve">BR-116 Norte - Trecho Porto AlegreNovo Hamburgo</x:t>
  </x:si>
  <x:si>
    <x:t xml:space="preserve">Praça Montevidéo, 10, Centro Histórico, Porto Alegre - RS, CEP 90010-170, Brasil.</x:t>
  </x:si>
  <x:si>
    <x:t xml:space="preserve">Rua Alfredo Chaves, 1333 - Bairro Exposição, Caxias do Sul - RS, CEP 95020-460</x:t>
  </x:si>
  <x:si>
    <x:t xml:space="preserve">Municipio De Caxias Do Sul Caxias Do Sul - Rs</x:t>
  </x:si>
  <x:si>
    <x:t xml:space="preserve">para a pavimentação da Estrada Municipal das Vinícolas em Forqueta</x:t>
  </x:si>
  <x:si>
    <x:t xml:space="preserve">Praça Montevidéo, 10 - Centro Histórico, Porto Alegre - RS, 90010-170, Brasil.</x:t>
  </x:si>
  <x:si>
    <x:t xml:space="preserve">Municipio De Porto Alegre Porto Alegre - Rs</x:t>
  </x:si>
  <x:si>
    <x:t xml:space="preserve">Centro de Treinamento em um terreno próprio municipal, na Av. Érico Verissimo, com valor total estimado em R$2.400.000,00. A SMSEG detém o valor de R$1.200.000,00 de uma contrapartida da construtora Multiplan.</x:t>
  </x:si>
  <x:si>
    <x:t xml:space="preserve">Prefeitura Municipal de Porto Alegre, Praça Montevidéo, 10, Centro Histórico, Porto Alegre - RS, CEP 90010-170, Brasil.</x:t>
  </x:si>
  <x:si>
    <x:t xml:space="preserve">Via de acesso entre os municípios de Ivoti e Dois Irmãos (entroncamento entre Rua União com Rua São João).</x:t>
  </x:si>
  <x:si>
    <x:t xml:space="preserve">Rua Alfredo Chaves, 1333 - Bairro Exposição (Exposição), Caxias do Sul - RS, CEP 95020-460</x:t>
  </x:si>
  <x:si>
    <x:t xml:space="preserve">Revitalização de Infraestrutura no Aeroporto Regional Hugo Cantergiani no município de Caxias do Sul/RS</x:t>
  </x:si>
  <x:si>
    <x:t xml:space="preserve">Pavimentação Asfáltica e Ponte Intermunicipal da Estrada Tranquilo Galgaro de Ligação do Município de Gramado ao novo Aeroporto Regional da Serra do Município de Caxias do Sul. O trecho de 6,19 km</x:t>
  </x:si>
  <x:si>
    <x:t xml:space="preserve">7122 0015</x:t>
  </x:si>
  <x:si>
    <x:t xml:space="preserve">Obra de ampliação de ala do Hospital São José de Dois Irmãos com 20 novos leitos e bloco cirúrgico. Recursos COVID-19.</x:t>
  </x:si>
  <x:si>
    <x:t xml:space="preserve">Obra concluída e inaugurada em abril de 2021.</x:t>
  </x:si>
  <x:si>
    <x:t xml:space="preserve">Min. Desenvolvimento Regional</x:t>
  </x:si>
  <x:si>
    <x:t xml:space="preserve">Em execução. Total pago: R$ 1.306.354,98 (29/02/2024)</x:t>
  </x:si>
  <x:si>
    <x:t xml:space="preserve">Pavimentação e serviços de infraestrutura na Localidade do Travessão.</x:t>
  </x:si>
  <x:si>
    <x:t xml:space="preserve"> 3.000.000,00 (Valor Global) -  2.693.000,00 Valor de Repasse +  307.000,00 Valor da Contrapartida</x:t>
  </x:si>
  <x:si>
    <x:t xml:space="preserve">DNIT-DEPARTAMENTO NACIONAL DE INFRAEST DE TRANSPORTES
Porto Alegre, Dois Irmãos, RS</x:t>
  </x:si>
  <x:si>
    <x:t xml:space="preserve">DNIT-DEPARTAMENTO NACIONAL DE INFRAEST DE TRANSPORTES</x:t>
  </x:si>
  <x:si>
    <x:t xml:space="preserve">Revitalização da Rua Independência (365m de extensão) - substituição dos bloquetos por pedras regulares, bem como a substituição do passeio público.</x:t>
  </x:si>
  <x:si>
    <x:t xml:space="preserve">Em contato realiazado pela Andrea, em 27/03/2024, com o engenheiro responsável pelas obras da região, sr. Carlos Vieira, este informou que todos os esforços do ano de 2023 foram voltados para "trecho da morte", e que o DNIT está iniciando um novo processo para licitar as obras que eram o objeto inicial da destinação desta emenda de 2020, pois o contrato que tinham (quantitaivos) já foi todo utilizado. Em novembro/2023 foi feita a topografia dos dois acesso (Portal da Serra e Industrial) e o orçamento já está pronto. A previsão de conclusão do processo licitatório é para OUTUBRO/2024 (se não houer nenhuma intercorrência processual). Com isso, a previsão de início destas obras é para 2025. As obras emergenciais que foram objeto de acordo para utilização dos recursos da emenda tiveram o seguinte fluxo de execução: o Recurso foi empenhado em 2020 (Empenho nr. 393003392522020NE806087), pago em 2022  à empresa CNPJ 02.955.426/0001-24  -NEOVIA INFRAESTRUTURA RODOVIARIA LTDA . Informação repassada em 10/10/2023, a pedido do Conrado enviada ao Dirceu, tendo em vista a fala da Vereadora Sheila da Silva (PT) sobre a 
COBRANÇA COM RELAÇÃO À EXECUÇÃO DE PROMESSA DE TREVO DE ACESSO PARA BAIRROS PORTAL, BELA VISTA E PICADA 48, LOTAMENTO DO LAGO.</x:t>
  </x:si>
  <x:si>
    <x:t xml:space="preserve">Em contato com o responsável pelas obras da região, Carlos Vieira, informou que todos os esforços do ano passado foram voltados para "trecho da morte", e que estão iniciando um novo processo para licitar as obras, pois o contrato que tinham (quantitaivos) já foi todo utilizado. Em novembro do ano passado foi feita a topografia dos dois acesso (Portal da Serra e Industrial) e o orçamento já está pronto. A previsão de conclusão do processo licitatório é para OUTUBRO deste ano (se não tiver nenhuma intercorrência processual). Com isso, a previsão de início destas obras é para 2025.</x:t>
  </x:si>
  <x:si>
    <x:t xml:space="preserve">Polícia Rodoviária Federal, Caxias do sul, RS</x:t>
  </x:si>
  <x:si>
    <x:t xml:space="preserve">Emenda não executada por erro no projeto. Recurso perdido.</x:t>
  </x:si>
  <x:si>
    <x:t xml:space="preserve"> </x:t>
  </x:si>
  <x:si>
    <x:t xml:space="preserve">MS já solicitou o pagamento da emenda à SRI, em 2024, que não autorizou.</x:t>
  </x:si>
  <x:si>
    <x:t xml:space="preserve">Hospital Universitário de Canoas, Canoas, RS</x:t>
  </x:si>
  <x:si>
    <x:t xml:space="preserve">Hospital Universitário de Canoas</x:t>
  </x:si>
  <x:si>
    <x:r>
      <x:rPr>
        <x:sz val="10"/>
        <x:color rgb="FF000000"/>
        <x:rFont val="Arial"/>
      </x:rPr>
      <x:t xml:space="preserve">150000,00 / </x:t>
    </x:r>
    <x:r>
      <x:rPr>
        <x:sz val="10"/>
        <x:color rgb="FF000000"/>
        <x:rFont val="Arial"/>
      </x:rPr>
      <x:t xml:space="preserve">200000,00</x:t>
    </x:r>
  </x:si>
  <x:si>
    <x:t xml:space="preserve">Por se tratar de recursos para INCREMENTO MAC, os mesmos foram repassados para os CNES que foram cadastrados no sistema do FNS(Hospital Universitário e Hospital Nossa Senhora da Graças).</x:t>
  </x:si>
  <x:si>
    <x:t xml:space="preserve">Rua Dorval Antunes Pereira, 950 - Centro, Muitos Capões - RS, CEP 95230-000</x:t>
  </x:si>
  <x:si>
    <x:t xml:space="preserve">R$370.000,00</x:t>
  </x:si>
  <x:si>
    <x:t xml:space="preserve">VIATURA OSTENSIVA SUV</x:t>
  </x:si>
  <x:si>
    <x:t xml:space="preserve">Colorado</x:t>
  </x:si>
  <x:si>
    <x:t xml:space="preserve">Avenida Brasil, 1250 - Centro, Colorado - Paraná, CEP 86690-000</x:t>
  </x:si>
  <x:si>
    <x:t xml:space="preserve">Avenida Fernando Luzzatto, 158 - Centro, Nova Prata - RS, CEP 95320-000, Brasil</x:t>
  </x:si>
  <x:si>
    <x:t xml:space="preserve">Rua Oscar Schmidt, 172 - Centro, Ajuricaba - RS, CEP 98750-000</x:t>
  </x:si>
  <x:si>
    <x:t xml:space="preserve">Praça 13 de Abril, 302, Centro, 99435-000, Campos Borges, RS, Brasil.</x:t>
  </x:si>
  <x:si>
    <x:t xml:space="preserve">Xangri-lá</x:t>
  </x:si>
  <x:si>
    <x:t xml:space="preserve">Rua Rio Jacuí, 854 - Centro, Xangri-Lá - RS, CEP 95588-000</x:t>
  </x:si>
  <x:si>
    <x:t xml:space="preserve">Xangri-Lá</x:t>
  </x:si>
  <x:si>
    <x:t xml:space="preserve">Rolador</x:t>
  </x:si>
  <x:si>
    <x:t xml:space="preserve">Avenida João Batista, 700 - Rolador - RS, CEP 97843-000, Brasil</x:t>
  </x:si>
  <x:si>
    <x:t xml:space="preserve">Rolador </x:t>
  </x:si>
  <x:si>
    <x:t xml:space="preserve">Avenida Silvio Sanson, 1135, Centro, Guaporé - RS, CEP 99200-000</x:t>
  </x:si>
  <x:si>
    <x:t xml:space="preserve">Av. Alto Jacuí, 840 - Centro, Não-Me-Toque - RS, CEP 99470-000</x:t>
  </x:si>
  <x:si>
    <x:t xml:space="preserve">Não Me Toque</x:t>
  </x:si>
  <x:si>
    <x:t xml:space="preserve">Avenida Expedicionário Weber, 2983 - Bairro Cruzeiro, Santa Rosa - RS, CEP 98789-000</x:t>
  </x:si>
  <x:si>
    <x:t xml:space="preserve">Avenida José Balbino de Sousa S/N, Centro, Sobradinho - Bahia, CEP 48925-000</x:t>
  </x:si>
  <x:si>
    <x:t xml:space="preserve">Rua Berlim, 240 - Centro, Dois Irmãos - RS, 93950-000, Brasil.</x:t>
  </x:si>
  <x:si>
    <x:t xml:space="preserve">R$390.000,00</x:t>
  </x:si>
  <x:si>
    <x:t xml:space="preserve">VIATURA RESGATE (AMBULÂNCIA)</x:t>
  </x:si>
  <x:si>
    <x:t xml:space="preserve">R$425.000,00</x:t>
  </x:si>
  <x:si>
    <x:t xml:space="preserve">VIATURA OSTENSIVA PIK-UP</x:t>
  </x:si>
  <x:si>
    <x:t xml:space="preserve">Rua 510, 76, Centro, Aceguá - RS, CEP 96445-000</x:t>
  </x:si>
  <x:si>
    <x:t xml:space="preserve">Prefeitura Municipal de Bom Retiro do Sul, Rua Senador Pinheiro Machado, 35 - Centro, Bom Retiro do Sul - RS, CEP 95870-000</x:t>
  </x:si>
  <x:si>
    <x:t xml:space="preserve">Bom Retiro Do Sul</x:t>
  </x:si>
  <x:si>
    <x:t xml:space="preserve">R$500.000,00</x:t>
  </x:si>
  <x:si>
    <x:t xml:space="preserve">Roupa de combate a incêndio RIP STOP</x:t>
  </x:si>
  <x:si>
    <x:t xml:space="preserve">Prefeitura Municipal de Arroio do Meio, Rua Monsenhor Jacob Seger, 186 - Centro, Arroio do Meio - RS, CEP 95940-000</x:t>
  </x:si>
  <x:si>
    <x:t xml:space="preserve">Rua Alfredo Chaves, 1333 - Exposição, Caxias do Sul - RS, CEP 95020-460, Brasil</x:t>
  </x:si>
  <x:si>
    <x:t xml:space="preserve">Rua Dr. Afrânio Hidalgo Lemos, 549 - Centro, Dois Lajeados - RS, CEP 99220-000</x:t>
  </x:si>
  <x:si>
    <x:t xml:space="preserve">Prefeitura Municipal de Flores da Cunha, Rua São José, 2500 - Flores da Cunha - RS, CEP 95270-000, Caixa Postal 39</x:t>
  </x:si>
  <x:si>
    <x:t xml:space="preserve">Praça Marechal Deodoro, 14 - Centro, Lagoa Vermelha - RS, CEP 95300-000</x:t>
  </x:si>
  <x:si>
    <x:t xml:space="preserve">Av. Borges de Medeiros, 50 - Centro, Muçum - RS, CEP 95970-000</x:t>
  </x:si>
  <x:si>
    <x:t xml:space="preserve">Avenida José Balbino de Souza, s/n, Centro, Sobradinho - BA, CEP 48925-000, Brasil.</x:t>
  </x:si>
  <x:si>
    <x:t xml:space="preserve">Sudoeste do Estado</x:t>
  </x:si>
  <x:si>
    <x:t xml:space="preserve">Nordeste Riograndense</x:t>
  </x:si>
  <x:si>
    <x:t xml:space="preserve">Centro do Estado</x:t>
  </x:si>
  <x:si>
    <x:t xml:space="preserve">Planalto Médio</x:t>
  </x:si>
  <x:si>
    <x:t xml:space="preserve">Alecrim</x:t>
  </x:si>
  <x:si>
    <x:t xml:space="preserve">Fronteira Noroeste</x:t>
  </x:si>
  <x:si>
    <x:t xml:space="preserve">Fronteira Oeste</x:t>
  </x:si>
  <x:si>
    <x:t xml:space="preserve">Almirante Tamandaré do Sul</x:t>
  </x:si>
  <x:si>
    <x:t xml:space="preserve">Alto Jacuí</x:t>
  </x:si>
  <x:si>
    <x:t xml:space="preserve">Alpestre</x:t>
  </x:si>
  <x:si>
    <x:t xml:space="preserve">Zona da Produção</x:t>
  </x:si>
  <x:si>
    <x:t xml:space="preserve">Alto Alegre</x:t>
  </x:si>
  <x:si>
    <x:t xml:space="preserve">Alta da Serra do Botucarai</x:t>
  </x:si>
  <x:si>
    <x:t xml:space="preserve">Vale do Rio Caí</x:t>
  </x:si>
  <x:si>
    <x:t xml:space="preserve">Metropolitana de Porto Alegre</x:t>
  </x:si>
  <x:si>
    <x:t xml:space="preserve">Zona Sul</x:t>
  </x:si>
  <x:si>
    <x:t xml:space="preserve">Ametista do Sul</x:t>
  </x:si>
  <x:si>
    <x:t xml:space="preserve">André da Rocha</x:t>
  </x:si>
  <x:si>
    <x:t xml:space="preserve">Encosta Superior do Nordeste</x:t>
  </x:si>
  <x:si>
    <x:t xml:space="preserve">Vale do Taquari</x:t>
  </x:si>
  <x:si>
    <x:t xml:space="preserve">Costa Doce</x:t>
  </x:si>
  <x:si>
    <x:t xml:space="preserve">Vale dos Sinos</x:t>
  </x:si>
  <x:si>
    <x:t xml:space="preserve">Alto Uruguai</x:t>
  </x:si>
  <x:si>
    <x:t xml:space="preserve">Arroio do Sal</x:t>
  </x:si>
  <x:si>
    <x:t xml:space="preserve">Litoral Norte</x:t>
  </x:si>
  <x:si>
    <x:t xml:space="preserve">Arroio do Padre</x:t>
  </x:si>
  <x:si>
    <x:t xml:space="preserve">Carbonífera</x:t>
  </x:si>
  <x:si>
    <x:t xml:space="preserve">Centro Serra</x:t>
  </x:si>
  <x:si>
    <x:t xml:space="preserve">Augusto Pestana</x:t>
  </x:si>
  <x:si>
    <x:t xml:space="preserve">Áurea</x:t>
  </x:si>
  <x:si>
    <x:t xml:space="preserve">Barão do Triunfo</x:t>
  </x:si>
  <x:si>
    <x:t xml:space="preserve">Barra do Guarita</x:t>
  </x:si>
  <x:si>
    <x:t xml:space="preserve">Celeiro do Rio Grande</x:t>
  </x:si>
  <x:si>
    <x:t xml:space="preserve">Barra do Quaraí</x:t>
  </x:si>
  <x:si>
    <x:t xml:space="preserve">Barra Funda</x:t>
  </x:si>
  <x:si>
    <x:t xml:space="preserve">Benjamin Constant do Sul</x:t>
  </x:si>
  <x:si>
    <x:t xml:space="preserve">Boa Vista das Missões</x:t>
  </x:si>
  <x:si>
    <x:t xml:space="preserve">Boa Vista do Cadeado</x:t>
  </x:si>
  <x:si>
    <x:t xml:space="preserve">Boa Vista do Incra</x:t>
  </x:si>
  <x:si>
    <x:t xml:space="preserve">Boa Vista do Sul</x:t>
  </x:si>
  <x:si>
    <x:t xml:space="preserve">Bom Jesus</x:t>
  </x:si>
  <x:si>
    <x:t xml:space="preserve">Campos de cima da Serra</x:t>
  </x:si>
  <x:si>
    <x:t xml:space="preserve">Missões</x:t>
  </x:si>
  <x:si>
    <x:t xml:space="preserve">Braga</x:t>
  </x:si>
  <x:si>
    <x:t xml:space="preserve">Butiá</x:t>
  </x:si>
  <x:si>
    <x:t xml:space="preserve">Cacique Doble</x:t>
  </x:si>
  <x:si>
    <x:t xml:space="preserve">Caibaté</x:t>
  </x:si>
  <x:si>
    <x:t xml:space="preserve">Caiçara</x:t>
  </x:si>
  <x:si>
    <x:t xml:space="preserve">Camargo</x:t>
  </x:si>
  <x:si>
    <x:t xml:space="preserve">Planalto</x:t>
  </x:si>
  <x:si>
    <x:t xml:space="preserve">Turismo da Serra</x:t>
  </x:si>
  <x:si>
    <x:t xml:space="preserve">Vale do Rio Pardo</x:t>
  </x:si>
  <x:si>
    <x:t xml:space="preserve">Candiota</x:t>
  </x:si>
  <x:si>
    <x:t xml:space="preserve">Capão do Cipó</x:t>
  </x:si>
  <x:si>
    <x:t xml:space="preserve">Capão do Leão</x:t>
  </x:si>
  <x:si>
    <x:t xml:space="preserve">Capivari do Sul</x:t>
  </x:si>
  <x:si>
    <x:t xml:space="preserve">Capitão</x:t>
  </x:si>
  <x:si>
    <x:t xml:space="preserve">Caraá</x:t>
  </x:si>
  <x:si>
    <x:t xml:space="preserve">Catuípe</x:t>
  </x:si>
  <x:si>
    <x:t xml:space="preserve">Centenário</x:t>
  </x:si>
  <x:si>
    <x:t xml:space="preserve">Cerrito</x:t>
  </x:si>
  <x:si>
    <x:t xml:space="preserve">Cerro Grande</x:t>
  </x:si>
  <x:si>
    <x:t xml:space="preserve">Cerro Grande do Sul</x:t>
  </x:si>
  <x:si>
    <x:t xml:space="preserve">Chapada</x:t>
  </x:si>
  <x:si>
    <x:t xml:space="preserve">Charrua</x:t>
  </x:si>
  <x:si>
    <x:t xml:space="preserve">Chiapetta</x:t>
  </x:si>
  <x:si>
    <x:t xml:space="preserve">Chuí</x:t>
  </x:si>
  <x:si>
    <x:t xml:space="preserve">Chuvisca</x:t>
  </x:si>
  <x:si>
    <x:t xml:space="preserve">Cidreira</x:t>
  </x:si>
  <x:si>
    <x:t xml:space="preserve">Ciríaco</x:t>
  </x:si>
  <x:si>
    <x:t xml:space="preserve">Condor</x:t>
  </x:si>
  <x:si>
    <x:t xml:space="preserve">Coqueiros do Sul</x:t>
  </x:si>
  <x:si>
    <x:t xml:space="preserve">Coronel Barros</x:t>
  </x:si>
  <x:si>
    <x:t xml:space="preserve">Coronel Bicaco</x:t>
  </x:si>
  <x:si>
    <x:t xml:space="preserve">Coronel Pilar</x:t>
  </x:si>
  <x:si>
    <x:t xml:space="preserve">Cristal</x:t>
  </x:si>
  <x:si>
    <x:t xml:space="preserve">Cristal do Sul</x:t>
  </x:si>
  <x:si>
    <x:t xml:space="preserve">Cruzaltense</x:t>
  </x:si>
  <x:si>
    <x:t xml:space="preserve">Dezesseis de Novembro</x:t>
  </x:si>
  <x:si>
    <x:t xml:space="preserve">Dois Irmãos das Missões</x:t>
  </x:si>
  <x:si>
    <x:t xml:space="preserve">Dom Feliciano</x:t>
  </x:si>
  <x:si>
    <x:t xml:space="preserve">Dom Pedro de Alcântara</x:t>
  </x:si>
  <x:si>
    <x:t xml:space="preserve">Doutor Maurício Cardoso</x:t>
  </x:si>
  <x:si>
    <x:t xml:space="preserve">Encruzilhada do Sul</x:t>
  </x:si>
  <x:si>
    <x:t xml:space="preserve">Engenho Velho</x:t>
  </x:si>
  <x:si>
    <x:t xml:space="preserve">Erebango</x:t>
  </x:si>
  <x:si>
    <x:t xml:space="preserve">Ernestina</x:t>
  </x:si>
  <x:si>
    <x:t xml:space="preserve">Erval Grande</x:t>
  </x:si>
  <x:si>
    <x:t xml:space="preserve">Erval Seco</x:t>
  </x:si>
  <x:si>
    <x:t xml:space="preserve">Esmeralda</x:t>
  </x:si>
  <x:si>
    <x:t xml:space="preserve">Esperança do Sul</x:t>
  </x:si>
  <x:si>
    <x:t xml:space="preserve">Estrela Velha</x:t>
  </x:si>
  <x:si>
    <x:t xml:space="preserve">Eugênio de Castro</x:t>
  </x:si>
  <x:si>
    <x:t xml:space="preserve">Fagundes Varela</x:t>
  </x:si>
  <x:si>
    <x:t xml:space="preserve">Faxinalzinho</x:t>
  </x:si>
  <x:si>
    <x:t xml:space="preserve">Fazenda Vilanova</x:t>
  </x:si>
  <x:si>
    <x:t xml:space="preserve">Floriano Peixoto</x:t>
  </x:si>
  <x:si>
    <x:t xml:space="preserve">Fortaleza dos Valos</x:t>
  </x:si>
  <x:si>
    <x:t xml:space="preserve">Garruchos</x:t>
  </x:si>
  <x:si>
    <x:t xml:space="preserve">Gaurama</x:t>
  </x:si>
  <x:si>
    <x:t xml:space="preserve">Gentil</x:t>
  </x:si>
  <x:si>
    <x:t xml:space="preserve">Glorinha</x:t>
  </x:si>
  <x:si>
    <x:t xml:space="preserve">Gramado Xavier</x:t>
  </x:si>
  <x:si>
    <x:t xml:space="preserve">Guabiju</x:t>
  </x:si>
  <x:si>
    <x:t xml:space="preserve">Herveiras</x:t>
  </x:si>
  <x:si>
    <x:t xml:space="preserve">Hulha Negra</x:t>
  </x:si>
  <x:si>
    <x:t xml:space="preserve">Humaitá</x:t>
  </x:si>
  <x:si>
    <x:t xml:space="preserve">Ibirapuitã</x:t>
  </x:si>
  <x:si>
    <x:t xml:space="preserve">Vale do Paranhana</x:t>
  </x:si>
  <x:si>
    <x:t xml:space="preserve">Ilópolis</x:t>
  </x:si>
  <x:si>
    <x:t xml:space="preserve">Independência</x:t>
  </x:si>
  <x:si>
    <x:t xml:space="preserve">Inhacorá</x:t>
  </x:si>
  <x:si>
    <x:t xml:space="preserve">Ipê</x:t>
  </x:si>
  <x:si>
    <x:t xml:space="preserve">Ipiranga do Sul</x:t>
  </x:si>
  <x:si>
    <x:t xml:space="preserve">Itaara</x:t>
  </x:si>
  <x:si>
    <x:t xml:space="preserve">Itacurubi</x:t>
  </x:si>
  <x:si>
    <x:t xml:space="preserve">Itapuca</x:t>
  </x:si>
  <x:si>
    <x:t xml:space="preserve">Itaqui</x:t>
  </x:si>
  <x:si>
    <x:t xml:space="preserve">Itatiba do Sul</x:t>
  </x:si>
  <x:si>
    <x:t xml:space="preserve">Jaboticaba</x:t>
  </x:si>
  <x:si>
    <x:t xml:space="preserve">Jacuizinho</x:t>
  </x:si>
  <x:si>
    <x:t xml:space="preserve">Jaguarão</x:t>
  </x:si>
  <x:si>
    <x:t xml:space="preserve">Jaquirana</x:t>
  </x:si>
  <x:si>
    <x:t xml:space="preserve">Jari</x:t>
  </x:si>
  <x:si>
    <x:t xml:space="preserve">Jóia</x:t>
  </x:si>
  <x:si>
    <x:t xml:space="preserve">Lagoa Bonita do Sul</x:t>
  </x:si>
  <x:si>
    <x:t xml:space="preserve">Lagoão</x:t>
  </x:si>
  <x:si>
    <x:t xml:space="preserve">Lajeado do Bugre</x:t>
  </x:si>
  <x:si>
    <x:t xml:space="preserve">Liberato Salzano</x:t>
  </x:si>
  <x:si>
    <x:t xml:space="preserve">Linha Nova</x:t>
  </x:si>
  <x:si>
    <x:t xml:space="preserve">Maçambará</x:t>
  </x:si>
  <x:si>
    <x:t xml:space="preserve">Mampituba</x:t>
  </x:si>
  <x:si>
    <x:t xml:space="preserve">Manoel Viana</x:t>
  </x:si>
  <x:si>
    <x:t xml:space="preserve">Marcelino Ramos</x:t>
  </x:si>
  <x:si>
    <x:t xml:space="preserve">Mariana Pimentel</x:t>
  </x:si>
  <x:si>
    <x:t xml:space="preserve">Mariano Moro</x:t>
  </x:si>
  <x:si>
    <x:t xml:space="preserve">Mato Leitão</x:t>
  </x:si>
  <x:si>
    <x:t xml:space="preserve">Mato Queimado</x:t>
  </x:si>
  <x:si>
    <x:t xml:space="preserve">Minas do Leão</x:t>
  </x:si>
  <x:si>
    <x:t xml:space="preserve">Miraguaí</x:t>
  </x:si>
  <x:si>
    <x:t xml:space="preserve">Montauri</x:t>
  </x:si>
  <x:si>
    <x:t xml:space="preserve">Monte Alegre dos Campos</x:t>
  </x:si>
  <x:si>
    <x:t xml:space="preserve">Monte Belo do Sul</x:t>
  </x:si>
  <x:si>
    <x:t xml:space="preserve">Mormaço</x:t>
  </x:si>
  <x:si>
    <x:t xml:space="preserve">Morrinhos do Sul</x:t>
  </x:si>
  <x:si>
    <x:t xml:space="preserve">Muliterno</x:t>
  </x:si>
  <x:si>
    <x:t xml:space="preserve">Nicolau Vergueiro</x:t>
  </x:si>
  <x:si>
    <x:t xml:space="preserve">Nonoai</x:t>
  </x:si>
  <x:si>
    <x:t xml:space="preserve">Nova Candelária</x:t>
  </x:si>
  <x:si>
    <x:t xml:space="preserve">Nova Esperança do Sul</x:t>
  </x:si>
  <x:si>
    <x:t xml:space="preserve">Nova Ramada</x:t>
  </x:si>
  <x:si>
    <x:t xml:space="preserve">Nova Roma do Sul</x:t>
  </x:si>
  <x:si>
    <x:t xml:space="preserve">Novo Cabrais</x:t>
  </x:si>
  <x:si>
    <x:t xml:space="preserve">Novo Machado</x:t>
  </x:si>
  <x:si>
    <x:t xml:space="preserve">Novo Tiradentes</x:t>
  </x:si>
  <x:si>
    <x:t xml:space="preserve">Novo Xingu</x:t>
  </x:si>
  <x:si>
    <x:t xml:space="preserve">Novo Barreiro</x:t>
  </x:si>
  <x:si>
    <x:t xml:space="preserve">Palmares do Sul</x:t>
  </x:si>
  <x:si>
    <x:t xml:space="preserve">Pantano Grande</x:t>
  </x:si>
  <x:si>
    <x:t xml:space="preserve">Paulo Bento</x:t>
  </x:si>
  <x:si>
    <x:t xml:space="preserve">Paverama</x:t>
  </x:si>
  <x:si>
    <x:t xml:space="preserve">Pedras Altas</x:t>
  </x:si>
  <x:si>
    <x:t xml:space="preserve">Pedro Osório</x:t>
  </x:si>
  <x:si>
    <x:t xml:space="preserve">Pinhal</x:t>
  </x:si>
  <x:si>
    <x:t xml:space="preserve">Pinhal da Serra</x:t>
  </x:si>
  <x:si>
    <x:t xml:space="preserve">Pinheirinho do Vale</x:t>
  </x:si>
  <x:si>
    <x:t xml:space="preserve">Pirapó</x:t>
  </x:si>
  <x:si>
    <x:t xml:space="preserve">Poço das Antas</x:t>
  </x:si>
  <x:si>
    <x:t xml:space="preserve">Pontão</x:t>
  </x:si>
  <x:si>
    <x:t xml:space="preserve">Porto Vera Cruz</x:t>
  </x:si>
  <x:si>
    <x:t xml:space="preserve">Quatro Irmãos</x:t>
  </x:si>
  <x:si>
    <x:t xml:space="preserve">Quevedos</x:t>
  </x:si>
  <x:si>
    <x:t xml:space="preserve">Redentora</x:t>
  </x:si>
  <x:si>
    <x:t xml:space="preserve">Rio dos Índios</x:t>
  </x:si>
  <x:si>
    <x:t xml:space="preserve">Rondinha</x:t>
  </x:si>
  <x:si>
    <x:t xml:space="preserve">Roque Gonzales</x:t>
  </x:si>
  <x:si>
    <x:t xml:space="preserve">Sagrada Família</x:t>
  </x:si>
  <x:si>
    <x:t xml:space="preserve">Saldanha Marinho</x:t>
  </x:si>
  <x:si>
    <x:t xml:space="preserve">Salto do Jacuí</x:t>
  </x:si>
  <x:si>
    <x:t xml:space="preserve">Salvador das Missões</x:t>
  </x:si>
  <x:si>
    <x:t xml:space="preserve">Salvador do Sul</x:t>
  </x:si>
  <x:si>
    <x:t xml:space="preserve">Santa Cecília do Sul</x:t>
  </x:si>
  <x:si>
    <x:t xml:space="preserve">Santa Clara do Sul</x:t>
  </x:si>
  <x:si>
    <x:t xml:space="preserve">Santa Margarida do Sul</x:t>
  </x:si>
  <x:si>
    <x:t xml:space="preserve">Santana da Boa Vista</x:t>
  </x:si>
  <x:si>
    <x:t xml:space="preserve">Santo Antônio do Palma</x:t>
  </x:si>
  <x:si>
    <x:t xml:space="preserve">Santo Antônio do Planalto</x:t>
  </x:si>
  <x:si>
    <x:t xml:space="preserve">Santo Expedito do Sul</x:t>
  </x:si>
  <x:si>
    <x:t xml:space="preserve">São Domingos do Sul</x:t>
  </x:si>
  <x:si>
    <x:t xml:space="preserve">São João da Urtiga</x:t>
  </x:si>
  <x:si>
    <x:t xml:space="preserve">São Jorge</x:t>
  </x:si>
  <x:si>
    <x:t xml:space="preserve">São José das Missões</x:t>
  </x:si>
  <x:si>
    <x:t xml:space="preserve">São José do Inhacorá</x:t>
  </x:si>
  <x:si>
    <x:t xml:space="preserve">São José do Ouro</x:t>
  </x:si>
  <x:si>
    <x:t xml:space="preserve">São José do Sul</x:t>
  </x:si>
  <x:si>
    <x:t xml:space="preserve">São José dos Ausentes</x:t>
  </x:si>
  <x:si>
    <x:t xml:space="preserve">São Nicolau</x:t>
  </x:si>
  <x:si>
    <x:t xml:space="preserve">São Pedro da Serra</x:t>
  </x:si>
  <x:si>
    <x:t xml:space="preserve">São Pedro das Missões</x:t>
  </x:si>
  <x:si>
    <x:t xml:space="preserve">São Pedro do Butiá</x:t>
  </x:si>
  <x:si>
    <x:t xml:space="preserve">São Valério do Sul</x:t>
  </x:si>
  <x:si>
    <x:t xml:space="preserve">São Vicente do Sul</x:t>
  </x:si>
  <x:si>
    <x:t xml:space="preserve">Sede Nova</x:t>
  </x:si>
  <x:si>
    <x:t xml:space="preserve">Selbach</x:t>
  </x:si>
  <x:si>
    <x:t xml:space="preserve">Sentinela do Sul</x:t>
  </x:si>
  <x:si>
    <x:t xml:space="preserve">Sério</x:t>
  </x:si>
  <x:si>
    <x:t xml:space="preserve">Sertão Santana</x:t>
  </x:si>
  <x:si>
    <x:t xml:space="preserve">Soledade</x:t>
  </x:si>
  <x:si>
    <x:t xml:space="preserve">Tabaí</x:t>
  </x:si>
  <x:si>
    <x:t xml:space="preserve">Tapes</x:t>
  </x:si>
  <x:si>
    <x:t xml:space="preserve">Taquaruçu do Sul</x:t>
  </x:si>
  <x:si>
    <x:t xml:space="preserve">Tavares</x:t>
  </x:si>
  <x:si>
    <x:t xml:space="preserve">Tio Hugo</x:t>
  </x:si>
  <x:si>
    <x:t xml:space="preserve">Tiradentes do Sul</x:t>
  </x:si>
  <x:si>
    <x:t xml:space="preserve">Toropi</x:t>
  </x:si>
  <x:si>
    <x:t xml:space="preserve">Torres</x:t>
  </x:si>
  <x:si>
    <x:t xml:space="preserve">Travesseiro</x:t>
  </x:si>
  <x:si>
    <x:t xml:space="preserve">Três Arroios</x:t>
  </x:si>
  <x:si>
    <x:t xml:space="preserve">Três Cachoeiras</x:t>
  </x:si>
  <x:si>
    <x:t xml:space="preserve">Tunas</x:t>
  </x:si>
  <x:si>
    <x:t xml:space="preserve">Turuçu</x:t>
  </x:si>
  <x:si>
    <x:t xml:space="preserve">União da Serra</x:t>
  </x:si>
  <x:si>
    <x:t xml:space="preserve">Unistalda</x:t>
  </x:si>
  <x:si>
    <x:t xml:space="preserve">Vanini</x:t>
  </x:si>
  <x:si>
    <x:t xml:space="preserve">Viadutos</x:t>
  </x:si>
  <x:si>
    <x:t xml:space="preserve">Vicente Dutra</x:t>
  </x:si>
  <x:si>
    <x:t xml:space="preserve">Victor Graeff</x:t>
  </x:si>
  <x:si>
    <x:t xml:space="preserve">Vila Flores</x:t>
  </x:si>
  <x:si>
    <x:t xml:space="preserve">Vila Lângaro</x:t>
  </x:si>
  <x:si>
    <x:t xml:space="preserve">Vila Maria</x:t>
  </x:si>
  <x:si>
    <x:t xml:space="preserve">Vila Nova do Sul</x:t>
  </x:si>
  <x:si>
    <x:t xml:space="preserve">Vista Alegre</x:t>
  </x:si>
  <x:si>
    <x:t xml:space="preserve">Vista Alegre do Prata</x:t>
  </x:si>
  <x:si>
    <x:t xml:space="preserve">Vista Gaúcha</x:t>
  </x:si>
  <x:si>
    <x:t xml:space="preserve">Vitória das Missões</x:t>
  </x:si>
  <x:si>
    <x:t xml:space="preserve">Westfália</x:t>
  </x:si>
  <x:si>
    <x:t xml:space="preserve">Municipio</x:t>
  </x:si>
  <x:si>
    <x:t xml:space="preserve">CNPJ/CNEES</x:t>
  </x:si>
  <x:si>
    <x:t xml:space="preserve">Modalidade de Aplicação</x:t>
  </x:si>
  <x:si>
    <x:t xml:space="preserve">Ministerio</x:t>
  </x:si>
  <x:si>
    <x:t xml:space="preserve">Numero da Proposta</x:t>
  </x:si>
  <x:si>
    <x:t xml:space="preserve">Data do empenho</x:t>
  </x:si>
  <x:si>
    <x:t xml:space="preserve">Empenho </x:t>
  </x:si>
  <x:si>
    <x:t xml:space="preserve">Data do pagamento</x:t>
  </x:si>
  <x:si>
    <x:t xml:space="preserve">Contato</x:t>
  </x:si>
  <x:si>
    <x:t xml:space="preserve">87.182.846/0001-78</x:t>
  </x:si>
  <x:si>
    <x:t xml:space="preserve">Fundo Estadual de Saúde</x:t>
  </x:si>
  <x:si>
    <x:t xml:space="preserve">Saude (Custeio - MAC)</x:t>
  </x:si>
  <x:si>
    <x:t xml:space="preserve">Min da Saúde</x:t>
  </x:si>
  <x:si>
    <x:t xml:space="preserve">CNEES 2232154</x:t>
  </x:si>
  <x:si>
    <x:t xml:space="preserve">Pago</x:t>
  </x:si>
  <x:si>
    <x:t xml:space="preserve">Recurso para Implemento Mac - COVID-19</x:t>
  </x:si>
  <x:si>
    <x:t xml:space="preserve">(51) 3560-1011</x:t>
  </x:si>
  <x:si>
    <x:t xml:space="preserve">Fundo Nacional de Saude</x:t>
  </x:si>
  <x:si>
    <x:t xml:space="preserve">12.126.869/0001-66</x:t>
  </x:si>
  <x:si>
    <x:t xml:space="preserve">Transferência Municipal Fundo a Fundo</x:t>
  </x:si>
  <x:si>
    <x:t xml:space="preserve">Saude (INCREMENTO PAB)</x:t>
  </x:si>
  <x:si>
    <x:t xml:space="preserve">Paga</x:t>
  </x:si>
  <x:si>
    <x:t xml:space="preserve">08/04/2020 Portaria 706</x:t>
  </x:si>
  <x:si>
    <x:t xml:space="preserve">Recurso para Implemento PAB</x:t>
  </x:si>
  <x:si>
    <x:t xml:space="preserve">R. Monsenhor Jacob Seger, 186 - Centro, Arroio do Meio - RS, 95940-000</x:t>
  </x:si>
  <x:si>
    <x:t xml:space="preserve">(51) 3716-1166</x:t>
  </x:si>
  <x:si>
    <x:t xml:space="preserve">Transferência Estadual  Fdo a Fdo</x:t>
  </x:si>
  <x:si>
    <x:t xml:space="preserve">08/04/2020 Portaria 726</x:t>
  </x:si>
  <x:si>
    <x:t xml:space="preserve">R. Carlos Mangabeira, 307 - Centro, Bagé - RS, 96400-490</x:t>
  </x:si>
  <x:si>
    <x:t xml:space="preserve">(53) 3240-3200</x:t>
  </x:si>
  <x:si>
    <x:t xml:space="preserve">11.232.569/0001-07</x:t>
  </x:si>
  <x:si>
    <x:t xml:space="preserve">09/04/2020 Portaria 770</x:t>
  </x:si>
  <x:si>
    <x:t xml:space="preserve">R. da Estação, 1085 - Operário, Barão - RS, 95730-000</x:t>
  </x:si>
  <x:si>
    <x:t xml:space="preserve">(51) 3696-1200</x:t>
  </x:si>
  <x:si>
    <x:t xml:space="preserve">11.436.612/0001-48</x:t>
  </x:si>
  <x:si>
    <x:t xml:space="preserve">06/04/2020 Portaria 679</x:t>
  </x:si>
  <x:si>
    <x:t xml:space="preserve">R. Dr. José Mário Mônaco, 358 - Centro, Bento Gonçalves - RS, 95700-068</x:t>
  </x:si>
  <x:si>
    <x:t xml:space="preserve">(54) 3455-4333</x:t>
  </x:si>
  <x:si>
    <x:t xml:space="preserve">11.389.385/0001-47</x:t>
  </x:si>
  <x:si>
    <x:t xml:space="preserve">Av. Guilherme Winter, 65 - Centro, Bom Princípio - RS, 95765-000</x:t>
  </x:si>
  <x:si>
    <x:t xml:space="preserve">(51) 3634-8100</x:t>
  </x:si>
  <x:si>
    <x:t xml:space="preserve">BOM PROGRESSO</x:t>
  </x:si>
  <x:si>
    <x:t xml:space="preserve">Transferência Direta</x:t>
  </x:si>
  <x:si>
    <x:t xml:space="preserve">Educação (escolas agrotécnica)</x:t>
  </x:si>
  <x:si>
    <x:t xml:space="preserve">FNDE</x:t>
  </x:si>
  <x:si>
    <x:t xml:space="preserve">Licitação</x:t>
  </x:si>
  <x:si>
    <x:t xml:space="preserve">Br 468 - Km 87.9, Bom Progresso - RS, 98575-000</x:t>
  </x:si>
  <x:si>
    <x:t xml:space="preserve">(55) 3528-6032</x:t>
  </x:si>
  <x:si>
    <x:t xml:space="preserve">10.819.930/0001-25</x:t>
  </x:si>
  <x:si>
    <x:t xml:space="preserve">R. Sinimbú, 644 - Centro, Boqueirão do Leão - RS, 95920-000</x:t>
  </x:si>
  <x:si>
    <x:t xml:space="preserve">(51) 3789-1122</x:t>
  </x:si>
  <x:si>
    <x:t xml:space="preserve">10.616.321/0001-79</x:t>
  </x:si>
  <x:si>
    <x:t xml:space="preserve">R. Guilherme Hartman, 260, Brochier - RS, 95790-000</x:t>
  </x:si>
  <x:si>
    <x:t xml:space="preserve">(51) 3697-1212</x:t>
  </x:si>
  <x:si>
    <x:t xml:space="preserve">12.100.062/0001-54</x:t>
  </x:si>
  <x:si>
    <x:t xml:space="preserve">CNEES 5602742</x:t>
  </x:si>
  <x:si>
    <x:t xml:space="preserve">(54) 3251-1532</x:t>
  </x:si>
  <x:si>
    <x:t xml:space="preserve">11.310.266/0001-57</x:t>
  </x:si>
  <x:si>
    <x:t xml:space="preserve">CNEES 2232073</x:t>
  </x:si>
  <x:si>
    <x:t xml:space="preserve">(51) 3598-8600</x:t>
  </x:si>
  <x:si>
    <x:t xml:space="preserve">12.013.178/0001-56</x:t>
  </x:si>
  <x:si>
    <x:t xml:space="preserve">CNEES 2235609</x:t>
  </x:si>
  <x:si>
    <x:t xml:space="preserve">(54) 3282-5100</x:t>
  </x:si>
  <x:si>
    <x:t xml:space="preserve">Rua Dona Carlinda, 455 - Centro, Canela - RS, 95680-000</x:t>
  </x:si>
  <x:si>
    <x:t xml:space="preserve">11.413.650/0001-85</x:t>
  </x:si>
  <x:si>
    <x:t xml:space="preserve">Av. Farroupilha, 8001 - São José, Canoas - RS</x:t>
  </x:si>
  <x:si>
    <x:t xml:space="preserve">(51) 3478-8000</x:t>
  </x:si>
  <x:si>
    <x:t xml:space="preserve">(51) 2102-1000</x:t>
  </x:si>
  <x:si>
    <x:t xml:space="preserve">CNEES 3819590</x:t>
  </x:si>
  <x:si>
    <x:t xml:space="preserve">(54) 3625-3027</x:t>
  </x:si>
  <x:si>
    <x:t xml:space="preserve">CARAZINHO</x:t>
  </x:si>
  <x:si>
    <x:t xml:space="preserve">BR-285, 210, Carazinho - RS, 99500-000</x:t>
  </x:si>
  <x:si>
    <x:t xml:space="preserve">(54) 3330-9610</x:t>
  </x:si>
  <x:si>
    <x:t xml:space="preserve">11.836.978/0001-04</x:t>
  </x:si>
  <x:si>
    <x:t xml:space="preserve">CNEES 2262274</x:t>
  </x:si>
  <x:si>
    <x:t xml:space="preserve">(54) 3331-2699</x:t>
  </x:si>
  <x:si>
    <x:t xml:space="preserve">10.372.245/0001-01</x:t>
  </x:si>
  <x:si>
    <x:t xml:space="preserve">R. Assis Brasil, 11 - Centro, Carlos Barbosa - RS, 95185-000</x:t>
  </x:si>
  <x:si>
    <x:t xml:space="preserve">(54) 3461-8800</x:t>
  </x:si>
  <x:si>
    <x:t xml:space="preserve">10.546.325/0001-28</x:t>
  </x:si>
  <x:si>
    <x:t xml:space="preserve">30/03/2020 Portaria 599</x:t>
  </x:si>
  <x:si>
    <x:t xml:space="preserve">R. Castro Alves, 454 - Madureira, Caxias do Sul - RS, 95041-520</x:t>
  </x:si>
  <x:si>
    <x:t xml:space="preserve">(54) 2108-8333</x:t>
  </x:si>
  <x:si>
    <x:t xml:space="preserve">255 Rua Prof. Antônio Vignoli - Pres. Vargas, Caxias do Sul - RS</x:t>
  </x:si>
  <x:si>
    <x:t xml:space="preserve">(54) 3218-7200</x:t>
  </x:si>
  <x:si>
    <x:t xml:space="preserve">DILERMANDO DE AGUIAR</x:t>
  </x:si>
  <x:si>
    <x:t xml:space="preserve">Prefeitura Municipal de Dilermando de Aguiar</x:t>
  </x:si>
  <x:si>
    <x:t xml:space="preserve">01.609.404/0001-40</x:t>
  </x:si>
  <x:si>
    <x:t xml:space="preserve">Segurança Publica</x:t>
  </x:si>
  <x:si>
    <x:t xml:space="preserve">Ministério da Justiça e Segurança Publica</x:t>
  </x:si>
  <x:si>
    <x:t xml:space="preserve">Compra e entrega direta</x:t>
  </x:si>
  <x:si>
    <x:t xml:space="preserve">Empenhada</x:t>
  </x:si>
  <x:si>
    <x:t xml:space="preserve">Av. Ibicuí, 1001 - Centro, Dilermando de Aguiar - RS, 97180-000</x:t>
  </x:si>
  <x:si>
    <x:t xml:space="preserve">(55) 3612-4246</x:t>
  </x:si>
  <x:si>
    <x:t xml:space="preserve">CNEES 6844138</x:t>
  </x:si>
  <x:si>
    <x:t xml:space="preserve">(51) 3564-8800</x:t>
  </x:si>
  <x:si>
    <x:t xml:space="preserve">11.437.296/0001-29</x:t>
  </x:si>
  <x:si>
    <x:t xml:space="preserve">R. Berlim, 240 - Centro, Dois Irmãos - RS, 93950-000</x:t>
  </x:si>
  <x:si>
    <x:t xml:space="preserve">DOM PEDRITO</x:t>
  </x:si>
  <x:si>
    <x:t xml:space="preserve">BR-293, Dom Pedrito - RS, 96450-000</x:t>
  </x:si>
  <x:si>
    <x:t xml:space="preserve">12.149.722/0001-91</x:t>
  </x:si>
  <x:si>
    <x:t xml:space="preserve">R. Monsenhor Scalabrini, 1047 - Centro, Encantado - RS, 95960-000</x:t>
  </x:si>
  <x:si>
    <x:t xml:space="preserve">(51) 3751-0100</x:t>
  </x:si>
  <x:si>
    <x:t xml:space="preserve">ERECHIM</x:t>
  </x:si>
  <x:si>
    <x:t xml:space="preserve">Colegio Agricola, Erechim - RS, 99700-000</x:t>
  </x:si>
  <x:si>
    <x:t xml:space="preserve">(54) 3522-1090</x:t>
  </x:si>
  <x:si>
    <x:t xml:space="preserve">(54) 3520-2100</x:t>
  </x:si>
  <x:si>
    <x:t xml:space="preserve">CNEES 2707632</x:t>
  </x:si>
  <x:si>
    <x:t xml:space="preserve">(51) 3561-4050</x:t>
  </x:si>
  <x:si>
    <x:t xml:space="preserve">12.140.369/0001-89</x:t>
  </x:si>
  <x:si>
    <x:t xml:space="preserve">Aprovada</x:t>
  </x:si>
  <x:si>
    <x:t xml:space="preserve">Emenda agrupada com outros Parlamentares </x:t>
  </x:si>
  <x:si>
    <x:t xml:space="preserve">R. Eng. Hener de Souza Nunes, 150 - Centro, Esteio - RS, 93260-120</x:t>
  </x:si>
  <x:si>
    <x:t xml:space="preserve">(51) 3433-8100</x:t>
  </x:si>
  <x:si>
    <x:t xml:space="preserve">14.296.302/0001-63</x:t>
  </x:si>
  <x:si>
    <x:t xml:space="preserve">02/04/2020 Portaria 651</x:t>
  </x:si>
  <x:si>
    <x:t xml:space="preserve">R. da República, 51 - Centro, Farroupilha - RS, 95170-476</x:t>
  </x:si>
  <x:si>
    <x:t xml:space="preserve">(54) 3261-8700</x:t>
  </x:si>
  <x:si>
    <x:t xml:space="preserve">11.484.627/0001-81</x:t>
  </x:si>
  <x:si>
    <x:t xml:space="preserve">R. Pinheiro Machado, 55, Feliz - RS, 95770-000</x:t>
  </x:si>
  <x:si>
    <x:t xml:space="preserve">(51) 3637-4200</x:t>
  </x:si>
  <x:si>
    <x:t xml:space="preserve">11.427.873/0001-00</x:t>
  </x:si>
  <x:si>
    <x:t xml:space="preserve"> 150,000,00</x:t>
  </x:si>
  <x:si>
    <x:t xml:space="preserve">R. Júlio de Castilhos, 254 - Centro, Garibaldi - RS, 95720-000</x:t>
  </x:si>
  <x:si>
    <x:t xml:space="preserve">(54) 3462-8200</x:t>
  </x:si>
  <x:si>
    <x:t xml:space="preserve">11.796.566/0001-98</x:t>
  </x:si>
  <x:si>
    <x:t xml:space="preserve">CNEES 2241153</x:t>
  </x:si>
  <x:si>
    <x:t xml:space="preserve">(54) 3286-0200</x:t>
  </x:si>
  <x:si>
    <x:t xml:space="preserve">12.391.928/0001-23</x:t>
  </x:si>
  <x:si>
    <x:t xml:space="preserve">04/05/2020 portaria 977</x:t>
  </x:si>
  <x:si>
    <x:t xml:space="preserve">Av. Nestor de Moura Jardim, 111 - Centro, Guaíba - RS, 92500-000</x:t>
  </x:si>
  <x:si>
    <x:t xml:space="preserve">(51) 3480-7000</x:t>
  </x:si>
  <x:si>
    <x:t xml:space="preserve">GUAPORÉ</x:t>
  </x:si>
  <x:si>
    <x:t xml:space="preserve">Av. Silvio Sanson, 66 - São Cristovao, Guaporé - RS, 99200-000</x:t>
  </x:si>
  <x:si>
    <x:t xml:space="preserve">(54) 3443-1604</x:t>
  </x:si>
  <x:si>
    <x:t xml:space="preserve">GUARANI DAS MISSÕES</x:t>
  </x:si>
  <x:si>
    <x:t xml:space="preserve">R. Miguel Kaminski - Santa Tereza, Guarani das Missões - RS, 97950-000</x:t>
  </x:si>
  <x:si>
    <x:t xml:space="preserve">(55) 3353-1011</x:t>
  </x:si>
  <x:si>
    <x:t xml:space="preserve">10.624.835/0001-76</x:t>
  </x:si>
  <x:si>
    <x:t xml:space="preserve">Emenda agrupada com outros Parlamentares</x:t>
  </x:si>
  <x:si>
    <x:t xml:space="preserve">Rua Jacob Weissheimer Sobrinho, 56 - Centro, Harmonia - RS, 95785-000</x:t>
  </x:si>
  <x:si>
    <x:t xml:space="preserve">(51) 3695-1111</x:t>
  </x:si>
  <x:si>
    <x:t xml:space="preserve">12.121.651/0001-19</x:t>
  </x:si>
  <x:si>
    <x:t xml:space="preserve">R. Dr. Edmundo Laufer, 351 - Bom Pastor, Igrejinha - RS, 95650-000</x:t>
  </x:si>
  <x:si>
    <x:t xml:space="preserve">(51) 3549-7750</x:t>
  </x:si>
  <x:si>
    <x:t xml:space="preserve">CNEES 2227665</x:t>
  </x:si>
  <x:si>
    <x:t xml:space="preserve">(51) 3549-8600</x:t>
  </x:si>
  <x:si>
    <x:t xml:space="preserve">Av. Pres. Castelo Branco, 228 - Centro, Igrejinha - RS, 95650-000</x:t>
  </x:si>
  <x:si>
    <x:t xml:space="preserve">Av. David José Martins, 152 - Centro, Ijuí - RS, 98700-000</x:t>
  </x:si>
  <x:si>
    <x:t xml:space="preserve">(55) 3331-9300</x:t>
  </x:si>
  <x:si>
    <x:t xml:space="preserve">11.749.956/0001-07</x:t>
  </x:si>
  <x:si>
    <x:t xml:space="preserve">150.000,00 Empenhado 68.418,00</x:t>
  </x:si>
  <x:si>
    <x:t xml:space="preserve">R. Castelo Branco, 15, Imigrante - RS, 95885-000</x:t>
  </x:si>
  <x:si>
    <x:t xml:space="preserve">(51) 3754-1100</x:t>
  </x:si>
  <x:si>
    <x:t xml:space="preserve">12.104.575/0001-33</x:t>
  </x:si>
  <x:si>
    <x:t xml:space="preserve">(51) 3563-9900</x:t>
  </x:si>
  <x:si>
    <x:t xml:space="preserve">Hospital São José Ivoti</x:t>
  </x:si>
  <x:si>
    <x:t xml:space="preserve">CNEES 2232189</x:t>
  </x:si>
  <x:si>
    <x:t xml:space="preserve">(51) 3563-8800</x:t>
  </x:si>
  <x:si>
    <x:t xml:space="preserve">R. Antônio Carbone - Centro, Júlio de Castilhos - RS, 98130-000</x:t>
  </x:si>
  <x:si>
    <x:t xml:space="preserve">(55) 3271-1325</x:t>
  </x:si>
  <x:si>
    <x:t xml:space="preserve">LAGOA VERMELHA</x:t>
  </x:si>
  <x:si>
    <x:t xml:space="preserve">BR-285, 196, Lagoa Vermelha - RS, 95300-000</x:t>
  </x:si>
  <x:si>
    <x:t xml:space="preserve">(54) 3358-1444</x:t>
  </x:si>
  <x:si>
    <x:t xml:space="preserve">7.182.846/0001-78</x:t>
  </x:si>
  <x:si>
    <x:t xml:space="preserve">04/05/2020 Portaria 977</x:t>
  </x:si>
  <x:si>
    <x:t xml:space="preserve">Av. Afonso Pena, 14 - Centro, Lagoa Vermelha - RS, 95300-000</x:t>
  </x:si>
  <x:si>
    <x:t xml:space="preserve">(54) 3358-9100</x:t>
  </x:si>
  <x:si>
    <x:t xml:space="preserve">Soc. Beneficência e Caridade de Lajeado</x:t>
  </x:si>
  <x:si>
    <x:t xml:space="preserve">10.502.833/0001-04</x:t>
  </x:si>
  <x:si>
    <x:t xml:space="preserve">Av. Benjamin Constant, 881 - Centro, Lajeado - RS, 95900-000</x:t>
  </x:si>
  <x:si>
    <x:t xml:space="preserve">(51) 3552-1444</x:t>
  </x:si>
  <x:si>
    <x:t xml:space="preserve">CNEES 2246953</x:t>
  </x:si>
  <x:si>
    <x:t xml:space="preserve">(54) 3342-9500</x:t>
  </x:si>
  <x:si>
    <x:t xml:space="preserve">R. Assis Brasil, 1621 - Centro, Montenegro - RS, 99890-000</x:t>
  </x:si>
  <x:si>
    <x:t xml:space="preserve">(51) 3632-1233</x:t>
  </x:si>
  <x:si>
    <x:t xml:space="preserve">(51) 3569-1678</x:t>
  </x:si>
  <x:si>
    <x:t xml:space="preserve">Rua Doutor Otto Stahl, 469 - Vila Nova, Não-Me-Toque - RS, 99470-000</x:t>
  </x:si>
  <x:si>
    <x:t xml:space="preserve">(54) 3332-1250</x:t>
  </x:si>
  <x:si>
    <x:t xml:space="preserve">(51) 3565-1111</x:t>
  </x:si>
  <x:si>
    <x:t xml:space="preserve">12.094.862/0001-00</x:t>
  </x:si>
  <x:si>
    <x:t xml:space="preserve">Rua Emílio Jost, 387 - Centro, Nova Hartz - RS, 93890-000</x:t>
  </x:si>
  <x:si>
    <x:t xml:space="preserve">51) 3565-1111</x:t>
  </x:si>
  <x:si>
    <x:t xml:space="preserve">11.898.805/0001-10</x:t>
  </x:si>
  <x:si>
    <x:t xml:space="preserve">CNEES 2241102</x:t>
  </x:si>
  <x:si>
    <x:t xml:space="preserve">(54) 3281-8400</x:t>
  </x:si>
  <x:si>
    <x:t xml:space="preserve">02/04/2020 Portaria 646</x:t>
  </x:si>
  <x:si>
    <x:t xml:space="preserve">R. Sete de Setembro, 330 - 2º Piso - Centro, Nova Petrópolis - RS, 95150-000</x:t>
  </x:si>
  <x:si>
    <x:t xml:space="preserve">11.416.036/0001-77</x:t>
  </x:si>
  <x:si>
    <x:t xml:space="preserve">Av. Dr. Maurício Cardoso, 711 - Hamburgo Velho, Novo Hamburgo - RS, 93510-223</x:t>
  </x:si>
  <x:si>
    <x:t xml:space="preserve">(51) 3553-8800</x:t>
  </x:si>
  <x:si>
    <x:t xml:space="preserve">Av. Pedro Adams Filho, 6520 - Centro, Novo Hamburgo - RS, 93310-003</x:t>
  </x:si>
  <x:si>
    <x:t xml:space="preserve">(51) 3272-3272</x:t>
  </x:si>
  <x:si>
    <x:t xml:space="preserve">CNEES 2232146</x:t>
  </x:si>
  <x:si>
    <x:t xml:space="preserve">(51) 3097-9400</x:t>
  </x:si>
  <x:si>
    <x:t xml:space="preserve">PALMEIRA DAS MISSÕES</x:t>
  </x:si>
  <x:si>
    <x:t xml:space="preserve">BR 158 KM 106 - INTERIOR, Palmeira das MissõEs - RS, 98300-000</x:t>
  </x:si>
  <x:si>
    <x:t xml:space="preserve">(55) 3742-2544</x:t>
  </x:si>
  <x:si>
    <x:t xml:space="preserve">12.056.244/0001-75</x:t>
  </x:si>
  <x:si>
    <x:t xml:space="preserve">07/04/2020 Portaria 701</x:t>
  </x:si>
  <x:si>
    <x:t xml:space="preserve">R. Konrad Adenauer, 1870 - São Jorge, Panambi - RS, 98280-000</x:t>
  </x:si>
  <x:si>
    <x:t xml:space="preserve">(55) 3376-9100</x:t>
  </x:si>
  <x:si>
    <x:t xml:space="preserve">Hospital Paraíso</x:t>
  </x:si>
  <x:si>
    <x:t xml:space="preserve">12.991.728/0001-01</x:t>
  </x:si>
  <x:si>
    <x:t xml:space="preserve">Analise</x:t>
  </x:si>
  <x:si>
    <x:t xml:space="preserve">11.706.451/0001-65</x:t>
  </x:si>
  <x:si>
    <x:t xml:space="preserve">R. Theno José Berlitz, 50 - Centro, Parobé - RS, 95630-000</x:t>
  </x:si>
  <x:si>
    <x:t xml:space="preserve">(51) 3543-5500</x:t>
  </x:si>
  <x:si>
    <x:t xml:space="preserve">CNEES 2227762</x:t>
  </x:si>
  <x:si>
    <x:t xml:space="preserve">(51) 3543-8600</x:t>
  </x:si>
  <x:si>
    <x:t xml:space="preserve">(54) 2103-3333</x:t>
  </x:si>
  <x:si>
    <x:t xml:space="preserve">CNEES 2246988</x:t>
  </x:si>
  <x:si>
    <x:t xml:space="preserve">(54) 3316-7100</x:t>
  </x:si>
  <x:si>
    <x:t xml:space="preserve">11.217.562/0001-08</x:t>
  </x:si>
  <x:si>
    <x:t xml:space="preserve">Praça Piratinino de Almeida, 53 - Centro, Pelotas - RS, 96015-290</x:t>
  </x:si>
  <x:si>
    <x:t xml:space="preserve">(53) 3284-4700</x:t>
  </x:si>
  <x:si>
    <x:t xml:space="preserve">(54) 3285-1300</x:t>
  </x:si>
  <x:si>
    <x:t xml:space="preserve">17.556.083/0001-00</x:t>
  </x:si>
  <x:si>
    <x:t xml:space="preserve">R. Sete de Setembro, 689 - Centro Histórico, Pinto Bandeira - RS, 95717-000</x:t>
  </x:si>
  <x:si>
    <x:t xml:space="preserve">(54) 3468-0210</x:t>
  </x:si>
  <x:si>
    <x:t xml:space="preserve">10.511.356/0001-43</x:t>
  </x:si>
  <x:si>
    <x:t xml:space="preserve">(51) 3562-1150</x:t>
  </x:si>
  <x:si>
    <x:t xml:space="preserve">CNEES 2232170</x:t>
  </x:si>
  <x:si>
    <x:t xml:space="preserve">(51) 3500-4200</x:t>
  </x:si>
  <x:si>
    <x:t xml:space="preserve">11.358.235/0001-76</x:t>
  </x:si>
  <x:si>
    <x:t xml:space="preserve">R. Ramiro Barcelos, 2350 - Santa Cecilia, Porto Alegre - RS, 90035-007</x:t>
  </x:si>
  <x:si>
    <x:t xml:space="preserve">(51) 3359-8000</x:t>
  </x:si>
  <x:si>
    <x:t xml:space="preserve">Rua Professor Annes Dias, 295 - Centro Histórico, Porto Alegre - RS, 90020-090</x:t>
  </x:si>
  <x:si>
    <x:t xml:space="preserve">(51) 3214-8080</x:t>
  </x:si>
  <x:si>
    <x:t xml:space="preserve">Rua, Av. Antônio de Carvalho, 450 - Agronomia, Porto Alegre - RS, 91430-000</x:t>
  </x:si>
  <x:si>
    <x:t xml:space="preserve">(51) 3383-5600</x:t>
  </x:si>
  <x:si>
    <x:t xml:space="preserve">Av. Ipiranga, 6690 - Jardim Botânico, Porto Alegre - RS, 90610-000</x:t>
  </x:si>
  <x:si>
    <x:t xml:space="preserve">(51) 3320-3000</x:t>
  </x:si>
  <x:si>
    <x:t xml:space="preserve">Secretaria da Segurança Pública do estado do Rio Grande do Sul</x:t>
  </x:si>
  <x:si>
    <x:t xml:space="preserve">87.934.675/0001-96</x:t>
  </x:si>
  <x:si>
    <x:t xml:space="preserve">Fundo Estadual</x:t>
  </x:si>
  <x:si>
    <x:t xml:space="preserve">Recurso para Segurança Publica</x:t>
  </x:si>
  <x:si>
    <x:t xml:space="preserve">(51) 3288-1900</x:t>
  </x:si>
  <x:si>
    <x:t xml:space="preserve">87.934.675/0001-96.</x:t>
  </x:si>
  <x:si>
    <x:t xml:space="preserve">Segurança Pública, Combate à Corrupção, ao Crime Organizado e ao Crime Violento</x:t>
  </x:si>
  <x:si>
    <x:t xml:space="preserve">2045/2020</x:t>
  </x:si>
  <x:si>
    <x:t xml:space="preserve">Proposta em Analise</x:t>
  </x:si>
  <x:si>
    <x:t xml:space="preserve">Desenvolvimento de Políticas de Segurança Pública, Prevenção, e Enfrentamento à Criminalidade</x:t>
  </x:si>
  <x:si>
    <x:t xml:space="preserve">Praça Marechal Deodoro, s/n Porto Alegre</x:t>
  </x:si>
  <x:si>
    <x:t xml:space="preserve">4591/2020</x:t>
  </x:si>
  <x:si>
    <x:t xml:space="preserve">2167/2020</x:t>
  </x:si>
  <x:si>
    <x:t xml:space="preserve">2174/2020</x:t>
  </x:si>
  <x:si>
    <x:t xml:space="preserve">41160011 e 41160002</x:t>
  </x:si>
  <x:si>
    <x:t xml:space="preserve">1500/2020</x:t>
  </x:si>
  <x:si>
    <x:t xml:space="preserve">Prefeitura Municioal de Lajeado</x:t>
  </x:si>
  <x:si>
    <x:t xml:space="preserve">MINIST. MULHER, FAMILIA E DIREITOS HUMANOS</x:t>
  </x:si>
  <x:si>
    <x:t xml:space="preserve">87.297.982/0001-03</x:t>
  </x:si>
  <x:si>
    <x:t xml:space="preserve">- Proteção à vida, fortalecimento da família, promoção e defesa dos direitos humanos para todos</x:t>
  </x:si>
  <x:si>
    <x:t xml:space="preserve">Misto</x:t>
  </x:si>
  <x:si>
    <x:t xml:space="preserve">Ministério da Mulher Família e Dir. Humanos</x:t>
  </x:si>
  <x:si>
    <x:t xml:space="preserve">2932/2020</x:t>
  </x:si>
  <x:si>
    <x:t xml:space="preserve">Investimento em laboratório de produção criativa, inspirado nos FabLabs do MIT</x:t>
  </x:si>
  <x:si>
    <x:t xml:space="preserve">R. Júlio May, 242 - Centro, Lajeado - RS, 95900-000</x:t>
  </x:si>
  <x:si>
    <x:t xml:space="preserve">Prefeitura Municipal de Esteio</x:t>
  </x:si>
  <x:si>
    <x:t xml:space="preserve">88.150.495/0001-86</x:t>
  </x:si>
  <x:si>
    <x:t xml:space="preserve">2347/2020</x:t>
  </x:si>
  <x:si>
    <x:t xml:space="preserve">Empenhado em 24/06/2020 2020NE800014 e 2020NE800015</x:t>
  </x:si>
  <x:si>
    <x:t xml:space="preserve">(51) 3445-3111</x:t>
  </x:si>
  <x:si>
    <x:t xml:space="preserve">CNEES 2227703</x:t>
  </x:si>
  <x:si>
    <x:t xml:space="preserve">(51) 3548-1090</x:t>
  </x:si>
  <x:si>
    <x:t xml:space="preserve">11.425.702/0001-33</x:t>
  </x:si>
  <x:si>
    <x:t xml:space="preserve">R. Carlos Huff, 150 - Centro, Rolante - RS, 95690-000</x:t>
  </x:si>
  <x:si>
    <x:t xml:space="preserve">(51) 3547-1300</x:t>
  </x:si>
  <x:si>
    <x:t xml:space="preserve">CNEES 2257564</x:t>
  </x:si>
  <x:si>
    <x:t xml:space="preserve">(51) 3547-1188</x:t>
  </x:si>
  <x:si>
    <x:t xml:space="preserve">Rua Dom Conrado, 631 - Loeblein, Santa Bárbara do Sul - RS, 98240-000</x:t>
  </x:si>
  <x:si>
    <x:t xml:space="preserve">(55) 3372-1202 - Daniel ou Josi</x:t>
  </x:si>
  <x:si>
    <x:t xml:space="preserve">11.776.182/0001-03</x:t>
  </x:si>
  <x:si>
    <x:t xml:space="preserve">Rua Pereira da Cunha, 209 - Ana Nery, Santa Cruz do Sul - RS, 96835-090</x:t>
  </x:si>
  <x:si>
    <x:t xml:space="preserve">(51) 2106-4400</x:t>
  </x:si>
  <x:si>
    <x:t xml:space="preserve">R. Ari Lagranha Domingues, 188 - Nossa Sra. do Perpetuo Socorro, Santa Maria - RS, 97045-060</x:t>
  </x:si>
  <x:si>
    <x:t xml:space="preserve">(55) 3028-9401</x:t>
  </x:si>
  <x:si>
    <x:t xml:space="preserve">(51) 3567-1001</x:t>
  </x:si>
  <x:si>
    <x:t xml:space="preserve">Prefeitura Municipald e Santa Maria do Herval</x:t>
  </x:si>
  <x:si>
    <x:t xml:space="preserve">11.253.138/0001-19.</x:t>
  </x:si>
  <x:si>
    <x:t xml:space="preserve">R. Benno Closs, 88 - Centro, Santa Maria do Herval - RS, 93995-000</x:t>
  </x:si>
  <x:si>
    <x:t xml:space="preserve">3567-1001</x:t>
  </x:si>
  <x:si>
    <x:t xml:space="preserve">11.861.362/0001-93</x:t>
  </x:si>
  <x:si>
    <x:t xml:space="preserve">Av. Expedicionário Weber, 2983 - Cruzeiro, Santa Rosa - RS, 98900-000</x:t>
  </x:si>
  <x:si>
    <x:t xml:space="preserve">(55) 3511-5100</x:t>
  </x:si>
  <x:si>
    <x:t xml:space="preserve">Hospital de Caridade de Santo Ângelo</x:t>
  </x:si>
  <x:si>
    <x:t xml:space="preserve">Av. Antônio Manoel, 701 - Centro, Santo Ângelo - RS, 98801-690</x:t>
  </x:si>
  <x:si>
    <x:t xml:space="preserve">(55) 3313-2000</x:t>
  </x:si>
  <x:si>
    <x:t xml:space="preserve">Santo Antonio da Patrulha</x:t>
  </x:si>
  <x:si>
    <x:t xml:space="preserve">11.232.497/0001-90</x:t>
  </x:si>
  <x:si>
    <x:t xml:space="preserve">R. Mal. Floriano Peixoto, 732 - Cidade Alta, Santo Antônio da Patrulha - RS, 95500-000</x:t>
  </x:si>
  <x:si>
    <x:t xml:space="preserve">(51) 3662-7600</x:t>
  </x:si>
  <x:si>
    <x:t xml:space="preserve">SANTO ANTÔNIO DAS MISSÕES</x:t>
  </x:si>
  <x:si>
    <x:t xml:space="preserve">Rincao dos MirandaInteriorSanto Antônio das Missões - RSCEP: 97870-000</x:t>
  </x:si>
  <x:si>
    <x:t xml:space="preserve">(055) 3505-7150</x:t>
  </x:si>
  <x:si>
    <x:t xml:space="preserve">10.610.784/0001-23</x:t>
  </x:si>
  <x:si>
    <x:t xml:space="preserve">Av. Pres. Vargas, 1440 - Centro, São Borja - RS, 97670-000</x:t>
  </x:si>
  <x:si>
    <x:t xml:space="preserve">(55) 3431-1650</x:t>
  </x:si>
  <x:si>
    <x:t xml:space="preserve">CNEES 2227770</x:t>
  </x:si>
  <x:si>
    <x:t xml:space="preserve">(54) 3244-1386</x:t>
  </x:si>
  <x:si>
    <x:t xml:space="preserve">SÃO JOSÉ DO HORTÊNCIO</x:t>
  </x:si>
  <x:si>
    <x:t xml:space="preserve">Prefeitura Municipal de São Jose do Hortencio</x:t>
  </x:si>
  <x:si>
    <x:t xml:space="preserve">Policia Civil</x:t>
  </x:si>
  <x:si>
    <x:t xml:space="preserve">R. 33, 40, São José do Hortêncio - RS, 95755-000</x:t>
  </x:si>
  <x:si>
    <x:t xml:space="preserve">(51) 3571-1122</x:t>
  </x:si>
  <x:si>
    <x:t xml:space="preserve">12.625.868/0001-66</x:t>
  </x:si>
  <x:si>
    <x:t xml:space="preserve">08/04/2020  Portaria 726</x:t>
  </x:si>
  <x:si>
    <x:t xml:space="preserve">Av. Theodomiro Porto da Fonseca, 799 - Fião, São Leopoldo - RS, 93020-645</x:t>
  </x:si>
  <x:si>
    <x:t xml:space="preserve">(51) 3591-1400</x:t>
  </x:si>
  <x:si>
    <x:t xml:space="preserve">CNEES 2232022</x:t>
  </x:si>
  <x:si>
    <x:t xml:space="preserve">SÃO LOURENÇO DO SUL</x:t>
  </x:si>
  <x:si>
    <x:t xml:space="preserve">E.T.E. Santa Isabel</x:t>
  </x:si>
  <x:si>
    <x:t xml:space="preserve">Santa Isabel 1º Distrito, s/n - Zona Rural, São Lourenço do Sul - RS, 96170-000</x:t>
  </x:si>
  <x:si>
    <x:t xml:space="preserve">(53) 3805-1222</x:t>
  </x:si>
  <x:si>
    <x:t xml:space="preserve">CNEES 2259893</x:t>
  </x:si>
  <x:si>
    <x:t xml:space="preserve">(55) 3352-9300</x:t>
  </x:si>
  <x:si>
    <x:t xml:space="preserve">12.010.453/0001-88</x:t>
  </x:si>
  <x:si>
    <x:t xml:space="preserve">analise</x:t>
  </x:si>
  <x:si>
    <x:t xml:space="preserve">R. Mal. Floriano Peixoto, 426 - Centro, São Sebastião do Caí - RS, 95760-000</x:t>
  </x:si>
  <x:si>
    <x:t xml:space="preserve">(51) 3635-2500</x:t>
  </x:si>
  <x:si>
    <x:t xml:space="preserve">11.295.120/0001-80</x:t>
  </x:si>
  <x:si>
    <x:t xml:space="preserve">Av. João Corrêa, 793 - Centro, Sapiranga - RS, 93815-016</x:t>
  </x:si>
  <x:si>
    <x:t xml:space="preserve">(51) 3599-9500</x:t>
  </x:si>
  <x:si>
    <x:t xml:space="preserve">Sapiranga </x:t>
  </x:si>
  <x:si>
    <x:t xml:space="preserve">Hospital de Sapiranga</x:t>
  </x:si>
  <x:si>
    <x:t xml:space="preserve">R. Getúlio Vargas, 527 - Centro, Sapiranga - RS, 93815-016</x:t>
  </x:si>
  <x:si>
    <x:t xml:space="preserve">(51) 3599-8100</x:t>
  </x:si>
  <x:si>
    <x:t xml:space="preserve">11.413.810/0001-96</x:t>
  </x:si>
  <x:si>
    <x:t xml:space="preserve">09/04/2020 Portaria 771</x:t>
  </x:si>
  <x:si>
    <x:t xml:space="preserve">Av. Leônidas de Souza, 1289 - Santa Catarina, Sapucaia do Sul - RS, 93210-140</x:t>
  </x:si>
  <x:si>
    <x:t xml:space="preserve">(51) 3451-8000</x:t>
  </x:si>
  <x:si>
    <x:t xml:space="preserve">11.726.967/0001-71</x:t>
  </x:si>
  <x:si>
    <x:t xml:space="preserve">Av. 25 de Julho, 202 - CEP: 99250-000 - Cx. Postal, 11 - Serafina Corrêa - RS - Brasil</x:t>
  </x:si>
  <x:si>
    <x:t xml:space="preserve">54) 3444 8100</x:t>
  </x:si>
  <x:si>
    <x:t xml:space="preserve">12.877.385/0001-59</x:t>
  </x:si>
  <x:si>
    <x:t xml:space="preserve">R. do Comércio, 1468 - Centro, Tapejara - RS, 99950-000</x:t>
  </x:si>
  <x:si>
    <x:t xml:space="preserve">(54) 3344-4700</x:t>
  </x:si>
  <x:si>
    <x:t xml:space="preserve">CNEES 2227932</x:t>
  </x:si>
  <x:si>
    <x:t xml:space="preserve">(51) 3541-9200</x:t>
  </x:si>
  <x:si>
    <x:t xml:space="preserve">Tres Coroas</x:t>
  </x:si>
  <x:si>
    <x:t xml:space="preserve">Hospital Dr, Oswaldo Diesel</x:t>
  </x:si>
  <x:si>
    <x:t xml:space="preserve">11.445.803/0001-76</x:t>
  </x:si>
  <x:si>
    <x:t xml:space="preserve">(51) 3546-1236</x:t>
  </x:si>
  <x:si>
    <x:t xml:space="preserve">CNEES 2257467</x:t>
  </x:si>
  <x:si>
    <x:t xml:space="preserve">(51) 3546-7800</x:t>
  </x:si>
  <x:si>
    <x:t xml:space="preserve">11.916.215/0001-73</x:t>
  </x:si>
  <x:si>
    <x:t xml:space="preserve">15/04/2020 Portaria 806</x:t>
  </x:si>
  <x:si>
    <x:t xml:space="preserve">Av. das Palmeiras, 763 - Centro, Três Palmeiras - RS, 99675-000</x:t>
  </x:si>
  <x:si>
    <x:t xml:space="preserve">54) 3367-1040</x:t>
  </x:si>
  <x:si>
    <x:t xml:space="preserve">TUPANCI DO SUL</x:t>
  </x:si>
  <x:si>
    <x:t xml:space="preserve">Prefeitura Municipal de Tupancia do Sul</x:t>
  </x:si>
  <x:si>
    <x:t xml:space="preserve">90.484.320/0001-57</x:t>
  </x:si>
  <x:si>
    <x:t xml:space="preserve">R. Luís Panisson, 781, Tupanci do Sul - RS, 99878-000</x:t>
  </x:si>
  <x:si>
    <x:t xml:space="preserve">(54) 3616-9242</x:t>
  </x:si>
  <x:si>
    <x:t xml:space="preserve">Rua Domingos José de Almeida, 3801 - São Miguel, Uruguaiana - RS, 97502-854</x:t>
  </x:si>
  <x:si>
    <x:t xml:space="preserve">(55) 3414-5500</x:t>
  </x:si>
</x:sst>
</file>

<file path=xl/styles.xml><?xml version="1.0" encoding="utf-8"?>
<x:styleSheet xmlns:x="http://schemas.openxmlformats.org/spreadsheetml/2006/main">
  <x:numFmts count="3">
    <x:numFmt numFmtId="164" formatCode="00\.000\.000\/0000\-00"/>
    <x:numFmt numFmtId="165" formatCode="[$R$ -416]#,##0.00"/>
    <x:numFmt numFmtId="200" formatCode="#,##0.00"/>
  </x:numFmts>
  <x:fonts count="35">
    <x:font>
      <x:sz val="10"/>
      <x:color rgb="FF000000"/>
      <x:name val="Arial"/>
    </x:font>
    <x:font>
      <x:sz val="10"/>
      <x:color rgb="FF000000"/>
      <x:name val="Arial"/>
    </x:font>
    <x:font>
      <x:sz val="10"/>
      <x:color theme="1"/>
      <x:name val="Arial"/>
    </x:font>
    <x:font>
      <x:sz val="10"/>
      <x:color rgb="FF222222"/>
      <x:name val="Arial"/>
    </x:font>
    <x:font>
      <x:sz val="10"/>
      <x:color theme="1"/>
      <x:name val="Arial"/>
    </x:font>
    <x:font>
      <x:sz val="10"/>
      <x:color theme="1"/>
      <x:name val="Arial"/>
    </x:font>
    <x:font>
      <x:sz val="10"/>
      <x:color rgb="FF38761D"/>
      <x:name val="Arial"/>
    </x:font>
    <x:font>
      <x:sz val="10"/>
      <x:color rgb="FF212529"/>
      <x:name val="Arial"/>
    </x:font>
    <x:font>
      <x:sz val="10"/>
      <x:color rgb="FF000000"/>
      <x:name val="Arial"/>
    </x:font>
    <x:font>
      <x:sz val="10"/>
      <x:color rgb="FF000000"/>
      <x:name val="Arial"/>
    </x:font>
    <x:font>
      <x:sz val="10"/>
      <x:color theme="1"/>
      <x:name val="Arial"/>
    </x:font>
    <x:font>
      <x:sz val="11"/>
      <x:color rgb="FF222222"/>
      <x:name val="Arial"/>
    </x:font>
    <x:font>
      <x:sz val="10"/>
      <x:color rgb="FF212529"/>
      <x:name val="Arial"/>
    </x:font>
    <x:font>
      <x:sz val="10"/>
      <x:color rgb="FF212529"/>
      <x:name val="Arial"/>
    </x:font>
    <x:font>
      <x:b/>
      <x:sz val="10"/>
      <x:color theme="1"/>
      <x:name val="Arial"/>
    </x:font>
    <x:font>
      <x:sz val="10"/>
      <x:name val="Arial"/>
    </x:font>
    <x:font>
      <x:sz val="10"/>
      <x:color rgb="FF000000"/>
      <x:name val="Arial"/>
    </x:font>
    <x:font>
      <x:sz val="10"/>
      <x:color rgb="FF1F1F1F"/>
      <x:name val="Arial"/>
    </x:font>
    <x:font>
      <x:b/>
      <x:sz val="10"/>
      <x:color theme="1"/>
      <x:name val="Arial"/>
    </x:font>
    <x:font>
      <x:sz val="10"/>
      <x:color theme="1"/>
      <x:name val="Arial"/>
    </x:font>
    <x:font>
      <x:sz val="10"/>
      <x:color theme="1"/>
      <x:name val="Arial"/>
    </x:font>
    <x:font>
      <x:sz val="10"/>
      <x:color theme="1"/>
      <x:name val="Arial"/>
    </x:font>
    <x:font>
      <x:sz val="10"/>
      <x:color theme="1"/>
      <x:name val="Aptos Narrow"/>
    </x:font>
    <x:font>
      <x:sz val="10"/>
      <x:color theme="1"/>
      <x:name val="Arial"/>
    </x:font>
    <x:font>
      <x:sz val="10"/>
      <x:color rgb="FF222222"/>
      <x:name val="Arial"/>
    </x:font>
    <x:font>
      <x:sz val="10"/>
      <x:color theme="1"/>
      <x:name val="Arial"/>
    </x:font>
    <x:font>
      <x:sz val="10"/>
      <x:color rgb="FFFF0000"/>
      <x:name val="Arial"/>
    </x:font>
    <x:font>
      <x:sz val="10"/>
      <x:color rgb="FF212529"/>
      <x:name val="Arial"/>
    </x:font>
    <x:font>
      <x:sz val="10"/>
      <x:color rgb="FF000000"/>
      <x:name val="&quot;Open Sans&quot;"/>
    </x:font>
    <x:font>
      <x:sz val="11"/>
      <x:color rgb="FF4D5156"/>
      <x:name val="Arial"/>
    </x:font>
    <x:font>
      <x:sz val="10"/>
      <x:color rgb="FF0000FF"/>
      <x:name val="Arial"/>
    </x:font>
    <x:font>
      <x:sz val="8"/>
      <x:color rgb="FF000000"/>
      <x:name val="Arial"/>
    </x:font>
    <x:font>
      <x:b/>
      <x:sz val="14"/>
      <x:color rgb="FFFFFFFF"/>
      <x:name val="Arial"/>
    </x:font>
    <x:font>
      <x:b/>
      <x:sz val="10"/>
      <x:color rgb="FF17365D"/>
      <x:name val="Arial"/>
    </x:font>
    <x:font>
      <x:b/>
      <x:sz val="10"/>
      <x:color rgb="FF375623"/>
      <x:name val="Arial"/>
    </x:font>
  </x:fonts>
  <x:fills count="15">
    <x:fill>
      <x:patternFill patternType="none"/>
    </x:fill>
    <x:fill>
      <x:patternFill patternType="gray125"/>
    </x:fill>
    <x:fill>
      <x:patternFill patternType="solid">
        <x:fgColor rgb="FFFFFF00"/>
      </x:patternFill>
    </x:fill>
    <x:fill>
      <x:patternFill patternType="solid">
        <x:fgColor rgb="FFFFFFFF"/>
      </x:patternFill>
    </x:fill>
    <x:fill>
      <x:patternFill patternType="solid">
        <x:fgColor rgb="FFE8F0FE"/>
      </x:patternFill>
    </x:fill>
    <x:fill>
      <x:patternFill patternType="solid">
        <x:fgColor theme="0"/>
      </x:patternFill>
    </x:fill>
    <x:fill>
      <x:patternFill patternType="solid">
        <x:fgColor rgb="FFEFEFEF"/>
      </x:patternFill>
    </x:fill>
    <x:fill>
      <x:patternFill patternType="solid">
        <x:fgColor rgb="FFB7E1CD"/>
      </x:patternFill>
    </x:fill>
    <x:fill>
      <x:patternFill patternType="solid">
        <x:fgColor theme="9"/>
      </x:patternFill>
    </x:fill>
    <x:fill>
      <x:patternFill patternType="solid">
        <x:fgColor rgb="FFFF0000"/>
      </x:patternFill>
    </x:fill>
    <x:fill>
      <x:patternFill patternType="solid">
        <x:fgColor rgb="FFFFF2CC"/>
      </x:patternFill>
    </x:fill>
    <x:fill>
      <x:patternFill patternType="solid">
        <x:fgColor rgb="FFB7B7B7"/>
      </x:patternFill>
    </x:fill>
    <x:fill>
      <x:patternFill patternType="solid">
        <x:fgColor rgb="FF1F4E78"/>
      </x:patternFill>
    </x:fill>
    <x:fill>
      <x:patternFill patternType="solid">
        <x:fgColor rgb="FFD9EAF7"/>
      </x:patternFill>
    </x:fill>
    <x:fill>
      <x:patternFill patternType="solid">
        <x:fgColor rgb="FFE2F0D9"/>
      </x:patternFill>
    </x:fill>
  </x:fills>
  <x:borders count="16">
    <x:border/>
    <x:border>
      <x:left style="thin">
        <x:color rgb="FF000000"/>
      </x:left>
      <x:right style="thin">
        <x:color rgb="FF000000"/>
      </x:right>
      <x:top style="thin">
        <x:color rgb="FF000000"/>
      </x:top>
      <x:bottom style="thin">
        <x:color rgb="FF000000"/>
      </x:bottom>
    </x:border>
    <x:border>
      <x:right style="thin">
        <x:color rgb="FF000000"/>
      </x:right>
      <x:top style="thin">
        <x:color rgb="FF000000"/>
      </x:top>
      <x:bottom style="thin">
        <x:color rgb="FF000000"/>
      </x:bottom>
    </x:border>
    <x:border>
      <x:left style="thin">
        <x:color rgb="FF000000"/>
      </x:left>
      <x:right style="thin">
        <x:color rgb="FF000000"/>
      </x:right>
      <x:bottom style="thin">
        <x:color rgb="FF000000"/>
      </x:bottom>
    </x:border>
    <x:border>
      <x:left style="thin">
        <x:color rgb="FF000000"/>
      </x:left>
      <x:top style="thin">
        <x:color rgb="FF000000"/>
      </x:top>
      <x:bottom style="thin">
        <x:color rgb="FF000000"/>
      </x:bottom>
    </x:border>
    <x:border>
      <x:right style="thin">
        <x:color rgb="FF000000"/>
      </x:right>
      <x:bottom style="thin">
        <x:color rgb="FF000000"/>
      </x:bottom>
    </x:border>
    <x:border>
      <x:bottom style="thin">
        <x:color rgb="FF000000"/>
      </x:bottom>
    </x:border>
    <x:border/>
    <x:border>
      <x:left style="thin">
        <x:color rgb="FF000000"/>
      </x:left>
      <x:right style="thin">
        <x:color rgb="FF000000"/>
      </x:right>
      <x:top style="thin">
        <x:color rgb="FF000000"/>
      </x:top>
      <x:bottom style="thin">
        <x:color rgb="FF000000"/>
      </x:bottom>
    </x:border>
    <x:border>
      <x:bottom style="thin">
        <x:color rgb="FF000000"/>
      </x:bottom>
    </x:border>
    <x:border>
      <x:left style="thin">
        <x:color rgb="FF000000"/>
      </x:left>
      <x:top style="thin">
        <x:color rgb="FF000000"/>
      </x:top>
      <x:bottom style="thin">
        <x:color rgb="FF000000"/>
      </x:bottom>
    </x:border>
    <x:border>
      <x:right style="thin">
        <x:color rgb="FF000000"/>
      </x:right>
      <x:top style="thin">
        <x:color rgb="FF000000"/>
      </x:top>
      <x:bottom style="thin">
        <x:color rgb="FF000000"/>
      </x:bottom>
    </x:border>
    <x:border>
      <x:left style="thin">
        <x:color rgb="FF000000"/>
      </x:left>
      <x:right style="thin">
        <x:color rgb="FF000000"/>
      </x:right>
      <x:bottom style="thin">
        <x:color rgb="FF000000"/>
      </x:bottom>
    </x:border>
    <x:border>
      <x:right style="thin">
        <x:color rgb="FF000000"/>
      </x:right>
      <x:bottom style="thin">
        <x:color rgb="FF000000"/>
      </x:bottom>
    </x:border>
    <x:border>
      <x:bottom style="thin">
        <x:color rgb="FF7F8C8D"/>
      </x:bottom>
    </x:border>
    <x:border>
      <x:bottom style="thin">
        <x:color rgb="FF7F8C8D"/>
      </x:bottom>
    </x:border>
  </x:borders>
  <x:cellStyleXfs count="1">
    <x:xf numFmtId="0" fontId="0" fillId="0" borderId="0"/>
  </x:cellStyleXfs>
  <x:cellXfs count="507">
    <x:xf numFmtId="0" fontId="0" fillId="0" borderId="0" xfId="0" applyFont="1" applyAlignment="1"/>
    <x:xf numFmtId="0" fontId="1" fillId="2" borderId="0" xfId="0" applyFont="1" applyFill="1" applyAlignment="1">
      <x:alignment horizontal="center" vertical="center"/>
    </x:xf>
    <x:xf numFmtId="0" fontId="2" fillId="0" borderId="0" xfId="0" applyFont="1" applyAlignment="1"/>
    <x:xf numFmtId="0" fontId="3" fillId="0" borderId="0" xfId="0" applyFont="1" applyAlignment="1">
      <x:alignment horizontal="left" vertical="center"/>
    </x:xf>
    <x:xf numFmtId="0" fontId="1" fillId="2" borderId="0" xfId="0" applyFont="1" applyFill="1" applyAlignment="1">
      <x:alignment vertical="center"/>
    </x:xf>
    <x:xf numFmtId="164" fontId="1" fillId="2" borderId="0" xfId="0" applyNumberFormat="1" applyFont="1" applyFill="1" applyAlignment="1">
      <x:alignment vertical="center"/>
    </x:xf>
    <x:xf numFmtId="0" fontId="1" fillId="2" borderId="0" xfId="0" applyFont="1" applyFill="1" applyAlignment="1">
      <x:alignment horizontal="right" vertical="center"/>
    </x:xf>
    <x:xf numFmtId="0" fontId="2" fillId="0" borderId="0" xfId="0" applyFont="1"/>
    <x:xf numFmtId="165" fontId="1" fillId="2" borderId="0" xfId="0" applyNumberFormat="1" applyFont="1" applyFill="1" applyAlignment="1">
      <x:alignment horizontal="left" vertical="center"/>
    </x:xf>
    <x:xf numFmtId="0" fontId="3" fillId="0" borderId="0" xfId="0" applyFont="1" applyAlignment="1">
      <x:alignment horizontal="left" vertical="center" wrapText="1"/>
    </x:xf>
    <x:xf numFmtId="0" fontId="4" fillId="0" borderId="0" xfId="0" applyFont="1" applyAlignment="1">
      <x:alignment wrapText="1"/>
    </x:xf>
    <x:xf numFmtId="0" fontId="1" fillId="0" borderId="0" xfId="0" applyFont="1" applyAlignment="1">
      <x:alignment horizontal="left" vertical="center" wrapText="1"/>
    </x:xf>
    <x:xf numFmtId="0" fontId="4" fillId="0" borderId="0" xfId="0" applyFont="1" applyAlignment="1"/>
    <x:xf numFmtId="164" fontId="4" fillId="0" borderId="0" xfId="0" applyNumberFormat="1" applyFont="1" applyAlignment="1">
      <x:alignment wrapText="1"/>
    </x:xf>
    <x:xf numFmtId="0" fontId="4" fillId="0" borderId="0" xfId="0" applyFont="1" applyAlignment="1">
      <x:alignment wrapText="1"/>
    </x:xf>
    <x:xf numFmtId="0" fontId="4" fillId="0" borderId="0" xfId="0" applyFont="1" applyAlignment="1">
      <x:alignment horizontal="right"/>
    </x:xf>
    <x:xf numFmtId="0" fontId="4" fillId="0" borderId="0" xfId="0" applyFont="1" applyAlignment="1">
      <x:alignment horizontal="left" vertical="center" wrapText="1"/>
    </x:xf>
    <x:xf numFmtId="165" fontId="4" fillId="0" borderId="0" xfId="0" applyNumberFormat="1" applyFont="1" applyAlignment="1"/>
    <x:xf numFmtId="0" fontId="6" fillId="0" borderId="0" xfId="0" applyFont="1" applyAlignment="1"/>
    <x:xf numFmtId="0" fontId="6" fillId="0" borderId="0" xfId="0" applyFont="1" applyAlignment="1">
      <x:alignment vertical="center" wrapText="1"/>
    </x:xf>
    <x:xf numFmtId="0" fontId="4" fillId="0" borderId="0" xfId="0" applyFont="1" applyAlignment="1"/>
    <x:xf numFmtId="165" fontId="4" fillId="0" borderId="0" xfId="0" applyNumberFormat="1" applyFont="1" applyAlignment="1">
      <x:alignment horizontal="left"/>
    </x:xf>
    <x:xf numFmtId="0" fontId="1" fillId="5" borderId="0" xfId="0" applyFont="1" applyFill="1" applyAlignment="1">
      <x:alignment horizontal="left" vertical="center" wrapText="1"/>
    </x:xf>
    <x:xf numFmtId="0" fontId="1" fillId="5" borderId="0" xfId="0" applyFont="1" applyFill="1" applyAlignment="1">
      <x:alignment horizontal="left" vertical="center"/>
    </x:xf>
    <x:xf numFmtId="164" fontId="1" fillId="5" borderId="0" xfId="0" applyNumberFormat="1" applyFont="1" applyFill="1" applyAlignment="1">
      <x:alignment horizontal="left" vertical="center" wrapText="1"/>
    </x:xf>
    <x:xf numFmtId="0" fontId="1" fillId="5" borderId="0" xfId="0" applyFont="1" applyFill="1" applyAlignment="1">
      <x:alignment horizontal="right" vertical="center" wrapText="1"/>
    </x:xf>
    <x:xf numFmtId="165" fontId="1" fillId="5" borderId="0" xfId="0" applyNumberFormat="1" applyFont="1" applyFill="1" applyAlignment="1">
      <x:alignment horizontal="left" vertical="center" wrapText="1"/>
    </x:xf>
    <x:xf numFmtId="165" fontId="1" fillId="5" borderId="0" xfId="0" applyNumberFormat="1" applyFont="1" applyFill="1" applyAlignment="1">
      <x:alignment horizontal="left"/>
    </x:xf>
    <x:xf numFmtId="0" fontId="1" fillId="5" borderId="0" xfId="0" applyFont="1" applyFill="1" applyAlignment="1"/>
    <x:xf numFmtId="0" fontId="1" fillId="5" borderId="0" xfId="0" applyFont="1" applyFill="1" applyAlignment="1">
      <x:alignment vertical="center" wrapText="1"/>
    </x:xf>
    <x:xf numFmtId="0" fontId="1" fillId="5" borderId="0" xfId="0" applyFont="1" applyFill="1" applyAlignment="1">
      <x:alignment vertical="center" wrapText="1"/>
    </x:xf>
    <x:xf numFmtId="164" fontId="1" fillId="5" borderId="0" xfId="0" applyNumberFormat="1" applyFont="1" applyFill="1" applyAlignment="1">
      <x:alignment vertical="center" wrapText="1"/>
    </x:xf>
    <x:xf numFmtId="4" fontId="1" fillId="5" borderId="0" xfId="0" applyNumberFormat="1" applyFont="1" applyFill="1" applyAlignment="1">
      <x:alignment vertical="center" wrapText="1"/>
    </x:xf>
    <x:xf numFmtId="0" fontId="1" fillId="5" borderId="0" xfId="0" applyFont="1" applyFill="1" applyAlignment="1">
      <x:alignment vertical="center"/>
    </x:xf>
    <x:xf numFmtId="0" fontId="1" fillId="5" borderId="0" xfId="0" applyFont="1" applyFill="1" applyAlignment="1">
      <x:alignment horizontal="right" vertical="center"/>
    </x:xf>
    <x:xf numFmtId="0" fontId="1" fillId="5" borderId="0" xfId="0" applyFont="1" applyFill="1" applyAlignment="1">
      <x:alignment vertical="center"/>
    </x:xf>
    <x:xf numFmtId="0" fontId="1" fillId="3" borderId="0" xfId="0" applyFont="1" applyFill="1" applyAlignment="1">
      <x:alignment horizontal="left" vertical="center" wrapText="1"/>
    </x:xf>
    <x:xf numFmtId="0" fontId="1" fillId="3" borderId="0" xfId="0" applyFont="1" applyFill="1" applyAlignment="1">
      <x:alignment horizontal="left" vertical="center"/>
    </x:xf>
    <x:xf numFmtId="164" fontId="1" fillId="3" borderId="0" xfId="0" applyNumberFormat="1" applyFont="1" applyFill="1" applyAlignment="1">
      <x:alignment horizontal="left" vertical="center" wrapText="1"/>
    </x:xf>
    <x:xf numFmtId="0" fontId="1" fillId="3" borderId="0" xfId="0" applyFont="1" applyFill="1" applyAlignment="1">
      <x:alignment horizontal="right"/>
    </x:xf>
    <x:xf numFmtId="165" fontId="1" fillId="3" borderId="0" xfId="0" applyNumberFormat="1" applyFont="1" applyFill="1" applyAlignment="1">
      <x:alignment horizontal="left" vertical="center" wrapText="1"/>
    </x:xf>
    <x:xf numFmtId="0" fontId="1" fillId="3" borderId="0" xfId="0" applyFont="1" applyFill="1" applyAlignment="1"/>
    <x:xf numFmtId="0" fontId="1" fillId="3" borderId="0" xfId="0" applyFont="1" applyFill="1" applyAlignment="1">
      <x:alignment vertical="center" wrapText="1"/>
    </x:xf>
    <x:xf numFmtId="0" fontId="1" fillId="0" borderId="0" xfId="0" applyFont="1" applyAlignment="1">
      <x:alignment wrapText="1"/>
    </x:xf>
    <x:xf numFmtId="0" fontId="1" fillId="0" borderId="0" xfId="0" applyFont="1" applyAlignment="1"/>
    <x:xf numFmtId="164" fontId="1" fillId="0" borderId="0" xfId="0" applyNumberFormat="1" applyFont="1" applyAlignment="1"/>
    <x:xf numFmtId="0" fontId="1" fillId="0" borderId="0" xfId="0" applyFont="1" applyAlignment="1"/>
    <x:xf numFmtId="0" fontId="1" fillId="0" borderId="0" xfId="0" applyFont="1" applyAlignment="1">
      <x:alignment horizontal="right"/>
    </x:xf>
    <x:xf numFmtId="165" fontId="1" fillId="0" borderId="0" xfId="0" applyNumberFormat="1" applyFont="1" applyAlignment="1"/>
    <x:xf numFmtId="0" fontId="1" fillId="0" borderId="0" xfId="0" applyFont="1" applyAlignment="1"/>
    <x:xf numFmtId="0" fontId="1" fillId="0" borderId="0" xfId="0" applyFont="1" applyAlignment="1">
      <x:alignment wrapText="1"/>
    </x:xf>
    <x:xf numFmtId="0" fontId="1" fillId="6" borderId="0" xfId="0" applyFont="1" applyFill="1" applyAlignment="1">
      <x:alignment horizontal="left" vertical="center" wrapText="1"/>
    </x:xf>
    <x:xf numFmtId="0" fontId="1" fillId="6" borderId="0" xfId="0" applyFont="1" applyFill="1" applyAlignment="1">
      <x:alignment horizontal="left" vertical="center"/>
    </x:xf>
    <x:xf numFmtId="164" fontId="1" fillId="6" borderId="0" xfId="0" applyNumberFormat="1" applyFont="1" applyFill="1" applyAlignment="1">
      <x:alignment horizontal="left" vertical="center" wrapText="1"/>
    </x:xf>
    <x:xf numFmtId="0" fontId="1" fillId="6" borderId="0" xfId="0" applyFont="1" applyFill="1" applyAlignment="1">
      <x:alignment horizontal="right" vertical="center"/>
    </x:xf>
    <x:xf numFmtId="165" fontId="1" fillId="6" borderId="0" xfId="0" applyNumberFormat="1" applyFont="1" applyFill="1" applyAlignment="1">
      <x:alignment horizontal="left" vertical="center" wrapText="1"/>
    </x:xf>
    <x:xf numFmtId="0" fontId="1" fillId="6" borderId="0" xfId="0" applyFont="1" applyFill="1" applyAlignment="1">
      <x:alignment vertical="center"/>
    </x:xf>
    <x:xf numFmtId="0" fontId="1" fillId="6" borderId="0" xfId="0" applyFont="1" applyFill="1" applyAlignment="1">
      <x:alignment vertical="center" wrapText="1"/>
    </x:xf>
    <x:xf numFmtId="0" fontId="1" fillId="6" borderId="0" xfId="0" applyFont="1" applyFill="1" applyAlignment="1">
      <x:alignment horizontal="right" vertical="center" wrapText="1"/>
    </x:xf>
    <x:xf numFmtId="0" fontId="7" fillId="0" borderId="0" xfId="0" applyFont="1" applyAlignment="1">
      <x:alignment horizontal="right" vertical="top"/>
    </x:xf>
    <x:xf numFmtId="165" fontId="7" fillId="0" borderId="0" xfId="0" applyNumberFormat="1" applyFont="1" applyAlignment="1">
      <x:alignment horizontal="right"/>
    </x:xf>
    <x:xf numFmtId="0" fontId="1" fillId="0" borderId="0" xfId="0" applyFont="1" applyAlignment="1">
      <x:alignment horizontal="right"/>
    </x:xf>
    <x:xf numFmtId="0" fontId="1" fillId="6" borderId="0" xfId="0" applyFont="1" applyFill="1" applyAlignment="1">
      <x:alignment vertical="center" wrapText="1"/>
    </x:xf>
    <x:xf numFmtId="0" fontId="8" fillId="6" borderId="0" xfId="0" applyFont="1" applyFill="1" applyAlignment="1">
      <x:alignment horizontal="right" vertical="center" wrapText="1"/>
    </x:xf>
    <x:xf numFmtId="0" fontId="1" fillId="6" borderId="0" xfId="0" applyFont="1" applyFill="1" applyAlignment="1"/>
    <x:xf numFmtId="0" fontId="9" fillId="6" borderId="0" xfId="0" applyFont="1" applyFill="1" applyAlignment="1">
      <x:alignment horizontal="right" vertical="center" wrapText="1"/>
    </x:xf>
    <x:xf numFmtId="0" fontId="1" fillId="0" borderId="0" xfId="0" applyFont="1" applyAlignment="1">
      <x:alignment vertical="center" wrapText="1"/>
    </x:xf>
    <x:xf numFmtId="0" fontId="1" fillId="0" borderId="0" xfId="0" applyFont="1" applyAlignment="1">
      <x:alignment vertical="center"/>
    </x:xf>
    <x:xf numFmtId="164" fontId="1" fillId="0" borderId="0" xfId="0" applyNumberFormat="1" applyFont="1" applyAlignment="1">
      <x:alignment vertical="center" wrapText="1"/>
    </x:xf>
    <x:xf numFmtId="0" fontId="1" fillId="0" borderId="0" xfId="0" applyFont="1" applyAlignment="1">
      <x:alignment horizontal="right" vertical="center"/>
    </x:xf>
    <x:xf numFmtId="165" fontId="1" fillId="7" borderId="0" xfId="0" applyNumberFormat="1" applyFont="1" applyFill="1" applyAlignment="1">
      <x:alignment vertical="center"/>
    </x:xf>
    <x:xf numFmtId="165" fontId="1" fillId="0" borderId="0" xfId="0" applyNumberFormat="1" applyFont="1" applyAlignment="1">
      <x:alignment horizontal="right"/>
    </x:xf>
    <x:xf numFmtId="0" fontId="10" fillId="5" borderId="1" xfId="0" applyFont="1" applyFill="1" applyBorder="1" applyAlignment="1">
      <x:alignment horizontal="left" wrapText="1"/>
    </x:xf>
    <x:xf numFmtId="0" fontId="1" fillId="5" borderId="0" xfId="0" applyFont="1" applyFill="1" applyAlignment="1">
      <x:alignment horizontal="right"/>
    </x:xf>
    <x:xf numFmtId="0" fontId="1" fillId="5" borderId="0" xfId="0" applyFont="1" applyFill="1" applyAlignment="1"/>
    <x:xf numFmtId="0" fontId="10" fillId="0" borderId="1" xfId="0" applyFont="1" applyBorder="1" applyAlignment="1">
      <x:alignment horizontal="left" wrapText="1"/>
    </x:xf>
    <x:xf numFmtId="0" fontId="10" fillId="0" borderId="1" xfId="0" applyFont="1" applyBorder="1" applyAlignment="1">
      <x:alignment horizontal="left" wrapText="1"/>
    </x:xf>
    <x:xf numFmtId="0" fontId="2" fillId="0" borderId="1" xfId="0" applyFont="1" applyBorder="1" applyAlignment="1"/>
    <x:xf numFmtId="0" fontId="10" fillId="3" borderId="1" xfId="0" applyFont="1" applyFill="1" applyBorder="1" applyAlignment="1">
      <x:alignment horizontal="left" wrapText="1"/>
    </x:xf>
    <x:xf numFmtId="0" fontId="1" fillId="3" borderId="0" xfId="0" applyFont="1" applyFill="1" applyAlignment="1">
      <x:alignment vertical="center" wrapText="1"/>
    </x:xf>
    <x:xf numFmtId="164" fontId="1" fillId="3" borderId="0" xfId="0" applyNumberFormat="1" applyFont="1" applyFill="1" applyAlignment="1">
      <x:alignment vertical="center" wrapText="1"/>
    </x:xf>
    <x:xf numFmtId="0" fontId="1" fillId="3" borderId="0" xfId="0" applyFont="1" applyFill="1" applyAlignment="1">
      <x:alignment horizontal="right" vertical="center" wrapText="1"/>
    </x:xf>
    <x:xf numFmtId="0" fontId="1" fillId="3" borderId="0" xfId="0" applyFont="1" applyFill="1" applyAlignment="1">
      <x:alignment vertical="center"/>
    </x:xf>
    <x:xf numFmtId="164" fontId="1" fillId="3" borderId="0" xfId="0" applyNumberFormat="1" applyFont="1" applyFill="1" applyAlignment="1">
      <x:alignment wrapText="1"/>
    </x:xf>
    <x:xf numFmtId="0" fontId="1" fillId="3" borderId="0" xfId="0" applyFont="1" applyFill="1" applyAlignment="1">
      <x:alignment wrapText="1"/>
    </x:xf>
    <x:xf numFmtId="0" fontId="1" fillId="9" borderId="0" xfId="0" applyFont="1" applyFill="1" applyAlignment="1"/>
    <x:xf numFmtId="164" fontId="1" fillId="5" borderId="0" xfId="0" applyNumberFormat="1" applyFont="1" applyFill="1" applyAlignment="1">
      <x:alignment vertical="center" wrapText="1"/>
    </x:xf>
    <x:xf numFmtId="0" fontId="7" fillId="0" borderId="0" xfId="0" applyFont="1" applyAlignment="1">
      <x:alignment horizontal="right"/>
    </x:xf>
    <x:xf numFmtId="165" fontId="7" fillId="0" borderId="0" xfId="0" applyNumberFormat="1" applyFont="1" applyAlignment="1">
      <x:alignment horizontal="right"/>
    </x:xf>
    <x:xf numFmtId="0" fontId="7" fillId="0" borderId="0" xfId="0" applyFont="1" applyAlignment="1"/>
    <x:xf numFmtId="165" fontId="7" fillId="0" borderId="0" xfId="0" applyNumberFormat="1" applyFont="1" applyAlignment="1">
      <x:alignment horizontal="right" vertical="top"/>
    </x:xf>
    <x:xf numFmtId="0" fontId="7" fillId="0" borderId="0" xfId="0" applyFont="1" applyAlignment="1">
      <x:alignment vertical="top"/>
    </x:xf>
    <x:xf numFmtId="0" fontId="1" fillId="2" borderId="0" xfId="0" applyFont="1" applyFill="1" applyAlignment="1">
      <x:alignment horizontal="left" vertical="center" wrapText="1"/>
    </x:xf>
    <x:xf numFmtId="0" fontId="1" fillId="2" borderId="0" xfId="0" applyFont="1" applyFill="1" applyAlignment="1">
      <x:alignment horizontal="left" vertical="center"/>
    </x:xf>
    <x:xf numFmtId="164" fontId="1" fillId="2" borderId="0" xfId="0" applyNumberFormat="1" applyFont="1" applyFill="1" applyAlignment="1">
      <x:alignment horizontal="left" vertical="center" wrapText="1"/>
    </x:xf>
    <x:xf numFmtId="0" fontId="1" fillId="2" borderId="0" xfId="0" applyFont="1" applyFill="1" applyAlignment="1">
      <x:alignment horizontal="right" vertical="center" wrapText="1"/>
    </x:xf>
    <x:xf numFmtId="165" fontId="1" fillId="2" borderId="0" xfId="0" applyNumberFormat="1" applyFont="1" applyFill="1" applyAlignment="1">
      <x:alignment horizontal="left"/>
    </x:xf>
    <x:xf numFmtId="0" fontId="1" fillId="2" borderId="0" xfId="0" applyFont="1" applyFill="1" applyAlignment="1"/>
    <x:xf numFmtId="0" fontId="1" fillId="2" borderId="0" xfId="0" applyFont="1" applyFill="1" applyAlignment="1">
      <x:alignment vertical="center" wrapText="1"/>
    </x:xf>
    <x:xf numFmtId="164" fontId="1" fillId="0" borderId="0" xfId="0" applyNumberFormat="1" applyFont="1" applyAlignment="1">
      <x:alignment wrapText="1"/>
    </x:xf>
    <x:xf numFmtId="0" fontId="1" fillId="8" borderId="0" xfId="0" applyFont="1" applyFill="1" applyAlignment="1">
      <x:alignment horizontal="left" vertical="center" wrapText="1"/>
    </x:xf>
    <x:xf numFmtId="0" fontId="1" fillId="8" borderId="0" xfId="0" applyFont="1" applyFill="1" applyAlignment="1">
      <x:alignment vertical="center" wrapText="1"/>
    </x:xf>
    <x:xf numFmtId="0" fontId="1" fillId="8" borderId="0" xfId="0" applyFont="1" applyFill="1" applyAlignment="1">
      <x:alignment horizontal="left" vertical="center"/>
    </x:xf>
    <x:xf numFmtId="164" fontId="1" fillId="8" borderId="0" xfId="0" applyNumberFormat="1" applyFont="1" applyFill="1" applyAlignment="1">
      <x:alignment vertical="center" wrapText="1"/>
    </x:xf>
    <x:xf numFmtId="0" fontId="1" fillId="8" borderId="0" xfId="0" applyFont="1" applyFill="1" applyAlignment="1">
      <x:alignment horizontal="right" vertical="center" wrapText="1"/>
    </x:xf>
    <x:xf numFmtId="165" fontId="1" fillId="8" borderId="0" xfId="0" applyNumberFormat="1" applyFont="1" applyFill="1" applyAlignment="1">
      <x:alignment horizontal="left" vertical="center" wrapText="1"/>
    </x:xf>
    <x:xf numFmtId="0" fontId="1" fillId="8" borderId="0" xfId="0" applyFont="1" applyFill="1" applyAlignment="1">
      <x:alignment vertical="center"/>
    </x:xf>
    <x:xf numFmtId="0" fontId="1" fillId="3" borderId="0" xfId="0" applyFont="1" applyFill="1" applyAlignment="1">
      <x:alignment vertical="center"/>
    </x:xf>
    <x:xf numFmtId="165" fontId="1" fillId="7" borderId="0" xfId="0" applyNumberFormat="1" applyFont="1" applyFill="1" applyAlignment="1"/>
    <x:xf numFmtId="0" fontId="1" fillId="4" borderId="0" xfId="0" applyFont="1" applyFill="1" applyAlignment="1">
      <x:alignment horizontal="left"/>
    </x:xf>
    <x:xf numFmtId="164" fontId="1" fillId="3" borderId="0" xfId="0" applyNumberFormat="1" applyFont="1" applyFill="1" applyAlignment="1">
      <x:alignment vertical="center" wrapText="1"/>
    </x:xf>
    <x:xf numFmtId="0" fontId="7" fillId="0" borderId="0" xfId="0" applyFont="1" applyAlignment="1"/>
    <x:xf numFmtId="164" fontId="1" fillId="2" borderId="0" xfId="0" applyNumberFormat="1" applyFont="1" applyFill="1" applyAlignment="1">
      <x:alignment wrapText="1"/>
    </x:xf>
    <x:xf numFmtId="0" fontId="1" fillId="2" borderId="0" xfId="0" applyFont="1" applyFill="1" applyAlignment="1">
      <x:alignment wrapText="1"/>
    </x:xf>
    <x:xf numFmtId="0" fontId="1" fillId="6" borderId="0" xfId="0" applyFont="1" applyFill="1" applyAlignment="1">
      <x:alignment horizontal="right" vertical="center" wrapText="1"/>
    </x:xf>
    <x:xf numFmtId="0" fontId="1" fillId="6" borderId="0" xfId="0" applyFont="1" applyFill="1" applyAlignment="1">
      <x:alignment horizontal="right" vertical="center" wrapText="1"/>
    </x:xf>
    <x:xf numFmtId="165" fontId="1" fillId="5" borderId="0" xfId="0" applyNumberFormat="1" applyFont="1" applyFill="1" applyAlignment="1">
      <x:alignment horizontal="left"/>
    </x:xf>
    <x:xf numFmtId="164" fontId="1" fillId="5" borderId="0" xfId="0" applyNumberFormat="1" applyFont="1" applyFill="1" applyAlignment="1">
      <x:alignment wrapText="1"/>
    </x:xf>
    <x:xf numFmtId="0" fontId="1" fillId="5" borderId="0" xfId="0" applyFont="1" applyFill="1" applyAlignment="1">
      <x:alignment wrapText="1"/>
    </x:xf>
    <x:xf numFmtId="3" fontId="1" fillId="5" borderId="0" xfId="0" applyNumberFormat="1" applyFont="1" applyFill="1" applyAlignment="1"/>
    <x:xf numFmtId="0" fontId="1" fillId="2" borderId="0" xfId="0" applyFont="1" applyFill="1" applyAlignment="1">
      <x:alignment horizontal="right" vertical="center"/>
    </x:xf>
    <x:xf numFmtId="165" fontId="1" fillId="2" borderId="0" xfId="0" applyNumberFormat="1" applyFont="1" applyFill="1" applyAlignment="1">
      <x:alignment horizontal="left" vertical="center" wrapText="1"/>
    </x:xf>
    <x:xf numFmtId="165" fontId="1" fillId="6" borderId="0" xfId="0" applyNumberFormat="1" applyFont="1" applyFill="1" applyAlignment="1">
      <x:alignment horizontal="left" vertical="center"/>
    </x:xf>
    <x:xf numFmtId="164" fontId="1" fillId="5" borderId="0" xfId="0" applyNumberFormat="1" applyFont="1" applyFill="1" applyAlignment="1">
      <x:alignment horizontal="left" wrapText="1"/>
    </x:xf>
    <x:xf numFmtId="0" fontId="1" fillId="5" borderId="0" xfId="0" applyFont="1" applyFill="1" applyAlignment="1">
      <x:alignment horizontal="left" wrapText="1"/>
    </x:xf>
    <x:xf numFmtId="0" fontId="3" fillId="3" borderId="1" xfId="0" applyFont="1" applyFill="1" applyBorder="1" applyAlignment="1">
      <x:alignment horizontal="left"/>
    </x:xf>
    <x:xf numFmtId="0" fontId="1" fillId="6" borderId="0" xfId="0" applyFont="1" applyFill="1" applyAlignment="1">
      <x:alignment horizontal="left" vertical="center"/>
    </x:xf>
    <x:xf numFmtId="0" fontId="1" fillId="0" borderId="0" xfId="0" applyFont="1" applyAlignment="1">
      <x:alignment horizontal="left" vertical="center"/>
    </x:xf>
    <x:xf numFmtId="0" fontId="1" fillId="5" borderId="0" xfId="0" applyFont="1" applyFill="1" applyAlignment="1">
      <x:alignment horizontal="left" vertical="center"/>
    </x:xf>
    <x:xf numFmtId="164" fontId="1" fillId="6" borderId="0" xfId="0" applyNumberFormat="1" applyFont="1" applyFill="1" applyAlignment="1">
      <x:alignment horizontal="left" vertical="center"/>
    </x:xf>
    <x:xf numFmtId="0" fontId="1" fillId="6" borderId="0" xfId="0" applyFont="1" applyFill="1" applyAlignment="1">
      <x:alignment horizontal="right" vertical="center"/>
    </x:xf>
    <x:xf numFmtId="165" fontId="1" fillId="6" borderId="0" xfId="0" applyNumberFormat="1" applyFont="1" applyFill="1" applyAlignment="1">
      <x:alignment horizontal="left" vertical="center"/>
    </x:xf>
    <x:xf numFmtId="0" fontId="1" fillId="6" borderId="0" xfId="0" applyFont="1" applyFill="1" applyAlignment="1">
      <x:alignment vertical="center"/>
    </x:xf>
    <x:xf numFmtId="0" fontId="12" fillId="0" borderId="0" xfId="0" applyFont="1" applyAlignment="1">
      <x:alignment horizontal="right"/>
    </x:xf>
    <x:xf numFmtId="165" fontId="13" fillId="0" borderId="0" xfId="0" applyNumberFormat="1" applyFont="1" applyAlignment="1">
      <x:alignment horizontal="right"/>
    </x:xf>
    <x:xf numFmtId="164" fontId="4" fillId="0" borderId="0" xfId="0" applyNumberFormat="1" applyFont="1" applyAlignment="1"/>
    <x:xf numFmtId="0" fontId="4" fillId="0" borderId="0" xfId="0" applyFont="1" applyAlignment="1"/>
    <x:xf numFmtId="165" fontId="1" fillId="0" borderId="0" xfId="0" applyNumberFormat="1" applyFont="1" applyAlignment="1">
      <x:alignment horizontal="left" vertical="center" wrapText="1"/>
    </x:xf>
    <x:xf numFmtId="0" fontId="1" fillId="10" borderId="0" xfId="0" applyFont="1" applyFill="1" applyAlignment="1">
      <x:alignment horizontal="left" vertical="center" wrapText="1"/>
    </x:xf>
    <x:xf numFmtId="0" fontId="1" fillId="10" borderId="0" xfId="0" applyFont="1" applyFill="1" applyAlignment="1">
      <x:alignment horizontal="left" vertical="center"/>
    </x:xf>
    <x:xf numFmtId="164" fontId="1" fillId="10" borderId="0" xfId="0" applyNumberFormat="1" applyFont="1" applyFill="1" applyAlignment="1">
      <x:alignment horizontal="left" vertical="center" wrapText="1"/>
    </x:xf>
    <x:xf numFmtId="0" fontId="1" fillId="10" borderId="0" xfId="0" applyFont="1" applyFill="1" applyAlignment="1">
      <x:alignment horizontal="right"/>
    </x:xf>
    <x:xf numFmtId="165" fontId="1" fillId="10" borderId="0" xfId="0" applyNumberFormat="1" applyFont="1" applyFill="1" applyAlignment="1">
      <x:alignment horizontal="left" vertical="center" wrapText="1"/>
    </x:xf>
    <x:xf numFmtId="0" fontId="1" fillId="10" borderId="0" xfId="0" applyFont="1" applyFill="1" applyAlignment="1">
      <x:alignment vertical="center" wrapText="1"/>
    </x:xf>
    <x:xf numFmtId="0" fontId="1" fillId="3" borderId="0" xfId="0" applyFont="1" applyFill="1" applyAlignment="1"/>
    <x:xf numFmtId="165" fontId="1" fillId="3" borderId="0" xfId="0" applyNumberFormat="1" applyFont="1" applyFill="1" applyAlignment="1">
      <x:alignment horizontal="left"/>
    </x:xf>
    <x:xf numFmtId="0" fontId="1" fillId="3" borderId="0" xfId="0" applyFont="1" applyFill="1" applyAlignment="1"/>
    <x:xf numFmtId="0" fontId="1" fillId="3" borderId="0" xfId="0" applyFont="1" applyFill="1" applyAlignment="1"/>
    <x:xf numFmtId="164" fontId="1" fillId="3" borderId="0" xfId="0" applyNumberFormat="1" applyFont="1" applyFill="1" applyAlignment="1"/>
    <x:xf numFmtId="0" fontId="1" fillId="3" borderId="0" xfId="0" applyFont="1" applyFill="1" applyAlignment="1"/>
    <x:xf numFmtId="0" fontId="1" fillId="0" borderId="0" xfId="0" applyFont="1" applyAlignment="1"/>
    <x:xf numFmtId="165" fontId="1" fillId="0" borderId="0" xfId="0" applyNumberFormat="1" applyFont="1" applyAlignment="1">
      <x:alignment horizontal="left"/>
    </x:xf>
    <x:xf numFmtId="0" fontId="1" fillId="0" borderId="0" xfId="0" applyFont="1" applyAlignment="1"/>
    <x:xf numFmtId="0" fontId="1" fillId="6" borderId="0" xfId="0" applyFont="1" applyFill="1" applyAlignment="1">
      <x:alignment horizontal="left" wrapText="1"/>
    </x:xf>
    <x:xf numFmtId="0" fontId="1" fillId="9" borderId="0" xfId="0" applyFont="1" applyFill="1" applyAlignment="1">
      <x:alignment horizontal="left" vertical="center" wrapText="1"/>
    </x:xf>
    <x:xf numFmtId="0" fontId="1" fillId="6" borderId="0" xfId="0" applyFont="1" applyFill="1" applyAlignment="1">
      <x:alignment horizontal="right" vertical="center" wrapText="1"/>
    </x:xf>
    <x:xf numFmtId="0" fontId="1" fillId="3" borderId="0" xfId="0" applyFont="1" applyFill="1" applyAlignment="1">
      <x:alignment horizontal="left" vertical="center"/>
    </x:xf>
    <x:xf numFmtId="0" fontId="1" fillId="3" borderId="0" xfId="0" applyFont="1" applyFill="1" applyAlignment="1">
      <x:alignment vertical="center"/>
    </x:xf>
    <x:xf numFmtId="164" fontId="1" fillId="3" borderId="0" xfId="0" applyNumberFormat="1" applyFont="1" applyFill="1" applyAlignment="1">
      <x:alignment vertical="center"/>
    </x:xf>
    <x:xf numFmtId="0" fontId="1" fillId="3" borderId="0" xfId="0" applyFont="1" applyFill="1" applyAlignment="1">
      <x:alignment horizontal="right" vertical="center"/>
    </x:xf>
    <x:xf numFmtId="165" fontId="1" fillId="3" borderId="0" xfId="0" applyNumberFormat="1" applyFont="1" applyFill="1" applyAlignment="1">
      <x:alignment horizontal="left" vertical="center"/>
    </x:xf>
    <x:xf numFmtId="0" fontId="1" fillId="3" borderId="0" xfId="0" applyFont="1" applyFill="1" applyAlignment="1">
      <x:alignment vertical="center"/>
    </x:xf>
    <x:xf numFmtId="4" fontId="1" fillId="3" borderId="0" xfId="0" applyNumberFormat="1" applyFont="1" applyFill="1" applyAlignment="1">
      <x:alignment vertical="center" wrapText="1"/>
    </x:xf>
    <x:xf numFmtId="0" fontId="1" fillId="3" borderId="0" xfId="0" applyFont="1" applyFill="1" applyAlignment="1">
      <x:alignment horizontal="left"/>
    </x:xf>
    <x:xf numFmtId="0" fontId="17" fillId="3" borderId="0" xfId="0" applyFont="1" applyFill="1" applyAlignment="1"/>
    <x:xf numFmtId="0" fontId="1" fillId="3" borderId="0" xfId="0" applyFont="1" applyFill="1" applyAlignment="1">
      <x:alignment horizontal="left" vertical="center"/>
    </x:xf>
    <x:xf numFmtId="165" fontId="1" fillId="5" borderId="0" xfId="0" applyNumberFormat="1" applyFont="1" applyFill="1" applyAlignment="1">
      <x:alignment vertical="center"/>
    </x:xf>
    <x:xf numFmtId="4" fontId="1" fillId="0" borderId="0" xfId="0" applyNumberFormat="1" applyFont="1" applyAlignment="1">
      <x:alignment vertical="center"/>
    </x:xf>
    <x:xf numFmtId="0" fontId="1" fillId="3" borderId="0" xfId="0" applyFont="1" applyFill="1" applyAlignment="1">
      <x:alignment horizontal="right" vertical="center"/>
    </x:xf>
    <x:xf numFmtId="0" fontId="1" fillId="2" borderId="0" xfId="0" applyFont="1" applyFill="1" applyAlignment="1"/>
    <x:xf numFmtId="0" fontId="1" fillId="2" borderId="0" xfId="0" applyFont="1" applyFill="1" applyAlignment="1">
      <x:alignment horizontal="right"/>
    </x:xf>
    <x:xf numFmtId="165" fontId="1" fillId="2" borderId="0" xfId="0" applyNumberFormat="1" applyFont="1" applyFill="1" applyAlignment="1"/>
    <x:xf numFmtId="0" fontId="1" fillId="2" borderId="0" xfId="0" applyFont="1" applyFill="1" applyAlignment="1">
      <x:alignment wrapText="1"/>
    </x:xf>
    <x:xf numFmtId="0" fontId="1" fillId="2" borderId="0" xfId="0" applyFont="1" applyFill="1" applyAlignment="1"/>
    <x:xf numFmtId="0" fontId="1" fillId="2" borderId="0" xfId="0" applyFont="1" applyFill="1" applyAlignment="1">
      <x:alignment horizontal="right"/>
    </x:xf>
    <x:xf numFmtId="0" fontId="14" fillId="11" borderId="0" xfId="0" applyFont="1" applyFill="1" applyAlignment="1">
      <x:alignment horizontal="center" vertical="center" wrapText="1"/>
    </x:xf>
    <x:xf numFmtId="0" fontId="14" fillId="11" borderId="0" xfId="0" applyFont="1" applyFill="1" applyAlignment="1">
      <x:alignment vertical="center" wrapText="1"/>
    </x:xf>
    <x:xf numFmtId="0" fontId="18" fillId="11" borderId="6" xfId="0" applyFont="1" applyFill="1" applyBorder="1" applyAlignment="1">
      <x:alignment wrapText="1"/>
    </x:xf>
    <x:xf numFmtId="0" fontId="10" fillId="0" borderId="1" xfId="0" applyFont="1" applyBorder="1" applyAlignment="1">
      <x:alignment horizontal="left"/>
    </x:xf>
    <x:xf numFmtId="0" fontId="0" fillId="0" borderId="1" xfId="0" applyFont="1" applyBorder="1" applyAlignment="1">
      <x:alignment horizontal="left"/>
    </x:xf>
    <x:xf numFmtId="0" fontId="10" fillId="0" borderId="1" xfId="0" applyFont="1" applyBorder="1" applyAlignment="1">
      <x:alignment horizontal="left" wrapText="1"/>
    </x:xf>
    <x:xf numFmtId="0" fontId="10" fillId="3" borderId="1" xfId="0" applyFont="1" applyFill="1" applyBorder="1" applyAlignment="1">
      <x:alignment horizontal="left"/>
    </x:xf>
    <x:xf numFmtId="0" fontId="19" fillId="3" borderId="4" xfId="0" applyFont="1" applyFill="1" applyBorder="1" applyAlignment="1">
      <x:alignment horizontal="left"/>
    </x:xf>
    <x:xf numFmtId="0" fontId="10" fillId="0" borderId="1" xfId="0" applyFont="1" applyBorder="1" applyAlignment="1">
      <x:alignment horizontal="left"/>
    </x:xf>
    <x:xf numFmtId="0" fontId="10" fillId="0" borderId="2" xfId="0" applyFont="1" applyBorder="1" applyAlignment="1">
      <x:alignment horizontal="left" wrapText="1"/>
    </x:xf>
    <x:xf numFmtId="0" fontId="0" fillId="0" borderId="1" xfId="0" applyFont="1" applyBorder="1" applyAlignment="1">
      <x:alignment horizontal="left"/>
    </x:xf>
    <x:xf numFmtId="0" fontId="10" fillId="0" borderId="1" xfId="0" applyFont="1" applyBorder="1" applyAlignment="1">
      <x:alignment horizontal="left"/>
    </x:xf>
    <x:xf numFmtId="4" fontId="10" fillId="0" borderId="1" xfId="0" applyNumberFormat="1" applyFont="1" applyBorder="1" applyAlignment="1">
      <x:alignment horizontal="left"/>
    </x:xf>
    <x:xf numFmtId="0" fontId="10" fillId="0" borderId="1" xfId="0" applyFont="1" applyBorder="1" applyAlignment="1">
      <x:alignment horizontal="left"/>
    </x:xf>
    <x:xf numFmtId="0" fontId="20" fillId="3" borderId="1" xfId="0" applyFont="1" applyFill="1" applyBorder="1" applyAlignment="1">
      <x:alignment horizontal="left"/>
    </x:xf>
    <x:xf numFmtId="164" fontId="1" fillId="3" borderId="0" xfId="0" applyNumberFormat="1" applyFont="1" applyFill="1" applyAlignment="1"/>
    <x:xf numFmtId="0" fontId="21" fillId="3" borderId="1" xfId="0" applyFont="1" applyFill="1" applyBorder="1" applyAlignment="1">
      <x:alignment horizontal="left"/>
    </x:xf>
    <x:xf numFmtId="0" fontId="10" fillId="0" borderId="4" xfId="0" applyFont="1" applyBorder="1" applyAlignment="1">
      <x:alignment horizontal="left"/>
    </x:xf>
    <x:xf numFmtId="4" fontId="10" fillId="0" borderId="1" xfId="0" applyNumberFormat="1" applyFont="1" applyBorder="1" applyAlignment="1">
      <x:alignment horizontal="left"/>
    </x:xf>
    <x:xf numFmtId="0" fontId="5" fillId="3" borderId="3" xfId="0" applyFont="1" applyFill="1" applyBorder="1" applyAlignment="1">
      <x:alignment wrapText="1"/>
    </x:xf>
    <x:xf numFmtId="0" fontId="10" fillId="0" borderId="1" xfId="0" applyFont="1" applyBorder="1" applyAlignment="1">
      <x:alignment horizontal="left" wrapText="1"/>
    </x:xf>
    <x:xf numFmtId="0" fontId="0" fillId="0" borderId="0" xfId="0" applyFont="1" applyAlignment="1">
      <x:alignment horizontal="left"/>
    </x:xf>
    <x:xf numFmtId="0" fontId="1" fillId="5" borderId="0" xfId="0" applyFont="1" applyFill="1" applyAlignment="1">
      <x:alignment horizontal="right" vertical="center" wrapText="1"/>
    </x:xf>
    <x:xf numFmtId="165" fontId="7" fillId="0" borderId="0" xfId="0" applyNumberFormat="1" applyFont="1" applyAlignment="1">
      <x:alignment horizontal="right"/>
    </x:xf>
    <x:xf numFmtId="0" fontId="7" fillId="0" borderId="0" xfId="0" applyFont="1" applyAlignment="1">
      <x:alignment vertical="top"/>
    </x:xf>
    <x:xf numFmtId="0" fontId="10" fillId="3" borderId="1" xfId="0" applyFont="1" applyFill="1" applyBorder="1" applyAlignment="1">
      <x:alignment horizontal="left"/>
    </x:xf>
    <x:xf numFmtId="0" fontId="22" fillId="0" borderId="0" xfId="0" applyFont="1" applyAlignment="1"/>
    <x:xf numFmtId="4" fontId="0" fillId="0" borderId="1" xfId="0" applyNumberFormat="1" applyFont="1" applyBorder="1" applyAlignment="1">
      <x:alignment horizontal="left"/>
    </x:xf>
    <x:xf numFmtId="0" fontId="23" fillId="3" borderId="3" xfId="0" applyFont="1" applyFill="1" applyBorder="1" applyAlignment="1">
      <x:alignment horizontal="left"/>
    </x:xf>
    <x:xf numFmtId="0" fontId="16" fillId="0" borderId="1" xfId="0" applyFont="1" applyBorder="1" applyAlignment="1">
      <x:alignment horizontal="center"/>
    </x:xf>
    <x:xf numFmtId="4" fontId="0" fillId="0" borderId="1" xfId="0" applyNumberFormat="1" applyFont="1" applyBorder="1" applyAlignment="1">
      <x:alignment horizontal="left"/>
    </x:xf>
    <x:xf numFmtId="0" fontId="5" fillId="3" borderId="1" xfId="0" applyFont="1" applyFill="1" applyBorder="1" applyAlignment="1">
      <x:alignment wrapText="1"/>
    </x:xf>
    <x:xf numFmtId="0" fontId="5" fillId="0" borderId="0" xfId="0" applyFont="1" applyAlignment="1">
      <x:alignment wrapText="1"/>
    </x:xf>
    <x:xf numFmtId="0" fontId="10" fillId="0" borderId="2" xfId="0" applyFont="1" applyBorder="1" applyAlignment="1">
      <x:alignment horizontal="left" wrapText="1"/>
    </x:xf>
    <x:xf numFmtId="0" fontId="16" fillId="3" borderId="3" xfId="0" applyFont="1" applyFill="1" applyBorder="1" applyAlignment="1">
      <x:alignment wrapText="1"/>
    </x:xf>
    <x:xf numFmtId="0" fontId="0" fillId="0" borderId="1" xfId="0" applyFont="1" applyBorder="1" applyAlignment="1">
      <x:alignment horizontal="left" wrapText="1"/>
    </x:xf>
    <x:xf numFmtId="0" fontId="1" fillId="0" borderId="1" xfId="0" applyFont="1" applyBorder="1" applyAlignment="1">
      <x:alignment horizontal="left" wrapText="1"/>
    </x:xf>
    <x:xf numFmtId="0" fontId="1" fillId="0" borderId="2" xfId="0" applyFont="1" applyBorder="1" applyAlignment="1">
      <x:alignment horizontal="left" wrapText="1"/>
    </x:xf>
    <x:xf numFmtId="0" fontId="10" fillId="0" borderId="4" xfId="0" applyFont="1" applyBorder="1" applyAlignment="1">
      <x:alignment horizontal="left" wrapText="1"/>
    </x:xf>
    <x:xf numFmtId="0" fontId="0" fillId="0" borderId="2" xfId="0" applyFont="1" applyBorder="1" applyAlignment="1">
      <x:alignment horizontal="left" wrapText="1"/>
    </x:xf>
    <x:xf numFmtId="0" fontId="0" fillId="0" borderId="4" xfId="0" applyFont="1" applyBorder="1" applyAlignment="1">
      <x:alignment horizontal="center" wrapText="1"/>
    </x:xf>
    <x:xf numFmtId="0" fontId="0" fillId="0" borderId="2" xfId="0" applyFont="1" applyBorder="1" applyAlignment="1">
      <x:alignment horizontal="center" wrapText="1"/>
    </x:xf>
    <x:xf numFmtId="0" fontId="24" fillId="3" borderId="3" xfId="0" applyFont="1" applyFill="1" applyBorder="1" applyAlignment="1">
      <x:alignment wrapText="1"/>
    </x:xf>
    <x:xf numFmtId="0" fontId="11" fillId="3" borderId="1" xfId="0" applyFont="1" applyFill="1" applyBorder="1" applyAlignment="1">
      <x:alignment horizontal="left"/>
    </x:xf>
    <x:xf numFmtId="0" fontId="10" fillId="0" borderId="2" xfId="0" applyFont="1" applyBorder="1" applyAlignment="1">
      <x:alignment horizontal="left" wrapText="1"/>
    </x:xf>
    <x:xf numFmtId="0" fontId="10" fillId="3" borderId="0" xfId="0" applyFont="1" applyFill="1" applyAlignment="1">
      <x:alignment horizontal="left"/>
    </x:xf>
    <x:xf numFmtId="0" fontId="10" fillId="3" borderId="0" xfId="0" applyFont="1" applyFill="1" applyAlignment="1">
      <x:alignment horizontal="left"/>
    </x:xf>
    <x:xf numFmtId="0" fontId="10" fillId="3" borderId="3" xfId="0" applyFont="1" applyFill="1" applyBorder="1" applyAlignment="1">
      <x:alignment horizontal="left"/>
    </x:xf>
    <x:xf numFmtId="0" fontId="10" fillId="0" borderId="3" xfId="0" applyFont="1" applyBorder="1" applyAlignment="1">
      <x:alignment horizontal="left"/>
    </x:xf>
    <x:xf numFmtId="0" fontId="10" fillId="0" borderId="5" xfId="0" applyFont="1" applyBorder="1" applyAlignment="1">
      <x:alignment horizontal="left" wrapText="1"/>
    </x:xf>
    <x:xf numFmtId="0" fontId="5" fillId="3" borderId="3" xfId="0" applyFont="1" applyFill="1" applyBorder="1" applyAlignment="1">
      <x:alignment wrapText="1"/>
    </x:xf>
    <x:xf numFmtId="0" fontId="10" fillId="0" borderId="3" xfId="0" applyFont="1" applyBorder="1" applyAlignment="1">
      <x:alignment horizontal="left"/>
    </x:xf>
    <x:xf numFmtId="0" fontId="10" fillId="0" borderId="5" xfId="0" applyFont="1" applyBorder="1" applyAlignment="1">
      <x:alignment horizontal="left" wrapText="1"/>
    </x:xf>
    <x:xf numFmtId="0" fontId="10" fillId="0" borderId="5" xfId="0" applyFont="1" applyBorder="1" applyAlignment="1">
      <x:alignment horizontal="left" wrapText="1"/>
    </x:xf>
    <x:xf numFmtId="4" fontId="10" fillId="0" borderId="0" xfId="0" applyNumberFormat="1" applyFont="1" applyAlignment="1">
      <x:alignment horizontal="left"/>
    </x:xf>
    <x:xf numFmtId="0" fontId="6" fillId="0" borderId="0" xfId="0" applyFont="1" applyAlignment="1">
      <x:alignment vertical="center"/>
    </x:xf>
    <x:xf numFmtId="0" fontId="25" fillId="3" borderId="0" xfId="0" applyFont="1" applyFill="1" applyAlignment="1">
      <x:alignment horizontal="left"/>
    </x:xf>
    <x:xf numFmtId="0" fontId="10" fillId="0" borderId="0" xfId="0" applyFont="1" applyAlignment="1">
      <x:alignment horizontal="left"/>
    </x:xf>
    <x:xf numFmtId="0" fontId="0" fillId="0" borderId="5" xfId="0" applyFont="1" applyBorder="1" applyAlignment="1">
      <x:alignment horizontal="left" wrapText="1"/>
    </x:xf>
    <x:xf numFmtId="165" fontId="1" fillId="3" borderId="0" xfId="0" applyNumberFormat="1" applyFont="1" applyFill="1" applyAlignment="1"/>
    <x:xf numFmtId="0" fontId="1" fillId="3" borderId="0" xfId="0" applyFont="1" applyFill="1" applyAlignment="1"/>
    <x:xf numFmtId="0" fontId="1" fillId="3" borderId="0" xfId="0" applyFont="1" applyFill="1" applyAlignment="1">
      <x:alignment wrapText="1"/>
    </x:xf>
    <x:xf numFmtId="0" fontId="26" fillId="0" borderId="1" xfId="0" applyFont="1" applyBorder="1" applyAlignment="1">
      <x:alignment horizontal="left"/>
    </x:xf>
    <x:xf numFmtId="0" fontId="16" fillId="3" borderId="1" xfId="0" applyFont="1" applyFill="1" applyBorder="1" applyAlignment="1">
      <x:alignment horizontal="left"/>
    </x:xf>
    <x:xf numFmtId="0" fontId="16" fillId="0" borderId="0" xfId="0" applyFont="1" applyAlignment="1"/>
    <x:xf numFmtId="4" fontId="10" fillId="0" borderId="0" xfId="0" applyNumberFormat="1" applyFont="1" applyAlignment="1">
      <x:alignment horizontal="left"/>
    </x:xf>
    <x:xf numFmtId="165" fontId="1" fillId="3" borderId="0" xfId="0" applyNumberFormat="1" applyFont="1" applyFill="1" applyAlignment="1">
      <x:alignment horizontal="left" vertical="center"/>
    </x:xf>
    <x:xf numFmtId="0" fontId="10" fillId="0" borderId="4" xfId="0" applyFont="1" applyBorder="1" applyAlignment="1">
      <x:alignment horizontal="left"/>
    </x:xf>
    <x:xf numFmtId="165" fontId="1" fillId="5" borderId="0" xfId="0" applyNumberFormat="1" applyFont="1" applyFill="1" applyAlignment="1">
      <x:alignment horizontal="left" vertical="center"/>
    </x:xf>
    <x:xf numFmtId="165" fontId="10" fillId="0" borderId="1" xfId="0" applyNumberFormat="1" applyFont="1" applyBorder="1" applyAlignment="1">
      <x:alignment horizontal="left" wrapText="1"/>
    </x:xf>
    <x:xf numFmtId="49" fontId="10" fillId="0" borderId="1" xfId="0" applyNumberFormat="1" applyFont="1" applyBorder="1" applyAlignment="1">
      <x:alignment horizontal="left"/>
    </x:xf>
    <x:xf numFmtId="0" fontId="27" fillId="0" borderId="0" xfId="0" applyFont="1" applyAlignment="1"/>
    <x:xf numFmtId="165" fontId="1" fillId="3" borderId="0" xfId="0" applyNumberFormat="1" applyFont="1" applyFill="1" applyAlignment="1">
      <x:alignment vertical="center"/>
    </x:xf>
    <x:xf numFmtId="0" fontId="5" fillId="0" borderId="3" xfId="0" applyFont="1" applyBorder="1" applyAlignment="1"/>
    <x:xf numFmtId="0" fontId="0" fillId="0" borderId="1" xfId="0" applyFont="1" applyBorder="1" applyAlignment="1">
      <x:alignment horizontal="left" wrapText="1"/>
    </x:xf>
    <x:xf numFmtId="0" fontId="6" fillId="0" borderId="1" xfId="0" applyFont="1" applyBorder="1" applyAlignment="1"/>
    <x:xf numFmtId="0" fontId="0" fillId="3" borderId="1" xfId="0" applyFont="1" applyFill="1" applyBorder="1" applyAlignment="1">
      <x:alignment horizontal="left"/>
    </x:xf>
    <x:xf numFmtId="0" fontId="28" fillId="3" borderId="4" xfId="0" applyFont="1" applyFill="1" applyBorder="1" applyAlignment="1">
      <x:alignment horizontal="left"/>
    </x:xf>
    <x:xf numFmtId="0" fontId="11" fillId="3" borderId="3" xfId="0" applyFont="1" applyFill="1" applyBorder="1" applyAlignment="1">
      <x:alignment horizontal="left"/>
    </x:xf>
    <x:xf numFmtId="0" fontId="10" fillId="3" borderId="4" xfId="0" applyFont="1" applyFill="1" applyBorder="1" applyAlignment="1">
      <x:alignment horizontal="left"/>
    </x:xf>
    <x:xf numFmtId="4" fontId="10" fillId="3" borderId="1" xfId="0" applyNumberFormat="1" applyFont="1" applyFill="1" applyBorder="1" applyAlignment="1">
      <x:alignment horizontal="left"/>
    </x:xf>
    <x:xf numFmtId="0" fontId="1" fillId="6" borderId="0" xfId="0" applyFont="1" applyFill="1" applyAlignment="1">
      <x:alignment vertical="center" wrapText="1"/>
    </x:xf>
    <x:xf numFmtId="4" fontId="10" fillId="6" borderId="1" xfId="0" applyNumberFormat="1" applyFont="1" applyFill="1" applyBorder="1" applyAlignment="1">
      <x:alignment horizontal="left"/>
    </x:xf>
    <x:xf numFmtId="0" fontId="1" fillId="5" borderId="0" xfId="0" applyFont="1" applyFill="1" applyAlignment="1">
      <x:alignment horizontal="center" wrapText="1"/>
    </x:xf>
    <x:xf numFmtId="0" fontId="5" fillId="3" borderId="1" xfId="0" applyFont="1" applyFill="1" applyBorder="1" applyAlignment="1">
      <x:alignment wrapText="1"/>
    </x:xf>
    <x:xf numFmtId="0" fontId="0" fillId="5" borderId="1" xfId="0" applyFont="1" applyFill="1" applyBorder="1" applyAlignment="1">
      <x:alignment horizontal="left"/>
    </x:xf>
    <x:xf numFmtId="0" fontId="10" fillId="5" borderId="2" xfId="0" applyFont="1" applyFill="1" applyBorder="1" applyAlignment="1">
      <x:alignment horizontal="left" wrapText="1"/>
    </x:xf>
    <x:xf numFmtId="0" fontId="29" fillId="3" borderId="1" xfId="0" applyFont="1" applyFill="1" applyBorder="1" applyAlignment="1">
      <x:alignment horizontal="left" wrapText="1"/>
    </x:xf>
    <x:xf numFmtId="0" fontId="11" fillId="3" borderId="1" xfId="0" applyFont="1" applyFill="1" applyBorder="1" applyAlignment="1"/>
    <x:xf numFmtId="0" fontId="4" fillId="0" borderId="0" xfId="0" applyFont="1" applyAlignment="1"/>
    <x:xf numFmtId="0" fontId="4" fillId="0" borderId="0" xfId="0" applyFont="1" applyAlignment="1"/>
    <x:xf numFmtId="164" fontId="4" fillId="0" borderId="0" xfId="0" applyNumberFormat="1" applyFont="1" applyAlignment="1"/>
    <x:xf numFmtId="0" fontId="4" fillId="0" borderId="0" xfId="0" applyFont="1" applyAlignment="1">
      <x:alignment horizontal="right"/>
    </x:xf>
    <x:xf numFmtId="0" fontId="30" fillId="3" borderId="3" xfId="0" applyFont="1" applyFill="1" applyBorder="1" applyAlignment="1">
      <x:alignment wrapText="1"/>
    </x:xf>
    <x:xf numFmtId="0" fontId="4" fillId="0" borderId="0" xfId="0" applyFont="1" applyAlignment="1">
      <x:alignment horizontal="left" vertical="center"/>
    </x:xf>
    <x:xf numFmtId="165" fontId="4" fillId="0" borderId="0" xfId="0" applyNumberFormat="1" applyFont="1" applyAlignment="1"/>
    <x:xf numFmtId="0" fontId="6" fillId="0" borderId="0" xfId="0" applyFont="1" applyAlignment="1"/>
    <x:xf numFmtId="0" fontId="6" fillId="0" borderId="0" xfId="0" applyFont="1" applyAlignment="1">
      <x:alignment vertical="center"/>
    </x:xf>
    <x:xf numFmtId="0" fontId="31" fillId="0" borderId="1" xfId="0" applyFont="1" applyBorder="1" applyAlignment="1">
      <x:alignment horizontal="left"/>
    </x:xf>
    <x:xf numFmtId="0" fontId="11" fillId="3" borderId="1" xfId="0" applyFont="1" applyFill="1" applyBorder="1" applyAlignment="1">
      <x:alignment horizontal="left" wrapText="1"/>
    </x:xf>
    <x:xf numFmtId="0" fontId="11" fillId="3" borderId="3" xfId="0" applyFont="1" applyFill="1" applyBorder="1" applyAlignment="1"/>
    <x:xf numFmtId="0" fontId="26" fillId="0" borderId="1" xfId="0" applyFont="1" applyBorder="1" applyAlignment="1">
      <x:alignment horizontal="left"/>
    </x:xf>
    <x:xf numFmtId="0" fontId="29" fillId="3" borderId="1" xfId="0" applyFont="1" applyFill="1" applyBorder="1" applyAlignment="1">
      <x:alignment horizontal="left"/>
    </x:xf>
    <x:xf numFmtId="0" fontId="2" fillId="0" borderId="0" xfId="0" applyFont="1" applyAlignment="1">
      <x:alignment horizontal="center"/>
    </x:xf>
    <x:xf numFmtId="0" fontId="2" fillId="0" borderId="0" xfId="0" applyFont="1" applyAlignment="1">
      <x:alignment wrapText="1"/>
    </x:xf>
    <x:xf numFmtId="0" fontId="2" fillId="0" borderId="0" xfId="0" applyFont="1" applyAlignment="1">
      <x:alignment horizontal="center" wrapText="1"/>
    </x:xf>
    <x:xf numFmtId="0" fontId="5" fillId="0" borderId="0" xfId="0" applyFont="1" applyAlignment="1"/>
    <x:xf numFmtId="0" fontId="15" fillId="0" borderId="2" xfId="0" applyFont="1" applyBorder="1"/>
    <x:xf numFmtId="0" fontId="0" fillId="0" borderId="4" xfId="0" applyFont="1" applyBorder="1" applyAlignment="1">
      <x:alignment horizontal="left" wrapText="1"/>
    </x:xf>
    <x:xf numFmtId="0" fontId="0" fillId="0" borderId="4" xfId="0" applyFont="1" applyBorder="1" applyAlignment="1">
      <x:alignment horizontal="center" wrapText="1"/>
    </x:xf>
    <x:xf numFmtId="0" fontId="0" fillId="0" borderId="7" xfId="0" applyNumberFormat="1" applyFont="1" applyFill="1" applyBorder="1"/>
    <x:xf numFmtId="0" fontId="0" fillId="2" borderId="7" xfId="0" applyNumberFormat="1" applyFont="1" applyFill="1" applyBorder="1" applyAlignment="1">
      <x:alignment horizontal="center" vertical="center"/>
    </x:xf>
    <x:xf numFmtId="0" fontId="2" fillId="0" borderId="7" xfId="0" applyNumberFormat="1" applyFont="1" applyFill="1" applyBorder="1"/>
    <x:xf numFmtId="0" fontId="3" fillId="0" borderId="7" xfId="0" applyNumberFormat="1" applyFont="1" applyFill="1" applyBorder="1" applyAlignment="1">
      <x:alignment horizontal="left" vertical="center"/>
    </x:xf>
    <x:xf numFmtId="0" fontId="0" fillId="2" borderId="7" xfId="0" applyNumberFormat="1" applyFont="1" applyFill="1" applyBorder="1" applyAlignment="1">
      <x:alignment vertical="center"/>
    </x:xf>
    <x:xf numFmtId="164" fontId="0" fillId="2" borderId="7" xfId="0" applyNumberFormat="1" applyFont="1" applyFill="1" applyBorder="1" applyAlignment="1">
      <x:alignment vertical="center"/>
    </x:xf>
    <x:xf numFmtId="0" fontId="0" fillId="2" borderId="7" xfId="0" applyNumberFormat="1" applyFont="1" applyFill="1" applyBorder="1" applyAlignment="1">
      <x:alignment horizontal="right" vertical="center"/>
    </x:xf>
    <x:xf numFmtId="165" fontId="0" fillId="2" borderId="7" xfId="0" applyNumberFormat="1" applyFont="1" applyFill="1" applyBorder="1" applyAlignment="1">
      <x:alignment horizontal="left" vertical="center"/>
    </x:xf>
    <x:xf numFmtId="0" fontId="3" fillId="0" borderId="7" xfId="0" applyNumberFormat="1" applyFont="1" applyFill="1" applyBorder="1" applyAlignment="1">
      <x:alignment horizontal="left" vertical="center" wrapText="1"/>
    </x:xf>
    <x:xf numFmtId="0" fontId="2" fillId="0" borderId="7" xfId="0" applyNumberFormat="1" applyFont="1" applyFill="1" applyBorder="1" applyAlignment="1">
      <x:alignment wrapText="1"/>
    </x:xf>
    <x:xf numFmtId="0" fontId="0" fillId="0" borderId="7" xfId="0" applyNumberFormat="1" applyFont="1" applyFill="1" applyBorder="1" applyAlignment="1">
      <x:alignment horizontal="left" vertical="center" wrapText="1"/>
    </x:xf>
    <x:xf numFmtId="164" fontId="2" fillId="0" borderId="7" xfId="0" applyNumberFormat="1" applyFont="1" applyFill="1" applyBorder="1" applyAlignment="1">
      <x:alignment wrapText="1"/>
    </x:xf>
    <x:xf numFmtId="0" fontId="2" fillId="0" borderId="7" xfId="0" applyNumberFormat="1" applyFont="1" applyFill="1" applyBorder="1" applyAlignment="1">
      <x:alignment horizontal="right"/>
    </x:xf>
    <x:xf numFmtId="0" fontId="2" fillId="0" borderId="7" xfId="0" applyNumberFormat="1" applyFont="1" applyFill="1" applyBorder="1" applyAlignment="1">
      <x:alignment horizontal="left" vertical="center" wrapText="1"/>
    </x:xf>
    <x:xf numFmtId="165" fontId="2" fillId="0" borderId="7" xfId="0" applyNumberFormat="1" applyFont="1" applyFill="1" applyBorder="1"/>
    <x:xf numFmtId="0" fontId="6" fillId="0" borderId="7" xfId="0" applyNumberFormat="1" applyFont="1" applyFill="1" applyBorder="1"/>
    <x:xf numFmtId="0" fontId="6" fillId="0" borderId="7" xfId="0" applyNumberFormat="1" applyFont="1" applyFill="1" applyBorder="1" applyAlignment="1">
      <x:alignment vertical="center" wrapText="1"/>
    </x:xf>
    <x:xf numFmtId="165" fontId="2" fillId="0" borderId="7" xfId="0" applyNumberFormat="1" applyFont="1" applyFill="1" applyBorder="1" applyAlignment="1">
      <x:alignment horizontal="left"/>
    </x:xf>
    <x:xf numFmtId="0" fontId="0" fillId="5" borderId="7" xfId="0" applyNumberFormat="1" applyFont="1" applyFill="1" applyBorder="1" applyAlignment="1">
      <x:alignment horizontal="left" vertical="center" wrapText="1"/>
    </x:xf>
    <x:xf numFmtId="0" fontId="0" fillId="5" borderId="7" xfId="0" applyNumberFormat="1" applyFont="1" applyFill="1" applyBorder="1" applyAlignment="1">
      <x:alignment horizontal="left" vertical="center"/>
    </x:xf>
    <x:xf numFmtId="164" fontId="0" fillId="5" borderId="7" xfId="0" applyNumberFormat="1" applyFont="1" applyFill="1" applyBorder="1" applyAlignment="1">
      <x:alignment horizontal="left" vertical="center" wrapText="1"/>
    </x:xf>
    <x:xf numFmtId="0" fontId="0" fillId="5" borderId="7" xfId="0" applyNumberFormat="1" applyFont="1" applyFill="1" applyBorder="1" applyAlignment="1">
      <x:alignment horizontal="right" vertical="center" wrapText="1"/>
    </x:xf>
    <x:xf numFmtId="165" fontId="0" fillId="5" borderId="7" xfId="0" applyNumberFormat="1" applyFont="1" applyFill="1" applyBorder="1" applyAlignment="1">
      <x:alignment horizontal="left" vertical="center" wrapText="1"/>
    </x:xf>
    <x:xf numFmtId="165" fontId="0" fillId="5" borderId="7" xfId="0" applyNumberFormat="1" applyFont="1" applyFill="1" applyBorder="1" applyAlignment="1">
      <x:alignment horizontal="left"/>
    </x:xf>
    <x:xf numFmtId="0" fontId="0" fillId="5" borderId="7" xfId="0" applyNumberFormat="1" applyFont="1" applyFill="1" applyBorder="1"/>
    <x:xf numFmtId="0" fontId="0" fillId="5" borderId="7" xfId="0" applyNumberFormat="1" applyFont="1" applyFill="1" applyBorder="1" applyAlignment="1">
      <x:alignment vertical="center" wrapText="1"/>
    </x:xf>
    <x:xf numFmtId="164" fontId="0" fillId="5" borderId="7" xfId="0" applyNumberFormat="1" applyFont="1" applyFill="1" applyBorder="1" applyAlignment="1">
      <x:alignment vertical="center" wrapText="1"/>
    </x:xf>
    <x:xf numFmtId="4" fontId="0" fillId="5" borderId="7" xfId="0" applyNumberFormat="1" applyFont="1" applyFill="1" applyBorder="1" applyAlignment="1">
      <x:alignment vertical="center" wrapText="1"/>
    </x:xf>
    <x:xf numFmtId="0" fontId="0" fillId="5" borderId="7" xfId="0" applyNumberFormat="1" applyFont="1" applyFill="1" applyBorder="1" applyAlignment="1">
      <x:alignment vertical="center"/>
    </x:xf>
    <x:xf numFmtId="0" fontId="0" fillId="5" borderId="7" xfId="0" applyNumberFormat="1" applyFont="1" applyFill="1" applyBorder="1" applyAlignment="1">
      <x:alignment horizontal="right" vertical="center"/>
    </x:xf>
    <x:xf numFmtId="0" fontId="0" fillId="3" borderId="7" xfId="0" applyNumberFormat="1" applyFont="1" applyFill="1" applyBorder="1" applyAlignment="1">
      <x:alignment horizontal="left" vertical="center" wrapText="1"/>
    </x:xf>
    <x:xf numFmtId="0" fontId="0" fillId="3" borderId="7" xfId="0" applyNumberFormat="1" applyFont="1" applyFill="1" applyBorder="1" applyAlignment="1">
      <x:alignment horizontal="left" vertical="center"/>
    </x:xf>
    <x:xf numFmtId="164" fontId="0" fillId="3" borderId="7" xfId="0" applyNumberFormat="1" applyFont="1" applyFill="1" applyBorder="1" applyAlignment="1">
      <x:alignment horizontal="left" vertical="center" wrapText="1"/>
    </x:xf>
    <x:xf numFmtId="0" fontId="0" fillId="3" borderId="7" xfId="0" applyNumberFormat="1" applyFont="1" applyFill="1" applyBorder="1" applyAlignment="1">
      <x:alignment horizontal="right"/>
    </x:xf>
    <x:xf numFmtId="165" fontId="0" fillId="3" borderId="7" xfId="0" applyNumberFormat="1" applyFont="1" applyFill="1" applyBorder="1" applyAlignment="1">
      <x:alignment horizontal="left" vertical="center" wrapText="1"/>
    </x:xf>
    <x:xf numFmtId="0" fontId="0" fillId="3" borderId="7" xfId="0" applyNumberFormat="1" applyFont="1" applyFill="1" applyBorder="1"/>
    <x:xf numFmtId="0" fontId="0" fillId="3" borderId="7" xfId="0" applyNumberFormat="1" applyFont="1" applyFill="1" applyBorder="1" applyAlignment="1">
      <x:alignment vertical="center" wrapText="1"/>
    </x:xf>
    <x:xf numFmtId="0" fontId="0" fillId="0" borderId="7" xfId="0" applyNumberFormat="1" applyFont="1" applyFill="1" applyBorder="1" applyAlignment="1">
      <x:alignment wrapText="1"/>
    </x:xf>
    <x:xf numFmtId="164" fontId="0" fillId="0" borderId="7" xfId="0" applyNumberFormat="1" applyFont="1" applyFill="1" applyBorder="1"/>
    <x:xf numFmtId="0" fontId="0" fillId="0" borderId="7" xfId="0" applyNumberFormat="1" applyFont="1" applyFill="1" applyBorder="1" applyAlignment="1">
      <x:alignment horizontal="right"/>
    </x:xf>
    <x:xf numFmtId="165" fontId="0" fillId="0" borderId="7" xfId="0" applyNumberFormat="1" applyFont="1" applyFill="1" applyBorder="1"/>
    <x:xf numFmtId="0" fontId="0" fillId="6" borderId="7" xfId="0" applyNumberFormat="1" applyFont="1" applyFill="1" applyBorder="1" applyAlignment="1">
      <x:alignment horizontal="left" vertical="center" wrapText="1"/>
    </x:xf>
    <x:xf numFmtId="0" fontId="0" fillId="6" borderId="7" xfId="0" applyNumberFormat="1" applyFont="1" applyFill="1" applyBorder="1" applyAlignment="1">
      <x:alignment horizontal="left" vertical="center"/>
    </x:xf>
    <x:xf numFmtId="164" fontId="0" fillId="6" borderId="7" xfId="0" applyNumberFormat="1" applyFont="1" applyFill="1" applyBorder="1" applyAlignment="1">
      <x:alignment horizontal="left" vertical="center" wrapText="1"/>
    </x:xf>
    <x:xf numFmtId="0" fontId="0" fillId="6" borderId="7" xfId="0" applyNumberFormat="1" applyFont="1" applyFill="1" applyBorder="1" applyAlignment="1">
      <x:alignment horizontal="right" vertical="center"/>
    </x:xf>
    <x:xf numFmtId="165" fontId="0" fillId="6" borderId="7" xfId="0" applyNumberFormat="1" applyFont="1" applyFill="1" applyBorder="1" applyAlignment="1">
      <x:alignment horizontal="left" vertical="center" wrapText="1"/>
    </x:xf>
    <x:xf numFmtId="0" fontId="0" fillId="6" borderId="7" xfId="0" applyNumberFormat="1" applyFont="1" applyFill="1" applyBorder="1" applyAlignment="1">
      <x:alignment vertical="center"/>
    </x:xf>
    <x:xf numFmtId="0" fontId="0" fillId="6" borderId="7" xfId="0" applyNumberFormat="1" applyFont="1" applyFill="1" applyBorder="1" applyAlignment="1">
      <x:alignment vertical="center" wrapText="1"/>
    </x:xf>
    <x:xf numFmtId="0" fontId="0" fillId="6" borderId="7" xfId="0" applyNumberFormat="1" applyFont="1" applyFill="1" applyBorder="1" applyAlignment="1">
      <x:alignment horizontal="right" vertical="center" wrapText="1"/>
    </x:xf>
    <x:xf numFmtId="0" fontId="7" fillId="0" borderId="7" xfId="0" applyNumberFormat="1" applyFont="1" applyFill="1" applyBorder="1" applyAlignment="1">
      <x:alignment horizontal="right" vertical="top"/>
    </x:xf>
    <x:xf numFmtId="165" fontId="7" fillId="0" borderId="7" xfId="0" applyNumberFormat="1" applyFont="1" applyFill="1" applyBorder="1" applyAlignment="1">
      <x:alignment horizontal="right"/>
    </x:xf>
    <x:xf numFmtId="0" fontId="0" fillId="6" borderId="7" xfId="0" applyNumberFormat="1" applyFont="1" applyFill="1" applyBorder="1"/>
    <x:xf numFmtId="0" fontId="0" fillId="0" borderId="7" xfId="0" applyNumberFormat="1" applyFont="1" applyFill="1" applyBorder="1" applyAlignment="1">
      <x:alignment vertical="center" wrapText="1"/>
    </x:xf>
    <x:xf numFmtId="0" fontId="0" fillId="0" borderId="7" xfId="0" applyNumberFormat="1" applyFont="1" applyFill="1" applyBorder="1" applyAlignment="1">
      <x:alignment vertical="center"/>
    </x:xf>
    <x:xf numFmtId="164" fontId="0" fillId="0" borderId="7" xfId="0" applyNumberFormat="1" applyFont="1" applyFill="1" applyBorder="1" applyAlignment="1">
      <x:alignment vertical="center" wrapText="1"/>
    </x:xf>
    <x:xf numFmtId="0" fontId="0" fillId="0" borderId="7" xfId="0" applyNumberFormat="1" applyFont="1" applyFill="1" applyBorder="1" applyAlignment="1">
      <x:alignment horizontal="right" vertical="center"/>
    </x:xf>
    <x:xf numFmtId="165" fontId="0" fillId="7" borderId="7" xfId="0" applyNumberFormat="1" applyFont="1" applyFill="1" applyBorder="1" applyAlignment="1">
      <x:alignment vertical="center"/>
    </x:xf>
    <x:xf numFmtId="165" fontId="0" fillId="0" borderId="7" xfId="0" applyNumberFormat="1" applyFont="1" applyFill="1" applyBorder="1" applyAlignment="1">
      <x:alignment horizontal="right"/>
    </x:xf>
    <x:xf numFmtId="0" fontId="2" fillId="5" borderId="8" xfId="0" applyNumberFormat="1" applyFont="1" applyFill="1" applyBorder="1" applyAlignment="1">
      <x:alignment horizontal="left" wrapText="1"/>
    </x:xf>
    <x:xf numFmtId="0" fontId="0" fillId="5" borderId="7" xfId="0" applyNumberFormat="1" applyFont="1" applyFill="1" applyBorder="1" applyAlignment="1">
      <x:alignment horizontal="right"/>
    </x:xf>
    <x:xf numFmtId="0" fontId="2" fillId="0" borderId="8" xfId="0" applyNumberFormat="1" applyFont="1" applyFill="1" applyBorder="1" applyAlignment="1">
      <x:alignment horizontal="left" wrapText="1"/>
    </x:xf>
    <x:xf numFmtId="0" fontId="2" fillId="0" borderId="8" xfId="0" applyNumberFormat="1" applyFont="1" applyFill="1" applyBorder="1"/>
    <x:xf numFmtId="0" fontId="2" fillId="3" borderId="8" xfId="0" applyNumberFormat="1" applyFont="1" applyFill="1" applyBorder="1" applyAlignment="1">
      <x:alignment horizontal="left" wrapText="1"/>
    </x:xf>
    <x:xf numFmtId="164" fontId="0" fillId="3" borderId="7" xfId="0" applyNumberFormat="1" applyFont="1" applyFill="1" applyBorder="1" applyAlignment="1">
      <x:alignment vertical="center" wrapText="1"/>
    </x:xf>
    <x:xf numFmtId="0" fontId="0" fillId="3" borderId="7" xfId="0" applyNumberFormat="1" applyFont="1" applyFill="1" applyBorder="1" applyAlignment="1">
      <x:alignment horizontal="right" vertical="center" wrapText="1"/>
    </x:xf>
    <x:xf numFmtId="0" fontId="0" fillId="3" borderId="7" xfId="0" applyNumberFormat="1" applyFont="1" applyFill="1" applyBorder="1" applyAlignment="1">
      <x:alignment vertical="center"/>
    </x:xf>
    <x:xf numFmtId="164" fontId="0" fillId="3" borderId="7" xfId="0" applyNumberFormat="1" applyFont="1" applyFill="1" applyBorder="1" applyAlignment="1">
      <x:alignment wrapText="1"/>
    </x:xf>
    <x:xf numFmtId="0" fontId="0" fillId="3" borderId="7" xfId="0" applyNumberFormat="1" applyFont="1" applyFill="1" applyBorder="1" applyAlignment="1">
      <x:alignment wrapText="1"/>
    </x:xf>
    <x:xf numFmtId="0" fontId="0" fillId="9" borderId="7" xfId="0" applyNumberFormat="1" applyFont="1" applyFill="1" applyBorder="1"/>
    <x:xf numFmtId="0" fontId="7" fillId="0" borderId="7" xfId="0" applyNumberFormat="1" applyFont="1" applyFill="1" applyBorder="1" applyAlignment="1">
      <x:alignment horizontal="right"/>
    </x:xf>
    <x:xf numFmtId="0" fontId="7" fillId="0" borderId="7" xfId="0" applyNumberFormat="1" applyFont="1" applyFill="1" applyBorder="1"/>
    <x:xf numFmtId="165" fontId="7" fillId="0" borderId="7" xfId="0" applyNumberFormat="1" applyFont="1" applyFill="1" applyBorder="1" applyAlignment="1">
      <x:alignment horizontal="right" vertical="top"/>
    </x:xf>
    <x:xf numFmtId="0" fontId="7" fillId="0" borderId="7" xfId="0" applyNumberFormat="1" applyFont="1" applyFill="1" applyBorder="1" applyAlignment="1">
      <x:alignment vertical="top"/>
    </x:xf>
    <x:xf numFmtId="0" fontId="0" fillId="2" borderId="7" xfId="0" applyNumberFormat="1" applyFont="1" applyFill="1" applyBorder="1" applyAlignment="1">
      <x:alignment horizontal="left" vertical="center" wrapText="1"/>
    </x:xf>
    <x:xf numFmtId="0" fontId="0" fillId="2" borderId="7" xfId="0" applyNumberFormat="1" applyFont="1" applyFill="1" applyBorder="1" applyAlignment="1">
      <x:alignment horizontal="left" vertical="center"/>
    </x:xf>
    <x:xf numFmtId="164" fontId="0" fillId="2" borderId="7" xfId="0" applyNumberFormat="1" applyFont="1" applyFill="1" applyBorder="1" applyAlignment="1">
      <x:alignment horizontal="left" vertical="center" wrapText="1"/>
    </x:xf>
    <x:xf numFmtId="0" fontId="0" fillId="2" borderId="7" xfId="0" applyNumberFormat="1" applyFont="1" applyFill="1" applyBorder="1" applyAlignment="1">
      <x:alignment horizontal="right" vertical="center" wrapText="1"/>
    </x:xf>
    <x:xf numFmtId="165" fontId="0" fillId="2" borderId="7" xfId="0" applyNumberFormat="1" applyFont="1" applyFill="1" applyBorder="1" applyAlignment="1">
      <x:alignment horizontal="left"/>
    </x:xf>
    <x:xf numFmtId="0" fontId="0" fillId="2" borderId="7" xfId="0" applyNumberFormat="1" applyFont="1" applyFill="1" applyBorder="1"/>
    <x:xf numFmtId="0" fontId="0" fillId="2" borderId="7" xfId="0" applyNumberFormat="1" applyFont="1" applyFill="1" applyBorder="1" applyAlignment="1">
      <x:alignment vertical="center" wrapText="1"/>
    </x:xf>
    <x:xf numFmtId="164" fontId="0" fillId="0" borderId="7" xfId="0" applyNumberFormat="1" applyFont="1" applyFill="1" applyBorder="1" applyAlignment="1">
      <x:alignment wrapText="1"/>
    </x:xf>
    <x:xf numFmtId="0" fontId="0" fillId="8" borderId="7" xfId="0" applyNumberFormat="1" applyFont="1" applyFill="1" applyBorder="1" applyAlignment="1">
      <x:alignment horizontal="left" vertical="center" wrapText="1"/>
    </x:xf>
    <x:xf numFmtId="0" fontId="0" fillId="8" borderId="7" xfId="0" applyNumberFormat="1" applyFont="1" applyFill="1" applyBorder="1" applyAlignment="1">
      <x:alignment vertical="center" wrapText="1"/>
    </x:xf>
    <x:xf numFmtId="0" fontId="0" fillId="8" borderId="7" xfId="0" applyNumberFormat="1" applyFont="1" applyFill="1" applyBorder="1" applyAlignment="1">
      <x:alignment horizontal="left" vertical="center"/>
    </x:xf>
    <x:xf numFmtId="164" fontId="0" fillId="8" borderId="7" xfId="0" applyNumberFormat="1" applyFont="1" applyFill="1" applyBorder="1" applyAlignment="1">
      <x:alignment vertical="center" wrapText="1"/>
    </x:xf>
    <x:xf numFmtId="0" fontId="0" fillId="8" borderId="7" xfId="0" applyNumberFormat="1" applyFont="1" applyFill="1" applyBorder="1" applyAlignment="1">
      <x:alignment horizontal="right" vertical="center" wrapText="1"/>
    </x:xf>
    <x:xf numFmtId="165" fontId="0" fillId="8" borderId="7" xfId="0" applyNumberFormat="1" applyFont="1" applyFill="1" applyBorder="1" applyAlignment="1">
      <x:alignment horizontal="left" vertical="center" wrapText="1"/>
    </x:xf>
    <x:xf numFmtId="0" fontId="0" fillId="8" borderId="7" xfId="0" applyNumberFormat="1" applyFont="1" applyFill="1" applyBorder="1" applyAlignment="1">
      <x:alignment vertical="center"/>
    </x:xf>
    <x:xf numFmtId="165" fontId="0" fillId="7" borderId="7" xfId="0" applyNumberFormat="1" applyFont="1" applyFill="1" applyBorder="1"/>
    <x:xf numFmtId="0" fontId="0" fillId="4" borderId="7" xfId="0" applyNumberFormat="1" applyFont="1" applyFill="1" applyBorder="1" applyAlignment="1">
      <x:alignment horizontal="left"/>
    </x:xf>
    <x:xf numFmtId="164" fontId="0" fillId="2" borderId="7" xfId="0" applyNumberFormat="1" applyFont="1" applyFill="1" applyBorder="1" applyAlignment="1">
      <x:alignment wrapText="1"/>
    </x:xf>
    <x:xf numFmtId="0" fontId="0" fillId="2" borderId="7" xfId="0" applyNumberFormat="1" applyFont="1" applyFill="1" applyBorder="1" applyAlignment="1">
      <x:alignment wrapText="1"/>
    </x:xf>
    <x:xf numFmtId="164" fontId="0" fillId="5" borderId="7" xfId="0" applyNumberFormat="1" applyFont="1" applyFill="1" applyBorder="1" applyAlignment="1">
      <x:alignment wrapText="1"/>
    </x:xf>
    <x:xf numFmtId="0" fontId="0" fillId="5" borderId="7" xfId="0" applyNumberFormat="1" applyFont="1" applyFill="1" applyBorder="1" applyAlignment="1">
      <x:alignment wrapText="1"/>
    </x:xf>
    <x:xf numFmtId="3" fontId="0" fillId="5" borderId="7" xfId="0" applyNumberFormat="1" applyFont="1" applyFill="1" applyBorder="1"/>
    <x:xf numFmtId="165" fontId="0" fillId="2" borderId="7" xfId="0" applyNumberFormat="1" applyFont="1" applyFill="1" applyBorder="1" applyAlignment="1">
      <x:alignment horizontal="left" vertical="center" wrapText="1"/>
    </x:xf>
    <x:xf numFmtId="165" fontId="0" fillId="6" borderId="7" xfId="0" applyNumberFormat="1" applyFont="1" applyFill="1" applyBorder="1" applyAlignment="1">
      <x:alignment horizontal="left" vertical="center"/>
    </x:xf>
    <x:xf numFmtId="164" fontId="0" fillId="5" borderId="7" xfId="0" applyNumberFormat="1" applyFont="1" applyFill="1" applyBorder="1" applyAlignment="1">
      <x:alignment horizontal="left" wrapText="1"/>
    </x:xf>
    <x:xf numFmtId="0" fontId="0" fillId="5" borderId="7" xfId="0" applyNumberFormat="1" applyFont="1" applyFill="1" applyBorder="1" applyAlignment="1">
      <x:alignment horizontal="left" wrapText="1"/>
    </x:xf>
    <x:xf numFmtId="0" fontId="3" fillId="3" borderId="8" xfId="0" applyNumberFormat="1" applyFont="1" applyFill="1" applyBorder="1" applyAlignment="1">
      <x:alignment horizontal="left"/>
    </x:xf>
    <x:xf numFmtId="0" fontId="0" fillId="0" borderId="7" xfId="0" applyNumberFormat="1" applyFont="1" applyFill="1" applyBorder="1" applyAlignment="1">
      <x:alignment horizontal="left" vertical="center"/>
    </x:xf>
    <x:xf numFmtId="164" fontId="0" fillId="6" borderId="7" xfId="0" applyNumberFormat="1" applyFont="1" applyFill="1" applyBorder="1" applyAlignment="1">
      <x:alignment horizontal="left" vertical="center"/>
    </x:xf>
    <x:xf numFmtId="164" fontId="2" fillId="0" borderId="7" xfId="0" applyNumberFormat="1" applyFont="1" applyFill="1" applyBorder="1"/>
    <x:xf numFmtId="165" fontId="0" fillId="0" borderId="7" xfId="0" applyNumberFormat="1" applyFont="1" applyFill="1" applyBorder="1" applyAlignment="1">
      <x:alignment horizontal="left" vertical="center" wrapText="1"/>
    </x:xf>
    <x:xf numFmtId="0" fontId="0" fillId="10" borderId="7" xfId="0" applyNumberFormat="1" applyFont="1" applyFill="1" applyBorder="1" applyAlignment="1">
      <x:alignment horizontal="left" vertical="center" wrapText="1"/>
    </x:xf>
    <x:xf numFmtId="0" fontId="0" fillId="10" borderId="7" xfId="0" applyNumberFormat="1" applyFont="1" applyFill="1" applyBorder="1" applyAlignment="1">
      <x:alignment horizontal="left" vertical="center"/>
    </x:xf>
    <x:xf numFmtId="164" fontId="0" fillId="10" borderId="7" xfId="0" applyNumberFormat="1" applyFont="1" applyFill="1" applyBorder="1" applyAlignment="1">
      <x:alignment horizontal="left" vertical="center" wrapText="1"/>
    </x:xf>
    <x:xf numFmtId="0" fontId="0" fillId="10" borderId="7" xfId="0" applyNumberFormat="1" applyFont="1" applyFill="1" applyBorder="1" applyAlignment="1">
      <x:alignment horizontal="right"/>
    </x:xf>
    <x:xf numFmtId="165" fontId="0" fillId="10" borderId="7" xfId="0" applyNumberFormat="1" applyFont="1" applyFill="1" applyBorder="1" applyAlignment="1">
      <x:alignment horizontal="left" vertical="center" wrapText="1"/>
    </x:xf>
    <x:xf numFmtId="0" fontId="0" fillId="10" borderId="7" xfId="0" applyNumberFormat="1" applyFont="1" applyFill="1" applyBorder="1" applyAlignment="1">
      <x:alignment vertical="center" wrapText="1"/>
    </x:xf>
    <x:xf numFmtId="165" fontId="0" fillId="3" borderId="7" xfId="0" applyNumberFormat="1" applyFont="1" applyFill="1" applyBorder="1" applyAlignment="1">
      <x:alignment horizontal="left"/>
    </x:xf>
    <x:xf numFmtId="164" fontId="0" fillId="3" borderId="7" xfId="0" applyNumberFormat="1" applyFont="1" applyFill="1" applyBorder="1"/>
    <x:xf numFmtId="165" fontId="0" fillId="0" borderId="7" xfId="0" applyNumberFormat="1" applyFont="1" applyFill="1" applyBorder="1" applyAlignment="1">
      <x:alignment horizontal="left"/>
    </x:xf>
    <x:xf numFmtId="0" fontId="0" fillId="6" borderId="7" xfId="0" applyNumberFormat="1" applyFont="1" applyFill="1" applyBorder="1" applyAlignment="1">
      <x:alignment horizontal="left" wrapText="1"/>
    </x:xf>
    <x:xf numFmtId="0" fontId="0" fillId="9" borderId="7" xfId="0" applyNumberFormat="1" applyFont="1" applyFill="1" applyBorder="1" applyAlignment="1">
      <x:alignment horizontal="left" vertical="center" wrapText="1"/>
    </x:xf>
    <x:xf numFmtId="164" fontId="0" fillId="3" borderId="7" xfId="0" applyNumberFormat="1" applyFont="1" applyFill="1" applyBorder="1" applyAlignment="1">
      <x:alignment vertical="center"/>
    </x:xf>
    <x:xf numFmtId="0" fontId="0" fillId="3" borderId="7" xfId="0" applyNumberFormat="1" applyFont="1" applyFill="1" applyBorder="1" applyAlignment="1">
      <x:alignment horizontal="right" vertical="center"/>
    </x:xf>
    <x:xf numFmtId="165" fontId="0" fillId="3" borderId="7" xfId="0" applyNumberFormat="1" applyFont="1" applyFill="1" applyBorder="1" applyAlignment="1">
      <x:alignment horizontal="left" vertical="center"/>
    </x:xf>
    <x:xf numFmtId="4" fontId="0" fillId="3" borderId="7" xfId="0" applyNumberFormat="1" applyFont="1" applyFill="1" applyBorder="1" applyAlignment="1">
      <x:alignment vertical="center" wrapText="1"/>
    </x:xf>
    <x:xf numFmtId="0" fontId="0" fillId="3" borderId="7" xfId="0" applyNumberFormat="1" applyFont="1" applyFill="1" applyBorder="1" applyAlignment="1">
      <x:alignment horizontal="left"/>
    </x:xf>
    <x:xf numFmtId="0" fontId="17" fillId="3" borderId="7" xfId="0" applyNumberFormat="1" applyFont="1" applyFill="1" applyBorder="1"/>
    <x:xf numFmtId="165" fontId="0" fillId="5" borderId="7" xfId="0" applyNumberFormat="1" applyFont="1" applyFill="1" applyBorder="1" applyAlignment="1">
      <x:alignment vertical="center"/>
    </x:xf>
    <x:xf numFmtId="4" fontId="0" fillId="0" borderId="7" xfId="0" applyNumberFormat="1" applyFont="1" applyFill="1" applyBorder="1" applyAlignment="1">
      <x:alignment vertical="center"/>
    </x:xf>
    <x:xf numFmtId="0" fontId="0" fillId="2" borderId="7" xfId="0" applyNumberFormat="1" applyFont="1" applyFill="1" applyBorder="1" applyAlignment="1">
      <x:alignment horizontal="right"/>
    </x:xf>
    <x:xf numFmtId="165" fontId="0" fillId="2" borderId="7" xfId="0" applyNumberFormat="1" applyFont="1" applyFill="1" applyBorder="1"/>
    <x:xf numFmtId="0" fontId="14" fillId="11" borderId="7" xfId="0" applyNumberFormat="1" applyFont="1" applyFill="1" applyBorder="1" applyAlignment="1">
      <x:alignment horizontal="center" vertical="center" wrapText="1"/>
    </x:xf>
    <x:xf numFmtId="0" fontId="14" fillId="11" borderId="7" xfId="0" applyNumberFormat="1" applyFont="1" applyFill="1" applyBorder="1" applyAlignment="1">
      <x:alignment vertical="center" wrapText="1"/>
    </x:xf>
    <x:xf numFmtId="0" fontId="14" fillId="11" borderId="9" xfId="0" applyNumberFormat="1" applyFont="1" applyFill="1" applyBorder="1" applyAlignment="1">
      <x:alignment wrapText="1"/>
    </x:xf>
    <x:xf numFmtId="0" fontId="2" fillId="0" borderId="8" xfId="0" applyNumberFormat="1" applyFont="1" applyFill="1" applyBorder="1" applyAlignment="1">
      <x:alignment horizontal="left"/>
    </x:xf>
    <x:xf numFmtId="0" fontId="0" fillId="0" borderId="8" xfId="0" applyNumberFormat="1" applyFont="1" applyFill="1" applyBorder="1" applyAlignment="1">
      <x:alignment horizontal="left"/>
    </x:xf>
    <x:xf numFmtId="0" fontId="2" fillId="3" borderId="8" xfId="0" applyNumberFormat="1" applyFont="1" applyFill="1" applyBorder="1" applyAlignment="1">
      <x:alignment horizontal="left"/>
    </x:xf>
    <x:xf numFmtId="0" fontId="2" fillId="3" borderId="10" xfId="0" applyNumberFormat="1" applyFont="1" applyFill="1" applyBorder="1" applyAlignment="1">
      <x:alignment horizontal="left"/>
    </x:xf>
    <x:xf numFmtId="0" fontId="2" fillId="0" borderId="11" xfId="0" applyNumberFormat="1" applyFont="1" applyFill="1" applyBorder="1" applyAlignment="1">
      <x:alignment horizontal="left" wrapText="1"/>
    </x:xf>
    <x:xf numFmtId="4" fontId="2" fillId="0" borderId="8" xfId="0" applyNumberFormat="1" applyFont="1" applyFill="1" applyBorder="1" applyAlignment="1">
      <x:alignment horizontal="left"/>
    </x:xf>
    <x:xf numFmtId="0" fontId="2" fillId="0" borderId="10" xfId="0" applyNumberFormat="1" applyFont="1" applyFill="1" applyBorder="1" applyAlignment="1">
      <x:alignment horizontal="left"/>
    </x:xf>
    <x:xf numFmtId="0" fontId="2" fillId="3" borderId="12" xfId="0" applyNumberFormat="1" applyFont="1" applyFill="1" applyBorder="1" applyAlignment="1">
      <x:alignment wrapText="1"/>
    </x:xf>
    <x:xf numFmtId="0" fontId="0" fillId="0" borderId="7" xfId="0" applyNumberFormat="1" applyFont="1" applyFill="1" applyBorder="1" applyAlignment="1">
      <x:alignment horizontal="left"/>
    </x:xf>
    <x:xf numFmtId="0" fontId="22" fillId="0" borderId="7" xfId="0" applyNumberFormat="1" applyFont="1" applyFill="1" applyBorder="1"/>
    <x:xf numFmtId="4" fontId="0" fillId="0" borderId="8" xfId="0" applyNumberFormat="1" applyFont="1" applyFill="1" applyBorder="1" applyAlignment="1">
      <x:alignment horizontal="left"/>
    </x:xf>
    <x:xf numFmtId="0" fontId="2" fillId="3" borderId="12" xfId="0" applyNumberFormat="1" applyFont="1" applyFill="1" applyBorder="1" applyAlignment="1">
      <x:alignment horizontal="left"/>
    </x:xf>
    <x:xf numFmtId="0" fontId="0" fillId="0" borderId="8" xfId="0" applyNumberFormat="1" applyFont="1" applyFill="1" applyBorder="1" applyAlignment="1">
      <x:alignment horizontal="center"/>
    </x:xf>
    <x:xf numFmtId="0" fontId="2" fillId="3" borderId="8" xfId="0" applyNumberFormat="1" applyFont="1" applyFill="1" applyBorder="1" applyAlignment="1">
      <x:alignment wrapText="1"/>
    </x:xf>
    <x:xf numFmtId="0" fontId="0" fillId="3" borderId="12" xfId="0" applyNumberFormat="1" applyFont="1" applyFill="1" applyBorder="1" applyAlignment="1">
      <x:alignment wrapText="1"/>
    </x:xf>
    <x:xf numFmtId="0" fontId="0" fillId="0" borderId="8" xfId="0" applyNumberFormat="1" applyFont="1" applyFill="1" applyBorder="1" applyAlignment="1">
      <x:alignment horizontal="left" wrapText="1"/>
    </x:xf>
    <x:xf numFmtId="0" fontId="0" fillId="0" borderId="11" xfId="0" applyNumberFormat="1" applyFont="1" applyFill="1" applyBorder="1" applyAlignment="1">
      <x:alignment horizontal="left" wrapText="1"/>
    </x:xf>
    <x:xf numFmtId="0" fontId="2" fillId="0" borderId="10" xfId="0" applyNumberFormat="1" applyFont="1" applyFill="1" applyBorder="1" applyAlignment="1">
      <x:alignment horizontal="left" wrapText="1"/>
    </x:xf>
    <x:xf numFmtId="0" fontId="0" fillId="0" borderId="10" xfId="0" applyNumberFormat="1" applyFont="1" applyFill="1" applyBorder="1" applyAlignment="1">
      <x:alignment horizontal="center" wrapText="1"/>
    </x:xf>
    <x:xf numFmtId="0" fontId="0" fillId="0" borderId="11" xfId="0" applyNumberFormat="1" applyFont="1" applyFill="1" applyBorder="1" applyAlignment="1">
      <x:alignment horizontal="center" wrapText="1"/>
    </x:xf>
    <x:xf numFmtId="0" fontId="3" fillId="3" borderId="12" xfId="0" applyNumberFormat="1" applyFont="1" applyFill="1" applyBorder="1" applyAlignment="1">
      <x:alignment wrapText="1"/>
    </x:xf>
    <x:xf numFmtId="0" fontId="11" fillId="3" borderId="8" xfId="0" applyNumberFormat="1" applyFont="1" applyFill="1" applyBorder="1" applyAlignment="1">
      <x:alignment horizontal="left"/>
    </x:xf>
    <x:xf numFmtId="0" fontId="2" fillId="3" borderId="7" xfId="0" applyNumberFormat="1" applyFont="1" applyFill="1" applyBorder="1" applyAlignment="1">
      <x:alignment horizontal="left"/>
    </x:xf>
    <x:xf numFmtId="0" fontId="2" fillId="0" borderId="12" xfId="0" applyNumberFormat="1" applyFont="1" applyFill="1" applyBorder="1" applyAlignment="1">
      <x:alignment horizontal="left"/>
    </x:xf>
    <x:xf numFmtId="0" fontId="2" fillId="0" borderId="13" xfId="0" applyNumberFormat="1" applyFont="1" applyFill="1" applyBorder="1" applyAlignment="1">
      <x:alignment horizontal="left" wrapText="1"/>
    </x:xf>
    <x:xf numFmtId="4" fontId="2" fillId="0" borderId="7" xfId="0" applyNumberFormat="1" applyFont="1" applyFill="1" applyBorder="1" applyAlignment="1">
      <x:alignment horizontal="left"/>
    </x:xf>
    <x:xf numFmtId="0" fontId="6" fillId="0" borderId="7" xfId="0" applyNumberFormat="1" applyFont="1" applyFill="1" applyBorder="1" applyAlignment="1">
      <x:alignment vertical="center"/>
    </x:xf>
    <x:xf numFmtId="0" fontId="2" fillId="0" borderId="7" xfId="0" applyNumberFormat="1" applyFont="1" applyFill="1" applyBorder="1" applyAlignment="1">
      <x:alignment horizontal="left"/>
    </x:xf>
    <x:xf numFmtId="0" fontId="0" fillId="0" borderId="13" xfId="0" applyNumberFormat="1" applyFont="1" applyFill="1" applyBorder="1" applyAlignment="1">
      <x:alignment horizontal="left" wrapText="1"/>
    </x:xf>
    <x:xf numFmtId="165" fontId="0" fillId="3" borderId="7" xfId="0" applyNumberFormat="1" applyFont="1" applyFill="1" applyBorder="1"/>
    <x:xf numFmtId="0" fontId="26" fillId="0" borderId="8" xfId="0" applyNumberFormat="1" applyFont="1" applyFill="1" applyBorder="1" applyAlignment="1">
      <x:alignment horizontal="left"/>
    </x:xf>
    <x:xf numFmtId="0" fontId="0" fillId="3" borderId="8" xfId="0" applyNumberFormat="1" applyFont="1" applyFill="1" applyBorder="1" applyAlignment="1">
      <x:alignment horizontal="left"/>
    </x:xf>
    <x:xf numFmtId="165" fontId="0" fillId="5" borderId="7" xfId="0" applyNumberFormat="1" applyFont="1" applyFill="1" applyBorder="1" applyAlignment="1">
      <x:alignment horizontal="left" vertical="center"/>
    </x:xf>
    <x:xf numFmtId="165" fontId="2" fillId="0" borderId="8" xfId="0" applyNumberFormat="1" applyFont="1" applyFill="1" applyBorder="1" applyAlignment="1">
      <x:alignment horizontal="left" wrapText="1"/>
    </x:xf>
    <x:xf numFmtId="49" fontId="2" fillId="0" borderId="8" xfId="0" applyNumberFormat="1" applyFont="1" applyFill="1" applyBorder="1" applyAlignment="1">
      <x:alignment horizontal="left"/>
    </x:xf>
    <x:xf numFmtId="165" fontId="0" fillId="3" borderId="7" xfId="0" applyNumberFormat="1" applyFont="1" applyFill="1" applyBorder="1" applyAlignment="1">
      <x:alignment vertical="center"/>
    </x:xf>
    <x:xf numFmtId="0" fontId="2" fillId="0" borderId="12" xfId="0" applyNumberFormat="1" applyFont="1" applyFill="1" applyBorder="1"/>
    <x:xf numFmtId="0" fontId="6" fillId="0" borderId="8" xfId="0" applyNumberFormat="1" applyFont="1" applyFill="1" applyBorder="1"/>
    <x:xf numFmtId="0" fontId="28" fillId="3" borderId="10" xfId="0" applyNumberFormat="1" applyFont="1" applyFill="1" applyBorder="1" applyAlignment="1">
      <x:alignment horizontal="left"/>
    </x:xf>
    <x:xf numFmtId="0" fontId="11" fillId="3" borderId="12" xfId="0" applyNumberFormat="1" applyFont="1" applyFill="1" applyBorder="1" applyAlignment="1">
      <x:alignment horizontal="left"/>
    </x:xf>
    <x:xf numFmtId="4" fontId="2" fillId="3" borderId="8" xfId="0" applyNumberFormat="1" applyFont="1" applyFill="1" applyBorder="1" applyAlignment="1">
      <x:alignment horizontal="left"/>
    </x:xf>
    <x:xf numFmtId="4" fontId="2" fillId="6" borderId="8" xfId="0" applyNumberFormat="1" applyFont="1" applyFill="1" applyBorder="1" applyAlignment="1">
      <x:alignment horizontal="left"/>
    </x:xf>
    <x:xf numFmtId="0" fontId="0" fillId="5" borderId="7" xfId="0" applyNumberFormat="1" applyFont="1" applyFill="1" applyBorder="1" applyAlignment="1">
      <x:alignment horizontal="center" wrapText="1"/>
    </x:xf>
    <x:xf numFmtId="0" fontId="0" fillId="5" borderId="8" xfId="0" applyNumberFormat="1" applyFont="1" applyFill="1" applyBorder="1" applyAlignment="1">
      <x:alignment horizontal="left"/>
    </x:xf>
    <x:xf numFmtId="0" fontId="2" fillId="5" borderId="11" xfId="0" applyNumberFormat="1" applyFont="1" applyFill="1" applyBorder="1" applyAlignment="1">
      <x:alignment horizontal="left" wrapText="1"/>
    </x:xf>
    <x:xf numFmtId="0" fontId="29" fillId="3" borderId="8" xfId="0" applyNumberFormat="1" applyFont="1" applyFill="1" applyBorder="1" applyAlignment="1">
      <x:alignment horizontal="left" wrapText="1"/>
    </x:xf>
    <x:xf numFmtId="0" fontId="11" fillId="3" borderId="8" xfId="0" applyNumberFormat="1" applyFont="1" applyFill="1" applyBorder="1"/>
    <x:xf numFmtId="0" fontId="30" fillId="3" borderId="12" xfId="0" applyNumberFormat="1" applyFont="1" applyFill="1" applyBorder="1" applyAlignment="1">
      <x:alignment wrapText="1"/>
    </x:xf>
    <x:xf numFmtId="0" fontId="2" fillId="0" borderId="7" xfId="0" applyNumberFormat="1" applyFont="1" applyFill="1" applyBorder="1" applyAlignment="1">
      <x:alignment horizontal="left" vertical="center"/>
    </x:xf>
    <x:xf numFmtId="0" fontId="31" fillId="0" borderId="8" xfId="0" applyNumberFormat="1" applyFont="1" applyFill="1" applyBorder="1" applyAlignment="1">
      <x:alignment horizontal="left"/>
    </x:xf>
    <x:xf numFmtId="0" fontId="11" fillId="3" borderId="8" xfId="0" applyNumberFormat="1" applyFont="1" applyFill="1" applyBorder="1" applyAlignment="1">
      <x:alignment horizontal="left" wrapText="1"/>
    </x:xf>
    <x:xf numFmtId="0" fontId="11" fillId="3" borderId="12" xfId="0" applyNumberFormat="1" applyFont="1" applyFill="1" applyBorder="1"/>
    <x:xf numFmtId="0" fontId="29" fillId="3" borderId="8" xfId="0" applyNumberFormat="1" applyFont="1" applyFill="1" applyBorder="1" applyAlignment="1">
      <x:alignment horizontal="left"/>
    </x:xf>
    <x:xf numFmtId="0" fontId="2" fillId="0" borderId="7" xfId="0" applyNumberFormat="1" applyFont="1" applyFill="1" applyBorder="1" applyAlignment="1">
      <x:alignment horizontal="center"/>
    </x:xf>
    <x:xf numFmtId="0" fontId="2" fillId="0" borderId="7" xfId="0" applyNumberFormat="1" applyFont="1" applyFill="1" applyBorder="1" applyAlignment="1">
      <x:alignment horizontal="center" wrapText="1"/>
    </x:xf>
    <x:xf numFmtId="0" fontId="15" fillId="0" borderId="11" xfId="0" applyNumberFormat="1" applyFont="1" applyFill="1" applyBorder="1"/>
    <x:xf numFmtId="0" fontId="0" fillId="0" borderId="10" xfId="0" applyNumberFormat="1" applyFont="1" applyFill="1" applyBorder="1" applyAlignment="1">
      <x:alignment horizontal="left" wrapText="1"/>
    </x:xf>
    <x:xf numFmtId="0" fontId="0" fillId="12" borderId="0" xfId="0" applyNumberFormat="1" applyFont="1" applyFill="1" applyBorder="1"/>
    <x:xf numFmtId="0" fontId="32" fillId="12" borderId="0" xfId="0" applyNumberFormat="1" applyFont="1" applyFill="1" applyBorder="1"/>
    <x:xf numFmtId="0" fontId="32" fillId="12" borderId="0" xfId="0" applyNumberFormat="1" applyFont="1" applyFill="1" applyBorder="1" applyAlignment="1">
      <x:alignment vertical="center"/>
    </x:xf>
    <x:xf numFmtId="0" fontId="0" fillId="12" borderId="7" xfId="0" applyNumberFormat="1" applyFont="1" applyFill="1" applyBorder="1"/>
    <x:xf numFmtId="0" fontId="32" fillId="12" borderId="7" xfId="0" applyNumberFormat="1" applyFont="1" applyFill="1" applyBorder="1"/>
    <x:xf numFmtId="0" fontId="32" fillId="12" borderId="7" xfId="0" applyNumberFormat="1" applyFont="1" applyFill="1" applyBorder="1" applyAlignment="1">
      <x:alignment vertical="center"/>
    </x:xf>
    <x:xf numFmtId="0" fontId="0" fillId="0" borderId="0" xfId="0" applyNumberFormat="1" applyFont="1" applyFill="1" applyBorder="1" applyAlignment="1">
      <x:alignment wrapText="1"/>
    </x:xf>
    <x:xf numFmtId="0" fontId="0" fillId="13" borderId="0" xfId="0" applyNumberFormat="1" applyFont="1" applyFill="1" applyBorder="1"/>
    <x:xf numFmtId="0" fontId="33" fillId="13" borderId="0" xfId="0" applyNumberFormat="1" applyFont="1" applyFill="1" applyBorder="1"/>
    <x:xf numFmtId="0" fontId="33" fillId="13" borderId="14" xfId="0" applyNumberFormat="1" applyFont="1" applyFill="1" applyBorder="1"/>
    <x:xf numFmtId="0" fontId="33" fillId="13" borderId="14" xfId="0" applyNumberFormat="1" applyFont="1" applyFill="1" applyBorder="1" applyAlignment="1">
      <x:alignment wrapText="1"/>
    </x:xf>
    <x:xf numFmtId="0" fontId="33" fillId="13" borderId="14" xfId="0" applyNumberFormat="1" applyFont="1" applyFill="1" applyBorder="1" applyAlignment="1">
      <x:alignment horizontal="center" wrapText="1"/>
    </x:xf>
    <x:xf numFmtId="0" fontId="33" fillId="13" borderId="14" xfId="0" applyNumberFormat="1" applyFont="1" applyFill="1" applyBorder="1" applyAlignment="1">
      <x:alignment horizontal="center" vertical="center" wrapText="1"/>
    </x:xf>
    <x:xf numFmtId="0" fontId="0" fillId="13" borderId="7" xfId="0" applyNumberFormat="1" applyFont="1" applyFill="1" applyBorder="1"/>
    <x:xf numFmtId="0" fontId="33" fillId="13" borderId="7" xfId="0" applyNumberFormat="1" applyFont="1" applyFill="1" applyBorder="1"/>
    <x:xf numFmtId="0" fontId="33" fillId="13" borderId="15" xfId="0" applyNumberFormat="1" applyFont="1" applyFill="1" applyBorder="1"/>
    <x:xf numFmtId="0" fontId="33" fillId="13" borderId="15" xfId="0" applyNumberFormat="1" applyFont="1" applyFill="1" applyBorder="1" applyAlignment="1">
      <x:alignment wrapText="1"/>
    </x:xf>
    <x:xf numFmtId="0" fontId="33" fillId="13" borderId="15" xfId="0" applyNumberFormat="1" applyFont="1" applyFill="1" applyBorder="1" applyAlignment="1">
      <x:alignment horizontal="center" wrapText="1"/>
    </x:xf>
    <x:xf numFmtId="0" fontId="33" fillId="13" borderId="15" xfId="0" applyNumberFormat="1" applyFont="1" applyFill="1" applyBorder="1" applyAlignment="1">
      <x:alignment horizontal="center" vertical="center" wrapText="1"/>
    </x:xf>
    <x:xf numFmtId="0" fontId="0" fillId="0" borderId="0" xfId="0" applyNumberFormat="1" applyFont="1" applyFill="1" applyBorder="1" applyAlignment="1">
      <x:alignment vertical="top" wrapText="1"/>
    </x:xf>
    <x:xf numFmtId="0" fontId="0" fillId="0" borderId="7" xfId="0" applyNumberFormat="1" applyFont="1" applyFill="1" applyBorder="1" applyAlignment="1">
      <x:alignment vertical="top" wrapText="1"/>
    </x:xf>
    <x:xf numFmtId="0" fontId="0" fillId="14" borderId="0" xfId="0" applyNumberFormat="1" applyFont="1" applyFill="1" applyBorder="1"/>
    <x:xf numFmtId="0" fontId="34" fillId="14" borderId="0" xfId="0" applyNumberFormat="1" applyFont="1" applyFill="1" applyBorder="1"/>
    <x:xf numFmtId="0" fontId="34" fillId="14" borderId="0" xfId="0" applyNumberFormat="1" applyFont="1" applyFill="1" applyBorder="1" applyAlignment="1">
      <x:alignment wrapText="1"/>
    </x:xf>
    <x:xf numFmtId="0" fontId="0" fillId="14" borderId="7" xfId="0" applyNumberFormat="1" applyFont="1" applyFill="1" applyBorder="1"/>
    <x:xf numFmtId="0" fontId="34" fillId="14" borderId="7" xfId="0" applyNumberFormat="1" applyFont="1" applyFill="1" applyBorder="1"/>
    <x:xf numFmtId="0" fontId="34" fillId="14" borderId="7" xfId="0" applyNumberFormat="1" applyFont="1" applyFill="1" applyBorder="1" applyAlignment="1">
      <x:alignment wrapText="1"/>
    </x:xf>
    <x:xf numFmtId="200" fontId="0" fillId="0" borderId="0" xfId="0" applyNumberFormat="1" applyFont="1" applyFill="1" applyBorder="1"/>
    <x:xf numFmtId="200" fontId="0" fillId="0" borderId="7" xfId="0" applyNumberFormat="1" applyFont="1" applyFill="1" applyBorder="1"/>
    <x:xf numFmtId="200" fontId="0" fillId="0" borderId="0" xfId="0" applyNumberFormat="1" applyFont="1" applyFill="1" applyBorder="1" applyAlignment="1">
      <x:alignment wrapText="1"/>
    </x:xf>
    <x:xf numFmtId="200" fontId="0" fillId="0" borderId="7" xfId="0" applyNumberFormat="1" applyFont="1" applyFill="1" applyBorder="1" applyAlignment="1">
      <x:alignment wrapText="1"/>
    </x:xf>
    <x:xf numFmtId="0" fontId="33" fillId="13" borderId="14" xfId="0" applyNumberFormat="1" applyFont="1" applyFill="1" applyBorder="1" applyAlignment="1">
      <x:alignment horizontal="center" vertical="top" wrapText="1"/>
    </x:xf>
    <x:xf numFmtId="0" fontId="0" fillId="0" borderId="0" xfId="0" applyNumberFormat="1" applyFont="1" applyFill="1" applyBorder="1" applyAlignment="1">
      <x:alignment vertical="top"/>
    </x:xf>
    <x:xf numFmtId="200" fontId="0" fillId="0" borderId="0" xfId="0" applyNumberFormat="1" applyFont="1" applyFill="1" applyBorder="1" applyAlignment="1">
      <x:alignment vertical="top" wrapText="1"/>
    </x:xf>
    <x:xf numFmtId="0" fontId="33" fillId="13" borderId="15" xfId="0" applyNumberFormat="1" applyFont="1" applyFill="1" applyBorder="1" applyAlignment="1">
      <x:alignment horizontal="center" vertical="top" wrapText="1"/>
    </x:xf>
    <x:xf numFmtId="0" fontId="0" fillId="0" borderId="7" xfId="0" applyNumberFormat="1" applyFont="1" applyFill="1" applyBorder="1" applyAlignment="1">
      <x:alignment vertical="top"/>
    </x:xf>
    <x:xf numFmtId="200" fontId="0" fillId="0" borderId="7" xfId="0" applyNumberFormat="1" applyFont="1" applyFill="1" applyBorder="1" applyAlignment="1">
      <x:alignment vertical="top" wrapText="1"/>
    </x:xf>
  </x:cellXfs>
  <x:cellStyles count="1">
    <x:cellStyle name="Normal" xfId="0"/>
  </x:cellStyles>
  <x:dxfs count="11">
    <x:dxf>
      <x:fill>
        <x:patternFill>
          <x:bgColor rgb="FFB7E1CD"/>
        </x:patternFill>
      </x:fill>
    </x:dxf>
    <x:dxf>
      <x:fill>
        <x:patternFill>
          <x:bgColor rgb="FFB7E1CD"/>
        </x:patternFill>
      </x:fill>
    </x:dxf>
    <x:dxf>
      <x:font>
        <x:b/>
        <x:color rgb="FF9C0006"/>
      </x:font>
      <x:fill>
        <x:patternFill patternType="solid">
          <x:bgColor rgb="FFF4CCCC"/>
        </x:patternFill>
      </x:fill>
    </x:dxf>
    <x:dxf>
      <x:fill>
        <x:patternFill patternType="solid">
          <x:bgColor rgb="FFFCE5CD"/>
        </x:patternFill>
      </x:fill>
    </x:dxf>
    <x:dxf>
      <x:fill>
        <x:patternFill patternType="solid">
          <x:bgColor rgb="FFD9EAD3"/>
        </x:patternFill>
      </x:fill>
    </x:dxf>
    <x:dxf>
      <x:fill>
        <x:patternFill patternType="solid">
          <x:bgColor rgb="FFFFF2CC"/>
        </x:patternFill>
      </x:fill>
    </x:dxf>
    <x:dxf>
      <x:font>
        <x:b/>
        <x:color rgb="FF9C0006"/>
      </x:font>
      <x:fill>
        <x:patternFill patternType="solid">
          <x:bgColor rgb="FFF4CCCC"/>
        </x:patternFill>
      </x:fill>
    </x:dxf>
    <x:dxf>
      <x:fill>
        <x:patternFill patternType="solid">
          <x:bgColor rgb="FFFCE5CD"/>
        </x:patternFill>
      </x:fill>
    </x:dxf>
    <x:dxf>
      <x:fill>
        <x:patternFill patternType="solid">
          <x:bgColor rgb="FFF4CCCC"/>
        </x:patternFill>
      </x:fill>
    </x:dxf>
    <x:dxf>
      <x:fill>
        <x:patternFill patternType="solid">
          <x:bgColor rgb="FFF4CCCC"/>
        </x:patternFill>
      </x:fill>
    </x:dxf>
    <x:dxf>
      <x:fill>
        <x:patternFill patternType="solid">
          <x:bgColor rgb="FFD9EAD3"/>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912b32598df49d4" /><Relationship Type="http://schemas.openxmlformats.org/officeDocument/2006/relationships/theme" Target="/xl/theme/theme1.xml" Id="Rfedb542771ca48f9" /><Relationship Type="http://schemas.openxmlformats.org/officeDocument/2006/relationships/sharedStrings" Target="/xl/sharedStrings.xml" Id="Rea3b70c1c0d14f5b" /><Relationship Type="http://schemas.openxmlformats.org/officeDocument/2006/relationships/worksheet" Target="/xl/worksheets/sheet1.xml" Id="R9af2d12c2ab44968" /><Relationship Type="http://schemas.openxmlformats.org/officeDocument/2006/relationships/worksheet" Target="/xl/worksheets/sheet2.xml" Id="R1d473beead1b4844" /><Relationship Type="http://schemas.openxmlformats.org/officeDocument/2006/relationships/worksheet" Target="/xl/worksheets/sheet3.xml" Id="Rb3f77cce95c74b4c" /><Relationship Type="http://schemas.openxmlformats.org/officeDocument/2006/relationships/worksheet" Target="/xl/worksheets/sheet4.xml" Id="R1d0e2d5023794ca4" /><Relationship Type="http://schemas.openxmlformats.org/officeDocument/2006/relationships/worksheet" Target="/xl/worksheets/sheet5.xml" Id="R817b33f4bdc2472e" /><Relationship Type="http://schemas.openxmlformats.org/officeDocument/2006/relationships/worksheet" Target="/xl/worksheets/sheet6.xml" Id="R8cfba5f1117941b8" /><Relationship Type="http://schemas.openxmlformats.org/officeDocument/2006/relationships/worksheet" Target="/xl/worksheets/sheet7.xml" Id="Rdf0939864f644456" /><Relationship Type="http://schemas.openxmlformats.org/officeDocument/2006/relationships/worksheet" Target="/xl/worksheets/sheet8.xml" Id="R1d580376dad8459c" /><Relationship Type="http://schemas.openxmlformats.org/officeDocument/2006/relationships/worksheet" Target="/xl/worksheets/sheet9.xml" Id="Rfd43556a39874721" /><Relationship Type="http://schemas.microsoft.com/office/2017/10/relationships/person" Target="/xl/persons/person.xml" Id="Rd5db318d641a4a15" /></Relationships>
</file>

<file path=xl/persons/person.xml><?xml version="1.0" encoding="utf-8"?>
<xltc:personList xmlns:xltc="http://schemas.microsoft.com/office/spreadsheetml/2018/threadedcomments">
  <xltc:person displayName="Hiago Tadeu" id="{0346B2F9-23CF-445C-89B6-820B16AC8139}"/>
</xltc:personList>
</file>

<file path=xl/tables/table1.xml><?xml version="1.0" encoding="utf-8"?>
<x:table xmlns:x="http://schemas.openxmlformats.org/spreadsheetml/2006/main" id="1" name="ConciliacaoTable" displayName="ConciliacaoTable" ref="A1:X765" headerRowCount="1" totalsRowCount="0" totalsRowShown="0">
  <x:tableColumns count="24">
    <x:tableColumn id="1" name="Linha no novo mapa"/>
    <x:tableColumn id="2" name="Ano"/>
    <x:tableColumn id="3" name="Município"/>
    <x:tableColumn id="4" name="Beneficiário"/>
    <x:tableColumn id="5" name="Instituição"/>
    <x:tableColumn id="6" name="Nº emenda no mapa"/>
    <x:tableColumn id="7" name="Nº emenda conciliado"/>
    <x:tableColumn id="8" name="Origem do nº conciliado"/>
    <x:tableColumn id="9" name="Valor no mapa"/>
    <x:tableColumn id="10" name="Valor grupo município/emenda"/>
    <x:tableColumn id="11" name="Tipo da emenda"/>
    <x:tableColumn id="12" name="Situação no mapa"/>
    <x:tableColumn id="13" name="SIGA pago ao favorecido (município)"/>
    <x:tableColumn id="14" name="Transferegov empenhado bruto dos instrumentos"/>
    <x:tableColumn id="15" name="Transferegov desembolsado bruto dos instrumentos"/>
    <x:tableColumn id="16" name="PIX CIENTE atual (município)"/>
    <x:tableColumn id="17" name="PIX IMPEDIDO/histórico (município)"/>
    <x:tableColumn id="18" name="Status PIX"/>
    <x:tableColumn id="19" name="CNPJ público candidato"/>
    <x:tableColumn id="20" name="Resultado da conciliação"/>
    <x:tableColumn id="21" name="Prioridade"/>
    <x:tableColumn id="22" name="Correção/atualização sugerida"/>
    <x:tableColumn id="23" name="Nota de evidência"/>
    <x:tableColumn id="24" name="URL pública"/>
  </x:tableColumns>
  <x:tableStyleInfo name="TableStyleMedium2" showFirstColumn="0" showLastColumn="0" showRowStripes="1" showColumnStripes="0"/>
</x:table>
</file>

<file path=xl/tables/table2.xml><?xml version="1.0" encoding="utf-8"?>
<x:table xmlns:x="http://schemas.openxmlformats.org/spreadsheetml/2006/main" id="2" name="DivergenciasTable" displayName="DivergenciasTable" ref="A1:X522" headerRowCount="1" totalsRowCount="0" totalsRowShown="0">
  <x:tableColumns count="24">
    <x:tableColumn id="1" name="Linha no novo mapa"/>
    <x:tableColumn id="2" name="Ano"/>
    <x:tableColumn id="3" name="Município"/>
    <x:tableColumn id="4" name="Beneficiário"/>
    <x:tableColumn id="5" name="Instituição"/>
    <x:tableColumn id="6" name="Nº emenda no mapa"/>
    <x:tableColumn id="7" name="Nº emenda conciliado"/>
    <x:tableColumn id="8" name="Origem do nº conciliado"/>
    <x:tableColumn id="9" name="Valor no mapa"/>
    <x:tableColumn id="10" name="Valor grupo município/emenda"/>
    <x:tableColumn id="11" name="Tipo da emenda"/>
    <x:tableColumn id="12" name="Situação no mapa"/>
    <x:tableColumn id="13" name="SIGA pago ao favorecido (município)"/>
    <x:tableColumn id="14" name="Transferegov empenhado bruto dos instrumentos"/>
    <x:tableColumn id="15" name="Transferegov desembolsado bruto dos instrumentos"/>
    <x:tableColumn id="16" name="PIX CIENTE atual (município)"/>
    <x:tableColumn id="17" name="PIX IMPEDIDO/histórico (município)"/>
    <x:tableColumn id="18" name="Status PIX"/>
    <x:tableColumn id="19" name="CNPJ público candidato"/>
    <x:tableColumn id="20" name="Resultado da conciliação"/>
    <x:tableColumn id="21" name="Prioridade"/>
    <x:tableColumn id="22" name="Correção/atualização sugerida"/>
    <x:tableColumn id="23" name="Nota de evidência"/>
    <x:tableColumn id="24" name="URL pública"/>
  </x:tableColumns>
  <x:tableStyleInfo name="TableStyleMedium2" showFirstColumn="0" showLastColumn="0" showRowStripes="1" showColumnStripes="0"/>
</x:table>
</file>

<file path=xl/tables/table3.xml><?xml version="1.0" encoding="utf-8"?>
<x:table xmlns:x="http://schemas.openxmlformats.org/spreadsheetml/2006/main" id="3" name="PorEmendaTable" displayName="PorEmendaTable" ref="A1:T102" headerRowCount="1" totalsRowCount="0" totalsRowShown="0">
  <x:tableColumns count="20">
    <x:tableColumn id="1" name="Emenda/Ano"/>
    <x:tableColumn id="2" name="Ano"/>
    <x:tableColumn id="3" name="Autor/escopo"/>
    <x:tableColumn id="4" name="Linhas mapa (nº conciliado)"/>
    <x:tableColumn id="5" name="Inferências fortes SIGA/PIX"/>
    <x:tableColumn id="6" name="Candidatos Transferegov"/>
    <x:tableColumn id="7" name="Total mapa base*"/>
    <x:tableColumn id="8" name="Total incl. candidatos Transferegov"/>
    <x:tableColumn id="9" name="SIGA autorizado"/>
    <x:tableColumn id="10" name="SIGA empenhado"/>
    <x:tableColumn id="11" name="SIGA pago incl. RP"/>
    <x:tableColumn id="12" name="SIGA pago por favorecidos"/>
    <x:tableColumn id="13" name="CSV empenhado"/>
    <x:tableColumn id="14" name="CSV pago + RP pagos"/>
    <x:tableColumn id="15" name="Qtd. instrumentos Transferegov"/>
    <x:tableColumn id="16" name="PIX CIENTE"/>
    <x:tableColumn id="17" name="PIX IMPEDIDO"/>
    <x:tableColumn id="18" name="Dif. mapa base x autorizado"/>
    <x:tableColumn id="19" name="Dif. mapa base x pago"/>
    <x:tableColumn id="20" name="Avaliação"/>
  </x:tableColumns>
  <x:tableStyleInfo name="TableStyleMedium2" showFirstColumn="0" showLastColumn="0" showRowStripes="1" showColumnStripes="0"/>
</x:table>
</file>

<file path=xl/tables/table4.xml><?xml version="1.0" encoding="utf-8"?>
<x:table xmlns:x="http://schemas.openxmlformats.org/spreadsheetml/2006/main" id="4" name="PixFonteTable" displayName="PixFonteTable" ref="A1:H60" headerRowCount="1" totalsRowCount="0" totalsRowShown="0">
  <x:tableColumns count="8">
    <x:tableColumn id="1" name="Plano de ação"/>
    <x:tableColumn id="2" name="Ano"/>
    <x:tableColumn id="3" name="Emenda"/>
    <x:tableColumn id="4" name="Beneficiário"/>
    <x:tableColumn id="5" name="Situação"/>
    <x:tableColumn id="6" name="Valor"/>
    <x:tableColumn id="7" name="Área"/>
    <x:tableColumn id="8" name="Portal"/>
  </x:tableColumns>
  <x:tableStyleInfo name="TableStyleMedium2" showFirstColumn="0" showLastColumn="0" showRowStripes="1" showColumnStripes="0"/>
</x: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threadedcomments/threadedcomment.xml><?xml version="1.0" encoding="utf-8"?>
<xltc:ThreadedComments xmlns:xltc="http://schemas.microsoft.com/office/spreadsheetml/2018/threadedcomments">
  <xltc:threadedComment ref="A1" dT="2022-11-07T19:30:25" personId="{0346B2F9-23CF-445C-89B6-820B16AC8139}" id="{C60BD629-5A80-4C90-9C37-B8F505C3A43B}">
    <xltc:text>Inserido por Hiago, com a finalidade de aparecer no mapa de emendas.</xltc:text>
  </xltc:threadedComment>
</xltc:ThreadedComments>
</file>

<file path=xl/worksheets/_rels/sheet1.xml.rels>&#65279;<?xml version="1.0" encoding="utf-8"?><Relationships xmlns="http://schemas.openxmlformats.org/package/2006/relationships"><Relationship Type="http://schemas.openxmlformats.org/officeDocument/2006/relationships/hyperlink" Target="https://www.camara.leg.br/internet/comissao/index/mista/orca/orcamento/OR2020/emendas/despesa/ANDRELUF_AV_LOA_AUTOR_7122.pdf" TargetMode="External" Id="R48933b8f3fd54b82" /><Relationship Type="http://schemas.openxmlformats.org/officeDocument/2006/relationships/hyperlink" Target="https://www.camara.leg.br/internet/comissao/index/mista/orca/orcamento/OR2020/emendas/despesa/ANDRELUF_AV_LOA_AUTOR_7122.pdf" TargetMode="External" Id="R306c79499fc54162" /><Relationship Type="http://schemas.openxmlformats.org/officeDocument/2006/relationships/hyperlink" Target="https://www.camara.leg.br/internet/comissao/index/mista/orca/orcamento/OR2020/emendas/despesa/ANDRELUF_AV_LOA_AUTOR_7122.pdf" TargetMode="External" Id="R9e9b0b58fb344c9c" /><Relationship Type="http://schemas.openxmlformats.org/officeDocument/2006/relationships/hyperlink" Target="https://www.camara.leg.br/internet/comissao/index/mista/orca/orcamento/OR2020/emendas/despesa/ANDRELUF_AV_LOA_AUTOR_7122.pdf" TargetMode="External" Id="R166fe8df58f9456f" /><Relationship Type="http://schemas.openxmlformats.org/officeDocument/2006/relationships/hyperlink" Target="https://www.camara.leg.br/internet/comissao/index/mista/orca/orcamento/OR2020/emendas/despesa/ANDRELUF_AV_LOA_AUTOR_7122.pdf" TargetMode="External" Id="R58b7436f473a486f" /><Relationship Type="http://schemas.openxmlformats.org/officeDocument/2006/relationships/hyperlink" Target="https://www.camara.leg.br/internet/comissao/index/mista/orca/orcamento/OR2020/emendas/despesa/ANDRELUF_AV_LOA_AUTOR_7122.pdf" TargetMode="External" Id="R47676b0566714421" /><Relationship Type="http://schemas.openxmlformats.org/officeDocument/2006/relationships/hyperlink" Target="https://www.camara.leg.br/internet/comissao/index/mista/orca/orcamento/OR2020/emendas/despesa/ANDRELUF_AV_LOA_AUTOR_7122.pdf" TargetMode="External" Id="R93d68ccedff840b1" /><Relationship Type="http://schemas.openxmlformats.org/officeDocument/2006/relationships/hyperlink" Target="https://www.camara.leg.br/internet/comissao/index/mista/orca/orcamento/OR2020/emendas/despesa/ANDRELUF_AV_LOA_AUTOR_7122.pdf" TargetMode="External" Id="R52c40ff4eee2448a" /><Relationship Type="http://schemas.openxmlformats.org/officeDocument/2006/relationships/hyperlink" Target="https://www.camara.leg.br/internet/comissao/index/mista/orca/orcamento/OR2020/emendas/despesa/ANDRELUF_AV_LOA_AUTOR_7122.pdf" TargetMode="External" Id="Rd6bff982e8d5462e" /><Relationship Type="http://schemas.openxmlformats.org/officeDocument/2006/relationships/hyperlink" Target="https://www.camara.leg.br/internet/comissao/index/mista/orca/orcamento/OR2020/emendas/despesa/ANDRELUF_AV_LOA_AUTOR_7122.pdf" TargetMode="External" Id="Rc32f7160d66e4397" /><Relationship Type="http://schemas.openxmlformats.org/officeDocument/2006/relationships/hyperlink" Target="https://www.camara.leg.br/internet/comissao/index/mista/orca/orcamento/OR2020/emendas/despesa/ANDRELUF_AV_LOA_AUTOR_7122.pdf" TargetMode="External" Id="R21519002b07844b7" /><Relationship Type="http://schemas.openxmlformats.org/officeDocument/2006/relationships/hyperlink" Target="https://www.camara.leg.br/internet/comissao/index/mista/orca/orcamento/OR2020/emendas/despesa/ANDRELUF_AV_LOA_AUTOR_7122.pdf" TargetMode="External" Id="R531f841a6b5242b5" /><Relationship Type="http://schemas.openxmlformats.org/officeDocument/2006/relationships/hyperlink" Target="https://www.camara.leg.br/internet/comissao/index/mista/orca/orcamento/OR2020/emendas/despesa/ANDRELUF_AV_LOA_AUTOR_7122.pdf" TargetMode="External" Id="Ra312558a6d224942" /><Relationship Type="http://schemas.openxmlformats.org/officeDocument/2006/relationships/hyperlink" Target="https://www.camara.leg.br/internet/comissao/index/mista/orca/orcamento/OR2020/emendas/despesa/ANDRELUF_AV_LOA_AUTOR_7122.pdf" TargetMode="External" Id="R3f01231898974d19" /><Relationship Type="http://schemas.openxmlformats.org/officeDocument/2006/relationships/hyperlink" Target="https://www.camara.leg.br/internet/comissao/index/mista/orca/orcamento/OR2020/emendas/despesa/ANDRELUF_AV_LOA_AUTOR_7122.pdf" TargetMode="External" Id="R370a543dd3ed4da4" /><Relationship Type="http://schemas.openxmlformats.org/officeDocument/2006/relationships/hyperlink" Target="https://www.camara.leg.br/internet/comissao/index/mista/orca/orcamento/OR2020/emendas/despesa/ANDRELUF_AV_LOA_AUTOR_7122.pdf" TargetMode="External" Id="Rf0273348cf4d4826" /><Relationship Type="http://schemas.openxmlformats.org/officeDocument/2006/relationships/hyperlink" Target="https://www.camara.leg.br/internet/comissao/index/mista/orca/orcamento/OR2020/emendas/despesa/ANDRELUF_AV_LOA_AUTOR_7122.pdf" TargetMode="External" Id="R8ec91f14e0754000" /><Relationship Type="http://schemas.openxmlformats.org/officeDocument/2006/relationships/hyperlink" Target="https://www.camara.leg.br/internet/comissao/index/mista/orca/orcamento/OR2020/emendas/despesa/ANDRELUF_AV_LOA_AUTOR_7122.pdf" TargetMode="External" Id="R6d406ee7b7e74865" /><Relationship Type="http://schemas.openxmlformats.org/officeDocument/2006/relationships/hyperlink" Target="https://www.camara.leg.br/internet/comissao/index/mista/orca/orcamento/OR2020/emendas/despesa/ANDRELUF_AV_LOA_AUTOR_7122.pdf" TargetMode="External" Id="R1fb99f98fb3a4d4d" /><Relationship Type="http://schemas.openxmlformats.org/officeDocument/2006/relationships/hyperlink" Target="https://www.camara.leg.br/internet/comissao/index/mista/orca/orcamento/OR2020/emendas/despesa/ANDRELUF_AV_LOA_AUTOR_7122.pdf" TargetMode="External" Id="R62d1b22636a54116" /><Relationship Type="http://schemas.openxmlformats.org/officeDocument/2006/relationships/hyperlink" Target="https://www.camara.leg.br/internet/comissao/index/mista/orca/orcamento/OR2020/emendas/despesa/ANDRELUF_AV_LOA_AUTOR_7122.pdf" TargetMode="External" Id="Rdd7ab10168124aee" /><Relationship Type="http://schemas.openxmlformats.org/officeDocument/2006/relationships/hyperlink" Target="https://www.camara.leg.br/internet/comissao/index/mista/orca/orcamento/OR2020/emendas/despesa/ANDRELUF_AV_LOA_AUTOR_7122.pdf" TargetMode="External" Id="Reec2a6d5ead747ac" /><Relationship Type="http://schemas.openxmlformats.org/officeDocument/2006/relationships/hyperlink" Target="https://www.camara.leg.br/internet/comissao/index/mista/orca/orcamento/OR2020/emendas/despesa/ANDRELUF_AV_LOA_AUTOR_7122.pdf" TargetMode="External" Id="R1f0d22412d5b4e5b" /><Relationship Type="http://schemas.openxmlformats.org/officeDocument/2006/relationships/hyperlink" Target="https://www.camara.leg.br/internet/comissao/index/mista/orca/orcamento/OR2020/emendas/despesa/ANDRELUF_AV_LOA_AUTOR_7122.pdf" TargetMode="External" Id="R6dca63c57b2043be" /><Relationship Type="http://schemas.openxmlformats.org/officeDocument/2006/relationships/hyperlink" Target="https://www.camara.leg.br/internet/comissao/index/mista/orca/orcamento/OR2020/emendas/despesa/ANDRELUF_AV_LOA_AUTOR_7122.pdf" TargetMode="External" Id="Rd04315e1c1c9455f" /><Relationship Type="http://schemas.openxmlformats.org/officeDocument/2006/relationships/hyperlink" Target="https://www.camara.leg.br/internet/comissao/index/mista/orca/orcamento/OR2020/emendas/despesa/ANDRELUF_AV_LOA_AUTOR_7122.pdf" TargetMode="External" Id="Re1bfa054da604d79" /><Relationship Type="http://schemas.openxmlformats.org/officeDocument/2006/relationships/hyperlink" Target="https://www.camara.leg.br/internet/comissao/index/mista/orca/orcamento/OR2020/emendas/despesa/ANDRELUF_AV_LOA_AUTOR_7122.pdf" TargetMode="External" Id="R9c64944f5f874608" /><Relationship Type="http://schemas.openxmlformats.org/officeDocument/2006/relationships/hyperlink" Target="https://www.camara.leg.br/internet/comissao/index/mista/orca/orcamento/OR2020/emendas/despesa/ANDRELUF_AV_LOA_AUTOR_7122.pdf" TargetMode="External" Id="R8826b29cdfb84cfb" /><Relationship Type="http://schemas.openxmlformats.org/officeDocument/2006/relationships/hyperlink" Target="https://www.camara.leg.br/internet/comissao/index/mista/orca/orcamento/OR2020/emendas/despesa/ANDRELUF_AV_LOA_AUTOR_7122.pdf" TargetMode="External" Id="R248c870589604efd" /><Relationship Type="http://schemas.openxmlformats.org/officeDocument/2006/relationships/hyperlink" Target="https://www.camara.leg.br/internet/comissao/index/mista/orca/orcamento/OR2020/emendas/despesa/ANDRELUF_AV_LOA_AUTOR_7122.pdf" TargetMode="External" Id="R64d8e77352114737" /><Relationship Type="http://schemas.openxmlformats.org/officeDocument/2006/relationships/comments" Target="/xl/comments1.xml" Id="R43a5c40774974644" /><Relationship Type="http://schemas.openxmlformats.org/officeDocument/2006/relationships/vmlDrawing" Target="/xl/drawings/vmldrawing.vml" Id="R74a8d31829af4ab6" /><Relationship Type="http://schemas.microsoft.com/office/2017/10/relationships/threadedComment" Target="/xl/threadedcomments/threadedcomment.xml" Id="R447270f57c65479d" /></Relationships>
</file>

<file path=xl/worksheets/_rels/sheet3.xml.rels>&#65279;<?xml version="1.0" encoding="utf-8"?><Relationships xmlns="http://schemas.openxmlformats.org/package/2006/relationships"><Relationship Type="http://schemas.openxmlformats.org/officeDocument/2006/relationships/hyperlink" Target="https://www.camara.leg.br/internet/comissao/index/mista/orca/orcamento/OR2020/emendas/despesa/ANDRELUF_AV_LOA_AUTOR_7122.pdf" TargetMode="External" Id="R0f1e1eb98fdd47f1" /><Relationship Type="http://schemas.openxmlformats.org/officeDocument/2006/relationships/hyperlink" Target="https://www.google.com/search?sxsrf=ALeKk01Js3aOXA783-GYlDufu-K8w_wRsA%3A1588816288564&amp;ei=oGmzXsvxIf2n5OUP_9Wg4Ak&amp;q=prefeitura+municipal+de+ARARICA&amp;oq=prefeitura+municipal+de+ARARICA&amp;gs_lcp=CgZwc3ktYWIQAzICCAAyBggAEBYQHjoECAAQRzoECCMQJzoFCAAQgwFQ47kBWNPFAWDkyAFoAHACeACAAdEBiAGcCZIBBTAuNi4xmAEAoAEBqgEHZ3dzLXdpeg&amp;sclient=psy-ab&amp;ved=0ahUKEwjLwfjz0aDpAhX9E7kGHf8qCJwQ4dUDCAw&amp;uact=5" TargetMode="External" Id="Re21453b0707f4279" /><Relationship Type="http://schemas.openxmlformats.org/officeDocument/2006/relationships/hyperlink" Target="https://www.google.com/search?sxsrf=ALeKk004y-Ch71Whz_VSmSpuIlYVL1D50Q%3A1588809777855&amp;ei=MVCzXv3KM_i15OUP042JiAQ&amp;q=prefeitura+municipal+de+bar&#227;o&amp;oq=prefeitura+municipal+de+bar&#227;o&amp;gs_lcp=CgZwc3ktYWIQAzIECCMQJzICCAAyAggAMgIIADICCAAyAggAMgIIADICCAAyAggAMgIIADoFCAAQgwFQq4IDWMWgA2CTrQNoAHAAeACAAfkCiAHvIZIBBjItMTIuNJgBAKABAaoBB2d3cy13aXo&amp;sclient=psy-ab&amp;ved=0ahUKEwi9p7LTuaDpAhX4GrkGHdNGAkEQ4dUDCAw&amp;uact=5" TargetMode="External" Id="Ra28e5b9a2c594ecd" /><Relationship Type="http://schemas.openxmlformats.org/officeDocument/2006/relationships/hyperlink" Target="https://www.google.com/search?q=prefeitura+muicipal+de+bom+principio&amp;oq=prefeitura+muicipal+de+bom+principio&amp;aqs=chrome..69i57j0l4.8860j0j7&amp;sourceid=chrome&amp;ie=UTF-8" TargetMode="External" Id="R984964484e9e4446" /><Relationship Type="http://schemas.openxmlformats.org/officeDocument/2006/relationships/hyperlink" Target="https://www.google.com/search?sxsrf=ALeKk02P2upkak--38bx1j_zJ8Kas38m3A%3A1588810287352&amp;ei=L1KzXuySFdy25OUPsqCliAc&amp;q=prefeitura+municipal+de+boqueir&#227;o+do+le&#227;o&amp;oq=prefeitura+municipal+de+boqueirao+do+leao&amp;gs_lcp=CgZwc3ktYWIQARgAMgIIADICCAAyBggAEBYQHjoECAAQRzoECCMQJzoECAAQQ1COpARYptEEYI7uBGgAcAF4AIAB4AKIAa8ikgEGMi0xNy4xmAEAoAEBqgEHZ3dzLXdpeg&amp;sclient=psy-ab" TargetMode="External" Id="R7a7365ead45845d9" /><Relationship Type="http://schemas.openxmlformats.org/officeDocument/2006/relationships/hyperlink" Target="https://www.camara.leg.br/internet/comissao/index/mista/orca/orcamento/OR2020/emendas/despesa/ANDRELUF_AV_LOA_AUTOR_7122.pdf" TargetMode="External" Id="R6a2debd7fcc44fd4" /><Relationship Type="http://schemas.openxmlformats.org/officeDocument/2006/relationships/hyperlink" Target="https://www.google.com/search?sxsrf=ALeKk01iENI8CSWmAkPOkAaxku-jPeFYcw%3A1588815011331&amp;ei=o2SzXujtE5uu5OUPh_-t4Ak&amp;q=PREFEITURA+MUNICIPAL+DE+CAMBARA+DO+SUL&amp;oq=PREFEITURA+MUNICIPAL+DE+CAMBARA+DO+SUL&amp;gs_lcp=CgZwc3ktYWIQAzICCAAyAggAOgQIABBHOgQIIxAnOgUIABCDAToGCAAQFhAeOgQIABANUKu7BViP_gVg3IYGaARwAngAgAGnCYgB-ViSAQ0yLTEuMi4yLjUuNC4zmAEAoAEBqgEHZ3dzLXdpeg&amp;sclient=psy-ab&amp;ved=0ahUKEwioy_SSzaDpAhUbF7kGHYd_C5wQ4dUDCAw&amp;uact=5" TargetMode="External" Id="Rf819a2c6ccd24b2c" /><Relationship Type="http://schemas.openxmlformats.org/officeDocument/2006/relationships/hyperlink" Target="https://www.camara.leg.br/internet/comissao/index/mista/orca/orcamento/OR2020/emendas/despesa/ANDRELUF_AV_LOA_AUTOR_7122.pdf" TargetMode="External" Id="R0ff0f13d64624340" /><Relationship Type="http://schemas.openxmlformats.org/officeDocument/2006/relationships/hyperlink" Target="https://www.google.com/search?sxsrf=ALeKk03xCvJl-OOK-G4nbicvy6tFQpj2bA%3A1588815386957&amp;ei=GmazXuLzOejB5OUPrKWGkAg&amp;q=PREFEITURA+MUNICIPAL+DE+CAMPO+BOM&amp;oq=PREFEITURA+MUNICIPAL+DE+CAMPO+BOM&amp;gs_lcp=CgZwc3ktYWIQAzICCAAyAggAMgIIADICCAAyAggAMgIIADICCAAyAggAOgQIABBHOgQIIxAnOgUIABCDAVDVoAJY-7ACYMi0AmgAcAJ4AIAB5wGIAaALkgEFMC44LjGYAQCgAQGqAQdnd3Mtd2l6&amp;sclient=psy-ab&amp;ved=0ahUKEwji6ILGzqDpAhXoILkGHaySAYIQ4dUDCAw&amp;uact=5" TargetMode="External" Id="R1cd3ce08472e4987" /><Relationship Type="http://schemas.openxmlformats.org/officeDocument/2006/relationships/hyperlink" Target="https://www.camara.leg.br/internet/comissao/index/mista/orca/orcamento/OR2020/emendas/despesa/ANDRELUF_AV_LOA_AUTOR_7122.pdf" TargetMode="External" Id="R2e1146b2bc5b40ab" /><Relationship Type="http://schemas.openxmlformats.org/officeDocument/2006/relationships/hyperlink" Target="https://www.google.com/search?sxsrf=ALeKk004pwHbs5-Rvs521fcwGXk1BoUhDQ%3A1588815429102&amp;ei=RWazXrXMBaO75OUPzde-8AM&amp;q=PREFEITURA+MUNICIPAL+DE+CANELA&amp;oq=PREFEITURA+MUNICIPAL+DE+CANELA&amp;gs_lcp=CgZwc3ktYWIQAzIECCMQJzICCAAyAggAMgIIADICCAAyAggAMgIIADICCAAyAggAMgQIABAeOgQIABBHOgQIABAKOggIABAWEAoQHjoICAAQDRAKEB46CAgAEAgQDRAeOgcIIRAKEKABOgcIIxCwAhAnOgQIABANOgYIABANEB5QtaUCWKnVAmCs2wJoAHACeACAAbsBiAGQCZIBAzAuN5gBAKABAaoBB2d3cy13aXo&amp;sclient=psy-ab&amp;ved=0ahUKEwj1go_azqDpAhWjHbkGHc2rDz4Q4dUDCAw&amp;uact=5" TargetMode="External" Id="R75296a98729f4580" /><Relationship Type="http://schemas.openxmlformats.org/officeDocument/2006/relationships/hyperlink" Target="https://www.google.com/search?sxsrf=ALeKk01EdUMzNDE9M_IZsMbJU_rvewjY_Q%3A1588810369750&amp;ei=gVKzXsqULYDX5OUP55e_kAg&amp;q=prefeitura+municipal+de+canela&amp;oq=prefeitura+municipal+de+canela&amp;gs_lcp=CgZwc3ktYWIQARgAMgIIADICCAAyAggAMgIIADICCAAyAggAMgIIADICCAAyAggAOgQIABBHOgQIIxAnOgQIABBDUMGBBFiljARg6JUEaABwAngAgAGDAogB-QySAQMyLTeYAQCgAQGqAQdnd3Mtd2l6&amp;sclient=psy-ab" TargetMode="External" Id="Red85e2e8c9844a03" /><Relationship Type="http://schemas.openxmlformats.org/officeDocument/2006/relationships/hyperlink" Target="https://www.camara.leg.br/internet/comissao/index/mista/orca/orcamento/OR2020/emendas/despesa/ANDRELUF_AV_LOA_AUTOR_7122.pdf" TargetMode="External" Id="Rda758f3aa9cf4ff5" /><Relationship Type="http://schemas.openxmlformats.org/officeDocument/2006/relationships/hyperlink" Target="https://www.google.com/search?sxsrf=ALeKk01beqknP_32Lm85Xnyl1CC-EUKLMg%3A1588816208710&amp;ei=UGmzXrDnKq6b5OUP1IusmA4&amp;q=prefeitura+municipal+de+CAP&#195;O+BONITO+DO+SUL&amp;oq=prefeitura+municipal+de+CAP&#195;O+BONITO+DO+SUL&amp;gs_lcp=CgZwc3ktYWIQAzICCAAyAggAMgYIABAWEB4yBggAEBYQHjoECCMQJzoICAAQFhAKEB5Qi-8BWI-mAmCqqQJoAHAAeACAAZUJiAGHWJIBCzMtMi4xLjYuNS4ymAEAoAEBqgEHZ3dzLXdpeg&amp;sclient=psy-ab&amp;ved=0ahUKEwiwz-7N0aDpAhWuDbkGHdQFC-MQ4dUDCAw&amp;uact=5" TargetMode="External" Id="Rb310a8cce0d24dc5" /><Relationship Type="http://schemas.openxmlformats.org/officeDocument/2006/relationships/hyperlink" Target="https://www.camara.leg.br/internet/comissao/index/mista/orca/orcamento/OR2020/emendas/despesa/ANDRELUF_AV_LOA_AUTOR_7122.pdf" TargetMode="External" Id="R2b9916af04ba4714" /><Relationship Type="http://schemas.openxmlformats.org/officeDocument/2006/relationships/hyperlink" Target="https://www.google.com/search?sxsrf=ALeKk00m3wpOzpr2xdApIqtW8vOb2j7nhA%3A1588815315162&amp;ei=02WzXo23CfGm5OUP5aaVsA4&amp;q=PREFEITURA+MUNICIPAL+DE+CARAZINHO&amp;oq=PREFEITURA+MUNICIPAL+DE+CARAZINHO&amp;gs_lcp=CgZwc3ktYWIQAzICCAAyAggAMgIIADICCAAyAggAMgIIADICCAAyAggAMgIIADICCAA6BAgAEEc6BAgjECc6BAgAEENQ64UCWJOZAmCOnQJoAHACeACAAeUBiAHgDJIBBTAuOS4xmAEAoAEBqgEHZ3dzLXdpeg&amp;sclient=psy-ab&amp;ved=0ahUKEwjN7OSjzqDpAhVxE7kGHWVTBeYQ4dUDCAw&amp;uact=5" TargetMode="External" Id="Ra1f914622d634edb" /><Relationship Type="http://schemas.openxmlformats.org/officeDocument/2006/relationships/hyperlink" Target="https://www.google.com/search?sxsrf=ALeKk02ZabjVygDRcZISZFDYiOp-JIPFrw%3A1588809836670&amp;ei=bFCzXpWzKJTQ5OUPirmryA0&amp;q=prefeitura+municipal+de+carlos+barbosa&amp;oq=prefeitura+municipal+de+carlos+barbosa&amp;gs_lcp=CgZwc3ktYWIQARgAMgIIADICCAAyBggAEBYQHjIGCAAQFhAeMgYIABAWEB4yBggAEBYQHjoECAAQRzoFCAAQgwFQpMsBWMjhAWCx8QFoAHACeACAAYoDiAHwHZIBBjItMTEuM5gBAKABAaoBB2d3cy13aXo&amp;sclient=psy-ab" TargetMode="External" Id="R801556e4a7b94b35" /><Relationship Type="http://schemas.openxmlformats.org/officeDocument/2006/relationships/hyperlink" Target="https://www.camara.leg.br/internet/comissao/index/mista/orca/orcamento/OR2020/emendas/despesa/ANDRELUF_AV_LOA_AUTOR_7122.pdf" TargetMode="External" Id="R9833a5e848884f7f" /><Relationship Type="http://schemas.openxmlformats.org/officeDocument/2006/relationships/hyperlink" Target="https://www.google.com/search?sxsrf=ALeKk01ONtKEXJPsikhqm_F27IWBeRIzDA%3A1588815914309&amp;ei=KmizXri2EvWU5OUPiNOkmA0&amp;q=prefeitura+municipal+de+dois+irm&#227;os&amp;oq=prefeitura+municipal+de+DOIS+IRM&#195;OS&amp;gs_lcp=CgZwc3ktYWIQARgAMgQIIxAnMgIIADICCAAyAggAMgIIADIGCAAQFhAeMgYIABAWEB4yBggAEBYQHjIGCAAQFhAeMgYIABAWEB46BAgAEEdQ4aYCWNe6AmCXxQJoAHACeACAAYACiAGoDpIBBjAuMTAuMZgBAKABAaoBB2d3cy13aXo&amp;sclient=psy-ab" TargetMode="External" Id="R868866b5f3484807" /><Relationship Type="http://schemas.openxmlformats.org/officeDocument/2006/relationships/hyperlink" Target="https://www.google.com/search?sxsrf=ALeKk03evBlJHr9hEkosLRHUxEBr4-jMAQ%3A1588809871829&amp;ei=j1CzXrqFMs3B5OUPooKekAk&amp;q=prefeitura+municipal+de+dois+irm&#227;os&amp;oq=prefeitura+municipal+de+dois+irm&#227;os&amp;gs_lcp=CgZwc3ktYWIQAzICCAAyAggAMgIIADICCAAyAggAMgYIABAWEB4yBggAEBYQHjIGCAAQFhAeMgYIABAWEB4yBggAEBYQHjoGCAAQBxAeOgQIABBDOgQIABAeOgQIIxAnULmeAlj8tAJgx78CaABwAHgAgAGgAogB8xmSAQQyLTEzmAEAoAEBqgEHZ3dzLXdpeg&amp;sclient=psy-ab&amp;ved=0ahUKEwj6iJqAuqDpAhXNILkGHSKBB5IQ4dUDCAw&amp;uact=5" TargetMode="External" Id="R9ceb165fd519435f" /><Relationship Type="http://schemas.openxmlformats.org/officeDocument/2006/relationships/hyperlink" Target="https://www.google.com/search?sxsrf=ALeKk01Z3gzBHz0BEv98lP-2x2dRHWeq0w%3A1588810533286&amp;ei=JVOzXqWHEeed5OUP55yryAw&amp;q=prefeitura+municipal+de+encantado&amp;oq=prefeitura+municipal+de+encantado&amp;gs_lcp=CgZwc3ktYWIQAzICCAAyAggAMgIIADICCAAyAggAMgIIADICCAAyAggAOgQIIxAnOgYIABAWEB5QgAlY6hdgsCRoAXAAeACAAZQCiAHrDpIBBTAuNy4zmAEAoAEBqgEHZ3dzLXdpeg&amp;sclient=psy-ab&amp;ved=0ahUKEwjlrc67vKDpAhXnDrkGHWfOCskQ4dUDCAw&amp;uact=5" TargetMode="External" Id="R732a8f644b9e4273" /><Relationship Type="http://schemas.openxmlformats.org/officeDocument/2006/relationships/hyperlink" Target="https://www.camara.leg.br/internet/comissao/index/mista/orca/orcamento/OR2020/emendas/despesa/ANDRELUF_AV_LOA_AUTOR_7122.pdf" TargetMode="External" Id="Rdc1bb2b1000045fd" /><Relationship Type="http://schemas.openxmlformats.org/officeDocument/2006/relationships/hyperlink" Target="https://www.google.com/search?sxsrf=ALeKk00W_9nFA1L431ejAoAbu8zocZhLbA%3A1588815620245&amp;ei=BGezXrvBDt7Y5OUPr4ibwAY&amp;q=prefeitura+municipal+de+ESTANCIA+VELHA&amp;oq=prefeitura+municipal+de+ESTANCIA+VELHA&amp;gs_lcp=CgZwc3ktYWIQAzICCAAyAggAMgIIADICCAAyBggAEBYQHjIGCAAQFhAeMgYIABAWEB4yBggAEBYQHjIGCAAQFhAeMgYIABAWEB46BAgAEEc6BAgjECdQt4sCWJ2hAmDyowJoAHACeACAAZoCiAGnFJIBBjAuMTAuNJgBAKABAaoBB2d3cy13aXo&amp;sclient=psy-ab&amp;ved=0ahUKEwi706G1z6DpAhVeLLkGHS_EBmgQ4dUDCAw&amp;uact=5" TargetMode="External" Id="Rbbcd785b43b64876" /><Relationship Type="http://schemas.openxmlformats.org/officeDocument/2006/relationships/hyperlink" Target="https://www.google.com/search?sxsrf=ALeKk01RPSlQQ5WbzCYVMWTek4N3mSBntg%3A1588809915813&amp;ei=u1CzXtGQMca65OUP3PuL8AI&amp;q=prefeitura+municipal+de+esteio&amp;oq=prefeitura+municipal+de+estei&amp;gs_lcp=CgZwc3ktYWIQARgAMgIIADICCAAyAggAMgIIADICCAAyAggAMgIIADICCAA6BAgAEEc6BAgjECc6CAghEBYQHRAeOgQIIRAKUInQDFiW6Qxgt_QMaAFwAngAgAGRAogBqQuSAQMyLTaYAQCgAQGqAQdnd3Mtd2l6&amp;sclient=psy-ab" TargetMode="External" Id="R8923847339214380" /><Relationship Type="http://schemas.openxmlformats.org/officeDocument/2006/relationships/hyperlink" Target="https://www.google.com/search?sxsrf=ALeKk00foajE99EcAQoiUkqrgyD1814ZyQ%3A1588811058770&amp;ei=MlWzXtTBLsiv5OUP5eSQgAU&amp;q=prefeitura+municipal+de+feliz&amp;oq=prefeitura+municipal+de+feliz&amp;gs_lcp=CgZwc3ktYWIQAzICCAAyAggAMgIIADIECAAQCjICCAAyBAgAEAoyAggAMgIIADoECAAQRzoECCMQJzoFCAAQgwFQy_IBWKCQAmDVmQJoBHACeACAAbYCiAH6EJIBBTItOC4xmAEAoAEBqgEHZ3dzLXdpeg&amp;sclient=psy-ab&amp;ved=0ahUKEwjUope2vqDpAhXIF7kGHWUyBFAQ4dUDCAw&amp;uact=5" TargetMode="External" Id="R5ce3aa7cbc7c4cf2" /><Relationship Type="http://schemas.openxmlformats.org/officeDocument/2006/relationships/hyperlink" Target="https://www.google.com/search?sxsrf=ALeKk01be0RBrFqf1-QqbgN3fEkwJ_4TNg%3A1588810618454&amp;ei=elOzXtyTG_G95OUP0eKNuAI&amp;q=prefeitura+municipal+de+garibaldi&amp;oq=prefeitura+municipal+de+garibaldi&amp;gs_lcp=CgZwc3ktYWIQAzICCAAyAggAMgIIADICCAAyBggAEBYQHjIGCAAQFhAeMgYIABAWEB4yBggAEBYQHjIGCAAQFhAeMgYIABAWEB46BAgAEEc6BAgjECc6CAgAEBYQChAeUJCkAljCtQJgyL0CaABwAngAgAG5AYgBgguSAQMwLjmYAQCgAQGqAQdnd3Mtd2l6&amp;sclient=psy-ab&amp;ved=0ahUKEwjcuJzkvKDpAhXxHrkGHVFxAycQ4dUDCAw&amp;uact=5" TargetMode="External" Id="Rf8d1f618f0514c13" /><Relationship Type="http://schemas.openxmlformats.org/officeDocument/2006/relationships/hyperlink" Target="https://www.camara.leg.br/internet/comissao/index/mista/orca/orcamento/OR2020/emendas/despesa/ANDRELUF_AV_LOA_AUTOR_7122.pdf" TargetMode="External" Id="R89b81a722e4749cd" /><Relationship Type="http://schemas.openxmlformats.org/officeDocument/2006/relationships/hyperlink" Target="https://www.google.com/search?sxsrf=ALeKk01dAKWTQBjAyDsT7uPoSdtqaXuHJQ%3A1588815114506&amp;ei=CmWzXsiiHuXG5OUPgJCugAY&amp;q=PREFEITURA+MUNICIPAL+DE+gramado&amp;oq=PREFEITURA+MUNICIPAL+DE+gramado&amp;gs_lcp=CgZwc3ktYWIQAzIECCMQJzICCAAyAggAMgIIADICCAAyAggAMgIIADICCAAyAggAOgQIABBHUKbPAlj12QJglt4CaABwAngAgAGtAYgBhAiSAQMwLjeYAQCgAQGqAQdnd3Mtd2l6&amp;sclient=psy-ab&amp;ved=0ahUKEwjIz43EzaDpAhVlI7kGHQCIC2AQ4dUDCAw&amp;uact=5" TargetMode="External" Id="Rc4c4996a34904701" /><Relationship Type="http://schemas.openxmlformats.org/officeDocument/2006/relationships/hyperlink" Target="https://www.google.com/search?sxsrf=ALeKk03hAWngBcyjWN4wDA2mnWPo2aRzlA%3A1588810708527&amp;ei=1FOzXsTeH4W75OUPlOuXgAg&amp;q=prefeitura+municipal+de+guaiba&amp;oq=prefeitura+municipal+de+guaiba&amp;gs_lcp=CgZwc3ktYWIQAzICCAAyAggAMgIIADIGCAAQFhAeMgYIABAWEB4yBggAEBYQHjIGCAAQFhAeMgYIABAWEB4yBggAEBYQHjIGCAAQFhAeOgQIABBHOgQIIxAnOgQIABBDUMP0AVii_wFgroECaABwAngAgAGmAYgBsgiSAQMwLjeYAQCgAQGqAQdnd3Mtd2l6&amp;sclient=psy-ab&amp;ved=0ahUKEwjEmJaPvaDpAhWFHbkGHZT1BYAQ4dUDCAw&amp;uact=5" TargetMode="External" Id="R2c7f4e0c11e74f4f" /><Relationship Type="http://schemas.openxmlformats.org/officeDocument/2006/relationships/hyperlink" Target="https://www.google.com/search?sxsrf=ALeKk03OIUiwDh3w4AOH6coOdKCRfx_REQ%3A1588810132470&amp;ei=lFGzXsOOHPrY5OUPodmq2A4&amp;q=prefeitura+municipal+de+harmonia&amp;oq=prefeitura+municipal+de+harmonia&amp;gs_lcp=CgZwc3ktYWIQARgAMgIIADIGCAAQFhAeMgYIABAWEB4yBggAEBYQHjoECAAQRzoICAAQFhAKEB5Q0csBWLbaAWD05gFoAHACeACAAZ0CiAGiD5IBAzItOJgBAKABAaoBB2d3cy13aXo&amp;sclient=psy-ab" TargetMode="External" Id="R9a14e640ed98493d" /><Relationship Type="http://schemas.openxmlformats.org/officeDocument/2006/relationships/hyperlink" Target="https://www.camara.leg.br/internet/comissao/index/mista/orca/orcamento/OR2020/emendas/despesa/ANDRELUF_AV_LOA_AUTOR_7122.pdf" TargetMode="External" Id="R951885a33f244e80" /><Relationship Type="http://schemas.openxmlformats.org/officeDocument/2006/relationships/hyperlink" Target="https://www.google.com/search?sxsrf=ALeKk03iIAkThj0_qjqnFeGKyBOfFk59gw%3A1588815282055&amp;ei=smWzXqbpAqq65OUP6L-P8Ao&amp;q=PREFEITURA+MUNICIPAL+DE+IGREJINHA&amp;oq=PREFEITURA+MUNICIPAL+DE+IGREJINHA&amp;gs_lcp=CgZwc3ktYWIQAzIECCMQJzICCAAyAggAMgYIABAWEB4yBggAEBYQHjIGCAAQFhAeOgQIABBHOgUIABCDAVCA3gFY9O0BYMjxAWgAcAJ4AIAB7wGIAc4LkgEFMC44LjGYAQCgAQGqAQdnd3Mtd2l6&amp;sclient=psy-ab&amp;ved=0ahUKEwimioCUzqDpAhUqHbkGHejfA64Q4dUDCAw&amp;uact=5" TargetMode="External" Id="Rfadbeb3c00ec477c" /><Relationship Type="http://schemas.openxmlformats.org/officeDocument/2006/relationships/hyperlink" Target="https://www.google.com/search?sxsrf=ALeKk02K7DbzDrlkAXlRqPqHlHXh2YA7Dg%3A1588810164788&amp;ei=tFGzXoa7L4OH0AbFg5P4CA&amp;q=prefeitura+municipal+de+igrejinha&amp;oq=prefeitura+municipal+de+igrejinha&amp;gs_lcp=CgZwc3ktYWIQAzIECCMQJzICCAAyAggAMgYIABAWEB4yBggAEBYQHjIGCAAQFhAeOgQIABBHOgUIABCDAVDYhwRY1JkEYMumBGgAcAJ4AIABqgKIAYQSkgEDMi05mAEAoAEBqgEHZ3dzLXdpeg&amp;sclient=psy-ab&amp;ved=0ahUKEwiG5fKLu6DpAhWDA9QKHcXBBI8Q4dUDCAw&amp;uact=5" TargetMode="External" Id="Rc9c40b3a6302486c" /><Relationship Type="http://schemas.openxmlformats.org/officeDocument/2006/relationships/hyperlink" Target="https://www.google.com/search?sxsrf=ALeKk00T1vV1nIl_054XKLlCfrLCvKmXBw%3A1588810743515&amp;ei=91OzXrKBH63F5OUPnoyvmAk&amp;q=prefeitura+municipal+de+imigrante&amp;oq=prefeitura+municipal+de+imigrante&amp;gs_lcp=CgZwc3ktYWIQAzICCAAyBggAEBYQHjIGCAAQFhAeMgYIABAWEB4yBggAEBYQHjIGCAAQFhAeMgYIABAWEB4yBggAEBYQHjIGCAAQFhAeMgYIABAWEB46BAgAEEc6BAgjECc6BQgAEIMBUJ6dAljxrAJgv7QCaABwAngAgAGqAYgBqAuSAQMwLjmYAQCgAQGqAQdnd3Mtd2l6&amp;sclient=psy-ab&amp;ved=0ahUKEwjy2O2fvaDpAhWtIrkGHR7GC5MQ4dUDCAw&amp;uact=5" TargetMode="External" Id="Rffc76ab6921a4441" /><Relationship Type="http://schemas.openxmlformats.org/officeDocument/2006/relationships/hyperlink" Target="https://www.camara.leg.br/internet/comissao/index/mista/orca/orcamento/OR2020/emendas/despesa/ANDRELUF_AV_LOA_AUTOR_7122.pdf" TargetMode="External" Id="R8bea7b87d24644c8" /><Relationship Type="http://schemas.openxmlformats.org/officeDocument/2006/relationships/hyperlink" Target="https://www.google.com/search?sxsrf=ALeKk03cVlSpkHs3DTYVd6LrZ4fAduq_vQ%3A1588816049706&amp;ei=sWizXqHbKuTC5OUPtvOLiAo&amp;q=prefeitura+municipal+de+IVOTI&amp;oq=prefeitura+municipal+de+IVOTI&amp;gs_lcp=CgZwc3ktYWIQAzICCAAyAggAMgIIADICCAAyBggAEBYQHjIGCAAQFhAeMgYIABAWEB4yBggAEBYQHjoECAAQRzoECCMQJzoFCAAQgwFQ-vYBWNL_AWC6hwJoAHACeACAAfkBiAH5BpIBBTAuNC4xmAEAoAEBqgEHZ3dzLXdpeg&amp;sclient=psy-ab&amp;ved=0ahUKEwjh94WC0aDpAhVkIbkGHbb5AqEQ4dUDCAw&amp;uact=5" TargetMode="External" Id="Ra7ea80a51ab54930" /><Relationship Type="http://schemas.openxmlformats.org/officeDocument/2006/relationships/hyperlink" Target="https://www.google.com/search?sxsrf=ALeKk03PDSZd7lGlKA5557porsPPxiY5zg%3A1588810661254&amp;ei=pVOzXuCCD8DN5OUPg5esuAk&amp;q=prefeitura+municipal+de+lagoa+vermelha&amp;oq=prefeitura+municipal+de+lagoa+vermelha&amp;gs_lcp=CgZwc3ktYWIQAzIECCMQJzIGCAAQFhAeMgYIABAWEB4yBggAEBYQHjIGCAAQFhAeMgYIABAWEB4yBggAEBYQHjIGCAAQFhAeMgYIABAWEB4yBggAEBYQHjoECAAQRzoCCAA6BQgAEIMBUIS9AljM1gJg798CaABwAngAgAHrAYgBjBKSAQYwLjEzLjGYAQCgAQGqAQdnd3Mtd2l6&amp;sclient=psy-ab&amp;ved=0ahUKEwig6dD4vKDpAhXAJrkGHYMLC5cQ4dUDCAw&amp;uact=5" TargetMode="External" Id="Re445a64463104aee" /><Relationship Type="http://schemas.openxmlformats.org/officeDocument/2006/relationships/hyperlink" Target="https://www.camara.leg.br/internet/comissao/index/mista/orca/orcamento/OR2020/emendas/despesa/ANDRELUF_AV_LOA_AUTOR_7122.pdf" TargetMode="External" Id="Rb3e9900c15234278" /><Relationship Type="http://schemas.openxmlformats.org/officeDocument/2006/relationships/hyperlink" Target="https://www.google.com/search?sxsrf=ALeKk00t77QEnNWMSLbm3Kn0CYIEuBJF6A%3A1588816086003&amp;ei=1WizXqbnPLex5OUPzu6iiAg&amp;q=prefeitura+municipal+de+LINDOLFO+COLLOR&amp;oq=prefeitura+municipal+de+LINDOLFO+COLLOR&amp;gs_lcp=CgZwc3ktYWIQAzICCAAyAggAMgYIABAWEB46BAgAEEc6BAgjECc6BQgAEIMBOgQIABAKULrfAliN_AJglf8CaABwAngAgAHyAYgBgBWSAQYwLjEzLjOYAQCgAQGqAQdnd3Mtd2l6&amp;sclient=psy-ab&amp;ved=0ahUKEwjmpa2T0aDpAhW3GLkGHU63CIEQ4dUDCAw&amp;uact=5" TargetMode="External" Id="R935d626e310c47a2" /><Relationship Type="http://schemas.openxmlformats.org/officeDocument/2006/relationships/hyperlink" Target="https://www.camara.leg.br/internet/comissao/index/mista/orca/orcamento/OR2020/emendas/despesa/ANDRELUF_AV_LOA_AUTOR_7122.pdf" TargetMode="External" Id="R2adda3c210414208" /><Relationship Type="http://schemas.openxmlformats.org/officeDocument/2006/relationships/hyperlink" Target="https://www.google.com/search?sxsrf=ALeKk01O8nAF2bNfV9volxJ5f06SuG1zVg%3A1588815353729&amp;ei=-WWzXuyGLPzD5OUPk_uKeA&amp;q=PREFEITURA+MUNICIPAL+DE+MARAU&amp;oq=PREFEITURA+MUNICIPAL+DE+MARAU&amp;gs_lcp=CgZwc3ktYWIQAzIECCMQJzICCAAyAggAMgIIADICCAAyAggAMgYIABAWEB4yBggAEBYQHjIGCAAQFhAeMggIABAWEAoQHjoECAAQRzoFCAAQgwFQxOIBWO_pAWCi7gFoAHACeACAAeMBiAGXB5IBBTAuMy4ymAEAoAEBqgEHZ3dzLXdpeg&amp;sclient=psy-ab&amp;ved=0ahUKEwis55a2zqDpAhX8IbkGHZO9Ag8Q4dUDCAw&amp;uact=5" TargetMode="External" Id="Rf6eacd15611b4f07" /><Relationship Type="http://schemas.openxmlformats.org/officeDocument/2006/relationships/hyperlink" Target="https://www.camara.leg.br/internet/comissao/index/mista/orca/orcamento/OR2020/emendas/despesa/ANDRELUF_AV_LOA_AUTOR_7122.pdf" TargetMode="External" Id="Rc0c895429206445a" /><Relationship Type="http://schemas.openxmlformats.org/officeDocument/2006/relationships/hyperlink" Target="https://www.google.com/search?sxsrf=ALeKk00m9Kkc_c91lu_aiEhvng-sE-9YIA%3A1588815958319&amp;ei=VmizXqHzEsfU5OUPyaSf0As&amp;q=prefeitura+municipal+deMORRO+REUTER&amp;oq=prefeitura+municipal+deMORRO+REUTER&amp;gs_lcp=CgZwc3ktYWIQAzIECAAQDTIGCAAQDRAeOgQIABBHOgcIIxCxAhAnOgQIABAKOggIABAWEAoQHjoGCAAQFhAeOggIABANEAUQHlDZwAJY8NECYNrYAmgAcAJ4AIABvAKIAewSkgEHMC43LjQuMZgBAKABAaoBB2d3cy13aXo&amp;sclient=psy-ab&amp;ved=0ahUKEwih9rvW0KDpAhVHKrkGHUnSB7oQ4dUDCAw&amp;uact=5" TargetMode="External" Id="R0b4216f59be14963" /><Relationship Type="http://schemas.openxmlformats.org/officeDocument/2006/relationships/hyperlink" Target="https://www.camara.leg.br/internet/comissao/index/mista/orca/orcamento/OR2020/emendas/despesa/ANDRELUF_AV_LOA_AUTOR_7122.pdf" TargetMode="External" Id="R004dc2f019ea4f06" /><Relationship Type="http://schemas.openxmlformats.org/officeDocument/2006/relationships/hyperlink" Target="https://www.google.com/search?sxsrf=ALeKk01dwnlYoXFrm_atl-D83o00Ob5twQ%3A1588816318334&amp;ei=vmmzXvjoE5Gz5OUPqamviAI&amp;q=prefeitura+municipal+de+NOVA+HARTZ&amp;oq=prefeitura+municipal+de+NOVA+HARTZ&amp;gs_lcp=CgZwc3ktYWIQAzIECCMQJzIGCAAQFhAeMgYIABAWEB46BAgAEEc6BAgAEEM6AggAOgUIABCDAVCslAJYsqcCYMupAmgAcAJ4AIABrAGIAfcMkgEEMC4xMZgBAKABAaoBB2d3cy13aXo&amp;sclient=psy-ab&amp;ved=0ahUKEwj4v5GC0qDpAhWRGbkGHanUCyEQ4dUDCAw&amp;uact=5" TargetMode="External" Id="R93e068c503a54bb5" /><Relationship Type="http://schemas.openxmlformats.org/officeDocument/2006/relationships/hyperlink" Target="https://www.google.com/search?sxsrf=ALeKk03JI0ZRTNt-B4_ymUKDBREJG9staw%3A1588810440461&amp;ei=yFKzXufDG6PN5OUPxo6qmAo&amp;q=prefeitura+municipal+de+nova+hartz&amp;oq=prefeitura+municipal+de+nova+hartz&amp;gs_lcp=CgZwc3ktYWIQAzICCAAyBggAEBYQHjIGCAAQFhAeOgQIABBHOgUIABCDAVDI5QJY5fYCYMj5AmgAcAJ4AIABgwKIAd8NkgEFMC45LjGYAQCgAQGqAQdnd3Mtd2l6&amp;sclient=psy-ab&amp;ved=0ahUKEwjnx6yPvKDpAhWjJrkGHUaHCqMQ4dUDCAw&amp;uact=5" TargetMode="External" Id="R7d631bcd16424581" /><Relationship Type="http://schemas.openxmlformats.org/officeDocument/2006/relationships/hyperlink" Target="https://www.camara.leg.br/internet/comissao/index/mista/orca/orcamento/OR2020/emendas/despesa/ANDRELUF_AV_LOA_AUTOR_7122.pdf" TargetMode="External" Id="R7f8f059196e544dc" /><Relationship Type="http://schemas.openxmlformats.org/officeDocument/2006/relationships/hyperlink" Target="https://www.google.com/search?sxsrf=ALeKk00xa2c8OpVYPNjo7-Mnu5_frxkYWg%3A1588815718054&amp;ei=ZmezXrzjApac5OUP5ZiAgAU&amp;q=prefeitura+municipal+de+nova+petropolis&amp;oq=prefeitura+municipal+de+NOVA&amp;gs_lcp=CgZwc3ktYWIQARgAMgQIIxAnMgQIIxAnMgUIABCDATICCAAyAggAMgIIADICCAAyAggAMgIIADICCAA6BAgAEEdQ24kDWJaPA2CemgNoAHACeACAAZ8BiAHyBJIBAzAuNJgBAKABAaoBB2d3cy13aXo&amp;sclient=psy-ab" TargetMode="External" Id="Rc12f17aa341940c5" /><Relationship Type="http://schemas.openxmlformats.org/officeDocument/2006/relationships/hyperlink" Target="https://www.google.com/search?sxsrf=ALeKk02CvIfkNQXhJEwTjUbLTJS6dTShqQ%3A1588810819024&amp;ei=Q1SzXr9k9Mzk5Q-s8pXgCQ&amp;q=prefeitura+municipal+de+nova+petropolis&amp;oq=prefeitura+municipal+de+nova+petropolis&amp;gs_lcp=CgZwc3ktYWIQAzICCAAyBggAEBYQHjIGCAAQFhAeMgYIABAWEB4yBggAEBYQHjoECAAQRzoECCMQJzoFCAAQgwE6CAgAEBYQChAeOgQIABANUO3JAljW7QJgv_ACaAFwAngAgAHUAYgBkhWSAQYwLjE1LjGYAQCgAQGqAQdnd3Mtd2l6&amp;sclient=psy-ab&amp;ved=0ahUKEwj_ke7DvaDpAhV0JrkGHSx5BZwQ4dUDCAw&amp;uact=5" TargetMode="External" Id="R143957fdac074fc8" /><Relationship Type="http://schemas.openxmlformats.org/officeDocument/2006/relationships/hyperlink" Target="https://www.camara.leg.br/internet/comissao/index/mista/orca/orcamento/OR2020/emendas/despesa/ANDRELUF_AV_LOA_AUTOR_7122.pdf" TargetMode="External" Id="Rbb76c0284ec441b4" /><Relationship Type="http://schemas.openxmlformats.org/officeDocument/2006/relationships/hyperlink" Target="https://www.google.com/search?sxsrf=ALeKk00zeFiHTpXVW92pjk9_53qBFH4E5w%3A1588815554248&amp;ei=wmazXqzeDtWj5OUP4YSRiA8&amp;q=prefeitura+municipal+de+novo+hamburgo&amp;oq=PREFEITURA+MUNICIPAL+DE+NOVO+HAM&amp;gs_lcp=CgZwc3ktYWIQARgAMgIIADICCAAyAggAMgIIADICCAAyAggAMgIIADICCAAyAggAMgIIADoECAAQRzoECCMQJzoFCAAQgwFQtOACWLjYA2CE7wNoAHACeACAAcgBiAHBCZIBBTAuNy4xmAEAoAEBqgEHZ3dzLXdpeg&amp;sclient=psy-ab" TargetMode="External" Id="R9740880aa5db4fe7" /><Relationship Type="http://schemas.openxmlformats.org/officeDocument/2006/relationships/hyperlink" Target="https://www.google.com/search?sxsrf=ALeKk03u5uoMXEZzCN0nw_A4uT3NXJzssw%3A1588810868321&amp;ei=dFSzXoeCE-vN5OUP8p6c6Aw&amp;q=prefeitura+municipal+de+panambi&amp;oq=prefeitura+municipal+de+panambi&amp;gs_lcp=CgZwc3ktYWIQAzICCAAyAggAMgIIADICCAA6BAgAEEc6BQgAEIMBUIG2AljlvgJgvsECaABwAngAgAGfAYgBngiSAQMwLjeYAQCgAQGqAQdnd3Mtd2l6&amp;sclient=psy-ab&amp;ved=0ahUKEwiHjK_bvaDpAhXrJrkGHXIPB80Q4dUDCAw&amp;uact=5" TargetMode="External" Id="Re660a63ccba04beb" /><Relationship Type="http://schemas.openxmlformats.org/officeDocument/2006/relationships/hyperlink" Target="https://www.camara.leg.br/internet/comissao/index/mista/orca/orcamento/OR2020/emendas/despesa/ANDRELUF_AV_LOA_AUTOR_7122.pdf" TargetMode="External" Id="R9c594d7e43de4fa2" /><Relationship Type="http://schemas.openxmlformats.org/officeDocument/2006/relationships/hyperlink" Target="https://www.google.com/search?sxsrf=ALeKk03VjM15vLA1DXRQoig-cwy-3evNBg%3A1588815819780&amp;ei=y2ezXqGRL_bA5OUPhNe_yAQ&amp;q=prefeitura+municipal+de+parob&#233;&amp;oq=prefeitura+municipal+de+PAROB&#201;&amp;gs_lcp=CgZwc3ktYWIQARgAMgIIADIGCAAQFhAeMgYIABAWEB4yBggAEBYQHjIGCAAQFhAeMgYIABAWEB46BAgAEEc6BAgjECc6BAgAEEM6BQgAEIMBOgQIABAKUOfLAlia3AJgrukCaABwAngAgAGsAYgByAeSAQMwLjaYAQCgAQGqAQdnd3Mtd2l6&amp;sclient=psy-ab" TargetMode="External" Id="R8437ea87fcaa482d" /><Relationship Type="http://schemas.openxmlformats.org/officeDocument/2006/relationships/hyperlink" Target="https://www.camara.leg.br/internet/comissao/index/mista/orca/orcamento/OR2020/emendas/despesa/ANDRELUF_AV_LOA_AUTOR_7122.pdf" TargetMode="External" Id="Rfe08208155954160" /><Relationship Type="http://schemas.openxmlformats.org/officeDocument/2006/relationships/hyperlink" Target="https://www.google.com/search?sxsrf=ALeKk00w1Cpfxo3KbUjxgSI_3ktIew80kQ%3A1588816248841&amp;ei=eGmzXsD-Muqx5OUPr6eKwAY&amp;q=prefeitura+municipal+de+PASSO+FUNDO&amp;oq=prefeitura+municipal+de+PASSO+FUNDO&amp;gs_lcp=CgZwc3ktYWIQAzICCAAyAggAMgIIADICCAAyAggAMgIIADICCAAyAggAMgIIADICCAA6BAgAEEc6BAgjECc6BQgAEIMBUOWOAliKogJghKYCaABwAngAgAHxAYgBxA2SAQYwLjEwLjGYAQCgAQGqAQdnd3Mtd2l6&amp;sclient=psy-ab&amp;ved=0ahUKEwjAmoDh0aDpAhXqGLkGHa-TAmgQ4dUDCAw&amp;uact=5" TargetMode="External" Id="Rab7b344c86b74970" /><Relationship Type="http://schemas.openxmlformats.org/officeDocument/2006/relationships/hyperlink" Target="https://www.camara.leg.br/internet/comissao/index/mista/orca/orcamento/OR2020/emendas/despesa/ANDRELUF_AV_LOA_AUTOR_7122.pdf" TargetMode="External" Id="Rdbf3039cddcc44c5" /><Relationship Type="http://schemas.openxmlformats.org/officeDocument/2006/relationships/hyperlink" Target="https://www.google.com/search?sxsrf=ALeKk03NTPLJlpegQ2BOzs8tMBdSxbeKuQ%3A1588815773545&amp;ei=nWezXoLaIMOP0AbFwZXoDA&amp;q=prefeitura+municipal+de+PICADA+CAFE&amp;oq=prefeitura+municipal+de+PICADA+CAFE&amp;gs_lcp=CgZwc3ktYWIQAzICCAAyAggAOgQIABBHOgQIIxAnOgUIABCDAToGCAAQFhAeULK9Alif0QJgqNMCaABwAngAgAGzAYgBqQ2SAQQwLjExmAEAoAEBqgEHZ3dzLXdpeg&amp;sclient=psy-ab&amp;ved=0ahUKEwjCnK7-z6DpAhXDB9QKHcVgBc0Q4dUDCAw&amp;uact=5" TargetMode="External" Id="R171db2b8cf594b97" /><Relationship Type="http://schemas.openxmlformats.org/officeDocument/2006/relationships/hyperlink" Target="https://www.camara.leg.br/internet/comissao/index/mista/orca/orcamento/OR2020/emendas/despesa/ANDRELUF_AV_LOA_AUTOR_7122.pdf" TargetMode="External" Id="R64667bf1eba24f83" /><Relationship Type="http://schemas.openxmlformats.org/officeDocument/2006/relationships/hyperlink" Target="https://www.google.com/search?sxsrf=ALeKk02ZNiUMYAn8ZgzNw6uL804HMP54BQ%3A1588815475681&amp;ei=c2azXsWUKY3A5OUP8LKlsAI&amp;q=PREFEITURA+MUNICIPAL+DE+PORTAO&amp;oq=PREFEITURA+MUNICIPAL+DE+PORTAO&amp;gs_lcp=CgZwc3ktYWIQAzICCAAyBggAEBYQHjIGCAAQFhAeMgYIABAWEB4yBggAEBYQHjIGCAAQFhAeMgYIABAWEB46BAgAEEc6BAgjECc6BQgAEIMBULHpAVjF9gFgg4ACaABwAngAgAHQAYgB1QeSAQUwLjUuMZgBAKABAaoBB2d3cy13aXo&amp;sclient=psy-ab&amp;ved=0ahUKEwiFmqrwzqDpAhUNILkGHXBZCSYQ4dUDCAw&amp;uact=5" TargetMode="External" Id="Rb8819f43b0314181" /><Relationship Type="http://schemas.openxmlformats.org/officeDocument/2006/relationships/hyperlink" Target="https://www.camara.leg.br/internet/comissao/index/mista/orca/orcamento/OR2020/emendas/despesa/ANDRELUF_AV_LOA_AUTOR_7122.pdf" TargetMode="External" Id="Re4988c1f033d45c1" /><Relationship Type="http://schemas.openxmlformats.org/officeDocument/2006/relationships/hyperlink" Target="https://www.camara.leg.br/internet/comissao/index/mista/orca/orcamento/OR2020/emendas/despesa/ANDRELUF_AV_LOA_AUTOR_7122.pdf" TargetMode="External" Id="Rdb87117be0354724" /><Relationship Type="http://schemas.openxmlformats.org/officeDocument/2006/relationships/hyperlink" Target="https://www.google.com/search?sxsrf=ALeKk00u91p0CzoQxqG-920E52XaT8_plQ%3A1588816137258&amp;ei=CWmzXtChD8jZ5OUP-dOWgAE&amp;q=prefeitura+municipal+de+presidente+lucena&amp;oq=prefeitura+municipal+de+PRESIDENTE+LUCE&amp;gs_lcp=CgZwc3ktYWIQARgAMgIIADICCAAyBggAEBYQHjIGCAAQFhAeMgYIABAWEB4yBggAEBYQHjIGCAAQFhAeMgYIABAWEB4yBggAEBYQHjIGCAAQFhAeULjfAVjB_gFglYgCaABwAHgAgAGjCogB6y2SAQkyLTEuNi0xLjSYAQCgAQGqAQdnd3Mtd2l6&amp;sclient=psy-ab" TargetMode="External" Id="R1efa6ede3fcd48f8" /><Relationship Type="http://schemas.openxmlformats.org/officeDocument/2006/relationships/hyperlink" Target="https://www.camara.leg.br/internet/comissao/index/mista/orca/orcamento/OR2020/emendas/despesa/ANDRELUF_AV_LOA_AUTOR_7122.pdf" TargetMode="External" Id="Rc7fec17be0364c99" /><Relationship Type="http://schemas.openxmlformats.org/officeDocument/2006/relationships/hyperlink" Target="https://www.google.com/search?sxsrf=ALeKk01q9dPdZ-65SOEuWdV5cL5xmAZgAw%3A1588815661074&amp;ei=LWezXsyHBKzM5OUP_9CAqA0&amp;q=prefeitura+municipal+de+RIOZINHO&amp;oq=prefeitura+municipal+de+RIOZINHO&amp;gs_lcp=CgZwc3ktYWIQDDICCAAyBggAEBYQHjIGCAAQFhAeMgYIABAWEB46BAgAEEc6BAgjECc6BQgAEIMBUJbkAVif9QFgt60DaABwAngAgAGeAYgBmAmSAQMwLjiYAQCgAQGqAQdnd3Mtd2l6&amp;sclient=psy-ab&amp;ved=0ahUKEwiM0t3Iz6DpAhUsJrkGHX8oANUQ4dUDCAw" TargetMode="External" Id="R5ac70aaf3b8b4610" /><Relationship Type="http://schemas.openxmlformats.org/officeDocument/2006/relationships/hyperlink" Target="https://www.camara.leg.br/internet/comissao/index/mista/orca/orcamento/OR2020/emendas/despesa/ANDRELUF_AV_LOA_AUTOR_7122.pdf" TargetMode="External" Id="Reb6365e4f9da4258" /><Relationship Type="http://schemas.openxmlformats.org/officeDocument/2006/relationships/hyperlink" Target="https://www.google.com/search?q=PREFEITURA+MUNICIPAL+DE+ROLANTE&amp;oq=PREFEITURA+MUNICIPAL+DE+ROLANTE&amp;aqs=chrome..69i57j0l7.10215j0j7&amp;sourceid=chrome&amp;ie=UTF-8" TargetMode="External" Id="Reb8233a3241147d5" /><Relationship Type="http://schemas.openxmlformats.org/officeDocument/2006/relationships/hyperlink" Target="https://www.camara.leg.br/internet/comissao/index/mista/orca/orcamento/OR2020/emendas/despesa/ANDRELUF_AV_LOA_AUTOR_7122.pdf" TargetMode="External" Id="R445d1887f1c148a2" /><Relationship Type="http://schemas.openxmlformats.org/officeDocument/2006/relationships/hyperlink" Target="https://www.google.com/search?sxsrf=ALeKk00u1nfTtzNI9dIl-WBl2Ft-gSzQ-Q%3A1588816004895&amp;ei=hGizXuucNtWN0AaJ1L6YBg&amp;q=prefeitura+municipal+de+SANTA+MARIA+DO+HERVAL&amp;oq=prefeitura+municipal+de+SANTA+MARIA+DO+HERVAL&amp;gs_lcp=CgZwc3ktYWIQAzICCAA6BAgAEEc6BAgjECc6BAgAEEM6BQgAEIMBUMecAljzxwJg3cwCaABwAngAgAG8AogBpR2SAQgwLjIwLjEuMZgBAKABAaoBB2d3cy13aXo&amp;sclient=psy-ab&amp;ved=0ahUKEwjr7tbs0KDpAhXVBtQKHQmqD2MQ4dUDCAw&amp;uact=5" TargetMode="External" Id="Rc8552c193f5b4df5" /><Relationship Type="http://schemas.openxmlformats.org/officeDocument/2006/relationships/hyperlink" Target="https://www.google.com/search?sxsrf=ALeKk01pM0mrc1e9bYUZFfN8nUSSGbh94g%3A1588810785080&amp;ei=IVSzXrqvBN2_5OUP5pOW8AE&amp;q=prefeitura+municipal+de+santa+rosa&amp;oq=prefeitura+municipal+de+santa+rosa&amp;gs_lcp=CgZwc3ktYWIQAzICCAAyAggAMgIIADICCAAyAggAMgIIADICCAAyAggAMgIIADICCAA6BAgAEEc6BAgjECdQvOUBWN_xAWDB-QFoAHACeACAAcMBiAH8DJIBBDAuMTCYAQCgAQGqAQdnd3Mtd2l6&amp;sclient=psy-ab&amp;ved=0ahUKEwj6w9azvaDpAhXdH7kGHeaJBR4Q4dUDCAw&amp;uact=5" TargetMode="External" Id="Rfeca7739ad3e43ca" /><Relationship Type="http://schemas.openxmlformats.org/officeDocument/2006/relationships/hyperlink" Target="https://www.escol.as/cidades/4979-santo-antonio-das-missoes/bairros/346331-interior" TargetMode="External" Id="R86c4a8220d824246" /><Relationship Type="http://schemas.openxmlformats.org/officeDocument/2006/relationships/hyperlink" Target="https://www.camara.leg.br/internet/comissao/index/mista/orca/orcamento/OR2020/emendas/despesa/ANDRELUF_AV_LOA_AUTOR_7122.pdf" TargetMode="External" Id="R779a8ae0f0bd407e" /><Relationship Type="http://schemas.openxmlformats.org/officeDocument/2006/relationships/hyperlink" Target="https://www.google.com/search?sxsrf=ALeKk00p8hjayyIbdpMq-tdWzcj3pxHXgQ%3A1588815868543&amp;ei=_GezXrO6IPqx5OUP8oyL-AY&amp;q=prefeitura+municipal+de+SAO+FRANCISCO+DE+PAULA&amp;oq=prefeitura+municipal+de+SAO+FRANCISCO+DE+PAULA&amp;gs_lcp=CgZwc3ktYWIQAzICCAAyAggAMgYIABAWEB4yBggAEBYQHjIGCAAQFhAeMgYIABAWEB4yBggAEBYQHjoECAAQRzoECCMQJzoFCAAQgwFQxZoCWNPPAmDX0gJoAXACeACAAdIBiAHCHZIBBjAuMjMuMZgBAKABAaoBB2d3cy13aXo&amp;sclient=psy-ab&amp;ved=0ahUKEwizqNSr0KDpAhX6GLkGHXLGAm8Q4dUDCAw&amp;uact=5" TargetMode="External" Id="R65dc7dea36dd4198" /><Relationship Type="http://schemas.openxmlformats.org/officeDocument/2006/relationships/hyperlink" Target="https://www.camara.leg.br/internet/comissao/index/mista/orca/orcamento/OR2020/emendas/despesa/ANDRELUF_AV_LOA_AUTOR_7122.pdf" TargetMode="External" Id="R55cba56a883a46d4" /><Relationship Type="http://schemas.openxmlformats.org/officeDocument/2006/relationships/hyperlink" Target="https://www.camara.leg.br/internet/comissao/index/mista/orca/orcamento/OR2020/emendas/despesa/ANDRELUF_AV_LOA_AUTOR_7122.pdf" TargetMode="External" Id="Rd183c299d7c24a2d" /><Relationship Type="http://schemas.openxmlformats.org/officeDocument/2006/relationships/hyperlink" Target="https://www.google.com/search?sxsrf=ALeKk01YvPtnj-7sjV0XWthz0tMEN-z6yw%3A1588816173294&amp;ei=LWmzXpPAEaTG5OUP2auh4AQ&amp;q=prefeitura+municipal+de+S&#195;OLUIZ+GONZAGA&amp;oq=prefeitura+municipal+de+S&#195;OLUIZ+GONZAGA&amp;gs_lcp=CgZwc3ktYWIQAzIECAAQDTIECAAQDTIECAAQDTIGCAAQDRAeMgYIABAWEB4yCAgAEBYQChAeMgYIABAWEB4yBggAEBYQHjIICAAQDRAFEB4yCAgAEA0QBRAeOgQIABBHOgQIIxAnOgIIADoFCAAQgwE6BwgjELACECc6CAgAEA0QChAeUJ3WAViJgQJg04ICaAFwAngBgAGFCIgB00iSAQ0yLTEuMS4zLjMuNS4xmAEAoAEBqgEHZ3dzLXdpeg&amp;sclient=psy-ab&amp;ved=0ahUKEwjTiv280aDpAhUkI7kGHdlVCEwQ4dUDCAw&amp;uact=5" TargetMode="External" Id="R535b7f0045c54f58" /><Relationship Type="http://schemas.openxmlformats.org/officeDocument/2006/relationships/hyperlink" Target="https://www.google.com/search?sxsrf=ALeKk01EI8-vDxQNmqXim9Gmbb-wh3KmGA%3A1588810911628&amp;ei=n1SzXvHSJbOd5OUPjdSK8AE&amp;q=prefeitura+municipal+de+s&#227;o+sebasti&#227;o+do+ca&#237;&amp;oq=prefeitura+municipal+de+sao+sebastiao+do+cai&amp;gs_lcp=CgZwc3ktYWIQARgAMgIIADIGCAAQFhAeMgYIABAWEB4yBggAEBYQHjoECAAQRzoECCMQJ1D51AJYpfMCYJeAA2gAcAJ4AIABxgGIAa4YkgEEMC4yMJgBAKABAaoBB2d3cy13aXo&amp;sclient=psy-ab" TargetMode="External" Id="R7e0448403726435b" /><Relationship Type="http://schemas.openxmlformats.org/officeDocument/2006/relationships/hyperlink" Target="https://www.google.com/search?sxsrf=ALeKk01OU-QAl8a2G5yuu78X2Z3uewHwXw%3A1588810962795&amp;ei=0lSzXsmOMNON0Aa88I7QDw&amp;q=prefeitura+municipal+de+sairanga&amp;oq=prefeitura+municipal+de+sairanga&amp;gs_lcp=CgZwc3ktYWIQAzIECAAQDTIECAAQDTIECAAQDTIECAAQDTIECAAQDTIECAAQDTIECAAQDTIGCAAQFhAeMgYIABAWEB4yBggAEBYQHjoECAAQRzoECAAQQzoCCAA6BAgjECc6BwghEAoQoAE6BggAEA0QHlDDzgNYz94DYIvoA2gAcAN4AIAB3AKIAcQQkgEFMi02LjKYAQCgAQGqAQdnd3Mtd2l6&amp;sclient=psy-ab&amp;ved=0ahUKEwjJv7WIvqDpAhXTBtQKHTy4A_oQ4dUDCAw&amp;uact=5" TargetMode="External" Id="R508a9c31e8d9462e" /><Relationship Type="http://schemas.openxmlformats.org/officeDocument/2006/relationships/hyperlink" Target="https://www.camara.leg.br/internet/comissao/index/mista/orca/orcamento/OR2020/emendas/despesa/ANDRELUF_AV_LOA_AUTOR_7122.pdf" TargetMode="External" Id="R27d080a030a549fc" /><Relationship Type="http://schemas.openxmlformats.org/officeDocument/2006/relationships/hyperlink" Target="https://www.google.com/search?sxsrf=ALeKk035wY4b-6-ebCJv-vvNts3g-a4xPw%3A1588816358590&amp;ei=5mmzXqzGI-ex5OUP3-eo4AE&amp;q=prefeitura+municipal+de+SAPIRANGA&amp;oq=prefeitura+municipal+de+SAPIRANGA&amp;gs_lcp=CgZwc3ktYWIQAzIECCMQJzICCAAyAggAMgIIADICCAAyAggAMgIIADoECAAQRzoFCAAQgwFQ3d0CWI_qAmC_8QJoAHACeACAAdkBiAHUC5IBBTAuNy4ymAEAoAEBqgEHZ3dzLXdpeg&amp;sclient=psy-ab&amp;ved=0ahUKEwis0aqV0qDpAhXnGLkGHd8zChwQ4dUDCAw&amp;uact=5" TargetMode="External" Id="Rf07d4c454823437c" /><Relationship Type="http://schemas.openxmlformats.org/officeDocument/2006/relationships/hyperlink" Target="https://www.google.com/search?sxsrf=ALeKk01iZpjl7Vh9iFBvy2IqbHzVRqcoSA%3A1588810247337&amp;ei=B1KzXsz2E4m_5OUPy9G5mAs&amp;q=prefeitura+municipal+de+sapucaia+do+sul&amp;oq=prefeitura+municipal+de+sapucaia+&amp;gs_lcp=CgZwc3ktYWIQARgAMgIIADICCAAyAggAMgIIADICCAAyAggAMgIIADICCAA6BAgAEEc6BAgjECdQ-4sCWNqaAmCbpwJoAHACeACAAZ0CiAHTEJIBAzItOZgBAKABAaoBB2d3cy13aXo&amp;sclient=psy-ab" TargetMode="External" Id="R203432222f6b4def" /><Relationship Type="http://schemas.openxmlformats.org/officeDocument/2006/relationships/hyperlink" Target="https://www.google.com/search?sxsrf=ALeKk03oOde3dTy2Zdjcyzu-jwrRdjYR_w%3A1588811027589&amp;ei=E1WzXq7KI6u_5OUPkp-w4A8&amp;q=prefeitura+municipal+de+tapejara&amp;oq=prefeitura+municipal+de+tapejara&amp;gs_lcp=CgZwc3ktYWIQAzICCAAyAggAMgIIADIGCAAQFhAeMgYIABAWEB4yBggAEBYQHjIGCAAQFhAeMgYIABAWEB4yBggAEBYQHjIGCAAQFhAeOgQIIxAnUN_NAVjr3gFghuEBaABwAHgAgAG1AYgBoQuSAQMwLjmYAQCgAQGqAQdnd3Mtd2l6&amp;sclient=psy-ab&amp;ved=0ahUKEwjun6invqDpAhWrH7kGHZIPDPwQ4dUDCAw&amp;uact=5" TargetMode="External" Id="R4214e1a7a0434828" /><Relationship Type="http://schemas.openxmlformats.org/officeDocument/2006/relationships/hyperlink" Target="https://www.camara.leg.br/internet/comissao/index/mista/orca/orcamento/OR2020/emendas/despesa/ANDRELUF_AV_LOA_AUTOR_7122.pdf" TargetMode="External" Id="Rf0e6298265604f95" /><Relationship Type="http://schemas.openxmlformats.org/officeDocument/2006/relationships/hyperlink" Target="https://www.google.com/search?sxsrf=ALeKk01WiHw6FNoEL02ZUDYjmbG3xBEF8g%3A1588815162381&amp;ei=OmWzXszcFqed5OUPkdiIqAQ&amp;q=PREFEITURA+MUNICIPAL+DE+tAQUARA&amp;oq=PREFEITURA+MUNICIPAL+DE+tAQUARA&amp;gs_lcp=CgZwc3ktYWIQDDIECCMQJzICCAAyAggAMgIIADICCAAyAggAMgIIADICCAAyAggAOgQIABBHULbyBljdigdgqJcHaABwAngAgAH3AYgB1gmSAQUwLjUuMpgBAKABAaoBB2d3cy13aXo&amp;sclient=psy-ab&amp;ved=0ahUKEwjM4ffazaDpAhWnDrkGHREsAkUQ4dUDCAw" TargetMode="External" Id="R3fc240826c4f4507" /><Relationship Type="http://schemas.openxmlformats.org/officeDocument/2006/relationships/hyperlink" Target="https://www.camara.leg.br/internet/comissao/index/mista/orca/orcamento/OR2020/emendas/despesa/ANDRELUF_AV_LOA_AUTOR_7122.pdf" TargetMode="External" Id="R164b5f24e772435f" /><Relationship Type="http://schemas.openxmlformats.org/officeDocument/2006/relationships/hyperlink" Target="https://www.google.com/search?sxsrf=ALeKk02Mh9Kur7aXvpKrQ7bk8SJ_gR3NyQ%3A1588815510964&amp;ei=lmazXtyvOv-z5OUP6Yi0wAY&amp;q=PREFEITURA+MUNICIPAL+DE+TRES+COROAS&amp;oq=PREFEITURA+MUNICIPAL+DE+TRES+COROAS&amp;gs_lcp=CgZwc3ktYWIQDDoECAAQRzoECCMQJzoCCAA6BggAEBYQHlDBlgJY_aYCYPLAAmgAcAJ4AIABoAGIAeoMkgEEMC4xMZgBAKABAaoBB2d3cy13aXo&amp;sclient=psy-ab&amp;ved=0ahUKEwjc0pOBz6DpAhX_GbkGHWkEDWgQ4dUDCAw" TargetMode="External" Id="Re4381932f3584e98" /></Relationships>
</file>

<file path=xl/worksheets/_rels/sheet5.xml.rels>&#65279;<?xml version="1.0" encoding="utf-8"?><Relationships xmlns="http://schemas.openxmlformats.org/package/2006/relationships"><Relationship Type="http://schemas.openxmlformats.org/officeDocument/2006/relationships/table" Target="/xl/tables/table1.xml" Id="Re0c06a792c694779" /></Relationships>
</file>

<file path=xl/worksheets/_rels/sheet6.xml.rels>&#65279;<?xml version="1.0" encoding="utf-8"?><Relationships xmlns="http://schemas.openxmlformats.org/package/2006/relationships"><Relationship Type="http://schemas.openxmlformats.org/officeDocument/2006/relationships/table" Target="/xl/tables/table2.xml" Id="Rf23705d8a223403e" /></Relationships>
</file>

<file path=xl/worksheets/_rels/sheet7.xml.rels>&#65279;<?xml version="1.0" encoding="utf-8"?><Relationships xmlns="http://schemas.openxmlformats.org/package/2006/relationships"><Relationship Type="http://schemas.openxmlformats.org/officeDocument/2006/relationships/table" Target="/xl/tables/table3.xml" Id="R60a0d23146ee4f99" /></Relationships>
</file>

<file path=xl/worksheets/_rels/sheet8.xml.rels>&#65279;<?xml version="1.0" encoding="utf-8"?><Relationships xmlns="http://schemas.openxmlformats.org/package/2006/relationships"><Relationship Type="http://schemas.openxmlformats.org/officeDocument/2006/relationships/table" Target="/xl/tables/table4.xml" Id="R7601e366125d4847" /></Relationships>
</file>

<file path=xl/worksheets/sheet1.xml><?xml version="1.0" encoding="utf-8"?>
<x:worksheet xmlns:x="http://schemas.openxmlformats.org/spreadsheetml/2006/main">
  <x:sheetFormatPr defaultColWidth="12.5703125" defaultRowHeight="15.75"/>
  <x:cols>
    <x:col min="1" max="1" width="13.42578125" customWidth="1"/>
    <x:col min="2" max="2" width="17.28515625" customWidth="1"/>
    <x:col min="3" max="4" width="19.5703125" customWidth="1"/>
    <x:col min="5" max="5" width="54" customWidth="1"/>
    <x:col min="6" max="6" width="18" customWidth="1"/>
    <x:col min="7" max="7" width="34.42578125" customWidth="1"/>
    <x:col min="8" max="8" width="17" customWidth="1"/>
    <x:col min="9" max="10" width="24.85546875" customWidth="1"/>
    <x:col min="11" max="11" width="14.28515625" customWidth="1"/>
    <x:col min="12" max="13" width="17.7109375" customWidth="1"/>
    <x:col min="14" max="14" width="19.85546875" customWidth="1"/>
    <x:col min="15" max="15" width="31.85546875" customWidth="1"/>
    <x:col min="16" max="17" width="28.85546875" customWidth="1"/>
  </x:cols>
  <x:sheetData>
    <x:row r="1" ht="12.75">
      <x:c r="A1" s="1" t="s">
        <x:v>0</x:v>
      </x:c>
      <x:c r="B1" s="4"/>
      <x:c r="C1" s="4" t="s">
        <x:v>1</x:v>
      </x:c>
      <x:c r="D1" s="4" t="s">
        <x:v>2</x:v>
      </x:c>
      <x:c r="E1" s="4" t="s">
        <x:v>3</x:v>
      </x:c>
      <x:c r="F1" s="5" t="s">
        <x:v>4</x:v>
      </x:c>
      <x:c r="G1" s="4" t="s">
        <x:v>5</x:v>
      </x:c>
      <x:c r="H1" s="6" t="s">
        <x:v>6</x:v>
      </x:c>
      <x:c r="I1" s="1" t="s">
        <x:v>7</x:v>
      </x:c>
      <x:c r="J1" s="1" t="s">
        <x:v>8</x:v>
      </x:c>
      <x:c r="K1" s="1" t="s">
        <x:v>9</x:v>
      </x:c>
      <x:c r="L1" s="8" t="s">
        <x:v>10</x:v>
      </x:c>
      <x:c r="M1" s="8" t="s">
        <x:v>11</x:v>
      </x:c>
      <x:c r="N1" s="4" t="s">
        <x:v>12</x:v>
      </x:c>
      <x:c r="O1" s="4" t="s">
        <x:v>13</x:v>
      </x:c>
      <x:c r="P1" s="4" t="s">
        <x:v>14</x:v>
      </x:c>
      <x:c r="Q1" s="4" t="s">
        <x:v>15</x:v>
      </x:c>
    </x:row>
    <x:row r="2" ht="63.75">
      <x:c r="A2" s="9">
        <x:v>2024</x:v>
      </x:c>
      <x:c r="B2" s="10" t="s">
        <x:v>16</x:v>
      </x:c>
      <x:c r="C2" s="11" t="e">
        <x:f>IFERROR(VLOOKUP(B2,Regiões!A:B,2,0),"")</x:f>
        <x:v>#NAME?</x:v>
      </x:c>
      <x:c r="D2" s="11" t="s">
        <x:v>17</x:v>
      </x:c>
      <x:c r="E2" s="12" t="str">
        <x:f>G2&amp;" de "&amp;B2</x:f>
        <x:v>Prefeitura Municipal de Gramado</x:v>
      </x:c>
      <x:c r="F2" s="13"/>
      <x:c r="G2" s="14" t="s">
        <x:v>18</x:v>
      </x:c>
      <x:c r="H2" s="15">
        <x:v>41160005</x:v>
      </x:c>
      <x:c r="I2" s="9" t="s">
        <x:v>19</x:v>
      </x:c>
      <x:c r="J2" s="9" t="s">
        <x:v>19</x:v>
      </x:c>
      <x:c r="K2" s="16" t="s">
        <x:v>20</x:v>
      </x:c>
      <x:c r="L2" s="17">
        <x:v>0</x:v>
      </x:c>
      <x:c r="M2" s="17"/>
      <x:c r="N2" s="11" t="s">
        <x:v>21</x:v>
      </x:c>
      <x:c r="O2" s="16"/>
      <x:c r="P2" s="18"/>
      <x:c r="Q2" s="19"/>
    </x:row>
    <x:row r="3" ht="25.5">
      <x:c r="A3" s="9">
        <x:v>2023</x:v>
      </x:c>
      <x:c r="B3" s="14" t="s">
        <x:v>22</x:v>
      </x:c>
      <x:c r="C3" s="11"/>
      <x:c r="D3" s="11" t="s">
        <x:v>23</x:v>
      </x:c>
      <x:c r="E3" s="20" t="s">
        <x:v>24</x:v>
      </x:c>
      <x:c r="F3" s="13"/>
      <x:c r="G3" s="14" t="s">
        <x:v>24</x:v>
      </x:c>
      <x:c r="H3" s="15">
        <x:v>41160009</x:v>
      </x:c>
      <x:c r="I3" s="9" t="s">
        <x:v>25</x:v>
      </x:c>
      <x:c r="J3" s="9" t="s">
        <x:v>25</x:v>
      </x:c>
      <x:c r="K3" s="16" t="s">
        <x:v>20</x:v>
      </x:c>
      <x:c r="L3" s="21">
        <x:v>1200</x:v>
      </x:c>
      <x:c r="M3" s="21"/>
      <x:c r="N3" s="9" t="s">
        <x:v>21</x:v>
      </x:c>
      <x:c r="O3" s="16" t="s">
        <x:v>26</x:v>
      </x:c>
      <x:c r="P3" s="18"/>
      <x:c r="Q3" s="19"/>
    </x:row>
    <x:row r="4" ht="153">
      <x:c r="A4" s="22">
        <x:v>2020</x:v>
      </x:c>
      <x:c r="B4" s="22" t="s">
        <x:v>27</x:v>
      </x:c>
      <x:c r="C4" s="11" t="e">
        <x:f>IFERROR(VLOOKUP(B4,Regiões!A:B,2,0),"")</x:f>
        <x:v>#NAME?</x:v>
      </x:c>
      <x:c r="D4" s="22" t="s">
        <x:v>28</x:v>
      </x:c>
      <x:c r="E4" s="23" t="s">
        <x:v>29</x:v>
      </x:c>
      <x:c r="F4" s="24"/>
      <x:c r="G4" s="22" t="s">
        <x:v>30</x:v>
      </x:c>
      <x:c r="H4" s="25">
        <x:v>41160010</x:v>
      </x:c>
      <x:c r="I4" s="22" t="s">
        <x:v>31</x:v>
      </x:c>
      <x:c r="J4" s="22" t="s">
        <x:v>25</x:v>
      </x:c>
      <x:c r="K4" s="22" t="s">
        <x:v>32</x:v>
      </x:c>
      <x:c r="L4" s="26">
        <x:v>12142.85</x:v>
      </x:c>
      <x:c r="M4" s="26"/>
      <x:c r="N4" s="22" t="s">
        <x:v>33</x:v>
      </x:c>
      <x:c r="O4" s="22" t="s">
        <x:v>34</x:v>
      </x:c>
      <x:c r="P4" s="23" t="s">
        <x:v>35</x:v>
      </x:c>
      <x:c r="Q4" s="22"/>
    </x:row>
    <x:row r="5" ht="38.25">
      <x:c r="A5" s="22">
        <x:v>2022</x:v>
      </x:c>
      <x:c r="B5" s="22" t="s">
        <x:v>36</x:v>
      </x:c>
      <x:c r="C5" s="11" t="e">
        <x:f>IFERROR(VLOOKUP(B5,Regiões!A:B,2,0),"")</x:f>
        <x:v>#NAME?</x:v>
      </x:c>
      <x:c r="D5" s="22" t="s">
        <x:v>37</x:v>
      </x:c>
      <x:c r="E5" s="23" t="s">
        <x:v>38</x:v>
      </x:c>
      <x:c r="F5" s="24"/>
      <x:c r="G5" s="22" t="s">
        <x:v>18</x:v>
      </x:c>
      <x:c r="H5" s="25">
        <x:v>41160002</x:v>
      </x:c>
      <x:c r="I5" s="22" t="s">
        <x:v>39</x:v>
      </x:c>
      <x:c r="J5" s="22" t="s">
        <x:v>40</x:v>
      </x:c>
      <x:c r="K5" s="22" t="s">
        <x:v>20</x:v>
      </x:c>
      <x:c r="L5" s="27">
        <x:v>20000</x:v>
      </x:c>
      <x:c r="M5" s="27"/>
      <x:c r="N5" s="22" t="s">
        <x:v>41</x:v>
      </x:c>
      <x:c r="O5" s="22" t="s">
        <x:v>26</x:v>
      </x:c>
      <x:c r="P5" s="28"/>
      <x:c r="Q5" s="29"/>
    </x:row>
    <x:row r="6" ht="38.25">
      <x:c r="A6" s="22">
        <x:v>2022</x:v>
      </x:c>
      <x:c r="B6" s="30" t="s">
        <x:v>36</x:v>
      </x:c>
      <x:c r="C6" s="11" t="e">
        <x:f>IFERROR(VLOOKUP(B6,Regiões!A:B,2,0),"")</x:f>
        <x:v>#NAME?</x:v>
      </x:c>
      <x:c r="D6" s="22" t="s">
        <x:v>37</x:v>
      </x:c>
      <x:c r="E6" s="23" t="s">
        <x:v>42</x:v>
      </x:c>
      <x:c r="F6" s="31"/>
      <x:c r="G6" s="32" t="s">
        <x:v>18</x:v>
      </x:c>
      <x:c r="H6" s="25">
        <x:v>41160002</x:v>
      </x:c>
      <x:c r="I6" s="22" t="s">
        <x:v>39</x:v>
      </x:c>
      <x:c r="J6" s="22" t="s">
        <x:v>40</x:v>
      </x:c>
      <x:c r="K6" s="22" t="s">
        <x:v>20</x:v>
      </x:c>
      <x:c r="L6" s="26">
        <x:v>20000</x:v>
      </x:c>
      <x:c r="M6" s="26"/>
      <x:c r="N6" s="22" t="s">
        <x:v>43</x:v>
      </x:c>
      <x:c r="O6" s="22" t="s">
        <x:v>26</x:v>
      </x:c>
      <x:c r="P6" s="33" t="s">
        <x:v>44</x:v>
      </x:c>
      <x:c r="Q6" s="29"/>
    </x:row>
    <x:row r="7" ht="51">
      <x:c r="A7" s="22">
        <x:v>2021</x:v>
      </x:c>
      <x:c r="B7" s="22" t="s">
        <x:v>45</x:v>
      </x:c>
      <x:c r="C7" s="11" t="e">
        <x:f>IFERROR(VLOOKUP(B7,Regiões!A:B,2,0),"")</x:f>
        <x:v>#NAME?</x:v>
      </x:c>
      <x:c r="D7" s="22" t="s">
        <x:v>46</x:v>
      </x:c>
      <x:c r="E7" s="23" t="s">
        <x:v>47</x:v>
      </x:c>
      <x:c r="F7" s="24"/>
      <x:c r="G7" s="22" t="s">
        <x:v>48</x:v>
      </x:c>
      <x:c r="H7" s="34">
        <x:v>41160001</x:v>
      </x:c>
      <x:c r="I7" s="22" t="s">
        <x:v>31</x:v>
      </x:c>
      <x:c r="J7" s="22" t="s">
        <x:v>25</x:v>
      </x:c>
      <x:c r="K7" s="22" t="s">
        <x:v>32</x:v>
      </x:c>
      <x:c r="L7" s="26">
        <x:v>26383.34</x:v>
      </x:c>
      <x:c r="M7" s="26"/>
      <x:c r="N7" s="22" t="s">
        <x:v>33</x:v>
      </x:c>
      <x:c r="O7" s="22" t="s">
        <x:v>49</x:v>
      </x:c>
      <x:c r="P7" s="35" t="s">
        <x:v>50</x:v>
      </x:c>
      <x:c r="Q7" s="29"/>
    </x:row>
    <x:row r="8" ht="38.25">
      <x:c r="A8" s="36">
        <x:v>2020</x:v>
      </x:c>
      <x:c r="B8" s="36" t="s">
        <x:v>51</x:v>
      </x:c>
      <x:c r="C8" s="11" t="e">
        <x:f>IFERROR(VLOOKUP(B8,Regiões!A:B,2,0),"")</x:f>
        <x:v>#NAME?</x:v>
      </x:c>
      <x:c r="D8" s="22" t="s">
        <x:v>52</x:v>
      </x:c>
      <x:c r="E8" s="37" t="s">
        <x:v>53</x:v>
      </x:c>
      <x:c r="F8" s="38"/>
      <x:c r="G8" s="36" t="s">
        <x:v>53</x:v>
      </x:c>
      <x:c r="H8" s="39">
        <x:v>41160008</x:v>
      </x:c>
      <x:c r="I8" s="36" t="s">
        <x:v>31</x:v>
      </x:c>
      <x:c r="J8" s="36" t="s">
        <x:v>25</x:v>
      </x:c>
      <x:c r="K8" s="36" t="s">
        <x:v>32</x:v>
      </x:c>
      <x:c r="L8" s="40">
        <x:v>26706.33</x:v>
      </x:c>
      <x:c r="M8" s="40"/>
      <x:c r="N8" s="36" t="s">
        <x:v>33</x:v>
      </x:c>
      <x:c r="O8" s="36" t="s">
        <x:v>54</x:v>
      </x:c>
      <x:c r="P8" s="41" t="s">
        <x:v>55</x:v>
      </x:c>
      <x:c r="Q8" s="42"/>
    </x:row>
    <x:row r="9" ht="51">
      <x:c r="A9" s="9">
        <x:v>2024</x:v>
      </x:c>
      <x:c r="B9" s="10" t="s">
        <x:v>56</x:v>
      </x:c>
      <x:c r="C9" s="11" t="e">
        <x:f>IFERROR(VLOOKUP(B9,Regiões!A:B,2,0),"")</x:f>
        <x:v>#NAME?</x:v>
      </x:c>
      <x:c r="D9" s="11" t="s">
        <x:v>57</x:v>
      </x:c>
      <x:c r="E9" s="12" t="str">
        <x:f>G9&amp;" de "&amp;B9</x:f>
        <x:v>Prefeitura Municipal de Cerro Branco</x:v>
      </x:c>
      <x:c r="F9" s="13"/>
      <x:c r="G9" s="14" t="s">
        <x:v>18</x:v>
      </x:c>
      <x:c r="H9" s="15">
        <x:v>41160001</x:v>
      </x:c>
      <x:c r="I9" s="9" t="s">
        <x:v>58</x:v>
      </x:c>
      <x:c r="J9" s="9" t="s">
        <x:v>40</x:v>
      </x:c>
      <x:c r="K9" s="16" t="s">
        <x:v>20</x:v>
      </x:c>
      <x:c r="L9" s="17">
        <x:v>30000</x:v>
      </x:c>
      <x:c r="M9" s="17"/>
      <x:c r="N9" s="11" t="s">
        <x:v>21</x:v>
      </x:c>
      <x:c r="O9" s="16"/>
      <x:c r="P9" s="18"/>
      <x:c r="Q9" s="19"/>
    </x:row>
    <x:row r="10" ht="51">
      <x:c r="A10" s="11">
        <x:v>2023</x:v>
      </x:c>
      <x:c r="B10" s="43" t="s">
        <x:v>59</x:v>
      </x:c>
      <x:c r="C10" s="11" t="e">
        <x:f>IFERROR(VLOOKUP(B10,Regiões!A:B,2,0),"")</x:f>
        <x:v>#NAME?</x:v>
      </x:c>
      <x:c r="D10" s="11" t="s">
        <x:v>60</x:v>
      </x:c>
      <x:c r="E10" s="44" t="s">
        <x:v>61</x:v>
      </x:c>
      <x:c r="F10" s="45"/>
      <x:c r="G10" s="46" t="s">
        <x:v>62</x:v>
      </x:c>
      <x:c r="H10" s="47"/>
      <x:c r="I10" s="11" t="s">
        <x:v>63</x:v>
      </x:c>
      <x:c r="J10" s="11" t="str">
        <x:f>LEFT(I10,FIND(" (",I10) - 1)</x:f>
        <x:v>Saúde</x:v>
      </x:c>
      <x:c r="K10" s="11" t="s">
        <x:v>20</x:v>
      </x:c>
      <x:c r="L10" s="48">
        <x:v>30514.31</x:v>
      </x:c>
      <x:c r="M10" s="48"/>
      <x:c r="N10" s="11" t="s">
        <x:v>64</x:v>
      </x:c>
      <x:c r="O10" s="11" t="s">
        <x:v>26</x:v>
      </x:c>
      <x:c r="P10" s="49" t="s">
        <x:v>65</x:v>
      </x:c>
      <x:c r="Q10" s="50"/>
    </x:row>
    <x:row r="11" ht="63.75">
      <x:c r="A11" s="22">
        <x:v>2020</x:v>
      </x:c>
      <x:c r="B11" s="22" t="s">
        <x:v>51</x:v>
      </x:c>
      <x:c r="C11" s="11" t="e">
        <x:f>IFERROR(VLOOKUP(B11,Regiões!A:B,2,0),"")</x:f>
        <x:v>#NAME?</x:v>
      </x:c>
      <x:c r="D11" s="22" t="s">
        <x:v>66</x:v>
      </x:c>
      <x:c r="E11" s="23" t="s">
        <x:v>29</x:v>
      </x:c>
      <x:c r="F11" s="24"/>
      <x:c r="G11" s="22" t="s">
        <x:v>67</x:v>
      </x:c>
      <x:c r="H11" s="25">
        <x:v>41160010</x:v>
      </x:c>
      <x:c r="I11" s="22" t="s">
        <x:v>31</x:v>
      </x:c>
      <x:c r="J11" s="22" t="s">
        <x:v>25</x:v>
      </x:c>
      <x:c r="K11" s="22" t="s">
        <x:v>32</x:v>
      </x:c>
      <x:c r="L11" s="26">
        <x:v>31428.6</x:v>
      </x:c>
      <x:c r="M11" s="26"/>
      <x:c r="N11" s="22" t="s">
        <x:v>33</x:v>
      </x:c>
      <x:c r="O11" s="22" t="s">
        <x:v>68</x:v>
      </x:c>
      <x:c r="P11" s="23" t="s">
        <x:v>69</x:v>
      </x:c>
      <x:c r="Q11" s="22"/>
    </x:row>
    <x:row r="12" ht="38.25">
      <x:c r="A12" s="36">
        <x:v>2020</x:v>
      </x:c>
      <x:c r="B12" s="36" t="s">
        <x:v>51</x:v>
      </x:c>
      <x:c r="C12" s="11" t="e">
        <x:f>IFERROR(VLOOKUP(B12,Regiões!A:B,2,0),"")</x:f>
        <x:v>#NAME?</x:v>
      </x:c>
      <x:c r="D12" s="22" t="s">
        <x:v>52</x:v>
      </x:c>
      <x:c r="E12" s="37" t="s">
        <x:v>53</x:v>
      </x:c>
      <x:c r="F12" s="38"/>
      <x:c r="G12" s="36" t="s">
        <x:v>53</x:v>
      </x:c>
      <x:c r="H12" s="39">
        <x:v>41160008</x:v>
      </x:c>
      <x:c r="I12" s="36" t="s">
        <x:v>31</x:v>
      </x:c>
      <x:c r="J12" s="36" t="s">
        <x:v>25</x:v>
      </x:c>
      <x:c r="K12" s="36" t="s">
        <x:v>32</x:v>
      </x:c>
      <x:c r="L12" s="40">
        <x:v>31616.04</x:v>
      </x:c>
      <x:c r="M12" s="40"/>
      <x:c r="N12" s="36" t="s">
        <x:v>33</x:v>
      </x:c>
      <x:c r="O12" s="36" t="s">
        <x:v>54</x:v>
      </x:c>
      <x:c r="P12" s="41" t="s">
        <x:v>70</x:v>
      </x:c>
      <x:c r="Q12" s="42"/>
    </x:row>
    <x:row r="13" ht="38.25">
      <x:c r="A13" s="22">
        <x:v>2022</x:v>
      </x:c>
      <x:c r="B13" s="30" t="s">
        <x:v>71</x:v>
      </x:c>
      <x:c r="C13" s="11" t="e">
        <x:f>IFERROR(VLOOKUP(B13,Regiões!A:B,2,0),"")</x:f>
        <x:v>#NAME?</x:v>
      </x:c>
      <x:c r="D13" s="22" t="s">
        <x:v>72</x:v>
      </x:c>
      <x:c r="E13" s="23" t="s">
        <x:v>42</x:v>
      </x:c>
      <x:c r="F13" s="31"/>
      <x:c r="G13" s="32" t="s">
        <x:v>18</x:v>
      </x:c>
      <x:c r="H13" s="25">
        <x:v>41160002</x:v>
      </x:c>
      <x:c r="I13" s="22" t="s">
        <x:v>39</x:v>
      </x:c>
      <x:c r="J13" s="22" t="s">
        <x:v>40</x:v>
      </x:c>
      <x:c r="K13" s="22" t="s">
        <x:v>20</x:v>
      </x:c>
      <x:c r="L13" s="26">
        <x:v>35000</x:v>
      </x:c>
      <x:c r="M13" s="26"/>
      <x:c r="N13" s="22" t="s">
        <x:v>43</x:v>
      </x:c>
      <x:c r="O13" s="22" t="s">
        <x:v>26</x:v>
      </x:c>
      <x:c r="P13" s="33" t="s">
        <x:v>73</x:v>
      </x:c>
      <x:c r="Q13" s="29"/>
    </x:row>
    <x:row r="14" ht="51">
      <x:c r="A14" s="11">
        <x:v>2023</x:v>
      </x:c>
      <x:c r="B14" s="43" t="s">
        <x:v>74</x:v>
      </x:c>
      <x:c r="C14" s="11" t="e">
        <x:f>IFERROR(VLOOKUP(B14,Regiões!A:B,2,0),"")</x:f>
        <x:v>#NAME?</x:v>
      </x:c>
      <x:c r="D14" s="11" t="s">
        <x:v>75</x:v>
      </x:c>
      <x:c r="E14" s="44" t="s">
        <x:v>61</x:v>
      </x:c>
      <x:c r="F14" s="45"/>
      <x:c r="G14" s="46" t="s">
        <x:v>76</x:v>
      </x:c>
      <x:c r="H14" s="47"/>
      <x:c r="I14" s="11" t="s">
        <x:v>63</x:v>
      </x:c>
      <x:c r="J14" s="11" t="s">
        <x:v>40</x:v>
      </x:c>
      <x:c r="K14" s="11" t="s">
        <x:v>20</x:v>
      </x:c>
      <x:c r="L14" s="48">
        <x:v>35000</x:v>
      </x:c>
      <x:c r="M14" s="48"/>
      <x:c r="N14" s="11" t="s">
        <x:v>64</x:v>
      </x:c>
      <x:c r="O14" s="11" t="s">
        <x:v>77</x:v>
      </x:c>
      <x:c r="P14" s="49" t="s">
        <x:v>78</x:v>
      </x:c>
      <x:c r="Q14" s="50"/>
    </x:row>
    <x:row r="15" ht="12.75">
      <x:c r="A15" s="11">
        <x:v>2023</x:v>
      </x:c>
      <x:c r="B15" s="43" t="s">
        <x:v>79</x:v>
      </x:c>
      <x:c r="C15" s="11" t="e">
        <x:f>IFERROR(VLOOKUP(B15,Regiões!A:B,2,0),"")</x:f>
        <x:v>#NAME?</x:v>
      </x:c>
      <x:c r="D15" s="46" t="s">
        <x:v>80</x:v>
      </x:c>
      <x:c r="E15" s="44" t="s">
        <x:v>61</x:v>
      </x:c>
      <x:c r="F15" s="45"/>
      <x:c r="G15" s="46" t="s">
        <x:v>81</x:v>
      </x:c>
      <x:c r="H15" s="47"/>
      <x:c r="I15" s="11" t="s">
        <x:v>63</x:v>
      </x:c>
      <x:c r="J15" s="11" t="s">
        <x:v>40</x:v>
      </x:c>
      <x:c r="K15" s="11" t="s">
        <x:v>20</x:v>
      </x:c>
      <x:c r="L15" s="48">
        <x:v>37480</x:v>
      </x:c>
      <x:c r="M15" s="48"/>
      <x:c r="N15" s="11" t="s">
        <x:v>64</x:v>
      </x:c>
      <x:c r="O15" s="11" t="s">
        <x:v>26</x:v>
      </x:c>
      <x:c r="P15" s="49" t="s">
        <x:v>82</x:v>
      </x:c>
      <x:c r="Q15" s="50"/>
    </x:row>
    <x:row r="16" ht="63.75">
      <x:c r="A16" s="51">
        <x:v>2021</x:v>
      </x:c>
      <x:c r="B16" s="51" t="s">
        <x:v>83</x:v>
      </x:c>
      <x:c r="C16" s="11" t="e">
        <x:f>IFERROR(VLOOKUP(B16,Regiões!A:B,2,0),"")</x:f>
        <x:v>#NAME?</x:v>
      </x:c>
      <x:c r="D16" s="22" t="s">
        <x:v>84</x:v>
      </x:c>
      <x:c r="E16" s="52" t="s">
        <x:v>85</x:v>
      </x:c>
      <x:c r="F16" s="53"/>
      <x:c r="G16" s="51" t="s">
        <x:v>86</x:v>
      </x:c>
      <x:c r="H16" s="54">
        <x:v>41160005</x:v>
      </x:c>
      <x:c r="I16" s="51" t="s">
        <x:v>31</x:v>
      </x:c>
      <x:c r="J16" s="51" t="s">
        <x:v>25</x:v>
      </x:c>
      <x:c r="K16" s="51" t="s">
        <x:v>32</x:v>
      </x:c>
      <x:c r="L16" s="55">
        <x:v>38354.480000000003</x:v>
      </x:c>
      <x:c r="M16" s="55"/>
      <x:c r="N16" s="51" t="s">
        <x:v>33</x:v>
      </x:c>
      <x:c r="O16" s="51" t="s">
        <x:v>26</x:v>
      </x:c>
      <x:c r="P16" s="56" t="s">
        <x:v>87</x:v>
      </x:c>
      <x:c r="Q16" s="57"/>
    </x:row>
    <x:row r="17" ht="51">
      <x:c r="A17" s="11">
        <x:v>2023</x:v>
      </x:c>
      <x:c r="B17" s="43" t="s">
        <x:v>88</x:v>
      </x:c>
      <x:c r="C17" s="11" t="e">
        <x:f>IFERROR(VLOOKUP(B17,Regiões!A:B,2,0),"")</x:f>
        <x:v>#NAME?</x:v>
      </x:c>
      <x:c r="D17" s="11" t="s">
        <x:v>89</x:v>
      </x:c>
      <x:c r="E17" s="44" t="s">
        <x:v>61</x:v>
      </x:c>
      <x:c r="F17" s="45"/>
      <x:c r="G17" s="46" t="s">
        <x:v>90</x:v>
      </x:c>
      <x:c r="H17" s="47"/>
      <x:c r="I17" s="11" t="s">
        <x:v>63</x:v>
      </x:c>
      <x:c r="J17" s="11" t="s">
        <x:v>40</x:v>
      </x:c>
      <x:c r="K17" s="11" t="s">
        <x:v>20</x:v>
      </x:c>
      <x:c r="L17" s="48">
        <x:v>39600</x:v>
      </x:c>
      <x:c r="M17" s="48"/>
      <x:c r="N17" s="11" t="s">
        <x:v>64</x:v>
      </x:c>
      <x:c r="O17" s="11" t="s">
        <x:v>26</x:v>
      </x:c>
      <x:c r="P17" s="49" t="s">
        <x:v>91</x:v>
      </x:c>
      <x:c r="Q17" s="50"/>
    </x:row>
    <x:row r="18" ht="114.75">
      <x:c r="A18" s="51">
        <x:v>2020</x:v>
      </x:c>
      <x:c r="B18" s="51" t="s">
        <x:v>51</x:v>
      </x:c>
      <x:c r="C18" s="11" t="e">
        <x:f>IFERROR(VLOOKUP(B18,Regiões!A:B,2,0),"")</x:f>
        <x:v>#NAME?</x:v>
      </x:c>
      <x:c r="D18" s="22" t="s">
        <x:v>92</x:v>
      </x:c>
      <x:c r="E18" s="52" t="s">
        <x:v>93</x:v>
      </x:c>
      <x:c r="F18" s="53"/>
      <x:c r="G18" s="51" t="s">
        <x:v>94</x:v>
      </x:c>
      <x:c r="H18" s="58">
        <x:v>41160005</x:v>
      </x:c>
      <x:c r="I18" s="51" t="s">
        <x:v>95</x:v>
      </x:c>
      <x:c r="J18" s="51" t="s">
        <x:v>40</x:v>
      </x:c>
      <x:c r="K18" s="51" t="s">
        <x:v>20</x:v>
      </x:c>
      <x:c r="L18" s="55">
        <x:v>40000</x:v>
      </x:c>
      <x:c r="M18" s="55"/>
      <x:c r="N18" s="51" t="s">
        <x:v>96</x:v>
      </x:c>
      <x:c r="O18" s="51" t="s">
        <x:v>26</x:v>
      </x:c>
      <x:c r="P18" s="52" t="s">
        <x:v>97</x:v>
      </x:c>
      <x:c r="Q18" s="57" t="s">
        <x:v>98</x:v>
      </x:c>
    </x:row>
    <x:row r="19" ht="51">
      <x:c r="A19" s="11">
        <x:v>2023</x:v>
      </x:c>
      <x:c r="B19" s="43" t="s">
        <x:v>99</x:v>
      </x:c>
      <x:c r="C19" s="11" t="e">
        <x:f>IFERROR(VLOOKUP(B19,Regiões!A:B,2,0),"")</x:f>
        <x:v>#NAME?</x:v>
      </x:c>
      <x:c r="D19" s="11" t="s">
        <x:v>100</x:v>
      </x:c>
      <x:c r="E19" s="44" t="s">
        <x:v>61</x:v>
      </x:c>
      <x:c r="F19" s="45"/>
      <x:c r="G19" s="46" t="s">
        <x:v>101</x:v>
      </x:c>
      <x:c r="H19" s="47"/>
      <x:c r="I19" s="11" t="s">
        <x:v>63</x:v>
      </x:c>
      <x:c r="J19" s="11" t="str">
        <x:f>LEFT(I19,FIND(" (",I19) - 1)</x:f>
        <x:v>Saúde</x:v>
      </x:c>
      <x:c r="K19" s="11" t="s">
        <x:v>20</x:v>
      </x:c>
      <x:c r="L19" s="48">
        <x:v>40200</x:v>
      </x:c>
      <x:c r="M19" s="48"/>
      <x:c r="N19" s="11" t="s">
        <x:v>64</x:v>
      </x:c>
      <x:c r="O19" s="11" t="s">
        <x:v>26</x:v>
      </x:c>
      <x:c r="P19" s="49" t="s">
        <x:v>102</x:v>
      </x:c>
      <x:c r="Q19" s="50"/>
    </x:row>
    <x:row r="20" ht="89.25">
      <x:c r="A20" s="9">
        <x:v>2025</x:v>
      </x:c>
      <x:c r="B20" s="14" t="s">
        <x:v>103</x:v>
      </x:c>
      <x:c r="C20" s="11" t="e">
        <x:f>IFERROR(VLOOKUP(B20,Regiões!A:B,2,0),"")</x:f>
        <x:v>#NAME?</x:v>
      </x:c>
      <x:c r="D20" s="11" t="s">
        <x:v>104</x:v>
      </x:c>
      <x:c r="E20" s="12" t="s">
        <x:v>105</x:v>
      </x:c>
      <x:c r="F20" s="13">
        <x:v>12452816000135</x:v>
      </x:c>
      <x:c r="G20" s="14" t="s">
        <x:v>18</x:v>
      </x:c>
      <x:c r="H20" s="59">
        <x:v>41160001</x:v>
      </x:c>
      <x:c r="I20" s="9" t="s">
        <x:v>106</x:v>
      </x:c>
      <x:c r="J20" s="9" t="s">
        <x:v>40</x:v>
      </x:c>
      <x:c r="K20" s="16" t="s">
        <x:v>20</x:v>
      </x:c>
      <x:c r="L20" s="60">
        <x:v>40925</x:v>
      </x:c>
      <x:c r="M20" s="60"/>
      <x:c r="N20" s="11" t="s">
        <x:v>21</x:v>
      </x:c>
      <x:c r="O20" s="16"/>
      <x:c r="P20" s="49" t="s">
        <x:v>107</x:v>
      </x:c>
      <x:c r="Q20" s="19"/>
    </x:row>
    <x:row r="21" ht="127.5">
      <x:c r="A21" s="36">
        <x:v>2020</x:v>
      </x:c>
      <x:c r="B21" s="36" t="s">
        <x:v>51</x:v>
      </x:c>
      <x:c r="C21" s="11" t="e">
        <x:f>IFERROR(VLOOKUP(B21,Regiões!A:B,2,0),"")</x:f>
        <x:v>#NAME?</x:v>
      </x:c>
      <x:c r="D21" s="22" t="s">
        <x:v>52</x:v>
      </x:c>
      <x:c r="E21" s="37" t="s">
        <x:v>53</x:v>
      </x:c>
      <x:c r="F21" s="38"/>
      <x:c r="G21" s="36" t="s">
        <x:v>53</x:v>
      </x:c>
      <x:c r="H21" s="39">
        <x:v>41160008</x:v>
      </x:c>
      <x:c r="I21" s="36" t="s">
        <x:v>31</x:v>
      </x:c>
      <x:c r="J21" s="36" t="s">
        <x:v>25</x:v>
      </x:c>
      <x:c r="K21" s="36" t="s">
        <x:v>32</x:v>
      </x:c>
      <x:c r="L21" s="40">
        <x:v>41388.5</x:v>
      </x:c>
      <x:c r="M21" s="40" t="s">
        <x:v>108</x:v>
      </x:c>
      <x:c r="N21" s="36" t="s">
        <x:v>33</x:v>
      </x:c>
      <x:c r="O21" s="36" t="s">
        <x:v>109</x:v>
      </x:c>
      <x:c r="P21" s="41" t="s">
        <x:v>110</x:v>
      </x:c>
      <x:c r="Q21" s="42"/>
    </x:row>
    <x:row r="22" ht="38.25">
      <x:c r="A22" s="36">
        <x:v>2020</x:v>
      </x:c>
      <x:c r="B22" s="36" t="s">
        <x:v>51</x:v>
      </x:c>
      <x:c r="C22" s="11" t="e">
        <x:f>IFERROR(VLOOKUP(B22,Regiões!A:B,2,0),"")</x:f>
        <x:v>#NAME?</x:v>
      </x:c>
      <x:c r="D22" s="22" t="s">
        <x:v>52</x:v>
      </x:c>
      <x:c r="E22" s="37" t="s">
        <x:v>53</x:v>
      </x:c>
      <x:c r="F22" s="38"/>
      <x:c r="G22" s="36" t="s">
        <x:v>53</x:v>
      </x:c>
      <x:c r="H22" s="39">
        <x:v>41160008</x:v>
      </x:c>
      <x:c r="I22" s="36" t="s">
        <x:v>31</x:v>
      </x:c>
      <x:c r="J22" s="36" t="s">
        <x:v>25</x:v>
      </x:c>
      <x:c r="K22" s="36" t="s">
        <x:v>32</x:v>
      </x:c>
      <x:c r="L22" s="40">
        <x:v>41565.730000000003</x:v>
      </x:c>
      <x:c r="M22" s="40"/>
      <x:c r="N22" s="36" t="s">
        <x:v>33</x:v>
      </x:c>
      <x:c r="O22" s="36" t="s">
        <x:v>54</x:v>
      </x:c>
      <x:c r="P22" s="41" t="s">
        <x:v>111</x:v>
      </x:c>
      <x:c r="Q22" s="42"/>
    </x:row>
    <x:row r="23" ht="38.25">
      <x:c r="A23" s="11">
        <x:v>2023</x:v>
      </x:c>
      <x:c r="B23" s="43" t="s">
        <x:v>112</x:v>
      </x:c>
      <x:c r="C23" s="11" t="e">
        <x:f>IFERROR(VLOOKUP(B23,Regiões!A:B,2,0),"")</x:f>
        <x:v>#NAME?</x:v>
      </x:c>
      <x:c r="D23" s="11" t="s">
        <x:v>113</x:v>
      </x:c>
      <x:c r="E23" s="44" t="s">
        <x:v>61</x:v>
      </x:c>
      <x:c r="F23" s="45"/>
      <x:c r="G23" s="46" t="s">
        <x:v>114</x:v>
      </x:c>
      <x:c r="H23" s="47"/>
      <x:c r="I23" s="11" t="s">
        <x:v>63</x:v>
      </x:c>
      <x:c r="J23" s="11" t="str">
        <x:f>LEFT(I23,FIND(" (",I23) - 1)</x:f>
        <x:v>Saúde</x:v>
      </x:c>
      <x:c r="K23" s="11" t="s">
        <x:v>20</x:v>
      </x:c>
      <x:c r="L23" s="48">
        <x:v>44950</x:v>
      </x:c>
      <x:c r="M23" s="48"/>
      <x:c r="N23" s="11" t="s">
        <x:v>64</x:v>
      </x:c>
      <x:c r="O23" s="11" t="s">
        <x:v>26</x:v>
      </x:c>
      <x:c r="P23" s="49" t="s">
        <x:v>115</x:v>
      </x:c>
      <x:c r="Q23" s="50"/>
    </x:row>
    <x:row r="24" ht="51">
      <x:c r="A24" s="11">
        <x:v>2023</x:v>
      </x:c>
      <x:c r="B24" s="43" t="s">
        <x:v>116</x:v>
      </x:c>
      <x:c r="C24" s="11" t="e">
        <x:f>IFERROR(VLOOKUP(B24,Regiões!A:B,2,0),"")</x:f>
        <x:v>#NAME?</x:v>
      </x:c>
      <x:c r="D24" s="11" t="s">
        <x:v>117</x:v>
      </x:c>
      <x:c r="E24" s="44" t="s">
        <x:v>61</x:v>
      </x:c>
      <x:c r="F24" s="45"/>
      <x:c r="G24" s="46" t="s">
        <x:v>118</x:v>
      </x:c>
      <x:c r="H24" s="47"/>
      <x:c r="I24" s="11" t="s">
        <x:v>63</x:v>
      </x:c>
      <x:c r="J24" s="11" t="s">
        <x:v>40</x:v>
      </x:c>
      <x:c r="K24" s="11" t="s">
        <x:v>20</x:v>
      </x:c>
      <x:c r="L24" s="48">
        <x:v>49379.28</x:v>
      </x:c>
      <x:c r="M24" s="48"/>
      <x:c r="N24" s="11" t="s">
        <x:v>64</x:v>
      </x:c>
      <x:c r="O24" s="11" t="s">
        <x:v>26</x:v>
      </x:c>
      <x:c r="P24" s="49" t="s">
        <x:v>119</x:v>
      </x:c>
      <x:c r="Q24" s="50"/>
    </x:row>
    <x:row r="25" ht="51">
      <x:c r="A25" s="11">
        <x:v>2023</x:v>
      </x:c>
      <x:c r="B25" s="43" t="s">
        <x:v>120</x:v>
      </x:c>
      <x:c r="C25" s="11" t="e">
        <x:f>IFERROR(VLOOKUP(B25,Regiões!A:B,2,0),"")</x:f>
        <x:v>#NAME?</x:v>
      </x:c>
      <x:c r="D25" s="11" t="s">
        <x:v>121</x:v>
      </x:c>
      <x:c r="E25" s="44" t="s">
        <x:v>61</x:v>
      </x:c>
      <x:c r="F25" s="45"/>
      <x:c r="G25" s="46" t="s">
        <x:v>122</x:v>
      </x:c>
      <x:c r="H25" s="47"/>
      <x:c r="I25" s="11" t="s">
        <x:v>63</x:v>
      </x:c>
      <x:c r="J25" s="11" t="s">
        <x:v>40</x:v>
      </x:c>
      <x:c r="K25" s="11" t="s">
        <x:v>20</x:v>
      </x:c>
      <x:c r="L25" s="48">
        <x:v>49379.28</x:v>
      </x:c>
      <x:c r="M25" s="48"/>
      <x:c r="N25" s="11" t="s">
        <x:v>64</x:v>
      </x:c>
      <x:c r="O25" s="11" t="s">
        <x:v>26</x:v>
      </x:c>
      <x:c r="P25" s="49" t="s">
        <x:v>123</x:v>
      </x:c>
      <x:c r="Q25" s="50"/>
    </x:row>
    <x:row r="26" ht="51">
      <x:c r="A26" s="51">
        <x:v>2019</x:v>
      </x:c>
      <x:c r="B26" s="51" t="s">
        <x:v>124</x:v>
      </x:c>
      <x:c r="C26" s="11" t="e">
        <x:f>IFERROR(VLOOKUP(B26,Regiões!A:B,2,0),"")</x:f>
        <x:v>#NAME?</x:v>
      </x:c>
      <x:c r="D26" s="22" t="s">
        <x:v>125</x:v>
      </x:c>
      <x:c r="E26" s="52" t="s">
        <x:v>126</x:v>
      </x:c>
      <x:c r="F26" s="53"/>
      <x:c r="G26" s="51" t="s">
        <x:v>127</x:v>
      </x:c>
      <x:c r="H26" s="58">
        <x:v>71220005</x:v>
      </x:c>
      <x:c r="I26" s="51" t="s">
        <x:v>128</x:v>
      </x:c>
      <x:c r="J26" s="22" t="s">
        <x:v>129</x:v>
      </x:c>
      <x:c r="K26" s="51" t="s">
        <x:v>32</x:v>
      </x:c>
      <x:c r="L26" s="55">
        <x:v>50000</x:v>
      </x:c>
      <x:c r="M26" s="55"/>
      <x:c r="N26" s="51" t="s">
        <x:v>130</x:v>
      </x:c>
      <x:c r="O26" s="51" t="s">
        <x:v>26</x:v>
      </x:c>
      <x:c r="P26" s="52" t="s">
        <x:v>131</x:v>
      </x:c>
      <x:c r="Q26" s="57" t="s">
        <x:v>132</x:v>
      </x:c>
    </x:row>
    <x:row r="27" ht="38.25">
      <x:c r="A27" s="51">
        <x:v>2020</x:v>
      </x:c>
      <x:c r="B27" s="51" t="s">
        <x:v>133</x:v>
      </x:c>
      <x:c r="C27" s="11" t="e">
        <x:f>IFERROR(VLOOKUP(B27,Regiões!A:B,2,0),"")</x:f>
        <x:v>#NAME?</x:v>
      </x:c>
      <x:c r="D27" s="22" t="s">
        <x:v>134</x:v>
      </x:c>
      <x:c r="E27" s="52" t="s">
        <x:v>135</x:v>
      </x:c>
      <x:c r="F27" s="53"/>
      <x:c r="G27" s="51" t="s">
        <x:v>136</x:v>
      </x:c>
      <x:c r="H27" s="61"/>
      <x:c r="I27" s="51" t="s">
        <x:v>95</x:v>
      </x:c>
      <x:c r="J27" s="51" t="s">
        <x:v>40</x:v>
      </x:c>
      <x:c r="K27" s="51" t="s">
        <x:v>20</x:v>
      </x:c>
      <x:c r="L27" s="55">
        <x:v>50000</x:v>
      </x:c>
      <x:c r="M27" s="55"/>
      <x:c r="N27" s="51" t="s">
        <x:v>137</x:v>
      </x:c>
      <x:c r="O27" s="51" t="s">
        <x:v>26</x:v>
      </x:c>
      <x:c r="P27" s="52" t="s">
        <x:v>138</x:v>
      </x:c>
      <x:c r="Q27" s="62"/>
    </x:row>
    <x:row r="28" ht="38.25">
      <x:c r="A28" s="51">
        <x:v>2020</x:v>
      </x:c>
      <x:c r="B28" s="51" t="s">
        <x:v>139</x:v>
      </x:c>
      <x:c r="C28" s="11" t="e">
        <x:f>IFERROR(VLOOKUP(B28,Regiões!A:B,2,0),"")</x:f>
        <x:v>#NAME?</x:v>
      </x:c>
      <x:c r="D28" s="22" t="s">
        <x:v>140</x:v>
      </x:c>
      <x:c r="E28" s="52" t="s">
        <x:v>93</x:v>
      </x:c>
      <x:c r="F28" s="53"/>
      <x:c r="G28" s="51" t="s">
        <x:v>141</x:v>
      </x:c>
      <x:c r="H28" s="63" t="s">
        <x:v>142</x:v>
      </x:c>
      <x:c r="I28" s="51" t="s">
        <x:v>95</x:v>
      </x:c>
      <x:c r="J28" s="51" t="s">
        <x:v>40</x:v>
      </x:c>
      <x:c r="K28" s="51" t="s">
        <x:v>20</x:v>
      </x:c>
      <x:c r="L28" s="55">
        <x:v>50000</x:v>
      </x:c>
      <x:c r="M28" s="55"/>
      <x:c r="N28" s="51" t="s">
        <x:v>64</x:v>
      </x:c>
      <x:c r="O28" s="51" t="s">
        <x:v>26</x:v>
      </x:c>
      <x:c r="P28" s="52" t="s">
        <x:v>143</x:v>
      </x:c>
      <x:c r="Q28" s="62"/>
    </x:row>
    <x:row r="29" ht="38.25">
      <x:c r="A29" s="51">
        <x:v>2020</x:v>
      </x:c>
      <x:c r="B29" s="51" t="s">
        <x:v>144</x:v>
      </x:c>
      <x:c r="C29" s="11" t="e">
        <x:f>IFERROR(VLOOKUP(B29,Regiões!A:B,2,0),"")</x:f>
        <x:v>#NAME?</x:v>
      </x:c>
      <x:c r="D29" s="22" t="s">
        <x:v>145</x:v>
      </x:c>
      <x:c r="E29" s="52" t="s">
        <x:v>93</x:v>
      </x:c>
      <x:c r="F29" s="53"/>
      <x:c r="G29" s="51" t="s">
        <x:v>146</x:v>
      </x:c>
      <x:c r="H29" s="63" t="s">
        <x:v>142</x:v>
      </x:c>
      <x:c r="I29" s="51" t="s">
        <x:v>95</x:v>
      </x:c>
      <x:c r="J29" s="51" t="s">
        <x:v>40</x:v>
      </x:c>
      <x:c r="K29" s="51" t="s">
        <x:v>20</x:v>
      </x:c>
      <x:c r="L29" s="55">
        <x:v>50000</x:v>
      </x:c>
      <x:c r="M29" s="55"/>
      <x:c r="N29" s="51" t="s">
        <x:v>64</x:v>
      </x:c>
      <x:c r="O29" s="51" t="s">
        <x:v>26</x:v>
      </x:c>
      <x:c r="P29" s="52" t="s">
        <x:v>143</x:v>
      </x:c>
      <x:c r="Q29" s="62"/>
    </x:row>
    <x:row r="30" ht="25.5">
      <x:c r="A30" s="51">
        <x:v>2020</x:v>
      </x:c>
      <x:c r="B30" s="51" t="s">
        <x:v>16</x:v>
      </x:c>
      <x:c r="C30" s="11" t="e">
        <x:f>IFERROR(VLOOKUP(B30,Regiões!A:B,2,0),"")</x:f>
        <x:v>#NAME?</x:v>
      </x:c>
      <x:c r="D30" s="22" t="s">
        <x:v>147</x:v>
      </x:c>
      <x:c r="E30" s="52" t="s">
        <x:v>93</x:v>
      </x:c>
      <x:c r="F30" s="53"/>
      <x:c r="G30" s="51" t="s">
        <x:v>148</x:v>
      </x:c>
      <x:c r="H30" s="63" t="s">
        <x:v>142</x:v>
      </x:c>
      <x:c r="I30" s="51" t="s">
        <x:v>95</x:v>
      </x:c>
      <x:c r="J30" s="51" t="s">
        <x:v>40</x:v>
      </x:c>
      <x:c r="K30" s="51" t="s">
        <x:v>20</x:v>
      </x:c>
      <x:c r="L30" s="55">
        <x:v>50000</x:v>
      </x:c>
      <x:c r="M30" s="55"/>
      <x:c r="N30" s="51" t="s">
        <x:v>64</x:v>
      </x:c>
      <x:c r="O30" s="51" t="s">
        <x:v>26</x:v>
      </x:c>
      <x:c r="P30" s="64" t="s">
        <x:v>149</x:v>
      </x:c>
      <x:c r="Q30" s="62"/>
    </x:row>
    <x:row r="31" ht="25.5">
      <x:c r="A31" s="51">
        <x:v>2020</x:v>
      </x:c>
      <x:c r="B31" s="51" t="s">
        <x:v>150</x:v>
      </x:c>
      <x:c r="C31" s="11" t="e">
        <x:f>IFERROR(VLOOKUP(B31,Regiões!A:B,2,0),"")</x:f>
        <x:v>#NAME?</x:v>
      </x:c>
      <x:c r="D31" s="22" t="s">
        <x:v>151</x:v>
      </x:c>
      <x:c r="E31" s="52" t="s">
        <x:v>93</x:v>
      </x:c>
      <x:c r="F31" s="53"/>
      <x:c r="G31" s="51" t="s">
        <x:v>152</x:v>
      </x:c>
      <x:c r="H31" s="63" t="s">
        <x:v>142</x:v>
      </x:c>
      <x:c r="I31" s="51" t="s">
        <x:v>95</x:v>
      </x:c>
      <x:c r="J31" s="51" t="s">
        <x:v>40</x:v>
      </x:c>
      <x:c r="K31" s="51" t="s">
        <x:v>20</x:v>
      </x:c>
      <x:c r="L31" s="55">
        <x:v>50000</x:v>
      </x:c>
      <x:c r="M31" s="55"/>
      <x:c r="N31" s="51" t="s">
        <x:v>64</x:v>
      </x:c>
      <x:c r="O31" s="51" t="s">
        <x:v>26</x:v>
      </x:c>
      <x:c r="P31" s="64" t="s">
        <x:v>149</x:v>
      </x:c>
      <x:c r="Q31" s="62"/>
    </x:row>
    <x:row r="32" ht="25.5">
      <x:c r="A32" s="51">
        <x:v>2020</x:v>
      </x:c>
      <x:c r="B32" s="51" t="s">
        <x:v>153</x:v>
      </x:c>
      <x:c r="C32" s="11" t="e">
        <x:f>IFERROR(VLOOKUP(B32,Regiões!A:B,2,0),"")</x:f>
        <x:v>#NAME?</x:v>
      </x:c>
      <x:c r="D32" s="22" t="s">
        <x:v>154</x:v>
      </x:c>
      <x:c r="E32" s="52" t="s">
        <x:v>93</x:v>
      </x:c>
      <x:c r="F32" s="53"/>
      <x:c r="G32" s="51" t="s">
        <x:v>155</x:v>
      </x:c>
      <x:c r="H32" s="63" t="s">
        <x:v>142</x:v>
      </x:c>
      <x:c r="I32" s="51" t="s">
        <x:v>95</x:v>
      </x:c>
      <x:c r="J32" s="51" t="s">
        <x:v>40</x:v>
      </x:c>
      <x:c r="K32" s="51" t="s">
        <x:v>20</x:v>
      </x:c>
      <x:c r="L32" s="55">
        <x:v>50000</x:v>
      </x:c>
      <x:c r="M32" s="55"/>
      <x:c r="N32" s="51" t="s">
        <x:v>64</x:v>
      </x:c>
      <x:c r="O32" s="51" t="s">
        <x:v>26</x:v>
      </x:c>
      <x:c r="P32" s="64" t="s">
        <x:v>149</x:v>
      </x:c>
      <x:c r="Q32" s="62"/>
    </x:row>
    <x:row r="33" ht="38.25">
      <x:c r="A33" s="51">
        <x:v>2020</x:v>
      </x:c>
      <x:c r="B33" s="51" t="s">
        <x:v>156</x:v>
      </x:c>
      <x:c r="C33" s="11" t="e">
        <x:f>IFERROR(VLOOKUP(B33,Regiões!A:B,2,0),"")</x:f>
        <x:v>#NAME?</x:v>
      </x:c>
      <x:c r="D33" s="22" t="s">
        <x:v>157</x:v>
      </x:c>
      <x:c r="E33" s="52" t="s">
        <x:v>93</x:v>
      </x:c>
      <x:c r="F33" s="53"/>
      <x:c r="G33" s="51" t="s">
        <x:v>158</x:v>
      </x:c>
      <x:c r="H33" s="63" t="s">
        <x:v>142</x:v>
      </x:c>
      <x:c r="I33" s="51" t="s">
        <x:v>95</x:v>
      </x:c>
      <x:c r="J33" s="51" t="s">
        <x:v>40</x:v>
      </x:c>
      <x:c r="K33" s="51" t="s">
        <x:v>20</x:v>
      </x:c>
      <x:c r="L33" s="55">
        <x:v>50000</x:v>
      </x:c>
      <x:c r="M33" s="55"/>
      <x:c r="N33" s="51" t="s">
        <x:v>64</x:v>
      </x:c>
      <x:c r="O33" s="51" t="s">
        <x:v>26</x:v>
      </x:c>
      <x:c r="P33" s="64" t="s">
        <x:v>149</x:v>
      </x:c>
      <x:c r="Q33" s="62"/>
    </x:row>
    <x:row r="34" ht="38.25">
      <x:c r="A34" s="51">
        <x:v>2020</x:v>
      </x:c>
      <x:c r="B34" s="51" t="s">
        <x:v>159</x:v>
      </x:c>
      <x:c r="C34" s="11" t="e">
        <x:f>IFERROR(VLOOKUP(B34,Regiões!A:B,2,0),"")</x:f>
        <x:v>#NAME?</x:v>
      </x:c>
      <x:c r="D34" s="22" t="s">
        <x:v>160</x:v>
      </x:c>
      <x:c r="E34" s="52" t="s">
        <x:v>93</x:v>
      </x:c>
      <x:c r="F34" s="53"/>
      <x:c r="G34" s="51" t="s">
        <x:v>161</x:v>
      </x:c>
      <x:c r="H34" s="63" t="s">
        <x:v>142</x:v>
      </x:c>
      <x:c r="I34" s="51" t="s">
        <x:v>95</x:v>
      </x:c>
      <x:c r="J34" s="51" t="s">
        <x:v>40</x:v>
      </x:c>
      <x:c r="K34" s="51" t="s">
        <x:v>20</x:v>
      </x:c>
      <x:c r="L34" s="55">
        <x:v>50000</x:v>
      </x:c>
      <x:c r="M34" s="55"/>
      <x:c r="N34" s="51" t="s">
        <x:v>64</x:v>
      </x:c>
      <x:c r="O34" s="51" t="s">
        <x:v>26</x:v>
      </x:c>
      <x:c r="P34" s="64" t="s">
        <x:v>149</x:v>
      </x:c>
      <x:c r="Q34" s="62"/>
    </x:row>
    <x:row r="35" ht="25.5">
      <x:c r="A35" s="51">
        <x:v>2020</x:v>
      </x:c>
      <x:c r="B35" s="51" t="s">
        <x:v>162</x:v>
      </x:c>
      <x:c r="C35" s="11" t="e">
        <x:f>IFERROR(VLOOKUP(B35,Regiões!A:B,2,0),"")</x:f>
        <x:v>#NAME?</x:v>
      </x:c>
      <x:c r="D35" s="22" t="s">
        <x:v>163</x:v>
      </x:c>
      <x:c r="E35" s="52" t="s">
        <x:v>93</x:v>
      </x:c>
      <x:c r="F35" s="53"/>
      <x:c r="G35" s="51" t="s">
        <x:v>164</x:v>
      </x:c>
      <x:c r="H35" s="63" t="s">
        <x:v>142</x:v>
      </x:c>
      <x:c r="I35" s="51" t="s">
        <x:v>95</x:v>
      </x:c>
      <x:c r="J35" s="51" t="s">
        <x:v>40</x:v>
      </x:c>
      <x:c r="K35" s="51" t="s">
        <x:v>20</x:v>
      </x:c>
      <x:c r="L35" s="55">
        <x:v>50000</x:v>
      </x:c>
      <x:c r="M35" s="55"/>
      <x:c r="N35" s="51" t="s">
        <x:v>64</x:v>
      </x:c>
      <x:c r="O35" s="51" t="s">
        <x:v>26</x:v>
      </x:c>
      <x:c r="P35" s="64" t="s">
        <x:v>149</x:v>
      </x:c>
      <x:c r="Q35" s="62"/>
    </x:row>
    <x:row r="36" ht="51">
      <x:c r="A36" s="51">
        <x:v>2020</x:v>
      </x:c>
      <x:c r="B36" s="51" t="s">
        <x:v>165</x:v>
      </x:c>
      <x:c r="C36" s="11" t="e">
        <x:f>IFERROR(VLOOKUP(B36,Regiões!A:B,2,0),"")</x:f>
        <x:v>#NAME?</x:v>
      </x:c>
      <x:c r="D36" s="22" t="s">
        <x:v>166</x:v>
      </x:c>
      <x:c r="E36" s="52" t="s">
        <x:v>93</x:v>
      </x:c>
      <x:c r="F36" s="53"/>
      <x:c r="G36" s="51" t="s">
        <x:v>167</x:v>
      </x:c>
      <x:c r="H36" s="63" t="s">
        <x:v>142</x:v>
      </x:c>
      <x:c r="I36" s="51" t="s">
        <x:v>95</x:v>
      </x:c>
      <x:c r="J36" s="51" t="s">
        <x:v>40</x:v>
      </x:c>
      <x:c r="K36" s="51" t="s">
        <x:v>20</x:v>
      </x:c>
      <x:c r="L36" s="55">
        <x:v>50000</x:v>
      </x:c>
      <x:c r="M36" s="55"/>
      <x:c r="N36" s="51" t="s">
        <x:v>64</x:v>
      </x:c>
      <x:c r="O36" s="51" t="s">
        <x:v>26</x:v>
      </x:c>
      <x:c r="P36" s="64" t="s">
        <x:v>149</x:v>
      </x:c>
      <x:c r="Q36" s="62"/>
    </x:row>
    <x:row r="37" ht="38.25">
      <x:c r="A37" s="51">
        <x:v>2020</x:v>
      </x:c>
      <x:c r="B37" s="51" t="s">
        <x:v>168</x:v>
      </x:c>
      <x:c r="C37" s="11" t="e">
        <x:f>IFERROR(VLOOKUP(B37,Regiões!A:B,2,0),"")</x:f>
        <x:v>#NAME?</x:v>
      </x:c>
      <x:c r="D37" s="22" t="s">
        <x:v>169</x:v>
      </x:c>
      <x:c r="E37" s="52" t="s">
        <x:v>93</x:v>
      </x:c>
      <x:c r="F37" s="53"/>
      <x:c r="G37" s="51" t="s">
        <x:v>170</x:v>
      </x:c>
      <x:c r="H37" s="63" t="s">
        <x:v>142</x:v>
      </x:c>
      <x:c r="I37" s="51" t="s">
        <x:v>95</x:v>
      </x:c>
      <x:c r="J37" s="51" t="s">
        <x:v>40</x:v>
      </x:c>
      <x:c r="K37" s="51" t="s">
        <x:v>20</x:v>
      </x:c>
      <x:c r="L37" s="55">
        <x:v>50000</x:v>
      </x:c>
      <x:c r="M37" s="55"/>
      <x:c r="N37" s="51" t="s">
        <x:v>64</x:v>
      </x:c>
      <x:c r="O37" s="51" t="s">
        <x:v>26</x:v>
      </x:c>
      <x:c r="P37" s="64" t="s">
        <x:v>149</x:v>
      </x:c>
      <x:c r="Q37" s="62"/>
    </x:row>
    <x:row r="38" ht="409.5">
      <x:c r="A38" s="51">
        <x:v>2020</x:v>
      </x:c>
      <x:c r="B38" s="51" t="s">
        <x:v>171</x:v>
      </x:c>
      <x:c r="C38" s="11" t="e">
        <x:f>IFERROR(VLOOKUP(B38,Regiões!A:B,2,0),"")</x:f>
        <x:v>#NAME?</x:v>
      </x:c>
      <x:c r="D38" s="22" t="s">
        <x:v>172</x:v>
      </x:c>
      <x:c r="E38" s="52" t="s">
        <x:v>93</x:v>
      </x:c>
      <x:c r="F38" s="53"/>
      <x:c r="G38" s="51" t="s">
        <x:v>173</x:v>
      </x:c>
      <x:c r="H38" s="58">
        <x:v>41160005</x:v>
      </x:c>
      <x:c r="I38" s="51" t="s">
        <x:v>95</x:v>
      </x:c>
      <x:c r="J38" s="51" t="s">
        <x:v>40</x:v>
      </x:c>
      <x:c r="K38" s="51" t="s">
        <x:v>20</x:v>
      </x:c>
      <x:c r="L38" s="55">
        <x:v>50000</x:v>
      </x:c>
      <x:c r="M38" s="55"/>
      <x:c r="N38" s="51" t="s">
        <x:v>21</x:v>
      </x:c>
      <x:c r="O38" s="51" t="s">
        <x:v>26</x:v>
      </x:c>
      <x:c r="P38" s="52" t="s">
        <x:v>174</x:v>
      </x:c>
      <x:c r="Q38" s="57" t="s">
        <x:v>175</x:v>
      </x:c>
    </x:row>
    <x:row r="39" ht="51">
      <x:c r="A39" s="51">
        <x:v>2020</x:v>
      </x:c>
      <x:c r="B39" s="51" t="s">
        <x:v>176</x:v>
      </x:c>
      <x:c r="C39" s="11" t="e">
        <x:f>IFERROR(VLOOKUP(B39,Regiões!A:B,2,0),"")</x:f>
        <x:v>#NAME?</x:v>
      </x:c>
      <x:c r="D39" s="22" t="s">
        <x:v>177</x:v>
      </x:c>
      <x:c r="E39" s="52" t="s">
        <x:v>135</x:v>
      </x:c>
      <x:c r="F39" s="53"/>
      <x:c r="G39" s="51" t="s">
        <x:v>178</x:v>
      </x:c>
      <x:c r="H39" s="65" t="s">
        <x:v>142</x:v>
      </x:c>
      <x:c r="I39" s="51" t="s">
        <x:v>95</x:v>
      </x:c>
      <x:c r="J39" s="51" t="s">
        <x:v>40</x:v>
      </x:c>
      <x:c r="K39" s="51" t="s">
        <x:v>20</x:v>
      </x:c>
      <x:c r="L39" s="55">
        <x:v>50000</x:v>
      </x:c>
      <x:c r="M39" s="55"/>
      <x:c r="N39" s="51" t="s">
        <x:v>179</x:v>
      </x:c>
      <x:c r="O39" s="51" t="s">
        <x:v>26</x:v>
      </x:c>
      <x:c r="P39" s="52" t="s">
        <x:v>138</x:v>
      </x:c>
      <x:c r="Q39" s="62"/>
    </x:row>
    <x:row r="40" ht="38.25">
      <x:c r="A40" s="51">
        <x:v>2020</x:v>
      </x:c>
      <x:c r="B40" s="51" t="s">
        <x:v>180</x:v>
      </x:c>
      <x:c r="C40" s="11" t="e">
        <x:f>IFERROR(VLOOKUP(B40,Regiões!A:B,2,0),"")</x:f>
        <x:v>#NAME?</x:v>
      </x:c>
      <x:c r="D40" s="22" t="s">
        <x:v>181</x:v>
      </x:c>
      <x:c r="E40" s="52" t="s">
        <x:v>135</x:v>
      </x:c>
      <x:c r="F40" s="53"/>
      <x:c r="G40" s="51" t="s">
        <x:v>182</x:v>
      </x:c>
      <x:c r="H40" s="63" t="s">
        <x:v>142</x:v>
      </x:c>
      <x:c r="I40" s="51" t="s">
        <x:v>95</x:v>
      </x:c>
      <x:c r="J40" s="51" t="s">
        <x:v>40</x:v>
      </x:c>
      <x:c r="K40" s="51" t="s">
        <x:v>20</x:v>
      </x:c>
      <x:c r="L40" s="55">
        <x:v>50000</x:v>
      </x:c>
      <x:c r="M40" s="55"/>
      <x:c r="N40" s="51" t="s">
        <x:v>179</x:v>
      </x:c>
      <x:c r="O40" s="51" t="s">
        <x:v>26</x:v>
      </x:c>
      <x:c r="P40" s="52" t="s">
        <x:v>138</x:v>
      </x:c>
      <x:c r="Q40" s="62"/>
    </x:row>
    <x:row r="41" ht="51">
      <x:c r="A41" s="51">
        <x:v>2020</x:v>
      </x:c>
      <x:c r="B41" s="51" t="s">
        <x:v>183</x:v>
      </x:c>
      <x:c r="C41" s="11" t="e">
        <x:f>IFERROR(VLOOKUP(B41,Regiões!A:B,2,0),"")</x:f>
        <x:v>#NAME?</x:v>
      </x:c>
      <x:c r="D41" s="22" t="s">
        <x:v>184</x:v>
      </x:c>
      <x:c r="E41" s="52" t="s">
        <x:v>135</x:v>
      </x:c>
      <x:c r="F41" s="53"/>
      <x:c r="G41" s="51" t="s">
        <x:v>185</x:v>
      </x:c>
      <x:c r="H41" s="63" t="s">
        <x:v>142</x:v>
      </x:c>
      <x:c r="I41" s="51" t="s">
        <x:v>95</x:v>
      </x:c>
      <x:c r="J41" s="51" t="s">
        <x:v>40</x:v>
      </x:c>
      <x:c r="K41" s="51" t="s">
        <x:v>20</x:v>
      </x:c>
      <x:c r="L41" s="55">
        <x:v>50000</x:v>
      </x:c>
      <x:c r="M41" s="55"/>
      <x:c r="N41" s="51" t="s">
        <x:v>179</x:v>
      </x:c>
      <x:c r="O41" s="51" t="s">
        <x:v>26</x:v>
      </x:c>
      <x:c r="P41" s="52" t="s">
        <x:v>138</x:v>
      </x:c>
      <x:c r="Q41" s="57" t="s">
        <x:v>186</x:v>
      </x:c>
    </x:row>
    <x:row r="42" ht="51">
      <x:c r="A42" s="51">
        <x:v>2020</x:v>
      </x:c>
      <x:c r="B42" s="51" t="s">
        <x:v>187</x:v>
      </x:c>
      <x:c r="C42" s="11" t="e">
        <x:f>IFERROR(VLOOKUP(B42,Regiões!A:B,2,0),"")</x:f>
        <x:v>#NAME?</x:v>
      </x:c>
      <x:c r="D42" s="22" t="s">
        <x:v>188</x:v>
      </x:c>
      <x:c r="E42" s="52" t="s">
        <x:v>93</x:v>
      </x:c>
      <x:c r="F42" s="53"/>
      <x:c r="G42" s="51" t="s">
        <x:v>189</x:v>
      </x:c>
      <x:c r="H42" s="63" t="s">
        <x:v>142</x:v>
      </x:c>
      <x:c r="I42" s="51" t="s">
        <x:v>95</x:v>
      </x:c>
      <x:c r="J42" s="51" t="s">
        <x:v>40</x:v>
      </x:c>
      <x:c r="K42" s="51" t="s">
        <x:v>20</x:v>
      </x:c>
      <x:c r="L42" s="55">
        <x:v>50000</x:v>
      </x:c>
      <x:c r="M42" s="55"/>
      <x:c r="N42" s="51" t="s">
        <x:v>64</x:v>
      </x:c>
      <x:c r="O42" s="51" t="s">
        <x:v>26</x:v>
      </x:c>
      <x:c r="P42" s="64" t="s">
        <x:v>149</x:v>
      </x:c>
      <x:c r="Q42" s="62"/>
    </x:row>
    <x:row r="43" ht="38.25">
      <x:c r="A43" s="51">
        <x:v>2020</x:v>
      </x:c>
      <x:c r="B43" s="51" t="s">
        <x:v>190</x:v>
      </x:c>
      <x:c r="C43" s="11" t="e">
        <x:f>IFERROR(VLOOKUP(B43,Regiões!A:B,2,0),"")</x:f>
        <x:v>#NAME?</x:v>
      </x:c>
      <x:c r="D43" s="22" t="s">
        <x:v>191</x:v>
      </x:c>
      <x:c r="E43" s="52" t="s">
        <x:v>135</x:v>
      </x:c>
      <x:c r="F43" s="53"/>
      <x:c r="G43" s="51" t="s">
        <x:v>136</x:v>
      </x:c>
      <x:c r="H43" s="63" t="s">
        <x:v>142</x:v>
      </x:c>
      <x:c r="I43" s="51" t="s">
        <x:v>95</x:v>
      </x:c>
      <x:c r="J43" s="51" t="s">
        <x:v>40</x:v>
      </x:c>
      <x:c r="K43" s="51" t="s">
        <x:v>20</x:v>
      </x:c>
      <x:c r="L43" s="55">
        <x:v>50000</x:v>
      </x:c>
      <x:c r="M43" s="55"/>
      <x:c r="N43" s="51" t="s">
        <x:v>179</x:v>
      </x:c>
      <x:c r="O43" s="51" t="s">
        <x:v>26</x:v>
      </x:c>
      <x:c r="P43" s="52" t="s">
        <x:v>138</x:v>
      </x:c>
      <x:c r="Q43" s="62"/>
    </x:row>
    <x:row r="44" ht="38.25">
      <x:c r="A44" s="51">
        <x:v>2020</x:v>
      </x:c>
      <x:c r="B44" s="51" t="s">
        <x:v>192</x:v>
      </x:c>
      <x:c r="C44" s="11" t="e">
        <x:f>IFERROR(VLOOKUP(B44,Regiões!A:B,2,0),"")</x:f>
        <x:v>#NAME?</x:v>
      </x:c>
      <x:c r="D44" s="22" t="s">
        <x:v>193</x:v>
      </x:c>
      <x:c r="E44" s="52" t="s">
        <x:v>93</x:v>
      </x:c>
      <x:c r="F44" s="53"/>
      <x:c r="G44" s="51" t="s">
        <x:v>194</x:v>
      </x:c>
      <x:c r="H44" s="63" t="s">
        <x:v>142</x:v>
      </x:c>
      <x:c r="I44" s="51" t="s">
        <x:v>95</x:v>
      </x:c>
      <x:c r="J44" s="51" t="s">
        <x:v>40</x:v>
      </x:c>
      <x:c r="K44" s="51" t="s">
        <x:v>20</x:v>
      </x:c>
      <x:c r="L44" s="55">
        <x:v>50000</x:v>
      </x:c>
      <x:c r="M44" s="55"/>
      <x:c r="N44" s="51" t="s">
        <x:v>64</x:v>
      </x:c>
      <x:c r="O44" s="51" t="s">
        <x:v>26</x:v>
      </x:c>
      <x:c r="P44" s="64" t="s">
        <x:v>149</x:v>
      </x:c>
      <x:c r="Q44" s="62"/>
    </x:row>
    <x:row r="45" ht="38.25">
      <x:c r="A45" s="51">
        <x:v>2020</x:v>
      </x:c>
      <x:c r="B45" s="51" t="s">
        <x:v>195</x:v>
      </x:c>
      <x:c r="C45" s="11" t="e">
        <x:f>IFERROR(VLOOKUP(B45,Regiões!A:B,2,0),"")</x:f>
        <x:v>#NAME?</x:v>
      </x:c>
      <x:c r="D45" s="22" t="s">
        <x:v>196</x:v>
      </x:c>
      <x:c r="E45" s="52" t="s">
        <x:v>135</x:v>
      </x:c>
      <x:c r="F45" s="53"/>
      <x:c r="G45" s="51" t="s">
        <x:v>197</x:v>
      </x:c>
      <x:c r="H45" s="63" t="s">
        <x:v>142</x:v>
      </x:c>
      <x:c r="I45" s="51" t="s">
        <x:v>95</x:v>
      </x:c>
      <x:c r="J45" s="51" t="s">
        <x:v>40</x:v>
      </x:c>
      <x:c r="K45" s="51" t="s">
        <x:v>20</x:v>
      </x:c>
      <x:c r="L45" s="55">
        <x:v>50000</x:v>
      </x:c>
      <x:c r="M45" s="55"/>
      <x:c r="N45" s="51" t="s">
        <x:v>179</x:v>
      </x:c>
      <x:c r="O45" s="51" t="s">
        <x:v>26</x:v>
      </x:c>
      <x:c r="P45" s="52" t="s">
        <x:v>138</x:v>
      </x:c>
      <x:c r="Q45" s="62"/>
    </x:row>
    <x:row r="46" ht="51">
      <x:c r="A46" s="51">
        <x:v>2020</x:v>
      </x:c>
      <x:c r="B46" s="51" t="s">
        <x:v>198</x:v>
      </x:c>
      <x:c r="C46" s="11" t="e">
        <x:f>IFERROR(VLOOKUP(B46,Regiões!A:B,2,0),"")</x:f>
        <x:v>#NAME?</x:v>
      </x:c>
      <x:c r="D46" s="22" t="s">
        <x:v>199</x:v>
      </x:c>
      <x:c r="E46" s="52" t="s">
        <x:v>135</x:v>
      </x:c>
      <x:c r="F46" s="53"/>
      <x:c r="G46" s="51" t="s">
        <x:v>182</x:v>
      </x:c>
      <x:c r="H46" s="63" t="s">
        <x:v>142</x:v>
      </x:c>
      <x:c r="I46" s="51" t="s">
        <x:v>95</x:v>
      </x:c>
      <x:c r="J46" s="51" t="s">
        <x:v>40</x:v>
      </x:c>
      <x:c r="K46" s="51" t="s">
        <x:v>20</x:v>
      </x:c>
      <x:c r="L46" s="55">
        <x:v>50000</x:v>
      </x:c>
      <x:c r="M46" s="55"/>
      <x:c r="N46" s="51" t="s">
        <x:v>179</x:v>
      </x:c>
      <x:c r="O46" s="51" t="s">
        <x:v>26</x:v>
      </x:c>
      <x:c r="P46" s="52" t="s">
        <x:v>138</x:v>
      </x:c>
      <x:c r="Q46" s="62"/>
    </x:row>
    <x:row r="47" ht="51">
      <x:c r="A47" s="51">
        <x:v>2020</x:v>
      </x:c>
      <x:c r="B47" s="51" t="s">
        <x:v>200</x:v>
      </x:c>
      <x:c r="C47" s="11" t="e">
        <x:f>IFERROR(VLOOKUP(B47,Regiões!A:B,2,0),"")</x:f>
        <x:v>#NAME?</x:v>
      </x:c>
      <x:c r="D47" s="22" t="s">
        <x:v>201</x:v>
      </x:c>
      <x:c r="E47" s="52" t="s">
        <x:v>135</x:v>
      </x:c>
      <x:c r="F47" s="53"/>
      <x:c r="G47" s="51" t="s">
        <x:v>185</x:v>
      </x:c>
      <x:c r="H47" s="63" t="s">
        <x:v>142</x:v>
      </x:c>
      <x:c r="I47" s="51" t="s">
        <x:v>95</x:v>
      </x:c>
      <x:c r="J47" s="51" t="s">
        <x:v>40</x:v>
      </x:c>
      <x:c r="K47" s="51" t="s">
        <x:v>20</x:v>
      </x:c>
      <x:c r="L47" s="55">
        <x:v>50000</x:v>
      </x:c>
      <x:c r="M47" s="55"/>
      <x:c r="N47" s="51" t="s">
        <x:v>179</x:v>
      </x:c>
      <x:c r="O47" s="51" t="s">
        <x:v>26</x:v>
      </x:c>
      <x:c r="P47" s="52" t="s">
        <x:v>138</x:v>
      </x:c>
      <x:c r="Q47" s="57" t="s">
        <x:v>186</x:v>
      </x:c>
    </x:row>
    <x:row r="48" ht="38.25">
      <x:c r="A48" s="51">
        <x:v>2020</x:v>
      </x:c>
      <x:c r="B48" s="51" t="s">
        <x:v>202</x:v>
      </x:c>
      <x:c r="C48" s="11" t="e">
        <x:f>IFERROR(VLOOKUP(B48,Regiões!A:B,2,0),"")</x:f>
        <x:v>#NAME?</x:v>
      </x:c>
      <x:c r="D48" s="22" t="s">
        <x:v>203</x:v>
      </x:c>
      <x:c r="E48" s="52" t="s">
        <x:v>93</x:v>
      </x:c>
      <x:c r="F48" s="53"/>
      <x:c r="G48" s="51" t="s">
        <x:v>204</x:v>
      </x:c>
      <x:c r="H48" s="65" t="s">
        <x:v>205</x:v>
      </x:c>
      <x:c r="I48" s="51" t="s">
        <x:v>95</x:v>
      </x:c>
      <x:c r="J48" s="51" t="s">
        <x:v>40</x:v>
      </x:c>
      <x:c r="K48" s="51" t="s">
        <x:v>20</x:v>
      </x:c>
      <x:c r="L48" s="55">
        <x:v>50000</x:v>
      </x:c>
      <x:c r="M48" s="55"/>
      <x:c r="N48" s="51" t="s">
        <x:v>64</x:v>
      </x:c>
      <x:c r="O48" s="51" t="s">
        <x:v>26</x:v>
      </x:c>
      <x:c r="P48" s="64" t="s">
        <x:v>149</x:v>
      </x:c>
      <x:c r="Q48" s="62"/>
    </x:row>
    <x:row r="49" ht="165.75">
      <x:c r="A49" s="22">
        <x:v>2021</x:v>
      </x:c>
      <x:c r="B49" s="30" t="s">
        <x:v>206</x:v>
      </x:c>
      <x:c r="C49" s="11" t="e">
        <x:f>IFERROR(VLOOKUP(B49,Regiões!A:B,2,0),"")</x:f>
        <x:v>#NAME?</x:v>
      </x:c>
      <x:c r="D49" s="22" t="s">
        <x:v>207</x:v>
      </x:c>
      <x:c r="E49" s="23" t="s">
        <x:v>42</x:v>
      </x:c>
      <x:c r="F49" s="31"/>
      <x:c r="G49" s="32" t="s">
        <x:v>18</x:v>
      </x:c>
      <x:c r="H49" s="25">
        <x:v>41160002</x:v>
      </x:c>
      <x:c r="I49" s="22" t="s">
        <x:v>39</x:v>
      </x:c>
      <x:c r="J49" s="22" t="s">
        <x:v>40</x:v>
      </x:c>
      <x:c r="K49" s="22" t="s">
        <x:v>20</x:v>
      </x:c>
      <x:c r="L49" s="26">
        <x:v>50000</x:v>
      </x:c>
      <x:c r="M49" s="26"/>
      <x:c r="N49" s="22" t="s">
        <x:v>43</x:v>
      </x:c>
      <x:c r="O49" s="22" t="s">
        <x:v>208</x:v>
      </x:c>
      <x:c r="P49" s="33" t="s">
        <x:v>209</x:v>
      </x:c>
      <x:c r="Q49" s="29"/>
    </x:row>
    <x:row r="50" ht="25.5">
      <x:c r="A50" s="22">
        <x:v>2022</x:v>
      </x:c>
      <x:c r="B50" s="22" t="s">
        <x:v>206</x:v>
      </x:c>
      <x:c r="C50" s="11" t="e">
        <x:f>IFERROR(VLOOKUP(B50,Regiões!A:B,2,0),"")</x:f>
        <x:v>#NAME?</x:v>
      </x:c>
      <x:c r="D50" s="22" t="s">
        <x:v>207</x:v>
      </x:c>
      <x:c r="E50" s="23" t="s">
        <x:v>38</x:v>
      </x:c>
      <x:c r="F50" s="24"/>
      <x:c r="G50" s="22" t="s">
        <x:v>18</x:v>
      </x:c>
      <x:c r="H50" s="25">
        <x:v>41160002</x:v>
      </x:c>
      <x:c r="I50" s="22" t="s">
        <x:v>39</x:v>
      </x:c>
      <x:c r="J50" s="22" t="s">
        <x:v>40</x:v>
      </x:c>
      <x:c r="K50" s="22" t="s">
        <x:v>20</x:v>
      </x:c>
      <x:c r="L50" s="27">
        <x:v>50000</x:v>
      </x:c>
      <x:c r="M50" s="27"/>
      <x:c r="N50" s="22" t="s">
        <x:v>41</x:v>
      </x:c>
      <x:c r="O50" s="22" t="s">
        <x:v>26</x:v>
      </x:c>
      <x:c r="P50" s="28"/>
      <x:c r="Q50" s="29"/>
    </x:row>
    <x:row r="51" ht="38.25">
      <x:c r="A51" s="11">
        <x:v>2023</x:v>
      </x:c>
      <x:c r="B51" s="43" t="s">
        <x:v>210</x:v>
      </x:c>
      <x:c r="C51" s="11" t="e">
        <x:f>IFERROR(VLOOKUP(B51,Regiões!A:B,2,0),"")</x:f>
        <x:v>#NAME?</x:v>
      </x:c>
      <x:c r="D51" s="11" t="s">
        <x:v>211</x:v>
      </x:c>
      <x:c r="E51" s="44" t="s">
        <x:v>61</x:v>
      </x:c>
      <x:c r="F51" s="45"/>
      <x:c r="G51" s="46" t="s">
        <x:v>212</x:v>
      </x:c>
      <x:c r="H51" s="47"/>
      <x:c r="I51" s="11" t="s">
        <x:v>63</x:v>
      </x:c>
      <x:c r="J51" s="11" t="s">
        <x:v>40</x:v>
      </x:c>
      <x:c r="K51" s="11" t="s">
        <x:v>20</x:v>
      </x:c>
      <x:c r="L51" s="48">
        <x:v>50000</x:v>
      </x:c>
      <x:c r="M51" s="48"/>
      <x:c r="N51" s="11" t="s">
        <x:v>64</x:v>
      </x:c>
      <x:c r="O51" s="11" t="s">
        <x:v>26</x:v>
      </x:c>
      <x:c r="P51" s="49" t="s">
        <x:v>213</x:v>
      </x:c>
      <x:c r="Q51" s="50"/>
    </x:row>
    <x:row r="52" ht="38.25">
      <x:c r="A52" s="11">
        <x:v>2023</x:v>
      </x:c>
      <x:c r="B52" s="43" t="s">
        <x:v>214</x:v>
      </x:c>
      <x:c r="C52" s="11" t="e">
        <x:f>IFERROR(VLOOKUP(B52,Regiões!A:B,2,0),"")</x:f>
        <x:v>#NAME?</x:v>
      </x:c>
      <x:c r="D52" s="11" t="s">
        <x:v>215</x:v>
      </x:c>
      <x:c r="E52" s="44" t="s">
        <x:v>61</x:v>
      </x:c>
      <x:c r="F52" s="45"/>
      <x:c r="G52" s="46" t="s">
        <x:v>216</x:v>
      </x:c>
      <x:c r="H52" s="47"/>
      <x:c r="I52" s="11" t="s">
        <x:v>63</x:v>
      </x:c>
      <x:c r="J52" s="11" t="s">
        <x:v>40</x:v>
      </x:c>
      <x:c r="K52" s="11" t="s">
        <x:v>20</x:v>
      </x:c>
      <x:c r="L52" s="48">
        <x:v>50000</x:v>
      </x:c>
      <x:c r="M52" s="48"/>
      <x:c r="N52" s="11" t="s">
        <x:v>64</x:v>
      </x:c>
      <x:c r="O52" s="11" t="s">
        <x:v>26</x:v>
      </x:c>
      <x:c r="P52" s="49" t="s">
        <x:v>217</x:v>
      </x:c>
      <x:c r="Q52" s="50"/>
    </x:row>
    <x:row r="53" ht="38.25">
      <x:c r="A53" s="11">
        <x:v>2023</x:v>
      </x:c>
      <x:c r="B53" s="43" t="s">
        <x:v>218</x:v>
      </x:c>
      <x:c r="C53" s="11" t="e">
        <x:f>IFERROR(VLOOKUP(B53,Regiões!A:B,2,0),"")</x:f>
        <x:v>#NAME?</x:v>
      </x:c>
      <x:c r="D53" s="11" t="s">
        <x:v>219</x:v>
      </x:c>
      <x:c r="E53" s="44" t="s">
        <x:v>61</x:v>
      </x:c>
      <x:c r="F53" s="45"/>
      <x:c r="G53" s="46" t="s">
        <x:v>220</x:v>
      </x:c>
      <x:c r="H53" s="47"/>
      <x:c r="I53" s="11" t="s">
        <x:v>63</x:v>
      </x:c>
      <x:c r="J53" s="11" t="str">
        <x:f>LEFT(I53,FIND(" (",I53) - 1)</x:f>
        <x:v>Saúde</x:v>
      </x:c>
      <x:c r="K53" s="11" t="s">
        <x:v>20</x:v>
      </x:c>
      <x:c r="L53" s="48">
        <x:v>50000</x:v>
      </x:c>
      <x:c r="M53" s="48"/>
      <x:c r="N53" s="11" t="s">
        <x:v>64</x:v>
      </x:c>
      <x:c r="O53" s="11" t="s">
        <x:v>26</x:v>
      </x:c>
      <x:c r="P53" s="49" t="s">
        <x:v>221</x:v>
      </x:c>
      <x:c r="Q53" s="50"/>
    </x:row>
    <x:row r="54" ht="51">
      <x:c r="A54" s="9">
        <x:v>2024</x:v>
      </x:c>
      <x:c r="B54" s="10" t="s">
        <x:v>222</x:v>
      </x:c>
      <x:c r="C54" s="11" t="e">
        <x:f>IFERROR(VLOOKUP(B54,Regiões!A:B,2,0),"")</x:f>
        <x:v>#NAME?</x:v>
      </x:c>
      <x:c r="D54" s="11" t="s">
        <x:v>223</x:v>
      </x:c>
      <x:c r="E54" s="12" t="str">
        <x:f t="shared" ref="E54:E55" si="0">G54&amp;" de "&amp;B54</x:f>
        <x:v>Prefeitura Municipal de Forquetinha</x:v>
      </x:c>
      <x:c r="F54" s="13"/>
      <x:c r="G54" s="14" t="s">
        <x:v>18</x:v>
      </x:c>
      <x:c r="H54" s="15">
        <x:v>41160002</x:v>
      </x:c>
      <x:c r="I54" s="9" t="s">
        <x:v>224</x:v>
      </x:c>
      <x:c r="J54" s="9" t="s">
        <x:v>40</x:v>
      </x:c>
      <x:c r="K54" s="16" t="s">
        <x:v>20</x:v>
      </x:c>
      <x:c r="L54" s="17">
        <x:v>50000</x:v>
      </x:c>
      <x:c r="M54" s="17"/>
      <x:c r="N54" s="11" t="s">
        <x:v>21</x:v>
      </x:c>
      <x:c r="O54" s="16"/>
      <x:c r="P54" s="18"/>
      <x:c r="Q54" s="19"/>
    </x:row>
    <x:row r="55" ht="38.25">
      <x:c r="A55" s="9">
        <x:v>2024</x:v>
      </x:c>
      <x:c r="B55" s="10" t="s">
        <x:v>225</x:v>
      </x:c>
      <x:c r="C55" s="11" t="e">
        <x:f>IFERROR(VLOOKUP(B55,Regiões!A:B,2,0),"")</x:f>
        <x:v>#NAME?</x:v>
      </x:c>
      <x:c r="D55" s="11" t="s">
        <x:v>226</x:v>
      </x:c>
      <x:c r="E55" s="12" t="str">
        <x:f t="shared" si="0"/>
        <x:v>Prefeitura Municipal de Imigrante</x:v>
      </x:c>
      <x:c r="F55" s="13"/>
      <x:c r="G55" s="14" t="s">
        <x:v>18</x:v>
      </x:c>
      <x:c r="H55" s="15">
        <x:v>41160002</x:v>
      </x:c>
      <x:c r="I55" s="9" t="s">
        <x:v>224</x:v>
      </x:c>
      <x:c r="J55" s="9" t="s">
        <x:v>40</x:v>
      </x:c>
      <x:c r="K55" s="16" t="s">
        <x:v>20</x:v>
      </x:c>
      <x:c r="L55" s="17">
        <x:v>50000</x:v>
      </x:c>
      <x:c r="M55" s="17"/>
      <x:c r="N55" s="11" t="s">
        <x:v>21</x:v>
      </x:c>
      <x:c r="O55" s="16"/>
      <x:c r="P55" s="18"/>
      <x:c r="Q55" s="19"/>
    </x:row>
    <x:row r="56" ht="38.25">
      <x:c r="A56" s="51">
        <x:v>2019</x:v>
      </x:c>
      <x:c r="B56" s="51" t="s">
        <x:v>227</x:v>
      </x:c>
      <x:c r="C56" s="11" t="e">
        <x:f>IFERROR(VLOOKUP(B56,Regiões!A:B,2,0),"")</x:f>
        <x:v>#NAME?</x:v>
      </x:c>
      <x:c r="D56" s="22" t="s">
        <x:v>228</x:v>
      </x:c>
      <x:c r="E56" s="52" t="s">
        <x:v>126</x:v>
      </x:c>
      <x:c r="F56" s="53"/>
      <x:c r="G56" s="51" t="s">
        <x:v>229</x:v>
      </x:c>
      <x:c r="H56" s="58">
        <x:v>71220005</x:v>
      </x:c>
      <x:c r="I56" s="51" t="s">
        <x:v>128</x:v>
      </x:c>
      <x:c r="J56" s="22" t="s">
        <x:v>129</x:v>
      </x:c>
      <x:c r="K56" s="51" t="s">
        <x:v>32</x:v>
      </x:c>
      <x:c r="L56" s="55">
        <x:v>54000</x:v>
      </x:c>
      <x:c r="M56" s="55"/>
      <x:c r="N56" s="51" t="s">
        <x:v>64</x:v>
      </x:c>
      <x:c r="O56" s="51" t="s">
        <x:v>26</x:v>
      </x:c>
      <x:c r="P56" s="52" t="s">
        <x:v>131</x:v>
      </x:c>
      <x:c r="Q56" s="62"/>
    </x:row>
    <x:row r="57" ht="38.25">
      <x:c r="A57" s="51">
        <x:v>2019</x:v>
      </x:c>
      <x:c r="B57" s="51" t="s">
        <x:v>230</x:v>
      </x:c>
      <x:c r="C57" s="11" t="e">
        <x:f>IFERROR(VLOOKUP(B57,Regiões!A:B,2,0),"")</x:f>
        <x:v>#NAME?</x:v>
      </x:c>
      <x:c r="D57" s="22" t="s">
        <x:v>231</x:v>
      </x:c>
      <x:c r="E57" s="52" t="s">
        <x:v>126</x:v>
      </x:c>
      <x:c r="F57" s="53"/>
      <x:c r="G57" s="51" t="s">
        <x:v>232</x:v>
      </x:c>
      <x:c r="H57" s="58">
        <x:v>71220005</x:v>
      </x:c>
      <x:c r="I57" s="51" t="s">
        <x:v>128</x:v>
      </x:c>
      <x:c r="J57" s="22" t="s">
        <x:v>129</x:v>
      </x:c>
      <x:c r="K57" s="51" t="s">
        <x:v>32</x:v>
      </x:c>
      <x:c r="L57" s="55">
        <x:v>54000</x:v>
      </x:c>
      <x:c r="M57" s="55"/>
      <x:c r="N57" s="51" t="s">
        <x:v>130</x:v>
      </x:c>
      <x:c r="O57" s="51" t="s">
        <x:v>26</x:v>
      </x:c>
      <x:c r="P57" s="52" t="s">
        <x:v>131</x:v>
      </x:c>
      <x:c r="Q57" s="57" t="s">
        <x:v>132</x:v>
      </x:c>
    </x:row>
    <x:row r="58" ht="51">
      <x:c r="A58" s="51">
        <x:v>2019</x:v>
      </x:c>
      <x:c r="B58" s="51" t="s">
        <x:v>233</x:v>
      </x:c>
      <x:c r="C58" s="11" t="e">
        <x:f>IFERROR(VLOOKUP(B58,Regiões!A:B,2,0),"")</x:f>
        <x:v>#NAME?</x:v>
      </x:c>
      <x:c r="D58" s="22" t="s">
        <x:v>234</x:v>
      </x:c>
      <x:c r="E58" s="52" t="s">
        <x:v>126</x:v>
      </x:c>
      <x:c r="F58" s="53"/>
      <x:c r="G58" s="51" t="s">
        <x:v>235</x:v>
      </x:c>
      <x:c r="H58" s="58">
        <x:v>71220005</x:v>
      </x:c>
      <x:c r="I58" s="51" t="s">
        <x:v>128</x:v>
      </x:c>
      <x:c r="J58" s="22" t="s">
        <x:v>129</x:v>
      </x:c>
      <x:c r="K58" s="51" t="s">
        <x:v>32</x:v>
      </x:c>
      <x:c r="L58" s="55">
        <x:v>55000</x:v>
      </x:c>
      <x:c r="M58" s="55"/>
      <x:c r="N58" s="51" t="s">
        <x:v>130</x:v>
      </x:c>
      <x:c r="O58" s="51" t="s">
        <x:v>26</x:v>
      </x:c>
      <x:c r="P58" s="52" t="s">
        <x:v>131</x:v>
      </x:c>
      <x:c r="Q58" s="62"/>
    </x:row>
    <x:row r="59" ht="38.25">
      <x:c r="A59" s="11">
        <x:v>2023</x:v>
      </x:c>
      <x:c r="B59" s="66" t="s">
        <x:v>236</x:v>
      </x:c>
      <x:c r="C59" s="11" t="e">
        <x:f>IFERROR(VLOOKUP(B59,Regiões!A:B,2,0),"")</x:f>
        <x:v>#NAME?</x:v>
      </x:c>
      <x:c r="D59" s="11" t="s">
        <x:v>237</x:v>
      </x:c>
      <x:c r="E59" s="67" t="s">
        <x:v>42</x:v>
      </x:c>
      <x:c r="F59" s="68"/>
      <x:c r="G59" s="66" t="s">
        <x:v>238</x:v>
      </x:c>
      <x:c r="H59" s="69"/>
      <x:c r="I59" s="11" t="s">
        <x:v>239</x:v>
      </x:c>
      <x:c r="J59" s="11" t="str">
        <x:f>LEFT(I59,FIND(" (",I59) - 1)</x:f>
        <x:v>Segurança Pública</x:v>
      </x:c>
      <x:c r="K59" s="11" t="s">
        <x:v>32</x:v>
      </x:c>
      <x:c r="L59" s="70">
        <x:v>56000</x:v>
      </x:c>
      <x:c r="M59" s="70"/>
      <x:c r="N59" s="11" t="s">
        <x:v>21</x:v>
      </x:c>
      <x:c r="O59" s="11" t="s">
        <x:v>240</x:v>
      </x:c>
      <x:c r="P59" s="67" t="s">
        <x:v>241</x:v>
      </x:c>
      <x:c r="Q59" s="66"/>
    </x:row>
    <x:row r="60" ht="38.25">
      <x:c r="A60" s="11">
        <x:v>2023</x:v>
      </x:c>
      <x:c r="B60" s="43" t="s">
        <x:v>236</x:v>
      </x:c>
      <x:c r="C60" s="11" t="e">
        <x:f>IFERROR(VLOOKUP(B60,Regiões!A:B,2,0),"")</x:f>
        <x:v>#NAME?</x:v>
      </x:c>
      <x:c r="D60" s="11" t="s">
        <x:v>237</x:v>
      </x:c>
      <x:c r="E60" s="44" t="s">
        <x:v>61</x:v>
      </x:c>
      <x:c r="F60" s="45"/>
      <x:c r="G60" s="46" t="s">
        <x:v>242</x:v>
      </x:c>
      <x:c r="H60" s="47"/>
      <x:c r="I60" s="11" t="s">
        <x:v>63</x:v>
      </x:c>
      <x:c r="J60" s="11" t="s">
        <x:v>40</x:v>
      </x:c>
      <x:c r="K60" s="11" t="s">
        <x:v>20</x:v>
      </x:c>
      <x:c r="L60" s="48">
        <x:v>58000</x:v>
      </x:c>
      <x:c r="M60" s="48"/>
      <x:c r="N60" s="11" t="s">
        <x:v>64</x:v>
      </x:c>
      <x:c r="O60" s="11" t="s">
        <x:v>240</x:v>
      </x:c>
      <x:c r="P60" s="49"/>
      <x:c r="Q60" s="50"/>
    </x:row>
    <x:row r="61" ht="38.25">
      <x:c r="A61" s="51">
        <x:v>2019</x:v>
      </x:c>
      <x:c r="B61" s="51" t="s">
        <x:v>144</x:v>
      </x:c>
      <x:c r="C61" s="11" t="e">
        <x:f>IFERROR(VLOOKUP(B61,Regiões!A:B,2,0),"")</x:f>
        <x:v>#NAME?</x:v>
      </x:c>
      <x:c r="D61" s="22" t="s">
        <x:v>243</x:v>
      </x:c>
      <x:c r="E61" s="52" t="s">
        <x:v>126</x:v>
      </x:c>
      <x:c r="F61" s="53"/>
      <x:c r="G61" s="51" t="s">
        <x:v>244</x:v>
      </x:c>
      <x:c r="H61" s="58">
        <x:v>71220005</x:v>
      </x:c>
      <x:c r="I61" s="51" t="s">
        <x:v>128</x:v>
      </x:c>
      <x:c r="J61" s="22" t="s">
        <x:v>129</x:v>
      </x:c>
      <x:c r="K61" s="51" t="s">
        <x:v>32</x:v>
      </x:c>
      <x:c r="L61" s="55">
        <x:v>59000</x:v>
      </x:c>
      <x:c r="M61" s="55"/>
      <x:c r="N61" s="51" t="s">
        <x:v>130</x:v>
      </x:c>
      <x:c r="O61" s="51" t="s">
        <x:v>26</x:v>
      </x:c>
      <x:c r="P61" s="52" t="s">
        <x:v>131</x:v>
      </x:c>
      <x:c r="Q61" s="57" t="s">
        <x:v>132</x:v>
      </x:c>
    </x:row>
    <x:row r="62" ht="38.25">
      <x:c r="A62" s="51">
        <x:v>2020</x:v>
      </x:c>
      <x:c r="B62" s="51" t="s">
        <x:v>245</x:v>
      </x:c>
      <x:c r="C62" s="11" t="e">
        <x:f>IFERROR(VLOOKUP(B62,Regiões!A:B,2,0),"")</x:f>
        <x:v>#NAME?</x:v>
      </x:c>
      <x:c r="D62" s="22" t="s">
        <x:v>246</x:v>
      </x:c>
      <x:c r="E62" s="52" t="s">
        <x:v>93</x:v>
      </x:c>
      <x:c r="F62" s="53"/>
      <x:c r="G62" s="51" t="s">
        <x:v>247</x:v>
      </x:c>
      <x:c r="H62" s="63" t="s">
        <x:v>142</x:v>
      </x:c>
      <x:c r="I62" s="51" t="s">
        <x:v>95</x:v>
      </x:c>
      <x:c r="J62" s="51" t="s">
        <x:v>40</x:v>
      </x:c>
      <x:c r="K62" s="51" t="s">
        <x:v>20</x:v>
      </x:c>
      <x:c r="L62" s="55">
        <x:v>60000</x:v>
      </x:c>
      <x:c r="M62" s="55"/>
      <x:c r="N62" s="51" t="s">
        <x:v>64</x:v>
      </x:c>
      <x:c r="O62" s="51" t="s">
        <x:v>26</x:v>
      </x:c>
      <x:c r="P62" s="52" t="s">
        <x:v>143</x:v>
      </x:c>
      <x:c r="Q62" s="62"/>
    </x:row>
    <x:row r="63" ht="38.25">
      <x:c r="A63" s="11">
        <x:v>2023</x:v>
      </x:c>
      <x:c r="B63" s="66" t="s">
        <x:v>248</x:v>
      </x:c>
      <x:c r="C63" s="11" t="e">
        <x:f>IFERROR(VLOOKUP(B63,Regiões!A:B,2,0),"")</x:f>
        <x:v>#NAME?</x:v>
      </x:c>
      <x:c r="D63" s="11" t="s">
        <x:v>249</x:v>
      </x:c>
      <x:c r="E63" s="67" t="s">
        <x:v>42</x:v>
      </x:c>
      <x:c r="F63" s="68"/>
      <x:c r="G63" s="66" t="s">
        <x:v>250</x:v>
      </x:c>
      <x:c r="H63" s="69"/>
      <x:c r="I63" s="11" t="s">
        <x:v>239</x:v>
      </x:c>
      <x:c r="J63" s="11" t="str">
        <x:f>LEFT(I63,FIND(" (",I63) - 1)</x:f>
        <x:v>Segurança Pública</x:v>
      </x:c>
      <x:c r="K63" s="11" t="s">
        <x:v>32</x:v>
      </x:c>
      <x:c r="L63" s="70">
        <x:v>60000</x:v>
      </x:c>
      <x:c r="M63" s="70"/>
      <x:c r="N63" s="11" t="s">
        <x:v>21</x:v>
      </x:c>
      <x:c r="O63" s="11" t="s">
        <x:v>49</x:v>
      </x:c>
      <x:c r="P63" s="67" t="s">
        <x:v>251</x:v>
      </x:c>
      <x:c r="Q63" s="66"/>
    </x:row>
    <x:row r="64" ht="51">
      <x:c r="A64" s="9">
        <x:v>2024</x:v>
      </x:c>
      <x:c r="B64" s="14" t="s">
        <x:v>252</x:v>
      </x:c>
      <x:c r="C64" s="11" t="e">
        <x:f>IFERROR(VLOOKUP(B64,Regiões!A:B,2,0),"")</x:f>
        <x:v>#NAME?</x:v>
      </x:c>
      <x:c r="D64" s="11" t="s">
        <x:v>253</x:v>
      </x:c>
      <x:c r="E64" s="12" t="str">
        <x:f>G64&amp;" de "&amp;B64</x:f>
        <x:v>Prefeitura Municipal de Bom Princípio</x:v>
      </x:c>
      <x:c r="F64" s="13"/>
      <x:c r="G64" s="14" t="s">
        <x:v>18</x:v>
      </x:c>
      <x:c r="H64" s="15">
        <x:v>41160002</x:v>
      </x:c>
      <x:c r="I64" s="9" t="s">
        <x:v>224</x:v>
      </x:c>
      <x:c r="J64" s="9" t="s">
        <x:v>40</x:v>
      </x:c>
      <x:c r="K64" s="16" t="s">
        <x:v>20</x:v>
      </x:c>
      <x:c r="L64" s="17">
        <x:v>60000</x:v>
      </x:c>
      <x:c r="M64" s="17"/>
      <x:c r="N64" s="11" t="s">
        <x:v>21</x:v>
      </x:c>
      <x:c r="O64" s="16"/>
      <x:c r="P64" s="18"/>
      <x:c r="Q64" s="19"/>
    </x:row>
    <x:row r="65" ht="25.5">
      <x:c r="A65" s="51">
        <x:v>2019</x:v>
      </x:c>
      <x:c r="B65" s="51" t="s">
        <x:v>254</x:v>
      </x:c>
      <x:c r="C65" s="11" t="e">
        <x:f>IFERROR(VLOOKUP(B65,Regiões!A:B,2,0),"")</x:f>
        <x:v>#NAME?</x:v>
      </x:c>
      <x:c r="D65" s="22" t="s">
        <x:v>255</x:v>
      </x:c>
      <x:c r="E65" s="52" t="s">
        <x:v>126</x:v>
      </x:c>
      <x:c r="F65" s="53"/>
      <x:c r="G65" s="51" t="s">
        <x:v>256</x:v>
      </x:c>
      <x:c r="H65" s="58">
        <x:v>71220005</x:v>
      </x:c>
      <x:c r="I65" s="51" t="s">
        <x:v>128</x:v>
      </x:c>
      <x:c r="J65" s="22" t="s">
        <x:v>129</x:v>
      </x:c>
      <x:c r="K65" s="51" t="s">
        <x:v>32</x:v>
      </x:c>
      <x:c r="L65" s="55">
        <x:v>63000</x:v>
      </x:c>
      <x:c r="M65" s="55"/>
      <x:c r="N65" s="51" t="s">
        <x:v>130</x:v>
      </x:c>
      <x:c r="O65" s="51" t="s">
        <x:v>26</x:v>
      </x:c>
      <x:c r="P65" s="52" t="s">
        <x:v>131</x:v>
      </x:c>
      <x:c r="Q65" s="57" t="s">
        <x:v>132</x:v>
      </x:c>
    </x:row>
    <x:row r="66" ht="25.5">
      <x:c r="A66" s="51">
        <x:v>2019</x:v>
      </x:c>
      <x:c r="B66" s="51" t="s">
        <x:v>257</x:v>
      </x:c>
      <x:c r="C66" s="11" t="e">
        <x:f>IFERROR(VLOOKUP(B66,Regiões!A:B,2,0),"")</x:f>
        <x:v>#NAME?</x:v>
      </x:c>
      <x:c r="D66" s="22" t="s">
        <x:v>258</x:v>
      </x:c>
      <x:c r="E66" s="52" t="s">
        <x:v>126</x:v>
      </x:c>
      <x:c r="F66" s="53"/>
      <x:c r="G66" s="51" t="s">
        <x:v>259</x:v>
      </x:c>
      <x:c r="H66" s="58">
        <x:v>71220005</x:v>
      </x:c>
      <x:c r="I66" s="51" t="s">
        <x:v>128</x:v>
      </x:c>
      <x:c r="J66" s="22" t="s">
        <x:v>129</x:v>
      </x:c>
      <x:c r="K66" s="51" t="s">
        <x:v>32</x:v>
      </x:c>
      <x:c r="L66" s="55">
        <x:v>63000</x:v>
      </x:c>
      <x:c r="M66" s="55"/>
      <x:c r="N66" s="51" t="s">
        <x:v>130</x:v>
      </x:c>
      <x:c r="O66" s="51" t="s">
        <x:v>26</x:v>
      </x:c>
      <x:c r="P66" s="52" t="s">
        <x:v>131</x:v>
      </x:c>
      <x:c r="Q66" s="57" t="s">
        <x:v>132</x:v>
      </x:c>
    </x:row>
    <x:row r="67" ht="38.25">
      <x:c r="A67" s="51">
        <x:v>2019</x:v>
      </x:c>
      <x:c r="B67" s="51" t="s">
        <x:v>260</x:v>
      </x:c>
      <x:c r="C67" s="11" t="e">
        <x:f>IFERROR(VLOOKUP(B67,Regiões!A:B,2,0),"")</x:f>
        <x:v>#NAME?</x:v>
      </x:c>
      <x:c r="D67" s="22" t="s">
        <x:v>261</x:v>
      </x:c>
      <x:c r="E67" s="52" t="s">
        <x:v>126</x:v>
      </x:c>
      <x:c r="F67" s="53"/>
      <x:c r="G67" s="51" t="s">
        <x:v>262</x:v>
      </x:c>
      <x:c r="H67" s="58">
        <x:v>71220005</x:v>
      </x:c>
      <x:c r="I67" s="51" t="s">
        <x:v>128</x:v>
      </x:c>
      <x:c r="J67" s="22" t="s">
        <x:v>129</x:v>
      </x:c>
      <x:c r="K67" s="51" t="s">
        <x:v>32</x:v>
      </x:c>
      <x:c r="L67" s="55">
        <x:v>64000</x:v>
      </x:c>
      <x:c r="M67" s="55"/>
      <x:c r="N67" s="51" t="s">
        <x:v>130</x:v>
      </x:c>
      <x:c r="O67" s="51" t="s">
        <x:v>26</x:v>
      </x:c>
      <x:c r="P67" s="52" t="s">
        <x:v>131</x:v>
      </x:c>
      <x:c r="Q67" s="57" t="s">
        <x:v>132</x:v>
      </x:c>
    </x:row>
    <x:row r="68" ht="38.25">
      <x:c r="A68" s="51">
        <x:v>2019</x:v>
      </x:c>
      <x:c r="B68" s="51" t="s">
        <x:v>263</x:v>
      </x:c>
      <x:c r="C68" s="11" t="e">
        <x:f>IFERROR(VLOOKUP(B68,Regiões!A:B,2,0),"")</x:f>
        <x:v>#NAME?</x:v>
      </x:c>
      <x:c r="D68" s="22" t="s">
        <x:v>264</x:v>
      </x:c>
      <x:c r="E68" s="52" t="s">
        <x:v>126</x:v>
      </x:c>
      <x:c r="F68" s="53"/>
      <x:c r="G68" s="51" t="s">
        <x:v>265</x:v>
      </x:c>
      <x:c r="H68" s="58">
        <x:v>71220005</x:v>
      </x:c>
      <x:c r="I68" s="51" t="s">
        <x:v>128</x:v>
      </x:c>
      <x:c r="J68" s="22" t="s">
        <x:v>129</x:v>
      </x:c>
      <x:c r="K68" s="51" t="s">
        <x:v>32</x:v>
      </x:c>
      <x:c r="L68" s="55">
        <x:v>66000</x:v>
      </x:c>
      <x:c r="M68" s="55"/>
      <x:c r="N68" s="51" t="s">
        <x:v>130</x:v>
      </x:c>
      <x:c r="O68" s="51" t="s">
        <x:v>26</x:v>
      </x:c>
      <x:c r="P68" s="52" t="s">
        <x:v>131</x:v>
      </x:c>
      <x:c r="Q68" s="57" t="s">
        <x:v>132</x:v>
      </x:c>
    </x:row>
    <x:row r="69" ht="51">
      <x:c r="A69" s="11">
        <x:v>2023</x:v>
      </x:c>
      <x:c r="B69" s="43" t="s">
        <x:v>266</x:v>
      </x:c>
      <x:c r="C69" s="11" t="e">
        <x:f>IFERROR(VLOOKUP(B69,Regiões!A:B,2,0),"")</x:f>
        <x:v>#NAME?</x:v>
      </x:c>
      <x:c r="D69" s="11" t="s">
        <x:v>267</x:v>
      </x:c>
      <x:c r="E69" s="44" t="s">
        <x:v>61</x:v>
      </x:c>
      <x:c r="F69" s="45"/>
      <x:c r="G69" s="46" t="s">
        <x:v>268</x:v>
      </x:c>
      <x:c r="H69" s="47"/>
      <x:c r="I69" s="11" t="s">
        <x:v>63</x:v>
      </x:c>
      <x:c r="J69" s="11" t="str">
        <x:f>LEFT(I69,FIND(" (",I69) - 1)</x:f>
        <x:v>Saúde</x:v>
      </x:c>
      <x:c r="K69" s="11" t="s">
        <x:v>20</x:v>
      </x:c>
      <x:c r="L69" s="48">
        <x:v>66576.11</x:v>
      </x:c>
      <x:c r="M69" s="48"/>
      <x:c r="N69" s="11" t="s">
        <x:v>64</x:v>
      </x:c>
      <x:c r="O69" s="11" t="s">
        <x:v>240</x:v>
      </x:c>
      <x:c r="P69" s="49" t="s">
        <x:v>269</x:v>
      </x:c>
      <x:c r="Q69" s="50"/>
    </x:row>
    <x:row r="70" ht="38.25">
      <x:c r="A70" s="51">
        <x:v>2020</x:v>
      </x:c>
      <x:c r="B70" s="51" t="s">
        <x:v>270</x:v>
      </x:c>
      <x:c r="C70" s="11" t="e">
        <x:f>IFERROR(VLOOKUP(B70,Regiões!A:B,2,0),"")</x:f>
        <x:v>#NAME?</x:v>
      </x:c>
      <x:c r="D70" s="22" t="s">
        <x:v>271</x:v>
      </x:c>
      <x:c r="E70" s="52" t="s">
        <x:v>38</x:v>
      </x:c>
      <x:c r="F70" s="53"/>
      <x:c r="G70" s="51" t="s">
        <x:v>18</x:v>
      </x:c>
      <x:c r="H70" s="58">
        <x:v>41160001</x:v>
      </x:c>
      <x:c r="I70" s="51" t="s">
        <x:v>39</x:v>
      </x:c>
      <x:c r="J70" s="51" t="s">
        <x:v>40</x:v>
      </x:c>
      <x:c r="K70" s="51" t="s">
        <x:v>20</x:v>
      </x:c>
      <x:c r="L70" s="55">
        <x:v>67500</x:v>
      </x:c>
      <x:c r="M70" s="55"/>
      <x:c r="N70" s="51" t="s">
        <x:v>96</x:v>
      </x:c>
      <x:c r="O70" s="51" t="s">
        <x:v>26</x:v>
      </x:c>
      <x:c r="P70" s="52" t="s">
        <x:v>272</x:v>
      </x:c>
      <x:c r="Q70" s="62"/>
    </x:row>
    <x:row r="71" ht="25.5">
      <x:c r="A71" s="51">
        <x:v>2020</x:v>
      </x:c>
      <x:c r="B71" s="51" t="s">
        <x:v>139</x:v>
      </x:c>
      <x:c r="C71" s="11" t="e">
        <x:f>IFERROR(VLOOKUP(B71,Regiões!A:B,2,0),"")</x:f>
        <x:v>#NAME?</x:v>
      </x:c>
      <x:c r="D71" s="22" t="s">
        <x:v>273</x:v>
      </x:c>
      <x:c r="E71" s="52" t="s">
        <x:v>38</x:v>
      </x:c>
      <x:c r="F71" s="53"/>
      <x:c r="G71" s="51" t="s">
        <x:v>18</x:v>
      </x:c>
      <x:c r="H71" s="58">
        <x:v>41160001</x:v>
      </x:c>
      <x:c r="I71" s="51" t="s">
        <x:v>39</x:v>
      </x:c>
      <x:c r="J71" s="51" t="s">
        <x:v>40</x:v>
      </x:c>
      <x:c r="K71" s="51" t="s">
        <x:v>20</x:v>
      </x:c>
      <x:c r="L71" s="55">
        <x:v>67500</x:v>
      </x:c>
      <x:c r="M71" s="55"/>
      <x:c r="N71" s="51" t="s">
        <x:v>96</x:v>
      </x:c>
      <x:c r="O71" s="51" t="s">
        <x:v>26</x:v>
      </x:c>
      <x:c r="P71" s="52" t="s">
        <x:v>272</x:v>
      </x:c>
      <x:c r="Q71" s="62"/>
    </x:row>
    <x:row r="72" ht="76.5">
      <x:c r="A72" s="51">
        <x:v>2020</x:v>
      </x:c>
      <x:c r="B72" s="51" t="s">
        <x:v>274</x:v>
      </x:c>
      <x:c r="C72" s="11" t="e">
        <x:f>IFERROR(VLOOKUP(B72,Regiões!A:B,2,0),"")</x:f>
        <x:v>#NAME?</x:v>
      </x:c>
      <x:c r="D72" s="22" t="s">
        <x:v>275</x:v>
      </x:c>
      <x:c r="E72" s="52" t="s">
        <x:v>38</x:v>
      </x:c>
      <x:c r="F72" s="53"/>
      <x:c r="G72" s="51" t="s">
        <x:v>18</x:v>
      </x:c>
      <x:c r="H72" s="58">
        <x:v>41160001</x:v>
      </x:c>
      <x:c r="I72" s="51" t="s">
        <x:v>39</x:v>
      </x:c>
      <x:c r="J72" s="51" t="s">
        <x:v>40</x:v>
      </x:c>
      <x:c r="K72" s="51" t="s">
        <x:v>20</x:v>
      </x:c>
      <x:c r="L72" s="55">
        <x:v>67500</x:v>
      </x:c>
      <x:c r="M72" s="55"/>
      <x:c r="N72" s="51" t="s">
        <x:v>96</x:v>
      </x:c>
      <x:c r="O72" s="51" t="s">
        <x:v>26</x:v>
      </x:c>
      <x:c r="P72" s="52" t="s">
        <x:v>276</x:v>
      </x:c>
      <x:c r="Q72" s="57" t="s">
        <x:v>277</x:v>
      </x:c>
    </x:row>
    <x:row r="73" ht="63.75">
      <x:c r="A73" s="51">
        <x:v>2020</x:v>
      </x:c>
      <x:c r="B73" s="51" t="s">
        <x:v>190</x:v>
      </x:c>
      <x:c r="C73" s="11" t="e">
        <x:f>IFERROR(VLOOKUP(B73,Regiões!A:B,2,0),"")</x:f>
        <x:v>#NAME?</x:v>
      </x:c>
      <x:c r="D73" s="22" t="s">
        <x:v>278</x:v>
      </x:c>
      <x:c r="E73" s="52" t="s">
        <x:v>38</x:v>
      </x:c>
      <x:c r="F73" s="53"/>
      <x:c r="G73" s="51" t="s">
        <x:v>18</x:v>
      </x:c>
      <x:c r="H73" s="58">
        <x:v>41160001</x:v>
      </x:c>
      <x:c r="I73" s="51" t="s">
        <x:v>39</x:v>
      </x:c>
      <x:c r="J73" s="51" t="s">
        <x:v>40</x:v>
      </x:c>
      <x:c r="K73" s="51" t="s">
        <x:v>20</x:v>
      </x:c>
      <x:c r="L73" s="55">
        <x:v>67727</x:v>
      </x:c>
      <x:c r="M73" s="55"/>
      <x:c r="N73" s="51" t="s">
        <x:v>21</x:v>
      </x:c>
      <x:c r="O73" s="51" t="s">
        <x:v>26</x:v>
      </x:c>
      <x:c r="P73" s="52" t="s">
        <x:v>276</x:v>
      </x:c>
      <x:c r="Q73" s="57" t="s">
        <x:v>279</x:v>
      </x:c>
    </x:row>
    <x:row r="74" ht="51">
      <x:c r="A74" s="9">
        <x:v>2024</x:v>
      </x:c>
      <x:c r="B74" s="10" t="s">
        <x:v>280</x:v>
      </x:c>
      <x:c r="C74" s="11" t="e">
        <x:f>IFERROR(VLOOKUP(B74,Regiões!A:B,2,0),"")</x:f>
        <x:v>#NAME?</x:v>
      </x:c>
      <x:c r="D74" s="11" t="s">
        <x:v>281</x:v>
      </x:c>
      <x:c r="E74" s="12" t="str">
        <x:f>G74&amp;" de "&amp;B74</x:f>
        <x:v>Prefeitura Municipal de Putinga</x:v>
      </x:c>
      <x:c r="F74" s="13"/>
      <x:c r="G74" s="14" t="s">
        <x:v>18</x:v>
      </x:c>
      <x:c r="H74" s="15">
        <x:v>41160001</x:v>
      </x:c>
      <x:c r="I74" s="9" t="s">
        <x:v>58</x:v>
      </x:c>
      <x:c r="J74" s="9" t="s">
        <x:v>40</x:v>
      </x:c>
      <x:c r="K74" s="16" t="s">
        <x:v>20</x:v>
      </x:c>
      <x:c r="L74" s="17">
        <x:v>68364</x:v>
      </x:c>
      <x:c r="M74" s="17"/>
      <x:c r="N74" s="11" t="s">
        <x:v>21</x:v>
      </x:c>
      <x:c r="O74" s="16"/>
      <x:c r="P74" s="18"/>
      <x:c r="Q74" s="19"/>
    </x:row>
    <x:row r="75" ht="102">
      <x:c r="A75" s="51">
        <x:v>2020</x:v>
      </x:c>
      <x:c r="B75" s="51" t="s">
        <x:v>225</x:v>
      </x:c>
      <x:c r="C75" s="11" t="e">
        <x:f>IFERROR(VLOOKUP(B75,Regiões!A:B,2,0),"")</x:f>
        <x:v>#NAME?</x:v>
      </x:c>
      <x:c r="D75" s="22" t="s">
        <x:v>282</x:v>
      </x:c>
      <x:c r="E75" s="52" t="s">
        <x:v>38</x:v>
      </x:c>
      <x:c r="F75" s="53"/>
      <x:c r="G75" s="51" t="s">
        <x:v>18</x:v>
      </x:c>
      <x:c r="H75" s="58">
        <x:v>41160009</x:v>
      </x:c>
      <x:c r="I75" s="51" t="s">
        <x:v>95</x:v>
      </x:c>
      <x:c r="J75" s="51" t="s">
        <x:v>40</x:v>
      </x:c>
      <x:c r="K75" s="51" t="s">
        <x:v>20</x:v>
      </x:c>
      <x:c r="L75" s="55">
        <x:v>68418</x:v>
      </x:c>
      <x:c r="M75" s="55"/>
      <x:c r="N75" s="51" t="s">
        <x:v>96</x:v>
      </x:c>
      <x:c r="O75" s="51" t="s">
        <x:v>26</x:v>
      </x:c>
      <x:c r="P75" s="52" t="s">
        <x:v>276</x:v>
      </x:c>
      <x:c r="Q75" s="57" t="s">
        <x:v>283</x:v>
      </x:c>
    </x:row>
    <x:row r="76" ht="89.25">
      <x:c r="A76" s="9">
        <x:v>2024</x:v>
      </x:c>
      <x:c r="B76" s="10" t="s">
        <x:v>51</x:v>
      </x:c>
      <x:c r="C76" s="11" t="e">
        <x:f>IFERROR(VLOOKUP(B76,Regiões!A:B,2,0),"")</x:f>
        <x:v>#NAME?</x:v>
      </x:c>
      <x:c r="D76" s="11" t="s">
        <x:v>284</x:v>
      </x:c>
      <x:c r="E76" s="12" t="str">
        <x:f>G76&amp;" de "&amp;B76</x:f>
        <x:v>Prefeitura Municipal de Porto Alegre</x:v>
      </x:c>
      <x:c r="F76" s="13"/>
      <x:c r="G76" s="14" t="s">
        <x:v>18</x:v>
      </x:c>
      <x:c r="H76" s="15">
        <x:v>41160004</x:v>
      </x:c>
      <x:c r="I76" s="9" t="s">
        <x:v>285</x:v>
      </x:c>
      <x:c r="J76" s="9" t="s">
        <x:v>40</x:v>
      </x:c>
      <x:c r="K76" s="16" t="s">
        <x:v>32</x:v>
      </x:c>
      <x:c r="L76" s="17">
        <x:v>69646</x:v>
      </x:c>
      <x:c r="M76" s="17"/>
      <x:c r="N76" s="11" t="s">
        <x:v>21</x:v>
      </x:c>
      <x:c r="O76" s="16"/>
      <x:c r="P76" s="18"/>
      <x:c r="Q76" s="19"/>
    </x:row>
    <x:row r="77" ht="51">
      <x:c r="A77" s="11">
        <x:v>2023</x:v>
      </x:c>
      <x:c r="B77" s="43" t="s">
        <x:v>286</x:v>
      </x:c>
      <x:c r="C77" s="11" t="e">
        <x:f>IFERROR(VLOOKUP(B77,Regiões!A:B,2,0),"")</x:f>
        <x:v>#NAME?</x:v>
      </x:c>
      <x:c r="D77" s="11" t="s">
        <x:v>287</x:v>
      </x:c>
      <x:c r="E77" s="44" t="s">
        <x:v>61</x:v>
      </x:c>
      <x:c r="F77" s="45"/>
      <x:c r="G77" s="46" t="s">
        <x:v>288</x:v>
      </x:c>
      <x:c r="H77" s="47"/>
      <x:c r="I77" s="11" t="s">
        <x:v>63</x:v>
      </x:c>
      <x:c r="J77" s="11" t="str">
        <x:f>LEFT(I77,FIND(" (",I77) - 1)</x:f>
        <x:v>Saúde</x:v>
      </x:c>
      <x:c r="K77" s="11" t="s">
        <x:v>20</x:v>
      </x:c>
      <x:c r="L77" s="48">
        <x:v>70000</x:v>
      </x:c>
      <x:c r="M77" s="48"/>
      <x:c r="N77" s="11" t="s">
        <x:v>64</x:v>
      </x:c>
      <x:c r="O77" s="11" t="s">
        <x:v>26</x:v>
      </x:c>
      <x:c r="P77" s="49" t="s">
        <x:v>289</x:v>
      </x:c>
      <x:c r="Q77" s="50"/>
    </x:row>
    <x:row r="78" ht="51">
      <x:c r="A78" s="9">
        <x:v>2025</x:v>
      </x:c>
      <x:c r="B78" s="14" t="s">
        <x:v>183</x:v>
      </x:c>
      <x:c r="C78" s="11" t="e">
        <x:f>IFERROR(VLOOKUP(B78,Regiões!A:B,2,0),"")</x:f>
        <x:v>#NAME?</x:v>
      </x:c>
      <x:c r="D78" s="11" t="s">
        <x:v>290</x:v>
      </x:c>
      <x:c r="E78" s="12" t="s">
        <x:v>183</x:v>
      </x:c>
      <x:c r="F78" s="13">
        <x:v>11787446000124</x:v>
      </x:c>
      <x:c r="G78" s="14"/>
      <x:c r="H78" s="59">
        <x:v>41160001</x:v>
      </x:c>
      <x:c r="I78" s="9" t="s">
        <x:v>106</x:v>
      </x:c>
      <x:c r="J78" s="9" t="s">
        <x:v>40</x:v>
      </x:c>
      <x:c r="K78" s="16" t="s">
        <x:v>20</x:v>
      </x:c>
      <x:c r="L78" s="71">
        <x:v>70000</x:v>
      </x:c>
      <x:c r="M78" s="71"/>
      <x:c r="N78" s="9" t="s">
        <x:v>33</x:v>
      </x:c>
      <x:c r="O78" s="16"/>
      <x:c r="P78" s="49" t="s">
        <x:v>107</x:v>
      </x:c>
      <x:c r="Q78" s="19"/>
    </x:row>
    <x:row r="79" ht="51">
      <x:c r="A79" s="11">
        <x:v>2023</x:v>
      </x:c>
      <x:c r="B79" s="43" t="s">
        <x:v>291</x:v>
      </x:c>
      <x:c r="C79" s="11" t="e">
        <x:f>IFERROR(VLOOKUP(B79,Regiões!A:B,2,0),"")</x:f>
        <x:v>#NAME?</x:v>
      </x:c>
      <x:c r="D79" s="11" t="s">
        <x:v>292</x:v>
      </x:c>
      <x:c r="E79" s="44" t="s">
        <x:v>61</x:v>
      </x:c>
      <x:c r="F79" s="45"/>
      <x:c r="G79" s="46" t="s">
        <x:v>293</x:v>
      </x:c>
      <x:c r="H79" s="47"/>
      <x:c r="I79" s="11" t="s">
        <x:v>63</x:v>
      </x:c>
      <x:c r="J79" s="11" t="str">
        <x:f>LEFT(I79,FIND(" (",I79) - 1)</x:f>
        <x:v>Saúde</x:v>
      </x:c>
      <x:c r="K79" s="11" t="s">
        <x:v>20</x:v>
      </x:c>
      <x:c r="L79" s="48">
        <x:v>71500</x:v>
      </x:c>
      <x:c r="M79" s="48"/>
      <x:c r="N79" s="11" t="s">
        <x:v>64</x:v>
      </x:c>
      <x:c r="O79" s="11" t="s">
        <x:v>26</x:v>
      </x:c>
      <x:c r="P79" s="49"/>
      <x:c r="Q79" s="50"/>
    </x:row>
    <x:row r="80" ht="38.25">
      <x:c r="A80" s="51">
        <x:v>2019</x:v>
      </x:c>
      <x:c r="B80" s="51" t="s">
        <x:v>294</x:v>
      </x:c>
      <x:c r="C80" s="11" t="e">
        <x:f>IFERROR(VLOOKUP(B80,Regiões!A:B,2,0),"")</x:f>
        <x:v>#NAME?</x:v>
      </x:c>
      <x:c r="D80" s="22" t="s">
        <x:v>295</x:v>
      </x:c>
      <x:c r="E80" s="52" t="s">
        <x:v>126</x:v>
      </x:c>
      <x:c r="F80" s="53"/>
      <x:c r="G80" s="51" t="s">
        <x:v>296</x:v>
      </x:c>
      <x:c r="H80" s="58">
        <x:v>71220005</x:v>
      </x:c>
      <x:c r="I80" s="51" t="s">
        <x:v>128</x:v>
      </x:c>
      <x:c r="J80" s="22" t="s">
        <x:v>129</x:v>
      </x:c>
      <x:c r="K80" s="51" t="s">
        <x:v>32</x:v>
      </x:c>
      <x:c r="L80" s="55">
        <x:v>78705.88</x:v>
      </x:c>
      <x:c r="M80" s="55"/>
      <x:c r="N80" s="51" t="s">
        <x:v>130</x:v>
      </x:c>
      <x:c r="O80" s="51" t="s">
        <x:v>26</x:v>
      </x:c>
      <x:c r="P80" s="52" t="s">
        <x:v>131</x:v>
      </x:c>
      <x:c r="Q80" s="57" t="s">
        <x:v>132</x:v>
      </x:c>
    </x:row>
    <x:row r="81" ht="38.25">
      <x:c r="A81" s="51">
        <x:v>2020</x:v>
      </x:c>
      <x:c r="B81" s="51" t="s">
        <x:v>297</x:v>
      </x:c>
      <x:c r="C81" s="11" t="e">
        <x:f>IFERROR(VLOOKUP(B81,Regiões!A:B,2,0),"")</x:f>
        <x:v>#NAME?</x:v>
      </x:c>
      <x:c r="D81" s="22" t="s">
        <x:v>298</x:v>
      </x:c>
      <x:c r="E81" s="52" t="s">
        <x:v>93</x:v>
      </x:c>
      <x:c r="F81" s="53"/>
      <x:c r="G81" s="51" t="s">
        <x:v>299</x:v>
      </x:c>
      <x:c r="H81" s="63" t="s">
        <x:v>142</x:v>
      </x:c>
      <x:c r="I81" s="51" t="s">
        <x:v>95</x:v>
      </x:c>
      <x:c r="J81" s="51" t="s">
        <x:v>40</x:v>
      </x:c>
      <x:c r="K81" s="51" t="s">
        <x:v>20</x:v>
      </x:c>
      <x:c r="L81" s="55">
        <x:v>80000</x:v>
      </x:c>
      <x:c r="M81" s="55"/>
      <x:c r="N81" s="51" t="s">
        <x:v>64</x:v>
      </x:c>
      <x:c r="O81" s="51" t="s">
        <x:v>26</x:v>
      </x:c>
      <x:c r="P81" s="64" t="s">
        <x:v>149</x:v>
      </x:c>
      <x:c r="Q81" s="62"/>
    </x:row>
    <x:row r="82" ht="25.5">
      <x:c r="A82" s="22">
        <x:v>2021</x:v>
      </x:c>
      <x:c r="B82" s="30" t="s">
        <x:v>195</x:v>
      </x:c>
      <x:c r="C82" s="11" t="e">
        <x:f>IFERROR(VLOOKUP(B82,Regiões!A:B,2,0),"")</x:f>
        <x:v>#NAME?</x:v>
      </x:c>
      <x:c r="D82" s="22" t="s">
        <x:v>300</x:v>
      </x:c>
      <x:c r="E82" s="23" t="s">
        <x:v>42</x:v>
      </x:c>
      <x:c r="F82" s="31"/>
      <x:c r="G82" s="32" t="s">
        <x:v>18</x:v>
      </x:c>
      <x:c r="H82" s="34">
        <x:v>41160003</x:v>
      </x:c>
      <x:c r="I82" s="22" t="s">
        <x:v>95</x:v>
      </x:c>
      <x:c r="J82" s="22" t="s">
        <x:v>40</x:v>
      </x:c>
      <x:c r="K82" s="22" t="s">
        <x:v>20</x:v>
      </x:c>
      <x:c r="L82" s="26">
        <x:v>80000</x:v>
      </x:c>
      <x:c r="M82" s="26"/>
      <x:c r="N82" s="22" t="s">
        <x:v>301</x:v>
      </x:c>
      <x:c r="O82" s="51" t="s">
        <x:v>26</x:v>
      </x:c>
      <x:c r="P82" s="35" t="s">
        <x:v>302</x:v>
      </x:c>
      <x:c r="Q82" s="29"/>
    </x:row>
    <x:row r="83" ht="38.25">
      <x:c r="A83" s="22">
        <x:v>2020</x:v>
      </x:c>
      <x:c r="B83" s="22" t="s">
        <x:v>303</x:v>
      </x:c>
      <x:c r="C83" s="11" t="e">
        <x:f>IFERROR(VLOOKUP(B83,Regiões!A:B,2,0),"")</x:f>
        <x:v>#NAME?</x:v>
      </x:c>
      <x:c r="D83" s="22" t="s">
        <x:v>304</x:v>
      </x:c>
      <x:c r="E83" s="23" t="s">
        <x:v>305</x:v>
      </x:c>
      <x:c r="F83" s="24"/>
      <x:c r="G83" s="22" t="s">
        <x:v>306</x:v>
      </x:c>
      <x:c r="H83" s="73"/>
      <x:c r="I83" s="22" t="s">
        <x:v>31</x:v>
      </x:c>
      <x:c r="J83" s="22" t="s">
        <x:v>25</x:v>
      </x:c>
      <x:c r="K83" s="22" t="s">
        <x:v>32</x:v>
      </x:c>
      <x:c r="L83" s="26">
        <x:v>81280</x:v>
      </x:c>
      <x:c r="M83" s="26"/>
      <x:c r="N83" s="22" t="s">
        <x:v>64</x:v>
      </x:c>
      <x:c r="O83" s="22" t="s">
        <x:v>307</x:v>
      </x:c>
      <x:c r="P83" s="23" t="s">
        <x:v>308</x:v>
      </x:c>
      <x:c r="Q83" s="29" t="s">
        <x:v>309</x:v>
      </x:c>
    </x:row>
    <x:row r="84" ht="63.75">
      <x:c r="A84" s="9">
        <x:v>2024</x:v>
      </x:c>
      <x:c r="B84" s="10" t="s">
        <x:v>310</x:v>
      </x:c>
      <x:c r="C84" s="11" t="e">
        <x:f>IFERROR(VLOOKUP(B84,Regiões!A:B,2,0),"")</x:f>
        <x:v>#NAME?</x:v>
      </x:c>
      <x:c r="D84" s="11" t="s">
        <x:v>311</x:v>
      </x:c>
      <x:c r="E84" s="12" t="str">
        <x:f>G84&amp;" de "&amp;B84</x:f>
        <x:v>Prefeitura Municipal de Alvorada</x:v>
      </x:c>
      <x:c r="F84" s="13"/>
      <x:c r="G84" s="14" t="s">
        <x:v>18</x:v>
      </x:c>
      <x:c r="H84" s="15">
        <x:v>41160004</x:v>
      </x:c>
      <x:c r="I84" s="9" t="s">
        <x:v>285</x:v>
      </x:c>
      <x:c r="J84" s="9" t="s">
        <x:v>40</x:v>
      </x:c>
      <x:c r="K84" s="16" t="s">
        <x:v>32</x:v>
      </x:c>
      <x:c r="L84" s="17">
        <x:v>83953</x:v>
      </x:c>
      <x:c r="M84" s="17"/>
      <x:c r="N84" s="11" t="s">
        <x:v>21</x:v>
      </x:c>
      <x:c r="O84" s="16"/>
      <x:c r="P84" s="18"/>
      <x:c r="Q84" s="19"/>
    </x:row>
    <x:row r="85" ht="38.25">
      <x:c r="A85" s="51">
        <x:v>2020</x:v>
      </x:c>
      <x:c r="B85" s="51" t="s">
        <x:v>312</x:v>
      </x:c>
      <x:c r="C85" s="11" t="e">
        <x:f>IFERROR(VLOOKUP(B85,Regiões!A:B,2,0),"")</x:f>
        <x:v>#NAME?</x:v>
      </x:c>
      <x:c r="D85" s="22" t="s">
        <x:v>313</x:v>
      </x:c>
      <x:c r="E85" s="52" t="s">
        <x:v>93</x:v>
      </x:c>
      <x:c r="F85" s="53"/>
      <x:c r="G85" s="51" t="s">
        <x:v>314</x:v>
      </x:c>
      <x:c r="H85" s="58">
        <x:v>41160005</x:v>
      </x:c>
      <x:c r="I85" s="51" t="s">
        <x:v>95</x:v>
      </x:c>
      <x:c r="J85" s="51" t="s">
        <x:v>40</x:v>
      </x:c>
      <x:c r="K85" s="51" t="s">
        <x:v>20</x:v>
      </x:c>
      <x:c r="L85" s="55">
        <x:v>86000</x:v>
      </x:c>
      <x:c r="M85" s="55"/>
      <x:c r="N85" s="51" t="s">
        <x:v>315</x:v>
      </x:c>
      <x:c r="O85" s="51" t="s">
        <x:v>26</x:v>
      </x:c>
      <x:c r="P85" s="52" t="s">
        <x:v>316</x:v>
      </x:c>
      <x:c r="Q85" s="57" t="s">
        <x:v>317</x:v>
      </x:c>
    </x:row>
    <x:row r="86" ht="38.25">
      <x:c r="A86" s="22">
        <x:v>2020</x:v>
      </x:c>
      <x:c r="B86" s="22" t="s">
        <x:v>51</x:v>
      </x:c>
      <x:c r="C86" s="11" t="e">
        <x:f>IFERROR(VLOOKUP(B86,Regiões!A:B,2,0),"")</x:f>
        <x:v>#NAME?</x:v>
      </x:c>
      <x:c r="D86" s="22" t="s">
        <x:v>52</x:v>
      </x:c>
      <x:c r="E86" s="23" t="s">
        <x:v>53</x:v>
      </x:c>
      <x:c r="F86" s="24"/>
      <x:c r="G86" s="22" t="s">
        <x:v>53</x:v>
      </x:c>
      <x:c r="H86" s="34">
        <x:v>41160010</x:v>
      </x:c>
      <x:c r="I86" s="22" t="s">
        <x:v>31</x:v>
      </x:c>
      <x:c r="J86" s="22" t="s">
        <x:v>25</x:v>
      </x:c>
      <x:c r="K86" s="22" t="s">
        <x:v>32</x:v>
      </x:c>
      <x:c r="L86" s="26">
        <x:v>88086</x:v>
      </x:c>
      <x:c r="M86" s="26"/>
      <x:c r="N86" s="22" t="s">
        <x:v>33</x:v>
      </x:c>
      <x:c r="O86" s="22" t="s">
        <x:v>54</x:v>
      </x:c>
      <x:c r="P86" s="74" t="s">
        <x:v>318</x:v>
      </x:c>
      <x:c r="Q86" s="29"/>
    </x:row>
    <x:row r="87" ht="51">
      <x:c r="A87" s="9">
        <x:v>2024</x:v>
      </x:c>
      <x:c r="B87" s="14" t="s">
        <x:v>319</x:v>
      </x:c>
      <x:c r="C87" s="11" t="e">
        <x:f>IFERROR(VLOOKUP(B87,Regiões!A:B,2,0),"")</x:f>
        <x:v>#NAME?</x:v>
      </x:c>
      <x:c r="D87" s="11" t="s">
        <x:v>320</x:v>
      </x:c>
      <x:c r="E87" s="12" t="str">
        <x:f t="shared" ref="E87:E88" si="1">G87&amp;" de "&amp;B87</x:f>
        <x:v>Prefeitura Municipal de São José do Herval</x:v>
      </x:c>
      <x:c r="F87" s="13"/>
      <x:c r="G87" s="14" t="s">
        <x:v>18</x:v>
      </x:c>
      <x:c r="H87" s="15">
        <x:v>41160001</x:v>
      </x:c>
      <x:c r="I87" s="9" t="s">
        <x:v>58</x:v>
      </x:c>
      <x:c r="J87" s="9" t="s">
        <x:v>40</x:v>
      </x:c>
      <x:c r="K87" s="16" t="s">
        <x:v>20</x:v>
      </x:c>
      <x:c r="L87" s="17">
        <x:v>90000</x:v>
      </x:c>
      <x:c r="M87" s="17"/>
      <x:c r="N87" s="11" t="s">
        <x:v>21</x:v>
      </x:c>
      <x:c r="O87" s="16"/>
      <x:c r="P87" s="18"/>
      <x:c r="Q87" s="19"/>
    </x:row>
    <x:row r="88" ht="63.75">
      <x:c r="A88" s="9">
        <x:v>2024</x:v>
      </x:c>
      <x:c r="B88" s="14" t="s">
        <x:v>321</x:v>
      </x:c>
      <x:c r="C88" s="11" t="e">
        <x:f>IFERROR(VLOOKUP(B88,Regiões!A:B,2,0),"")</x:f>
        <x:v>#NAME?</x:v>
      </x:c>
      <x:c r="D88" s="11" t="s">
        <x:v>322</x:v>
      </x:c>
      <x:c r="E88" s="12" t="str">
        <x:f t="shared" si="1"/>
        <x:v>Prefeitura Municipal de São Vendelino</x:v>
      </x:c>
      <x:c r="F88" s="13"/>
      <x:c r="G88" s="14" t="s">
        <x:v>18</x:v>
      </x:c>
      <x:c r="H88" s="15">
        <x:v>41160001</x:v>
      </x:c>
      <x:c r="I88" s="9" t="s">
        <x:v>58</x:v>
      </x:c>
      <x:c r="J88" s="9" t="s">
        <x:v>40</x:v>
      </x:c>
      <x:c r="K88" s="16" t="s">
        <x:v>20</x:v>
      </x:c>
      <x:c r="L88" s="17">
        <x:v>90000</x:v>
      </x:c>
      <x:c r="M88" s="17"/>
      <x:c r="N88" s="11" t="s">
        <x:v>21</x:v>
      </x:c>
      <x:c r="O88" s="16"/>
      <x:c r="P88" s="18"/>
      <x:c r="Q88" s="19"/>
    </x:row>
    <x:row r="89" ht="38.25">
      <x:c r="A89" s="11">
        <x:v>2023</x:v>
      </x:c>
      <x:c r="B89" s="66" t="s">
        <x:v>323</x:v>
      </x:c>
      <x:c r="C89" s="11" t="e">
        <x:f>IFERROR(VLOOKUP(B89,Regiões!A:B,2,0),"")</x:f>
        <x:v>#NAME?</x:v>
      </x:c>
      <x:c r="D89" s="11" t="s">
        <x:v>324</x:v>
      </x:c>
      <x:c r="E89" s="67" t="s">
        <x:v>42</x:v>
      </x:c>
      <x:c r="F89" s="68"/>
      <x:c r="G89" s="66" t="s">
        <x:v>325</x:v>
      </x:c>
      <x:c r="H89" s="69"/>
      <x:c r="I89" s="11" t="s">
        <x:v>239</x:v>
      </x:c>
      <x:c r="J89" s="11" t="str">
        <x:f>LEFT(I89,FIND(" (",I89) - 1)</x:f>
        <x:v>Segurança Pública</x:v>
      </x:c>
      <x:c r="K89" s="11" t="s">
        <x:v>32</x:v>
      </x:c>
      <x:c r="L89" s="70">
        <x:v>95000</x:v>
      </x:c>
      <x:c r="M89" s="70"/>
      <x:c r="N89" s="11" t="s">
        <x:v>21</x:v>
      </x:c>
      <x:c r="O89" s="11" t="s">
        <x:v>49</x:v>
      </x:c>
      <x:c r="P89" s="67" t="s">
        <x:v>251</x:v>
      </x:c>
      <x:c r="Q89" s="66"/>
    </x:row>
    <x:row r="90" ht="25.5">
      <x:c r="A90" s="9">
        <x:v>2026</x:v>
      </x:c>
      <x:c r="B90" s="14" t="s">
        <x:v>326</x:v>
      </x:c>
      <x:c r="C90" s="11" t="e">
        <x:f>IFERROR(VLOOKUP(B90,Regiões!A:B,2,0),"")</x:f>
        <x:v>#NAME?</x:v>
      </x:c>
      <x:c r="D90" s="11"/>
      <x:c r="E90" s="20" t="s">
        <x:v>327</x:v>
      </x:c>
      <x:c r="F90" s="13">
        <x:v>12390666000182</x:v>
      </x:c>
      <x:c r="G90" s="14"/>
      <x:c r="H90" s="15">
        <x:v>41160005</x:v>
      </x:c>
      <x:c r="I90" s="9" t="s">
        <x:v>40</x:v>
      </x:c>
      <x:c r="J90" s="9" t="s">
        <x:v>40</x:v>
      </x:c>
      <x:c r="K90" s="16" t="s">
        <x:v>328</x:v>
      </x:c>
      <x:c r="L90" s="17">
        <x:v>98000</x:v>
      </x:c>
      <x:c r="M90" s="17"/>
      <x:c r="N90" s="9" t="s">
        <x:v>33</x:v>
      </x:c>
      <x:c r="O90" s="16"/>
      <x:c r="P90" s="18"/>
      <x:c r="Q90" s="19"/>
    </x:row>
    <x:row r="91" ht="22.5" customHeight="1">
      <x:c r="A91" s="51">
        <x:v>2020</x:v>
      </x:c>
      <x:c r="B91" s="51" t="s">
        <x:v>329</x:v>
      </x:c>
      <x:c r="C91" s="11" t="e">
        <x:f>IFERROR(VLOOKUP(B91,Regiões!A:B,2,0),"")</x:f>
        <x:v>#NAME?</x:v>
      </x:c>
      <x:c r="D91" s="22" t="s">
        <x:v>330</x:v>
      </x:c>
      <x:c r="E91" s="52" t="s">
        <x:v>93</x:v>
      </x:c>
      <x:c r="F91" s="53"/>
      <x:c r="G91" s="51" t="s">
        <x:v>331</x:v>
      </x:c>
      <x:c r="H91" s="63" t="s">
        <x:v>142</x:v>
      </x:c>
      <x:c r="I91" s="51" t="s">
        <x:v>95</x:v>
      </x:c>
      <x:c r="J91" s="51" t="s">
        <x:v>40</x:v>
      </x:c>
      <x:c r="K91" s="51" t="s">
        <x:v>20</x:v>
      </x:c>
      <x:c r="L91" s="55">
        <x:v>100000</x:v>
      </x:c>
      <x:c r="M91" s="55"/>
      <x:c r="N91" s="51" t="s">
        <x:v>64</x:v>
      </x:c>
      <x:c r="O91" s="51" t="s">
        <x:v>26</x:v>
      </x:c>
      <x:c r="P91" s="52" t="s">
        <x:v>143</x:v>
      </x:c>
      <x:c r="Q91" s="62"/>
    </x:row>
    <x:row r="92" ht="38.25">
      <x:c r="A92" s="51">
        <x:v>2020</x:v>
      </x:c>
      <x:c r="B92" s="51" t="s">
        <x:v>332</x:v>
      </x:c>
      <x:c r="C92" s="11" t="e">
        <x:f>IFERROR(VLOOKUP(B92,Regiões!A:B,2,0),"")</x:f>
        <x:v>#NAME?</x:v>
      </x:c>
      <x:c r="D92" s="22" t="s">
        <x:v>333</x:v>
      </x:c>
      <x:c r="E92" s="52" t="s">
        <x:v>93</x:v>
      </x:c>
      <x:c r="F92" s="53"/>
      <x:c r="G92" s="51" t="s">
        <x:v>334</x:v>
      </x:c>
      <x:c r="H92" s="63" t="s">
        <x:v>142</x:v>
      </x:c>
      <x:c r="I92" s="51" t="s">
        <x:v>95</x:v>
      </x:c>
      <x:c r="J92" s="51" t="s">
        <x:v>40</x:v>
      </x:c>
      <x:c r="K92" s="51" t="s">
        <x:v>20</x:v>
      </x:c>
      <x:c r="L92" s="55">
        <x:v>100000</x:v>
      </x:c>
      <x:c r="M92" s="55"/>
      <x:c r="N92" s="51" t="s">
        <x:v>64</x:v>
      </x:c>
      <x:c r="O92" s="51" t="s">
        <x:v>26</x:v>
      </x:c>
      <x:c r="P92" s="64" t="s">
        <x:v>149</x:v>
      </x:c>
      <x:c r="Q92" s="62"/>
    </x:row>
    <x:row r="93" ht="25.5">
      <x:c r="A93" s="51">
        <x:v>2020</x:v>
      </x:c>
      <x:c r="B93" s="51" t="s">
        <x:v>335</x:v>
      </x:c>
      <x:c r="C93" s="11" t="e">
        <x:f>IFERROR(VLOOKUP(B93,Regiões!A:B,2,0),"")</x:f>
        <x:v>#NAME?</x:v>
      </x:c>
      <x:c r="D93" s="22" t="s">
        <x:v>336</x:v>
      </x:c>
      <x:c r="E93" s="52" t="s">
        <x:v>38</x:v>
      </x:c>
      <x:c r="F93" s="53"/>
      <x:c r="G93" s="51" t="s">
        <x:v>18</x:v>
      </x:c>
      <x:c r="H93" s="58">
        <x:v>41160001</x:v>
      </x:c>
      <x:c r="I93" s="51" t="s">
        <x:v>39</x:v>
      </x:c>
      <x:c r="J93" s="51" t="s">
        <x:v>40</x:v>
      </x:c>
      <x:c r="K93" s="51" t="s">
        <x:v>20</x:v>
      </x:c>
      <x:c r="L93" s="55">
        <x:v>100000</x:v>
      </x:c>
      <x:c r="M93" s="55"/>
      <x:c r="N93" s="51" t="s">
        <x:v>96</x:v>
      </x:c>
      <x:c r="O93" s="51" t="s">
        <x:v>26</x:v>
      </x:c>
      <x:c r="P93" s="52" t="s">
        <x:v>276</x:v>
      </x:c>
      <x:c r="Q93" s="62"/>
    </x:row>
    <x:row r="94" ht="38.25">
      <x:c r="A94" s="51">
        <x:v>2020</x:v>
      </x:c>
      <x:c r="B94" s="51" t="s">
        <x:v>27</x:v>
      </x:c>
      <x:c r="C94" s="11" t="e">
        <x:f>IFERROR(VLOOKUP(B94,Regiões!A:B,2,0),"")</x:f>
        <x:v>#NAME?</x:v>
      </x:c>
      <x:c r="D94" s="22" t="s">
        <x:v>337</x:v>
      </x:c>
      <x:c r="E94" s="52" t="s">
        <x:v>93</x:v>
      </x:c>
      <x:c r="F94" s="53"/>
      <x:c r="G94" s="51" t="s">
        <x:v>338</x:v>
      </x:c>
      <x:c r="H94" s="58">
        <x:v>41160005</x:v>
      </x:c>
      <x:c r="I94" s="51" t="s">
        <x:v>95</x:v>
      </x:c>
      <x:c r="J94" s="51" t="s">
        <x:v>40</x:v>
      </x:c>
      <x:c r="K94" s="51" t="s">
        <x:v>20</x:v>
      </x:c>
      <x:c r="L94" s="55">
        <x:v>100000</x:v>
      </x:c>
      <x:c r="M94" s="55"/>
      <x:c r="N94" s="51" t="s">
        <x:v>96</x:v>
      </x:c>
      <x:c r="O94" s="51" t="s">
        <x:v>26</x:v>
      </x:c>
      <x:c r="P94" s="52" t="s">
        <x:v>316</x:v>
      </x:c>
      <x:c r="Q94" s="62"/>
    </x:row>
    <x:row r="95" ht="25.5">
      <x:c r="A95" s="51">
        <x:v>2020</x:v>
      </x:c>
      <x:c r="B95" s="51" t="s">
        <x:v>339</x:v>
      </x:c>
      <x:c r="C95" s="11" t="e">
        <x:f>IFERROR(VLOOKUP(B95,Regiões!A:B,2,0),"")</x:f>
        <x:v>#NAME?</x:v>
      </x:c>
      <x:c r="D95" s="22" t="s">
        <x:v>340</x:v>
      </x:c>
      <x:c r="E95" s="52" t="s">
        <x:v>38</x:v>
      </x:c>
      <x:c r="F95" s="53"/>
      <x:c r="G95" s="51" t="s">
        <x:v>18</x:v>
      </x:c>
      <x:c r="H95" s="58">
        <x:v>41160001</x:v>
      </x:c>
      <x:c r="I95" s="51" t="s">
        <x:v>39</x:v>
      </x:c>
      <x:c r="J95" s="51" t="s">
        <x:v>40</x:v>
      </x:c>
      <x:c r="K95" s="51" t="s">
        <x:v>20</x:v>
      </x:c>
      <x:c r="L95" s="55">
        <x:v>100000</x:v>
      </x:c>
      <x:c r="M95" s="55"/>
      <x:c r="N95" s="51" t="s">
        <x:v>96</x:v>
      </x:c>
      <x:c r="O95" s="51" t="s">
        <x:v>26</x:v>
      </x:c>
      <x:c r="P95" s="64" t="s">
        <x:v>272</x:v>
      </x:c>
      <x:c r="Q95" s="57" t="s">
        <x:v>341</x:v>
      </x:c>
    </x:row>
    <x:row r="96" ht="409.5">
      <x:c r="A96" s="51">
        <x:v>2020</x:v>
      </x:c>
      <x:c r="B96" s="51" t="s">
        <x:v>342</x:v>
      </x:c>
      <x:c r="C96" s="11" t="e">
        <x:f>IFERROR(VLOOKUP(B96,Regiões!A:B,2,0),"")</x:f>
        <x:v>#NAME?</x:v>
      </x:c>
      <x:c r="D96" s="22" t="s">
        <x:v>343</x:v>
      </x:c>
      <x:c r="E96" s="52" t="s">
        <x:v>93</x:v>
      </x:c>
      <x:c r="F96" s="53"/>
      <x:c r="G96" s="51" t="s">
        <x:v>344</x:v>
      </x:c>
      <x:c r="H96" s="58">
        <x:v>41160005</x:v>
      </x:c>
      <x:c r="I96" s="51" t="s">
        <x:v>95</x:v>
      </x:c>
      <x:c r="J96" s="51" t="s">
        <x:v>40</x:v>
      </x:c>
      <x:c r="K96" s="51" t="s">
        <x:v>20</x:v>
      </x:c>
      <x:c r="L96" s="55">
        <x:v>100000</x:v>
      </x:c>
      <x:c r="M96" s="55"/>
      <x:c r="N96" s="51" t="s">
        <x:v>96</x:v>
      </x:c>
      <x:c r="O96" s="51" t="s">
        <x:v>26</x:v>
      </x:c>
      <x:c r="P96" s="52" t="s">
        <x:v>316</x:v>
      </x:c>
      <x:c r="Q96" s="57" t="s">
        <x:v>345</x:v>
      </x:c>
    </x:row>
    <x:row r="97" ht="25.5">
      <x:c r="A97" s="51">
        <x:v>2020</x:v>
      </x:c>
      <x:c r="B97" s="51" t="s">
        <x:v>252</x:v>
      </x:c>
      <x:c r="C97" s="11" t="e">
        <x:f>IFERROR(VLOOKUP(B97,Regiões!A:B,2,0),"")</x:f>
        <x:v>#NAME?</x:v>
      </x:c>
      <x:c r="D97" s="22" t="s">
        <x:v>346</x:v>
      </x:c>
      <x:c r="E97" s="52" t="s">
        <x:v>38</x:v>
      </x:c>
      <x:c r="F97" s="53"/>
      <x:c r="G97" s="51" t="s">
        <x:v>18</x:v>
      </x:c>
      <x:c r="H97" s="58">
        <x:v>41160001</x:v>
      </x:c>
      <x:c r="I97" s="51" t="s">
        <x:v>39</x:v>
      </x:c>
      <x:c r="J97" s="51" t="s">
        <x:v>40</x:v>
      </x:c>
      <x:c r="K97" s="51" t="s">
        <x:v>20</x:v>
      </x:c>
      <x:c r="L97" s="55">
        <x:v>100000</x:v>
      </x:c>
      <x:c r="M97" s="55"/>
      <x:c r="N97" s="51" t="s">
        <x:v>96</x:v>
      </x:c>
      <x:c r="O97" s="51" t="s">
        <x:v>26</x:v>
      </x:c>
      <x:c r="P97" s="52" t="s">
        <x:v>272</x:v>
      </x:c>
      <x:c r="Q97" s="62"/>
    </x:row>
    <x:row r="98" ht="409.5">
      <x:c r="A98" s="51">
        <x:v>2020</x:v>
      </x:c>
      <x:c r="B98" s="51" t="s">
        <x:v>347</x:v>
      </x:c>
      <x:c r="C98" s="11" t="e">
        <x:f>IFERROR(VLOOKUP(B98,Regiões!A:B,2,0),"")</x:f>
        <x:v>#NAME?</x:v>
      </x:c>
      <x:c r="D98" s="22" t="s">
        <x:v>348</x:v>
      </x:c>
      <x:c r="E98" s="52" t="s">
        <x:v>38</x:v>
      </x:c>
      <x:c r="F98" s="53"/>
      <x:c r="G98" s="51" t="s">
        <x:v>18</x:v>
      </x:c>
      <x:c r="H98" s="58">
        <x:v>41160001</x:v>
      </x:c>
      <x:c r="I98" s="51" t="s">
        <x:v>39</x:v>
      </x:c>
      <x:c r="J98" s="51" t="s">
        <x:v>40</x:v>
      </x:c>
      <x:c r="K98" s="51" t="s">
        <x:v>20</x:v>
      </x:c>
      <x:c r="L98" s="55">
        <x:v>100000</x:v>
      </x:c>
      <x:c r="M98" s="55"/>
      <x:c r="N98" s="51" t="s">
        <x:v>96</x:v>
      </x:c>
      <x:c r="O98" s="51" t="s">
        <x:v>26</x:v>
      </x:c>
      <x:c r="P98" s="64" t="s">
        <x:v>272</x:v>
      </x:c>
      <x:c r="Q98" s="57" t="s">
        <x:v>349</x:v>
      </x:c>
    </x:row>
    <x:row r="99" ht="25.5">
      <x:c r="A99" s="51">
        <x:v>2020</x:v>
      </x:c>
      <x:c r="B99" s="51" t="s">
        <x:v>350</x:v>
      </x:c>
      <x:c r="C99" s="11" t="e">
        <x:f>IFERROR(VLOOKUP(B99,Regiões!A:B,2,0),"")</x:f>
        <x:v>#NAME?</x:v>
      </x:c>
      <x:c r="D99" s="22" t="s">
        <x:v>351</x:v>
      </x:c>
      <x:c r="E99" s="52" t="s">
        <x:v>38</x:v>
      </x:c>
      <x:c r="F99" s="53"/>
      <x:c r="G99" s="51" t="s">
        <x:v>18</x:v>
      </x:c>
      <x:c r="H99" s="58">
        <x:v>41160001</x:v>
      </x:c>
      <x:c r="I99" s="51" t="s">
        <x:v>39</x:v>
      </x:c>
      <x:c r="J99" s="51" t="s">
        <x:v>40</x:v>
      </x:c>
      <x:c r="K99" s="51" t="s">
        <x:v>20</x:v>
      </x:c>
      <x:c r="L99" s="55">
        <x:v>100000</x:v>
      </x:c>
      <x:c r="M99" s="55"/>
      <x:c r="N99" s="51" t="s">
        <x:v>96</x:v>
      </x:c>
      <x:c r="O99" s="51" t="s">
        <x:v>26</x:v>
      </x:c>
      <x:c r="P99" s="52" t="s">
        <x:v>272</x:v>
      </x:c>
      <x:c r="Q99" s="62"/>
    </x:row>
    <x:row r="100" ht="25.5">
      <x:c r="A100" s="51">
        <x:v>2020</x:v>
      </x:c>
      <x:c r="B100" s="51" t="s">
        <x:v>352</x:v>
      </x:c>
      <x:c r="C100" s="11" t="e">
        <x:f>IFERROR(VLOOKUP(B100,Regiões!A:B,2,0),"")</x:f>
        <x:v>#NAME?</x:v>
      </x:c>
      <x:c r="D100" s="22" t="s">
        <x:v>353</x:v>
      </x:c>
      <x:c r="E100" s="52" t="s">
        <x:v>38</x:v>
      </x:c>
      <x:c r="F100" s="53"/>
      <x:c r="G100" s="51" t="s">
        <x:v>18</x:v>
      </x:c>
      <x:c r="H100" s="58">
        <x:v>41160001</x:v>
      </x:c>
      <x:c r="I100" s="51" t="s">
        <x:v>39</x:v>
      </x:c>
      <x:c r="J100" s="51" t="s">
        <x:v>40</x:v>
      </x:c>
      <x:c r="K100" s="51" t="s">
        <x:v>20</x:v>
      </x:c>
      <x:c r="L100" s="55">
        <x:v>100000</x:v>
      </x:c>
      <x:c r="M100" s="55"/>
      <x:c r="N100" s="51" t="s">
        <x:v>41</x:v>
      </x:c>
      <x:c r="O100" s="51" t="s">
        <x:v>26</x:v>
      </x:c>
      <x:c r="P100" s="52" t="s">
        <x:v>272</x:v>
      </x:c>
      <x:c r="Q100" s="62"/>
    </x:row>
    <x:row r="101" ht="89.25">
      <x:c r="A101" s="51">
        <x:v>2020</x:v>
      </x:c>
      <x:c r="B101" s="51" t="s">
        <x:v>257</x:v>
      </x:c>
      <x:c r="C101" s="11" t="e">
        <x:f>IFERROR(VLOOKUP(B101,Regiões!A:B,2,0),"")</x:f>
        <x:v>#NAME?</x:v>
      </x:c>
      <x:c r="D101" s="22" t="s">
        <x:v>354</x:v>
      </x:c>
      <x:c r="E101" s="52" t="s">
        <x:v>93</x:v>
      </x:c>
      <x:c r="F101" s="53"/>
      <x:c r="G101" s="51" t="s">
        <x:v>355</x:v>
      </x:c>
      <x:c r="H101" s="58">
        <x:v>41160005</x:v>
      </x:c>
      <x:c r="I101" s="51" t="s">
        <x:v>95</x:v>
      </x:c>
      <x:c r="J101" s="51" t="s">
        <x:v>40</x:v>
      </x:c>
      <x:c r="K101" s="51" t="s">
        <x:v>20</x:v>
      </x:c>
      <x:c r="L101" s="55">
        <x:v>100000</x:v>
      </x:c>
      <x:c r="M101" s="55"/>
      <x:c r="N101" s="51" t="s">
        <x:v>96</x:v>
      </x:c>
      <x:c r="O101" s="51" t="s">
        <x:v>26</x:v>
      </x:c>
      <x:c r="P101" s="52" t="s">
        <x:v>316</x:v>
      </x:c>
      <x:c r="Q101" s="57" t="s">
        <x:v>356</x:v>
      </x:c>
    </x:row>
    <x:row r="102" ht="25.5">
      <x:c r="A102" s="51">
        <x:v>2020</x:v>
      </x:c>
      <x:c r="B102" s="51" t="s">
        <x:v>357</x:v>
      </x:c>
      <x:c r="C102" s="11" t="e">
        <x:f>IFERROR(VLOOKUP(B102,Regiões!A:B,2,0),"")</x:f>
        <x:v>#NAME?</x:v>
      </x:c>
      <x:c r="D102" s="22" t="s">
        <x:v>358</x:v>
      </x:c>
      <x:c r="E102" s="52" t="s">
        <x:v>38</x:v>
      </x:c>
      <x:c r="F102" s="53"/>
      <x:c r="G102" s="51" t="s">
        <x:v>18</x:v>
      </x:c>
      <x:c r="H102" s="58">
        <x:v>41160001</x:v>
      </x:c>
      <x:c r="I102" s="51" t="s">
        <x:v>39</x:v>
      </x:c>
      <x:c r="J102" s="51" t="s">
        <x:v>40</x:v>
      </x:c>
      <x:c r="K102" s="51" t="s">
        <x:v>20</x:v>
      </x:c>
      <x:c r="L102" s="55">
        <x:v>100000</x:v>
      </x:c>
      <x:c r="M102" s="55"/>
      <x:c r="N102" s="51" t="s">
        <x:v>96</x:v>
      </x:c>
      <x:c r="O102" s="51" t="s">
        <x:v>26</x:v>
      </x:c>
      <x:c r="P102" s="52" t="s">
        <x:v>272</x:v>
      </x:c>
      <x:c r="Q102" s="62"/>
    </x:row>
    <x:row r="103" ht="242.25">
      <x:c r="A103" s="51">
        <x:v>2020</x:v>
      </x:c>
      <x:c r="B103" s="51" t="s">
        <x:v>214</x:v>
      </x:c>
      <x:c r="C103" s="11" t="e">
        <x:f>IFERROR(VLOOKUP(B103,Regiões!A:B,2,0),"")</x:f>
        <x:v>#NAME?</x:v>
      </x:c>
      <x:c r="D103" s="22" t="s">
        <x:v>359</x:v>
      </x:c>
      <x:c r="E103" s="52" t="s">
        <x:v>38</x:v>
      </x:c>
      <x:c r="F103" s="53"/>
      <x:c r="G103" s="51" t="s">
        <x:v>18</x:v>
      </x:c>
      <x:c r="H103" s="58">
        <x:v>41160009</x:v>
      </x:c>
      <x:c r="I103" s="51" t="s">
        <x:v>95</x:v>
      </x:c>
      <x:c r="J103" s="51" t="s">
        <x:v>40</x:v>
      </x:c>
      <x:c r="K103" s="51" t="s">
        <x:v>20</x:v>
      </x:c>
      <x:c r="L103" s="55">
        <x:v>100000</x:v>
      </x:c>
      <x:c r="M103" s="55"/>
      <x:c r="N103" s="51" t="s">
        <x:v>96</x:v>
      </x:c>
      <x:c r="O103" s="51" t="s">
        <x:v>26</x:v>
      </x:c>
      <x:c r="P103" s="52" t="s">
        <x:v>97</x:v>
      </x:c>
      <x:c r="Q103" s="57" t="s">
        <x:v>360</x:v>
      </x:c>
    </x:row>
    <x:row r="104" ht="102">
      <x:c r="A104" s="51">
        <x:v>2020</x:v>
      </x:c>
      <x:c r="B104" s="51" t="s">
        <x:v>361</x:v>
      </x:c>
      <x:c r="C104" s="11" t="e">
        <x:f>IFERROR(VLOOKUP(B104,Regiões!A:B,2,0),"")</x:f>
        <x:v>#NAME?</x:v>
      </x:c>
      <x:c r="D104" s="22" t="s">
        <x:v>362</x:v>
      </x:c>
      <x:c r="E104" s="52" t="s">
        <x:v>38</x:v>
      </x:c>
      <x:c r="F104" s="53"/>
      <x:c r="G104" s="51" t="s">
        <x:v>18</x:v>
      </x:c>
      <x:c r="H104" s="58">
        <x:v>41160001</x:v>
      </x:c>
      <x:c r="I104" s="51" t="s">
        <x:v>39</x:v>
      </x:c>
      <x:c r="J104" s="51" t="s">
        <x:v>40</x:v>
      </x:c>
      <x:c r="K104" s="51" t="s">
        <x:v>20</x:v>
      </x:c>
      <x:c r="L104" s="55">
        <x:v>100000</x:v>
      </x:c>
      <x:c r="M104" s="55"/>
      <x:c r="N104" s="51" t="s">
        <x:v>96</x:v>
      </x:c>
      <x:c r="O104" s="51" t="s">
        <x:v>26</x:v>
      </x:c>
      <x:c r="P104" s="52" t="s">
        <x:v>276</x:v>
      </x:c>
      <x:c r="Q104" s="57" t="s">
        <x:v>363</x:v>
      </x:c>
    </x:row>
    <x:row r="105" ht="25.5">
      <x:c r="A105" s="51">
        <x:v>2020</x:v>
      </x:c>
      <x:c r="B105" s="51" t="s">
        <x:v>150</x:v>
      </x:c>
      <x:c r="C105" s="11" t="e">
        <x:f>IFERROR(VLOOKUP(B105,Regiões!A:B,2,0),"")</x:f>
        <x:v>#NAME?</x:v>
      </x:c>
      <x:c r="D105" s="22" t="s">
        <x:v>364</x:v>
      </x:c>
      <x:c r="E105" s="52" t="s">
        <x:v>38</x:v>
      </x:c>
      <x:c r="F105" s="53"/>
      <x:c r="G105" s="51" t="s">
        <x:v>18</x:v>
      </x:c>
      <x:c r="H105" s="58">
        <x:v>41160001</x:v>
      </x:c>
      <x:c r="I105" s="51" t="s">
        <x:v>39</x:v>
      </x:c>
      <x:c r="J105" s="51" t="s">
        <x:v>40</x:v>
      </x:c>
      <x:c r="K105" s="51" t="s">
        <x:v>20</x:v>
      </x:c>
      <x:c r="L105" s="55">
        <x:v>100000</x:v>
      </x:c>
      <x:c r="M105" s="55"/>
      <x:c r="N105" s="51" t="s">
        <x:v>96</x:v>
      </x:c>
      <x:c r="O105" s="51" t="s">
        <x:v>26</x:v>
      </x:c>
      <x:c r="P105" s="52" t="s">
        <x:v>276</x:v>
      </x:c>
      <x:c r="Q105" s="62"/>
    </x:row>
    <x:row r="106" ht="38.25">
      <x:c r="A106" s="51">
        <x:v>2020</x:v>
      </x:c>
      <x:c r="B106" s="51" t="s">
        <x:v>365</x:v>
      </x:c>
      <x:c r="C106" s="11" t="e">
        <x:f>IFERROR(VLOOKUP(B106,Regiões!A:B,2,0),"")</x:f>
        <x:v>#NAME?</x:v>
      </x:c>
      <x:c r="D106" s="22" t="s">
        <x:v>366</x:v>
      </x:c>
      <x:c r="E106" s="52" t="s">
        <x:v>93</x:v>
      </x:c>
      <x:c r="F106" s="53"/>
      <x:c r="G106" s="51" t="s">
        <x:v>367</x:v>
      </x:c>
      <x:c r="H106" s="58">
        <x:v>41160005</x:v>
      </x:c>
      <x:c r="I106" s="51" t="s">
        <x:v>95</x:v>
      </x:c>
      <x:c r="J106" s="51" t="s">
        <x:v>40</x:v>
      </x:c>
      <x:c r="K106" s="51" t="s">
        <x:v>20</x:v>
      </x:c>
      <x:c r="L106" s="55">
        <x:v>100000</x:v>
      </x:c>
      <x:c r="M106" s="55"/>
      <x:c r="N106" s="51" t="s">
        <x:v>96</x:v>
      </x:c>
      <x:c r="O106" s="51" t="s">
        <x:v>26</x:v>
      </x:c>
      <x:c r="P106" s="52" t="s">
        <x:v>316</x:v>
      </x:c>
      <x:c r="Q106" s="62"/>
    </x:row>
    <x:row r="107" ht="63.75">
      <x:c r="A107" s="51">
        <x:v>2020</x:v>
      </x:c>
      <x:c r="B107" s="51" t="s">
        <x:v>368</x:v>
      </x:c>
      <x:c r="C107" s="11" t="e">
        <x:f>IFERROR(VLOOKUP(B107,Regiões!A:B,2,0),"")</x:f>
        <x:v>#NAME?</x:v>
      </x:c>
      <x:c r="D107" s="22" t="s">
        <x:v>369</x:v>
      </x:c>
      <x:c r="E107" s="52" t="s">
        <x:v>93</x:v>
      </x:c>
      <x:c r="F107" s="53"/>
      <x:c r="G107" s="51" t="s">
        <x:v>370</x:v>
      </x:c>
      <x:c r="H107" s="58">
        <x:v>41160009</x:v>
      </x:c>
      <x:c r="I107" s="51" t="s">
        <x:v>95</x:v>
      </x:c>
      <x:c r="J107" s="51" t="s">
        <x:v>40</x:v>
      </x:c>
      <x:c r="K107" s="51" t="s">
        <x:v>20</x:v>
      </x:c>
      <x:c r="L107" s="55">
        <x:v>100000</x:v>
      </x:c>
      <x:c r="M107" s="55"/>
      <x:c r="N107" s="51" t="s">
        <x:v>96</x:v>
      </x:c>
      <x:c r="O107" s="51" t="s">
        <x:v>26</x:v>
      </x:c>
      <x:c r="P107" s="52" t="s">
        <x:v>316</x:v>
      </x:c>
      <x:c r="Q107" s="57" t="s">
        <x:v>371</x:v>
      </x:c>
    </x:row>
    <x:row r="108" ht="204">
      <x:c r="A108" s="51">
        <x:v>2020</x:v>
      </x:c>
      <x:c r="B108" s="51" t="s">
        <x:v>159</x:v>
      </x:c>
      <x:c r="C108" s="11" t="e">
        <x:f>IFERROR(VLOOKUP(B108,Regiões!A:B,2,0),"")</x:f>
        <x:v>#NAME?</x:v>
      </x:c>
      <x:c r="D108" s="22" t="s">
        <x:v>372</x:v>
      </x:c>
      <x:c r="E108" s="52" t="s">
        <x:v>38</x:v>
      </x:c>
      <x:c r="F108" s="53"/>
      <x:c r="G108" s="51" t="s">
        <x:v>18</x:v>
      </x:c>
      <x:c r="H108" s="58">
        <x:v>41160009</x:v>
      </x:c>
      <x:c r="I108" s="51" t="s">
        <x:v>95</x:v>
      </x:c>
      <x:c r="J108" s="51" t="s">
        <x:v>40</x:v>
      </x:c>
      <x:c r="K108" s="51" t="s">
        <x:v>20</x:v>
      </x:c>
      <x:c r="L108" s="55">
        <x:v>100000</x:v>
      </x:c>
      <x:c r="M108" s="55"/>
      <x:c r="N108" s="51" t="s">
        <x:v>96</x:v>
      </x:c>
      <x:c r="O108" s="51" t="s">
        <x:v>26</x:v>
      </x:c>
      <x:c r="P108" s="52" t="s">
        <x:v>316</x:v>
      </x:c>
      <x:c r="Q108" s="57" t="s">
        <x:v>373</x:v>
      </x:c>
    </x:row>
    <x:row r="109" ht="38.25">
      <x:c r="A109" s="51">
        <x:v>2020</x:v>
      </x:c>
      <x:c r="B109" s="51" t="s">
        <x:v>45</x:v>
      </x:c>
      <x:c r="C109" s="11" t="e">
        <x:f>IFERROR(VLOOKUP(B109,Regiões!A:B,2,0),"")</x:f>
        <x:v>#NAME?</x:v>
      </x:c>
      <x:c r="D109" s="22" t="s">
        <x:v>374</x:v>
      </x:c>
      <x:c r="E109" s="52" t="s">
        <x:v>93</x:v>
      </x:c>
      <x:c r="F109" s="53"/>
      <x:c r="G109" s="51" t="s">
        <x:v>375</x:v>
      </x:c>
      <x:c r="H109" s="58">
        <x:v>41160005</x:v>
      </x:c>
      <x:c r="I109" s="51" t="s">
        <x:v>95</x:v>
      </x:c>
      <x:c r="J109" s="51" t="s">
        <x:v>40</x:v>
      </x:c>
      <x:c r="K109" s="51" t="s">
        <x:v>20</x:v>
      </x:c>
      <x:c r="L109" s="55">
        <x:v>100000</x:v>
      </x:c>
      <x:c r="M109" s="55"/>
      <x:c r="N109" s="51" t="s">
        <x:v>96</x:v>
      </x:c>
      <x:c r="O109" s="51" t="s">
        <x:v>26</x:v>
      </x:c>
      <x:c r="P109" s="52" t="s">
        <x:v>97</x:v>
      </x:c>
      <x:c r="Q109" s="62"/>
    </x:row>
    <x:row r="110" ht="242.25">
      <x:c r="A110" s="51">
        <x:v>2020</x:v>
      </x:c>
      <x:c r="B110" s="51" t="s">
        <x:v>376</x:v>
      </x:c>
      <x:c r="C110" s="11" t="e">
        <x:f>IFERROR(VLOOKUP(B110,Regiões!A:B,2,0),"")</x:f>
        <x:v>#NAME?</x:v>
      </x:c>
      <x:c r="D110" s="22" t="s">
        <x:v>377</x:v>
      </x:c>
      <x:c r="E110" s="52" t="s">
        <x:v>38</x:v>
      </x:c>
      <x:c r="F110" s="53"/>
      <x:c r="G110" s="51" t="s">
        <x:v>18</x:v>
      </x:c>
      <x:c r="H110" s="58">
        <x:v>41160009</x:v>
      </x:c>
      <x:c r="I110" s="51" t="s">
        <x:v>95</x:v>
      </x:c>
      <x:c r="J110" s="51" t="s">
        <x:v>40</x:v>
      </x:c>
      <x:c r="K110" s="51" t="s">
        <x:v>20</x:v>
      </x:c>
      <x:c r="L110" s="55">
        <x:v>100000</x:v>
      </x:c>
      <x:c r="M110" s="55"/>
      <x:c r="N110" s="51" t="s">
        <x:v>96</x:v>
      </x:c>
      <x:c r="O110" s="51" t="s">
        <x:v>26</x:v>
      </x:c>
      <x:c r="P110" s="52" t="s">
        <x:v>97</x:v>
      </x:c>
      <x:c r="Q110" s="57" t="s">
        <x:v>378</x:v>
      </x:c>
    </x:row>
    <x:row r="111" ht="216.75">
      <x:c r="A111" s="51">
        <x:v>2020</x:v>
      </x:c>
      <x:c r="B111" s="51" t="s">
        <x:v>379</x:v>
      </x:c>
      <x:c r="C111" s="11" t="e">
        <x:f>IFERROR(VLOOKUP(B111,Regiões!A:B,2,0),"")</x:f>
        <x:v>#NAME?</x:v>
      </x:c>
      <x:c r="D111" s="22" t="s">
        <x:v>380</x:v>
      </x:c>
      <x:c r="E111" s="52" t="s">
        <x:v>93</x:v>
      </x:c>
      <x:c r="F111" s="53"/>
      <x:c r="G111" s="51" t="s">
        <x:v>381</x:v>
      </x:c>
      <x:c r="H111" s="58">
        <x:v>41160005</x:v>
      </x:c>
      <x:c r="I111" s="51" t="s">
        <x:v>95</x:v>
      </x:c>
      <x:c r="J111" s="51" t="s">
        <x:v>40</x:v>
      </x:c>
      <x:c r="K111" s="51" t="s">
        <x:v>20</x:v>
      </x:c>
      <x:c r="L111" s="55">
        <x:v>100000</x:v>
      </x:c>
      <x:c r="M111" s="55"/>
      <x:c r="N111" s="51" t="s">
        <x:v>96</x:v>
      </x:c>
      <x:c r="O111" s="51" t="s">
        <x:v>26</x:v>
      </x:c>
      <x:c r="P111" s="52" t="s">
        <x:v>97</x:v>
      </x:c>
      <x:c r="Q111" s="57" t="s">
        <x:v>382</x:v>
      </x:c>
    </x:row>
    <x:row r="112" ht="76.5">
      <x:c r="A112" s="51">
        <x:v>2020</x:v>
      </x:c>
      <x:c r="B112" s="51" t="s">
        <x:v>383</x:v>
      </x:c>
      <x:c r="C112" s="11" t="e">
        <x:f>IFERROR(VLOOKUP(B112,Regiões!A:B,2,0),"")</x:f>
        <x:v>#NAME?</x:v>
      </x:c>
      <x:c r="D112" s="22" t="s">
        <x:v>384</x:v>
      </x:c>
      <x:c r="E112" s="52" t="s">
        <x:v>38</x:v>
      </x:c>
      <x:c r="F112" s="53"/>
      <x:c r="G112" s="51" t="s">
        <x:v>18</x:v>
      </x:c>
      <x:c r="H112" s="58">
        <x:v>41160001</x:v>
      </x:c>
      <x:c r="I112" s="51" t="s">
        <x:v>39</x:v>
      </x:c>
      <x:c r="J112" s="51" t="s">
        <x:v>40</x:v>
      </x:c>
      <x:c r="K112" s="51" t="s">
        <x:v>20</x:v>
      </x:c>
      <x:c r="L112" s="55">
        <x:v>100000</x:v>
      </x:c>
      <x:c r="M112" s="55"/>
      <x:c r="N112" s="51" t="s">
        <x:v>96</x:v>
      </x:c>
      <x:c r="O112" s="51" t="s">
        <x:v>26</x:v>
      </x:c>
      <x:c r="P112" s="52" t="s">
        <x:v>276</x:v>
      </x:c>
      <x:c r="Q112" s="57" t="s">
        <x:v>385</x:v>
      </x:c>
    </x:row>
    <x:row r="113" ht="25.5">
      <x:c r="A113" s="51">
        <x:v>2020</x:v>
      </x:c>
      <x:c r="B113" s="51" t="s">
        <x:v>386</x:v>
      </x:c>
      <x:c r="C113" s="11" t="e">
        <x:f>IFERROR(VLOOKUP(B113,Regiões!A:B,2,0),"")</x:f>
        <x:v>#NAME?</x:v>
      </x:c>
      <x:c r="D113" s="22" t="s">
        <x:v>387</x:v>
      </x:c>
      <x:c r="E113" s="52" t="s">
        <x:v>93</x:v>
      </x:c>
      <x:c r="F113" s="53"/>
      <x:c r="G113" s="51" t="s">
        <x:v>388</x:v>
      </x:c>
      <x:c r="H113" s="63" t="s">
        <x:v>142</x:v>
      </x:c>
      <x:c r="I113" s="51" t="s">
        <x:v>95</x:v>
      </x:c>
      <x:c r="J113" s="51" t="s">
        <x:v>40</x:v>
      </x:c>
      <x:c r="K113" s="51" t="s">
        <x:v>20</x:v>
      </x:c>
      <x:c r="L113" s="55">
        <x:v>100000</x:v>
      </x:c>
      <x:c r="M113" s="55"/>
      <x:c r="N113" s="51" t="s">
        <x:v>64</x:v>
      </x:c>
      <x:c r="O113" s="51" t="s">
        <x:v>26</x:v>
      </x:c>
      <x:c r="P113" s="64" t="s">
        <x:v>149</x:v>
      </x:c>
      <x:c r="Q113" s="62"/>
    </x:row>
    <x:row r="114" ht="25.5">
      <x:c r="A114" s="51">
        <x:v>2020</x:v>
      </x:c>
      <x:c r="B114" s="51" t="s">
        <x:v>389</x:v>
      </x:c>
      <x:c r="C114" s="11" t="e">
        <x:f>IFERROR(VLOOKUP(B114,Regiões!A:B,2,0),"")</x:f>
        <x:v>#NAME?</x:v>
      </x:c>
      <x:c r="D114" s="22" t="s">
        <x:v>390</x:v>
      </x:c>
      <x:c r="E114" s="52" t="s">
        <x:v>93</x:v>
      </x:c>
      <x:c r="F114" s="53"/>
      <x:c r="G114" s="51" t="s">
        <x:v>391</x:v>
      </x:c>
      <x:c r="H114" s="63" t="s">
        <x:v>142</x:v>
      </x:c>
      <x:c r="I114" s="51" t="s">
        <x:v>95</x:v>
      </x:c>
      <x:c r="J114" s="51" t="s">
        <x:v>40</x:v>
      </x:c>
      <x:c r="K114" s="51" t="s">
        <x:v>20</x:v>
      </x:c>
      <x:c r="L114" s="55">
        <x:v>100000</x:v>
      </x:c>
      <x:c r="M114" s="55"/>
      <x:c r="N114" s="51" t="s">
        <x:v>64</x:v>
      </x:c>
      <x:c r="O114" s="51" t="s">
        <x:v>26</x:v>
      </x:c>
      <x:c r="P114" s="64" t="s">
        <x:v>149</x:v>
      </x:c>
      <x:c r="Q114" s="62"/>
    </x:row>
    <x:row r="115" ht="25.5">
      <x:c r="A115" s="51">
        <x:v>2020</x:v>
      </x:c>
      <x:c r="B115" s="51" t="s">
        <x:v>392</x:v>
      </x:c>
      <x:c r="C115" s="11" t="e">
        <x:f>IFERROR(VLOOKUP(B115,Regiões!A:B,2,0),"")</x:f>
        <x:v>#NAME?</x:v>
      </x:c>
      <x:c r="D115" s="22" t="s">
        <x:v>393</x:v>
      </x:c>
      <x:c r="E115" s="52" t="s">
        <x:v>394</x:v>
      </x:c>
      <x:c r="F115" s="53"/>
      <x:c r="G115" s="51" t="s">
        <x:v>18</x:v>
      </x:c>
      <x:c r="H115" s="58">
        <x:v>41160005</x:v>
      </x:c>
      <x:c r="I115" s="51" t="s">
        <x:v>95</x:v>
      </x:c>
      <x:c r="J115" s="51" t="s">
        <x:v>40</x:v>
      </x:c>
      <x:c r="K115" s="51" t="s">
        <x:v>20</x:v>
      </x:c>
      <x:c r="L115" s="55">
        <x:v>100000</x:v>
      </x:c>
      <x:c r="M115" s="55"/>
      <x:c r="N115" s="51" t="s">
        <x:v>96</x:v>
      </x:c>
      <x:c r="O115" s="51" t="s">
        <x:v>26</x:v>
      </x:c>
      <x:c r="P115" s="52" t="s">
        <x:v>97</x:v>
      </x:c>
      <x:c r="Q115" s="62"/>
    </x:row>
    <x:row r="116" ht="89.25">
      <x:c r="A116" s="51">
        <x:v>2020</x:v>
      </x:c>
      <x:c r="B116" s="51" t="s">
        <x:v>395</x:v>
      </x:c>
      <x:c r="C116" s="11" t="e">
        <x:f>IFERROR(VLOOKUP(B116,Regiões!A:B,2,0),"")</x:f>
        <x:v>#NAME?</x:v>
      </x:c>
      <x:c r="D116" s="22" t="s">
        <x:v>396</x:v>
      </x:c>
      <x:c r="E116" s="52" t="s">
        <x:v>93</x:v>
      </x:c>
      <x:c r="F116" s="53"/>
      <x:c r="G116" s="51" t="s">
        <x:v>397</x:v>
      </x:c>
      <x:c r="H116" s="58">
        <x:v>41160005</x:v>
      </x:c>
      <x:c r="I116" s="51" t="s">
        <x:v>95</x:v>
      </x:c>
      <x:c r="J116" s="51" t="s">
        <x:v>40</x:v>
      </x:c>
      <x:c r="K116" s="51" t="s">
        <x:v>20</x:v>
      </x:c>
      <x:c r="L116" s="55">
        <x:v>100000</x:v>
      </x:c>
      <x:c r="M116" s="55"/>
      <x:c r="N116" s="51" t="s">
        <x:v>96</x:v>
      </x:c>
      <x:c r="O116" s="51" t="s">
        <x:v>26</x:v>
      </x:c>
      <x:c r="P116" s="52" t="s">
        <x:v>97</x:v>
      </x:c>
      <x:c r="Q116" s="57" t="s">
        <x:v>398</x:v>
      </x:c>
    </x:row>
    <x:row r="117" ht="25.5">
      <x:c r="A117" s="51">
        <x:v>2020</x:v>
      </x:c>
      <x:c r="B117" s="51" t="s">
        <x:v>386</x:v>
      </x:c>
      <x:c r="C117" s="11" t="e">
        <x:f>IFERROR(VLOOKUP(B117,Regiões!A:B,2,0),"")</x:f>
        <x:v>#NAME?</x:v>
      </x:c>
      <x:c r="D117" s="22" t="s">
        <x:v>399</x:v>
      </x:c>
      <x:c r="E117" s="52" t="s">
        <x:v>38</x:v>
      </x:c>
      <x:c r="F117" s="53"/>
      <x:c r="G117" s="51" t="s">
        <x:v>18</x:v>
      </x:c>
      <x:c r="H117" s="58">
        <x:v>41160009</x:v>
      </x:c>
      <x:c r="I117" s="51" t="s">
        <x:v>95</x:v>
      </x:c>
      <x:c r="J117" s="51" t="s">
        <x:v>40</x:v>
      </x:c>
      <x:c r="K117" s="51" t="s">
        <x:v>20</x:v>
      </x:c>
      <x:c r="L117" s="55">
        <x:v>100000</x:v>
      </x:c>
      <x:c r="M117" s="55"/>
      <x:c r="N117" s="51" t="s">
        <x:v>96</x:v>
      </x:c>
      <x:c r="O117" s="51" t="s">
        <x:v>26</x:v>
      </x:c>
      <x:c r="P117" s="52" t="s">
        <x:v>97</x:v>
      </x:c>
      <x:c r="Q117" s="62"/>
    </x:row>
    <x:row r="118" ht="25.5">
      <x:c r="A118" s="51">
        <x:v>2020</x:v>
      </x:c>
      <x:c r="B118" s="51" t="s">
        <x:v>400</x:v>
      </x:c>
      <x:c r="C118" s="11" t="e">
        <x:f>IFERROR(VLOOKUP(B118,Regiões!A:B,2,0),"")</x:f>
        <x:v>#NAME?</x:v>
      </x:c>
      <x:c r="D118" s="22" t="s">
        <x:v>401</x:v>
      </x:c>
      <x:c r="E118" s="52" t="s">
        <x:v>38</x:v>
      </x:c>
      <x:c r="F118" s="53"/>
      <x:c r="G118" s="51" t="s">
        <x:v>18</x:v>
      </x:c>
      <x:c r="H118" s="58">
        <x:v>41160001</x:v>
      </x:c>
      <x:c r="I118" s="51" t="s">
        <x:v>39</x:v>
      </x:c>
      <x:c r="J118" s="51" t="s">
        <x:v>40</x:v>
      </x:c>
      <x:c r="K118" s="51" t="s">
        <x:v>20</x:v>
      </x:c>
      <x:c r="L118" s="55">
        <x:v>100000</x:v>
      </x:c>
      <x:c r="M118" s="55"/>
      <x:c r="N118" s="51" t="s">
        <x:v>96</x:v>
      </x:c>
      <x:c r="O118" s="51" t="s">
        <x:v>26</x:v>
      </x:c>
      <x:c r="P118" s="52" t="s">
        <x:v>276</x:v>
      </x:c>
      <x:c r="Q118" s="62"/>
    </x:row>
    <x:row r="119" ht="38.25">
      <x:c r="A119" s="51">
        <x:v>2020</x:v>
      </x:c>
      <x:c r="B119" s="51" t="s">
        <x:v>286</x:v>
      </x:c>
      <x:c r="C119" s="11" t="e">
        <x:f>IFERROR(VLOOKUP(B119,Regiões!A:B,2,0),"")</x:f>
        <x:v>#NAME?</x:v>
      </x:c>
      <x:c r="D119" s="22" t="s">
        <x:v>402</x:v>
      </x:c>
      <x:c r="E119" s="52" t="s">
        <x:v>38</x:v>
      </x:c>
      <x:c r="F119" s="53"/>
      <x:c r="G119" s="51" t="s">
        <x:v>18</x:v>
      </x:c>
      <x:c r="H119" s="58" t="s">
        <x:v>403</x:v>
      </x:c>
      <x:c r="I119" s="51" t="s">
        <x:v>39</x:v>
      </x:c>
      <x:c r="J119" s="51" t="s">
        <x:v>40</x:v>
      </x:c>
      <x:c r="K119" s="51" t="s">
        <x:v>20</x:v>
      </x:c>
      <x:c r="L119" s="55">
        <x:v>100000</x:v>
      </x:c>
      <x:c r="M119" s="55"/>
      <x:c r="N119" s="51" t="s">
        <x:v>96</x:v>
      </x:c>
      <x:c r="O119" s="51" t="s">
        <x:v>26</x:v>
      </x:c>
      <x:c r="P119" s="52" t="s">
        <x:v>276</x:v>
      </x:c>
      <x:c r="Q119" s="57" t="s">
        <x:v>404</x:v>
      </x:c>
    </x:row>
    <x:row r="120" ht="357">
      <x:c r="A120" s="51">
        <x:v>2020</x:v>
      </x:c>
      <x:c r="B120" s="51" t="s">
        <x:v>405</x:v>
      </x:c>
      <x:c r="C120" s="11" t="e">
        <x:f>IFERROR(VLOOKUP(B120,Regiões!A:B,2,0),"")</x:f>
        <x:v>#NAME?</x:v>
      </x:c>
      <x:c r="D120" s="22" t="s">
        <x:v>406</x:v>
      </x:c>
      <x:c r="E120" s="52" t="s">
        <x:v>38</x:v>
      </x:c>
      <x:c r="F120" s="53"/>
      <x:c r="G120" s="51" t="s">
        <x:v>18</x:v>
      </x:c>
      <x:c r="H120" s="58">
        <x:v>41160001</x:v>
      </x:c>
      <x:c r="I120" s="51" t="s">
        <x:v>39</x:v>
      </x:c>
      <x:c r="J120" s="51" t="s">
        <x:v>40</x:v>
      </x:c>
      <x:c r="K120" s="51" t="s">
        <x:v>20</x:v>
      </x:c>
      <x:c r="L120" s="55">
        <x:v>100000</x:v>
      </x:c>
      <x:c r="M120" s="55"/>
      <x:c r="N120" s="51" t="s">
        <x:v>96</x:v>
      </x:c>
      <x:c r="O120" s="51" t="s">
        <x:v>26</x:v>
      </x:c>
      <x:c r="P120" s="52" t="s">
        <x:v>276</x:v>
      </x:c>
      <x:c r="Q120" s="57" t="s">
        <x:v>407</x:v>
      </x:c>
    </x:row>
    <x:row r="121" ht="178.5">
      <x:c r="A121" s="51">
        <x:v>2020</x:v>
      </x:c>
      <x:c r="B121" s="51" t="s">
        <x:v>408</x:v>
      </x:c>
      <x:c r="C121" s="11" t="e">
        <x:f>IFERROR(VLOOKUP(B121,Regiões!A:B,2,0),"")</x:f>
        <x:v>#NAME?</x:v>
      </x:c>
      <x:c r="D121" s="22" t="s">
        <x:v>409</x:v>
      </x:c>
      <x:c r="E121" s="52" t="s">
        <x:v>93</x:v>
      </x:c>
      <x:c r="F121" s="53"/>
      <x:c r="G121" s="51" t="s">
        <x:v>410</x:v>
      </x:c>
      <x:c r="H121" s="58">
        <x:v>41160005</x:v>
      </x:c>
      <x:c r="I121" s="51" t="s">
        <x:v>95</x:v>
      </x:c>
      <x:c r="J121" s="51" t="s">
        <x:v>40</x:v>
      </x:c>
      <x:c r="K121" s="51" t="s">
        <x:v>20</x:v>
      </x:c>
      <x:c r="L121" s="55">
        <x:v>100000</x:v>
      </x:c>
      <x:c r="M121" s="55"/>
      <x:c r="N121" s="51" t="s">
        <x:v>96</x:v>
      </x:c>
      <x:c r="O121" s="51" t="s">
        <x:v>26</x:v>
      </x:c>
      <x:c r="P121" s="52" t="s">
        <x:v>97</x:v>
      </x:c>
      <x:c r="Q121" s="57" t="s">
        <x:v>411</x:v>
      </x:c>
    </x:row>
    <x:row r="122" ht="63.75">
      <x:c r="A122" s="22">
        <x:v>2021</x:v>
      </x:c>
      <x:c r="B122" s="30" t="s">
        <x:v>412</x:v>
      </x:c>
      <x:c r="C122" s="11" t="e">
        <x:f>IFERROR(VLOOKUP(B122,Regiões!A:B,2,0),"")</x:f>
        <x:v>#NAME?</x:v>
      </x:c>
      <x:c r="D122" s="22" t="s">
        <x:v>413</x:v>
      </x:c>
      <x:c r="E122" s="23" t="s">
        <x:v>93</x:v>
      </x:c>
      <x:c r="F122" s="31"/>
      <x:c r="G122" s="30" t="s">
        <x:v>414</x:v>
      </x:c>
      <x:c r="H122" s="25">
        <x:v>41160002</x:v>
      </x:c>
      <x:c r="I122" s="22" t="s">
        <x:v>415</x:v>
      </x:c>
      <x:c r="J122" s="22" t="s">
        <x:v>40</x:v>
      </x:c>
      <x:c r="K122" s="22" t="s">
        <x:v>32</x:v>
      </x:c>
      <x:c r="L122" s="26">
        <x:v>100000</x:v>
      </x:c>
      <x:c r="M122" s="26"/>
      <x:c r="N122" s="22" t="s">
        <x:v>301</x:v>
      </x:c>
      <x:c r="O122" s="22" t="s">
        <x:v>416</x:v>
      </x:c>
      <x:c r="P122" s="33" t="s">
        <x:v>417</x:v>
      </x:c>
      <x:c r="Q122" s="29"/>
    </x:row>
    <x:row r="123" ht="51">
      <x:c r="A123" s="22">
        <x:v>2021</x:v>
      </x:c>
      <x:c r="B123" s="29" t="s">
        <x:v>51</x:v>
      </x:c>
      <x:c r="C123" s="11" t="e">
        <x:f>IFERROR(VLOOKUP(B123,Regiões!A:B,2,0),"")</x:f>
        <x:v>#NAME?</x:v>
      </x:c>
      <x:c r="D123" s="22" t="s">
        <x:v>418</x:v>
      </x:c>
      <x:c r="E123" s="23" t="s">
        <x:v>93</x:v>
      </x:c>
      <x:c r="F123" s="31"/>
      <x:c r="G123" s="30" t="s">
        <x:v>419</x:v>
      </x:c>
      <x:c r="H123" s="25">
        <x:v>41160002</x:v>
      </x:c>
      <x:c r="I123" s="22" t="s">
        <x:v>415</x:v>
      </x:c>
      <x:c r="J123" s="22" t="s">
        <x:v>40</x:v>
      </x:c>
      <x:c r="K123" s="22" t="s">
        <x:v>32</x:v>
      </x:c>
      <x:c r="L123" s="26">
        <x:v>100000</x:v>
      </x:c>
      <x:c r="M123" s="26"/>
      <x:c r="N123" s="22" t="s">
        <x:v>301</x:v>
      </x:c>
      <x:c r="O123" s="22" t="s">
        <x:v>26</x:v>
      </x:c>
      <x:c r="P123" s="35" t="s">
        <x:v>420</x:v>
      </x:c>
      <x:c r="Q123" s="29"/>
    </x:row>
    <x:row r="124" ht="38.25">
      <x:c r="A124" s="36">
        <x:v>2021</x:v>
      </x:c>
      <x:c r="B124" s="79" t="s">
        <x:v>202</x:v>
      </x:c>
      <x:c r="C124" s="11" t="e">
        <x:f>IFERROR(VLOOKUP(B124,Regiões!A:B,2,0),"")</x:f>
        <x:v>#NAME?</x:v>
      </x:c>
      <x:c r="D124" s="22" t="s">
        <x:v>421</x:v>
      </x:c>
      <x:c r="E124" s="37" t="s">
        <x:v>93</x:v>
      </x:c>
      <x:c r="F124" s="80"/>
      <x:c r="G124" s="79" t="s">
        <x:v>422</x:v>
      </x:c>
      <x:c r="H124" s="81">
        <x:v>41160002</x:v>
      </x:c>
      <x:c r="I124" s="36" t="s">
        <x:v>415</x:v>
      </x:c>
      <x:c r="J124" s="36" t="s">
        <x:v>40</x:v>
      </x:c>
      <x:c r="K124" s="36" t="s">
        <x:v>32</x:v>
      </x:c>
      <x:c r="L124" s="40">
        <x:v>100000</x:v>
      </x:c>
      <x:c r="M124" s="40"/>
      <x:c r="N124" s="36" t="s">
        <x:v>301</x:v>
      </x:c>
      <x:c r="O124" s="36" t="s">
        <x:v>49</x:v>
      </x:c>
      <x:c r="P124" s="82" t="s">
        <x:v>423</x:v>
      </x:c>
      <x:c r="Q124" s="42" t="s">
        <x:v>424</x:v>
      </x:c>
    </x:row>
    <x:row r="125" ht="51">
      <x:c r="A125" s="22">
        <x:v>2022</x:v>
      </x:c>
      <x:c r="B125" s="22" t="s">
        <x:v>425</x:v>
      </x:c>
      <x:c r="C125" s="11" t="e">
        <x:f>IFERROR(VLOOKUP(B125,Regiões!A:B,2,0),"")</x:f>
        <x:v>#NAME?</x:v>
      </x:c>
      <x:c r="D125" s="22" t="s">
        <x:v>426</x:v>
      </x:c>
      <x:c r="E125" s="23" t="s">
        <x:v>93</x:v>
      </x:c>
      <x:c r="F125" s="83"/>
      <x:c r="G125" s="84" t="s">
        <x:v>427</x:v>
      </x:c>
      <x:c r="H125" s="25">
        <x:v>41160003</x:v>
      </x:c>
      <x:c r="I125" s="22" t="s">
        <x:v>415</x:v>
      </x:c>
      <x:c r="J125" s="22" t="s">
        <x:v>40</x:v>
      </x:c>
      <x:c r="K125" s="22" t="s">
        <x:v>32</x:v>
      </x:c>
      <x:c r="L125" s="27">
        <x:v>100000</x:v>
      </x:c>
      <x:c r="M125" s="27"/>
      <x:c r="N125" s="22" t="s">
        <x:v>41</x:v>
      </x:c>
      <x:c r="O125" s="22" t="s">
        <x:v>428</x:v>
      </x:c>
      <x:c r="P125" s="85" t="s">
        <x:v>429</x:v>
      </x:c>
      <x:c r="Q125" s="29"/>
    </x:row>
    <x:row r="126" ht="25.5">
      <x:c r="A126" s="22">
        <x:v>2022</x:v>
      </x:c>
      <x:c r="B126" s="29" t="s">
        <x:v>112</x:v>
      </x:c>
      <x:c r="C126" s="11" t="e">
        <x:f>IFERROR(VLOOKUP(B126,Regiões!A:B,2,0),"")</x:f>
        <x:v>#NAME?</x:v>
      </x:c>
      <x:c r="D126" s="22" t="s">
        <x:v>430</x:v>
      </x:c>
      <x:c r="E126" s="23" t="s">
        <x:v>93</x:v>
      </x:c>
      <x:c r="F126" s="86"/>
      <x:c r="G126" s="29" t="s">
        <x:v>431</x:v>
      </x:c>
      <x:c r="H126" s="25">
        <x:v>7120004</x:v>
      </x:c>
      <x:c r="I126" s="22" t="s">
        <x:v>95</x:v>
      </x:c>
      <x:c r="J126" s="22" t="s">
        <x:v>40</x:v>
      </x:c>
      <x:c r="K126" s="22" t="s">
        <x:v>20</x:v>
      </x:c>
      <x:c r="L126" s="26">
        <x:v>100000</x:v>
      </x:c>
      <x:c r="M126" s="26"/>
      <x:c r="N126" s="22" t="s">
        <x:v>432</x:v>
      </x:c>
      <x:c r="O126" s="36" t="s">
        <x:v>26</x:v>
      </x:c>
      <x:c r="P126" s="35" t="s">
        <x:v>433</x:v>
      </x:c>
      <x:c r="Q126" s="29"/>
    </x:row>
    <x:row r="127" ht="25.5">
      <x:c r="A127" s="22">
        <x:v>2022</x:v>
      </x:c>
      <x:c r="B127" s="22" t="s">
        <x:v>434</x:v>
      </x:c>
      <x:c r="C127" s="11" t="e">
        <x:f>IFERROR(VLOOKUP(B127,Regiões!A:B,2,0),"")</x:f>
        <x:v>#NAME?</x:v>
      </x:c>
      <x:c r="D127" s="22" t="s">
        <x:v>435</x:v>
      </x:c>
      <x:c r="E127" s="23" t="s">
        <x:v>93</x:v>
      </x:c>
      <x:c r="F127" s="83"/>
      <x:c r="G127" s="84" t="s">
        <x:v>436</x:v>
      </x:c>
      <x:c r="H127" s="25">
        <x:v>41160003</x:v>
      </x:c>
      <x:c r="I127" s="22" t="s">
        <x:v>415</x:v>
      </x:c>
      <x:c r="J127" s="22" t="s">
        <x:v>40</x:v>
      </x:c>
      <x:c r="K127" s="22" t="s">
        <x:v>32</x:v>
      </x:c>
      <x:c r="L127" s="27">
        <x:v>100000</x:v>
      </x:c>
      <x:c r="M127" s="27"/>
      <x:c r="N127" s="22" t="s">
        <x:v>41</x:v>
      </x:c>
      <x:c r="O127" s="22" t="s">
        <x:v>26</x:v>
      </x:c>
      <x:c r="P127" s="28"/>
      <x:c r="Q127" s="29"/>
    </x:row>
    <x:row r="128" ht="38.25">
      <x:c r="A128" s="11">
        <x:v>2023</x:v>
      </x:c>
      <x:c r="B128" s="43" t="s">
        <x:v>437</x:v>
      </x:c>
      <x:c r="C128" s="11" t="e">
        <x:f>IFERROR(VLOOKUP(B128,Regiões!A:B,2,0),"")</x:f>
        <x:v>#NAME?</x:v>
      </x:c>
      <x:c r="D128" s="11" t="s">
        <x:v>438</x:v>
      </x:c>
      <x:c r="E128" s="44" t="s">
        <x:v>61</x:v>
      </x:c>
      <x:c r="F128" s="45"/>
      <x:c r="G128" s="46" t="s">
        <x:v>439</x:v>
      </x:c>
      <x:c r="H128" s="47"/>
      <x:c r="I128" s="11" t="s">
        <x:v>63</x:v>
      </x:c>
      <x:c r="J128" s="11" t="s">
        <x:v>40</x:v>
      </x:c>
      <x:c r="K128" s="11" t="s">
        <x:v>20</x:v>
      </x:c>
      <x:c r="L128" s="48">
        <x:v>100000</x:v>
      </x:c>
      <x:c r="M128" s="48"/>
      <x:c r="N128" s="11" t="s">
        <x:v>64</x:v>
      </x:c>
      <x:c r="O128" s="11" t="s">
        <x:v>26</x:v>
      </x:c>
      <x:c r="P128" s="49" t="s">
        <x:v>440</x:v>
      </x:c>
      <x:c r="Q128" s="50"/>
    </x:row>
    <x:row r="129" ht="51">
      <x:c r="A129" s="11">
        <x:v>2023</x:v>
      </x:c>
      <x:c r="B129" s="66" t="s">
        <x:v>441</x:v>
      </x:c>
      <x:c r="C129" s="11" t="e">
        <x:f>IFERROR(VLOOKUP(B129,Regiões!A:B,2,0),"")</x:f>
        <x:v>#NAME?</x:v>
      </x:c>
      <x:c r="D129" s="11" t="s">
        <x:v>442</x:v>
      </x:c>
      <x:c r="E129" s="67" t="s">
        <x:v>42</x:v>
      </x:c>
      <x:c r="F129" s="68"/>
      <x:c r="G129" s="66" t="s">
        <x:v>443</x:v>
      </x:c>
      <x:c r="H129" s="69"/>
      <x:c r="I129" s="11" t="s">
        <x:v>444</x:v>
      </x:c>
      <x:c r="J129" s="11" t="str">
        <x:f>LEFT(I129,FIND(" (",I129) - 1)</x:f>
        <x:v>Saúde</x:v>
      </x:c>
      <x:c r="K129" s="11" t="s">
        <x:v>32</x:v>
      </x:c>
      <x:c r="L129" s="70">
        <x:v>100000</x:v>
      </x:c>
      <x:c r="M129" s="70"/>
      <x:c r="N129" s="11" t="s">
        <x:v>21</x:v>
      </x:c>
      <x:c r="O129" s="11" t="s">
        <x:v>26</x:v>
      </x:c>
      <x:c r="P129" s="67" t="s">
        <x:v>445</x:v>
      </x:c>
      <x:c r="Q129" s="66"/>
    </x:row>
    <x:row r="130" ht="51">
      <x:c r="A130" s="11">
        <x:v>2023</x:v>
      </x:c>
      <x:c r="B130" s="43" t="s">
        <x:v>352</x:v>
      </x:c>
      <x:c r="C130" s="11" t="e">
        <x:f>IFERROR(VLOOKUP(B130,Regiões!A:B,2,0),"")</x:f>
        <x:v>#NAME?</x:v>
      </x:c>
      <x:c r="D130" s="11" t="s">
        <x:v>446</x:v>
      </x:c>
      <x:c r="E130" s="44" t="s">
        <x:v>61</x:v>
      </x:c>
      <x:c r="F130" s="45"/>
      <x:c r="G130" s="46" t="s">
        <x:v>447</x:v>
      </x:c>
      <x:c r="H130" s="47"/>
      <x:c r="I130" s="11" t="s">
        <x:v>63</x:v>
      </x:c>
      <x:c r="J130" s="11" t="s">
        <x:v>40</x:v>
      </x:c>
      <x:c r="K130" s="11" t="s">
        <x:v>20</x:v>
      </x:c>
      <x:c r="L130" s="48">
        <x:v>100000</x:v>
      </x:c>
      <x:c r="M130" s="48"/>
      <x:c r="N130" s="11" t="s">
        <x:v>64</x:v>
      </x:c>
      <x:c r="O130" s="11" t="s">
        <x:v>26</x:v>
      </x:c>
      <x:c r="P130" s="49" t="s">
        <x:v>448</x:v>
      </x:c>
      <x:c r="Q130" s="50"/>
    </x:row>
    <x:row r="131" ht="51">
      <x:c r="A131" s="9">
        <x:v>2024</x:v>
      </x:c>
      <x:c r="B131" s="10" t="s">
        <x:v>449</x:v>
      </x:c>
      <x:c r="C131" s="11" t="e">
        <x:f>IFERROR(VLOOKUP(B131,Regiões!A:B,2,0),"")</x:f>
        <x:v>#NAME?</x:v>
      </x:c>
      <x:c r="D131" s="11" t="s">
        <x:v>450</x:v>
      </x:c>
      <x:c r="E131" s="12" t="str">
        <x:f t="shared" ref="E131:E138" si="2">G131&amp;" de "&amp;B131</x:f>
        <x:v>Prefeitura Municipal de Nova Palma</x:v>
      </x:c>
      <x:c r="F131" s="13"/>
      <x:c r="G131" s="14" t="s">
        <x:v>18</x:v>
      </x:c>
      <x:c r="H131" s="15">
        <x:v>41160001</x:v>
      </x:c>
      <x:c r="I131" s="9" t="s">
        <x:v>58</x:v>
      </x:c>
      <x:c r="J131" s="9" t="s">
        <x:v>40</x:v>
      </x:c>
      <x:c r="K131" s="16" t="s">
        <x:v>20</x:v>
      </x:c>
      <x:c r="L131" s="17">
        <x:v>100000</x:v>
      </x:c>
      <x:c r="M131" s="17"/>
      <x:c r="N131" s="11" t="s">
        <x:v>21</x:v>
      </x:c>
      <x:c r="O131" s="16"/>
      <x:c r="P131" s="18"/>
      <x:c r="Q131" s="19"/>
    </x:row>
    <x:row r="132" ht="51">
      <x:c r="A132" s="9">
        <x:v>2024</x:v>
      </x:c>
      <x:c r="B132" s="10" t="s">
        <x:v>198</x:v>
      </x:c>
      <x:c r="C132" s="11" t="e">
        <x:f>IFERROR(VLOOKUP(B132,Regiões!A:B,2,0),"")</x:f>
        <x:v>#NAME?</x:v>
      </x:c>
      <x:c r="D132" s="11" t="s">
        <x:v>451</x:v>
      </x:c>
      <x:c r="E132" s="12" t="str">
        <x:f t="shared" si="2"/>
        <x:v>Prefeitura Municipal de Presidente Lucena</x:v>
      </x:c>
      <x:c r="F132" s="13"/>
      <x:c r="G132" s="14" t="s">
        <x:v>18</x:v>
      </x:c>
      <x:c r="H132" s="15">
        <x:v>41160001</x:v>
      </x:c>
      <x:c r="I132" s="9" t="s">
        <x:v>58</x:v>
      </x:c>
      <x:c r="J132" s="9" t="s">
        <x:v>40</x:v>
      </x:c>
      <x:c r="K132" s="16" t="s">
        <x:v>20</x:v>
      </x:c>
      <x:c r="L132" s="17">
        <x:v>100000</x:v>
      </x:c>
      <x:c r="M132" s="17"/>
      <x:c r="N132" s="11" t="s">
        <x:v>21</x:v>
      </x:c>
      <x:c r="O132" s="16"/>
      <x:c r="P132" s="18"/>
      <x:c r="Q132" s="19"/>
    </x:row>
    <x:row r="133" ht="12.75">
      <x:c r="A133" s="9">
        <x:v>2024</x:v>
      </x:c>
      <x:c r="B133" s="10" t="s">
        <x:v>16</x:v>
      </x:c>
      <x:c r="C133" s="11" t="e">
        <x:f>IFERROR(VLOOKUP(B133,Regiões!A:B,2,0),"")</x:f>
        <x:v>#NAME?</x:v>
      </x:c>
      <x:c r="D133" s="11"/>
      <x:c r="E133" s="12" t="str">
        <x:f t="shared" si="2"/>
        <x:v>Prefeitura Municipal de Gramado</x:v>
      </x:c>
      <x:c r="F133" s="13"/>
      <x:c r="G133" s="14" t="s">
        <x:v>18</x:v>
      </x:c>
      <x:c r="H133" s="15">
        <x:v>41160002</x:v>
      </x:c>
      <x:c r="I133" s="9" t="s">
        <x:v>224</x:v>
      </x:c>
      <x:c r="J133" s="9" t="s">
        <x:v>40</x:v>
      </x:c>
      <x:c r="K133" s="16" t="s">
        <x:v>20</x:v>
      </x:c>
      <x:c r="L133" s="17">
        <x:v>100000</x:v>
      </x:c>
      <x:c r="M133" s="17"/>
      <x:c r="N133" s="11" t="s">
        <x:v>21</x:v>
      </x:c>
      <x:c r="O133" s="16"/>
      <x:c r="P133" s="18"/>
      <x:c r="Q133" s="19"/>
    </x:row>
    <x:row r="134" ht="63.75">
      <x:c r="A134" s="9">
        <x:v>2024</x:v>
      </x:c>
      <x:c r="B134" s="10" t="s">
        <x:v>452</x:v>
      </x:c>
      <x:c r="C134" s="11" t="e">
        <x:f>IFERROR(VLOOKUP(B134,Regiões!A:B,2,0),"")</x:f>
        <x:v>#NAME?</x:v>
      </x:c>
      <x:c r="D134" s="11" t="s">
        <x:v>453</x:v>
      </x:c>
      <x:c r="E134" s="12" t="str">
        <x:f t="shared" si="2"/>
        <x:v>Prefeitura Municipal de Santa Cruz do Sul</x:v>
      </x:c>
      <x:c r="F134" s="13"/>
      <x:c r="G134" s="14" t="s">
        <x:v>18</x:v>
      </x:c>
      <x:c r="H134" s="15">
        <x:v>41160002</x:v>
      </x:c>
      <x:c r="I134" s="9" t="s">
        <x:v>224</x:v>
      </x:c>
      <x:c r="J134" s="9" t="s">
        <x:v>40</x:v>
      </x:c>
      <x:c r="K134" s="16" t="s">
        <x:v>20</x:v>
      </x:c>
      <x:c r="L134" s="17">
        <x:v>100000</x:v>
      </x:c>
      <x:c r="M134" s="17"/>
      <x:c r="N134" s="11" t="s">
        <x:v>21</x:v>
      </x:c>
      <x:c r="O134" s="16"/>
      <x:c r="P134" s="18"/>
      <x:c r="Q134" s="19"/>
    </x:row>
    <x:row r="135" ht="76.5">
      <x:c r="A135" s="9">
        <x:v>2024</x:v>
      </x:c>
      <x:c r="B135" s="14" t="s">
        <x:v>454</x:v>
      </x:c>
      <x:c r="C135" s="11" t="e">
        <x:f>IFERROR(VLOOKUP(B135,Regiões!A:B,2,0),"")</x:f>
        <x:v>#NAME?</x:v>
      </x:c>
      <x:c r="D135" s="11" t="s">
        <x:v>455</x:v>
      </x:c>
      <x:c r="E135" s="12" t="str">
        <x:f t="shared" si="2"/>
        <x:v>Prefeitura Municipal de Venâncio Aires</x:v>
      </x:c>
      <x:c r="F135" s="13"/>
      <x:c r="G135" s="14" t="s">
        <x:v>18</x:v>
      </x:c>
      <x:c r="H135" s="15">
        <x:v>41160002</x:v>
      </x:c>
      <x:c r="I135" s="9" t="s">
        <x:v>224</x:v>
      </x:c>
      <x:c r="J135" s="9" t="s">
        <x:v>40</x:v>
      </x:c>
      <x:c r="K135" s="16" t="s">
        <x:v>20</x:v>
      </x:c>
      <x:c r="L135" s="17">
        <x:v>100000</x:v>
      </x:c>
      <x:c r="M135" s="17"/>
      <x:c r="N135" s="11" t="s">
        <x:v>21</x:v>
      </x:c>
      <x:c r="O135" s="16"/>
      <x:c r="P135" s="18"/>
      <x:c r="Q135" s="19"/>
    </x:row>
    <x:row r="136" ht="51">
      <x:c r="A136" s="9">
        <x:v>2024</x:v>
      </x:c>
      <x:c r="B136" s="14" t="s">
        <x:v>456</x:v>
      </x:c>
      <x:c r="C136" s="11" t="e">
        <x:f>IFERROR(VLOOKUP(B136,Regiões!A:B,2,0),"")</x:f>
        <x:v>#NAME?</x:v>
      </x:c>
      <x:c r="D136" s="11" t="s">
        <x:v>457</x:v>
      </x:c>
      <x:c r="E136" s="12" t="str">
        <x:f t="shared" si="2"/>
        <x:v>Prefeitura Municipal de Guaíba</x:v>
      </x:c>
      <x:c r="F136" s="13"/>
      <x:c r="G136" s="14" t="s">
        <x:v>18</x:v>
      </x:c>
      <x:c r="H136" s="15">
        <x:v>41160002</x:v>
      </x:c>
      <x:c r="I136" s="9" t="s">
        <x:v>224</x:v>
      </x:c>
      <x:c r="J136" s="9" t="s">
        <x:v>40</x:v>
      </x:c>
      <x:c r="K136" s="16" t="s">
        <x:v>20</x:v>
      </x:c>
      <x:c r="L136" s="17">
        <x:v>100000</x:v>
      </x:c>
      <x:c r="M136" s="17"/>
      <x:c r="N136" s="11" t="s">
        <x:v>21</x:v>
      </x:c>
      <x:c r="O136" s="16"/>
      <x:c r="P136" s="18"/>
      <x:c r="Q136" s="19"/>
    </x:row>
    <x:row r="137" ht="51">
      <x:c r="A137" s="9">
        <x:v>2024</x:v>
      </x:c>
      <x:c r="B137" s="14" t="s">
        <x:v>332</x:v>
      </x:c>
      <x:c r="C137" s="11" t="e">
        <x:f>IFERROR(VLOOKUP(B137,Regiões!A:B,2,0),"")</x:f>
        <x:v>#NAME?</x:v>
      </x:c>
      <x:c r="D137" s="11" t="s">
        <x:v>458</x:v>
      </x:c>
      <x:c r="E137" s="12" t="str">
        <x:f t="shared" si="2"/>
        <x:v>Prefeitura Municipal de Parobé</x:v>
      </x:c>
      <x:c r="F137" s="13"/>
      <x:c r="G137" s="14" t="s">
        <x:v>18</x:v>
      </x:c>
      <x:c r="H137" s="15">
        <x:v>41160002</x:v>
      </x:c>
      <x:c r="I137" s="9" t="s">
        <x:v>224</x:v>
      </x:c>
      <x:c r="J137" s="9" t="s">
        <x:v>40</x:v>
      </x:c>
      <x:c r="K137" s="16" t="s">
        <x:v>20</x:v>
      </x:c>
      <x:c r="L137" s="17">
        <x:v>100000</x:v>
      </x:c>
      <x:c r="M137" s="17"/>
      <x:c r="N137" s="11" t="s">
        <x:v>21</x:v>
      </x:c>
      <x:c r="O137" s="16"/>
      <x:c r="P137" s="18"/>
      <x:c r="Q137" s="19"/>
    </x:row>
    <x:row r="138" ht="76.5">
      <x:c r="A138" s="9">
        <x:v>2024</x:v>
      </x:c>
      <x:c r="B138" s="10" t="s">
        <x:v>150</x:v>
      </x:c>
      <x:c r="C138" s="11" t="e">
        <x:f>IFERROR(VLOOKUP(B138,Regiões!A:B,2,0),"")</x:f>
        <x:v>#NAME?</x:v>
      </x:c>
      <x:c r="D138" s="11" t="s">
        <x:v>459</x:v>
      </x:c>
      <x:c r="E138" s="12" t="str">
        <x:f t="shared" si="2"/>
        <x:v>Prefeitura Municipal de Igrejinha</x:v>
      </x:c>
      <x:c r="F138" s="13"/>
      <x:c r="G138" s="14" t="s">
        <x:v>18</x:v>
      </x:c>
      <x:c r="H138" s="15">
        <x:v>41160005</x:v>
      </x:c>
      <x:c r="I138" s="9" t="s">
        <x:v>19</x:v>
      </x:c>
      <x:c r="J138" s="9" t="s">
        <x:v>19</x:v>
      </x:c>
      <x:c r="K138" s="16" t="s">
        <x:v>20</x:v>
      </x:c>
      <x:c r="L138" s="17">
        <x:v>100000</x:v>
      </x:c>
      <x:c r="M138" s="17"/>
      <x:c r="N138" s="11" t="s">
        <x:v>21</x:v>
      </x:c>
      <x:c r="O138" s="16"/>
      <x:c r="P138" s="18"/>
      <x:c r="Q138" s="19"/>
    </x:row>
    <x:row r="139" ht="51">
      <x:c r="A139" s="9">
        <x:v>2025</x:v>
      </x:c>
      <x:c r="B139" s="14" t="s">
        <x:v>460</x:v>
      </x:c>
      <x:c r="C139" s="11" t="e">
        <x:f>IFERROR(VLOOKUP(B139,Regiões!A:B,2,0),"")</x:f>
        <x:v>#NAME?</x:v>
      </x:c>
      <x:c r="D139" s="11" t="s">
        <x:v>461</x:v>
      </x:c>
      <x:c r="E139" s="12" t="s">
        <x:v>462</x:v>
      </x:c>
      <x:c r="F139" s="13">
        <x:v>12123735000191</x:v>
      </x:c>
      <x:c r="G139" s="14" t="s">
        <x:v>18</x:v>
      </x:c>
      <x:c r="H139" s="87">
        <x:v>41160003</x:v>
      </x:c>
      <x:c r="I139" s="9" t="s">
        <x:v>463</x:v>
      </x:c>
      <x:c r="J139" s="9" t="s">
        <x:v>40</x:v>
      </x:c>
      <x:c r="K139" s="16" t="s">
        <x:v>32</x:v>
      </x:c>
      <x:c r="L139" s="88">
        <x:v>100000</x:v>
      </x:c>
      <x:c r="M139" s="88"/>
      <x:c r="N139" s="11" t="s">
        <x:v>21</x:v>
      </x:c>
      <x:c r="O139" s="16"/>
      <x:c r="P139" s="89"/>
      <x:c r="Q139" s="19"/>
    </x:row>
    <x:row r="140" ht="51">
      <x:c r="A140" s="9">
        <x:v>2025</x:v>
      </x:c>
      <x:c r="B140" s="14" t="s">
        <x:v>460</x:v>
      </x:c>
      <x:c r="C140" s="11" t="e">
        <x:f>IFERROR(VLOOKUP(B140,Regiões!A:B,2,0),"")</x:f>
        <x:v>#NAME?</x:v>
      </x:c>
      <x:c r="D140" s="11" t="s">
        <x:v>464</x:v>
      </x:c>
      <x:c r="E140" s="12" t="s">
        <x:v>462</x:v>
      </x:c>
      <x:c r="F140" s="13">
        <x:v>12123735000191</x:v>
      </x:c>
      <x:c r="G140" s="14" t="s">
        <x:v>18</x:v>
      </x:c>
      <x:c r="H140" s="59">
        <x:v>41160001</x:v>
      </x:c>
      <x:c r="I140" s="9" t="s">
        <x:v>106</x:v>
      </x:c>
      <x:c r="J140" s="9" t="s">
        <x:v>40</x:v>
      </x:c>
      <x:c r="K140" s="16" t="s">
        <x:v>20</x:v>
      </x:c>
      <x:c r="L140" s="90">
        <x:v>100000</x:v>
      </x:c>
      <x:c r="M140" s="90"/>
      <x:c r="N140" s="11" t="s">
        <x:v>21</x:v>
      </x:c>
      <x:c r="O140" s="16"/>
      <x:c r="P140" s="91" t="s">
        <x:v>107</x:v>
      </x:c>
      <x:c r="Q140" s="19"/>
    </x:row>
    <x:row r="141" ht="76.5">
      <x:c r="A141" s="9">
        <x:v>2025</x:v>
      </x:c>
      <x:c r="B141" s="14" t="s">
        <x:v>465</x:v>
      </x:c>
      <x:c r="C141" s="11" t="e">
        <x:f>IFERROR(VLOOKUP(B141,Regiões!A:B,2,0),"")</x:f>
        <x:v>#NAME?</x:v>
      </x:c>
      <x:c r="D141" s="11" t="s">
        <x:v>466</x:v>
      </x:c>
      <x:c r="E141" s="12" t="s">
        <x:v>467</x:v>
      </x:c>
      <x:c r="F141" s="13">
        <x:v>11468991000158</x:v>
      </x:c>
      <x:c r="G141" s="14" t="s">
        <x:v>18</x:v>
      </x:c>
      <x:c r="H141" s="59">
        <x:v>41160002</x:v>
      </x:c>
      <x:c r="I141" s="9" t="s">
        <x:v>468</x:v>
      </x:c>
      <x:c r="J141" s="9" t="s">
        <x:v>40</x:v>
      </x:c>
      <x:c r="K141" s="16" t="s">
        <x:v>20</x:v>
      </x:c>
      <x:c r="L141" s="90">
        <x:v>100000</x:v>
      </x:c>
      <x:c r="M141" s="90"/>
      <x:c r="N141" s="11" t="s">
        <x:v>21</x:v>
      </x:c>
      <x:c r="O141" s="16"/>
      <x:c r="P141" s="91" t="s">
        <x:v>469</x:v>
      </x:c>
      <x:c r="Q141" s="19"/>
    </x:row>
    <x:row r="142" ht="63.75">
      <x:c r="A142" s="9">
        <x:v>2025</x:v>
      </x:c>
      <x:c r="B142" s="14" t="s">
        <x:v>470</x:v>
      </x:c>
      <x:c r="C142" s="11" t="e">
        <x:f>IFERROR(VLOOKUP(B142,Regiões!A:B,2,0),"")</x:f>
        <x:v>#NAME?</x:v>
      </x:c>
      <x:c r="D142" s="11" t="s">
        <x:v>471</x:v>
      </x:c>
      <x:c r="E142" s="12" t="s">
        <x:v>472</x:v>
      </x:c>
      <x:c r="F142" s="13">
        <x:v>11708221000135</x:v>
      </x:c>
      <x:c r="G142" s="14" t="s">
        <x:v>18</x:v>
      </x:c>
      <x:c r="H142" s="59">
        <x:v>41160002</x:v>
      </x:c>
      <x:c r="I142" s="9" t="s">
        <x:v>468</x:v>
      </x:c>
      <x:c r="J142" s="9" t="s">
        <x:v>40</x:v>
      </x:c>
      <x:c r="K142" s="16" t="s">
        <x:v>20</x:v>
      </x:c>
      <x:c r="L142" s="90">
        <x:v>100000</x:v>
      </x:c>
      <x:c r="M142" s="90"/>
      <x:c r="N142" s="11" t="s">
        <x:v>21</x:v>
      </x:c>
      <x:c r="O142" s="16"/>
      <x:c r="P142" s="91" t="s">
        <x:v>473</x:v>
      </x:c>
      <x:c r="Q142" s="19"/>
    </x:row>
    <x:row r="143" ht="51">
      <x:c r="A143" s="9">
        <x:v>2025</x:v>
      </x:c>
      <x:c r="B143" s="14" t="s">
        <x:v>470</x:v>
      </x:c>
      <x:c r="C143" s="11" t="e">
        <x:f>IFERROR(VLOOKUP(B143,Regiões!A:B,2,0),"")</x:f>
        <x:v>#NAME?</x:v>
      </x:c>
      <x:c r="D143" s="11" t="s">
        <x:v>474</x:v>
      </x:c>
      <x:c r="E143" s="12" t="s">
        <x:v>472</x:v>
      </x:c>
      <x:c r="F143" s="13">
        <x:v>11708221000135</x:v>
      </x:c>
      <x:c r="G143" s="14" t="s">
        <x:v>18</x:v>
      </x:c>
      <x:c r="H143" s="59">
        <x:v>41160002</x:v>
      </x:c>
      <x:c r="I143" s="9" t="s">
        <x:v>468</x:v>
      </x:c>
      <x:c r="J143" s="9" t="s">
        <x:v>40</x:v>
      </x:c>
      <x:c r="K143" s="16" t="s">
        <x:v>20</x:v>
      </x:c>
      <x:c r="L143" s="60">
        <x:v>100000</x:v>
      </x:c>
      <x:c r="M143" s="60"/>
      <x:c r="N143" s="11" t="s">
        <x:v>21</x:v>
      </x:c>
      <x:c r="O143" s="16"/>
      <x:c r="P143" s="49" t="s">
        <x:v>475</x:v>
      </x:c>
      <x:c r="Q143" s="19"/>
    </x:row>
    <x:row r="144" ht="25.5">
      <x:c r="A144" s="9">
        <x:v>2026</x:v>
      </x:c>
      <x:c r="B144" s="14" t="s">
        <x:v>476</x:v>
      </x:c>
      <x:c r="C144" s="11" t="e">
        <x:f>IFERROR(VLOOKUP(B144,Regiões!A:B,2,0),"")</x:f>
        <x:v>#NAME?</x:v>
      </x:c>
      <x:c r="D144" s="11"/>
      <x:c r="E144" s="20" t="s">
        <x:v>477</x:v>
      </x:c>
      <x:c r="F144" s="13">
        <x:v>12128072000106</x:v>
      </x:c>
      <x:c r="G144" s="14" t="s">
        <x:v>478</x:v>
      </x:c>
      <x:c r="H144" s="15">
        <x:v>41160005</x:v>
      </x:c>
      <x:c r="I144" s="9" t="s">
        <x:v>40</x:v>
      </x:c>
      <x:c r="J144" s="9" t="s">
        <x:v>40</x:v>
      </x:c>
      <x:c r="K144" s="16" t="s">
        <x:v>328</x:v>
      </x:c>
      <x:c r="L144" s="17">
        <x:v>100000</x:v>
      </x:c>
      <x:c r="M144" s="17"/>
      <x:c r="N144" s="9" t="s">
        <x:v>33</x:v>
      </x:c>
      <x:c r="O144" s="16"/>
      <x:c r="P144" s="18"/>
      <x:c r="Q144" s="19"/>
    </x:row>
    <x:row r="145" ht="12.75">
      <x:c r="A145" s="9">
        <x:v>2026</x:v>
      </x:c>
      <x:c r="B145" s="14" t="s">
        <x:v>479</x:v>
      </x:c>
      <x:c r="C145" s="11" t="e">
        <x:f>IFERROR(VLOOKUP(B145,Regiões!A:B,2,0),"")</x:f>
        <x:v>#NAME?</x:v>
      </x:c>
      <x:c r="D145" s="11"/>
      <x:c r="E145" s="20" t="s">
        <x:v>480</x:v>
      </x:c>
      <x:c r="F145" s="13">
        <x:v>12102427000180</x:v>
      </x:c>
      <x:c r="G145" s="14" t="s">
        <x:v>481</x:v>
      </x:c>
      <x:c r="H145" s="15">
        <x:v>41160005</x:v>
      </x:c>
      <x:c r="I145" s="9" t="s">
        <x:v>40</x:v>
      </x:c>
      <x:c r="J145" s="9" t="s">
        <x:v>40</x:v>
      </x:c>
      <x:c r="K145" s="16" t="s">
        <x:v>328</x:v>
      </x:c>
      <x:c r="L145" s="17">
        <x:v>100000</x:v>
      </x:c>
      <x:c r="M145" s="17"/>
      <x:c r="N145" s="9" t="s">
        <x:v>33</x:v>
      </x:c>
      <x:c r="O145" s="16"/>
      <x:c r="P145" s="18"/>
      <x:c r="Q145" s="19"/>
    </x:row>
    <x:row r="146" ht="12.75">
      <x:c r="A146" s="9">
        <x:v>2026</x:v>
      </x:c>
      <x:c r="B146" s="14" t="s">
        <x:v>482</x:v>
      </x:c>
      <x:c r="C146" s="11" t="e">
        <x:f>IFERROR(VLOOKUP(B146,Regiões!A:B,2,0),"")</x:f>
        <x:v>#NAME?</x:v>
      </x:c>
      <x:c r="D146" s="11"/>
      <x:c r="E146" s="20" t="s">
        <x:v>483</x:v>
      </x:c>
      <x:c r="F146" s="13">
        <x:v>11636789000198</x:v>
      </x:c>
      <x:c r="G146" s="14"/>
      <x:c r="H146" s="15">
        <x:v>41160005</x:v>
      </x:c>
      <x:c r="I146" s="9" t="s">
        <x:v>40</x:v>
      </x:c>
      <x:c r="J146" s="9" t="s">
        <x:v>40</x:v>
      </x:c>
      <x:c r="K146" s="16" t="s">
        <x:v>328</x:v>
      </x:c>
      <x:c r="L146" s="17">
        <x:v>100000</x:v>
      </x:c>
      <x:c r="M146" s="17"/>
      <x:c r="N146" s="9" t="s">
        <x:v>33</x:v>
      </x:c>
      <x:c r="O146" s="16"/>
      <x:c r="P146" s="18"/>
      <x:c r="Q146" s="19"/>
    </x:row>
    <x:row r="147" ht="12.75">
      <x:c r="A147" s="9">
        <x:v>2026</x:v>
      </x:c>
      <x:c r="B147" s="14" t="s">
        <x:v>484</x:v>
      </x:c>
      <x:c r="C147" s="11" t="e">
        <x:f>IFERROR(VLOOKUP(B147,Regiões!A:B,2,0),"")</x:f>
        <x:v>#NAME?</x:v>
      </x:c>
      <x:c r="D147" s="11"/>
      <x:c r="E147" s="20" t="s">
        <x:v>485</x:v>
      </x:c>
      <x:c r="F147" s="13">
        <x:v>12012797000126</x:v>
      </x:c>
      <x:c r="G147" s="14"/>
      <x:c r="H147" s="15">
        <x:v>41160005</x:v>
      </x:c>
      <x:c r="I147" s="9" t="s">
        <x:v>40</x:v>
      </x:c>
      <x:c r="J147" s="9" t="s">
        <x:v>40</x:v>
      </x:c>
      <x:c r="K147" s="16" t="s">
        <x:v>328</x:v>
      </x:c>
      <x:c r="L147" s="17">
        <x:v>100000</x:v>
      </x:c>
      <x:c r="M147" s="17"/>
      <x:c r="N147" s="9" t="s">
        <x:v>33</x:v>
      </x:c>
      <x:c r="O147" s="16"/>
      <x:c r="P147" s="18"/>
      <x:c r="Q147" s="19"/>
    </x:row>
    <x:row r="148" ht="12.75">
      <x:c r="A148" s="9">
        <x:v>2026</x:v>
      </x:c>
      <x:c r="B148" s="14" t="s">
        <x:v>486</x:v>
      </x:c>
      <x:c r="C148" s="11" t="e">
        <x:f>IFERROR(VLOOKUP(B148,Regiões!A:B,2,0),"")</x:f>
        <x:v>#NAME?</x:v>
      </x:c>
      <x:c r="D148" s="11"/>
      <x:c r="E148" s="20" t="s">
        <x:v>487</x:v>
      </x:c>
      <x:c r="F148" s="13">
        <x:v>11951484000170</x:v>
      </x:c>
      <x:c r="G148" s="14"/>
      <x:c r="H148" s="15">
        <x:v>41160005</x:v>
      </x:c>
      <x:c r="I148" s="9" t="s">
        <x:v>40</x:v>
      </x:c>
      <x:c r="J148" s="9" t="s">
        <x:v>40</x:v>
      </x:c>
      <x:c r="K148" s="16" t="s">
        <x:v>328</x:v>
      </x:c>
      <x:c r="L148" s="17">
        <x:v>100000</x:v>
      </x:c>
      <x:c r="M148" s="17"/>
      <x:c r="N148" s="9" t="s">
        <x:v>33</x:v>
      </x:c>
      <x:c r="O148" s="16"/>
      <x:c r="P148" s="18"/>
      <x:c r="Q148" s="19"/>
    </x:row>
    <x:row r="149" ht="25.5">
      <x:c r="A149" s="92">
        <x:v>2022</x:v>
      </x:c>
      <x:c r="B149" s="92" t="s">
        <x:v>488</x:v>
      </x:c>
      <x:c r="C149" s="92" t="e">
        <x:f>IFERROR(VLOOKUP(B149,Regiões!A:B,2,0),"")</x:f>
        <x:v>#NAME?</x:v>
      </x:c>
      <x:c r="D149" s="92" t="s">
        <x:v>489</x:v>
      </x:c>
      <x:c r="E149" s="93" t="s">
        <x:v>38</x:v>
      </x:c>
      <x:c r="F149" s="94"/>
      <x:c r="G149" s="92" t="s">
        <x:v>18</x:v>
      </x:c>
      <x:c r="H149" s="95">
        <x:v>41160002</x:v>
      </x:c>
      <x:c r="I149" s="92" t="s">
        <x:v>39</x:v>
      </x:c>
      <x:c r="J149" s="92" t="s">
        <x:v>40</x:v>
      </x:c>
      <x:c r="K149" s="92" t="s">
        <x:v>20</x:v>
      </x:c>
      <x:c r="L149" s="96">
        <x:v>100139</x:v>
      </x:c>
      <x:c r="M149" s="96"/>
      <x:c r="N149" s="92" t="s">
        <x:v>41</x:v>
      </x:c>
      <x:c r="O149" s="92" t="s">
        <x:v>26</x:v>
      </x:c>
      <x:c r="P149" s="97"/>
      <x:c r="Q149" s="98"/>
    </x:row>
    <x:row r="150" ht="51">
      <x:c r="A150" s="11">
        <x:v>2023</x:v>
      </x:c>
      <x:c r="B150" s="43" t="s">
        <x:v>490</x:v>
      </x:c>
      <x:c r="C150" s="11" t="e">
        <x:f>IFERROR(VLOOKUP(B150,Regiões!A:B,2,0),"")</x:f>
        <x:v>#NAME?</x:v>
      </x:c>
      <x:c r="D150" s="11" t="s">
        <x:v>491</x:v>
      </x:c>
      <x:c r="E150" s="44" t="s">
        <x:v>93</x:v>
      </x:c>
      <x:c r="F150" s="99"/>
      <x:c r="G150" s="43" t="s">
        <x:v>492</x:v>
      </x:c>
      <x:c r="H150" s="47"/>
      <x:c r="I150" s="11" t="s">
        <x:v>444</x:v>
      </x:c>
      <x:c r="J150" s="11" t="str">
        <x:f>LEFT(I150,FIND(" (",I150) - 1)</x:f>
        <x:v>Saúde</x:v>
      </x:c>
      <x:c r="K150" s="11" t="s">
        <x:v>32</x:v>
      </x:c>
      <x:c r="L150" s="48">
        <x:v>100308</x:v>
      </x:c>
      <x:c r="M150" s="48"/>
      <x:c r="N150" s="11" t="s">
        <x:v>21</x:v>
      </x:c>
      <x:c r="O150" s="11" t="s">
        <x:v>49</x:v>
      </x:c>
      <x:c r="P150" s="49" t="s">
        <x:v>493</x:v>
      </x:c>
      <x:c r="Q150" s="50" t="s">
        <x:v>494</x:v>
      </x:c>
    </x:row>
    <x:row r="151" ht="51">
      <x:c r="A151" s="100">
        <x:v>2021</x:v>
      </x:c>
      <x:c r="B151" s="101" t="s">
        <x:v>495</x:v>
      </x:c>
      <x:c r="C151" s="11" t="e">
        <x:f>IFERROR(VLOOKUP(B151,Regiões!A:B,2,0),"")</x:f>
        <x:v>#NAME?</x:v>
      </x:c>
      <x:c r="D151" s="22" t="s">
        <x:v>496</x:v>
      </x:c>
      <x:c r="E151" s="102" t="s">
        <x:v>93</x:v>
      </x:c>
      <x:c r="F151" s="103"/>
      <x:c r="G151" s="101" t="s">
        <x:v>497</x:v>
      </x:c>
      <x:c r="H151" s="104">
        <x:v>41160003</x:v>
      </x:c>
      <x:c r="I151" s="100" t="s">
        <x:v>95</x:v>
      </x:c>
      <x:c r="J151" s="100" t="s">
        <x:v>40</x:v>
      </x:c>
      <x:c r="K151" s="100" t="s">
        <x:v>20</x:v>
      </x:c>
      <x:c r="L151" s="105">
        <x:v>102000</x:v>
      </x:c>
      <x:c r="M151" s="105"/>
      <x:c r="N151" s="100" t="s">
        <x:v>301</x:v>
      </x:c>
      <x:c r="O151" s="100" t="s">
        <x:v>498</x:v>
      </x:c>
      <x:c r="P151" s="106" t="s">
        <x:v>499</x:v>
      </x:c>
      <x:c r="Q151" s="101"/>
    </x:row>
    <x:row r="152" ht="114.75">
      <x:c r="A152" s="9">
        <x:v>2025</x:v>
      </x:c>
      <x:c r="B152" s="14" t="s">
        <x:v>368</x:v>
      </x:c>
      <x:c r="C152" s="11" t="e">
        <x:f>IFERROR(VLOOKUP(B152,Regiões!A:B,2,0),"")</x:f>
        <x:v>#NAME?</x:v>
      </x:c>
      <x:c r="D152" s="11" t="s">
        <x:v>500</x:v>
      </x:c>
      <x:c r="E152" s="12" t="s">
        <x:v>501</x:v>
      </x:c>
      <x:c r="F152" s="13">
        <x:v>91365718000137</x:v>
      </x:c>
      <x:c r="G152" s="10" t="s">
        <x:v>501</x:v>
      </x:c>
      <x:c r="H152" s="59">
        <x:v>41160004</x:v>
      </x:c>
      <x:c r="I152" s="9" t="s">
        <x:v>502</x:v>
      </x:c>
      <x:c r="J152" s="9" t="s">
        <x:v>40</x:v>
      </x:c>
      <x:c r="K152" s="16" t="s">
        <x:v>32</x:v>
      </x:c>
      <x:c r="L152" s="90">
        <x:v>102000</x:v>
      </x:c>
      <x:c r="M152" s="90"/>
      <x:c r="N152" s="11" t="s">
        <x:v>21</x:v>
      </x:c>
      <x:c r="O152" s="16"/>
      <x:c r="P152" s="44" t="s">
        <x:v>503</x:v>
      </x:c>
      <x:c r="Q152" s="19"/>
    </x:row>
    <x:row r="153" ht="38.25">
      <x:c r="A153" s="36">
        <x:v>2021</x:v>
      </x:c>
      <x:c r="B153" s="79" t="s">
        <x:v>504</x:v>
      </x:c>
      <x:c r="C153" s="11" t="e">
        <x:f>IFERROR(VLOOKUP(B153,Regiões!A:B,2,0),"")</x:f>
        <x:v>#NAME?</x:v>
      </x:c>
      <x:c r="D153" s="22" t="s">
        <x:v>505</x:v>
      </x:c>
      <x:c r="E153" s="37"/>
      <x:c r="F153" s="80"/>
      <x:c r="G153" s="79" t="s">
        <x:v>506</x:v>
      </x:c>
      <x:c r="H153" s="81">
        <x:v>41160002</x:v>
      </x:c>
      <x:c r="I153" s="36" t="s">
        <x:v>415</x:v>
      </x:c>
      <x:c r="J153" s="36" t="s">
        <x:v>40</x:v>
      </x:c>
      <x:c r="K153" s="36" t="s">
        <x:v>32</x:v>
      </x:c>
      <x:c r="L153" s="40">
        <x:v>105000</x:v>
      </x:c>
      <x:c r="M153" s="40"/>
      <x:c r="N153" s="36" t="s">
        <x:v>301</x:v>
      </x:c>
      <x:c r="O153" s="36" t="s">
        <x:v>507</x:v>
      </x:c>
      <x:c r="P153" s="107" t="s">
        <x:v>508</x:v>
      </x:c>
      <x:c r="Q153" s="42"/>
    </x:row>
    <x:row r="154" ht="51">
      <x:c r="A154" s="11">
        <x:v>2023</x:v>
      </x:c>
      <x:c r="B154" s="43" t="s">
        <x:v>509</x:v>
      </x:c>
      <x:c r="C154" s="11" t="e">
        <x:f>IFERROR(VLOOKUP(B154,Regiões!A:B,2,0),"")</x:f>
        <x:v>#NAME?</x:v>
      </x:c>
      <x:c r="D154" s="11" t="s">
        <x:v>510</x:v>
      </x:c>
      <x:c r="E154" s="44" t="s">
        <x:v>93</x:v>
      </x:c>
      <x:c r="F154" s="99"/>
      <x:c r="G154" s="43" t="s">
        <x:v>511</x:v>
      </x:c>
      <x:c r="H154" s="47"/>
      <x:c r="I154" s="11" t="s">
        <x:v>444</x:v>
      </x:c>
      <x:c r="J154" s="11" t="str">
        <x:f>LEFT(I154,FIND(" (",I154) - 1)</x:f>
        <x:v>Saúde</x:v>
      </x:c>
      <x:c r="K154" s="11" t="s">
        <x:v>32</x:v>
      </x:c>
      <x:c r="L154" s="108">
        <x:v>105000</x:v>
      </x:c>
      <x:c r="M154" s="108"/>
      <x:c r="N154" s="11" t="s">
        <x:v>21</x:v>
      </x:c>
      <x:c r="O154" s="11" t="s">
        <x:v>49</x:v>
      </x:c>
      <x:c r="P154" s="109" t="s">
        <x:v>512</x:v>
      </x:c>
      <x:c r="Q154" s="50"/>
    </x:row>
    <x:row r="155" ht="38.25">
      <x:c r="A155" s="36">
        <x:v>2022</x:v>
      </x:c>
      <x:c r="B155" s="42" t="s">
        <x:v>352</x:v>
      </x:c>
      <x:c r="C155" s="11" t="e">
        <x:f>IFERROR(VLOOKUP(B155,Regiões!A:B,2,0),"")</x:f>
        <x:v>#NAME?</x:v>
      </x:c>
      <x:c r="D155" s="22" t="s">
        <x:v>513</x:v>
      </x:c>
      <x:c r="E155" s="37" t="s">
        <x:v>93</x:v>
      </x:c>
      <x:c r="F155" s="110"/>
      <x:c r="G155" s="42" t="s">
        <x:v>514</x:v>
      </x:c>
      <x:c r="H155" s="25">
        <x:v>7120004</x:v>
      </x:c>
      <x:c r="I155" s="22" t="s">
        <x:v>95</x:v>
      </x:c>
      <x:c r="J155" s="22" t="s">
        <x:v>40</x:v>
      </x:c>
      <x:c r="K155" s="22" t="s">
        <x:v>20</x:v>
      </x:c>
      <x:c r="L155" s="40">
        <x:v>106674.25</x:v>
      </x:c>
      <x:c r="M155" s="40"/>
      <x:c r="N155" s="22" t="s">
        <x:v>515</x:v>
      </x:c>
      <x:c r="O155" s="36" t="s">
        <x:v>26</x:v>
      </x:c>
      <x:c r="P155" s="35" t="s">
        <x:v>433</x:v>
      </x:c>
      <x:c r="Q155" s="42"/>
    </x:row>
    <x:row r="156" ht="38.25">
      <x:c r="A156" s="11">
        <x:v>2023</x:v>
      </x:c>
      <x:c r="B156" s="43" t="s">
        <x:v>504</x:v>
      </x:c>
      <x:c r="C156" s="11" t="e">
        <x:f>IFERROR(VLOOKUP(B156,Regiões!A:B,2,0),"")</x:f>
        <x:v>#NAME?</x:v>
      </x:c>
      <x:c r="D156" s="11" t="s">
        <x:v>516</x:v>
      </x:c>
      <x:c r="E156" s="44" t="s">
        <x:v>93</x:v>
      </x:c>
      <x:c r="F156" s="99"/>
      <x:c r="G156" s="43" t="s">
        <x:v>506</x:v>
      </x:c>
      <x:c r="H156" s="47"/>
      <x:c r="I156" s="11" t="s">
        <x:v>444</x:v>
      </x:c>
      <x:c r="J156" s="11" t="str">
        <x:f>LEFT(I156,FIND(" (",I156) - 1)</x:f>
        <x:v>Saúde</x:v>
      </x:c>
      <x:c r="K156" s="11" t="s">
        <x:v>32</x:v>
      </x:c>
      <x:c r="L156" s="108">
        <x:v>107438</x:v>
      </x:c>
      <x:c r="M156" s="108"/>
      <x:c r="N156" s="11" t="s">
        <x:v>21</x:v>
      </x:c>
      <x:c r="O156" s="11" t="s">
        <x:v>49</x:v>
      </x:c>
      <x:c r="P156" s="49" t="s">
        <x:v>517</x:v>
      </x:c>
      <x:c r="Q156" s="50"/>
    </x:row>
    <x:row r="157" ht="51">
      <x:c r="A157" s="9">
        <x:v>2025</x:v>
      </x:c>
      <x:c r="B157" s="14" t="s">
        <x:v>321</x:v>
      </x:c>
      <x:c r="C157" s="11" t="e">
        <x:f>IFERROR(VLOOKUP(B157,Regiões!A:B,2,0),"")</x:f>
        <x:v>#NAME?</x:v>
      </x:c>
      <x:c r="D157" s="11" t="s">
        <x:v>518</x:v>
      </x:c>
      <x:c r="E157" s="12" t="s">
        <x:v>519</x:v>
      </x:c>
      <x:c r="F157" s="13">
        <x:v>13850694000106</x:v>
      </x:c>
      <x:c r="G157" s="14" t="s">
        <x:v>18</x:v>
      </x:c>
      <x:c r="H157" s="87">
        <x:v>41160003</x:v>
      </x:c>
      <x:c r="I157" s="9" t="s">
        <x:v>463</x:v>
      </x:c>
      <x:c r="J157" s="9" t="s">
        <x:v>40</x:v>
      </x:c>
      <x:c r="K157" s="16" t="s">
        <x:v>32</x:v>
      </x:c>
      <x:c r="L157" s="88">
        <x:v>110000</x:v>
      </x:c>
      <x:c r="M157" s="88"/>
      <x:c r="N157" s="11" t="s">
        <x:v>21</x:v>
      </x:c>
      <x:c r="O157" s="16"/>
      <x:c r="P157" s="111" t="s">
        <x:v>520</x:v>
      </x:c>
      <x:c r="Q157" s="19"/>
    </x:row>
    <x:row r="158" ht="76.5">
      <x:c r="A158" s="22">
        <x:v>2020</x:v>
      </x:c>
      <x:c r="B158" s="22" t="s">
        <x:v>51</x:v>
      </x:c>
      <x:c r="C158" s="11" t="e">
        <x:f>IFERROR(VLOOKUP(B158,Regiões!A:B,2,0),"")</x:f>
        <x:v>#NAME?</x:v>
      </x:c>
      <x:c r="D158" s="22" t="s">
        <x:v>521</x:v>
      </x:c>
      <x:c r="E158" s="23" t="s">
        <x:v>29</x:v>
      </x:c>
      <x:c r="F158" s="24"/>
      <x:c r="G158" s="22" t="s">
        <x:v>522</x:v>
      </x:c>
      <x:c r="H158" s="25">
        <x:v>41160010</x:v>
      </x:c>
      <x:c r="I158" s="22" t="s">
        <x:v>31</x:v>
      </x:c>
      <x:c r="J158" s="22" t="s">
        <x:v>25</x:v>
      </x:c>
      <x:c r="K158" s="22" t="s">
        <x:v>32</x:v>
      </x:c>
      <x:c r="L158" s="26">
        <x:v>111914</x:v>
      </x:c>
      <x:c r="M158" s="26"/>
      <x:c r="N158" s="22" t="s">
        <x:v>33</x:v>
      </x:c>
      <x:c r="O158" s="22" t="s">
        <x:v>523</x:v>
      </x:c>
      <x:c r="P158" s="23" t="s">
        <x:v>524</x:v>
      </x:c>
      <x:c r="Q158" s="22"/>
    </x:row>
    <x:row r="159" ht="63.75">
      <x:c r="A159" s="36">
        <x:v>2021</x:v>
      </x:c>
      <x:c r="B159" s="79" t="s">
        <x:v>389</x:v>
      </x:c>
      <x:c r="C159" s="11" t="e">
        <x:f>IFERROR(VLOOKUP(B159,Regiões!A:B,2,0),"")</x:f>
        <x:v>#NAME?</x:v>
      </x:c>
      <x:c r="D159" s="22" t="s">
        <x:v>525</x:v>
      </x:c>
      <x:c r="E159" s="37" t="s">
        <x:v>93</x:v>
      </x:c>
      <x:c r="F159" s="110"/>
      <x:c r="G159" s="42" t="s">
        <x:v>526</x:v>
      </x:c>
      <x:c r="H159" s="81">
        <x:v>41160002</x:v>
      </x:c>
      <x:c r="I159" s="36" t="s">
        <x:v>415</x:v>
      </x:c>
      <x:c r="J159" s="36" t="s">
        <x:v>40</x:v>
      </x:c>
      <x:c r="K159" s="36" t="s">
        <x:v>32</x:v>
      </x:c>
      <x:c r="L159" s="40">
        <x:v>112000</x:v>
      </x:c>
      <x:c r="M159" s="40"/>
      <x:c r="N159" s="36" t="s">
        <x:v>301</x:v>
      </x:c>
      <x:c r="O159" s="36" t="s">
        <x:v>26</x:v>
      </x:c>
      <x:c r="P159" s="107" t="s">
        <x:v>527</x:v>
      </x:c>
      <x:c r="Q159" s="42"/>
    </x:row>
    <x:row r="160" ht="51">
      <x:c r="A160" s="51">
        <x:v>2020</x:v>
      </x:c>
      <x:c r="B160" s="51" t="s">
        <x:v>528</x:v>
      </x:c>
      <x:c r="C160" s="11" t="e">
        <x:f>IFERROR(VLOOKUP(B160,Regiões!A:B,2,0),"")</x:f>
        <x:v>#NAME?</x:v>
      </x:c>
      <x:c r="D160" s="22" t="s">
        <x:v>529</x:v>
      </x:c>
      <x:c r="E160" s="52" t="s">
        <x:v>93</x:v>
      </x:c>
      <x:c r="F160" s="53"/>
      <x:c r="G160" s="51" t="s">
        <x:v>530</x:v>
      </x:c>
      <x:c r="H160" s="58">
        <x:v>41160005</x:v>
      </x:c>
      <x:c r="I160" s="51" t="s">
        <x:v>531</x:v>
      </x:c>
      <x:c r="J160" s="51" t="s">
        <x:v>40</x:v>
      </x:c>
      <x:c r="K160" s="51" t="s">
        <x:v>20</x:v>
      </x:c>
      <x:c r="L160" s="55">
        <x:v>114000</x:v>
      </x:c>
      <x:c r="M160" s="55"/>
      <x:c r="N160" s="51" t="s">
        <x:v>21</x:v>
      </x:c>
      <x:c r="O160" s="51" t="s">
        <x:v>26</x:v>
      </x:c>
      <x:c r="P160" s="52" t="s">
        <x:v>532</x:v>
      </x:c>
      <x:c r="Q160" s="57"/>
    </x:row>
    <x:row r="161" ht="51">
      <x:c r="A161" s="100">
        <x:v>2021</x:v>
      </x:c>
      <x:c r="B161" s="101" t="s">
        <x:v>116</x:v>
      </x:c>
      <x:c r="C161" s="11" t="e">
        <x:f>IFERROR(VLOOKUP(B161,Regiões!A:B,2,0),"")</x:f>
        <x:v>#NAME?</x:v>
      </x:c>
      <x:c r="D161" s="22" t="s">
        <x:v>533</x:v>
      </x:c>
      <x:c r="E161" s="102" t="s">
        <x:v>93</x:v>
      </x:c>
      <x:c r="F161" s="103"/>
      <x:c r="G161" s="101" t="s">
        <x:v>534</x:v>
      </x:c>
      <x:c r="H161" s="104">
        <x:v>41160003</x:v>
      </x:c>
      <x:c r="I161" s="100" t="s">
        <x:v>95</x:v>
      </x:c>
      <x:c r="J161" s="100" t="s">
        <x:v>40</x:v>
      </x:c>
      <x:c r="K161" s="100" t="s">
        <x:v>20</x:v>
      </x:c>
      <x:c r="L161" s="105">
        <x:v>114409</x:v>
      </x:c>
      <x:c r="M161" s="105"/>
      <x:c r="N161" s="100" t="s">
        <x:v>301</x:v>
      </x:c>
      <x:c r="O161" s="100" t="s">
        <x:v>498</x:v>
      </x:c>
      <x:c r="P161" s="106" t="s">
        <x:v>535</x:v>
      </x:c>
      <x:c r="Q161" s="101"/>
    </x:row>
    <x:row r="162" ht="38.25">
      <x:c r="A162" s="22">
        <x:v>2022</x:v>
      </x:c>
      <x:c r="B162" s="22" t="s">
        <x:v>536</x:v>
      </x:c>
      <x:c r="C162" s="11" t="e">
        <x:f>IFERROR(VLOOKUP(B162,Regiões!A:B,2,0),"")</x:f>
        <x:v>#NAME?</x:v>
      </x:c>
      <x:c r="D162" s="22" t="s">
        <x:v>537</x:v>
      </x:c>
      <x:c r="E162" s="23" t="s">
        <x:v>93</x:v>
      </x:c>
      <x:c r="F162" s="83"/>
      <x:c r="G162" s="84" t="s">
        <x:v>538</x:v>
      </x:c>
      <x:c r="H162" s="25">
        <x:v>41160003</x:v>
      </x:c>
      <x:c r="I162" s="22" t="s">
        <x:v>415</x:v>
      </x:c>
      <x:c r="J162" s="22" t="s">
        <x:v>40</x:v>
      </x:c>
      <x:c r="K162" s="22" t="s">
        <x:v>32</x:v>
      </x:c>
      <x:c r="L162" s="27">
        <x:v>117000</x:v>
      </x:c>
      <x:c r="M162" s="27"/>
      <x:c r="N162" s="22" t="s">
        <x:v>41</x:v>
      </x:c>
      <x:c r="O162" s="22" t="s">
        <x:v>539</x:v>
      </x:c>
      <x:c r="P162" s="28"/>
      <x:c r="Q162" s="29"/>
    </x:row>
    <x:row r="163" ht="63.75">
      <x:c r="A163" s="11">
        <x:v>2023</x:v>
      </x:c>
      <x:c r="B163" s="43" t="s">
        <x:v>540</x:v>
      </x:c>
      <x:c r="C163" s="11" t="e">
        <x:f>IFERROR(VLOOKUP(B163,Regiões!A:B,2,0),"")</x:f>
        <x:v>#NAME?</x:v>
      </x:c>
      <x:c r="D163" s="11" t="s">
        <x:v>541</x:v>
      </x:c>
      <x:c r="E163" s="44" t="s">
        <x:v>61</x:v>
      </x:c>
      <x:c r="F163" s="45"/>
      <x:c r="G163" s="46" t="s">
        <x:v>542</x:v>
      </x:c>
      <x:c r="H163" s="47"/>
      <x:c r="I163" s="11" t="s">
        <x:v>63</x:v>
      </x:c>
      <x:c r="J163" s="11" t="s">
        <x:v>40</x:v>
      </x:c>
      <x:c r="K163" s="11" t="s">
        <x:v>20</x:v>
      </x:c>
      <x:c r="L163" s="48">
        <x:v>119941.01</x:v>
      </x:c>
      <x:c r="M163" s="48"/>
      <x:c r="N163" s="11" t="s">
        <x:v>64</x:v>
      </x:c>
      <x:c r="O163" s="11" t="s">
        <x:v>26</x:v>
      </x:c>
      <x:c r="P163" s="49" t="s">
        <x:v>543</x:v>
      </x:c>
      <x:c r="Q163" s="50"/>
    </x:row>
    <x:row r="164" ht="51">
      <x:c r="A164" s="92">
        <x:v>2022</x:v>
      </x:c>
      <x:c r="B164" s="92" t="s">
        <x:v>544</x:v>
      </x:c>
      <x:c r="C164" s="92" t="e">
        <x:f>IFERROR(VLOOKUP(B164,Regiões!A:B,2,0),"")</x:f>
        <x:v>#NAME?</x:v>
      </x:c>
      <x:c r="D164" s="92" t="s">
        <x:v>545</x:v>
      </x:c>
      <x:c r="E164" s="93" t="s">
        <x:v>93</x:v>
      </x:c>
      <x:c r="F164" s="112"/>
      <x:c r="G164" s="113" t="s">
        <x:v>546</x:v>
      </x:c>
      <x:c r="H164" s="95">
        <x:v>41160003</x:v>
      </x:c>
      <x:c r="I164" s="92" t="s">
        <x:v>415</x:v>
      </x:c>
      <x:c r="J164" s="92" t="s">
        <x:v>40</x:v>
      </x:c>
      <x:c r="K164" s="92" t="s">
        <x:v>32</x:v>
      </x:c>
      <x:c r="L164" s="96">
        <x:v>120000</x:v>
      </x:c>
      <x:c r="M164" s="96"/>
      <x:c r="N164" s="92" t="s">
        <x:v>41</x:v>
      </x:c>
      <x:c r="O164" s="92" t="s">
        <x:v>547</x:v>
      </x:c>
      <x:c r="P164" s="97"/>
      <x:c r="Q164" s="98"/>
    </x:row>
    <x:row r="165" ht="102">
      <x:c r="A165" s="11">
        <x:v>2023</x:v>
      </x:c>
      <x:c r="B165" s="43" t="s">
        <x:v>51</x:v>
      </x:c>
      <x:c r="C165" s="11" t="e">
        <x:f>IFERROR(VLOOKUP(B165,Regiões!A:B,2,0),"")</x:f>
        <x:v>#NAME?</x:v>
      </x:c>
      <x:c r="D165" s="11" t="s">
        <x:v>548</x:v>
      </x:c>
      <x:c r="E165" s="67" t="s">
        <x:v>93</x:v>
      </x:c>
      <x:c r="F165" s="68"/>
      <x:c r="G165" s="66" t="s">
        <x:v>549</x:v>
      </x:c>
      <x:c r="H165" s="47"/>
      <x:c r="I165" s="11" t="s">
        <x:v>63</x:v>
      </x:c>
      <x:c r="J165" s="11" t="str">
        <x:f>LEFT(I165,FIND(" (",I165) - 1)</x:f>
        <x:v>Saúde</x:v>
      </x:c>
      <x:c r="K165" s="11" t="s">
        <x:v>20</x:v>
      </x:c>
      <x:c r="L165" s="108">
        <x:v>120000</x:v>
      </x:c>
      <x:c r="M165" s="108"/>
      <x:c r="N165" s="11" t="s">
        <x:v>21</x:v>
      </x:c>
      <x:c r="O165" s="11" t="s">
        <x:v>550</x:v>
      </x:c>
      <x:c r="P165" s="49" t="s">
        <x:v>551</x:v>
      </x:c>
      <x:c r="Q165" s="50"/>
    </x:row>
    <x:row r="166" ht="63.75">
      <x:c r="A166" s="9">
        <x:v>2025</x:v>
      </x:c>
      <x:c r="B166" s="14" t="s">
        <x:v>274</x:v>
      </x:c>
      <x:c r="C166" s="11" t="e">
        <x:f>IFERROR(VLOOKUP(B166,Regiões!A:B,2,0),"")</x:f>
        <x:v>#NAME?</x:v>
      </x:c>
      <x:c r="D166" s="11" t="s">
        <x:v>552</x:v>
      </x:c>
      <x:c r="E166" s="12" t="s">
        <x:v>553</x:v>
      </x:c>
      <x:c r="F166" s="13">
        <x:v>90397167000120</x:v>
      </x:c>
      <x:c r="G166" s="10" t="s">
        <x:v>553</x:v>
      </x:c>
      <x:c r="H166" s="59">
        <x:v>41160004</x:v>
      </x:c>
      <x:c r="I166" s="9" t="s">
        <x:v>502</x:v>
      </x:c>
      <x:c r="J166" s="9" t="s">
        <x:v>40</x:v>
      </x:c>
      <x:c r="K166" s="16" t="s">
        <x:v>32</x:v>
      </x:c>
      <x:c r="L166" s="90">
        <x:v>120000</x:v>
      </x:c>
      <x:c r="M166" s="90"/>
      <x:c r="N166" s="11" t="s">
        <x:v>21</x:v>
      </x:c>
      <x:c r="O166" s="16"/>
      <x:c r="P166" s="44" t="s">
        <x:v>554</x:v>
      </x:c>
      <x:c r="Q166" s="19"/>
    </x:row>
    <x:row r="167" ht="38.25">
      <x:c r="A167" s="22">
        <x:v>2020</x:v>
      </x:c>
      <x:c r="B167" s="22" t="s">
        <x:v>51</x:v>
      </x:c>
      <x:c r="C167" s="11" t="e">
        <x:f>IFERROR(VLOOKUP(B167,Regiões!A:B,2,0),"")</x:f>
        <x:v>#NAME?</x:v>
      </x:c>
      <x:c r="D167" s="22" t="s">
        <x:v>52</x:v>
      </x:c>
      <x:c r="E167" s="23" t="s">
        <x:v>53</x:v>
      </x:c>
      <x:c r="F167" s="24"/>
      <x:c r="G167" s="22" t="s">
        <x:v>53</x:v>
      </x:c>
      <x:c r="H167" s="34">
        <x:v>41160010</x:v>
      </x:c>
      <x:c r="I167" s="22" t="s">
        <x:v>31</x:v>
      </x:c>
      <x:c r="J167" s="22" t="s">
        <x:v>25</x:v>
      </x:c>
      <x:c r="K167" s="22" t="s">
        <x:v>32</x:v>
      </x:c>
      <x:c r="L167" s="26">
        <x:v>122560.34</x:v>
      </x:c>
      <x:c r="M167" s="26"/>
      <x:c r="N167" s="22" t="s">
        <x:v>33</x:v>
      </x:c>
      <x:c r="O167" s="22" t="s">
        <x:v>54</x:v>
      </x:c>
      <x:c r="P167" s="74" t="s">
        <x:v>555</x:v>
      </x:c>
      <x:c r="Q167" s="29"/>
    </x:row>
    <x:row r="168" ht="38.25">
      <x:c r="A168" s="11">
        <x:v>2023</x:v>
      </x:c>
      <x:c r="B168" s="66" t="s">
        <x:v>556</x:v>
      </x:c>
      <x:c r="C168" s="11" t="e">
        <x:f>IFERROR(VLOOKUP(B168,Regiões!A:B,2,0),"")</x:f>
        <x:v>#NAME?</x:v>
      </x:c>
      <x:c r="D168" s="11" t="s">
        <x:v>557</x:v>
      </x:c>
      <x:c r="E168" s="67" t="s">
        <x:v>42</x:v>
      </x:c>
      <x:c r="F168" s="68"/>
      <x:c r="G168" s="66" t="s">
        <x:v>558</x:v>
      </x:c>
      <x:c r="H168" s="69"/>
      <x:c r="I168" s="11" t="s">
        <x:v>444</x:v>
      </x:c>
      <x:c r="J168" s="11" t="str">
        <x:f>LEFT(I168,FIND(" (",I168) - 1)</x:f>
        <x:v>Saúde</x:v>
      </x:c>
      <x:c r="K168" s="11" t="s">
        <x:v>32</x:v>
      </x:c>
      <x:c r="L168" s="70">
        <x:v>130000</x:v>
      </x:c>
      <x:c r="M168" s="70"/>
      <x:c r="N168" s="11" t="s">
        <x:v>21</x:v>
      </x:c>
      <x:c r="O168" s="11" t="s">
        <x:v>49</x:v>
      </x:c>
      <x:c r="P168" s="67" t="s">
        <x:v>559</x:v>
      </x:c>
      <x:c r="Q168" s="66"/>
    </x:row>
    <x:row r="169" ht="63.75">
      <x:c r="A169" s="9">
        <x:v>2025</x:v>
      </x:c>
      <x:c r="B169" s="14" t="s">
        <x:v>329</x:v>
      </x:c>
      <x:c r="C169" s="11" t="e">
        <x:f>IFERROR(VLOOKUP(B169,Regiões!A:B,2,0),"")</x:f>
        <x:v>#NAME?</x:v>
      </x:c>
      <x:c r="D169" s="11" t="s">
        <x:v>560</x:v>
      </x:c>
      <x:c r="E169" s="12" t="s">
        <x:v>561</x:v>
      </x:c>
      <x:c r="F169" s="13">
        <x:v>4994418000970</x:v>
      </x:c>
      <x:c r="G169" s="10" t="s">
        <x:v>561</x:v>
      </x:c>
      <x:c r="H169" s="59">
        <x:v>41160004</x:v>
      </x:c>
      <x:c r="I169" s="9" t="s">
        <x:v>502</x:v>
      </x:c>
      <x:c r="J169" s="9" t="s">
        <x:v>40</x:v>
      </x:c>
      <x:c r="K169" s="16" t="s">
        <x:v>32</x:v>
      </x:c>
      <x:c r="L169" s="90">
        <x:v>133252</x:v>
      </x:c>
      <x:c r="M169" s="90"/>
      <x:c r="N169" s="11" t="s">
        <x:v>21</x:v>
      </x:c>
      <x:c r="O169" s="16"/>
      <x:c r="P169" s="44" t="s">
        <x:v>562</x:v>
      </x:c>
      <x:c r="Q169" s="19"/>
    </x:row>
    <x:row r="170" ht="51">
      <x:c r="A170" s="9">
        <x:v>2025</x:v>
      </x:c>
      <x:c r="B170" s="14" t="s">
        <x:v>329</x:v>
      </x:c>
      <x:c r="C170" s="11" t="e">
        <x:f>IFERROR(VLOOKUP(B170,Regiões!A:B,2,0),"")</x:f>
        <x:v>#NAME?</x:v>
      </x:c>
      <x:c r="D170" s="11" t="s">
        <x:v>563</x:v>
      </x:c>
      <x:c r="E170" s="12" t="s">
        <x:v>564</x:v>
      </x:c>
      <x:c r="F170" s="13">
        <x:v>11310266000157</x:v>
      </x:c>
      <x:c r="G170" s="14" t="s">
        <x:v>18</x:v>
      </x:c>
      <x:c r="H170" s="59">
        <x:v>41160002</x:v>
      </x:c>
      <x:c r="I170" s="9" t="s">
        <x:v>468</x:v>
      </x:c>
      <x:c r="J170" s="9" t="s">
        <x:v>40</x:v>
      </x:c>
      <x:c r="K170" s="16" t="s">
        <x:v>20</x:v>
      </x:c>
      <x:c r="L170" s="60">
        <x:v>133252</x:v>
      </x:c>
      <x:c r="M170" s="60"/>
      <x:c r="N170" s="11" t="s">
        <x:v>21</x:v>
      </x:c>
      <x:c r="O170" s="16"/>
      <x:c r="P170" s="49" t="s">
        <x:v>475</x:v>
      </x:c>
      <x:c r="Q170" s="19"/>
    </x:row>
    <x:row r="171" ht="318.75">
      <x:c r="A171" s="22">
        <x:v>2020</x:v>
      </x:c>
      <x:c r="B171" s="22" t="s">
        <x:v>565</x:v>
      </x:c>
      <x:c r="C171" s="11" t="e">
        <x:f>IFERROR(VLOOKUP(B171,Regiões!A:B,2,0),"")</x:f>
        <x:v>#NAME?</x:v>
      </x:c>
      <x:c r="D171" s="22" t="s">
        <x:v>566</x:v>
      </x:c>
      <x:c r="E171" s="23" t="s">
        <x:v>567</x:v>
      </x:c>
      <x:c r="F171" s="24"/>
      <x:c r="G171" s="22" t="s">
        <x:v>568</x:v>
      </x:c>
      <x:c r="H171" s="34">
        <x:v>41160012</x:v>
      </x:c>
      <x:c r="I171" s="22" t="s">
        <x:v>31</x:v>
      </x:c>
      <x:c r="J171" s="22" t="s">
        <x:v>25</x:v>
      </x:c>
      <x:c r="K171" s="22" t="s">
        <x:v>32</x:v>
      </x:c>
      <x:c r="L171" s="26">
        <x:v>134550</x:v>
      </x:c>
      <x:c r="M171" s="26" t="s">
        <x:v>569</x:v>
      </x:c>
      <x:c r="N171" s="22" t="s">
        <x:v>33</x:v>
      </x:c>
      <x:c r="O171" s="22" t="s">
        <x:v>570</x:v>
      </x:c>
      <x:c r="P171" s="23" t="s">
        <x:v>571</x:v>
      </x:c>
      <x:c r="Q171" s="22"/>
    </x:row>
    <x:row r="172" ht="38.25">
      <x:c r="A172" s="22">
        <x:v>2022</x:v>
      </x:c>
      <x:c r="B172" s="22" t="s">
        <x:v>297</x:v>
      </x:c>
      <x:c r="C172" s="11" t="e">
        <x:f>IFERROR(VLOOKUP(B172,Regiões!A:B,2,0),"")</x:f>
        <x:v>#NAME?</x:v>
      </x:c>
      <x:c r="D172" s="22" t="s">
        <x:v>572</x:v>
      </x:c>
      <x:c r="E172" s="23"/>
      <x:c r="F172" s="83"/>
      <x:c r="G172" s="84" t="s">
        <x:v>573</x:v>
      </x:c>
      <x:c r="H172" s="25">
        <x:v>41160003</x:v>
      </x:c>
      <x:c r="I172" s="22" t="s">
        <x:v>415</x:v>
      </x:c>
      <x:c r="J172" s="22" t="s">
        <x:v>40</x:v>
      </x:c>
      <x:c r="K172" s="22" t="s">
        <x:v>32</x:v>
      </x:c>
      <x:c r="L172" s="27">
        <x:v>135000</x:v>
      </x:c>
      <x:c r="M172" s="27"/>
      <x:c r="N172" s="22" t="s">
        <x:v>41</x:v>
      </x:c>
      <x:c r="O172" s="22" t="s">
        <x:v>26</x:v>
      </x:c>
      <x:c r="P172" s="28"/>
      <x:c r="Q172" s="29"/>
    </x:row>
    <x:row r="173" ht="51">
      <x:c r="A173" s="100">
        <x:v>2021</x:v>
      </x:c>
      <x:c r="B173" s="101" t="s">
        <x:v>574</x:v>
      </x:c>
      <x:c r="C173" s="11" t="e">
        <x:f>IFERROR(VLOOKUP(B173,Regiões!A:B,2,0),"")</x:f>
        <x:v>#NAME?</x:v>
      </x:c>
      <x:c r="D173" s="22" t="s">
        <x:v>575</x:v>
      </x:c>
      <x:c r="E173" s="102" t="s">
        <x:v>93</x:v>
      </x:c>
      <x:c r="F173" s="103"/>
      <x:c r="G173" s="101" t="s">
        <x:v>576</x:v>
      </x:c>
      <x:c r="H173" s="104">
        <x:v>41160003</x:v>
      </x:c>
      <x:c r="I173" s="100" t="s">
        <x:v>95</x:v>
      </x:c>
      <x:c r="J173" s="100" t="s">
        <x:v>40</x:v>
      </x:c>
      <x:c r="K173" s="100" t="s">
        <x:v>20</x:v>
      </x:c>
      <x:c r="L173" s="105">
        <x:v>136540</x:v>
      </x:c>
      <x:c r="M173" s="105"/>
      <x:c r="N173" s="100" t="s">
        <x:v>301</x:v>
      </x:c>
      <x:c r="O173" s="100" t="s">
        <x:v>498</x:v>
      </x:c>
      <x:c r="P173" s="106" t="s">
        <x:v>433</x:v>
      </x:c>
      <x:c r="Q173" s="101"/>
    </x:row>
    <x:row r="174" ht="63.75">
      <x:c r="A174" s="100">
        <x:v>2021</x:v>
      </x:c>
      <x:c r="B174" s="101" t="s">
        <x:v>577</x:v>
      </x:c>
      <x:c r="C174" s="11" t="e">
        <x:f>IFERROR(VLOOKUP(B174,Regiões!A:B,2,0),"")</x:f>
        <x:v>#NAME?</x:v>
      </x:c>
      <x:c r="D174" s="22" t="s">
        <x:v>578</x:v>
      </x:c>
      <x:c r="E174" s="102" t="s">
        <x:v>93</x:v>
      </x:c>
      <x:c r="F174" s="103"/>
      <x:c r="G174" s="101" t="s">
        <x:v>579</x:v>
      </x:c>
      <x:c r="H174" s="104">
        <x:v>41160003</x:v>
      </x:c>
      <x:c r="I174" s="100" t="s">
        <x:v>95</x:v>
      </x:c>
      <x:c r="J174" s="100" t="s">
        <x:v>40</x:v>
      </x:c>
      <x:c r="K174" s="100" t="s">
        <x:v>20</x:v>
      </x:c>
      <x:c r="L174" s="105">
        <x:v>136540</x:v>
      </x:c>
      <x:c r="M174" s="105"/>
      <x:c r="N174" s="100" t="s">
        <x:v>301</x:v>
      </x:c>
      <x:c r="O174" s="100" t="s">
        <x:v>498</x:v>
      </x:c>
      <x:c r="P174" s="106" t="s">
        <x:v>433</x:v>
      </x:c>
      <x:c r="Q174" s="101"/>
    </x:row>
    <x:row r="175" ht="38.25">
      <x:c r="A175" s="22">
        <x:v>2020</x:v>
      </x:c>
      <x:c r="B175" s="22" t="s">
        <x:v>580</x:v>
      </x:c>
      <x:c r="C175" s="11" t="e">
        <x:f>IFERROR(VLOOKUP(B175,Regiões!A:B,2,0),"")</x:f>
        <x:v>#NAME?</x:v>
      </x:c>
      <x:c r="D175" s="22" t="s">
        <x:v>581</x:v>
      </x:c>
      <x:c r="E175" s="23" t="s">
        <x:v>305</x:v>
      </x:c>
      <x:c r="F175" s="24"/>
      <x:c r="G175" s="22" t="s">
        <x:v>582</x:v>
      </x:c>
      <x:c r="H175" s="73">
        <x:v>71220004</x:v>
      </x:c>
      <x:c r="I175" s="22" t="s">
        <x:v>31</x:v>
      </x:c>
      <x:c r="J175" s="22" t="s">
        <x:v>25</x:v>
      </x:c>
      <x:c r="K175" s="22" t="s">
        <x:v>32</x:v>
      </x:c>
      <x:c r="L175" s="26">
        <x:v>137569</x:v>
      </x:c>
      <x:c r="M175" s="26"/>
      <x:c r="N175" s="22" t="s">
        <x:v>64</x:v>
      </x:c>
      <x:c r="O175" s="22" t="s">
        <x:v>26</x:v>
      </x:c>
      <x:c r="P175" s="23" t="s">
        <x:v>583</x:v>
      </x:c>
      <x:c r="Q175" s="29" t="s">
        <x:v>584</x:v>
      </x:c>
    </x:row>
    <x:row r="176" ht="51">
      <x:c r="A176" s="9">
        <x:v>2024</x:v>
      </x:c>
      <x:c r="B176" s="10" t="s">
        <x:v>83</x:v>
      </x:c>
      <x:c r="C176" s="11" t="e">
        <x:f>IFERROR(VLOOKUP(B176,Regiões!A:B,2,0),"")</x:f>
        <x:v>#NAME?</x:v>
      </x:c>
      <x:c r="D176" s="11" t="s">
        <x:v>585</x:v>
      </x:c>
      <x:c r="E176" s="12" t="str">
        <x:f>G176&amp;" de "&amp;B176</x:f>
        <x:v>Prefeitura Municipal de Santa Maria</x:v>
      </x:c>
      <x:c r="F176" s="13"/>
      <x:c r="G176" s="14" t="s">
        <x:v>18</x:v>
      </x:c>
      <x:c r="H176" s="15">
        <x:v>41160002</x:v>
      </x:c>
      <x:c r="I176" s="9" t="s">
        <x:v>224</x:v>
      </x:c>
      <x:c r="J176" s="9" t="s">
        <x:v>40</x:v>
      </x:c>
      <x:c r="K176" s="16" t="s">
        <x:v>20</x:v>
      </x:c>
      <x:c r="L176" s="17">
        <x:v>139187</x:v>
      </x:c>
      <x:c r="M176" s="17"/>
      <x:c r="N176" s="11" t="s">
        <x:v>21</x:v>
      </x:c>
      <x:c r="O176" s="16"/>
      <x:c r="P176" s="18"/>
      <x:c r="Q176" s="19"/>
    </x:row>
    <x:row r="177" ht="51">
      <x:c r="A177" s="51">
        <x:v>2019</x:v>
      </x:c>
      <x:c r="B177" s="51" t="s">
        <x:v>586</x:v>
      </x:c>
      <x:c r="C177" s="11" t="e">
        <x:f>IFERROR(VLOOKUP(B177,Regiões!A:B,2,0),"")</x:f>
        <x:v>#NAME?</x:v>
      </x:c>
      <x:c r="D177" s="22" t="s">
        <x:v>587</x:v>
      </x:c>
      <x:c r="E177" s="52" t="s">
        <x:v>305</x:v>
      </x:c>
      <x:c r="F177" s="53"/>
      <x:c r="G177" s="51" t="s">
        <x:v>588</x:v>
      </x:c>
      <x:c r="H177" s="114"/>
      <x:c r="I177" s="51" t="s">
        <x:v>31</x:v>
      </x:c>
      <x:c r="J177" s="51" t="s">
        <x:v>25</x:v>
      </x:c>
      <x:c r="K177" s="51" t="s">
        <x:v>32</x:v>
      </x:c>
      <x:c r="L177" s="55">
        <x:v>140000</x:v>
      </x:c>
      <x:c r="M177" s="55"/>
      <x:c r="N177" s="51" t="s">
        <x:v>130</x:v>
      </x:c>
      <x:c r="O177" s="51" t="s">
        <x:v>26</x:v>
      </x:c>
      <x:c r="P177" s="52" t="s">
        <x:v>589</x:v>
      </x:c>
      <x:c r="Q177" s="57" t="s">
        <x:v>590</x:v>
      </x:c>
    </x:row>
    <x:row r="178" ht="51">
      <x:c r="A178" s="51">
        <x:v>2019</x:v>
      </x:c>
      <x:c r="B178" s="51" t="s">
        <x:v>200</x:v>
      </x:c>
      <x:c r="C178" s="11" t="e">
        <x:f>IFERROR(VLOOKUP(B178,Regiões!A:B,2,0),"")</x:f>
        <x:v>#NAME?</x:v>
      </x:c>
      <x:c r="D178" s="22" t="s">
        <x:v>591</x:v>
      </x:c>
      <x:c r="E178" s="52" t="s">
        <x:v>305</x:v>
      </x:c>
      <x:c r="F178" s="53"/>
      <x:c r="G178" s="51" t="s">
        <x:v>592</x:v>
      </x:c>
      <x:c r="H178" s="115"/>
      <x:c r="I178" s="51" t="s">
        <x:v>31</x:v>
      </x:c>
      <x:c r="J178" s="51" t="s">
        <x:v>25</x:v>
      </x:c>
      <x:c r="K178" s="51" t="s">
        <x:v>32</x:v>
      </x:c>
      <x:c r="L178" s="55">
        <x:v>140000</x:v>
      </x:c>
      <x:c r="M178" s="55"/>
      <x:c r="N178" s="51" t="s">
        <x:v>130</x:v>
      </x:c>
      <x:c r="O178" s="51" t="s">
        <x:v>26</x:v>
      </x:c>
      <x:c r="P178" s="52" t="s">
        <x:v>589</x:v>
      </x:c>
      <x:c r="Q178" s="57" t="s">
        <x:v>590</x:v>
      </x:c>
    </x:row>
    <x:row r="179" ht="51">
      <x:c r="A179" s="51">
        <x:v>2019</x:v>
      </x:c>
      <x:c r="B179" s="51" t="s">
        <x:v>593</x:v>
      </x:c>
      <x:c r="C179" s="11" t="e">
        <x:f>IFERROR(VLOOKUP(B179,Regiões!A:B,2,0),"")</x:f>
        <x:v>#NAME?</x:v>
      </x:c>
      <x:c r="D179" s="22" t="s">
        <x:v>594</x:v>
      </x:c>
      <x:c r="E179" s="52" t="s">
        <x:v>29</x:v>
      </x:c>
      <x:c r="F179" s="53"/>
      <x:c r="G179" s="51" t="s">
        <x:v>595</x:v>
      </x:c>
      <x:c r="H179" s="58" t="s">
        <x:v>596</x:v>
      </x:c>
      <x:c r="I179" s="51" t="s">
        <x:v>31</x:v>
      </x:c>
      <x:c r="J179" s="51" t="s">
        <x:v>25</x:v>
      </x:c>
      <x:c r="K179" s="51" t="s">
        <x:v>32</x:v>
      </x:c>
      <x:c r="L179" s="55">
        <x:v>140000</x:v>
      </x:c>
      <x:c r="M179" s="55"/>
      <x:c r="N179" s="51" t="s">
        <x:v>130</x:v>
      </x:c>
      <x:c r="O179" s="51" t="s">
        <x:v>26</x:v>
      </x:c>
      <x:c r="P179" s="52" t="s">
        <x:v>597</x:v>
      </x:c>
      <x:c r="Q179" s="57" t="s">
        <x:v>598</x:v>
      </x:c>
    </x:row>
    <x:row r="180" ht="38.25">
      <x:c r="A180" s="51">
        <x:v>2019</x:v>
      </x:c>
      <x:c r="B180" s="51" t="s">
        <x:v>599</x:v>
      </x:c>
      <x:c r="C180" s="11" t="e">
        <x:f>IFERROR(VLOOKUP(B180,Regiões!A:B,2,0),"")</x:f>
        <x:v>#NAME?</x:v>
      </x:c>
      <x:c r="D180" s="22" t="s">
        <x:v>600</x:v>
      </x:c>
      <x:c r="E180" s="52" t="s">
        <x:v>305</x:v>
      </x:c>
      <x:c r="F180" s="53"/>
      <x:c r="G180" s="51" t="s">
        <x:v>601</x:v>
      </x:c>
      <x:c r="H180" s="115"/>
      <x:c r="I180" s="51" t="s">
        <x:v>31</x:v>
      </x:c>
      <x:c r="J180" s="51" t="s">
        <x:v>25</x:v>
      </x:c>
      <x:c r="K180" s="51" t="s">
        <x:v>32</x:v>
      </x:c>
      <x:c r="L180" s="55">
        <x:v>140000</x:v>
      </x:c>
      <x:c r="M180" s="55"/>
      <x:c r="N180" s="51" t="s">
        <x:v>130</x:v>
      </x:c>
      <x:c r="O180" s="51" t="s">
        <x:v>26</x:v>
      </x:c>
      <x:c r="P180" s="52" t="s">
        <x:v>589</x:v>
      </x:c>
      <x:c r="Q180" s="57" t="s">
        <x:v>590</x:v>
      </x:c>
    </x:row>
    <x:row r="181" ht="51">
      <x:c r="A181" s="22">
        <x:v>2021</x:v>
      </x:c>
      <x:c r="B181" s="51" t="s">
        <x:v>342</x:v>
      </x:c>
      <x:c r="C181" s="11" t="e">
        <x:f>IFERROR(VLOOKUP(B181,Regiões!A:B,2,0),"")</x:f>
        <x:v>#NAME?</x:v>
      </x:c>
      <x:c r="D181" s="22" t="s">
        <x:v>602</x:v>
      </x:c>
      <x:c r="E181" s="23" t="s">
        <x:v>93</x:v>
      </x:c>
      <x:c r="F181" s="31"/>
      <x:c r="G181" s="30" t="s">
        <x:v>603</x:v>
      </x:c>
      <x:c r="H181" s="25">
        <x:v>41160002</x:v>
      </x:c>
      <x:c r="I181" s="22" t="s">
        <x:v>415</x:v>
      </x:c>
      <x:c r="J181" s="22" t="s">
        <x:v>40</x:v>
      </x:c>
      <x:c r="K181" s="22" t="s">
        <x:v>32</x:v>
      </x:c>
      <x:c r="L181" s="26">
        <x:v>140000</x:v>
      </x:c>
      <x:c r="M181" s="26"/>
      <x:c r="N181" s="22" t="s">
        <x:v>301</x:v>
      </x:c>
      <x:c r="O181" s="22" t="s">
        <x:v>26</x:v>
      </x:c>
      <x:c r="P181" s="35" t="s">
        <x:v>604</x:v>
      </x:c>
      <x:c r="Q181" s="29"/>
    </x:row>
    <x:row r="182" ht="38.25">
      <x:c r="A182" s="36">
        <x:v>2021</x:v>
      </x:c>
      <x:c r="B182" s="79" t="s">
        <x:v>605</x:v>
      </x:c>
      <x:c r="C182" s="11" t="e">
        <x:f>IFERROR(VLOOKUP(B182,Regiões!A:B,2,0),"")</x:f>
        <x:v>#NAME?</x:v>
      </x:c>
      <x:c r="D182" s="22" t="s">
        <x:v>606</x:v>
      </x:c>
      <x:c r="E182" s="37" t="s">
        <x:v>93</x:v>
      </x:c>
      <x:c r="F182" s="80"/>
      <x:c r="G182" s="79" t="s">
        <x:v>607</x:v>
      </x:c>
      <x:c r="H182" s="81">
        <x:v>41160002</x:v>
      </x:c>
      <x:c r="I182" s="36" t="s">
        <x:v>415</x:v>
      </x:c>
      <x:c r="J182" s="36" t="s">
        <x:v>40</x:v>
      </x:c>
      <x:c r="K182" s="36" t="s">
        <x:v>32</x:v>
      </x:c>
      <x:c r="L182" s="40">
        <x:v>140000</x:v>
      </x:c>
      <x:c r="M182" s="40"/>
      <x:c r="N182" s="36" t="s">
        <x:v>301</x:v>
      </x:c>
      <x:c r="O182" s="36" t="s">
        <x:v>26</x:v>
      </x:c>
      <x:c r="P182" s="107" t="s">
        <x:v>608</x:v>
      </x:c>
      <x:c r="Q182" s="42"/>
    </x:row>
    <x:row r="183" ht="38.25">
      <x:c r="A183" s="11">
        <x:v>2023</x:v>
      </x:c>
      <x:c r="B183" s="66" t="s">
        <x:v>368</x:v>
      </x:c>
      <x:c r="C183" s="11" t="e">
        <x:f>IFERROR(VLOOKUP(B183,Regiões!A:B,2,0),"")</x:f>
        <x:v>#NAME?</x:v>
      </x:c>
      <x:c r="D183" s="11" t="s">
        <x:v>369</x:v>
      </x:c>
      <x:c r="E183" s="67" t="s">
        <x:v>42</x:v>
      </x:c>
      <x:c r="F183" s="68"/>
      <x:c r="G183" s="66" t="s">
        <x:v>609</x:v>
      </x:c>
      <x:c r="H183" s="69"/>
      <x:c r="I183" s="11" t="s">
        <x:v>239</x:v>
      </x:c>
      <x:c r="J183" s="11" t="str">
        <x:f t="shared" ref="J183:J186" si="3">LEFT(I183,FIND(" (",I183) - 1)</x:f>
        <x:v>Segurança Pública</x:v>
      </x:c>
      <x:c r="K183" s="11" t="s">
        <x:v>32</x:v>
      </x:c>
      <x:c r="L183" s="70">
        <x:v>140000</x:v>
      </x:c>
      <x:c r="M183" s="70"/>
      <x:c r="N183" s="11" t="s">
        <x:v>21</x:v>
      </x:c>
      <x:c r="O183" s="11" t="s">
        <x:v>26</x:v>
      </x:c>
      <x:c r="P183" s="67" t="s">
        <x:v>610</x:v>
      </x:c>
      <x:c r="Q183" s="66"/>
    </x:row>
    <x:row r="184" ht="38.25">
      <x:c r="A184" s="11">
        <x:v>2023</x:v>
      </x:c>
      <x:c r="B184" s="43" t="s">
        <x:v>611</x:v>
      </x:c>
      <x:c r="C184" s="11" t="e">
        <x:f>IFERROR(VLOOKUP(B184,Regiões!A:B,2,0),"")</x:f>
        <x:v>#NAME?</x:v>
      </x:c>
      <x:c r="D184" s="11" t="s">
        <x:v>612</x:v>
      </x:c>
      <x:c r="E184" s="44" t="s">
        <x:v>61</x:v>
      </x:c>
      <x:c r="F184" s="45"/>
      <x:c r="G184" s="46" t="s">
        <x:v>613</x:v>
      </x:c>
      <x:c r="H184" s="47"/>
      <x:c r="I184" s="11" t="s">
        <x:v>63</x:v>
      </x:c>
      <x:c r="J184" s="11" t="str">
        <x:f t="shared" si="3"/>
        <x:v>Saúde</x:v>
      </x:c>
      <x:c r="K184" s="11" t="s">
        <x:v>20</x:v>
      </x:c>
      <x:c r="L184" s="48">
        <x:v>140000</x:v>
      </x:c>
      <x:c r="M184" s="48"/>
      <x:c r="N184" s="11" t="s">
        <x:v>64</x:v>
      </x:c>
      <x:c r="O184" s="11" t="s">
        <x:v>26</x:v>
      </x:c>
      <x:c r="P184" s="49" t="s">
        <x:v>614</x:v>
      </x:c>
      <x:c r="Q184" s="50"/>
    </x:row>
    <x:row r="185" ht="51">
      <x:c r="A185" s="11">
        <x:v>2023</x:v>
      </x:c>
      <x:c r="B185" s="43" t="s">
        <x:v>615</x:v>
      </x:c>
      <x:c r="C185" s="11" t="e">
        <x:f>IFERROR(VLOOKUP(B185,Regiões!A:B,2,0),"")</x:f>
        <x:v>#NAME?</x:v>
      </x:c>
      <x:c r="D185" s="11" t="s">
        <x:v>616</x:v>
      </x:c>
      <x:c r="E185" s="44" t="s">
        <x:v>61</x:v>
      </x:c>
      <x:c r="F185" s="45"/>
      <x:c r="G185" s="46" t="s">
        <x:v>617</x:v>
      </x:c>
      <x:c r="H185" s="47"/>
      <x:c r="I185" s="11" t="s">
        <x:v>63</x:v>
      </x:c>
      <x:c r="J185" s="11" t="str">
        <x:f t="shared" si="3"/>
        <x:v>Saúde</x:v>
      </x:c>
      <x:c r="K185" s="11" t="s">
        <x:v>20</x:v>
      </x:c>
      <x:c r="L185" s="48">
        <x:v>140000</x:v>
      </x:c>
      <x:c r="M185" s="48"/>
      <x:c r="N185" s="11" t="s">
        <x:v>64</x:v>
      </x:c>
      <x:c r="O185" s="11" t="s">
        <x:v>26</x:v>
      </x:c>
      <x:c r="P185" s="49" t="s">
        <x:v>618</x:v>
      </x:c>
      <x:c r="Q185" s="50"/>
    </x:row>
    <x:row r="186" ht="51">
      <x:c r="A186" s="11">
        <x:v>2023</x:v>
      </x:c>
      <x:c r="B186" s="43" t="s">
        <x:v>619</x:v>
      </x:c>
      <x:c r="C186" s="11" t="e">
        <x:f>IFERROR(VLOOKUP(B186,Regiões!A:B,2,0),"")</x:f>
        <x:v>#NAME?</x:v>
      </x:c>
      <x:c r="D186" s="11" t="s">
        <x:v>620</x:v>
      </x:c>
      <x:c r="E186" s="44" t="s">
        <x:v>93</x:v>
      </x:c>
      <x:c r="F186" s="99"/>
      <x:c r="G186" s="43" t="s">
        <x:v>621</x:v>
      </x:c>
      <x:c r="H186" s="47"/>
      <x:c r="I186" s="11" t="s">
        <x:v>63</x:v>
      </x:c>
      <x:c r="J186" s="11" t="str">
        <x:f t="shared" si="3"/>
        <x:v>Saúde</x:v>
      </x:c>
      <x:c r="K186" s="11" t="s">
        <x:v>20</x:v>
      </x:c>
      <x:c r="L186" s="48">
        <x:v>140300</x:v>
      </x:c>
      <x:c r="M186" s="48"/>
      <x:c r="N186" s="11" t="s">
        <x:v>21</x:v>
      </x:c>
      <x:c r="O186" s="11" t="s">
        <x:v>26</x:v>
      </x:c>
      <x:c r="P186" s="49" t="s">
        <x:v>494</x:v>
      </x:c>
      <x:c r="Q186" s="50" t="s">
        <x:v>494</x:v>
      </x:c>
    </x:row>
    <x:row r="187" ht="63.75">
      <x:c r="A187" s="36">
        <x:v>2021</x:v>
      </x:c>
      <x:c r="B187" s="79" t="s">
        <x:v>622</x:v>
      </x:c>
      <x:c r="C187" s="11" t="e">
        <x:f>IFERROR(VLOOKUP(B187,Regiões!A:B,2,0),"")</x:f>
        <x:v>#NAME?</x:v>
      </x:c>
      <x:c r="D187" s="22" t="s">
        <x:v>623</x:v>
      </x:c>
      <x:c r="E187" s="37" t="s">
        <x:v>93</x:v>
      </x:c>
      <x:c r="F187" s="110"/>
      <x:c r="G187" s="42" t="s">
        <x:v>624</x:v>
      </x:c>
      <x:c r="H187" s="81">
        <x:v>41160002</x:v>
      </x:c>
      <x:c r="I187" s="36" t="s">
        <x:v>415</x:v>
      </x:c>
      <x:c r="J187" s="36" t="s">
        <x:v>40</x:v>
      </x:c>
      <x:c r="K187" s="36" t="s">
        <x:v>32</x:v>
      </x:c>
      <x:c r="L187" s="40">
        <x:v>141478.98000000001</x:v>
      </x:c>
      <x:c r="M187" s="40"/>
      <x:c r="N187" s="36" t="s">
        <x:v>301</x:v>
      </x:c>
      <x:c r="O187" s="36" t="s">
        <x:v>625</x:v>
      </x:c>
      <x:c r="P187" s="107" t="s">
        <x:v>626</x:v>
      </x:c>
      <x:c r="Q187" s="42"/>
    </x:row>
    <x:row r="188" ht="51">
      <x:c r="A188" s="9">
        <x:v>2025</x:v>
      </x:c>
      <x:c r="B188" s="14" t="s">
        <x:v>332</x:v>
      </x:c>
      <x:c r="C188" s="11" t="e">
        <x:f>IFERROR(VLOOKUP(B188,Regiões!A:B,2,0),"")</x:f>
        <x:v>#NAME?</x:v>
      </x:c>
      <x:c r="D188" s="11" t="s">
        <x:v>627</x:v>
      </x:c>
      <x:c r="E188" s="12" t="s">
        <x:v>628</x:v>
      </x:c>
      <x:c r="F188" s="13">
        <x:v>88373121000120</x:v>
      </x:c>
      <x:c r="G188" s="10" t="s">
        <x:v>628</x:v>
      </x:c>
      <x:c r="H188" s="59">
        <x:v>41160004</x:v>
      </x:c>
      <x:c r="I188" s="9" t="s">
        <x:v>502</x:v>
      </x:c>
      <x:c r="J188" s="9" t="s">
        <x:v>40</x:v>
      </x:c>
      <x:c r="K188" s="16" t="s">
        <x:v>32</x:v>
      </x:c>
      <x:c r="L188" s="90">
        <x:v>141800</x:v>
      </x:c>
      <x:c r="M188" s="90"/>
      <x:c r="N188" s="11" t="s">
        <x:v>21</x:v>
      </x:c>
      <x:c r="O188" s="16"/>
      <x:c r="P188" s="44" t="s">
        <x:v>629</x:v>
      </x:c>
      <x:c r="Q188" s="19"/>
    </x:row>
    <x:row r="189" ht="25.5">
      <x:c r="A189" s="22">
        <x:v>2021</x:v>
      </x:c>
      <x:c r="B189" s="30" t="s">
        <x:v>630</x:v>
      </x:c>
      <x:c r="C189" s="11" t="e">
        <x:f>IFERROR(VLOOKUP(B189,Regiões!A:B,2,0),"")</x:f>
        <x:v>#NAME?</x:v>
      </x:c>
      <x:c r="D189" s="22" t="s">
        <x:v>631</x:v>
      </x:c>
      <x:c r="E189" s="23" t="s">
        <x:v>42</x:v>
      </x:c>
      <x:c r="F189" s="31"/>
      <x:c r="G189" s="32" t="s">
        <x:v>18</x:v>
      </x:c>
      <x:c r="H189" s="25">
        <x:v>41160002</x:v>
      </x:c>
      <x:c r="I189" s="22" t="s">
        <x:v>415</x:v>
      </x:c>
      <x:c r="J189" s="22" t="s">
        <x:v>40</x:v>
      </x:c>
      <x:c r="K189" s="22" t="s">
        <x:v>32</x:v>
      </x:c>
      <x:c r="L189" s="116">
        <x:v>146165</x:v>
      </x:c>
      <x:c r="M189" s="116"/>
      <x:c r="N189" s="22" t="s">
        <x:v>301</x:v>
      </x:c>
      <x:c r="O189" s="22" t="s">
        <x:v>26</x:v>
      </x:c>
      <x:c r="P189" s="35" t="s">
        <x:v>632</x:v>
      </x:c>
      <x:c r="Q189" s="29"/>
    </x:row>
    <x:row r="190" ht="76.5">
      <x:c r="A190" s="9">
        <x:v>2024</x:v>
      </x:c>
      <x:c r="B190" s="10" t="s">
        <x:v>45</x:v>
      </x:c>
      <x:c r="C190" s="11" t="e">
        <x:f>IFERROR(VLOOKUP(B190,Regiões!A:B,2,0),"")</x:f>
        <x:v>#NAME?</x:v>
      </x:c>
      <x:c r="D190" s="11" t="s">
        <x:v>633</x:v>
      </x:c>
      <x:c r="E190" s="12" t="str">
        <x:f>G190&amp;" de "&amp;B190</x:f>
        <x:v>Prefeitura Municipal de Novo Hamburgo</x:v>
      </x:c>
      <x:c r="F190" s="13"/>
      <x:c r="G190" s="14" t="s">
        <x:v>18</x:v>
      </x:c>
      <x:c r="H190" s="15">
        <x:v>41160003</x:v>
      </x:c>
      <x:c r="I190" s="9" t="s">
        <x:v>634</x:v>
      </x:c>
      <x:c r="J190" s="9" t="s">
        <x:v>40</x:v>
      </x:c>
      <x:c r="K190" s="16" t="s">
        <x:v>32</x:v>
      </x:c>
      <x:c r="L190" s="17">
        <x:v>149552</x:v>
      </x:c>
      <x:c r="M190" s="17"/>
      <x:c r="N190" s="11" t="s">
        <x:v>21</x:v>
      </x:c>
      <x:c r="O190" s="16"/>
      <x:c r="P190" s="18"/>
      <x:c r="Q190" s="19"/>
    </x:row>
    <x:row r="191" ht="63.75">
      <x:c r="A191" s="22">
        <x:v>2020</x:v>
      </x:c>
      <x:c r="B191" s="22" t="s">
        <x:v>565</x:v>
      </x:c>
      <x:c r="C191" s="11" t="e">
        <x:f>IFERROR(VLOOKUP(B191,Regiões!A:B,2,0),"")</x:f>
        <x:v>#NAME?</x:v>
      </x:c>
      <x:c r="D191" s="22" t="s">
        <x:v>635</x:v>
      </x:c>
      <x:c r="E191" s="23" t="s">
        <x:v>305</x:v>
      </x:c>
      <x:c r="F191" s="117"/>
      <x:c r="G191" s="118" t="s">
        <x:v>636</x:v>
      </x:c>
      <x:c r="H191" s="34">
        <x:v>41160011</x:v>
      </x:c>
      <x:c r="I191" s="22" t="s">
        <x:v>31</x:v>
      </x:c>
      <x:c r="J191" s="22" t="s">
        <x:v>25</x:v>
      </x:c>
      <x:c r="K191" s="22" t="s">
        <x:v>32</x:v>
      </x:c>
      <x:c r="L191" s="26">
        <x:v>149872</x:v>
      </x:c>
      <x:c r="M191" s="26"/>
      <x:c r="N191" s="22" t="s">
        <x:v>33</x:v>
      </x:c>
      <x:c r="O191" s="22" t="s">
        <x:v>539</x:v>
      </x:c>
      <x:c r="P191" s="119" t="s">
        <x:v>637</x:v>
      </x:c>
      <x:c r="Q191" s="29"/>
    </x:row>
    <x:row r="192" ht="76.5">
      <x:c r="A192" s="51">
        <x:v>2020</x:v>
      </x:c>
      <x:c r="B192" s="51" t="s">
        <x:v>638</x:v>
      </x:c>
      <x:c r="C192" s="11" t="e">
        <x:f>IFERROR(VLOOKUP(B192,Regiões!A:B,2,0),"")</x:f>
        <x:v>#NAME?</x:v>
      </x:c>
      <x:c r="D192" s="22" t="s">
        <x:v>639</x:v>
      </x:c>
      <x:c r="E192" s="52" t="s">
        <x:v>38</x:v>
      </x:c>
      <x:c r="F192" s="53"/>
      <x:c r="G192" s="51" t="s">
        <x:v>18</x:v>
      </x:c>
      <x:c r="H192" s="58">
        <x:v>41160009</x:v>
      </x:c>
      <x:c r="I192" s="51" t="s">
        <x:v>95</x:v>
      </x:c>
      <x:c r="J192" s="51" t="s">
        <x:v>40</x:v>
      </x:c>
      <x:c r="K192" s="51" t="s">
        <x:v>20</x:v>
      </x:c>
      <x:c r="L192" s="55">
        <x:v>150000</x:v>
      </x:c>
      <x:c r="M192" s="55"/>
      <x:c r="N192" s="51" t="s">
        <x:v>96</x:v>
      </x:c>
      <x:c r="O192" s="51" t="s">
        <x:v>26</x:v>
      </x:c>
      <x:c r="P192" s="52" t="s">
        <x:v>97</x:v>
      </x:c>
      <x:c r="Q192" s="57" t="s">
        <x:v>640</x:v>
      </x:c>
    </x:row>
    <x:row r="193" ht="25.5">
      <x:c r="A193" s="51">
        <x:v>2020</x:v>
      </x:c>
      <x:c r="B193" s="51" t="s">
        <x:v>641</x:v>
      </x:c>
      <x:c r="C193" s="11" t="e">
        <x:f>IFERROR(VLOOKUP(B193,Regiões!A:B,2,0),"")</x:f>
        <x:v>#NAME?</x:v>
      </x:c>
      <x:c r="D193" s="22" t="s">
        <x:v>642</x:v>
      </x:c>
      <x:c r="E193" s="52" t="s">
        <x:v>38</x:v>
      </x:c>
      <x:c r="F193" s="53"/>
      <x:c r="G193" s="51" t="s">
        <x:v>18</x:v>
      </x:c>
      <x:c r="H193" s="58">
        <x:v>41160009</x:v>
      </x:c>
      <x:c r="I193" s="51" t="s">
        <x:v>95</x:v>
      </x:c>
      <x:c r="J193" s="51" t="s">
        <x:v>40</x:v>
      </x:c>
      <x:c r="K193" s="51" t="s">
        <x:v>20</x:v>
      </x:c>
      <x:c r="L193" s="55">
        <x:v>150000</x:v>
      </x:c>
      <x:c r="M193" s="55"/>
      <x:c r="N193" s="51" t="s">
        <x:v>96</x:v>
      </x:c>
      <x:c r="O193" s="51" t="s">
        <x:v>26</x:v>
      </x:c>
      <x:c r="P193" s="52" t="s">
        <x:v>97</x:v>
      </x:c>
      <x:c r="Q193" s="62"/>
    </x:row>
    <x:row r="194" ht="25.5">
      <x:c r="A194" s="51">
        <x:v>2020</x:v>
      </x:c>
      <x:c r="B194" s="51" t="s">
        <x:v>456</x:v>
      </x:c>
      <x:c r="C194" s="11" t="e">
        <x:f>IFERROR(VLOOKUP(B194,Regiões!A:B,2,0),"")</x:f>
        <x:v>#NAME?</x:v>
      </x:c>
      <x:c r="D194" s="22" t="s">
        <x:v>643</x:v>
      </x:c>
      <x:c r="E194" s="52" t="s">
        <x:v>38</x:v>
      </x:c>
      <x:c r="F194" s="53"/>
      <x:c r="G194" s="51" t="s">
        <x:v>18</x:v>
      </x:c>
      <x:c r="H194" s="58">
        <x:v>41160009</x:v>
      </x:c>
      <x:c r="I194" s="51" t="s">
        <x:v>39</x:v>
      </x:c>
      <x:c r="J194" s="51" t="s">
        <x:v>40</x:v>
      </x:c>
      <x:c r="K194" s="51" t="s">
        <x:v>20</x:v>
      </x:c>
      <x:c r="L194" s="55">
        <x:v>150000</x:v>
      </x:c>
      <x:c r="M194" s="55"/>
      <x:c r="N194" s="51" t="s">
        <x:v>96</x:v>
      </x:c>
      <x:c r="O194" s="51" t="s">
        <x:v>26</x:v>
      </x:c>
      <x:c r="P194" s="52" t="s">
        <x:v>272</x:v>
      </x:c>
      <x:c r="Q194" s="62"/>
    </x:row>
    <x:row r="195" ht="204">
      <x:c r="A195" s="51">
        <x:v>2020</x:v>
      </x:c>
      <x:c r="B195" s="51" t="s">
        <x:v>230</x:v>
      </x:c>
      <x:c r="C195" s="11" t="e">
        <x:f>IFERROR(VLOOKUP(B195,Regiões!A:B,2,0),"")</x:f>
        <x:v>#NAME?</x:v>
      </x:c>
      <x:c r="D195" s="22" t="s">
        <x:v>644</x:v>
      </x:c>
      <x:c r="E195" s="52" t="s">
        <x:v>93</x:v>
      </x:c>
      <x:c r="F195" s="53"/>
      <x:c r="G195" s="51" t="s">
        <x:v>645</x:v>
      </x:c>
      <x:c r="H195" s="58">
        <x:v>41160009</x:v>
      </x:c>
      <x:c r="I195" s="51" t="s">
        <x:v>95</x:v>
      </x:c>
      <x:c r="J195" s="51" t="s">
        <x:v>40</x:v>
      </x:c>
      <x:c r="K195" s="51" t="s">
        <x:v>20</x:v>
      </x:c>
      <x:c r="L195" s="55">
        <x:v>150000</x:v>
      </x:c>
      <x:c r="M195" s="55"/>
      <x:c r="N195" s="51" t="s">
        <x:v>96</x:v>
      </x:c>
      <x:c r="O195" s="51" t="s">
        <x:v>26</x:v>
      </x:c>
      <x:c r="P195" s="52" t="s">
        <x:v>97</x:v>
      </x:c>
      <x:c r="Q195" s="57" t="s">
        <x:v>646</x:v>
      </x:c>
    </x:row>
    <x:row r="196" ht="25.5">
      <x:c r="A196" s="51">
        <x:v>2020</x:v>
      </x:c>
      <x:c r="B196" s="51" t="s">
        <x:v>611</x:v>
      </x:c>
      <x:c r="C196" s="11" t="e">
        <x:f>IFERROR(VLOOKUP(B196,Regiões!A:B,2,0),"")</x:f>
        <x:v>#NAME?</x:v>
      </x:c>
      <x:c r="D196" s="22" t="s">
        <x:v>647</x:v>
      </x:c>
      <x:c r="E196" s="52" t="s">
        <x:v>38</x:v>
      </x:c>
      <x:c r="F196" s="53"/>
      <x:c r="G196" s="51" t="s">
        <x:v>18</x:v>
      </x:c>
      <x:c r="H196" s="58">
        <x:v>41160009</x:v>
      </x:c>
      <x:c r="I196" s="51" t="s">
        <x:v>95</x:v>
      </x:c>
      <x:c r="J196" s="51" t="s">
        <x:v>40</x:v>
      </x:c>
      <x:c r="K196" s="51" t="s">
        <x:v>20</x:v>
      </x:c>
      <x:c r="L196" s="55">
        <x:v>150000</x:v>
      </x:c>
      <x:c r="M196" s="55"/>
      <x:c r="N196" s="51" t="s">
        <x:v>96</x:v>
      </x:c>
      <x:c r="O196" s="51" t="s">
        <x:v>26</x:v>
      </x:c>
      <x:c r="P196" s="52" t="s">
        <x:v>97</x:v>
      </x:c>
      <x:c r="Q196" s="62"/>
    </x:row>
    <x:row r="197" ht="38.25">
      <x:c r="A197" s="22">
        <x:v>2022</x:v>
      </x:c>
      <x:c r="B197" s="22" t="s">
        <x:v>379</x:v>
      </x:c>
      <x:c r="C197" s="11" t="e">
        <x:f>IFERROR(VLOOKUP(B197,Regiões!A:B,2,0),"")</x:f>
        <x:v>#NAME?</x:v>
      </x:c>
      <x:c r="D197" s="22" t="s">
        <x:v>648</x:v>
      </x:c>
      <x:c r="E197" s="23" t="s">
        <x:v>93</x:v>
      </x:c>
      <x:c r="F197" s="83"/>
      <x:c r="G197" s="84" t="s">
        <x:v>649</x:v>
      </x:c>
      <x:c r="H197" s="25">
        <x:v>41160003</x:v>
      </x:c>
      <x:c r="I197" s="22" t="s">
        <x:v>415</x:v>
      </x:c>
      <x:c r="J197" s="22" t="s">
        <x:v>40</x:v>
      </x:c>
      <x:c r="K197" s="22" t="s">
        <x:v>32</x:v>
      </x:c>
      <x:c r="L197" s="27">
        <x:v>150000</x:v>
      </x:c>
      <x:c r="M197" s="27"/>
      <x:c r="N197" s="22" t="s">
        <x:v>41</x:v>
      </x:c>
      <x:c r="O197" s="22" t="s">
        <x:v>26</x:v>
      </x:c>
      <x:c r="P197" s="28"/>
      <x:c r="Q197" s="29"/>
    </x:row>
    <x:row r="198" ht="25.5">
      <x:c r="A198" s="36">
        <x:v>2022</x:v>
      </x:c>
      <x:c r="B198" s="42" t="s">
        <x:v>162</x:v>
      </x:c>
      <x:c r="C198" s="11" t="e">
        <x:f>IFERROR(VLOOKUP(B198,Regiões!A:B,2,0),"")</x:f>
        <x:v>#NAME?</x:v>
      </x:c>
      <x:c r="D198" s="22" t="s">
        <x:v>163</x:v>
      </x:c>
      <x:c r="E198" s="37" t="s">
        <x:v>93</x:v>
      </x:c>
      <x:c r="F198" s="110"/>
      <x:c r="G198" s="42" t="s">
        <x:v>164</x:v>
      </x:c>
      <x:c r="H198" s="25">
        <x:v>7120004</x:v>
      </x:c>
      <x:c r="I198" s="22" t="s">
        <x:v>95</x:v>
      </x:c>
      <x:c r="J198" s="22" t="s">
        <x:v>40</x:v>
      </x:c>
      <x:c r="K198" s="22" t="s">
        <x:v>20</x:v>
      </x:c>
      <x:c r="L198" s="40">
        <x:v>150000</x:v>
      </x:c>
      <x:c r="M198" s="40"/>
      <x:c r="N198" s="22" t="s">
        <x:v>432</x:v>
      </x:c>
      <x:c r="O198" s="36" t="s">
        <x:v>26</x:v>
      </x:c>
      <x:c r="P198" s="35" t="s">
        <x:v>433</x:v>
      </x:c>
      <x:c r="Q198" s="42"/>
    </x:row>
    <x:row r="199" ht="51">
      <x:c r="A199" s="11">
        <x:v>2023</x:v>
      </x:c>
      <x:c r="B199" s="43" t="s">
        <x:v>425</x:v>
      </x:c>
      <x:c r="C199" s="11" t="e">
        <x:f>IFERROR(VLOOKUP(B199,Regiões!A:B,2,0),"")</x:f>
        <x:v>#NAME?</x:v>
      </x:c>
      <x:c r="D199" s="11" t="s">
        <x:v>650</x:v>
      </x:c>
      <x:c r="E199" s="44" t="s">
        <x:v>93</x:v>
      </x:c>
      <x:c r="F199" s="99"/>
      <x:c r="G199" s="43" t="s">
        <x:v>651</x:v>
      </x:c>
      <x:c r="H199" s="47"/>
      <x:c r="I199" s="11" t="s">
        <x:v>444</x:v>
      </x:c>
      <x:c r="J199" s="11" t="str">
        <x:f t="shared" ref="J199:J202" si="4">LEFT(I199,FIND(" (",I199) - 1)</x:f>
        <x:v>Saúde</x:v>
      </x:c>
      <x:c r="K199" s="11" t="s">
        <x:v>32</x:v>
      </x:c>
      <x:c r="L199" s="108">
        <x:v>150000</x:v>
      </x:c>
      <x:c r="M199" s="108"/>
      <x:c r="N199" s="11" t="s">
        <x:v>21</x:v>
      </x:c>
      <x:c r="O199" s="11" t="s">
        <x:v>26</x:v>
      </x:c>
      <x:c r="P199" s="49" t="s">
        <x:v>652</x:v>
      </x:c>
      <x:c r="Q199" s="50"/>
    </x:row>
    <x:row r="200" ht="38.25">
      <x:c r="A200" s="11">
        <x:v>2023</x:v>
      </x:c>
      <x:c r="B200" s="43" t="s">
        <x:v>653</x:v>
      </x:c>
      <x:c r="C200" s="11" t="e">
        <x:f>IFERROR(VLOOKUP(B200,Regiões!A:B,2,0),"")</x:f>
        <x:v>#NAME?</x:v>
      </x:c>
      <x:c r="D200" s="11" t="s">
        <x:v>654</x:v>
      </x:c>
      <x:c r="E200" s="44" t="s">
        <x:v>93</x:v>
      </x:c>
      <x:c r="F200" s="99"/>
      <x:c r="G200" s="43" t="s">
        <x:v>655</x:v>
      </x:c>
      <x:c r="H200" s="47"/>
      <x:c r="I200" s="11" t="s">
        <x:v>63</x:v>
      </x:c>
      <x:c r="J200" s="11" t="str">
        <x:f t="shared" si="4"/>
        <x:v>Saúde</x:v>
      </x:c>
      <x:c r="K200" s="11" t="s">
        <x:v>20</x:v>
      </x:c>
      <x:c r="L200" s="48">
        <x:v>150000</x:v>
      </x:c>
      <x:c r="M200" s="48"/>
      <x:c r="N200" s="11" t="s">
        <x:v>21</x:v>
      </x:c>
      <x:c r="O200" s="11" t="s">
        <x:v>656</x:v>
      </x:c>
      <x:c r="P200" s="49" t="s">
        <x:v>494</x:v>
      </x:c>
      <x:c r="Q200" s="50" t="s">
        <x:v>494</x:v>
      </x:c>
    </x:row>
    <x:row r="201" ht="25.5">
      <x:c r="A201" s="11">
        <x:v>2023</x:v>
      </x:c>
      <x:c r="B201" s="66" t="s">
        <x:v>214</x:v>
      </x:c>
      <x:c r="C201" s="11" t="e">
        <x:f>IFERROR(VLOOKUP(B201,Regiões!A:B,2,0),"")</x:f>
        <x:v>#NAME?</x:v>
      </x:c>
      <x:c r="D201" s="11" t="s">
        <x:v>359</x:v>
      </x:c>
      <x:c r="E201" s="67" t="s">
        <x:v>42</x:v>
      </x:c>
      <x:c r="F201" s="68"/>
      <x:c r="G201" s="66" t="s">
        <x:v>657</x:v>
      </x:c>
      <x:c r="H201" s="69"/>
      <x:c r="I201" s="11" t="s">
        <x:v>239</x:v>
      </x:c>
      <x:c r="J201" s="11" t="str">
        <x:f t="shared" si="4"/>
        <x:v>Segurança Pública</x:v>
      </x:c>
      <x:c r="K201" s="11" t="s">
        <x:v>32</x:v>
      </x:c>
      <x:c r="L201" s="70">
        <x:v>150000</x:v>
      </x:c>
      <x:c r="M201" s="70"/>
      <x:c r="N201" s="11" t="s">
        <x:v>21</x:v>
      </x:c>
      <x:c r="O201" s="11" t="s">
        <x:v>240</x:v>
      </x:c>
      <x:c r="P201" s="67" t="s">
        <x:v>658</x:v>
      </x:c>
      <x:c r="Q201" s="66"/>
    </x:row>
    <x:row r="202" ht="63.75">
      <x:c r="A202" s="11">
        <x:v>2023</x:v>
      </x:c>
      <x:c r="B202" s="43" t="s">
        <x:v>83</x:v>
      </x:c>
      <x:c r="C202" s="11" t="e">
        <x:f>IFERROR(VLOOKUP(B202,Regiões!A:B,2,0),"")</x:f>
        <x:v>#NAME?</x:v>
      </x:c>
      <x:c r="D202" s="11" t="s">
        <x:v>659</x:v>
      </x:c>
      <x:c r="E202" s="44" t="s">
        <x:v>61</x:v>
      </x:c>
      <x:c r="F202" s="45"/>
      <x:c r="G202" s="46" t="s">
        <x:v>660</x:v>
      </x:c>
      <x:c r="H202" s="47"/>
      <x:c r="I202" s="11" t="s">
        <x:v>63</x:v>
      </x:c>
      <x:c r="J202" s="11" t="str">
        <x:f t="shared" si="4"/>
        <x:v>Saúde</x:v>
      </x:c>
      <x:c r="K202" s="11" t="s">
        <x:v>20</x:v>
      </x:c>
      <x:c r="L202" s="48">
        <x:v>150000</x:v>
      </x:c>
      <x:c r="M202" s="48"/>
      <x:c r="N202" s="11" t="s">
        <x:v>64</x:v>
      </x:c>
      <x:c r="O202" s="11" t="s">
        <x:v>26</x:v>
      </x:c>
      <x:c r="P202" s="49" t="s">
        <x:v>661</x:v>
      </x:c>
      <x:c r="Q202" s="50"/>
    </x:row>
    <x:row r="203" ht="38.25">
      <x:c r="A203" s="9">
        <x:v>2025</x:v>
      </x:c>
      <x:c r="B203" s="14" t="s">
        <x:v>662</x:v>
      </x:c>
      <x:c r="C203" s="11" t="e">
        <x:f>IFERROR(VLOOKUP(B203,Regiões!A:B,2,0),"")</x:f>
        <x:v>#NAME?</x:v>
      </x:c>
      <x:c r="D203" s="11" t="s">
        <x:v>663</x:v>
      </x:c>
      <x:c r="E203" s="12" t="s">
        <x:v>664</x:v>
      </x:c>
      <x:c r="F203" s="13">
        <x:v>91616805000110</x:v>
      </x:c>
      <x:c r="G203" s="10" t="s">
        <x:v>664</x:v>
      </x:c>
      <x:c r="H203" s="59">
        <x:v>41160004</x:v>
      </x:c>
      <x:c r="I203" s="9" t="s">
        <x:v>502</x:v>
      </x:c>
      <x:c r="J203" s="9" t="s">
        <x:v>40</x:v>
      </x:c>
      <x:c r="K203" s="16" t="s">
        <x:v>32</x:v>
      </x:c>
      <x:c r="L203" s="90">
        <x:v>150000</x:v>
      </x:c>
      <x:c r="M203" s="90"/>
      <x:c r="N203" s="11" t="s">
        <x:v>21</x:v>
      </x:c>
      <x:c r="O203" s="16"/>
      <x:c r="P203" s="111" t="s">
        <x:v>665</x:v>
      </x:c>
      <x:c r="Q203" s="19"/>
    </x:row>
    <x:row r="204" ht="51">
      <x:c r="A204" s="9">
        <x:v>2025</x:v>
      </x:c>
      <x:c r="B204" s="14" t="s">
        <x:v>342</x:v>
      </x:c>
      <x:c r="C204" s="11" t="e">
        <x:f>IFERROR(VLOOKUP(B204,Regiões!A:B,2,0),"")</x:f>
        <x:v>#NAME?</x:v>
      </x:c>
      <x:c r="D204" s="11" t="s">
        <x:v>666</x:v>
      </x:c>
      <x:c r="E204" s="12" t="s">
        <x:v>667</x:v>
      </x:c>
      <x:c r="F204" s="13">
        <x:v>11436612000148</x:v>
      </x:c>
      <x:c r="G204" s="14" t="s">
        <x:v>18</x:v>
      </x:c>
      <x:c r="H204" s="59">
        <x:v>41160002</x:v>
      </x:c>
      <x:c r="I204" s="9" t="s">
        <x:v>468</x:v>
      </x:c>
      <x:c r="J204" s="9" t="s">
        <x:v>40</x:v>
      </x:c>
      <x:c r="K204" s="16" t="s">
        <x:v>20</x:v>
      </x:c>
      <x:c r="L204" s="60">
        <x:v>150000</x:v>
      </x:c>
      <x:c r="M204" s="60"/>
      <x:c r="N204" s="11" t="s">
        <x:v>21</x:v>
      </x:c>
      <x:c r="O204" s="16"/>
      <x:c r="P204" s="49" t="s">
        <x:v>475</x:v>
      </x:c>
      <x:c r="Q204" s="19"/>
    </x:row>
    <x:row r="205" ht="63.75">
      <x:c r="A205" s="9">
        <x:v>2025</x:v>
      </x:c>
      <x:c r="B205" s="14" t="s">
        <x:v>27</x:v>
      </x:c>
      <x:c r="C205" s="11" t="e">
        <x:f>IFERROR(VLOOKUP(B205,Regiões!A:B,2,0),"")</x:f>
        <x:v>#NAME?</x:v>
      </x:c>
      <x:c r="D205" s="11" t="s">
        <x:v>668</x:v>
      </x:c>
      <x:c r="E205" s="12" t="s">
        <x:v>669</x:v>
      </x:c>
      <x:c r="F205" s="13">
        <x:v>11821226000170</x:v>
      </x:c>
      <x:c r="G205" s="14" t="s">
        <x:v>18</x:v>
      </x:c>
      <x:c r="H205" s="59">
        <x:v>41160002</x:v>
      </x:c>
      <x:c r="I205" s="9" t="s">
        <x:v>468</x:v>
      </x:c>
      <x:c r="J205" s="9" t="s">
        <x:v>40</x:v>
      </x:c>
      <x:c r="K205" s="16" t="s">
        <x:v>20</x:v>
      </x:c>
      <x:c r="L205" s="60">
        <x:v>150000</x:v>
      </x:c>
      <x:c r="M205" s="60"/>
      <x:c r="N205" s="11" t="s">
        <x:v>21</x:v>
      </x:c>
      <x:c r="O205" s="16"/>
      <x:c r="P205" s="49" t="s">
        <x:v>475</x:v>
      </x:c>
      <x:c r="Q205" s="19"/>
    </x:row>
    <x:row r="206" ht="51">
      <x:c r="A206" s="9">
        <x:v>2025</x:v>
      </x:c>
      <x:c r="B206" s="14" t="s">
        <x:v>662</x:v>
      </x:c>
      <x:c r="C206" s="11" t="e">
        <x:f>IFERROR(VLOOKUP(B206,Regiões!A:B,2,0),"")</x:f>
        <x:v>#NAME?</x:v>
      </x:c>
      <x:c r="D206" s="11" t="s">
        <x:v>670</x:v>
      </x:c>
      <x:c r="E206" s="12" t="s">
        <x:v>671</x:v>
      </x:c>
      <x:c r="F206" s="13">
        <x:v>11840490000150</x:v>
      </x:c>
      <x:c r="G206" s="14" t="s">
        <x:v>18</x:v>
      </x:c>
      <x:c r="H206" s="59">
        <x:v>41160002</x:v>
      </x:c>
      <x:c r="I206" s="9" t="s">
        <x:v>468</x:v>
      </x:c>
      <x:c r="J206" s="9" t="s">
        <x:v>40</x:v>
      </x:c>
      <x:c r="K206" s="16" t="s">
        <x:v>20</x:v>
      </x:c>
      <x:c r="L206" s="60">
        <x:v>150000</x:v>
      </x:c>
      <x:c r="M206" s="60"/>
      <x:c r="N206" s="11" t="s">
        <x:v>21</x:v>
      </x:c>
      <x:c r="O206" s="16"/>
      <x:c r="P206" s="49" t="s">
        <x:v>475</x:v>
      </x:c>
      <x:c r="Q206" s="19"/>
    </x:row>
    <x:row r="207" ht="12.75">
      <x:c r="A207" s="9">
        <x:v>2026</x:v>
      </x:c>
      <x:c r="B207" s="14" t="s">
        <x:v>672</x:v>
      </x:c>
      <x:c r="C207" s="11" t="e">
        <x:f>IFERROR(VLOOKUP(B207,Regiões!A:B,2,0),"")</x:f>
        <x:v>#NAME?</x:v>
      </x:c>
      <x:c r="D207" s="11"/>
      <x:c r="E207" s="20" t="s">
        <x:v>673</x:v>
      </x:c>
      <x:c r="F207" s="13">
        <x:v>1611538000103</x:v>
      </x:c>
      <x:c r="G207" s="14" t="s">
        <x:v>674</x:v>
      </x:c>
      <x:c r="H207" s="15">
        <x:v>41160005</x:v>
      </x:c>
      <x:c r="I207" s="9" t="s">
        <x:v>40</x:v>
      </x:c>
      <x:c r="J207" s="9" t="s">
        <x:v>40</x:v>
      </x:c>
      <x:c r="K207" s="16" t="s">
        <x:v>328</x:v>
      </x:c>
      <x:c r="L207" s="17">
        <x:v>150000</x:v>
      </x:c>
      <x:c r="M207" s="17"/>
      <x:c r="N207" s="9" t="s">
        <x:v>33</x:v>
      </x:c>
      <x:c r="O207" s="16"/>
      <x:c r="P207" s="18"/>
      <x:c r="Q207" s="19"/>
    </x:row>
    <x:row r="208" ht="12.75">
      <x:c r="A208" s="9">
        <x:v>2026</x:v>
      </x:c>
      <x:c r="B208" s="14" t="s">
        <x:v>675</x:v>
      </x:c>
      <x:c r="C208" s="11" t="e">
        <x:f>IFERROR(VLOOKUP(B208,Regiões!A:B,2,0),"")</x:f>
        <x:v>#NAME?</x:v>
      </x:c>
      <x:c r="D208" s="11"/>
      <x:c r="E208" s="20" t="s">
        <x:v>676</x:v>
      </x:c>
      <x:c r="F208" s="13">
        <x:v>11945207000155</x:v>
      </x:c>
      <x:c r="G208" s="14" t="s">
        <x:v>677</x:v>
      </x:c>
      <x:c r="H208" s="15">
        <x:v>41160005</x:v>
      </x:c>
      <x:c r="I208" s="9" t="s">
        <x:v>40</x:v>
      </x:c>
      <x:c r="J208" s="9" t="s">
        <x:v>40</x:v>
      </x:c>
      <x:c r="K208" s="16" t="s">
        <x:v>328</x:v>
      </x:c>
      <x:c r="L208" s="17">
        <x:v>150000</x:v>
      </x:c>
      <x:c r="M208" s="17"/>
      <x:c r="N208" s="9" t="s">
        <x:v>33</x:v>
      </x:c>
      <x:c r="O208" s="16"/>
      <x:c r="P208" s="18"/>
      <x:c r="Q208" s="19"/>
    </x:row>
    <x:row r="209" ht="12.75">
      <x:c r="A209" s="9">
        <x:v>2026</x:v>
      </x:c>
      <x:c r="B209" s="14" t="s">
        <x:v>678</x:v>
      </x:c>
      <x:c r="C209" s="11" t="e">
        <x:f>IFERROR(VLOOKUP(B209,Regiões!A:B,2,0),"")</x:f>
        <x:v>#NAME?</x:v>
      </x:c>
      <x:c r="D209" s="11"/>
      <x:c r="E209" s="20" t="s">
        <x:v>679</x:v>
      </x:c>
      <x:c r="F209" s="13">
        <x:v>11943264000103</x:v>
      </x:c>
      <x:c r="G209" s="14" t="s">
        <x:v>680</x:v>
      </x:c>
      <x:c r="H209" s="15">
        <x:v>41160005</x:v>
      </x:c>
      <x:c r="I209" s="9" t="s">
        <x:v>40</x:v>
      </x:c>
      <x:c r="J209" s="9" t="s">
        <x:v>40</x:v>
      </x:c>
      <x:c r="K209" s="16" t="s">
        <x:v>328</x:v>
      </x:c>
      <x:c r="L209" s="17">
        <x:v>150000</x:v>
      </x:c>
      <x:c r="M209" s="17"/>
      <x:c r="N209" s="9" t="s">
        <x:v>33</x:v>
      </x:c>
      <x:c r="O209" s="16"/>
      <x:c r="P209" s="18"/>
      <x:c r="Q209" s="19"/>
    </x:row>
    <x:row r="210" ht="12.75">
      <x:c r="A210" s="9">
        <x:v>2026</x:v>
      </x:c>
      <x:c r="B210" s="14" t="s">
        <x:v>681</x:v>
      </x:c>
      <x:c r="C210" s="11" t="e">
        <x:f>IFERROR(VLOOKUP(B210,Regiões!A:B,2,0),"")</x:f>
        <x:v>#NAME?</x:v>
      </x:c>
      <x:c r="D210" s="11"/>
      <x:c r="E210" s="20" t="s">
        <x:v>682</x:v>
      </x:c>
      <x:c r="F210" s="13">
        <x:v>10456115000149</x:v>
      </x:c>
      <x:c r="G210" s="14" t="s">
        <x:v>683</x:v>
      </x:c>
      <x:c r="H210" s="15">
        <x:v>41160005</x:v>
      </x:c>
      <x:c r="I210" s="9" t="s">
        <x:v>40</x:v>
      </x:c>
      <x:c r="J210" s="9" t="s">
        <x:v>40</x:v>
      </x:c>
      <x:c r="K210" s="16" t="s">
        <x:v>328</x:v>
      </x:c>
      <x:c r="L210" s="17">
        <x:v>150000</x:v>
      </x:c>
      <x:c r="M210" s="17"/>
      <x:c r="N210" s="9" t="s">
        <x:v>33</x:v>
      </x:c>
      <x:c r="O210" s="16"/>
      <x:c r="P210" s="18"/>
      <x:c r="Q210" s="19"/>
    </x:row>
    <x:row r="211" ht="12.75">
      <x:c r="A211" s="9">
        <x:v>2026</x:v>
      </x:c>
      <x:c r="B211" s="14" t="s">
        <x:v>437</x:v>
      </x:c>
      <x:c r="C211" s="11" t="e">
        <x:f>IFERROR(VLOOKUP(B211,Regiões!A:B,2,0),"")</x:f>
        <x:v>#NAME?</x:v>
      </x:c>
      <x:c r="D211" s="11"/>
      <x:c r="E211" s="20" t="s">
        <x:v>684</x:v>
      </x:c>
      <x:c r="F211" s="13">
        <x:v>11734587000189</x:v>
      </x:c>
      <x:c r="G211" s="14"/>
      <x:c r="H211" s="15">
        <x:v>41160005</x:v>
      </x:c>
      <x:c r="I211" s="9" t="s">
        <x:v>40</x:v>
      </x:c>
      <x:c r="J211" s="9" t="s">
        <x:v>40</x:v>
      </x:c>
      <x:c r="K211" s="16" t="s">
        <x:v>328</x:v>
      </x:c>
      <x:c r="L211" s="17">
        <x:v>150000</x:v>
      </x:c>
      <x:c r="M211" s="17"/>
      <x:c r="N211" s="9" t="s">
        <x:v>33</x:v>
      </x:c>
      <x:c r="O211" s="16"/>
      <x:c r="P211" s="18"/>
      <x:c r="Q211" s="19"/>
    </x:row>
    <x:row r="212" ht="25.5">
      <x:c r="A212" s="9">
        <x:v>2026</x:v>
      </x:c>
      <x:c r="B212" s="14" t="s">
        <x:v>685</x:v>
      </x:c>
      <x:c r="C212" s="11" t="e">
        <x:f>IFERROR(VLOOKUP(B212,Regiões!A:B,2,0),"")</x:f>
        <x:v>#NAME?</x:v>
      </x:c>
      <x:c r="D212" s="11"/>
      <x:c r="E212" s="20" t="s">
        <x:v>686</x:v>
      </x:c>
      <x:c r="F212" s="13">
        <x:v>87502894000104</x:v>
      </x:c>
      <x:c r="G212" s="14"/>
      <x:c r="H212" s="15">
        <x:v>41160005</x:v>
      </x:c>
      <x:c r="I212" s="9" t="s">
        <x:v>40</x:v>
      </x:c>
      <x:c r="J212" s="9" t="s">
        <x:v>40</x:v>
      </x:c>
      <x:c r="K212" s="16" t="s">
        <x:v>328</x:v>
      </x:c>
      <x:c r="L212" s="17">
        <x:v>150000</x:v>
      </x:c>
      <x:c r="M212" s="17"/>
      <x:c r="N212" s="9" t="s">
        <x:v>33</x:v>
      </x:c>
      <x:c r="O212" s="16"/>
      <x:c r="P212" s="18"/>
      <x:c r="Q212" s="19"/>
    </x:row>
    <x:row r="213" ht="25.5">
      <x:c r="A213" s="9">
        <x:v>2026</x:v>
      </x:c>
      <x:c r="B213" s="14" t="s">
        <x:v>528</x:v>
      </x:c>
      <x:c r="C213" s="11" t="e">
        <x:f>IFERROR(VLOOKUP(B213,Regiões!A:B,2,0),"")</x:f>
        <x:v>#NAME?</x:v>
      </x:c>
      <x:c r="D213" s="11"/>
      <x:c r="E213" s="20" t="s">
        <x:v>687</x:v>
      </x:c>
      <x:c r="F213" s="13">
        <x:v>91574764000146</x:v>
      </x:c>
      <x:c r="G213" s="14"/>
      <x:c r="H213" s="15">
        <x:v>41160005</x:v>
      </x:c>
      <x:c r="I213" s="9" t="s">
        <x:v>40</x:v>
      </x:c>
      <x:c r="J213" s="9" t="s">
        <x:v>40</x:v>
      </x:c>
      <x:c r="K213" s="16" t="s">
        <x:v>328</x:v>
      </x:c>
      <x:c r="L213" s="17">
        <x:v>150000</x:v>
      </x:c>
      <x:c r="M213" s="17"/>
      <x:c r="N213" s="9" t="s">
        <x:v>33</x:v>
      </x:c>
      <x:c r="O213" s="16"/>
      <x:c r="P213" s="18"/>
      <x:c r="Q213" s="19"/>
    </x:row>
    <x:row r="214" ht="12.75">
      <x:c r="A214" s="9">
        <x:v>2026</x:v>
      </x:c>
      <x:c r="B214" s="14" t="s">
        <x:v>688</x:v>
      </x:c>
      <x:c r="C214" s="11" t="e">
        <x:f>IFERROR(VLOOKUP(B214,Regiões!A:B,2,0),"")</x:f>
        <x:v>#NAME?</x:v>
      </x:c>
      <x:c r="D214" s="11"/>
      <x:c r="E214" s="20" t="s">
        <x:v>689</x:v>
      </x:c>
      <x:c r="F214" s="13">
        <x:v>13245103000163</x:v>
      </x:c>
      <x:c r="G214" s="14"/>
      <x:c r="H214" s="15">
        <x:v>41160005</x:v>
      </x:c>
      <x:c r="I214" s="9" t="s">
        <x:v>40</x:v>
      </x:c>
      <x:c r="J214" s="9" t="s">
        <x:v>40</x:v>
      </x:c>
      <x:c r="K214" s="16" t="s">
        <x:v>328</x:v>
      </x:c>
      <x:c r="L214" s="17">
        <x:v>150000</x:v>
      </x:c>
      <x:c r="M214" s="17"/>
      <x:c r="N214" s="9" t="s">
        <x:v>33</x:v>
      </x:c>
      <x:c r="O214" s="16"/>
      <x:c r="P214" s="18"/>
      <x:c r="Q214" s="19"/>
    </x:row>
    <x:row r="215" ht="51">
      <x:c r="A215" s="9">
        <x:v>2025</x:v>
      </x:c>
      <x:c r="B215" s="14" t="s">
        <x:v>690</x:v>
      </x:c>
      <x:c r="C215" s="11" t="e">
        <x:f>IFERROR(VLOOKUP(B215,Regiões!A:B,2,0),"")</x:f>
        <x:v>#NAME?</x:v>
      </x:c>
      <x:c r="D215" s="11" t="s">
        <x:v>691</x:v>
      </x:c>
      <x:c r="E215" s="12" t="s">
        <x:v>692</x:v>
      </x:c>
      <x:c r="F215" s="13">
        <x:v>11880389000123</x:v>
      </x:c>
      <x:c r="G215" s="14" t="s">
        <x:v>18</x:v>
      </x:c>
      <x:c r="H215" s="59">
        <x:v>41160001</x:v>
      </x:c>
      <x:c r="I215" s="9" t="s">
        <x:v>106</x:v>
      </x:c>
      <x:c r="J215" s="9" t="s">
        <x:v>40</x:v>
      </x:c>
      <x:c r="K215" s="16" t="s">
        <x:v>20</x:v>
      </x:c>
      <x:c r="L215" s="60">
        <x:v>151050</x:v>
      </x:c>
      <x:c r="M215" s="60"/>
      <x:c r="N215" s="11" t="s">
        <x:v>21</x:v>
      </x:c>
      <x:c r="O215" s="16"/>
      <x:c r="P215" s="49" t="s">
        <x:v>107</x:v>
      </x:c>
      <x:c r="Q215" s="19"/>
    </x:row>
    <x:row r="216" ht="51">
      <x:c r="A216" s="11">
        <x:v>2023</x:v>
      </x:c>
      <x:c r="B216" s="66" t="s">
        <x:v>165</x:v>
      </x:c>
      <x:c r="C216" s="11" t="e">
        <x:f>IFERROR(VLOOKUP(B216,Regiões!A:B,2,0),"")</x:f>
        <x:v>#NAME?</x:v>
      </x:c>
      <x:c r="D216" s="11" t="s">
        <x:v>166</x:v>
      </x:c>
      <x:c r="E216" s="67" t="s">
        <x:v>42</x:v>
      </x:c>
      <x:c r="F216" s="68"/>
      <x:c r="G216" s="66" t="s">
        <x:v>693</x:v>
      </x:c>
      <x:c r="H216" s="69"/>
      <x:c r="I216" s="11" t="s">
        <x:v>444</x:v>
      </x:c>
      <x:c r="J216" s="11" t="str">
        <x:f>LEFT(I216,FIND(" (",I216) - 1)</x:f>
        <x:v>Saúde</x:v>
      </x:c>
      <x:c r="K216" s="11" t="s">
        <x:v>32</x:v>
      </x:c>
      <x:c r="L216" s="70">
        <x:v>152600</x:v>
      </x:c>
      <x:c r="M216" s="70"/>
      <x:c r="N216" s="11" t="s">
        <x:v>21</x:v>
      </x:c>
      <x:c r="O216" s="11" t="s">
        <x:v>49</x:v>
      </x:c>
      <x:c r="P216" s="67" t="s">
        <x:v>694</x:v>
      </x:c>
      <x:c r="Q216" s="66"/>
    </x:row>
    <x:row r="217" ht="51">
      <x:c r="A217" s="9">
        <x:v>2025</x:v>
      </x:c>
      <x:c r="B217" s="14" t="s">
        <x:v>695</x:v>
      </x:c>
      <x:c r="C217" s="11" t="e">
        <x:f>IFERROR(VLOOKUP(B217,Regiões!A:B,2,0),"")</x:f>
        <x:v>#NAME?</x:v>
      </x:c>
      <x:c r="D217" s="11" t="s">
        <x:v>696</x:v>
      </x:c>
      <x:c r="E217" s="12" t="s">
        <x:v>697</x:v>
      </x:c>
      <x:c r="F217" s="13">
        <x:v>12006440000135</x:v>
      </x:c>
      <x:c r="G217" s="14" t="s">
        <x:v>18</x:v>
      </x:c>
      <x:c r="H217" s="59">
        <x:v>41160001</x:v>
      </x:c>
      <x:c r="I217" s="9" t="s">
        <x:v>106</x:v>
      </x:c>
      <x:c r="J217" s="9" t="s">
        <x:v>40</x:v>
      </x:c>
      <x:c r="K217" s="16" t="s">
        <x:v>20</x:v>
      </x:c>
      <x:c r="L217" s="60">
        <x:v>154340</x:v>
      </x:c>
      <x:c r="M217" s="60"/>
      <x:c r="N217" s="11" t="s">
        <x:v>21</x:v>
      </x:c>
      <x:c r="O217" s="16"/>
      <x:c r="P217" s="49" t="s">
        <x:v>107</x:v>
      </x:c>
      <x:c r="Q217" s="19"/>
    </x:row>
    <x:row r="218" ht="76.5">
      <x:c r="A218" s="9">
        <x:v>2025</x:v>
      </x:c>
      <x:c r="B218" s="14" t="s">
        <x:v>698</x:v>
      </x:c>
      <x:c r="C218" s="11" t="e">
        <x:f>IFERROR(VLOOKUP(B218,Regiões!A:B,2,0),"")</x:f>
        <x:v>#NAME?</x:v>
      </x:c>
      <x:c r="D218" s="11" t="s">
        <x:v>699</x:v>
      </x:c>
      <x:c r="E218" s="12" t="s">
        <x:v>700</x:v>
      </x:c>
      <x:c r="F218" s="13">
        <x:v>13845853000176</x:v>
      </x:c>
      <x:c r="G218" s="14" t="s">
        <x:v>18</x:v>
      </x:c>
      <x:c r="H218" s="59">
        <x:v>41160001</x:v>
      </x:c>
      <x:c r="I218" s="9" t="s">
        <x:v>106</x:v>
      </x:c>
      <x:c r="J218" s="9" t="s">
        <x:v>40</x:v>
      </x:c>
      <x:c r="K218" s="16" t="s">
        <x:v>20</x:v>
      </x:c>
      <x:c r="L218" s="60">
        <x:v>154340</x:v>
      </x:c>
      <x:c r="M218" s="60"/>
      <x:c r="N218" s="11" t="s">
        <x:v>21</x:v>
      </x:c>
      <x:c r="O218" s="16"/>
      <x:c r="P218" s="49" t="s">
        <x:v>107</x:v>
      </x:c>
      <x:c r="Q218" s="19"/>
    </x:row>
    <x:row r="219" ht="63.75">
      <x:c r="A219" s="22">
        <x:v>2020</x:v>
      </x:c>
      <x:c r="B219" s="22" t="s">
        <x:v>565</x:v>
      </x:c>
      <x:c r="C219" s="11" t="e">
        <x:f>IFERROR(VLOOKUP(B219,Regiões!A:B,2,0),"")</x:f>
        <x:v>#NAME?</x:v>
      </x:c>
      <x:c r="D219" s="22" t="s">
        <x:v>635</x:v>
      </x:c>
      <x:c r="E219" s="23" t="s">
        <x:v>305</x:v>
      </x:c>
      <x:c r="F219" s="117"/>
      <x:c r="G219" s="118" t="s">
        <x:v>636</x:v>
      </x:c>
      <x:c r="H219" s="34">
        <x:v>41160011</x:v>
      </x:c>
      <x:c r="I219" s="22" t="s">
        <x:v>31</x:v>
      </x:c>
      <x:c r="J219" s="22" t="s">
        <x:v>25</x:v>
      </x:c>
      <x:c r="K219" s="22" t="s">
        <x:v>32</x:v>
      </x:c>
      <x:c r="L219" s="26">
        <x:v>156000</x:v>
      </x:c>
      <x:c r="M219" s="26"/>
      <x:c r="N219" s="22" t="s">
        <x:v>33</x:v>
      </x:c>
      <x:c r="O219" s="22" t="s">
        <x:v>539</x:v>
      </x:c>
      <x:c r="P219" s="74" t="s">
        <x:v>701</x:v>
      </x:c>
      <x:c r="Q219" s="29"/>
    </x:row>
    <x:row r="220" ht="51">
      <x:c r="A220" s="11">
        <x:v>2023</x:v>
      </x:c>
      <x:c r="B220" s="43" t="s">
        <x:v>702</x:v>
      </x:c>
      <x:c r="C220" s="11" t="e">
        <x:f>IFERROR(VLOOKUP(B220,Regiões!A:B,2,0),"")</x:f>
        <x:v>#NAME?</x:v>
      </x:c>
      <x:c r="D220" s="11" t="s">
        <x:v>703</x:v>
      </x:c>
      <x:c r="E220" s="44" t="s">
        <x:v>61</x:v>
      </x:c>
      <x:c r="F220" s="45"/>
      <x:c r="G220" s="46" t="s">
        <x:v>704</x:v>
      </x:c>
      <x:c r="H220" s="47"/>
      <x:c r="I220" s="11" t="s">
        <x:v>63</x:v>
      </x:c>
      <x:c r="J220" s="11" t="str">
        <x:f t="shared" ref="J220:J221" si="5">LEFT(I220,FIND(" (",I220) - 1)</x:f>
        <x:v>Saúde</x:v>
      </x:c>
      <x:c r="K220" s="11" t="s">
        <x:v>20</x:v>
      </x:c>
      <x:c r="L220" s="48">
        <x:v>160000</x:v>
      </x:c>
      <x:c r="M220" s="48"/>
      <x:c r="N220" s="11" t="s">
        <x:v>64</x:v>
      </x:c>
      <x:c r="O220" s="11" t="s">
        <x:v>26</x:v>
      </x:c>
      <x:c r="P220" s="49" t="s">
        <x:v>705</x:v>
      </x:c>
      <x:c r="Q220" s="50"/>
    </x:row>
    <x:row r="221" ht="51">
      <x:c r="A221" s="11">
        <x:v>2023</x:v>
      </x:c>
      <x:c r="B221" s="43" t="s">
        <x:v>202</x:v>
      </x:c>
      <x:c r="C221" s="11" t="e">
        <x:f>IFERROR(VLOOKUP(B221,Regiões!A:B,2,0),"")</x:f>
        <x:v>#NAME?</x:v>
      </x:c>
      <x:c r="D221" s="11" t="s">
        <x:v>706</x:v>
      </x:c>
      <x:c r="E221" s="44" t="s">
        <x:v>61</x:v>
      </x:c>
      <x:c r="F221" s="45"/>
      <x:c r="G221" s="46" t="s">
        <x:v>707</x:v>
      </x:c>
      <x:c r="H221" s="47"/>
      <x:c r="I221" s="11" t="s">
        <x:v>63</x:v>
      </x:c>
      <x:c r="J221" s="11" t="str">
        <x:f t="shared" si="5"/>
        <x:v>Saúde</x:v>
      </x:c>
      <x:c r="K221" s="11" t="s">
        <x:v>20</x:v>
      </x:c>
      <x:c r="L221" s="48">
        <x:v>160000</x:v>
      </x:c>
      <x:c r="M221" s="48"/>
      <x:c r="N221" s="11" t="s">
        <x:v>64</x:v>
      </x:c>
      <x:c r="O221" s="11" t="s">
        <x:v>26</x:v>
      </x:c>
      <x:c r="P221" s="49" t="s">
        <x:v>708</x:v>
      </x:c>
      <x:c r="Q221" s="50"/>
    </x:row>
    <x:row r="222" ht="38.25">
      <x:c r="A222" s="92">
        <x:v>2020</x:v>
      </x:c>
      <x:c r="B222" s="92" t="s">
        <x:v>352</x:v>
      </x:c>
      <x:c r="C222" s="92" t="e">
        <x:f>IFERROR(VLOOKUP(B222,Regiões!A:B,2,0),"")</x:f>
        <x:v>#NAME?</x:v>
      </x:c>
      <x:c r="D222" s="92" t="s">
        <x:v>709</x:v>
      </x:c>
      <x:c r="E222" s="93" t="s">
        <x:v>567</x:v>
      </x:c>
      <x:c r="F222" s="94"/>
      <x:c r="G222" s="92" t="s">
        <x:v>710</x:v>
      </x:c>
      <x:c r="H222" s="120">
        <x:v>41160012</x:v>
      </x:c>
      <x:c r="I222" s="92" t="s">
        <x:v>31</x:v>
      </x:c>
      <x:c r="J222" s="92" t="s">
        <x:v>25</x:v>
      </x:c>
      <x:c r="K222" s="92" t="s">
        <x:v>32</x:v>
      </x:c>
      <x:c r="L222" s="121">
        <x:v>162125</x:v>
      </x:c>
      <x:c r="M222" s="121"/>
      <x:c r="N222" s="92" t="s">
        <x:v>33</x:v>
      </x:c>
      <x:c r="O222" s="92" t="s">
        <x:v>26</x:v>
      </x:c>
      <x:c r="P222" s="93" t="s">
        <x:v>711</x:v>
      </x:c>
      <x:c r="Q222" s="92"/>
    </x:row>
    <x:row r="223" ht="38.25">
      <x:c r="A223" s="22">
        <x:v>2020</x:v>
      </x:c>
      <x:c r="B223" s="22" t="s">
        <x:v>245</x:v>
      </x:c>
      <x:c r="C223" s="11" t="e">
        <x:f>IFERROR(VLOOKUP(B223,Regiões!A:B,2,0),"")</x:f>
        <x:v>#NAME?</x:v>
      </x:c>
      <x:c r="D223" s="22" t="s">
        <x:v>712</x:v>
      </x:c>
      <x:c r="E223" s="23" t="s">
        <x:v>567</x:v>
      </x:c>
      <x:c r="F223" s="24"/>
      <x:c r="G223" s="22" t="s">
        <x:v>713</x:v>
      </x:c>
      <x:c r="H223" s="34">
        <x:v>41160012</x:v>
      </x:c>
      <x:c r="I223" s="22" t="s">
        <x:v>31</x:v>
      </x:c>
      <x:c r="J223" s="22" t="s">
        <x:v>25</x:v>
      </x:c>
      <x:c r="K223" s="22" t="s">
        <x:v>32</x:v>
      </x:c>
      <x:c r="L223" s="26">
        <x:v>162125</x:v>
      </x:c>
      <x:c r="M223" s="26"/>
      <x:c r="N223" s="22" t="s">
        <x:v>33</x:v>
      </x:c>
      <x:c r="O223" s="22" t="s">
        <x:v>26</x:v>
      </x:c>
      <x:c r="P223" s="23" t="s">
        <x:v>711</x:v>
      </x:c>
      <x:c r="Q223" s="22"/>
    </x:row>
    <x:row r="224" ht="51">
      <x:c r="A224" s="22">
        <x:v>2020</x:v>
      </x:c>
      <x:c r="B224" s="22" t="s">
        <x:v>257</x:v>
      </x:c>
      <x:c r="C224" s="11" t="e">
        <x:f>IFERROR(VLOOKUP(B224,Regiões!A:B,2,0),"")</x:f>
        <x:v>#NAME?</x:v>
      </x:c>
      <x:c r="D224" s="22" t="s">
        <x:v>714</x:v>
      </x:c>
      <x:c r="E224" s="23" t="s">
        <x:v>29</x:v>
      </x:c>
      <x:c r="F224" s="24"/>
      <x:c r="G224" s="22" t="s">
        <x:v>715</x:v>
      </x:c>
      <x:c r="H224" s="25">
        <x:v>41160010</x:v>
      </x:c>
      <x:c r="I224" s="22" t="s">
        <x:v>31</x:v>
      </x:c>
      <x:c r="J224" s="22" t="s">
        <x:v>25</x:v>
      </x:c>
      <x:c r="K224" s="22" t="s">
        <x:v>32</x:v>
      </x:c>
      <x:c r="L224" s="26">
        <x:v>162142.85</x:v>
      </x:c>
      <x:c r="M224" s="26"/>
      <x:c r="N224" s="22" t="s">
        <x:v>33</x:v>
      </x:c>
      <x:c r="O224" s="22" t="s">
        <x:v>26</x:v>
      </x:c>
      <x:c r="P224" s="23" t="s">
        <x:v>716</x:v>
      </x:c>
      <x:c r="Q224" s="22"/>
    </x:row>
    <x:row r="225" ht="51">
      <x:c r="A225" s="22">
        <x:v>2020</x:v>
      </x:c>
      <x:c r="B225" s="22" t="s">
        <x:v>297</x:v>
      </x:c>
      <x:c r="C225" s="11" t="e">
        <x:f>IFERROR(VLOOKUP(B225,Regiões!A:B,2,0),"")</x:f>
        <x:v>#NAME?</x:v>
      </x:c>
      <x:c r="D225" s="22" t="s">
        <x:v>717</x:v>
      </x:c>
      <x:c r="E225" s="23" t="s">
        <x:v>29</x:v>
      </x:c>
      <x:c r="F225" s="24"/>
      <x:c r="G225" s="22" t="s">
        <x:v>718</x:v>
      </x:c>
      <x:c r="H225" s="25">
        <x:v>41160010</x:v>
      </x:c>
      <x:c r="I225" s="22" t="s">
        <x:v>31</x:v>
      </x:c>
      <x:c r="J225" s="22" t="s">
        <x:v>25</x:v>
      </x:c>
      <x:c r="K225" s="22" t="s">
        <x:v>32</x:v>
      </x:c>
      <x:c r="L225" s="26">
        <x:v>162142.85</x:v>
      </x:c>
      <x:c r="M225" s="26"/>
      <x:c r="N225" s="22" t="s">
        <x:v>33</x:v>
      </x:c>
      <x:c r="O225" s="36" t="s">
        <x:v>719</x:v>
      </x:c>
      <x:c r="P225" s="23" t="s">
        <x:v>720</x:v>
      </x:c>
      <x:c r="Q225" s="22"/>
    </x:row>
    <x:row r="226" ht="51">
      <x:c r="A226" s="22">
        <x:v>2020</x:v>
      </x:c>
      <x:c r="B226" s="22" t="s">
        <x:v>83</x:v>
      </x:c>
      <x:c r="C226" s="11" t="e">
        <x:f>IFERROR(VLOOKUP(B226,Regiões!A:B,2,0),"")</x:f>
        <x:v>#NAME?</x:v>
      </x:c>
      <x:c r="D226" s="22" t="s">
        <x:v>721</x:v>
      </x:c>
      <x:c r="E226" s="23" t="s">
        <x:v>29</x:v>
      </x:c>
      <x:c r="F226" s="24"/>
      <x:c r="G226" s="22" t="s">
        <x:v>722</x:v>
      </x:c>
      <x:c r="H226" s="25">
        <x:v>41160010</x:v>
      </x:c>
      <x:c r="I226" s="22" t="s">
        <x:v>31</x:v>
      </x:c>
      <x:c r="J226" s="22" t="s">
        <x:v>25</x:v>
      </x:c>
      <x:c r="K226" s="22" t="s">
        <x:v>32</x:v>
      </x:c>
      <x:c r="L226" s="26">
        <x:v>162142.85</x:v>
      </x:c>
      <x:c r="M226" s="26"/>
      <x:c r="N226" s="22" t="s">
        <x:v>33</x:v>
      </x:c>
      <x:c r="O226" s="36" t="s">
        <x:v>723</x:v>
      </x:c>
      <x:c r="P226" s="23" t="s">
        <x:v>724</x:v>
      </x:c>
      <x:c r="Q226" s="22"/>
    </x:row>
    <x:row r="227" ht="89.25">
      <x:c r="A227" s="36">
        <x:v>2021</x:v>
      </x:c>
      <x:c r="B227" s="79" t="s">
        <x:v>615</x:v>
      </x:c>
      <x:c r="C227" s="11" t="e">
        <x:f>IFERROR(VLOOKUP(B227,Regiões!A:B,2,0),"")</x:f>
        <x:v>#NAME?</x:v>
      </x:c>
      <x:c r="D227" s="22" t="s">
        <x:v>725</x:v>
      </x:c>
      <x:c r="E227" s="37" t="s">
        <x:v>93</x:v>
      </x:c>
      <x:c r="F227" s="80"/>
      <x:c r="G227" s="79" t="s">
        <x:v>726</x:v>
      </x:c>
      <x:c r="H227" s="81">
        <x:v>41160002</x:v>
      </x:c>
      <x:c r="I227" s="36" t="s">
        <x:v>415</x:v>
      </x:c>
      <x:c r="J227" s="36" t="s">
        <x:v>40</x:v>
      </x:c>
      <x:c r="K227" s="36" t="s">
        <x:v>32</x:v>
      </x:c>
      <x:c r="L227" s="40">
        <x:v>162480</x:v>
      </x:c>
      <x:c r="M227" s="40"/>
      <x:c r="N227" s="36" t="s">
        <x:v>301</x:v>
      </x:c>
      <x:c r="O227" s="36" t="s">
        <x:v>727</x:v>
      </x:c>
      <x:c r="P227" s="107" t="s">
        <x:v>728</x:v>
      </x:c>
      <x:c r="Q227" s="42"/>
    </x:row>
    <x:row r="228" ht="25.5">
      <x:c r="A228" s="11">
        <x:v>2023</x:v>
      </x:c>
      <x:c r="B228" s="66" t="s">
        <x:v>630</x:v>
      </x:c>
      <x:c r="C228" s="11" t="e">
        <x:f>IFERROR(VLOOKUP(B228,Regiões!A:B,2,0),"")</x:f>
        <x:v>#NAME?</x:v>
      </x:c>
      <x:c r="D228" s="11" t="s">
        <x:v>631</x:v>
      </x:c>
      <x:c r="E228" s="67" t="s">
        <x:v>42</x:v>
      </x:c>
      <x:c r="F228" s="68"/>
      <x:c r="G228" s="66" t="s">
        <x:v>729</x:v>
      </x:c>
      <x:c r="H228" s="69"/>
      <x:c r="I228" s="11" t="s">
        <x:v>239</x:v>
      </x:c>
      <x:c r="J228" s="11" t="str">
        <x:f>LEFT(I228,FIND(" (",I228) - 1)</x:f>
        <x:v>Segurança Pública</x:v>
      </x:c>
      <x:c r="K228" s="11" t="s">
        <x:v>32</x:v>
      </x:c>
      <x:c r="L228" s="70">
        <x:v>165000</x:v>
      </x:c>
      <x:c r="M228" s="70"/>
      <x:c r="N228" s="11" t="s">
        <x:v>21</x:v>
      </x:c>
      <x:c r="O228" s="11" t="s">
        <x:v>240</x:v>
      </x:c>
      <x:c r="P228" s="67" t="s">
        <x:v>730</x:v>
      </x:c>
      <x:c r="Q228" s="66"/>
    </x:row>
    <x:row r="229" ht="25.5">
      <x:c r="A229" s="22">
        <x:v>2021</x:v>
      </x:c>
      <x:c r="B229" s="29" t="s">
        <x:v>731</x:v>
      </x:c>
      <x:c r="C229" s="22" t="e">
        <x:f>IFERROR(VLOOKUP(B229,Regiões!A:B,2,0),"")</x:f>
        <x:v>#NAME?</x:v>
      </x:c>
      <x:c r="D229" s="22" t="s">
        <x:v>732</x:v>
      </x:c>
      <x:c r="E229" s="23" t="s">
        <x:v>93</x:v>
      </x:c>
      <x:c r="F229" s="86"/>
      <x:c r="G229" s="29" t="s">
        <x:v>733</x:v>
      </x:c>
      <x:c r="H229" s="25">
        <x:v>41160003</x:v>
      </x:c>
      <x:c r="I229" s="22" t="s">
        <x:v>95</x:v>
      </x:c>
      <x:c r="J229" s="22" t="s">
        <x:v>40</x:v>
      </x:c>
      <x:c r="K229" s="22" t="s">
        <x:v>20</x:v>
      </x:c>
      <x:c r="L229" s="26">
        <x:v>170000</x:v>
      </x:c>
      <x:c r="M229" s="26"/>
      <x:c r="N229" s="22" t="s">
        <x:v>301</x:v>
      </x:c>
      <x:c r="O229" s="22" t="s">
        <x:v>26</x:v>
      </x:c>
      <x:c r="P229" s="35" t="s">
        <x:v>433</x:v>
      </x:c>
      <x:c r="Q229" s="29"/>
    </x:row>
    <x:row r="230" ht="51">
      <x:c r="A230" s="51">
        <x:v>2020</x:v>
      </x:c>
      <x:c r="B230" s="51" t="s">
        <x:v>734</x:v>
      </x:c>
      <x:c r="C230" s="11" t="e">
        <x:f>IFERROR(VLOOKUP(B230,Regiões!A:B,2,0),"")</x:f>
        <x:v>#NAME?</x:v>
      </x:c>
      <x:c r="D230" s="22" t="s">
        <x:v>735</x:v>
      </x:c>
      <x:c r="E230" s="52" t="s">
        <x:v>93</x:v>
      </x:c>
      <x:c r="F230" s="53"/>
      <x:c r="G230" s="51" t="s">
        <x:v>736</x:v>
      </x:c>
      <x:c r="H230" s="63" t="s">
        <x:v>142</x:v>
      </x:c>
      <x:c r="I230" s="51" t="s">
        <x:v>95</x:v>
      </x:c>
      <x:c r="J230" s="51" t="s">
        <x:v>40</x:v>
      </x:c>
      <x:c r="K230" s="51" t="s">
        <x:v>20</x:v>
      </x:c>
      <x:c r="L230" s="55">
        <x:v>174741</x:v>
      </x:c>
      <x:c r="M230" s="55"/>
      <x:c r="N230" s="51" t="s">
        <x:v>64</x:v>
      </x:c>
      <x:c r="O230" s="51" t="s">
        <x:v>26</x:v>
      </x:c>
      <x:c r="P230" s="52" t="s">
        <x:v>143</x:v>
      </x:c>
      <x:c r="Q230" s="62"/>
    </x:row>
    <x:row r="231" ht="38.25">
      <x:c r="A231" s="92">
        <x:v>2022</x:v>
      </x:c>
      <x:c r="B231" s="92" t="s">
        <x:v>291</x:v>
      </x:c>
      <x:c r="C231" s="92" t="e">
        <x:f>IFERROR(VLOOKUP(B231,Regiões!A:B,2,0),"")</x:f>
        <x:v>#NAME?</x:v>
      </x:c>
      <x:c r="D231" s="92" t="s">
        <x:v>737</x:v>
      </x:c>
      <x:c r="E231" s="93" t="s">
        <x:v>38</x:v>
      </x:c>
      <x:c r="F231" s="94"/>
      <x:c r="G231" s="92" t="s">
        <x:v>18</x:v>
      </x:c>
      <x:c r="H231" s="95">
        <x:v>41160002</x:v>
      </x:c>
      <x:c r="I231" s="92" t="s">
        <x:v>39</x:v>
      </x:c>
      <x:c r="J231" s="92" t="s">
        <x:v>40</x:v>
      </x:c>
      <x:c r="K231" s="92" t="s">
        <x:v>20</x:v>
      </x:c>
      <x:c r="L231" s="96">
        <x:v>175000</x:v>
      </x:c>
      <x:c r="M231" s="96"/>
      <x:c r="N231" s="92" t="s">
        <x:v>41</x:v>
      </x:c>
      <x:c r="O231" s="92" t="s">
        <x:v>26</x:v>
      </x:c>
      <x:c r="P231" s="97"/>
      <x:c r="Q231" s="98"/>
    </x:row>
    <x:row r="232" ht="51">
      <x:c r="A232" s="51">
        <x:v>2021</x:v>
      </x:c>
      <x:c r="B232" s="51" t="s">
        <x:v>379</x:v>
      </x:c>
      <x:c r="C232" s="11" t="e">
        <x:f>IFERROR(VLOOKUP(B232,Regiões!A:B,2,0),"")</x:f>
        <x:v>#NAME?</x:v>
      </x:c>
      <x:c r="D232" s="22" t="s">
        <x:v>738</x:v>
      </x:c>
      <x:c r="E232" s="52" t="s">
        <x:v>85</x:v>
      </x:c>
      <x:c r="F232" s="53"/>
      <x:c r="G232" s="51" t="s">
        <x:v>739</x:v>
      </x:c>
      <x:c r="H232" s="54">
        <x:v>41160005</x:v>
      </x:c>
      <x:c r="I232" s="51" t="s">
        <x:v>31</x:v>
      </x:c>
      <x:c r="J232" s="51" t="s">
        <x:v>25</x:v>
      </x:c>
      <x:c r="K232" s="51" t="s">
        <x:v>32</x:v>
      </x:c>
      <x:c r="L232" s="122">
        <x:v>180837.86</x:v>
      </x:c>
      <x:c r="M232" s="122"/>
      <x:c r="N232" s="51" t="s">
        <x:v>33</x:v>
      </x:c>
      <x:c r="O232" s="51" t="s">
        <x:v>26</x:v>
      </x:c>
      <x:c r="P232" s="56" t="s">
        <x:v>740</x:v>
      </x:c>
      <x:c r="Q232" s="57"/>
    </x:row>
    <x:row r="233" ht="63.75">
      <x:c r="A233" s="51">
        <x:v>2021</x:v>
      </x:c>
      <x:c r="B233" s="51" t="s">
        <x:v>452</x:v>
      </x:c>
      <x:c r="C233" s="11" t="e">
        <x:f>IFERROR(VLOOKUP(B233,Regiões!A:B,2,0),"")</x:f>
        <x:v>#NAME?</x:v>
      </x:c>
      <x:c r="D233" s="22" t="s">
        <x:v>741</x:v>
      </x:c>
      <x:c r="E233" s="52" t="s">
        <x:v>85</x:v>
      </x:c>
      <x:c r="F233" s="53"/>
      <x:c r="G233" s="51" t="s">
        <x:v>742</x:v>
      </x:c>
      <x:c r="H233" s="54">
        <x:v>41160005</x:v>
      </x:c>
      <x:c r="I233" s="51" t="s">
        <x:v>31</x:v>
      </x:c>
      <x:c r="J233" s="51" t="s">
        <x:v>25</x:v>
      </x:c>
      <x:c r="K233" s="51" t="s">
        <x:v>32</x:v>
      </x:c>
      <x:c r="L233" s="122">
        <x:v>180837.86</x:v>
      </x:c>
      <x:c r="M233" s="122"/>
      <x:c r="N233" s="51" t="s">
        <x:v>33</x:v>
      </x:c>
      <x:c r="O233" s="51" t="s">
        <x:v>26</x:v>
      </x:c>
      <x:c r="P233" s="56" t="s">
        <x:v>743</x:v>
      </x:c>
      <x:c r="Q233" s="57"/>
    </x:row>
    <x:row r="234" ht="51">
      <x:c r="A234" s="22">
        <x:v>2021</x:v>
      </x:c>
      <x:c r="B234" s="22" t="s">
        <x:v>731</x:v>
      </x:c>
      <x:c r="C234" s="11" t="e">
        <x:f>IFERROR(VLOOKUP(B234,Regiões!A:B,2,0),"")</x:f>
        <x:v>#NAME?</x:v>
      </x:c>
      <x:c r="D234" s="22" t="s">
        <x:v>744</x:v>
      </x:c>
      <x:c r="E234" s="23" t="s">
        <x:v>47</x:v>
      </x:c>
      <x:c r="F234" s="24"/>
      <x:c r="G234" s="22" t="s">
        <x:v>745</x:v>
      </x:c>
      <x:c r="H234" s="34">
        <x:v>41160001</x:v>
      </x:c>
      <x:c r="I234" s="22" t="s">
        <x:v>31</x:v>
      </x:c>
      <x:c r="J234" s="22" t="s">
        <x:v>25</x:v>
      </x:c>
      <x:c r="K234" s="22" t="s">
        <x:v>32</x:v>
      </x:c>
      <x:c r="L234" s="26">
        <x:v>186808.33</x:v>
      </x:c>
      <x:c r="M234" s="26"/>
      <x:c r="N234" s="22" t="s">
        <x:v>33</x:v>
      </x:c>
      <x:c r="O234" s="22" t="s">
        <x:v>49</x:v>
      </x:c>
      <x:c r="P234" s="74" t="s">
        <x:v>50</x:v>
      </x:c>
      <x:c r="Q234" s="29"/>
    </x:row>
    <x:row r="235" ht="76.5">
      <x:c r="A235" s="22">
        <x:v>2021</x:v>
      </x:c>
      <x:c r="B235" s="22" t="s">
        <x:v>51</x:v>
      </x:c>
      <x:c r="C235" s="11" t="e">
        <x:f>IFERROR(VLOOKUP(B235,Regiões!A:B,2,0),"")</x:f>
        <x:v>#NAME?</x:v>
      </x:c>
      <x:c r="D235" s="22" t="s">
        <x:v>746</x:v>
      </x:c>
      <x:c r="E235" s="23" t="s">
        <x:v>47</x:v>
      </x:c>
      <x:c r="F235" s="123"/>
      <x:c r="G235" s="124" t="s">
        <x:v>747</x:v>
      </x:c>
      <x:c r="H235" s="34">
        <x:v>41160001</x:v>
      </x:c>
      <x:c r="I235" s="22" t="s">
        <x:v>31</x:v>
      </x:c>
      <x:c r="J235" s="22" t="s">
        <x:v>25</x:v>
      </x:c>
      <x:c r="K235" s="22" t="s">
        <x:v>32</x:v>
      </x:c>
      <x:c r="L235" s="26">
        <x:v>186808.33</x:v>
      </x:c>
      <x:c r="M235" s="26"/>
      <x:c r="N235" s="22" t="s">
        <x:v>33</x:v>
      </x:c>
      <x:c r="O235" s="22" t="s">
        <x:v>49</x:v>
      </x:c>
      <x:c r="P235" s="74" t="s">
        <x:v>50</x:v>
      </x:c>
      <x:c r="Q235" s="29"/>
    </x:row>
    <x:row r="236" ht="51">
      <x:c r="A236" s="22">
        <x:v>2022</x:v>
      </x:c>
      <x:c r="B236" s="22" t="s">
        <x:v>748</x:v>
      </x:c>
      <x:c r="C236" s="11" t="e">
        <x:f>IFERROR(VLOOKUP(B236,Regiões!A:B,2,0),"")</x:f>
        <x:v>#NAME?</x:v>
      </x:c>
      <x:c r="D236" s="22" t="s">
        <x:v>749</x:v>
      </x:c>
      <x:c r="E236" s="23" t="s">
        <x:v>93</x:v>
      </x:c>
      <x:c r="F236" s="83"/>
      <x:c r="G236" s="84" t="s">
        <x:v>750</x:v>
      </x:c>
      <x:c r="H236" s="25">
        <x:v>41160003</x:v>
      </x:c>
      <x:c r="I236" s="22" t="s">
        <x:v>415</x:v>
      </x:c>
      <x:c r="J236" s="22" t="s">
        <x:v>40</x:v>
      </x:c>
      <x:c r="K236" s="22" t="s">
        <x:v>32</x:v>
      </x:c>
      <x:c r="L236" s="27">
        <x:v>187000</x:v>
      </x:c>
      <x:c r="M236" s="27"/>
      <x:c r="N236" s="22" t="s">
        <x:v>41</x:v>
      </x:c>
      <x:c r="O236" s="22" t="s">
        <x:v>26</x:v>
      </x:c>
      <x:c r="P236" s="28"/>
      <x:c r="Q236" s="29"/>
    </x:row>
    <x:row r="237" ht="51">
      <x:c r="A237" s="11">
        <x:v>2023</x:v>
      </x:c>
      <x:c r="B237" s="43" t="s">
        <x:v>45</x:v>
      </x:c>
      <x:c r="C237" s="11" t="e">
        <x:f>IFERROR(VLOOKUP(B237,Regiões!A:B,2,0),"")</x:f>
        <x:v>#NAME?</x:v>
      </x:c>
      <x:c r="D237" s="11" t="s">
        <x:v>751</x:v>
      </x:c>
      <x:c r="E237" s="44" t="s">
        <x:v>61</x:v>
      </x:c>
      <x:c r="F237" s="45"/>
      <x:c r="G237" s="46" t="s">
        <x:v>752</x:v>
      </x:c>
      <x:c r="H237" s="47"/>
      <x:c r="I237" s="11" t="s">
        <x:v>63</x:v>
      </x:c>
      <x:c r="J237" s="11" t="str">
        <x:f t="shared" ref="J237:J238" si="6">LEFT(I237,FIND(" (",I237) - 1)</x:f>
        <x:v>Saúde</x:v>
      </x:c>
      <x:c r="K237" s="11" t="s">
        <x:v>20</x:v>
      </x:c>
      <x:c r="L237" s="48">
        <x:v>187480</x:v>
      </x:c>
      <x:c r="M237" s="48"/>
      <x:c r="N237" s="11" t="s">
        <x:v>64</x:v>
      </x:c>
      <x:c r="O237" s="11" t="s">
        <x:v>26</x:v>
      </x:c>
      <x:c r="P237" s="49" t="s">
        <x:v>753</x:v>
      </x:c>
      <x:c r="Q237" s="50"/>
    </x:row>
    <x:row r="238" ht="25.5">
      <x:c r="A238" s="11">
        <x:v>2023</x:v>
      </x:c>
      <x:c r="B238" s="66" t="s">
        <x:v>638</x:v>
      </x:c>
      <x:c r="C238" s="11" t="e">
        <x:f>IFERROR(VLOOKUP(B238,Regiões!A:B,2,0),"")</x:f>
        <x:v>#NAME?</x:v>
      </x:c>
      <x:c r="D238" s="11" t="s">
        <x:v>639</x:v>
      </x:c>
      <x:c r="E238" s="67" t="s">
        <x:v>42</x:v>
      </x:c>
      <x:c r="F238" s="68"/>
      <x:c r="G238" s="66" t="s">
        <x:v>754</x:v>
      </x:c>
      <x:c r="H238" s="69"/>
      <x:c r="I238" s="11" t="s">
        <x:v>444</x:v>
      </x:c>
      <x:c r="J238" s="11" t="str">
        <x:f t="shared" si="6"/>
        <x:v>Saúde</x:v>
      </x:c>
      <x:c r="K238" s="11" t="s">
        <x:v>32</x:v>
      </x:c>
      <x:c r="L238" s="70">
        <x:v>192000</x:v>
      </x:c>
      <x:c r="M238" s="70"/>
      <x:c r="N238" s="11" t="s">
        <x:v>21</x:v>
      </x:c>
      <x:c r="O238" s="11" t="s">
        <x:v>49</x:v>
      </x:c>
      <x:c r="P238" s="67" t="s">
        <x:v>755</x:v>
      </x:c>
      <x:c r="Q238" s="66"/>
    </x:row>
    <x:row r="239" ht="51">
      <x:c r="A239" s="9">
        <x:v>2024</x:v>
      </x:c>
      <x:c r="B239" s="14" t="s">
        <x:v>124</x:v>
      </x:c>
      <x:c r="C239" s="11" t="e">
        <x:f>IFERROR(VLOOKUP(B239,Regiões!A:B,2,0),"")</x:f>
        <x:v>#NAME?</x:v>
      </x:c>
      <x:c r="D239" s="11" t="s">
        <x:v>756</x:v>
      </x:c>
      <x:c r="E239" s="12" t="str">
        <x:f t="shared" ref="E239:E250" si="7">G239&amp;" de "&amp;B239</x:f>
        <x:v>Prefeitura Municipal de Guaporé</x:v>
      </x:c>
      <x:c r="F239" s="13"/>
      <x:c r="G239" s="14" t="s">
        <x:v>18</x:v>
      </x:c>
      <x:c r="H239" s="15">
        <x:v>41160003</x:v>
      </x:c>
      <x:c r="I239" s="9" t="s">
        <x:v>634</x:v>
      </x:c>
      <x:c r="J239" s="9" t="s">
        <x:v>40</x:v>
      </x:c>
      <x:c r="K239" s="16" t="s">
        <x:v>32</x:v>
      </x:c>
      <x:c r="L239" s="17">
        <x:v>194967</x:v>
      </x:c>
      <x:c r="M239" s="17"/>
      <x:c r="N239" s="11" t="s">
        <x:v>21</x:v>
      </x:c>
      <x:c r="O239" s="16"/>
      <x:c r="P239" s="18"/>
      <x:c r="Q239" s="19"/>
    </x:row>
    <x:row r="240" ht="51">
      <x:c r="A240" s="9">
        <x:v>2024</x:v>
      </x:c>
      <x:c r="B240" s="10" t="s">
        <x:v>757</x:v>
      </x:c>
      <x:c r="C240" s="11" t="e">
        <x:f>IFERROR(VLOOKUP(B240,Regiões!A:B,2,0),"")</x:f>
        <x:v>#NAME?</x:v>
      </x:c>
      <x:c r="D240" s="11" t="s">
        <x:v>758</x:v>
      </x:c>
      <x:c r="E240" s="12" t="str">
        <x:f t="shared" si="7"/>
        <x:v>Prefeitura Municipal de Silveira Martins</x:v>
      </x:c>
      <x:c r="F240" s="13"/>
      <x:c r="G240" s="14" t="s">
        <x:v>18</x:v>
      </x:c>
      <x:c r="H240" s="15">
        <x:v>41160003</x:v>
      </x:c>
      <x:c r="I240" s="9" t="s">
        <x:v>634</x:v>
      </x:c>
      <x:c r="J240" s="9" t="s">
        <x:v>40</x:v>
      </x:c>
      <x:c r="K240" s="16" t="s">
        <x:v>32</x:v>
      </x:c>
      <x:c r="L240" s="17">
        <x:v>195414</x:v>
      </x:c>
      <x:c r="M240" s="17"/>
      <x:c r="N240" s="11" t="s">
        <x:v>21</x:v>
      </x:c>
      <x:c r="O240" s="16"/>
      <x:c r="P240" s="18"/>
      <x:c r="Q240" s="19"/>
    </x:row>
    <x:row r="241" ht="51">
      <x:c r="A241" s="9">
        <x:v>2024</x:v>
      </x:c>
      <x:c r="B241" s="10" t="s">
        <x:v>759</x:v>
      </x:c>
      <x:c r="C241" s="11" t="e">
        <x:f>IFERROR(VLOOKUP(B241,Regiões!A:B,2,0),"")</x:f>
        <x:v>#NAME?</x:v>
      </x:c>
      <x:c r="D241" s="11" t="s">
        <x:v>760</x:v>
      </x:c>
      <x:c r="E241" s="12" t="str">
        <x:f t="shared" si="7"/>
        <x:v>Prefeitura Municipal de Rio Pardo</x:v>
      </x:c>
      <x:c r="F241" s="13"/>
      <x:c r="G241" s="14" t="s">
        <x:v>18</x:v>
      </x:c>
      <x:c r="H241" s="15">
        <x:v>41160004</x:v>
      </x:c>
      <x:c r="I241" s="9" t="s">
        <x:v>285</x:v>
      </x:c>
      <x:c r="J241" s="9" t="s">
        <x:v>40</x:v>
      </x:c>
      <x:c r="K241" s="16" t="s">
        <x:v>32</x:v>
      </x:c>
      <x:c r="L241" s="17">
        <x:v>196282</x:v>
      </x:c>
      <x:c r="M241" s="17"/>
      <x:c r="N241" s="11" t="s">
        <x:v>21</x:v>
      </x:c>
      <x:c r="O241" s="16"/>
      <x:c r="P241" s="18"/>
      <x:c r="Q241" s="19"/>
    </x:row>
    <x:row r="242" ht="76.5">
      <x:c r="A242" s="9">
        <x:v>2024</x:v>
      </x:c>
      <x:c r="B242" s="10" t="s">
        <x:v>761</x:v>
      </x:c>
      <x:c r="C242" s="11" t="e">
        <x:f>IFERROR(VLOOKUP(B242,Regiões!A:B,2,0),"")</x:f>
        <x:v>#NAME?</x:v>
      </x:c>
      <x:c r="D242" s="11" t="s">
        <x:v>762</x:v>
      </x:c>
      <x:c r="E242" s="12" t="str">
        <x:f t="shared" si="7"/>
        <x:v>Prefeitura Municipal de Ibarama</x:v>
      </x:c>
      <x:c r="F242" s="13"/>
      <x:c r="G242" s="14" t="s">
        <x:v>18</x:v>
      </x:c>
      <x:c r="H242" s="15">
        <x:v>41160003</x:v>
      </x:c>
      <x:c r="I242" s="9" t="s">
        <x:v>634</x:v>
      </x:c>
      <x:c r="J242" s="9" t="s">
        <x:v>40</x:v>
      </x:c>
      <x:c r="K242" s="16" t="s">
        <x:v>32</x:v>
      </x:c>
      <x:c r="L242" s="17">
        <x:v>197187</x:v>
      </x:c>
      <x:c r="M242" s="17"/>
      <x:c r="N242" s="11" t="s">
        <x:v>21</x:v>
      </x:c>
      <x:c r="O242" s="16"/>
      <x:c r="P242" s="18"/>
      <x:c r="Q242" s="19"/>
    </x:row>
    <x:row r="243" ht="51">
      <x:c r="A243" s="9">
        <x:v>2024</x:v>
      </x:c>
      <x:c r="B243" s="10" t="s">
        <x:v>329</x:v>
      </x:c>
      <x:c r="C243" s="11" t="e">
        <x:f>IFERROR(VLOOKUP(B243,Regiões!A:B,2,0),"")</x:f>
        <x:v>#NAME?</x:v>
      </x:c>
      <x:c r="D243" s="11" t="s">
        <x:v>763</x:v>
      </x:c>
      <x:c r="E243" s="12" t="str">
        <x:f t="shared" si="7"/>
        <x:v>Prefeitura Municipal de Campo Bom</x:v>
      </x:c>
      <x:c r="F243" s="13"/>
      <x:c r="G243" s="14" t="s">
        <x:v>18</x:v>
      </x:c>
      <x:c r="H243" s="15">
        <x:v>41160004</x:v>
      </x:c>
      <x:c r="I243" s="9" t="s">
        <x:v>285</x:v>
      </x:c>
      <x:c r="J243" s="9" t="s">
        <x:v>40</x:v>
      </x:c>
      <x:c r="K243" s="16" t="s">
        <x:v>32</x:v>
      </x:c>
      <x:c r="L243" s="17">
        <x:v>197918</x:v>
      </x:c>
      <x:c r="M243" s="17"/>
      <x:c r="N243" s="11" t="s">
        <x:v>21</x:v>
      </x:c>
      <x:c r="O243" s="16"/>
      <x:c r="P243" s="18"/>
      <x:c r="Q243" s="19"/>
    </x:row>
    <x:row r="244" ht="51">
      <x:c r="A244" s="9">
        <x:v>2024</x:v>
      </x:c>
      <x:c r="B244" s="10" t="s">
        <x:v>764</x:v>
      </x:c>
      <x:c r="C244" s="11" t="e">
        <x:f>IFERROR(VLOOKUP(B244,Regiões!A:B,2,0),"")</x:f>
        <x:v>#NAME?</x:v>
      </x:c>
      <x:c r="D244" s="11" t="s">
        <x:v>765</x:v>
      </x:c>
      <x:c r="E244" s="12" t="str">
        <x:f t="shared" si="7"/>
        <x:v>Prefeitura Municipal de Charqueadas</x:v>
      </x:c>
      <x:c r="F244" s="13"/>
      <x:c r="G244" s="14" t="s">
        <x:v>18</x:v>
      </x:c>
      <x:c r="H244" s="15">
        <x:v>41160004</x:v>
      </x:c>
      <x:c r="I244" s="9" t="s">
        <x:v>285</x:v>
      </x:c>
      <x:c r="J244" s="9" t="s">
        <x:v>40</x:v>
      </x:c>
      <x:c r="K244" s="16" t="s">
        <x:v>32</x:v>
      </x:c>
      <x:c r="L244" s="17">
        <x:v>199531</x:v>
      </x:c>
      <x:c r="M244" s="17"/>
      <x:c r="N244" s="11" t="s">
        <x:v>21</x:v>
      </x:c>
      <x:c r="O244" s="16"/>
      <x:c r="P244" s="18"/>
      <x:c r="Q244" s="19"/>
    </x:row>
    <x:row r="245" ht="51">
      <x:c r="A245" s="9">
        <x:v>2024</x:v>
      </x:c>
      <x:c r="B245" s="14" t="s">
        <x:v>766</x:v>
      </x:c>
      <x:c r="C245" s="11" t="e">
        <x:f>IFERROR(VLOOKUP(B245,Regiões!A:B,2,0),"")</x:f>
        <x:v>#NAME?</x:v>
      </x:c>
      <x:c r="D245" s="11" t="s">
        <x:v>767</x:v>
      </x:c>
      <x:c r="E245" s="12" t="str">
        <x:f t="shared" si="7"/>
        <x:v>Prefeitura Municipal de General Câmara</x:v>
      </x:c>
      <x:c r="F245" s="13"/>
      <x:c r="G245" s="14" t="s">
        <x:v>18</x:v>
      </x:c>
      <x:c r="H245" s="15">
        <x:v>41160003</x:v>
      </x:c>
      <x:c r="I245" s="9" t="s">
        <x:v>634</x:v>
      </x:c>
      <x:c r="J245" s="9" t="s">
        <x:v>40</x:v>
      </x:c>
      <x:c r="K245" s="16" t="s">
        <x:v>32</x:v>
      </x:c>
      <x:c r="L245" s="17">
        <x:v>199773</x:v>
      </x:c>
      <x:c r="M245" s="17"/>
      <x:c r="N245" s="11" t="s">
        <x:v>21</x:v>
      </x:c>
      <x:c r="O245" s="16"/>
      <x:c r="P245" s="18"/>
      <x:c r="Q245" s="19"/>
    </x:row>
    <x:row r="246" ht="89.25">
      <x:c r="A246" s="9">
        <x:v>2024</x:v>
      </x:c>
      <x:c r="B246" s="14" t="s">
        <x:v>768</x:v>
      </x:c>
      <x:c r="C246" s="11" t="e">
        <x:f>IFERROR(VLOOKUP(B246,Regiões!A:B,2,0),"")</x:f>
        <x:v>#NAME?</x:v>
      </x:c>
      <x:c r="D246" s="11" t="s">
        <x:v>769</x:v>
      </x:c>
      <x:c r="E246" s="12" t="str">
        <x:f t="shared" si="7"/>
        <x:v>Prefeitura Municipal de São José do Norte</x:v>
      </x:c>
      <x:c r="F246" s="13"/>
      <x:c r="G246" s="14" t="s">
        <x:v>18</x:v>
      </x:c>
      <x:c r="H246" s="15">
        <x:v>41160004</x:v>
      </x:c>
      <x:c r="I246" s="9" t="s">
        <x:v>285</x:v>
      </x:c>
      <x:c r="J246" s="9" t="s">
        <x:v>40</x:v>
      </x:c>
      <x:c r="K246" s="16" t="s">
        <x:v>32</x:v>
      </x:c>
      <x:c r="L246" s="17">
        <x:v>199871</x:v>
      </x:c>
      <x:c r="M246" s="17"/>
      <x:c r="N246" s="11" t="s">
        <x:v>21</x:v>
      </x:c>
      <x:c r="O246" s="16"/>
      <x:c r="P246" s="18"/>
      <x:c r="Q246" s="19"/>
    </x:row>
    <x:row r="247" ht="51">
      <x:c r="A247" s="9">
        <x:v>2024</x:v>
      </x:c>
      <x:c r="B247" s="10" t="s">
        <x:v>544</x:v>
      </x:c>
      <x:c r="C247" s="11" t="e">
        <x:f>IFERROR(VLOOKUP(B247,Regiões!A:B,2,0),"")</x:f>
        <x:v>#NAME?</x:v>
      </x:c>
      <x:c r="D247" s="11" t="s">
        <x:v>770</x:v>
      </x:c>
      <x:c r="E247" s="12" t="str">
        <x:f t="shared" si="7"/>
        <x:v>Prefeitura Municipal de Arroio do Tigre</x:v>
      </x:c>
      <x:c r="F247" s="13"/>
      <x:c r="G247" s="14" t="s">
        <x:v>18</x:v>
      </x:c>
      <x:c r="H247" s="15">
        <x:v>41160003</x:v>
      </x:c>
      <x:c r="I247" s="9" t="s">
        <x:v>634</x:v>
      </x:c>
      <x:c r="J247" s="9" t="s">
        <x:v>40</x:v>
      </x:c>
      <x:c r="K247" s="16" t="s">
        <x:v>32</x:v>
      </x:c>
      <x:c r="L247" s="17">
        <x:v>199918</x:v>
      </x:c>
      <x:c r="M247" s="17"/>
      <x:c r="N247" s="11" t="s">
        <x:v>21</x:v>
      </x:c>
      <x:c r="O247" s="16"/>
      <x:c r="P247" s="18"/>
      <x:c r="Q247" s="19"/>
    </x:row>
    <x:row r="248" ht="51">
      <x:c r="A248" s="9">
        <x:v>2024</x:v>
      </x:c>
      <x:c r="B248" s="10" t="s">
        <x:v>638</x:v>
      </x:c>
      <x:c r="C248" s="11" t="e">
        <x:f>IFERROR(VLOOKUP(B248,Regiões!A:B,2,0),"")</x:f>
        <x:v>#NAME?</x:v>
      </x:c>
      <x:c r="D248" s="11" t="s">
        <x:v>771</x:v>
      </x:c>
      <x:c r="E248" s="12" t="str">
        <x:f t="shared" si="7"/>
        <x:v>Prefeitura Municipal de Encantado</x:v>
      </x:c>
      <x:c r="F248" s="13"/>
      <x:c r="G248" s="14" t="s">
        <x:v>18</x:v>
      </x:c>
      <x:c r="H248" s="15">
        <x:v>41160003</x:v>
      </x:c>
      <x:c r="I248" s="9" t="s">
        <x:v>634</x:v>
      </x:c>
      <x:c r="J248" s="9" t="s">
        <x:v>40</x:v>
      </x:c>
      <x:c r="K248" s="16" t="s">
        <x:v>32</x:v>
      </x:c>
      <x:c r="L248" s="17">
        <x:v>199986</x:v>
      </x:c>
      <x:c r="M248" s="17"/>
      <x:c r="N248" s="11" t="s">
        <x:v>21</x:v>
      </x:c>
      <x:c r="O248" s="16"/>
      <x:c r="P248" s="18"/>
      <x:c r="Q248" s="19"/>
    </x:row>
    <x:row r="249" ht="51">
      <x:c r="A249" s="9">
        <x:v>2024</x:v>
      </x:c>
      <x:c r="B249" s="10" t="s">
        <x:v>83</x:v>
      </x:c>
      <x:c r="C249" s="11" t="e">
        <x:f>IFERROR(VLOOKUP(B249,Regiões!A:B,2,0),"")</x:f>
        <x:v>#NAME?</x:v>
      </x:c>
      <x:c r="D249" s="11" t="s">
        <x:v>772</x:v>
      </x:c>
      <x:c r="E249" s="12" t="str">
        <x:f t="shared" si="7"/>
        <x:v>Prefeitura Municipal de Santa Maria</x:v>
      </x:c>
      <x:c r="F249" s="13"/>
      <x:c r="G249" s="14" t="s">
        <x:v>18</x:v>
      </x:c>
      <x:c r="H249" s="15">
        <x:v>41160003</x:v>
      </x:c>
      <x:c r="I249" s="9" t="s">
        <x:v>634</x:v>
      </x:c>
      <x:c r="J249" s="9" t="s">
        <x:v>40</x:v>
      </x:c>
      <x:c r="K249" s="16" t="s">
        <x:v>32</x:v>
      </x:c>
      <x:c r="L249" s="17">
        <x:v>199989</x:v>
      </x:c>
      <x:c r="M249" s="17"/>
      <x:c r="N249" s="11" t="s">
        <x:v>21</x:v>
      </x:c>
      <x:c r="O249" s="16"/>
      <x:c r="P249" s="18"/>
      <x:c r="Q249" s="19"/>
    </x:row>
    <x:row r="250" ht="63.75">
      <x:c r="A250" s="9">
        <x:v>2024</x:v>
      </x:c>
      <x:c r="B250" s="10" t="s">
        <x:v>773</x:v>
      </x:c>
      <x:c r="C250" s="11" t="e">
        <x:f>IFERROR(VLOOKUP(B250,Regiões!A:B,2,0),"")</x:f>
        <x:v>#NAME?</x:v>
      </x:c>
      <x:c r="D250" s="11" t="s">
        <x:v>774</x:v>
      </x:c>
      <x:c r="E250" s="12" t="str">
        <x:f t="shared" si="7"/>
        <x:v>Prefeitura Municipal de Nova Santa Rita</x:v>
      </x:c>
      <x:c r="F250" s="13"/>
      <x:c r="G250" s="14" t="s">
        <x:v>18</x:v>
      </x:c>
      <x:c r="H250" s="15">
        <x:v>41160004</x:v>
      </x:c>
      <x:c r="I250" s="9" t="s">
        <x:v>285</x:v>
      </x:c>
      <x:c r="J250" s="9" t="s">
        <x:v>40</x:v>
      </x:c>
      <x:c r="K250" s="16" t="s">
        <x:v>32</x:v>
      </x:c>
      <x:c r="L250" s="17">
        <x:v>199999</x:v>
      </x:c>
      <x:c r="M250" s="17"/>
      <x:c r="N250" s="11" t="s">
        <x:v>21</x:v>
      </x:c>
      <x:c r="O250" s="16"/>
      <x:c r="P250" s="18"/>
      <x:c r="Q250" s="19"/>
    </x:row>
    <x:row r="251" ht="114.75">
      <x:c r="A251" s="51">
        <x:v>2020</x:v>
      </x:c>
      <x:c r="B251" s="51" t="s">
        <x:v>731</x:v>
      </x:c>
      <x:c r="C251" s="11" t="e">
        <x:f>IFERROR(VLOOKUP(B251,Regiões!A:B,2,0),"")</x:f>
        <x:v>#NAME?</x:v>
      </x:c>
      <x:c r="D251" s="22" t="s">
        <x:v>775</x:v>
      </x:c>
      <x:c r="E251" s="52" t="s">
        <x:v>93</x:v>
      </x:c>
      <x:c r="F251" s="53"/>
      <x:c r="G251" s="51" t="s">
        <x:v>776</x:v>
      </x:c>
      <x:c r="H251" s="58">
        <x:v>41160005</x:v>
      </x:c>
      <x:c r="I251" s="51" t="s">
        <x:v>95</x:v>
      </x:c>
      <x:c r="J251" s="51" t="s">
        <x:v>40</x:v>
      </x:c>
      <x:c r="K251" s="51" t="s">
        <x:v>20</x:v>
      </x:c>
      <x:c r="L251" s="55">
        <x:v>200000</x:v>
      </x:c>
      <x:c r="M251" s="55"/>
      <x:c r="N251" s="51" t="s">
        <x:v>96</x:v>
      </x:c>
      <x:c r="O251" s="51" t="s">
        <x:v>26</x:v>
      </x:c>
      <x:c r="P251" s="52" t="s">
        <x:v>316</x:v>
      </x:c>
      <x:c r="Q251" s="57" t="s">
        <x:v>777</x:v>
      </x:c>
    </x:row>
    <x:row r="252" ht="229.5">
      <x:c r="A252" s="51">
        <x:v>2020</x:v>
      </x:c>
      <x:c r="B252" s="51" t="s">
        <x:v>778</x:v>
      </x:c>
      <x:c r="C252" s="11" t="e">
        <x:f>IFERROR(VLOOKUP(B252,Regiões!A:B,2,0),"")</x:f>
        <x:v>#NAME?</x:v>
      </x:c>
      <x:c r="D252" s="22" t="s">
        <x:v>779</x:v>
      </x:c>
      <x:c r="E252" s="52" t="s">
        <x:v>93</x:v>
      </x:c>
      <x:c r="F252" s="53"/>
      <x:c r="G252" s="51" t="s">
        <x:v>780</x:v>
      </x:c>
      <x:c r="H252" s="58">
        <x:v>41160005</x:v>
      </x:c>
      <x:c r="I252" s="51" t="s">
        <x:v>95</x:v>
      </x:c>
      <x:c r="J252" s="51" t="s">
        <x:v>40</x:v>
      </x:c>
      <x:c r="K252" s="51" t="s">
        <x:v>20</x:v>
      </x:c>
      <x:c r="L252" s="55">
        <x:v>200000</x:v>
      </x:c>
      <x:c r="M252" s="55"/>
      <x:c r="N252" s="51" t="s">
        <x:v>96</x:v>
      </x:c>
      <x:c r="O252" s="51" t="s">
        <x:v>26</x:v>
      </x:c>
      <x:c r="P252" s="52" t="s">
        <x:v>316</x:v>
      </x:c>
      <x:c r="Q252" s="57" t="s">
        <x:v>781</x:v>
      </x:c>
    </x:row>
    <x:row r="253" ht="204">
      <x:c r="A253" s="51">
        <x:v>2020</x:v>
      </x:c>
      <x:c r="B253" s="51" t="s">
        <x:v>782</x:v>
      </x:c>
      <x:c r="C253" s="11" t="e">
        <x:f>IFERROR(VLOOKUP(B253,Regiões!A:B,2,0),"")</x:f>
        <x:v>#NAME?</x:v>
      </x:c>
      <x:c r="D253" s="22" t="s">
        <x:v>783</x:v>
      </x:c>
      <x:c r="E253" s="52" t="s">
        <x:v>93</x:v>
      </x:c>
      <x:c r="F253" s="53"/>
      <x:c r="G253" s="51" t="s">
        <x:v>784</x:v>
      </x:c>
      <x:c r="H253" s="58">
        <x:v>41160005</x:v>
      </x:c>
      <x:c r="I253" s="51" t="s">
        <x:v>531</x:v>
      </x:c>
      <x:c r="J253" s="51" t="s">
        <x:v>40</x:v>
      </x:c>
      <x:c r="K253" s="51" t="s">
        <x:v>20</x:v>
      </x:c>
      <x:c r="L253" s="55">
        <x:v>200000</x:v>
      </x:c>
      <x:c r="M253" s="55"/>
      <x:c r="N253" s="51" t="s">
        <x:v>96</x:v>
      </x:c>
      <x:c r="O253" s="51" t="s">
        <x:v>26</x:v>
      </x:c>
      <x:c r="P253" s="52" t="s">
        <x:v>785</x:v>
      </x:c>
      <x:c r="Q253" s="57" t="s">
        <x:v>786</x:v>
      </x:c>
    </x:row>
    <x:row r="254" ht="51">
      <x:c r="A254" s="51">
        <x:v>2020</x:v>
      </x:c>
      <x:c r="B254" s="51" t="s">
        <x:v>630</x:v>
      </x:c>
      <x:c r="C254" s="11" t="e">
        <x:f>IFERROR(VLOOKUP(B254,Regiões!A:B,2,0),"")</x:f>
        <x:v>#NAME?</x:v>
      </x:c>
      <x:c r="D254" s="22" t="s">
        <x:v>787</x:v>
      </x:c>
      <x:c r="E254" s="52" t="s">
        <x:v>93</x:v>
      </x:c>
      <x:c r="F254" s="53"/>
      <x:c r="G254" s="51" t="s">
        <x:v>788</x:v>
      </x:c>
      <x:c r="H254" s="58">
        <x:v>41160005</x:v>
      </x:c>
      <x:c r="I254" s="51" t="s">
        <x:v>95</x:v>
      </x:c>
      <x:c r="J254" s="51" t="s">
        <x:v>40</x:v>
      </x:c>
      <x:c r="K254" s="51" t="s">
        <x:v>20</x:v>
      </x:c>
      <x:c r="L254" s="55">
        <x:v>200000</x:v>
      </x:c>
      <x:c r="M254" s="55"/>
      <x:c r="N254" s="51" t="s">
        <x:v>96</x:v>
      </x:c>
      <x:c r="O254" s="51" t="s">
        <x:v>26</x:v>
      </x:c>
      <x:c r="P254" s="52" t="s">
        <x:v>316</x:v>
      </x:c>
      <x:c r="Q254" s="57" t="s">
        <x:v>789</x:v>
      </x:c>
    </x:row>
    <x:row r="255" ht="409.5">
      <x:c r="A255" s="51">
        <x:v>2020</x:v>
      </x:c>
      <x:c r="B255" s="51" t="s">
        <x:v>45</x:v>
      </x:c>
      <x:c r="C255" s="11" t="e">
        <x:f>IFERROR(VLOOKUP(B255,Regiões!A:B,2,0),"")</x:f>
        <x:v>#NAME?</x:v>
      </x:c>
      <x:c r="D255" s="22" t="s">
        <x:v>790</x:v>
      </x:c>
      <x:c r="E255" s="52" t="s">
        <x:v>93</x:v>
      </x:c>
      <x:c r="F255" s="53"/>
      <x:c r="G255" s="51" t="s">
        <x:v>791</x:v>
      </x:c>
      <x:c r="H255" s="58">
        <x:v>41160005</x:v>
      </x:c>
      <x:c r="I255" s="51" t="s">
        <x:v>95</x:v>
      </x:c>
      <x:c r="J255" s="51" t="s">
        <x:v>40</x:v>
      </x:c>
      <x:c r="K255" s="51" t="s">
        <x:v>20</x:v>
      </x:c>
      <x:c r="L255" s="55">
        <x:v>200000</x:v>
      </x:c>
      <x:c r="M255" s="55"/>
      <x:c r="N255" s="51" t="s">
        <x:v>96</x:v>
      </x:c>
      <x:c r="O255" s="51" t="s">
        <x:v>26</x:v>
      </x:c>
      <x:c r="P255" s="52" t="s">
        <x:v>97</x:v>
      </x:c>
      <x:c r="Q255" s="57" t="s">
        <x:v>792</x:v>
      </x:c>
    </x:row>
    <x:row r="256" ht="63.75">
      <x:c r="A256" s="51">
        <x:v>2020</x:v>
      </x:c>
      <x:c r="B256" s="51" t="s">
        <x:v>793</x:v>
      </x:c>
      <x:c r="C256" s="11" t="e">
        <x:f>IFERROR(VLOOKUP(B256,Regiões!A:B,2,0),"")</x:f>
        <x:v>#NAME?</x:v>
      </x:c>
      <x:c r="D256" s="22" t="s">
        <x:v>794</x:v>
      </x:c>
      <x:c r="E256" s="52" t="s">
        <x:v>93</x:v>
      </x:c>
      <x:c r="F256" s="53"/>
      <x:c r="G256" s="51" t="s">
        <x:v>795</x:v>
      </x:c>
      <x:c r="H256" s="58">
        <x:v>41160005</x:v>
      </x:c>
      <x:c r="I256" s="51" t="s">
        <x:v>531</x:v>
      </x:c>
      <x:c r="J256" s="51" t="s">
        <x:v>40</x:v>
      </x:c>
      <x:c r="K256" s="51" t="s">
        <x:v>20</x:v>
      </x:c>
      <x:c r="L256" s="55">
        <x:v>200000</x:v>
      </x:c>
      <x:c r="M256" s="55"/>
      <x:c r="N256" s="51" t="s">
        <x:v>21</x:v>
      </x:c>
      <x:c r="O256" s="51" t="s">
        <x:v>26</x:v>
      </x:c>
      <x:c r="P256" s="52" t="s">
        <x:v>532</x:v>
      </x:c>
      <x:c r="Q256" s="57" t="s">
        <x:v>796</x:v>
      </x:c>
    </x:row>
    <x:row r="257" ht="12.75">
      <x:c r="A257" s="126">
        <x:v>2020</x:v>
      </x:c>
      <x:c r="B257" s="126" t="s">
        <x:v>452</x:v>
      </x:c>
      <x:c r="C257" s="127" t="e">
        <x:f>IFERROR(VLOOKUP(B257,Regiões!A:B,2,0),"")</x:f>
        <x:v>#NAME?</x:v>
      </x:c>
      <x:c r="D257" s="128" t="s">
        <x:v>797</x:v>
      </x:c>
      <x:c r="E257" s="126" t="s">
        <x:v>93</x:v>
      </x:c>
      <x:c r="F257" s="129"/>
      <x:c r="G257" s="126" t="s">
        <x:v>798</x:v>
      </x:c>
      <x:c r="H257" s="130">
        <x:v>41160005</x:v>
      </x:c>
      <x:c r="I257" s="126" t="s">
        <x:v>95</x:v>
      </x:c>
      <x:c r="J257" s="126" t="s">
        <x:v>40</x:v>
      </x:c>
      <x:c r="K257" s="126" t="s">
        <x:v>20</x:v>
      </x:c>
      <x:c r="L257" s="131">
        <x:v>200000</x:v>
      </x:c>
      <x:c r="M257" s="131"/>
      <x:c r="N257" s="126" t="s">
        <x:v>96</x:v>
      </x:c>
      <x:c r="O257" s="126" t="s">
        <x:v>26</x:v>
      </x:c>
      <x:c r="P257" s="126" t="s">
        <x:v>97</x:v>
      </x:c>
      <x:c r="Q257" s="132" t="s">
        <x:v>799</x:v>
      </x:c>
    </x:row>
    <x:row r="258" ht="38.25">
      <x:c r="A258" s="51">
        <x:v>2020</x:v>
      </x:c>
      <x:c r="B258" s="51" t="s">
        <x:v>800</x:v>
      </x:c>
      <x:c r="C258" s="11" t="e">
        <x:f>IFERROR(VLOOKUP(B258,Regiões!A:B,2,0),"")</x:f>
        <x:v>#NAME?</x:v>
      </x:c>
      <x:c r="D258" s="22" t="s">
        <x:v>801</x:v>
      </x:c>
      <x:c r="E258" s="52" t="s">
        <x:v>93</x:v>
      </x:c>
      <x:c r="F258" s="53"/>
      <x:c r="G258" s="51" t="s">
        <x:v>802</x:v>
      </x:c>
      <x:c r="H258" s="58">
        <x:v>41160005</x:v>
      </x:c>
      <x:c r="I258" s="51" t="s">
        <x:v>95</x:v>
      </x:c>
      <x:c r="J258" s="51" t="s">
        <x:v>40</x:v>
      </x:c>
      <x:c r="K258" s="51" t="s">
        <x:v>20</x:v>
      </x:c>
      <x:c r="L258" s="55">
        <x:v>200000</x:v>
      </x:c>
      <x:c r="M258" s="55"/>
      <x:c r="N258" s="51" t="s">
        <x:v>96</x:v>
      </x:c>
      <x:c r="O258" s="51" t="s">
        <x:v>26</x:v>
      </x:c>
      <x:c r="P258" s="52" t="s">
        <x:v>97</x:v>
      </x:c>
      <x:c r="Q258" s="62"/>
    </x:row>
    <x:row r="259" ht="51">
      <x:c r="A259" s="51">
        <x:v>2021</x:v>
      </x:c>
      <x:c r="B259" s="22" t="s">
        <x:v>297</x:v>
      </x:c>
      <x:c r="C259" s="11" t="e">
        <x:f>IFERROR(VLOOKUP(B259,Regiões!A:B,2,0),"")</x:f>
        <x:v>#NAME?</x:v>
      </x:c>
      <x:c r="D259" s="22" t="s">
        <x:v>803</x:v>
      </x:c>
      <x:c r="E259" s="52" t="s">
        <x:v>93</x:v>
      </x:c>
      <x:c r="F259" s="83"/>
      <x:c r="G259" s="84" t="s">
        <x:v>804</x:v>
      </x:c>
      <x:c r="H259" s="25">
        <x:v>41160002</x:v>
      </x:c>
      <x:c r="I259" s="22" t="s">
        <x:v>415</x:v>
      </x:c>
      <x:c r="J259" s="22" t="s">
        <x:v>40</x:v>
      </x:c>
      <x:c r="K259" s="51" t="s">
        <x:v>32</x:v>
      </x:c>
      <x:c r="L259" s="27">
        <x:v>200000</x:v>
      </x:c>
      <x:c r="M259" s="27"/>
      <x:c r="N259" s="51" t="s">
        <x:v>33</x:v>
      </x:c>
      <x:c r="O259" s="51" t="s">
        <x:v>26</x:v>
      </x:c>
      <x:c r="P259" s="28" t="s">
        <x:v>805</x:v>
      </x:c>
      <x:c r="Q259" s="29"/>
    </x:row>
    <x:row r="260" ht="25.5">
      <x:c r="A260" s="22">
        <x:v>2021</x:v>
      </x:c>
      <x:c r="B260" s="29" t="s">
        <x:v>806</x:v>
      </x:c>
      <x:c r="C260" s="11" t="e">
        <x:f>IFERROR(VLOOKUP(B260,Regiões!A:B,2,0),"")</x:f>
        <x:v>#NAME?</x:v>
      </x:c>
      <x:c r="D260" s="22" t="s">
        <x:v>807</x:v>
      </x:c>
      <x:c r="E260" s="23"/>
      <x:c r="F260" s="86"/>
      <x:c r="G260" s="29"/>
      <x:c r="H260" s="25"/>
      <x:c r="I260" s="22"/>
      <x:c r="J260" s="22"/>
      <x:c r="K260" s="22"/>
      <x:c r="L260" s="26">
        <x:v>200000</x:v>
      </x:c>
      <x:c r="M260" s="26"/>
      <x:c r="N260" s="22" t="s">
        <x:v>301</x:v>
      </x:c>
      <x:c r="O260" s="22" t="s">
        <x:v>539</x:v>
      </x:c>
      <x:c r="P260" s="35"/>
      <x:c r="Q260" s="29"/>
    </x:row>
    <x:row r="261" ht="25.5">
      <x:c r="A261" s="22">
        <x:v>2021</x:v>
      </x:c>
      <x:c r="B261" s="30" t="s">
        <x:v>395</x:v>
      </x:c>
      <x:c r="C261" s="11" t="e">
        <x:f>IFERROR(VLOOKUP(B261,Regiões!A:B,2,0),"")</x:f>
        <x:v>#NAME?</x:v>
      </x:c>
      <x:c r="D261" s="22" t="s">
        <x:v>808</x:v>
      </x:c>
      <x:c r="E261" s="23" t="s">
        <x:v>42</x:v>
      </x:c>
      <x:c r="F261" s="31"/>
      <x:c r="G261" s="32" t="s">
        <x:v>18</x:v>
      </x:c>
      <x:c r="H261" s="25">
        <x:v>41160002</x:v>
      </x:c>
      <x:c r="I261" s="22" t="s">
        <x:v>415</x:v>
      </x:c>
      <x:c r="J261" s="22" t="s">
        <x:v>40</x:v>
      </x:c>
      <x:c r="K261" s="22" t="s">
        <x:v>32</x:v>
      </x:c>
      <x:c r="L261" s="26">
        <x:v>200000</x:v>
      </x:c>
      <x:c r="M261" s="26"/>
      <x:c r="N261" s="22" t="s">
        <x:v>301</x:v>
      </x:c>
      <x:c r="O261" s="22" t="s">
        <x:v>26</x:v>
      </x:c>
      <x:c r="P261" s="35" t="s">
        <x:v>809</x:v>
      </x:c>
      <x:c r="Q261" s="29"/>
    </x:row>
    <x:row r="262" ht="51">
      <x:c r="A262" s="36">
        <x:v>2022</x:v>
      </x:c>
      <x:c r="B262" s="42" t="s">
        <x:v>810</x:v>
      </x:c>
      <x:c r="C262" s="11" t="e">
        <x:f>IFERROR(VLOOKUP(B262,Regiões!A:B,2,0),"")</x:f>
        <x:v>#NAME?</x:v>
      </x:c>
      <x:c r="D262" s="22" t="s">
        <x:v>811</x:v>
      </x:c>
      <x:c r="E262" s="37" t="s">
        <x:v>93</x:v>
      </x:c>
      <x:c r="F262" s="110"/>
      <x:c r="G262" s="42" t="s">
        <x:v>812</x:v>
      </x:c>
      <x:c r="H262" s="25">
        <x:v>7120004</x:v>
      </x:c>
      <x:c r="I262" s="22" t="s">
        <x:v>95</x:v>
      </x:c>
      <x:c r="J262" s="22" t="s">
        <x:v>40</x:v>
      </x:c>
      <x:c r="K262" s="22" t="s">
        <x:v>20</x:v>
      </x:c>
      <x:c r="L262" s="40">
        <x:v>200000</x:v>
      </x:c>
      <x:c r="M262" s="40"/>
      <x:c r="N262" s="22" t="s">
        <x:v>432</x:v>
      </x:c>
      <x:c r="O262" s="36" t="s">
        <x:v>26</x:v>
      </x:c>
      <x:c r="P262" s="35" t="s">
        <x:v>813</x:v>
      </x:c>
      <x:c r="Q262" s="42"/>
    </x:row>
    <x:row r="263" ht="38.25">
      <x:c r="A263" s="36">
        <x:v>2022</x:v>
      </x:c>
      <x:c r="B263" s="42" t="s">
        <x:v>312</x:v>
      </x:c>
      <x:c r="C263" s="11" t="e">
        <x:f>IFERROR(VLOOKUP(B263,Regiões!A:B,2,0),"")</x:f>
        <x:v>#NAME?</x:v>
      </x:c>
      <x:c r="D263" s="22" t="s">
        <x:v>814</x:v>
      </x:c>
      <x:c r="E263" s="37" t="s">
        <x:v>93</x:v>
      </x:c>
      <x:c r="F263" s="110"/>
      <x:c r="G263" s="42" t="s">
        <x:v>815</x:v>
      </x:c>
      <x:c r="H263" s="25">
        <x:v>7120004</x:v>
      </x:c>
      <x:c r="I263" s="22" t="s">
        <x:v>95</x:v>
      </x:c>
      <x:c r="J263" s="22" t="s">
        <x:v>40</x:v>
      </x:c>
      <x:c r="K263" s="22" t="s">
        <x:v>20</x:v>
      </x:c>
      <x:c r="L263" s="40">
        <x:v>200000</x:v>
      </x:c>
      <x:c r="M263" s="40"/>
      <x:c r="N263" s="22" t="s">
        <x:v>432</x:v>
      </x:c>
      <x:c r="O263" s="36" t="s">
        <x:v>26</x:v>
      </x:c>
      <x:c r="P263" s="35" t="s">
        <x:v>816</x:v>
      </x:c>
      <x:c r="Q263" s="42"/>
    </x:row>
    <x:row r="264" ht="51">
      <x:c r="A264" s="22">
        <x:v>2022</x:v>
      </x:c>
      <x:c r="B264" s="22" t="s">
        <x:v>793</x:v>
      </x:c>
      <x:c r="C264" s="11" t="e">
        <x:f>IFERROR(VLOOKUP(B264,Regiões!A:B,2,0),"")</x:f>
        <x:v>#NAME?</x:v>
      </x:c>
      <x:c r="D264" s="22" t="s">
        <x:v>817</x:v>
      </x:c>
      <x:c r="E264" s="23" t="s">
        <x:v>93</x:v>
      </x:c>
      <x:c r="F264" s="83"/>
      <x:c r="G264" s="84" t="s">
        <x:v>818</x:v>
      </x:c>
      <x:c r="H264" s="25">
        <x:v>41160003</x:v>
      </x:c>
      <x:c r="I264" s="22" t="s">
        <x:v>415</x:v>
      </x:c>
      <x:c r="J264" s="22" t="s">
        <x:v>40</x:v>
      </x:c>
      <x:c r="K264" s="22" t="s">
        <x:v>32</x:v>
      </x:c>
      <x:c r="L264" s="27">
        <x:v>200000</x:v>
      </x:c>
      <x:c r="M264" s="27"/>
      <x:c r="N264" s="22" t="s">
        <x:v>41</x:v>
      </x:c>
      <x:c r="O264" s="22" t="s">
        <x:v>26</x:v>
      </x:c>
      <x:c r="P264" s="28"/>
      <x:c r="Q264" s="29"/>
    </x:row>
    <x:row r="265" ht="38.25">
      <x:c r="A265" s="36">
        <x:v>2022</x:v>
      </x:c>
      <x:c r="B265" s="42" t="s">
        <x:v>192</x:v>
      </x:c>
      <x:c r="C265" s="11" t="e">
        <x:f>IFERROR(VLOOKUP(B265,Regiões!A:B,2,0),"")</x:f>
        <x:v>#NAME?</x:v>
      </x:c>
      <x:c r="D265" s="22" t="s">
        <x:v>193</x:v>
      </x:c>
      <x:c r="E265" s="37" t="s">
        <x:v>93</x:v>
      </x:c>
      <x:c r="F265" s="110"/>
      <x:c r="G265" s="42" t="s">
        <x:v>194</x:v>
      </x:c>
      <x:c r="H265" s="25">
        <x:v>7120004</x:v>
      </x:c>
      <x:c r="I265" s="22" t="s">
        <x:v>95</x:v>
      </x:c>
      <x:c r="J265" s="22" t="s">
        <x:v>40</x:v>
      </x:c>
      <x:c r="K265" s="22" t="s">
        <x:v>20</x:v>
      </x:c>
      <x:c r="L265" s="40">
        <x:v>200000</x:v>
      </x:c>
      <x:c r="M265" s="40"/>
      <x:c r="N265" s="22" t="s">
        <x:v>432</x:v>
      </x:c>
      <x:c r="O265" s="36" t="s">
        <x:v>26</x:v>
      </x:c>
      <x:c r="P265" s="35" t="s">
        <x:v>813</x:v>
      </x:c>
      <x:c r="Q265" s="42"/>
    </x:row>
    <x:row r="266" ht="25.5">
      <x:c r="A266" s="11">
        <x:v>2023</x:v>
      </x:c>
      <x:c r="B266" s="66" t="s">
        <x:v>153</x:v>
      </x:c>
      <x:c r="C266" s="11" t="e">
        <x:f>IFERROR(VLOOKUP(B266,Regiões!A:B,2,0),"")</x:f>
        <x:v>#NAME?</x:v>
      </x:c>
      <x:c r="D266" s="11" t="s">
        <x:v>819</x:v>
      </x:c>
      <x:c r="E266" s="67" t="s">
        <x:v>42</x:v>
      </x:c>
      <x:c r="F266" s="68"/>
      <x:c r="G266" s="66" t="s">
        <x:v>820</x:v>
      </x:c>
      <x:c r="H266" s="69"/>
      <x:c r="I266" s="11" t="s">
        <x:v>444</x:v>
      </x:c>
      <x:c r="J266" s="11" t="str">
        <x:f t="shared" ref="J266:J271" si="8">LEFT(I266,FIND(" (",I266) - 1)</x:f>
        <x:v>Saúde</x:v>
      </x:c>
      <x:c r="K266" s="11" t="s">
        <x:v>32</x:v>
      </x:c>
      <x:c r="L266" s="70">
        <x:v>200000</x:v>
      </x:c>
      <x:c r="M266" s="70"/>
      <x:c r="N266" s="11" t="s">
        <x:v>21</x:v>
      </x:c>
      <x:c r="O266" s="11" t="s">
        <x:v>49</x:v>
      </x:c>
      <x:c r="P266" s="67" t="s">
        <x:v>821</x:v>
      </x:c>
      <x:c r="Q266" s="66"/>
    </x:row>
    <x:row r="267" ht="38.25">
      <x:c r="A267" s="11">
        <x:v>2023</x:v>
      </x:c>
      <x:c r="B267" s="43" t="s">
        <x:v>156</x:v>
      </x:c>
      <x:c r="C267" s="11" t="e">
        <x:f>IFERROR(VLOOKUP(B267,Regiões!A:B,2,0),"")</x:f>
        <x:v>#NAME?</x:v>
      </x:c>
      <x:c r="D267" s="11" t="s">
        <x:v>822</x:v>
      </x:c>
      <x:c r="E267" s="44" t="s">
        <x:v>93</x:v>
      </x:c>
      <x:c r="F267" s="99"/>
      <x:c r="G267" s="43" t="s">
        <x:v>823</x:v>
      </x:c>
      <x:c r="H267" s="47">
        <x:v>41160007</x:v>
      </x:c>
      <x:c r="I267" s="11" t="s">
        <x:v>444</x:v>
      </x:c>
      <x:c r="J267" s="11" t="str">
        <x:f t="shared" si="8"/>
        <x:v>Saúde</x:v>
      </x:c>
      <x:c r="K267" s="11" t="s">
        <x:v>32</x:v>
      </x:c>
      <x:c r="L267" s="108">
        <x:v>200000</x:v>
      </x:c>
      <x:c r="M267" s="108"/>
      <x:c r="N267" s="11" t="s">
        <x:v>21</x:v>
      </x:c>
      <x:c r="O267" s="11" t="s">
        <x:v>49</x:v>
      </x:c>
      <x:c r="P267" s="49" t="s">
        <x:v>824</x:v>
      </x:c>
      <x:c r="Q267" s="50"/>
    </x:row>
    <x:row r="268" ht="51">
      <x:c r="A268" s="11">
        <x:v>2023</x:v>
      </x:c>
      <x:c r="B268" s="43" t="s">
        <x:v>159</x:v>
      </x:c>
      <x:c r="C268" s="11" t="e">
        <x:f>IFERROR(VLOOKUP(B268,Regiões!A:B,2,0),"")</x:f>
        <x:v>#NAME?</x:v>
      </x:c>
      <x:c r="D268" s="11" t="s">
        <x:v>825</x:v>
      </x:c>
      <x:c r="E268" s="44" t="s">
        <x:v>93</x:v>
      </x:c>
      <x:c r="F268" s="99"/>
      <x:c r="G268" s="43" t="s">
        <x:v>161</x:v>
      </x:c>
      <x:c r="H268" s="47"/>
      <x:c r="I268" s="11" t="s">
        <x:v>444</x:v>
      </x:c>
      <x:c r="J268" s="11" t="str">
        <x:f t="shared" si="8"/>
        <x:v>Saúde</x:v>
      </x:c>
      <x:c r="K268" s="11" t="s">
        <x:v>32</x:v>
      </x:c>
      <x:c r="L268" s="108">
        <x:v>200000</x:v>
      </x:c>
      <x:c r="M268" s="108"/>
      <x:c r="N268" s="11" t="s">
        <x:v>21</x:v>
      </x:c>
      <x:c r="O268" s="11" t="s">
        <x:v>49</x:v>
      </x:c>
      <x:c r="P268" s="49" t="s">
        <x:v>826</x:v>
      </x:c>
      <x:c r="Q268" s="50"/>
    </x:row>
    <x:row r="269" ht="38.25">
      <x:c r="A269" s="11">
        <x:v>2023</x:v>
      </x:c>
      <x:c r="B269" s="43" t="s">
        <x:v>162</x:v>
      </x:c>
      <x:c r="C269" s="11" t="e">
        <x:f>IFERROR(VLOOKUP(B269,Regiões!A:B,2,0),"")</x:f>
        <x:v>#NAME?</x:v>
      </x:c>
      <x:c r="D269" s="11" t="s">
        <x:v>827</x:v>
      </x:c>
      <x:c r="E269" s="44" t="s">
        <x:v>93</x:v>
      </x:c>
      <x:c r="F269" s="99"/>
      <x:c r="G269" s="43" t="s">
        <x:v>828</x:v>
      </x:c>
      <x:c r="H269" s="47"/>
      <x:c r="I269" s="11" t="s">
        <x:v>63</x:v>
      </x:c>
      <x:c r="J269" s="11" t="str">
        <x:f t="shared" si="8"/>
        <x:v>Saúde</x:v>
      </x:c>
      <x:c r="K269" s="11" t="s">
        <x:v>20</x:v>
      </x:c>
      <x:c r="L269" s="48">
        <x:v>200000</x:v>
      </x:c>
      <x:c r="M269" s="48"/>
      <x:c r="N269" s="11" t="s">
        <x:v>21</x:v>
      </x:c>
      <x:c r="O269" s="11" t="s">
        <x:v>240</x:v>
      </x:c>
      <x:c r="P269" s="49" t="s">
        <x:v>829</x:v>
      </x:c>
      <x:c r="Q269" s="50"/>
    </x:row>
    <x:row r="270" ht="38.25">
      <x:c r="A270" s="11">
        <x:v>2023</x:v>
      </x:c>
      <x:c r="B270" s="43" t="s">
        <x:v>51</x:v>
      </x:c>
      <x:c r="C270" s="11" t="e">
        <x:f>IFERROR(VLOOKUP(B270,Regiões!A:B,2,0),"")</x:f>
        <x:v>#NAME?</x:v>
      </x:c>
      <x:c r="D270" s="11" t="s">
        <x:v>830</x:v>
      </x:c>
      <x:c r="E270" s="44" t="s">
        <x:v>93</x:v>
      </x:c>
      <x:c r="F270" s="99"/>
      <x:c r="G270" s="43" t="s">
        <x:v>831</x:v>
      </x:c>
      <x:c r="H270" s="47"/>
      <x:c r="I270" s="11" t="s">
        <x:v>444</x:v>
      </x:c>
      <x:c r="J270" s="11" t="str">
        <x:f t="shared" si="8"/>
        <x:v>Saúde</x:v>
      </x:c>
      <x:c r="K270" s="11" t="s">
        <x:v>32</x:v>
      </x:c>
      <x:c r="L270" s="108">
        <x:v>200000</x:v>
      </x:c>
      <x:c r="M270" s="108"/>
      <x:c r="N270" s="11" t="s">
        <x:v>21</x:v>
      </x:c>
      <x:c r="O270" s="11" t="s">
        <x:v>49</x:v>
      </x:c>
      <x:c r="P270" s="49" t="s">
        <x:v>832</x:v>
      </x:c>
      <x:c r="Q270" s="50" t="s">
        <x:v>833</x:v>
      </x:c>
    </x:row>
    <x:row r="271" ht="51">
      <x:c r="A271" s="11">
        <x:v>2023</x:v>
      </x:c>
      <x:c r="B271" s="66" t="s">
        <x:v>834</x:v>
      </x:c>
      <x:c r="C271" s="11" t="e">
        <x:f>IFERROR(VLOOKUP(B271,Regiões!A:B,2,0),"")</x:f>
        <x:v>#NAME?</x:v>
      </x:c>
      <x:c r="D271" s="11" t="s">
        <x:v>835</x:v>
      </x:c>
      <x:c r="E271" s="67" t="s">
        <x:v>42</x:v>
      </x:c>
      <x:c r="F271" s="68"/>
      <x:c r="G271" s="66" t="s">
        <x:v>836</x:v>
      </x:c>
      <x:c r="H271" s="69"/>
      <x:c r="I271" s="11" t="s">
        <x:v>239</x:v>
      </x:c>
      <x:c r="J271" s="11" t="str">
        <x:f t="shared" si="8"/>
        <x:v>Segurança Pública</x:v>
      </x:c>
      <x:c r="K271" s="11" t="s">
        <x:v>32</x:v>
      </x:c>
      <x:c r="L271" s="70">
        <x:v>200000</x:v>
      </x:c>
      <x:c r="M271" s="70"/>
      <x:c r="N271" s="11" t="s">
        <x:v>21</x:v>
      </x:c>
      <x:c r="O271" s="11" t="s">
        <x:v>49</x:v>
      </x:c>
      <x:c r="P271" s="67" t="s">
        <x:v>251</x:v>
      </x:c>
      <x:c r="Q271" s="66"/>
    </x:row>
    <x:row r="272" ht="63.75">
      <x:c r="A272" s="9">
        <x:v>2024</x:v>
      </x:c>
      <x:c r="B272" s="14" t="s">
        <x:v>577</x:v>
      </x:c>
      <x:c r="C272" s="11" t="e">
        <x:f>IFERROR(VLOOKUP(B272,Regiões!A:B,2,0),"")</x:f>
        <x:v>#NAME?</x:v>
      </x:c>
      <x:c r="D272" s="11" t="s">
        <x:v>837</x:v>
      </x:c>
      <x:c r="E272" s="12" t="str">
        <x:f t="shared" ref="E272:E286" si="9">G272&amp;" de "&amp;B272</x:f>
        <x:v>Prefeitura Municipal de São Sebastião do Caí</x:v>
      </x:c>
      <x:c r="F272" s="13"/>
      <x:c r="G272" s="14" t="s">
        <x:v>18</x:v>
      </x:c>
      <x:c r="H272" s="15">
        <x:v>41160001</x:v>
      </x:c>
      <x:c r="I272" s="9" t="s">
        <x:v>58</x:v>
      </x:c>
      <x:c r="J272" s="9" t="s">
        <x:v>40</x:v>
      </x:c>
      <x:c r="K272" s="16" t="s">
        <x:v>20</x:v>
      </x:c>
      <x:c r="L272" s="17">
        <x:v>200000</x:v>
      </x:c>
      <x:c r="M272" s="17"/>
      <x:c r="N272" s="11" t="s">
        <x:v>21</x:v>
      </x:c>
      <x:c r="O272" s="16"/>
      <x:c r="P272" s="18"/>
      <x:c r="Q272" s="19"/>
    </x:row>
    <x:row r="273" ht="63.75">
      <x:c r="A273" s="9">
        <x:v>2024</x:v>
      </x:c>
      <x:c r="B273" s="10" t="s">
        <x:v>810</x:v>
      </x:c>
      <x:c r="C273" s="11" t="e">
        <x:f>IFERROR(VLOOKUP(B273,Regiões!A:B,2,0),"")</x:f>
        <x:v>#NAME?</x:v>
      </x:c>
      <x:c r="D273" s="11" t="s">
        <x:v>838</x:v>
      </x:c>
      <x:c r="E273" s="12" t="str">
        <x:f t="shared" si="9"/>
        <x:v>Prefeitura Municipal de Cachoeira do Sul</x:v>
      </x:c>
      <x:c r="F273" s="13"/>
      <x:c r="G273" s="14" t="s">
        <x:v>18</x:v>
      </x:c>
      <x:c r="H273" s="15">
        <x:v>41160001</x:v>
      </x:c>
      <x:c r="I273" s="9" t="s">
        <x:v>58</x:v>
      </x:c>
      <x:c r="J273" s="9" t="s">
        <x:v>40</x:v>
      </x:c>
      <x:c r="K273" s="16" t="s">
        <x:v>20</x:v>
      </x:c>
      <x:c r="L273" s="17">
        <x:v>200000</x:v>
      </x:c>
      <x:c r="M273" s="17"/>
      <x:c r="N273" s="11" t="s">
        <x:v>21</x:v>
      </x:c>
      <x:c r="O273" s="16"/>
      <x:c r="P273" s="18"/>
      <x:c r="Q273" s="19"/>
    </x:row>
    <x:row r="274" ht="51">
      <x:c r="A274" s="9">
        <x:v>2024</x:v>
      </x:c>
      <x:c r="B274" s="14" t="s">
        <x:v>839</x:v>
      </x:c>
      <x:c r="C274" s="11" t="e">
        <x:f>IFERROR(VLOOKUP(B274,Regiões!A:B,2,0),"")</x:f>
        <x:v>#NAME?</x:v>
      </x:c>
      <x:c r="D274" s="11" t="s">
        <x:v>840</x:v>
      </x:c>
      <x:c r="E274" s="12" t="str">
        <x:f t="shared" si="9"/>
        <x:v>Prefeitura Municipal de Candelária</x:v>
      </x:c>
      <x:c r="F274" s="13"/>
      <x:c r="G274" s="14" t="s">
        <x:v>18</x:v>
      </x:c>
      <x:c r="H274" s="15">
        <x:v>41160001</x:v>
      </x:c>
      <x:c r="I274" s="9" t="s">
        <x:v>58</x:v>
      </x:c>
      <x:c r="J274" s="9" t="s">
        <x:v>40</x:v>
      </x:c>
      <x:c r="K274" s="16" t="s">
        <x:v>20</x:v>
      </x:c>
      <x:c r="L274" s="17">
        <x:v>200000</x:v>
      </x:c>
      <x:c r="M274" s="17"/>
      <x:c r="N274" s="11" t="s">
        <x:v>21</x:v>
      </x:c>
      <x:c r="O274" s="16"/>
      <x:c r="P274" s="18"/>
      <x:c r="Q274" s="19"/>
    </x:row>
    <x:row r="275" ht="51">
      <x:c r="A275" s="9">
        <x:v>2024</x:v>
      </x:c>
      <x:c r="B275" s="10" t="s">
        <x:v>180</x:v>
      </x:c>
      <x:c r="C275" s="11" t="e">
        <x:f>IFERROR(VLOOKUP(B275,Regiões!A:B,2,0),"")</x:f>
        <x:v>#NAME?</x:v>
      </x:c>
      <x:c r="D275" s="11" t="s">
        <x:v>841</x:v>
      </x:c>
      <x:c r="E275" s="12" t="str">
        <x:f t="shared" si="9"/>
        <x:v>Prefeitura Municipal de Lindolfo Collor</x:v>
      </x:c>
      <x:c r="F275" s="13"/>
      <x:c r="G275" s="14" t="s">
        <x:v>18</x:v>
      </x:c>
      <x:c r="H275" s="15">
        <x:v>41160001</x:v>
      </x:c>
      <x:c r="I275" s="9" t="s">
        <x:v>58</x:v>
      </x:c>
      <x:c r="J275" s="9" t="s">
        <x:v>40</x:v>
      </x:c>
      <x:c r="K275" s="16" t="s">
        <x:v>20</x:v>
      </x:c>
      <x:c r="L275" s="17">
        <x:v>200000</x:v>
      </x:c>
      <x:c r="M275" s="17"/>
      <x:c r="N275" s="11" t="s">
        <x:v>21</x:v>
      </x:c>
      <x:c r="O275" s="16"/>
      <x:c r="P275" s="18"/>
      <x:c r="Q275" s="19"/>
    </x:row>
    <x:row r="276" ht="51">
      <x:c r="A276" s="9">
        <x:v>2024</x:v>
      </x:c>
      <x:c r="B276" s="10" t="s">
        <x:v>810</x:v>
      </x:c>
      <x:c r="C276" s="11" t="e">
        <x:f>IFERROR(VLOOKUP(B276,Regiões!A:B,2,0),"")</x:f>
        <x:v>#NAME?</x:v>
      </x:c>
      <x:c r="D276" s="11" t="s">
        <x:v>842</x:v>
      </x:c>
      <x:c r="E276" s="12" t="str">
        <x:f t="shared" si="9"/>
        <x:v>Prefeitura Municipal de Cachoeira do Sul</x:v>
      </x:c>
      <x:c r="F276" s="13"/>
      <x:c r="G276" s="14" t="s">
        <x:v>18</x:v>
      </x:c>
      <x:c r="H276" s="15">
        <x:v>41160002</x:v>
      </x:c>
      <x:c r="I276" s="9" t="s">
        <x:v>224</x:v>
      </x:c>
      <x:c r="J276" s="9" t="s">
        <x:v>40</x:v>
      </x:c>
      <x:c r="K276" s="16" t="s">
        <x:v>20</x:v>
      </x:c>
      <x:c r="L276" s="17">
        <x:v>200000</x:v>
      </x:c>
      <x:c r="M276" s="17"/>
      <x:c r="N276" s="11" t="s">
        <x:v>21</x:v>
      </x:c>
      <x:c r="O276" s="16"/>
      <x:c r="P276" s="18"/>
      <x:c r="Q276" s="19"/>
    </x:row>
    <x:row r="277" ht="51">
      <x:c r="A277" s="9">
        <x:v>2024</x:v>
      </x:c>
      <x:c r="B277" s="10" t="s">
        <x:v>329</x:v>
      </x:c>
      <x:c r="C277" s="11" t="e">
        <x:f>IFERROR(VLOOKUP(B277,Regiões!A:B,2,0),"")</x:f>
        <x:v>#NAME?</x:v>
      </x:c>
      <x:c r="D277" s="11" t="s">
        <x:v>843</x:v>
      </x:c>
      <x:c r="E277" s="12" t="str">
        <x:f t="shared" si="9"/>
        <x:v>Prefeitura Municipal de Campo Bom</x:v>
      </x:c>
      <x:c r="F277" s="13"/>
      <x:c r="G277" s="14" t="s">
        <x:v>18</x:v>
      </x:c>
      <x:c r="H277" s="15">
        <x:v>41160002</x:v>
      </x:c>
      <x:c r="I277" s="9" t="s">
        <x:v>224</x:v>
      </x:c>
      <x:c r="J277" s="9" t="s">
        <x:v>40</x:v>
      </x:c>
      <x:c r="K277" s="16" t="s">
        <x:v>20</x:v>
      </x:c>
      <x:c r="L277" s="17">
        <x:v>200000</x:v>
      </x:c>
      <x:c r="M277" s="17"/>
      <x:c r="N277" s="11" t="s">
        <x:v>21</x:v>
      </x:c>
      <x:c r="O277" s="16"/>
      <x:c r="P277" s="18"/>
      <x:c r="Q277" s="19"/>
    </x:row>
    <x:row r="278" ht="63.75">
      <x:c r="A278" s="9">
        <x:v>2024</x:v>
      </x:c>
      <x:c r="B278" s="10" t="s">
        <x:v>357</x:v>
      </x:c>
      <x:c r="C278" s="11" t="e">
        <x:f>IFERROR(VLOOKUP(B278,Regiões!A:B,2,0),"")</x:f>
        <x:v>#NAME?</x:v>
      </x:c>
      <x:c r="D278" s="11" t="s">
        <x:v>844</x:v>
      </x:c>
      <x:c r="E278" s="12" t="str">
        <x:f t="shared" si="9"/>
        <x:v>Prefeitura Municipal de Esteio</x:v>
      </x:c>
      <x:c r="F278" s="13"/>
      <x:c r="G278" s="14" t="s">
        <x:v>18</x:v>
      </x:c>
      <x:c r="H278" s="15">
        <x:v>41160002</x:v>
      </x:c>
      <x:c r="I278" s="9" t="s">
        <x:v>224</x:v>
      </x:c>
      <x:c r="J278" s="9" t="s">
        <x:v>40</x:v>
      </x:c>
      <x:c r="K278" s="16" t="s">
        <x:v>20</x:v>
      </x:c>
      <x:c r="L278" s="17">
        <x:v>200000</x:v>
      </x:c>
      <x:c r="M278" s="17"/>
      <x:c r="N278" s="11" t="s">
        <x:v>21</x:v>
      </x:c>
      <x:c r="O278" s="16"/>
      <x:c r="P278" s="18"/>
      <x:c r="Q278" s="19"/>
    </x:row>
    <x:row r="279" ht="63.75">
      <x:c r="A279" s="9">
        <x:v>2024</x:v>
      </x:c>
      <x:c r="B279" s="14" t="s">
        <x:v>845</x:v>
      </x:c>
      <x:c r="C279" s="11" t="e">
        <x:f>IFERROR(VLOOKUP(B279,Regiões!A:B,2,0),"")</x:f>
        <x:v>#NAME?</x:v>
      </x:c>
      <x:c r="D279" s="11" t="s">
        <x:v>846</x:v>
      </x:c>
      <x:c r="E279" s="12" t="str">
        <x:f t="shared" si="9"/>
        <x:v>Prefeitura Municipal de Restinga Sêca</x:v>
      </x:c>
      <x:c r="F279" s="13"/>
      <x:c r="G279" s="14" t="s">
        <x:v>18</x:v>
      </x:c>
      <x:c r="H279" s="15">
        <x:v>41160002</x:v>
      </x:c>
      <x:c r="I279" s="9" t="s">
        <x:v>224</x:v>
      </x:c>
      <x:c r="J279" s="9" t="s">
        <x:v>40</x:v>
      </x:c>
      <x:c r="K279" s="16" t="s">
        <x:v>20</x:v>
      </x:c>
      <x:c r="L279" s="17">
        <x:v>200000</x:v>
      </x:c>
      <x:c r="M279" s="17"/>
      <x:c r="N279" s="11" t="s">
        <x:v>21</x:v>
      </x:c>
      <x:c r="O279" s="16"/>
      <x:c r="P279" s="18"/>
      <x:c r="Q279" s="19"/>
    </x:row>
    <x:row r="280" ht="76.5">
      <x:c r="A280" s="9">
        <x:v>2024</x:v>
      </x:c>
      <x:c r="B280" s="14" t="s">
        <x:v>577</x:v>
      </x:c>
      <x:c r="C280" s="11" t="e">
        <x:f>IFERROR(VLOOKUP(B280,Regiões!A:B,2,0),"")</x:f>
        <x:v>#NAME?</x:v>
      </x:c>
      <x:c r="D280" s="11" t="s">
        <x:v>847</x:v>
      </x:c>
      <x:c r="E280" s="12" t="str">
        <x:f t="shared" si="9"/>
        <x:v>Prefeitura Municipal de São Sebastião do Caí</x:v>
      </x:c>
      <x:c r="F280" s="13"/>
      <x:c r="G280" s="14" t="s">
        <x:v>18</x:v>
      </x:c>
      <x:c r="H280" s="15">
        <x:v>41160003</x:v>
      </x:c>
      <x:c r="I280" s="9" t="s">
        <x:v>634</x:v>
      </x:c>
      <x:c r="J280" s="9" t="s">
        <x:v>40</x:v>
      </x:c>
      <x:c r="K280" s="16" t="s">
        <x:v>32</x:v>
      </x:c>
      <x:c r="L280" s="17">
        <x:v>200000</x:v>
      </x:c>
      <x:c r="M280" s="17"/>
      <x:c r="N280" s="11" t="s">
        <x:v>21</x:v>
      </x:c>
      <x:c r="O280" s="16"/>
      <x:c r="P280" s="18"/>
      <x:c r="Q280" s="19"/>
    </x:row>
    <x:row r="281" ht="63.75">
      <x:c r="A281" s="9">
        <x:v>2024</x:v>
      </x:c>
      <x:c r="B281" s="14" t="s">
        <x:v>848</x:v>
      </x:c>
      <x:c r="C281" s="11" t="e">
        <x:f>IFERROR(VLOOKUP(B281,Regiões!A:B,2,0),"")</x:f>
        <x:v>#NAME?</x:v>
      </x:c>
      <x:c r="D281" s="11" t="s">
        <x:v>849</x:v>
      </x:c>
      <x:c r="E281" s="12" t="str">
        <x:f t="shared" si="9"/>
        <x:v>Prefeitura Municipal de São Martinho da Serra</x:v>
      </x:c>
      <x:c r="F281" s="13"/>
      <x:c r="G281" s="14" t="s">
        <x:v>18</x:v>
      </x:c>
      <x:c r="H281" s="15">
        <x:v>41160003</x:v>
      </x:c>
      <x:c r="I281" s="9" t="s">
        <x:v>634</x:v>
      </x:c>
      <x:c r="J281" s="9" t="s">
        <x:v>40</x:v>
      </x:c>
      <x:c r="K281" s="16" t="s">
        <x:v>32</x:v>
      </x:c>
      <x:c r="L281" s="17">
        <x:v>200000</x:v>
      </x:c>
      <x:c r="M281" s="17"/>
      <x:c r="N281" s="11" t="s">
        <x:v>21</x:v>
      </x:c>
      <x:c r="O281" s="16"/>
      <x:c r="P281" s="18"/>
      <x:c r="Q281" s="19"/>
    </x:row>
    <x:row r="282" ht="76.5">
      <x:c r="A282" s="9">
        <x:v>2024</x:v>
      </x:c>
      <x:c r="B282" s="14" t="s">
        <x:v>850</x:v>
      </x:c>
      <x:c r="C282" s="11" t="e">
        <x:f>IFERROR(VLOOKUP(B282,Regiões!A:B,2,0),"")</x:f>
        <x:v>#NAME?</x:v>
      </x:c>
      <x:c r="D282" s="11" t="s">
        <x:v>851</x:v>
      </x:c>
      <x:c r="E282" s="12" t="str">
        <x:f t="shared" si="9"/>
        <x:v>Prefeitura Municipal de São Valentim do Sul</x:v>
      </x:c>
      <x:c r="F282" s="13"/>
      <x:c r="G282" s="14" t="s">
        <x:v>18</x:v>
      </x:c>
      <x:c r="H282" s="15">
        <x:v>41160003</x:v>
      </x:c>
      <x:c r="I282" s="9" t="s">
        <x:v>634</x:v>
      </x:c>
      <x:c r="J282" s="9" t="s">
        <x:v>40</x:v>
      </x:c>
      <x:c r="K282" s="16" t="s">
        <x:v>32</x:v>
      </x:c>
      <x:c r="L282" s="17">
        <x:v>200000</x:v>
      </x:c>
      <x:c r="M282" s="17"/>
      <x:c r="N282" s="11" t="s">
        <x:v>21</x:v>
      </x:c>
      <x:c r="O282" s="16"/>
      <x:c r="P282" s="18"/>
      <x:c r="Q282" s="19"/>
    </x:row>
    <x:row r="283" ht="76.5">
      <x:c r="A283" s="9">
        <x:v>2024</x:v>
      </x:c>
      <x:c r="B283" s="10" t="s">
        <x:v>150</x:v>
      </x:c>
      <x:c r="C283" s="11" t="e">
        <x:f>IFERROR(VLOOKUP(B283,Regiões!A:B,2,0),"")</x:f>
        <x:v>#NAME?</x:v>
      </x:c>
      <x:c r="D283" s="11" t="s">
        <x:v>852</x:v>
      </x:c>
      <x:c r="E283" s="12" t="str">
        <x:f t="shared" si="9"/>
        <x:v>Prefeitura Municipal de Igrejinha</x:v>
      </x:c>
      <x:c r="F283" s="13"/>
      <x:c r="G283" s="14" t="s">
        <x:v>18</x:v>
      </x:c>
      <x:c r="H283" s="15">
        <x:v>41160003</x:v>
      </x:c>
      <x:c r="I283" s="9" t="s">
        <x:v>634</x:v>
      </x:c>
      <x:c r="J283" s="9" t="s">
        <x:v>40</x:v>
      </x:c>
      <x:c r="K283" s="16" t="s">
        <x:v>32</x:v>
      </x:c>
      <x:c r="L283" s="17">
        <x:v>200000</x:v>
      </x:c>
      <x:c r="M283" s="17"/>
      <x:c r="N283" s="11" t="s">
        <x:v>21</x:v>
      </x:c>
      <x:c r="O283" s="16"/>
      <x:c r="P283" s="18"/>
      <x:c r="Q283" s="19"/>
    </x:row>
    <x:row r="284" ht="51">
      <x:c r="A284" s="9">
        <x:v>2024</x:v>
      </x:c>
      <x:c r="B284" s="10" t="s">
        <x:v>853</x:v>
      </x:c>
      <x:c r="C284" s="11" t="e">
        <x:f>IFERROR(VLOOKUP(B284,Regiões!A:B,2,0),"")</x:f>
        <x:v>#NAME?</x:v>
      </x:c>
      <x:c r="D284" s="11" t="s">
        <x:v>854</x:v>
      </x:c>
      <x:c r="E284" s="12" t="str">
        <x:f t="shared" si="9"/>
        <x:v>Prefeitura Municipal de Pareci Novo</x:v>
      </x:c>
      <x:c r="F284" s="13"/>
      <x:c r="G284" s="14" t="s">
        <x:v>18</x:v>
      </x:c>
      <x:c r="H284" s="15">
        <x:v>41160003</x:v>
      </x:c>
      <x:c r="I284" s="9" t="s">
        <x:v>634</x:v>
      </x:c>
      <x:c r="J284" s="9" t="s">
        <x:v>40</x:v>
      </x:c>
      <x:c r="K284" s="16" t="s">
        <x:v>32</x:v>
      </x:c>
      <x:c r="L284" s="17">
        <x:v>200000</x:v>
      </x:c>
      <x:c r="M284" s="17"/>
      <x:c r="N284" s="11" t="s">
        <x:v>21</x:v>
      </x:c>
      <x:c r="O284" s="16"/>
      <x:c r="P284" s="18"/>
      <x:c r="Q284" s="19"/>
    </x:row>
    <x:row r="285" ht="63.75">
      <x:c r="A285" s="9">
        <x:v>2024</x:v>
      </x:c>
      <x:c r="B285" s="10" t="s">
        <x:v>855</x:v>
      </x:c>
      <x:c r="C285" s="11" t="e">
        <x:f>IFERROR(VLOOKUP(B285,Regiões!A:B,2,0),"")</x:f>
        <x:v>#NAME?</x:v>
      </x:c>
      <x:c r="D285" s="11" t="s">
        <x:v>856</x:v>
      </x:c>
      <x:c r="E285" s="12" t="str">
        <x:f t="shared" si="9"/>
        <x:v>Prefeitura Municipal de Triunfo</x:v>
      </x:c>
      <x:c r="F285" s="13"/>
      <x:c r="G285" s="14" t="s">
        <x:v>18</x:v>
      </x:c>
      <x:c r="H285" s="15">
        <x:v>41160004</x:v>
      </x:c>
      <x:c r="I285" s="9" t="s">
        <x:v>285</x:v>
      </x:c>
      <x:c r="J285" s="9" t="s">
        <x:v>40</x:v>
      </x:c>
      <x:c r="K285" s="16" t="s">
        <x:v>32</x:v>
      </x:c>
      <x:c r="L285" s="17">
        <x:v>200000</x:v>
      </x:c>
      <x:c r="M285" s="17"/>
      <x:c r="N285" s="11" t="s">
        <x:v>21</x:v>
      </x:c>
      <x:c r="O285" s="16"/>
      <x:c r="P285" s="18"/>
      <x:c r="Q285" s="19"/>
    </x:row>
    <x:row r="286" ht="63.75">
      <x:c r="A286" s="9">
        <x:v>2024</x:v>
      </x:c>
      <x:c r="B286" s="14" t="s">
        <x:v>615</x:v>
      </x:c>
      <x:c r="C286" s="11" t="e">
        <x:f>IFERROR(VLOOKUP(B286,Regiões!A:B,2,0),"")</x:f>
        <x:v>#NAME?</x:v>
      </x:c>
      <x:c r="D286" s="11" t="s">
        <x:v>857</x:v>
      </x:c>
      <x:c r="E286" s="12" t="str">
        <x:f t="shared" si="9"/>
        <x:v>Fundo Municipal de saúde de Veranópolis de Veranópolis</x:v>
      </x:c>
      <x:c r="F286" s="13"/>
      <x:c r="G286" s="14" t="s">
        <x:v>858</x:v>
      </x:c>
      <x:c r="H286" s="15">
        <x:v>41160004</x:v>
      </x:c>
      <x:c r="I286" s="9" t="s">
        <x:v>285</x:v>
      </x:c>
      <x:c r="J286" s="9" t="s">
        <x:v>40</x:v>
      </x:c>
      <x:c r="K286" s="16" t="s">
        <x:v>32</x:v>
      </x:c>
      <x:c r="L286" s="17">
        <x:v>200000</x:v>
      </x:c>
      <x:c r="M286" s="17"/>
      <x:c r="N286" s="11" t="s">
        <x:v>21</x:v>
      </x:c>
      <x:c r="O286" s="16"/>
      <x:c r="P286" s="2" t="s">
        <x:v>859</x:v>
      </x:c>
      <x:c r="Q286" s="19"/>
    </x:row>
    <x:row r="287" ht="63.75">
      <x:c r="A287" s="9">
        <x:v>2025</x:v>
      </x:c>
      <x:c r="B287" s="14" t="s">
        <x:v>860</x:v>
      </x:c>
      <x:c r="C287" s="11" t="e">
        <x:f>IFERROR(VLOOKUP(B287,Regiões!A:B,2,0),"")</x:f>
        <x:v>#NAME?</x:v>
      </x:c>
      <x:c r="D287" s="11" t="s">
        <x:v>861</x:v>
      </x:c>
      <x:c r="E287" s="12" t="s">
        <x:v>862</x:v>
      </x:c>
      <x:c r="F287" s="13">
        <x:v>12253356000116</x:v>
      </x:c>
      <x:c r="G287" s="14" t="s">
        <x:v>18</x:v>
      </x:c>
      <x:c r="H287" s="87">
        <x:v>41160003</x:v>
      </x:c>
      <x:c r="I287" s="9" t="s">
        <x:v>463</x:v>
      </x:c>
      <x:c r="J287" s="9" t="s">
        <x:v>40</x:v>
      </x:c>
      <x:c r="K287" s="16" t="s">
        <x:v>32</x:v>
      </x:c>
      <x:c r="L287" s="88">
        <x:v>200000</x:v>
      </x:c>
      <x:c r="M287" s="88"/>
      <x:c r="N287" s="11" t="s">
        <x:v>21</x:v>
      </x:c>
      <x:c r="O287" s="16"/>
      <x:c r="P287" s="111" t="s">
        <x:v>473</x:v>
      </x:c>
      <x:c r="Q287" s="19"/>
    </x:row>
    <x:row r="288" ht="51">
      <x:c r="A288" s="9">
        <x:v>2025</x:v>
      </x:c>
      <x:c r="B288" s="14" t="s">
        <x:v>863</x:v>
      </x:c>
      <x:c r="C288" s="11" t="e">
        <x:f>IFERROR(VLOOKUP(B288,Regiões!A:B,2,0),"")</x:f>
        <x:v>#NAME?</x:v>
      </x:c>
      <x:c r="D288" s="11" t="s">
        <x:v>864</x:v>
      </x:c>
      <x:c r="E288" s="12" t="s">
        <x:v>865</x:v>
      </x:c>
      <x:c r="F288" s="13">
        <x:v>12100530000190</x:v>
      </x:c>
      <x:c r="G288" s="14" t="s">
        <x:v>18</x:v>
      </x:c>
      <x:c r="H288" s="87">
        <x:v>41160003</x:v>
      </x:c>
      <x:c r="I288" s="9" t="s">
        <x:v>463</x:v>
      </x:c>
      <x:c r="J288" s="9" t="s">
        <x:v>40</x:v>
      </x:c>
      <x:c r="K288" s="16" t="s">
        <x:v>32</x:v>
      </x:c>
      <x:c r="L288" s="88">
        <x:v>200000</x:v>
      </x:c>
      <x:c r="M288" s="88"/>
      <x:c r="N288" s="11" t="s">
        <x:v>21</x:v>
      </x:c>
      <x:c r="O288" s="16"/>
      <x:c r="P288" s="44" t="s">
        <x:v>866</x:v>
      </x:c>
      <x:c r="Q288" s="19"/>
    </x:row>
    <x:row r="289" ht="51">
      <x:c r="A289" s="9">
        <x:v>2025</x:v>
      </x:c>
      <x:c r="B289" s="14" t="s">
        <x:v>867</x:v>
      </x:c>
      <x:c r="C289" s="11" t="e">
        <x:f>IFERROR(VLOOKUP(B289,Regiões!A:B,2,0),"")</x:f>
        <x:v>#NAME?</x:v>
      </x:c>
      <x:c r="D289" s="11" t="s">
        <x:v>868</x:v>
      </x:c>
      <x:c r="E289" s="12" t="s">
        <x:v>869</x:v>
      </x:c>
      <x:c r="F289" s="13">
        <x:v>11991195000103</x:v>
      </x:c>
      <x:c r="G289" s="14" t="s">
        <x:v>18</x:v>
      </x:c>
      <x:c r="H289" s="87">
        <x:v>41160003</x:v>
      </x:c>
      <x:c r="I289" s="9" t="s">
        <x:v>463</x:v>
      </x:c>
      <x:c r="J289" s="9" t="s">
        <x:v>40</x:v>
      </x:c>
      <x:c r="K289" s="16" t="s">
        <x:v>32</x:v>
      </x:c>
      <x:c r="L289" s="88">
        <x:v>200000</x:v>
      </x:c>
      <x:c r="M289" s="88"/>
      <x:c r="N289" s="11" t="s">
        <x:v>21</x:v>
      </x:c>
      <x:c r="O289" s="16"/>
      <x:c r="P289" s="111" t="s">
        <x:v>870</x:v>
      </x:c>
      <x:c r="Q289" s="19"/>
    </x:row>
    <x:row r="290" ht="51">
      <x:c r="A290" s="9">
        <x:v>2025</x:v>
      </x:c>
      <x:c r="B290" s="14" t="s">
        <x:v>871</x:v>
      </x:c>
      <x:c r="C290" s="11" t="e">
        <x:f>IFERROR(VLOOKUP(B290,Regiões!A:B,2,0),"")</x:f>
        <x:v>#NAME?</x:v>
      </x:c>
      <x:c r="D290" s="11" t="s">
        <x:v>872</x:v>
      </x:c>
      <x:c r="E290" s="12" t="s">
        <x:v>873</x:v>
      </x:c>
      <x:c r="F290" s="13">
        <x:v>13094599000111</x:v>
      </x:c>
      <x:c r="G290" s="14" t="s">
        <x:v>18</x:v>
      </x:c>
      <x:c r="H290" s="87">
        <x:v>41160003</x:v>
      </x:c>
      <x:c r="I290" s="9" t="s">
        <x:v>463</x:v>
      </x:c>
      <x:c r="J290" s="9" t="s">
        <x:v>40</x:v>
      </x:c>
      <x:c r="K290" s="16" t="s">
        <x:v>32</x:v>
      </x:c>
      <x:c r="L290" s="88">
        <x:v>200000</x:v>
      </x:c>
      <x:c r="M290" s="88"/>
      <x:c r="N290" s="11" t="s">
        <x:v>21</x:v>
      </x:c>
      <x:c r="O290" s="16"/>
      <x:c r="P290" s="111" t="s">
        <x:v>473</x:v>
      </x:c>
      <x:c r="Q290" s="19"/>
    </x:row>
    <x:row r="291" ht="63.75">
      <x:c r="A291" s="9">
        <x:v>2025</x:v>
      </x:c>
      <x:c r="B291" s="14" t="s">
        <x:v>874</x:v>
      </x:c>
      <x:c r="C291" s="11" t="e">
        <x:f>IFERROR(VLOOKUP(B291,Regiões!A:B,2,0),"")</x:f>
        <x:v>#NAME?</x:v>
      </x:c>
      <x:c r="D291" s="11" t="s">
        <x:v>875</x:v>
      </x:c>
      <x:c r="E291" s="12" t="s">
        <x:v>876</x:v>
      </x:c>
      <x:c r="F291" s="13">
        <x:v>12361661000121</x:v>
      </x:c>
      <x:c r="G291" s="14" t="s">
        <x:v>18</x:v>
      </x:c>
      <x:c r="H291" s="87">
        <x:v>41160003</x:v>
      </x:c>
      <x:c r="I291" s="9" t="s">
        <x:v>463</x:v>
      </x:c>
      <x:c r="J291" s="9" t="s">
        <x:v>40</x:v>
      </x:c>
      <x:c r="K291" s="16" t="s">
        <x:v>32</x:v>
      </x:c>
      <x:c r="L291" s="88">
        <x:v>200000</x:v>
      </x:c>
      <x:c r="M291" s="88"/>
      <x:c r="N291" s="11" t="s">
        <x:v>21</x:v>
      </x:c>
      <x:c r="O291" s="16"/>
      <x:c r="P291" s="111" t="s">
        <x:v>877</x:v>
      </x:c>
      <x:c r="Q291" s="19"/>
    </x:row>
    <x:row r="292" ht="51">
      <x:c r="A292" s="9">
        <x:v>2025</x:v>
      </x:c>
      <x:c r="B292" s="14" t="s">
        <x:v>878</x:v>
      </x:c>
      <x:c r="C292" s="11" t="e">
        <x:f>IFERROR(VLOOKUP(B292,Regiões!A:B,2,0),"")</x:f>
        <x:v>#NAME?</x:v>
      </x:c>
      <x:c r="D292" s="11" t="s">
        <x:v>879</x:v>
      </x:c>
      <x:c r="E292" s="12" t="s">
        <x:v>880</x:v>
      </x:c>
      <x:c r="F292" s="13">
        <x:v>4216419000136</x:v>
      </x:c>
      <x:c r="G292" s="14" t="s">
        <x:v>18</x:v>
      </x:c>
      <x:c r="H292" s="87">
        <x:v>41160008</x:v>
      </x:c>
      <x:c r="I292" s="9" t="s">
        <x:v>881</x:v>
      </x:c>
      <x:c r="J292" s="9" t="s">
        <x:v>25</x:v>
      </x:c>
      <x:c r="K292" s="16" t="s">
        <x:v>32</x:v>
      </x:c>
      <x:c r="L292" s="88">
        <x:v>200000</x:v>
      </x:c>
      <x:c r="M292" s="88"/>
      <x:c r="N292" s="11" t="s">
        <x:v>21</x:v>
      </x:c>
      <x:c r="O292" s="16"/>
      <x:c r="P292" s="111" t="s">
        <x:v>882</x:v>
      </x:c>
      <x:c r="Q292" s="19"/>
    </x:row>
    <x:row r="293" ht="102">
      <x:c r="A293" s="9">
        <x:v>2025</x:v>
      </x:c>
      <x:c r="B293" s="14" t="s">
        <x:v>883</x:v>
      </x:c>
      <x:c r="C293" s="11" t="e">
        <x:f>IFERROR(VLOOKUP(B293,Regiões!A:B,2,0),"")</x:f>
        <x:v>#NAME?</x:v>
      </x:c>
      <x:c r="D293" s="11" t="s">
        <x:v>884</x:v>
      </x:c>
      <x:c r="E293" s="12" t="s">
        <x:v>885</x:v>
      </x:c>
      <x:c r="F293" s="13">
        <x:v>13852788000106</x:v>
      </x:c>
      <x:c r="G293" s="14" t="s">
        <x:v>18</x:v>
      </x:c>
      <x:c r="H293" s="87">
        <x:v>41160004</x:v>
      </x:c>
      <x:c r="I293" s="9" t="s">
        <x:v>502</x:v>
      </x:c>
      <x:c r="J293" s="9" t="s">
        <x:v>40</x:v>
      </x:c>
      <x:c r="K293" s="16" t="s">
        <x:v>32</x:v>
      </x:c>
      <x:c r="L293" s="88">
        <x:v>200000</x:v>
      </x:c>
      <x:c r="M293" s="88"/>
      <x:c r="N293" s="11" t="s">
        <x:v>21</x:v>
      </x:c>
      <x:c r="O293" s="16"/>
      <x:c r="P293" s="111" t="s">
        <x:v>886</x:v>
      </x:c>
      <x:c r="Q293" s="19"/>
    </x:row>
    <x:row r="294" ht="102">
      <x:c r="A294" s="9">
        <x:v>2025</x:v>
      </x:c>
      <x:c r="B294" s="14" t="s">
        <x:v>233</x:v>
      </x:c>
      <x:c r="C294" s="11" t="e">
        <x:f>IFERROR(VLOOKUP(B294,Regiões!A:B,2,0),"")</x:f>
        <x:v>#NAME?</x:v>
      </x:c>
      <x:c r="D294" s="11" t="s">
        <x:v>887</x:v>
      </x:c>
      <x:c r="E294" s="12" t="s">
        <x:v>888</x:v>
      </x:c>
      <x:c r="F294" s="13">
        <x:v>13931745000116</x:v>
      </x:c>
      <x:c r="G294" s="14" t="s">
        <x:v>18</x:v>
      </x:c>
      <x:c r="H294" s="87">
        <x:v>41160004</x:v>
      </x:c>
      <x:c r="I294" s="9" t="s">
        <x:v>502</x:v>
      </x:c>
      <x:c r="J294" s="9" t="s">
        <x:v>40</x:v>
      </x:c>
      <x:c r="K294" s="16" t="s">
        <x:v>32</x:v>
      </x:c>
      <x:c r="L294" s="88">
        <x:v>200000</x:v>
      </x:c>
      <x:c r="M294" s="88"/>
      <x:c r="N294" s="11" t="s">
        <x:v>21</x:v>
      </x:c>
      <x:c r="O294" s="16"/>
      <x:c r="P294" s="111" t="s">
        <x:v>889</x:v>
      </x:c>
      <x:c r="Q294" s="19"/>
    </x:row>
    <x:row r="295" ht="51">
      <x:c r="A295" s="9">
        <x:v>2025</x:v>
      </x:c>
      <x:c r="B295" s="14" t="s">
        <x:v>890</x:v>
      </x:c>
      <x:c r="C295" s="11" t="e">
        <x:f>IFERROR(VLOOKUP(B295,Regiões!A:B,2,0),"")</x:f>
        <x:v>#NAME?</x:v>
      </x:c>
      <x:c r="D295" s="11" t="s">
        <x:v>891</x:v>
      </x:c>
      <x:c r="E295" s="12" t="s">
        <x:v>892</x:v>
      </x:c>
      <x:c r="F295" s="13">
        <x:v>10567506000130</x:v>
      </x:c>
      <x:c r="G295" s="14" t="s">
        <x:v>18</x:v>
      </x:c>
      <x:c r="H295" s="87">
        <x:v>41160004</x:v>
      </x:c>
      <x:c r="I295" s="9" t="s">
        <x:v>502</x:v>
      </x:c>
      <x:c r="J295" s="9" t="s">
        <x:v>40</x:v>
      </x:c>
      <x:c r="K295" s="16" t="s">
        <x:v>32</x:v>
      </x:c>
      <x:c r="L295" s="88">
        <x:v>200000</x:v>
      </x:c>
      <x:c r="M295" s="88"/>
      <x:c r="N295" s="11" t="s">
        <x:v>21</x:v>
      </x:c>
      <x:c r="O295" s="16"/>
      <x:c r="P295" s="111" t="s">
        <x:v>893</x:v>
      </x:c>
      <x:c r="Q295" s="19"/>
    </x:row>
    <x:row r="296" ht="51">
      <x:c r="A296" s="9">
        <x:v>2025</x:v>
      </x:c>
      <x:c r="B296" s="14" t="s">
        <x:v>894</x:v>
      </x:c>
      <x:c r="C296" s="11" t="e">
        <x:f>IFERROR(VLOOKUP(B296,Regiões!A:B,2,0),"")</x:f>
        <x:v>#NAME?</x:v>
      </x:c>
      <x:c r="D296" s="11" t="s">
        <x:v>895</x:v>
      </x:c>
      <x:c r="E296" s="12" t="s">
        <x:v>896</x:v>
      </x:c>
      <x:c r="F296" s="13">
        <x:v>12143932000172</x:v>
      </x:c>
      <x:c r="G296" s="14" t="s">
        <x:v>18</x:v>
      </x:c>
      <x:c r="H296" s="133">
        <x:v>41160004</x:v>
      </x:c>
      <x:c r="I296" s="9" t="s">
        <x:v>502</x:v>
      </x:c>
      <x:c r="J296" s="9" t="s">
        <x:v>40</x:v>
      </x:c>
      <x:c r="K296" s="16" t="s">
        <x:v>32</x:v>
      </x:c>
      <x:c r="L296" s="134">
        <x:v>200000</x:v>
      </x:c>
      <x:c r="M296" s="134"/>
      <x:c r="N296" s="11" t="s">
        <x:v>21</x:v>
      </x:c>
      <x:c r="O296" s="16"/>
      <x:c r="P296" s="111" t="s">
        <x:v>897</x:v>
      </x:c>
      <x:c r="Q296" s="19"/>
    </x:row>
    <x:row r="297" ht="102">
      <x:c r="A297" s="9">
        <x:v>2025</x:v>
      </x:c>
      <x:c r="B297" s="14" t="s">
        <x:v>898</x:v>
      </x:c>
      <x:c r="C297" s="11" t="e">
        <x:f>IFERROR(VLOOKUP(B297,Regiões!A:B,2,0),"")</x:f>
        <x:v>#NAME?</x:v>
      </x:c>
      <x:c r="D297" s="11" t="s">
        <x:v>899</x:v>
      </x:c>
      <x:c r="E297" s="12" t="s">
        <x:v>900</x:v>
      </x:c>
      <x:c r="F297" s="13">
        <x:v>87617874000170</x:v>
      </x:c>
      <x:c r="G297" s="10" t="s">
        <x:v>900</x:v>
      </x:c>
      <x:c r="H297" s="87">
        <x:v>41160004</x:v>
      </x:c>
      <x:c r="I297" s="9" t="s">
        <x:v>502</x:v>
      </x:c>
      <x:c r="J297" s="9" t="s">
        <x:v>40</x:v>
      </x:c>
      <x:c r="K297" s="16" t="s">
        <x:v>32</x:v>
      </x:c>
      <x:c r="L297" s="88">
        <x:v>200000</x:v>
      </x:c>
      <x:c r="M297" s="88"/>
      <x:c r="N297" s="11" t="s">
        <x:v>21</x:v>
      </x:c>
      <x:c r="O297" s="16"/>
      <x:c r="P297" s="111" t="s">
        <x:v>901</x:v>
      </x:c>
      <x:c r="Q297" s="19"/>
    </x:row>
    <x:row r="298" ht="76.5">
      <x:c r="A298" s="9">
        <x:v>2025</x:v>
      </x:c>
      <x:c r="B298" s="14" t="s">
        <x:v>902</x:v>
      </x:c>
      <x:c r="C298" s="11" t="e">
        <x:f>IFERROR(VLOOKUP(B298,Regiões!A:B,2,0),"")</x:f>
        <x:v>#NAME?</x:v>
      </x:c>
      <x:c r="D298" s="11" t="s">
        <x:v>903</x:v>
      </x:c>
      <x:c r="E298" s="12" t="s">
        <x:v>904</x:v>
      </x:c>
      <x:c r="F298" s="13">
        <x:v>87317764000789</x:v>
      </x:c>
      <x:c r="G298" s="10" t="s">
        <x:v>904</x:v>
      </x:c>
      <x:c r="H298" s="87">
        <x:v>41160004</x:v>
      </x:c>
      <x:c r="I298" s="9" t="s">
        <x:v>502</x:v>
      </x:c>
      <x:c r="J298" s="9" t="s">
        <x:v>40</x:v>
      </x:c>
      <x:c r="K298" s="16" t="s">
        <x:v>32</x:v>
      </x:c>
      <x:c r="L298" s="88">
        <x:v>200000</x:v>
      </x:c>
      <x:c r="M298" s="88"/>
      <x:c r="N298" s="11" t="s">
        <x:v>21</x:v>
      </x:c>
      <x:c r="O298" s="16"/>
      <x:c r="P298" s="111" t="s">
        <x:v>905</x:v>
      </x:c>
      <x:c r="Q298" s="19"/>
    </x:row>
    <x:row r="299" ht="51">
      <x:c r="A299" s="9">
        <x:v>2025</x:v>
      </x:c>
      <x:c r="B299" s="14" t="s">
        <x:v>906</x:v>
      </x:c>
      <x:c r="C299" s="11" t="e">
        <x:f>IFERROR(VLOOKUP(B299,Regiões!A:B,2,0),"")</x:f>
        <x:v>#NAME?</x:v>
      </x:c>
      <x:c r="D299" s="11" t="s">
        <x:v>907</x:v>
      </x:c>
      <x:c r="E299" s="12" t="s">
        <x:v>908</x:v>
      </x:c>
      <x:c r="F299" s="13">
        <x:v>89286249000119</x:v>
      </x:c>
      <x:c r="G299" s="10" t="s">
        <x:v>908</x:v>
      </x:c>
      <x:c r="H299" s="87">
        <x:v>41160004</x:v>
      </x:c>
      <x:c r="I299" s="9" t="s">
        <x:v>502</x:v>
      </x:c>
      <x:c r="J299" s="9" t="s">
        <x:v>40</x:v>
      </x:c>
      <x:c r="K299" s="16" t="s">
        <x:v>32</x:v>
      </x:c>
      <x:c r="L299" s="88">
        <x:v>200000</x:v>
      </x:c>
      <x:c r="M299" s="88"/>
      <x:c r="N299" s="11" t="s">
        <x:v>21</x:v>
      </x:c>
      <x:c r="O299" s="16"/>
      <x:c r="P299" s="111" t="s">
        <x:v>909</x:v>
      </x:c>
      <x:c r="Q299" s="19"/>
    </x:row>
    <x:row r="300" ht="51">
      <x:c r="A300" s="9">
        <x:v>2025</x:v>
      </x:c>
      <x:c r="B300" s="14" t="s">
        <x:v>910</x:v>
      </x:c>
      <x:c r="C300" s="11" t="e">
        <x:f>IFERROR(VLOOKUP(B300,Regiões!A:B,2,0),"")</x:f>
        <x:v>#NAME?</x:v>
      </x:c>
      <x:c r="D300" s="11" t="s">
        <x:v>911</x:v>
      </x:c>
      <x:c r="E300" s="12" t="s">
        <x:v>912</x:v>
      </x:c>
      <x:c r="F300" s="13">
        <x:v>11963245000130</x:v>
      </x:c>
      <x:c r="G300" s="14" t="s">
        <x:v>18</x:v>
      </x:c>
      <x:c r="H300" s="87">
        <x:v>41160003</x:v>
      </x:c>
      <x:c r="I300" s="9" t="s">
        <x:v>463</x:v>
      </x:c>
      <x:c r="J300" s="9" t="s">
        <x:v>40</x:v>
      </x:c>
      <x:c r="K300" s="16" t="s">
        <x:v>32</x:v>
      </x:c>
      <x:c r="L300" s="88">
        <x:v>200000</x:v>
      </x:c>
      <x:c r="M300" s="88"/>
      <x:c r="N300" s="11" t="s">
        <x:v>21</x:v>
      </x:c>
      <x:c r="O300" s="16"/>
      <x:c r="P300" s="89"/>
      <x:c r="Q300" s="19"/>
    </x:row>
    <x:row r="301" ht="25.5">
      <x:c r="A301" s="9">
        <x:v>2025</x:v>
      </x:c>
      <x:c r="B301" s="14" t="s">
        <x:v>913</x:v>
      </x:c>
      <x:c r="C301" s="11" t="e">
        <x:f>IFERROR(VLOOKUP(B301,Regiões!A:B,2,0),"")</x:f>
        <x:v>#NAME?</x:v>
      </x:c>
      <x:c r="D301" s="11"/>
      <x:c r="E301" s="12" t="s">
        <x:v>914</x:v>
      </x:c>
      <x:c r="F301" s="13">
        <x:v>12018688000116</x:v>
      </x:c>
      <x:c r="G301" s="14" t="s">
        <x:v>18</x:v>
      </x:c>
      <x:c r="H301" s="87">
        <x:v>41160003</x:v>
      </x:c>
      <x:c r="I301" s="9" t="s">
        <x:v>463</x:v>
      </x:c>
      <x:c r="J301" s="9" t="s">
        <x:v>40</x:v>
      </x:c>
      <x:c r="K301" s="16" t="s">
        <x:v>32</x:v>
      </x:c>
      <x:c r="L301" s="88">
        <x:v>200000</x:v>
      </x:c>
      <x:c r="M301" s="88"/>
      <x:c r="N301" s="11" t="s">
        <x:v>21</x:v>
      </x:c>
      <x:c r="O301" s="16"/>
      <x:c r="P301" s="111" t="s">
        <x:v>915</x:v>
      </x:c>
      <x:c r="Q301" s="19"/>
    </x:row>
    <x:row r="302" ht="51">
      <x:c r="A302" s="9">
        <x:v>2025</x:v>
      </x:c>
      <x:c r="B302" s="14" t="s">
        <x:v>916</x:v>
      </x:c>
      <x:c r="C302" s="11" t="e">
        <x:f>IFERROR(VLOOKUP(B302,Regiões!A:B,2,0),"")</x:f>
        <x:v>#NAME?</x:v>
      </x:c>
      <x:c r="D302" s="11" t="s">
        <x:v>917</x:v>
      </x:c>
      <x:c r="E302" s="12" t="s">
        <x:v>918</x:v>
      </x:c>
      <x:c r="F302" s="13">
        <x:v>12152805000130</x:v>
      </x:c>
      <x:c r="G302" s="10" t="s">
        <x:v>918</x:v>
      </x:c>
      <x:c r="H302" s="87">
        <x:v>41160003</x:v>
      </x:c>
      <x:c r="I302" s="9" t="s">
        <x:v>463</x:v>
      </x:c>
      <x:c r="J302" s="9" t="s">
        <x:v>40</x:v>
      </x:c>
      <x:c r="K302" s="16" t="s">
        <x:v>32</x:v>
      </x:c>
      <x:c r="L302" s="88">
        <x:v>200000</x:v>
      </x:c>
      <x:c r="M302" s="88"/>
      <x:c r="N302" s="11" t="s">
        <x:v>21</x:v>
      </x:c>
      <x:c r="O302" s="16"/>
      <x:c r="P302" s="111" t="s">
        <x:v>919</x:v>
      </x:c>
      <x:c r="Q302" s="19"/>
    </x:row>
    <x:row r="303" ht="51">
      <x:c r="A303" s="9">
        <x:v>2025</x:v>
      </x:c>
      <x:c r="B303" s="14" t="s">
        <x:v>894</x:v>
      </x:c>
      <x:c r="C303" s="11" t="e">
        <x:f>IFERROR(VLOOKUP(B303,Regiões!A:B,2,0),"")</x:f>
        <x:v>#NAME?</x:v>
      </x:c>
      <x:c r="D303" s="11" t="s">
        <x:v>920</x:v>
      </x:c>
      <x:c r="E303" s="12" t="s">
        <x:v>921</x:v>
      </x:c>
      <x:c r="F303" s="13">
        <x:v>92741016000416</x:v>
      </x:c>
      <x:c r="G303" s="10" t="s">
        <x:v>921</x:v>
      </x:c>
      <x:c r="H303" s="87">
        <x:v>41160004</x:v>
      </x:c>
      <x:c r="I303" s="9" t="s">
        <x:v>502</x:v>
      </x:c>
      <x:c r="J303" s="9" t="s">
        <x:v>40</x:v>
      </x:c>
      <x:c r="K303" s="16" t="s">
        <x:v>32</x:v>
      </x:c>
      <x:c r="L303" s="88">
        <x:v>200000</x:v>
      </x:c>
      <x:c r="M303" s="88"/>
      <x:c r="N303" s="11" t="s">
        <x:v>21</x:v>
      </x:c>
      <x:c r="O303" s="16"/>
      <x:c r="P303" s="111" t="s">
        <x:v>897</x:v>
      </x:c>
      <x:c r="Q303" s="19"/>
    </x:row>
    <x:row r="304" ht="51">
      <x:c r="A304" s="9">
        <x:v>2025</x:v>
      </x:c>
      <x:c r="B304" s="14" t="s">
        <x:v>922</x:v>
      </x:c>
      <x:c r="C304" s="11" t="e">
        <x:f>IFERROR(VLOOKUP(B304,Regiões!A:B,2,0),"")</x:f>
        <x:v>#NAME?</x:v>
      </x:c>
      <x:c r="D304" s="11" t="s">
        <x:v>923</x:v>
      </x:c>
      <x:c r="E304" s="12" t="s">
        <x:v>924</x:v>
      </x:c>
      <x:c r="F304" s="13">
        <x:v>87613360000147</x:v>
      </x:c>
      <x:c r="G304" s="14" t="s">
        <x:v>18</x:v>
      </x:c>
      <x:c r="H304" s="87">
        <x:v>41160008</x:v>
      </x:c>
      <x:c r="I304" s="9" t="s">
        <x:v>925</x:v>
      </x:c>
      <x:c r="J304" s="9" t="s">
        <x:v>40</x:v>
      </x:c>
      <x:c r="K304" s="16" t="s">
        <x:v>32</x:v>
      </x:c>
      <x:c r="L304" s="88">
        <x:v>200000</x:v>
      </x:c>
      <x:c r="M304" s="88"/>
      <x:c r="N304" s="11" t="s">
        <x:v>21</x:v>
      </x:c>
      <x:c r="O304" s="16"/>
      <x:c r="P304" s="111" t="s">
        <x:v>926</x:v>
      </x:c>
      <x:c r="Q304" s="19"/>
    </x:row>
    <x:row r="305" ht="51">
      <x:c r="A305" s="9">
        <x:v>2025</x:v>
      </x:c>
      <x:c r="B305" s="14" t="s">
        <x:v>927</x:v>
      </x:c>
      <x:c r="C305" s="11" t="e">
        <x:f>IFERROR(VLOOKUP(B305,Regiões!A:B,2,0),"")</x:f>
        <x:v>#NAME?</x:v>
      </x:c>
      <x:c r="D305" s="11" t="s">
        <x:v>928</x:v>
      </x:c>
      <x:c r="E305" s="12" t="s">
        <x:v>929</x:v>
      </x:c>
      <x:c r="F305" s="13">
        <x:v>93539161000139</x:v>
      </x:c>
      <x:c r="G305" s="14" t="s">
        <x:v>18</x:v>
      </x:c>
      <x:c r="H305" s="87">
        <x:v>41160008</x:v>
      </x:c>
      <x:c r="I305" s="9" t="s">
        <x:v>925</x:v>
      </x:c>
      <x:c r="J305" s="9" t="s">
        <x:v>40</x:v>
      </x:c>
      <x:c r="K305" s="16" t="s">
        <x:v>32</x:v>
      </x:c>
      <x:c r="L305" s="88">
        <x:v>200000</x:v>
      </x:c>
      <x:c r="M305" s="88"/>
      <x:c r="N305" s="11" t="s">
        <x:v>21</x:v>
      </x:c>
      <x:c r="O305" s="16"/>
      <x:c r="P305" s="111" t="s">
        <x:v>930</x:v>
      </x:c>
      <x:c r="Q305" s="19"/>
    </x:row>
    <x:row r="306" ht="51">
      <x:c r="A306" s="9">
        <x:v>2025</x:v>
      </x:c>
      <x:c r="B306" s="14" t="s">
        <x:v>931</x:v>
      </x:c>
      <x:c r="C306" s="11" t="e">
        <x:f>IFERROR(VLOOKUP(B306,Regiões!A:B,2,0),"")</x:f>
        <x:v>#NAME?</x:v>
      </x:c>
      <x:c r="D306" s="11" t="s">
        <x:v>932</x:v>
      </x:c>
      <x:c r="E306" s="12" t="s">
        <x:v>933</x:v>
      </x:c>
      <x:c r="F306" s="13">
        <x:v>92457175000140</x:v>
      </x:c>
      <x:c r="G306" s="14" t="s">
        <x:v>18</x:v>
      </x:c>
      <x:c r="H306" s="87">
        <x:v>41160008</x:v>
      </x:c>
      <x:c r="I306" s="9" t="s">
        <x:v>925</x:v>
      </x:c>
      <x:c r="J306" s="9" t="s">
        <x:v>40</x:v>
      </x:c>
      <x:c r="K306" s="16" t="s">
        <x:v>32</x:v>
      </x:c>
      <x:c r="L306" s="88">
        <x:v>200000</x:v>
      </x:c>
      <x:c r="M306" s="88"/>
      <x:c r="N306" s="11" t="s">
        <x:v>21</x:v>
      </x:c>
      <x:c r="O306" s="16"/>
      <x:c r="P306" s="111" t="s">
        <x:v>473</x:v>
      </x:c>
      <x:c r="Q306" s="19"/>
    </x:row>
    <x:row r="307" ht="51">
      <x:c r="A307" s="9">
        <x:v>2025</x:v>
      </x:c>
      <x:c r="B307" s="14" t="s">
        <x:v>934</x:v>
      </x:c>
      <x:c r="C307" s="11" t="e">
        <x:f>IFERROR(VLOOKUP(B307,Regiões!A:B,2,0),"")</x:f>
        <x:v>#NAME?</x:v>
      </x:c>
      <x:c r="D307" s="11" t="s">
        <x:v>935</x:v>
      </x:c>
      <x:c r="E307" s="12" t="s">
        <x:v>936</x:v>
      </x:c>
      <x:c r="F307" s="13">
        <x:v>87488938000180</x:v>
      </x:c>
      <x:c r="G307" s="14" t="s">
        <x:v>18</x:v>
      </x:c>
      <x:c r="H307" s="87">
        <x:v>41160008</x:v>
      </x:c>
      <x:c r="I307" s="9" t="s">
        <x:v>925</x:v>
      </x:c>
      <x:c r="J307" s="9" t="s">
        <x:v>40</x:v>
      </x:c>
      <x:c r="K307" s="16" t="s">
        <x:v>32</x:v>
      </x:c>
      <x:c r="L307" s="88">
        <x:v>200000</x:v>
      </x:c>
      <x:c r="M307" s="88"/>
      <x:c r="N307" s="11" t="s">
        <x:v>21</x:v>
      </x:c>
      <x:c r="O307" s="16"/>
      <x:c r="P307" s="111" t="s">
        <x:v>937</x:v>
      </x:c>
      <x:c r="Q307" s="19"/>
    </x:row>
    <x:row r="308" ht="51">
      <x:c r="A308" s="9">
        <x:v>2025</x:v>
      </x:c>
      <x:c r="B308" s="14" t="s">
        <x:v>938</x:v>
      </x:c>
      <x:c r="C308" s="11" t="e">
        <x:f>IFERROR(VLOOKUP(B308,Regiões!A:B,2,0),"")</x:f>
        <x:v>#NAME?</x:v>
      </x:c>
      <x:c r="D308" s="11" t="s">
        <x:v>939</x:v>
      </x:c>
      <x:c r="E308" s="12" t="s">
        <x:v>940</x:v>
      </x:c>
      <x:c r="F308" s="13">
        <x:v>92637792000128</x:v>
      </x:c>
      <x:c r="G308" s="10" t="s">
        <x:v>940</x:v>
      </x:c>
      <x:c r="H308" s="59">
        <x:v>41160004</x:v>
      </x:c>
      <x:c r="I308" s="9" t="s">
        <x:v>502</x:v>
      </x:c>
      <x:c r="J308" s="9" t="s">
        <x:v>40</x:v>
      </x:c>
      <x:c r="K308" s="16" t="s">
        <x:v>32</x:v>
      </x:c>
      <x:c r="L308" s="90">
        <x:v>200000</x:v>
      </x:c>
      <x:c r="M308" s="90"/>
      <x:c r="N308" s="11" t="s">
        <x:v>21</x:v>
      </x:c>
      <x:c r="O308" s="16"/>
      <x:c r="P308" s="91" t="s">
        <x:v>941</x:v>
      </x:c>
      <x:c r="Q308" s="19"/>
    </x:row>
    <x:row r="309" ht="51">
      <x:c r="A309" s="9">
        <x:v>2025</x:v>
      </x:c>
      <x:c r="B309" s="14" t="s">
        <x:v>942</x:v>
      </x:c>
      <x:c r="C309" s="11" t="e">
        <x:f>IFERROR(VLOOKUP(B309,Regiões!A:B,2,0),"")</x:f>
        <x:v>#NAME?</x:v>
      </x:c>
      <x:c r="D309" s="11" t="s">
        <x:v>943</x:v>
      </x:c>
      <x:c r="E309" s="12" t="s">
        <x:v>944</x:v>
      </x:c>
      <x:c r="F309" s="13">
        <x:v>12053497000195</x:v>
      </x:c>
      <x:c r="G309" s="14" t="s">
        <x:v>18</x:v>
      </x:c>
      <x:c r="H309" s="59">
        <x:v>41160001</x:v>
      </x:c>
      <x:c r="I309" s="9" t="s">
        <x:v>106</x:v>
      </x:c>
      <x:c r="J309" s="9" t="s">
        <x:v>40</x:v>
      </x:c>
      <x:c r="K309" s="16" t="s">
        <x:v>20</x:v>
      </x:c>
      <x:c r="L309" s="90">
        <x:v>200000</x:v>
      </x:c>
      <x:c r="M309" s="90"/>
      <x:c r="N309" s="11" t="s">
        <x:v>21</x:v>
      </x:c>
      <x:c r="O309" s="16"/>
      <x:c r="P309" s="91" t="s">
        <x:v>473</x:v>
      </x:c>
      <x:c r="Q309" s="19"/>
    </x:row>
    <x:row r="310" ht="51">
      <x:c r="A310" s="9">
        <x:v>2025</x:v>
      </x:c>
      <x:c r="B310" s="14" t="s">
        <x:v>945</x:v>
      </x:c>
      <x:c r="C310" s="11" t="e">
        <x:f>IFERROR(VLOOKUP(B310,Regiões!A:B,2,0),"")</x:f>
        <x:v>#NAME?</x:v>
      </x:c>
      <x:c r="D310" s="11" t="s">
        <x:v>946</x:v>
      </x:c>
      <x:c r="E310" s="12" t="s">
        <x:v>947</x:v>
      </x:c>
      <x:c r="F310" s="13">
        <x:v>12220162000114</x:v>
      </x:c>
      <x:c r="G310" s="14" t="s">
        <x:v>18</x:v>
      </x:c>
      <x:c r="H310" s="59">
        <x:v>41160001</x:v>
      </x:c>
      <x:c r="I310" s="9" t="s">
        <x:v>106</x:v>
      </x:c>
      <x:c r="J310" s="9" t="s">
        <x:v>40</x:v>
      </x:c>
      <x:c r="K310" s="16" t="s">
        <x:v>20</x:v>
      </x:c>
      <x:c r="L310" s="90">
        <x:v>200000</x:v>
      </x:c>
      <x:c r="M310" s="90"/>
      <x:c r="N310" s="11" t="s">
        <x:v>21</x:v>
      </x:c>
      <x:c r="O310" s="16"/>
      <x:c r="P310" s="91" t="s">
        <x:v>948</x:v>
      </x:c>
      <x:c r="Q310" s="19"/>
    </x:row>
    <x:row r="311" ht="76.5">
      <x:c r="A311" s="9">
        <x:v>2025</x:v>
      </x:c>
      <x:c r="B311" s="14" t="s">
        <x:v>310</x:v>
      </x:c>
      <x:c r="C311" s="11" t="e">
        <x:f>IFERROR(VLOOKUP(B311,Regiões!A:B,2,0),"")</x:f>
        <x:v>#NAME?</x:v>
      </x:c>
      <x:c r="D311" s="11" t="s">
        <x:v>949</x:v>
      </x:c>
      <x:c r="E311" s="12" t="s">
        <x:v>950</x:v>
      </x:c>
      <x:c r="F311" s="13">
        <x:v>14069503000128</x:v>
      </x:c>
      <x:c r="G311" s="14" t="s">
        <x:v>18</x:v>
      </x:c>
      <x:c r="H311" s="59">
        <x:v>41160002</x:v>
      </x:c>
      <x:c r="I311" s="9" t="s">
        <x:v>468</x:v>
      </x:c>
      <x:c r="J311" s="9" t="s">
        <x:v>40</x:v>
      </x:c>
      <x:c r="K311" s="16" t="s">
        <x:v>20</x:v>
      </x:c>
      <x:c r="L311" s="90">
        <x:v>200000</x:v>
      </x:c>
      <x:c r="M311" s="90"/>
      <x:c r="N311" s="11" t="s">
        <x:v>21</x:v>
      </x:c>
      <x:c r="O311" s="16"/>
      <x:c r="P311" s="91" t="s">
        <x:v>951</x:v>
      </x:c>
      <x:c r="Q311" s="19"/>
    </x:row>
    <x:row r="312" ht="38.25">
      <x:c r="A312" s="9">
        <x:v>2025</x:v>
      </x:c>
      <x:c r="B312" s="14" t="s">
        <x:v>952</x:v>
      </x:c>
      <x:c r="C312" s="11" t="e">
        <x:f>IFERROR(VLOOKUP(B312,Regiões!A:B,2,0),"")</x:f>
        <x:v>#NAME?</x:v>
      </x:c>
      <x:c r="D312" s="11" t="s">
        <x:v>953</x:v>
      </x:c>
      <x:c r="E312" s="12" t="s">
        <x:v>954</x:v>
      </x:c>
      <x:c r="F312" s="13">
        <x:v>12007174000165</x:v>
      </x:c>
      <x:c r="G312" s="14" t="s">
        <x:v>18</x:v>
      </x:c>
      <x:c r="H312" s="59">
        <x:v>41160002</x:v>
      </x:c>
      <x:c r="I312" s="9" t="s">
        <x:v>468</x:v>
      </x:c>
      <x:c r="J312" s="9" t="s">
        <x:v>40</x:v>
      </x:c>
      <x:c r="K312" s="16" t="s">
        <x:v>20</x:v>
      </x:c>
      <x:c r="L312" s="60">
        <x:v>200000</x:v>
      </x:c>
      <x:c r="M312" s="60"/>
      <x:c r="N312" s="11" t="s">
        <x:v>21</x:v>
      </x:c>
      <x:c r="O312" s="16"/>
      <x:c r="P312" s="49" t="s">
        <x:v>475</x:v>
      </x:c>
      <x:c r="Q312" s="19"/>
    </x:row>
    <x:row r="313" ht="63.75">
      <x:c r="A313" s="9">
        <x:v>2025</x:v>
      </x:c>
      <x:c r="B313" s="14" t="s">
        <x:v>955</x:v>
      </x:c>
      <x:c r="C313" s="11" t="e">
        <x:f>IFERROR(VLOOKUP(B313,Regiões!A:B,2,0),"")</x:f>
        <x:v>#NAME?</x:v>
      </x:c>
      <x:c r="D313" s="11" t="s">
        <x:v>956</x:v>
      </x:c>
      <x:c r="E313" s="12" t="s">
        <x:v>957</x:v>
      </x:c>
      <x:c r="F313" s="13">
        <x:v>12117217000165</x:v>
      </x:c>
      <x:c r="G313" s="14" t="s">
        <x:v>18</x:v>
      </x:c>
      <x:c r="H313" s="59">
        <x:v>41160002</x:v>
      </x:c>
      <x:c r="I313" s="9" t="s">
        <x:v>468</x:v>
      </x:c>
      <x:c r="J313" s="9" t="s">
        <x:v>40</x:v>
      </x:c>
      <x:c r="K313" s="16" t="s">
        <x:v>20</x:v>
      </x:c>
      <x:c r="L313" s="60">
        <x:v>200000</x:v>
      </x:c>
      <x:c r="M313" s="60"/>
      <x:c r="N313" s="11" t="s">
        <x:v>21</x:v>
      </x:c>
      <x:c r="O313" s="16"/>
      <x:c r="P313" s="49" t="s">
        <x:v>475</x:v>
      </x:c>
      <x:c r="Q313" s="19"/>
    </x:row>
    <x:row r="314" ht="63.75">
      <x:c r="A314" s="9">
        <x:v>2025</x:v>
      </x:c>
      <x:c r="B314" s="14" t="s">
        <x:v>958</x:v>
      </x:c>
      <x:c r="C314" s="11" t="e">
        <x:f>IFERROR(VLOOKUP(B314,Regiões!A:B,2,0),"")</x:f>
        <x:v>#NAME?</x:v>
      </x:c>
      <x:c r="D314" s="11" t="s">
        <x:v>959</x:v>
      </x:c>
      <x:c r="E314" s="12" t="s">
        <x:v>960</x:v>
      </x:c>
      <x:c r="F314" s="13">
        <x:v>12149128000109</x:v>
      </x:c>
      <x:c r="G314" s="14" t="s">
        <x:v>18</x:v>
      </x:c>
      <x:c r="H314" s="59">
        <x:v>41160002</x:v>
      </x:c>
      <x:c r="I314" s="9" t="s">
        <x:v>468</x:v>
      </x:c>
      <x:c r="J314" s="9" t="s">
        <x:v>40</x:v>
      </x:c>
      <x:c r="K314" s="16" t="s">
        <x:v>20</x:v>
      </x:c>
      <x:c r="L314" s="60">
        <x:v>200000</x:v>
      </x:c>
      <x:c r="M314" s="60"/>
      <x:c r="N314" s="11" t="s">
        <x:v>21</x:v>
      </x:c>
      <x:c r="O314" s="16"/>
      <x:c r="P314" s="49" t="s">
        <x:v>475</x:v>
      </x:c>
      <x:c r="Q314" s="19"/>
    </x:row>
    <x:row r="315" ht="51">
      <x:c r="A315" s="9">
        <x:v>2025</x:v>
      </x:c>
      <x:c r="B315" s="14" t="s">
        <x:v>303</x:v>
      </x:c>
      <x:c r="C315" s="11" t="e">
        <x:f>IFERROR(VLOOKUP(B315,Regiões!A:B,2,0),"")</x:f>
        <x:v>#NAME?</x:v>
      </x:c>
      <x:c r="D315" s="11" t="s">
        <x:v>961</x:v>
      </x:c>
      <x:c r="E315" s="12" t="s">
        <x:v>962</x:v>
      </x:c>
      <x:c r="F315" s="13">
        <x:v>12623171000156</x:v>
      </x:c>
      <x:c r="G315" s="14" t="s">
        <x:v>18</x:v>
      </x:c>
      <x:c r="H315" s="59">
        <x:v>41160002</x:v>
      </x:c>
      <x:c r="I315" s="9" t="s">
        <x:v>468</x:v>
      </x:c>
      <x:c r="J315" s="9" t="s">
        <x:v>40</x:v>
      </x:c>
      <x:c r="K315" s="16" t="s">
        <x:v>20</x:v>
      </x:c>
      <x:c r="L315" s="60">
        <x:v>200000</x:v>
      </x:c>
      <x:c r="M315" s="60"/>
      <x:c r="N315" s="11" t="s">
        <x:v>21</x:v>
      </x:c>
      <x:c r="O315" s="16"/>
      <x:c r="P315" s="49" t="s">
        <x:v>475</x:v>
      </x:c>
      <x:c r="Q315" s="19"/>
    </x:row>
    <x:row r="316" ht="63.75">
      <x:c r="A316" s="9">
        <x:v>2025</x:v>
      </x:c>
      <x:c r="B316" s="14" t="s">
        <x:v>310</x:v>
      </x:c>
      <x:c r="C316" s="11" t="e">
        <x:f>IFERROR(VLOOKUP(B316,Regiões!A:B,2,0),"")</x:f>
        <x:v>#NAME?</x:v>
      </x:c>
      <x:c r="D316" s="11" t="s">
        <x:v>963</x:v>
      </x:c>
      <x:c r="E316" s="12" t="s">
        <x:v>950</x:v>
      </x:c>
      <x:c r="F316" s="13">
        <x:v>14069503000128</x:v>
      </x:c>
      <x:c r="G316" s="14" t="s">
        <x:v>18</x:v>
      </x:c>
      <x:c r="H316" s="59">
        <x:v>41160002</x:v>
      </x:c>
      <x:c r="I316" s="9" t="s">
        <x:v>468</x:v>
      </x:c>
      <x:c r="J316" s="9" t="s">
        <x:v>40</x:v>
      </x:c>
      <x:c r="K316" s="16" t="s">
        <x:v>20</x:v>
      </x:c>
      <x:c r="L316" s="60">
        <x:v>200000</x:v>
      </x:c>
      <x:c r="M316" s="60"/>
      <x:c r="N316" s="11" t="s">
        <x:v>21</x:v>
      </x:c>
      <x:c r="O316" s="16"/>
      <x:c r="P316" s="49" t="s">
        <x:v>475</x:v>
      </x:c>
      <x:c r="Q316" s="19"/>
    </x:row>
    <x:row r="317" ht="89.25">
      <x:c r="A317" s="9">
        <x:v>2025</x:v>
      </x:c>
      <x:c r="B317" s="14" t="s">
        <x:v>942</x:v>
      </x:c>
      <x:c r="C317" s="11" t="e">
        <x:f>IFERROR(VLOOKUP(B317,Regiões!A:B,2,0),"")</x:f>
        <x:v>#NAME?</x:v>
      </x:c>
      <x:c r="D317" s="11" t="s">
        <x:v>964</x:v>
      </x:c>
      <x:c r="E317" s="12" t="s">
        <x:v>944</x:v>
      </x:c>
      <x:c r="F317" s="13">
        <x:v>12053497000195</x:v>
      </x:c>
      <x:c r="G317" s="14" t="s">
        <x:v>18</x:v>
      </x:c>
      <x:c r="H317" s="59">
        <x:v>41160001</x:v>
      </x:c>
      <x:c r="I317" s="9" t="s">
        <x:v>106</x:v>
      </x:c>
      <x:c r="J317" s="9" t="s">
        <x:v>40</x:v>
      </x:c>
      <x:c r="K317" s="16" t="s">
        <x:v>20</x:v>
      </x:c>
      <x:c r="L317" s="60">
        <x:v>200000</x:v>
      </x:c>
      <x:c r="M317" s="60"/>
      <x:c r="N317" s="11" t="s">
        <x:v>21</x:v>
      </x:c>
      <x:c r="O317" s="16"/>
      <x:c r="P317" s="49" t="s">
        <x:v>107</x:v>
      </x:c>
      <x:c r="Q317" s="19"/>
    </x:row>
    <x:row r="318" ht="89.25">
      <x:c r="A318" s="9">
        <x:v>2025</x:v>
      </x:c>
      <x:c r="B318" s="14" t="s">
        <x:v>938</x:v>
      </x:c>
      <x:c r="C318" s="11" t="e">
        <x:f>IFERROR(VLOOKUP(B318,Regiões!A:B,2,0),"")</x:f>
        <x:v>#NAME?</x:v>
      </x:c>
      <x:c r="D318" s="11" t="s">
        <x:v>965</x:v>
      </x:c>
      <x:c r="E318" s="12" t="s">
        <x:v>940</x:v>
      </x:c>
      <x:c r="F318" s="13">
        <x:v>92637792000128</x:v>
      </x:c>
      <x:c r="G318" s="10" t="s">
        <x:v>940</x:v>
      </x:c>
      <x:c r="H318" s="59">
        <x:v>41160002</x:v>
      </x:c>
      <x:c r="I318" s="9" t="s">
        <x:v>966</x:v>
      </x:c>
      <x:c r="J318" s="9" t="s">
        <x:v>40</x:v>
      </x:c>
      <x:c r="K318" s="16" t="s">
        <x:v>32</x:v>
      </x:c>
      <x:c r="L318" s="60">
        <x:v>200000</x:v>
      </x:c>
      <x:c r="M318" s="60"/>
      <x:c r="N318" s="11" t="s">
        <x:v>21</x:v>
      </x:c>
      <x:c r="O318" s="16"/>
      <x:c r="P318" s="49" t="s">
        <x:v>475</x:v>
      </x:c>
      <x:c r="Q318" s="19"/>
    </x:row>
    <x:row r="319" ht="51">
      <x:c r="A319" s="9">
        <x:v>2025</x:v>
      </x:c>
      <x:c r="B319" s="14" t="s">
        <x:v>967</x:v>
      </x:c>
      <x:c r="C319" s="11" t="e">
        <x:f>IFERROR(VLOOKUP(B319,Regiões!A:B,2,0),"")</x:f>
        <x:v>#NAME?</x:v>
      </x:c>
      <x:c r="D319" s="11" t="s">
        <x:v>968</x:v>
      </x:c>
      <x:c r="E319" s="12" t="s">
        <x:v>967</x:v>
      </x:c>
      <x:c r="F319" s="13">
        <x:v>12238870000182</x:v>
      </x:c>
      <x:c r="G319" s="14"/>
      <x:c r="H319" s="59">
        <x:v>41160001</x:v>
      </x:c>
      <x:c r="I319" s="9" t="s">
        <x:v>106</x:v>
      </x:c>
      <x:c r="J319" s="9" t="s">
        <x:v>40</x:v>
      </x:c>
      <x:c r="K319" s="16" t="s">
        <x:v>20</x:v>
      </x:c>
      <x:c r="L319" s="88">
        <x:v>200000</x:v>
      </x:c>
      <x:c r="M319" s="88"/>
      <x:c r="N319" s="9" t="s">
        <x:v>33</x:v>
      </x:c>
      <x:c r="O319" s="16"/>
      <x:c r="P319" s="49" t="s">
        <x:v>107</x:v>
      </x:c>
      <x:c r="Q319" s="19"/>
    </x:row>
    <x:row r="320" ht="63.75">
      <x:c r="A320" s="9">
        <x:v>2025</x:v>
      </x:c>
      <x:c r="B320" s="14" t="s">
        <x:v>969</x:v>
      </x:c>
      <x:c r="C320" s="11" t="e">
        <x:f>IFERROR(VLOOKUP(B320,Regiões!A:B,2,0),"")</x:f>
        <x:v>#NAME?</x:v>
      </x:c>
      <x:c r="D320" s="11" t="s">
        <x:v>970</x:v>
      </x:c>
      <x:c r="E320" s="12" t="s">
        <x:v>969</x:v>
      </x:c>
      <x:c r="F320" s="13">
        <x:v>12360135000147</x:v>
      </x:c>
      <x:c r="G320" s="14"/>
      <x:c r="H320" s="59">
        <x:v>41160001</x:v>
      </x:c>
      <x:c r="I320" s="9" t="s">
        <x:v>106</x:v>
      </x:c>
      <x:c r="J320" s="9" t="s">
        <x:v>40</x:v>
      </x:c>
      <x:c r="K320" s="16" t="s">
        <x:v>20</x:v>
      </x:c>
      <x:c r="L320" s="71">
        <x:v>200000</x:v>
      </x:c>
      <x:c r="M320" s="71"/>
      <x:c r="N320" s="9" t="s">
        <x:v>33</x:v>
      </x:c>
      <x:c r="O320" s="16"/>
      <x:c r="P320" s="49" t="s">
        <x:v>107</x:v>
      </x:c>
      <x:c r="Q320" s="19"/>
    </x:row>
    <x:row r="321" ht="25.5">
      <x:c r="A321" s="9">
        <x:v>2025</x:v>
      </x:c>
      <x:c r="B321" s="14" t="s">
        <x:v>971</x:v>
      </x:c>
      <x:c r="C321" s="11" t="e">
        <x:f>IFERROR(VLOOKUP(B321,Regiões!A:B,2,0),"")</x:f>
        <x:v>#NAME?</x:v>
      </x:c>
      <x:c r="D321" s="11" t="s">
        <x:v>972</x:v>
      </x:c>
      <x:c r="E321" s="12" t="s">
        <x:v>971</x:v>
      </x:c>
      <x:c r="F321" s="13">
        <x:v>13893378000103</x:v>
      </x:c>
      <x:c r="G321" s="14"/>
      <x:c r="H321" s="59">
        <x:v>41160002</x:v>
      </x:c>
      <x:c r="I321" s="9" t="s">
        <x:v>468</x:v>
      </x:c>
      <x:c r="J321" s="9" t="s">
        <x:v>40</x:v>
      </x:c>
      <x:c r="K321" s="16" t="s">
        <x:v>20</x:v>
      </x:c>
      <x:c r="L321" s="71">
        <x:v>200000</x:v>
      </x:c>
      <x:c r="M321" s="71"/>
      <x:c r="N321" s="9" t="s">
        <x:v>33</x:v>
      </x:c>
      <x:c r="O321" s="16"/>
      <x:c r="P321" s="49" t="s">
        <x:v>475</x:v>
      </x:c>
      <x:c r="Q321" s="19"/>
    </x:row>
    <x:row r="322" ht="51">
      <x:c r="A322" s="9">
        <x:v>2026</x:v>
      </x:c>
      <x:c r="B322" s="14" t="s">
        <x:v>470</x:v>
      </x:c>
      <x:c r="C322" s="11" t="e">
        <x:f>IFERROR(VLOOKUP(B322,Regiões!A:B,2,0),"")</x:f>
        <x:v>#NAME?</x:v>
      </x:c>
      <x:c r="D322" s="11" t="s">
        <x:v>973</x:v>
      </x:c>
      <x:c r="E322" s="20" t="s">
        <x:v>974</x:v>
      </x:c>
      <x:c r="F322" s="13">
        <x:v>92404789000164</x:v>
      </x:c>
      <x:c r="G322" s="14" t="s">
        <x:v>975</x:v>
      </x:c>
      <x:c r="H322" s="15">
        <x:v>41160003</x:v>
      </x:c>
      <x:c r="I322" s="9" t="s">
        <x:v>976</x:v>
      </x:c>
      <x:c r="J322" s="2" t="s">
        <x:v>40</x:v>
      </x:c>
      <x:c r="K322" s="16" t="s">
        <x:v>32</x:v>
      </x:c>
      <x:c r="L322" s="17">
        <x:v>200000</x:v>
      </x:c>
      <x:c r="M322" s="17"/>
      <x:c r="N322" s="9" t="s">
        <x:v>33</x:v>
      </x:c>
      <x:c r="O322" s="16"/>
      <x:c r="P322" s="18"/>
      <x:c r="Q322" s="19"/>
    </x:row>
    <x:row r="323" ht="51">
      <x:c r="A323" s="9">
        <x:v>2026</x:v>
      </x:c>
      <x:c r="B323" s="14" t="s">
        <x:v>977</x:v>
      </x:c>
      <x:c r="C323" s="11" t="e">
        <x:f>IFERROR(VLOOKUP(B323,Regiões!A:B,2,0),"")</x:f>
        <x:v>#NAME?</x:v>
      </x:c>
      <x:c r="D323" s="11" t="s">
        <x:v>978</x:v>
      </x:c>
      <x:c r="E323" s="14" t="s">
        <x:v>977</x:v>
      </x:c>
      <x:c r="F323" s="13">
        <x:v>21194889000165</x:v>
      </x:c>
      <x:c r="G323" s="14" t="s">
        <x:v>979</x:v>
      </x:c>
      <x:c r="H323" s="15">
        <x:v>41160003</x:v>
      </x:c>
      <x:c r="I323" s="9" t="s">
        <x:v>976</x:v>
      </x:c>
      <x:c r="J323" s="2" t="s">
        <x:v>40</x:v>
      </x:c>
      <x:c r="K323" s="16" t="s">
        <x:v>32</x:v>
      </x:c>
      <x:c r="L323" s="17">
        <x:v>200000</x:v>
      </x:c>
      <x:c r="M323" s="17"/>
      <x:c r="N323" s="9" t="s">
        <x:v>33</x:v>
      </x:c>
      <x:c r="O323" s="16"/>
      <x:c r="P323" s="18"/>
      <x:c r="Q323" s="19"/>
    </x:row>
    <x:row r="324" ht="89.25">
      <x:c r="A324" s="9">
        <x:v>2026</x:v>
      </x:c>
      <x:c r="B324" s="14" t="s">
        <x:v>153</x:v>
      </x:c>
      <x:c r="C324" s="11" t="e">
        <x:f>IFERROR(VLOOKUP(B324,Regiões!A:B,2,0),"")</x:f>
        <x:v>#NAME?</x:v>
      </x:c>
      <x:c r="D324" s="11" t="s">
        <x:v>980</x:v>
      </x:c>
      <x:c r="E324" s="20" t="s">
        <x:v>981</x:v>
      </x:c>
      <x:c r="F324" s="13">
        <x:v>12104575000133</x:v>
      </x:c>
      <x:c r="G324" s="14" t="s">
        <x:v>982</x:v>
      </x:c>
      <x:c r="H324" s="15">
        <x:v>41160003</x:v>
      </x:c>
      <x:c r="I324" s="9" t="s">
        <x:v>976</x:v>
      </x:c>
      <x:c r="J324" s="2" t="s">
        <x:v>40</x:v>
      </x:c>
      <x:c r="K324" s="16" t="s">
        <x:v>32</x:v>
      </x:c>
      <x:c r="L324" s="17">
        <x:v>200000</x:v>
      </x:c>
      <x:c r="M324" s="17"/>
      <x:c r="N324" s="9" t="s">
        <x:v>33</x:v>
      </x:c>
      <x:c r="O324" s="16"/>
      <x:c r="P324" s="18"/>
      <x:c r="Q324" s="19"/>
    </x:row>
    <x:row r="325" ht="204">
      <x:c r="A325" s="9">
        <x:v>2026</x:v>
      </x:c>
      <x:c r="B325" s="14" t="s">
        <x:v>983</x:v>
      </x:c>
      <x:c r="C325" s="11" t="e">
        <x:f>IFERROR(VLOOKUP(B325,Regiões!A:B,2,0),"")</x:f>
        <x:v>#NAME?</x:v>
      </x:c>
      <x:c r="D325" s="11" t="s">
        <x:v>984</x:v>
      </x:c>
      <x:c r="E325" s="20" t="s">
        <x:v>985</x:v>
      </x:c>
      <x:c r="F325" s="135">
        <x:v>87316618000143</x:v>
      </x:c>
      <x:c r="G325" s="136" t="s">
        <x:v>981</x:v>
      </x:c>
      <x:c r="H325" s="15">
        <x:v>41160003</x:v>
      </x:c>
      <x:c r="I325" s="9" t="s">
        <x:v>976</x:v>
      </x:c>
      <x:c r="J325" s="2" t="s">
        <x:v>40</x:v>
      </x:c>
      <x:c r="K325" s="16" t="s">
        <x:v>32</x:v>
      </x:c>
      <x:c r="L325" s="17">
        <x:v>200000</x:v>
      </x:c>
      <x:c r="M325" s="17"/>
      <x:c r="N325" s="9" t="s">
        <x:v>33</x:v>
      </x:c>
      <x:c r="O325" s="16"/>
      <x:c r="P325" s="18"/>
      <x:c r="Q325" s="19"/>
    </x:row>
    <x:row r="326" ht="63.75">
      <x:c r="A326" s="9">
        <x:v>2026</x:v>
      </x:c>
      <x:c r="B326" s="14" t="s">
        <x:v>986</x:v>
      </x:c>
      <x:c r="C326" s="11" t="e">
        <x:f>IFERROR(VLOOKUP(B326,Regiões!A:B,2,0),"")</x:f>
        <x:v>#NAME?</x:v>
      </x:c>
      <x:c r="D326" s="11" t="s">
        <x:v>987</x:v>
      </x:c>
      <x:c r="E326" s="20" t="s">
        <x:v>988</x:v>
      </x:c>
      <x:c r="F326" s="13">
        <x:v>91272732000196</x:v>
      </x:c>
      <x:c r="G326" s="14" t="s">
        <x:v>985</x:v>
      </x:c>
      <x:c r="H326" s="15">
        <x:v>41160003</x:v>
      </x:c>
      <x:c r="I326" s="9" t="s">
        <x:v>976</x:v>
      </x:c>
      <x:c r="J326" s="2" t="s">
        <x:v>40</x:v>
      </x:c>
      <x:c r="K326" s="16" t="s">
        <x:v>32</x:v>
      </x:c>
      <x:c r="L326" s="17">
        <x:v>200000</x:v>
      </x:c>
      <x:c r="M326" s="17"/>
      <x:c r="N326" s="9" t="s">
        <x:v>33</x:v>
      </x:c>
      <x:c r="O326" s="16"/>
      <x:c r="P326" s="18"/>
      <x:c r="Q326" s="19"/>
    </x:row>
    <x:row r="327" ht="51">
      <x:c r="A327" s="9">
        <x:v>2026</x:v>
      </x:c>
      <x:c r="B327" s="14" t="s">
        <x:v>989</x:v>
      </x:c>
      <x:c r="C327" s="11" t="e">
        <x:f>IFERROR(VLOOKUP(B327,Regiões!A:B,2,0),"")</x:f>
        <x:v>#NAME?</x:v>
      </x:c>
      <x:c r="D327" s="11" t="s">
        <x:v>990</x:v>
      </x:c>
      <x:c r="E327" s="14" t="s">
        <x:v>989</x:v>
      </x:c>
      <x:c r="F327" s="13">
        <x:v>92025006000131</x:v>
      </x:c>
      <x:c r="G327" s="14" t="s">
        <x:v>991</x:v>
      </x:c>
      <x:c r="H327" s="15">
        <x:v>41160003</x:v>
      </x:c>
      <x:c r="I327" s="9" t="s">
        <x:v>976</x:v>
      </x:c>
      <x:c r="J327" s="2" t="s">
        <x:v>40</x:v>
      </x:c>
      <x:c r="K327" s="16" t="s">
        <x:v>32</x:v>
      </x:c>
      <x:c r="L327" s="17">
        <x:v>200000</x:v>
      </x:c>
      <x:c r="M327" s="17"/>
      <x:c r="N327" s="9" t="s">
        <x:v>33</x:v>
      </x:c>
      <x:c r="O327" s="16"/>
      <x:c r="P327" s="18"/>
      <x:c r="Q327" s="19"/>
    </x:row>
    <x:row r="328" ht="51">
      <x:c r="A328" s="9">
        <x:v>2026</x:v>
      </x:c>
      <x:c r="B328" s="14" t="s">
        <x:v>286</x:v>
      </x:c>
      <x:c r="C328" s="11" t="e">
        <x:f>IFERROR(VLOOKUP(B328,Regiões!A:B,2,0),"")</x:f>
        <x:v>#NAME?</x:v>
      </x:c>
      <x:c r="D328" s="11" t="s">
        <x:v>992</x:v>
      </x:c>
      <x:c r="E328" s="20" t="s">
        <x:v>993</x:v>
      </x:c>
      <x:c r="F328" s="13">
        <x:v>12877385000159</x:v>
      </x:c>
      <x:c r="G328" s="14" t="s">
        <x:v>994</x:v>
      </x:c>
      <x:c r="H328" s="15">
        <x:v>41160003</x:v>
      </x:c>
      <x:c r="I328" s="9" t="s">
        <x:v>976</x:v>
      </x:c>
      <x:c r="J328" s="2" t="s">
        <x:v>40</x:v>
      </x:c>
      <x:c r="K328" s="16" t="s">
        <x:v>32</x:v>
      </x:c>
      <x:c r="L328" s="17">
        <x:v>200000</x:v>
      </x:c>
      <x:c r="M328" s="17"/>
      <x:c r="N328" s="9" t="s">
        <x:v>33</x:v>
      </x:c>
      <x:c r="O328" s="16"/>
      <x:c r="P328" s="18"/>
      <x:c r="Q328" s="19"/>
    </x:row>
    <x:row r="329" ht="63.75">
      <x:c r="A329" s="9">
        <x:v>2026</x:v>
      </x:c>
      <x:c r="B329" s="14" t="s">
        <x:v>995</x:v>
      </x:c>
      <x:c r="C329" s="11" t="e">
        <x:f>IFERROR(VLOOKUP(B329,Regiões!A:B,2,0),"")</x:f>
        <x:v>#NAME?</x:v>
      </x:c>
      <x:c r="D329" s="11" t="s">
        <x:v>996</x:v>
      </x:c>
      <x:c r="E329" s="20" t="s">
        <x:v>997</x:v>
      </x:c>
      <x:c r="F329" s="13">
        <x:v>8579164000127</x:v>
      </x:c>
      <x:c r="G329" s="14" t="s">
        <x:v>993</x:v>
      </x:c>
      <x:c r="H329" s="15">
        <x:v>41160003</x:v>
      </x:c>
      <x:c r="I329" s="9" t="s">
        <x:v>976</x:v>
      </x:c>
      <x:c r="J329" s="2" t="s">
        <x:v>40</x:v>
      </x:c>
      <x:c r="K329" s="16" t="s">
        <x:v>32</x:v>
      </x:c>
      <x:c r="L329" s="17">
        <x:v>200000</x:v>
      </x:c>
      <x:c r="M329" s="17"/>
      <x:c r="N329" s="9" t="s">
        <x:v>33</x:v>
      </x:c>
      <x:c r="O329" s="16"/>
      <x:c r="P329" s="18"/>
      <x:c r="Q329" s="19"/>
    </x:row>
    <x:row r="330" ht="76.5">
      <x:c r="A330" s="9">
        <x:v>2026</x:v>
      </x:c>
      <x:c r="B330" s="14" t="s">
        <x:v>998</x:v>
      </x:c>
      <x:c r="C330" s="11" t="e">
        <x:f>IFERROR(VLOOKUP(B330,Regiões!A:B,2,0),"")</x:f>
        <x:v>#NAME?</x:v>
      </x:c>
      <x:c r="D330" s="11" t="s">
        <x:v>999</x:v>
      </x:c>
      <x:c r="E330" s="14" t="s">
        <x:v>998</x:v>
      </x:c>
      <x:c r="F330" s="13">
        <x:v>8139573000102</x:v>
      </x:c>
      <x:c r="G330" s="14" t="s">
        <x:v>1000</x:v>
      </x:c>
      <x:c r="H330" s="15">
        <x:v>41160003</x:v>
      </x:c>
      <x:c r="I330" s="9" t="s">
        <x:v>976</x:v>
      </x:c>
      <x:c r="J330" s="2" t="s">
        <x:v>40</x:v>
      </x:c>
      <x:c r="K330" s="16" t="s">
        <x:v>32</x:v>
      </x:c>
      <x:c r="L330" s="17">
        <x:v>200000</x:v>
      </x:c>
      <x:c r="M330" s="17"/>
      <x:c r="N330" s="9" t="s">
        <x:v>33</x:v>
      </x:c>
      <x:c r="O330" s="16"/>
      <x:c r="P330" s="18"/>
      <x:c r="Q330" s="19"/>
    </x:row>
    <x:row r="331" ht="89.25">
      <x:c r="A331" s="9">
        <x:v>2026</x:v>
      </x:c>
      <x:c r="B331" s="14" t="s">
        <x:v>260</x:v>
      </x:c>
      <x:c r="C331" s="11" t="e">
        <x:f>IFERROR(VLOOKUP(B331,Regiões!A:B,2,0),"")</x:f>
        <x:v>#NAME?</x:v>
      </x:c>
      <x:c r="D331" s="137" t="s">
        <x:v>1001</x:v>
      </x:c>
      <x:c r="E331" s="14" t="s">
        <x:v>260</x:v>
      </x:c>
      <x:c r="F331" s="13">
        <x:v>10566741000198</x:v>
      </x:c>
      <x:c r="G331" s="14" t="s">
        <x:v>1002</x:v>
      </x:c>
      <x:c r="H331" s="15">
        <x:v>41160013</x:v>
      </x:c>
      <x:c r="I331" s="9" t="s">
        <x:v>1003</x:v>
      </x:c>
      <x:c r="J331" s="2" t="s">
        <x:v>40</x:v>
      </x:c>
      <x:c r="K331" s="16" t="s">
        <x:v>32</x:v>
      </x:c>
      <x:c r="L331" s="17">
        <x:v>200000</x:v>
      </x:c>
      <x:c r="M331" s="17"/>
      <x:c r="N331" s="9" t="s">
        <x:v>33</x:v>
      </x:c>
      <x:c r="O331" s="16"/>
      <x:c r="P331" s="18"/>
      <x:c r="Q331" s="19"/>
    </x:row>
    <x:row r="332" ht="51">
      <x:c r="A332" s="9">
        <x:v>2026</x:v>
      </x:c>
      <x:c r="B332" s="14" t="s">
        <x:v>1004</x:v>
      </x:c>
      <x:c r="C332" s="11" t="e">
        <x:f>IFERROR(VLOOKUP(B332,Regiões!A:B,2,0),"")</x:f>
        <x:v>#NAME?</x:v>
      </x:c>
      <x:c r="D332" s="137" t="s">
        <x:v>1005</x:v>
      </x:c>
      <x:c r="E332" s="14" t="s">
        <x:v>1004</x:v>
      </x:c>
      <x:c r="F332" s="13">
        <x:v>11259700000111</x:v>
      </x:c>
      <x:c r="G332" s="14" t="s">
        <x:v>994</x:v>
      </x:c>
      <x:c r="H332" s="15">
        <x:v>41160013</x:v>
      </x:c>
      <x:c r="I332" s="9" t="s">
        <x:v>1003</x:v>
      </x:c>
      <x:c r="J332" s="2" t="s">
        <x:v>40</x:v>
      </x:c>
      <x:c r="K332" s="16" t="s">
        <x:v>32</x:v>
      </x:c>
      <x:c r="L332" s="17">
        <x:v>200000</x:v>
      </x:c>
      <x:c r="M332" s="17"/>
      <x:c r="N332" s="9" t="s">
        <x:v>33</x:v>
      </x:c>
      <x:c r="O332" s="16"/>
      <x:c r="P332" s="18"/>
      <x:c r="Q332" s="19"/>
    </x:row>
    <x:row r="333" ht="76.5">
      <x:c r="A333" s="9">
        <x:v>2026</x:v>
      </x:c>
      <x:c r="B333" s="14" t="s">
        <x:v>1006</x:v>
      </x:c>
      <x:c r="C333" s="11" t="e">
        <x:f>IFERROR(VLOOKUP(B333,Regiões!A:B,2,0),"")</x:f>
        <x:v>#NAME?</x:v>
      </x:c>
      <x:c r="D333" s="137" t="s">
        <x:v>1007</x:v>
      </x:c>
      <x:c r="E333" s="14" t="s">
        <x:v>1006</x:v>
      </x:c>
      <x:c r="F333" s="13">
        <x:v>12366847000173</x:v>
      </x:c>
      <x:c r="G333" s="14" t="s">
        <x:v>1008</x:v>
      </x:c>
      <x:c r="H333" s="15">
        <x:v>41160013</x:v>
      </x:c>
      <x:c r="I333" s="9" t="s">
        <x:v>1003</x:v>
      </x:c>
      <x:c r="J333" s="2" t="s">
        <x:v>40</x:v>
      </x:c>
      <x:c r="K333" s="16" t="s">
        <x:v>32</x:v>
      </x:c>
      <x:c r="L333" s="17">
        <x:v>200000</x:v>
      </x:c>
      <x:c r="M333" s="17"/>
      <x:c r="N333" s="9" t="s">
        <x:v>33</x:v>
      </x:c>
      <x:c r="O333" s="16"/>
      <x:c r="P333" s="18"/>
      <x:c r="Q333" s="19"/>
    </x:row>
    <x:row r="334" ht="63.75">
      <x:c r="A334" s="9">
        <x:v>2026</x:v>
      </x:c>
      <x:c r="B334" s="14" t="s">
        <x:v>1009</x:v>
      </x:c>
      <x:c r="C334" s="11" t="e">
        <x:f>IFERROR(VLOOKUP(B334,Regiões!A:B,2,0),"")</x:f>
        <x:v>#NAME?</x:v>
      </x:c>
      <x:c r="D334" s="137" t="s">
        <x:v>1010</x:v>
      </x:c>
      <x:c r="E334" s="14" t="s">
        <x:v>1009</x:v>
      </x:c>
      <x:c r="F334" s="13">
        <x:v>11826945000183</x:v>
      </x:c>
      <x:c r="G334" s="14" t="s">
        <x:v>1011</x:v>
      </x:c>
      <x:c r="H334" s="15">
        <x:v>41160013</x:v>
      </x:c>
      <x:c r="I334" s="9" t="s">
        <x:v>1003</x:v>
      </x:c>
      <x:c r="J334" s="2" t="s">
        <x:v>40</x:v>
      </x:c>
      <x:c r="K334" s="16" t="s">
        <x:v>32</x:v>
      </x:c>
      <x:c r="L334" s="17">
        <x:v>200000</x:v>
      </x:c>
      <x:c r="M334" s="17"/>
      <x:c r="N334" s="9" t="s">
        <x:v>33</x:v>
      </x:c>
      <x:c r="O334" s="16"/>
      <x:c r="P334" s="18"/>
      <x:c r="Q334" s="19"/>
    </x:row>
    <x:row r="335" ht="51">
      <x:c r="A335" s="9">
        <x:v>2026</x:v>
      </x:c>
      <x:c r="B335" s="14" t="s">
        <x:v>662</x:v>
      </x:c>
      <x:c r="C335" s="11" t="e">
        <x:f>IFERROR(VLOOKUP(B335,Regiões!A:B,2,0),"")</x:f>
        <x:v>#NAME?</x:v>
      </x:c>
      <x:c r="D335" s="11" t="s">
        <x:v>1012</x:v>
      </x:c>
      <x:c r="E335" s="14" t="s">
        <x:v>662</x:v>
      </x:c>
      <x:c r="F335" s="13">
        <x:v>11840490000150</x:v>
      </x:c>
      <x:c r="G335" s="14" t="s">
        <x:v>1013</x:v>
      </x:c>
      <x:c r="H335" s="15">
        <x:v>41160013</x:v>
      </x:c>
      <x:c r="I335" s="9" t="s">
        <x:v>1003</x:v>
      </x:c>
      <x:c r="J335" s="2" t="s">
        <x:v>40</x:v>
      </x:c>
      <x:c r="K335" s="16" t="s">
        <x:v>32</x:v>
      </x:c>
      <x:c r="L335" s="17">
        <x:v>200000</x:v>
      </x:c>
      <x:c r="M335" s="17"/>
      <x:c r="N335" s="9" t="s">
        <x:v>33</x:v>
      </x:c>
      <x:c r="O335" s="16"/>
      <x:c r="P335" s="18"/>
      <x:c r="Q335" s="19"/>
    </x:row>
    <x:row r="336" ht="51">
      <x:c r="A336" s="9">
        <x:v>2026</x:v>
      </x:c>
      <x:c r="B336" s="14" t="s">
        <x:v>1014</x:v>
      </x:c>
      <x:c r="C336" s="11" t="e">
        <x:f>IFERROR(VLOOKUP(B336,Regiões!A:B,2,0),"")</x:f>
        <x:v>#NAME?</x:v>
      </x:c>
      <x:c r="D336" s="11" t="s">
        <x:v>1015</x:v>
      </x:c>
      <x:c r="E336" s="14" t="s">
        <x:v>1014</x:v>
      </x:c>
      <x:c r="F336" s="13">
        <x:v>11642039000129</x:v>
      </x:c>
      <x:c r="G336" s="14" t="s">
        <x:v>1016</x:v>
      </x:c>
      <x:c r="H336" s="15">
        <x:v>41160013</x:v>
      </x:c>
      <x:c r="I336" s="9" t="s">
        <x:v>1003</x:v>
      </x:c>
      <x:c r="J336" s="2" t="s">
        <x:v>40</x:v>
      </x:c>
      <x:c r="K336" s="16" t="s">
        <x:v>32</x:v>
      </x:c>
      <x:c r="L336" s="17">
        <x:v>200000</x:v>
      </x:c>
      <x:c r="M336" s="17"/>
      <x:c r="N336" s="9" t="s">
        <x:v>33</x:v>
      </x:c>
      <x:c r="O336" s="16"/>
      <x:c r="P336" s="18"/>
      <x:c r="Q336" s="19"/>
    </x:row>
    <x:row r="337" ht="51">
      <x:c r="A337" s="9">
        <x:v>2026</x:v>
      </x:c>
      <x:c r="B337" s="14" t="s">
        <x:v>1017</x:v>
      </x:c>
      <x:c r="C337" s="11" t="e">
        <x:f>IFERROR(VLOOKUP(B337,Regiões!A:B,2,0),"")</x:f>
        <x:v>#NAME?</x:v>
      </x:c>
      <x:c r="D337" s="11" t="s">
        <x:v>1018</x:v>
      </x:c>
      <x:c r="E337" s="14" t="s">
        <x:v>1017</x:v>
      </x:c>
      <x:c r="F337" s="13">
        <x:v>12062786000150</x:v>
      </x:c>
      <x:c r="G337" s="14" t="s">
        <x:v>1019</x:v>
      </x:c>
      <x:c r="H337" s="15">
        <x:v>41160013</x:v>
      </x:c>
      <x:c r="I337" s="9" t="s">
        <x:v>1003</x:v>
      </x:c>
      <x:c r="J337" s="2" t="s">
        <x:v>40</x:v>
      </x:c>
      <x:c r="K337" s="16" t="s">
        <x:v>32</x:v>
      </x:c>
      <x:c r="L337" s="17">
        <x:v>200000</x:v>
      </x:c>
      <x:c r="M337" s="17"/>
      <x:c r="N337" s="9" t="s">
        <x:v>33</x:v>
      </x:c>
      <x:c r="O337" s="16"/>
      <x:c r="P337" s="18"/>
      <x:c r="Q337" s="19"/>
    </x:row>
    <x:row r="338" ht="63.75">
      <x:c r="A338" s="9">
        <x:v>2026</x:v>
      </x:c>
      <x:c r="B338" s="14" t="s">
        <x:v>1020</x:v>
      </x:c>
      <x:c r="C338" s="11" t="e">
        <x:f>IFERROR(VLOOKUP(B338,Regiões!A:B,2,0),"")</x:f>
        <x:v>#NAME?</x:v>
      </x:c>
      <x:c r="D338" s="11" t="s">
        <x:v>1021</x:v>
      </x:c>
      <x:c r="E338" s="14" t="s">
        <x:v>1020</x:v>
      </x:c>
      <x:c r="F338" s="13">
        <x:v>12137437000150</x:v>
      </x:c>
      <x:c r="G338" s="14" t="s">
        <x:v>1022</x:v>
      </x:c>
      <x:c r="H338" s="15">
        <x:v>41160013</x:v>
      </x:c>
      <x:c r="I338" s="9" t="s">
        <x:v>1003</x:v>
      </x:c>
      <x:c r="J338" s="2" t="s">
        <x:v>40</x:v>
      </x:c>
      <x:c r="K338" s="16" t="s">
        <x:v>32</x:v>
      </x:c>
      <x:c r="L338" s="17">
        <x:v>200000</x:v>
      </x:c>
      <x:c r="M338" s="17"/>
      <x:c r="N338" s="9" t="s">
        <x:v>33</x:v>
      </x:c>
      <x:c r="O338" s="16"/>
      <x:c r="P338" s="18"/>
      <x:c r="Q338" s="19"/>
    </x:row>
    <x:row r="339" ht="51">
      <x:c r="A339" s="9">
        <x:v>2026</x:v>
      </x:c>
      <x:c r="B339" s="14" t="s">
        <x:v>1023</x:v>
      </x:c>
      <x:c r="C339" s="11" t="e">
        <x:f>IFERROR(VLOOKUP(B339,Regiões!A:B,2,0),"")</x:f>
        <x:v>#NAME?</x:v>
      </x:c>
      <x:c r="D339" s="11" t="s">
        <x:v>1024</x:v>
      </x:c>
      <x:c r="E339" s="14" t="s">
        <x:v>1023</x:v>
      </x:c>
      <x:c r="F339" s="13">
        <x:v>12202854000130</x:v>
      </x:c>
      <x:c r="G339" s="14" t="s">
        <x:v>1025</x:v>
      </x:c>
      <x:c r="H339" s="15">
        <x:v>41160013</x:v>
      </x:c>
      <x:c r="I339" s="9" t="s">
        <x:v>1003</x:v>
      </x:c>
      <x:c r="J339" s="2" t="s">
        <x:v>40</x:v>
      </x:c>
      <x:c r="K339" s="16" t="s">
        <x:v>32</x:v>
      </x:c>
      <x:c r="L339" s="17">
        <x:v>200000</x:v>
      </x:c>
      <x:c r="M339" s="17"/>
      <x:c r="N339" s="9" t="s">
        <x:v>33</x:v>
      </x:c>
      <x:c r="O339" s="16"/>
      <x:c r="P339" s="18"/>
      <x:c r="Q339" s="19"/>
    </x:row>
    <x:row r="340" ht="38.25">
      <x:c r="A340" s="9">
        <x:v>2026</x:v>
      </x:c>
      <x:c r="B340" s="14" t="s">
        <x:v>1026</x:v>
      </x:c>
      <x:c r="C340" s="11" t="e">
        <x:f>IFERROR(VLOOKUP(B340,Regiões!A:B,2,0),"")</x:f>
        <x:v>#NAME?</x:v>
      </x:c>
      <x:c r="D340" s="11" t="s">
        <x:v>1027</x:v>
      </x:c>
      <x:c r="E340" s="14" t="s">
        <x:v>1026</x:v>
      </x:c>
      <x:c r="F340" s="13">
        <x:v>11828168000106</x:v>
      </x:c>
      <x:c r="G340" s="14" t="s">
        <x:v>1002</x:v>
      </x:c>
      <x:c r="H340" s="15">
        <x:v>41160013</x:v>
      </x:c>
      <x:c r="I340" s="9" t="s">
        <x:v>1003</x:v>
      </x:c>
      <x:c r="J340" s="2" t="s">
        <x:v>40</x:v>
      </x:c>
      <x:c r="K340" s="16" t="s">
        <x:v>32</x:v>
      </x:c>
      <x:c r="L340" s="17">
        <x:v>200000</x:v>
      </x:c>
      <x:c r="M340" s="17"/>
      <x:c r="N340" s="9" t="s">
        <x:v>33</x:v>
      </x:c>
      <x:c r="O340" s="16"/>
      <x:c r="P340" s="18"/>
      <x:c r="Q340" s="19"/>
    </x:row>
    <x:row r="341" ht="25.5">
      <x:c r="A341" s="9">
        <x:v>2026</x:v>
      </x:c>
      <x:c r="B341" s="14" t="s">
        <x:v>347</x:v>
      </x:c>
      <x:c r="C341" s="11" t="e">
        <x:f>IFERROR(VLOOKUP(B341,Regiões!A:B,2,0),"")</x:f>
        <x:v>#NAME?</x:v>
      </x:c>
      <x:c r="D341" s="11"/>
      <x:c r="E341" s="20" t="s">
        <x:v>1028</x:v>
      </x:c>
      <x:c r="F341" s="13">
        <x:v>10616321000179</x:v>
      </x:c>
      <x:c r="G341" s="14" t="s">
        <x:v>1029</x:v>
      </x:c>
      <x:c r="H341" s="15">
        <x:v>41160013</x:v>
      </x:c>
      <x:c r="I341" s="9" t="s">
        <x:v>40</x:v>
      </x:c>
      <x:c r="J341" s="9" t="s">
        <x:v>40</x:v>
      </x:c>
      <x:c r="K341" s="16" t="s">
        <x:v>1003</x:v>
      </x:c>
      <x:c r="L341" s="17">
        <x:v>200000</x:v>
      </x:c>
      <x:c r="M341" s="17"/>
      <x:c r="N341" s="9" t="s">
        <x:v>33</x:v>
      </x:c>
      <x:c r="O341" s="16"/>
      <x:c r="P341" s="18"/>
      <x:c r="Q341" s="19"/>
    </x:row>
    <x:row r="342" ht="25.5">
      <x:c r="A342" s="9">
        <x:v>2026</x:v>
      </x:c>
      <x:c r="B342" s="14" t="s">
        <x:v>540</x:v>
      </x:c>
      <x:c r="C342" s="11" t="e">
        <x:f>IFERROR(VLOOKUP(B342,Regiões!A:B,2,0),"")</x:f>
        <x:v>#NAME?</x:v>
      </x:c>
      <x:c r="D342" s="11"/>
      <x:c r="E342" s="20" t="s">
        <x:v>1030</x:v>
      </x:c>
      <x:c r="F342" s="13">
        <x:v>10546325000128</x:v>
      </x:c>
      <x:c r="G342" s="14" t="s">
        <x:v>1031</x:v>
      </x:c>
      <x:c r="H342" s="15">
        <x:v>41160013</x:v>
      </x:c>
      <x:c r="I342" s="9" t="s">
        <x:v>40</x:v>
      </x:c>
      <x:c r="J342" s="9" t="s">
        <x:v>40</x:v>
      </x:c>
      <x:c r="K342" s="16" t="s">
        <x:v>1003</x:v>
      </x:c>
      <x:c r="L342" s="17">
        <x:v>200000</x:v>
      </x:c>
      <x:c r="M342" s="17"/>
      <x:c r="N342" s="9" t="s">
        <x:v>33</x:v>
      </x:c>
      <x:c r="O342" s="16"/>
      <x:c r="P342" s="18"/>
      <x:c r="Q342" s="19"/>
    </x:row>
    <x:row r="343" ht="25.5">
      <x:c r="A343" s="9">
        <x:v>2026</x:v>
      </x:c>
      <x:c r="B343" s="14" t="s">
        <x:v>280</x:v>
      </x:c>
      <x:c r="C343" s="11" t="e">
        <x:f>IFERROR(VLOOKUP(B343,Regiões!A:B,2,0),"")</x:f>
        <x:v>#NAME?</x:v>
      </x:c>
      <x:c r="D343" s="11"/>
      <x:c r="E343" s="20" t="s">
        <x:v>1032</x:v>
      </x:c>
      <x:c r="F343" s="13">
        <x:v>12075973000179</x:v>
      </x:c>
      <x:c r="G343" s="14" t="s">
        <x:v>1033</x:v>
      </x:c>
      <x:c r="H343" s="15">
        <x:v>41160013</x:v>
      </x:c>
      <x:c r="I343" s="9" t="s">
        <x:v>40</x:v>
      </x:c>
      <x:c r="J343" s="9" t="s">
        <x:v>40</x:v>
      </x:c>
      <x:c r="K343" s="16" t="s">
        <x:v>1003</x:v>
      </x:c>
      <x:c r="L343" s="17">
        <x:v>200000</x:v>
      </x:c>
      <x:c r="M343" s="17"/>
      <x:c r="N343" s="9" t="s">
        <x:v>33</x:v>
      </x:c>
      <x:c r="O343" s="16"/>
      <x:c r="P343" s="18"/>
      <x:c r="Q343" s="19"/>
    </x:row>
    <x:row r="344" ht="25.5">
      <x:c r="A344" s="9">
        <x:v>2026</x:v>
      </x:c>
      <x:c r="B344" s="14" t="s">
        <x:v>156</x:v>
      </x:c>
      <x:c r="C344" s="11" t="e">
        <x:f>IFERROR(VLOOKUP(B344,Regiões!A:B,2,0),"")</x:f>
        <x:v>#NAME?</x:v>
      </x:c>
      <x:c r="D344" s="11"/>
      <x:c r="E344" s="20" t="s">
        <x:v>1034</x:v>
      </x:c>
      <x:c r="F344" s="13">
        <x:v>88417787000132</x:v>
      </x:c>
      <x:c r="G344" s="20" t="s">
        <x:v>1034</x:v>
      </x:c>
      <x:c r="H344" s="15">
        <x:v>41160003</x:v>
      </x:c>
      <x:c r="I344" s="9" t="s">
        <x:v>40</x:v>
      </x:c>
      <x:c r="J344" s="9" t="s">
        <x:v>40</x:v>
      </x:c>
      <x:c r="K344" s="16" t="s">
        <x:v>976</x:v>
      </x:c>
      <x:c r="L344" s="17">
        <x:v>200000</x:v>
      </x:c>
      <x:c r="M344" s="17"/>
      <x:c r="N344" s="9" t="s">
        <x:v>33</x:v>
      </x:c>
      <x:c r="O344" s="16"/>
      <x:c r="P344" s="18"/>
      <x:c r="Q344" s="19"/>
    </x:row>
    <x:row r="345" ht="25.5">
      <x:c r="A345" s="9">
        <x:v>2026</x:v>
      </x:c>
      <x:c r="B345" s="14" t="s">
        <x:v>638</x:v>
      </x:c>
      <x:c r="C345" s="11" t="e">
        <x:f>IFERROR(VLOOKUP(B345,Regiões!A:B,2,0),"")</x:f>
        <x:v>#NAME?</x:v>
      </x:c>
      <x:c r="D345" s="11"/>
      <x:c r="E345" s="20" t="s">
        <x:v>1035</x:v>
      </x:c>
      <x:c r="F345" s="13">
        <x:v>12149722000191</x:v>
      </x:c>
      <x:c r="G345" s="14" t="s">
        <x:v>1036</x:v>
      </x:c>
      <x:c r="H345" s="15">
        <x:v>41160013</x:v>
      </x:c>
      <x:c r="I345" s="9" t="s">
        <x:v>40</x:v>
      </x:c>
      <x:c r="J345" s="9" t="s">
        <x:v>40</x:v>
      </x:c>
      <x:c r="K345" s="16" t="s">
        <x:v>1003</x:v>
      </x:c>
      <x:c r="L345" s="17">
        <x:v>200000</x:v>
      </x:c>
      <x:c r="M345" s="17"/>
      <x:c r="N345" s="9" t="s">
        <x:v>33</x:v>
      </x:c>
      <x:c r="O345" s="16"/>
      <x:c r="P345" s="18"/>
      <x:c r="Q345" s="19"/>
    </x:row>
    <x:row r="346" ht="25.5">
      <x:c r="A346" s="9">
        <x:v>2026</x:v>
      </x:c>
      <x:c r="B346" s="14" t="s">
        <x:v>103</x:v>
      </x:c>
      <x:c r="C346" s="11" t="e">
        <x:f>IFERROR(VLOOKUP(B346,Regiões!A:B,2,0),"")</x:f>
        <x:v>#NAME?</x:v>
      </x:c>
      <x:c r="D346" s="11"/>
      <x:c r="E346" s="20" t="s">
        <x:v>1037</x:v>
      </x:c>
      <x:c r="F346" s="13">
        <x:v>12452816000135</x:v>
      </x:c>
      <x:c r="G346" s="14"/>
      <x:c r="H346" s="15">
        <x:v>41160013</x:v>
      </x:c>
      <x:c r="I346" s="9" t="s">
        <x:v>40</x:v>
      </x:c>
      <x:c r="J346" s="9" t="s">
        <x:v>40</x:v>
      </x:c>
      <x:c r="K346" s="16" t="s">
        <x:v>1003</x:v>
      </x:c>
      <x:c r="L346" s="17">
        <x:v>200000</x:v>
      </x:c>
      <x:c r="M346" s="17"/>
      <x:c r="N346" s="9" t="s">
        <x:v>33</x:v>
      </x:c>
      <x:c r="O346" s="16"/>
      <x:c r="P346" s="18"/>
      <x:c r="Q346" s="19"/>
    </x:row>
    <x:row r="347" ht="38.25">
      <x:c r="A347" s="22">
        <x:v>2020</x:v>
      </x:c>
      <x:c r="B347" s="22" t="s">
        <x:v>51</x:v>
      </x:c>
      <x:c r="C347" s="11" t="e">
        <x:f>IFERROR(VLOOKUP(B347,Regiões!A:B,2,0),"")</x:f>
        <x:v>#NAME?</x:v>
      </x:c>
      <x:c r="D347" s="22" t="s">
        <x:v>52</x:v>
      </x:c>
      <x:c r="E347" s="23" t="s">
        <x:v>53</x:v>
      </x:c>
      <x:c r="F347" s="24"/>
      <x:c r="G347" s="22" t="s">
        <x:v>53</x:v>
      </x:c>
      <x:c r="H347" s="34">
        <x:v>41160010</x:v>
      </x:c>
      <x:c r="I347" s="22" t="s">
        <x:v>31</x:v>
      </x:c>
      <x:c r="J347" s="22" t="s">
        <x:v>25</x:v>
      </x:c>
      <x:c r="K347" s="22" t="s">
        <x:v>32</x:v>
      </x:c>
      <x:c r="L347" s="26">
        <x:v>200841.17</x:v>
      </x:c>
      <x:c r="M347" s="26"/>
      <x:c r="N347" s="22" t="s">
        <x:v>33</x:v>
      </x:c>
      <x:c r="O347" s="22" t="s">
        <x:v>54</x:v>
      </x:c>
      <x:c r="P347" s="74" t="s">
        <x:v>1038</x:v>
      </x:c>
      <x:c r="Q347" s="29"/>
    </x:row>
    <x:row r="348" ht="165.75">
      <x:c r="A348" s="36">
        <x:v>2020</x:v>
      </x:c>
      <x:c r="B348" s="36" t="s">
        <x:v>565</x:v>
      </x:c>
      <x:c r="C348" s="11" t="e">
        <x:f>IFERROR(VLOOKUP(B348,Regiões!A:B,2,0),"")</x:f>
        <x:v>#NAME?</x:v>
      </x:c>
      <x:c r="D348" s="22" t="s">
        <x:v>1039</x:v>
      </x:c>
      <x:c r="E348" s="37" t="s">
        <x:v>305</x:v>
      </x:c>
      <x:c r="F348" s="38"/>
      <x:c r="G348" s="36" t="s">
        <x:v>1040</x:v>
      </x:c>
      <x:c r="H348" s="39">
        <x:v>41160002</x:v>
      </x:c>
      <x:c r="I348" s="36" t="s">
        <x:v>31</x:v>
      </x:c>
      <x:c r="J348" s="36" t="s">
        <x:v>25</x:v>
      </x:c>
      <x:c r="K348" s="36" t="s">
        <x:v>32</x:v>
      </x:c>
      <x:c r="L348" s="40">
        <x:v>201110.34</x:v>
      </x:c>
      <x:c r="M348" s="40" t="s">
        <x:v>1041</x:v>
      </x:c>
      <x:c r="N348" s="36" t="s">
        <x:v>33</x:v>
      </x:c>
      <x:c r="O348" s="36" t="s">
        <x:v>1042</x:v>
      </x:c>
      <x:c r="P348" s="41" t="s">
        <x:v>1043</x:v>
      </x:c>
      <x:c r="Q348" s="42"/>
    </x:row>
    <x:row r="349" ht="51">
      <x:c r="A349" s="9">
        <x:v>2025</x:v>
      </x:c>
      <x:c r="B349" s="14" t="s">
        <x:v>392</x:v>
      </x:c>
      <x:c r="C349" s="11" t="e">
        <x:f>IFERROR(VLOOKUP(B349,Regiões!A:B,2,0),"")</x:f>
        <x:v>#NAME?</x:v>
      </x:c>
      <x:c r="D349" s="11" t="s">
        <x:v>1044</x:v>
      </x:c>
      <x:c r="E349" s="12" t="s">
        <x:v>1045</x:v>
      </x:c>
      <x:c r="F349" s="13">
        <x:v>96210471000101</x:v>
      </x:c>
      <x:c r="G349" s="10" t="s">
        <x:v>1045</x:v>
      </x:c>
      <x:c r="H349" s="59">
        <x:v>41160004</x:v>
      </x:c>
      <x:c r="I349" s="9" t="s">
        <x:v>502</x:v>
      </x:c>
      <x:c r="J349" s="9" t="s">
        <x:v>40</x:v>
      </x:c>
      <x:c r="K349" s="16" t="s">
        <x:v>32</x:v>
      </x:c>
      <x:c r="L349" s="90">
        <x:v>202000</x:v>
      </x:c>
      <x:c r="M349" s="90"/>
      <x:c r="N349" s="11" t="s">
        <x:v>21</x:v>
      </x:c>
      <x:c r="O349" s="16"/>
      <x:c r="P349" s="44" t="s">
        <x:v>1046</x:v>
      </x:c>
      <x:c r="Q349" s="19"/>
    </x:row>
    <x:row r="350" ht="51">
      <x:c r="A350" s="9">
        <x:v>2025</x:v>
      </x:c>
      <x:c r="B350" s="14" t="s">
        <x:v>386</x:v>
      </x:c>
      <x:c r="C350" s="11" t="e">
        <x:f>IFERROR(VLOOKUP(B350,Regiões!A:B,2,0),"")</x:f>
        <x:v>#NAME?</x:v>
      </x:c>
      <x:c r="D350" s="11" t="s">
        <x:v>1047</x:v>
      </x:c>
      <x:c r="E350" s="12" t="s">
        <x:v>1048</x:v>
      </x:c>
      <x:c r="F350" s="13">
        <x:v>97279350000170</x:v>
      </x:c>
      <x:c r="G350" s="10" t="s">
        <x:v>1048</x:v>
      </x:c>
      <x:c r="H350" s="59">
        <x:v>41160004</x:v>
      </x:c>
      <x:c r="I350" s="9" t="s">
        <x:v>502</x:v>
      </x:c>
      <x:c r="J350" s="9" t="s">
        <x:v>40</x:v>
      </x:c>
      <x:c r="K350" s="16" t="s">
        <x:v>32</x:v>
      </x:c>
      <x:c r="L350" s="90">
        <x:v>204000</x:v>
      </x:c>
      <x:c r="M350" s="90"/>
      <x:c r="N350" s="11" t="s">
        <x:v>21</x:v>
      </x:c>
      <x:c r="O350" s="16"/>
      <x:c r="P350" s="44" t="s">
        <x:v>1049</x:v>
      </x:c>
      <x:c r="Q350" s="19"/>
    </x:row>
    <x:row r="351" ht="38.25">
      <x:c r="A351" s="138">
        <x:v>2020</x:v>
      </x:c>
      <x:c r="B351" s="138" t="s">
        <x:v>352</x:v>
      </x:c>
      <x:c r="C351" s="11" t="e">
        <x:f>IFERROR(VLOOKUP(B351,Regiões!A:B,2,0),"")</x:f>
        <x:v>#NAME?</x:v>
      </x:c>
      <x:c r="D351" s="22" t="s">
        <x:v>1050</x:v>
      </x:c>
      <x:c r="E351" s="139" t="s">
        <x:v>305</x:v>
      </x:c>
      <x:c r="F351" s="140"/>
      <x:c r="G351" s="138" t="s">
        <x:v>1051</x:v>
      </x:c>
      <x:c r="H351" s="141"/>
      <x:c r="I351" s="138" t="s">
        <x:v>31</x:v>
      </x:c>
      <x:c r="J351" s="138" t="s">
        <x:v>25</x:v>
      </x:c>
      <x:c r="K351" s="138" t="s">
        <x:v>32</x:v>
      </x:c>
      <x:c r="L351" s="142">
        <x:v>209500</x:v>
      </x:c>
      <x:c r="M351" s="142"/>
      <x:c r="N351" s="138" t="s">
        <x:v>64</x:v>
      </x:c>
      <x:c r="O351" s="138" t="s">
        <x:v>307</x:v>
      </x:c>
      <x:c r="P351" s="139" t="s">
        <x:v>1052</x:v>
      </x:c>
      <x:c r="Q351" s="143" t="s">
        <x:v>584</x:v>
      </x:c>
    </x:row>
    <x:row r="352" ht="38.25">
      <x:c r="A352" s="100">
        <x:v>2021</x:v>
      </x:c>
      <x:c r="B352" s="101" t="s">
        <x:v>245</x:v>
      </x:c>
      <x:c r="C352" s="11" t="e">
        <x:f>IFERROR(VLOOKUP(B352,Regiões!A:B,2,0),"")</x:f>
        <x:v>#NAME?</x:v>
      </x:c>
      <x:c r="D352" s="22" t="s">
        <x:v>246</x:v>
      </x:c>
      <x:c r="E352" s="102" t="s">
        <x:v>93</x:v>
      </x:c>
      <x:c r="F352" s="103"/>
      <x:c r="G352" s="101" t="s">
        <x:v>247</x:v>
      </x:c>
      <x:c r="H352" s="104">
        <x:v>41160003</x:v>
      </x:c>
      <x:c r="I352" s="100" t="s">
        <x:v>95</x:v>
      </x:c>
      <x:c r="J352" s="100" t="s">
        <x:v>40</x:v>
      </x:c>
      <x:c r="K352" s="100" t="s">
        <x:v>20</x:v>
      </x:c>
      <x:c r="L352" s="105">
        <x:v>210000</x:v>
      </x:c>
      <x:c r="M352" s="105"/>
      <x:c r="N352" s="100" t="s">
        <x:v>301</x:v>
      </x:c>
      <x:c r="O352" s="100" t="s">
        <x:v>26</x:v>
      </x:c>
      <x:c r="P352" s="106" t="s">
        <x:v>1053</x:v>
      </x:c>
      <x:c r="Q352" s="101"/>
    </x:row>
    <x:row r="353" ht="51">
      <x:c r="A353" s="22">
        <x:v>2022</x:v>
      </x:c>
      <x:c r="B353" s="22" t="s">
        <x:v>156</x:v>
      </x:c>
      <x:c r="C353" s="11" t="e">
        <x:f>IFERROR(VLOOKUP(B353,Regiões!A:B,2,0),"")</x:f>
        <x:v>#NAME?</x:v>
      </x:c>
      <x:c r="D353" s="22" t="s">
        <x:v>1054</x:v>
      </x:c>
      <x:c r="E353" s="23"/>
      <x:c r="F353" s="83"/>
      <x:c r="G353" s="84" t="s">
        <x:v>1055</x:v>
      </x:c>
      <x:c r="H353" s="25">
        <x:v>41160003</x:v>
      </x:c>
      <x:c r="I353" s="22" t="s">
        <x:v>415</x:v>
      </x:c>
      <x:c r="J353" s="22" t="s">
        <x:v>40</x:v>
      </x:c>
      <x:c r="K353" s="22" t="s">
        <x:v>32</x:v>
      </x:c>
      <x:c r="L353" s="27">
        <x:v>210000</x:v>
      </x:c>
      <x:c r="M353" s="27"/>
      <x:c r="N353" s="22" t="s">
        <x:v>41</x:v>
      </x:c>
      <x:c r="O353" s="22" t="s">
        <x:v>1056</x:v>
      </x:c>
      <x:c r="P353" s="28"/>
      <x:c r="Q353" s="29"/>
    </x:row>
    <x:row r="354" ht="63.75">
      <x:c r="A354" s="9">
        <x:v>2024</x:v>
      </x:c>
      <x:c r="B354" s="10" t="s">
        <x:v>45</x:v>
      </x:c>
      <x:c r="C354" s="11" t="e">
        <x:f>IFERROR(VLOOKUP(B354,Regiões!A:B,2,0),"")</x:f>
        <x:v>#NAME?</x:v>
      </x:c>
      <x:c r="D354" s="11" t="s">
        <x:v>1057</x:v>
      </x:c>
      <x:c r="E354" s="12" t="str">
        <x:f>G354&amp;" de "&amp;B354</x:f>
        <x:v>Prefeitura Municipal de Novo Hamburgo</x:v>
      </x:c>
      <x:c r="F354" s="13"/>
      <x:c r="G354" s="14" t="s">
        <x:v>18</x:v>
      </x:c>
      <x:c r="H354" s="15">
        <x:v>41160002</x:v>
      </x:c>
      <x:c r="I354" s="9" t="s">
        <x:v>224</x:v>
      </x:c>
      <x:c r="J354" s="9" t="s">
        <x:v>40</x:v>
      </x:c>
      <x:c r="K354" s="16" t="s">
        <x:v>20</x:v>
      </x:c>
      <x:c r="L354" s="17">
        <x:v>210000</x:v>
      </x:c>
      <x:c r="M354" s="17"/>
      <x:c r="N354" s="11" t="s">
        <x:v>21</x:v>
      </x:c>
      <x:c r="O354" s="16"/>
      <x:c r="P354" s="18"/>
      <x:c r="Q354" s="19"/>
    </x:row>
    <x:row r="355" ht="38.25">
      <x:c r="A355" s="51">
        <x:v>2021</x:v>
      </x:c>
      <x:c r="B355" s="51" t="s">
        <x:v>297</x:v>
      </x:c>
      <x:c r="C355" s="11" t="e">
        <x:f>IFERROR(VLOOKUP(B355,Regiões!A:B,2,0),"")</x:f>
        <x:v>#NAME?</x:v>
      </x:c>
      <x:c r="D355" s="22" t="s">
        <x:v>1058</x:v>
      </x:c>
      <x:c r="E355" s="52" t="s">
        <x:v>1059</x:v>
      </x:c>
      <x:c r="F355" s="53"/>
      <x:c r="G355" s="51" t="s">
        <x:v>1059</x:v>
      </x:c>
      <x:c r="H355" s="54">
        <x:v>411660007</x:v>
      </x:c>
      <x:c r="I355" s="51" t="s">
        <x:v>31</x:v>
      </x:c>
      <x:c r="J355" s="51" t="s">
        <x:v>25</x:v>
      </x:c>
      <x:c r="K355" s="51" t="s">
        <x:v>32</x:v>
      </x:c>
      <x:c r="L355" s="55">
        <x:v>212000.06</x:v>
      </x:c>
      <x:c r="M355" s="55"/>
      <x:c r="N355" s="51" t="s">
        <x:v>33</x:v>
      </x:c>
      <x:c r="O355" s="51" t="s">
        <x:v>1060</x:v>
      </x:c>
      <x:c r="P355" s="64" t="s">
        <x:v>1061</x:v>
      </x:c>
      <x:c r="Q355" s="57"/>
    </x:row>
    <x:row r="356" ht="51">
      <x:c r="A356" s="9">
        <x:v>2026</x:v>
      </x:c>
      <x:c r="B356" s="14" t="s">
        <x:v>1062</x:v>
      </x:c>
      <x:c r="C356" s="11" t="e">
        <x:f>IFERROR(VLOOKUP(B356,Regiões!A:B,2,0),"")</x:f>
        <x:v>#NAME?</x:v>
      </x:c>
      <x:c r="D356" s="11" t="s">
        <x:v>1063</x:v>
      </x:c>
      <x:c r="E356" s="14" t="s">
        <x:v>1062</x:v>
      </x:c>
      <x:c r="F356" s="13">
        <x:v>14097516000100</x:v>
      </x:c>
      <x:c r="G356" s="14" t="s">
        <x:v>1064</x:v>
      </x:c>
      <x:c r="H356" s="15">
        <x:v>41160013</x:v>
      </x:c>
      <x:c r="I356" s="9" t="s">
        <x:v>1003</x:v>
      </x:c>
      <x:c r="J356" s="2" t="s">
        <x:v>40</x:v>
      </x:c>
      <x:c r="K356" s="16" t="s">
        <x:v>32</x:v>
      </x:c>
      <x:c r="L356" s="17">
        <x:v>213000</x:v>
      </x:c>
      <x:c r="M356" s="17"/>
      <x:c r="N356" s="9" t="s">
        <x:v>33</x:v>
      </x:c>
      <x:c r="O356" s="16"/>
      <x:c r="P356" s="18"/>
      <x:c r="Q356" s="19"/>
    </x:row>
    <x:row r="357" ht="63.75">
      <x:c r="A357" s="9">
        <x:v>2025</x:v>
      </x:c>
      <x:c r="B357" s="14" t="s">
        <x:v>1065</x:v>
      </x:c>
      <x:c r="C357" s="11" t="e">
        <x:f>IFERROR(VLOOKUP(B357,Regiões!A:B,2,0),"")</x:f>
        <x:v>#NAME?</x:v>
      </x:c>
      <x:c r="D357" s="11" t="s">
        <x:v>1066</x:v>
      </x:c>
      <x:c r="E357" s="12" t="s">
        <x:v>1067</x:v>
      </x:c>
      <x:c r="F357" s="13">
        <x:v>95427522000180</x:v>
      </x:c>
      <x:c r="G357" s="10" t="s">
        <x:v>1067</x:v>
      </x:c>
      <x:c r="H357" s="87">
        <x:v>41160004</x:v>
      </x:c>
      <x:c r="I357" s="9" t="s">
        <x:v>502</x:v>
      </x:c>
      <x:c r="J357" s="9" t="s">
        <x:v>40</x:v>
      </x:c>
      <x:c r="K357" s="16" t="s">
        <x:v>32</x:v>
      </x:c>
      <x:c r="L357" s="88">
        <x:v>216400</x:v>
      </x:c>
      <x:c r="M357" s="88"/>
      <x:c r="N357" s="11" t="s">
        <x:v>21</x:v>
      </x:c>
      <x:c r="O357" s="16"/>
      <x:c r="P357" s="44" t="s">
        <x:v>1068</x:v>
      </x:c>
      <x:c r="Q357" s="19"/>
    </x:row>
    <x:row r="358" ht="51">
      <x:c r="A358" s="36">
        <x:v>2021</x:v>
      </x:c>
      <x:c r="B358" s="79" t="s">
        <x:v>187</x:v>
      </x:c>
      <x:c r="C358" s="11" t="e">
        <x:f>IFERROR(VLOOKUP(B358,Regiões!A:B,2,0),"")</x:f>
        <x:v>#NAME?</x:v>
      </x:c>
      <x:c r="D358" s="22" t="s">
        <x:v>188</x:v>
      </x:c>
      <x:c r="E358" s="37" t="s">
        <x:v>93</x:v>
      </x:c>
      <x:c r="F358" s="80"/>
      <x:c r="G358" s="79" t="s">
        <x:v>189</x:v>
      </x:c>
      <x:c r="H358" s="81">
        <x:v>41160002</x:v>
      </x:c>
      <x:c r="I358" s="36" t="s">
        <x:v>415</x:v>
      </x:c>
      <x:c r="J358" s="36" t="s">
        <x:v>40</x:v>
      </x:c>
      <x:c r="K358" s="36" t="s">
        <x:v>32</x:v>
      </x:c>
      <x:c r="L358" s="40">
        <x:v>218250</x:v>
      </x:c>
      <x:c r="M358" s="40"/>
      <x:c r="N358" s="36" t="s">
        <x:v>301</x:v>
      </x:c>
      <x:c r="O358" s="36" t="s">
        <x:v>26</x:v>
      </x:c>
      <x:c r="P358" s="107" t="s">
        <x:v>1069</x:v>
      </x:c>
      <x:c r="Q358" s="42"/>
    </x:row>
    <x:row r="359" ht="51">
      <x:c r="A359" s="36">
        <x:v>2021</x:v>
      </x:c>
      <x:c r="B359" s="79" t="s">
        <x:v>99</x:v>
      </x:c>
      <x:c r="C359" s="11" t="e">
        <x:f>IFERROR(VLOOKUP(B359,Regiões!A:B,2,0),"")</x:f>
        <x:v>#NAME?</x:v>
      </x:c>
      <x:c r="D359" s="22" t="s">
        <x:v>1070</x:v>
      </x:c>
      <x:c r="E359" s="37" t="s">
        <x:v>93</x:v>
      </x:c>
      <x:c r="F359" s="80"/>
      <x:c r="G359" s="79" t="s">
        <x:v>1071</x:v>
      </x:c>
      <x:c r="H359" s="81">
        <x:v>41160002</x:v>
      </x:c>
      <x:c r="I359" s="36" t="s">
        <x:v>415</x:v>
      </x:c>
      <x:c r="J359" s="36" t="s">
        <x:v>40</x:v>
      </x:c>
      <x:c r="K359" s="36" t="s">
        <x:v>32</x:v>
      </x:c>
      <x:c r="L359" s="40">
        <x:v>219347</x:v>
      </x:c>
      <x:c r="M359" s="40"/>
      <x:c r="N359" s="36" t="s">
        <x:v>301</x:v>
      </x:c>
      <x:c r="O359" s="36" t="s">
        <x:v>26</x:v>
      </x:c>
      <x:c r="P359" s="107" t="s">
        <x:v>1072</x:v>
      </x:c>
      <x:c r="Q359" s="42"/>
    </x:row>
    <x:row r="360" ht="51">
      <x:c r="A360" s="11">
        <x:v>2023</x:v>
      </x:c>
      <x:c r="B360" s="66" t="s">
        <x:v>329</x:v>
      </x:c>
      <x:c r="C360" s="11" t="e">
        <x:f>IFERROR(VLOOKUP(B360,Regiões!A:B,2,0),"")</x:f>
        <x:v>#NAME?</x:v>
      </x:c>
      <x:c r="D360" s="11" t="s">
        <x:v>1073</x:v>
      </x:c>
      <x:c r="E360" s="67" t="s">
        <x:v>42</x:v>
      </x:c>
      <x:c r="F360" s="68"/>
      <x:c r="G360" s="66" t="s">
        <x:v>1074</x:v>
      </x:c>
      <x:c r="H360" s="69"/>
      <x:c r="I360" s="11" t="s">
        <x:v>444</x:v>
      </x:c>
      <x:c r="J360" s="11" t="str">
        <x:f>LEFT(I360,FIND(" (",I360) - 1)</x:f>
        <x:v>Saúde</x:v>
      </x:c>
      <x:c r="K360" s="11" t="s">
        <x:v>32</x:v>
      </x:c>
      <x:c r="L360" s="70">
        <x:v>220400</x:v>
      </x:c>
      <x:c r="M360" s="70"/>
      <x:c r="N360" s="11" t="s">
        <x:v>21</x:v>
      </x:c>
      <x:c r="O360" s="11" t="s">
        <x:v>49</x:v>
      </x:c>
      <x:c r="P360" s="67" t="s">
        <x:v>1075</x:v>
      </x:c>
      <x:c r="Q360" s="66" t="s">
        <x:v>1076</x:v>
      </x:c>
    </x:row>
    <x:row r="361" ht="127.5">
      <x:c r="A361" s="22">
        <x:v>2020</x:v>
      </x:c>
      <x:c r="B361" s="22" t="s">
        <x:v>565</x:v>
      </x:c>
      <x:c r="C361" s="11" t="e">
        <x:f>IFERROR(VLOOKUP(B361,Regiões!A:B,2,0),"")</x:f>
        <x:v>#NAME?</x:v>
      </x:c>
      <x:c r="D361" s="22" t="s">
        <x:v>635</x:v>
      </x:c>
      <x:c r="E361" s="23" t="s">
        <x:v>305</x:v>
      </x:c>
      <x:c r="F361" s="117"/>
      <x:c r="G361" s="118" t="s">
        <x:v>636</x:v>
      </x:c>
      <x:c r="H361" s="34">
        <x:v>41160011</x:v>
      </x:c>
      <x:c r="I361" s="22" t="s">
        <x:v>31</x:v>
      </x:c>
      <x:c r="J361" s="22" t="s">
        <x:v>25</x:v>
      </x:c>
      <x:c r="K361" s="22" t="s">
        <x:v>32</x:v>
      </x:c>
      <x:c r="L361" s="26">
        <x:v>224845.32</x:v>
      </x:c>
      <x:c r="M361" s="26" t="s">
        <x:v>1077</x:v>
      </x:c>
      <x:c r="N361" s="22" t="s">
        <x:v>33</x:v>
      </x:c>
      <x:c r="O361" s="22" t="s">
        <x:v>1078</x:v>
      </x:c>
      <x:c r="P361" s="74" t="s">
        <x:v>1079</x:v>
      </x:c>
      <x:c r="Q361" s="29"/>
    </x:row>
    <x:row r="362" ht="51">
      <x:c r="A362" s="9">
        <x:v>2025</x:v>
      </x:c>
      <x:c r="B362" s="14" t="s">
        <x:v>1080</x:v>
      </x:c>
      <x:c r="C362" s="11" t="e">
        <x:f>IFERROR(VLOOKUP(B362,Regiões!A:B,2,0),"")</x:f>
        <x:v>#NAME?</x:v>
      </x:c>
      <x:c r="D362" s="11" t="s">
        <x:v>1081</x:v>
      </x:c>
      <x:c r="E362" s="12" t="s">
        <x:v>1082</x:v>
      </x:c>
      <x:c r="F362" s="13">
        <x:v>96418025000189</x:v>
      </x:c>
      <x:c r="G362" s="10" t="s">
        <x:v>1082</x:v>
      </x:c>
      <x:c r="H362" s="59">
        <x:v>41160004</x:v>
      </x:c>
      <x:c r="I362" s="9" t="s">
        <x:v>502</x:v>
      </x:c>
      <x:c r="J362" s="9" t="s">
        <x:v>40</x:v>
      </x:c>
      <x:c r="K362" s="16" t="s">
        <x:v>32</x:v>
      </x:c>
      <x:c r="L362" s="90">
        <x:v>225000</x:v>
      </x:c>
      <x:c r="M362" s="90"/>
      <x:c r="N362" s="11" t="s">
        <x:v>21</x:v>
      </x:c>
      <x:c r="O362" s="16"/>
      <x:c r="P362" s="91" t="s">
        <x:v>1083</x:v>
      </x:c>
      <x:c r="Q362" s="19"/>
    </x:row>
    <x:row r="363" ht="51">
      <x:c r="A363" s="9">
        <x:v>2025</x:v>
      </x:c>
      <x:c r="B363" s="14" t="s">
        <x:v>56</x:v>
      </x:c>
      <x:c r="C363" s="11" t="e">
        <x:f>IFERROR(VLOOKUP(B363,Regiões!A:B,2,0),"")</x:f>
        <x:v>#NAME?</x:v>
      </x:c>
      <x:c r="D363" s="11" t="s">
        <x:v>1084</x:v>
      </x:c>
      <x:c r="E363" s="12" t="s">
        <x:v>1085</x:v>
      </x:c>
      <x:c r="F363" s="13">
        <x:v>12137715000170</x:v>
      </x:c>
      <x:c r="G363" s="14" t="s">
        <x:v>18</x:v>
      </x:c>
      <x:c r="H363" s="87">
        <x:v>41160003</x:v>
      </x:c>
      <x:c r="I363" s="9" t="s">
        <x:v>463</x:v>
      </x:c>
      <x:c r="J363" s="9" t="s">
        <x:v>40</x:v>
      </x:c>
      <x:c r="K363" s="16" t="s">
        <x:v>32</x:v>
      </x:c>
      <x:c r="L363" s="88">
        <x:v>226169</x:v>
      </x:c>
      <x:c r="M363" s="88"/>
      <x:c r="N363" s="11" t="s">
        <x:v>21</x:v>
      </x:c>
      <x:c r="O363" s="16"/>
      <x:c r="P363" s="111" t="s">
        <x:v>1086</x:v>
      </x:c>
      <x:c r="Q363" s="19"/>
    </x:row>
    <x:row r="364" ht="38.25">
      <x:c r="A364" s="9">
        <x:v>2024</x:v>
      </x:c>
      <x:c r="B364" s="14" t="s">
        <x:v>1087</x:v>
      </x:c>
      <x:c r="C364" s="11" t="e">
        <x:f>IFERROR(VLOOKUP(B364,Regiões!A:B,2,0),"")</x:f>
        <x:v>#NAME?</x:v>
      </x:c>
      <x:c r="D364" s="11" t="s">
        <x:v>1088</x:v>
      </x:c>
      <x:c r="E364" s="12" t="str">
        <x:f>G364&amp;" de "&amp;B364</x:f>
        <x:v>Prefeitura Municipal de Cotiporã</x:v>
      </x:c>
      <x:c r="F364" s="13"/>
      <x:c r="G364" s="14" t="s">
        <x:v>18</x:v>
      </x:c>
      <x:c r="H364" s="15">
        <x:v>41160001</x:v>
      </x:c>
      <x:c r="I364" s="9" t="s">
        <x:v>58</x:v>
      </x:c>
      <x:c r="J364" s="9" t="s">
        <x:v>40</x:v>
      </x:c>
      <x:c r="K364" s="16" t="s">
        <x:v>20</x:v>
      </x:c>
      <x:c r="L364" s="17">
        <x:v>226199</x:v>
      </x:c>
      <x:c r="M364" s="17"/>
      <x:c r="N364" s="11" t="s">
        <x:v>21</x:v>
      </x:c>
      <x:c r="O364" s="16"/>
      <x:c r="P364" s="18"/>
      <x:c r="Q364" s="19"/>
    </x:row>
    <x:row r="365" ht="63.75">
      <x:c r="A365" s="9">
        <x:v>2025</x:v>
      </x:c>
      <x:c r="B365" s="14" t="s">
        <x:v>400</x:v>
      </x:c>
      <x:c r="C365" s="11" t="e">
        <x:f>IFERROR(VLOOKUP(B365,Regiões!A:B,2,0),"")</x:f>
        <x:v>#NAME?</x:v>
      </x:c>
      <x:c r="D365" s="11" t="s">
        <x:v>1089</x:v>
      </x:c>
      <x:c r="E365" s="12" t="s">
        <x:v>1090</x:v>
      </x:c>
      <x:c r="F365" s="13">
        <x:v>11413810000196</x:v>
      </x:c>
      <x:c r="G365" s="14" t="s">
        <x:v>18</x:v>
      </x:c>
      <x:c r="H365" s="59">
        <x:v>41160004</x:v>
      </x:c>
      <x:c r="I365" s="9" t="s">
        <x:v>502</x:v>
      </x:c>
      <x:c r="J365" s="9" t="s">
        <x:v>40</x:v>
      </x:c>
      <x:c r="K365" s="16" t="s">
        <x:v>32</x:v>
      </x:c>
      <x:c r="L365" s="90">
        <x:v>230000</x:v>
      </x:c>
      <x:c r="M365" s="90"/>
      <x:c r="N365" s="11" t="s">
        <x:v>21</x:v>
      </x:c>
      <x:c r="O365" s="16"/>
      <x:c r="P365" s="91" t="s">
        <x:v>1091</x:v>
      </x:c>
      <x:c r="Q365" s="19"/>
    </x:row>
    <x:row r="366" ht="25.5">
      <x:c r="A366" s="36">
        <x:v>2022</x:v>
      </x:c>
      <x:c r="B366" s="144" t="s">
        <x:v>310</x:v>
      </x:c>
      <x:c r="C366" s="11" t="e">
        <x:f>IFERROR(VLOOKUP(B366,Regiões!A:B,2,0),"")</x:f>
        <x:v>#NAME?</x:v>
      </x:c>
      <x:c r="D366" s="22" t="s">
        <x:v>1092</x:v>
      </x:c>
      <x:c r="E366" s="41" t="s">
        <x:v>1093</x:v>
      </x:c>
      <x:c r="F366" s="38"/>
      <x:c r="G366" s="36" t="s">
        <x:v>305</x:v>
      </x:c>
      <x:c r="H366" s="81">
        <x:v>41160001</x:v>
      </x:c>
      <x:c r="I366" s="36" t="s">
        <x:v>25</x:v>
      </x:c>
      <x:c r="J366" s="36" t="s">
        <x:v>25</x:v>
      </x:c>
      <x:c r="K366" s="36" t="s">
        <x:v>32</x:v>
      </x:c>
      <x:c r="L366" s="145">
        <x:v>234954.25</x:v>
      </x:c>
      <x:c r="M366" s="145"/>
      <x:c r="N366" s="36" t="s">
        <x:v>41</x:v>
      </x:c>
      <x:c r="O366" s="36" t="s">
        <x:v>49</x:v>
      </x:c>
      <x:c r="P366" s="146" t="s">
        <x:v>1094</x:v>
      </x:c>
      <x:c r="Q366" s="42"/>
    </x:row>
    <x:row r="367" ht="38.25">
      <x:c r="A367" s="36">
        <x:v>2022</x:v>
      </x:c>
      <x:c r="B367" s="147" t="s">
        <x:v>171</x:v>
      </x:c>
      <x:c r="C367" s="11" t="e">
        <x:f>IFERROR(VLOOKUP(B367,Regiões!A:B,2,0),"")</x:f>
        <x:v>#NAME?</x:v>
      </x:c>
      <x:c r="D367" s="22" t="s">
        <x:v>1095</x:v>
      </x:c>
      <x:c r="E367" s="41" t="s">
        <x:v>1093</x:v>
      </x:c>
      <x:c r="F367" s="148"/>
      <x:c r="G367" s="149" t="s">
        <x:v>1096</x:v>
      </x:c>
      <x:c r="H367" s="81">
        <x:v>41160001</x:v>
      </x:c>
      <x:c r="I367" s="36" t="s">
        <x:v>25</x:v>
      </x:c>
      <x:c r="J367" s="36" t="s">
        <x:v>25</x:v>
      </x:c>
      <x:c r="K367" s="36" t="s">
        <x:v>32</x:v>
      </x:c>
      <x:c r="L367" s="145">
        <x:v>234954.25</x:v>
      </x:c>
      <x:c r="M367" s="145"/>
      <x:c r="N367" s="36" t="s">
        <x:v>41</x:v>
      </x:c>
      <x:c r="O367" s="36" t="s">
        <x:v>26</x:v>
      </x:c>
      <x:c r="P367" s="146" t="s">
        <x:v>1094</x:v>
      </x:c>
      <x:c r="Q367" s="42"/>
    </x:row>
    <x:row r="368" ht="25.5">
      <x:c r="A368" s="36">
        <x:v>2022</x:v>
      </x:c>
      <x:c r="B368" s="144" t="s">
        <x:v>1097</x:v>
      </x:c>
      <x:c r="C368" s="11" t="e">
        <x:f>IFERROR(VLOOKUP(B368,Regiões!A:B,2,0),"")</x:f>
        <x:v>#NAME?</x:v>
      </x:c>
      <x:c r="D368" s="22" t="s">
        <x:v>1098</x:v>
      </x:c>
      <x:c r="E368" s="41" t="s">
        <x:v>1093</x:v>
      </x:c>
      <x:c r="F368" s="148"/>
      <x:c r="G368" s="149" t="s">
        <x:v>29</x:v>
      </x:c>
      <x:c r="H368" s="81">
        <x:v>41160001</x:v>
      </x:c>
      <x:c r="I368" s="36" t="s">
        <x:v>25</x:v>
      </x:c>
      <x:c r="J368" s="36" t="s">
        <x:v>25</x:v>
      </x:c>
      <x:c r="K368" s="36" t="s">
        <x:v>32</x:v>
      </x:c>
      <x:c r="L368" s="145">
        <x:v>234954.25</x:v>
      </x:c>
      <x:c r="M368" s="145"/>
      <x:c r="N368" s="36" t="s">
        <x:v>41</x:v>
      </x:c>
      <x:c r="O368" s="36" t="s">
        <x:v>26</x:v>
      </x:c>
      <x:c r="P368" s="146" t="s">
        <x:v>1094</x:v>
      </x:c>
      <x:c r="Q368" s="42"/>
    </x:row>
    <x:row r="369" ht="25.5">
      <x:c r="A369" s="36">
        <x:v>2022</x:v>
      </x:c>
      <x:c r="B369" s="147" t="s">
        <x:v>51</x:v>
      </x:c>
      <x:c r="C369" s="11" t="e">
        <x:f>IFERROR(VLOOKUP(B369,Regiões!A:B,2,0),"")</x:f>
        <x:v>#NAME?</x:v>
      </x:c>
      <x:c r="D369" s="22" t="s">
        <x:v>1099</x:v>
      </x:c>
      <x:c r="E369" s="41" t="s">
        <x:v>1093</x:v>
      </x:c>
      <x:c r="F369" s="148"/>
      <x:c r="G369" s="149" t="s">
        <x:v>29</x:v>
      </x:c>
      <x:c r="H369" s="81">
        <x:v>41160001</x:v>
      </x:c>
      <x:c r="I369" s="36" t="s">
        <x:v>25</x:v>
      </x:c>
      <x:c r="J369" s="36" t="s">
        <x:v>25</x:v>
      </x:c>
      <x:c r="K369" s="36" t="s">
        <x:v>32</x:v>
      </x:c>
      <x:c r="L369" s="145">
        <x:v>234954.25</x:v>
      </x:c>
      <x:c r="M369" s="145"/>
      <x:c r="N369" s="36" t="s">
        <x:v>41</x:v>
      </x:c>
      <x:c r="O369" s="36" t="s">
        <x:v>49</x:v>
      </x:c>
      <x:c r="P369" s="146" t="s">
        <x:v>1094</x:v>
      </x:c>
      <x:c r="Q369" s="42"/>
    </x:row>
    <x:row r="370" ht="38.25">
      <x:c r="A370" s="36">
        <x:v>2022</x:v>
      </x:c>
      <x:c r="B370" s="150" t="s">
        <x:v>51</x:v>
      </x:c>
      <x:c r="C370" s="11" t="e">
        <x:f>IFERROR(VLOOKUP(B370,Regiões!A:B,2,0),"")</x:f>
        <x:v>#NAME?</x:v>
      </x:c>
      <x:c r="D370" s="22" t="s">
        <x:v>1100</x:v>
      </x:c>
      <x:c r="E370" s="41" t="s">
        <x:v>1093</x:v>
      </x:c>
      <x:c r="F370" s="45"/>
      <x:c r="G370" s="46" t="s">
        <x:v>1101</x:v>
      </x:c>
      <x:c r="H370" s="81">
        <x:v>41160001</x:v>
      </x:c>
      <x:c r="I370" s="36" t="s">
        <x:v>25</x:v>
      </x:c>
      <x:c r="J370" s="36" t="s">
        <x:v>25</x:v>
      </x:c>
      <x:c r="K370" s="36" t="s">
        <x:v>32</x:v>
      </x:c>
      <x:c r="L370" s="151">
        <x:v>234954.25</x:v>
      </x:c>
      <x:c r="M370" s="151"/>
      <x:c r="N370" s="36" t="s">
        <x:v>41</x:v>
      </x:c>
      <x:c r="O370" s="22" t="s">
        <x:v>49</x:v>
      </x:c>
      <x:c r="P370" s="152" t="s">
        <x:v>1094</x:v>
      </x:c>
      <x:c r="Q370" s="42"/>
    </x:row>
    <x:row r="371" ht="38.25">
      <x:c r="A371" s="36">
        <x:v>2022</x:v>
      </x:c>
      <x:c r="B371" s="147" t="s">
        <x:v>800</x:v>
      </x:c>
      <x:c r="C371" s="11" t="e">
        <x:f>IFERROR(VLOOKUP(B371,Regiões!A:B,2,0),"")</x:f>
        <x:v>#NAME?</x:v>
      </x:c>
      <x:c r="D371" s="22" t="s">
        <x:v>1102</x:v>
      </x:c>
      <x:c r="E371" s="41" t="s">
        <x:v>1093</x:v>
      </x:c>
      <x:c r="F371" s="148"/>
      <x:c r="G371" s="149" t="s">
        <x:v>1103</x:v>
      </x:c>
      <x:c r="H371" s="81">
        <x:v>41160001</x:v>
      </x:c>
      <x:c r="I371" s="36" t="s">
        <x:v>25</x:v>
      </x:c>
      <x:c r="J371" s="36" t="s">
        <x:v>25</x:v>
      </x:c>
      <x:c r="K371" s="36" t="s">
        <x:v>32</x:v>
      </x:c>
      <x:c r="L371" s="145">
        <x:v>234954.25</x:v>
      </x:c>
      <x:c r="M371" s="145"/>
      <x:c r="N371" s="36" t="s">
        <x:v>41</x:v>
      </x:c>
      <x:c r="O371" s="36" t="s">
        <x:v>26</x:v>
      </x:c>
      <x:c r="P371" s="146" t="s">
        <x:v>1094</x:v>
      </x:c>
      <x:c r="Q371" s="42"/>
    </x:row>
    <x:row r="372" ht="38.25">
      <x:c r="A372" s="36">
        <x:v>2022</x:v>
      </x:c>
      <x:c r="B372" s="144" t="s">
        <x:v>1104</x:v>
      </x:c>
      <x:c r="C372" s="11" t="e">
        <x:f>IFERROR(VLOOKUP(B372,Regiões!A:B,2,0),"")</x:f>
        <x:v>#NAME?</x:v>
      </x:c>
      <x:c r="D372" s="22" t="s">
        <x:v>1105</x:v>
      </x:c>
      <x:c r="E372" s="146" t="s">
        <x:v>305</x:v>
      </x:c>
      <x:c r="F372" s="148"/>
      <x:c r="G372" s="149" t="s">
        <x:v>1093</x:v>
      </x:c>
      <x:c r="H372" s="81">
        <x:v>41160001</x:v>
      </x:c>
      <x:c r="I372" s="36" t="s">
        <x:v>31</x:v>
      </x:c>
      <x:c r="J372" s="36" t="s">
        <x:v>25</x:v>
      </x:c>
      <x:c r="K372" s="36" t="s">
        <x:v>32</x:v>
      </x:c>
      <x:c r="L372" s="145">
        <x:v>234954.25</x:v>
      </x:c>
      <x:c r="M372" s="145"/>
      <x:c r="N372" s="36" t="s">
        <x:v>1106</x:v>
      </x:c>
      <x:c r="O372" s="36" t="s">
        <x:v>539</x:v>
      </x:c>
      <x:c r="P372" s="146" t="s">
        <x:v>1094</x:v>
      </x:c>
      <x:c r="Q372" s="42"/>
    </x:row>
    <x:row r="373" ht="51">
      <x:c r="A373" s="11">
        <x:v>2023</x:v>
      </x:c>
      <x:c r="B373" s="66" t="s">
        <x:v>200</x:v>
      </x:c>
      <x:c r="C373" s="11" t="e">
        <x:f>IFERROR(VLOOKUP(B373,Regiões!A:B,2,0),"")</x:f>
        <x:v>#NAME?</x:v>
      </x:c>
      <x:c r="D373" s="11" t="s">
        <x:v>201</x:v>
      </x:c>
      <x:c r="E373" s="67" t="s">
        <x:v>42</x:v>
      </x:c>
      <x:c r="F373" s="68"/>
      <x:c r="G373" s="66" t="s">
        <x:v>1107</x:v>
      </x:c>
      <x:c r="H373" s="69">
        <x:v>41160001</x:v>
      </x:c>
      <x:c r="I373" s="11" t="s">
        <x:v>239</x:v>
      </x:c>
      <x:c r="J373" s="11" t="str">
        <x:f>LEFT(I373,FIND(" (",I373) - 1)</x:f>
        <x:v>Segurança Pública</x:v>
      </x:c>
      <x:c r="K373" s="11" t="s">
        <x:v>32</x:v>
      </x:c>
      <x:c r="L373" s="70">
        <x:v>235000</x:v>
      </x:c>
      <x:c r="M373" s="70"/>
      <x:c r="N373" s="11" t="s">
        <x:v>21</x:v>
      </x:c>
      <x:c r="O373" s="11" t="s">
        <x:v>49</x:v>
      </x:c>
      <x:c r="P373" s="67" t="s">
        <x:v>251</x:v>
      </x:c>
      <x:c r="Q373" s="66"/>
    </x:row>
    <x:row r="374" ht="25.5">
      <x:c r="A374" s="51">
        <x:v>2021</x:v>
      </x:c>
      <x:c r="B374" s="51" t="s">
        <x:v>580</x:v>
      </x:c>
      <x:c r="C374" s="11" t="e">
        <x:f>IFERROR(VLOOKUP(B374,Regiões!A:B,2,0),"")</x:f>
        <x:v>#NAME?</x:v>
      </x:c>
      <x:c r="D374" s="22" t="s">
        <x:v>1108</x:v>
      </x:c>
      <x:c r="E374" s="52" t="s">
        <x:v>38</x:v>
      </x:c>
      <x:c r="F374" s="53"/>
      <x:c r="G374" s="51" t="s">
        <x:v>18</x:v>
      </x:c>
      <x:c r="H374" s="54">
        <x:v>41160004</x:v>
      </x:c>
      <x:c r="I374" s="51" t="s">
        <x:v>1109</x:v>
      </x:c>
      <x:c r="J374" s="22" t="s">
        <x:v>1110</x:v>
      </x:c>
      <x:c r="K374" s="51" t="s">
        <x:v>32</x:v>
      </x:c>
      <x:c r="L374" s="55">
        <x:v>238856</x:v>
      </x:c>
      <x:c r="M374" s="55"/>
      <x:c r="N374" s="51" t="s">
        <x:v>96</x:v>
      </x:c>
      <x:c r="O374" s="153" t="s">
        <x:v>26</x:v>
      </x:c>
      <x:c r="P374" s="64" t="s">
        <x:v>1111</x:v>
      </x:c>
      <x:c r="Q374" s="57"/>
    </x:row>
    <x:row r="375" ht="38.25">
      <x:c r="A375" s="11">
        <x:v>2023</x:v>
      </x:c>
      <x:c r="B375" s="43" t="s">
        <x:v>202</x:v>
      </x:c>
      <x:c r="C375" s="11" t="e">
        <x:f>IFERROR(VLOOKUP(B375,Regiões!A:B,2,0),"")</x:f>
        <x:v>#NAME?</x:v>
      </x:c>
      <x:c r="D375" s="11" t="s">
        <x:v>1112</x:v>
      </x:c>
      <x:c r="E375" s="44" t="s">
        <x:v>93</x:v>
      </x:c>
      <x:c r="F375" s="99"/>
      <x:c r="G375" s="43" t="s">
        <x:v>1113</x:v>
      </x:c>
      <x:c r="H375" s="47"/>
      <x:c r="I375" s="11" t="s">
        <x:v>444</x:v>
      </x:c>
      <x:c r="J375" s="11" t="str">
        <x:f>LEFT(I375,FIND(" (",I375) - 1)</x:f>
        <x:v>Saúde</x:v>
      </x:c>
      <x:c r="K375" s="11" t="s">
        <x:v>32</x:v>
      </x:c>
      <x:c r="L375" s="108">
        <x:v>240000</x:v>
      </x:c>
      <x:c r="M375" s="108"/>
      <x:c r="N375" s="11" t="s">
        <x:v>21</x:v>
      </x:c>
      <x:c r="O375" s="11" t="s">
        <x:v>49</x:v>
      </x:c>
      <x:c r="P375" s="49" t="s">
        <x:v>1114</x:v>
      </x:c>
      <x:c r="Q375" s="50"/>
    </x:row>
    <x:row r="376" ht="51">
      <x:c r="A376" s="9">
        <x:v>2024</x:v>
      </x:c>
      <x:c r="B376" s="14" t="s">
        <x:v>839</x:v>
      </x:c>
      <x:c r="C376" s="11" t="e">
        <x:f>IFERROR(VLOOKUP(B376,Regiões!A:B,2,0),"")</x:f>
        <x:v>#NAME?</x:v>
      </x:c>
      <x:c r="D376" s="11" t="s">
        <x:v>1115</x:v>
      </x:c>
      <x:c r="E376" s="12" t="str">
        <x:f>G376&amp;" de "&amp;B376</x:f>
        <x:v>Prefeitura Municipal de Candelária</x:v>
      </x:c>
      <x:c r="F376" s="13"/>
      <x:c r="G376" s="14" t="s">
        <x:v>18</x:v>
      </x:c>
      <x:c r="H376" s="15">
        <x:v>41160002</x:v>
      </x:c>
      <x:c r="I376" s="9" t="s">
        <x:v>224</x:v>
      </x:c>
      <x:c r="J376" s="9" t="s">
        <x:v>40</x:v>
      </x:c>
      <x:c r="K376" s="16" t="s">
        <x:v>20</x:v>
      </x:c>
      <x:c r="L376" s="17">
        <x:v>240000</x:v>
      </x:c>
      <x:c r="M376" s="17"/>
      <x:c r="N376" s="11" t="s">
        <x:v>21</x:v>
      </x:c>
      <x:c r="O376" s="16"/>
      <x:c r="P376" s="18"/>
      <x:c r="Q376" s="19"/>
    </x:row>
    <x:row r="377" ht="51">
      <x:c r="A377" s="9">
        <x:v>2025</x:v>
      </x:c>
      <x:c r="B377" s="14" t="s">
        <x:v>1116</x:v>
      </x:c>
      <x:c r="C377" s="11" t="e">
        <x:f>IFERROR(VLOOKUP(B377,Regiões!A:B,2,0),"")</x:f>
        <x:v>#NAME?</x:v>
      </x:c>
      <x:c r="D377" s="11" t="s">
        <x:v>1117</x:v>
      </x:c>
      <x:c r="E377" s="12" t="s">
        <x:v>1118</x:v>
      </x:c>
      <x:c r="F377" s="13">
        <x:v>11649013000102</x:v>
      </x:c>
      <x:c r="G377" s="14" t="s">
        <x:v>18</x:v>
      </x:c>
      <x:c r="H377" s="87">
        <x:v>41160003</x:v>
      </x:c>
      <x:c r="I377" s="9" t="s">
        <x:v>463</x:v>
      </x:c>
      <x:c r="J377" s="9" t="s">
        <x:v>40</x:v>
      </x:c>
      <x:c r="K377" s="16" t="s">
        <x:v>32</x:v>
      </x:c>
      <x:c r="L377" s="88">
        <x:v>240000</x:v>
      </x:c>
      <x:c r="M377" s="88"/>
      <x:c r="N377" s="11" t="s">
        <x:v>21</x:v>
      </x:c>
      <x:c r="O377" s="16"/>
      <x:c r="P377" s="111" t="s">
        <x:v>1119</x:v>
      </x:c>
      <x:c r="Q377" s="19"/>
    </x:row>
    <x:row r="378" ht="63.75">
      <x:c r="A378" s="9">
        <x:v>2025</x:v>
      </x:c>
      <x:c r="B378" s="14" t="s">
        <x:v>1116</x:v>
      </x:c>
      <x:c r="C378" s="11" t="e">
        <x:f>IFERROR(VLOOKUP(B378,Regiões!A:B,2,0),"")</x:f>
        <x:v>#NAME?</x:v>
      </x:c>
      <x:c r="D378" s="11" t="s">
        <x:v>1120</x:v>
      </x:c>
      <x:c r="E378" s="12" t="s">
        <x:v>1118</x:v>
      </x:c>
      <x:c r="F378" s="13">
        <x:v>11649013000102</x:v>
      </x:c>
      <x:c r="G378" s="14" t="s">
        <x:v>18</x:v>
      </x:c>
      <x:c r="H378" s="59">
        <x:v>41160002</x:v>
      </x:c>
      <x:c r="I378" s="9" t="s">
        <x:v>468</x:v>
      </x:c>
      <x:c r="J378" s="9" t="s">
        <x:v>40</x:v>
      </x:c>
      <x:c r="K378" s="16" t="s">
        <x:v>20</x:v>
      </x:c>
      <x:c r="L378" s="60">
        <x:v>240000</x:v>
      </x:c>
      <x:c r="M378" s="60"/>
      <x:c r="N378" s="11" t="s">
        <x:v>21</x:v>
      </x:c>
      <x:c r="O378" s="16"/>
      <x:c r="P378" s="49" t="s">
        <x:v>475</x:v>
      </x:c>
      <x:c r="Q378" s="19"/>
    </x:row>
    <x:row r="379" ht="25.5">
      <x:c r="A379" s="9">
        <x:v>2025</x:v>
      </x:c>
      <x:c r="B379" s="14" t="s">
        <x:v>51</x:v>
      </x:c>
      <x:c r="C379" s="11" t="e">
        <x:f>IFERROR(VLOOKUP(B379,Regiões!A:B,2,0),"")</x:f>
        <x:v>#NAME?</x:v>
      </x:c>
      <x:c r="D379" s="11"/>
      <x:c r="E379" s="12" t="s">
        <x:v>1121</x:v>
      </x:c>
      <x:c r="F379" s="13">
        <x:v>87182846000178</x:v>
      </x:c>
      <x:c r="G379" s="14" t="s">
        <x:v>18</x:v>
      </x:c>
      <x:c r="H379" s="59">
        <x:v>41160002</x:v>
      </x:c>
      <x:c r="I379" s="9" t="s">
        <x:v>468</x:v>
      </x:c>
      <x:c r="J379" s="9" t="s">
        <x:v>40</x:v>
      </x:c>
      <x:c r="K379" s="16" t="s">
        <x:v>20</x:v>
      </x:c>
      <x:c r="L379" s="60">
        <x:v>241800</x:v>
      </x:c>
      <x:c r="M379" s="60"/>
      <x:c r="N379" s="11" t="s">
        <x:v>21</x:v>
      </x:c>
      <x:c r="O379" s="16"/>
      <x:c r="P379" s="49" t="s">
        <x:v>475</x:v>
      </x:c>
      <x:c r="Q379" s="19"/>
    </x:row>
    <x:row r="380" ht="51">
      <x:c r="A380" s="9">
        <x:v>2026</x:v>
      </x:c>
      <x:c r="B380" s="14" t="s">
        <x:v>1122</x:v>
      </x:c>
      <x:c r="C380" s="11" t="e">
        <x:f>IFERROR(VLOOKUP(B380,Regiões!A:B,2,0),"")</x:f>
        <x:v>#NAME?</x:v>
      </x:c>
      <x:c r="D380" s="11" t="s">
        <x:v>1123</x:v>
      </x:c>
      <x:c r="E380" s="20" t="s">
        <x:v>1124</x:v>
      </x:c>
      <x:c r="F380" s="13">
        <x:v>88534748000115</x:v>
      </x:c>
      <x:c r="G380" s="14" t="s">
        <x:v>1125</x:v>
      </x:c>
      <x:c r="H380" s="15">
        <x:v>41160003</x:v>
      </x:c>
      <x:c r="I380" s="9" t="s">
        <x:v>976</x:v>
      </x:c>
      <x:c r="J380" s="2" t="s">
        <x:v>40</x:v>
      </x:c>
      <x:c r="K380" s="16" t="s">
        <x:v>32</x:v>
      </x:c>
      <x:c r="L380" s="17">
        <x:v>242671</x:v>
      </x:c>
      <x:c r="M380" s="17"/>
      <x:c r="N380" s="9" t="s">
        <x:v>33</x:v>
      </x:c>
      <x:c r="O380" s="16"/>
      <x:c r="P380" s="18"/>
      <x:c r="Q380" s="19"/>
    </x:row>
    <x:row r="381" ht="51">
      <x:c r="A381" s="22">
        <x:v>2021</x:v>
      </x:c>
      <x:c r="B381" s="30" t="s">
        <x:v>1126</x:v>
      </x:c>
      <x:c r="C381" s="11" t="e">
        <x:f>IFERROR(VLOOKUP(B381,Regiões!A:B,2,0),"")</x:f>
        <x:v>#NAME?</x:v>
      </x:c>
      <x:c r="D381" s="22" t="s">
        <x:v>1127</x:v>
      </x:c>
      <x:c r="E381" s="52" t="s">
        <x:v>38</x:v>
      </x:c>
      <x:c r="F381" s="31"/>
      <x:c r="G381" s="32" t="s">
        <x:v>18</x:v>
      </x:c>
      <x:c r="H381" s="25">
        <x:v>41160002</x:v>
      </x:c>
      <x:c r="I381" s="22" t="s">
        <x:v>415</x:v>
      </x:c>
      <x:c r="J381" s="22" t="s">
        <x:v>40</x:v>
      </x:c>
      <x:c r="K381" s="22" t="s">
        <x:v>32</x:v>
      </x:c>
      <x:c r="L381" s="26">
        <x:v>245000</x:v>
      </x:c>
      <x:c r="M381" s="26"/>
      <x:c r="N381" s="22" t="s">
        <x:v>301</x:v>
      </x:c>
      <x:c r="O381" s="22" t="s">
        <x:v>1128</x:v>
      </x:c>
      <x:c r="P381" s="35" t="s">
        <x:v>1129</x:v>
      </x:c>
      <x:c r="Q381" s="29"/>
    </x:row>
    <x:row r="382" ht="63.75">
      <x:c r="A382" s="92">
        <x:v>2022</x:v>
      </x:c>
      <x:c r="B382" s="92" t="s">
        <x:v>83</x:v>
      </x:c>
      <x:c r="C382" s="92" t="e">
        <x:f>IFERROR(VLOOKUP(B382,Regiões!A:B,2,0),"")</x:f>
        <x:v>#NAME?</x:v>
      </x:c>
      <x:c r="D382" s="92" t="s">
        <x:v>1130</x:v>
      </x:c>
      <x:c r="E382" s="93" t="s">
        <x:v>93</x:v>
      </x:c>
      <x:c r="F382" s="112"/>
      <x:c r="G382" s="113" t="s">
        <x:v>1131</x:v>
      </x:c>
      <x:c r="H382" s="95">
        <x:v>41160003</x:v>
      </x:c>
      <x:c r="I382" s="92" t="s">
        <x:v>415</x:v>
      </x:c>
      <x:c r="J382" s="92" t="s">
        <x:v>40</x:v>
      </x:c>
      <x:c r="K382" s="92" t="s">
        <x:v>32</x:v>
      </x:c>
      <x:c r="L382" s="96">
        <x:v>249303</x:v>
      </x:c>
      <x:c r="M382" s="96"/>
      <x:c r="N382" s="92" t="s">
        <x:v>41</x:v>
      </x:c>
      <x:c r="O382" s="154" t="s">
        <x:v>1132</x:v>
      </x:c>
      <x:c r="P382" s="97" t="s">
        <x:v>1133</x:v>
      </x:c>
      <x:c r="Q382" s="98"/>
    </x:row>
    <x:row r="383" ht="51">
      <x:c r="A383" s="11">
        <x:v>2023</x:v>
      </x:c>
      <x:c r="B383" s="66" t="s">
        <x:v>955</x:v>
      </x:c>
      <x:c r="C383" s="11" t="e">
        <x:f>IFERROR(VLOOKUP(B383,Regiões!A:B,2,0),"")</x:f>
        <x:v>#NAME?</x:v>
      </x:c>
      <x:c r="D383" s="11" t="s">
        <x:v>1134</x:v>
      </x:c>
      <x:c r="E383" s="67" t="s">
        <x:v>42</x:v>
      </x:c>
      <x:c r="F383" s="68"/>
      <x:c r="G383" s="66" t="s">
        <x:v>1135</x:v>
      </x:c>
      <x:c r="H383" s="69"/>
      <x:c r="I383" s="11" t="s">
        <x:v>444</x:v>
      </x:c>
      <x:c r="J383" s="11" t="str">
        <x:f>LEFT(I383,FIND(" (",I383) - 1)</x:f>
        <x:v>Saúde</x:v>
      </x:c>
      <x:c r="K383" s="11" t="s">
        <x:v>32</x:v>
      </x:c>
      <x:c r="L383" s="70">
        <x:v>249320</x:v>
      </x:c>
      <x:c r="M383" s="70"/>
      <x:c r="N383" s="11" t="s">
        <x:v>21</x:v>
      </x:c>
      <x:c r="O383" s="11" t="s">
        <x:v>49</x:v>
      </x:c>
      <x:c r="P383" s="67" t="s">
        <x:v>1136</x:v>
      </x:c>
      <x:c r="Q383" s="66"/>
    </x:row>
    <x:row r="384" ht="51">
      <x:c r="A384" s="9">
        <x:v>2024</x:v>
      </x:c>
      <x:c r="B384" s="10" t="s">
        <x:v>1137</x:v>
      </x:c>
      <x:c r="C384" s="11" t="e">
        <x:f>IFERROR(VLOOKUP(B384,Regiões!A:B,2,0),"")</x:f>
        <x:v>#NAME?</x:v>
      </x:c>
      <x:c r="D384" s="11" t="s">
        <x:v>1138</x:v>
      </x:c>
      <x:c r="E384" s="12" t="str">
        <x:f>G384&amp;" de "&amp;B384</x:f>
        <x:v>Prefeitura Municipal de Eldorado do Sul</x:v>
      </x:c>
      <x:c r="F384" s="13"/>
      <x:c r="G384" s="14" t="s">
        <x:v>18</x:v>
      </x:c>
      <x:c r="H384" s="15">
        <x:v>41160003</x:v>
      </x:c>
      <x:c r="I384" s="9" t="s">
        <x:v>634</x:v>
      </x:c>
      <x:c r="J384" s="9" t="s">
        <x:v>40</x:v>
      </x:c>
      <x:c r="K384" s="16" t="s">
        <x:v>32</x:v>
      </x:c>
      <x:c r="L384" s="17">
        <x:v>249828</x:v>
      </x:c>
      <x:c r="M384" s="17"/>
      <x:c r="N384" s="11" t="s">
        <x:v>21</x:v>
      </x:c>
      <x:c r="O384" s="16"/>
      <x:c r="P384" s="18"/>
      <x:c r="Q384" s="19"/>
    </x:row>
    <x:row r="385" ht="267.75">
      <x:c r="A385" s="51">
        <x:v>2019</x:v>
      </x:c>
      <x:c r="B385" s="51" t="s">
        <x:v>150</x:v>
      </x:c>
      <x:c r="C385" s="11" t="e">
        <x:f>IFERROR(VLOOKUP(B385,Regiões!A:B,2,0),"")</x:f>
        <x:v>#NAME?</x:v>
      </x:c>
      <x:c r="D385" s="22" t="s">
        <x:v>151</x:v>
      </x:c>
      <x:c r="E385" s="52" t="s">
        <x:v>93</x:v>
      </x:c>
      <x:c r="F385" s="53"/>
      <x:c r="G385" s="51" t="s">
        <x:v>152</x:v>
      </x:c>
      <x:c r="H385" s="58">
        <x:v>71220009</x:v>
      </x:c>
      <x:c r="I385" s="51" t="s">
        <x:v>95</x:v>
      </x:c>
      <x:c r="J385" s="51" t="s">
        <x:v>40</x:v>
      </x:c>
      <x:c r="K385" s="51" t="s">
        <x:v>20</x:v>
      </x:c>
      <x:c r="L385" s="55">
        <x:v>250000</x:v>
      </x:c>
      <x:c r="M385" s="55"/>
      <x:c r="N385" s="51" t="s">
        <x:v>64</x:v>
      </x:c>
      <x:c r="O385" s="51" t="s">
        <x:v>26</x:v>
      </x:c>
      <x:c r="P385" s="52" t="s">
        <x:v>316</x:v>
      </x:c>
      <x:c r="Q385" s="57" t="s">
        <x:v>1139</x:v>
      </x:c>
    </x:row>
    <x:row r="386" ht="25.5">
      <x:c r="A386" s="51">
        <x:v>2019</x:v>
      </x:c>
      <x:c r="B386" s="51" t="s">
        <x:v>153</x:v>
      </x:c>
      <x:c r="C386" s="11" t="e">
        <x:f>IFERROR(VLOOKUP(B386,Regiões!A:B,2,0),"")</x:f>
        <x:v>#NAME?</x:v>
      </x:c>
      <x:c r="D386" s="22" t="s">
        <x:v>1140</x:v>
      </x:c>
      <x:c r="E386" s="52" t="s">
        <x:v>93</x:v>
      </x:c>
      <x:c r="F386" s="53"/>
      <x:c r="G386" s="51" t="s">
        <x:v>1141</x:v>
      </x:c>
      <x:c r="H386" s="58">
        <x:v>71220009</x:v>
      </x:c>
      <x:c r="I386" s="51" t="s">
        <x:v>95</x:v>
      </x:c>
      <x:c r="J386" s="51" t="s">
        <x:v>40</x:v>
      </x:c>
      <x:c r="K386" s="51" t="s">
        <x:v>20</x:v>
      </x:c>
      <x:c r="L386" s="55">
        <x:v>250000</x:v>
      </x:c>
      <x:c r="M386" s="55"/>
      <x:c r="N386" s="51" t="s">
        <x:v>64</x:v>
      </x:c>
      <x:c r="O386" s="51" t="s">
        <x:v>26</x:v>
      </x:c>
      <x:c r="P386" s="52" t="s">
        <x:v>316</x:v>
      </x:c>
      <x:c r="Q386" s="62"/>
    </x:row>
    <x:row r="387" ht="38.25">
      <x:c r="A387" s="51">
        <x:v>2019</x:v>
      </x:c>
      <x:c r="B387" s="51" t="s">
        <x:v>332</x:v>
      </x:c>
      <x:c r="C387" s="11" t="e">
        <x:f>IFERROR(VLOOKUP(B387,Regiões!A:B,2,0),"")</x:f>
        <x:v>#NAME?</x:v>
      </x:c>
      <x:c r="D387" s="22" t="s">
        <x:v>333</x:v>
      </x:c>
      <x:c r="E387" s="52" t="s">
        <x:v>93</x:v>
      </x:c>
      <x:c r="F387" s="53"/>
      <x:c r="G387" s="51" t="s">
        <x:v>334</x:v>
      </x:c>
      <x:c r="H387" s="58">
        <x:v>71220009</x:v>
      </x:c>
      <x:c r="I387" s="51" t="s">
        <x:v>95</x:v>
      </x:c>
      <x:c r="J387" s="51" t="s">
        <x:v>40</x:v>
      </x:c>
      <x:c r="K387" s="51" t="s">
        <x:v>20</x:v>
      </x:c>
      <x:c r="L387" s="55">
        <x:v>250000</x:v>
      </x:c>
      <x:c r="M387" s="55"/>
      <x:c r="N387" s="51" t="s">
        <x:v>64</x:v>
      </x:c>
      <x:c r="O387" s="51" t="s">
        <x:v>26</x:v>
      </x:c>
      <x:c r="P387" s="52" t="s">
        <x:v>316</x:v>
      </x:c>
      <x:c r="Q387" s="62"/>
    </x:row>
    <x:row r="388" ht="25.5">
      <x:c r="A388" s="51">
        <x:v>2019</x:v>
      </x:c>
      <x:c r="B388" s="51" t="s">
        <x:v>162</x:v>
      </x:c>
      <x:c r="C388" s="11" t="e">
        <x:f>IFERROR(VLOOKUP(B388,Regiões!A:B,2,0),"")</x:f>
        <x:v>#NAME?</x:v>
      </x:c>
      <x:c r="D388" s="22" t="s">
        <x:v>163</x:v>
      </x:c>
      <x:c r="E388" s="52" t="s">
        <x:v>93</x:v>
      </x:c>
      <x:c r="F388" s="53"/>
      <x:c r="G388" s="51" t="s">
        <x:v>164</x:v>
      </x:c>
      <x:c r="H388" s="58">
        <x:v>71220009</x:v>
      </x:c>
      <x:c r="I388" s="51" t="s">
        <x:v>95</x:v>
      </x:c>
      <x:c r="J388" s="51" t="s">
        <x:v>40</x:v>
      </x:c>
      <x:c r="K388" s="51" t="s">
        <x:v>20</x:v>
      </x:c>
      <x:c r="L388" s="55">
        <x:v>250000</x:v>
      </x:c>
      <x:c r="M388" s="55"/>
      <x:c r="N388" s="51" t="s">
        <x:v>64</x:v>
      </x:c>
      <x:c r="O388" s="51" t="s">
        <x:v>26</x:v>
      </x:c>
      <x:c r="P388" s="52" t="s">
        <x:v>316</x:v>
      </x:c>
      <x:c r="Q388" s="62"/>
    </x:row>
    <x:row r="389" ht="38.25">
      <x:c r="A389" s="51">
        <x:v>2019</x:v>
      </x:c>
      <x:c r="B389" s="51" t="s">
        <x:v>168</x:v>
      </x:c>
      <x:c r="C389" s="11" t="e">
        <x:f>IFERROR(VLOOKUP(B389,Regiões!A:B,2,0),"")</x:f>
        <x:v>#NAME?</x:v>
      </x:c>
      <x:c r="D389" s="22" t="s">
        <x:v>169</x:v>
      </x:c>
      <x:c r="E389" s="52" t="s">
        <x:v>93</x:v>
      </x:c>
      <x:c r="F389" s="53"/>
      <x:c r="G389" s="51" t="s">
        <x:v>170</x:v>
      </x:c>
      <x:c r="H389" s="58">
        <x:v>71220009</x:v>
      </x:c>
      <x:c r="I389" s="51" t="s">
        <x:v>95</x:v>
      </x:c>
      <x:c r="J389" s="51" t="s">
        <x:v>40</x:v>
      </x:c>
      <x:c r="K389" s="51" t="s">
        <x:v>20</x:v>
      </x:c>
      <x:c r="L389" s="55">
        <x:v>250000</x:v>
      </x:c>
      <x:c r="M389" s="55"/>
      <x:c r="N389" s="51" t="s">
        <x:v>64</x:v>
      </x:c>
      <x:c r="O389" s="51" t="s">
        <x:v>26</x:v>
      </x:c>
      <x:c r="P389" s="52" t="s">
        <x:v>316</x:v>
      </x:c>
      <x:c r="Q389" s="62"/>
    </x:row>
    <x:row r="390" ht="89.25">
      <x:c r="A390" s="51">
        <x:v>2019</x:v>
      </x:c>
      <x:c r="B390" s="51" t="s">
        <x:v>291</x:v>
      </x:c>
      <x:c r="C390" s="11" t="e">
        <x:f>IFERROR(VLOOKUP(B390,Regiões!A:B,2,0),"")</x:f>
        <x:v>#NAME?</x:v>
      </x:c>
      <x:c r="D390" s="22" t="s">
        <x:v>1142</x:v>
      </x:c>
      <x:c r="E390" s="52" t="s">
        <x:v>93</x:v>
      </x:c>
      <x:c r="F390" s="53"/>
      <x:c r="G390" s="51" t="s">
        <x:v>1143</x:v>
      </x:c>
      <x:c r="H390" s="58">
        <x:v>71220009</x:v>
      </x:c>
      <x:c r="I390" s="51" t="s">
        <x:v>95</x:v>
      </x:c>
      <x:c r="J390" s="51" t="s">
        <x:v>40</x:v>
      </x:c>
      <x:c r="K390" s="51" t="s">
        <x:v>20</x:v>
      </x:c>
      <x:c r="L390" s="55">
        <x:v>250000</x:v>
      </x:c>
      <x:c r="M390" s="55"/>
      <x:c r="N390" s="51" t="s">
        <x:v>64</x:v>
      </x:c>
      <x:c r="O390" s="51" t="s">
        <x:v>26</x:v>
      </x:c>
      <x:c r="P390" s="52" t="s">
        <x:v>316</x:v>
      </x:c>
      <x:c r="Q390" s="57" t="s">
        <x:v>1144</x:v>
      </x:c>
    </x:row>
    <x:row r="391" ht="178.5">
      <x:c r="A391" s="51">
        <x:v>2019</x:v>
      </x:c>
      <x:c r="B391" s="51" t="s">
        <x:v>386</x:v>
      </x:c>
      <x:c r="C391" s="11" t="e">
        <x:f>IFERROR(VLOOKUP(B391,Regiões!A:B,2,0),"")</x:f>
        <x:v>#NAME?</x:v>
      </x:c>
      <x:c r="D391" s="22" t="s">
        <x:v>1145</x:v>
      </x:c>
      <x:c r="E391" s="52" t="s">
        <x:v>93</x:v>
      </x:c>
      <x:c r="F391" s="53"/>
      <x:c r="G391" s="51" t="s">
        <x:v>1146</x:v>
      </x:c>
      <x:c r="H391" s="58">
        <x:v>71220009</x:v>
      </x:c>
      <x:c r="I391" s="51" t="s">
        <x:v>95</x:v>
      </x:c>
      <x:c r="J391" s="51" t="s">
        <x:v>40</x:v>
      </x:c>
      <x:c r="K391" s="51" t="s">
        <x:v>20</x:v>
      </x:c>
      <x:c r="L391" s="55">
        <x:v>250000</x:v>
      </x:c>
      <x:c r="M391" s="55"/>
      <x:c r="N391" s="51" t="s">
        <x:v>64</x:v>
      </x:c>
      <x:c r="O391" s="51" t="s">
        <x:v>26</x:v>
      </x:c>
      <x:c r="P391" s="52" t="s">
        <x:v>316</x:v>
      </x:c>
      <x:c r="Q391" s="57" t="s">
        <x:v>1147</x:v>
      </x:c>
    </x:row>
    <x:row r="392" ht="369.75">
      <x:c r="A392" s="51">
        <x:v>2019</x:v>
      </x:c>
      <x:c r="B392" s="51" t="s">
        <x:v>202</x:v>
      </x:c>
      <x:c r="C392" s="11" t="e">
        <x:f>IFERROR(VLOOKUP(B392,Regiões!A:B,2,0),"")</x:f>
        <x:v>#NAME?</x:v>
      </x:c>
      <x:c r="D392" s="22" t="s">
        <x:v>203</x:v>
      </x:c>
      <x:c r="E392" s="52" t="s">
        <x:v>93</x:v>
      </x:c>
      <x:c r="F392" s="53"/>
      <x:c r="G392" s="51" t="s">
        <x:v>204</x:v>
      </x:c>
      <x:c r="H392" s="58">
        <x:v>71220009</x:v>
      </x:c>
      <x:c r="I392" s="51" t="s">
        <x:v>95</x:v>
      </x:c>
      <x:c r="J392" s="51" t="s">
        <x:v>40</x:v>
      </x:c>
      <x:c r="K392" s="51" t="s">
        <x:v>20</x:v>
      </x:c>
      <x:c r="L392" s="55">
        <x:v>250000</x:v>
      </x:c>
      <x:c r="M392" s="55"/>
      <x:c r="N392" s="51" t="s">
        <x:v>64</x:v>
      </x:c>
      <x:c r="O392" s="51" t="s">
        <x:v>26</x:v>
      </x:c>
      <x:c r="P392" s="52" t="s">
        <x:v>316</x:v>
      </x:c>
      <x:c r="Q392" s="57" t="s">
        <x:v>1148</x:v>
      </x:c>
    </x:row>
    <x:row r="393" ht="38.25">
      <x:c r="A393" s="51">
        <x:v>2020</x:v>
      </x:c>
      <x:c r="B393" s="51" t="s">
        <x:v>45</x:v>
      </x:c>
      <x:c r="C393" s="11" t="e">
        <x:f>IFERROR(VLOOKUP(B393,Regiões!A:B,2,0),"")</x:f>
        <x:v>#NAME?</x:v>
      </x:c>
      <x:c r="D393" s="22" t="s">
        <x:v>374</x:v>
      </x:c>
      <x:c r="E393" s="52" t="s">
        <x:v>93</x:v>
      </x:c>
      <x:c r="F393" s="53"/>
      <x:c r="G393" s="51" t="s">
        <x:v>375</x:v>
      </x:c>
      <x:c r="H393" s="63" t="s">
        <x:v>142</x:v>
      </x:c>
      <x:c r="I393" s="51" t="s">
        <x:v>95</x:v>
      </x:c>
      <x:c r="J393" s="51" t="s">
        <x:v>40</x:v>
      </x:c>
      <x:c r="K393" s="51" t="s">
        <x:v>20</x:v>
      </x:c>
      <x:c r="L393" s="55">
        <x:v>250000</x:v>
      </x:c>
      <x:c r="M393" s="55"/>
      <x:c r="N393" s="51" t="s">
        <x:v>64</x:v>
      </x:c>
      <x:c r="O393" s="51" t="s">
        <x:v>26</x:v>
      </x:c>
      <x:c r="P393" s="64" t="s">
        <x:v>149</x:v>
      </x:c>
      <x:c r="Q393" s="62"/>
    </x:row>
    <x:row r="394" ht="38.25">
      <x:c r="A394" s="51">
        <x:v>2020</x:v>
      </x:c>
      <x:c r="B394" s="51" t="s">
        <x:v>800</x:v>
      </x:c>
      <x:c r="C394" s="11" t="e">
        <x:f>IFERROR(VLOOKUP(B394,Regiões!A:B,2,0),"")</x:f>
        <x:v>#NAME?</x:v>
      </x:c>
      <x:c r="D394" s="22" t="s">
        <x:v>801</x:v>
      </x:c>
      <x:c r="E394" s="52" t="s">
        <x:v>93</x:v>
      </x:c>
      <x:c r="F394" s="53"/>
      <x:c r="G394" s="51" t="s">
        <x:v>802</x:v>
      </x:c>
      <x:c r="H394" s="63" t="s">
        <x:v>142</x:v>
      </x:c>
      <x:c r="I394" s="51" t="s">
        <x:v>95</x:v>
      </x:c>
      <x:c r="J394" s="51" t="s">
        <x:v>40</x:v>
      </x:c>
      <x:c r="K394" s="51" t="s">
        <x:v>20</x:v>
      </x:c>
      <x:c r="L394" s="55">
        <x:v>250000</x:v>
      </x:c>
      <x:c r="M394" s="55"/>
      <x:c r="N394" s="51" t="s">
        <x:v>64</x:v>
      </x:c>
      <x:c r="O394" s="51" t="s">
        <x:v>26</x:v>
      </x:c>
      <x:c r="P394" s="64" t="s">
        <x:v>149</x:v>
      </x:c>
      <x:c r="Q394" s="62"/>
    </x:row>
    <x:row r="395" ht="318.75">
      <x:c r="A395" s="51">
        <x:v>2020</x:v>
      </x:c>
      <x:c r="B395" s="51" t="s">
        <x:v>297</x:v>
      </x:c>
      <x:c r="C395" s="11" t="e">
        <x:f>IFERROR(VLOOKUP(B395,Regiões!A:B,2,0),"")</x:f>
        <x:v>#NAME?</x:v>
      </x:c>
      <x:c r="D395" s="22" t="s">
        <x:v>1149</x:v>
      </x:c>
      <x:c r="E395" s="52" t="s">
        <x:v>93</x:v>
      </x:c>
      <x:c r="F395" s="53"/>
      <x:c r="G395" s="51" t="s">
        <x:v>1150</x:v>
      </x:c>
      <x:c r="H395" s="58">
        <x:v>41160005</x:v>
      </x:c>
      <x:c r="I395" s="51" t="s">
        <x:v>95</x:v>
      </x:c>
      <x:c r="J395" s="51" t="s">
        <x:v>40</x:v>
      </x:c>
      <x:c r="K395" s="51" t="s">
        <x:v>20</x:v>
      </x:c>
      <x:c r="L395" s="55">
        <x:v>250000</x:v>
      </x:c>
      <x:c r="M395" s="55"/>
      <x:c r="N395" s="51" t="s">
        <x:v>96</x:v>
      </x:c>
      <x:c r="O395" s="51" t="s">
        <x:v>26</x:v>
      </x:c>
      <x:c r="P395" s="52" t="s">
        <x:v>97</x:v>
      </x:c>
      <x:c r="Q395" s="57" t="s">
        <x:v>1151</x:v>
      </x:c>
    </x:row>
    <x:row r="396" ht="25.5">
      <x:c r="A396" s="51">
        <x:v>2020</x:v>
      </x:c>
      <x:c r="B396" s="51" t="s">
        <x:v>83</x:v>
      </x:c>
      <x:c r="C396" s="11" t="e">
        <x:f>IFERROR(VLOOKUP(B396,Regiões!A:B,2,0),"")</x:f>
        <x:v>#NAME?</x:v>
      </x:c>
      <x:c r="D396" s="22" t="s">
        <x:v>1152</x:v>
      </x:c>
      <x:c r="E396" s="52" t="s">
        <x:v>93</x:v>
      </x:c>
      <x:c r="F396" s="53"/>
      <x:c r="G396" s="51" t="s">
        <x:v>1153</x:v>
      </x:c>
      <x:c r="H396" s="58">
        <x:v>41160005</x:v>
      </x:c>
      <x:c r="I396" s="51" t="s">
        <x:v>95</x:v>
      </x:c>
      <x:c r="J396" s="51" t="s">
        <x:v>40</x:v>
      </x:c>
      <x:c r="K396" s="51" t="s">
        <x:v>20</x:v>
      </x:c>
      <x:c r="L396" s="55">
        <x:v>250000</x:v>
      </x:c>
      <x:c r="M396" s="55"/>
      <x:c r="N396" s="51" t="s">
        <x:v>96</x:v>
      </x:c>
      <x:c r="O396" s="51" t="s">
        <x:v>26</x:v>
      </x:c>
      <x:c r="P396" s="52" t="s">
        <x:v>97</x:v>
      </x:c>
      <x:c r="Q396" s="62"/>
    </x:row>
    <x:row r="397" ht="25.5">
      <x:c r="A397" s="51">
        <x:v>2021</x:v>
      </x:c>
      <x:c r="B397" s="51" t="s">
        <x:v>1154</x:v>
      </x:c>
      <x:c r="C397" s="11" t="e">
        <x:f>IFERROR(VLOOKUP(B397,Regiões!A:B,2,0),"")</x:f>
        <x:v>#NAME?</x:v>
      </x:c>
      <x:c r="D397" s="22" t="s">
        <x:v>1155</x:v>
      </x:c>
      <x:c r="E397" s="52" t="s">
        <x:v>38</x:v>
      </x:c>
      <x:c r="F397" s="53"/>
      <x:c r="G397" s="51" t="s">
        <x:v>18</x:v>
      </x:c>
      <x:c r="H397" s="155">
        <x:v>41160004</x:v>
      </x:c>
      <x:c r="I397" s="51" t="s">
        <x:v>1109</x:v>
      </x:c>
      <x:c r="J397" s="22" t="s">
        <x:v>1110</x:v>
      </x:c>
      <x:c r="K397" s="51" t="s">
        <x:v>32</x:v>
      </x:c>
      <x:c r="L397" s="55">
        <x:v>250000</x:v>
      </x:c>
      <x:c r="M397" s="55"/>
      <x:c r="N397" s="51" t="s">
        <x:v>96</x:v>
      </x:c>
      <x:c r="O397" s="153" t="s">
        <x:v>26</x:v>
      </x:c>
      <x:c r="P397" s="64" t="s">
        <x:v>1156</x:v>
      </x:c>
      <x:c r="Q397" s="57" t="s">
        <x:v>1157</x:v>
      </x:c>
    </x:row>
    <x:row r="398" ht="38.25">
      <x:c r="A398" s="22">
        <x:v>2021</x:v>
      </x:c>
      <x:c r="B398" s="30" t="s">
        <x:v>1158</x:v>
      </x:c>
      <x:c r="C398" s="11" t="e">
        <x:f>IFERROR(VLOOKUP(B398,Regiões!A:B,2,0),"")</x:f>
        <x:v>#NAME?</x:v>
      </x:c>
      <x:c r="D398" s="22" t="s">
        <x:v>1159</x:v>
      </x:c>
      <x:c r="E398" s="23" t="s">
        <x:v>93</x:v>
      </x:c>
      <x:c r="F398" s="31"/>
      <x:c r="G398" s="30" t="s">
        <x:v>1160</x:v>
      </x:c>
      <x:c r="H398" s="25">
        <x:v>41160002</x:v>
      </x:c>
      <x:c r="I398" s="22" t="s">
        <x:v>415</x:v>
      </x:c>
      <x:c r="J398" s="22" t="s">
        <x:v>40</x:v>
      </x:c>
      <x:c r="K398" s="22" t="s">
        <x:v>32</x:v>
      </x:c>
      <x:c r="L398" s="26">
        <x:v>250000</x:v>
      </x:c>
      <x:c r="M398" s="26"/>
      <x:c r="N398" s="22" t="s">
        <x:v>301</x:v>
      </x:c>
      <x:c r="O398" s="22" t="s">
        <x:v>1161</x:v>
      </x:c>
      <x:c r="P398" s="33" t="s">
        <x:v>1162</x:v>
      </x:c>
      <x:c r="Q398" s="29"/>
    </x:row>
    <x:row r="399" ht="25.5">
      <x:c r="A399" s="51">
        <x:v>2021</x:v>
      </x:c>
      <x:c r="B399" s="51" t="s">
        <x:v>214</x:v>
      </x:c>
      <x:c r="C399" s="11" t="e">
        <x:f>IFERROR(VLOOKUP(B399,Regiões!A:B,2,0),"")</x:f>
        <x:v>#NAME?</x:v>
      </x:c>
      <x:c r="D399" s="22" t="s">
        <x:v>359</x:v>
      </x:c>
      <x:c r="E399" s="52" t="s">
        <x:v>38</x:v>
      </x:c>
      <x:c r="F399" s="53"/>
      <x:c r="G399" s="51" t="s">
        <x:v>18</x:v>
      </x:c>
      <x:c r="H399" s="54">
        <x:v>41160004</x:v>
      </x:c>
      <x:c r="I399" s="51" t="s">
        <x:v>1109</x:v>
      </x:c>
      <x:c r="J399" s="22" t="s">
        <x:v>1110</x:v>
      </x:c>
      <x:c r="K399" s="51" t="s">
        <x:v>32</x:v>
      </x:c>
      <x:c r="L399" s="55">
        <x:v>250000</x:v>
      </x:c>
      <x:c r="M399" s="55"/>
      <x:c r="N399" s="51" t="s">
        <x:v>96</x:v>
      </x:c>
      <x:c r="O399" s="153" t="s">
        <x:v>26</x:v>
      </x:c>
      <x:c r="P399" s="64" t="s">
        <x:v>1163</x:v>
      </x:c>
      <x:c r="Q399" s="57"/>
    </x:row>
    <x:row r="400" ht="89.25">
      <x:c r="A400" s="51">
        <x:v>2021</x:v>
      </x:c>
      <x:c r="B400" s="51" t="s">
        <x:v>379</x:v>
      </x:c>
      <x:c r="C400" s="11" t="e">
        <x:f>IFERROR(VLOOKUP(B400,Regiões!A:B,2,0),"")</x:f>
        <x:v>#NAME?</x:v>
      </x:c>
      <x:c r="D400" s="22" t="s">
        <x:v>1164</x:v>
      </x:c>
      <x:c r="E400" s="52" t="s">
        <x:v>38</x:v>
      </x:c>
      <x:c r="F400" s="53"/>
      <x:c r="G400" s="51" t="s">
        <x:v>18</x:v>
      </x:c>
      <x:c r="H400" s="54">
        <x:v>41160004</x:v>
      </x:c>
      <x:c r="I400" s="51" t="s">
        <x:v>1109</x:v>
      </x:c>
      <x:c r="J400" s="22" t="s">
        <x:v>1110</x:v>
      </x:c>
      <x:c r="K400" s="51" t="s">
        <x:v>32</x:v>
      </x:c>
      <x:c r="L400" s="55">
        <x:v>250000</x:v>
      </x:c>
      <x:c r="M400" s="55"/>
      <x:c r="N400" s="51" t="s">
        <x:v>96</x:v>
      </x:c>
      <x:c r="O400" s="153" t="s">
        <x:v>1165</x:v>
      </x:c>
      <x:c r="P400" s="64" t="s">
        <x:v>1166</x:v>
      </x:c>
      <x:c r="Q400" s="57" t="s">
        <x:v>1167</x:v>
      </x:c>
    </x:row>
    <x:row r="401" ht="12.75">
      <x:c r="A401" s="156">
        <x:v>2021</x:v>
      </x:c>
      <x:c r="B401" s="157" t="s">
        <x:v>452</x:v>
      </x:c>
      <x:c r="C401" s="127" t="e">
        <x:f>IFERROR(VLOOKUP(B401,Regiões!A:B,2,0),"")</x:f>
        <x:v>#NAME?</x:v>
      </x:c>
      <x:c r="D401" s="128" t="s">
        <x:v>797</x:v>
      </x:c>
      <x:c r="E401" s="156" t="s">
        <x:v>93</x:v>
      </x:c>
      <x:c r="F401" s="158"/>
      <x:c r="G401" s="157" t="s">
        <x:v>798</x:v>
      </x:c>
      <x:c r="H401" s="159">
        <x:v>41160002</x:v>
      </x:c>
      <x:c r="I401" s="156" t="s">
        <x:v>415</x:v>
      </x:c>
      <x:c r="J401" s="156" t="s">
        <x:v>40</x:v>
      </x:c>
      <x:c r="K401" s="156" t="s">
        <x:v>32</x:v>
      </x:c>
      <x:c r="L401" s="160">
        <x:v>250000</x:v>
      </x:c>
      <x:c r="M401" s="160"/>
      <x:c r="N401" s="156" t="s">
        <x:v>301</x:v>
      </x:c>
      <x:c r="O401" s="156" t="s">
        <x:v>26</x:v>
      </x:c>
      <x:c r="P401" s="157" t="s">
        <x:v>1168</x:v>
      </x:c>
      <x:c r="Q401" s="161"/>
    </x:row>
    <x:row r="402" ht="38.25">
      <x:c r="A402" s="36">
        <x:v>2021</x:v>
      </x:c>
      <x:c r="B402" s="79" t="s">
        <x:v>1169</x:v>
      </x:c>
      <x:c r="C402" s="11" t="e">
        <x:f>IFERROR(VLOOKUP(B402,Regiões!A:B,2,0),"")</x:f>
        <x:v>#NAME?</x:v>
      </x:c>
      <x:c r="D402" s="22" t="s">
        <x:v>1170</x:v>
      </x:c>
      <x:c r="E402" s="37" t="s">
        <x:v>42</x:v>
      </x:c>
      <x:c r="F402" s="80"/>
      <x:c r="G402" s="162" t="s">
        <x:v>18</x:v>
      </x:c>
      <x:c r="H402" s="81">
        <x:v>41160002</x:v>
      </x:c>
      <x:c r="I402" s="36" t="s">
        <x:v>40</x:v>
      </x:c>
      <x:c r="J402" s="36" t="s">
        <x:v>40</x:v>
      </x:c>
      <x:c r="K402" s="36"/>
      <x:c r="L402" s="40">
        <x:v>250000</x:v>
      </x:c>
      <x:c r="M402" s="40"/>
      <x:c r="N402" s="36" t="s">
        <x:v>301</x:v>
      </x:c>
      <x:c r="O402" s="36" t="s">
        <x:v>26</x:v>
      </x:c>
      <x:c r="P402" s="82" t="s">
        <x:v>1171</x:v>
      </x:c>
      <x:c r="Q402" s="42"/>
    </x:row>
    <x:row r="403" ht="25.5">
      <x:c r="A403" s="22">
        <x:v>2022</x:v>
      </x:c>
      <x:c r="B403" s="22" t="s">
        <x:v>495</x:v>
      </x:c>
      <x:c r="C403" s="11" t="e">
        <x:f>IFERROR(VLOOKUP(B403,Regiões!A:B,2,0),"")</x:f>
        <x:v>#NAME?</x:v>
      </x:c>
      <x:c r="D403" s="22" t="s">
        <x:v>1172</x:v>
      </x:c>
      <x:c r="E403" s="23" t="s">
        <x:v>38</x:v>
      </x:c>
      <x:c r="F403" s="24"/>
      <x:c r="G403" s="22" t="s">
        <x:v>18</x:v>
      </x:c>
      <x:c r="H403" s="25">
        <x:v>41160005</x:v>
      </x:c>
      <x:c r="I403" s="22" t="s">
        <x:v>1109</x:v>
      </x:c>
      <x:c r="J403" s="22" t="s">
        <x:v>1110</x:v>
      </x:c>
      <x:c r="K403" s="22" t="s">
        <x:v>32</x:v>
      </x:c>
      <x:c r="L403" s="27">
        <x:v>250000</x:v>
      </x:c>
      <x:c r="M403" s="27"/>
      <x:c r="N403" s="22" t="s">
        <x:v>96</x:v>
      </x:c>
      <x:c r="O403" s="22" t="s">
        <x:v>1173</x:v>
      </x:c>
      <x:c r="P403" s="28" t="s">
        <x:v>1174</x:v>
      </x:c>
      <x:c r="Q403" s="29"/>
    </x:row>
    <x:row r="404" ht="38.25">
      <x:c r="A404" s="22">
        <x:v>2022</x:v>
      </x:c>
      <x:c r="B404" s="22" t="s">
        <x:v>329</x:v>
      </x:c>
      <x:c r="C404" s="11" t="e">
        <x:f>IFERROR(VLOOKUP(B404,Regiões!A:B,2,0),"")</x:f>
        <x:v>#NAME?</x:v>
      </x:c>
      <x:c r="D404" s="22" t="s">
        <x:v>1175</x:v>
      </x:c>
      <x:c r="E404" s="52" t="s">
        <x:v>38</x:v>
      </x:c>
      <x:c r="F404" s="83"/>
      <x:c r="G404" s="84" t="s">
        <x:v>1176</x:v>
      </x:c>
      <x:c r="H404" s="25">
        <x:v>41160003</x:v>
      </x:c>
      <x:c r="I404" s="22" t="s">
        <x:v>415</x:v>
      </x:c>
      <x:c r="J404" s="22" t="s">
        <x:v>40</x:v>
      </x:c>
      <x:c r="K404" s="22" t="s">
        <x:v>32</x:v>
      </x:c>
      <x:c r="L404" s="27">
        <x:v>250000</x:v>
      </x:c>
      <x:c r="M404" s="27"/>
      <x:c r="N404" s="22" t="s">
        <x:v>41</x:v>
      </x:c>
      <x:c r="O404" s="22" t="s">
        <x:v>1177</x:v>
      </x:c>
      <x:c r="P404" s="28"/>
      <x:c r="Q404" s="29"/>
    </x:row>
    <x:row r="405" ht="25.5">
      <x:c r="A405" s="22">
        <x:v>2022</x:v>
      </x:c>
      <x:c r="B405" s="22" t="s">
        <x:v>839</x:v>
      </x:c>
      <x:c r="C405" s="11" t="e">
        <x:f>IFERROR(VLOOKUP(B405,Regiões!A:B,2,0),"")</x:f>
        <x:v>#NAME?</x:v>
      </x:c>
      <x:c r="D405" s="22" t="s">
        <x:v>1178</x:v>
      </x:c>
      <x:c r="E405" s="23" t="s">
        <x:v>38</x:v>
      </x:c>
      <x:c r="F405" s="24"/>
      <x:c r="G405" s="22" t="s">
        <x:v>18</x:v>
      </x:c>
      <x:c r="H405" s="25">
        <x:v>41160005</x:v>
      </x:c>
      <x:c r="I405" s="22" t="s">
        <x:v>1109</x:v>
      </x:c>
      <x:c r="J405" s="22" t="s">
        <x:v>1110</x:v>
      </x:c>
      <x:c r="K405" s="22" t="s">
        <x:v>32</x:v>
      </x:c>
      <x:c r="L405" s="27">
        <x:v>250000</x:v>
      </x:c>
      <x:c r="M405" s="27"/>
      <x:c r="N405" s="22" t="s">
        <x:v>96</x:v>
      </x:c>
      <x:c r="O405" s="22" t="s">
        <x:v>1173</x:v>
      </x:c>
      <x:c r="P405" s="28" t="s">
        <x:v>1179</x:v>
      </x:c>
      <x:c r="Q405" s="29"/>
    </x:row>
    <x:row r="406" ht="25.5">
      <x:c r="A406" s="22">
        <x:v>2022</x:v>
      </x:c>
      <x:c r="B406" s="22" t="s">
        <x:v>1180</x:v>
      </x:c>
      <x:c r="C406" s="11" t="e">
        <x:f>IFERROR(VLOOKUP(B406,Regiões!A:B,2,0),"")</x:f>
        <x:v>#NAME?</x:v>
      </x:c>
      <x:c r="D406" s="22" t="s">
        <x:v>1181</x:v>
      </x:c>
      <x:c r="E406" s="23" t="s">
        <x:v>38</x:v>
      </x:c>
      <x:c r="F406" s="24"/>
      <x:c r="G406" s="22" t="s">
        <x:v>18</x:v>
      </x:c>
      <x:c r="H406" s="25">
        <x:v>41160005</x:v>
      </x:c>
      <x:c r="I406" s="22" t="s">
        <x:v>1109</x:v>
      </x:c>
      <x:c r="J406" s="22" t="s">
        <x:v>1110</x:v>
      </x:c>
      <x:c r="K406" s="22" t="s">
        <x:v>32</x:v>
      </x:c>
      <x:c r="L406" s="27">
        <x:v>250000</x:v>
      </x:c>
      <x:c r="M406" s="27"/>
      <x:c r="N406" s="22" t="s">
        <x:v>96</x:v>
      </x:c>
      <x:c r="O406" s="163" t="s">
        <x:v>49</x:v>
      </x:c>
      <x:c r="P406" s="41" t="s">
        <x:v>1182</x:v>
      </x:c>
      <x:c r="Q406" s="29"/>
    </x:row>
    <x:row r="407" ht="25.5">
      <x:c r="A407" s="36">
        <x:v>2022</x:v>
      </x:c>
      <x:c r="B407" s="42" t="s">
        <x:v>778</x:v>
      </x:c>
      <x:c r="C407" s="11" t="e">
        <x:f>IFERROR(VLOOKUP(B407,Regiões!A:B,2,0),"")</x:f>
        <x:v>#NAME?</x:v>
      </x:c>
      <x:c r="D407" s="22" t="s">
        <x:v>1183</x:v>
      </x:c>
      <x:c r="E407" s="37" t="s">
        <x:v>93</x:v>
      </x:c>
      <x:c r="F407" s="110"/>
      <x:c r="G407" s="42" t="s">
        <x:v>1184</x:v>
      </x:c>
      <x:c r="H407" s="25">
        <x:v>7120004</x:v>
      </x:c>
      <x:c r="I407" s="22" t="s">
        <x:v>95</x:v>
      </x:c>
      <x:c r="J407" s="22" t="s">
        <x:v>40</x:v>
      </x:c>
      <x:c r="K407" s="22" t="s">
        <x:v>20</x:v>
      </x:c>
      <x:c r="L407" s="40">
        <x:v>250000</x:v>
      </x:c>
      <x:c r="M407" s="40"/>
      <x:c r="N407" s="22" t="s">
        <x:v>432</x:v>
      </x:c>
      <x:c r="O407" s="36" t="s">
        <x:v>26</x:v>
      </x:c>
      <x:c r="P407" s="35" t="s">
        <x:v>433</x:v>
      </x:c>
      <x:c r="Q407" s="42"/>
    </x:row>
    <x:row r="408" ht="25.5">
      <x:c r="A408" s="22">
        <x:v>2022</x:v>
      </x:c>
      <x:c r="B408" s="22" t="s">
        <x:v>1185</x:v>
      </x:c>
      <x:c r="C408" s="11" t="e">
        <x:f>IFERROR(VLOOKUP(B408,Regiões!A:B,2,0),"")</x:f>
        <x:v>#NAME?</x:v>
      </x:c>
      <x:c r="D408" s="22" t="s">
        <x:v>1186</x:v>
      </x:c>
      <x:c r="E408" s="23" t="s">
        <x:v>38</x:v>
      </x:c>
      <x:c r="F408" s="24"/>
      <x:c r="G408" s="22" t="s">
        <x:v>18</x:v>
      </x:c>
      <x:c r="H408" s="25">
        <x:v>41160005</x:v>
      </x:c>
      <x:c r="I408" s="22" t="s">
        <x:v>1109</x:v>
      </x:c>
      <x:c r="J408" s="22" t="s">
        <x:v>1110</x:v>
      </x:c>
      <x:c r="K408" s="22" t="s">
        <x:v>32</x:v>
      </x:c>
      <x:c r="L408" s="27">
        <x:v>250000</x:v>
      </x:c>
      <x:c r="M408" s="27"/>
      <x:c r="N408" s="22" t="s">
        <x:v>96</x:v>
      </x:c>
      <x:c r="O408" s="163" t="s">
        <x:v>1187</x:v>
      </x:c>
      <x:c r="P408" s="28" t="s">
        <x:v>1188</x:v>
      </x:c>
      <x:c r="Q408" s="29"/>
    </x:row>
    <x:row r="409" ht="25.5">
      <x:c r="A409" s="22">
        <x:v>2022</x:v>
      </x:c>
      <x:c r="B409" s="22" t="s">
        <x:v>183</x:v>
      </x:c>
      <x:c r="C409" s="11" t="e">
        <x:f>IFERROR(VLOOKUP(B409,Regiões!A:B,2,0),"")</x:f>
        <x:v>#NAME?</x:v>
      </x:c>
      <x:c r="D409" s="22" t="s">
        <x:v>1189</x:v>
      </x:c>
      <x:c r="E409" s="23" t="s">
        <x:v>38</x:v>
      </x:c>
      <x:c r="F409" s="24"/>
      <x:c r="G409" s="22" t="s">
        <x:v>18</x:v>
      </x:c>
      <x:c r="H409" s="25">
        <x:v>41160005</x:v>
      </x:c>
      <x:c r="I409" s="22" t="s">
        <x:v>1109</x:v>
      </x:c>
      <x:c r="J409" s="22" t="s">
        <x:v>1110</x:v>
      </x:c>
      <x:c r="K409" s="22" t="s">
        <x:v>32</x:v>
      </x:c>
      <x:c r="L409" s="27">
        <x:v>250000</x:v>
      </x:c>
      <x:c r="M409" s="27"/>
      <x:c r="N409" s="22" t="s">
        <x:v>96</x:v>
      </x:c>
      <x:c r="O409" s="164" t="s">
        <x:v>1190</x:v>
      </x:c>
      <x:c r="P409" s="28" t="s">
        <x:v>1191</x:v>
      </x:c>
      <x:c r="Q409" s="29"/>
    </x:row>
    <x:row r="410" ht="38.25">
      <x:c r="A410" s="22">
        <x:v>2022</x:v>
      </x:c>
      <x:c r="B410" s="22" t="s">
        <x:v>1192</x:v>
      </x:c>
      <x:c r="C410" s="11" t="e">
        <x:f>IFERROR(VLOOKUP(B410,Regiões!A:B,2,0),"")</x:f>
        <x:v>#NAME?</x:v>
      </x:c>
      <x:c r="D410" s="22" t="s">
        <x:v>1193</x:v>
      </x:c>
      <x:c r="E410" s="52" t="s">
        <x:v>93</x:v>
      </x:c>
      <x:c r="F410" s="83"/>
      <x:c r="G410" s="84" t="s">
        <x:v>1194</x:v>
      </x:c>
      <x:c r="H410" s="25">
        <x:v>41160003</x:v>
      </x:c>
      <x:c r="I410" s="22" t="s">
        <x:v>415</x:v>
      </x:c>
      <x:c r="J410" s="22" t="s">
        <x:v>40</x:v>
      </x:c>
      <x:c r="K410" s="22" t="s">
        <x:v>32</x:v>
      </x:c>
      <x:c r="L410" s="27">
        <x:v>250000</x:v>
      </x:c>
      <x:c r="M410" s="27"/>
      <x:c r="N410" s="22" t="s">
        <x:v>41</x:v>
      </x:c>
      <x:c r="O410" s="22" t="s">
        <x:v>26</x:v>
      </x:c>
      <x:c r="P410" s="28"/>
      <x:c r="Q410" s="29"/>
    </x:row>
    <x:row r="411" ht="38.25">
      <x:c r="A411" s="22">
        <x:v>2022</x:v>
      </x:c>
      <x:c r="B411" s="22" t="s">
        <x:v>577</x:v>
      </x:c>
      <x:c r="C411" s="11" t="e">
        <x:f>IFERROR(VLOOKUP(B411,Regiões!A:B,2,0),"")</x:f>
        <x:v>#NAME?</x:v>
      </x:c>
      <x:c r="D411" s="22" t="s">
        <x:v>1195</x:v>
      </x:c>
      <x:c r="E411" s="23" t="s">
        <x:v>38</x:v>
      </x:c>
      <x:c r="F411" s="24"/>
      <x:c r="G411" s="22" t="s">
        <x:v>18</x:v>
      </x:c>
      <x:c r="H411" s="25">
        <x:v>41160005</x:v>
      </x:c>
      <x:c r="I411" s="22" t="s">
        <x:v>1109</x:v>
      </x:c>
      <x:c r="J411" s="22" t="s">
        <x:v>1110</x:v>
      </x:c>
      <x:c r="K411" s="22" t="s">
        <x:v>32</x:v>
      </x:c>
      <x:c r="L411" s="27">
        <x:v>250000</x:v>
      </x:c>
      <x:c r="M411" s="27"/>
      <x:c r="N411" s="22" t="s">
        <x:v>96</x:v>
      </x:c>
      <x:c r="O411" s="22" t="s">
        <x:v>1173</x:v>
      </x:c>
      <x:c r="P411" s="28" t="s">
        <x:v>1196</x:v>
      </x:c>
      <x:c r="Q411" s="29"/>
    </x:row>
    <x:row r="412" ht="51">
      <x:c r="A412" s="22">
        <x:v>2022</x:v>
      </x:c>
      <x:c r="B412" s="165" t="s">
        <x:v>51</x:v>
      </x:c>
      <x:c r="C412" s="11" t="e">
        <x:f>IFERROR(VLOOKUP(B412,Regiões!A:B,2,0),"")</x:f>
        <x:v>#NAME?</x:v>
      </x:c>
      <x:c r="D412" s="22" t="s">
        <x:v>1197</x:v>
      </x:c>
      <x:c r="E412" s="23" t="s">
        <x:v>38</x:v>
      </x:c>
      <x:c r="F412" s="83"/>
      <x:c r="G412" s="84" t="s">
        <x:v>1198</x:v>
      </x:c>
      <x:c r="H412" s="61"/>
      <x:c r="I412" s="22" t="s">
        <x:v>40</x:v>
      </x:c>
      <x:c r="J412" s="22" t="s">
        <x:v>40</x:v>
      </x:c>
      <x:c r="K412" s="22" t="s">
        <x:v>32</x:v>
      </x:c>
      <x:c r="L412" s="27">
        <x:v>250000</x:v>
      </x:c>
      <x:c r="M412" s="27"/>
      <x:c r="N412" s="22" t="s">
        <x:v>137</x:v>
      </x:c>
      <x:c r="O412" s="22" t="s">
        <x:v>1199</x:v>
      </x:c>
      <x:c r="P412" s="28" t="s">
        <x:v>137</x:v>
      </x:c>
      <x:c r="Q412" s="29"/>
    </x:row>
    <x:row r="413" ht="25.5">
      <x:c r="A413" s="11">
        <x:v>2023</x:v>
      </x:c>
      <x:c r="B413" s="66" t="s">
        <x:v>540</x:v>
      </x:c>
      <x:c r="C413" s="11" t="e">
        <x:f>IFERROR(VLOOKUP(B413,Regiões!A:B,2,0),"")</x:f>
        <x:v>#NAME?</x:v>
      </x:c>
      <x:c r="D413" s="11" t="s">
        <x:v>1200</x:v>
      </x:c>
      <x:c r="E413" s="67" t="s">
        <x:v>42</x:v>
      </x:c>
      <x:c r="F413" s="68"/>
      <x:c r="G413" s="66" t="s">
        <x:v>1201</x:v>
      </x:c>
      <x:c r="H413" s="69"/>
      <x:c r="I413" s="11" t="s">
        <x:v>1202</x:v>
      </x:c>
      <x:c r="J413" s="11" t="str">
        <x:f t="shared" ref="J413:J422" si="10">LEFT(I413,FIND(" (",I413) - 1)</x:f>
        <x:v>Infraestrutura</x:v>
      </x:c>
      <x:c r="K413" s="11" t="s">
        <x:v>32</x:v>
      </x:c>
      <x:c r="L413" s="166">
        <x:v>250000</x:v>
      </x:c>
      <x:c r="M413" s="166"/>
      <x:c r="N413" s="11" t="s">
        <x:v>21</x:v>
      </x:c>
      <x:c r="O413" s="11" t="s">
        <x:v>49</x:v>
      </x:c>
      <x:c r="P413" s="167" t="s">
        <x:v>1203</x:v>
      </x:c>
      <x:c r="Q413" s="66"/>
    </x:row>
    <x:row r="414" ht="25.5">
      <x:c r="A414" s="11">
        <x:v>2023</x:v>
      </x:c>
      <x:c r="B414" s="66" t="s">
        <x:v>361</x:v>
      </x:c>
      <x:c r="C414" s="11" t="e">
        <x:f>IFERROR(VLOOKUP(B414,Regiões!A:B,2,0),"")</x:f>
        <x:v>#NAME?</x:v>
      </x:c>
      <x:c r="D414" s="11" t="s">
        <x:v>362</x:v>
      </x:c>
      <x:c r="E414" s="67" t="s">
        <x:v>42</x:v>
      </x:c>
      <x:c r="F414" s="68"/>
      <x:c r="G414" s="66" t="s">
        <x:v>1204</x:v>
      </x:c>
      <x:c r="H414" s="69"/>
      <x:c r="I414" s="11" t="s">
        <x:v>1202</x:v>
      </x:c>
      <x:c r="J414" s="11" t="str">
        <x:f t="shared" si="10"/>
        <x:v>Infraestrutura</x:v>
      </x:c>
      <x:c r="K414" s="11" t="s">
        <x:v>32</x:v>
      </x:c>
      <x:c r="L414" s="70">
        <x:v>250000</x:v>
      </x:c>
      <x:c r="M414" s="70"/>
      <x:c r="N414" s="11" t="s">
        <x:v>21</x:v>
      </x:c>
      <x:c r="O414" s="11" t="s">
        <x:v>1205</x:v>
      </x:c>
      <x:c r="P414" s="167" t="s">
        <x:v>1206</x:v>
      </x:c>
      <x:c r="Q414" s="66"/>
    </x:row>
    <x:row r="415" ht="63.75">
      <x:c r="A415" s="11">
        <x:v>2023</x:v>
      </x:c>
      <x:c r="B415" s="66" t="s">
        <x:v>1207</x:v>
      </x:c>
      <x:c r="C415" s="11" t="e">
        <x:f>IFERROR(VLOOKUP(B415,Regiões!A:B,2,0),"")</x:f>
        <x:v>#NAME?</x:v>
      </x:c>
      <x:c r="D415" s="11" t="s">
        <x:v>1208</x:v>
      </x:c>
      <x:c r="E415" s="67" t="s">
        <x:v>42</x:v>
      </x:c>
      <x:c r="F415" s="68"/>
      <x:c r="G415" s="66" t="s">
        <x:v>1209</x:v>
      </x:c>
      <x:c r="H415" s="69"/>
      <x:c r="I415" s="11" t="s">
        <x:v>1202</x:v>
      </x:c>
      <x:c r="J415" s="11" t="str">
        <x:f t="shared" si="10"/>
        <x:v>Infraestrutura</x:v>
      </x:c>
      <x:c r="K415" s="11" t="s">
        <x:v>32</x:v>
      </x:c>
      <x:c r="L415" s="70">
        <x:v>250000</x:v>
      </x:c>
      <x:c r="M415" s="70"/>
      <x:c r="N415" s="11" t="s">
        <x:v>21</x:v>
      </x:c>
      <x:c r="O415" s="11" t="s">
        <x:v>49</x:v>
      </x:c>
      <x:c r="P415" s="67" t="s">
        <x:v>1210</x:v>
      </x:c>
      <x:c r="Q415" s="66"/>
    </x:row>
    <x:row r="416" ht="51">
      <x:c r="A416" s="11">
        <x:v>2023</x:v>
      </x:c>
      <x:c r="B416" s="43" t="s">
        <x:v>1211</x:v>
      </x:c>
      <x:c r="C416" s="11" t="e">
        <x:f>IFERROR(VLOOKUP(B416,Regiões!A:B,2,0),"")</x:f>
        <x:v>#NAME?</x:v>
      </x:c>
      <x:c r="D416" s="11" t="s">
        <x:v>1212</x:v>
      </x:c>
      <x:c r="E416" s="44" t="s">
        <x:v>93</x:v>
      </x:c>
      <x:c r="F416" s="99"/>
      <x:c r="G416" s="43" t="s">
        <x:v>1213</x:v>
      </x:c>
      <x:c r="H416" s="47"/>
      <x:c r="I416" s="11" t="s">
        <x:v>444</x:v>
      </x:c>
      <x:c r="J416" s="11" t="str">
        <x:f t="shared" si="10"/>
        <x:v>Saúde</x:v>
      </x:c>
      <x:c r="K416" s="11" t="s">
        <x:v>32</x:v>
      </x:c>
      <x:c r="L416" s="108">
        <x:v>250000</x:v>
      </x:c>
      <x:c r="M416" s="108"/>
      <x:c r="N416" s="11" t="s">
        <x:v>21</x:v>
      </x:c>
      <x:c r="O416" s="11" t="s">
        <x:v>49</x:v>
      </x:c>
      <x:c r="P416" s="49" t="s">
        <x:v>1214</x:v>
      </x:c>
      <x:c r="Q416" s="50"/>
    </x:row>
    <x:row r="417" ht="25.5">
      <x:c r="A417" s="11">
        <x:v>2023</x:v>
      </x:c>
      <x:c r="B417" s="43" t="s">
        <x:v>1215</x:v>
      </x:c>
      <x:c r="C417" s="11" t="e">
        <x:f>IFERROR(VLOOKUP(B417,Regiões!A:B,2,0),"")</x:f>
        <x:v>#NAME?</x:v>
      </x:c>
      <x:c r="D417" s="11" t="s">
        <x:v>1216</x:v>
      </x:c>
      <x:c r="E417" s="44" t="s">
        <x:v>93</x:v>
      </x:c>
      <x:c r="F417" s="99"/>
      <x:c r="G417" s="43" t="s">
        <x:v>1217</x:v>
      </x:c>
      <x:c r="H417" s="47"/>
      <x:c r="I417" s="11" t="s">
        <x:v>444</x:v>
      </x:c>
      <x:c r="J417" s="11" t="str">
        <x:f t="shared" si="10"/>
        <x:v>Saúde</x:v>
      </x:c>
      <x:c r="K417" s="11" t="s">
        <x:v>32</x:v>
      </x:c>
      <x:c r="L417" s="108">
        <x:v>250000</x:v>
      </x:c>
      <x:c r="M417" s="108"/>
      <x:c r="N417" s="11" t="s">
        <x:v>21</x:v>
      </x:c>
      <x:c r="O417" s="11" t="s">
        <x:v>49</x:v>
      </x:c>
      <x:c r="P417" s="49" t="s">
        <x:v>1218</x:v>
      </x:c>
      <x:c r="Q417" s="50"/>
    </x:row>
    <x:row r="418" ht="51">
      <x:c r="A418" s="11">
        <x:v>2023</x:v>
      </x:c>
      <x:c r="B418" s="43" t="s">
        <x:v>379</x:v>
      </x:c>
      <x:c r="C418" s="11" t="e">
        <x:f>IFERROR(VLOOKUP(B418,Regiões!A:B,2,0),"")</x:f>
        <x:v>#NAME?</x:v>
      </x:c>
      <x:c r="D418" s="11" t="s">
        <x:v>1219</x:v>
      </x:c>
      <x:c r="E418" s="44" t="s">
        <x:v>93</x:v>
      </x:c>
      <x:c r="F418" s="99"/>
      <x:c r="G418" s="43" t="s">
        <x:v>1220</x:v>
      </x:c>
      <x:c r="H418" s="47"/>
      <x:c r="I418" s="11" t="s">
        <x:v>444</x:v>
      </x:c>
      <x:c r="J418" s="11" t="str">
        <x:f t="shared" si="10"/>
        <x:v>Saúde</x:v>
      </x:c>
      <x:c r="K418" s="11" t="s">
        <x:v>32</x:v>
      </x:c>
      <x:c r="L418" s="108">
        <x:v>250000</x:v>
      </x:c>
      <x:c r="M418" s="108"/>
      <x:c r="N418" s="11" t="s">
        <x:v>21</x:v>
      </x:c>
      <x:c r="O418" s="11" t="s">
        <x:v>49</x:v>
      </x:c>
      <x:c r="P418" s="49" t="s">
        <x:v>1221</x:v>
      </x:c>
      <x:c r="Q418" s="50"/>
    </x:row>
    <x:row r="419" ht="51">
      <x:c r="A419" s="11">
        <x:v>2023</x:v>
      </x:c>
      <x:c r="B419" s="43" t="s">
        <x:v>452</x:v>
      </x:c>
      <x:c r="C419" s="11" t="e">
        <x:f>IFERROR(VLOOKUP(B419,Regiões!A:B,2,0),"")</x:f>
        <x:v>#NAME?</x:v>
      </x:c>
      <x:c r="D419" s="11" t="s">
        <x:v>1222</x:v>
      </x:c>
      <x:c r="E419" s="44" t="s">
        <x:v>93</x:v>
      </x:c>
      <x:c r="F419" s="99"/>
      <x:c r="G419" s="43" t="s">
        <x:v>1223</x:v>
      </x:c>
      <x:c r="H419" s="47"/>
      <x:c r="I419" s="11" t="s">
        <x:v>444</x:v>
      </x:c>
      <x:c r="J419" s="11" t="str">
        <x:f t="shared" si="10"/>
        <x:v>Saúde</x:v>
      </x:c>
      <x:c r="K419" s="11" t="s">
        <x:v>32</x:v>
      </x:c>
      <x:c r="L419" s="108">
        <x:v>250000</x:v>
      </x:c>
      <x:c r="M419" s="108"/>
      <x:c r="N419" s="11" t="s">
        <x:v>21</x:v>
      </x:c>
      <x:c r="O419" s="11" t="s">
        <x:v>49</x:v>
      </x:c>
      <x:c r="P419" s="49" t="s">
        <x:v>1224</x:v>
      </x:c>
      <x:c r="Q419" s="50"/>
    </x:row>
    <x:row r="420" ht="38.25">
      <x:c r="A420" s="11">
        <x:v>2023</x:v>
      </x:c>
      <x:c r="B420" s="43" t="s">
        <x:v>1080</x:v>
      </x:c>
      <x:c r="C420" s="11" t="e">
        <x:f>IFERROR(VLOOKUP(B420,Regiões!A:B,2,0),"")</x:f>
        <x:v>#NAME?</x:v>
      </x:c>
      <x:c r="D420" s="11" t="s">
        <x:v>1225</x:v>
      </x:c>
      <x:c r="E420" s="44" t="s">
        <x:v>93</x:v>
      </x:c>
      <x:c r="F420" s="99"/>
      <x:c r="G420" s="43" t="s">
        <x:v>1226</x:v>
      </x:c>
      <x:c r="H420" s="47"/>
      <x:c r="I420" s="11" t="s">
        <x:v>444</x:v>
      </x:c>
      <x:c r="J420" s="11" t="str">
        <x:f t="shared" si="10"/>
        <x:v>Saúde</x:v>
      </x:c>
      <x:c r="K420" s="11" t="s">
        <x:v>32</x:v>
      </x:c>
      <x:c r="L420" s="108">
        <x:v>250000</x:v>
      </x:c>
      <x:c r="M420" s="108"/>
      <x:c r="N420" s="11" t="s">
        <x:v>21</x:v>
      </x:c>
      <x:c r="O420" s="11" t="s">
        <x:v>49</x:v>
      </x:c>
      <x:c r="P420" s="49" t="s">
        <x:v>1227</x:v>
      </x:c>
      <x:c r="Q420" s="50"/>
    </x:row>
    <x:row r="421" ht="38.25">
      <x:c r="A421" s="11">
        <x:v>2023</x:v>
      </x:c>
      <x:c r="B421" s="66" t="s">
        <x:v>1228</x:v>
      </x:c>
      <x:c r="C421" s="11" t="e">
        <x:f>IFERROR(VLOOKUP(B421,Regiões!A:B,2,0),"")</x:f>
        <x:v>#NAME?</x:v>
      </x:c>
      <x:c r="D421" s="11" t="s">
        <x:v>1229</x:v>
      </x:c>
      <x:c r="E421" s="67" t="s">
        <x:v>42</x:v>
      </x:c>
      <x:c r="F421" s="68"/>
      <x:c r="G421" s="66" t="s">
        <x:v>1230</x:v>
      </x:c>
      <x:c r="H421" s="69"/>
      <x:c r="I421" s="11" t="s">
        <x:v>239</x:v>
      </x:c>
      <x:c r="J421" s="11" t="str">
        <x:f t="shared" si="10"/>
        <x:v>Segurança Pública</x:v>
      </x:c>
      <x:c r="K421" s="11" t="s">
        <x:v>32</x:v>
      </x:c>
      <x:c r="L421" s="70">
        <x:v>250000</x:v>
      </x:c>
      <x:c r="M421" s="70"/>
      <x:c r="N421" s="11" t="s">
        <x:v>21</x:v>
      </x:c>
      <x:c r="O421" s="11" t="s">
        <x:v>49</x:v>
      </x:c>
      <x:c r="P421" s="67"/>
      <x:c r="Q421" s="66"/>
    </x:row>
    <x:row r="422" ht="38.25">
      <x:c r="A422" s="11">
        <x:v>2023</x:v>
      </x:c>
      <x:c r="B422" s="66" t="s">
        <x:v>195</x:v>
      </x:c>
      <x:c r="C422" s="11" t="e">
        <x:f>IFERROR(VLOOKUP(B422,Regiões!A:B,2,0),"")</x:f>
        <x:v>#NAME?</x:v>
      </x:c>
      <x:c r="D422" s="11" t="s">
        <x:v>196</x:v>
      </x:c>
      <x:c r="E422" s="67" t="s">
        <x:v>42</x:v>
      </x:c>
      <x:c r="F422" s="68"/>
      <x:c r="G422" s="66" t="s">
        <x:v>1231</x:v>
      </x:c>
      <x:c r="H422" s="69"/>
      <x:c r="I422" s="11" t="s">
        <x:v>239</x:v>
      </x:c>
      <x:c r="J422" s="11" t="str">
        <x:f t="shared" si="10"/>
        <x:v>Segurança Pública</x:v>
      </x:c>
      <x:c r="K422" s="11" t="s">
        <x:v>32</x:v>
      </x:c>
      <x:c r="L422" s="70">
        <x:v>250000</x:v>
      </x:c>
      <x:c r="M422" s="70"/>
      <x:c r="N422" s="11" t="s">
        <x:v>21</x:v>
      </x:c>
      <x:c r="O422" s="11" t="s">
        <x:v>49</x:v>
      </x:c>
      <x:c r="P422" s="67" t="s">
        <x:v>1232</x:v>
      </x:c>
      <x:c r="Q422" s="66"/>
    </x:row>
    <x:row r="423" ht="63.75">
      <x:c r="A423" s="9">
        <x:v>2024</x:v>
      </x:c>
      <x:c r="B423" s="10" t="s">
        <x:v>1233</x:v>
      </x:c>
      <x:c r="C423" s="11" t="e">
        <x:f>IFERROR(VLOOKUP(B423,Regiões!A:B,2,0),"")</x:f>
        <x:v>#NAME?</x:v>
      </x:c>
      <x:c r="D423" s="11" t="s">
        <x:v>1234</x:v>
      </x:c>
      <x:c r="E423" s="12" t="str">
        <x:f t="shared" ref="E423:E434" si="11">G423&amp;" de "&amp;B423</x:f>
        <x:v>Prefeitura Municipal de Faxinal do Soturno</x:v>
      </x:c>
      <x:c r="F423" s="13"/>
      <x:c r="G423" s="14" t="s">
        <x:v>18</x:v>
      </x:c>
      <x:c r="H423" s="15">
        <x:v>41160001</x:v>
      </x:c>
      <x:c r="I423" s="9" t="s">
        <x:v>58</x:v>
      </x:c>
      <x:c r="J423" s="9" t="s">
        <x:v>40</x:v>
      </x:c>
      <x:c r="K423" s="16" t="s">
        <x:v>20</x:v>
      </x:c>
      <x:c r="L423" s="17">
        <x:v>250000</x:v>
      </x:c>
      <x:c r="M423" s="17"/>
      <x:c r="N423" s="11" t="s">
        <x:v>21</x:v>
      </x:c>
      <x:c r="O423" s="16"/>
      <x:c r="P423" s="18"/>
      <x:c r="Q423" s="19"/>
    </x:row>
    <x:row r="424" ht="51">
      <x:c r="A424" s="9">
        <x:v>2024</x:v>
      </x:c>
      <x:c r="B424" s="10" t="s">
        <x:v>153</x:v>
      </x:c>
      <x:c r="C424" s="11" t="e">
        <x:f>IFERROR(VLOOKUP(B424,Regiões!A:B,2,0),"")</x:f>
        <x:v>#NAME?</x:v>
      </x:c>
      <x:c r="D424" s="11" t="s">
        <x:v>1235</x:v>
      </x:c>
      <x:c r="E424" s="12" t="str">
        <x:f t="shared" si="11"/>
        <x:v>Prefeitura Municipal de Ivoti</x:v>
      </x:c>
      <x:c r="F424" s="13"/>
      <x:c r="G424" s="14" t="s">
        <x:v>18</x:v>
      </x:c>
      <x:c r="H424" s="15">
        <x:v>41160001</x:v>
      </x:c>
      <x:c r="I424" s="9" t="s">
        <x:v>58</x:v>
      </x:c>
      <x:c r="J424" s="9" t="s">
        <x:v>40</x:v>
      </x:c>
      <x:c r="K424" s="16" t="s">
        <x:v>20</x:v>
      </x:c>
      <x:c r="L424" s="17">
        <x:v>250000</x:v>
      </x:c>
      <x:c r="M424" s="17"/>
      <x:c r="N424" s="11" t="s">
        <x:v>21</x:v>
      </x:c>
      <x:c r="O424" s="16"/>
      <x:c r="P424" s="18"/>
      <x:c r="Q424" s="19"/>
    </x:row>
    <x:row r="425" ht="63.75">
      <x:c r="A425" s="9">
        <x:v>2024</x:v>
      </x:c>
      <x:c r="B425" s="14" t="s">
        <x:v>159</x:v>
      </x:c>
      <x:c r="C425" s="11" t="e">
        <x:f>IFERROR(VLOOKUP(B425,Regiões!A:B,2,0),"")</x:f>
        <x:v>#NAME?</x:v>
      </x:c>
      <x:c r="D425" s="11" t="s">
        <x:v>1236</x:v>
      </x:c>
      <x:c r="E425" s="12" t="str">
        <x:f t="shared" si="11"/>
        <x:v>Prefeitura Municipal de Nova Petrópolis</x:v>
      </x:c>
      <x:c r="F425" s="13"/>
      <x:c r="G425" s="14" t="s">
        <x:v>18</x:v>
      </x:c>
      <x:c r="H425" s="15">
        <x:v>41160001</x:v>
      </x:c>
      <x:c r="I425" s="9" t="s">
        <x:v>58</x:v>
      </x:c>
      <x:c r="J425" s="9" t="s">
        <x:v>40</x:v>
      </x:c>
      <x:c r="K425" s="16" t="s">
        <x:v>20</x:v>
      </x:c>
      <x:c r="L425" s="17">
        <x:v>250000</x:v>
      </x:c>
      <x:c r="M425" s="17"/>
      <x:c r="N425" s="11" t="s">
        <x:v>21</x:v>
      </x:c>
      <x:c r="O425" s="16"/>
      <x:c r="P425" s="18"/>
      <x:c r="Q425" s="19"/>
    </x:row>
    <x:row r="426" ht="89.25">
      <x:c r="A426" s="9">
        <x:v>2024</x:v>
      </x:c>
      <x:c r="B426" s="10" t="s">
        <x:v>1237</x:v>
      </x:c>
      <x:c r="C426" s="11" t="e">
        <x:f>IFERROR(VLOOKUP(B426,Regiões!A:B,2,0),"")</x:f>
        <x:v>#NAME?</x:v>
      </x:c>
      <x:c r="D426" s="11" t="s">
        <x:v>1238</x:v>
      </x:c>
      <x:c r="E426" s="12" t="str">
        <x:f t="shared" si="11"/>
        <x:v>Prefeitura Municipal de Passo do Sobrado</x:v>
      </x:c>
      <x:c r="F426" s="13"/>
      <x:c r="G426" s="14" t="s">
        <x:v>18</x:v>
      </x:c>
      <x:c r="H426" s="15">
        <x:v>41160001</x:v>
      </x:c>
      <x:c r="I426" s="9" t="s">
        <x:v>58</x:v>
      </x:c>
      <x:c r="J426" s="9" t="s">
        <x:v>40</x:v>
      </x:c>
      <x:c r="K426" s="16" t="s">
        <x:v>20</x:v>
      </x:c>
      <x:c r="L426" s="17">
        <x:v>250000</x:v>
      </x:c>
      <x:c r="M426" s="17"/>
      <x:c r="N426" s="11" t="s">
        <x:v>21</x:v>
      </x:c>
      <x:c r="O426" s="16"/>
      <x:c r="P426" s="18"/>
      <x:c r="Q426" s="19"/>
    </x:row>
    <x:row r="427" ht="38.25">
      <x:c r="A427" s="9">
        <x:v>2024</x:v>
      </x:c>
      <x:c r="B427" s="10" t="s">
        <x:v>1239</x:v>
      </x:c>
      <x:c r="C427" s="11" t="e">
        <x:f>IFERROR(VLOOKUP(B427,Regiões!A:B,2,0),"")</x:f>
        <x:v>#NAME?</x:v>
      </x:c>
      <x:c r="D427" s="11" t="s">
        <x:v>1240</x:v>
      </x:c>
      <x:c r="E427" s="12" t="str">
        <x:f t="shared" si="11"/>
        <x:v>Prefeitura Municipal de Segredo</x:v>
      </x:c>
      <x:c r="F427" s="13"/>
      <x:c r="G427" s="14" t="s">
        <x:v>18</x:v>
      </x:c>
      <x:c r="H427" s="15">
        <x:v>41160001</x:v>
      </x:c>
      <x:c r="I427" s="9" t="s">
        <x:v>58</x:v>
      </x:c>
      <x:c r="J427" s="9" t="s">
        <x:v>40</x:v>
      </x:c>
      <x:c r="K427" s="16" t="s">
        <x:v>20</x:v>
      </x:c>
      <x:c r="L427" s="17">
        <x:v>250000</x:v>
      </x:c>
      <x:c r="M427" s="17"/>
      <x:c r="N427" s="11" t="s">
        <x:v>21</x:v>
      </x:c>
      <x:c r="O427" s="16"/>
      <x:c r="P427" s="18"/>
      <x:c r="Q427" s="19"/>
    </x:row>
    <x:row r="428" ht="51">
      <x:c r="A428" s="9">
        <x:v>2024</x:v>
      </x:c>
      <x:c r="B428" s="14" t="s">
        <x:v>202</x:v>
      </x:c>
      <x:c r="C428" s="11" t="e">
        <x:f>IFERROR(VLOOKUP(B428,Regiões!A:B,2,0),"")</x:f>
        <x:v>#NAME?</x:v>
      </x:c>
      <x:c r="D428" s="11" t="s">
        <x:v>1241</x:v>
      </x:c>
      <x:c r="E428" s="12" t="str">
        <x:f t="shared" si="11"/>
        <x:v>Prefeitura Municipal de Três Coroas</x:v>
      </x:c>
      <x:c r="F428" s="13"/>
      <x:c r="G428" s="14" t="s">
        <x:v>18</x:v>
      </x:c>
      <x:c r="H428" s="15">
        <x:v>41160001</x:v>
      </x:c>
      <x:c r="I428" s="9" t="s">
        <x:v>58</x:v>
      </x:c>
      <x:c r="J428" s="9" t="s">
        <x:v>40</x:v>
      </x:c>
      <x:c r="K428" s="16" t="s">
        <x:v>20</x:v>
      </x:c>
      <x:c r="L428" s="17">
        <x:v>250000</x:v>
      </x:c>
      <x:c r="M428" s="17"/>
      <x:c r="N428" s="11" t="s">
        <x:v>21</x:v>
      </x:c>
      <x:c r="O428" s="16"/>
      <x:c r="P428" s="18"/>
      <x:c r="Q428" s="19"/>
    </x:row>
    <x:row r="429" ht="51">
      <x:c r="A429" s="9">
        <x:v>2024</x:v>
      </x:c>
      <x:c r="B429" s="10" t="s">
        <x:v>83</x:v>
      </x:c>
      <x:c r="C429" s="11" t="e">
        <x:f>IFERROR(VLOOKUP(B429,Regiões!A:B,2,0),"")</x:f>
        <x:v>#NAME?</x:v>
      </x:c>
      <x:c r="D429" s="11" t="s">
        <x:v>772</x:v>
      </x:c>
      <x:c r="E429" s="12" t="str">
        <x:f t="shared" si="11"/>
        <x:v>Prefeitura Municipal de Santa Maria</x:v>
      </x:c>
      <x:c r="F429" s="13"/>
      <x:c r="G429" s="14" t="s">
        <x:v>18</x:v>
      </x:c>
      <x:c r="H429" s="15">
        <x:v>41160001</x:v>
      </x:c>
      <x:c r="I429" s="9" t="s">
        <x:v>58</x:v>
      </x:c>
      <x:c r="J429" s="9" t="s">
        <x:v>40</x:v>
      </x:c>
      <x:c r="K429" s="16" t="s">
        <x:v>20</x:v>
      </x:c>
      <x:c r="L429" s="17">
        <x:v>250000</x:v>
      </x:c>
      <x:c r="M429" s="17"/>
      <x:c r="N429" s="11" t="s">
        <x:v>21</x:v>
      </x:c>
      <x:c r="O429" s="16"/>
      <x:c r="P429" s="18"/>
      <x:c r="Q429" s="19"/>
    </x:row>
    <x:row r="430" ht="89.25">
      <x:c r="A430" s="9">
        <x:v>2024</x:v>
      </x:c>
      <x:c r="B430" s="14" t="s">
        <x:v>577</x:v>
      </x:c>
      <x:c r="C430" s="11" t="e">
        <x:f>IFERROR(VLOOKUP(B430,Regiões!A:B,2,0),"")</x:f>
        <x:v>#NAME?</x:v>
      </x:c>
      <x:c r="D430" s="11" t="s">
        <x:v>1242</x:v>
      </x:c>
      <x:c r="E430" s="12" t="str">
        <x:f t="shared" si="11"/>
        <x:v>Prefeitura Municipal de São Sebastião do Caí</x:v>
      </x:c>
      <x:c r="F430" s="13"/>
      <x:c r="G430" s="14" t="s">
        <x:v>18</x:v>
      </x:c>
      <x:c r="H430" s="15">
        <x:v>41160002</x:v>
      </x:c>
      <x:c r="I430" s="9" t="s">
        <x:v>224</x:v>
      </x:c>
      <x:c r="J430" s="9" t="s">
        <x:v>40</x:v>
      </x:c>
      <x:c r="K430" s="16" t="s">
        <x:v>20</x:v>
      </x:c>
      <x:c r="L430" s="17">
        <x:v>250000</x:v>
      </x:c>
      <x:c r="M430" s="17"/>
      <x:c r="N430" s="11" t="s">
        <x:v>21</x:v>
      </x:c>
      <x:c r="O430" s="16"/>
      <x:c r="P430" s="18"/>
      <x:c r="Q430" s="19"/>
    </x:row>
    <x:row r="431" ht="63.75">
      <x:c r="A431" s="9">
        <x:v>2024</x:v>
      </x:c>
      <x:c r="B431" s="14" t="s">
        <x:v>342</x:v>
      </x:c>
      <x:c r="C431" s="11" t="e">
        <x:f>IFERROR(VLOOKUP(B431,Regiões!A:B,2,0),"")</x:f>
        <x:v>#NAME?</x:v>
      </x:c>
      <x:c r="D431" s="11" t="s">
        <x:v>1243</x:v>
      </x:c>
      <x:c r="E431" s="12" t="str">
        <x:f t="shared" si="11"/>
        <x:v>Prefeitura Municipal de Bento Gonçalves</x:v>
      </x:c>
      <x:c r="F431" s="13"/>
      <x:c r="G431" s="14" t="s">
        <x:v>18</x:v>
      </x:c>
      <x:c r="H431" s="15">
        <x:v>41160002</x:v>
      </x:c>
      <x:c r="I431" s="9" t="s">
        <x:v>224</x:v>
      </x:c>
      <x:c r="J431" s="9" t="s">
        <x:v>40</x:v>
      </x:c>
      <x:c r="K431" s="16" t="s">
        <x:v>20</x:v>
      </x:c>
      <x:c r="L431" s="17">
        <x:v>250000</x:v>
      </x:c>
      <x:c r="M431" s="17"/>
      <x:c r="N431" s="11" t="s">
        <x:v>21</x:v>
      </x:c>
      <x:c r="O431" s="16"/>
      <x:c r="P431" s="18"/>
      <x:c r="Q431" s="19"/>
    </x:row>
    <x:row r="432" ht="51">
      <x:c r="A432" s="9">
        <x:v>2024</x:v>
      </x:c>
      <x:c r="B432" s="10" t="s">
        <x:v>638</x:v>
      </x:c>
      <x:c r="C432" s="11" t="e">
        <x:f>IFERROR(VLOOKUP(B432,Regiões!A:B,2,0),"")</x:f>
        <x:v>#NAME?</x:v>
      </x:c>
      <x:c r="D432" s="11" t="s">
        <x:v>1244</x:v>
      </x:c>
      <x:c r="E432" s="12" t="str">
        <x:f t="shared" si="11"/>
        <x:v>Prefeitura Municipal de Encantado</x:v>
      </x:c>
      <x:c r="F432" s="13"/>
      <x:c r="G432" s="14" t="s">
        <x:v>18</x:v>
      </x:c>
      <x:c r="H432" s="15">
        <x:v>41160002</x:v>
      </x:c>
      <x:c r="I432" s="9" t="s">
        <x:v>224</x:v>
      </x:c>
      <x:c r="J432" s="9" t="s">
        <x:v>40</x:v>
      </x:c>
      <x:c r="K432" s="16" t="s">
        <x:v>20</x:v>
      </x:c>
      <x:c r="L432" s="17">
        <x:v>250000</x:v>
      </x:c>
      <x:c r="M432" s="17"/>
      <x:c r="N432" s="11" t="s">
        <x:v>21</x:v>
      </x:c>
      <x:c r="O432" s="16"/>
      <x:c r="P432" s="18"/>
      <x:c r="Q432" s="19"/>
    </x:row>
    <x:row r="433" ht="76.5">
      <x:c r="A433" s="9">
        <x:v>2024</x:v>
      </x:c>
      <x:c r="B433" s="10" t="s">
        <x:v>1245</x:v>
      </x:c>
      <x:c r="C433" s="11" t="e">
        <x:f>IFERROR(VLOOKUP(B433,Regiões!A:B,2,0),"")</x:f>
        <x:v>#NAME?</x:v>
      </x:c>
      <x:c r="D433" s="11" t="s">
        <x:v>1246</x:v>
      </x:c>
      <x:c r="E433" s="12" t="str">
        <x:f t="shared" si="11"/>
        <x:v>Prefeitura Municipal de Marques de Souza</x:v>
      </x:c>
      <x:c r="F433" s="13"/>
      <x:c r="G433" s="14" t="s">
        <x:v>18</x:v>
      </x:c>
      <x:c r="H433" s="15">
        <x:v>41160002</x:v>
      </x:c>
      <x:c r="I433" s="9" t="s">
        <x:v>224</x:v>
      </x:c>
      <x:c r="J433" s="9" t="s">
        <x:v>40</x:v>
      </x:c>
      <x:c r="K433" s="16" t="s">
        <x:v>20</x:v>
      </x:c>
      <x:c r="L433" s="17">
        <x:v>250000</x:v>
      </x:c>
      <x:c r="M433" s="17"/>
      <x:c r="N433" s="11" t="s">
        <x:v>21</x:v>
      </x:c>
      <x:c r="O433" s="16"/>
      <x:c r="P433" s="18"/>
      <x:c r="Q433" s="19"/>
    </x:row>
    <x:row r="434" ht="76.5">
      <x:c r="A434" s="9">
        <x:v>2024</x:v>
      </x:c>
      <x:c r="B434" s="10" t="s">
        <x:v>1137</x:v>
      </x:c>
      <x:c r="C434" s="11" t="e">
        <x:f>IFERROR(VLOOKUP(B434,Regiões!A:B,2,0),"")</x:f>
        <x:v>#NAME?</x:v>
      </x:c>
      <x:c r="D434" s="11" t="s">
        <x:v>1247</x:v>
      </x:c>
      <x:c r="E434" s="12" t="str">
        <x:f t="shared" si="11"/>
        <x:v>Prefeitura Municipal de Eldorado do Sul</x:v>
      </x:c>
      <x:c r="F434" s="13"/>
      <x:c r="G434" s="14" t="s">
        <x:v>18</x:v>
      </x:c>
      <x:c r="H434" s="15">
        <x:v>41160005</x:v>
      </x:c>
      <x:c r="I434" s="9" t="s">
        <x:v>19</x:v>
      </x:c>
      <x:c r="J434" s="9" t="s">
        <x:v>19</x:v>
      </x:c>
      <x:c r="K434" s="16" t="s">
        <x:v>20</x:v>
      </x:c>
      <x:c r="L434" s="17">
        <x:v>250000</x:v>
      </x:c>
      <x:c r="M434" s="17"/>
      <x:c r="N434" s="11" t="s">
        <x:v>21</x:v>
      </x:c>
      <x:c r="O434" s="16"/>
      <x:c r="P434" s="18"/>
      <x:c r="Q434" s="19"/>
    </x:row>
    <x:row r="435" ht="51">
      <x:c r="A435" s="9">
        <x:v>2025</x:v>
      </x:c>
      <x:c r="B435" s="14" t="s">
        <x:v>768</x:v>
      </x:c>
      <x:c r="C435" s="11" t="e">
        <x:f>IFERROR(VLOOKUP(B435,Regiões!A:B,2,0),"")</x:f>
        <x:v>#NAME?</x:v>
      </x:c>
      <x:c r="D435" s="11" t="s">
        <x:v>1248</x:v>
      </x:c>
      <x:c r="E435" s="12" t="s">
        <x:v>1249</x:v>
      </x:c>
      <x:c r="F435" s="13">
        <x:v>12071532000107</x:v>
      </x:c>
      <x:c r="G435" s="14" t="s">
        <x:v>18</x:v>
      </x:c>
      <x:c r="H435" s="87">
        <x:v>41160004</x:v>
      </x:c>
      <x:c r="I435" s="9" t="s">
        <x:v>502</x:v>
      </x:c>
      <x:c r="J435" s="9" t="s">
        <x:v>40</x:v>
      </x:c>
      <x:c r="K435" s="16" t="s">
        <x:v>32</x:v>
      </x:c>
      <x:c r="L435" s="88">
        <x:v>250000</x:v>
      </x:c>
      <x:c r="M435" s="88"/>
      <x:c r="N435" s="11" t="s">
        <x:v>21</x:v>
      </x:c>
      <x:c r="O435" s="16"/>
      <x:c r="P435" s="111" t="s">
        <x:v>1250</x:v>
      </x:c>
      <x:c r="Q435" s="19"/>
    </x:row>
    <x:row r="436" ht="51">
      <x:c r="A436" s="9">
        <x:v>2025</x:v>
      </x:c>
      <x:c r="B436" s="14" t="s">
        <x:v>1251</x:v>
      </x:c>
      <x:c r="C436" s="11" t="e">
        <x:f>IFERROR(VLOOKUP(B436,Regiões!A:B,2,0),"")</x:f>
        <x:v>#NAME?</x:v>
      </x:c>
      <x:c r="D436" s="11" t="s">
        <x:v>1252</x:v>
      </x:c>
      <x:c r="E436" s="12" t="s">
        <x:v>1253</x:v>
      </x:c>
      <x:c r="F436" s="13">
        <x:v>12364539000109</x:v>
      </x:c>
      <x:c r="G436" s="10" t="s">
        <x:v>1253</x:v>
      </x:c>
      <x:c r="H436" s="87">
        <x:v>41160003</x:v>
      </x:c>
      <x:c r="I436" s="9" t="s">
        <x:v>463</x:v>
      </x:c>
      <x:c r="J436" s="9" t="s">
        <x:v>40</x:v>
      </x:c>
      <x:c r="K436" s="16" t="s">
        <x:v>32</x:v>
      </x:c>
      <x:c r="L436" s="88">
        <x:v>250000</x:v>
      </x:c>
      <x:c r="M436" s="88"/>
      <x:c r="N436" s="11" t="s">
        <x:v>21</x:v>
      </x:c>
      <x:c r="O436" s="16"/>
      <x:c r="P436" s="111" t="s">
        <x:v>1254</x:v>
      </x:c>
      <x:c r="Q436" s="19"/>
    </x:row>
    <x:row r="437" ht="51">
      <x:c r="A437" s="9">
        <x:v>2025</x:v>
      </x:c>
      <x:c r="B437" s="14" t="s">
        <x:v>22</x:v>
      </x:c>
      <x:c r="C437" s="11" t="e">
        <x:f>IFERROR(VLOOKUP(B437,Regiões!A:B,2,0),"")</x:f>
        <x:v>#NAME?</x:v>
      </x:c>
      <x:c r="D437" s="11" t="s">
        <x:v>1255</x:v>
      </x:c>
      <x:c r="E437" s="12" t="s">
        <x:v>1256</x:v>
      </x:c>
      <x:c r="F437" s="13">
        <x:v>94862265000142</x:v>
      </x:c>
      <x:c r="G437" s="10" t="s">
        <x:v>1256</x:v>
      </x:c>
      <x:c r="H437" s="59">
        <x:v>41160004</x:v>
      </x:c>
      <x:c r="I437" s="9" t="s">
        <x:v>502</x:v>
      </x:c>
      <x:c r="J437" s="9" t="s">
        <x:v>40</x:v>
      </x:c>
      <x:c r="K437" s="16" t="s">
        <x:v>32</x:v>
      </x:c>
      <x:c r="L437" s="90">
        <x:v>250000</x:v>
      </x:c>
      <x:c r="M437" s="90"/>
      <x:c r="N437" s="11" t="s">
        <x:v>21</x:v>
      </x:c>
      <x:c r="O437" s="16"/>
      <x:c r="P437" s="44" t="s">
        <x:v>1257</x:v>
      </x:c>
      <x:c r="Q437" s="19"/>
    </x:row>
    <x:row r="438" ht="51">
      <x:c r="A438" s="9">
        <x:v>2026</x:v>
      </x:c>
      <x:c r="B438" s="14" t="s">
        <x:v>1258</x:v>
      </x:c>
      <x:c r="C438" s="11" t="e">
        <x:f>IFERROR(VLOOKUP(B438,Regiões!A:B,2,0),"")</x:f>
        <x:v>#NAME?</x:v>
      </x:c>
      <x:c r="D438" s="11" t="s">
        <x:v>1259</x:v>
      </x:c>
      <x:c r="E438" s="20" t="s">
        <x:v>979</x:v>
      </x:c>
      <x:c r="F438" s="13">
        <x:v>89659254000120</x:v>
      </x:c>
      <x:c r="G438" s="14" t="s">
        <x:v>974</x:v>
      </x:c>
      <x:c r="H438" s="15">
        <x:v>41160003</x:v>
      </x:c>
      <x:c r="I438" s="9" t="s">
        <x:v>976</x:v>
      </x:c>
      <x:c r="J438" s="2" t="s">
        <x:v>40</x:v>
      </x:c>
      <x:c r="K438" s="16" t="s">
        <x:v>32</x:v>
      </x:c>
      <x:c r="L438" s="17">
        <x:v>250000</x:v>
      </x:c>
      <x:c r="M438" s="17"/>
      <x:c r="N438" s="9" t="s">
        <x:v>33</x:v>
      </x:c>
      <x:c r="O438" s="16"/>
      <x:c r="P438" s="18"/>
      <x:c r="Q438" s="19"/>
    </x:row>
    <x:row r="439" ht="51">
      <x:c r="A439" s="9">
        <x:v>2026</x:v>
      </x:c>
      <x:c r="B439" s="14" t="s">
        <x:v>1260</x:v>
      </x:c>
      <x:c r="C439" s="11" t="e">
        <x:f>IFERROR(VLOOKUP(B439,Regiões!A:B,2,0),"")</x:f>
        <x:v>#NAME?</x:v>
      </x:c>
      <x:c r="D439" s="137" t="s">
        <x:v>1261</x:v>
      </x:c>
      <x:c r="E439" s="14" t="s">
        <x:v>1260</x:v>
      </x:c>
      <x:c r="F439" s="13">
        <x:v>11973128000158</x:v>
      </x:c>
      <x:c r="G439" s="14" t="s">
        <x:v>1002</x:v>
      </x:c>
      <x:c r="H439" s="15">
        <x:v>41160013</x:v>
      </x:c>
      <x:c r="I439" s="9" t="s">
        <x:v>1003</x:v>
      </x:c>
      <x:c r="J439" s="2" t="s">
        <x:v>40</x:v>
      </x:c>
      <x:c r="K439" s="16" t="s">
        <x:v>32</x:v>
      </x:c>
      <x:c r="L439" s="17">
        <x:v>250000</x:v>
      </x:c>
      <x:c r="M439" s="17"/>
      <x:c r="N439" s="9" t="s">
        <x:v>33</x:v>
      </x:c>
      <x:c r="O439" s="16"/>
      <x:c r="P439" s="18"/>
      <x:c r="Q439" s="19"/>
    </x:row>
    <x:row r="440" ht="51">
      <x:c r="A440" s="9">
        <x:v>2026</x:v>
      </x:c>
      <x:c r="B440" s="14" t="s">
        <x:v>1262</x:v>
      </x:c>
      <x:c r="C440" s="11" t="e">
        <x:f>IFERROR(VLOOKUP(B440,Regiões!A:B,2,0),"")</x:f>
        <x:v>#NAME?</x:v>
      </x:c>
      <x:c r="D440" s="137" t="s">
        <x:v>1263</x:v>
      </x:c>
      <x:c r="E440" s="14" t="s">
        <x:v>1262</x:v>
      </x:c>
      <x:c r="F440" s="13">
        <x:v>13540084000106</x:v>
      </x:c>
      <x:c r="G440" s="14" t="s">
        <x:v>1264</x:v>
      </x:c>
      <x:c r="H440" s="15">
        <x:v>41160013</x:v>
      </x:c>
      <x:c r="I440" s="9" t="s">
        <x:v>1003</x:v>
      </x:c>
      <x:c r="J440" s="2" t="s">
        <x:v>40</x:v>
      </x:c>
      <x:c r="K440" s="16" t="s">
        <x:v>32</x:v>
      </x:c>
      <x:c r="L440" s="17">
        <x:v>250000</x:v>
      </x:c>
      <x:c r="M440" s="17"/>
      <x:c r="N440" s="9" t="s">
        <x:v>33</x:v>
      </x:c>
      <x:c r="O440" s="16"/>
      <x:c r="P440" s="18"/>
      <x:c r="Q440" s="19"/>
    </x:row>
    <x:row r="441" ht="51">
      <x:c r="A441" s="9">
        <x:v>2026</x:v>
      </x:c>
      <x:c r="B441" s="14" t="s">
        <x:v>187</x:v>
      </x:c>
      <x:c r="C441" s="11" t="e">
        <x:f>IFERROR(VLOOKUP(B441,Regiões!A:B,2,0),"")</x:f>
        <x:v>#NAME?</x:v>
      </x:c>
      <x:c r="D441" s="11" t="s">
        <x:v>1265</x:v>
      </x:c>
      <x:c r="E441" s="14" t="s">
        <x:v>187</x:v>
      </x:c>
      <x:c r="F441" s="13">
        <x:v>11971665000169</x:v>
      </x:c>
      <x:c r="G441" s="14" t="s">
        <x:v>1002</x:v>
      </x:c>
      <x:c r="H441" s="15">
        <x:v>41160013</x:v>
      </x:c>
      <x:c r="I441" s="9" t="s">
        <x:v>1003</x:v>
      </x:c>
      <x:c r="J441" s="2" t="s">
        <x:v>40</x:v>
      </x:c>
      <x:c r="K441" s="16" t="s">
        <x:v>32</x:v>
      </x:c>
      <x:c r="L441" s="17">
        <x:v>250000</x:v>
      </x:c>
      <x:c r="M441" s="17"/>
      <x:c r="N441" s="9" t="s">
        <x:v>33</x:v>
      </x:c>
      <x:c r="O441" s="16"/>
      <x:c r="P441" s="18"/>
      <x:c r="Q441" s="19"/>
    </x:row>
    <x:row r="442" ht="25.5">
      <x:c r="A442" s="9">
        <x:v>2026</x:v>
      </x:c>
      <x:c r="B442" s="14" t="s">
        <x:v>1266</x:v>
      </x:c>
      <x:c r="C442" s="11" t="e">
        <x:f>IFERROR(VLOOKUP(B442,Regiões!A:B,2,0),"")</x:f>
        <x:v>#NAME?</x:v>
      </x:c>
      <x:c r="D442" s="11"/>
      <x:c r="E442" s="20" t="s">
        <x:v>1267</x:v>
      </x:c>
      <x:c r="F442" s="13">
        <x:v>50144885000170</x:v>
      </x:c>
      <x:c r="G442" s="14" t="s">
        <x:v>1268</x:v>
      </x:c>
      <x:c r="H442" s="15">
        <x:v>71220001</x:v>
      </x:c>
      <x:c r="I442" s="9" t="s">
        <x:v>40</x:v>
      </x:c>
      <x:c r="J442" s="9" t="s">
        <x:v>40</x:v>
      </x:c>
      <x:c r="K442" s="16" t="s">
        <x:v>976</x:v>
      </x:c>
      <x:c r="L442" s="17">
        <x:v>250000</x:v>
      </x:c>
      <x:c r="M442" s="17"/>
      <x:c r="N442" s="9" t="s">
        <x:v>1269</x:v>
      </x:c>
      <x:c r="O442" s="16"/>
      <x:c r="P442" s="18"/>
      <x:c r="Q442" s="19"/>
    </x:row>
    <x:row r="443" ht="25.5">
      <x:c r="A443" s="9">
        <x:v>2026</x:v>
      </x:c>
      <x:c r="B443" s="14" t="s">
        <x:v>342</x:v>
      </x:c>
      <x:c r="C443" s="11" t="e">
        <x:f>IFERROR(VLOOKUP(B443,Regiões!A:B,2,0),"")</x:f>
        <x:v>#NAME?</x:v>
      </x:c>
      <x:c r="D443" s="11"/>
      <x:c r="E443" s="20" t="s">
        <x:v>1270</x:v>
      </x:c>
      <x:c r="F443" s="13">
        <x:v>87547444000120</x:v>
      </x:c>
      <x:c r="G443" s="20" t="s">
        <x:v>1270</x:v>
      </x:c>
      <x:c r="H443" s="15">
        <x:v>71220001</x:v>
      </x:c>
      <x:c r="I443" s="9" t="s">
        <x:v>40</x:v>
      </x:c>
      <x:c r="J443" s="9" t="s">
        <x:v>40</x:v>
      </x:c>
      <x:c r="K443" s="16" t="s">
        <x:v>976</x:v>
      </x:c>
      <x:c r="L443" s="17">
        <x:v>250000</x:v>
      </x:c>
      <x:c r="M443" s="17"/>
      <x:c r="N443" s="9" t="s">
        <x:v>1269</x:v>
      </x:c>
      <x:c r="O443" s="16"/>
      <x:c r="P443" s="18"/>
      <x:c r="Q443" s="19"/>
    </x:row>
    <x:row r="444" ht="12.75">
      <x:c r="A444" s="9">
        <x:v>2026</x:v>
      </x:c>
      <x:c r="B444" s="14" t="s">
        <x:v>150</x:v>
      </x:c>
      <x:c r="C444" s="11" t="e">
        <x:f>IFERROR(VLOOKUP(B444,Regiões!A:B,2,0),"")</x:f>
        <x:v>#NAME?</x:v>
      </x:c>
      <x:c r="D444" s="11"/>
      <x:c r="E444" s="20" t="s">
        <x:v>1271</x:v>
      </x:c>
      <x:c r="F444" s="13">
        <x:v>12121651000119</x:v>
      </x:c>
      <x:c r="G444" s="14" t="s">
        <x:v>1272</x:v>
      </x:c>
      <x:c r="H444" s="15">
        <x:v>71220002</x:v>
      </x:c>
      <x:c r="I444" s="9" t="s">
        <x:v>40</x:v>
      </x:c>
      <x:c r="J444" s="9" t="s">
        <x:v>40</x:v>
      </x:c>
      <x:c r="K444" s="16" t="s">
        <x:v>1273</x:v>
      </x:c>
      <x:c r="L444" s="17">
        <x:v>250000</x:v>
      </x:c>
      <x:c r="M444" s="17"/>
      <x:c r="N444" s="9" t="s">
        <x:v>1269</x:v>
      </x:c>
      <x:c r="O444" s="16"/>
      <x:c r="P444" s="18"/>
      <x:c r="Q444" s="19"/>
    </x:row>
    <x:row r="445" ht="25.5">
      <x:c r="A445" s="9">
        <x:v>2026</x:v>
      </x:c>
      <x:c r="B445" s="14" t="s">
        <x:v>51</x:v>
      </x:c>
      <x:c r="C445" s="11" t="e">
        <x:f>IFERROR(VLOOKUP(B445,Regiões!A:B,2,0),"")</x:f>
        <x:v>#NAME?</x:v>
      </x:c>
      <x:c r="D445" s="11"/>
      <x:c r="E445" s="20" t="s">
        <x:v>1274</x:v>
      </x:c>
      <x:c r="F445" s="13">
        <x:v>92815000000168</x:v>
      </x:c>
      <x:c r="G445" s="20" t="s">
        <x:v>1274</x:v>
      </x:c>
      <x:c r="H445" s="15">
        <x:v>71220001</x:v>
      </x:c>
      <x:c r="I445" s="9" t="s">
        <x:v>40</x:v>
      </x:c>
      <x:c r="J445" s="9" t="s">
        <x:v>40</x:v>
      </x:c>
      <x:c r="K445" s="16" t="s">
        <x:v>976</x:v>
      </x:c>
      <x:c r="L445" s="17">
        <x:v>250000</x:v>
      </x:c>
      <x:c r="M445" s="17"/>
      <x:c r="N445" s="9" t="s">
        <x:v>1269</x:v>
      </x:c>
      <x:c r="O445" s="16"/>
      <x:c r="P445" s="18"/>
      <x:c r="Q445" s="19"/>
    </x:row>
    <x:row r="446" ht="63.75">
      <x:c r="A446" s="9">
        <x:v>2026</x:v>
      </x:c>
      <x:c r="B446" s="14" t="s">
        <x:v>45</x:v>
      </x:c>
      <x:c r="C446" s="11" t="e">
        <x:f>IFERROR(VLOOKUP(B446,Regiões!A:B,2,0),"")</x:f>
        <x:v>#NAME?</x:v>
      </x:c>
      <x:c r="D446" s="11" t="s">
        <x:v>1275</x:v>
      </x:c>
      <x:c r="E446" s="20" t="s">
        <x:v>1276</x:v>
      </x:c>
      <x:c r="F446" s="13">
        <x:v>11055682000156</x:v>
      </x:c>
      <x:c r="G446" s="20" t="s">
        <x:v>1276</x:v>
      </x:c>
      <x:c r="H446" s="15">
        <x:v>71220001</x:v>
      </x:c>
      <x:c r="I446" s="9" t="s">
        <x:v>40</x:v>
      </x:c>
      <x:c r="J446" s="9" t="s">
        <x:v>40</x:v>
      </x:c>
      <x:c r="K446" s="16" t="s">
        <x:v>976</x:v>
      </x:c>
      <x:c r="L446" s="17">
        <x:v>250000</x:v>
      </x:c>
      <x:c r="M446" s="17"/>
      <x:c r="N446" s="9" t="s">
        <x:v>1269</x:v>
      </x:c>
      <x:c r="O446" s="16"/>
      <x:c r="P446" s="18"/>
      <x:c r="Q446" s="19"/>
    </x:row>
    <x:row r="447" ht="12.75">
      <x:c r="A447" s="9">
        <x:v>2026</x:v>
      </x:c>
      <x:c r="B447" s="14" t="s">
        <x:v>16</x:v>
      </x:c>
      <x:c r="C447" s="11" t="e">
        <x:f>IFERROR(VLOOKUP(B447,Regiões!A:B,2,0),"")</x:f>
        <x:v>#NAME?</x:v>
      </x:c>
      <x:c r="D447" s="11"/>
      <x:c r="E447" s="20" t="s">
        <x:v>1277</x:v>
      </x:c>
      <x:c r="F447" s="13">
        <x:v>11796566000198</x:v>
      </x:c>
      <x:c r="G447" s="14" t="s">
        <x:v>1278</x:v>
      </x:c>
      <x:c r="H447" s="15">
        <x:v>71220002</x:v>
      </x:c>
      <x:c r="I447" s="9" t="s">
        <x:v>40</x:v>
      </x:c>
      <x:c r="J447" s="9" t="s">
        <x:v>40</x:v>
      </x:c>
      <x:c r="K447" s="16" t="s">
        <x:v>1273</x:v>
      </x:c>
      <x:c r="L447" s="17">
        <x:v>250000</x:v>
      </x:c>
      <x:c r="M447" s="17"/>
      <x:c r="N447" s="9" t="s">
        <x:v>1269</x:v>
      </x:c>
      <x:c r="O447" s="16"/>
      <x:c r="P447" s="18"/>
      <x:c r="Q447" s="19"/>
    </x:row>
    <x:row r="448" ht="38.25">
      <x:c r="A448" s="11">
        <x:v>2023</x:v>
      </x:c>
      <x:c r="B448" s="66" t="s">
        <x:v>45</x:v>
      </x:c>
      <x:c r="C448" s="11" t="e">
        <x:f>IFERROR(VLOOKUP(B448,Regiões!A:B,2,0),"")</x:f>
        <x:v>#NAME?</x:v>
      </x:c>
      <x:c r="D448" s="11" t="s">
        <x:v>790</x:v>
      </x:c>
      <x:c r="E448" s="67" t="s">
        <x:v>42</x:v>
      </x:c>
      <x:c r="F448" s="68"/>
      <x:c r="G448" s="66" t="s">
        <x:v>1279</x:v>
      </x:c>
      <x:c r="H448" s="69"/>
      <x:c r="I448" s="11" t="s">
        <x:v>1202</x:v>
      </x:c>
      <x:c r="J448" s="11" t="str">
        <x:f t="shared" ref="J448:J449" si="12">LEFT(I448,FIND(" (",I448) - 1)</x:f>
        <x:v>Infraestrutura</x:v>
      </x:c>
      <x:c r="K448" s="11" t="s">
        <x:v>32</x:v>
      </x:c>
      <x:c r="L448" s="70">
        <x:v>250802.2</x:v>
      </x:c>
      <x:c r="M448" s="70"/>
      <x:c r="N448" s="11" t="s">
        <x:v>21</x:v>
      </x:c>
      <x:c r="O448" s="11" t="s">
        <x:v>49</x:v>
      </x:c>
      <x:c r="P448" s="67" t="s">
        <x:v>1280</x:v>
      </x:c>
      <x:c r="Q448" s="66"/>
    </x:row>
    <x:row r="449" ht="25.5">
      <x:c r="A449" s="11">
        <x:v>2023</x:v>
      </x:c>
      <x:c r="B449" s="66" t="s">
        <x:v>339</x:v>
      </x:c>
      <x:c r="C449" s="11" t="e">
        <x:f>IFERROR(VLOOKUP(B449,Regiões!A:B,2,0),"")</x:f>
        <x:v>#NAME?</x:v>
      </x:c>
      <x:c r="D449" s="11" t="s">
        <x:v>340</x:v>
      </x:c>
      <x:c r="E449" s="67" t="s">
        <x:v>42</x:v>
      </x:c>
      <x:c r="F449" s="68"/>
      <x:c r="G449" s="66" t="s">
        <x:v>1281</x:v>
      </x:c>
      <x:c r="H449" s="69"/>
      <x:c r="I449" s="11" t="s">
        <x:v>1202</x:v>
      </x:c>
      <x:c r="J449" s="11" t="str">
        <x:f t="shared" si="12"/>
        <x:v>Infraestrutura</x:v>
      </x:c>
      <x:c r="K449" s="11" t="s">
        <x:v>32</x:v>
      </x:c>
      <x:c r="L449" s="70">
        <x:v>250847.5</x:v>
      </x:c>
      <x:c r="M449" s="70"/>
      <x:c r="N449" s="11" t="s">
        <x:v>21</x:v>
      </x:c>
      <x:c r="O449" s="11" t="s">
        <x:v>49</x:v>
      </x:c>
      <x:c r="P449" s="67" t="s">
        <x:v>1282</x:v>
      </x:c>
      <x:c r="Q449" s="66"/>
    </x:row>
    <x:row r="450" ht="51">
      <x:c r="A450" s="9">
        <x:v>2025</x:v>
      </x:c>
      <x:c r="B450" s="14" t="s">
        <x:v>456</x:v>
      </x:c>
      <x:c r="C450" s="11" t="e">
        <x:f>IFERROR(VLOOKUP(B450,Regiões!A:B,2,0),"")</x:f>
        <x:v>#NAME?</x:v>
      </x:c>
      <x:c r="D450" s="11" t="s">
        <x:v>1283</x:v>
      </x:c>
      <x:c r="E450" s="12" t="s">
        <x:v>1284</x:v>
      </x:c>
      <x:c r="F450" s="13">
        <x:v>4994418000546</x:v>
      </x:c>
      <x:c r="G450" s="10" t="s">
        <x:v>1284</x:v>
      </x:c>
      <x:c r="H450" s="59">
        <x:v>41160004</x:v>
      </x:c>
      <x:c r="I450" s="9" t="s">
        <x:v>502</x:v>
      </x:c>
      <x:c r="J450" s="9" t="s">
        <x:v>40</x:v>
      </x:c>
      <x:c r="K450" s="16" t="s">
        <x:v>32</x:v>
      </x:c>
      <x:c r="L450" s="90">
        <x:v>253457</x:v>
      </x:c>
      <x:c r="M450" s="90"/>
      <x:c r="N450" s="11" t="s">
        <x:v>21</x:v>
      </x:c>
      <x:c r="O450" s="16"/>
      <x:c r="P450" s="44" t="s">
        <x:v>1285</x:v>
      </x:c>
      <x:c r="Q450" s="19"/>
    </x:row>
    <x:row r="451" ht="51">
      <x:c r="A451" s="9">
        <x:v>2024</x:v>
      </x:c>
      <x:c r="B451" s="10" t="s">
        <x:v>1286</x:v>
      </x:c>
      <x:c r="C451" s="11" t="e">
        <x:f>IFERROR(VLOOKUP(B451,Regiões!A:B,2,0),"")</x:f>
        <x:v>#NAME?</x:v>
      </x:c>
      <x:c r="D451" s="11" t="s">
        <x:v>1287</x:v>
      </x:c>
      <x:c r="E451" s="12" t="str">
        <x:f>G451&amp;" de "&amp;B451</x:f>
        <x:v>Prefeitura Municipal de Vera Cruz</x:v>
      </x:c>
      <x:c r="F451" s="13"/>
      <x:c r="G451" s="14" t="s">
        <x:v>18</x:v>
      </x:c>
      <x:c r="H451" s="15">
        <x:v>41160001</x:v>
      </x:c>
      <x:c r="I451" s="9" t="s">
        <x:v>58</x:v>
      </x:c>
      <x:c r="J451" s="9" t="s">
        <x:v>40</x:v>
      </x:c>
      <x:c r="K451" s="16" t="s">
        <x:v>20</x:v>
      </x:c>
      <x:c r="L451" s="17">
        <x:v>253755</x:v>
      </x:c>
      <x:c r="M451" s="17"/>
      <x:c r="N451" s="11" t="s">
        <x:v>21</x:v>
      </x:c>
      <x:c r="O451" s="16"/>
      <x:c r="P451" s="18"/>
      <x:c r="Q451" s="19"/>
    </x:row>
    <x:row r="452" ht="51">
      <x:c r="A452" s="11">
        <x:v>2023</x:v>
      </x:c>
      <x:c r="B452" s="43" t="s">
        <x:v>1260</x:v>
      </x:c>
      <x:c r="C452" s="11" t="e">
        <x:f>IFERROR(VLOOKUP(B452,Regiões!A:B,2,0),"")</x:f>
        <x:v>#NAME?</x:v>
      </x:c>
      <x:c r="D452" s="11" t="s">
        <x:v>1288</x:v>
      </x:c>
      <x:c r="E452" s="44" t="s">
        <x:v>93</x:v>
      </x:c>
      <x:c r="F452" s="99"/>
      <x:c r="G452" s="43" t="s">
        <x:v>1289</x:v>
      </x:c>
      <x:c r="H452" s="47"/>
      <x:c r="I452" s="11" t="s">
        <x:v>444</x:v>
      </x:c>
      <x:c r="J452" s="11" t="str">
        <x:f>LEFT(I452,FIND(" (",I452) - 1)</x:f>
        <x:v>Saúde</x:v>
      </x:c>
      <x:c r="K452" s="11" t="s">
        <x:v>32</x:v>
      </x:c>
      <x:c r="L452" s="108">
        <x:v>260000</x:v>
      </x:c>
      <x:c r="M452" s="108"/>
      <x:c r="N452" s="11" t="s">
        <x:v>21</x:v>
      </x:c>
      <x:c r="O452" s="11" t="s">
        <x:v>49</x:v>
      </x:c>
      <x:c r="P452" s="49" t="s">
        <x:v>1290</x:v>
      </x:c>
      <x:c r="Q452" s="50"/>
    </x:row>
    <x:row r="453" ht="51">
      <x:c r="A453" s="9">
        <x:v>2025</x:v>
      </x:c>
      <x:c r="B453" s="14" t="s">
        <x:v>294</x:v>
      </x:c>
      <x:c r="C453" s="11" t="e">
        <x:f>IFERROR(VLOOKUP(B453,Regiões!A:B,2,0),"")</x:f>
        <x:v>#NAME?</x:v>
      </x:c>
      <x:c r="D453" s="11" t="s">
        <x:v>1291</x:v>
      </x:c>
      <x:c r="E453" s="12" t="s">
        <x:v>1292</x:v>
      </x:c>
      <x:c r="F453" s="13">
        <x:v>90456070000141</x:v>
      </x:c>
      <x:c r="G453" s="10" t="s">
        <x:v>1292</x:v>
      </x:c>
      <x:c r="H453" s="87">
        <x:v>41160004</x:v>
      </x:c>
      <x:c r="I453" s="9" t="s">
        <x:v>502</x:v>
      </x:c>
      <x:c r="J453" s="9" t="s">
        <x:v>40</x:v>
      </x:c>
      <x:c r="K453" s="16" t="s">
        <x:v>32</x:v>
      </x:c>
      <x:c r="L453" s="88">
        <x:v>260000</x:v>
      </x:c>
      <x:c r="M453" s="88"/>
      <x:c r="N453" s="11" t="s">
        <x:v>21</x:v>
      </x:c>
      <x:c r="O453" s="16"/>
      <x:c r="P453" s="111" t="s">
        <x:v>1293</x:v>
      </x:c>
      <x:c r="Q453" s="19"/>
    </x:row>
    <x:row r="454" ht="38.25">
      <x:c r="A454" s="92">
        <x:v>2022</x:v>
      </x:c>
      <x:c r="B454" s="92" t="s">
        <x:v>257</x:v>
      </x:c>
      <x:c r="C454" s="92" t="e">
        <x:f>IFERROR(VLOOKUP(B454,Regiões!A:B,2,0),"")</x:f>
        <x:v>#NAME?</x:v>
      </x:c>
      <x:c r="D454" s="92" t="s">
        <x:v>354</x:v>
      </x:c>
      <x:c r="E454" s="93" t="s">
        <x:v>93</x:v>
      </x:c>
      <x:c r="F454" s="112"/>
      <x:c r="G454" s="113" t="s">
        <x:v>355</x:v>
      </x:c>
      <x:c r="H454" s="95">
        <x:v>41160003</x:v>
      </x:c>
      <x:c r="I454" s="92" t="s">
        <x:v>415</x:v>
      </x:c>
      <x:c r="J454" s="92" t="s">
        <x:v>40</x:v>
      </x:c>
      <x:c r="K454" s="92" t="s">
        <x:v>32</x:v>
      </x:c>
      <x:c r="L454" s="96">
        <x:v>260500</x:v>
      </x:c>
      <x:c r="M454" s="96"/>
      <x:c r="N454" s="92" t="s">
        <x:v>41</x:v>
      </x:c>
      <x:c r="O454" s="92" t="s">
        <x:v>49</x:v>
      </x:c>
      <x:c r="P454" s="97" t="s">
        <x:v>1294</x:v>
      </x:c>
      <x:c r="Q454" s="98"/>
    </x:row>
    <x:row r="455" ht="76.5">
      <x:c r="A455" s="36">
        <x:v>2020</x:v>
      </x:c>
      <x:c r="B455" s="36" t="s">
        <x:v>51</x:v>
      </x:c>
      <x:c r="C455" s="11" t="e">
        <x:f>IFERROR(VLOOKUP(B455,Regiões!A:B,2,0),"")</x:f>
        <x:v>#NAME?</x:v>
      </x:c>
      <x:c r="D455" s="22" t="s">
        <x:v>1295</x:v>
      </x:c>
      <x:c r="E455" s="37" t="s">
        <x:v>29</x:v>
      </x:c>
      <x:c r="F455" s="38"/>
      <x:c r="G455" s="36" t="s">
        <x:v>1296</x:v>
      </x:c>
      <x:c r="H455" s="168">
        <x:v>41160006</x:v>
      </x:c>
      <x:c r="I455" s="36" t="s">
        <x:v>31</x:v>
      </x:c>
      <x:c r="J455" s="36" t="s">
        <x:v>25</x:v>
      </x:c>
      <x:c r="K455" s="36" t="s">
        <x:v>32</x:v>
      </x:c>
      <x:c r="L455" s="40">
        <x:v>261914</x:v>
      </x:c>
      <x:c r="M455" s="40"/>
      <x:c r="N455" s="36" t="s">
        <x:v>33</x:v>
      </x:c>
      <x:c r="O455" s="36" t="s">
        <x:v>1297</x:v>
      </x:c>
      <x:c r="P455" s="41" t="s">
        <x:v>1298</x:v>
      </x:c>
      <x:c r="Q455" s="42"/>
    </x:row>
    <x:row r="456" ht="38.25">
      <x:c r="A456" s="11">
        <x:v>2023</x:v>
      </x:c>
      <x:c r="B456" s="66" t="s">
        <x:v>368</x:v>
      </x:c>
      <x:c r="C456" s="11" t="e">
        <x:f>IFERROR(VLOOKUP(B456,Regiões!A:B,2,0),"")</x:f>
        <x:v>#NAME?</x:v>
      </x:c>
      <x:c r="D456" s="11" t="s">
        <x:v>369</x:v>
      </x:c>
      <x:c r="E456" s="67" t="s">
        <x:v>42</x:v>
      </x:c>
      <x:c r="F456" s="68"/>
      <x:c r="G456" s="66" t="s">
        <x:v>609</x:v>
      </x:c>
      <x:c r="H456" s="69"/>
      <x:c r="I456" s="11" t="s">
        <x:v>1202</x:v>
      </x:c>
      <x:c r="J456" s="11" t="str">
        <x:f>LEFT(I456,FIND(" (",I456) - 1)</x:f>
        <x:v>Infraestrutura</x:v>
      </x:c>
      <x:c r="K456" s="11" t="s">
        <x:v>32</x:v>
      </x:c>
      <x:c r="L456" s="70">
        <x:v>264000</x:v>
      </x:c>
      <x:c r="M456" s="70"/>
      <x:c r="N456" s="11" t="s">
        <x:v>21</x:v>
      </x:c>
      <x:c r="O456" s="11" t="s">
        <x:v>49</x:v>
      </x:c>
      <x:c r="P456" s="67" t="s">
        <x:v>1299</x:v>
      </x:c>
      <x:c r="Q456" s="66"/>
    </x:row>
    <x:row r="457" ht="51">
      <x:c r="A457" s="9">
        <x:v>2024</x:v>
      </x:c>
      <x:c r="B457" s="10" t="s">
        <x:v>1300</x:v>
      </x:c>
      <x:c r="C457" s="11" t="e">
        <x:f>IFERROR(VLOOKUP(B457,Regiões!A:B,2,0),"")</x:f>
        <x:v>#NAME?</x:v>
      </x:c>
      <x:c r="D457" s="11" t="s">
        <x:v>1301</x:v>
      </x:c>
      <x:c r="E457" s="12" t="str">
        <x:f>G457&amp;" de "&amp;B457</x:f>
        <x:v>Prefeitura Municipal de Roca Sales</x:v>
      </x:c>
      <x:c r="F457" s="13"/>
      <x:c r="G457" s="14" t="s">
        <x:v>18</x:v>
      </x:c>
      <x:c r="H457" s="15">
        <x:v>41160004</x:v>
      </x:c>
      <x:c r="I457" s="9" t="s">
        <x:v>285</x:v>
      </x:c>
      <x:c r="J457" s="9" t="s">
        <x:v>40</x:v>
      </x:c>
      <x:c r="K457" s="16" t="s">
        <x:v>32</x:v>
      </x:c>
      <x:c r="L457" s="17">
        <x:v>268358</x:v>
      </x:c>
      <x:c r="M457" s="17"/>
      <x:c r="N457" s="11" t="s">
        <x:v>21</x:v>
      </x:c>
      <x:c r="O457" s="16"/>
      <x:c r="P457" s="18"/>
      <x:c r="Q457" s="19"/>
    </x:row>
    <x:row r="458" ht="51">
      <x:c r="A458" s="9">
        <x:v>2025</x:v>
      </x:c>
      <x:c r="B458" s="14" t="s">
        <x:v>611</x:v>
      </x:c>
      <x:c r="C458" s="11" t="e">
        <x:f>IFERROR(VLOOKUP(B458,Regiões!A:B,2,0),"")</x:f>
        <x:v>#NAME?</x:v>
      </x:c>
      <x:c r="D458" s="11" t="s">
        <x:v>1302</x:v>
      </x:c>
      <x:c r="E458" s="12" t="s">
        <x:v>1303</x:v>
      </x:c>
      <x:c r="F458" s="13">
        <x:v>95815668000101</x:v>
      </x:c>
      <x:c r="G458" s="10" t="s">
        <x:v>1303</x:v>
      </x:c>
      <x:c r="H458" s="59">
        <x:v>41160004</x:v>
      </x:c>
      <x:c r="I458" s="9" t="s">
        <x:v>502</x:v>
      </x:c>
      <x:c r="J458" s="9" t="s">
        <x:v>40</x:v>
      </x:c>
      <x:c r="K458" s="16" t="s">
        <x:v>32</x:v>
      </x:c>
      <x:c r="L458" s="90">
        <x:v>270000</x:v>
      </x:c>
      <x:c r="M458" s="90"/>
      <x:c r="N458" s="11" t="s">
        <x:v>21</x:v>
      </x:c>
      <x:c r="O458" s="16"/>
      <x:c r="P458" s="91" t="s">
        <x:v>1304</x:v>
      </x:c>
      <x:c r="Q458" s="19"/>
    </x:row>
    <x:row r="459" ht="51">
      <x:c r="A459" s="9">
        <x:v>2025</x:v>
      </x:c>
      <x:c r="B459" s="14" t="s">
        <x:v>1305</x:v>
      </x:c>
      <x:c r="C459" s="11" t="e">
        <x:f>IFERROR(VLOOKUP(B459,Regiões!A:B,2,0),"")</x:f>
        <x:v>#NAME?</x:v>
      </x:c>
      <x:c r="D459" s="11" t="s">
        <x:v>1306</x:v>
      </x:c>
      <x:c r="E459" s="12" t="s">
        <x:v>1307</x:v>
      </x:c>
      <x:c r="F459" s="13">
        <x:v>96419353000108</x:v>
      </x:c>
      <x:c r="G459" s="10" t="s">
        <x:v>1307</x:v>
      </x:c>
      <x:c r="H459" s="87">
        <x:v>41160004</x:v>
      </x:c>
      <x:c r="I459" s="9" t="s">
        <x:v>502</x:v>
      </x:c>
      <x:c r="J459" s="9" t="s">
        <x:v>40</x:v>
      </x:c>
      <x:c r="K459" s="16" t="s">
        <x:v>32</x:v>
      </x:c>
      <x:c r="L459" s="88">
        <x:v>272138</x:v>
      </x:c>
      <x:c r="M459" s="88"/>
      <x:c r="N459" s="11" t="s">
        <x:v>21</x:v>
      </x:c>
      <x:c r="O459" s="16"/>
      <x:c r="P459" s="111" t="s">
        <x:v>1308</x:v>
      </x:c>
      <x:c r="Q459" s="19"/>
    </x:row>
    <x:row r="460" ht="127.5">
      <x:c r="A460" s="9">
        <x:v>2025</x:v>
      </x:c>
      <x:c r="B460" s="14" t="s">
        <x:v>51</x:v>
      </x:c>
      <x:c r="C460" s="11" t="e">
        <x:f>IFERROR(VLOOKUP(B460,Regiões!A:B,2,0),"")</x:f>
        <x:v>#NAME?</x:v>
      </x:c>
      <x:c r="D460" s="11" t="s">
        <x:v>1309</x:v>
      </x:c>
      <x:c r="E460" s="12" t="s">
        <x:v>1121</x:v>
      </x:c>
      <x:c r="F460" s="13">
        <x:v>87182846000178</x:v>
      </x:c>
      <x:c r="G460" s="14" t="s">
        <x:v>18</x:v>
      </x:c>
      <x:c r="H460" s="59">
        <x:v>41160002</x:v>
      </x:c>
      <x:c r="I460" s="9" t="s">
        <x:v>468</x:v>
      </x:c>
      <x:c r="J460" s="9" t="s">
        <x:v>40</x:v>
      </x:c>
      <x:c r="K460" s="16" t="s">
        <x:v>20</x:v>
      </x:c>
      <x:c r="L460" s="60">
        <x:v>273811</x:v>
      </x:c>
      <x:c r="M460" s="60"/>
      <x:c r="N460" s="11" t="s">
        <x:v>21</x:v>
      </x:c>
      <x:c r="O460" s="16"/>
      <x:c r="P460" s="44" t="s">
        <x:v>475</x:v>
      </x:c>
      <x:c r="Q460" s="19"/>
    </x:row>
    <x:row r="461" ht="51">
      <x:c r="A461" s="9">
        <x:v>2024</x:v>
      </x:c>
      <x:c r="B461" s="10" t="s">
        <x:v>389</x:v>
      </x:c>
      <x:c r="C461" s="11" t="e">
        <x:f>IFERROR(VLOOKUP(B461,Regiões!A:B,2,0),"")</x:f>
        <x:v>#NAME?</x:v>
      </x:c>
      <x:c r="D461" s="11" t="s">
        <x:v>1310</x:v>
      </x:c>
      <x:c r="E461" s="12" t="str">
        <x:f>G461&amp;" de "&amp;B461</x:f>
        <x:v>Prefeitura Municipal de Taquara</x:v>
      </x:c>
      <x:c r="F461" s="13"/>
      <x:c r="G461" s="14" t="s">
        <x:v>18</x:v>
      </x:c>
      <x:c r="H461" s="15">
        <x:v>41160004</x:v>
      </x:c>
      <x:c r="I461" s="9" t="s">
        <x:v>285</x:v>
      </x:c>
      <x:c r="J461" s="9" t="s">
        <x:v>40</x:v>
      </x:c>
      <x:c r="K461" s="16" t="s">
        <x:v>32</x:v>
      </x:c>
      <x:c r="L461" s="17">
        <x:v>279569</x:v>
      </x:c>
      <x:c r="M461" s="17"/>
      <x:c r="N461" s="11" t="s">
        <x:v>21</x:v>
      </x:c>
      <x:c r="O461" s="16"/>
      <x:c r="P461" s="18"/>
      <x:c r="Q461" s="19"/>
    </x:row>
    <x:row r="462" ht="114.75">
      <x:c r="A462" s="51">
        <x:v>2020</x:v>
      </x:c>
      <x:c r="B462" s="51" t="s">
        <x:v>51</x:v>
      </x:c>
      <x:c r="C462" s="11" t="e">
        <x:f>IFERROR(VLOOKUP(B462,Regiões!A:B,2,0),"")</x:f>
        <x:v>#NAME?</x:v>
      </x:c>
      <x:c r="D462" s="22" t="s">
        <x:v>1311</x:v>
      </x:c>
      <x:c r="E462" s="52" t="s">
        <x:v>1059</x:v>
      </x:c>
      <x:c r="F462" s="53"/>
      <x:c r="G462" s="51" t="s">
        <x:v>1059</x:v>
      </x:c>
      <x:c r="H462" s="58">
        <x:v>41160007</x:v>
      </x:c>
      <x:c r="I462" s="51" t="s">
        <x:v>31</x:v>
      </x:c>
      <x:c r="J462" s="51" t="s">
        <x:v>25</x:v>
      </x:c>
      <x:c r="K462" s="51" t="s">
        <x:v>32</x:v>
      </x:c>
      <x:c r="L462" s="55">
        <x:v>290000</x:v>
      </x:c>
      <x:c r="M462" s="55"/>
      <x:c r="N462" s="51" t="s">
        <x:v>33</x:v>
      </x:c>
      <x:c r="O462" s="51" t="s">
        <x:v>1312</x:v>
      </x:c>
      <x:c r="P462" s="52" t="s">
        <x:v>1313</x:v>
      </x:c>
      <x:c r="Q462" s="57" t="s">
        <x:v>1314</x:v>
      </x:c>
    </x:row>
    <x:row r="463" ht="114.75">
      <x:c r="A463" s="51">
        <x:v>2020</x:v>
      </x:c>
      <x:c r="B463" s="51" t="s">
        <x:v>83</x:v>
      </x:c>
      <x:c r="C463" s="11" t="e">
        <x:f>IFERROR(VLOOKUP(B463,Regiões!A:B,2,0),"")</x:f>
        <x:v>#NAME?</x:v>
      </x:c>
      <x:c r="D463" s="22" t="s">
        <x:v>1315</x:v>
      </x:c>
      <x:c r="E463" s="52" t="s">
        <x:v>1059</x:v>
      </x:c>
      <x:c r="F463" s="53"/>
      <x:c r="G463" s="51" t="s">
        <x:v>1059</x:v>
      </x:c>
      <x:c r="H463" s="54">
        <x:v>41160007</x:v>
      </x:c>
      <x:c r="I463" s="51" t="s">
        <x:v>31</x:v>
      </x:c>
      <x:c r="J463" s="51" t="s">
        <x:v>25</x:v>
      </x:c>
      <x:c r="K463" s="51" t="s">
        <x:v>32</x:v>
      </x:c>
      <x:c r="L463" s="55">
        <x:v>290000</x:v>
      </x:c>
      <x:c r="M463" s="55"/>
      <x:c r="N463" s="51" t="s">
        <x:v>21</x:v>
      </x:c>
      <x:c r="O463" s="51" t="s">
        <x:v>1316</x:v>
      </x:c>
      <x:c r="P463" s="52" t="s">
        <x:v>1317</x:v>
      </x:c>
      <x:c r="Q463" s="57" t="s">
        <x:v>1314</x:v>
      </x:c>
    </x:row>
    <x:row r="464" ht="63.75">
      <x:c r="A464" s="9">
        <x:v>2025</x:v>
      </x:c>
      <x:c r="B464" s="14" t="s">
        <x:v>1097</x:v>
      </x:c>
      <x:c r="C464" s="11" t="e">
        <x:f>IFERROR(VLOOKUP(B464,Regiões!A:B,2,0),"")</x:f>
        <x:v>#NAME?</x:v>
      </x:c>
      <x:c r="D464" s="11" t="s">
        <x:v>1318</x:v>
      </x:c>
      <x:c r="E464" s="12" t="s">
        <x:v>1319</x:v>
      </x:c>
      <x:c r="F464" s="13">
        <x:v>87890992000158</x:v>
      </x:c>
      <x:c r="G464" s="14" t="s">
        <x:v>18</x:v>
      </x:c>
      <x:c r="H464" s="87">
        <x:v>41160008</x:v>
      </x:c>
      <x:c r="I464" s="9" t="s">
        <x:v>881</x:v>
      </x:c>
      <x:c r="J464" s="9" t="s">
        <x:v>25</x:v>
      </x:c>
      <x:c r="K464" s="16" t="s">
        <x:v>32</x:v>
      </x:c>
      <x:c r="L464" s="88">
        <x:v>291960</x:v>
      </x:c>
      <x:c r="M464" s="88"/>
      <x:c r="N464" s="11" t="s">
        <x:v>21</x:v>
      </x:c>
      <x:c r="O464" s="16"/>
      <x:c r="P464" s="111" t="s">
        <x:v>1320</x:v>
      </x:c>
      <x:c r="Q464" s="19"/>
    </x:row>
    <x:row r="465" ht="25.5">
      <x:c r="A465" s="92">
        <x:v>2021</x:v>
      </x:c>
      <x:c r="B465" s="92" t="s">
        <x:v>1321</x:v>
      </x:c>
      <x:c r="C465" s="92" t="e">
        <x:f>IFERROR(VLOOKUP(B465,Regiões!A:B,2,0),"")</x:f>
        <x:v>#NAME?</x:v>
      </x:c>
      <x:c r="D465" s="92" t="s">
        <x:v>1322</x:v>
      </x:c>
      <x:c r="E465" s="97" t="s">
        <x:v>305</x:v>
      </x:c>
      <x:c r="F465" s="94"/>
      <x:c r="G465" s="92" t="s">
        <x:v>305</x:v>
      </x:c>
      <x:c r="H465" s="95">
        <x:v>71220009</x:v>
      </x:c>
      <x:c r="I465" s="92" t="s">
        <x:v>25</x:v>
      </x:c>
      <x:c r="J465" s="92" t="s">
        <x:v>25</x:v>
      </x:c>
      <x:c r="K465" s="92" t="s">
        <x:v>32</x:v>
      </x:c>
      <x:c r="L465" s="96">
        <x:v>296745.33</x:v>
      </x:c>
      <x:c r="M465" s="96"/>
      <x:c r="N465" s="92" t="s">
        <x:v>64</x:v>
      </x:c>
      <x:c r="O465" s="92" t="s">
        <x:v>539</x:v>
      </x:c>
      <x:c r="P465" s="97" t="s">
        <x:v>1323</x:v>
      </x:c>
      <x:c r="Q465" s="98"/>
    </x:row>
    <x:row r="466" ht="178.5">
      <x:c r="A466" s="51">
        <x:v>2020</x:v>
      </x:c>
      <x:c r="B466" s="51" t="s">
        <x:v>731</x:v>
      </x:c>
      <x:c r="C466" s="11" t="e">
        <x:f>IFERROR(VLOOKUP(B466,Regiões!A:B,2,0),"")</x:f>
        <x:v>#NAME?</x:v>
      </x:c>
      <x:c r="D466" s="22" t="s">
        <x:v>1200</x:v>
      </x:c>
      <x:c r="E466" s="52" t="s">
        <x:v>93</x:v>
      </x:c>
      <x:c r="F466" s="53"/>
      <x:c r="G466" s="51" t="s">
        <x:v>1324</x:v>
      </x:c>
      <x:c r="H466" s="58">
        <x:v>41160005</x:v>
      </x:c>
      <x:c r="I466" s="51" t="s">
        <x:v>95</x:v>
      </x:c>
      <x:c r="J466" s="51" t="s">
        <x:v>40</x:v>
      </x:c>
      <x:c r="K466" s="51" t="s">
        <x:v>20</x:v>
      </x:c>
      <x:c r="L466" s="55">
        <x:v>300000</x:v>
      </x:c>
      <x:c r="M466" s="55"/>
      <x:c r="N466" s="51" t="s">
        <x:v>96</x:v>
      </x:c>
      <x:c r="O466" s="51" t="s">
        <x:v>26</x:v>
      </x:c>
      <x:c r="P466" s="52" t="s">
        <x:v>316</x:v>
      </x:c>
      <x:c r="Q466" s="57" t="s">
        <x:v>1325</x:v>
      </x:c>
    </x:row>
    <x:row r="467" ht="38.25">
      <x:c r="A467" s="51">
        <x:v>2020</x:v>
      </x:c>
      <x:c r="B467" s="51" t="s">
        <x:v>357</x:v>
      </x:c>
      <x:c r="C467" s="11" t="e">
        <x:f>IFERROR(VLOOKUP(B467,Regiões!A:B,2,0),"")</x:f>
        <x:v>#NAME?</x:v>
      </x:c>
      <x:c r="D467" s="22" t="s">
        <x:v>358</x:v>
      </x:c>
      <x:c r="E467" s="52" t="s">
        <x:v>38</x:v>
      </x:c>
      <x:c r="F467" s="53"/>
      <x:c r="G467" s="51" t="s">
        <x:v>18</x:v>
      </x:c>
      <x:c r="H467" s="58">
        <x:v>41160004</x:v>
      </x:c>
      <x:c r="I467" s="51" t="s">
        <x:v>1326</x:v>
      </x:c>
      <x:c r="J467" s="22" t="s">
        <x:v>129</x:v>
      </x:c>
      <x:c r="K467" s="51" t="s">
        <x:v>1327</x:v>
      </x:c>
      <x:c r="L467" s="55">
        <x:v>300000</x:v>
      </x:c>
      <x:c r="M467" s="55"/>
      <x:c r="N467" s="51" t="s">
        <x:v>96</x:v>
      </x:c>
      <x:c r="O467" s="51" t="s">
        <x:v>26</x:v>
      </x:c>
      <x:c r="P467" s="52" t="s">
        <x:v>1328</x:v>
      </x:c>
      <x:c r="Q467" s="57" t="s">
        <x:v>1329</x:v>
      </x:c>
    </x:row>
    <x:row r="468" ht="38.25">
      <x:c r="A468" s="51">
        <x:v>2020</x:v>
      </x:c>
      <x:c r="B468" s="51" t="s">
        <x:v>630</x:v>
      </x:c>
      <x:c r="C468" s="11" t="e">
        <x:f>IFERROR(VLOOKUP(B468,Regiões!A:B,2,0),"")</x:f>
        <x:v>#NAME?</x:v>
      </x:c>
      <x:c r="D468" s="22" t="s">
        <x:v>631</x:v>
      </x:c>
      <x:c r="E468" s="52" t="s">
        <x:v>38</x:v>
      </x:c>
      <x:c r="F468" s="53"/>
      <x:c r="G468" s="51" t="s">
        <x:v>18</x:v>
      </x:c>
      <x:c r="H468" s="58">
        <x:v>41160004</x:v>
      </x:c>
      <x:c r="I468" s="51" t="s">
        <x:v>1326</x:v>
      </x:c>
      <x:c r="J468" s="22" t="s">
        <x:v>129</x:v>
      </x:c>
      <x:c r="K468" s="51" t="s">
        <x:v>1327</x:v>
      </x:c>
      <x:c r="L468" s="55">
        <x:v>300000</x:v>
      </x:c>
      <x:c r="M468" s="55"/>
      <x:c r="N468" s="51" t="s">
        <x:v>96</x:v>
      </x:c>
      <x:c r="O468" s="51" t="s">
        <x:v>26</x:v>
      </x:c>
      <x:c r="P468" s="52" t="s">
        <x:v>1328</x:v>
      </x:c>
      <x:c r="Q468" s="57" t="s">
        <x:v>1329</x:v>
      </x:c>
    </x:row>
    <x:row r="469" ht="242.25">
      <x:c r="A469" s="51">
        <x:v>2020</x:v>
      </x:c>
      <x:c r="B469" s="51" t="s">
        <x:v>51</x:v>
      </x:c>
      <x:c r="C469" s="11" t="e">
        <x:f>IFERROR(VLOOKUP(B469,Regiões!A:B,2,0),"")</x:f>
        <x:v>#NAME?</x:v>
      </x:c>
      <x:c r="D469" s="22" t="s">
        <x:v>1330</x:v>
      </x:c>
      <x:c r="E469" s="52" t="s">
        <x:v>93</x:v>
      </x:c>
      <x:c r="F469" s="53"/>
      <x:c r="G469" s="51" t="s">
        <x:v>1331</x:v>
      </x:c>
      <x:c r="H469" s="58">
        <x:v>41160005</x:v>
      </x:c>
      <x:c r="I469" s="51" t="s">
        <x:v>95</x:v>
      </x:c>
      <x:c r="J469" s="51" t="s">
        <x:v>40</x:v>
      </x:c>
      <x:c r="K469" s="51" t="s">
        <x:v>20</x:v>
      </x:c>
      <x:c r="L469" s="55">
        <x:v>300000</x:v>
      </x:c>
      <x:c r="M469" s="55"/>
      <x:c r="N469" s="51" t="s">
        <x:v>96</x:v>
      </x:c>
      <x:c r="O469" s="51" t="s">
        <x:v>26</x:v>
      </x:c>
      <x:c r="P469" s="52" t="s">
        <x:v>97</x:v>
      </x:c>
      <x:c r="Q469" s="57" t="s">
        <x:v>1332</x:v>
      </x:c>
    </x:row>
    <x:row r="470" ht="51">
      <x:c r="A470" s="51">
        <x:v>2020</x:v>
      </x:c>
      <x:c r="B470" s="51" t="s">
        <x:v>51</x:v>
      </x:c>
      <x:c r="C470" s="11" t="e">
        <x:f>IFERROR(VLOOKUP(B470,Regiões!A:B,2,0),"")</x:f>
        <x:v>#NAME?</x:v>
      </x:c>
      <x:c r="D470" s="22" t="s">
        <x:v>1333</x:v>
      </x:c>
      <x:c r="E470" s="52" t="s">
        <x:v>93</x:v>
      </x:c>
      <x:c r="F470" s="53"/>
      <x:c r="G470" s="51" t="s">
        <x:v>1334</x:v>
      </x:c>
      <x:c r="H470" s="58">
        <x:v>41160005</x:v>
      </x:c>
      <x:c r="I470" s="51" t="s">
        <x:v>95</x:v>
      </x:c>
      <x:c r="J470" s="51" t="s">
        <x:v>40</x:v>
      </x:c>
      <x:c r="K470" s="51" t="s">
        <x:v>20</x:v>
      </x:c>
      <x:c r="L470" s="55">
        <x:v>300000</x:v>
      </x:c>
      <x:c r="M470" s="55"/>
      <x:c r="N470" s="51" t="s">
        <x:v>96</x:v>
      </x:c>
      <x:c r="O470" s="51" t="s">
        <x:v>26</x:v>
      </x:c>
      <x:c r="P470" s="52" t="s">
        <x:v>97</x:v>
      </x:c>
      <x:c r="Q470" s="62"/>
    </x:row>
    <x:row r="471" ht="38.25">
      <x:c r="A471" s="36">
        <x:v>2022</x:v>
      </x:c>
      <x:c r="B471" s="42" t="s">
        <x:v>1335</x:v>
      </x:c>
      <x:c r="C471" s="11" t="e">
        <x:f>IFERROR(VLOOKUP(B471,Regiões!A:B,2,0),"")</x:f>
        <x:v>#NAME?</x:v>
      </x:c>
      <x:c r="D471" s="22" t="s">
        <x:v>1336</x:v>
      </x:c>
      <x:c r="E471" s="37" t="s">
        <x:v>93</x:v>
      </x:c>
      <x:c r="F471" s="110"/>
      <x:c r="G471" s="42" t="s">
        <x:v>1337</x:v>
      </x:c>
      <x:c r="H471" s="25">
        <x:v>7120004</x:v>
      </x:c>
      <x:c r="I471" s="22" t="s">
        <x:v>95</x:v>
      </x:c>
      <x:c r="J471" s="22" t="s">
        <x:v>40</x:v>
      </x:c>
      <x:c r="K471" s="22" t="s">
        <x:v>20</x:v>
      </x:c>
      <x:c r="L471" s="40">
        <x:v>300000</x:v>
      </x:c>
      <x:c r="M471" s="40"/>
      <x:c r="N471" s="22" t="s">
        <x:v>432</x:v>
      </x:c>
      <x:c r="O471" s="36" t="s">
        <x:v>26</x:v>
      </x:c>
      <x:c r="P471" s="35" t="s">
        <x:v>433</x:v>
      </x:c>
      <x:c r="Q471" s="42"/>
    </x:row>
    <x:row r="472" ht="25.5">
      <x:c r="A472" s="22">
        <x:v>2022</x:v>
      </x:c>
      <x:c r="B472" s="22" t="s">
        <x:v>51</x:v>
      </x:c>
      <x:c r="C472" s="11" t="e">
        <x:f>IFERROR(VLOOKUP(B472,Regiões!A:B,2,0),"")</x:f>
        <x:v>#NAME?</x:v>
      </x:c>
      <x:c r="D472" s="22" t="s">
        <x:v>1338</x:v>
      </x:c>
      <x:c r="E472" s="23"/>
      <x:c r="F472" s="83"/>
      <x:c r="G472" s="84" t="s">
        <x:v>1339</x:v>
      </x:c>
      <x:c r="H472" s="25">
        <x:v>41160009</x:v>
      </x:c>
      <x:c r="I472" s="22" t="s">
        <x:v>25</x:v>
      </x:c>
      <x:c r="J472" s="22" t="s">
        <x:v>25</x:v>
      </x:c>
      <x:c r="K472" s="22" t="s">
        <x:v>32</x:v>
      </x:c>
      <x:c r="L472" s="27">
        <x:v>300000</x:v>
      </x:c>
      <x:c r="M472" s="27"/>
      <x:c r="N472" s="22" t="s">
        <x:v>41</x:v>
      </x:c>
      <x:c r="O472" s="22" t="s">
        <x:v>26</x:v>
      </x:c>
      <x:c r="P472" s="28"/>
      <x:c r="Q472" s="29"/>
    </x:row>
    <x:row r="473" ht="51">
      <x:c r="A473" s="22">
        <x:v>2022</x:v>
      </x:c>
      <x:c r="B473" s="22" t="s">
        <x:v>22</x:v>
      </x:c>
      <x:c r="C473" s="11" t="e">
        <x:f>IFERROR(VLOOKUP(B473,Regiões!A:B,2,0),"")</x:f>
        <x:v>#NAME?</x:v>
      </x:c>
      <x:c r="D473" s="22" t="s">
        <x:v>1340</x:v>
      </x:c>
      <x:c r="E473" s="23" t="s">
        <x:v>93</x:v>
      </x:c>
      <x:c r="F473" s="83"/>
      <x:c r="G473" s="84" t="s">
        <x:v>1341</x:v>
      </x:c>
      <x:c r="H473" s="25">
        <x:v>41160003</x:v>
      </x:c>
      <x:c r="I473" s="22" t="s">
        <x:v>415</x:v>
      </x:c>
      <x:c r="J473" s="22" t="s">
        <x:v>40</x:v>
      </x:c>
      <x:c r="K473" s="22" t="s">
        <x:v>32</x:v>
      </x:c>
      <x:c r="L473" s="27">
        <x:v>300000</x:v>
      </x:c>
      <x:c r="M473" s="27"/>
      <x:c r="N473" s="22" t="s">
        <x:v>41</x:v>
      </x:c>
      <x:c r="O473" s="22" t="s">
        <x:v>1205</x:v>
      </x:c>
      <x:c r="P473" s="28"/>
      <x:c r="Q473" s="29"/>
    </x:row>
    <x:row r="474" ht="51">
      <x:c r="A474" s="22">
        <x:v>2022</x:v>
      </x:c>
      <x:c r="B474" s="22" t="s">
        <x:v>452</x:v>
      </x:c>
      <x:c r="C474" s="11" t="e">
        <x:f>IFERROR(VLOOKUP(B474,Regiões!A:B,2,0),"")</x:f>
        <x:v>#NAME?</x:v>
      </x:c>
      <x:c r="D474" s="22" t="s">
        <x:v>1342</x:v>
      </x:c>
      <x:c r="E474" s="23" t="s">
        <x:v>93</x:v>
      </x:c>
      <x:c r="F474" s="83"/>
      <x:c r="G474" s="84" t="s">
        <x:v>1343</x:v>
      </x:c>
      <x:c r="H474" s="25">
        <x:v>41160003</x:v>
      </x:c>
      <x:c r="I474" s="22" t="s">
        <x:v>415</x:v>
      </x:c>
      <x:c r="J474" s="22" t="s">
        <x:v>40</x:v>
      </x:c>
      <x:c r="K474" s="22" t="s">
        <x:v>32</x:v>
      </x:c>
      <x:c r="L474" s="27">
        <x:v>300000</x:v>
      </x:c>
      <x:c r="M474" s="27"/>
      <x:c r="N474" s="22" t="s">
        <x:v>41</x:v>
      </x:c>
      <x:c r="O474" s="22" t="s">
        <x:v>26</x:v>
      </x:c>
      <x:c r="P474" s="28"/>
      <x:c r="Q474" s="29"/>
    </x:row>
    <x:row r="475" ht="25.5">
      <x:c r="A475" s="22">
        <x:v>2022</x:v>
      </x:c>
      <x:c r="B475" s="22" t="s">
        <x:v>83</x:v>
      </x:c>
      <x:c r="C475" s="11" t="e">
        <x:f>IFERROR(VLOOKUP(B475,Regiões!A:B,2,0),"")</x:f>
        <x:v>#NAME?</x:v>
      </x:c>
      <x:c r="D475" s="22" t="s">
        <x:v>1344</x:v>
      </x:c>
      <x:c r="E475" s="41" t="s">
        <x:v>1345</x:v>
      </x:c>
      <x:c r="F475" s="83"/>
      <x:c r="G475" s="84" t="s">
        <x:v>1346</x:v>
      </x:c>
      <x:c r="H475" s="25">
        <x:v>41160008</x:v>
      </x:c>
      <x:c r="I475" s="22" t="s">
        <x:v>25</x:v>
      </x:c>
      <x:c r="J475" s="22" t="s">
        <x:v>25</x:v>
      </x:c>
      <x:c r="K475" s="22" t="s">
        <x:v>32</x:v>
      </x:c>
      <x:c r="L475" s="27">
        <x:v>300000</x:v>
      </x:c>
      <x:c r="M475" s="27"/>
      <x:c r="N475" s="22" t="s">
        <x:v>41</x:v>
      </x:c>
      <x:c r="O475" s="22" t="s">
        <x:v>26</x:v>
      </x:c>
      <x:c r="P475" s="28" t="s">
        <x:v>1347</x:v>
      </x:c>
      <x:c r="Q475" s="29"/>
    </x:row>
    <x:row r="476" ht="38.25">
      <x:c r="A476" s="22">
        <x:v>2022</x:v>
      </x:c>
      <x:c r="B476" s="22" t="s">
        <x:v>274</x:v>
      </x:c>
      <x:c r="C476" s="11" t="e">
        <x:f>IFERROR(VLOOKUP(B476,Regiões!A:B,2,0),"")</x:f>
        <x:v>#NAME?</x:v>
      </x:c>
      <x:c r="D476" s="22" t="s">
        <x:v>1348</x:v>
      </x:c>
      <x:c r="E476" s="23" t="s">
        <x:v>93</x:v>
      </x:c>
      <x:c r="F476" s="83"/>
      <x:c r="G476" s="84" t="s">
        <x:v>1349</x:v>
      </x:c>
      <x:c r="H476" s="25">
        <x:v>41160003</x:v>
      </x:c>
      <x:c r="I476" s="22" t="s">
        <x:v>415</x:v>
      </x:c>
      <x:c r="J476" s="22" t="s">
        <x:v>40</x:v>
      </x:c>
      <x:c r="K476" s="22" t="s">
        <x:v>32</x:v>
      </x:c>
      <x:c r="L476" s="27">
        <x:v>300000</x:v>
      </x:c>
      <x:c r="M476" s="27"/>
      <x:c r="N476" s="22" t="s">
        <x:v>41</x:v>
      </x:c>
      <x:c r="O476" s="22" t="s">
        <x:v>26</x:v>
      </x:c>
      <x:c r="P476" s="28"/>
      <x:c r="Q476" s="29"/>
    </x:row>
    <x:row r="477" ht="38.25">
      <x:c r="A477" s="11">
        <x:v>2023</x:v>
      </x:c>
      <x:c r="B477" s="66" t="s">
        <x:v>180</x:v>
      </x:c>
      <x:c r="C477" s="11" t="e">
        <x:f>IFERROR(VLOOKUP(B477,Regiões!A:B,2,0),"")</x:f>
        <x:v>#NAME?</x:v>
      </x:c>
      <x:c r="D477" s="11" t="s">
        <x:v>181</x:v>
      </x:c>
      <x:c r="E477" s="67" t="s">
        <x:v>42</x:v>
      </x:c>
      <x:c r="F477" s="68"/>
      <x:c r="G477" s="66" t="s">
        <x:v>1350</x:v>
      </x:c>
      <x:c r="H477" s="69"/>
      <x:c r="I477" s="11" t="s">
        <x:v>1202</x:v>
      </x:c>
      <x:c r="J477" s="11" t="str">
        <x:f t="shared" ref="J477:J483" si="13">LEFT(I477,FIND(" (",I477) - 1)</x:f>
        <x:v>Infraestrutura</x:v>
      </x:c>
      <x:c r="K477" s="11" t="s">
        <x:v>32</x:v>
      </x:c>
      <x:c r="L477" s="70">
        <x:v>300000</x:v>
      </x:c>
      <x:c r="M477" s="70"/>
      <x:c r="N477" s="11" t="s">
        <x:v>21</x:v>
      </x:c>
      <x:c r="O477" s="11" t="s">
        <x:v>49</x:v>
      </x:c>
      <x:c r="P477" s="67" t="s">
        <x:v>1351</x:v>
      </x:c>
      <x:c r="Q477" s="66"/>
    </x:row>
    <x:row r="478" ht="51">
      <x:c r="A478" s="11">
        <x:v>2023</x:v>
      </x:c>
      <x:c r="B478" s="43" t="s">
        <x:v>171</x:v>
      </x:c>
      <x:c r="C478" s="11" t="e">
        <x:f>IFERROR(VLOOKUP(B478,Regiões!A:B,2,0),"")</x:f>
        <x:v>#NAME?</x:v>
      </x:c>
      <x:c r="D478" s="11" t="s">
        <x:v>1352</x:v>
      </x:c>
      <x:c r="E478" s="44" t="s">
        <x:v>93</x:v>
      </x:c>
      <x:c r="F478" s="99"/>
      <x:c r="G478" s="43" t="s">
        <x:v>1353</x:v>
      </x:c>
      <x:c r="H478" s="47"/>
      <x:c r="I478" s="11" t="s">
        <x:v>444</x:v>
      </x:c>
      <x:c r="J478" s="11" t="str">
        <x:f t="shared" si="13"/>
        <x:v>Saúde</x:v>
      </x:c>
      <x:c r="K478" s="11" t="s">
        <x:v>32</x:v>
      </x:c>
      <x:c r="L478" s="108">
        <x:v>300000</x:v>
      </x:c>
      <x:c r="M478" s="108"/>
      <x:c r="N478" s="11" t="s">
        <x:v>21</x:v>
      </x:c>
      <x:c r="O478" s="11" t="s">
        <x:v>49</x:v>
      </x:c>
      <x:c r="P478" s="49" t="s">
        <x:v>1354</x:v>
      </x:c>
      <x:c r="Q478" s="50"/>
    </x:row>
    <x:row r="479" ht="25.5">
      <x:c r="A479" s="11">
        <x:v>2023</x:v>
      </x:c>
      <x:c r="B479" s="66" t="s">
        <x:v>1355</x:v>
      </x:c>
      <x:c r="C479" s="11" t="e">
        <x:f>IFERROR(VLOOKUP(B479,Regiões!A:B,2,0),"")</x:f>
        <x:v>#NAME?</x:v>
      </x:c>
      <x:c r="D479" s="11" t="s">
        <x:v>1200</x:v>
      </x:c>
      <x:c r="E479" s="67" t="s">
        <x:v>42</x:v>
      </x:c>
      <x:c r="F479" s="68"/>
      <x:c r="G479" s="66" t="s">
        <x:v>1176</x:v>
      </x:c>
      <x:c r="H479" s="69"/>
      <x:c r="I479" s="11" t="s">
        <x:v>444</x:v>
      </x:c>
      <x:c r="J479" s="11" t="str">
        <x:f t="shared" si="13"/>
        <x:v>Saúde</x:v>
      </x:c>
      <x:c r="K479" s="11" t="s">
        <x:v>32</x:v>
      </x:c>
      <x:c r="L479" s="166">
        <x:v>300000</x:v>
      </x:c>
      <x:c r="M479" s="166"/>
      <x:c r="N479" s="11" t="s">
        <x:v>21</x:v>
      </x:c>
      <x:c r="O479" s="11" t="s">
        <x:v>26</x:v>
      </x:c>
      <x:c r="P479" s="67" t="s">
        <x:v>1356</x:v>
      </x:c>
      <x:c r="Q479" s="66"/>
    </x:row>
    <x:row r="480" ht="25.5">
      <x:c r="A480" s="11">
        <x:v>2023</x:v>
      </x:c>
      <x:c r="B480" s="66" t="s">
        <x:v>150</x:v>
      </x:c>
      <x:c r="C480" s="11" t="e">
        <x:f>IFERROR(VLOOKUP(B480,Regiões!A:B,2,0),"")</x:f>
        <x:v>#NAME?</x:v>
      </x:c>
      <x:c r="D480" s="11" t="s">
        <x:v>151</x:v>
      </x:c>
      <x:c r="E480" s="67" t="s">
        <x:v>42</x:v>
      </x:c>
      <x:c r="F480" s="68"/>
      <x:c r="G480" s="66" t="s">
        <x:v>1357</x:v>
      </x:c>
      <x:c r="H480" s="69"/>
      <x:c r="I480" s="11" t="s">
        <x:v>444</x:v>
      </x:c>
      <x:c r="J480" s="11" t="str">
        <x:f t="shared" si="13"/>
        <x:v>Saúde</x:v>
      </x:c>
      <x:c r="K480" s="11" t="s">
        <x:v>32</x:v>
      </x:c>
      <x:c r="L480" s="70">
        <x:v>300000</x:v>
      </x:c>
      <x:c r="M480" s="70"/>
      <x:c r="N480" s="11" t="s">
        <x:v>21</x:v>
      </x:c>
      <x:c r="O480" s="11" t="s">
        <x:v>49</x:v>
      </x:c>
      <x:c r="P480" s="67" t="s">
        <x:v>1358</x:v>
      </x:c>
      <x:c r="Q480" s="66"/>
    </x:row>
    <x:row r="481" ht="51">
      <x:c r="A481" s="11">
        <x:v>2023</x:v>
      </x:c>
      <x:c r="B481" s="43" t="s">
        <x:v>938</x:v>
      </x:c>
      <x:c r="C481" s="11" t="e">
        <x:f>IFERROR(VLOOKUP(B481,Regiões!A:B,2,0),"")</x:f>
        <x:v>#NAME?</x:v>
      </x:c>
      <x:c r="D481" s="11" t="s">
        <x:v>1359</x:v>
      </x:c>
      <x:c r="E481" s="44" t="s">
        <x:v>93</x:v>
      </x:c>
      <x:c r="F481" s="99"/>
      <x:c r="G481" s="43" t="s">
        <x:v>1360</x:v>
      </x:c>
      <x:c r="H481" s="47"/>
      <x:c r="I481" s="11" t="s">
        <x:v>444</x:v>
      </x:c>
      <x:c r="J481" s="11" t="str">
        <x:f t="shared" si="13"/>
        <x:v>Saúde</x:v>
      </x:c>
      <x:c r="K481" s="11" t="s">
        <x:v>32</x:v>
      </x:c>
      <x:c r="L481" s="108">
        <x:v>300000</x:v>
      </x:c>
      <x:c r="M481" s="108"/>
      <x:c r="N481" s="11" t="s">
        <x:v>21</x:v>
      </x:c>
      <x:c r="O481" s="11" t="s">
        <x:v>49</x:v>
      </x:c>
      <x:c r="P481" s="49" t="s">
        <x:v>1361</x:v>
      </x:c>
      <x:c r="Q481" s="50"/>
    </x:row>
    <x:row r="482" ht="63.75">
      <x:c r="A482" s="11">
        <x:v>2023</x:v>
      </x:c>
      <x:c r="B482" s="43" t="s">
        <x:v>389</x:v>
      </x:c>
      <x:c r="C482" s="11" t="e">
        <x:f>IFERROR(VLOOKUP(B482,Regiões!A:B,2,0),"")</x:f>
        <x:v>#NAME?</x:v>
      </x:c>
      <x:c r="D482" s="11" t="s">
        <x:v>1362</x:v>
      </x:c>
      <x:c r="E482" s="44" t="s">
        <x:v>93</x:v>
      </x:c>
      <x:c r="F482" s="99"/>
      <x:c r="G482" s="43" t="s">
        <x:v>391</x:v>
      </x:c>
      <x:c r="H482" s="47"/>
      <x:c r="I482" s="11" t="s">
        <x:v>444</x:v>
      </x:c>
      <x:c r="J482" s="11" t="str">
        <x:f t="shared" si="13"/>
        <x:v>Saúde</x:v>
      </x:c>
      <x:c r="K482" s="11" t="s">
        <x:v>32</x:v>
      </x:c>
      <x:c r="L482" s="108">
        <x:v>300000</x:v>
      </x:c>
      <x:c r="M482" s="108"/>
      <x:c r="N482" s="11" t="s">
        <x:v>21</x:v>
      </x:c>
      <x:c r="O482" s="11" t="s">
        <x:v>49</x:v>
      </x:c>
      <x:c r="P482" s="49" t="s">
        <x:v>1363</x:v>
      </x:c>
      <x:c r="Q482" s="50"/>
    </x:row>
    <x:row r="483" ht="38.25">
      <x:c r="A483" s="11">
        <x:v>2023</x:v>
      </x:c>
      <x:c r="B483" s="66" t="s">
        <x:v>1364</x:v>
      </x:c>
      <x:c r="C483" s="11" t="e">
        <x:f>IFERROR(VLOOKUP(B483,Regiões!A:B,2,0),"")</x:f>
        <x:v>#NAME?</x:v>
      </x:c>
      <x:c r="D483" s="11" t="s">
        <x:v>1365</x:v>
      </x:c>
      <x:c r="E483" s="67" t="s">
        <x:v>42</x:v>
      </x:c>
      <x:c r="F483" s="68"/>
      <x:c r="G483" s="66" t="s">
        <x:v>1366</x:v>
      </x:c>
      <x:c r="H483" s="69"/>
      <x:c r="I483" s="11" t="s">
        <x:v>239</x:v>
      </x:c>
      <x:c r="J483" s="11" t="str">
        <x:f t="shared" si="13"/>
        <x:v>Segurança Pública</x:v>
      </x:c>
      <x:c r="K483" s="11" t="s">
        <x:v>32</x:v>
      </x:c>
      <x:c r="L483" s="70">
        <x:v>300000</x:v>
      </x:c>
      <x:c r="M483" s="70"/>
      <x:c r="N483" s="11" t="s">
        <x:v>21</x:v>
      </x:c>
      <x:c r="O483" s="11" t="s">
        <x:v>26</x:v>
      </x:c>
      <x:c r="P483" s="67" t="s">
        <x:v>658</x:v>
      </x:c>
      <x:c r="Q483" s="66"/>
    </x:row>
    <x:row r="484" ht="12.75">
      <x:c r="A484" s="92">
        <x:v>2023</x:v>
      </x:c>
      <x:c r="B484" s="113"/>
      <x:c r="C484" s="92" t="e">
        <x:f>IFERROR(VLOOKUP(B484,Regiões!A:B,2,0),"")</x:f>
        <x:v>#NAME?</x:v>
      </x:c>
      <x:c r="D484" s="92"/>
      <x:c r="E484" s="169"/>
      <x:c r="F484" s="112"/>
      <x:c r="G484" s="113" t="s">
        <x:v>1367</x:v>
      </x:c>
      <x:c r="H484" s="170">
        <x:v>41160003</x:v>
      </x:c>
      <x:c r="I484" s="92" t="s">
        <x:v>25</x:v>
      </x:c>
      <x:c r="J484" s="92" t="s">
        <x:v>25</x:v>
      </x:c>
      <x:c r="K484" s="92"/>
      <x:c r="L484" s="171">
        <x:v>300000</x:v>
      </x:c>
      <x:c r="M484" s="171"/>
      <x:c r="N484" s="92"/>
      <x:c r="O484" s="92"/>
      <x:c r="P484" s="97" t="s">
        <x:v>1368</x:v>
      </x:c>
      <x:c r="Q484" s="172"/>
    </x:row>
    <x:row r="485" ht="12.75">
      <x:c r="A485" s="92">
        <x:v>2023</x:v>
      </x:c>
      <x:c r="B485" s="113"/>
      <x:c r="C485" s="92" t="e">
        <x:f>IFERROR(VLOOKUP(B485,Regiões!A:B,2,0),"")</x:f>
        <x:v>#NAME?</x:v>
      </x:c>
      <x:c r="D485" s="92"/>
      <x:c r="E485" s="169"/>
      <x:c r="F485" s="112"/>
      <x:c r="G485" s="113" t="s">
        <x:v>1346</x:v>
      </x:c>
      <x:c r="H485" s="170">
        <x:v>41160010</x:v>
      </x:c>
      <x:c r="I485" s="92" t="s">
        <x:v>25</x:v>
      </x:c>
      <x:c r="J485" s="92" t="s">
        <x:v>25</x:v>
      </x:c>
      <x:c r="K485" s="92"/>
      <x:c r="L485" s="171">
        <x:v>300000</x:v>
      </x:c>
      <x:c r="M485" s="171"/>
      <x:c r="N485" s="92"/>
      <x:c r="O485" s="92"/>
      <x:c r="P485" s="97"/>
      <x:c r="Q485" s="172"/>
    </x:row>
    <x:row r="486" ht="38.25">
      <x:c r="A486" s="92">
        <x:v>2023</x:v>
      </x:c>
      <x:c r="B486" s="113" t="s">
        <x:v>894</x:v>
      </x:c>
      <x:c r="C486" s="113"/>
      <x:c r="D486" s="92"/>
      <x:c r="E486" s="173" t="s">
        <x:v>1369</x:v>
      </x:c>
      <x:c r="F486" s="112"/>
      <x:c r="G486" s="113" t="s">
        <x:v>1370</x:v>
      </x:c>
      <x:c r="H486" s="174"/>
      <x:c r="I486" s="92" t="s">
        <x:v>1110</x:v>
      </x:c>
      <x:c r="J486" s="92" t="s">
        <x:v>1110</x:v>
      </x:c>
      <x:c r="K486" s="92" t="s">
        <x:v>32</x:v>
      </x:c>
      <x:c r="L486" s="171">
        <x:v>300000</x:v>
      </x:c>
      <x:c r="M486" s="171"/>
      <x:c r="N486" s="92" t="s">
        <x:v>1371</x:v>
      </x:c>
      <x:c r="O486" s="92" t="s">
        <x:v>49</x:v>
      </x:c>
      <x:c r="P486" s="97"/>
      <x:c r="Q486" s="172" t="s">
        <x:v>1372</x:v>
      </x:c>
    </x:row>
    <x:row r="487" ht="63.75">
      <x:c r="A487" s="9">
        <x:v>2024</x:v>
      </x:c>
      <x:c r="B487" s="14" t="s">
        <x:v>252</x:v>
      </x:c>
      <x:c r="C487" s="11" t="e">
        <x:f>IFERROR(VLOOKUP(B487,Regiões!A:B,2,0),"")</x:f>
        <x:v>#NAME?</x:v>
      </x:c>
      <x:c r="D487" s="11" t="s">
        <x:v>1373</x:v>
      </x:c>
      <x:c r="E487" s="12" t="str">
        <x:f t="shared" ref="E487:E497" si="14">G487&amp;" de "&amp;B487</x:f>
        <x:v>Prefeitura Municipal de Bom Princípio</x:v>
      </x:c>
      <x:c r="F487" s="13"/>
      <x:c r="G487" s="14" t="s">
        <x:v>18</x:v>
      </x:c>
      <x:c r="H487" s="15">
        <x:v>41160001</x:v>
      </x:c>
      <x:c r="I487" s="9" t="s">
        <x:v>58</x:v>
      </x:c>
      <x:c r="J487" s="9" t="s">
        <x:v>40</x:v>
      </x:c>
      <x:c r="K487" s="16" t="s">
        <x:v>20</x:v>
      </x:c>
      <x:c r="L487" s="17">
        <x:v>300000</x:v>
      </x:c>
      <x:c r="M487" s="17"/>
      <x:c r="N487" s="11" t="s">
        <x:v>21</x:v>
      </x:c>
      <x:c r="O487" s="16"/>
      <x:c r="P487" s="18"/>
      <x:c r="Q487" s="19"/>
    </x:row>
    <x:row r="488" ht="38.25">
      <x:c r="A488" s="9">
        <x:v>2024</x:v>
      </x:c>
      <x:c r="B488" s="14" t="s">
        <x:v>352</x:v>
      </x:c>
      <x:c r="C488" s="11" t="e">
        <x:f>IFERROR(VLOOKUP(B488,Regiões!A:B,2,0),"")</x:f>
        <x:v>#NAME?</x:v>
      </x:c>
      <x:c r="D488" s="11" t="s">
        <x:v>1374</x:v>
      </x:c>
      <x:c r="E488" s="12" t="str">
        <x:f t="shared" si="14"/>
        <x:v>Prefeitura Municipal de Dois Irmãos</x:v>
      </x:c>
      <x:c r="F488" s="13"/>
      <x:c r="G488" s="14" t="s">
        <x:v>18</x:v>
      </x:c>
      <x:c r="H488" s="15">
        <x:v>41160001</x:v>
      </x:c>
      <x:c r="I488" s="9" t="s">
        <x:v>58</x:v>
      </x:c>
      <x:c r="J488" s="9" t="s">
        <x:v>40</x:v>
      </x:c>
      <x:c r="K488" s="16" t="s">
        <x:v>20</x:v>
      </x:c>
      <x:c r="L488" s="17">
        <x:v>300000</x:v>
      </x:c>
      <x:c r="M488" s="17"/>
      <x:c r="N488" s="11" t="s">
        <x:v>21</x:v>
      </x:c>
      <x:c r="O488" s="16"/>
      <x:c r="P488" s="18"/>
      <x:c r="Q488" s="19"/>
    </x:row>
    <x:row r="489" ht="51">
      <x:c r="A489" s="9">
        <x:v>2024</x:v>
      </x:c>
      <x:c r="B489" s="10" t="s">
        <x:v>214</x:v>
      </x:c>
      <x:c r="C489" s="11" t="e">
        <x:f>IFERROR(VLOOKUP(B489,Regiões!A:B,2,0),"")</x:f>
        <x:v>#NAME?</x:v>
      </x:c>
      <x:c r="D489" s="11" t="s">
        <x:v>1375</x:v>
      </x:c>
      <x:c r="E489" s="12" t="str">
        <x:f t="shared" si="14"/>
        <x:v>Prefeitura Municipal de Feliz</x:v>
      </x:c>
      <x:c r="F489" s="13"/>
      <x:c r="G489" s="14" t="s">
        <x:v>18</x:v>
      </x:c>
      <x:c r="H489" s="15">
        <x:v>41160001</x:v>
      </x:c>
      <x:c r="I489" s="9" t="s">
        <x:v>58</x:v>
      </x:c>
      <x:c r="J489" s="9" t="s">
        <x:v>40</x:v>
      </x:c>
      <x:c r="K489" s="16" t="s">
        <x:v>20</x:v>
      </x:c>
      <x:c r="L489" s="17">
        <x:v>300000</x:v>
      </x:c>
      <x:c r="M489" s="17"/>
      <x:c r="N489" s="11" t="s">
        <x:v>21</x:v>
      </x:c>
      <x:c r="O489" s="16"/>
      <x:c r="P489" s="18"/>
      <x:c r="Q489" s="19"/>
    </x:row>
    <x:row r="490" ht="63.75">
      <x:c r="A490" s="9">
        <x:v>2024</x:v>
      </x:c>
      <x:c r="B490" s="10" t="s">
        <x:v>452</x:v>
      </x:c>
      <x:c r="C490" s="11" t="e">
        <x:f>IFERROR(VLOOKUP(B490,Regiões!A:B,2,0),"")</x:f>
        <x:v>#NAME?</x:v>
      </x:c>
      <x:c r="D490" s="11" t="s">
        <x:v>1376</x:v>
      </x:c>
      <x:c r="E490" s="12" t="str">
        <x:f t="shared" si="14"/>
        <x:v>Prefeitura Municipal de Santa Cruz do Sul</x:v>
      </x:c>
      <x:c r="F490" s="13"/>
      <x:c r="G490" s="14" t="s">
        <x:v>18</x:v>
      </x:c>
      <x:c r="H490" s="15">
        <x:v>41160001</x:v>
      </x:c>
      <x:c r="I490" s="9" t="s">
        <x:v>58</x:v>
      </x:c>
      <x:c r="J490" s="9" t="s">
        <x:v>40</x:v>
      </x:c>
      <x:c r="K490" s="16" t="s">
        <x:v>20</x:v>
      </x:c>
      <x:c r="L490" s="17">
        <x:v>300000</x:v>
      </x:c>
      <x:c r="M490" s="17"/>
      <x:c r="N490" s="11" t="s">
        <x:v>21</x:v>
      </x:c>
      <x:c r="O490" s="16"/>
      <x:c r="P490" s="18"/>
      <x:c r="Q490" s="19"/>
    </x:row>
    <x:row r="491" ht="51">
      <x:c r="A491" s="9">
        <x:v>2024</x:v>
      </x:c>
      <x:c r="B491" s="10" t="s">
        <x:v>778</x:v>
      </x:c>
      <x:c r="C491" s="11" t="e">
        <x:f>IFERROR(VLOOKUP(B491,Regiões!A:B,2,0),"")</x:f>
        <x:v>#NAME?</x:v>
      </x:c>
      <x:c r="D491" s="11" t="s">
        <x:v>1377</x:v>
      </x:c>
      <x:c r="E491" s="12" t="str">
        <x:f t="shared" si="14"/>
        <x:v>Prefeitura Municipal de Farroupilha</x:v>
      </x:c>
      <x:c r="F491" s="13"/>
      <x:c r="G491" s="14" t="s">
        <x:v>18</x:v>
      </x:c>
      <x:c r="H491" s="15">
        <x:v>41160001</x:v>
      </x:c>
      <x:c r="I491" s="9" t="s">
        <x:v>58</x:v>
      </x:c>
      <x:c r="J491" s="9" t="s">
        <x:v>40</x:v>
      </x:c>
      <x:c r="K491" s="16" t="s">
        <x:v>20</x:v>
      </x:c>
      <x:c r="L491" s="17">
        <x:v>300000</x:v>
      </x:c>
      <x:c r="M491" s="17"/>
      <x:c r="N491" s="11" t="s">
        <x:v>21</x:v>
      </x:c>
      <x:c r="O491" s="16"/>
      <x:c r="P491" s="18"/>
      <x:c r="Q491" s="19"/>
    </x:row>
    <x:row r="492" ht="51">
      <x:c r="A492" s="9">
        <x:v>2024</x:v>
      </x:c>
      <x:c r="B492" s="10" t="s">
        <x:v>1378</x:v>
      </x:c>
      <x:c r="C492" s="11" t="e">
        <x:f>IFERROR(VLOOKUP(B492,Regiões!A:B,2,0),"")</x:f>
        <x:v>#NAME?</x:v>
      </x:c>
      <x:c r="D492" s="11" t="s">
        <x:v>1379</x:v>
      </x:c>
      <x:c r="E492" s="12" t="str">
        <x:f t="shared" si="14"/>
        <x:v>Prefeitura Municipal de Jaguari</x:v>
      </x:c>
      <x:c r="F492" s="13"/>
      <x:c r="G492" s="14" t="s">
        <x:v>18</x:v>
      </x:c>
      <x:c r="H492" s="15">
        <x:v>41160001</x:v>
      </x:c>
      <x:c r="I492" s="9" t="s">
        <x:v>58</x:v>
      </x:c>
      <x:c r="J492" s="9" t="s">
        <x:v>40</x:v>
      </x:c>
      <x:c r="K492" s="16" t="s">
        <x:v>20</x:v>
      </x:c>
      <x:c r="L492" s="17">
        <x:v>300000</x:v>
      </x:c>
      <x:c r="M492" s="17"/>
      <x:c r="N492" s="11" t="s">
        <x:v>21</x:v>
      </x:c>
      <x:c r="O492" s="16"/>
      <x:c r="P492" s="18"/>
      <x:c r="Q492" s="19"/>
    </x:row>
    <x:row r="493" ht="51">
      <x:c r="A493" s="9">
        <x:v>2024</x:v>
      </x:c>
      <x:c r="B493" s="14" t="s">
        <x:v>195</x:v>
      </x:c>
      <x:c r="C493" s="11" t="e">
        <x:f>IFERROR(VLOOKUP(B493,Regiões!A:B,2,0),"")</x:f>
        <x:v>#NAME?</x:v>
      </x:c>
      <x:c r="D493" s="11" t="s">
        <x:v>1380</x:v>
      </x:c>
      <x:c r="E493" s="12" t="str">
        <x:f t="shared" si="14"/>
        <x:v>Prefeitura Municipal de Picada Café</x:v>
      </x:c>
      <x:c r="F493" s="13"/>
      <x:c r="G493" s="14" t="s">
        <x:v>18</x:v>
      </x:c>
      <x:c r="H493" s="15">
        <x:v>41160001</x:v>
      </x:c>
      <x:c r="I493" s="9" t="s">
        <x:v>58</x:v>
      </x:c>
      <x:c r="J493" s="9" t="s">
        <x:v>40</x:v>
      </x:c>
      <x:c r="K493" s="16" t="s">
        <x:v>20</x:v>
      </x:c>
      <x:c r="L493" s="17">
        <x:v>300000</x:v>
      </x:c>
      <x:c r="M493" s="17"/>
      <x:c r="N493" s="11" t="s">
        <x:v>21</x:v>
      </x:c>
      <x:c r="O493" s="16"/>
      <x:c r="P493" s="18"/>
      <x:c r="Q493" s="19"/>
    </x:row>
    <x:row r="494" ht="38.25">
      <x:c r="A494" s="9">
        <x:v>2024</x:v>
      </x:c>
      <x:c r="B494" s="14" t="s">
        <x:v>245</x:v>
      </x:c>
      <x:c r="C494" s="11" t="e">
        <x:f>IFERROR(VLOOKUP(B494,Regiões!A:B,2,0),"")</x:f>
        <x:v>#NAME?</x:v>
      </x:c>
      <x:c r="D494" s="11" t="s">
        <x:v>1381</x:v>
      </x:c>
      <x:c r="E494" s="12" t="str">
        <x:f t="shared" si="14"/>
        <x:v>Prefeitura Municipal de Estância Velha</x:v>
      </x:c>
      <x:c r="F494" s="13"/>
      <x:c r="G494" s="14" t="s">
        <x:v>18</x:v>
      </x:c>
      <x:c r="H494" s="15">
        <x:v>41160001</x:v>
      </x:c>
      <x:c r="I494" s="9" t="s">
        <x:v>58</x:v>
      </x:c>
      <x:c r="J494" s="9" t="s">
        <x:v>40</x:v>
      </x:c>
      <x:c r="K494" s="16" t="s">
        <x:v>20</x:v>
      </x:c>
      <x:c r="L494" s="17">
        <x:v>300000</x:v>
      </x:c>
      <x:c r="M494" s="17"/>
      <x:c r="N494" s="11" t="s">
        <x:v>21</x:v>
      </x:c>
      <x:c r="O494" s="16"/>
      <x:c r="P494" s="18"/>
      <x:c r="Q494" s="19"/>
    </x:row>
    <x:row r="495" ht="51">
      <x:c r="A495" s="9">
        <x:v>2024</x:v>
      </x:c>
      <x:c r="B495" s="10" t="s">
        <x:v>386</x:v>
      </x:c>
      <x:c r="C495" s="11" t="e">
        <x:f>IFERROR(VLOOKUP(B495,Regiões!A:B,2,0),"")</x:f>
        <x:v>#NAME?</x:v>
      </x:c>
      <x:c r="D495" s="11" t="s">
        <x:v>1382</x:v>
      </x:c>
      <x:c r="E495" s="12" t="str">
        <x:f t="shared" si="14"/>
        <x:v>Prefeitura Municipal de Sapiranga</x:v>
      </x:c>
      <x:c r="F495" s="13"/>
      <x:c r="G495" s="14" t="s">
        <x:v>18</x:v>
      </x:c>
      <x:c r="H495" s="15">
        <x:v>41160001</x:v>
      </x:c>
      <x:c r="I495" s="9" t="s">
        <x:v>58</x:v>
      </x:c>
      <x:c r="J495" s="9" t="s">
        <x:v>40</x:v>
      </x:c>
      <x:c r="K495" s="16" t="s">
        <x:v>20</x:v>
      </x:c>
      <x:c r="L495" s="17">
        <x:v>300000</x:v>
      </x:c>
      <x:c r="M495" s="17"/>
      <x:c r="N495" s="11" t="s">
        <x:v>21</x:v>
      </x:c>
      <x:c r="O495" s="16"/>
      <x:c r="P495" s="18"/>
      <x:c r="Q495" s="19"/>
    </x:row>
    <x:row r="496" ht="51">
      <x:c r="A496" s="9">
        <x:v>2024</x:v>
      </x:c>
      <x:c r="B496" s="10" t="s">
        <x:v>400</x:v>
      </x:c>
      <x:c r="C496" s="11" t="e">
        <x:f>IFERROR(VLOOKUP(B496,Regiões!A:B,2,0),"")</x:f>
        <x:v>#NAME?</x:v>
      </x:c>
      <x:c r="D496" s="11" t="s">
        <x:v>1383</x:v>
      </x:c>
      <x:c r="E496" s="12" t="str">
        <x:f t="shared" si="14"/>
        <x:v>Prefeitura Municipal de Sapucaia do Sul</x:v>
      </x:c>
      <x:c r="F496" s="13"/>
      <x:c r="G496" s="14" t="s">
        <x:v>18</x:v>
      </x:c>
      <x:c r="H496" s="15">
        <x:v>41160002</x:v>
      </x:c>
      <x:c r="I496" s="9" t="s">
        <x:v>224</x:v>
      </x:c>
      <x:c r="J496" s="9" t="s">
        <x:v>40</x:v>
      </x:c>
      <x:c r="K496" s="16" t="s">
        <x:v>20</x:v>
      </x:c>
      <x:c r="L496" s="17">
        <x:v>300000</x:v>
      </x:c>
      <x:c r="M496" s="17"/>
      <x:c r="N496" s="11" t="s">
        <x:v>21</x:v>
      </x:c>
      <x:c r="O496" s="16"/>
      <x:c r="P496" s="18"/>
      <x:c r="Q496" s="19"/>
    </x:row>
    <x:row r="497" ht="63.75">
      <x:c r="A497" s="9">
        <x:v>2024</x:v>
      </x:c>
      <x:c r="B497" s="10" t="s">
        <x:v>16</x:v>
      </x:c>
      <x:c r="C497" s="11" t="e">
        <x:f>IFERROR(VLOOKUP(B497,Regiões!A:B,2,0),"")</x:f>
        <x:v>#NAME?</x:v>
      </x:c>
      <x:c r="D497" s="11" t="s">
        <x:v>1384</x:v>
      </x:c>
      <x:c r="E497" s="12" t="str">
        <x:f t="shared" si="14"/>
        <x:v>Prefeitura Municipal de Gramado</x:v>
      </x:c>
      <x:c r="F497" s="13"/>
      <x:c r="G497" s="14" t="s">
        <x:v>18</x:v>
      </x:c>
      <x:c r="H497" s="15">
        <x:v>41160005</x:v>
      </x:c>
      <x:c r="I497" s="9" t="s">
        <x:v>19</x:v>
      </x:c>
      <x:c r="J497" s="9" t="s">
        <x:v>19</x:v>
      </x:c>
      <x:c r="K497" s="16" t="s">
        <x:v>20</x:v>
      </x:c>
      <x:c r="L497" s="17">
        <x:v>300000</x:v>
      </x:c>
      <x:c r="M497" s="17"/>
      <x:c r="N497" s="11" t="s">
        <x:v>21</x:v>
      </x:c>
      <x:c r="O497" s="16"/>
      <x:c r="P497" s="18"/>
      <x:c r="Q497" s="19"/>
    </x:row>
    <x:row r="498" ht="51">
      <x:c r="A498" s="9">
        <x:v>2025</x:v>
      </x:c>
      <x:c r="B498" s="14" t="s">
        <x:v>1385</x:v>
      </x:c>
      <x:c r="C498" s="11" t="e">
        <x:f>IFERROR(VLOOKUP(B498,Regiões!A:B,2,0),"")</x:f>
        <x:v>#NAME?</x:v>
      </x:c>
      <x:c r="D498" s="11" t="s">
        <x:v>1386</x:v>
      </x:c>
      <x:c r="E498" s="12" t="s">
        <x:v>1387</x:v>
      </x:c>
      <x:c r="F498" s="13">
        <x:v>12123475000154</x:v>
      </x:c>
      <x:c r="G498" s="14" t="s">
        <x:v>18</x:v>
      </x:c>
      <x:c r="H498" s="87">
        <x:v>41160004</x:v>
      </x:c>
      <x:c r="I498" s="9" t="s">
        <x:v>502</x:v>
      </x:c>
      <x:c r="J498" s="9" t="s">
        <x:v>40</x:v>
      </x:c>
      <x:c r="K498" s="16" t="s">
        <x:v>32</x:v>
      </x:c>
      <x:c r="L498" s="88">
        <x:v>300000</x:v>
      </x:c>
      <x:c r="M498" s="88"/>
      <x:c r="N498" s="11" t="s">
        <x:v>21</x:v>
      </x:c>
      <x:c r="O498" s="16"/>
      <x:c r="P498" s="111" t="s">
        <x:v>1388</x:v>
      </x:c>
      <x:c r="Q498" s="19"/>
    </x:row>
    <x:row r="499" ht="51">
      <x:c r="A499" s="9">
        <x:v>2025</x:v>
      </x:c>
      <x:c r="B499" s="14" t="s">
        <x:v>165</x:v>
      </x:c>
      <x:c r="C499" s="11" t="e">
        <x:f>IFERROR(VLOOKUP(B499,Regiões!A:B,2,0),"")</x:f>
        <x:v>#NAME?</x:v>
      </x:c>
      <x:c r="D499" s="11" t="s">
        <x:v>1389</x:v>
      </x:c>
      <x:c r="E499" s="12" t="s">
        <x:v>1390</x:v>
      </x:c>
      <x:c r="F499" s="13">
        <x:v>61986402001254</x:v>
      </x:c>
      <x:c r="G499" s="10" t="s">
        <x:v>1390</x:v>
      </x:c>
      <x:c r="H499" s="87">
        <x:v>41160004</x:v>
      </x:c>
      <x:c r="I499" s="9" t="s">
        <x:v>502</x:v>
      </x:c>
      <x:c r="J499" s="9" t="s">
        <x:v>40</x:v>
      </x:c>
      <x:c r="K499" s="16" t="s">
        <x:v>32</x:v>
      </x:c>
      <x:c r="L499" s="88">
        <x:v>300000</x:v>
      </x:c>
      <x:c r="M499" s="88"/>
      <x:c r="N499" s="11" t="s">
        <x:v>21</x:v>
      </x:c>
      <x:c r="O499" s="16"/>
      <x:c r="P499" s="111" t="s">
        <x:v>1391</x:v>
      </x:c>
      <x:c r="Q499" s="19"/>
    </x:row>
    <x:row r="500" ht="51">
      <x:c r="A500" s="9">
        <x:v>2025</x:v>
      </x:c>
      <x:c r="B500" s="14" t="s">
        <x:v>1392</x:v>
      </x:c>
      <x:c r="C500" s="11" t="e">
        <x:f>IFERROR(VLOOKUP(B500,Regiões!A:B,2,0),"")</x:f>
        <x:v>#NAME?</x:v>
      </x:c>
      <x:c r="D500" s="11" t="s">
        <x:v>1393</x:v>
      </x:c>
      <x:c r="E500" s="12" t="s">
        <x:v>1394</x:v>
      </x:c>
      <x:c r="F500" s="13">
        <x:v>97319487000101</x:v>
      </x:c>
      <x:c r="G500" s="10" t="s">
        <x:v>1394</x:v>
      </x:c>
      <x:c r="H500" s="87">
        <x:v>41160004</x:v>
      </x:c>
      <x:c r="I500" s="9" t="s">
        <x:v>502</x:v>
      </x:c>
      <x:c r="J500" s="9" t="s">
        <x:v>40</x:v>
      </x:c>
      <x:c r="K500" s="16" t="s">
        <x:v>32</x:v>
      </x:c>
      <x:c r="L500" s="88">
        <x:v>300000</x:v>
      </x:c>
      <x:c r="M500" s="88"/>
      <x:c r="N500" s="11" t="s">
        <x:v>21</x:v>
      </x:c>
      <x:c r="O500" s="16"/>
      <x:c r="P500" s="111" t="s">
        <x:v>1395</x:v>
      </x:c>
      <x:c r="Q500" s="19"/>
    </x:row>
    <x:row r="501" ht="51">
      <x:c r="A501" s="9">
        <x:v>2025</x:v>
      </x:c>
      <x:c r="B501" s="14" t="s">
        <x:v>395</x:v>
      </x:c>
      <x:c r="C501" s="11" t="e">
        <x:f>IFERROR(VLOOKUP(B501,Regiões!A:B,2,0),"")</x:f>
        <x:v>#NAME?</x:v>
      </x:c>
      <x:c r="D501" s="11" t="s">
        <x:v>1396</x:v>
      </x:c>
      <x:c r="E501" s="12" t="s">
        <x:v>1397</x:v>
      </x:c>
      <x:c r="F501" s="13">
        <x:v>96488598000189</x:v>
      </x:c>
      <x:c r="G501" s="10" t="s">
        <x:v>1397</x:v>
      </x:c>
      <x:c r="H501" s="87">
        <x:v>41160004</x:v>
      </x:c>
      <x:c r="I501" s="9" t="s">
        <x:v>502</x:v>
      </x:c>
      <x:c r="J501" s="9" t="s">
        <x:v>40</x:v>
      </x:c>
      <x:c r="K501" s="16" t="s">
        <x:v>32</x:v>
      </x:c>
      <x:c r="L501" s="88">
        <x:v>300000</x:v>
      </x:c>
      <x:c r="M501" s="88"/>
      <x:c r="N501" s="11" t="s">
        <x:v>21</x:v>
      </x:c>
      <x:c r="O501" s="16"/>
      <x:c r="P501" s="111" t="s">
        <x:v>1398</x:v>
      </x:c>
      <x:c r="Q501" s="19"/>
    </x:row>
    <x:row r="502" ht="63.75">
      <x:c r="A502" s="9">
        <x:v>2025</x:v>
      </x:c>
      <x:c r="B502" s="14" t="s">
        <x:v>379</x:v>
      </x:c>
      <x:c r="C502" s="11" t="e">
        <x:f>IFERROR(VLOOKUP(B502,Regiões!A:B,2,0),"")</x:f>
        <x:v>#NAME?</x:v>
      </x:c>
      <x:c r="D502" s="11" t="s">
        <x:v>1399</x:v>
      </x:c>
      <x:c r="E502" s="12" t="s">
        <x:v>1400</x:v>
      </x:c>
      <x:c r="F502" s="13">
        <x:v>92219070000153</x:v>
      </x:c>
      <x:c r="G502" s="10" t="s">
        <x:v>1400</x:v>
      </x:c>
      <x:c r="H502" s="87">
        <x:v>41160004</x:v>
      </x:c>
      <x:c r="I502" s="9" t="s">
        <x:v>502</x:v>
      </x:c>
      <x:c r="J502" s="9" t="s">
        <x:v>40</x:v>
      </x:c>
      <x:c r="K502" s="16" t="s">
        <x:v>32</x:v>
      </x:c>
      <x:c r="L502" s="88">
        <x:v>300000</x:v>
      </x:c>
      <x:c r="M502" s="88"/>
      <x:c r="N502" s="11" t="s">
        <x:v>21</x:v>
      </x:c>
      <x:c r="O502" s="16"/>
      <x:c r="P502" s="44" t="s">
        <x:v>1401</x:v>
      </x:c>
      <x:c r="Q502" s="19"/>
    </x:row>
    <x:row r="503" ht="165.75">
      <x:c r="A503" s="9">
        <x:v>2025</x:v>
      </x:c>
      <x:c r="B503" s="14" t="s">
        <x:v>1402</x:v>
      </x:c>
      <x:c r="C503" s="11" t="e">
        <x:f>IFERROR(VLOOKUP(B503,Regiões!A:B,2,0),"")</x:f>
        <x:v>#NAME?</x:v>
      </x:c>
      <x:c r="D503" s="11" t="s">
        <x:v>1403</x:v>
      </x:c>
      <x:c r="E503" s="12" t="s">
        <x:v>1404</x:v>
      </x:c>
      <x:c r="F503" s="13">
        <x:v>88768080000170</x:v>
      </x:c>
      <x:c r="G503" s="14" t="s">
        <x:v>18</x:v>
      </x:c>
      <x:c r="H503" s="87">
        <x:v>41160008</x:v>
      </x:c>
      <x:c r="I503" s="9" t="s">
        <x:v>881</x:v>
      </x:c>
      <x:c r="J503" s="9" t="s">
        <x:v>25</x:v>
      </x:c>
      <x:c r="K503" s="16" t="s">
        <x:v>32</x:v>
      </x:c>
      <x:c r="L503" s="88">
        <x:v>300000</x:v>
      </x:c>
      <x:c r="M503" s="88"/>
      <x:c r="N503" s="11" t="s">
        <x:v>21</x:v>
      </x:c>
      <x:c r="O503" s="16"/>
      <x:c r="P503" s="111" t="s">
        <x:v>1405</x:v>
      </x:c>
      <x:c r="Q503" s="19"/>
    </x:row>
    <x:row r="504" ht="51">
      <x:c r="A504" s="9">
        <x:v>2025</x:v>
      </x:c>
      <x:c r="B504" s="14" t="s">
        <x:v>165</x:v>
      </x:c>
      <x:c r="C504" s="11" t="e">
        <x:f>IFERROR(VLOOKUP(B504,Regiões!A:B,2,0),"")</x:f>
        <x:v>#NAME?</x:v>
      </x:c>
      <x:c r="D504" s="11" t="s">
        <x:v>1406</x:v>
      </x:c>
      <x:c r="E504" s="12" t="s">
        <x:v>1390</x:v>
      </x:c>
      <x:c r="F504" s="13">
        <x:v>61986402001254</x:v>
      </x:c>
      <x:c r="G504" s="10" t="s">
        <x:v>1390</x:v>
      </x:c>
      <x:c r="H504" s="59">
        <x:v>41160002</x:v>
      </x:c>
      <x:c r="I504" s="9" t="s">
        <x:v>966</x:v>
      </x:c>
      <x:c r="J504" s="9" t="s">
        <x:v>40</x:v>
      </x:c>
      <x:c r="K504" s="16" t="s">
        <x:v>32</x:v>
      </x:c>
      <x:c r="L504" s="60">
        <x:v>300000</x:v>
      </x:c>
      <x:c r="M504" s="60"/>
      <x:c r="N504" s="11" t="s">
        <x:v>21</x:v>
      </x:c>
      <x:c r="O504" s="16"/>
      <x:c r="P504" s="49" t="s">
        <x:v>475</x:v>
      </x:c>
      <x:c r="Q504" s="19"/>
    </x:row>
    <x:row r="505" ht="63.75">
      <x:c r="A505" s="9">
        <x:v>2026</x:v>
      </x:c>
      <x:c r="B505" s="14" t="s">
        <x:v>452</x:v>
      </x:c>
      <x:c r="C505" s="11" t="e">
        <x:f>IFERROR(VLOOKUP(B505,Regiões!A:B,2,0),"")</x:f>
        <x:v>#NAME?</x:v>
      </x:c>
      <x:c r="D505" s="11" t="s">
        <x:v>1407</x:v>
      </x:c>
      <x:c r="E505" s="20" t="s">
        <x:v>1408</x:v>
      </x:c>
      <x:c r="F505" s="13">
        <x:v>95438412001277</x:v>
      </x:c>
      <x:c r="G505" s="14" t="s">
        <x:v>1409</x:v>
      </x:c>
      <x:c r="H505" s="15">
        <x:v>41160003</x:v>
      </x:c>
      <x:c r="I505" s="9" t="s">
        <x:v>976</x:v>
      </x:c>
      <x:c r="J505" s="2" t="s">
        <x:v>40</x:v>
      </x:c>
      <x:c r="K505" s="16" t="s">
        <x:v>32</x:v>
      </x:c>
      <x:c r="L505" s="17">
        <x:v>300000</x:v>
      </x:c>
      <x:c r="M505" s="17"/>
      <x:c r="N505" s="9" t="s">
        <x:v>33</x:v>
      </x:c>
      <x:c r="O505" s="16"/>
      <x:c r="P505" s="18"/>
      <x:c r="Q505" s="19"/>
    </x:row>
    <x:row r="506" ht="51">
      <x:c r="A506" s="9">
        <x:v>2026</x:v>
      </x:c>
      <x:c r="B506" s="14" t="s">
        <x:v>1410</x:v>
      </x:c>
      <x:c r="C506" s="11" t="e">
        <x:f>IFERROR(VLOOKUP(B506,Regiões!A:B,2,0),"")</x:f>
        <x:v>#NAME?</x:v>
      </x:c>
      <x:c r="D506" s="11" t="s">
        <x:v>1411</x:v>
      </x:c>
      <x:c r="E506" s="20" t="s">
        <x:v>1000</x:v>
      </x:c>
      <x:c r="F506" s="13">
        <x:v>98110000000149</x:v>
      </x:c>
      <x:c r="G506" s="14" t="s">
        <x:v>1412</x:v>
      </x:c>
      <x:c r="H506" s="15">
        <x:v>41160003</x:v>
      </x:c>
      <x:c r="I506" s="9" t="s">
        <x:v>976</x:v>
      </x:c>
      <x:c r="J506" s="2" t="s">
        <x:v>40</x:v>
      </x:c>
      <x:c r="K506" s="16" t="s">
        <x:v>32</x:v>
      </x:c>
      <x:c r="L506" s="17">
        <x:v>300000</x:v>
      </x:c>
      <x:c r="M506" s="17"/>
      <x:c r="N506" s="9" t="s">
        <x:v>33</x:v>
      </x:c>
      <x:c r="O506" s="16"/>
      <x:c r="P506" s="18"/>
      <x:c r="Q506" s="19"/>
    </x:row>
    <x:row r="507" ht="51">
      <x:c r="A507" s="9">
        <x:v>2026</x:v>
      </x:c>
      <x:c r="B507" s="14" t="s">
        <x:v>1413</x:v>
      </x:c>
      <x:c r="C507" s="11" t="e">
        <x:f>IFERROR(VLOOKUP(B507,Regiões!A:B,2,0),"")</x:f>
        <x:v>#NAME?</x:v>
      </x:c>
      <x:c r="D507" s="137" t="s">
        <x:v>1414</x:v>
      </x:c>
      <x:c r="E507" s="14" t="s">
        <x:v>1415</x:v>
      </x:c>
      <x:c r="F507" s="13">
        <x:v>14428126000176</x:v>
      </x:c>
      <x:c r="G507" s="14" t="s">
        <x:v>1013</x:v>
      </x:c>
      <x:c r="H507" s="15">
        <x:v>41160013</x:v>
      </x:c>
      <x:c r="I507" s="9" t="s">
        <x:v>1003</x:v>
      </x:c>
      <x:c r="J507" s="2" t="s">
        <x:v>40</x:v>
      </x:c>
      <x:c r="K507" s="16" t="s">
        <x:v>32</x:v>
      </x:c>
      <x:c r="L507" s="17">
        <x:v>300000</x:v>
      </x:c>
      <x:c r="M507" s="17"/>
      <x:c r="N507" s="9" t="s">
        <x:v>33</x:v>
      </x:c>
      <x:c r="O507" s="16"/>
      <x:c r="P507" s="18"/>
      <x:c r="Q507" s="19"/>
    </x:row>
    <x:row r="508" ht="51">
      <x:c r="A508" s="9">
        <x:v>2025</x:v>
      </x:c>
      <x:c r="B508" s="14" t="s">
        <x:v>266</x:v>
      </x:c>
      <x:c r="C508" s="11" t="e">
        <x:f>IFERROR(VLOOKUP(B508,Regiões!A:B,2,0),"")</x:f>
        <x:v>#NAME?</x:v>
      </x:c>
      <x:c r="D508" s="11" t="s">
        <x:v>1416</x:v>
      </x:c>
      <x:c r="E508" s="12" t="s">
        <x:v>1417</x:v>
      </x:c>
      <x:c r="F508" s="13">
        <x:v>97229181000164</x:v>
      </x:c>
      <x:c r="G508" s="14" t="s">
        <x:v>18</x:v>
      </x:c>
      <x:c r="H508" s="87">
        <x:v>41160008</x:v>
      </x:c>
      <x:c r="I508" s="9" t="s">
        <x:v>881</x:v>
      </x:c>
      <x:c r="J508" s="9" t="s">
        <x:v>25</x:v>
      </x:c>
      <x:c r="K508" s="16" t="s">
        <x:v>32</x:v>
      </x:c>
      <x:c r="L508" s="88">
        <x:v>301774</x:v>
      </x:c>
      <x:c r="M508" s="88"/>
      <x:c r="N508" s="11" t="s">
        <x:v>21</x:v>
      </x:c>
      <x:c r="O508" s="16"/>
      <x:c r="P508" s="111" t="s">
        <x:v>1418</x:v>
      </x:c>
      <x:c r="Q508" s="19"/>
    </x:row>
    <x:row r="509" ht="25.5">
      <x:c r="A509" s="11">
        <x:v>2023</x:v>
      </x:c>
      <x:c r="B509" s="66" t="s">
        <x:v>1419</x:v>
      </x:c>
      <x:c r="C509" s="11" t="e">
        <x:f>IFERROR(VLOOKUP(B509,Regiões!A:B,2,0),"")</x:f>
        <x:v>#NAME?</x:v>
      </x:c>
      <x:c r="D509" s="11" t="s">
        <x:v>1420</x:v>
      </x:c>
      <x:c r="E509" s="67" t="s">
        <x:v>42</x:v>
      </x:c>
      <x:c r="F509" s="68"/>
      <x:c r="G509" s="66" t="s">
        <x:v>1421</x:v>
      </x:c>
      <x:c r="H509" s="69"/>
      <x:c r="I509" s="11" t="s">
        <x:v>1202</x:v>
      </x:c>
      <x:c r="J509" s="11" t="str">
        <x:f t="shared" ref="J509:J510" si="15">LEFT(I509,FIND(" (",I509) - 1)</x:f>
        <x:v>Infraestrutura</x:v>
      </x:c>
      <x:c r="K509" s="11" t="s">
        <x:v>32</x:v>
      </x:c>
      <x:c r="L509" s="70">
        <x:v>308000</x:v>
      </x:c>
      <x:c r="M509" s="70"/>
      <x:c r="N509" s="11" t="s">
        <x:v>21</x:v>
      </x:c>
      <x:c r="O509" s="11" t="s">
        <x:v>49</x:v>
      </x:c>
      <x:c r="P509" s="67" t="s">
        <x:v>1422</x:v>
      </x:c>
      <x:c r="Q509" s="66"/>
    </x:row>
    <x:row r="510" ht="51">
      <x:c r="A510" s="11">
        <x:v>2023</x:v>
      </x:c>
      <x:c r="B510" s="43" t="s">
        <x:v>615</x:v>
      </x:c>
      <x:c r="C510" s="11" t="e">
        <x:f>IFERROR(VLOOKUP(B510,Regiões!A:B,2,0),"")</x:f>
        <x:v>#NAME?</x:v>
      </x:c>
      <x:c r="D510" s="11" t="s">
        <x:v>1423</x:v>
      </x:c>
      <x:c r="E510" s="44" t="s">
        <x:v>93</x:v>
      </x:c>
      <x:c r="F510" s="99"/>
      <x:c r="G510" s="43" t="s">
        <x:v>1424</x:v>
      </x:c>
      <x:c r="H510" s="47">
        <x:v>41160007</x:v>
      </x:c>
      <x:c r="I510" s="11" t="s">
        <x:v>444</x:v>
      </x:c>
      <x:c r="J510" s="11" t="str">
        <x:f t="shared" si="15"/>
        <x:v>Saúde</x:v>
      </x:c>
      <x:c r="K510" s="11" t="s">
        <x:v>32</x:v>
      </x:c>
      <x:c r="L510" s="108">
        <x:v>309316</x:v>
      </x:c>
      <x:c r="M510" s="108"/>
      <x:c r="N510" s="11" t="s">
        <x:v>21</x:v>
      </x:c>
      <x:c r="O510" s="11" t="s">
        <x:v>26</x:v>
      </x:c>
      <x:c r="P510" s="49" t="s">
        <x:v>1425</x:v>
      </x:c>
      <x:c r="Q510" s="50"/>
    </x:row>
    <x:row r="511" ht="51">
      <x:c r="A511" s="9">
        <x:v>2024</x:v>
      </x:c>
      <x:c r="B511" s="10" t="s">
        <x:v>778</x:v>
      </x:c>
      <x:c r="C511" s="11" t="e">
        <x:f>IFERROR(VLOOKUP(B511,Regiões!A:B,2,0),"")</x:f>
        <x:v>#NAME?</x:v>
      </x:c>
      <x:c r="D511" s="11" t="s">
        <x:v>1426</x:v>
      </x:c>
      <x:c r="E511" s="12" t="str">
        <x:f>G511&amp;" de "&amp;B511</x:f>
        <x:v>Prefeitura Municipal de Farroupilha</x:v>
      </x:c>
      <x:c r="F511" s="13"/>
      <x:c r="G511" s="14" t="s">
        <x:v>18</x:v>
      </x:c>
      <x:c r="H511" s="15">
        <x:v>41160002</x:v>
      </x:c>
      <x:c r="I511" s="9" t="s">
        <x:v>224</x:v>
      </x:c>
      <x:c r="J511" s="9" t="s">
        <x:v>40</x:v>
      </x:c>
      <x:c r="K511" s="16" t="s">
        <x:v>20</x:v>
      </x:c>
      <x:c r="L511" s="17">
        <x:v>310184</x:v>
      </x:c>
      <x:c r="M511" s="17"/>
      <x:c r="N511" s="11" t="s">
        <x:v>21</x:v>
      </x:c>
      <x:c r="O511" s="16"/>
      <x:c r="P511" s="18"/>
      <x:c r="Q511" s="19"/>
    </x:row>
    <x:row r="512" ht="63.75">
      <x:c r="A512" s="9">
        <x:v>2025</x:v>
      </x:c>
      <x:c r="B512" s="14" t="s">
        <x:v>1427</x:v>
      </x:c>
      <x:c r="C512" s="11" t="e">
        <x:f>IFERROR(VLOOKUP(B512,Regiões!A:B,2,0),"")</x:f>
        <x:v>#NAME?</x:v>
      </x:c>
      <x:c r="D512" s="11" t="s">
        <x:v>1428</x:v>
      </x:c>
      <x:c r="E512" s="12" t="s">
        <x:v>1429</x:v>
      </x:c>
      <x:c r="F512" s="13">
        <x:v>12112955000110</x:v>
      </x:c>
      <x:c r="G512" s="14" t="s">
        <x:v>18</x:v>
      </x:c>
      <x:c r="H512" s="87">
        <x:v>41160003</x:v>
      </x:c>
      <x:c r="I512" s="9" t="s">
        <x:v>463</x:v>
      </x:c>
      <x:c r="J512" s="9" t="s">
        <x:v>40</x:v>
      </x:c>
      <x:c r="K512" s="16" t="s">
        <x:v>32</x:v>
      </x:c>
      <x:c r="L512" s="88">
        <x:v>314200</x:v>
      </x:c>
      <x:c r="M512" s="88"/>
      <x:c r="N512" s="11" t="s">
        <x:v>21</x:v>
      </x:c>
      <x:c r="O512" s="16"/>
      <x:c r="P512" s="111" t="s">
        <x:v>1430</x:v>
      </x:c>
      <x:c r="Q512" s="19"/>
    </x:row>
    <x:row r="513" ht="63.75">
      <x:c r="A513" s="9">
        <x:v>2026</x:v>
      </x:c>
      <x:c r="B513" s="14" t="s">
        <x:v>1431</x:v>
      </x:c>
      <x:c r="C513" s="11" t="e">
        <x:f>IFERROR(VLOOKUP(B513,Regiões!A:B,2,0),"")</x:f>
        <x:v>#NAME?</x:v>
      </x:c>
      <x:c r="D513" s="11" t="s">
        <x:v>1432</x:v>
      </x:c>
      <x:c r="E513" s="14" t="s">
        <x:v>1431</x:v>
      </x:c>
      <x:c r="F513" s="13">
        <x:v>10441810000137</x:v>
      </x:c>
      <x:c r="G513" s="14" t="s">
        <x:v>1433</x:v>
      </x:c>
      <x:c r="H513" s="15">
        <x:v>41160003</x:v>
      </x:c>
      <x:c r="I513" s="9" t="s">
        <x:v>976</x:v>
      </x:c>
      <x:c r="J513" s="2" t="s">
        <x:v>40</x:v>
      </x:c>
      <x:c r="K513" s="16" t="s">
        <x:v>32</x:v>
      </x:c>
      <x:c r="L513" s="17">
        <x:v>314200</x:v>
      </x:c>
      <x:c r="M513" s="17"/>
      <x:c r="N513" s="9" t="s">
        <x:v>33</x:v>
      </x:c>
      <x:c r="O513" s="16"/>
      <x:c r="P513" s="18"/>
      <x:c r="Q513" s="19"/>
    </x:row>
    <x:row r="514" ht="51">
      <x:c r="A514" s="9">
        <x:v>2026</x:v>
      </x:c>
      <x:c r="B514" s="14" t="s">
        <x:v>206</x:v>
      </x:c>
      <x:c r="C514" s="11" t="e">
        <x:f>IFERROR(VLOOKUP(B514,Regiões!A:B,2,0),"")</x:f>
        <x:v>#NAME?</x:v>
      </x:c>
      <x:c r="D514" s="11" t="s">
        <x:v>1434</x:v>
      </x:c>
      <x:c r="E514" s="14" t="s">
        <x:v>206</x:v>
      </x:c>
      <x:c r="F514" s="13">
        <x:v>11715379000132</x:v>
      </x:c>
      <x:c r="G514" s="14" t="s">
        <x:v>1002</x:v>
      </x:c>
      <x:c r="H514" s="15">
        <x:v>41160013</x:v>
      </x:c>
      <x:c r="I514" s="9" t="s">
        <x:v>1003</x:v>
      </x:c>
      <x:c r="J514" s="2" t="s">
        <x:v>40</x:v>
      </x:c>
      <x:c r="K514" s="16" t="s">
        <x:v>32</x:v>
      </x:c>
      <x:c r="L514" s="17">
        <x:v>314200</x:v>
      </x:c>
      <x:c r="M514" s="17"/>
      <x:c r="N514" s="9" t="s">
        <x:v>33</x:v>
      </x:c>
      <x:c r="O514" s="16"/>
      <x:c r="P514" s="18"/>
      <x:c r="Q514" s="19"/>
    </x:row>
    <x:row r="515" ht="102">
      <x:c r="A515" s="9">
        <x:v>2026</x:v>
      </x:c>
      <x:c r="B515" s="14" t="s">
        <x:v>376</x:v>
      </x:c>
      <x:c r="C515" s="11" t="e">
        <x:f>IFERROR(VLOOKUP(B515,Regiões!A:B,2,0),"")</x:f>
        <x:v>#NAME?</x:v>
      </x:c>
      <x:c r="D515" s="11" t="s">
        <x:v>1435</x:v>
      </x:c>
      <x:c r="E515" s="20" t="s">
        <x:v>1436</x:v>
      </x:c>
      <x:c r="F515" s="13">
        <x:v>12056244000175</x:v>
      </x:c>
      <x:c r="G515" s="14" t="s">
        <x:v>988</x:v>
      </x:c>
      <x:c r="H515" s="15">
        <x:v>41160003</x:v>
      </x:c>
      <x:c r="I515" s="9" t="s">
        <x:v>976</x:v>
      </x:c>
      <x:c r="J515" s="2" t="s">
        <x:v>40</x:v>
      </x:c>
      <x:c r="K515" s="16" t="s">
        <x:v>32</x:v>
      </x:c>
      <x:c r="L515" s="17">
        <x:v>317000</x:v>
      </x:c>
      <x:c r="M515" s="17"/>
      <x:c r="N515" s="9" t="s">
        <x:v>33</x:v>
      </x:c>
      <x:c r="O515" s="16"/>
      <x:c r="P515" s="18"/>
      <x:c r="Q515" s="19"/>
    </x:row>
    <x:row r="516" ht="165.75">
      <x:c r="A516" s="36">
        <x:v>2020</x:v>
      </x:c>
      <x:c r="B516" s="36" t="s">
        <x:v>565</x:v>
      </x:c>
      <x:c r="C516" s="11" t="e">
        <x:f>IFERROR(VLOOKUP(B516,Regiões!A:B,2,0),"")</x:f>
        <x:v>#NAME?</x:v>
      </x:c>
      <x:c r="D516" s="22" t="s">
        <x:v>1039</x:v>
      </x:c>
      <x:c r="E516" s="37" t="s">
        <x:v>305</x:v>
      </x:c>
      <x:c r="F516" s="38"/>
      <x:c r="G516" s="36" t="s">
        <x:v>1040</x:v>
      </x:c>
      <x:c r="H516" s="168">
        <x:v>41160002</x:v>
      </x:c>
      <x:c r="I516" s="36" t="s">
        <x:v>31</x:v>
      </x:c>
      <x:c r="J516" s="36" t="s">
        <x:v>25</x:v>
      </x:c>
      <x:c r="K516" s="36" t="s">
        <x:v>32</x:v>
      </x:c>
      <x:c r="L516" s="40">
        <x:v>317925</x:v>
      </x:c>
      <x:c r="M516" s="40"/>
      <x:c r="N516" s="36" t="s">
        <x:v>33</x:v>
      </x:c>
      <x:c r="O516" s="36" t="s">
        <x:v>1437</x:v>
      </x:c>
      <x:c r="P516" s="41" t="s">
        <x:v>1438</x:v>
      </x:c>
      <x:c r="Q516" s="42"/>
    </x:row>
    <x:row r="517" ht="38.25">
      <x:c r="A517" s="11">
        <x:v>2023</x:v>
      </x:c>
      <x:c r="B517" s="43" t="s">
        <x:v>266</x:v>
      </x:c>
      <x:c r="C517" s="11" t="e">
        <x:f>IFERROR(VLOOKUP(B517,Regiões!A:B,2,0),"")</x:f>
        <x:v>#NAME?</x:v>
      </x:c>
      <x:c r="D517" s="11" t="s">
        <x:v>1439</x:v>
      </x:c>
      <x:c r="E517" s="44" t="s">
        <x:v>93</x:v>
      </x:c>
      <x:c r="F517" s="99"/>
      <x:c r="G517" s="43" t="s">
        <x:v>1440</x:v>
      </x:c>
      <x:c r="H517" s="47"/>
      <x:c r="I517" s="11" t="s">
        <x:v>444</x:v>
      </x:c>
      <x:c r="J517" s="11" t="str">
        <x:f t="shared" ref="J517:J518" si="16">LEFT(I517,FIND(" (",I517) - 1)</x:f>
        <x:v>Saúde</x:v>
      </x:c>
      <x:c r="K517" s="11" t="s">
        <x:v>32</x:v>
      </x:c>
      <x:c r="L517" s="108">
        <x:v>320000</x:v>
      </x:c>
      <x:c r="M517" s="108"/>
      <x:c r="N517" s="11" t="s">
        <x:v>21</x:v>
      </x:c>
      <x:c r="O517" s="11" t="s">
        <x:v>49</x:v>
      </x:c>
      <x:c r="P517" s="49" t="s">
        <x:v>1441</x:v>
      </x:c>
      <x:c r="Q517" s="50"/>
    </x:row>
    <x:row r="518" ht="25.5">
      <x:c r="A518" s="11">
        <x:v>2023</x:v>
      </x:c>
      <x:c r="B518" s="66" t="s">
        <x:v>389</x:v>
      </x:c>
      <x:c r="C518" s="11" t="e">
        <x:f>IFERROR(VLOOKUP(B518,Regiões!A:B,2,0),"")</x:f>
        <x:v>#NAME?</x:v>
      </x:c>
      <x:c r="D518" s="11" t="s">
        <x:v>390</x:v>
      </x:c>
      <x:c r="E518" s="67" t="s">
        <x:v>42</x:v>
      </x:c>
      <x:c r="F518" s="68"/>
      <x:c r="G518" s="66" t="s">
        <x:v>1442</x:v>
      </x:c>
      <x:c r="H518" s="69"/>
      <x:c r="I518" s="11" t="s">
        <x:v>444</x:v>
      </x:c>
      <x:c r="J518" s="11" t="str">
        <x:f t="shared" si="16"/>
        <x:v>Saúde</x:v>
      </x:c>
      <x:c r="K518" s="11" t="s">
        <x:v>32</x:v>
      </x:c>
      <x:c r="L518" s="70">
        <x:v>320000</x:v>
      </x:c>
      <x:c r="M518" s="70"/>
      <x:c r="N518" s="11" t="s">
        <x:v>21</x:v>
      </x:c>
      <x:c r="O518" s="11" t="s">
        <x:v>49</x:v>
      </x:c>
      <x:c r="P518" s="67" t="s">
        <x:v>1443</x:v>
      </x:c>
      <x:c r="Q518" s="66"/>
    </x:row>
    <x:row r="519" ht="38.25">
      <x:c r="A519" s="9">
        <x:v>2025</x:v>
      </x:c>
      <x:c r="B519" s="14" t="s">
        <x:v>630</x:v>
      </x:c>
      <x:c r="C519" s="11" t="e">
        <x:f>IFERROR(VLOOKUP(B519,Regiões!A:B,2,0),"")</x:f>
        <x:v>#NAME?</x:v>
      </x:c>
      <x:c r="D519" s="11" t="s">
        <x:v>1444</x:v>
      </x:c>
      <x:c r="E519" s="12" t="s">
        <x:v>1445</x:v>
      </x:c>
      <x:c r="F519" s="13">
        <x:v>87297982000103</x:v>
      </x:c>
      <x:c r="G519" s="14" t="s">
        <x:v>18</x:v>
      </x:c>
      <x:c r="H519" s="87">
        <x:v>41160008</x:v>
      </x:c>
      <x:c r="I519" s="9" t="s">
        <x:v>925</x:v>
      </x:c>
      <x:c r="J519" s="9" t="s">
        <x:v>40</x:v>
      </x:c>
      <x:c r="K519" s="16" t="s">
        <x:v>32</x:v>
      </x:c>
      <x:c r="L519" s="88">
        <x:v>323039</x:v>
      </x:c>
      <x:c r="M519" s="88"/>
      <x:c r="N519" s="11" t="s">
        <x:v>21</x:v>
      </x:c>
      <x:c r="O519" s="16"/>
      <x:c r="P519" s="111" t="s">
        <x:v>1446</x:v>
      </x:c>
      <x:c r="Q519" s="19"/>
    </x:row>
    <x:row r="520" ht="102">
      <x:c r="A520" s="9">
        <x:v>2026</x:v>
      </x:c>
      <x:c r="B520" s="14" t="s">
        <x:v>1447</x:v>
      </x:c>
      <x:c r="C520" s="11" t="e">
        <x:f>IFERROR(VLOOKUP(B520,Regiões!A:B,2,0),"")</x:f>
        <x:v>#NAME?</x:v>
      </x:c>
      <x:c r="D520" s="11" t="s">
        <x:v>1448</x:v>
      </x:c>
      <x:c r="E520" s="20" t="s">
        <x:v>1449</x:v>
      </x:c>
      <x:c r="F520" s="13">
        <x:v>96039581000144</x:v>
      </x:c>
      <x:c r="G520" s="14" t="s">
        <x:v>1450</x:v>
      </x:c>
      <x:c r="H520" s="15">
        <x:v>41160003</x:v>
      </x:c>
      <x:c r="I520" s="9" t="s">
        <x:v>976</x:v>
      </x:c>
      <x:c r="J520" s="2" t="s">
        <x:v>40</x:v>
      </x:c>
      <x:c r="K520" s="16" t="s">
        <x:v>32</x:v>
      </x:c>
      <x:c r="L520" s="17">
        <x:v>323043</x:v>
      </x:c>
      <x:c r="M520" s="17"/>
      <x:c r="N520" s="9" t="s">
        <x:v>33</x:v>
      </x:c>
      <x:c r="O520" s="16"/>
      <x:c r="P520" s="18"/>
      <x:c r="Q520" s="19"/>
    </x:row>
    <x:row r="521" ht="51">
      <x:c r="A521" s="9">
        <x:v>2024</x:v>
      </x:c>
      <x:c r="B521" s="14" t="s">
        <x:v>1154</x:v>
      </x:c>
      <x:c r="C521" s="11" t="e">
        <x:f>IFERROR(VLOOKUP(B521,Regiões!A:B,2,0),"")</x:f>
        <x:v>#NAME?</x:v>
      </x:c>
      <x:c r="D521" s="11" t="s">
        <x:v>1451</x:v>
      </x:c>
      <x:c r="E521" s="12" t="str">
        <x:f>G521&amp;" de "&amp;B521</x:f>
        <x:v>Prefeitura Municipal de Arambaré</x:v>
      </x:c>
      <x:c r="F521" s="13"/>
      <x:c r="G521" s="14" t="s">
        <x:v>18</x:v>
      </x:c>
      <x:c r="H521" s="15">
        <x:v>41160004</x:v>
      </x:c>
      <x:c r="I521" s="9" t="s">
        <x:v>285</x:v>
      </x:c>
      <x:c r="J521" s="9" t="s">
        <x:v>40</x:v>
      </x:c>
      <x:c r="K521" s="16" t="s">
        <x:v>32</x:v>
      </x:c>
      <x:c r="L521" s="17">
        <x:v>323812</x:v>
      </x:c>
      <x:c r="M521" s="17"/>
      <x:c r="N521" s="11" t="s">
        <x:v>21</x:v>
      </x:c>
      <x:c r="O521" s="16"/>
      <x:c r="P521" s="18"/>
      <x:c r="Q521" s="19"/>
    </x:row>
    <x:row r="522" ht="51">
      <x:c r="A522" s="9">
        <x:v>2026</x:v>
      </x:c>
      <x:c r="B522" s="14" t="s">
        <x:v>310</x:v>
      </x:c>
      <x:c r="C522" s="11" t="e">
        <x:f>IFERROR(VLOOKUP(B522,Regiões!A:B,2,0),"")</x:f>
        <x:v>#NAME?</x:v>
      </x:c>
      <x:c r="D522" s="11" t="s">
        <x:v>1452</x:v>
      </x:c>
      <x:c r="E522" s="20" t="s">
        <x:v>1125</x:v>
      </x:c>
      <x:c r="F522" s="13">
        <x:v>14069503000128</x:v>
      </x:c>
      <x:c r="G522" s="14" t="s">
        <x:v>1453</x:v>
      </x:c>
      <x:c r="H522" s="15">
        <x:v>41160003</x:v>
      </x:c>
      <x:c r="I522" s="9" t="s">
        <x:v>976</x:v>
      </x:c>
      <x:c r="J522" s="2" t="s">
        <x:v>40</x:v>
      </x:c>
      <x:c r="K522" s="16" t="s">
        <x:v>32</x:v>
      </x:c>
      <x:c r="L522" s="17">
        <x:v>325116</x:v>
      </x:c>
      <x:c r="M522" s="17"/>
      <x:c r="N522" s="9" t="s">
        <x:v>33</x:v>
      </x:c>
      <x:c r="O522" s="16"/>
      <x:c r="P522" s="18"/>
      <x:c r="Q522" s="19"/>
    </x:row>
    <x:row r="523" ht="25.5">
      <x:c r="A523" s="22">
        <x:v>2021</x:v>
      </x:c>
      <x:c r="B523" s="22" t="s">
        <x:v>759</x:v>
      </x:c>
      <x:c r="C523" s="11" t="e">
        <x:f>IFERROR(VLOOKUP(B523,Regiões!A:B,2,0),"")</x:f>
        <x:v>#NAME?</x:v>
      </x:c>
      <x:c r="D523" s="22" t="s">
        <x:v>1454</x:v>
      </x:c>
      <x:c r="E523" s="28" t="s">
        <x:v>567</x:v>
      </x:c>
      <x:c r="F523" s="24"/>
      <x:c r="G523" s="22" t="s">
        <x:v>567</x:v>
      </x:c>
      <x:c r="H523" s="25">
        <x:v>71220009</x:v>
      </x:c>
      <x:c r="I523" s="22" t="s">
        <x:v>25</x:v>
      </x:c>
      <x:c r="J523" s="22" t="s">
        <x:v>25</x:v>
      </x:c>
      <x:c r="K523" s="22" t="s">
        <x:v>32</x:v>
      </x:c>
      <x:c r="L523" s="27">
        <x:v>330000</x:v>
      </x:c>
      <x:c r="M523" s="27"/>
      <x:c r="N523" s="22" t="s">
        <x:v>64</x:v>
      </x:c>
      <x:c r="O523" s="22" t="s">
        <x:v>26</x:v>
      </x:c>
      <x:c r="P523" s="28" t="s">
        <x:v>1455</x:v>
      </x:c>
      <x:c r="Q523" s="29"/>
    </x:row>
    <x:row r="524" ht="38.25">
      <x:c r="A524" s="11">
        <x:v>2023</x:v>
      </x:c>
      <x:c r="B524" s="43" t="s">
        <x:v>257</x:v>
      </x:c>
      <x:c r="C524" s="11" t="e">
        <x:f>IFERROR(VLOOKUP(B524,Regiões!A:B,2,0),"")</x:f>
        <x:v>#NAME?</x:v>
      </x:c>
      <x:c r="D524" s="11" t="s">
        <x:v>1456</x:v>
      </x:c>
      <x:c r="E524" s="44" t="s">
        <x:v>93</x:v>
      </x:c>
      <x:c r="F524" s="99"/>
      <x:c r="G524" s="43" t="s">
        <x:v>1457</x:v>
      </x:c>
      <x:c r="H524" s="47"/>
      <x:c r="I524" s="11" t="s">
        <x:v>444</x:v>
      </x:c>
      <x:c r="J524" s="11" t="str">
        <x:f t="shared" ref="J524:J525" si="17">LEFT(I524,FIND(" (",I524) - 1)</x:f>
        <x:v>Saúde</x:v>
      </x:c>
      <x:c r="K524" s="11" t="s">
        <x:v>32</x:v>
      </x:c>
      <x:c r="L524" s="108">
        <x:v>330000</x:v>
      </x:c>
      <x:c r="M524" s="108"/>
      <x:c r="N524" s="11" t="s">
        <x:v>21</x:v>
      </x:c>
      <x:c r="O524" s="11" t="s">
        <x:v>49</x:v>
      </x:c>
      <x:c r="P524" s="49" t="s">
        <x:v>1458</x:v>
      </x:c>
      <x:c r="Q524" s="50"/>
    </x:row>
    <x:row r="525" ht="51">
      <x:c r="A525" s="11">
        <x:v>2023</x:v>
      </x:c>
      <x:c r="B525" s="43" t="s">
        <x:v>1233</x:v>
      </x:c>
      <x:c r="C525" s="11" t="e">
        <x:f>IFERROR(VLOOKUP(B525,Regiões!A:B,2,0),"")</x:f>
        <x:v>#NAME?</x:v>
      </x:c>
      <x:c r="D525" s="11" t="s">
        <x:v>1459</x:v>
      </x:c>
      <x:c r="E525" s="44" t="s">
        <x:v>93</x:v>
      </x:c>
      <x:c r="F525" s="99"/>
      <x:c r="G525" s="43" t="s">
        <x:v>1460</x:v>
      </x:c>
      <x:c r="H525" s="47"/>
      <x:c r="I525" s="11" t="s">
        <x:v>444</x:v>
      </x:c>
      <x:c r="J525" s="11" t="str">
        <x:f t="shared" si="17"/>
        <x:v>Saúde</x:v>
      </x:c>
      <x:c r="K525" s="11" t="s">
        <x:v>32</x:v>
      </x:c>
      <x:c r="L525" s="108">
        <x:v>330000</x:v>
      </x:c>
      <x:c r="M525" s="108"/>
      <x:c r="N525" s="11" t="s">
        <x:v>21</x:v>
      </x:c>
      <x:c r="O525" s="11" t="s">
        <x:v>49</x:v>
      </x:c>
      <x:c r="P525" s="49" t="s">
        <x:v>1461</x:v>
      </x:c>
      <x:c r="Q525" s="50"/>
    </x:row>
    <x:row r="526" ht="38.25">
      <x:c r="A526" s="22">
        <x:v>2021</x:v>
      </x:c>
      <x:c r="B526" s="22" t="s">
        <x:v>1462</x:v>
      </x:c>
      <x:c r="C526" s="11" t="e">
        <x:f>IFERROR(VLOOKUP(B526,Regiões!A:B,2,0),"")</x:f>
        <x:v>#NAME?</x:v>
      </x:c>
      <x:c r="D526" s="22" t="s">
        <x:v>557</x:v>
      </x:c>
      <x:c r="E526" s="23" t="s">
        <x:v>567</x:v>
      </x:c>
      <x:c r="F526" s="24"/>
      <x:c r="G526" s="22" t="s">
        <x:v>1463</x:v>
      </x:c>
      <x:c r="H526" s="34">
        <x:v>41160001</x:v>
      </x:c>
      <x:c r="I526" s="22" t="s">
        <x:v>31</x:v>
      </x:c>
      <x:c r="J526" s="22" t="s">
        <x:v>25</x:v>
      </x:c>
      <x:c r="K526" s="22" t="s">
        <x:v>32</x:v>
      </x:c>
      <x:c r="L526" s="26">
        <x:v>333333</x:v>
      </x:c>
      <x:c r="M526" s="26"/>
      <x:c r="N526" s="22" t="s">
        <x:v>33</x:v>
      </x:c>
      <x:c r="O526" s="22" t="s">
        <x:v>26</x:v>
      </x:c>
      <x:c r="P526" s="74" t="s">
        <x:v>1464</x:v>
      </x:c>
      <x:c r="Q526" s="29"/>
    </x:row>
    <x:row r="527" ht="25.5">
      <x:c r="A527" s="22">
        <x:v>2021</x:v>
      </x:c>
      <x:c r="B527" s="22" t="s">
        <x:v>1465</x:v>
      </x:c>
      <x:c r="C527" s="11" t="e">
        <x:f>IFERROR(VLOOKUP(B527,Regiões!A:B,2,0),"")</x:f>
        <x:v>#NAME?</x:v>
      </x:c>
      <x:c r="D527" s="22" t="s">
        <x:v>1466</x:v>
      </x:c>
      <x:c r="E527" s="23" t="s">
        <x:v>567</x:v>
      </x:c>
      <x:c r="F527" s="24"/>
      <x:c r="G527" s="22" t="s">
        <x:v>1467</x:v>
      </x:c>
      <x:c r="H527" s="34">
        <x:v>41160001</x:v>
      </x:c>
      <x:c r="I527" s="22" t="s">
        <x:v>31</x:v>
      </x:c>
      <x:c r="J527" s="22" t="s">
        <x:v>25</x:v>
      </x:c>
      <x:c r="K527" s="22" t="s">
        <x:v>32</x:v>
      </x:c>
      <x:c r="L527" s="26">
        <x:v>333333</x:v>
      </x:c>
      <x:c r="M527" s="26"/>
      <x:c r="N527" s="22" t="s">
        <x:v>33</x:v>
      </x:c>
      <x:c r="O527" s="22" t="s">
        <x:v>26</x:v>
      </x:c>
      <x:c r="P527" s="74" t="s">
        <x:v>1464</x:v>
      </x:c>
      <x:c r="Q527" s="29"/>
    </x:row>
    <x:row r="528" ht="25.5">
      <x:c r="A528" s="22">
        <x:v>2021</x:v>
      </x:c>
      <x:c r="B528" s="22" t="s">
        <x:v>153</x:v>
      </x:c>
      <x:c r="C528" s="11" t="e">
        <x:f>IFERROR(VLOOKUP(B528,Regiões!A:B,2,0),"")</x:f>
        <x:v>#NAME?</x:v>
      </x:c>
      <x:c r="D528" s="22" t="s">
        <x:v>1468</x:v>
      </x:c>
      <x:c r="E528" s="23" t="s">
        <x:v>567</x:v>
      </x:c>
      <x:c r="F528" s="24"/>
      <x:c r="G528" s="22" t="s">
        <x:v>1469</x:v>
      </x:c>
      <x:c r="H528" s="34">
        <x:v>41160001</x:v>
      </x:c>
      <x:c r="I528" s="22" t="s">
        <x:v>31</x:v>
      </x:c>
      <x:c r="J528" s="22" t="s">
        <x:v>25</x:v>
      </x:c>
      <x:c r="K528" s="22" t="s">
        <x:v>32</x:v>
      </x:c>
      <x:c r="L528" s="26">
        <x:v>333333</x:v>
      </x:c>
      <x:c r="M528" s="26"/>
      <x:c r="N528" s="22" t="s">
        <x:v>33</x:v>
      </x:c>
      <x:c r="O528" s="22" t="s">
        <x:v>26</x:v>
      </x:c>
      <x:c r="P528" s="74" t="s">
        <x:v>1464</x:v>
      </x:c>
      <x:c r="Q528" s="29"/>
    </x:row>
    <x:row r="529" ht="25.5">
      <x:c r="A529" s="9">
        <x:v>2023</x:v>
      </x:c>
      <x:c r="B529" s="14" t="s">
        <x:v>22</x:v>
      </x:c>
      <x:c r="C529" s="11"/>
      <x:c r="D529" s="11" t="s">
        <x:v>23</x:v>
      </x:c>
      <x:c r="E529" s="20" t="s">
        <x:v>24</x:v>
      </x:c>
      <x:c r="F529" s="13"/>
      <x:c r="G529" s="14" t="s">
        <x:v>24</x:v>
      </x:c>
      <x:c r="H529" s="15">
        <x:v>41160009</x:v>
      </x:c>
      <x:c r="I529" s="9" t="s">
        <x:v>25</x:v>
      </x:c>
      <x:c r="J529" s="9" t="s">
        <x:v>25</x:v>
      </x:c>
      <x:c r="K529" s="16" t="s">
        <x:v>32</x:v>
      </x:c>
      <x:c r="L529" s="21">
        <x:v>333800</x:v>
      </x:c>
      <x:c r="M529" s="21"/>
      <x:c r="N529" s="9" t="s">
        <x:v>21</x:v>
      </x:c>
      <x:c r="O529" s="16" t="s">
        <x:v>26</x:v>
      </x:c>
      <x:c r="P529" s="18"/>
      <x:c r="Q529" s="19"/>
    </x:row>
    <x:row r="530" ht="12.75">
      <x:c r="A530" s="92">
        <x:v>2023</x:v>
      </x:c>
      <x:c r="B530" s="113"/>
      <x:c r="C530" s="92" t="e">
        <x:f>IFERROR(VLOOKUP(B530,Regiões!A:B,2,0),"")</x:f>
        <x:v>#NAME?</x:v>
      </x:c>
      <x:c r="D530" s="92"/>
      <x:c r="E530" s="169"/>
      <x:c r="F530" s="112"/>
      <x:c r="G530" s="113" t="s">
        <x:v>1470</x:v>
      </x:c>
      <x:c r="H530" s="170">
        <x:v>41160009</x:v>
      </x:c>
      <x:c r="I530" s="92" t="s">
        <x:v>25</x:v>
      </x:c>
      <x:c r="J530" s="92" t="s">
        <x:v>25</x:v>
      </x:c>
      <x:c r="K530" s="92"/>
      <x:c r="L530" s="171">
        <x:v>335000</x:v>
      </x:c>
      <x:c r="M530" s="171"/>
      <x:c r="N530" s="92"/>
      <x:c r="O530" s="92" t="s">
        <x:v>1471</x:v>
      </x:c>
      <x:c r="P530" s="97" t="s">
        <x:v>1472</x:v>
      </x:c>
      <x:c r="Q530" s="172"/>
    </x:row>
    <x:row r="531" ht="38.25">
      <x:c r="A531" s="11">
        <x:v>2023</x:v>
      </x:c>
      <x:c r="B531" s="43" t="s">
        <x:v>153</x:v>
      </x:c>
      <x:c r="C531" s="11" t="e">
        <x:f>IFERROR(VLOOKUP(B531,Regiões!A:B,2,0),"")</x:f>
        <x:v>#NAME?</x:v>
      </x:c>
      <x:c r="D531" s="11" t="s">
        <x:v>1473</x:v>
      </x:c>
      <x:c r="E531" s="44" t="s">
        <x:v>93</x:v>
      </x:c>
      <x:c r="F531" s="99"/>
      <x:c r="G531" s="43" t="s">
        <x:v>1474</x:v>
      </x:c>
      <x:c r="H531" s="47"/>
      <x:c r="I531" s="11" t="s">
        <x:v>444</x:v>
      </x:c>
      <x:c r="J531" s="11" t="str">
        <x:f>LEFT(I531,FIND(" (",I531) - 1)</x:f>
        <x:v>Saúde</x:v>
      </x:c>
      <x:c r="K531" s="11" t="s">
        <x:v>32</x:v>
      </x:c>
      <x:c r="L531" s="48">
        <x:v>340000</x:v>
      </x:c>
      <x:c r="M531" s="48"/>
      <x:c r="N531" s="11" t="s">
        <x:v>21</x:v>
      </x:c>
      <x:c r="O531" s="11" t="s">
        <x:v>49</x:v>
      </x:c>
      <x:c r="P531" s="49" t="s">
        <x:v>1475</x:v>
      </x:c>
      <x:c r="Q531" s="50"/>
    </x:row>
    <x:row r="532" ht="51">
      <x:c r="A532" s="9">
        <x:v>2025</x:v>
      </x:c>
      <x:c r="B532" s="14" t="s">
        <x:v>1476</x:v>
      </x:c>
      <x:c r="C532" s="11" t="e">
        <x:f>IFERROR(VLOOKUP(B532,Regiões!A:B,2,0),"")</x:f>
        <x:v>#NAME?</x:v>
      </x:c>
      <x:c r="D532" s="11" t="s">
        <x:v>1477</x:v>
      </x:c>
      <x:c r="E532" s="12" t="s">
        <x:v>1478</x:v>
      </x:c>
      <x:c r="F532" s="13">
        <x:v>12991728000101</x:v>
      </x:c>
      <x:c r="G532" s="14" t="s">
        <x:v>18</x:v>
      </x:c>
      <x:c r="H532" s="87">
        <x:v>41160004</x:v>
      </x:c>
      <x:c r="I532" s="9" t="s">
        <x:v>502</x:v>
      </x:c>
      <x:c r="J532" s="9" t="s">
        <x:v>40</x:v>
      </x:c>
      <x:c r="K532" s="16" t="s">
        <x:v>32</x:v>
      </x:c>
      <x:c r="L532" s="88">
        <x:v>340000</x:v>
      </x:c>
      <x:c r="M532" s="88"/>
      <x:c r="N532" s="11" t="s">
        <x:v>21</x:v>
      </x:c>
      <x:c r="O532" s="16"/>
      <x:c r="P532" s="111" t="s">
        <x:v>1479</x:v>
      </x:c>
      <x:c r="Q532" s="19"/>
    </x:row>
    <x:row r="533" ht="25.5">
      <x:c r="A533" s="22">
        <x:v>2021</x:v>
      </x:c>
      <x:c r="B533" s="30" t="s">
        <x:v>662</x:v>
      </x:c>
      <x:c r="C533" s="11" t="e">
        <x:f>IFERROR(VLOOKUP(B533,Regiões!A:B,2,0),"")</x:f>
        <x:v>#NAME?</x:v>
      </x:c>
      <x:c r="D533" s="22" t="s">
        <x:v>1480</x:v>
      </x:c>
      <x:c r="E533" s="23" t="s">
        <x:v>42</x:v>
      </x:c>
      <x:c r="F533" s="31"/>
      <x:c r="G533" s="32" t="s">
        <x:v>18</x:v>
      </x:c>
      <x:c r="H533" s="34">
        <x:v>41160003</x:v>
      </x:c>
      <x:c r="I533" s="22" t="s">
        <x:v>95</x:v>
      </x:c>
      <x:c r="J533" s="22" t="s">
        <x:v>40</x:v>
      </x:c>
      <x:c r="K533" s="22" t="s">
        <x:v>20</x:v>
      </x:c>
      <x:c r="L533" s="26">
        <x:v>350000</x:v>
      </x:c>
      <x:c r="M533" s="26"/>
      <x:c r="N533" s="22" t="s">
        <x:v>301</x:v>
      </x:c>
      <x:c r="O533" s="22" t="s">
        <x:v>26</x:v>
      </x:c>
      <x:c r="P533" s="35" t="s">
        <x:v>1481</x:v>
      </x:c>
      <x:c r="Q533" s="29"/>
    </x:row>
    <x:row r="534" ht="38.25">
      <x:c r="A534" s="22">
        <x:v>2022</x:v>
      </x:c>
      <x:c r="B534" s="22" t="s">
        <x:v>27</x:v>
      </x:c>
      <x:c r="C534" s="11" t="e">
        <x:f>IFERROR(VLOOKUP(B534,Regiões!A:B,2,0),"")</x:f>
        <x:v>#NAME?</x:v>
      </x:c>
      <x:c r="D534" s="22" t="s">
        <x:v>1482</x:v>
      </x:c>
      <x:c r="E534" s="41" t="s">
        <x:v>1483</x:v>
      </x:c>
      <x:c r="F534" s="83"/>
      <x:c r="G534" s="84" t="s">
        <x:v>1483</x:v>
      </x:c>
      <x:c r="H534" s="25">
        <x:v>41160004</x:v>
      </x:c>
      <x:c r="I534" s="22" t="s">
        <x:v>129</x:v>
      </x:c>
      <x:c r="J534" s="22" t="s">
        <x:v>129</x:v>
      </x:c>
      <x:c r="K534" s="22" t="s">
        <x:v>32</x:v>
      </x:c>
      <x:c r="L534" s="27">
        <x:v>350000</x:v>
      </x:c>
      <x:c r="M534" s="27"/>
      <x:c r="N534" s="22" t="s">
        <x:v>41</x:v>
      </x:c>
      <x:c r="O534" s="22" t="s">
        <x:v>1484</x:v>
      </x:c>
      <x:c r="P534" s="28" t="s">
        <x:v>1485</x:v>
      </x:c>
      <x:c r="Q534" s="29"/>
    </x:row>
    <x:row r="535" ht="38.25">
      <x:c r="A535" s="36">
        <x:v>2022</x:v>
      </x:c>
      <x:c r="B535" s="42" t="s">
        <x:v>731</x:v>
      </x:c>
      <x:c r="C535" s="11" t="e">
        <x:f>IFERROR(VLOOKUP(B535,Regiões!A:B,2,0),"")</x:f>
        <x:v>#NAME?</x:v>
      </x:c>
      <x:c r="D535" s="22" t="s">
        <x:v>775</x:v>
      </x:c>
      <x:c r="E535" s="37" t="s">
        <x:v>93</x:v>
      </x:c>
      <x:c r="F535" s="110"/>
      <x:c r="G535" s="42" t="s">
        <x:v>776</x:v>
      </x:c>
      <x:c r="H535" s="25">
        <x:v>7120004</x:v>
      </x:c>
      <x:c r="I535" s="22" t="s">
        <x:v>95</x:v>
      </x:c>
      <x:c r="J535" s="22" t="s">
        <x:v>40</x:v>
      </x:c>
      <x:c r="K535" s="22" t="s">
        <x:v>20</x:v>
      </x:c>
      <x:c r="L535" s="40">
        <x:v>350000</x:v>
      </x:c>
      <x:c r="M535" s="40"/>
      <x:c r="N535" s="22" t="s">
        <x:v>432</x:v>
      </x:c>
      <x:c r="O535" s="36" t="s">
        <x:v>26</x:v>
      </x:c>
      <x:c r="P535" s="35" t="s">
        <x:v>433</x:v>
      </x:c>
      <x:c r="Q535" s="42"/>
    </x:row>
    <x:row r="536" ht="51">
      <x:c r="A536" s="22">
        <x:v>2022</x:v>
      </x:c>
      <x:c r="B536" s="22" t="s">
        <x:v>51</x:v>
      </x:c>
      <x:c r="C536" s="11" t="e">
        <x:f>IFERROR(VLOOKUP(B536,Regiões!A:B,2,0),"")</x:f>
        <x:v>#NAME?</x:v>
      </x:c>
      <x:c r="D536" s="22" t="s">
        <x:v>1486</x:v>
      </x:c>
      <x:c r="E536" s="41" t="s">
        <x:v>1487</x:v>
      </x:c>
      <x:c r="F536" s="83"/>
      <x:c r="G536" s="84" t="s">
        <x:v>1487</x:v>
      </x:c>
      <x:c r="H536" s="25">
        <x:v>41160006</x:v>
      </x:c>
      <x:c r="I536" s="22" t="s">
        <x:v>129</x:v>
      </x:c>
      <x:c r="J536" s="22" t="s">
        <x:v>129</x:v>
      </x:c>
      <x:c r="K536" s="22" t="s">
        <x:v>32</x:v>
      </x:c>
      <x:c r="L536" s="27">
        <x:v>350000</x:v>
      </x:c>
      <x:c r="M536" s="27"/>
      <x:c r="N536" s="22" t="s">
        <x:v>41</x:v>
      </x:c>
      <x:c r="O536" s="22" t="s">
        <x:v>26</x:v>
      </x:c>
      <x:c r="P536" s="28"/>
      <x:c r="Q536" s="29"/>
    </x:row>
    <x:row r="537" ht="25.5">
      <x:c r="A537" s="22">
        <x:v>2022</x:v>
      </x:c>
      <x:c r="B537" s="22" t="s">
        <x:v>22</x:v>
      </x:c>
      <x:c r="C537" s="11" t="e">
        <x:f>IFERROR(VLOOKUP(B537,Regiões!A:B,2,0),"")</x:f>
        <x:v>#NAME?</x:v>
      </x:c>
      <x:c r="D537" s="22" t="s">
        <x:v>1488</x:v>
      </x:c>
      <x:c r="E537" s="41" t="s">
        <x:v>1489</x:v>
      </x:c>
      <x:c r="F537" s="45"/>
      <x:c r="G537" s="46" t="s">
        <x:v>1470</x:v>
      </x:c>
      <x:c r="H537" s="25">
        <x:v>41160010</x:v>
      </x:c>
      <x:c r="I537" s="46" t="s">
        <x:v>1470</x:v>
      </x:c>
      <x:c r="J537" s="46" t="s">
        <x:v>25</x:v>
      </x:c>
      <x:c r="K537" s="22"/>
      <x:c r="L537" s="27">
        <x:v>350000</x:v>
      </x:c>
      <x:c r="M537" s="27"/>
      <x:c r="N537" s="22" t="s">
        <x:v>41</x:v>
      </x:c>
      <x:c r="O537" s="22" t="s">
        <x:v>26</x:v>
      </x:c>
      <x:c r="P537" s="28"/>
      <x:c r="Q537" s="29"/>
    </x:row>
    <x:row r="538" ht="51">
      <x:c r="A538" s="11">
        <x:v>2023</x:v>
      </x:c>
      <x:c r="B538" s="66" t="s">
        <x:v>291</x:v>
      </x:c>
      <x:c r="C538" s="11" t="e">
        <x:f>IFERROR(VLOOKUP(B538,Regiões!A:B,2,0),"")</x:f>
        <x:v>#NAME?</x:v>
      </x:c>
      <x:c r="D538" s="11" t="s">
        <x:v>1142</x:v>
      </x:c>
      <x:c r="E538" s="67" t="s">
        <x:v>42</x:v>
      </x:c>
      <x:c r="F538" s="68"/>
      <x:c r="G538" s="66" t="s">
        <x:v>1490</x:v>
      </x:c>
      <x:c r="H538" s="69"/>
      <x:c r="I538" s="11" t="s">
        <x:v>239</x:v>
      </x:c>
      <x:c r="J538" s="11" t="str">
        <x:f>LEFT(I538,FIND(" (",I538) - 1)</x:f>
        <x:v>Segurança Pública</x:v>
      </x:c>
      <x:c r="K538" s="11" t="s">
        <x:v>32</x:v>
      </x:c>
      <x:c r="L538" s="70">
        <x:v>350000</x:v>
      </x:c>
      <x:c r="M538" s="70"/>
      <x:c r="N538" s="11" t="s">
        <x:v>21</x:v>
      </x:c>
      <x:c r="O538" s="11" t="s">
        <x:v>49</x:v>
      </x:c>
      <x:c r="P538" s="67" t="s">
        <x:v>1491</x:v>
      </x:c>
      <x:c r="Q538" s="66"/>
    </x:row>
    <x:row r="539" ht="63.75">
      <x:c r="A539" s="9">
        <x:v>2024</x:v>
      </x:c>
      <x:c r="B539" s="10" t="s">
        <x:v>540</x:v>
      </x:c>
      <x:c r="C539" s="11" t="e">
        <x:f>IFERROR(VLOOKUP(B539,Regiões!A:B,2,0),"")</x:f>
        <x:v>#NAME?</x:v>
      </x:c>
      <x:c r="D539" s="11" t="s">
        <x:v>1492</x:v>
      </x:c>
      <x:c r="E539" s="12" t="str">
        <x:f>G539&amp;" de "&amp;B539</x:f>
        <x:v>Prefeitura Municipal de Caxias do Sul</x:v>
      </x:c>
      <x:c r="F539" s="13"/>
      <x:c r="G539" s="14" t="s">
        <x:v>18</x:v>
      </x:c>
      <x:c r="H539" s="15">
        <x:v>41160004</x:v>
      </x:c>
      <x:c r="I539" s="9" t="s">
        <x:v>285</x:v>
      </x:c>
      <x:c r="J539" s="9" t="s">
        <x:v>40</x:v>
      </x:c>
      <x:c r="K539" s="16" t="s">
        <x:v>32</x:v>
      </x:c>
      <x:c r="L539" s="17">
        <x:v>350000</x:v>
      </x:c>
      <x:c r="M539" s="17"/>
      <x:c r="N539" s="11" t="s">
        <x:v>21</x:v>
      </x:c>
      <x:c r="O539" s="16"/>
      <x:c r="P539" s="18"/>
      <x:c r="Q539" s="19"/>
    </x:row>
    <x:row r="540" ht="38.25">
      <x:c r="A540" s="11">
        <x:v>2023</x:v>
      </x:c>
      <x:c r="B540" s="66" t="s">
        <x:v>260</x:v>
      </x:c>
      <x:c r="C540" s="11" t="e">
        <x:f>IFERROR(VLOOKUP(B540,Regiões!A:B,2,0),"")</x:f>
        <x:v>#NAME?</x:v>
      </x:c>
      <x:c r="D540" s="11" t="s">
        <x:v>261</x:v>
      </x:c>
      <x:c r="E540" s="67" t="s">
        <x:v>42</x:v>
      </x:c>
      <x:c r="F540" s="68"/>
      <x:c r="G540" s="66" t="s">
        <x:v>1493</x:v>
      </x:c>
      <x:c r="H540" s="69"/>
      <x:c r="I540" s="11" t="s">
        <x:v>1202</x:v>
      </x:c>
      <x:c r="J540" s="11" t="str">
        <x:f t="shared" ref="J540:J541" si="18">LEFT(I540,FIND(" (",I540) - 1)</x:f>
        <x:v>Infraestrutura</x:v>
      </x:c>
      <x:c r="K540" s="11" t="s">
        <x:v>32</x:v>
      </x:c>
      <x:c r="L540" s="70">
        <x:v>352000</x:v>
      </x:c>
      <x:c r="M540" s="70"/>
      <x:c r="N540" s="11" t="s">
        <x:v>21</x:v>
      </x:c>
      <x:c r="O540" s="11" t="s">
        <x:v>49</x:v>
      </x:c>
      <x:c r="P540" s="67" t="s">
        <x:v>1494</x:v>
      </x:c>
      <x:c r="Q540" s="66"/>
    </x:row>
    <x:row r="541" ht="51">
      <x:c r="A541" s="11">
        <x:v>2023</x:v>
      </x:c>
      <x:c r="B541" s="66" t="s">
        <x:v>853</x:v>
      </x:c>
      <x:c r="C541" s="11" t="e">
        <x:f>IFERROR(VLOOKUP(B541,Regiões!A:B,2,0),"")</x:f>
        <x:v>#NAME?</x:v>
      </x:c>
      <x:c r="D541" s="11" t="s">
        <x:v>1495</x:v>
      </x:c>
      <x:c r="E541" s="67" t="s">
        <x:v>42</x:v>
      </x:c>
      <x:c r="F541" s="68"/>
      <x:c r="G541" s="66" t="s">
        <x:v>1496</x:v>
      </x:c>
      <x:c r="H541" s="69"/>
      <x:c r="I541" s="11" t="s">
        <x:v>1202</x:v>
      </x:c>
      <x:c r="J541" s="11" t="str">
        <x:f t="shared" si="18"/>
        <x:v>Infraestrutura</x:v>
      </x:c>
      <x:c r="K541" s="11" t="s">
        <x:v>32</x:v>
      </x:c>
      <x:c r="L541" s="70">
        <x:v>352000</x:v>
      </x:c>
      <x:c r="M541" s="70"/>
      <x:c r="N541" s="11" t="s">
        <x:v>21</x:v>
      </x:c>
      <x:c r="O541" s="11" t="s">
        <x:v>49</x:v>
      </x:c>
      <x:c r="P541" s="67" t="s">
        <x:v>1497</x:v>
      </x:c>
      <x:c r="Q541" s="66"/>
    </x:row>
    <x:row r="542" ht="51">
      <x:c r="A542" s="9">
        <x:v>2025</x:v>
      </x:c>
      <x:c r="B542" s="14" t="s">
        <x:v>1335</x:v>
      </x:c>
      <x:c r="C542" s="11" t="e">
        <x:f>IFERROR(VLOOKUP(B542,Regiões!A:B,2,0),"")</x:f>
        <x:v>#NAME?</x:v>
      </x:c>
      <x:c r="D542" s="11" t="s">
        <x:v>1498</x:v>
      </x:c>
      <x:c r="E542" s="12" t="s">
        <x:v>1499</x:v>
      </x:c>
      <x:c r="F542" s="13">
        <x:v>87200929000142</x:v>
      </x:c>
      <x:c r="G542" s="10" t="s">
        <x:v>1499</x:v>
      </x:c>
      <x:c r="H542" s="59">
        <x:v>41160004</x:v>
      </x:c>
      <x:c r="I542" s="9" t="s">
        <x:v>502</x:v>
      </x:c>
      <x:c r="J542" s="9" t="s">
        <x:v>40</x:v>
      </x:c>
      <x:c r="K542" s="16" t="s">
        <x:v>32</x:v>
      </x:c>
      <x:c r="L542" s="90">
        <x:v>355411</x:v>
      </x:c>
      <x:c r="M542" s="90"/>
      <x:c r="N542" s="11" t="s">
        <x:v>21</x:v>
      </x:c>
      <x:c r="O542" s="16"/>
      <x:c r="P542" s="44" t="s">
        <x:v>1500</x:v>
      </x:c>
      <x:c r="Q542" s="19"/>
    </x:row>
    <x:row r="543" ht="114.75">
      <x:c r="A543" s="36">
        <x:v>2020</x:v>
      </x:c>
      <x:c r="B543" s="36" t="s">
        <x:v>51</x:v>
      </x:c>
      <x:c r="C543" s="11" t="e">
        <x:f>IFERROR(VLOOKUP(B543,Regiões!A:B,2,0),"")</x:f>
        <x:v>#NAME?</x:v>
      </x:c>
      <x:c r="D543" s="22" t="s">
        <x:v>52</x:v>
      </x:c>
      <x:c r="E543" s="37" t="s">
        <x:v>53</x:v>
      </x:c>
      <x:c r="F543" s="38"/>
      <x:c r="G543" s="36" t="s">
        <x:v>53</x:v>
      </x:c>
      <x:c r="H543" s="39">
        <x:v>41160008</x:v>
      </x:c>
      <x:c r="I543" s="36" t="s">
        <x:v>31</x:v>
      </x:c>
      <x:c r="J543" s="36" t="s">
        <x:v>25</x:v>
      </x:c>
      <x:c r="K543" s="36" t="s">
        <x:v>32</x:v>
      </x:c>
      <x:c r="L543" s="40">
        <x:v>355975.13</x:v>
      </x:c>
      <x:c r="M543" s="40" t="s">
        <x:v>1501</x:v>
      </x:c>
      <x:c r="N543" s="36" t="s">
        <x:v>33</x:v>
      </x:c>
      <x:c r="O543" s="36" t="s">
        <x:v>1502</x:v>
      </x:c>
      <x:c r="P543" s="41" t="s">
        <x:v>1503</x:v>
      </x:c>
      <x:c r="Q543" s="42"/>
    </x:row>
    <x:row r="544" ht="127.5">
      <x:c r="A544" s="9">
        <x:v>2026</x:v>
      </x:c>
      <x:c r="B544" s="14" t="s">
        <x:v>611</x:v>
      </x:c>
      <x:c r="C544" s="11" t="e">
        <x:f>IFERROR(VLOOKUP(B544,Regiões!A:B,2,0),"")</x:f>
        <x:v>#NAME?</x:v>
      </x:c>
      <x:c r="D544" s="11" t="s">
        <x:v>1504</x:v>
      </x:c>
      <x:c r="E544" s="20" t="s">
        <x:v>1450</x:v>
      </x:c>
      <x:c r="F544" s="13">
        <x:v>95815668000284</x:v>
      </x:c>
      <x:c r="G544" s="14" t="s">
        <x:v>1408</x:v>
      </x:c>
      <x:c r="H544" s="15">
        <x:v>41160003</x:v>
      </x:c>
      <x:c r="I544" s="9" t="s">
        <x:v>976</x:v>
      </x:c>
      <x:c r="J544" s="2" t="s">
        <x:v>40</x:v>
      </x:c>
      <x:c r="K544" s="16" t="s">
        <x:v>32</x:v>
      </x:c>
      <x:c r="L544" s="17">
        <x:v>356219</x:v>
      </x:c>
      <x:c r="M544" s="17"/>
      <x:c r="N544" s="9" t="s">
        <x:v>33</x:v>
      </x:c>
      <x:c r="O544" s="16"/>
      <x:c r="P544" s="18"/>
      <x:c r="Q544" s="19"/>
    </x:row>
    <x:row r="545" ht="25.5">
      <x:c r="A545" s="92">
        <x:v>2021</x:v>
      </x:c>
      <x:c r="B545" s="92" t="s">
        <x:v>1321</x:v>
      </x:c>
      <x:c r="C545" s="92" t="e">
        <x:f>IFERROR(VLOOKUP(B545,Regiões!A:B,2,0),"")</x:f>
        <x:v>#NAME?</x:v>
      </x:c>
      <x:c r="D545" s="92" t="s">
        <x:v>1322</x:v>
      </x:c>
      <x:c r="E545" s="97" t="s">
        <x:v>305</x:v>
      </x:c>
      <x:c r="F545" s="94"/>
      <x:c r="G545" s="92" t="s">
        <x:v>305</x:v>
      </x:c>
      <x:c r="H545" s="95">
        <x:v>71220009</x:v>
      </x:c>
      <x:c r="I545" s="92" t="s">
        <x:v>25</x:v>
      </x:c>
      <x:c r="J545" s="92" t="s">
        <x:v>25</x:v>
      </x:c>
      <x:c r="K545" s="92" t="s">
        <x:v>32</x:v>
      </x:c>
      <x:c r="L545" s="96">
        <x:v>358785</x:v>
      </x:c>
      <x:c r="M545" s="96"/>
      <x:c r="N545" s="92" t="s">
        <x:v>64</x:v>
      </x:c>
      <x:c r="O545" s="92" t="s">
        <x:v>539</x:v>
      </x:c>
      <x:c r="P545" s="97" t="s">
        <x:v>1505</x:v>
      </x:c>
      <x:c r="Q545" s="98"/>
    </x:row>
    <x:row r="546" ht="51">
      <x:c r="A546" s="11">
        <x:v>2023</x:v>
      </x:c>
      <x:c r="B546" s="43" t="s">
        <x:v>124</x:v>
      </x:c>
      <x:c r="C546" s="11" t="e">
        <x:f>IFERROR(VLOOKUP(B546,Regiões!A:B,2,0),"")</x:f>
        <x:v>#NAME?</x:v>
      </x:c>
      <x:c r="D546" s="11" t="s">
        <x:v>1506</x:v>
      </x:c>
      <x:c r="E546" s="44" t="s">
        <x:v>93</x:v>
      </x:c>
      <x:c r="F546" s="99"/>
      <x:c r="G546" s="43" t="s">
        <x:v>1507</x:v>
      </x:c>
      <x:c r="H546" s="47"/>
      <x:c r="I546" s="11" t="s">
        <x:v>444</x:v>
      </x:c>
      <x:c r="J546" s="11" t="str">
        <x:f t="shared" ref="J546:J547" si="19">LEFT(I546,FIND(" (",I546) - 1)</x:f>
        <x:v>Saúde</x:v>
      </x:c>
      <x:c r="K546" s="11" t="s">
        <x:v>32</x:v>
      </x:c>
      <x:c r="L546" s="108">
        <x:v>359148</x:v>
      </x:c>
      <x:c r="M546" s="108"/>
      <x:c r="N546" s="11" t="s">
        <x:v>21</x:v>
      </x:c>
      <x:c r="O546" s="11" t="s">
        <x:v>49</x:v>
      </x:c>
      <x:c r="P546" s="49" t="s">
        <x:v>1508</x:v>
      </x:c>
      <x:c r="Q546" s="50"/>
    </x:row>
    <x:row r="547" ht="51">
      <x:c r="A547" s="11">
        <x:v>2023</x:v>
      </x:c>
      <x:c r="B547" s="43" t="s">
        <x:v>452</x:v>
      </x:c>
      <x:c r="C547" s="11" t="e">
        <x:f>IFERROR(VLOOKUP(B547,Regiões!A:B,2,0),"")</x:f>
        <x:v>#NAME?</x:v>
      </x:c>
      <x:c r="D547" s="11" t="s">
        <x:v>1509</x:v>
      </x:c>
      <x:c r="E547" s="44" t="s">
        <x:v>93</x:v>
      </x:c>
      <x:c r="F547" s="99"/>
      <x:c r="G547" s="43" t="s">
        <x:v>1510</x:v>
      </x:c>
      <x:c r="H547" s="47"/>
      <x:c r="I547" s="11" t="s">
        <x:v>444</x:v>
      </x:c>
      <x:c r="J547" s="11" t="str">
        <x:f t="shared" si="19"/>
        <x:v>Saúde</x:v>
      </x:c>
      <x:c r="K547" s="11" t="s">
        <x:v>32</x:v>
      </x:c>
      <x:c r="L547" s="108">
        <x:v>359148</x:v>
      </x:c>
      <x:c r="M547" s="108"/>
      <x:c r="N547" s="11" t="s">
        <x:v>21</x:v>
      </x:c>
      <x:c r="O547" s="11" t="s">
        <x:v>49</x:v>
      </x:c>
      <x:c r="P547" s="49" t="s">
        <x:v>1511</x:v>
      </x:c>
      <x:c r="Q547" s="50"/>
    </x:row>
    <x:row r="548" ht="38.25">
      <x:c r="A548" s="51">
        <x:v>2020</x:v>
      </x:c>
      <x:c r="B548" s="51" t="s">
        <x:v>51</x:v>
      </x:c>
      <x:c r="C548" s="11" t="e">
        <x:f>IFERROR(VLOOKUP(B548,Regiões!A:B,2,0),"")</x:f>
        <x:v>#NAME?</x:v>
      </x:c>
      <x:c r="D548" s="22" t="s">
        <x:v>1512</x:v>
      </x:c>
      <x:c r="E548" s="52" t="s">
        <x:v>93</x:v>
      </x:c>
      <x:c r="F548" s="53"/>
      <x:c r="G548" s="51" t="s">
        <x:v>1513</x:v>
      </x:c>
      <x:c r="H548" s="58">
        <x:v>41160005</x:v>
      </x:c>
      <x:c r="I548" s="51" t="s">
        <x:v>95</x:v>
      </x:c>
      <x:c r="J548" s="51" t="s">
        <x:v>40</x:v>
      </x:c>
      <x:c r="K548" s="51" t="s">
        <x:v>20</x:v>
      </x:c>
      <x:c r="L548" s="55">
        <x:v>360000</x:v>
      </x:c>
      <x:c r="M548" s="55"/>
      <x:c r="N548" s="51" t="s">
        <x:v>96</x:v>
      </x:c>
      <x:c r="O548" s="51" t="s">
        <x:v>26</x:v>
      </x:c>
      <x:c r="P548" s="52" t="s">
        <x:v>97</x:v>
      </x:c>
      <x:c r="Q548" s="62"/>
    </x:row>
    <x:row r="549" ht="51">
      <x:c r="A549" s="22">
        <x:v>2022</x:v>
      </x:c>
      <x:c r="B549" s="22" t="s">
        <x:v>386</x:v>
      </x:c>
      <x:c r="C549" s="11" t="e">
        <x:f>IFERROR(VLOOKUP(B549,Regiões!A:B,2,0),"")</x:f>
        <x:v>#NAME?</x:v>
      </x:c>
      <x:c r="D549" s="22" t="s">
        <x:v>1514</x:v>
      </x:c>
      <x:c r="E549" s="23" t="s">
        <x:v>93</x:v>
      </x:c>
      <x:c r="F549" s="83"/>
      <x:c r="G549" s="84" t="s">
        <x:v>1515</x:v>
      </x:c>
      <x:c r="H549" s="25">
        <x:v>41160003</x:v>
      </x:c>
      <x:c r="I549" s="22" t="s">
        <x:v>415</x:v>
      </x:c>
      <x:c r="J549" s="22" t="s">
        <x:v>40</x:v>
      </x:c>
      <x:c r="K549" s="22" t="s">
        <x:v>32</x:v>
      </x:c>
      <x:c r="L549" s="27">
        <x:v>360000</x:v>
      </x:c>
      <x:c r="M549" s="27"/>
      <x:c r="N549" s="22" t="s">
        <x:v>41</x:v>
      </x:c>
      <x:c r="O549" s="22" t="s">
        <x:v>26</x:v>
      </x:c>
      <x:c r="P549" s="28"/>
      <x:c r="Q549" s="29"/>
    </x:row>
    <x:row r="550" ht="51">
      <x:c r="A550" s="9">
        <x:v>2025</x:v>
      </x:c>
      <x:c r="B550" s="14" t="s">
        <x:v>1215</x:v>
      </x:c>
      <x:c r="C550" s="11" t="e">
        <x:f>IFERROR(VLOOKUP(B550,Regiões!A:B,2,0),"")</x:f>
        <x:v>#NAME?</x:v>
      </x:c>
      <x:c r="D550" s="11" t="s">
        <x:v>1516</x:v>
      </x:c>
      <x:c r="E550" s="12" t="s">
        <x:v>1517</x:v>
      </x:c>
      <x:c r="F550" s="13">
        <x:v>88625686003768</x:v>
      </x:c>
      <x:c r="G550" s="10" t="s">
        <x:v>1517</x:v>
      </x:c>
      <x:c r="H550" s="87">
        <x:v>41160004</x:v>
      </x:c>
      <x:c r="I550" s="9" t="s">
        <x:v>502</x:v>
      </x:c>
      <x:c r="J550" s="9" t="s">
        <x:v>40</x:v>
      </x:c>
      <x:c r="K550" s="16" t="s">
        <x:v>32</x:v>
      </x:c>
      <x:c r="L550" s="88">
        <x:v>360000</x:v>
      </x:c>
      <x:c r="M550" s="88"/>
      <x:c r="N550" s="11" t="s">
        <x:v>21</x:v>
      </x:c>
      <x:c r="O550" s="16"/>
      <x:c r="P550" s="111" t="s">
        <x:v>1518</x:v>
      </x:c>
      <x:c r="Q550" s="19"/>
    </x:row>
    <x:row r="551" ht="51">
      <x:c r="A551" s="9">
        <x:v>2025</x:v>
      </x:c>
      <x:c r="B551" s="14" t="s">
        <x:v>1519</x:v>
      </x:c>
      <x:c r="C551" s="11" t="e">
        <x:f>IFERROR(VLOOKUP(B551,Regiões!A:B,2,0),"")</x:f>
        <x:v>#NAME?</x:v>
      </x:c>
      <x:c r="D551" s="11" t="s">
        <x:v>1520</x:v>
      </x:c>
      <x:c r="E551" s="12" t="s">
        <x:v>1521</x:v>
      </x:c>
      <x:c r="F551" s="13">
        <x:v>12268064000157</x:v>
      </x:c>
      <x:c r="G551" s="14" t="s">
        <x:v>18</x:v>
      </x:c>
      <x:c r="H551" s="87">
        <x:v>41160004</x:v>
      </x:c>
      <x:c r="I551" s="9" t="s">
        <x:v>502</x:v>
      </x:c>
      <x:c r="J551" s="9" t="s">
        <x:v>40</x:v>
      </x:c>
      <x:c r="K551" s="16" t="s">
        <x:v>32</x:v>
      </x:c>
      <x:c r="L551" s="88">
        <x:v>361500</x:v>
      </x:c>
      <x:c r="M551" s="88"/>
      <x:c r="N551" s="11" t="s">
        <x:v>21</x:v>
      </x:c>
      <x:c r="O551" s="16"/>
      <x:c r="P551" s="111" t="s">
        <x:v>1522</x:v>
      </x:c>
      <x:c r="Q551" s="19"/>
    </x:row>
    <x:row r="552" ht="51">
      <x:c r="A552" s="11">
        <x:v>2023</x:v>
      </x:c>
      <x:c r="B552" s="43" t="s">
        <x:v>456</x:v>
      </x:c>
      <x:c r="C552" s="11" t="e">
        <x:f>IFERROR(VLOOKUP(B552,Regiões!A:B,2,0),"")</x:f>
        <x:v>#NAME?</x:v>
      </x:c>
      <x:c r="D552" s="11" t="s">
        <x:v>1523</x:v>
      </x:c>
      <x:c r="E552" s="44" t="s">
        <x:v>93</x:v>
      </x:c>
      <x:c r="F552" s="99"/>
      <x:c r="G552" s="43" t="s">
        <x:v>1524</x:v>
      </x:c>
      <x:c r="H552" s="47"/>
      <x:c r="I552" s="11" t="s">
        <x:v>444</x:v>
      </x:c>
      <x:c r="J552" s="11" t="str">
        <x:f t="shared" ref="J552:J553" si="20">LEFT(I552,FIND(" (",I552) - 1)</x:f>
        <x:v>Saúde</x:v>
      </x:c>
      <x:c r="K552" s="11" t="s">
        <x:v>32</x:v>
      </x:c>
      <x:c r="L552" s="108">
        <x:v>364000</x:v>
      </x:c>
      <x:c r="M552" s="108"/>
      <x:c r="N552" s="11" t="s">
        <x:v>21</x:v>
      </x:c>
      <x:c r="O552" s="11" t="s">
        <x:v>49</x:v>
      </x:c>
      <x:c r="P552" s="49" t="s">
        <x:v>1525</x:v>
      </x:c>
      <x:c r="Q552" s="50" t="s">
        <x:v>1526</x:v>
      </x:c>
    </x:row>
    <x:row r="553" ht="25.5">
      <x:c r="A553" s="11">
        <x:v>2023</x:v>
      </x:c>
      <x:c r="B553" s="66" t="s">
        <x:v>150</x:v>
      </x:c>
      <x:c r="C553" s="11" t="e">
        <x:f>IFERROR(VLOOKUP(B553,Regiões!A:B,2,0),"")</x:f>
        <x:v>#NAME?</x:v>
      </x:c>
      <x:c r="D553" s="11" t="s">
        <x:v>151</x:v>
      </x:c>
      <x:c r="E553" s="67" t="s">
        <x:v>42</x:v>
      </x:c>
      <x:c r="F553" s="68"/>
      <x:c r="G553" s="66" t="s">
        <x:v>1357</x:v>
      </x:c>
      <x:c r="H553" s="69"/>
      <x:c r="I553" s="11" t="s">
        <x:v>1202</x:v>
      </x:c>
      <x:c r="J553" s="11" t="str">
        <x:f t="shared" si="20"/>
        <x:v>Infraestrutura</x:v>
      </x:c>
      <x:c r="K553" s="11" t="s">
        <x:v>32</x:v>
      </x:c>
      <x:c r="L553" s="70">
        <x:v>366314</x:v>
      </x:c>
      <x:c r="M553" s="70"/>
      <x:c r="N553" s="11" t="s">
        <x:v>21</x:v>
      </x:c>
      <x:c r="O553" s="11" t="s">
        <x:v>49</x:v>
      </x:c>
      <x:c r="P553" s="67" t="s">
        <x:v>1527</x:v>
      </x:c>
      <x:c r="Q553" s="66"/>
    </x:row>
    <x:row r="554" ht="38.25">
      <x:c r="A554" s="22">
        <x:v>2022</x:v>
      </x:c>
      <x:c r="B554" s="22" t="s">
        <x:v>202</x:v>
      </x:c>
      <x:c r="C554" s="11" t="e">
        <x:f>IFERROR(VLOOKUP(B554,Regiões!A:B,2,0),"")</x:f>
        <x:v>#NAME?</x:v>
      </x:c>
      <x:c r="D554" s="22" t="s">
        <x:v>1528</x:v>
      </x:c>
      <x:c r="E554" s="23" t="s">
        <x:v>93</x:v>
      </x:c>
      <x:c r="F554" s="83"/>
      <x:c r="G554" s="84" t="s">
        <x:v>1529</x:v>
      </x:c>
      <x:c r="H554" s="25">
        <x:v>41160003</x:v>
      </x:c>
      <x:c r="I554" s="22" t="s">
        <x:v>415</x:v>
      </x:c>
      <x:c r="J554" s="22" t="s">
        <x:v>40</x:v>
      </x:c>
      <x:c r="K554" s="22" t="s">
        <x:v>32</x:v>
      </x:c>
      <x:c r="L554" s="27">
        <x:v>367500</x:v>
      </x:c>
      <x:c r="M554" s="27"/>
      <x:c r="N554" s="22" t="s">
        <x:v>41</x:v>
      </x:c>
      <x:c r="O554" s="22" t="s">
        <x:v>49</x:v>
      </x:c>
      <x:c r="P554" s="82" t="s">
        <x:v>424</x:v>
      </x:c>
      <x:c r="Q554" s="29"/>
    </x:row>
    <x:row r="555" ht="63.75">
      <x:c r="A555" s="9">
        <x:v>2025</x:v>
      </x:c>
      <x:c r="B555" s="14" t="s">
        <x:v>452</x:v>
      </x:c>
      <x:c r="C555" s="11" t="e">
        <x:f>IFERROR(VLOOKUP(B555,Regiões!A:B,2,0),"")</x:f>
        <x:v>#NAME?</x:v>
      </x:c>
      <x:c r="D555" s="11" t="s">
        <x:v>1530</x:v>
      </x:c>
      <x:c r="E555" s="12" t="s">
        <x:v>1531</x:v>
      </x:c>
      <x:c r="F555" s="13">
        <x:v>11776182000103</x:v>
      </x:c>
      <x:c r="G555" s="14" t="s">
        <x:v>18</x:v>
      </x:c>
      <x:c r="H555" s="87">
        <x:v>41160004</x:v>
      </x:c>
      <x:c r="I555" s="9" t="s">
        <x:v>502</x:v>
      </x:c>
      <x:c r="J555" s="9" t="s">
        <x:v>40</x:v>
      </x:c>
      <x:c r="K555" s="16" t="s">
        <x:v>32</x:v>
      </x:c>
      <x:c r="L555" s="88">
        <x:v>372527</x:v>
      </x:c>
      <x:c r="M555" s="88"/>
      <x:c r="N555" s="11" t="s">
        <x:v>21</x:v>
      </x:c>
      <x:c r="O555" s="16"/>
      <x:c r="P555" s="111" t="s">
        <x:v>1532</x:v>
      </x:c>
      <x:c r="Q555" s="19"/>
    </x:row>
    <x:row r="556" ht="63.75">
      <x:c r="A556" s="9">
        <x:v>2024</x:v>
      </x:c>
      <x:c r="B556" s="10" t="s">
        <x:v>1462</x:v>
      </x:c>
      <x:c r="C556" s="11" t="e">
        <x:f>IFERROR(VLOOKUP(B556,Regiões!A:B,2,0),"")</x:f>
        <x:v>#NAME?</x:v>
      </x:c>
      <x:c r="D556" s="11" t="s">
        <x:v>1533</x:v>
      </x:c>
      <x:c r="E556" s="12" t="str">
        <x:f t="shared" ref="E556:E561" si="21">G556&amp;" de "&amp;B556</x:f>
        <x:v>Prefeitura Municipal de Flores da Cunha</x:v>
      </x:c>
      <x:c r="F556" s="13"/>
      <x:c r="G556" s="14" t="s">
        <x:v>18</x:v>
      </x:c>
      <x:c r="H556" s="15">
        <x:v>41160005</x:v>
      </x:c>
      <x:c r="I556" s="9" t="s">
        <x:v>1109</x:v>
      </x:c>
      <x:c r="J556" s="9" t="s">
        <x:v>1109</x:v>
      </x:c>
      <x:c r="K556" s="16" t="s">
        <x:v>32</x:v>
      </x:c>
      <x:c r="L556" s="17">
        <x:v>384205</x:v>
      </x:c>
      <x:c r="M556" s="17"/>
      <x:c r="N556" s="11" t="s">
        <x:v>21</x:v>
      </x:c>
      <x:c r="O556" s="16"/>
      <x:c r="P556" s="18"/>
      <x:c r="Q556" s="19"/>
    </x:row>
    <x:row r="557" ht="38.25">
      <x:c r="A557" s="9">
        <x:v>2024</x:v>
      </x:c>
      <x:c r="B557" s="10" t="s">
        <x:v>225</x:v>
      </x:c>
      <x:c r="C557" s="11" t="e">
        <x:f>IFERROR(VLOOKUP(B557,Regiões!A:B,2,0),"")</x:f>
        <x:v>#NAME?</x:v>
      </x:c>
      <x:c r="D557" s="11" t="s">
        <x:v>226</x:v>
      </x:c>
      <x:c r="E557" s="12" t="str">
        <x:f t="shared" si="21"/>
        <x:v>Prefeitura Municipal de Imigrante</x:v>
      </x:c>
      <x:c r="F557" s="13"/>
      <x:c r="G557" s="14" t="s">
        <x:v>18</x:v>
      </x:c>
      <x:c r="H557" s="15">
        <x:v>41160005</x:v>
      </x:c>
      <x:c r="I557" s="9" t="s">
        <x:v>1109</x:v>
      </x:c>
      <x:c r="J557" s="9" t="s">
        <x:v>1109</x:v>
      </x:c>
      <x:c r="K557" s="16" t="s">
        <x:v>32</x:v>
      </x:c>
      <x:c r="L557" s="17">
        <x:v>384205</x:v>
      </x:c>
      <x:c r="M557" s="17"/>
      <x:c r="N557" s="11" t="s">
        <x:v>21</x:v>
      </x:c>
      <x:c r="O557" s="16"/>
      <x:c r="P557" s="18"/>
      <x:c r="Q557" s="19"/>
    </x:row>
    <x:row r="558" ht="51">
      <x:c r="A558" s="9">
        <x:v>2024</x:v>
      </x:c>
      <x:c r="B558" s="14" t="s">
        <x:v>1534</x:v>
      </x:c>
      <x:c r="C558" s="11" t="e">
        <x:f>IFERROR(VLOOKUP(B558,Regiões!A:B,2,0),"")</x:f>
        <x:v>#NAME?</x:v>
      </x:c>
      <x:c r="D558" s="11" t="s">
        <x:v>1535</x:v>
      </x:c>
      <x:c r="E558" s="12" t="str">
        <x:f t="shared" si="21"/>
        <x:v>Prefeitura Municipal de Maquiné</x:v>
      </x:c>
      <x:c r="F558" s="13"/>
      <x:c r="G558" s="14" t="s">
        <x:v>18</x:v>
      </x:c>
      <x:c r="H558" s="15">
        <x:v>41160005</x:v>
      </x:c>
      <x:c r="I558" s="9" t="s">
        <x:v>1109</x:v>
      </x:c>
      <x:c r="J558" s="9" t="s">
        <x:v>1109</x:v>
      </x:c>
      <x:c r="K558" s="16" t="s">
        <x:v>32</x:v>
      </x:c>
      <x:c r="L558" s="17">
        <x:v>384205</x:v>
      </x:c>
      <x:c r="M558" s="17"/>
      <x:c r="N558" s="11" t="s">
        <x:v>21</x:v>
      </x:c>
      <x:c r="O558" s="16"/>
      <x:c r="P558" s="18" t="s">
        <x:v>1536</x:v>
      </x:c>
      <x:c r="Q558" s="19"/>
    </x:row>
    <x:row r="559" ht="38.25">
      <x:c r="A559" s="9">
        <x:v>2024</x:v>
      </x:c>
      <x:c r="B559" s="10" t="s">
        <x:v>1537</x:v>
      </x:c>
      <x:c r="C559" s="11" t="e">
        <x:f>IFERROR(VLOOKUP(B559,Regiões!A:B,2,0),"")</x:f>
        <x:v>#NAME?</x:v>
      </x:c>
      <x:c r="D559" s="11" t="s">
        <x:v>1538</x:v>
      </x:c>
      <x:c r="E559" s="12" t="str">
        <x:f t="shared" si="21"/>
        <x:v>Prefeitura Municipal de Relvado</x:v>
      </x:c>
      <x:c r="F559" s="13"/>
      <x:c r="G559" s="14" t="s">
        <x:v>18</x:v>
      </x:c>
      <x:c r="H559" s="15">
        <x:v>41160005</x:v>
      </x:c>
      <x:c r="I559" s="9" t="s">
        <x:v>1109</x:v>
      </x:c>
      <x:c r="J559" s="9" t="s">
        <x:v>1109</x:v>
      </x:c>
      <x:c r="K559" s="16" t="s">
        <x:v>32</x:v>
      </x:c>
      <x:c r="L559" s="17">
        <x:v>384205</x:v>
      </x:c>
      <x:c r="M559" s="17"/>
      <x:c r="N559" s="11" t="s">
        <x:v>21</x:v>
      </x:c>
      <x:c r="O559" s="16"/>
      <x:c r="P559" s="18"/>
      <x:c r="Q559" s="19"/>
    </x:row>
    <x:row r="560" ht="63.75">
      <x:c r="A560" s="9">
        <x:v>2024</x:v>
      </x:c>
      <x:c r="B560" s="14" t="s">
        <x:v>848</x:v>
      </x:c>
      <x:c r="C560" s="11" t="e">
        <x:f>IFERROR(VLOOKUP(B560,Regiões!A:B,2,0),"")</x:f>
        <x:v>#NAME?</x:v>
      </x:c>
      <x:c r="D560" s="11" t="s">
        <x:v>1539</x:v>
      </x:c>
      <x:c r="E560" s="12" t="str">
        <x:f t="shared" si="21"/>
        <x:v>Prefeitura Municipal de São Martinho da Serra</x:v>
      </x:c>
      <x:c r="F560" s="13"/>
      <x:c r="G560" s="14" t="s">
        <x:v>18</x:v>
      </x:c>
      <x:c r="H560" s="15">
        <x:v>41160005</x:v>
      </x:c>
      <x:c r="I560" s="9" t="s">
        <x:v>1109</x:v>
      </x:c>
      <x:c r="J560" s="9" t="s">
        <x:v>1109</x:v>
      </x:c>
      <x:c r="K560" s="16" t="s">
        <x:v>32</x:v>
      </x:c>
      <x:c r="L560" s="17">
        <x:v>384205</x:v>
      </x:c>
      <x:c r="M560" s="17"/>
      <x:c r="N560" s="11" t="s">
        <x:v>21</x:v>
      </x:c>
      <x:c r="O560" s="16"/>
      <x:c r="P560" s="18"/>
      <x:c r="Q560" s="19"/>
    </x:row>
    <x:row r="561" ht="63.75">
      <x:c r="A561" s="9">
        <x:v>2024</x:v>
      </x:c>
      <x:c r="B561" s="10" t="s">
        <x:v>1540</x:v>
      </x:c>
      <x:c r="C561" s="11" t="e">
        <x:f>IFERROR(VLOOKUP(B561,Regiões!A:B,2,0),"")</x:f>
        <x:v>#NAME?</x:v>
      </x:c>
      <x:c r="D561" s="11" t="s">
        <x:v>1541</x:v>
      </x:c>
      <x:c r="E561" s="12" t="str">
        <x:f t="shared" si="21"/>
        <x:v>Prefeitura Municipal de Sobradinho</x:v>
      </x:c>
      <x:c r="F561" s="13"/>
      <x:c r="G561" s="14" t="s">
        <x:v>18</x:v>
      </x:c>
      <x:c r="H561" s="15">
        <x:v>41160005</x:v>
      </x:c>
      <x:c r="I561" s="9" t="s">
        <x:v>1109</x:v>
      </x:c>
      <x:c r="J561" s="9" t="s">
        <x:v>1109</x:v>
      </x:c>
      <x:c r="K561" s="16" t="s">
        <x:v>32</x:v>
      </x:c>
      <x:c r="L561" s="17">
        <x:v>384205</x:v>
      </x:c>
      <x:c r="M561" s="17"/>
      <x:c r="N561" s="11" t="s">
        <x:v>21</x:v>
      </x:c>
      <x:c r="O561" s="16"/>
      <x:c r="P561" s="18"/>
      <x:c r="Q561" s="19"/>
    </x:row>
    <x:row r="562" ht="25.5">
      <x:c r="A562" s="36">
        <x:v>2022</x:v>
      </x:c>
      <x:c r="B562" s="147" t="s">
        <x:v>352</x:v>
      </x:c>
      <x:c r="C562" s="11" t="e">
        <x:f>IFERROR(VLOOKUP(B562,Regiões!A:B,2,0),"")</x:f>
        <x:v>#NAME?</x:v>
      </x:c>
      <x:c r="D562" s="22" t="s">
        <x:v>1542</x:v>
      </x:c>
      <x:c r="E562" s="41" t="s">
        <x:v>1093</x:v>
      </x:c>
      <x:c r="F562" s="148"/>
      <x:c r="G562" s="149" t="s">
        <x:v>29</x:v>
      </x:c>
      <x:c r="H562" s="81">
        <x:v>41160001</x:v>
      </x:c>
      <x:c r="I562" s="36" t="s">
        <x:v>31</x:v>
      </x:c>
      <x:c r="J562" s="36" t="s">
        <x:v>25</x:v>
      </x:c>
      <x:c r="K562" s="36" t="s">
        <x:v>32</x:v>
      </x:c>
      <x:c r="L562" s="145">
        <x:v>384370.17</x:v>
      </x:c>
      <x:c r="M562" s="145"/>
      <x:c r="N562" s="36" t="s">
        <x:v>64</x:v>
      </x:c>
      <x:c r="O562" s="36" t="s">
        <x:v>1543</x:v>
      </x:c>
      <x:c r="P562" s="146" t="s">
        <x:v>1544</x:v>
      </x:c>
      <x:c r="Q562" s="42"/>
    </x:row>
    <x:row r="563" ht="25.5">
      <x:c r="A563" s="36">
        <x:v>2022</x:v>
      </x:c>
      <x:c r="B563" s="144" t="s">
        <x:v>1545</x:v>
      </x:c>
      <x:c r="C563" s="11" t="e">
        <x:f>IFERROR(VLOOKUP(B563,Regiões!A:B,2,0),"")</x:f>
        <x:v>#NAME?</x:v>
      </x:c>
      <x:c r="D563" s="22" t="s">
        <x:v>1546</x:v>
      </x:c>
      <x:c r="E563" s="41" t="s">
        <x:v>1093</x:v>
      </x:c>
      <x:c r="F563" s="38"/>
      <x:c r="G563" s="36" t="s">
        <x:v>305</x:v>
      </x:c>
      <x:c r="H563" s="81">
        <x:v>41160001</x:v>
      </x:c>
      <x:c r="I563" s="36" t="s">
        <x:v>25</x:v>
      </x:c>
      <x:c r="J563" s="36" t="s">
        <x:v>25</x:v>
      </x:c>
      <x:c r="K563" s="36" t="s">
        <x:v>32</x:v>
      </x:c>
      <x:c r="L563" s="145">
        <x:v>384370.17</x:v>
      </x:c>
      <x:c r="M563" s="145"/>
      <x:c r="N563" s="36" t="s">
        <x:v>41</x:v>
      </x:c>
      <x:c r="O563" s="36" t="s">
        <x:v>1547</x:v>
      </x:c>
      <x:c r="P563" s="146" t="s">
        <x:v>1544</x:v>
      </x:c>
      <x:c r="Q563" s="42"/>
    </x:row>
    <x:row r="564" ht="409.5">
      <x:c r="A564" s="36">
        <x:v>2022</x:v>
      </x:c>
      <x:c r="B564" s="144" t="s">
        <x:v>470</x:v>
      </x:c>
      <x:c r="C564" s="11" t="e">
        <x:f>IFERROR(VLOOKUP(B564,Regiões!A:B,2,0),"")</x:f>
        <x:v>#NAME?</x:v>
      </x:c>
      <x:c r="D564" s="22" t="s">
        <x:v>1548</x:v>
      </x:c>
      <x:c r="E564" s="41" t="s">
        <x:v>1093</x:v>
      </x:c>
      <x:c r="F564" s="190"/>
      <x:c r="G564" s="144" t="s">
        <x:v>305</x:v>
      </x:c>
      <x:c r="H564" s="39">
        <x:v>41160001</x:v>
      </x:c>
      <x:c r="I564" s="36" t="s">
        <x:v>25</x:v>
      </x:c>
      <x:c r="J564" s="36" t="s">
        <x:v>25</x:v>
      </x:c>
      <x:c r="K564" s="36" t="s">
        <x:v>32</x:v>
      </x:c>
      <x:c r="L564" s="145">
        <x:v>384370.17</x:v>
      </x:c>
      <x:c r="M564" s="145"/>
      <x:c r="N564" s="36" t="s">
        <x:v>1549</x:v>
      </x:c>
      <x:c r="O564" s="36" t="s">
        <x:v>49</x:v>
      </x:c>
      <x:c r="P564" s="146" t="s">
        <x:v>1544</x:v>
      </x:c>
      <x:c r="Q564" s="42" t="s">
        <x:v>1550</x:v>
      </x:c>
    </x:row>
    <x:row r="565" ht="25.5">
      <x:c r="A565" s="36">
        <x:v>2022</x:v>
      </x:c>
      <x:c r="B565" s="144" t="s">
        <x:v>386</x:v>
      </x:c>
      <x:c r="C565" s="11" t="e">
        <x:f>IFERROR(VLOOKUP(B565,Regiões!A:B,2,0),"")</x:f>
        <x:v>#NAME?</x:v>
      </x:c>
      <x:c r="D565" s="22" t="s">
        <x:v>1551</x:v>
      </x:c>
      <x:c r="E565" s="41" t="s">
        <x:v>1093</x:v>
      </x:c>
      <x:c r="F565" s="148"/>
      <x:c r="G565" s="149" t="s">
        <x:v>29</x:v>
      </x:c>
      <x:c r="H565" s="81">
        <x:v>41160001</x:v>
      </x:c>
      <x:c r="I565" s="36" t="s">
        <x:v>25</x:v>
      </x:c>
      <x:c r="J565" s="36" t="s">
        <x:v>25</x:v>
      </x:c>
      <x:c r="K565" s="36" t="s">
        <x:v>32</x:v>
      </x:c>
      <x:c r="L565" s="145">
        <x:v>384370.17</x:v>
      </x:c>
      <x:c r="M565" s="145"/>
      <x:c r="N565" s="36" t="s">
        <x:v>41</x:v>
      </x:c>
      <x:c r="O565" s="36" t="s">
        <x:v>26</x:v>
      </x:c>
      <x:c r="P565" s="146" t="s">
        <x:v>1544</x:v>
      </x:c>
      <x:c r="Q565" s="42"/>
    </x:row>
    <x:row r="566" ht="38.25">
      <x:c r="A566" s="36">
        <x:v>2022</x:v>
      </x:c>
      <x:c r="B566" s="147" t="s">
        <x:v>1552</x:v>
      </x:c>
      <x:c r="C566" s="11" t="e">
        <x:f>IFERROR(VLOOKUP(B566,Regiões!A:B,2,0),"")</x:f>
        <x:v>#NAME?</x:v>
      </x:c>
      <x:c r="D566" s="22" t="s">
        <x:v>1553</x:v>
      </x:c>
      <x:c r="E566" s="41" t="s">
        <x:v>1093</x:v>
      </x:c>
      <x:c r="F566" s="148"/>
      <x:c r="G566" s="149" t="s">
        <x:v>1554</x:v>
      </x:c>
      <x:c r="H566" s="81">
        <x:v>41160001</x:v>
      </x:c>
      <x:c r="I566" s="36" t="s">
        <x:v>25</x:v>
      </x:c>
      <x:c r="J566" s="36" t="s">
        <x:v>25</x:v>
      </x:c>
      <x:c r="K566" s="36" t="s">
        <x:v>32</x:v>
      </x:c>
      <x:c r="L566" s="145">
        <x:v>384370.17</x:v>
      </x:c>
      <x:c r="M566" s="145"/>
      <x:c r="N566" s="36" t="s">
        <x:v>41</x:v>
      </x:c>
      <x:c r="O566" s="36" t="s">
        <x:v>49</x:v>
      </x:c>
      <x:c r="P566" s="146" t="s">
        <x:v>1544</x:v>
      </x:c>
      <x:c r="Q566" s="42"/>
    </x:row>
    <x:row r="567" ht="25.5">
      <x:c r="A567" s="9">
        <x:v>2026</x:v>
      </x:c>
      <x:c r="B567" s="14" t="s">
        <x:v>1555</x:v>
      </x:c>
      <x:c r="C567" s="11" t="e">
        <x:f>IFERROR(VLOOKUP(B567,Regiões!A:B,2,0),"")</x:f>
        <x:v>#NAME?</x:v>
      </x:c>
      <x:c r="D567" s="11"/>
      <x:c r="E567" s="20" t="s">
        <x:v>1556</x:v>
      </x:c>
      <x:c r="F567" s="13">
        <x:v>12014000000120</x:v>
      </x:c>
      <x:c r="G567" s="14" t="s">
        <x:v>1557</x:v>
      </x:c>
      <x:c r="H567" s="15">
        <x:v>41160013</x:v>
      </x:c>
      <x:c r="I567" s="9" t="s">
        <x:v>40</x:v>
      </x:c>
      <x:c r="J567" s="9" t="s">
        <x:v>40</x:v>
      </x:c>
      <x:c r="K567" s="16" t="s">
        <x:v>1003</x:v>
      </x:c>
      <x:c r="L567" s="17">
        <x:v>390000</x:v>
      </x:c>
      <x:c r="M567" s="17"/>
      <x:c r="N567" s="9" t="s">
        <x:v>33</x:v>
      </x:c>
      <x:c r="O567" s="16"/>
      <x:c r="P567" s="18"/>
      <x:c r="Q567" s="19"/>
    </x:row>
    <x:row r="568" ht="38.25">
      <x:c r="A568" s="9">
        <x:v>2026</x:v>
      </x:c>
      <x:c r="B568" s="14" t="s">
        <x:v>323</x:v>
      </x:c>
      <x:c r="C568" s="11" t="e">
        <x:f>IFERROR(VLOOKUP(B568,Regiões!A:B,2,0),"")</x:f>
        <x:v>#NAME?</x:v>
      </x:c>
      <x:c r="D568" s="11" t="s">
        <x:v>1558</x:v>
      </x:c>
      <x:c r="E568" s="20" t="s">
        <x:v>1412</x:v>
      </x:c>
      <x:c r="F568" s="13">
        <x:v>92962869000720</x:v>
      </x:c>
      <x:c r="G568" s="14" t="s">
        <x:v>1559</x:v>
      </x:c>
      <x:c r="H568" s="15">
        <x:v>41160003</x:v>
      </x:c>
      <x:c r="I568" s="9" t="s">
        <x:v>976</x:v>
      </x:c>
      <x:c r="J568" s="2" t="s">
        <x:v>40</x:v>
      </x:c>
      <x:c r="K568" s="16" t="s">
        <x:v>32</x:v>
      </x:c>
      <x:c r="L568" s="17">
        <x:v>393334</x:v>
      </x:c>
      <x:c r="M568" s="17"/>
      <x:c r="N568" s="9" t="s">
        <x:v>33</x:v>
      </x:c>
      <x:c r="O568" s="16"/>
      <x:c r="P568" s="18"/>
      <x:c r="Q568" s="19"/>
    </x:row>
    <x:row r="569" ht="51">
      <x:c r="A569" s="9">
        <x:v>2024</x:v>
      </x:c>
      <x:c r="B569" s="10" t="s">
        <x:v>1545</x:v>
      </x:c>
      <x:c r="C569" s="11" t="e">
        <x:f>IFERROR(VLOOKUP(B569,Regiões!A:B,2,0),"")</x:f>
        <x:v>#NAME?</x:v>
      </x:c>
      <x:c r="D569" s="11" t="s">
        <x:v>1560</x:v>
      </x:c>
      <x:c r="E569" s="12" t="str">
        <x:f t="shared" ref="E569:E572" si="22">G569&amp;" de "&amp;B569</x:f>
        <x:v>Prefeitura Municipal de Cachoeirinha</x:v>
      </x:c>
      <x:c r="F569" s="13"/>
      <x:c r="G569" s="14" t="s">
        <x:v>18</x:v>
      </x:c>
      <x:c r="H569" s="15">
        <x:v>41160004</x:v>
      </x:c>
      <x:c r="I569" s="9" t="s">
        <x:v>285</x:v>
      </x:c>
      <x:c r="J569" s="9" t="s">
        <x:v>40</x:v>
      </x:c>
      <x:c r="K569" s="16" t="s">
        <x:v>32</x:v>
      </x:c>
      <x:c r="L569" s="17">
        <x:v>398907</x:v>
      </x:c>
      <x:c r="M569" s="17"/>
      <x:c r="N569" s="11" t="s">
        <x:v>21</x:v>
      </x:c>
      <x:c r="O569" s="16"/>
      <x:c r="P569" s="18"/>
      <x:c r="Q569" s="19"/>
    </x:row>
    <x:row r="570" ht="51">
      <x:c r="A570" s="9">
        <x:v>2024</x:v>
      </x:c>
      <x:c r="B570" s="10" t="s">
        <x:v>452</x:v>
      </x:c>
      <x:c r="C570" s="11" t="e">
        <x:f>IFERROR(VLOOKUP(B570,Regiões!A:B,2,0),"")</x:f>
        <x:v>#NAME?</x:v>
      </x:c>
      <x:c r="D570" s="11" t="s">
        <x:v>1561</x:v>
      </x:c>
      <x:c r="E570" s="12" t="str">
        <x:f t="shared" si="22"/>
        <x:v>Prefeitura Municipal de Santa Cruz do Sul</x:v>
      </x:c>
      <x:c r="F570" s="13"/>
      <x:c r="G570" s="14" t="s">
        <x:v>18</x:v>
      </x:c>
      <x:c r="H570" s="15">
        <x:v>41160004</x:v>
      </x:c>
      <x:c r="I570" s="9" t="s">
        <x:v>285</x:v>
      </x:c>
      <x:c r="J570" s="9" t="s">
        <x:v>40</x:v>
      </x:c>
      <x:c r="K570" s="16" t="s">
        <x:v>32</x:v>
      </x:c>
      <x:c r="L570" s="17">
        <x:v>399815</x:v>
      </x:c>
      <x:c r="M570" s="17"/>
      <x:c r="N570" s="11" t="s">
        <x:v>21</x:v>
      </x:c>
      <x:c r="O570" s="16"/>
      <x:c r="P570" s="18"/>
      <x:c r="Q570" s="19"/>
    </x:row>
    <x:row r="571" ht="51">
      <x:c r="A571" s="9">
        <x:v>2024</x:v>
      </x:c>
      <x:c r="B571" s="14" t="s">
        <x:v>456</x:v>
      </x:c>
      <x:c r="C571" s="11" t="e">
        <x:f>IFERROR(VLOOKUP(B571,Regiões!A:B,2,0),"")</x:f>
        <x:v>#NAME?</x:v>
      </x:c>
      <x:c r="D571" s="11" t="s">
        <x:v>1562</x:v>
      </x:c>
      <x:c r="E571" s="12" t="str">
        <x:f t="shared" si="22"/>
        <x:v>Prefeitura Municipal de Guaíba</x:v>
      </x:c>
      <x:c r="F571" s="13"/>
      <x:c r="G571" s="14" t="s">
        <x:v>18</x:v>
      </x:c>
      <x:c r="H571" s="15">
        <x:v>41160004</x:v>
      </x:c>
      <x:c r="I571" s="9" t="s">
        <x:v>285</x:v>
      </x:c>
      <x:c r="J571" s="9" t="s">
        <x:v>40</x:v>
      </x:c>
      <x:c r="K571" s="16" t="s">
        <x:v>32</x:v>
      </x:c>
      <x:c r="L571" s="17">
        <x:v>399839</x:v>
      </x:c>
      <x:c r="M571" s="17"/>
      <x:c r="N571" s="11" t="s">
        <x:v>21</x:v>
      </x:c>
      <x:c r="O571" s="16"/>
      <x:c r="P571" s="18"/>
      <x:c r="Q571" s="19"/>
    </x:row>
    <x:row r="572" ht="89.25">
      <x:c r="A572" s="9">
        <x:v>2024</x:v>
      </x:c>
      <x:c r="B572" s="10" t="s">
        <x:v>22</x:v>
      </x:c>
      <x:c r="C572" s="11" t="e">
        <x:f>IFERROR(VLOOKUP(B572,Regiões!A:B,2,0),"")</x:f>
        <x:v>#NAME?</x:v>
      </x:c>
      <x:c r="D572" s="11" t="s">
        <x:v>1563</x:v>
      </x:c>
      <x:c r="E572" s="12" t="str">
        <x:f t="shared" si="22"/>
        <x:v>Prefeitura Municipal de Rio Grande</x:v>
      </x:c>
      <x:c r="F572" s="13"/>
      <x:c r="G572" s="14" t="s">
        <x:v>18</x:v>
      </x:c>
      <x:c r="H572" s="15">
        <x:v>41160004</x:v>
      </x:c>
      <x:c r="I572" s="9" t="s">
        <x:v>285</x:v>
      </x:c>
      <x:c r="J572" s="9" t="s">
        <x:v>40</x:v>
      </x:c>
      <x:c r="K572" s="16" t="s">
        <x:v>32</x:v>
      </x:c>
      <x:c r="L572" s="17">
        <x:v>399989</x:v>
      </x:c>
      <x:c r="M572" s="17"/>
      <x:c r="N572" s="11" t="s">
        <x:v>21</x:v>
      </x:c>
      <x:c r="O572" s="16"/>
      <x:c r="P572" s="18"/>
      <x:c r="Q572" s="19"/>
    </x:row>
    <x:row r="573" ht="25.5">
      <x:c r="A573" s="22">
        <x:v>2021</x:v>
      </x:c>
      <x:c r="B573" s="30" t="s">
        <x:v>350</x:v>
      </x:c>
      <x:c r="C573" s="11" t="e">
        <x:f>IFERROR(VLOOKUP(B573,Regiões!A:B,2,0),"")</x:f>
        <x:v>#NAME?</x:v>
      </x:c>
      <x:c r="D573" s="22" t="s">
        <x:v>1564</x:v>
      </x:c>
      <x:c r="E573" s="23" t="s">
        <x:v>93</x:v>
      </x:c>
      <x:c r="F573" s="31"/>
      <x:c r="G573" s="30" t="s">
        <x:v>1565</x:v>
      </x:c>
      <x:c r="H573" s="34">
        <x:v>41160003</x:v>
      </x:c>
      <x:c r="I573" s="22" t="s">
        <x:v>95</x:v>
      </x:c>
      <x:c r="J573" s="22" t="s">
        <x:v>40</x:v>
      </x:c>
      <x:c r="K573" s="22" t="s">
        <x:v>20</x:v>
      </x:c>
      <x:c r="L573" s="26">
        <x:v>400000</x:v>
      </x:c>
      <x:c r="M573" s="26"/>
      <x:c r="N573" s="22" t="s">
        <x:v>301</x:v>
      </x:c>
      <x:c r="O573" s="22" t="s">
        <x:v>1297</x:v>
      </x:c>
      <x:c r="P573" s="35" t="s">
        <x:v>1566</x:v>
      </x:c>
      <x:c r="Q573" s="29"/>
    </x:row>
    <x:row r="574" ht="51">
      <x:c r="A574" s="22">
        <x:v>2021</x:v>
      </x:c>
      <x:c r="B574" s="30" t="s">
        <x:v>1567</x:v>
      </x:c>
      <x:c r="C574" s="11" t="e">
        <x:f>IFERROR(VLOOKUP(B574,Regiões!A:B,2,0),"")</x:f>
        <x:v>#NAME?</x:v>
      </x:c>
      <x:c r="D574" s="22" t="s">
        <x:v>1568</x:v>
      </x:c>
      <x:c r="E574" s="23"/>
      <x:c r="F574" s="31"/>
      <x:c r="G574" s="30" t="s">
        <x:v>506</x:v>
      </x:c>
      <x:c r="H574" s="197"/>
      <x:c r="I574" s="22" t="s">
        <x:v>40</x:v>
      </x:c>
      <x:c r="J574" s="22" t="s">
        <x:v>40</x:v>
      </x:c>
      <x:c r="K574" s="22"/>
      <x:c r="L574" s="26">
        <x:v>400000</x:v>
      </x:c>
      <x:c r="M574" s="26"/>
      <x:c r="N574" s="22" t="s">
        <x:v>301</x:v>
      </x:c>
      <x:c r="O574" s="22" t="s">
        <x:v>26</x:v>
      </x:c>
      <x:c r="P574" s="35" t="s">
        <x:v>1569</x:v>
      </x:c>
      <x:c r="Q574" s="29"/>
    </x:row>
    <x:row r="575" ht="38.25">
      <x:c r="A575" s="22">
        <x:v>2021</x:v>
      </x:c>
      <x:c r="B575" s="22" t="s">
        <x:v>51</x:v>
      </x:c>
      <x:c r="C575" s="11" t="e">
        <x:f>IFERROR(VLOOKUP(B575,Regiões!A:B,2,0),"")</x:f>
        <x:v>#NAME?</x:v>
      </x:c>
      <x:c r="D575" s="22" t="s">
        <x:v>52</x:v>
      </x:c>
      <x:c r="E575" s="23" t="s">
        <x:v>53</x:v>
      </x:c>
      <x:c r="F575" s="24"/>
      <x:c r="G575" s="22" t="s">
        <x:v>53</x:v>
      </x:c>
      <x:c r="H575" s="34">
        <x:v>41160001</x:v>
      </x:c>
      <x:c r="I575" s="22" t="s">
        <x:v>31</x:v>
      </x:c>
      <x:c r="J575" s="22" t="s">
        <x:v>25</x:v>
      </x:c>
      <x:c r="K575" s="22" t="s">
        <x:v>32</x:v>
      </x:c>
      <x:c r="L575" s="26">
        <x:v>400000</x:v>
      </x:c>
      <x:c r="M575" s="26"/>
      <x:c r="N575" s="22" t="s">
        <x:v>33</x:v>
      </x:c>
      <x:c r="O575" s="22" t="s">
        <x:v>49</x:v>
      </x:c>
      <x:c r="P575" s="74" t="s">
        <x:v>1570</x:v>
      </x:c>
      <x:c r="Q575" s="29"/>
    </x:row>
    <x:row r="576" ht="51">
      <x:c r="A576" s="11">
        <x:v>2023</x:v>
      </x:c>
      <x:c r="B576" s="66" t="s">
        <x:v>291</x:v>
      </x:c>
      <x:c r="C576" s="11" t="e">
        <x:f>IFERROR(VLOOKUP(B576,Regiões!A:B,2,0),"")</x:f>
        <x:v>#NAME?</x:v>
      </x:c>
      <x:c r="D576" s="11" t="s">
        <x:v>1142</x:v>
      </x:c>
      <x:c r="E576" s="67" t="s">
        <x:v>42</x:v>
      </x:c>
      <x:c r="F576" s="68"/>
      <x:c r="G576" s="66" t="s">
        <x:v>1490</x:v>
      </x:c>
      <x:c r="H576" s="69"/>
      <x:c r="I576" s="11" t="s">
        <x:v>1202</x:v>
      </x:c>
      <x:c r="J576" s="11" t="str">
        <x:f t="shared" ref="J576:J578" si="23">LEFT(I576,FIND(" (",I576) - 1)</x:f>
        <x:v>Infraestrutura</x:v>
      </x:c>
      <x:c r="K576" s="11" t="s">
        <x:v>32</x:v>
      </x:c>
      <x:c r="L576" s="70">
        <x:v>400000</x:v>
      </x:c>
      <x:c r="M576" s="70"/>
      <x:c r="N576" s="11" t="s">
        <x:v>21</x:v>
      </x:c>
      <x:c r="O576" s="11" t="s">
        <x:v>49</x:v>
      </x:c>
      <x:c r="P576" s="67" t="s">
        <x:v>1571</x:v>
      </x:c>
      <x:c r="Q576" s="66"/>
    </x:row>
    <x:row r="577" ht="51">
      <x:c r="A577" s="11">
        <x:v>2023</x:v>
      </x:c>
      <x:c r="B577" s="66" t="s">
        <x:v>198</x:v>
      </x:c>
      <x:c r="C577" s="11" t="e">
        <x:f>IFERROR(VLOOKUP(B577,Regiões!A:B,2,0),"")</x:f>
        <x:v>#NAME?</x:v>
      </x:c>
      <x:c r="D577" s="11" t="s">
        <x:v>199</x:v>
      </x:c>
      <x:c r="E577" s="67" t="s">
        <x:v>42</x:v>
      </x:c>
      <x:c r="F577" s="68"/>
      <x:c r="G577" s="66" t="s">
        <x:v>1572</x:v>
      </x:c>
      <x:c r="H577" s="69"/>
      <x:c r="I577" s="11" t="s">
        <x:v>444</x:v>
      </x:c>
      <x:c r="J577" s="11" t="str">
        <x:f t="shared" si="23"/>
        <x:v>Saúde</x:v>
      </x:c>
      <x:c r="K577" s="11" t="s">
        <x:v>32</x:v>
      </x:c>
      <x:c r="L577" s="70">
        <x:v>400000</x:v>
      </x:c>
      <x:c r="M577" s="70"/>
      <x:c r="N577" s="11" t="s">
        <x:v>21</x:v>
      </x:c>
      <x:c r="O577" s="11" t="s">
        <x:v>49</x:v>
      </x:c>
      <x:c r="P577" s="67" t="s">
        <x:v>1573</x:v>
      </x:c>
      <x:c r="Q577" s="66"/>
    </x:row>
    <x:row r="578" ht="25.5">
      <x:c r="A578" s="11">
        <x:v>2023</x:v>
      </x:c>
      <x:c r="B578" s="66" t="s">
        <x:v>286</x:v>
      </x:c>
      <x:c r="C578" s="11" t="e">
        <x:f>IFERROR(VLOOKUP(B578,Regiões!A:B,2,0),"")</x:f>
        <x:v>#NAME?</x:v>
      </x:c>
      <x:c r="D578" s="11" t="s">
        <x:v>402</x:v>
      </x:c>
      <x:c r="E578" s="67" t="s">
        <x:v>42</x:v>
      </x:c>
      <x:c r="F578" s="68"/>
      <x:c r="G578" s="66" t="s">
        <x:v>1574</x:v>
      </x:c>
      <x:c r="H578" s="69"/>
      <x:c r="I578" s="11" t="s">
        <x:v>239</x:v>
      </x:c>
      <x:c r="J578" s="11" t="str">
        <x:f t="shared" si="23"/>
        <x:v>Segurança Pública</x:v>
      </x:c>
      <x:c r="K578" s="11" t="s">
        <x:v>32</x:v>
      </x:c>
      <x:c r="L578" s="70">
        <x:v>400000</x:v>
      </x:c>
      <x:c r="M578" s="70"/>
      <x:c r="N578" s="11" t="s">
        <x:v>21</x:v>
      </x:c>
      <x:c r="O578" s="11" t="s">
        <x:v>26</x:v>
      </x:c>
      <x:c r="P578" s="67" t="s">
        <x:v>1575</x:v>
      </x:c>
      <x:c r="Q578" s="66"/>
    </x:row>
    <x:row r="579" ht="51">
      <x:c r="A579" s="9">
        <x:v>2024</x:v>
      </x:c>
      <x:c r="B579" s="10" t="s">
        <x:v>310</x:v>
      </x:c>
      <x:c r="C579" s="11" t="e">
        <x:f>IFERROR(VLOOKUP(B579,Regiões!A:B,2,0),"")</x:f>
        <x:v>#NAME?</x:v>
      </x:c>
      <x:c r="D579" s="11" t="s">
        <x:v>1576</x:v>
      </x:c>
      <x:c r="E579" s="12" t="str">
        <x:f t="shared" ref="E579:E581" si="24">G579&amp;" de "&amp;B579</x:f>
        <x:v>Prefeitura Municipal de Alvorada</x:v>
      </x:c>
      <x:c r="F579" s="13"/>
      <x:c r="G579" s="14" t="s">
        <x:v>18</x:v>
      </x:c>
      <x:c r="H579" s="15">
        <x:v>41160001</x:v>
      </x:c>
      <x:c r="I579" s="9" t="s">
        <x:v>58</x:v>
      </x:c>
      <x:c r="J579" s="9" t="s">
        <x:v>40</x:v>
      </x:c>
      <x:c r="K579" s="16" t="s">
        <x:v>20</x:v>
      </x:c>
      <x:c r="L579" s="17">
        <x:v>400000</x:v>
      </x:c>
      <x:c r="M579" s="17"/>
      <x:c r="N579" s="11" t="s">
        <x:v>21</x:v>
      </x:c>
      <x:c r="O579" s="16"/>
      <x:c r="P579" s="18"/>
      <x:c r="Q579" s="19"/>
    </x:row>
    <x:row r="580" ht="63.75">
      <x:c r="A580" s="9">
        <x:v>2024</x:v>
      </x:c>
      <x:c r="B580" s="10" t="s">
        <x:v>150</x:v>
      </x:c>
      <x:c r="C580" s="11" t="e">
        <x:f>IFERROR(VLOOKUP(B580,Regiões!A:B,2,0),"")</x:f>
        <x:v>#NAME?</x:v>
      </x:c>
      <x:c r="D580" s="11" t="s">
        <x:v>1577</x:v>
      </x:c>
      <x:c r="E580" s="12" t="str">
        <x:f t="shared" si="24"/>
        <x:v>Prefeitura Municipal de Igrejinha</x:v>
      </x:c>
      <x:c r="F580" s="13"/>
      <x:c r="G580" s="14" t="s">
        <x:v>18</x:v>
      </x:c>
      <x:c r="H580" s="15">
        <x:v>41160001</x:v>
      </x:c>
      <x:c r="I580" s="9" t="s">
        <x:v>58</x:v>
      </x:c>
      <x:c r="J580" s="9" t="s">
        <x:v>40</x:v>
      </x:c>
      <x:c r="K580" s="16" t="s">
        <x:v>20</x:v>
      </x:c>
      <x:c r="L580" s="17">
        <x:v>400000</x:v>
      </x:c>
      <x:c r="M580" s="17"/>
      <x:c r="N580" s="11" t="s">
        <x:v>21</x:v>
      </x:c>
      <x:c r="O580" s="16"/>
      <x:c r="P580" s="18"/>
      <x:c r="Q580" s="19"/>
    </x:row>
    <x:row r="581" ht="89.25">
      <x:c r="A581" s="9">
        <x:v>2024</x:v>
      </x:c>
      <x:c r="B581" s="14" t="s">
        <x:v>192</x:v>
      </x:c>
      <x:c r="C581" s="11" t="e">
        <x:f>IFERROR(VLOOKUP(B581,Regiões!A:B,2,0),"")</x:f>
        <x:v>#NAME?</x:v>
      </x:c>
      <x:c r="D581" s="11" t="s">
        <x:v>1578</x:v>
      </x:c>
      <x:c r="E581" s="12" t="str">
        <x:f t="shared" si="24"/>
        <x:v>Prefeitura Municipal de São Luiz Gonzaga</x:v>
      </x:c>
      <x:c r="F581" s="13"/>
      <x:c r="G581" s="14" t="s">
        <x:v>18</x:v>
      </x:c>
      <x:c r="H581" s="15">
        <x:v>41160001</x:v>
      </x:c>
      <x:c r="I581" s="9" t="s">
        <x:v>58</x:v>
      </x:c>
      <x:c r="J581" s="9" t="s">
        <x:v>40</x:v>
      </x:c>
      <x:c r="K581" s="16" t="s">
        <x:v>20</x:v>
      </x:c>
      <x:c r="L581" s="17">
        <x:v>400000</x:v>
      </x:c>
      <x:c r="M581" s="17"/>
      <x:c r="N581" s="11" t="s">
        <x:v>21</x:v>
      </x:c>
      <x:c r="O581" s="16"/>
      <x:c r="P581" s="18"/>
      <x:c r="Q581" s="19"/>
    </x:row>
    <x:row r="582" ht="63.75">
      <x:c r="A582" s="9">
        <x:v>2025</x:v>
      </x:c>
      <x:c r="B582" s="14" t="s">
        <x:v>434</x:v>
      </x:c>
      <x:c r="C582" s="11" t="e">
        <x:f>IFERROR(VLOOKUP(B582,Regiões!A:B,2,0),"")</x:f>
        <x:v>#NAME?</x:v>
      </x:c>
      <x:c r="D582" s="11" t="s">
        <x:v>1579</x:v>
      </x:c>
      <x:c r="E582" s="12" t="s">
        <x:v>1580</x:v>
      </x:c>
      <x:c r="F582" s="13">
        <x:v>94577632000166</x:v>
      </x:c>
      <x:c r="G582" s="14" t="s">
        <x:v>18</x:v>
      </x:c>
      <x:c r="H582" s="87">
        <x:v>41160005</x:v>
      </x:c>
      <x:c r="I582" s="9" t="s">
        <x:v>1581</x:v>
      </x:c>
      <x:c r="J582" s="9" t="s">
        <x:v>1109</x:v>
      </x:c>
      <x:c r="K582" s="16" t="s">
        <x:v>32</x:v>
      </x:c>
      <x:c r="L582" s="88">
        <x:v>400000</x:v>
      </x:c>
      <x:c r="M582" s="88"/>
      <x:c r="N582" s="11" t="s">
        <x:v>21</x:v>
      </x:c>
      <x:c r="O582" s="16"/>
      <x:c r="P582" s="111" t="s">
        <x:v>1582</x:v>
      </x:c>
      <x:c r="Q582" s="19"/>
    </x:row>
    <x:row r="583" ht="38.25">
      <x:c r="A583" s="9">
        <x:v>2025</x:v>
      </x:c>
      <x:c r="B583" s="14" t="s">
        <x:v>257</x:v>
      </x:c>
      <x:c r="C583" s="11" t="e">
        <x:f>IFERROR(VLOOKUP(B583,Regiões!A:B,2,0),"")</x:f>
        <x:v>#NAME?</x:v>
      </x:c>
      <x:c r="D583" s="11" t="s">
        <x:v>1583</x:v>
      </x:c>
      <x:c r="E583" s="12" t="s">
        <x:v>1584</x:v>
      </x:c>
      <x:c r="F583" s="13">
        <x:v>87613477000120</x:v>
      </x:c>
      <x:c r="G583" s="14" t="s">
        <x:v>18</x:v>
      </x:c>
      <x:c r="H583" s="87">
        <x:v>41160005</x:v>
      </x:c>
      <x:c r="I583" s="9" t="s">
        <x:v>1581</x:v>
      </x:c>
      <x:c r="J583" s="9" t="s">
        <x:v>1109</x:v>
      </x:c>
      <x:c r="K583" s="16" t="s">
        <x:v>32</x:v>
      </x:c>
      <x:c r="L583" s="88">
        <x:v>400000</x:v>
      </x:c>
      <x:c r="M583" s="88"/>
      <x:c r="N583" s="11" t="s">
        <x:v>21</x:v>
      </x:c>
      <x:c r="O583" s="16"/>
      <x:c r="P583" s="44" t="s">
        <x:v>1585</x:v>
      </x:c>
      <x:c r="Q583" s="19"/>
    </x:row>
    <x:row r="584" ht="51">
      <x:c r="A584" s="9">
        <x:v>2025</x:v>
      </x:c>
      <x:c r="B584" s="14" t="s">
        <x:v>74</x:v>
      </x:c>
      <x:c r="C584" s="11" t="e">
        <x:f>IFERROR(VLOOKUP(B584,Regiões!A:B,2,0),"")</x:f>
        <x:v>#NAME?</x:v>
      </x:c>
      <x:c r="D584" s="11" t="s">
        <x:v>1586</x:v>
      </x:c>
      <x:c r="E584" s="12" t="s">
        <x:v>1587</x:v>
      </x:c>
      <x:c r="F584" s="13">
        <x:v>87612743000109</x:v>
      </x:c>
      <x:c r="G584" s="14" t="s">
        <x:v>18</x:v>
      </x:c>
      <x:c r="H584" s="87">
        <x:v>41160005</x:v>
      </x:c>
      <x:c r="I584" s="9" t="s">
        <x:v>1581</x:v>
      </x:c>
      <x:c r="J584" s="9" t="s">
        <x:v>1109</x:v>
      </x:c>
      <x:c r="K584" s="16" t="s">
        <x:v>32</x:v>
      </x:c>
      <x:c r="L584" s="88">
        <x:v>400000</x:v>
      </x:c>
      <x:c r="M584" s="88"/>
      <x:c r="N584" s="11" t="s">
        <x:v>21</x:v>
      </x:c>
      <x:c r="O584" s="16"/>
      <x:c r="P584" s="111" t="s">
        <x:v>1588</x:v>
      </x:c>
      <x:c r="Q584" s="19"/>
    </x:row>
    <x:row r="585" ht="51">
      <x:c r="A585" s="9">
        <x:v>2025</x:v>
      </x:c>
      <x:c r="B585" s="14" t="s">
        <x:v>675</x:v>
      </x:c>
      <x:c r="C585" s="11" t="e">
        <x:f>IFERROR(VLOOKUP(B585,Regiões!A:B,2,0),"")</x:f>
        <x:v>#NAME?</x:v>
      </x:c>
      <x:c r="D585" s="11" t="s">
        <x:v>1589</x:v>
      </x:c>
      <x:c r="E585" s="12" t="s">
        <x:v>1590</x:v>
      </x:c>
      <x:c r="F585" s="13">
        <x:v>93845519000151</x:v>
      </x:c>
      <x:c r="G585" s="14" t="s">
        <x:v>18</x:v>
      </x:c>
      <x:c r="H585" s="87">
        <x:v>41160005</x:v>
      </x:c>
      <x:c r="I585" s="9" t="s">
        <x:v>1581</x:v>
      </x:c>
      <x:c r="J585" s="9" t="s">
        <x:v>1109</x:v>
      </x:c>
      <x:c r="K585" s="16" t="s">
        <x:v>32</x:v>
      </x:c>
      <x:c r="L585" s="88">
        <x:v>400000</x:v>
      </x:c>
      <x:c r="M585" s="88"/>
      <x:c r="N585" s="11" t="s">
        <x:v>21</x:v>
      </x:c>
      <x:c r="O585" s="16"/>
      <x:c r="P585" s="44" t="s">
        <x:v>1591</x:v>
      </x:c>
      <x:c r="Q585" s="19"/>
    </x:row>
    <x:row r="586" ht="38.25">
      <x:c r="A586" s="9">
        <x:v>2025</x:v>
      </x:c>
      <x:c r="B586" s="14" t="s">
        <x:v>574</x:v>
      </x:c>
      <x:c r="C586" s="11" t="e">
        <x:f>IFERROR(VLOOKUP(B586,Regiões!A:B,2,0),"")</x:f>
        <x:v>#NAME?</x:v>
      </x:c>
      <x:c r="D586" s="11" t="s">
        <x:v>1592</x:v>
      </x:c>
      <x:c r="E586" s="12" t="s">
        <x:v>1593</x:v>
      </x:c>
      <x:c r="F586" s="13">
        <x:v>87897740000150</x:v>
      </x:c>
      <x:c r="G586" s="14" t="s">
        <x:v>18</x:v>
      </x:c>
      <x:c r="H586" s="87">
        <x:v>41160005</x:v>
      </x:c>
      <x:c r="I586" s="9" t="s">
        <x:v>1581</x:v>
      </x:c>
      <x:c r="J586" s="9" t="s">
        <x:v>1109</x:v>
      </x:c>
      <x:c r="K586" s="16" t="s">
        <x:v>32</x:v>
      </x:c>
      <x:c r="L586" s="88">
        <x:v>400000</x:v>
      </x:c>
      <x:c r="M586" s="88"/>
      <x:c r="N586" s="11" t="s">
        <x:v>21</x:v>
      </x:c>
      <x:c r="O586" s="16"/>
      <x:c r="P586" s="111" t="s">
        <x:v>1594</x:v>
      </x:c>
      <x:c r="Q586" s="19"/>
    </x:row>
    <x:row r="587" ht="76.5">
      <x:c r="A587" s="9">
        <x:v>2025</x:v>
      </x:c>
      <x:c r="B587" s="14" t="s">
        <x:v>389</x:v>
      </x:c>
      <x:c r="C587" s="11" t="e">
        <x:f>IFERROR(VLOOKUP(B587,Regiões!A:B,2,0),"")</x:f>
        <x:v>#NAME?</x:v>
      </x:c>
      <x:c r="D587" s="11" t="s">
        <x:v>1595</x:v>
      </x:c>
      <x:c r="E587" s="12" t="s">
        <x:v>1596</x:v>
      </x:c>
      <x:c r="F587" s="13">
        <x:v>97761407000173</x:v>
      </x:c>
      <x:c r="G587" s="14" t="s">
        <x:v>18</x:v>
      </x:c>
      <x:c r="H587" s="87">
        <x:v>41160005</x:v>
      </x:c>
      <x:c r="I587" s="9" t="s">
        <x:v>1581</x:v>
      </x:c>
      <x:c r="J587" s="9" t="s">
        <x:v>1109</x:v>
      </x:c>
      <x:c r="K587" s="16" t="s">
        <x:v>32</x:v>
      </x:c>
      <x:c r="L587" s="88">
        <x:v>400000</x:v>
      </x:c>
      <x:c r="M587" s="88"/>
      <x:c r="N587" s="11" t="s">
        <x:v>21</x:v>
      </x:c>
      <x:c r="O587" s="16"/>
      <x:c r="P587" s="111" t="s">
        <x:v>1597</x:v>
      </x:c>
      <x:c r="Q587" s="19"/>
    </x:row>
    <x:row r="588" ht="51">
      <x:c r="A588" s="9">
        <x:v>2025</x:v>
      </x:c>
      <x:c r="B588" s="14" t="s">
        <x:v>83</x:v>
      </x:c>
      <x:c r="C588" s="11" t="e">
        <x:f>IFERROR(VLOOKUP(B588,Regiões!A:B,2,0),"")</x:f>
        <x:v>#NAME?</x:v>
      </x:c>
      <x:c r="D588" s="11" t="s">
        <x:v>772</x:v>
      </x:c>
      <x:c r="E588" s="12" t="s">
        <x:v>1598</x:v>
      </x:c>
      <x:c r="F588" s="13">
        <x:v>88488366000100</x:v>
      </x:c>
      <x:c r="G588" s="14" t="s">
        <x:v>18</x:v>
      </x:c>
      <x:c r="H588" s="87">
        <x:v>41160008</x:v>
      </x:c>
      <x:c r="I588" s="9" t="s">
        <x:v>881</x:v>
      </x:c>
      <x:c r="J588" s="9" t="s">
        <x:v>25</x:v>
      </x:c>
      <x:c r="K588" s="16" t="s">
        <x:v>32</x:v>
      </x:c>
      <x:c r="L588" s="88">
        <x:v>400000</x:v>
      </x:c>
      <x:c r="M588" s="88"/>
      <x:c r="N588" s="11" t="s">
        <x:v>21</x:v>
      </x:c>
      <x:c r="O588" s="16"/>
      <x:c r="P588" s="111" t="s">
        <x:v>1599</x:v>
      </x:c>
      <x:c r="Q588" s="19"/>
    </x:row>
    <x:row r="589" ht="38.25">
      <x:c r="A589" s="9">
        <x:v>2025</x:v>
      </x:c>
      <x:c r="B589" s="14" t="s">
        <x:v>392</x:v>
      </x:c>
      <x:c r="C589" s="11" t="e">
        <x:f>IFERROR(VLOOKUP(B589,Regiões!A:B,2,0),"")</x:f>
        <x:v>#NAME?</x:v>
      </x:c>
      <x:c r="D589" s="11" t="s">
        <x:v>1600</x:v>
      </x:c>
      <x:c r="E589" s="12" t="s">
        <x:v>1601</x:v>
      </x:c>
      <x:c r="F589" s="13">
        <x:v>87613071000148</x:v>
      </x:c>
      <x:c r="G589" s="14" t="s">
        <x:v>18</x:v>
      </x:c>
      <x:c r="H589" s="59">
        <x:v>41160008</x:v>
      </x:c>
      <x:c r="I589" s="9" t="s">
        <x:v>881</x:v>
      </x:c>
      <x:c r="J589" s="9" t="s">
        <x:v>25</x:v>
      </x:c>
      <x:c r="K589" s="16" t="s">
        <x:v>32</x:v>
      </x:c>
      <x:c r="L589" s="198">
        <x:v>400000</x:v>
      </x:c>
      <x:c r="M589" s="198"/>
      <x:c r="N589" s="11" t="s">
        <x:v>21</x:v>
      </x:c>
      <x:c r="O589" s="16"/>
      <x:c r="P589" s="44" t="s">
        <x:v>1602</x:v>
      </x:c>
      <x:c r="Q589" s="19"/>
    </x:row>
    <x:row r="590" ht="63.75">
      <x:c r="A590" s="9">
        <x:v>2025</x:v>
      </x:c>
      <x:c r="B590" s="14" t="s">
        <x:v>408</x:v>
      </x:c>
      <x:c r="C590" s="11" t="e">
        <x:f>IFERROR(VLOOKUP(B590,Regiões!A:B,2,0),"")</x:f>
        <x:v>#NAME?</x:v>
      </x:c>
      <x:c r="D590" s="11" t="s">
        <x:v>1603</x:v>
      </x:c>
      <x:c r="E590" s="12" t="s">
        <x:v>1604</x:v>
      </x:c>
      <x:c r="F590" s="13">
        <x:v>88131164000107</x:v>
      </x:c>
      <x:c r="G590" s="14" t="s">
        <x:v>18</x:v>
      </x:c>
      <x:c r="H590" s="59">
        <x:v>41160008</x:v>
      </x:c>
      <x:c r="I590" s="9" t="s">
        <x:v>881</x:v>
      </x:c>
      <x:c r="J590" s="9" t="s">
        <x:v>25</x:v>
      </x:c>
      <x:c r="K590" s="16" t="s">
        <x:v>32</x:v>
      </x:c>
      <x:c r="L590" s="198">
        <x:v>400000</x:v>
      </x:c>
      <x:c r="M590" s="198"/>
      <x:c r="N590" s="11" t="s">
        <x:v>21</x:v>
      </x:c>
      <x:c r="O590" s="16"/>
      <x:c r="P590" s="91" t="s">
        <x:v>1605</x:v>
      </x:c>
      <x:c r="Q590" s="19"/>
    </x:row>
    <x:row r="591" ht="63.75">
      <x:c r="A591" s="9">
        <x:v>2025</x:v>
      </x:c>
      <x:c r="B591" s="14" t="s">
        <x:v>1606</x:v>
      </x:c>
      <x:c r="C591" s="11" t="e">
        <x:f>IFERROR(VLOOKUP(B591,Regiões!A:B,2,0),"")</x:f>
        <x:v>#NAME?</x:v>
      </x:c>
      <x:c r="D591" s="11" t="s">
        <x:v>1607</x:v>
      </x:c>
      <x:c r="E591" s="12" t="s">
        <x:v>1608</x:v>
      </x:c>
      <x:c r="F591" s="13">
        <x:v>1611117000174</x:v>
      </x:c>
      <x:c r="G591" s="14" t="s">
        <x:v>18</x:v>
      </x:c>
      <x:c r="H591" s="59">
        <x:v>41160007</x:v>
      </x:c>
      <x:c r="I591" s="9" t="s">
        <x:v>1609</x:v>
      </x:c>
      <x:c r="J591" s="9" t="s">
        <x:v>25</x:v>
      </x:c>
      <x:c r="K591" s="16" t="s">
        <x:v>32</x:v>
      </x:c>
      <x:c r="L591" s="198">
        <x:v>400000</x:v>
      </x:c>
      <x:c r="M591" s="198"/>
      <x:c r="N591" s="11" t="s">
        <x:v>21</x:v>
      </x:c>
      <x:c r="O591" s="16"/>
      <x:c r="P591" s="199"/>
      <x:c r="Q591" s="19"/>
    </x:row>
    <x:row r="592" ht="51">
      <x:c r="A592" s="9">
        <x:v>2026</x:v>
      </x:c>
      <x:c r="B592" s="14" t="s">
        <x:v>1610</x:v>
      </x:c>
      <x:c r="C592" s="11" t="e">
        <x:f>IFERROR(VLOOKUP(B592,Regiões!A:B,2,0),"")</x:f>
        <x:v>#NAME?</x:v>
      </x:c>
      <x:c r="D592" s="11" t="s">
        <x:v>1611</x:v>
      </x:c>
      <x:c r="E592" s="14" t="s">
        <x:v>1610</x:v>
      </x:c>
      <x:c r="F592" s="13">
        <x:v>92123926000192</x:v>
      </x:c>
      <x:c r="G592" s="14"/>
      <x:c r="H592" s="15">
        <x:v>41160012</x:v>
      </x:c>
      <x:c r="I592" s="9" t="s">
        <x:v>1109</x:v>
      </x:c>
      <x:c r="J592" s="201" t="s">
        <x:v>1109</x:v>
      </x:c>
      <x:c r="K592" s="16" t="s">
        <x:v>32</x:v>
      </x:c>
      <x:c r="L592" s="17">
        <x:v>400000</x:v>
      </x:c>
      <x:c r="M592" s="17"/>
      <x:c r="N592" s="9" t="s">
        <x:v>33</x:v>
      </x:c>
      <x:c r="O592" s="16"/>
      <x:c r="P592" s="18"/>
      <x:c r="Q592" s="19"/>
    </x:row>
    <x:row r="593" ht="51">
      <x:c r="A593" s="9">
        <x:v>2026</x:v>
      </x:c>
      <x:c r="B593" s="14" t="s">
        <x:v>88</x:v>
      </x:c>
      <x:c r="C593" s="11" t="e">
        <x:f>IFERROR(VLOOKUP(B593,Regiões!A:B,2,0),"")</x:f>
        <x:v>#NAME?</x:v>
      </x:c>
      <x:c r="D593" s="11" t="s">
        <x:v>1612</x:v>
      </x:c>
      <x:c r="E593" s="14" t="s">
        <x:v>88</x:v>
      </x:c>
      <x:c r="F593" s="13">
        <x:v>87613014000169</x:v>
      </x:c>
      <x:c r="G593" s="14" t="s">
        <x:v>1613</x:v>
      </x:c>
      <x:c r="H593" s="15">
        <x:v>41160012</x:v>
      </x:c>
      <x:c r="I593" s="9" t="s">
        <x:v>1109</x:v>
      </x:c>
      <x:c r="J593" s="201" t="s">
        <x:v>1109</x:v>
      </x:c>
      <x:c r="K593" s="16" t="s">
        <x:v>32</x:v>
      </x:c>
      <x:c r="L593" s="17">
        <x:v>400000</x:v>
      </x:c>
      <x:c r="M593" s="17"/>
      <x:c r="N593" s="9" t="s">
        <x:v>33</x:v>
      </x:c>
      <x:c r="O593" s="16"/>
      <x:c r="P593" s="18"/>
      <x:c r="Q593" s="19"/>
    </x:row>
    <x:row r="594" ht="63.75">
      <x:c r="A594" s="9">
        <x:v>2026</x:v>
      </x:c>
      <x:c r="B594" s="14" t="s">
        <x:v>1211</x:v>
      </x:c>
      <x:c r="C594" s="11" t="e">
        <x:f>IFERROR(VLOOKUP(B594,Regiões!A:B,2,0),"")</x:f>
        <x:v>#NAME?</x:v>
      </x:c>
      <x:c r="D594" s="11" t="s">
        <x:v>1614</x:v>
      </x:c>
      <x:c r="E594" s="14" t="s">
        <x:v>1211</x:v>
      </x:c>
      <x:c r="F594" s="13">
        <x:v>87612859000130</x:v>
      </x:c>
      <x:c r="G594" s="14" t="s">
        <x:v>1615</x:v>
      </x:c>
      <x:c r="H594" s="15">
        <x:v>41160012</x:v>
      </x:c>
      <x:c r="I594" s="9" t="s">
        <x:v>1109</x:v>
      </x:c>
      <x:c r="J594" s="201" t="s">
        <x:v>1109</x:v>
      </x:c>
      <x:c r="K594" s="16" t="s">
        <x:v>32</x:v>
      </x:c>
      <x:c r="L594" s="17">
        <x:v>400000</x:v>
      </x:c>
      <x:c r="M594" s="17"/>
      <x:c r="N594" s="9" t="s">
        <x:v>33</x:v>
      </x:c>
      <x:c r="O594" s="16"/>
      <x:c r="P594" s="18"/>
      <x:c r="Q594" s="19"/>
    </x:row>
    <x:row r="595" ht="63.75">
      <x:c r="A595" s="9">
        <x:v>2026</x:v>
      </x:c>
      <x:c r="B595" s="14" t="s">
        <x:v>1616</x:v>
      </x:c>
      <x:c r="C595" s="11" t="e">
        <x:f>IFERROR(VLOOKUP(B595,Regiões!A:B,2,0),"")</x:f>
        <x:v>#NAME?</x:v>
      </x:c>
      <x:c r="D595" s="11" t="s">
        <x:v>1617</x:v>
      </x:c>
      <x:c r="E595" s="14" t="s">
        <x:v>1616</x:v>
      </x:c>
      <x:c r="F595" s="13">
        <x:v>92122720000148</x:v>
      </x:c>
      <x:c r="G595" s="14" t="s">
        <x:v>1618</x:v>
      </x:c>
      <x:c r="H595" s="15">
        <x:v>41160012</x:v>
      </x:c>
      <x:c r="I595" s="9" t="s">
        <x:v>1109</x:v>
      </x:c>
      <x:c r="J595" s="201" t="s">
        <x:v>1109</x:v>
      </x:c>
      <x:c r="K595" s="16" t="s">
        <x:v>32</x:v>
      </x:c>
      <x:c r="L595" s="17">
        <x:v>400000</x:v>
      </x:c>
      <x:c r="M595" s="17"/>
      <x:c r="N595" s="9" t="s">
        <x:v>33</x:v>
      </x:c>
      <x:c r="O595" s="16"/>
      <x:c r="P595" s="18"/>
      <x:c r="Q595" s="19"/>
    </x:row>
    <x:row r="596" ht="38.25">
      <x:c r="A596" s="9">
        <x:v>2026</x:v>
      </x:c>
      <x:c r="B596" s="14" t="s">
        <x:v>1158</x:v>
      </x:c>
      <x:c r="C596" s="11" t="e">
        <x:f>IFERROR(VLOOKUP(B596,Regiões!A:B,2,0),"")</x:f>
        <x:v>#NAME?</x:v>
      </x:c>
      <x:c r="D596" s="11" t="s">
        <x:v>1619</x:v>
      </x:c>
      <x:c r="E596" s="14" t="s">
        <x:v>1158</x:v>
      </x:c>
      <x:c r="F596" s="13">
        <x:v>87596623000157</x:v>
      </x:c>
      <x:c r="G596" s="14" t="s">
        <x:v>1620</x:v>
      </x:c>
      <x:c r="H596" s="15">
        <x:v>41160012</x:v>
      </x:c>
      <x:c r="I596" s="9" t="s">
        <x:v>1109</x:v>
      </x:c>
      <x:c r="J596" s="201" t="s">
        <x:v>1109</x:v>
      </x:c>
      <x:c r="K596" s="16" t="s">
        <x:v>32</x:v>
      </x:c>
      <x:c r="L596" s="17">
        <x:v>400000</x:v>
      </x:c>
      <x:c r="M596" s="17"/>
      <x:c r="N596" s="9" t="s">
        <x:v>33</x:v>
      </x:c>
      <x:c r="O596" s="16"/>
      <x:c r="P596" s="18"/>
      <x:c r="Q596" s="19"/>
    </x:row>
    <x:row r="597" ht="51">
      <x:c r="A597" s="9">
        <x:v>2026</x:v>
      </x:c>
      <x:c r="B597" s="14" t="s">
        <x:v>942</x:v>
      </x:c>
      <x:c r="C597" s="11" t="e">
        <x:f>IFERROR(VLOOKUP(B597,Regiões!A:B,2,0),"")</x:f>
        <x:v>#NAME?</x:v>
      </x:c>
      <x:c r="D597" s="11" t="s">
        <x:v>1621</x:v>
      </x:c>
      <x:c r="E597" s="14" t="s">
        <x:v>942</x:v>
      </x:c>
      <x:c r="F597" s="13">
        <x:v>87613592000103</x:v>
      </x:c>
      <x:c r="G597" s="14" t="s">
        <x:v>1622</x:v>
      </x:c>
      <x:c r="H597" s="15">
        <x:v>41160012</x:v>
      </x:c>
      <x:c r="I597" s="9" t="s">
        <x:v>1109</x:v>
      </x:c>
      <x:c r="J597" s="201" t="s">
        <x:v>1109</x:v>
      </x:c>
      <x:c r="K597" s="16" t="s">
        <x:v>32</x:v>
      </x:c>
      <x:c r="L597" s="17">
        <x:v>400000</x:v>
      </x:c>
      <x:c r="M597" s="17"/>
      <x:c r="N597" s="9" t="s">
        <x:v>33</x:v>
      </x:c>
      <x:c r="O597" s="16"/>
      <x:c r="P597" s="18"/>
      <x:c r="Q597" s="19"/>
    </x:row>
    <x:row r="598" ht="51">
      <x:c r="A598" s="9">
        <x:v>2026</x:v>
      </x:c>
      <x:c r="B598" s="14" t="s">
        <x:v>183</x:v>
      </x:c>
      <x:c r="C598" s="11" t="e">
        <x:f>IFERROR(VLOOKUP(B598,Regiões!A:B,2,0),"")</x:f>
        <x:v>#NAME?</x:v>
      </x:c>
      <x:c r="D598" s="11" t="s">
        <x:v>290</x:v>
      </x:c>
      <x:c r="E598" s="14" t="s">
        <x:v>183</x:v>
      </x:c>
      <x:c r="F598" s="13">
        <x:v>94707627000120</x:v>
      </x:c>
      <x:c r="G598" s="14" t="s">
        <x:v>1623</x:v>
      </x:c>
      <x:c r="H598" s="15">
        <x:v>41160012</x:v>
      </x:c>
      <x:c r="I598" s="9" t="s">
        <x:v>1109</x:v>
      </x:c>
      <x:c r="J598" s="201" t="s">
        <x:v>1109</x:v>
      </x:c>
      <x:c r="K598" s="16" t="s">
        <x:v>32</x:v>
      </x:c>
      <x:c r="L598" s="17">
        <x:v>400000</x:v>
      </x:c>
      <x:c r="M598" s="17"/>
      <x:c r="N598" s="9" t="s">
        <x:v>33</x:v>
      </x:c>
      <x:c r="O598" s="16"/>
      <x:c r="P598" s="18"/>
      <x:c r="Q598" s="19"/>
    </x:row>
    <x:row r="599" ht="51">
      <x:c r="A599" s="9">
        <x:v>2026</x:v>
      </x:c>
      <x:c r="B599" s="14" t="s">
        <x:v>1624</x:v>
      </x:c>
      <x:c r="C599" s="11" t="e">
        <x:f>IFERROR(VLOOKUP(B599,Regiões!A:B,2,0),"")</x:f>
        <x:v>#NAME?</x:v>
      </x:c>
      <x:c r="D599" s="11" t="s">
        <x:v>1625</x:v>
      </x:c>
      <x:c r="E599" s="14" t="s">
        <x:v>1624</x:v>
      </x:c>
      <x:c r="F599" s="13">
        <x:v>88000922000140</x:v>
      </x:c>
      <x:c r="G599" s="14" t="s">
        <x:v>1626</x:v>
      </x:c>
      <x:c r="H599" s="15">
        <x:v>41160012</x:v>
      </x:c>
      <x:c r="I599" s="9" t="s">
        <x:v>1109</x:v>
      </x:c>
      <x:c r="J599" s="201" t="s">
        <x:v>1109</x:v>
      </x:c>
      <x:c r="K599" s="16" t="s">
        <x:v>32</x:v>
      </x:c>
      <x:c r="L599" s="17">
        <x:v>400000</x:v>
      </x:c>
      <x:c r="M599" s="17"/>
      <x:c r="N599" s="9" t="s">
        <x:v>33</x:v>
      </x:c>
      <x:c r="O599" s="16"/>
      <x:c r="P599" s="204" t="s">
        <x:v>1627</x:v>
      </x:c>
      <x:c r="Q599" s="19"/>
    </x:row>
    <x:row r="600" ht="51">
      <x:c r="A600" s="9">
        <x:v>2026</x:v>
      </x:c>
      <x:c r="B600" s="14" t="s">
        <x:v>297</x:v>
      </x:c>
      <x:c r="C600" s="11" t="e">
        <x:f>IFERROR(VLOOKUP(B600,Regiões!A:B,2,0),"")</x:f>
        <x:v>#NAME?</x:v>
      </x:c>
      <x:c r="D600" s="11" t="s">
        <x:v>1628</x:v>
      </x:c>
      <x:c r="E600" s="14" t="s">
        <x:v>297</x:v>
      </x:c>
      <x:c r="F600" s="13">
        <x:v>87612537000190</x:v>
      </x:c>
      <x:c r="G600" s="14" t="s">
        <x:v>1629</x:v>
      </x:c>
      <x:c r="H600" s="15">
        <x:v>41160012</x:v>
      </x:c>
      <x:c r="I600" s="9" t="s">
        <x:v>1109</x:v>
      </x:c>
      <x:c r="J600" s="201" t="s">
        <x:v>1109</x:v>
      </x:c>
      <x:c r="K600" s="16" t="s">
        <x:v>32</x:v>
      </x:c>
      <x:c r="L600" s="17">
        <x:v>400000</x:v>
      </x:c>
      <x:c r="M600" s="17"/>
      <x:c r="N600" s="9" t="s">
        <x:v>33</x:v>
      </x:c>
      <x:c r="O600" s="16"/>
      <x:c r="P600" s="18"/>
      <x:c r="Q600" s="19"/>
    </x:row>
    <x:row r="601" ht="51">
      <x:c r="A601" s="9">
        <x:v>2026</x:v>
      </x:c>
      <x:c r="B601" s="14" t="s">
        <x:v>574</x:v>
      </x:c>
      <x:c r="C601" s="11" t="e">
        <x:f>IFERROR(VLOOKUP(B601,Regiões!A:B,2,0),"")</x:f>
        <x:v>#NAME?</x:v>
      </x:c>
      <x:c r="D601" s="11" t="s">
        <x:v>1630</x:v>
      </x:c>
      <x:c r="E601" s="14" t="s">
        <x:v>574</x:v>
      </x:c>
      <x:c r="F601" s="13">
        <x:v>87897740000150</x:v>
      </x:c>
      <x:c r="G601" s="14" t="s">
        <x:v>1631</x:v>
      </x:c>
      <x:c r="H601" s="15">
        <x:v>41160012</x:v>
      </x:c>
      <x:c r="I601" s="9" t="s">
        <x:v>1109</x:v>
      </x:c>
      <x:c r="J601" s="201" t="s">
        <x:v>1109</x:v>
      </x:c>
      <x:c r="K601" s="16" t="s">
        <x:v>32</x:v>
      </x:c>
      <x:c r="L601" s="17">
        <x:v>400000</x:v>
      </x:c>
      <x:c r="M601" s="17"/>
      <x:c r="N601" s="9" t="s">
        <x:v>33</x:v>
      </x:c>
      <x:c r="O601" s="16"/>
      <x:c r="P601" s="18"/>
      <x:c r="Q601" s="19"/>
    </x:row>
    <x:row r="602" ht="89.25">
      <x:c r="A602" s="9">
        <x:v>2026</x:v>
      </x:c>
      <x:c r="B602" s="14" t="s">
        <x:v>698</x:v>
      </x:c>
      <x:c r="C602" s="11" t="e">
        <x:f>IFERROR(VLOOKUP(B602,Regiões!A:B,2,0),"")</x:f>
        <x:v>#NAME?</x:v>
      </x:c>
      <x:c r="D602" s="11" t="s">
        <x:v>1632</x:v>
      </x:c>
      <x:c r="E602" s="14" t="s">
        <x:v>698</x:v>
      </x:c>
      <x:c r="F602" s="13">
        <x:v>94444247000140</x:v>
      </x:c>
      <x:c r="G602" s="14" t="s">
        <x:v>1633</x:v>
      </x:c>
      <x:c r="H602" s="15">
        <x:v>41160012</x:v>
      </x:c>
      <x:c r="I602" s="9" t="s">
        <x:v>1109</x:v>
      </x:c>
      <x:c r="J602" s="201" t="s">
        <x:v>1109</x:v>
      </x:c>
      <x:c r="K602" s="16" t="s">
        <x:v>32</x:v>
      </x:c>
      <x:c r="L602" s="17">
        <x:v>400000</x:v>
      </x:c>
      <x:c r="M602" s="17"/>
      <x:c r="N602" s="9" t="s">
        <x:v>33</x:v>
      </x:c>
      <x:c r="O602" s="16"/>
      <x:c r="P602" s="18"/>
      <x:c r="Q602" s="19"/>
    </x:row>
    <x:row r="603" ht="51">
      <x:c r="A603" s="9">
        <x:v>2026</x:v>
      </x:c>
      <x:c r="B603" s="14" t="s">
        <x:v>1634</x:v>
      </x:c>
      <x:c r="C603" s="11" t="e">
        <x:f>IFERROR(VLOOKUP(B603,Regiões!A:B,2,0),"")</x:f>
        <x:v>#NAME?</x:v>
      </x:c>
      <x:c r="D603" s="11" t="s">
        <x:v>1635</x:v>
      </x:c>
      <x:c r="E603" s="14" t="s">
        <x:v>1634</x:v>
      </x:c>
      <x:c r="F603" s="13">
        <x:v>87489910000168</x:v>
      </x:c>
      <x:c r="G603" s="14" t="s">
        <x:v>1636</x:v>
      </x:c>
      <x:c r="H603" s="15">
        <x:v>41160012</x:v>
      </x:c>
      <x:c r="I603" s="9" t="s">
        <x:v>1109</x:v>
      </x:c>
      <x:c r="J603" s="201" t="s">
        <x:v>1109</x:v>
      </x:c>
      <x:c r="K603" s="16" t="s">
        <x:v>32</x:v>
      </x:c>
      <x:c r="L603" s="17">
        <x:v>400000</x:v>
      </x:c>
      <x:c r="M603" s="17"/>
      <x:c r="N603" s="9" t="s">
        <x:v>33</x:v>
      </x:c>
      <x:c r="O603" s="16"/>
      <x:c r="P603" s="18"/>
      <x:c r="Q603" s="19"/>
    </x:row>
    <x:row r="604" ht="63.75">
      <x:c r="A604" s="9">
        <x:v>2026</x:v>
      </x:c>
      <x:c r="B604" s="14" t="s">
        <x:v>1519</x:v>
      </x:c>
      <x:c r="C604" s="11" t="e">
        <x:f>IFERROR(VLOOKUP(B604,Regiões!A:B,2,0),"")</x:f>
        <x:v>#NAME?</x:v>
      </x:c>
      <x:c r="D604" s="11" t="s">
        <x:v>1637</x:v>
      </x:c>
      <x:c r="E604" s="20" t="s">
        <x:v>975</x:v>
      </x:c>
      <x:c r="F604" s="13">
        <x:v>88239074000126</x:v>
      </x:c>
      <x:c r="G604" s="14" t="s">
        <x:v>1124</x:v>
      </x:c>
      <x:c r="H604" s="15">
        <x:v>41160003</x:v>
      </x:c>
      <x:c r="I604" s="9" t="s">
        <x:v>976</x:v>
      </x:c>
      <x:c r="J604" s="2" t="s">
        <x:v>40</x:v>
      </x:c>
      <x:c r="K604" s="16" t="s">
        <x:v>32</x:v>
      </x:c>
      <x:c r="L604" s="17">
        <x:v>400000</x:v>
      </x:c>
      <x:c r="M604" s="17"/>
      <x:c r="N604" s="9" t="s">
        <x:v>33</x:v>
      </x:c>
      <x:c r="O604" s="16"/>
      <x:c r="P604" s="18"/>
      <x:c r="Q604" s="19"/>
    </x:row>
    <x:row r="605" ht="38.25">
      <x:c r="A605" s="9">
        <x:v>2026</x:v>
      </x:c>
      <x:c r="B605" s="14" t="s">
        <x:v>1638</x:v>
      </x:c>
      <x:c r="C605" s="11" t="e">
        <x:f>IFERROR(VLOOKUP(B605,Regiões!A:B,2,0),"")</x:f>
        <x:v>#NAME?</x:v>
      </x:c>
      <x:c r="D605" s="11" t="s">
        <x:v>1639</x:v>
      </x:c>
      <x:c r="E605" s="14" t="s">
        <x:v>1638</x:v>
      </x:c>
      <x:c r="F605" s="13">
        <x:v>4217437000132</x:v>
      </x:c>
      <x:c r="G605" s="14" t="s">
        <x:v>1640</x:v>
      </x:c>
      <x:c r="H605" s="15">
        <x:v>41160008</x:v>
      </x:c>
      <x:c r="I605" s="9" t="s">
        <x:v>1641</x:v>
      </x:c>
      <x:c r="J605" s="2" t="s">
        <x:v>25</x:v>
      </x:c>
      <x:c r="K605" s="207" t="s">
        <x:v>1642</x:v>
      </x:c>
      <x:c r="L605" s="17">
        <x:v>400000</x:v>
      </x:c>
      <x:c r="M605" s="17"/>
      <x:c r="N605" s="9" t="s">
        <x:v>33</x:v>
      </x:c>
      <x:c r="O605" s="16"/>
      <x:c r="P605" s="18"/>
      <x:c r="Q605" s="19"/>
    </x:row>
    <x:row r="606" ht="51">
      <x:c r="A606" s="9">
        <x:v>2026</x:v>
      </x:c>
      <x:c r="B606" s="14" t="s">
        <x:v>1643</x:v>
      </x:c>
      <x:c r="C606" s="11" t="e">
        <x:f>IFERROR(VLOOKUP(B606,Regiões!A:B,2,0),"")</x:f>
        <x:v>#NAME?</x:v>
      </x:c>
      <x:c r="D606" s="11" t="s">
        <x:v>1644</x:v>
      </x:c>
      <x:c r="E606" s="14" t="s">
        <x:v>1643</x:v>
      </x:c>
      <x:c r="F606" s="13">
        <x:v>92406495000171</x:v>
      </x:c>
      <x:c r="G606" s="14" t="s">
        <x:v>1645</x:v>
      </x:c>
      <x:c r="H606" s="15">
        <x:v>41160008</x:v>
      </x:c>
      <x:c r="I606" s="9" t="s">
        <x:v>1641</x:v>
      </x:c>
      <x:c r="J606" s="2" t="s">
        <x:v>25</x:v>
      </x:c>
      <x:c r="K606" s="207" t="s">
        <x:v>1642</x:v>
      </x:c>
      <x:c r="L606" s="17">
        <x:v>400000</x:v>
      </x:c>
      <x:c r="M606" s="17"/>
      <x:c r="N606" s="9" t="s">
        <x:v>33</x:v>
      </x:c>
      <x:c r="O606" s="16"/>
      <x:c r="P606" s="18"/>
      <x:c r="Q606" s="19"/>
    </x:row>
    <x:row r="607" ht="51">
      <x:c r="A607" s="9">
        <x:v>2026</x:v>
      </x:c>
      <x:c r="B607" s="14" t="s">
        <x:v>1646</x:v>
      </x:c>
      <x:c r="C607" s="11" t="e">
        <x:f>IFERROR(VLOOKUP(B607,Regiões!A:B,2,0),"")</x:f>
        <x:v>#NAME?</x:v>
      </x:c>
      <x:c r="D607" s="11" t="s">
        <x:v>1647</x:v>
      </x:c>
      <x:c r="E607" s="14" t="s">
        <x:v>1646</x:v>
      </x:c>
      <x:c r="F607" s="13">
        <x:v>87261509000176</x:v>
      </x:c>
      <x:c r="G607" s="14" t="s">
        <x:v>1648</x:v>
      </x:c>
      <x:c r="H607" s="15">
        <x:v>41160008</x:v>
      </x:c>
      <x:c r="I607" s="9" t="s">
        <x:v>1641</x:v>
      </x:c>
      <x:c r="J607" s="2" t="s">
        <x:v>25</x:v>
      </x:c>
      <x:c r="K607" s="207" t="s">
        <x:v>1642</x:v>
      </x:c>
      <x:c r="L607" s="17">
        <x:v>400000</x:v>
      </x:c>
      <x:c r="M607" s="17"/>
      <x:c r="N607" s="9" t="s">
        <x:v>33</x:v>
      </x:c>
      <x:c r="O607" s="16"/>
      <x:c r="P607" s="18"/>
      <x:c r="Q607" s="19"/>
    </x:row>
    <x:row r="608" ht="51">
      <x:c r="A608" s="9">
        <x:v>2026</x:v>
      </x:c>
      <x:c r="B608" s="14" t="s">
        <x:v>1649</x:v>
      </x:c>
      <x:c r="C608" s="11" t="e">
        <x:f>IFERROR(VLOOKUP(B608,Regiões!A:B,2,0),"")</x:f>
        <x:v>#NAME?</x:v>
      </x:c>
      <x:c r="D608" s="11" t="s">
        <x:v>1650</x:v>
      </x:c>
      <x:c r="E608" s="14" t="s">
        <x:v>1649</x:v>
      </x:c>
      <x:c r="F608" s="13">
        <x:v>87612990000105</x:v>
      </x:c>
      <x:c r="G608" s="14" t="s">
        <x:v>1651</x:v>
      </x:c>
      <x:c r="H608" s="15">
        <x:v>41160008</x:v>
      </x:c>
      <x:c r="I608" s="9" t="s">
        <x:v>1641</x:v>
      </x:c>
      <x:c r="J608" s="2" t="s">
        <x:v>25</x:v>
      </x:c>
      <x:c r="K608" s="207" t="s">
        <x:v>1642</x:v>
      </x:c>
      <x:c r="L608" s="17">
        <x:v>400000</x:v>
      </x:c>
      <x:c r="M608" s="17"/>
      <x:c r="N608" s="9" t="s">
        <x:v>33</x:v>
      </x:c>
      <x:c r="O608" s="16"/>
      <x:c r="P608" s="18"/>
      <x:c r="Q608" s="19"/>
    </x:row>
    <x:row r="609" ht="38.25">
      <x:c r="A609" s="9">
        <x:v>2026</x:v>
      </x:c>
      <x:c r="B609" s="14" t="s">
        <x:v>1652</x:v>
      </x:c>
      <x:c r="C609" s="11" t="e">
        <x:f>IFERROR(VLOOKUP(B609,Regiões!A:B,2,0),"")</x:f>
        <x:v>#NAME?</x:v>
      </x:c>
      <x:c r="D609" s="11" t="s">
        <x:v>1653</x:v>
      </x:c>
      <x:c r="E609" s="14" t="s">
        <x:v>1652</x:v>
      </x:c>
      <x:c r="F609" s="13">
        <x:v>87708889000144</x:v>
      </x:c>
      <x:c r="G609" s="14" t="s">
        <x:v>1654</x:v>
      </x:c>
      <x:c r="H609" s="15">
        <x:v>41160008</x:v>
      </x:c>
      <x:c r="I609" s="9" t="s">
        <x:v>1641</x:v>
      </x:c>
      <x:c r="J609" s="2" t="s">
        <x:v>25</x:v>
      </x:c>
      <x:c r="K609" s="207" t="s">
        <x:v>1642</x:v>
      </x:c>
      <x:c r="L609" s="17">
        <x:v>400000</x:v>
      </x:c>
      <x:c r="M609" s="17"/>
      <x:c r="N609" s="9" t="s">
        <x:v>33</x:v>
      </x:c>
      <x:c r="O609" s="16"/>
      <x:c r="P609" s="18"/>
      <x:c r="Q609" s="19"/>
    </x:row>
    <x:row r="610" ht="63.75">
      <x:c r="A610" s="9">
        <x:v>2026</x:v>
      </x:c>
      <x:c r="B610" s="14" t="s">
        <x:v>357</x:v>
      </x:c>
      <x:c r="C610" s="11" t="e">
        <x:f>IFERROR(VLOOKUP(B610,Regiões!A:B,2,0),"")</x:f>
        <x:v>#NAME?</x:v>
      </x:c>
      <x:c r="D610" s="11" t="s">
        <x:v>844</x:v>
      </x:c>
      <x:c r="E610" s="14" t="s">
        <x:v>357</x:v>
      </x:c>
      <x:c r="F610" s="13">
        <x:v>88150495000186</x:v>
      </x:c>
      <x:c r="G610" s="14" t="s">
        <x:v>1655</x:v>
      </x:c>
      <x:c r="H610" s="15">
        <x:v>41160008</x:v>
      </x:c>
      <x:c r="I610" s="9" t="s">
        <x:v>1641</x:v>
      </x:c>
      <x:c r="J610" s="2" t="s">
        <x:v>25</x:v>
      </x:c>
      <x:c r="K610" s="207" t="s">
        <x:v>1642</x:v>
      </x:c>
      <x:c r="L610" s="17">
        <x:v>400000</x:v>
      </x:c>
      <x:c r="M610" s="17"/>
      <x:c r="N610" s="9" t="s">
        <x:v>33</x:v>
      </x:c>
      <x:c r="O610" s="16"/>
      <x:c r="P610" s="18"/>
      <x:c r="Q610" s="19"/>
    </x:row>
    <x:row r="611" ht="51">
      <x:c r="A611" s="9">
        <x:v>2026</x:v>
      </x:c>
      <x:c r="B611" s="14" t="s">
        <x:v>1656</x:v>
      </x:c>
      <x:c r="C611" s="11" t="e">
        <x:f>IFERROR(VLOOKUP(B611,Regiões!A:B,2,0),"")</x:f>
        <x:v>#NAME?</x:v>
      </x:c>
      <x:c r="D611" s="11" t="s">
        <x:v>1657</x:v>
      </x:c>
      <x:c r="E611" s="14" t="s">
        <x:v>1656</x:v>
      </x:c>
      <x:c r="F611" s="13">
        <x:v>87613394000131</x:v>
      </x:c>
      <x:c r="G611" s="14" t="s">
        <x:v>1658</x:v>
      </x:c>
      <x:c r="H611" s="15">
        <x:v>41160008</x:v>
      </x:c>
      <x:c r="I611" s="9" t="s">
        <x:v>1641</x:v>
      </x:c>
      <x:c r="J611" s="2" t="s">
        <x:v>25</x:v>
      </x:c>
      <x:c r="K611" s="207" t="s">
        <x:v>1642</x:v>
      </x:c>
      <x:c r="L611" s="17">
        <x:v>400000</x:v>
      </x:c>
      <x:c r="M611" s="17"/>
      <x:c r="N611" s="9" t="s">
        <x:v>33</x:v>
      </x:c>
      <x:c r="O611" s="16"/>
      <x:c r="P611" s="18"/>
      <x:c r="Q611" s="19"/>
    </x:row>
    <x:row r="612" ht="51">
      <x:c r="A612" s="9">
        <x:v>2026</x:v>
      </x:c>
      <x:c r="B612" s="14" t="s">
        <x:v>1659</x:v>
      </x:c>
      <x:c r="C612" s="11" t="e">
        <x:f>IFERROR(VLOOKUP(B612,Regiões!A:B,2,0),"")</x:f>
        <x:v>#NAME?</x:v>
      </x:c>
      <x:c r="D612" s="11" t="s">
        <x:v>1660</x:v>
      </x:c>
      <x:c r="E612" s="14" t="s">
        <x:v>1659</x:v>
      </x:c>
      <x:c r="F612" s="13">
        <x:v>88201298000149</x:v>
      </x:c>
      <x:c r="G612" s="14" t="s">
        <x:v>1661</x:v>
      </x:c>
      <x:c r="H612" s="15">
        <x:v>41160008</x:v>
      </x:c>
      <x:c r="I612" s="9" t="s">
        <x:v>1641</x:v>
      </x:c>
      <x:c r="J612" s="2" t="s">
        <x:v>25</x:v>
      </x:c>
      <x:c r="K612" s="207" t="s">
        <x:v>1642</x:v>
      </x:c>
      <x:c r="L612" s="17">
        <x:v>400000</x:v>
      </x:c>
      <x:c r="M612" s="17"/>
      <x:c r="N612" s="9" t="s">
        <x:v>33</x:v>
      </x:c>
      <x:c r="O612" s="16"/>
      <x:c r="P612" s="18"/>
      <x:c r="Q612" s="19"/>
    </x:row>
    <x:row r="613" ht="51">
      <x:c r="A613" s="9">
        <x:v>2026</x:v>
      </x:c>
      <x:c r="B613" s="14" t="s">
        <x:v>1662</x:v>
      </x:c>
      <x:c r="C613" s="11" t="e">
        <x:f>IFERROR(VLOOKUP(B613,Regiões!A:B,2,0),"")</x:f>
        <x:v>#NAME?</x:v>
      </x:c>
      <x:c r="D613" s="11" t="s">
        <x:v>1663</x:v>
      </x:c>
      <x:c r="E613" s="14" t="s">
        <x:v>1662</x:v>
      </x:c>
      <x:c r="F613" s="13">
        <x:v>87613576000102</x:v>
      </x:c>
      <x:c r="G613" s="14" t="s">
        <x:v>1664</x:v>
      </x:c>
      <x:c r="H613" s="15">
        <x:v>41160008</x:v>
      </x:c>
      <x:c r="I613" s="9" t="s">
        <x:v>1641</x:v>
      </x:c>
      <x:c r="J613" s="2" t="s">
        <x:v>25</x:v>
      </x:c>
      <x:c r="K613" s="207" t="s">
        <x:v>1642</x:v>
      </x:c>
      <x:c r="L613" s="17">
        <x:v>400000</x:v>
      </x:c>
      <x:c r="M613" s="17"/>
      <x:c r="N613" s="9" t="s">
        <x:v>33</x:v>
      </x:c>
      <x:c r="O613" s="16"/>
      <x:c r="P613" s="18"/>
      <x:c r="Q613" s="19"/>
    </x:row>
    <x:row r="614" ht="51">
      <x:c r="A614" s="9">
        <x:v>2026</x:v>
      </x:c>
      <x:c r="B614" s="14" t="s">
        <x:v>504</x:v>
      </x:c>
      <x:c r="C614" s="11" t="e">
        <x:f>IFERROR(VLOOKUP(B614,Regiões!A:B,2,0),"")</x:f>
        <x:v>#NAME?</x:v>
      </x:c>
      <x:c r="D614" s="11" t="s">
        <x:v>1665</x:v>
      </x:c>
      <x:c r="E614" s="14" t="s">
        <x:v>504</x:v>
      </x:c>
      <x:c r="F614" s="13">
        <x:v>87502886000150</x:v>
      </x:c>
      <x:c r="G614" s="14" t="s">
        <x:v>1666</x:v>
      </x:c>
      <x:c r="H614" s="15">
        <x:v>41160008</x:v>
      </x:c>
      <x:c r="I614" s="9" t="s">
        <x:v>1641</x:v>
      </x:c>
      <x:c r="J614" s="2" t="s">
        <x:v>25</x:v>
      </x:c>
      <x:c r="K614" s="207" t="s">
        <x:v>1642</x:v>
      </x:c>
      <x:c r="L614" s="17">
        <x:v>400000</x:v>
      </x:c>
      <x:c r="M614" s="17"/>
      <x:c r="N614" s="9" t="s">
        <x:v>33</x:v>
      </x:c>
      <x:c r="O614" s="16"/>
      <x:c r="P614" s="18"/>
      <x:c r="Q614" s="19"/>
    </x:row>
    <x:row r="615" ht="25.5">
      <x:c r="A615" s="9">
        <x:v>2026</x:v>
      </x:c>
      <x:c r="B615" s="14" t="s">
        <x:v>955</x:v>
      </x:c>
      <x:c r="C615" s="11" t="e">
        <x:f>IFERROR(VLOOKUP(B615,Regiões!A:B,2,0),"")</x:f>
        <x:v>#NAME?</x:v>
      </x:c>
      <x:c r="D615" s="11"/>
      <x:c r="E615" s="14" t="s">
        <x:v>955</x:v>
      </x:c>
      <x:c r="F615" s="13">
        <x:v>88818299000137</x:v>
      </x:c>
      <x:c r="G615" s="14" t="s">
        <x:v>1667</x:v>
      </x:c>
      <x:c r="H615" s="15">
        <x:v>41160008</x:v>
      </x:c>
      <x:c r="I615" s="9" t="s">
        <x:v>1641</x:v>
      </x:c>
      <x:c r="J615" s="2" t="s">
        <x:v>25</x:v>
      </x:c>
      <x:c r="K615" s="207" t="s">
        <x:v>1642</x:v>
      </x:c>
      <x:c r="L615" s="17">
        <x:v>400000</x:v>
      </x:c>
      <x:c r="M615" s="17"/>
      <x:c r="N615" s="9" t="s">
        <x:v>33</x:v>
      </x:c>
      <x:c r="O615" s="16"/>
      <x:c r="P615" s="18"/>
      <x:c r="Q615" s="19"/>
    </x:row>
    <x:row r="616" ht="51">
      <x:c r="A616" s="9">
        <x:v>2026</x:v>
      </x:c>
      <x:c r="B616" s="14" t="s">
        <x:v>1668</x:v>
      </x:c>
      <x:c r="C616" s="11" t="e">
        <x:f>IFERROR(VLOOKUP(B616,Regiões!A:B,2,0),"")</x:f>
        <x:v>#NAME?</x:v>
      </x:c>
      <x:c r="D616" s="11" t="s">
        <x:v>1669</x:v>
      </x:c>
      <x:c r="E616" s="14" t="s">
        <x:v>1668</x:v>
      </x:c>
      <x:c r="F616" s="13">
        <x:v>92399211000167</x:v>
      </x:c>
      <x:c r="G616" s="14" t="s">
        <x:v>1670</x:v>
      </x:c>
      <x:c r="H616" s="15">
        <x:v>41160008</x:v>
      </x:c>
      <x:c r="I616" s="9" t="s">
        <x:v>1641</x:v>
      </x:c>
      <x:c r="J616" s="2" t="s">
        <x:v>25</x:v>
      </x:c>
      <x:c r="K616" s="207" t="s">
        <x:v>1642</x:v>
      </x:c>
      <x:c r="L616" s="17">
        <x:v>400000</x:v>
      </x:c>
      <x:c r="M616" s="17"/>
      <x:c r="N616" s="9" t="s">
        <x:v>33</x:v>
      </x:c>
      <x:c r="O616" s="16"/>
      <x:c r="P616" s="18"/>
      <x:c r="Q616" s="19"/>
    </x:row>
    <x:row r="617" ht="51">
      <x:c r="A617" s="9">
        <x:v>2026</x:v>
      </x:c>
      <x:c r="B617" s="14" t="s">
        <x:v>1104</x:v>
      </x:c>
      <x:c r="C617" s="11" t="e">
        <x:f>IFERROR(VLOOKUP(B617,Regiões!A:B,2,0),"")</x:f>
        <x:v>#NAME?</x:v>
      </x:c>
      <x:c r="D617" s="11" t="s">
        <x:v>1671</x:v>
      </x:c>
      <x:c r="E617" s="14" t="s">
        <x:v>1104</x:v>
      </x:c>
      <x:c r="F617" s="13">
        <x:v>88000914000101</x:v>
      </x:c>
      <x:c r="G617" s="14" t="s">
        <x:v>1672</x:v>
      </x:c>
      <x:c r="H617" s="15">
        <x:v>41160008</x:v>
      </x:c>
      <x:c r="I617" s="9" t="s">
        <x:v>1641</x:v>
      </x:c>
      <x:c r="J617" s="2" t="s">
        <x:v>25</x:v>
      </x:c>
      <x:c r="K617" s="207" t="s">
        <x:v>1642</x:v>
      </x:c>
      <x:c r="L617" s="17">
        <x:v>400000</x:v>
      </x:c>
      <x:c r="M617" s="17"/>
      <x:c r="N617" s="9" t="s">
        <x:v>33</x:v>
      </x:c>
      <x:c r="O617" s="16"/>
      <x:c r="P617" s="18"/>
      <x:c r="Q617" s="19"/>
    </x:row>
    <x:row r="618" ht="25.5">
      <x:c r="A618" s="9">
        <x:v>2026</x:v>
      </x:c>
      <x:c r="B618" s="14" t="s">
        <x:v>1462</x:v>
      </x:c>
      <x:c r="C618" s="11" t="e">
        <x:f>IFERROR(VLOOKUP(B618,Regiões!A:B,2,0),"")</x:f>
        <x:v>#NAME?</x:v>
      </x:c>
      <x:c r="D618" s="11"/>
      <x:c r="E618" s="20" t="s">
        <x:v>1673</x:v>
      </x:c>
      <x:c r="F618" s="13">
        <x:v>87843819000107</x:v>
      </x:c>
      <x:c r="G618" s="14" t="s">
        <x:v>1674</x:v>
      </x:c>
      <x:c r="H618" s="15">
        <x:v>41160012</x:v>
      </x:c>
      <x:c r="I618" s="9" t="s">
        <x:v>1109</x:v>
      </x:c>
      <x:c r="J618" s="9" t="s">
        <x:v>1109</x:v>
      </x:c>
      <x:c r="K618" s="16" t="s">
        <x:v>1109</x:v>
      </x:c>
      <x:c r="L618" s="17">
        <x:v>400000</x:v>
      </x:c>
      <x:c r="M618" s="17"/>
      <x:c r="N618" s="9" t="s">
        <x:v>33</x:v>
      </x:c>
      <x:c r="O618" s="16"/>
      <x:c r="P618" s="18"/>
      <x:c r="Q618" s="19"/>
    </x:row>
    <x:row r="619" ht="25.5">
      <x:c r="A619" s="9">
        <x:v>2026</x:v>
      </x:c>
      <x:c r="B619" s="14" t="s">
        <x:v>1675</x:v>
      </x:c>
      <x:c r="C619" s="11" t="e">
        <x:f>IFERROR(VLOOKUP(B619,Regiões!A:B,2,0),"")</x:f>
        <x:v>#NAME?</x:v>
      </x:c>
      <x:c r="D619" s="11"/>
      <x:c r="E619" s="20" t="s">
        <x:v>1676</x:v>
      </x:c>
      <x:c r="F619" s="13">
        <x:v>88203088000190</x:v>
      </x:c>
      <x:c r="G619" s="14" t="s">
        <x:v>1677</x:v>
      </x:c>
      <x:c r="H619" s="15">
        <x:v>41160012</x:v>
      </x:c>
      <x:c r="I619" s="9" t="s">
        <x:v>1109</x:v>
      </x:c>
      <x:c r="J619" s="9" t="s">
        <x:v>1109</x:v>
      </x:c>
      <x:c r="K619" s="16" t="s">
        <x:v>1109</x:v>
      </x:c>
      <x:c r="L619" s="17">
        <x:v>400000</x:v>
      </x:c>
      <x:c r="M619" s="17"/>
      <x:c r="N619" s="9" t="s">
        <x:v>33</x:v>
      </x:c>
      <x:c r="O619" s="16"/>
      <x:c r="P619" s="18"/>
      <x:c r="Q619" s="19"/>
    </x:row>
    <x:row r="620" ht="38.25">
      <x:c r="A620" s="9">
        <x:v>2026</x:v>
      </x:c>
      <x:c r="B620" s="14" t="s">
        <x:v>159</x:v>
      </x:c>
      <x:c r="C620" s="11" t="e">
        <x:f>IFERROR(VLOOKUP(B620,Regiões!A:B,2,0),"")</x:f>
        <x:v>#NAME?</x:v>
      </x:c>
      <x:c r="D620" s="11"/>
      <x:c r="E620" s="20" t="s">
        <x:v>1678</x:v>
      </x:c>
      <x:c r="F620" s="13">
        <x:v>88572748000100</x:v>
      </x:c>
      <x:c r="G620" s="14" t="s">
        <x:v>1679</x:v>
      </x:c>
      <x:c r="H620" s="15">
        <x:v>41160008</x:v>
      </x:c>
      <x:c r="I620" s="9" t="s">
        <x:v>25</x:v>
      </x:c>
      <x:c r="J620" s="9" t="s">
        <x:v>25</x:v>
      </x:c>
      <x:c r="K620" s="16" t="s">
        <x:v>1680</x:v>
      </x:c>
      <x:c r="L620" s="17">
        <x:v>400000</x:v>
      </x:c>
      <x:c r="M620" s="17"/>
      <x:c r="N620" s="9" t="s">
        <x:v>33</x:v>
      </x:c>
      <x:c r="O620" s="16"/>
      <x:c r="P620" s="18"/>
      <x:c r="Q620" s="19"/>
    </x:row>
    <x:row r="621" ht="51">
      <x:c r="A621" s="9">
        <x:v>2025</x:v>
      </x:c>
      <x:c r="B621" s="14" t="s">
        <x:v>376</x:v>
      </x:c>
      <x:c r="C621" s="11" t="e">
        <x:f>IFERROR(VLOOKUP(B621,Regiões!A:B,2,0),"")</x:f>
        <x:v>#NAME?</x:v>
      </x:c>
      <x:c r="D621" s="11" t="s">
        <x:v>1681</x:v>
      </x:c>
      <x:c r="E621" s="12" t="s">
        <x:v>1682</x:v>
      </x:c>
      <x:c r="F621" s="13">
        <x:v>88702089000189</x:v>
      </x:c>
      <x:c r="G621" s="14" t="s">
        <x:v>18</x:v>
      </x:c>
      <x:c r="H621" s="87">
        <x:v>41160008</x:v>
      </x:c>
      <x:c r="I621" s="9" t="s">
        <x:v>881</x:v>
      </x:c>
      <x:c r="J621" s="9" t="s">
        <x:v>25</x:v>
      </x:c>
      <x:c r="K621" s="16" t="s">
        <x:v>32</x:v>
      </x:c>
      <x:c r="L621" s="88">
        <x:v>400333</x:v>
      </x:c>
      <x:c r="M621" s="88"/>
      <x:c r="N621" s="11" t="s">
        <x:v>21</x:v>
      </x:c>
      <x:c r="O621" s="16"/>
      <x:c r="P621" s="111" t="s">
        <x:v>1683</x:v>
      </x:c>
      <x:c r="Q621" s="19"/>
    </x:row>
    <x:row r="622" ht="38.25">
      <x:c r="A622" s="9">
        <x:v>2025</x:v>
      </x:c>
      <x:c r="B622" s="14" t="s">
        <x:v>1684</x:v>
      </x:c>
      <x:c r="C622" s="11" t="e">
        <x:f>IFERROR(VLOOKUP(B622,Regiões!A:B,2,0),"")</x:f>
        <x:v>#NAME?</x:v>
      </x:c>
      <x:c r="D622" s="11" t="s">
        <x:v>1685</x:v>
      </x:c>
      <x:c r="E622" s="12" t="s">
        <x:v>1686</x:v>
      </x:c>
      <x:c r="F622" s="13">
        <x:v>7964977000178</x:v>
      </x:c>
      <x:c r="G622" s="10" t="s">
        <x:v>1686</x:v>
      </x:c>
      <x:c r="H622" s="87">
        <x:v>41160004</x:v>
      </x:c>
      <x:c r="I622" s="9" t="s">
        <x:v>502</x:v>
      </x:c>
      <x:c r="J622" s="9" t="s">
        <x:v>40</x:v>
      </x:c>
      <x:c r="K622" s="16" t="s">
        <x:v>32</x:v>
      </x:c>
      <x:c r="L622" s="88">
        <x:v>402250</x:v>
      </x:c>
      <x:c r="M622" s="88"/>
      <x:c r="N622" s="11" t="s">
        <x:v>21</x:v>
      </x:c>
      <x:c r="O622" s="16"/>
      <x:c r="P622" s="111" t="s">
        <x:v>1687</x:v>
      </x:c>
      <x:c r="Q622" s="19"/>
    </x:row>
    <x:row r="623" ht="38.25">
      <x:c r="A623" s="9">
        <x:v>2026</x:v>
      </x:c>
      <x:c r="B623" s="14" t="s">
        <x:v>83</x:v>
      </x:c>
      <x:c r="C623" s="11" t="e">
        <x:f>IFERROR(VLOOKUP(B623,Regiões!A:B,2,0),"")</x:f>
        <x:v>#NAME?</x:v>
      </x:c>
      <x:c r="D623" s="11"/>
      <x:c r="E623" s="20" t="s">
        <x:v>1688</x:v>
      </x:c>
      <x:c r="F623" s="13">
        <x:v>88488366000100</x:v>
      </x:c>
      <x:c r="G623" s="14" t="s">
        <x:v>1689</x:v>
      </x:c>
      <x:c r="H623" s="15">
        <x:v>41160008</x:v>
      </x:c>
      <x:c r="I623" s="9" t="s">
        <x:v>25</x:v>
      </x:c>
      <x:c r="J623" s="9" t="s">
        <x:v>25</x:v>
      </x:c>
      <x:c r="K623" s="16" t="s">
        <x:v>1680</x:v>
      </x:c>
      <x:c r="L623" s="17">
        <x:v>405600</x:v>
      </x:c>
      <x:c r="M623" s="17"/>
      <x:c r="N623" s="9" t="s">
        <x:v>33</x:v>
      </x:c>
      <x:c r="O623" s="16"/>
      <x:c r="P623" s="18"/>
      <x:c r="Q623" s="19"/>
    </x:row>
    <x:row r="624" ht="63.75">
      <x:c r="A624" s="9">
        <x:v>2024</x:v>
      </x:c>
      <x:c r="B624" s="10" t="s">
        <x:v>16</x:v>
      </x:c>
      <x:c r="C624" s="11" t="e">
        <x:f>IFERROR(VLOOKUP(B624,Regiões!A:B,2,0),"")</x:f>
        <x:v>#NAME?</x:v>
      </x:c>
      <x:c r="D624" s="11" t="s">
        <x:v>17</x:v>
      </x:c>
      <x:c r="E624" s="12" t="str">
        <x:f>G624&amp;" de "&amp;B624</x:f>
        <x:v>Prefeitura Municipal de Gramado</x:v>
      </x:c>
      <x:c r="F624" s="13"/>
      <x:c r="G624" s="14" t="s">
        <x:v>18</x:v>
      </x:c>
      <x:c r="H624" s="15">
        <x:v>41160001</x:v>
      </x:c>
      <x:c r="I624" s="9" t="s">
        <x:v>58</x:v>
      </x:c>
      <x:c r="J624" s="9" t="s">
        <x:v>40</x:v>
      </x:c>
      <x:c r="K624" s="16" t="s">
        <x:v>20</x:v>
      </x:c>
      <x:c r="L624" s="17">
        <x:v>406811</x:v>
      </x:c>
      <x:c r="M624" s="17"/>
      <x:c r="N624" s="11" t="s">
        <x:v>21</x:v>
      </x:c>
      <x:c r="O624" s="16"/>
      <x:c r="P624" s="18"/>
      <x:c r="Q624" s="19"/>
    </x:row>
    <x:row r="625" ht="63.75">
      <x:c r="A625" s="11">
        <x:v>2023</x:v>
      </x:c>
      <x:c r="B625" s="43" t="s">
        <x:v>303</x:v>
      </x:c>
      <x:c r="C625" s="11" t="e">
        <x:f>IFERROR(VLOOKUP(B625,Regiões!A:B,2,0),"")</x:f>
        <x:v>#NAME?</x:v>
      </x:c>
      <x:c r="D625" s="11" t="s">
        <x:v>1690</x:v>
      </x:c>
      <x:c r="E625" s="44" t="s">
        <x:v>93</x:v>
      </x:c>
      <x:c r="F625" s="99"/>
      <x:c r="G625" s="43" t="s">
        <x:v>1691</x:v>
      </x:c>
      <x:c r="H625" s="47"/>
      <x:c r="I625" s="11" t="s">
        <x:v>444</x:v>
      </x:c>
      <x:c r="J625" s="11" t="str">
        <x:f>LEFT(I625,FIND(" (",I625) - 1)</x:f>
        <x:v>Saúde</x:v>
      </x:c>
      <x:c r="K625" s="11" t="s">
        <x:v>32</x:v>
      </x:c>
      <x:c r="L625" s="108">
        <x:v>410780</x:v>
      </x:c>
      <x:c r="M625" s="108"/>
      <x:c r="N625" s="11" t="s">
        <x:v>21</x:v>
      </x:c>
      <x:c r="O625" s="11" t="s">
        <x:v>49</x:v>
      </x:c>
      <x:c r="P625" s="49" t="s">
        <x:v>1692</x:v>
      </x:c>
      <x:c r="Q625" s="50"/>
    </x:row>
    <x:row r="626" ht="25.5">
      <x:c r="A626" s="9">
        <x:v>2026</x:v>
      </x:c>
      <x:c r="B626" s="14" t="s">
        <x:v>266</x:v>
      </x:c>
      <x:c r="C626" s="11" t="e">
        <x:f>IFERROR(VLOOKUP(B626,Regiões!A:B,2,0),"")</x:f>
        <x:v>#NAME?</x:v>
      </x:c>
      <x:c r="D626" s="11"/>
      <x:c r="E626" s="20" t="s">
        <x:v>991</x:v>
      </x:c>
      <x:c r="F626" s="13">
        <x:v>97227383000177</x:v>
      </x:c>
      <x:c r="G626" s="14" t="s">
        <x:v>1693</x:v>
      </x:c>
      <x:c r="H626" s="15">
        <x:v>41160003</x:v>
      </x:c>
      <x:c r="I626" s="9" t="s">
        <x:v>976</x:v>
      </x:c>
      <x:c r="J626" s="2" t="s">
        <x:v>40</x:v>
      </x:c>
      <x:c r="K626" s="16" t="s">
        <x:v>32</x:v>
      </x:c>
      <x:c r="L626" s="17">
        <x:v>420000</x:v>
      </x:c>
      <x:c r="M626" s="17"/>
      <x:c r="N626" s="9" t="s">
        <x:v>33</x:v>
      </x:c>
      <x:c r="O626" s="16"/>
      <x:c r="P626" s="18"/>
      <x:c r="Q626" s="19"/>
    </x:row>
    <x:row r="627" ht="38.25">
      <x:c r="A627" s="11">
        <x:v>2023</x:v>
      </x:c>
      <x:c r="B627" s="66" t="s">
        <x:v>1385</x:v>
      </x:c>
      <x:c r="C627" s="11" t="e">
        <x:f>IFERROR(VLOOKUP(B627,Regiões!A:B,2,0),"")</x:f>
        <x:v>#NAME?</x:v>
      </x:c>
      <x:c r="D627" s="11" t="s">
        <x:v>1694</x:v>
      </x:c>
      <x:c r="E627" s="67" t="s">
        <x:v>42</x:v>
      </x:c>
      <x:c r="F627" s="68"/>
      <x:c r="G627" s="66" t="s">
        <x:v>1695</x:v>
      </x:c>
      <x:c r="H627" s="69"/>
      <x:c r="I627" s="11" t="s">
        <x:v>239</x:v>
      </x:c>
      <x:c r="J627" s="11" t="str">
        <x:f t="shared" ref="J627:J628" si="25">LEFT(I627,FIND(" (",I627) - 1)</x:f>
        <x:v>Segurança Pública</x:v>
      </x:c>
      <x:c r="K627" s="11" t="s">
        <x:v>32</x:v>
      </x:c>
      <x:c r="L627" s="70">
        <x:v>428000</x:v>
      </x:c>
      <x:c r="M627" s="70"/>
      <x:c r="N627" s="11" t="s">
        <x:v>21</x:v>
      </x:c>
      <x:c r="O627" s="11" t="s">
        <x:v>26</x:v>
      </x:c>
      <x:c r="P627" s="67" t="s">
        <x:v>1696</x:v>
      </x:c>
      <x:c r="Q627" s="66"/>
    </x:row>
    <x:row r="628" ht="25.5">
      <x:c r="A628" s="11">
        <x:v>2023</x:v>
      </x:c>
      <x:c r="B628" s="66" t="s">
        <x:v>350</x:v>
      </x:c>
      <x:c r="C628" s="11" t="e">
        <x:f>IFERROR(VLOOKUP(B628,Regiões!A:B,2,0),"")</x:f>
        <x:v>#NAME?</x:v>
      </x:c>
      <x:c r="D628" s="11" t="s">
        <x:v>1564</x:v>
      </x:c>
      <x:c r="E628" s="67" t="s">
        <x:v>42</x:v>
      </x:c>
      <x:c r="F628" s="68"/>
      <x:c r="G628" s="66" t="s">
        <x:v>1697</x:v>
      </x:c>
      <x:c r="H628" s="69"/>
      <x:c r="I628" s="11" t="s">
        <x:v>1202</x:v>
      </x:c>
      <x:c r="J628" s="11" t="str">
        <x:f t="shared" si="25"/>
        <x:v>Infraestrutura</x:v>
      </x:c>
      <x:c r="K628" s="11" t="s">
        <x:v>32</x:v>
      </x:c>
      <x:c r="L628" s="70">
        <x:v>440000</x:v>
      </x:c>
      <x:c r="M628" s="70"/>
      <x:c r="N628" s="11" t="s">
        <x:v>21</x:v>
      </x:c>
      <x:c r="O628" s="11" t="s">
        <x:v>49</x:v>
      </x:c>
      <x:c r="P628" s="167" t="s">
        <x:v>1698</x:v>
      </x:c>
      <x:c r="Q628" s="66"/>
    </x:row>
    <x:row r="629" ht="38.25">
      <x:c r="A629" s="22">
        <x:v>2022</x:v>
      </x:c>
      <x:c r="B629" s="22" t="s">
        <x:v>454</x:v>
      </x:c>
      <x:c r="C629" s="11" t="e">
        <x:f>IFERROR(VLOOKUP(B629,Regiões!A:B,2,0),"")</x:f>
        <x:v>#NAME?</x:v>
      </x:c>
      <x:c r="D629" s="22" t="s">
        <x:v>1699</x:v>
      </x:c>
      <x:c r="E629" s="23" t="s">
        <x:v>93</x:v>
      </x:c>
      <x:c r="F629" s="83"/>
      <x:c r="G629" s="84" t="s">
        <x:v>1700</x:v>
      </x:c>
      <x:c r="H629" s="25">
        <x:v>41160003</x:v>
      </x:c>
      <x:c r="I629" s="22" t="s">
        <x:v>415</x:v>
      </x:c>
      <x:c r="J629" s="22" t="s">
        <x:v>40</x:v>
      </x:c>
      <x:c r="K629" s="22" t="s">
        <x:v>32</x:v>
      </x:c>
      <x:c r="L629" s="27">
        <x:v>450000</x:v>
      </x:c>
      <x:c r="M629" s="27"/>
      <x:c r="N629" s="22" t="s">
        <x:v>41</x:v>
      </x:c>
      <x:c r="O629" s="22" t="s">
        <x:v>26</x:v>
      </x:c>
      <x:c r="P629" s="28"/>
      <x:c r="Q629" s="29"/>
    </x:row>
    <x:row r="630" ht="25.5">
      <x:c r="A630" s="11">
        <x:v>2023</x:v>
      </x:c>
      <x:c r="B630" s="66" t="s">
        <x:v>183</x:v>
      </x:c>
      <x:c r="C630" s="11" t="e">
        <x:f>IFERROR(VLOOKUP(B630,Regiões!A:B,2,0),"")</x:f>
        <x:v>#NAME?</x:v>
      </x:c>
      <x:c r="D630" s="11" t="s">
        <x:v>1189</x:v>
      </x:c>
      <x:c r="E630" s="67" t="s">
        <x:v>42</x:v>
      </x:c>
      <x:c r="F630" s="68"/>
      <x:c r="G630" s="66" t="s">
        <x:v>1701</x:v>
      </x:c>
      <x:c r="H630" s="69"/>
      <x:c r="I630" s="11" t="s">
        <x:v>239</x:v>
      </x:c>
      <x:c r="J630" s="11" t="str">
        <x:f t="shared" ref="J630:J631" si="26">LEFT(I630,FIND(" (",I630) - 1)</x:f>
        <x:v>Segurança Pública</x:v>
      </x:c>
      <x:c r="K630" s="11" t="s">
        <x:v>32</x:v>
      </x:c>
      <x:c r="L630" s="70">
        <x:v>450000</x:v>
      </x:c>
      <x:c r="M630" s="70"/>
      <x:c r="N630" s="11" t="s">
        <x:v>21</x:v>
      </x:c>
      <x:c r="O630" s="11" t="s">
        <x:v>49</x:v>
      </x:c>
      <x:c r="P630" s="67" t="s">
        <x:v>251</x:v>
      </x:c>
      <x:c r="Q630" s="66"/>
    </x:row>
    <x:row r="631" ht="38.25">
      <x:c r="A631" s="11">
        <x:v>2023</x:v>
      </x:c>
      <x:c r="B631" s="66" t="s">
        <x:v>159</x:v>
      </x:c>
      <x:c r="C631" s="11" t="e">
        <x:f>IFERROR(VLOOKUP(B631,Regiões!A:B,2,0),"")</x:f>
        <x:v>#NAME?</x:v>
      </x:c>
      <x:c r="D631" s="11" t="s">
        <x:v>160</x:v>
      </x:c>
      <x:c r="E631" s="67" t="s">
        <x:v>42</x:v>
      </x:c>
      <x:c r="F631" s="68"/>
      <x:c r="G631" s="66" t="s">
        <x:v>1702</x:v>
      </x:c>
      <x:c r="H631" s="69"/>
      <x:c r="I631" s="11" t="s">
        <x:v>239</x:v>
      </x:c>
      <x:c r="J631" s="11" t="str">
        <x:f t="shared" si="26"/>
        <x:v>Segurança Pública</x:v>
      </x:c>
      <x:c r="K631" s="11" t="s">
        <x:v>32</x:v>
      </x:c>
      <x:c r="L631" s="70">
        <x:v>450000</x:v>
      </x:c>
      <x:c r="M631" s="70"/>
      <x:c r="N631" s="11" t="s">
        <x:v>21</x:v>
      </x:c>
      <x:c r="O631" s="11" t="s">
        <x:v>49</x:v>
      </x:c>
      <x:c r="P631" s="67" t="s">
        <x:v>1232</x:v>
      </x:c>
      <x:c r="Q631" s="66"/>
    </x:row>
    <x:row r="632" ht="51">
      <x:c r="A632" s="9">
        <x:v>2025</x:v>
      </x:c>
      <x:c r="B632" s="14" t="s">
        <x:v>323</x:v>
      </x:c>
      <x:c r="C632" s="11" t="e">
        <x:f>IFERROR(VLOOKUP(B632,Regiões!A:B,2,0),"")</x:f>
        <x:v>#NAME?</x:v>
      </x:c>
      <x:c r="D632" s="11" t="s">
        <x:v>1703</x:v>
      </x:c>
      <x:c r="E632" s="12" t="s">
        <x:v>1704</x:v>
      </x:c>
      <x:c r="F632" s="13">
        <x:v>87612800000141</x:v>
      </x:c>
      <x:c r="G632" s="14" t="s">
        <x:v>18</x:v>
      </x:c>
      <x:c r="H632" s="59">
        <x:v>41160008</x:v>
      </x:c>
      <x:c r="I632" s="9" t="s">
        <x:v>1705</x:v>
      </x:c>
      <x:c r="J632" s="9" t="s">
        <x:v>1110</x:v>
      </x:c>
      <x:c r="K632" s="16" t="s">
        <x:v>32</x:v>
      </x:c>
      <x:c r="L632" s="198">
        <x:v>450000</x:v>
      </x:c>
      <x:c r="M632" s="198"/>
      <x:c r="N632" s="11" t="s">
        <x:v>21</x:v>
      </x:c>
      <x:c r="O632" s="16"/>
      <x:c r="P632" s="91" t="s">
        <x:v>1706</x:v>
      </x:c>
      <x:c r="Q632" s="19"/>
    </x:row>
    <x:row r="633" ht="38.25">
      <x:c r="A633" s="9">
        <x:v>2025</x:v>
      </x:c>
      <x:c r="B633" s="14" t="s">
        <x:v>379</x:v>
      </x:c>
      <x:c r="C633" s="11" t="e">
        <x:f>IFERROR(VLOOKUP(B633,Regiões!A:B,2,0),"")</x:f>
        <x:v>#NAME?</x:v>
      </x:c>
      <x:c r="D633" s="11" t="s">
        <x:v>1707</x:v>
      </x:c>
      <x:c r="E633" s="12" t="s">
        <x:v>1708</x:v>
      </x:c>
      <x:c r="F633" s="13">
        <x:v>92238914000294</x:v>
      </x:c>
      <x:c r="G633" s="10" t="s">
        <x:v>1708</x:v>
      </x:c>
      <x:c r="H633" s="87">
        <x:v>41160004</x:v>
      </x:c>
      <x:c r="I633" s="9" t="s">
        <x:v>502</x:v>
      </x:c>
      <x:c r="J633" s="9" t="s">
        <x:v>40</x:v>
      </x:c>
      <x:c r="K633" s="16" t="s">
        <x:v>32</x:v>
      </x:c>
      <x:c r="L633" s="88">
        <x:v>451752</x:v>
      </x:c>
      <x:c r="M633" s="88"/>
      <x:c r="N633" s="11" t="s">
        <x:v>21</x:v>
      </x:c>
      <x:c r="O633" s="16"/>
      <x:c r="P633" s="111" t="s">
        <x:v>1709</x:v>
      </x:c>
      <x:c r="Q633" s="19"/>
    </x:row>
    <x:row r="634" ht="51">
      <x:c r="A634" s="9">
        <x:v>2025</x:v>
      </x:c>
      <x:c r="B634" s="14" t="s">
        <x:v>622</x:v>
      </x:c>
      <x:c r="C634" s="11" t="e">
        <x:f>IFERROR(VLOOKUP(B634,Regiões!A:B,2,0),"")</x:f>
        <x:v>#NAME?</x:v>
      </x:c>
      <x:c r="D634" s="11" t="s">
        <x:v>1710</x:v>
      </x:c>
      <x:c r="E634" s="12" t="s">
        <x:v>1711</x:v>
      </x:c>
      <x:c r="F634" s="13">
        <x:v>88775390000112</x:v>
      </x:c>
      <x:c r="G634" s="14" t="s">
        <x:v>18</x:v>
      </x:c>
      <x:c r="H634" s="59">
        <x:v>41160008</x:v>
      </x:c>
      <x:c r="I634" s="9" t="s">
        <x:v>881</x:v>
      </x:c>
      <x:c r="J634" s="9" t="s">
        <x:v>25</x:v>
      </x:c>
      <x:c r="K634" s="16" t="s">
        <x:v>32</x:v>
      </x:c>
      <x:c r="L634" s="198">
        <x:v>477000</x:v>
      </x:c>
      <x:c r="M634" s="198"/>
      <x:c r="N634" s="11" t="s">
        <x:v>21</x:v>
      </x:c>
      <x:c r="O634" s="16"/>
      <x:c r="P634" s="91" t="s">
        <x:v>1712</x:v>
      </x:c>
      <x:c r="Q634" s="19"/>
    </x:row>
    <x:row r="635" ht="25.5">
      <x:c r="A635" s="11">
        <x:v>2023</x:v>
      </x:c>
      <x:c r="B635" s="66" t="s">
        <x:v>400</x:v>
      </x:c>
      <x:c r="C635" s="11" t="e">
        <x:f>IFERROR(VLOOKUP(B635,Regiões!A:B,2,0),"")</x:f>
        <x:v>#NAME?</x:v>
      </x:c>
      <x:c r="D635" s="11" t="s">
        <x:v>401</x:v>
      </x:c>
      <x:c r="E635" s="67" t="s">
        <x:v>42</x:v>
      </x:c>
      <x:c r="F635" s="68"/>
      <x:c r="G635" s="66" t="s">
        <x:v>1713</x:v>
      </x:c>
      <x:c r="H635" s="69"/>
      <x:c r="I635" s="11" t="s">
        <x:v>239</x:v>
      </x:c>
      <x:c r="J635" s="11" t="str">
        <x:f>LEFT(I635,FIND(" (",I635) - 1)</x:f>
        <x:v>Segurança Pública</x:v>
      </x:c>
      <x:c r="K635" s="11" t="s">
        <x:v>32</x:v>
      </x:c>
      <x:c r="L635" s="70">
        <x:v>481000</x:v>
      </x:c>
      <x:c r="M635" s="70"/>
      <x:c r="N635" s="11" t="s">
        <x:v>21</x:v>
      </x:c>
      <x:c r="O635" s="11" t="s">
        <x:v>26</x:v>
      </x:c>
      <x:c r="P635" s="67" t="s">
        <x:v>1696</x:v>
      </x:c>
      <x:c r="Q635" s="66"/>
    </x:row>
    <x:row r="636" ht="63.75">
      <x:c r="A636" s="9">
        <x:v>2024</x:v>
      </x:c>
      <x:c r="B636" s="10" t="s">
        <x:v>1714</x:v>
      </x:c>
      <x:c r="C636" s="11" t="e">
        <x:f>IFERROR(VLOOKUP(B636,Regiões!A:B,2,0),"")</x:f>
        <x:v>#NAME?</x:v>
      </x:c>
      <x:c r="D636" s="11" t="s">
        <x:v>1715</x:v>
      </x:c>
      <x:c r="E636" s="12" t="str">
        <x:f t="shared" ref="E636:E637" si="27">G636&amp;" de "&amp;B636</x:f>
        <x:v>Prefeitura Municipal de Dois Lajeados</x:v>
      </x:c>
      <x:c r="F636" s="13"/>
      <x:c r="G636" s="14" t="s">
        <x:v>18</x:v>
      </x:c>
      <x:c r="H636" s="15">
        <x:v>41160005</x:v>
      </x:c>
      <x:c r="I636" s="9" t="s">
        <x:v>1109</x:v>
      </x:c>
      <x:c r="J636" s="9" t="s">
        <x:v>1109</x:v>
      </x:c>
      <x:c r="K636" s="16" t="s">
        <x:v>32</x:v>
      </x:c>
      <x:c r="L636" s="17">
        <x:v>481104</x:v>
      </x:c>
      <x:c r="M636" s="17"/>
      <x:c r="N636" s="11" t="s">
        <x:v>21</x:v>
      </x:c>
      <x:c r="O636" s="16"/>
      <x:c r="P636" s="18"/>
      <x:c r="Q636" s="19"/>
    </x:row>
    <x:row r="637" ht="51">
      <x:c r="A637" s="9">
        <x:v>2024</x:v>
      </x:c>
      <x:c r="B637" s="14" t="s">
        <x:v>1567</x:v>
      </x:c>
      <x:c r="C637" s="11" t="e">
        <x:f>IFERROR(VLOOKUP(B637,Regiões!A:B,2,0),"")</x:f>
        <x:v>#NAME?</x:v>
      </x:c>
      <x:c r="D637" s="11" t="s">
        <x:v>1716</x:v>
      </x:c>
      <x:c r="E637" s="12" t="str">
        <x:f t="shared" si="27"/>
        <x:v>Prefeitura Municipal de Muçum</x:v>
      </x:c>
      <x:c r="F637" s="13"/>
      <x:c r="G637" s="14" t="s">
        <x:v>18</x:v>
      </x:c>
      <x:c r="H637" s="15">
        <x:v>41160005</x:v>
      </x:c>
      <x:c r="I637" s="9" t="s">
        <x:v>1109</x:v>
      </x:c>
      <x:c r="J637" s="9" t="s">
        <x:v>1109</x:v>
      </x:c>
      <x:c r="K637" s="16" t="s">
        <x:v>32</x:v>
      </x:c>
      <x:c r="L637" s="17">
        <x:v>481104</x:v>
      </x:c>
      <x:c r="M637" s="17"/>
      <x:c r="N637" s="11" t="s">
        <x:v>21</x:v>
      </x:c>
      <x:c r="O637" s="16"/>
      <x:c r="P637" s="18"/>
      <x:c r="Q637" s="19"/>
    </x:row>
    <x:row r="638" ht="12.75">
      <x:c r="A638" s="9">
        <x:v>2023</x:v>
      </x:c>
      <x:c r="B638" s="14" t="s">
        <x:v>1335</x:v>
      </x:c>
      <x:c r="C638" s="11"/>
      <x:c r="D638" s="11" t="s">
        <x:v>1717</x:v>
      </x:c>
      <x:c r="E638" s="20" t="s">
        <x:v>1339</x:v>
      </x:c>
      <x:c r="F638" s="13"/>
      <x:c r="G638" s="14" t="s">
        <x:v>1339</x:v>
      </x:c>
      <x:c r="H638" s="15">
        <x:v>41160003</x:v>
      </x:c>
      <x:c r="I638" s="9" t="s">
        <x:v>25</x:v>
      </x:c>
      <x:c r="J638" s="9" t="s">
        <x:v>25</x:v>
      </x:c>
      <x:c r="K638" s="16" t="s">
        <x:v>32</x:v>
      </x:c>
      <x:c r="L638" s="21">
        <x:v>488762</x:v>
      </x:c>
      <x:c r="M638" s="21"/>
      <x:c r="N638" s="9" t="s">
        <x:v>21</x:v>
      </x:c>
      <x:c r="O638" s="16" t="s">
        <x:v>1718</x:v>
      </x:c>
      <x:c r="P638" s="230" t="s">
        <x:v>1719</x:v>
      </x:c>
      <x:c r="Q638" s="19" t="s">
        <x:v>1719</x:v>
      </x:c>
    </x:row>
    <x:row r="639" ht="63.75">
      <x:c r="A639" s="9">
        <x:v>2025</x:v>
      </x:c>
      <x:c r="B639" s="14" t="s">
        <x:v>45</x:v>
      </x:c>
      <x:c r="C639" s="11" t="e">
        <x:f>IFERROR(VLOOKUP(B639,Regiões!A:B,2,0),"")</x:f>
        <x:v>#NAME?</x:v>
      </x:c>
      <x:c r="D639" s="11" t="s">
        <x:v>1275</x:v>
      </x:c>
      <x:c r="E639" s="12" t="s">
        <x:v>1720</x:v>
      </x:c>
      <x:c r="F639" s="13">
        <x:v>11416036000177</x:v>
      </x:c>
      <x:c r="G639" s="14" t="s">
        <x:v>18</x:v>
      </x:c>
      <x:c r="H639" s="59">
        <x:v>41160002</x:v>
      </x:c>
      <x:c r="I639" s="9" t="s">
        <x:v>468</x:v>
      </x:c>
      <x:c r="J639" s="9" t="s">
        <x:v>40</x:v>
      </x:c>
      <x:c r="K639" s="16" t="s">
        <x:v>20</x:v>
      </x:c>
      <x:c r="L639" s="60">
        <x:v>496989</x:v>
      </x:c>
      <x:c r="M639" s="60"/>
      <x:c r="N639" s="11" t="s">
        <x:v>21</x:v>
      </x:c>
      <x:c r="O639" s="16"/>
      <x:c r="P639" s="49" t="s">
        <x:v>475</x:v>
      </x:c>
      <x:c r="Q639" s="19"/>
    </x:row>
    <x:row r="640" ht="63.75">
      <x:c r="A640" s="9">
        <x:v>2024</x:v>
      </x:c>
      <x:c r="B640" s="14" t="s">
        <x:v>342</x:v>
      </x:c>
      <x:c r="C640" s="11" t="e">
        <x:f>IFERROR(VLOOKUP(B640,Regiões!A:B,2,0),"")</x:f>
        <x:v>#NAME?</x:v>
      </x:c>
      <x:c r="D640" s="11" t="s">
        <x:v>1243</x:v>
      </x:c>
      <x:c r="E640" s="12" t="str">
        <x:f>G640&amp;" de "&amp;B640</x:f>
        <x:v>Prefeitura Municipal de Bento Gonçalves</x:v>
      </x:c>
      <x:c r="F640" s="13"/>
      <x:c r="G640" s="14" t="s">
        <x:v>18</x:v>
      </x:c>
      <x:c r="H640" s="15">
        <x:v>41160004</x:v>
      </x:c>
      <x:c r="I640" s="9" t="s">
        <x:v>285</x:v>
      </x:c>
      <x:c r="J640" s="9" t="s">
        <x:v>40</x:v>
      </x:c>
      <x:c r="K640" s="16" t="s">
        <x:v>32</x:v>
      </x:c>
      <x:c r="L640" s="17">
        <x:v>499893</x:v>
      </x:c>
      <x:c r="M640" s="17"/>
      <x:c r="N640" s="11" t="s">
        <x:v>21</x:v>
      </x:c>
      <x:c r="O640" s="16"/>
      <x:c r="P640" s="18"/>
      <x:c r="Q640" s="19"/>
    </x:row>
    <x:row r="641" ht="38.25">
      <x:c r="A641" s="22">
        <x:v>2022</x:v>
      </x:c>
      <x:c r="B641" s="163" t="s">
        <x:v>1721</x:v>
      </x:c>
      <x:c r="C641" s="11" t="e">
        <x:f>IFERROR(VLOOKUP(B641,Regiões!A:B,2,0),"")</x:f>
        <x:v>#NAME?</x:v>
      </x:c>
      <x:c r="D641" s="22" t="s">
        <x:v>1722</x:v>
      </x:c>
      <x:c r="E641" s="23"/>
      <x:c r="F641" s="83"/>
      <x:c r="G641" s="84" t="s">
        <x:v>1723</x:v>
      </x:c>
      <x:c r="H641" s="61"/>
      <x:c r="I641" s="22" t="s">
        <x:v>1110</x:v>
      </x:c>
      <x:c r="J641" s="22" t="s">
        <x:v>1110</x:v>
      </x:c>
      <x:c r="K641" s="22" t="s">
        <x:v>32</x:v>
      </x:c>
      <x:c r="L641" s="27">
        <x:v>500000</x:v>
      </x:c>
      <x:c r="M641" s="27"/>
      <x:c r="N641" s="22" t="s">
        <x:v>137</x:v>
      </x:c>
      <x:c r="O641" s="22" t="s">
        <x:v>539</x:v>
      </x:c>
      <x:c r="P641" s="28"/>
      <x:c r="Q641" s="29"/>
    </x:row>
    <x:row r="642" ht="25.5">
      <x:c r="A642" s="22">
        <x:v>2022</x:v>
      </x:c>
      <x:c r="B642" s="22" t="s">
        <x:v>16</x:v>
      </x:c>
      <x:c r="C642" s="11" t="e">
        <x:f>IFERROR(VLOOKUP(B642,Regiões!A:B,2,0),"")</x:f>
        <x:v>#NAME?</x:v>
      </x:c>
      <x:c r="D642" s="22" t="s">
        <x:v>1724</x:v>
      </x:c>
      <x:c r="E642" s="23" t="s">
        <x:v>38</x:v>
      </x:c>
      <x:c r="F642" s="24"/>
      <x:c r="G642" s="22" t="s">
        <x:v>18</x:v>
      </x:c>
      <x:c r="H642" s="25">
        <x:v>41160007</x:v>
      </x:c>
      <x:c r="I642" s="22" t="s">
        <x:v>1725</x:v>
      </x:c>
      <x:c r="J642" s="22" t="s">
        <x:v>1110</x:v>
      </x:c>
      <x:c r="K642" s="22" t="s">
        <x:v>32</x:v>
      </x:c>
      <x:c r="L642" s="27">
        <x:v>500000</x:v>
      </x:c>
      <x:c r="M642" s="27"/>
      <x:c r="N642" s="22" t="s">
        <x:v>41</x:v>
      </x:c>
      <x:c r="O642" s="22" t="s">
        <x:v>26</x:v>
      </x:c>
      <x:c r="P642" s="28" t="s">
        <x:v>1726</x:v>
      </x:c>
      <x:c r="Q642" s="29"/>
    </x:row>
    <x:row r="643" ht="38.25">
      <x:c r="A643" s="36">
        <x:v>2022</x:v>
      </x:c>
      <x:c r="B643" s="42" t="s">
        <x:v>368</x:v>
      </x:c>
      <x:c r="C643" s="11" t="e">
        <x:f>IFERROR(VLOOKUP(B643,Regiões!A:B,2,0),"")</x:f>
        <x:v>#NAME?</x:v>
      </x:c>
      <x:c r="D643" s="22" t="s">
        <x:v>1727</x:v>
      </x:c>
      <x:c r="E643" s="37" t="s">
        <x:v>93</x:v>
      </x:c>
      <x:c r="F643" s="110"/>
      <x:c r="G643" s="42" t="s">
        <x:v>1728</x:v>
      </x:c>
      <x:c r="H643" s="25">
        <x:v>7120004</x:v>
      </x:c>
      <x:c r="I643" s="22" t="s">
        <x:v>95</x:v>
      </x:c>
      <x:c r="J643" s="22" t="s">
        <x:v>40</x:v>
      </x:c>
      <x:c r="K643" s="22" t="s">
        <x:v>20</x:v>
      </x:c>
      <x:c r="L643" s="40">
        <x:v>500000</x:v>
      </x:c>
      <x:c r="M643" s="40"/>
      <x:c r="N643" s="22" t="s">
        <x:v>432</x:v>
      </x:c>
      <x:c r="O643" s="36" t="s">
        <x:v>26</x:v>
      </x:c>
      <x:c r="P643" s="35" t="s">
        <x:v>433</x:v>
      </x:c>
      <x:c r="Q643" s="42"/>
    </x:row>
    <x:row r="644" ht="25.5">
      <x:c r="A644" s="22">
        <x:v>2022</x:v>
      </x:c>
      <x:c r="B644" s="22" t="s">
        <x:v>190</x:v>
      </x:c>
      <x:c r="C644" s="11" t="e">
        <x:f>IFERROR(VLOOKUP(B644,Regiões!A:B,2,0),"")</x:f>
        <x:v>#NAME?</x:v>
      </x:c>
      <x:c r="D644" s="22" t="s">
        <x:v>278</x:v>
      </x:c>
      <x:c r="E644" s="23" t="s">
        <x:v>38</x:v>
      </x:c>
      <x:c r="F644" s="24"/>
      <x:c r="G644" s="22" t="s">
        <x:v>18</x:v>
      </x:c>
      <x:c r="H644" s="25">
        <x:v>41160007</x:v>
      </x:c>
      <x:c r="I644" s="22" t="s">
        <x:v>1725</x:v>
      </x:c>
      <x:c r="J644" s="22" t="s">
        <x:v>1110</x:v>
      </x:c>
      <x:c r="K644" s="22" t="s">
        <x:v>32</x:v>
      </x:c>
      <x:c r="L644" s="27">
        <x:v>500000</x:v>
      </x:c>
      <x:c r="M644" s="27"/>
      <x:c r="N644" s="22" t="s">
        <x:v>41</x:v>
      </x:c>
      <x:c r="O644" s="22" t="s">
        <x:v>26</x:v>
      </x:c>
      <x:c r="P644" s="28" t="s">
        <x:v>1729</x:v>
      </x:c>
      <x:c r="Q644" s="29"/>
    </x:row>
    <x:row r="645" ht="51">
      <x:c r="A645" s="22">
        <x:v>2022</x:v>
      </x:c>
      <x:c r="B645" s="22" t="s">
        <x:v>51</x:v>
      </x:c>
      <x:c r="C645" s="11" t="e">
        <x:f>IFERROR(VLOOKUP(B645,Regiões!A:B,2,0),"")</x:f>
        <x:v>#NAME?</x:v>
      </x:c>
      <x:c r="D645" s="22" t="s">
        <x:v>1730</x:v>
      </x:c>
      <x:c r="E645" s="23" t="s">
        <x:v>93</x:v>
      </x:c>
      <x:c r="F645" s="83"/>
      <x:c r="G645" s="84" t="s">
        <x:v>1731</x:v>
      </x:c>
      <x:c r="H645" s="25">
        <x:v>41160003</x:v>
      </x:c>
      <x:c r="I645" s="22" t="s">
        <x:v>415</x:v>
      </x:c>
      <x:c r="J645" s="22" t="s">
        <x:v>40</x:v>
      </x:c>
      <x:c r="K645" s="22" t="s">
        <x:v>32</x:v>
      </x:c>
      <x:c r="L645" s="27">
        <x:v>500000</x:v>
      </x:c>
      <x:c r="M645" s="27"/>
      <x:c r="N645" s="22" t="s">
        <x:v>41</x:v>
      </x:c>
      <x:c r="O645" s="22" t="s">
        <x:v>1732</x:v>
      </x:c>
      <x:c r="P645" s="28"/>
      <x:c r="Q645" s="29"/>
    </x:row>
    <x:row r="646" ht="38.25">
      <x:c r="A646" s="22">
        <x:v>2022</x:v>
      </x:c>
      <x:c r="B646" s="22" t="s">
        <x:v>800</x:v>
      </x:c>
      <x:c r="C646" s="11" t="e">
        <x:f>IFERROR(VLOOKUP(B646,Regiões!A:B,2,0),"")</x:f>
        <x:v>#NAME?</x:v>
      </x:c>
      <x:c r="D646" s="22" t="s">
        <x:v>1733</x:v>
      </x:c>
      <x:c r="E646" s="52" t="s">
        <x:v>1059</x:v>
      </x:c>
      <x:c r="F646" s="53"/>
      <x:c r="G646" s="51" t="s">
        <x:v>1059</x:v>
      </x:c>
      <x:c r="H646" s="61"/>
      <x:c r="I646" s="51" t="s">
        <x:v>31</x:v>
      </x:c>
      <x:c r="J646" s="51" t="s">
        <x:v>25</x:v>
      </x:c>
      <x:c r="K646" s="22" t="s">
        <x:v>32</x:v>
      </x:c>
      <x:c r="L646" s="27">
        <x:v>500000</x:v>
      </x:c>
      <x:c r="M646" s="27"/>
      <x:c r="N646" s="22" t="s">
        <x:v>137</x:v>
      </x:c>
      <x:c r="O646" s="22" t="s">
        <x:v>1205</x:v>
      </x:c>
      <x:c r="P646" s="28" t="s">
        <x:v>1734</x:v>
      </x:c>
      <x:c r="Q646" s="29"/>
    </x:row>
    <x:row r="647" ht="25.5">
      <x:c r="A647" s="22">
        <x:v>2022</x:v>
      </x:c>
      <x:c r="B647" s="163" t="s">
        <x:v>1552</x:v>
      </x:c>
      <x:c r="C647" s="11" t="e">
        <x:f>IFERROR(VLOOKUP(B647,Regiões!A:B,2,0),"")</x:f>
        <x:v>#NAME?</x:v>
      </x:c>
      <x:c r="D647" s="22" t="s">
        <x:v>1735</x:v>
      </x:c>
      <x:c r="E647" s="23"/>
      <x:c r="F647" s="83"/>
      <x:c r="G647" s="84" t="s">
        <x:v>1736</x:v>
      </x:c>
      <x:c r="H647" s="61"/>
      <x:c r="I647" s="22" t="s">
        <x:v>1110</x:v>
      </x:c>
      <x:c r="J647" s="22" t="s">
        <x:v>1110</x:v>
      </x:c>
      <x:c r="K647" s="22"/>
      <x:c r="L647" s="27">
        <x:v>500000</x:v>
      </x:c>
      <x:c r="M647" s="27"/>
      <x:c r="N647" s="22" t="s">
        <x:v>137</x:v>
      </x:c>
      <x:c r="O647" s="22" t="s">
        <x:v>49</x:v>
      </x:c>
      <x:c r="P647" s="28"/>
      <x:c r="Q647" s="29"/>
    </x:row>
    <x:row r="648" ht="38.25">
      <x:c r="A648" s="11">
        <x:v>2023</x:v>
      </x:c>
      <x:c r="B648" s="43" t="s">
        <x:v>622</x:v>
      </x:c>
      <x:c r="C648" s="11" t="e">
        <x:f>IFERROR(VLOOKUP(B648,Regiões!A:B,2,0),"")</x:f>
        <x:v>#NAME?</x:v>
      </x:c>
      <x:c r="D648" s="11" t="s">
        <x:v>1737</x:v>
      </x:c>
      <x:c r="E648" s="44" t="s">
        <x:v>93</x:v>
      </x:c>
      <x:c r="F648" s="99"/>
      <x:c r="G648" s="43" t="s">
        <x:v>1738</x:v>
      </x:c>
      <x:c r="H648" s="47"/>
      <x:c r="I648" s="11" t="s">
        <x:v>63</x:v>
      </x:c>
      <x:c r="J648" s="11" t="str">
        <x:f t="shared" ref="J648:J650" si="28">LEFT(I648,FIND(" (",I648) - 1)</x:f>
        <x:v>Saúde</x:v>
      </x:c>
      <x:c r="K648" s="11" t="s">
        <x:v>20</x:v>
      </x:c>
      <x:c r="L648" s="108">
        <x:v>500000</x:v>
      </x:c>
      <x:c r="M648" s="108"/>
      <x:c r="N648" s="11" t="s">
        <x:v>21</x:v>
      </x:c>
      <x:c r="O648" s="11" t="s">
        <x:v>49</x:v>
      </x:c>
      <x:c r="P648" s="49" t="s">
        <x:v>1739</x:v>
      </x:c>
      <x:c r="Q648" s="50"/>
    </x:row>
    <x:row r="649" ht="76.5">
      <x:c r="A649" s="36">
        <x:v>2023</x:v>
      </x:c>
      <x:c r="B649" s="84" t="s">
        <x:v>83</x:v>
      </x:c>
      <x:c r="C649" s="36" t="e">
        <x:f>IFERROR(VLOOKUP(B649,Regiões!A:B,2,0),"")</x:f>
        <x:v>#NAME?</x:v>
      </x:c>
      <x:c r="D649" s="36" t="s">
        <x:v>1740</x:v>
      </x:c>
      <x:c r="E649" s="41" t="s">
        <x:v>93</x:v>
      </x:c>
      <x:c r="F649" s="83"/>
      <x:c r="G649" s="84" t="s">
        <x:v>1741</x:v>
      </x:c>
      <x:c r="H649" s="39"/>
      <x:c r="I649" s="36" t="s">
        <x:v>444</x:v>
      </x:c>
      <x:c r="J649" s="36" t="str">
        <x:f t="shared" si="28"/>
        <x:v>Saúde</x:v>
      </x:c>
      <x:c r="K649" s="36" t="s">
        <x:v>32</x:v>
      </x:c>
      <x:c r="L649" s="234">
        <x:v>500000</x:v>
      </x:c>
      <x:c r="M649" s="234"/>
      <x:c r="N649" s="36" t="s">
        <x:v>21</x:v>
      </x:c>
      <x:c r="O649" s="154" t="s">
        <x:v>1742</x:v>
      </x:c>
      <x:c r="P649" s="235" t="s">
        <x:v>1743</x:v>
      </x:c>
      <x:c r="Q649" s="236" t="s">
        <x:v>1744</x:v>
      </x:c>
    </x:row>
    <x:row r="650" ht="38.25">
      <x:c r="A650" s="11">
        <x:v>2023</x:v>
      </x:c>
      <x:c r="B650" s="43" t="s">
        <x:v>1745</x:v>
      </x:c>
      <x:c r="C650" s="11" t="e">
        <x:f>IFERROR(VLOOKUP(B650,Regiões!A:B,2,0),"")</x:f>
        <x:v>#NAME?</x:v>
      </x:c>
      <x:c r="D650" s="11" t="s">
        <x:v>1746</x:v>
      </x:c>
      <x:c r="E650" s="44" t="s">
        <x:v>93</x:v>
      </x:c>
      <x:c r="F650" s="99"/>
      <x:c r="G650" s="43" t="s">
        <x:v>1747</x:v>
      </x:c>
      <x:c r="H650" s="47"/>
      <x:c r="I650" s="11" t="s">
        <x:v>63</x:v>
      </x:c>
      <x:c r="J650" s="11" t="str">
        <x:f t="shared" si="28"/>
        <x:v>Saúde</x:v>
      </x:c>
      <x:c r="K650" s="11" t="s">
        <x:v>20</x:v>
      </x:c>
      <x:c r="L650" s="48">
        <x:v>500000</x:v>
      </x:c>
      <x:c r="M650" s="48"/>
      <x:c r="N650" s="11" t="s">
        <x:v>21</x:v>
      </x:c>
      <x:c r="O650" s="11" t="s">
        <x:v>49</x:v>
      </x:c>
      <x:c r="P650" s="49" t="s">
        <x:v>494</x:v>
      </x:c>
      <x:c r="Q650" s="50" t="s">
        <x:v>494</x:v>
      </x:c>
    </x:row>
    <x:row r="651" ht="12.75">
      <x:c r="A651" s="92">
        <x:v>2023</x:v>
      </x:c>
      <x:c r="B651" s="113"/>
      <x:c r="C651" s="92" t="e">
        <x:f>IFERROR(VLOOKUP(B651,Regiões!A:B,2,0),"")</x:f>
        <x:v>#NAME?</x:v>
      </x:c>
      <x:c r="D651" s="92"/>
      <x:c r="E651" s="169"/>
      <x:c r="F651" s="112"/>
      <x:c r="G651" s="113" t="s">
        <x:v>1748</x:v>
      </x:c>
      <x:c r="H651" s="170">
        <x:v>41160005</x:v>
      </x:c>
      <x:c r="I651" s="92" t="s">
        <x:v>25</x:v>
      </x:c>
      <x:c r="J651" s="92" t="s">
        <x:v>25</x:v>
      </x:c>
      <x:c r="K651" s="92"/>
      <x:c r="L651" s="171">
        <x:v>500000</x:v>
      </x:c>
      <x:c r="M651" s="171"/>
      <x:c r="N651" s="92"/>
      <x:c r="O651" s="92"/>
      <x:c r="P651" s="97"/>
      <x:c r="Q651" s="172"/>
    </x:row>
    <x:row r="652" ht="12.75">
      <x:c r="A652" s="92">
        <x:v>2023</x:v>
      </x:c>
      <x:c r="B652" s="113"/>
      <x:c r="C652" s="92" t="e">
        <x:f>IFERROR(VLOOKUP(B652,Regiões!A:B,2,0),"")</x:f>
        <x:v>#NAME?</x:v>
      </x:c>
      <x:c r="D652" s="92"/>
      <x:c r="E652" s="169"/>
      <x:c r="F652" s="112"/>
      <x:c r="G652" s="113" t="s">
        <x:v>1749</x:v>
      </x:c>
      <x:c r="H652" s="170">
        <x:v>41160008</x:v>
      </x:c>
      <x:c r="I652" s="92" t="s">
        <x:v>25</x:v>
      </x:c>
      <x:c r="J652" s="92" t="s">
        <x:v>25</x:v>
      </x:c>
      <x:c r="K652" s="92"/>
      <x:c r="L652" s="171">
        <x:v>500000</x:v>
      </x:c>
      <x:c r="M652" s="171"/>
      <x:c r="N652" s="92"/>
      <x:c r="O652" s="92"/>
      <x:c r="P652" s="97"/>
      <x:c r="Q652" s="172"/>
    </x:row>
    <x:row r="653" ht="51">
      <x:c r="A653" s="92">
        <x:v>2023</x:v>
      </x:c>
      <x:c r="B653" s="113" t="s">
        <x:v>611</x:v>
      </x:c>
      <x:c r="C653" s="113"/>
      <x:c r="D653" s="92" t="s">
        <x:v>1750</x:v>
      </x:c>
      <x:c r="E653" s="169"/>
      <x:c r="F653" s="112"/>
      <x:c r="G653" s="113" t="s">
        <x:v>1751</x:v>
      </x:c>
      <x:c r="H653" s="174"/>
      <x:c r="I653" s="92" t="s">
        <x:v>1110</x:v>
      </x:c>
      <x:c r="J653" s="92" t="s">
        <x:v>1110</x:v>
      </x:c>
      <x:c r="K653" s="92" t="s">
        <x:v>32</x:v>
      </x:c>
      <x:c r="L653" s="171">
        <x:v>500000</x:v>
      </x:c>
      <x:c r="M653" s="171"/>
      <x:c r="N653" s="92" t="s">
        <x:v>1371</x:v>
      </x:c>
      <x:c r="O653" s="92" t="s">
        <x:v>49</x:v>
      </x:c>
      <x:c r="P653" s="97"/>
      <x:c r="Q653" s="172" t="s">
        <x:v>1372</x:v>
      </x:c>
    </x:row>
    <x:row r="654" ht="63.75">
      <x:c r="A654" s="9">
        <x:v>2024</x:v>
      </x:c>
      <x:c r="B654" s="14" t="s">
        <x:v>342</x:v>
      </x:c>
      <x:c r="C654" s="11" t="e">
        <x:f>IFERROR(VLOOKUP(B654,Regiões!A:B,2,0),"")</x:f>
        <x:v>#NAME?</x:v>
      </x:c>
      <x:c r="D654" s="11" t="s">
        <x:v>1752</x:v>
      </x:c>
      <x:c r="E654" s="12" t="str">
        <x:f t="shared" ref="E654:E656" si="29">G654&amp;" de "&amp;B654</x:f>
        <x:v>Prefeitura Municipal de Bento Gonçalves</x:v>
      </x:c>
      <x:c r="F654" s="13"/>
      <x:c r="G654" s="14" t="s">
        <x:v>18</x:v>
      </x:c>
      <x:c r="H654" s="15">
        <x:v>41160001</x:v>
      </x:c>
      <x:c r="I654" s="9" t="s">
        <x:v>58</x:v>
      </x:c>
      <x:c r="J654" s="9" t="s">
        <x:v>40</x:v>
      </x:c>
      <x:c r="K654" s="16" t="s">
        <x:v>20</x:v>
      </x:c>
      <x:c r="L654" s="17">
        <x:v>500000</x:v>
      </x:c>
      <x:c r="M654" s="17"/>
      <x:c r="N654" s="11" t="s">
        <x:v>21</x:v>
      </x:c>
      <x:c r="O654" s="16"/>
      <x:c r="P654" s="18"/>
      <x:c r="Q654" s="19"/>
    </x:row>
    <x:row r="655" ht="51">
      <x:c r="A655" s="9">
        <x:v>2024</x:v>
      </x:c>
      <x:c r="B655" s="10" t="s">
        <x:v>379</x:v>
      </x:c>
      <x:c r="C655" s="11" t="e">
        <x:f>IFERROR(VLOOKUP(B655,Regiões!A:B,2,0),"")</x:f>
        <x:v>#NAME?</x:v>
      </x:c>
      <x:c r="D655" s="11" t="s">
        <x:v>1753</x:v>
      </x:c>
      <x:c r="E655" s="12" t="str">
        <x:f t="shared" si="29"/>
        <x:v>Prefeitura Municipal de Pelotas</x:v>
      </x:c>
      <x:c r="F655" s="13"/>
      <x:c r="G655" s="14" t="s">
        <x:v>18</x:v>
      </x:c>
      <x:c r="H655" s="15">
        <x:v>41160001</x:v>
      </x:c>
      <x:c r="I655" s="9" t="s">
        <x:v>58</x:v>
      </x:c>
      <x:c r="J655" s="9" t="s">
        <x:v>40</x:v>
      </x:c>
      <x:c r="K655" s="16" t="s">
        <x:v>20</x:v>
      </x:c>
      <x:c r="L655" s="17">
        <x:v>500000</x:v>
      </x:c>
      <x:c r="M655" s="17"/>
      <x:c r="N655" s="11" t="s">
        <x:v>21</x:v>
      </x:c>
      <x:c r="O655" s="16"/>
      <x:c r="P655" s="18"/>
      <x:c r="Q655" s="19"/>
    </x:row>
    <x:row r="656" ht="63.75">
      <x:c r="A656" s="9">
        <x:v>2024</x:v>
      </x:c>
      <x:c r="B656" s="10" t="s">
        <x:v>335</x:v>
      </x:c>
      <x:c r="C656" s="11" t="e">
        <x:f>IFERROR(VLOOKUP(B656,Regiões!A:B,2,0),"")</x:f>
        <x:v>#NAME?</x:v>
      </x:c>
      <x:c r="D656" s="11" t="s">
        <x:v>1754</x:v>
      </x:c>
      <x:c r="E656" s="12" t="str">
        <x:f t="shared" si="29"/>
        <x:v>Prefeitura Municipal de Arroio do Meio</x:v>
      </x:c>
      <x:c r="F656" s="13"/>
      <x:c r="G656" s="14" t="s">
        <x:v>18</x:v>
      </x:c>
      <x:c r="H656" s="15">
        <x:v>41160005</x:v>
      </x:c>
      <x:c r="I656" s="9" t="s">
        <x:v>19</x:v>
      </x:c>
      <x:c r="J656" s="9" t="s">
        <x:v>19</x:v>
      </x:c>
      <x:c r="K656" s="16" t="s">
        <x:v>20</x:v>
      </x:c>
      <x:c r="L656" s="17">
        <x:v>500000</x:v>
      </x:c>
      <x:c r="M656" s="17"/>
      <x:c r="N656" s="11" t="s">
        <x:v>21</x:v>
      </x:c>
      <x:c r="O656" s="16"/>
      <x:c r="P656" s="18"/>
      <x:c r="Q656" s="19"/>
    </x:row>
    <x:row r="657" ht="38.25">
      <x:c r="A657" s="9">
        <x:v>2025</x:v>
      </x:c>
      <x:c r="B657" s="14" t="s">
        <x:v>168</x:v>
      </x:c>
      <x:c r="C657" s="11" t="e">
        <x:f>IFERROR(VLOOKUP(B657,Regiões!A:B,2,0),"")</x:f>
        <x:v>#NAME?</x:v>
      </x:c>
      <x:c r="D657" s="11" t="s">
        <x:v>1755</x:v>
      </x:c>
      <x:c r="E657" s="12" t="s">
        <x:v>1756</x:v>
      </x:c>
      <x:c r="F657" s="13">
        <x:v>90936956000192</x:v>
      </x:c>
      <x:c r="G657" s="14" t="s">
        <x:v>18</x:v>
      </x:c>
      <x:c r="H657" s="87">
        <x:v>41160005</x:v>
      </x:c>
      <x:c r="I657" s="9" t="s">
        <x:v>1581</x:v>
      </x:c>
      <x:c r="J657" s="9" t="s">
        <x:v>1109</x:v>
      </x:c>
      <x:c r="K657" s="16" t="s">
        <x:v>32</x:v>
      </x:c>
      <x:c r="L657" s="88">
        <x:v>500000</x:v>
      </x:c>
      <x:c r="M657" s="88"/>
      <x:c r="N657" s="11" t="s">
        <x:v>21</x:v>
      </x:c>
      <x:c r="O657" s="16"/>
      <x:c r="P657" s="44" t="s">
        <x:v>1757</x:v>
      </x:c>
      <x:c r="Q657" s="19"/>
    </x:row>
    <x:row r="658" ht="63.75">
      <x:c r="A658" s="9">
        <x:v>2025</x:v>
      </x:c>
      <x:c r="B658" s="14" t="s">
        <x:v>1758</x:v>
      </x:c>
      <x:c r="C658" s="11" t="e">
        <x:f>IFERROR(VLOOKUP(B658,Regiões!A:B,2,0),"")</x:f>
        <x:v>#NAME?</x:v>
      </x:c>
      <x:c r="D658" s="11" t="s">
        <x:v>1759</x:v>
      </x:c>
      <x:c r="E658" s="12" t="s">
        <x:v>1760</x:v>
      </x:c>
      <x:c r="F658" s="13">
        <x:v>87277000000111</x:v>
      </x:c>
      <x:c r="G658" s="10" t="s">
        <x:v>1760</x:v>
      </x:c>
      <x:c r="H658" s="87">
        <x:v>41160004</x:v>
      </x:c>
      <x:c r="I658" s="9" t="s">
        <x:v>502</x:v>
      </x:c>
      <x:c r="J658" s="9" t="s">
        <x:v>40</x:v>
      </x:c>
      <x:c r="K658" s="16" t="s">
        <x:v>32</x:v>
      </x:c>
      <x:c r="L658" s="88">
        <x:v>500000</x:v>
      </x:c>
      <x:c r="M658" s="88"/>
      <x:c r="N658" s="11" t="s">
        <x:v>21</x:v>
      </x:c>
      <x:c r="O658" s="16"/>
      <x:c r="P658" s="111" t="s">
        <x:v>1761</x:v>
      </x:c>
      <x:c r="Q658" s="19"/>
    </x:row>
    <x:row r="659" ht="38.25">
      <x:c r="A659" s="9">
        <x:v>2025</x:v>
      </x:c>
      <x:c r="B659" s="14" t="s">
        <x:v>339</x:v>
      </x:c>
      <x:c r="C659" s="11" t="e">
        <x:f>IFERROR(VLOOKUP(B659,Regiões!A:B,2,0),"")</x:f>
        <x:v>#NAME?</x:v>
      </x:c>
      <x:c r="D659" s="11" t="s">
        <x:v>1762</x:v>
      </x:c>
      <x:c r="E659" s="12" t="s">
        <x:v>1763</x:v>
      </x:c>
      <x:c r="F659" s="13">
        <x:v>91693325000152</x:v>
      </x:c>
      <x:c r="G659" s="14" t="s">
        <x:v>18</x:v>
      </x:c>
      <x:c r="H659" s="87">
        <x:v>41160005</x:v>
      </x:c>
      <x:c r="I659" s="9" t="s">
        <x:v>1581</x:v>
      </x:c>
      <x:c r="J659" s="9" t="s">
        <x:v>1109</x:v>
      </x:c>
      <x:c r="K659" s="16" t="s">
        <x:v>32</x:v>
      </x:c>
      <x:c r="L659" s="88">
        <x:v>500000</x:v>
      </x:c>
      <x:c r="M659" s="88"/>
      <x:c r="N659" s="11" t="s">
        <x:v>21</x:v>
      </x:c>
      <x:c r="O659" s="16"/>
      <x:c r="P659" s="111" t="s">
        <x:v>1764</x:v>
      </x:c>
      <x:c r="Q659" s="19"/>
    </x:row>
    <x:row r="660" ht="89.25">
      <x:c r="A660" s="9">
        <x:v>2025</x:v>
      </x:c>
      <x:c r="B660" s="14" t="s">
        <x:v>1765</x:v>
      </x:c>
      <x:c r="C660" s="11" t="e">
        <x:f>IFERROR(VLOOKUP(B660,Regiões!A:B,2,0),"")</x:f>
        <x:v>#NAME?</x:v>
      </x:c>
      <x:c r="D660" s="11" t="s">
        <x:v>1766</x:v>
      </x:c>
      <x:c r="E660" s="12" t="s">
        <x:v>1767</x:v>
      </x:c>
      <x:c r="F660" s="13">
        <x:v>90256652000184</x:v>
      </x:c>
      <x:c r="G660" s="14" t="s">
        <x:v>18</x:v>
      </x:c>
      <x:c r="H660" s="87">
        <x:v>41160005</x:v>
      </x:c>
      <x:c r="I660" s="9" t="s">
        <x:v>1581</x:v>
      </x:c>
      <x:c r="J660" s="9" t="s">
        <x:v>1109</x:v>
      </x:c>
      <x:c r="K660" s="16" t="s">
        <x:v>32</x:v>
      </x:c>
      <x:c r="L660" s="88">
        <x:v>500000</x:v>
      </x:c>
      <x:c r="M660" s="88"/>
      <x:c r="N660" s="11" t="s">
        <x:v>21</x:v>
      </x:c>
      <x:c r="O660" s="16"/>
      <x:c r="P660" s="111" t="s">
        <x:v>1768</x:v>
      </x:c>
      <x:c r="Q660" s="19"/>
    </x:row>
    <x:row r="661" ht="51">
      <x:c r="A661" s="9">
        <x:v>2025</x:v>
      </x:c>
      <x:c r="B661" s="14" t="s">
        <x:v>806</x:v>
      </x:c>
      <x:c r="C661" s="11" t="e">
        <x:f>IFERROR(VLOOKUP(B661,Regiões!A:B,2,0),"")</x:f>
        <x:v>#NAME?</x:v>
      </x:c>
      <x:c r="D661" s="11" t="s">
        <x:v>1769</x:v>
      </x:c>
      <x:c r="E661" s="12" t="s">
        <x:v>1770</x:v>
      </x:c>
      <x:c r="F661" s="13">
        <x:v>87613659000100</x:v>
      </x:c>
      <x:c r="G661" s="14" t="s">
        <x:v>18</x:v>
      </x:c>
      <x:c r="H661" s="87">
        <x:v>41160005</x:v>
      </x:c>
      <x:c r="I661" s="9" t="s">
        <x:v>1581</x:v>
      </x:c>
      <x:c r="J661" s="9" t="s">
        <x:v>1109</x:v>
      </x:c>
      <x:c r="K661" s="16" t="s">
        <x:v>32</x:v>
      </x:c>
      <x:c r="L661" s="88">
        <x:v>500000</x:v>
      </x:c>
      <x:c r="M661" s="88"/>
      <x:c r="N661" s="11" t="s">
        <x:v>21</x:v>
      </x:c>
      <x:c r="O661" s="16"/>
      <x:c r="P661" s="111" t="s">
        <x:v>1771</x:v>
      </x:c>
      <x:c r="Q661" s="19"/>
    </x:row>
    <x:row r="662" ht="51">
      <x:c r="A662" s="9">
        <x:v>2025</x:v>
      </x:c>
      <x:c r="B662" s="14" t="s">
        <x:v>202</x:v>
      </x:c>
      <x:c r="C662" s="11" t="e">
        <x:f>IFERROR(VLOOKUP(B662,Regiões!A:B,2,0),"")</x:f>
        <x:v>#NAME?</x:v>
      </x:c>
      <x:c r="D662" s="11" t="s">
        <x:v>1772</x:v>
      </x:c>
      <x:c r="E662" s="12" t="s">
        <x:v>1773</x:v>
      </x:c>
      <x:c r="F662" s="13">
        <x:v>88199971000153</x:v>
      </x:c>
      <x:c r="G662" s="14" t="s">
        <x:v>18</x:v>
      </x:c>
      <x:c r="H662" s="87">
        <x:v>41160005</x:v>
      </x:c>
      <x:c r="I662" s="9" t="s">
        <x:v>1581</x:v>
      </x:c>
      <x:c r="J662" s="9" t="s">
        <x:v>1109</x:v>
      </x:c>
      <x:c r="K662" s="16" t="s">
        <x:v>32</x:v>
      </x:c>
      <x:c r="L662" s="88">
        <x:v>500000</x:v>
      </x:c>
      <x:c r="M662" s="88"/>
      <x:c r="N662" s="11" t="s">
        <x:v>21</x:v>
      </x:c>
      <x:c r="O662" s="16"/>
      <x:c r="P662" s="111" t="s">
        <x:v>1774</x:v>
      </x:c>
      <x:c r="Q662" s="19"/>
    </x:row>
    <x:row r="663" ht="63.75">
      <x:c r="A663" s="9">
        <x:v>2025</x:v>
      </x:c>
      <x:c r="B663" s="14" t="s">
        <x:v>605</x:v>
      </x:c>
      <x:c r="C663" s="11" t="e">
        <x:f>IFERROR(VLOOKUP(B663,Regiões!A:B,2,0),"")</x:f>
        <x:v>#NAME?</x:v>
      </x:c>
      <x:c r="D663" s="11" t="s">
        <x:v>1775</x:v>
      </x:c>
      <x:c r="E663" s="12" t="s">
        <x:v>1776</x:v>
      </x:c>
      <x:c r="F663" s="13">
        <x:v>87866745000116</x:v>
      </x:c>
      <x:c r="G663" s="14" t="s">
        <x:v>18</x:v>
      </x:c>
      <x:c r="H663" s="87">
        <x:v>41160005</x:v>
      </x:c>
      <x:c r="I663" s="9" t="s">
        <x:v>1581</x:v>
      </x:c>
      <x:c r="J663" s="9" t="s">
        <x:v>1109</x:v>
      </x:c>
      <x:c r="K663" s="16" t="s">
        <x:v>32</x:v>
      </x:c>
      <x:c r="L663" s="88">
        <x:v>500000</x:v>
      </x:c>
      <x:c r="M663" s="88"/>
      <x:c r="N663" s="11" t="s">
        <x:v>21</x:v>
      </x:c>
      <x:c r="O663" s="16"/>
      <x:c r="P663" s="111" t="s">
        <x:v>1777</x:v>
      </x:c>
      <x:c r="Q663" s="19"/>
    </x:row>
    <x:row r="664" ht="51">
      <x:c r="A664" s="9">
        <x:v>2025</x:v>
      </x:c>
      <x:c r="B664" s="14" t="s">
        <x:v>1778</x:v>
      </x:c>
      <x:c r="C664" s="11" t="e">
        <x:f>IFERROR(VLOOKUP(B664,Regiões!A:B,2,0),"")</x:f>
        <x:v>#NAME?</x:v>
      </x:c>
      <x:c r="D664" s="11" t="s">
        <x:v>1779</x:v>
      </x:c>
      <x:c r="E664" s="12" t="s">
        <x:v>1780</x:v>
      </x:c>
      <x:c r="F664" s="13">
        <x:v>91154898000108</x:v>
      </x:c>
      <x:c r="G664" s="10" t="s">
        <x:v>1780</x:v>
      </x:c>
      <x:c r="H664" s="87">
        <x:v>41160004</x:v>
      </x:c>
      <x:c r="I664" s="9" t="s">
        <x:v>502</x:v>
      </x:c>
      <x:c r="J664" s="9" t="s">
        <x:v>40</x:v>
      </x:c>
      <x:c r="K664" s="16" t="s">
        <x:v>32</x:v>
      </x:c>
      <x:c r="L664" s="88">
        <x:v>500000</x:v>
      </x:c>
      <x:c r="M664" s="88"/>
      <x:c r="N664" s="11" t="s">
        <x:v>21</x:v>
      </x:c>
      <x:c r="O664" s="16"/>
      <x:c r="P664" s="111" t="s">
        <x:v>1781</x:v>
      </x:c>
      <x:c r="Q664" s="19"/>
    </x:row>
    <x:row r="665" ht="51">
      <x:c r="A665" s="9">
        <x:v>2025</x:v>
      </x:c>
      <x:c r="B665" s="14" t="s">
        <x:v>171</x:v>
      </x:c>
      <x:c r="C665" s="11" t="e">
        <x:f>IFERROR(VLOOKUP(B665,Regiões!A:B,2,0),"")</x:f>
        <x:v>#NAME?</x:v>
      </x:c>
      <x:c r="D665" s="11" t="s">
        <x:v>1782</x:v>
      </x:c>
      <x:c r="E665" s="12" t="s">
        <x:v>1783</x:v>
      </x:c>
      <x:c r="F665" s="13">
        <x:v>88577416000118</x:v>
      </x:c>
      <x:c r="G665" s="14" t="s">
        <x:v>18</x:v>
      </x:c>
      <x:c r="H665" s="87">
        <x:v>41160008</x:v>
      </x:c>
      <x:c r="I665" s="9" t="s">
        <x:v>881</x:v>
      </x:c>
      <x:c r="J665" s="9" t="s">
        <x:v>25</x:v>
      </x:c>
      <x:c r="K665" s="16" t="s">
        <x:v>32</x:v>
      </x:c>
      <x:c r="L665" s="88">
        <x:v>500000</x:v>
      </x:c>
      <x:c r="M665" s="88"/>
      <x:c r="N665" s="11" t="s">
        <x:v>21</x:v>
      </x:c>
      <x:c r="O665" s="16"/>
      <x:c r="P665" s="111" t="s">
        <x:v>1784</x:v>
      </x:c>
      <x:c r="Q665" s="19"/>
    </x:row>
    <x:row r="666" ht="63.75">
      <x:c r="A666" s="9">
        <x:v>2025</x:v>
      </x:c>
      <x:c r="B666" s="14" t="s">
        <x:v>51</x:v>
      </x:c>
      <x:c r="C666" s="11" t="e">
        <x:f>IFERROR(VLOOKUP(B666,Regiões!A:B,2,0),"")</x:f>
        <x:v>#NAME?</x:v>
      </x:c>
      <x:c r="D666" s="11" t="s">
        <x:v>1785</x:v>
      </x:c>
      <x:c r="E666" s="12" t="s">
        <x:v>1786</x:v>
      </x:c>
      <x:c r="F666" s="13">
        <x:v>88630413000109</x:v>
      </x:c>
      <x:c r="G666" s="10" t="s">
        <x:v>1786</x:v>
      </x:c>
      <x:c r="H666" s="59">
        <x:v>41160004</x:v>
      </x:c>
      <x:c r="I666" s="9" t="s">
        <x:v>502</x:v>
      </x:c>
      <x:c r="J666" s="9" t="s">
        <x:v>40</x:v>
      </x:c>
      <x:c r="K666" s="16" t="s">
        <x:v>32</x:v>
      </x:c>
      <x:c r="L666" s="90">
        <x:v>500000</x:v>
      </x:c>
      <x:c r="M666" s="90"/>
      <x:c r="N666" s="11" t="s">
        <x:v>21</x:v>
      </x:c>
      <x:c r="O666" s="16"/>
      <x:c r="P666" s="91" t="s">
        <x:v>1787</x:v>
      </x:c>
      <x:c r="Q666" s="19"/>
    </x:row>
    <x:row r="667" ht="51">
      <x:c r="A667" s="9">
        <x:v>2025</x:v>
      </x:c>
      <x:c r="B667" s="14" t="s">
        <x:v>139</x:v>
      </x:c>
      <x:c r="C667" s="11" t="e">
        <x:f>IFERROR(VLOOKUP(B667,Regiões!A:B,2,0),"")</x:f>
        <x:v>#NAME?</x:v>
      </x:c>
      <x:c r="D667" s="11" t="s">
        <x:v>1788</x:v>
      </x:c>
      <x:c r="E667" s="12" t="s">
        <x:v>1789</x:v>
      </x:c>
      <x:c r="F667" s="13">
        <x:v>88585518000185</x:v>
      </x:c>
      <x:c r="G667" s="14" t="s">
        <x:v>18</x:v>
      </x:c>
      <x:c r="H667" s="59">
        <x:v>41160008</x:v>
      </x:c>
      <x:c r="I667" s="9" t="s">
        <x:v>881</x:v>
      </x:c>
      <x:c r="J667" s="9" t="s">
        <x:v>25</x:v>
      </x:c>
      <x:c r="K667" s="16" t="s">
        <x:v>32</x:v>
      </x:c>
      <x:c r="L667" s="198">
        <x:v>500000</x:v>
      </x:c>
      <x:c r="M667" s="198"/>
      <x:c r="N667" s="11" t="s">
        <x:v>21</x:v>
      </x:c>
      <x:c r="O667" s="16"/>
      <x:c r="P667" s="44" t="s">
        <x:v>1790</x:v>
      </x:c>
      <x:c r="Q667" s="19"/>
    </x:row>
    <x:row r="668" ht="63.75">
      <x:c r="A668" s="9">
        <x:v>2025</x:v>
      </x:c>
      <x:c r="B668" s="14" t="s">
        <x:v>27</x:v>
      </x:c>
      <x:c r="C668" s="11" t="e">
        <x:f>IFERROR(VLOOKUP(B668,Regiões!A:B,2,0),"")</x:f>
        <x:v>#NAME?</x:v>
      </x:c>
      <x:c r="D668" s="11" t="s">
        <x:v>1791</x:v>
      </x:c>
      <x:c r="E668" s="12" t="s">
        <x:v>1792</x:v>
      </x:c>
      <x:c r="F668" s="13">
        <x:v>9341233000122</x:v>
      </x:c>
      <x:c r="G668" s="12" t="s">
        <x:v>1792</x:v>
      </x:c>
      <x:c r="H668" s="59">
        <x:v>41160006</x:v>
      </x:c>
      <x:c r="I668" s="9" t="s">
        <x:v>1793</x:v>
      </x:c>
      <x:c r="J668" s="9" t="s">
        <x:v>129</x:v>
      </x:c>
      <x:c r="K668" s="16" t="s">
        <x:v>32</x:v>
      </x:c>
      <x:c r="L668" s="90">
        <x:v>500000</x:v>
      </x:c>
      <x:c r="M668" s="90"/>
      <x:c r="N668" s="11" t="s">
        <x:v>21</x:v>
      </x:c>
      <x:c r="O668" s="16"/>
      <x:c r="P668" s="199"/>
      <x:c r="Q668" s="19"/>
    </x:row>
    <x:row r="669" ht="89.25">
      <x:c r="A669" s="9">
        <x:v>2026</x:v>
      </x:c>
      <x:c r="B669" s="14" t="s">
        <x:v>51</x:v>
      </x:c>
      <x:c r="C669" s="11" t="e">
        <x:f>IFERROR(VLOOKUP(B669,Regiões!A:B,2,0),"")</x:f>
        <x:v>#NAME?</x:v>
      </x:c>
      <x:c r="D669" s="11" t="s">
        <x:v>1794</x:v>
      </x:c>
      <x:c r="E669" s="14" t="s">
        <x:v>51</x:v>
      </x:c>
      <x:c r="F669" s="13">
        <x:v>92963560000160</x:v>
      </x:c>
      <x:c r="G669" s="14" t="s">
        <x:v>1795</x:v>
      </x:c>
      <x:c r="H669" s="15">
        <x:v>41160012</x:v>
      </x:c>
      <x:c r="I669" s="9" t="s">
        <x:v>1109</x:v>
      </x:c>
      <x:c r="J669" s="201" t="s">
        <x:v>1109</x:v>
      </x:c>
      <x:c r="K669" s="16" t="s">
        <x:v>32</x:v>
      </x:c>
      <x:c r="L669" s="17">
        <x:v>500000</x:v>
      </x:c>
      <x:c r="M669" s="17"/>
      <x:c r="N669" s="9" t="s">
        <x:v>33</x:v>
      </x:c>
      <x:c r="O669" s="16"/>
      <x:c r="P669" s="18"/>
      <x:c r="Q669" s="19"/>
    </x:row>
    <x:row r="670" ht="51">
      <x:c r="A670" s="9">
        <x:v>2026</x:v>
      </x:c>
      <x:c r="B670" s="14" t="s">
        <x:v>392</x:v>
      </x:c>
      <x:c r="C670" s="11" t="e">
        <x:f>IFERROR(VLOOKUP(B670,Regiões!A:B,2,0),"")</x:f>
        <x:v>#NAME?</x:v>
      </x:c>
      <x:c r="D670" s="11" t="s">
        <x:v>1796</x:v>
      </x:c>
      <x:c r="E670" s="20" t="s">
        <x:v>1693</x:v>
      </x:c>
      <x:c r="F670" s="13">
        <x:v>96210471000101</x:v>
      </x:c>
      <x:c r="G670" s="14" t="s">
        <x:v>1449</x:v>
      </x:c>
      <x:c r="H670" s="15">
        <x:v>41160003</x:v>
      </x:c>
      <x:c r="I670" s="9" t="s">
        <x:v>976</x:v>
      </x:c>
      <x:c r="J670" s="2" t="s">
        <x:v>40</x:v>
      </x:c>
      <x:c r="K670" s="16" t="s">
        <x:v>32</x:v>
      </x:c>
      <x:c r="L670" s="17">
        <x:v>500000</x:v>
      </x:c>
      <x:c r="M670" s="17"/>
      <x:c r="N670" s="9" t="s">
        <x:v>33</x:v>
      </x:c>
      <x:c r="O670" s="16"/>
      <x:c r="P670" s="18"/>
      <x:c r="Q670" s="19"/>
    </x:row>
    <x:row r="671" ht="51">
      <x:c r="A671" s="9">
        <x:v>2026</x:v>
      </x:c>
      <x:c r="B671" s="14" t="s">
        <x:v>408</x:v>
      </x:c>
      <x:c r="C671" s="11" t="e">
        <x:f>IFERROR(VLOOKUP(B671,Regiões!A:B,2,0),"")</x:f>
        <x:v>#NAME?</x:v>
      </x:c>
      <x:c r="D671" s="137" t="s">
        <x:v>1797</x:v>
      </x:c>
      <x:c r="E671" s="14" t="s">
        <x:v>408</x:v>
      </x:c>
      <x:c r="F671" s="13">
        <x:v>11343066000109</x:v>
      </x:c>
      <x:c r="G671" s="14" t="s">
        <x:v>1002</x:v>
      </x:c>
      <x:c r="H671" s="15">
        <x:v>41160003</x:v>
      </x:c>
      <x:c r="I671" s="9" t="s">
        <x:v>976</x:v>
      </x:c>
      <x:c r="J671" s="2" t="s">
        <x:v>40</x:v>
      </x:c>
      <x:c r="K671" s="16" t="s">
        <x:v>32</x:v>
      </x:c>
      <x:c r="L671" s="17">
        <x:v>500000</x:v>
      </x:c>
      <x:c r="M671" s="17"/>
      <x:c r="N671" s="9" t="s">
        <x:v>33</x:v>
      </x:c>
      <x:c r="O671" s="16"/>
      <x:c r="P671" s="18"/>
      <x:c r="Q671" s="19"/>
    </x:row>
    <x:row r="672" ht="63.75">
      <x:c r="A672" s="9">
        <x:v>2026</x:v>
      </x:c>
      <x:c r="B672" s="14" t="s">
        <x:v>45</x:v>
      </x:c>
      <x:c r="C672" s="11" t="e">
        <x:f>IFERROR(VLOOKUP(B672,Regiões!A:B,2,0),"")</x:f>
        <x:v>#NAME?</x:v>
      </x:c>
      <x:c r="D672" s="11" t="s">
        <x:v>1798</x:v>
      </x:c>
      <x:c r="E672" s="14" t="s">
        <x:v>45</x:v>
      </x:c>
      <x:c r="F672" s="13">
        <x:v>88254875000160</x:v>
      </x:c>
      <x:c r="G672" s="14" t="s">
        <x:v>1799</x:v>
      </x:c>
      <x:c r="H672" s="15">
        <x:v>41160008</x:v>
      </x:c>
      <x:c r="I672" s="9" t="s">
        <x:v>1800</x:v>
      </x:c>
      <x:c r="J672" s="2" t="s">
        <x:v>1110</x:v>
      </x:c>
      <x:c r="K672" s="207" t="s">
        <x:v>1642</x:v>
      </x:c>
      <x:c r="L672" s="17">
        <x:v>500000</x:v>
      </x:c>
      <x:c r="M672" s="17" t="s">
        <x:v>1801</x:v>
      </x:c>
      <x:c r="N672" s="9" t="s">
        <x:v>33</x:v>
      </x:c>
      <x:c r="O672" s="16"/>
      <x:c r="P672" s="239" t="s">
        <x:v>1802</x:v>
      </x:c>
      <x:c r="Q672" s="19"/>
    </x:row>
    <x:row r="673" ht="25.5">
      <x:c r="A673" s="9">
        <x:v>2026</x:v>
      </x:c>
      <x:c r="B673" s="14" t="s">
        <x:v>1233</x:v>
      </x:c>
      <x:c r="C673" s="11" t="e">
        <x:f>IFERROR(VLOOKUP(B673,Regiões!A:B,2,0),"")</x:f>
        <x:v>#NAME?</x:v>
      </x:c>
      <x:c r="D673" s="11"/>
      <x:c r="E673" s="20" t="s">
        <x:v>1803</x:v>
      </x:c>
      <x:c r="F673" s="13">
        <x:v>89891337000140</x:v>
      </x:c>
      <x:c r="G673" s="20" t="s">
        <x:v>1803</x:v>
      </x:c>
      <x:c r="H673" s="15">
        <x:v>41160003</x:v>
      </x:c>
      <x:c r="I673" s="9" t="s">
        <x:v>40</x:v>
      </x:c>
      <x:c r="J673" s="9" t="s">
        <x:v>40</x:v>
      </x:c>
      <x:c r="K673" s="16" t="s">
        <x:v>976</x:v>
      </x:c>
      <x:c r="L673" s="17">
        <x:v>500000</x:v>
      </x:c>
      <x:c r="M673" s="17"/>
      <x:c r="N673" s="9" t="s">
        <x:v>33</x:v>
      </x:c>
      <x:c r="O673" s="16"/>
      <x:c r="P673" s="18"/>
      <x:c r="Q673" s="19"/>
    </x:row>
    <x:row r="674" ht="12.75">
      <x:c r="A674" s="9">
        <x:v>2026</x:v>
      </x:c>
      <x:c r="B674" s="14" t="s">
        <x:v>352</x:v>
      </x:c>
      <x:c r="C674" s="11" t="e">
        <x:f>IFERROR(VLOOKUP(B674,Regiões!A:B,2,0),"")</x:f>
        <x:v>#NAME?</x:v>
      </x:c>
      <x:c r="D674" s="11"/>
      <x:c r="E674" s="20" t="s">
        <x:v>1804</x:v>
      </x:c>
      <x:c r="F674" s="13">
        <x:v>11437296000129</x:v>
      </x:c>
      <x:c r="G674" s="14" t="s">
        <x:v>1805</x:v>
      </x:c>
      <x:c r="H674" s="15">
        <x:v>71220002</x:v>
      </x:c>
      <x:c r="I674" s="9" t="s">
        <x:v>40</x:v>
      </x:c>
      <x:c r="J674" s="9" t="s">
        <x:v>40</x:v>
      </x:c>
      <x:c r="K674" s="16" t="s">
        <x:v>1273</x:v>
      </x:c>
      <x:c r="L674" s="17">
        <x:v>500000</x:v>
      </x:c>
      <x:c r="M674" s="17"/>
      <x:c r="N674" s="9" t="s">
        <x:v>1269</x:v>
      </x:c>
      <x:c r="O674" s="16"/>
      <x:c r="P674" s="18"/>
      <x:c r="Q674" s="19"/>
    </x:row>
    <x:row r="675" ht="25.5">
      <x:c r="A675" s="9">
        <x:v>2026</x:v>
      </x:c>
      <x:c r="B675" s="14" t="s">
        <x:v>782</x:v>
      </x:c>
      <x:c r="C675" s="11" t="e">
        <x:f>IFERROR(VLOOKUP(B675,Regiões!A:B,2,0),"")</x:f>
        <x:v>#NAME?</x:v>
      </x:c>
      <x:c r="D675" s="11"/>
      <x:c r="E675" s="20" t="s">
        <x:v>1806</x:v>
      </x:c>
      <x:c r="F675" s="13">
        <x:v>91024562000120</x:v>
      </x:c>
      <x:c r="G675" s="14"/>
      <x:c r="H675" s="15">
        <x:v>41160003</x:v>
      </x:c>
      <x:c r="I675" s="9" t="s">
        <x:v>40</x:v>
      </x:c>
      <x:c r="J675" s="9" t="s">
        <x:v>40</x:v>
      </x:c>
      <x:c r="K675" s="16" t="s">
        <x:v>976</x:v>
      </x:c>
      <x:c r="L675" s="17">
        <x:v>500000</x:v>
      </x:c>
      <x:c r="M675" s="17"/>
      <x:c r="N675" s="9" t="s">
        <x:v>33</x:v>
      </x:c>
      <x:c r="O675" s="16"/>
      <x:c r="P675" s="18"/>
      <x:c r="Q675" s="19"/>
    </x:row>
    <x:row r="676" ht="25.5">
      <x:c r="A676" s="11">
        <x:v>2023</x:v>
      </x:c>
      <x:c r="B676" s="66" t="s">
        <x:v>83</x:v>
      </x:c>
      <x:c r="C676" s="11" t="e">
        <x:f>IFERROR(VLOOKUP(B676,Regiões!A:B,2,0),"")</x:f>
        <x:v>#NAME?</x:v>
      </x:c>
      <x:c r="D676" s="11" t="s">
        <x:v>1152</x:v>
      </x:c>
      <x:c r="E676" s="67" t="s">
        <x:v>42</x:v>
      </x:c>
      <x:c r="F676" s="68"/>
      <x:c r="G676" s="66" t="s">
        <x:v>1807</x:v>
      </x:c>
      <x:c r="H676" s="69">
        <x:v>41160006</x:v>
      </x:c>
      <x:c r="I676" s="11" t="s">
        <x:v>1202</x:v>
      </x:c>
      <x:c r="J676" s="11" t="str">
        <x:f>LEFT(I676,FIND(" (",I676) - 1)</x:f>
        <x:v>Infraestrutura</x:v>
      </x:c>
      <x:c r="K676" s="11" t="s">
        <x:v>32</x:v>
      </x:c>
      <x:c r="L676" s="241">
        <x:v>504861</x:v>
      </x:c>
      <x:c r="M676" s="241"/>
      <x:c r="N676" s="11" t="s">
        <x:v>21</x:v>
      </x:c>
      <x:c r="O676" s="11" t="s">
        <x:v>49</x:v>
      </x:c>
      <x:c r="P676" s="67" t="s">
        <x:v>1808</x:v>
      </x:c>
      <x:c r="Q676" s="66"/>
    </x:row>
    <x:row r="677" ht="76.5">
      <x:c r="A677" s="9">
        <x:v>2024</x:v>
      </x:c>
      <x:c r="B677" s="10" t="s">
        <x:v>357</x:v>
      </x:c>
      <x:c r="C677" s="11" t="e">
        <x:f>IFERROR(VLOOKUP(B677,Regiões!A:B,2,0),"")</x:f>
        <x:v>#NAME?</x:v>
      </x:c>
      <x:c r="D677" s="11" t="s">
        <x:v>1809</x:v>
      </x:c>
      <x:c r="E677" s="12" t="str">
        <x:f>G677&amp;" de "&amp;B677</x:f>
        <x:v>Prefeitura Municipal de Esteio</x:v>
      </x:c>
      <x:c r="F677" s="13"/>
      <x:c r="G677" s="14" t="s">
        <x:v>18</x:v>
      </x:c>
      <x:c r="H677" s="15">
        <x:v>41160001</x:v>
      </x:c>
      <x:c r="I677" s="9" t="s">
        <x:v>58</x:v>
      </x:c>
      <x:c r="J677" s="9" t="s">
        <x:v>40</x:v>
      </x:c>
      <x:c r="K677" s="16" t="s">
        <x:v>20</x:v>
      </x:c>
      <x:c r="L677" s="17">
        <x:v>520000</x:v>
      </x:c>
      <x:c r="M677" s="17"/>
      <x:c r="N677" s="11" t="s">
        <x:v>21</x:v>
      </x:c>
      <x:c r="O677" s="16"/>
      <x:c r="P677" s="18"/>
      <x:c r="Q677" s="19"/>
    </x:row>
    <x:row r="678" ht="63.75">
      <x:c r="A678" s="9">
        <x:v>2026</x:v>
      </x:c>
      <x:c r="B678" s="14" t="s">
        <x:v>1810</x:v>
      </x:c>
      <x:c r="C678" s="11" t="e">
        <x:f>IFERROR(VLOOKUP(B678,Regiões!A:B,2,0),"")</x:f>
        <x:v>#NAME?</x:v>
      </x:c>
      <x:c r="D678" s="11" t="s">
        <x:v>1811</x:v>
      </x:c>
      <x:c r="E678" s="14" t="s">
        <x:v>1810</x:v>
      </x:c>
      <x:c r="F678" s="13">
        <x:v>11707405000180</x:v>
      </x:c>
      <x:c r="G678" s="14" t="s">
        <x:v>1812</x:v>
      </x:c>
      <x:c r="H678" s="15">
        <x:v>41160003</x:v>
      </x:c>
      <x:c r="I678" s="9" t="s">
        <x:v>976</x:v>
      </x:c>
      <x:c r="J678" s="2" t="s">
        <x:v>40</x:v>
      </x:c>
      <x:c r="K678" s="16" t="s">
        <x:v>32</x:v>
      </x:c>
      <x:c r="L678" s="17">
        <x:v>520000</x:v>
      </x:c>
      <x:c r="M678" s="17"/>
      <x:c r="N678" s="9" t="s">
        <x:v>33</x:v>
      </x:c>
      <x:c r="O678" s="16"/>
      <x:c r="P678" s="18"/>
      <x:c r="Q678" s="19"/>
    </x:row>
    <x:row r="679" ht="63.75">
      <x:c r="A679" s="11">
        <x:v>2023</x:v>
      </x:c>
      <x:c r="B679" s="43" t="s">
        <x:v>1335</x:v>
      </x:c>
      <x:c r="C679" s="11" t="e">
        <x:f>IFERROR(VLOOKUP(B679,Regiões!A:B,2,0),"")</x:f>
        <x:v>#NAME?</x:v>
      </x:c>
      <x:c r="D679" s="11" t="s">
        <x:v>1813</x:v>
      </x:c>
      <x:c r="E679" s="44" t="s">
        <x:v>93</x:v>
      </x:c>
      <x:c r="F679" s="99"/>
      <x:c r="G679" s="43" t="s">
        <x:v>1814</x:v>
      </x:c>
      <x:c r="H679" s="47"/>
      <x:c r="I679" s="11" t="s">
        <x:v>444</x:v>
      </x:c>
      <x:c r="J679" s="11" t="str">
        <x:f t="shared" ref="J679:J680" si="30">LEFT(I679,FIND(" (",I679) - 1)</x:f>
        <x:v>Saúde</x:v>
      </x:c>
      <x:c r="K679" s="11" t="s">
        <x:v>32</x:v>
      </x:c>
      <x:c r="L679" s="108">
        <x:v>540000</x:v>
      </x:c>
      <x:c r="M679" s="108"/>
      <x:c r="N679" s="11" t="s">
        <x:v>21</x:v>
      </x:c>
      <x:c r="O679" s="11" t="s">
        <x:v>49</x:v>
      </x:c>
      <x:c r="P679" s="49" t="s">
        <x:v>1815</x:v>
      </x:c>
      <x:c r="Q679" s="50" t="s">
        <x:v>1816</x:v>
      </x:c>
    </x:row>
    <x:row r="680" ht="38.25">
      <x:c r="A680" s="11">
        <x:v>2023</x:v>
      </x:c>
      <x:c r="B680" s="66" t="s">
        <x:v>352</x:v>
      </x:c>
      <x:c r="C680" s="11" t="e">
        <x:f>IFERROR(VLOOKUP(B680,Regiões!A:B,2,0),"")</x:f>
        <x:v>#NAME?</x:v>
      </x:c>
      <x:c r="D680" s="11" t="s">
        <x:v>1817</x:v>
      </x:c>
      <x:c r="E680" s="67" t="s">
        <x:v>42</x:v>
      </x:c>
      <x:c r="F680" s="68"/>
      <x:c r="G680" s="66" t="s">
        <x:v>1818</x:v>
      </x:c>
      <x:c r="H680" s="69"/>
      <x:c r="I680" s="11" t="s">
        <x:v>239</x:v>
      </x:c>
      <x:c r="J680" s="11" t="str">
        <x:f t="shared" si="30"/>
        <x:v>Segurança Pública</x:v>
      </x:c>
      <x:c r="K680" s="11" t="s">
        <x:v>32</x:v>
      </x:c>
      <x:c r="L680" s="70">
        <x:v>540000</x:v>
      </x:c>
      <x:c r="M680" s="70"/>
      <x:c r="N680" s="11" t="s">
        <x:v>21</x:v>
      </x:c>
      <x:c r="O680" s="11" t="s">
        <x:v>26</x:v>
      </x:c>
      <x:c r="P680" s="67" t="s">
        <x:v>1819</x:v>
      </x:c>
      <x:c r="Q680" s="66"/>
    </x:row>
    <x:row r="681" ht="63.75">
      <x:c r="A681" s="9">
        <x:v>2025</x:v>
      </x:c>
      <x:c r="B681" s="14" t="s">
        <x:v>291</x:v>
      </x:c>
      <x:c r="C681" s="11" t="e">
        <x:f>IFERROR(VLOOKUP(B681,Regiões!A:B,2,0),"")</x:f>
        <x:v>#NAME?</x:v>
      </x:c>
      <x:c r="D681" s="11" t="s">
        <x:v>1820</x:v>
      </x:c>
      <x:c r="E681" s="12" t="s">
        <x:v>1821</x:v>
      </x:c>
      <x:c r="F681" s="13">
        <x:v>88814199000132</x:v>
      </x:c>
      <x:c r="G681" s="14" t="s">
        <x:v>18</x:v>
      </x:c>
      <x:c r="H681" s="59">
        <x:v>41160005</x:v>
      </x:c>
      <x:c r="I681" s="9" t="s">
        <x:v>1581</x:v>
      </x:c>
      <x:c r="J681" s="9" t="s">
        <x:v>1109</x:v>
      </x:c>
      <x:c r="K681" s="16" t="s">
        <x:v>32</x:v>
      </x:c>
      <x:c r="L681" s="90">
        <x:v>547160</x:v>
      </x:c>
      <x:c r="M681" s="90"/>
      <x:c r="N681" s="11" t="s">
        <x:v>21</x:v>
      </x:c>
      <x:c r="O681" s="16"/>
      <x:c r="P681" s="44" t="s">
        <x:v>1822</x:v>
      </x:c>
      <x:c r="Q681" s="19"/>
    </x:row>
    <x:row r="682" ht="63.75">
      <x:c r="A682" s="9">
        <x:v>2026</x:v>
      </x:c>
      <x:c r="B682" s="14" t="s">
        <x:v>379</x:v>
      </x:c>
      <x:c r="C682" s="11" t="e">
        <x:f>IFERROR(VLOOKUP(B682,Regiões!A:B,2,0),"")</x:f>
        <x:v>#NAME?</x:v>
      </x:c>
      <x:c r="D682" s="11" t="s">
        <x:v>1823</x:v>
      </x:c>
      <x:c r="E682" s="20" t="s">
        <x:v>1409</x:v>
      </x:c>
      <x:c r="F682" s="13">
        <x:v>15126437000143</x:v>
      </x:c>
      <x:c r="G682" s="14" t="s">
        <x:v>1436</x:v>
      </x:c>
      <x:c r="H682" s="15">
        <x:v>41160003</x:v>
      </x:c>
      <x:c r="I682" s="9" t="s">
        <x:v>976</x:v>
      </x:c>
      <x:c r="J682" s="2" t="s">
        <x:v>40</x:v>
      </x:c>
      <x:c r="K682" s="16" t="s">
        <x:v>32</x:v>
      </x:c>
      <x:c r="L682" s="17">
        <x:v>548000</x:v>
      </x:c>
      <x:c r="M682" s="17"/>
      <x:c r="N682" s="9" t="s">
        <x:v>33</x:v>
      </x:c>
      <x:c r="O682" s="16"/>
      <x:c r="P682" s="18"/>
      <x:c r="Q682" s="19"/>
    </x:row>
    <x:row r="683" ht="38.25">
      <x:c r="A683" s="11">
        <x:v>2023</x:v>
      </x:c>
      <x:c r="B683" s="66" t="s">
        <x:v>1462</x:v>
      </x:c>
      <x:c r="C683" s="11" t="e">
        <x:f>IFERROR(VLOOKUP(B683,Regiões!A:B,2,0),"")</x:f>
        <x:v>#NAME?</x:v>
      </x:c>
      <x:c r="D683" s="11" t="s">
        <x:v>557</x:v>
      </x:c>
      <x:c r="E683" s="67" t="s">
        <x:v>42</x:v>
      </x:c>
      <x:c r="F683" s="68"/>
      <x:c r="G683" s="66" t="s">
        <x:v>1824</x:v>
      </x:c>
      <x:c r="H683" s="69"/>
      <x:c r="I683" s="11" t="s">
        <x:v>1202</x:v>
      </x:c>
      <x:c r="J683" s="11" t="str">
        <x:f t="shared" ref="J683:J684" si="31">LEFT(I683,FIND(" (",I683) - 1)</x:f>
        <x:v>Infraestrutura</x:v>
      </x:c>
      <x:c r="K683" s="11" t="s">
        <x:v>32</x:v>
      </x:c>
      <x:c r="L683" s="70">
        <x:v>566314</x:v>
      </x:c>
      <x:c r="M683" s="70"/>
      <x:c r="N683" s="11" t="s">
        <x:v>21</x:v>
      </x:c>
      <x:c r="O683" s="11" t="s">
        <x:v>49</x:v>
      </x:c>
      <x:c r="P683" s="167"/>
      <x:c r="Q683" s="66"/>
    </x:row>
    <x:row r="684" ht="38.25">
      <x:c r="A684" s="11">
        <x:v>2023</x:v>
      </x:c>
      <x:c r="B684" s="66" t="s">
        <x:v>1097</x:v>
      </x:c>
      <x:c r="C684" s="11" t="e">
        <x:f>IFERROR(VLOOKUP(B684,Regiões!A:B,2,0),"")</x:f>
        <x:v>#NAME?</x:v>
      </x:c>
      <x:c r="D684" s="11" t="s">
        <x:v>1098</x:v>
      </x:c>
      <x:c r="E684" s="67" t="s">
        <x:v>42</x:v>
      </x:c>
      <x:c r="F684" s="68"/>
      <x:c r="G684" s="66" t="s">
        <x:v>1825</x:v>
      </x:c>
      <x:c r="H684" s="69"/>
      <x:c r="I684" s="11" t="s">
        <x:v>444</x:v>
      </x:c>
      <x:c r="J684" s="11" t="str">
        <x:f t="shared" si="31"/>
        <x:v>Saúde</x:v>
      </x:c>
      <x:c r="K684" s="11" t="s">
        <x:v>32</x:v>
      </x:c>
      <x:c r="L684" s="70">
        <x:v>569226</x:v>
      </x:c>
      <x:c r="M684" s="70"/>
      <x:c r="N684" s="11" t="s">
        <x:v>21</x:v>
      </x:c>
      <x:c r="O684" s="11" t="s">
        <x:v>26</x:v>
      </x:c>
      <x:c r="P684" s="67" t="s">
        <x:v>1826</x:v>
      </x:c>
      <x:c r="Q684" s="66" t="s">
        <x:v>1827</x:v>
      </x:c>
    </x:row>
    <x:row r="685" ht="38.25">
      <x:c r="A685" s="22">
        <x:v>2022</x:v>
      </x:c>
      <x:c r="B685" s="22" t="s">
        <x:v>51</x:v>
      </x:c>
      <x:c r="C685" s="11" t="e">
        <x:f>IFERROR(VLOOKUP(B685,Regiões!A:B,2,0),"")</x:f>
        <x:v>#NAME?</x:v>
      </x:c>
      <x:c r="D685" s="22" t="s">
        <x:v>1828</x:v>
      </x:c>
      <x:c r="E685" s="23"/>
      <x:c r="F685" s="83"/>
      <x:c r="G685" s="84" t="s">
        <x:v>1829</x:v>
      </x:c>
      <x:c r="H685" s="25">
        <x:v>41160003</x:v>
      </x:c>
      <x:c r="I685" s="22" t="s">
        <x:v>415</x:v>
      </x:c>
      <x:c r="J685" s="22" t="s">
        <x:v>40</x:v>
      </x:c>
      <x:c r="K685" s="22" t="s">
        <x:v>32</x:v>
      </x:c>
      <x:c r="L685" s="27">
        <x:v>569347</x:v>
      </x:c>
      <x:c r="M685" s="27"/>
      <x:c r="N685" s="22" t="s">
        <x:v>41</x:v>
      </x:c>
      <x:c r="O685" s="22" t="s">
        <x:v>1830</x:v>
      </x:c>
      <x:c r="P685" s="28"/>
      <x:c r="Q685" s="29"/>
    </x:row>
    <x:row r="686" ht="76.5">
      <x:c r="A686" s="22">
        <x:v>2021</x:v>
      </x:c>
      <x:c r="B686" s="29" t="s">
        <x:v>153</x:v>
      </x:c>
      <x:c r="C686" s="11" t="e">
        <x:f>IFERROR(VLOOKUP(B686,Regiões!A:B,2,0),"")</x:f>
        <x:v>#NAME?</x:v>
      </x:c>
      <x:c r="D686" s="22" t="s">
        <x:v>1831</x:v>
      </x:c>
      <x:c r="E686" s="23" t="s">
        <x:v>93</x:v>
      </x:c>
      <x:c r="F686" s="86"/>
      <x:c r="G686" s="29" t="s">
        <x:v>1832</x:v>
      </x:c>
      <x:c r="H686" s="25">
        <x:v>41160002</x:v>
      </x:c>
      <x:c r="I686" s="22" t="s">
        <x:v>415</x:v>
      </x:c>
      <x:c r="J686" s="22" t="s">
        <x:v>40</x:v>
      </x:c>
      <x:c r="K686" s="22" t="s">
        <x:v>32</x:v>
      </x:c>
      <x:c r="L686" s="26">
        <x:v>570714.02</x:v>
      </x:c>
      <x:c r="M686" s="26"/>
      <x:c r="N686" s="22" t="s">
        <x:v>301</x:v>
      </x:c>
      <x:c r="O686" s="22" t="s">
        <x:v>1833</x:v>
      </x:c>
      <x:c r="P686" s="33" t="s">
        <x:v>1834</x:v>
      </x:c>
      <x:c r="Q686" s="29"/>
    </x:row>
    <x:row r="687" ht="51">
      <x:c r="A687" s="11">
        <x:v>2023</x:v>
      </x:c>
      <x:c r="B687" s="43" t="s">
        <x:v>342</x:v>
      </x:c>
      <x:c r="C687" s="11" t="e">
        <x:f>IFERROR(VLOOKUP(B687,Regiões!A:B,2,0),"")</x:f>
        <x:v>#NAME?</x:v>
      </x:c>
      <x:c r="D687" s="11" t="s">
        <x:v>1835</x:v>
      </x:c>
      <x:c r="E687" s="44" t="s">
        <x:v>93</x:v>
      </x:c>
      <x:c r="F687" s="99"/>
      <x:c r="G687" s="43" t="s">
        <x:v>1836</x:v>
      </x:c>
      <x:c r="H687" s="47"/>
      <x:c r="I687" s="11" t="s">
        <x:v>444</x:v>
      </x:c>
      <x:c r="J687" s="11" t="str">
        <x:f>LEFT(I687,FIND(" (",I687) - 1)</x:f>
        <x:v>Saúde</x:v>
      </x:c>
      <x:c r="K687" s="11" t="s">
        <x:v>32</x:v>
      </x:c>
      <x:c r="L687" s="108">
        <x:v>571380</x:v>
      </x:c>
      <x:c r="M687" s="108"/>
      <x:c r="N687" s="11" t="s">
        <x:v>21</x:v>
      </x:c>
      <x:c r="O687" s="11" t="s">
        <x:v>49</x:v>
      </x:c>
      <x:c r="P687" s="49" t="s">
        <x:v>1837</x:v>
      </x:c>
      <x:c r="Q687" s="50"/>
    </x:row>
    <x:row r="688" ht="51">
      <x:c r="A688" s="9">
        <x:v>2024</x:v>
      </x:c>
      <x:c r="B688" s="10" t="s">
        <x:v>230</x:v>
      </x:c>
      <x:c r="C688" s="11" t="e">
        <x:f>IFERROR(VLOOKUP(B688,Regiões!A:B,2,0),"")</x:f>
        <x:v>#NAME?</x:v>
      </x:c>
      <x:c r="D688" s="11" t="s">
        <x:v>1838</x:v>
      </x:c>
      <x:c r="E688" s="12" t="str">
        <x:f>G688&amp;" de "&amp;B688</x:f>
        <x:v>Prefeitura Municipal de Lagoa Vermelha</x:v>
      </x:c>
      <x:c r="F688" s="13"/>
      <x:c r="G688" s="14" t="s">
        <x:v>18</x:v>
      </x:c>
      <x:c r="H688" s="15">
        <x:v>41160005</x:v>
      </x:c>
      <x:c r="I688" s="9" t="s">
        <x:v>1109</x:v>
      </x:c>
      <x:c r="J688" s="9" t="s">
        <x:v>1109</x:v>
      </x:c>
      <x:c r="K688" s="16" t="s">
        <x:v>32</x:v>
      </x:c>
      <x:c r="L688" s="17">
        <x:v>578003</x:v>
      </x:c>
      <x:c r="M688" s="17"/>
      <x:c r="N688" s="11" t="s">
        <x:v>21</x:v>
      </x:c>
      <x:c r="O688" s="16"/>
      <x:c r="P688" s="18"/>
      <x:c r="Q688" s="19"/>
    </x:row>
    <x:row r="689" ht="38.25">
      <x:c r="A689" s="11">
        <x:v>2023</x:v>
      </x:c>
      <x:c r="B689" s="66" t="s">
        <x:v>245</x:v>
      </x:c>
      <x:c r="C689" s="11" t="e">
        <x:f>IFERROR(VLOOKUP(B689,Regiões!A:B,2,0),"")</x:f>
        <x:v>#NAME?</x:v>
      </x:c>
      <x:c r="D689" s="11" t="s">
        <x:v>246</x:v>
      </x:c>
      <x:c r="E689" s="67" t="s">
        <x:v>42</x:v>
      </x:c>
      <x:c r="F689" s="68"/>
      <x:c r="G689" s="66" t="s">
        <x:v>1839</x:v>
      </x:c>
      <x:c r="H689" s="69"/>
      <x:c r="I689" s="11" t="s">
        <x:v>1202</x:v>
      </x:c>
      <x:c r="J689" s="11" t="str">
        <x:f>LEFT(I689,FIND(" (",I689) - 1)</x:f>
        <x:v>Infraestrutura</x:v>
      </x:c>
      <x:c r="K689" s="11" t="s">
        <x:v>32</x:v>
      </x:c>
      <x:c r="L689" s="70">
        <x:v>582816.77</x:v>
      </x:c>
      <x:c r="M689" s="70"/>
      <x:c r="N689" s="11" t="s">
        <x:v>21</x:v>
      </x:c>
      <x:c r="O689" s="11" t="s">
        <x:v>49</x:v>
      </x:c>
      <x:c r="P689" s="67" t="s">
        <x:v>1840</x:v>
      </x:c>
      <x:c r="Q689" s="66"/>
    </x:row>
    <x:row r="690" ht="63.75">
      <x:c r="A690" s="9">
        <x:v>2024</x:v>
      </x:c>
      <x:c r="B690" s="10" t="s">
        <x:v>45</x:v>
      </x:c>
      <x:c r="C690" s="11" t="e">
        <x:f>IFERROR(VLOOKUP(B690,Regiões!A:B,2,0),"")</x:f>
        <x:v>#NAME?</x:v>
      </x:c>
      <x:c r="D690" s="11" t="s">
        <x:v>1798</x:v>
      </x:c>
      <x:c r="E690" s="12" t="str">
        <x:f t="shared" ref="E690:E691" si="32">G690&amp;" de "&amp;B690</x:f>
        <x:v>Prefeitura Municipal de Novo Hamburgo</x:v>
      </x:c>
      <x:c r="F690" s="13"/>
      <x:c r="G690" s="14" t="s">
        <x:v>18</x:v>
      </x:c>
      <x:c r="H690" s="15">
        <x:v>41160004</x:v>
      </x:c>
      <x:c r="I690" s="9" t="s">
        <x:v>285</x:v>
      </x:c>
      <x:c r="J690" s="9" t="s">
        <x:v>40</x:v>
      </x:c>
      <x:c r="K690" s="16" t="s">
        <x:v>32</x:v>
      </x:c>
      <x:c r="L690" s="17">
        <x:v>599790</x:v>
      </x:c>
      <x:c r="M690" s="17"/>
      <x:c r="N690" s="11" t="s">
        <x:v>21</x:v>
      </x:c>
      <x:c r="O690" s="16"/>
      <x:c r="P690" s="18"/>
      <x:c r="Q690" s="19"/>
    </x:row>
    <x:row r="691" ht="89.25">
      <x:c r="A691" s="9">
        <x:v>2024</x:v>
      </x:c>
      <x:c r="B691" s="10" t="s">
        <x:v>368</x:v>
      </x:c>
      <x:c r="C691" s="11" t="e">
        <x:f>IFERROR(VLOOKUP(B691,Regiões!A:B,2,0),"")</x:f>
        <x:v>#NAME?</x:v>
      </x:c>
      <x:c r="D691" s="11" t="s">
        <x:v>1841</x:v>
      </x:c>
      <x:c r="E691" s="12" t="str">
        <x:f t="shared" si="32"/>
        <x:v>Prefeitura Municipal de Montenegro</x:v>
      </x:c>
      <x:c r="F691" s="13"/>
      <x:c r="G691" s="14" t="s">
        <x:v>18</x:v>
      </x:c>
      <x:c r="H691" s="15">
        <x:v>41160001</x:v>
      </x:c>
      <x:c r="I691" s="9" t="s">
        <x:v>58</x:v>
      </x:c>
      <x:c r="J691" s="9" t="s">
        <x:v>40</x:v>
      </x:c>
      <x:c r="K691" s="16" t="s">
        <x:v>20</x:v>
      </x:c>
      <x:c r="L691" s="17">
        <x:v>600000</x:v>
      </x:c>
      <x:c r="M691" s="17"/>
      <x:c r="N691" s="11" t="s">
        <x:v>21</x:v>
      </x:c>
      <x:c r="O691" s="16"/>
      <x:c r="P691" s="18"/>
      <x:c r="Q691" s="19"/>
    </x:row>
    <x:row r="692" ht="25.5">
      <x:c r="A692" s="92">
        <x:v>2022</x:v>
      </x:c>
      <x:c r="B692" s="92" t="s">
        <x:v>171</x:v>
      </x:c>
      <x:c r="C692" s="92" t="e">
        <x:f>IFERROR(VLOOKUP(B692,Regiões!A:B,2,0),"")</x:f>
        <x:v>#NAME?</x:v>
      </x:c>
      <x:c r="D692" s="92" t="s">
        <x:v>1842</x:v>
      </x:c>
      <x:c r="E692" s="93" t="s">
        <x:v>38</x:v>
      </x:c>
      <x:c r="F692" s="112"/>
      <x:c r="G692" s="113" t="s">
        <x:v>1176</x:v>
      </x:c>
      <x:c r="H692" s="95">
        <x:v>41160003</x:v>
      </x:c>
      <x:c r="I692" s="92" t="s">
        <x:v>415</x:v>
      </x:c>
      <x:c r="J692" s="92" t="s">
        <x:v>40</x:v>
      </x:c>
      <x:c r="K692" s="92" t="s">
        <x:v>32</x:v>
      </x:c>
      <x:c r="L692" s="96">
        <x:v>610000</x:v>
      </x:c>
      <x:c r="M692" s="96"/>
      <x:c r="N692" s="92" t="s">
        <x:v>41</x:v>
      </x:c>
      <x:c r="O692" s="92" t="s">
        <x:v>26</x:v>
      </x:c>
      <x:c r="P692" s="97"/>
      <x:c r="Q692" s="98"/>
    </x:row>
    <x:row r="693" ht="51">
      <x:c r="A693" s="11">
        <x:v>2023</x:v>
      </x:c>
      <x:c r="B693" s="43" t="s">
        <x:v>51</x:v>
      </x:c>
      <x:c r="C693" s="11" t="e">
        <x:f>IFERROR(VLOOKUP(B693,Regiões!A:B,2,0),"")</x:f>
        <x:v>#NAME?</x:v>
      </x:c>
      <x:c r="D693" s="11" t="s">
        <x:v>1843</x:v>
      </x:c>
      <x:c r="E693" s="44" t="s">
        <x:v>93</x:v>
      </x:c>
      <x:c r="F693" s="99"/>
      <x:c r="G693" s="43" t="s">
        <x:v>1844</x:v>
      </x:c>
      <x:c r="H693" s="47"/>
      <x:c r="I693" s="11" t="s">
        <x:v>444</x:v>
      </x:c>
      <x:c r="J693" s="11" t="str">
        <x:f t="shared" ref="J693:J695" si="33">LEFT(I693,FIND(" (",I693) - 1)</x:f>
        <x:v>Saúde</x:v>
      </x:c>
      <x:c r="K693" s="11" t="s">
        <x:v>32</x:v>
      </x:c>
      <x:c r="L693" s="108">
        <x:v>611805</x:v>
      </x:c>
      <x:c r="M693" s="108"/>
      <x:c r="N693" s="11" t="s">
        <x:v>21</x:v>
      </x:c>
      <x:c r="O693" s="11" t="s">
        <x:v>49</x:v>
      </x:c>
      <x:c r="P693" s="49" t="s">
        <x:v>1845</x:v>
      </x:c>
      <x:c r="Q693" s="50"/>
    </x:row>
    <x:row r="694" ht="25.5">
      <x:c r="A694" s="11">
        <x:v>2023</x:v>
      </x:c>
      <x:c r="B694" s="66" t="s">
        <x:v>335</x:v>
      </x:c>
      <x:c r="C694" s="11" t="e">
        <x:f>IFERROR(VLOOKUP(B694,Regiões!A:B,2,0),"")</x:f>
        <x:v>#NAME?</x:v>
      </x:c>
      <x:c r="D694" s="11" t="s">
        <x:v>336</x:v>
      </x:c>
      <x:c r="E694" s="67" t="s">
        <x:v>42</x:v>
      </x:c>
      <x:c r="F694" s="68"/>
      <x:c r="G694" s="66" t="s">
        <x:v>1846</x:v>
      </x:c>
      <x:c r="H694" s="69"/>
      <x:c r="I694" s="11" t="s">
        <x:v>1202</x:v>
      </x:c>
      <x:c r="J694" s="11" t="str">
        <x:f t="shared" si="33"/>
        <x:v>Infraestrutura</x:v>
      </x:c>
      <x:c r="K694" s="11" t="s">
        <x:v>32</x:v>
      </x:c>
      <x:c r="L694" s="70">
        <x:v>617183.23</x:v>
      </x:c>
      <x:c r="M694" s="70"/>
      <x:c r="N694" s="11" t="s">
        <x:v>21</x:v>
      </x:c>
      <x:c r="O694" s="11" t="s">
        <x:v>49</x:v>
      </x:c>
      <x:c r="P694" s="67" t="s">
        <x:v>1847</x:v>
      </x:c>
      <x:c r="Q694" s="66"/>
    </x:row>
    <x:row r="695" ht="25.5">
      <x:c r="A695" s="11">
        <x:v>2024</x:v>
      </x:c>
      <x:c r="B695" s="66" t="s">
        <x:v>1355</x:v>
      </x:c>
      <x:c r="C695" s="11" t="e">
        <x:f>IFERROR(VLOOKUP(B695,Regiões!A:B,2,0),"")</x:f>
        <x:v>#NAME?</x:v>
      </x:c>
      <x:c r="D695" s="11" t="s">
        <x:v>1200</x:v>
      </x:c>
      <x:c r="E695" s="67" t="s">
        <x:v>93</x:v>
      </x:c>
      <x:c r="F695" s="68"/>
      <x:c r="G695" s="66" t="s">
        <x:v>1848</x:v>
      </x:c>
      <x:c r="H695" s="69"/>
      <x:c r="I695" s="11" t="s">
        <x:v>444</x:v>
      </x:c>
      <x:c r="J695" s="11" t="str">
        <x:f t="shared" si="33"/>
        <x:v>Saúde</x:v>
      </x:c>
      <x:c r="K695" s="11" t="s">
        <x:v>32</x:v>
      </x:c>
      <x:c r="L695" s="243">
        <x:v>630000</x:v>
      </x:c>
      <x:c r="M695" s="243"/>
      <x:c r="N695" s="11" t="s">
        <x:v>21</x:v>
      </x:c>
      <x:c r="O695" s="11" t="s">
        <x:v>539</x:v>
      </x:c>
      <x:c r="P695" s="67" t="s">
        <x:v>1849</x:v>
      </x:c>
      <x:c r="Q695" s="66"/>
    </x:row>
    <x:row r="696" ht="38.25">
      <x:c r="A696" s="9">
        <x:v>2025</x:v>
      </x:c>
      <x:c r="B696" s="14" t="s">
        <x:v>1765</x:v>
      </x:c>
      <x:c r="C696" s="11" t="e">
        <x:f>IFERROR(VLOOKUP(B696,Regiões!A:B,2,0),"")</x:f>
        <x:v>#NAME?</x:v>
      </x:c>
      <x:c r="D696" s="11" t="s">
        <x:v>1850</x:v>
      </x:c>
      <x:c r="E696" s="12" t="s">
        <x:v>1851</x:v>
      </x:c>
      <x:c r="F696" s="13">
        <x:v>12908765000103</x:v>
      </x:c>
      <x:c r="G696" s="14" t="s">
        <x:v>18</x:v>
      </x:c>
      <x:c r="H696" s="87">
        <x:v>41160004</x:v>
      </x:c>
      <x:c r="I696" s="9" t="s">
        <x:v>502</x:v>
      </x:c>
      <x:c r="J696" s="9" t="s">
        <x:v>40</x:v>
      </x:c>
      <x:c r="K696" s="16" t="s">
        <x:v>32</x:v>
      </x:c>
      <x:c r="L696" s="88">
        <x:v>637334</x:v>
      </x:c>
      <x:c r="M696" s="88"/>
      <x:c r="N696" s="11" t="s">
        <x:v>21</x:v>
      </x:c>
      <x:c r="O696" s="16"/>
      <x:c r="P696" s="111" t="s">
        <x:v>1852</x:v>
      </x:c>
      <x:c r="Q696" s="19"/>
    </x:row>
    <x:row r="697" ht="38.25">
      <x:c r="A697" s="92">
        <x:v>2022</x:v>
      </x:c>
      <x:c r="B697" s="92" t="s">
        <x:v>386</x:v>
      </x:c>
      <x:c r="C697" s="92" t="e">
        <x:f>IFERROR(VLOOKUP(B697,Regiões!A:B,2,0),"")</x:f>
        <x:v>#NAME?</x:v>
      </x:c>
      <x:c r="D697" s="92" t="s">
        <x:v>1853</x:v>
      </x:c>
      <x:c r="E697" s="93"/>
      <x:c r="F697" s="112"/>
      <x:c r="G697" s="113" t="s">
        <x:v>1176</x:v>
      </x:c>
      <x:c r="H697" s="95">
        <x:v>41160003</x:v>
      </x:c>
      <x:c r="I697" s="92" t="s">
        <x:v>415</x:v>
      </x:c>
      <x:c r="J697" s="92" t="s">
        <x:v>40</x:v>
      </x:c>
      <x:c r="K697" s="92" t="s">
        <x:v>32</x:v>
      </x:c>
      <x:c r="L697" s="96">
        <x:v>650000</x:v>
      </x:c>
      <x:c r="M697" s="96"/>
      <x:c r="N697" s="92" t="s">
        <x:v>41</x:v>
      </x:c>
      <x:c r="O697" s="92" t="s">
        <x:v>26</x:v>
      </x:c>
      <x:c r="P697" s="97"/>
      <x:c r="Q697" s="98"/>
    </x:row>
    <x:row r="698" ht="76.5">
      <x:c r="A698" s="9">
        <x:v>2025</x:v>
      </x:c>
      <x:c r="B698" s="14" t="s">
        <x:v>51</x:v>
      </x:c>
      <x:c r="C698" s="11" t="e">
        <x:f>IFERROR(VLOOKUP(B698,Regiões!A:B,2,0),"")</x:f>
        <x:v>#NAME?</x:v>
      </x:c>
      <x:c r="D698" s="11" t="s">
        <x:v>1854</x:v>
      </x:c>
      <x:c r="E698" s="12" t="s">
        <x:v>1855</x:v>
      </x:c>
      <x:c r="F698" s="13">
        <x:v>87020517000120</x:v>
      </x:c>
      <x:c r="G698" s="10" t="s">
        <x:v>1855</x:v>
      </x:c>
      <x:c r="H698" s="87">
        <x:v>41160004</x:v>
      </x:c>
      <x:c r="I698" s="9" t="s">
        <x:v>502</x:v>
      </x:c>
      <x:c r="J698" s="9" t="s">
        <x:v>40</x:v>
      </x:c>
      <x:c r="K698" s="16" t="s">
        <x:v>32</x:v>
      </x:c>
      <x:c r="L698" s="88">
        <x:v>650000</x:v>
      </x:c>
      <x:c r="M698" s="88"/>
      <x:c r="N698" s="11" t="s">
        <x:v>21</x:v>
      </x:c>
      <x:c r="O698" s="16"/>
      <x:c r="P698" s="111" t="s">
        <x:v>1856</x:v>
      </x:c>
      <x:c r="Q698" s="19"/>
    </x:row>
    <x:row r="699" ht="51">
      <x:c r="A699" s="9">
        <x:v>2025</x:v>
      </x:c>
      <x:c r="B699" s="14" t="s">
        <x:v>297</x:v>
      </x:c>
      <x:c r="C699" s="11" t="e">
        <x:f>IFERROR(VLOOKUP(B699,Regiões!A:B,2,0),"")</x:f>
        <x:v>#NAME?</x:v>
      </x:c>
      <x:c r="D699" s="11" t="s">
        <x:v>1857</x:v>
      </x:c>
      <x:c r="E699" s="12" t="s">
        <x:v>1858</x:v>
      </x:c>
      <x:c r="F699" s="13">
        <x:v>87612537000190</x:v>
      </x:c>
      <x:c r="G699" s="14" t="s">
        <x:v>18</x:v>
      </x:c>
      <x:c r="H699" s="59">
        <x:v>41160008</x:v>
      </x:c>
      <x:c r="I699" s="9" t="s">
        <x:v>881</x:v>
      </x:c>
      <x:c r="J699" s="9" t="s">
        <x:v>25</x:v>
      </x:c>
      <x:c r="K699" s="16" t="s">
        <x:v>32</x:v>
      </x:c>
      <x:c r="L699" s="198">
        <x:v>655000</x:v>
      </x:c>
      <x:c r="M699" s="198"/>
      <x:c r="N699" s="11" t="s">
        <x:v>21</x:v>
      </x:c>
      <x:c r="O699" s="16"/>
      <x:c r="P699" s="91" t="s">
        <x:v>1859</x:v>
      </x:c>
      <x:c r="Q699" s="19"/>
    </x:row>
    <x:row r="700" ht="12.75">
      <x:c r="A700" s="9">
        <x:v>2026</x:v>
      </x:c>
      <x:c r="B700" s="14" t="s">
        <x:v>653</x:v>
      </x:c>
      <x:c r="C700" s="11" t="e">
        <x:f>IFERROR(VLOOKUP(B700,Regiões!A:B,2,0),"")</x:f>
        <x:v>#NAME?</x:v>
      </x:c>
      <x:c r="D700" s="11"/>
      <x:c r="E700" s="20" t="s">
        <x:v>1559</x:v>
      </x:c>
      <x:c r="F700" s="13">
        <x:v>89781173000106</x:v>
      </x:c>
      <x:c r="G700" s="14" t="s">
        <x:v>997</x:v>
      </x:c>
      <x:c r="H700" s="15">
        <x:v>41160003</x:v>
      </x:c>
      <x:c r="I700" s="9" t="s">
        <x:v>976</x:v>
      </x:c>
      <x:c r="J700" s="2" t="s">
        <x:v>40</x:v>
      </x:c>
      <x:c r="K700" s="16" t="s">
        <x:v>32</x:v>
      </x:c>
      <x:c r="L700" s="17">
        <x:v>663093</x:v>
      </x:c>
      <x:c r="M700" s="17"/>
      <x:c r="N700" s="9" t="s">
        <x:v>33</x:v>
      </x:c>
      <x:c r="O700" s="16"/>
      <x:c r="P700" s="18"/>
      <x:c r="Q700" s="19"/>
    </x:row>
    <x:row r="701" ht="38.25">
      <x:c r="A701" s="11">
        <x:v>2023</x:v>
      </x:c>
      <x:c r="B701" s="43" t="s">
        <x:v>297</x:v>
      </x:c>
      <x:c r="C701" s="11" t="e">
        <x:f>IFERROR(VLOOKUP(B701,Regiões!A:B,2,0),"")</x:f>
        <x:v>#NAME?</x:v>
      </x:c>
      <x:c r="D701" s="11" t="s">
        <x:v>1860</x:v>
      </x:c>
      <x:c r="E701" s="44" t="s">
        <x:v>93</x:v>
      </x:c>
      <x:c r="F701" s="99"/>
      <x:c r="G701" s="43" t="s">
        <x:v>1861</x:v>
      </x:c>
      <x:c r="H701" s="47"/>
      <x:c r="I701" s="11" t="s">
        <x:v>444</x:v>
      </x:c>
      <x:c r="J701" s="11" t="str">
        <x:f>LEFT(I701,FIND(" (",I701) - 1)</x:f>
        <x:v>Saúde</x:v>
      </x:c>
      <x:c r="K701" s="11" t="s">
        <x:v>32</x:v>
      </x:c>
      <x:c r="L701" s="108">
        <x:v>690000</x:v>
      </x:c>
      <x:c r="M701" s="108"/>
      <x:c r="N701" s="11" t="s">
        <x:v>21</x:v>
      </x:c>
      <x:c r="O701" s="11" t="s">
        <x:v>26</x:v>
      </x:c>
      <x:c r="P701" s="49" t="s">
        <x:v>1862</x:v>
      </x:c>
      <x:c r="Q701" s="50"/>
    </x:row>
    <x:row r="702" ht="25.5">
      <x:c r="A702" s="92">
        <x:v>2021</x:v>
      </x:c>
      <x:c r="B702" s="92" t="s">
        <x:v>1321</x:v>
      </x:c>
      <x:c r="C702" s="92" t="e">
        <x:f>IFERROR(VLOOKUP(B702,Regiões!A:B,2,0),"")</x:f>
        <x:v>#NAME?</x:v>
      </x:c>
      <x:c r="D702" s="92" t="s">
        <x:v>1863</x:v>
      </x:c>
      <x:c r="E702" s="97" t="s">
        <x:v>29</x:v>
      </x:c>
      <x:c r="F702" s="94"/>
      <x:c r="G702" s="92" t="s">
        <x:v>29</x:v>
      </x:c>
      <x:c r="H702" s="95">
        <x:v>71220009</x:v>
      </x:c>
      <x:c r="I702" s="92" t="s">
        <x:v>25</x:v>
      </x:c>
      <x:c r="J702" s="92" t="s">
        <x:v>25</x:v>
      </x:c>
      <x:c r="K702" s="92" t="s">
        <x:v>32</x:v>
      </x:c>
      <x:c r="L702" s="96">
        <x:v>700000</x:v>
      </x:c>
      <x:c r="M702" s="96"/>
      <x:c r="N702" s="92" t="s">
        <x:v>64</x:v>
      </x:c>
      <x:c r="O702" s="92" t="s">
        <x:v>539</x:v>
      </x:c>
      <x:c r="P702" s="97" t="s">
        <x:v>1864</x:v>
      </x:c>
      <x:c r="Q702" s="98"/>
    </x:row>
    <x:row r="703" ht="51">
      <x:c r="A703" s="9">
        <x:v>2025</x:v>
      </x:c>
      <x:c r="B703" s="14" t="s">
        <x:v>342</x:v>
      </x:c>
      <x:c r="C703" s="11" t="e">
        <x:f>IFERROR(VLOOKUP(B703,Regiões!A:B,2,0),"")</x:f>
        <x:v>#NAME?</x:v>
      </x:c>
      <x:c r="D703" s="11" t="s">
        <x:v>1865</x:v>
      </x:c>
      <x:c r="E703" s="12" t="s">
        <x:v>1866</x:v>
      </x:c>
      <x:c r="F703" s="13">
        <x:v>87547444000120</x:v>
      </x:c>
      <x:c r="G703" s="10" t="s">
        <x:v>1866</x:v>
      </x:c>
      <x:c r="H703" s="59">
        <x:v>41160004</x:v>
      </x:c>
      <x:c r="I703" s="9" t="s">
        <x:v>502</x:v>
      </x:c>
      <x:c r="J703" s="9" t="s">
        <x:v>40</x:v>
      </x:c>
      <x:c r="K703" s="16" t="s">
        <x:v>32</x:v>
      </x:c>
      <x:c r="L703" s="90">
        <x:v>708199</x:v>
      </x:c>
      <x:c r="M703" s="90"/>
      <x:c r="N703" s="11" t="s">
        <x:v>21</x:v>
      </x:c>
      <x:c r="O703" s="16"/>
      <x:c r="P703" s="91" t="s">
        <x:v>1867</x:v>
      </x:c>
      <x:c r="Q703" s="19"/>
    </x:row>
    <x:row r="704" ht="63.75">
      <x:c r="A704" s="9">
        <x:v>2025</x:v>
      </x:c>
      <x:c r="B704" s="14" t="s">
        <x:v>342</x:v>
      </x:c>
      <x:c r="C704" s="11" t="e">
        <x:f>IFERROR(VLOOKUP(B704,Regiões!A:B,2,0),"")</x:f>
        <x:v>#NAME?</x:v>
      </x:c>
      <x:c r="D704" s="11" t="s">
        <x:v>1868</x:v>
      </x:c>
      <x:c r="E704" s="12" t="s">
        <x:v>1866</x:v>
      </x:c>
      <x:c r="F704" s="13">
        <x:v>87547444000120</x:v>
      </x:c>
      <x:c r="G704" s="10" t="s">
        <x:v>1866</x:v>
      </x:c>
      <x:c r="H704" s="59">
        <x:v>41160002</x:v>
      </x:c>
      <x:c r="I704" s="9" t="s">
        <x:v>966</x:v>
      </x:c>
      <x:c r="J704" s="9" t="s">
        <x:v>40</x:v>
      </x:c>
      <x:c r="K704" s="16" t="s">
        <x:v>32</x:v>
      </x:c>
      <x:c r="L704" s="60">
        <x:v>708199</x:v>
      </x:c>
      <x:c r="M704" s="60"/>
      <x:c r="N704" s="11" t="s">
        <x:v>21</x:v>
      </x:c>
      <x:c r="O704" s="16"/>
      <x:c r="P704" s="49" t="s">
        <x:v>475</x:v>
      </x:c>
      <x:c r="Q704" s="19"/>
    </x:row>
    <x:row r="705" ht="51">
      <x:c r="A705" s="22">
        <x:v>2022</x:v>
      </x:c>
      <x:c r="B705" s="22" t="s">
        <x:v>297</x:v>
      </x:c>
      <x:c r="C705" s="11" t="e">
        <x:f>IFERROR(VLOOKUP(B705,Regiões!A:B,2,0),"")</x:f>
        <x:v>#NAME?</x:v>
      </x:c>
      <x:c r="D705" s="22" t="s">
        <x:v>1869</x:v>
      </x:c>
      <x:c r="E705" s="52" t="s">
        <x:v>93</x:v>
      </x:c>
      <x:c r="F705" s="83"/>
      <x:c r="G705" s="84" t="s">
        <x:v>1870</x:v>
      </x:c>
      <x:c r="H705" s="25">
        <x:v>41160003</x:v>
      </x:c>
      <x:c r="I705" s="22" t="s">
        <x:v>415</x:v>
      </x:c>
      <x:c r="J705" s="22" t="s">
        <x:v>40</x:v>
      </x:c>
      <x:c r="K705" s="22" t="s">
        <x:v>32</x:v>
      </x:c>
      <x:c r="L705" s="27">
        <x:v>720000</x:v>
      </x:c>
      <x:c r="M705" s="27"/>
      <x:c r="N705" s="22" t="s">
        <x:v>41</x:v>
      </x:c>
      <x:c r="O705" s="22" t="s">
        <x:v>26</x:v>
      </x:c>
      <x:c r="P705" s="28" t="s">
        <x:v>1871</x:v>
      </x:c>
      <x:c r="Q705" s="29"/>
    </x:row>
    <x:row r="706" ht="51">
      <x:c r="A706" s="9">
        <x:v>2025</x:v>
      </x:c>
      <x:c r="B706" s="14" t="s">
        <x:v>1872</x:v>
      </x:c>
      <x:c r="C706" s="11" t="e">
        <x:f>IFERROR(VLOOKUP(B706,Regiões!A:B,2,0),"")</x:f>
        <x:v>#NAME?</x:v>
      </x:c>
      <x:c r="D706" s="11" t="s">
        <x:v>1873</x:v>
      </x:c>
      <x:c r="E706" s="12" t="s">
        <x:v>1874</x:v>
      </x:c>
      <x:c r="F706" s="13">
        <x:v>11262866000197</x:v>
      </x:c>
      <x:c r="G706" s="10" t="s">
        <x:v>1874</x:v>
      </x:c>
      <x:c r="H706" s="133">
        <x:v>41160004</x:v>
      </x:c>
      <x:c r="I706" s="9" t="s">
        <x:v>502</x:v>
      </x:c>
      <x:c r="J706" s="9" t="s">
        <x:v>40</x:v>
      </x:c>
      <x:c r="K706" s="16" t="s">
        <x:v>32</x:v>
      </x:c>
      <x:c r="L706" s="134">
        <x:v>750000</x:v>
      </x:c>
      <x:c r="M706" s="134"/>
      <x:c r="N706" s="11" t="s">
        <x:v>21</x:v>
      </x:c>
      <x:c r="O706" s="16"/>
      <x:c r="P706" s="246" t="s">
        <x:v>1875</x:v>
      </x:c>
      <x:c r="Q706" s="19"/>
    </x:row>
    <x:row r="707" ht="38.25">
      <x:c r="A707" s="22">
        <x:v>2022</x:v>
      </x:c>
      <x:c r="B707" s="22" t="s">
        <x:v>51</x:v>
      </x:c>
      <x:c r="C707" s="11" t="e">
        <x:f>IFERROR(VLOOKUP(B707,Regiões!A:B,2,0),"")</x:f>
        <x:v>#NAME?</x:v>
      </x:c>
      <x:c r="D707" s="22" t="s">
        <x:v>1512</x:v>
      </x:c>
      <x:c r="E707" s="23" t="s">
        <x:v>93</x:v>
      </x:c>
      <x:c r="F707" s="53"/>
      <x:c r="G707" s="51" t="s">
        <x:v>1513</x:v>
      </x:c>
      <x:c r="H707" s="25">
        <x:v>41160003</x:v>
      </x:c>
      <x:c r="I707" s="22" t="s">
        <x:v>415</x:v>
      </x:c>
      <x:c r="J707" s="22" t="s">
        <x:v>40</x:v>
      </x:c>
      <x:c r="K707" s="22" t="s">
        <x:v>32</x:v>
      </x:c>
      <x:c r="L707" s="27">
        <x:v>776319</x:v>
      </x:c>
      <x:c r="M707" s="27"/>
      <x:c r="N707" s="22" t="s">
        <x:v>41</x:v>
      </x:c>
      <x:c r="O707" s="22" t="s">
        <x:v>26</x:v>
      </x:c>
      <x:c r="P707" s="28"/>
      <x:c r="Q707" s="29"/>
    </x:row>
    <x:row r="708" ht="38.25">
      <x:c r="A708" s="11">
        <x:v>2023</x:v>
      </x:c>
      <x:c r="B708" s="66" t="s">
        <x:v>159</x:v>
      </x:c>
      <x:c r="C708" s="11" t="e">
        <x:f>IFERROR(VLOOKUP(B708,Regiões!A:B,2,0),"")</x:f>
        <x:v>#NAME?</x:v>
      </x:c>
      <x:c r="D708" s="11" t="s">
        <x:v>160</x:v>
      </x:c>
      <x:c r="E708" s="67" t="s">
        <x:v>42</x:v>
      </x:c>
      <x:c r="F708" s="68"/>
      <x:c r="G708" s="66" t="s">
        <x:v>1702</x:v>
      </x:c>
      <x:c r="H708" s="69"/>
      <x:c r="I708" s="11" t="s">
        <x:v>1202</x:v>
      </x:c>
      <x:c r="J708" s="11" t="str">
        <x:f>LEFT(I708,FIND(" (",I708) - 1)</x:f>
        <x:v>Infraestrutura</x:v>
      </x:c>
      <x:c r="K708" s="11" t="s">
        <x:v>32</x:v>
      </x:c>
      <x:c r="L708" s="70">
        <x:v>800000</x:v>
      </x:c>
      <x:c r="M708" s="70"/>
      <x:c r="N708" s="11" t="s">
        <x:v>21</x:v>
      </x:c>
      <x:c r="O708" s="11" t="s">
        <x:v>49</x:v>
      </x:c>
      <x:c r="P708" s="67" t="s">
        <x:v>1876</x:v>
      </x:c>
      <x:c r="Q708" s="66"/>
    </x:row>
    <x:row r="709" ht="63.75">
      <x:c r="A709" s="9">
        <x:v>2024</x:v>
      </x:c>
      <x:c r="B709" s="10" t="s">
        <x:v>630</x:v>
      </x:c>
      <x:c r="C709" s="11" t="e">
        <x:f>IFERROR(VLOOKUP(B709,Regiões!A:B,2,0),"")</x:f>
        <x:v>#NAME?</x:v>
      </x:c>
      <x:c r="D709" s="11" t="s">
        <x:v>1877</x:v>
      </x:c>
      <x:c r="E709" s="12" t="str">
        <x:f>G709&amp;" de "&amp;B709</x:f>
        <x:v>Prefeitura Municipal de Lajeado</x:v>
      </x:c>
      <x:c r="F709" s="13"/>
      <x:c r="G709" s="14" t="s">
        <x:v>18</x:v>
      </x:c>
      <x:c r="H709" s="15">
        <x:v>41160001</x:v>
      </x:c>
      <x:c r="I709" s="9" t="s">
        <x:v>58</x:v>
      </x:c>
      <x:c r="J709" s="9" t="s">
        <x:v>40</x:v>
      </x:c>
      <x:c r="K709" s="16" t="s">
        <x:v>20</x:v>
      </x:c>
      <x:c r="L709" s="17">
        <x:v>800000</x:v>
      </x:c>
      <x:c r="M709" s="17"/>
      <x:c r="N709" s="11" t="s">
        <x:v>21</x:v>
      </x:c>
      <x:c r="O709" s="16"/>
      <x:c r="P709" s="18"/>
      <x:c r="Q709" s="19"/>
    </x:row>
    <x:row r="710" ht="51">
      <x:c r="A710" s="11">
        <x:v>2023</x:v>
      </x:c>
      <x:c r="B710" s="66" t="s">
        <x:v>386</x:v>
      </x:c>
      <x:c r="C710" s="11" t="e">
        <x:f>IFERROR(VLOOKUP(B710,Regiões!A:B,2,0),"")</x:f>
        <x:v>#NAME?</x:v>
      </x:c>
      <x:c r="D710" s="11" t="s">
        <x:v>1145</x:v>
      </x:c>
      <x:c r="E710" s="67" t="s">
        <x:v>42</x:v>
      </x:c>
      <x:c r="F710" s="68"/>
      <x:c r="G710" s="66" t="s">
        <x:v>1878</x:v>
      </x:c>
      <x:c r="H710" s="69"/>
      <x:c r="I710" s="11" t="s">
        <x:v>444</x:v>
      </x:c>
      <x:c r="J710" s="11" t="str">
        <x:f>LEFT(I710,FIND(" (",I710) - 1)</x:f>
        <x:v>Saúde</x:v>
      </x:c>
      <x:c r="K710" s="11" t="s">
        <x:v>32</x:v>
      </x:c>
      <x:c r="L710" s="247">
        <x:v>843316</x:v>
      </x:c>
      <x:c r="M710" s="247"/>
      <x:c r="N710" s="11" t="s">
        <x:v>21</x:v>
      </x:c>
      <x:c r="O710" s="11" t="s">
        <x:v>26</x:v>
      </x:c>
      <x:c r="P710" s="67" t="s">
        <x:v>1879</x:v>
      </x:c>
      <x:c r="Q710" s="66"/>
    </x:row>
    <x:row r="711" ht="63.75">
      <x:c r="A711" s="9">
        <x:v>2025</x:v>
      </x:c>
      <x:c r="B711" s="14" t="s">
        <x:v>144</x:v>
      </x:c>
      <x:c r="C711" s="11" t="e">
        <x:f>IFERROR(VLOOKUP(B711,Regiões!A:B,2,0),"")</x:f>
        <x:v>#NAME?</x:v>
      </x:c>
      <x:c r="D711" s="11" t="s">
        <x:v>1880</x:v>
      </x:c>
      <x:c r="E711" s="12" t="s">
        <x:v>1881</x:v>
      </x:c>
      <x:c r="F711" s="13">
        <x:v>88450234000181</x:v>
      </x:c>
      <x:c r="G711" s="10" t="s">
        <x:v>1881</x:v>
      </x:c>
      <x:c r="H711" s="87">
        <x:v>41160004</x:v>
      </x:c>
      <x:c r="I711" s="9" t="s">
        <x:v>502</x:v>
      </x:c>
      <x:c r="J711" s="9" t="s">
        <x:v>40</x:v>
      </x:c>
      <x:c r="K711" s="16" t="s">
        <x:v>32</x:v>
      </x:c>
      <x:c r="L711" s="88">
        <x:v>850000</x:v>
      </x:c>
      <x:c r="M711" s="88"/>
      <x:c r="N711" s="11" t="s">
        <x:v>21</x:v>
      </x:c>
      <x:c r="O711" s="16"/>
      <x:c r="P711" s="111" t="s">
        <x:v>1882</x:v>
      </x:c>
      <x:c r="Q711" s="19"/>
    </x:row>
    <x:row r="712" ht="25.5">
      <x:c r="A712" s="92">
        <x:v>2023</x:v>
      </x:c>
      <x:c r="B712" s="113"/>
      <x:c r="C712" s="92" t="e">
        <x:f>IFERROR(VLOOKUP(B712,Regiões!A:B,2,0),"")</x:f>
        <x:v>#NAME?</x:v>
      </x:c>
      <x:c r="D712" s="92"/>
      <x:c r="E712" s="169"/>
      <x:c r="F712" s="112"/>
      <x:c r="G712" s="113" t="s">
        <x:v>1883</x:v>
      </x:c>
      <x:c r="H712" s="170">
        <x:v>41160002</x:v>
      </x:c>
      <x:c r="I712" s="92" t="s">
        <x:v>63</x:v>
      </x:c>
      <x:c r="J712" s="92" t="s">
        <x:v>63</x:v>
      </x:c>
      <x:c r="K712" s="92"/>
      <x:c r="L712" s="171">
        <x:v>852450</x:v>
      </x:c>
      <x:c r="M712" s="171"/>
      <x:c r="N712" s="92"/>
      <x:c r="O712" s="92"/>
      <x:c r="P712" s="97"/>
      <x:c r="Q712" s="172"/>
    </x:row>
    <x:row r="713" ht="38.25">
      <x:c r="A713" s="11">
        <x:v>2023</x:v>
      </x:c>
      <x:c r="B713" s="43" t="s">
        <x:v>1385</x:v>
      </x:c>
      <x:c r="C713" s="11" t="e">
        <x:f>IFERROR(VLOOKUP(B713,Regiões!A:B,2,0),"")</x:f>
        <x:v>#NAME?</x:v>
      </x:c>
      <x:c r="D713" s="11" t="s">
        <x:v>1884</x:v>
      </x:c>
      <x:c r="E713" s="44" t="s">
        <x:v>93</x:v>
      </x:c>
      <x:c r="F713" s="99"/>
      <x:c r="G713" s="43" t="s">
        <x:v>1885</x:v>
      </x:c>
      <x:c r="H713" s="47"/>
      <x:c r="I713" s="11" t="s">
        <x:v>63</x:v>
      </x:c>
      <x:c r="J713" s="11" t="str">
        <x:f>LEFT(I713,FIND(" (",I713) - 1)</x:f>
        <x:v>Saúde</x:v>
      </x:c>
      <x:c r="K713" s="11" t="s">
        <x:v>20</x:v>
      </x:c>
      <x:c r="L713" s="48">
        <x:v>870000</x:v>
      </x:c>
      <x:c r="M713" s="48"/>
      <x:c r="N713" s="11" t="s">
        <x:v>21</x:v>
      </x:c>
      <x:c r="O713" s="11" t="s">
        <x:v>49</x:v>
      </x:c>
      <x:c r="P713" s="49" t="s">
        <x:v>494</x:v>
      </x:c>
      <x:c r="Q713" s="50" t="s">
        <x:v>494</x:v>
      </x:c>
    </x:row>
    <x:row r="714" ht="127.5">
      <x:c r="A714" s="22">
        <x:v>2021</x:v>
      </x:c>
      <x:c r="B714" s="22" t="s">
        <x:v>51</x:v>
      </x:c>
      <x:c r="C714" s="11" t="e">
        <x:f>IFERROR(VLOOKUP(B714,Regiões!A:B,2,0),"")</x:f>
        <x:v>#NAME?</x:v>
      </x:c>
      <x:c r="D714" s="22" t="s">
        <x:v>1886</x:v>
      </x:c>
      <x:c r="E714" s="23" t="s">
        <x:v>93</x:v>
      </x:c>
      <x:c r="F714" s="86"/>
      <x:c r="G714" s="29" t="s">
        <x:v>1887</x:v>
      </x:c>
      <x:c r="H714" s="25">
        <x:v>41160002</x:v>
      </x:c>
      <x:c r="I714" s="22" t="s">
        <x:v>415</x:v>
      </x:c>
      <x:c r="J714" s="22" t="s">
        <x:v>40</x:v>
      </x:c>
      <x:c r="K714" s="22" t="s">
        <x:v>32</x:v>
      </x:c>
      <x:c r="L714" s="26">
        <x:v>987650</x:v>
      </x:c>
      <x:c r="M714" s="26"/>
      <x:c r="N714" s="22" t="s">
        <x:v>301</x:v>
      </x:c>
      <x:c r="O714" s="22" t="s">
        <x:v>1888</x:v>
      </x:c>
      <x:c r="P714" s="33" t="s">
        <x:v>1889</x:v>
      </x:c>
      <x:c r="Q714" s="29"/>
    </x:row>
    <x:row r="715" ht="51">
      <x:c r="A715" s="9">
        <x:v>2024</x:v>
      </x:c>
      <x:c r="B715" s="10" t="s">
        <x:v>171</x:v>
      </x:c>
      <x:c r="C715" s="11" t="e">
        <x:f>IFERROR(VLOOKUP(B715,Regiões!A:B,2,0),"")</x:f>
        <x:v>#NAME?</x:v>
      </x:c>
      <x:c r="D715" s="11" t="s">
        <x:v>1782</x:v>
      </x:c>
      <x:c r="E715" s="12" t="str">
        <x:f t="shared" ref="E715:E716" si="34">G715&amp;" de "&amp;B715</x:f>
        <x:v>Prefeitura Municipal de Canoas</x:v>
      </x:c>
      <x:c r="F715" s="13"/>
      <x:c r="G715" s="14" t="s">
        <x:v>18</x:v>
      </x:c>
      <x:c r="H715" s="15">
        <x:v>41160004</x:v>
      </x:c>
      <x:c r="I715" s="9" t="s">
        <x:v>285</x:v>
      </x:c>
      <x:c r="J715" s="9" t="s">
        <x:v>40</x:v>
      </x:c>
      <x:c r="K715" s="16" t="s">
        <x:v>32</x:v>
      </x:c>
      <x:c r="L715" s="17">
        <x:v>999625</x:v>
      </x:c>
      <x:c r="M715" s="17"/>
      <x:c r="N715" s="11" t="s">
        <x:v>21</x:v>
      </x:c>
      <x:c r="O715" s="16"/>
      <x:c r="P715" s="18"/>
      <x:c r="Q715" s="19"/>
    </x:row>
    <x:row r="716" ht="114.75">
      <x:c r="A716" s="9">
        <x:v>2024</x:v>
      </x:c>
      <x:c r="B716" s="14" t="s">
        <x:v>800</x:v>
      </x:c>
      <x:c r="C716" s="11" t="e">
        <x:f>IFERROR(VLOOKUP(B716,Regiões!A:B,2,0),"")</x:f>
        <x:v>#NAME?</x:v>
      </x:c>
      <x:c r="D716" s="11" t="s">
        <x:v>1890</x:v>
      </x:c>
      <x:c r="E716" s="12" t="str">
        <x:f t="shared" si="34"/>
        <x:v>Prefeitura Municipal de São Leopoldo</x:v>
      </x:c>
      <x:c r="F716" s="13"/>
      <x:c r="G716" s="14" t="s">
        <x:v>18</x:v>
      </x:c>
      <x:c r="H716" s="15">
        <x:v>41160004</x:v>
      </x:c>
      <x:c r="I716" s="9" t="s">
        <x:v>285</x:v>
      </x:c>
      <x:c r="J716" s="9" t="s">
        <x:v>40</x:v>
      </x:c>
      <x:c r="K716" s="16" t="s">
        <x:v>32</x:v>
      </x:c>
      <x:c r="L716" s="17">
        <x:v>999787</x:v>
      </x:c>
      <x:c r="M716" s="17"/>
      <x:c r="N716" s="11" t="s">
        <x:v>21</x:v>
      </x:c>
      <x:c r="O716" s="16"/>
      <x:c r="P716" s="18"/>
      <x:c r="Q716" s="19"/>
    </x:row>
    <x:row r="717" ht="38.25">
      <x:c r="A717" s="22">
        <x:v>2021</x:v>
      </x:c>
      <x:c r="B717" s="51" t="s">
        <x:v>342</x:v>
      </x:c>
      <x:c r="C717" s="11" t="e">
        <x:f>IFERROR(VLOOKUP(B717,Regiões!A:B,2,0),"")</x:f>
        <x:v>#NAME?</x:v>
      </x:c>
      <x:c r="D717" s="22" t="s">
        <x:v>1891</x:v>
      </x:c>
      <x:c r="E717" s="23" t="s">
        <x:v>1892</x:v>
      </x:c>
      <x:c r="F717" s="31"/>
      <x:c r="G717" s="30" t="s">
        <x:v>1893</x:v>
      </x:c>
      <x:c r="H717" s="34">
        <x:v>41160003</x:v>
      </x:c>
      <x:c r="I717" s="22" t="s">
        <x:v>95</x:v>
      </x:c>
      <x:c r="J717" s="22" t="s">
        <x:v>40</x:v>
      </x:c>
      <x:c r="K717" s="22" t="s">
        <x:v>20</x:v>
      </x:c>
      <x:c r="L717" s="26">
        <x:v>1000000</x:v>
      </x:c>
      <x:c r="M717" s="26"/>
      <x:c r="N717" s="22" t="s">
        <x:v>301</x:v>
      </x:c>
      <x:c r="O717" s="22" t="s">
        <x:v>26</x:v>
      </x:c>
      <x:c r="P717" s="35" t="s">
        <x:v>1894</x:v>
      </x:c>
      <x:c r="Q717" s="29"/>
    </x:row>
    <x:row r="718" ht="51">
      <x:c r="A718" s="22">
        <x:v>2021</x:v>
      </x:c>
      <x:c r="B718" s="22" t="s">
        <x:v>565</x:v>
      </x:c>
      <x:c r="C718" s="11" t="e">
        <x:f>IFERROR(VLOOKUP(B718,Regiões!A:B,2,0),"")</x:f>
        <x:v>#NAME?</x:v>
      </x:c>
      <x:c r="D718" s="22" t="s">
        <x:v>1895</x:v>
      </x:c>
      <x:c r="E718" s="23" t="s">
        <x:v>305</x:v>
      </x:c>
      <x:c r="F718" s="24"/>
      <x:c r="G718" s="22" t="s">
        <x:v>1896</x:v>
      </x:c>
      <x:c r="H718" s="34">
        <x:v>41160001</x:v>
      </x:c>
      <x:c r="I718" s="22" t="s">
        <x:v>31</x:v>
      </x:c>
      <x:c r="J718" s="22" t="s">
        <x:v>25</x:v>
      </x:c>
      <x:c r="K718" s="22" t="s">
        <x:v>32</x:v>
      </x:c>
      <x:c r="L718" s="26">
        <x:v>1000000</x:v>
      </x:c>
      <x:c r="M718" s="26"/>
      <x:c r="N718" s="22" t="s">
        <x:v>33</x:v>
      </x:c>
      <x:c r="O718" s="22" t="s">
        <x:v>539</x:v>
      </x:c>
      <x:c r="P718" s="74" t="s">
        <x:v>1897</x:v>
      </x:c>
      <x:c r="Q718" s="29"/>
    </x:row>
    <x:row r="719" ht="38.25">
      <x:c r="A719" s="92">
        <x:v>2022</x:v>
      </x:c>
      <x:c r="B719" s="92" t="s">
        <x:v>45</x:v>
      </x:c>
      <x:c r="C719" s="92" t="e">
        <x:f>IFERROR(VLOOKUP(B719,Regiões!A:B,2,0),"")</x:f>
        <x:v>#NAME?</x:v>
      </x:c>
      <x:c r="D719" s="92" t="s">
        <x:v>1898</x:v>
      </x:c>
      <x:c r="E719" s="93"/>
      <x:c r="F719" s="112"/>
      <x:c r="G719" s="113" t="s">
        <x:v>1176</x:v>
      </x:c>
      <x:c r="H719" s="95">
        <x:v>41160003</x:v>
      </x:c>
      <x:c r="I719" s="92" t="s">
        <x:v>415</x:v>
      </x:c>
      <x:c r="J719" s="92" t="s">
        <x:v>40</x:v>
      </x:c>
      <x:c r="K719" s="92" t="s">
        <x:v>32</x:v>
      </x:c>
      <x:c r="L719" s="96">
        <x:v>1000000</x:v>
      </x:c>
      <x:c r="M719" s="96"/>
      <x:c r="N719" s="92" t="s">
        <x:v>41</x:v>
      </x:c>
      <x:c r="O719" s="92" t="s">
        <x:v>26</x:v>
      </x:c>
      <x:c r="P719" s="97"/>
      <x:c r="Q719" s="98"/>
    </x:row>
    <x:row r="720" ht="25.5">
      <x:c r="A720" s="22">
        <x:v>2022</x:v>
      </x:c>
      <x:c r="B720" s="22" t="s">
        <x:v>51</x:v>
      </x:c>
      <x:c r="C720" s="11" t="e">
        <x:f>IFERROR(VLOOKUP(B720,Regiões!A:B,2,0),"")</x:f>
        <x:v>#NAME?</x:v>
      </x:c>
      <x:c r="D720" s="22" t="s">
        <x:v>1899</x:v>
      </x:c>
      <x:c r="E720" s="23"/>
      <x:c r="F720" s="83"/>
      <x:c r="G720" s="84" t="s">
        <x:v>1900</x:v>
      </x:c>
      <x:c r="H720" s="61"/>
      <x:c r="I720" s="22" t="s">
        <x:v>1110</x:v>
      </x:c>
      <x:c r="J720" s="22" t="s">
        <x:v>1110</x:v>
      </x:c>
      <x:c r="K720" s="22" t="s">
        <x:v>32</x:v>
      </x:c>
      <x:c r="L720" s="27">
        <x:v>1000000</x:v>
      </x:c>
      <x:c r="M720" s="27"/>
      <x:c r="N720" s="22" t="s">
        <x:v>137</x:v>
      </x:c>
      <x:c r="O720" s="22" t="s">
        <x:v>539</x:v>
      </x:c>
      <x:c r="P720" s="28"/>
      <x:c r="Q720" s="29"/>
    </x:row>
    <x:row r="721" ht="38.25">
      <x:c r="A721" s="11">
        <x:v>2023</x:v>
      </x:c>
      <x:c r="B721" s="66" t="s">
        <x:v>352</x:v>
      </x:c>
      <x:c r="C721" s="11" t="e">
        <x:f>IFERROR(VLOOKUP(B721,Regiões!A:B,2,0),"")</x:f>
        <x:v>#NAME?</x:v>
      </x:c>
      <x:c r="D721" s="11" t="s">
        <x:v>1817</x:v>
      </x:c>
      <x:c r="E721" s="67" t="s">
        <x:v>42</x:v>
      </x:c>
      <x:c r="F721" s="68"/>
      <x:c r="G721" s="66" t="s">
        <x:v>1818</x:v>
      </x:c>
      <x:c r="H721" s="69"/>
      <x:c r="I721" s="11" t="s">
        <x:v>1202</x:v>
      </x:c>
      <x:c r="J721" s="11" t="str">
        <x:f>LEFT(I721,FIND(" (",I721) - 1)</x:f>
        <x:v>Infraestrutura</x:v>
      </x:c>
      <x:c r="K721" s="11" t="s">
        <x:v>32</x:v>
      </x:c>
      <x:c r="L721" s="70">
        <x:v>1000000</x:v>
      </x:c>
      <x:c r="M721" s="70"/>
      <x:c r="N721" s="11" t="s">
        <x:v>21</x:v>
      </x:c>
      <x:c r="O721" s="11" t="s">
        <x:v>49</x:v>
      </x:c>
      <x:c r="P721" s="67" t="s">
        <x:v>1901</x:v>
      </x:c>
      <x:c r="Q721" s="66"/>
    </x:row>
    <x:row r="722" ht="51">
      <x:c r="A722" s="92">
        <x:v>2023</x:v>
      </x:c>
      <x:c r="B722" s="113" t="s">
        <x:v>1721</x:v>
      </x:c>
      <x:c r="C722" s="113"/>
      <x:c r="D722" s="92"/>
      <x:c r="E722" s="173" t="s">
        <x:v>1902</x:v>
      </x:c>
      <x:c r="F722" s="112"/>
      <x:c r="G722" s="113" t="s">
        <x:v>1903</x:v>
      </x:c>
      <x:c r="H722" s="174"/>
      <x:c r="I722" s="92" t="s">
        <x:v>1904</x:v>
      </x:c>
      <x:c r="J722" s="92" t="s">
        <x:v>1109</x:v>
      </x:c>
      <x:c r="K722" s="92" t="s">
        <x:v>32</x:v>
      </x:c>
      <x:c r="L722" s="171">
        <x:v>1000000</x:v>
      </x:c>
      <x:c r="M722" s="171"/>
      <x:c r="N722" s="92" t="s">
        <x:v>1371</x:v>
      </x:c>
      <x:c r="O722" s="92" t="s">
        <x:v>49</x:v>
      </x:c>
      <x:c r="P722" s="97"/>
      <x:c r="Q722" s="172" t="s">
        <x:v>1372</x:v>
      </x:c>
    </x:row>
    <x:row r="723" ht="38.25">
      <x:c r="A723" s="92">
        <x:v>2023</x:v>
      </x:c>
      <x:c r="B723" s="113" t="s">
        <x:v>638</x:v>
      </x:c>
      <x:c r="C723" s="113"/>
      <x:c r="D723" s="92"/>
      <x:c r="E723" s="173" t="s">
        <x:v>754</x:v>
      </x:c>
      <x:c r="F723" s="112"/>
      <x:c r="G723" s="113" t="s">
        <x:v>1905</x:v>
      </x:c>
      <x:c r="H723" s="174"/>
      <x:c r="I723" s="92" t="s">
        <x:v>1110</x:v>
      </x:c>
      <x:c r="J723" s="92" t="s">
        <x:v>1110</x:v>
      </x:c>
      <x:c r="K723" s="92" t="s">
        <x:v>32</x:v>
      </x:c>
      <x:c r="L723" s="171">
        <x:v>1000000</x:v>
      </x:c>
      <x:c r="M723" s="171"/>
      <x:c r="N723" s="92" t="s">
        <x:v>1371</x:v>
      </x:c>
      <x:c r="O723" s="92" t="s">
        <x:v>49</x:v>
      </x:c>
      <x:c r="P723" s="97"/>
      <x:c r="Q723" s="172" t="s">
        <x:v>1372</x:v>
      </x:c>
    </x:row>
    <x:row r="724" ht="25.5">
      <x:c r="A724" s="92">
        <x:v>2023</x:v>
      </x:c>
      <x:c r="B724" s="113" t="s">
        <x:v>365</x:v>
      </x:c>
      <x:c r="C724" s="113"/>
      <x:c r="D724" s="92"/>
      <x:c r="E724" s="173" t="s">
        <x:v>1906</x:v>
      </x:c>
      <x:c r="F724" s="112"/>
      <x:c r="G724" s="113" t="s">
        <x:v>1907</x:v>
      </x:c>
      <x:c r="H724" s="174"/>
      <x:c r="I724" s="92" t="s">
        <x:v>1110</x:v>
      </x:c>
      <x:c r="J724" s="92" t="s">
        <x:v>1110</x:v>
      </x:c>
      <x:c r="K724" s="92" t="s">
        <x:v>32</x:v>
      </x:c>
      <x:c r="L724" s="171">
        <x:v>1000000</x:v>
      </x:c>
      <x:c r="M724" s="171"/>
      <x:c r="N724" s="92" t="s">
        <x:v>1371</x:v>
      </x:c>
      <x:c r="O724" s="92" t="s">
        <x:v>49</x:v>
      </x:c>
      <x:c r="P724" s="97"/>
      <x:c r="Q724" s="172" t="s">
        <x:v>1372</x:v>
      </x:c>
    </x:row>
    <x:row r="725" ht="25.5">
      <x:c r="A725" s="92">
        <x:v>2023</x:v>
      </x:c>
      <x:c r="B725" s="113" t="s">
        <x:v>1908</x:v>
      </x:c>
      <x:c r="C725" s="113"/>
      <x:c r="D725" s="92"/>
      <x:c r="E725" s="169"/>
      <x:c r="F725" s="112"/>
      <x:c r="G725" s="113" t="s">
        <x:v>1909</x:v>
      </x:c>
      <x:c r="H725" s="174"/>
      <x:c r="I725" s="92" t="s">
        <x:v>1110</x:v>
      </x:c>
      <x:c r="J725" s="92" t="s">
        <x:v>1110</x:v>
      </x:c>
      <x:c r="K725" s="92" t="s">
        <x:v>32</x:v>
      </x:c>
      <x:c r="L725" s="171">
        <x:v>1000000</x:v>
      </x:c>
      <x:c r="M725" s="171"/>
      <x:c r="N725" s="92" t="s">
        <x:v>1371</x:v>
      </x:c>
      <x:c r="O725" s="92" t="s">
        <x:v>539</x:v>
      </x:c>
      <x:c r="P725" s="97"/>
      <x:c r="Q725" s="172" t="s">
        <x:v>1372</x:v>
      </x:c>
    </x:row>
    <x:row r="726" ht="63.75">
      <x:c r="A726" s="9">
        <x:v>2024</x:v>
      </x:c>
      <x:c r="B726" s="10" t="s">
        <x:v>51</x:v>
      </x:c>
      <x:c r="C726" s="11" t="e">
        <x:f>IFERROR(VLOOKUP(B726,Regiões!A:B,2,0),"")</x:f>
        <x:v>#NAME?</x:v>
      </x:c>
      <x:c r="D726" s="11" t="s">
        <x:v>1910</x:v>
      </x:c>
      <x:c r="E726" s="12" t="str">
        <x:f>G726&amp;" de "&amp;B726</x:f>
        <x:v>Prefeitura Municipal de Porto Alegre</x:v>
      </x:c>
      <x:c r="F726" s="13"/>
      <x:c r="G726" s="14" t="s">
        <x:v>18</x:v>
      </x:c>
      <x:c r="H726" s="15">
        <x:v>41160001</x:v>
      </x:c>
      <x:c r="I726" s="9" t="s">
        <x:v>58</x:v>
      </x:c>
      <x:c r="J726" s="9" t="s">
        <x:v>40</x:v>
      </x:c>
      <x:c r="K726" s="16" t="s">
        <x:v>20</x:v>
      </x:c>
      <x:c r="L726" s="17">
        <x:v>1000000</x:v>
      </x:c>
      <x:c r="M726" s="17"/>
      <x:c r="N726" s="11" t="s">
        <x:v>21</x:v>
      </x:c>
      <x:c r="O726" s="16"/>
      <x:c r="P726" s="18"/>
      <x:c r="Q726" s="19"/>
    </x:row>
    <x:row r="727" ht="63.75">
      <x:c r="A727" s="9">
        <x:v>2025</x:v>
      </x:c>
      <x:c r="B727" s="14" t="s">
        <x:v>540</x:v>
      </x:c>
      <x:c r="C727" s="11" t="e">
        <x:f>IFERROR(VLOOKUP(B727,Regiões!A:B,2,0),"")</x:f>
        <x:v>#NAME?</x:v>
      </x:c>
      <x:c r="D727" s="11" t="s">
        <x:v>1911</x:v>
      </x:c>
      <x:c r="E727" s="12" t="s">
        <x:v>1912</x:v>
      </x:c>
      <x:c r="F727" s="13">
        <x:v>88830609000139</x:v>
      </x:c>
      <x:c r="G727" s="14" t="s">
        <x:v>18</x:v>
      </x:c>
      <x:c r="H727" s="87">
        <x:v>41160005</x:v>
      </x:c>
      <x:c r="I727" s="9" t="s">
        <x:v>1581</x:v>
      </x:c>
      <x:c r="J727" s="9" t="s">
        <x:v>1109</x:v>
      </x:c>
      <x:c r="K727" s="16" t="s">
        <x:v>32</x:v>
      </x:c>
      <x:c r="L727" s="88">
        <x:v>1000000</x:v>
      </x:c>
      <x:c r="M727" s="88"/>
      <x:c r="N727" s="11" t="s">
        <x:v>21</x:v>
      </x:c>
      <x:c r="O727" s="16"/>
      <x:c r="P727" s="111" t="s">
        <x:v>1913</x:v>
      </x:c>
      <x:c r="Q727" s="19"/>
    </x:row>
    <x:row r="728" ht="51">
      <x:c r="A728" s="9">
        <x:v>2025</x:v>
      </x:c>
      <x:c r="B728" s="14" t="s">
        <x:v>51</x:v>
      </x:c>
      <x:c r="C728" s="11" t="e">
        <x:f>IFERROR(VLOOKUP(B728,Regiões!A:B,2,0),"")</x:f>
        <x:v>#NAME?</x:v>
      </x:c>
      <x:c r="D728" s="11" t="s">
        <x:v>1914</x:v>
      </x:c>
      <x:c r="E728" s="12" t="s">
        <x:v>1915</x:v>
      </x:c>
      <x:c r="F728" s="13">
        <x:v>92963560000160</x:v>
      </x:c>
      <x:c r="G728" s="14" t="s">
        <x:v>18</x:v>
      </x:c>
      <x:c r="H728" s="87">
        <x:v>41160008</x:v>
      </x:c>
      <x:c r="I728" s="9" t="s">
        <x:v>881</x:v>
      </x:c>
      <x:c r="J728" s="9" t="s">
        <x:v>25</x:v>
      </x:c>
      <x:c r="K728" s="16" t="s">
        <x:v>32</x:v>
      </x:c>
      <x:c r="L728" s="88">
        <x:v>1000000</x:v>
      </x:c>
      <x:c r="M728" s="88"/>
      <x:c r="N728" s="11" t="s">
        <x:v>21</x:v>
      </x:c>
      <x:c r="O728" s="16"/>
      <x:c r="P728" s="111" t="s">
        <x:v>1916</x:v>
      </x:c>
      <x:c r="Q728" s="19"/>
    </x:row>
    <x:row r="729" ht="89.25">
      <x:c r="A729" s="9">
        <x:v>2026</x:v>
      </x:c>
      <x:c r="B729" s="14" t="s">
        <x:v>51</x:v>
      </x:c>
      <x:c r="C729" s="11" t="e">
        <x:f>IFERROR(VLOOKUP(B729,Regiões!A:B,2,0),"")</x:f>
        <x:v>#NAME?</x:v>
      </x:c>
      <x:c r="D729" s="11" t="s">
        <x:v>1917</x:v>
      </x:c>
      <x:c r="E729" s="14" t="s">
        <x:v>51</x:v>
      </x:c>
      <x:c r="F729" s="13">
        <x:v>92963560000160</x:v>
      </x:c>
      <x:c r="G729" s="14" t="s">
        <x:v>1795</x:v>
      </x:c>
      <x:c r="H729" s="15">
        <x:v>41160008</x:v>
      </x:c>
      <x:c r="I729" s="9" t="s">
        <x:v>1641</x:v>
      </x:c>
      <x:c r="J729" s="2" t="s">
        <x:v>25</x:v>
      </x:c>
      <x:c r="K729" s="207" t="s">
        <x:v>1642</x:v>
      </x:c>
      <x:c r="L729" s="17">
        <x:v>1000000</x:v>
      </x:c>
      <x:c r="M729" s="17"/>
      <x:c r="N729" s="9" t="s">
        <x:v>33</x:v>
      </x:c>
      <x:c r="O729" s="16"/>
      <x:c r="P729" s="250"/>
      <x:c r="Q729" s="19"/>
    </x:row>
    <x:row r="730" ht="51">
      <x:c r="A730" s="9">
        <x:v>2024</x:v>
      </x:c>
      <x:c r="B730" s="10" t="s">
        <x:v>183</x:v>
      </x:c>
      <x:c r="C730" s="11" t="e">
        <x:f>IFERROR(VLOOKUP(B730,Regiões!A:B,2,0),"")</x:f>
        <x:v>#NAME?</x:v>
      </x:c>
      <x:c r="D730" s="11" t="s">
        <x:v>290</x:v>
      </x:c>
      <x:c r="E730" s="12" t="str">
        <x:f>G730&amp;" de "&amp;B730</x:f>
        <x:v>Prefeitura Municipal de Morro Reuter</x:v>
      </x:c>
      <x:c r="F730" s="13"/>
      <x:c r="G730" s="14" t="s">
        <x:v>18</x:v>
      </x:c>
      <x:c r="H730" s="15">
        <x:v>41160005</x:v>
      </x:c>
      <x:c r="I730" s="9" t="s">
        <x:v>1109</x:v>
      </x:c>
      <x:c r="J730" s="9" t="s">
        <x:v>1109</x:v>
      </x:c>
      <x:c r="K730" s="16" t="s">
        <x:v>32</x:v>
      </x:c>
      <x:c r="L730" s="17">
        <x:v>1078487</x:v>
      </x:c>
      <x:c r="M730" s="17"/>
      <x:c r="N730" s="11" t="s">
        <x:v>21</x:v>
      </x:c>
      <x:c r="O730" s="16"/>
      <x:c r="P730" s="18"/>
      <x:c r="Q730" s="19"/>
    </x:row>
    <x:row r="731" ht="25.5">
      <x:c r="A731" s="22">
        <x:v>2022</x:v>
      </x:c>
      <x:c r="B731" s="22" t="s">
        <x:v>153</x:v>
      </x:c>
      <x:c r="C731" s="11" t="e">
        <x:f>IFERROR(VLOOKUP(B731,Regiões!A:B,2,0),"")</x:f>
        <x:v>#NAME?</x:v>
      </x:c>
      <x:c r="D731" s="22" t="s">
        <x:v>819</x:v>
      </x:c>
      <x:c r="E731" s="23" t="s">
        <x:v>38</x:v>
      </x:c>
      <x:c r="F731" s="24"/>
      <x:c r="G731" s="22" t="s">
        <x:v>18</x:v>
      </x:c>
      <x:c r="H731" s="25">
        <x:v>41160007</x:v>
      </x:c>
      <x:c r="I731" s="22" t="s">
        <x:v>1725</x:v>
      </x:c>
      <x:c r="J731" s="22" t="s">
        <x:v>1110</x:v>
      </x:c>
      <x:c r="K731" s="22" t="s">
        <x:v>32</x:v>
      </x:c>
      <x:c r="L731" s="27">
        <x:v>1139365</x:v>
      </x:c>
      <x:c r="M731" s="27"/>
      <x:c r="N731" s="22" t="s">
        <x:v>41</x:v>
      </x:c>
      <x:c r="O731" s="22" t="s">
        <x:v>26</x:v>
      </x:c>
      <x:c r="P731" s="28" t="s">
        <x:v>1918</x:v>
      </x:c>
      <x:c r="Q731" s="29"/>
    </x:row>
    <x:row r="732" ht="76.5">
      <x:c r="A732" s="11">
        <x:v>2024</x:v>
      </x:c>
      <x:c r="B732" s="66" t="s">
        <x:v>1355</x:v>
      </x:c>
      <x:c r="C732" s="11" t="e">
        <x:f>IFERROR(VLOOKUP(B732,Regiões!A:B,2,0),"")</x:f>
        <x:v>#NAME?</x:v>
      </x:c>
      <x:c r="D732" s="11" t="s">
        <x:v>1919</x:v>
      </x:c>
      <x:c r="E732" s="67" t="s">
        <x:v>1201</x:v>
      </x:c>
      <x:c r="F732" s="68"/>
      <x:c r="G732" s="66" t="s">
        <x:v>1201</x:v>
      </x:c>
      <x:c r="H732" s="69"/>
      <x:c r="I732" s="11" t="s">
        <x:v>1202</x:v>
      </x:c>
      <x:c r="J732" s="11" t="str">
        <x:f>LEFT(I732,FIND(" (",I732) - 1)</x:f>
        <x:v>Infraestrutura</x:v>
      </x:c>
      <x:c r="K732" s="11" t="s">
        <x:v>32</x:v>
      </x:c>
      <x:c r="L732" s="243">
        <x:v>1300000</x:v>
      </x:c>
      <x:c r="M732" s="243"/>
      <x:c r="N732" s="11" t="s">
        <x:v>21</x:v>
      </x:c>
      <x:c r="O732" s="11" t="s">
        <x:v>49</x:v>
      </x:c>
      <x:c r="P732" s="67" t="s">
        <x:v>1920</x:v>
      </x:c>
      <x:c r="Q732" s="66"/>
    </x:row>
    <x:row r="733" ht="76.5">
      <x:c r="A733" s="92">
        <x:v>2023</x:v>
      </x:c>
      <x:c r="B733" s="113" t="s">
        <x:v>16</x:v>
      </x:c>
      <x:c r="C733" s="113"/>
      <x:c r="D733" s="92"/>
      <x:c r="E733" s="173" t="s">
        <x:v>1278</x:v>
      </x:c>
      <x:c r="F733" s="112"/>
      <x:c r="G733" s="113" t="s">
        <x:v>1921</x:v>
      </x:c>
      <x:c r="H733" s="170" t="s">
        <x:v>1922</x:v>
      </x:c>
      <x:c r="I733" s="92" t="s">
        <x:v>1110</x:v>
      </x:c>
      <x:c r="J733" s="92" t="s">
        <x:v>1110</x:v>
      </x:c>
      <x:c r="K733" s="92" t="s">
        <x:v>32</x:v>
      </x:c>
      <x:c r="L733" s="171">
        <x:v>1500000</x:v>
      </x:c>
      <x:c r="M733" s="171"/>
      <x:c r="N733" s="92" t="s">
        <x:v>1371</x:v>
      </x:c>
      <x:c r="O733" s="92" t="s">
        <x:v>49</x:v>
      </x:c>
      <x:c r="P733" s="97" t="s">
        <x:v>137</x:v>
      </x:c>
      <x:c r="Q733" s="172" t="s">
        <x:v>1372</x:v>
      </x:c>
    </x:row>
    <x:row r="734" ht="38.25">
      <x:c r="A734" s="51">
        <x:v>2020</x:v>
      </x:c>
      <x:c r="B734" s="51" t="s">
        <x:v>352</x:v>
      </x:c>
      <x:c r="C734" s="11" t="e">
        <x:f>IFERROR(VLOOKUP(B734,Regiões!A:B,2,0),"")</x:f>
        <x:v>#NAME?</x:v>
      </x:c>
      <x:c r="D734" s="22" t="s">
        <x:v>513</x:v>
      </x:c>
      <x:c r="E734" s="52" t="s">
        <x:v>93</x:v>
      </x:c>
      <x:c r="F734" s="53"/>
      <x:c r="G734" s="51" t="s">
        <x:v>514</x:v>
      </x:c>
      <x:c r="H734" s="63" t="s">
        <x:v>142</x:v>
      </x:c>
      <x:c r="I734" s="51" t="s">
        <x:v>95</x:v>
      </x:c>
      <x:c r="J734" s="51" t="s">
        <x:v>40</x:v>
      </x:c>
      <x:c r="K734" s="51" t="s">
        <x:v>32</x:v>
      </x:c>
      <x:c r="L734" s="55">
        <x:v>1874000</x:v>
      </x:c>
      <x:c r="M734" s="55"/>
      <x:c r="N734" s="51" t="s">
        <x:v>64</x:v>
      </x:c>
      <x:c r="O734" s="51" t="s">
        <x:v>26</x:v>
      </x:c>
      <x:c r="P734" s="52" t="s">
        <x:v>1923</x:v>
      </x:c>
      <x:c r="Q734" s="256" t="s">
        <x:v>1924</x:v>
      </x:c>
    </x:row>
    <x:row r="735" ht="51">
      <x:c r="A735" s="22">
        <x:v>2021</x:v>
      </x:c>
      <x:c r="B735" s="163" t="s">
        <x:v>352</x:v>
      </x:c>
      <x:c r="C735" s="11" t="e">
        <x:f>IFERROR(VLOOKUP(B735,Regiões!A:B,2,0),"")</x:f>
        <x:v>#NAME?</x:v>
      </x:c>
      <x:c r="D735" s="22" t="s">
        <x:v>1817</x:v>
      </x:c>
      <x:c r="E735" s="23" t="s">
        <x:v>38</x:v>
      </x:c>
      <x:c r="F735" s="24"/>
      <x:c r="G735" s="22" t="s">
        <x:v>1925</x:v>
      </x:c>
      <x:c r="H735" s="25">
        <x:v>41160006</x:v>
      </x:c>
      <x:c r="I735" s="22" t="s">
        <x:v>1725</x:v>
      </x:c>
      <x:c r="J735" s="22" t="s">
        <x:v>1110</x:v>
      </x:c>
      <x:c r="K735" s="22" t="s">
        <x:v>32</x:v>
      </x:c>
      <x:c r="L735" s="27">
        <x:v>2693000</x:v>
      </x:c>
      <x:c r="M735" s="27"/>
      <x:c r="N735" s="22" t="s">
        <x:v>41</x:v>
      </x:c>
      <x:c r="O735" s="51" t="s">
        <x:v>1926</x:v>
      </x:c>
      <x:c r="P735" s="28" t="s">
        <x:v>1927</x:v>
      </x:c>
      <x:c r="Q735" s="29" t="s">
        <x:v>1928</x:v>
      </x:c>
    </x:row>
    <x:row r="736" ht="255">
      <x:c r="A736" s="22">
        <x:v>2020</x:v>
      </x:c>
      <x:c r="B736" s="163" t="s">
        <x:v>352</x:v>
      </x:c>
      <x:c r="C736" s="11" t="e">
        <x:f>IFERROR(VLOOKUP(B736,Regiões!A:B,2,0),"")</x:f>
        <x:v>#NAME?</x:v>
      </x:c>
      <x:c r="D736" s="22" t="s">
        <x:v>1929</x:v>
      </x:c>
      <x:c r="E736" s="23" t="s">
        <x:v>38</x:v>
      </x:c>
      <x:c r="F736" s="24"/>
      <x:c r="G736" s="22" t="s">
        <x:v>1930</x:v>
      </x:c>
      <x:c r="H736" s="25">
        <x:v>41160003</x:v>
      </x:c>
      <x:c r="I736" s="22" t="s">
        <x:v>1931</x:v>
      </x:c>
      <x:c r="J736" s="22" t="s">
        <x:v>1110</x:v>
      </x:c>
      <x:c r="K736" s="22" t="s">
        <x:v>32</x:v>
      </x:c>
      <x:c r="L736" s="27">
        <x:v>3780227</x:v>
      </x:c>
      <x:c r="M736" s="27"/>
      <x:c r="N736" s="22" t="s">
        <x:v>41</x:v>
      </x:c>
      <x:c r="O736" s="258" t="s">
        <x:v>26</x:v>
      </x:c>
      <x:c r="P736" s="28" t="s">
        <x:v>1932</x:v>
      </x:c>
      <x:c r="Q736" s="29" t="s">
        <x:v>1933</x:v>
      </x:c>
    </x:row>
    <x:row r="737" ht="38.25">
      <x:c r="A737" s="51">
        <x:v>2021</x:v>
      </x:c>
      <x:c r="B737" s="51" t="s">
        <x:v>731</x:v>
      </x:c>
      <x:c r="C737" s="11" t="e">
        <x:f>IFERROR(VLOOKUP(B737,Regiões!A:B,2,0),"")</x:f>
        <x:v>#NAME?</x:v>
      </x:c>
      <x:c r="D737" s="22" t="s">
        <x:v>1934</x:v>
      </x:c>
      <x:c r="E737" s="52" t="s">
        <x:v>1059</x:v>
      </x:c>
      <x:c r="F737" s="53"/>
      <x:c r="G737" s="51" t="s">
        <x:v>1059</x:v>
      </x:c>
      <x:c r="H737" s="54">
        <x:v>411660007</x:v>
      </x:c>
      <x:c r="I737" s="22" t="s">
        <x:v>31</x:v>
      </x:c>
      <x:c r="J737" s="22" t="s">
        <x:v>25</x:v>
      </x:c>
      <x:c r="K737" s="51" t="s">
        <x:v>32</x:v>
      </x:c>
      <x:c r="L737" s="55">
        <x:v>15299294</x:v>
      </x:c>
      <x:c r="M737" s="55"/>
      <x:c r="N737" s="51" t="s">
        <x:v>33</x:v>
      </x:c>
      <x:c r="O737" s="51" t="s">
        <x:v>1935</x:v>
      </x:c>
      <x:c r="P737" s="56" t="s">
        <x:v>1061</x:v>
      </x:c>
      <x:c r="Q737" s="57"/>
    </x:row>
    <x:row r="738" ht="25.5">
      <x:c r="A738" s="9">
        <x:v>2023</x:v>
      </x:c>
      <x:c r="B738" s="14" t="s">
        <x:v>16</x:v>
      </x:c>
      <x:c r="C738" s="11"/>
      <x:c r="D738" s="22" t="s">
        <x:v>1724</x:v>
      </x:c>
      <x:c r="E738" s="20" t="s">
        <x:v>38</x:v>
      </x:c>
      <x:c r="F738" s="13"/>
      <x:c r="G738" s="14" t="s">
        <x:v>1176</x:v>
      </x:c>
      <x:c r="H738" s="15">
        <x:v>41160007</x:v>
      </x:c>
      <x:c r="I738" s="9" t="s">
        <x:v>444</x:v>
      </x:c>
      <x:c r="J738" s="9" t="s">
        <x:v>40</x:v>
      </x:c>
      <x:c r="K738" s="16" t="s">
        <x:v>32</x:v>
      </x:c>
      <x:c r="L738" s="21" t="s">
        <x:v>1936</x:v>
      </x:c>
      <x:c r="M738" s="21"/>
      <x:c r="N738" s="9" t="s">
        <x:v>21</x:v>
      </x:c>
      <x:c r="O738" s="16" t="s">
        <x:v>49</x:v>
      </x:c>
      <x:c r="P738" s="18" t="s">
        <x:v>1937</x:v>
      </x:c>
      <x:c r="Q738" s="164" t="s">
        <x:v>1937</x:v>
      </x:c>
    </x:row>
    <x:row r="739" ht="89.25">
      <x:c r="A739" s="51">
        <x:v>2020</x:v>
      </x:c>
      <x:c r="B739" s="51" t="s">
        <x:v>171</x:v>
      </x:c>
      <x:c r="C739" s="11" t="e">
        <x:f>IFERROR(VLOOKUP(B739,Regiões!A:B,2,0),"")</x:f>
        <x:v>#NAME?</x:v>
      </x:c>
      <x:c r="D739" s="22" t="s">
        <x:v>1938</x:v>
      </x:c>
      <x:c r="E739" s="52" t="s">
        <x:v>93</x:v>
      </x:c>
      <x:c r="F739" s="53"/>
      <x:c r="G739" s="51" t="s">
        <x:v>1939</x:v>
      </x:c>
      <x:c r="H739" s="58">
        <x:v>41160005</x:v>
      </x:c>
      <x:c r="I739" s="51" t="s">
        <x:v>95</x:v>
      </x:c>
      <x:c r="J739" s="51" t="s">
        <x:v>40</x:v>
      </x:c>
      <x:c r="K739" s="51" t="s">
        <x:v>20</x:v>
      </x:c>
      <x:c r="L739" s="55" t="s">
        <x:v>1940</x:v>
      </x:c>
      <x:c r="M739" s="55"/>
      <x:c r="N739" s="51" t="s">
        <x:v>21</x:v>
      </x:c>
      <x:c r="O739" s="51" t="s">
        <x:v>26</x:v>
      </x:c>
      <x:c r="P739" s="52" t="s">
        <x:v>174</x:v>
      </x:c>
      <x:c r="Q739" s="57" t="s">
        <x:v>1941</x:v>
      </x:c>
    </x:row>
    <x:row r="740" ht="51">
      <x:c r="A740" s="9">
        <x:v>2025</x:v>
      </x:c>
      <x:c r="B740" s="14" t="s">
        <x:v>476</x:v>
      </x:c>
      <x:c r="C740" s="11" t="e">
        <x:f>IFERROR(VLOOKUP(B740,Regiões!A:B,2,0),"")</x:f>
        <x:v>#NAME?</x:v>
      </x:c>
      <x:c r="D740" s="11" t="s">
        <x:v>1942</x:v>
      </x:c>
      <x:c r="E740" s="12" t="s">
        <x:v>476</x:v>
      </x:c>
      <x:c r="F740" s="13">
        <x:v>1621714000180</x:v>
      </x:c>
      <x:c r="G740" s="14"/>
      <x:c r="H740" s="59"/>
      <x:c r="I740" s="9" t="s">
        <x:v>25</x:v>
      </x:c>
      <x:c r="J740" s="9" t="s">
        <x:v>25</x:v>
      </x:c>
      <x:c r="K740" s="16" t="s">
        <x:v>32</x:v>
      </x:c>
      <x:c r="L740" s="71" t="s">
        <x:v>1943</x:v>
      </x:c>
      <x:c r="M740" s="71"/>
      <x:c r="N740" s="9" t="s">
        <x:v>137</x:v>
      </x:c>
      <x:c r="O740" s="16"/>
      <x:c r="P740" s="49" t="s">
        <x:v>1944</x:v>
      </x:c>
      <x:c r="Q740" s="19"/>
    </x:row>
    <x:row r="741" ht="51">
      <x:c r="A741" s="9">
        <x:v>2025</x:v>
      </x:c>
      <x:c r="B741" s="14" t="s">
        <x:v>1945</x:v>
      </x:c>
      <x:c r="C741" s="11" t="e">
        <x:f>IFERROR(VLOOKUP(B741,Regiões!A:B,2,0),"")</x:f>
        <x:v>#NAME?</x:v>
      </x:c>
      <x:c r="D741" s="11" t="s">
        <x:v>1946</x:v>
      </x:c>
      <x:c r="E741" s="12" t="s">
        <x:v>1945</x:v>
      </x:c>
      <x:c r="F741" s="13">
        <x:v>87613527000170</x:v>
      </x:c>
      <x:c r="G741" s="14"/>
      <x:c r="H741" s="59"/>
      <x:c r="I741" s="9" t="s">
        <x:v>25</x:v>
      </x:c>
      <x:c r="J741" s="9" t="s">
        <x:v>25</x:v>
      </x:c>
      <x:c r="K741" s="16" t="s">
        <x:v>32</x:v>
      </x:c>
      <x:c r="L741" s="71" t="s">
        <x:v>1943</x:v>
      </x:c>
      <x:c r="M741" s="71"/>
      <x:c r="N741" s="9" t="s">
        <x:v>137</x:v>
      </x:c>
      <x:c r="O741" s="16"/>
      <x:c r="P741" s="49" t="s">
        <x:v>1944</x:v>
      </x:c>
      <x:c r="Q741" s="19"/>
    </x:row>
    <x:row r="742" ht="63.75">
      <x:c r="A742" s="9">
        <x:v>2025</x:v>
      </x:c>
      <x:c r="B742" s="14" t="s">
        <x:v>662</x:v>
      </x:c>
      <x:c r="C742" s="11" t="e">
        <x:f>IFERROR(VLOOKUP(B742,Regiões!A:B,2,0),"")</x:f>
        <x:v>#NAME?</x:v>
      </x:c>
      <x:c r="D742" s="11" t="s">
        <x:v>1947</x:v>
      </x:c>
      <x:c r="E742" s="12" t="s">
        <x:v>662</x:v>
      </x:c>
      <x:c r="F742" s="13">
        <x:v>91618439000138</x:v>
      </x:c>
      <x:c r="G742" s="14"/>
      <x:c r="H742" s="59"/>
      <x:c r="I742" s="9" t="s">
        <x:v>25</x:v>
      </x:c>
      <x:c r="J742" s="9" t="s">
        <x:v>25</x:v>
      </x:c>
      <x:c r="K742" s="16" t="s">
        <x:v>32</x:v>
      </x:c>
      <x:c r="L742" s="71" t="s">
        <x:v>1943</x:v>
      </x:c>
      <x:c r="M742" s="71"/>
      <x:c r="N742" s="9" t="s">
        <x:v>137</x:v>
      </x:c>
      <x:c r="O742" s="16"/>
      <x:c r="P742" s="49" t="s">
        <x:v>1944</x:v>
      </x:c>
      <x:c r="Q742" s="19"/>
    </x:row>
    <x:row r="743" ht="51">
      <x:c r="A743" s="9">
        <x:v>2025</x:v>
      </x:c>
      <x:c r="B743" s="14" t="s">
        <x:v>412</x:v>
      </x:c>
      <x:c r="C743" s="11" t="e">
        <x:f>IFERROR(VLOOKUP(B743,Regiões!A:B,2,0),"")</x:f>
        <x:v>#NAME?</x:v>
      </x:c>
      <x:c r="D743" s="11" t="s">
        <x:v>1948</x:v>
      </x:c>
      <x:c r="E743" s="12" t="s">
        <x:v>412</x:v>
      </x:c>
      <x:c r="F743" s="13">
        <x:v>87613253000119</x:v>
      </x:c>
      <x:c r="G743" s="14"/>
      <x:c r="H743" s="59"/>
      <x:c r="I743" s="9" t="s">
        <x:v>25</x:v>
      </x:c>
      <x:c r="J743" s="9" t="s">
        <x:v>25</x:v>
      </x:c>
      <x:c r="K743" s="16" t="s">
        <x:v>32</x:v>
      </x:c>
      <x:c r="L743" s="71" t="s">
        <x:v>1943</x:v>
      </x:c>
      <x:c r="M743" s="71"/>
      <x:c r="N743" s="9" t="s">
        <x:v>137</x:v>
      </x:c>
      <x:c r="O743" s="16"/>
      <x:c r="P743" s="49" t="s">
        <x:v>1944</x:v>
      </x:c>
      <x:c r="Q743" s="19"/>
    </x:row>
    <x:row r="744" ht="51">
      <x:c r="A744" s="9">
        <x:v>2025</x:v>
      </x:c>
      <x:c r="B744" s="14" t="s">
        <x:v>71</x:v>
      </x:c>
      <x:c r="C744" s="11" t="e">
        <x:f>IFERROR(VLOOKUP(B744,Regiões!A:B,2,0),"")</x:f>
        <x:v>#NAME?</x:v>
      </x:c>
      <x:c r="D744" s="11" t="s">
        <x:v>1949</x:v>
      </x:c>
      <x:c r="E744" s="12" t="s">
        <x:v>71</x:v>
      </x:c>
      <x:c r="F744" s="13">
        <x:v>92406164000131</x:v>
      </x:c>
      <x:c r="G744" s="14"/>
      <x:c r="H744" s="59"/>
      <x:c r="I744" s="9" t="s">
        <x:v>25</x:v>
      </x:c>
      <x:c r="J744" s="9" t="s">
        <x:v>25</x:v>
      </x:c>
      <x:c r="K744" s="16" t="s">
        <x:v>32</x:v>
      </x:c>
      <x:c r="L744" s="71" t="s">
        <x:v>1943</x:v>
      </x:c>
      <x:c r="M744" s="71"/>
      <x:c r="N744" s="9" t="s">
        <x:v>137</x:v>
      </x:c>
      <x:c r="O744" s="16"/>
      <x:c r="P744" s="49" t="s">
        <x:v>1944</x:v>
      </x:c>
      <x:c r="Q744" s="19"/>
    </x:row>
    <x:row r="745" ht="38.25">
      <x:c r="A745" s="9">
        <x:v>2025</x:v>
      </x:c>
      <x:c r="B745" s="14" t="s">
        <x:v>1950</x:v>
      </x:c>
      <x:c r="C745" s="11" t="e">
        <x:f>IFERROR(VLOOKUP(B745,Regiões!A:B,2,0),"")</x:f>
        <x:v>#NAME?</x:v>
      </x:c>
      <x:c r="D745" s="11" t="s">
        <x:v>1951</x:v>
      </x:c>
      <x:c r="E745" s="12" t="s">
        <x:v>1952</x:v>
      </x:c>
      <x:c r="F745" s="13">
        <x:v>94436474000124</x:v>
      </x:c>
      <x:c r="G745" s="14"/>
      <x:c r="H745" s="59"/>
      <x:c r="I745" s="9" t="s">
        <x:v>25</x:v>
      </x:c>
      <x:c r="J745" s="9" t="s">
        <x:v>25</x:v>
      </x:c>
      <x:c r="K745" s="16" t="s">
        <x:v>32</x:v>
      </x:c>
      <x:c r="L745" s="71" t="s">
        <x:v>1943</x:v>
      </x:c>
      <x:c r="M745" s="71"/>
      <x:c r="N745" s="9" t="s">
        <x:v>137</x:v>
      </x:c>
      <x:c r="O745" s="16"/>
      <x:c r="P745" s="49" t="s">
        <x:v>1944</x:v>
      </x:c>
      <x:c r="Q745" s="19"/>
    </x:row>
    <x:row r="746" ht="51">
      <x:c r="A746" s="9">
        <x:v>2025</x:v>
      </x:c>
      <x:c r="B746" s="14" t="s">
        <x:v>1953</x:v>
      </x:c>
      <x:c r="C746" s="11" t="e">
        <x:f>IFERROR(VLOOKUP(B746,Regiões!A:B,2,0),"")</x:f>
        <x:v>#NAME?</x:v>
      </x:c>
      <x:c r="D746" s="11" t="s">
        <x:v>1954</x:v>
      </x:c>
      <x:c r="E746" s="12" t="s">
        <x:v>1955</x:v>
      </x:c>
      <x:c r="F746" s="13">
        <x:v>4203896000167</x:v>
      </x:c>
      <x:c r="G746" s="14"/>
      <x:c r="H746" s="59"/>
      <x:c r="I746" s="9" t="s">
        <x:v>25</x:v>
      </x:c>
      <x:c r="J746" s="9" t="s">
        <x:v>25</x:v>
      </x:c>
      <x:c r="K746" s="16" t="s">
        <x:v>32</x:v>
      </x:c>
      <x:c r="L746" s="71" t="s">
        <x:v>1943</x:v>
      </x:c>
      <x:c r="M746" s="71"/>
      <x:c r="N746" s="9" t="s">
        <x:v>137</x:v>
      </x:c>
      <x:c r="O746" s="16"/>
      <x:c r="P746" s="49" t="s">
        <x:v>1944</x:v>
      </x:c>
      <x:c r="Q746" s="19"/>
    </x:row>
    <x:row r="747" ht="51">
      <x:c r="A747" s="9">
        <x:v>2025</x:v>
      </x:c>
      <x:c r="B747" s="14" t="s">
        <x:v>124</x:v>
      </x:c>
      <x:c r="C747" s="11" t="e">
        <x:f>IFERROR(VLOOKUP(B747,Regiões!A:B,2,0),"")</x:f>
        <x:v>#NAME?</x:v>
      </x:c>
      <x:c r="D747" s="11" t="s">
        <x:v>1956</x:v>
      </x:c>
      <x:c r="E747" s="12" t="s">
        <x:v>124</x:v>
      </x:c>
      <x:c r="F747" s="13">
        <x:v>87862397000109</x:v>
      </x:c>
      <x:c r="G747" s="14"/>
      <x:c r="H747" s="59"/>
      <x:c r="I747" s="9" t="s">
        <x:v>25</x:v>
      </x:c>
      <x:c r="J747" s="9" t="s">
        <x:v>25</x:v>
      </x:c>
      <x:c r="K747" s="16" t="s">
        <x:v>32</x:v>
      </x:c>
      <x:c r="L747" s="71" t="s">
        <x:v>1943</x:v>
      </x:c>
      <x:c r="M747" s="71"/>
      <x:c r="N747" s="9" t="s">
        <x:v>137</x:v>
      </x:c>
      <x:c r="O747" s="16"/>
      <x:c r="P747" s="49" t="s">
        <x:v>1944</x:v>
      </x:c>
      <x:c r="Q747" s="19"/>
    </x:row>
    <x:row r="748" ht="51">
      <x:c r="A748" s="9">
        <x:v>2025</x:v>
      </x:c>
      <x:c r="B748" s="14" t="s">
        <x:v>312</x:v>
      </x:c>
      <x:c r="C748" s="11" t="e">
        <x:f>IFERROR(VLOOKUP(B748,Regiões!A:B,2,0),"")</x:f>
        <x:v>#NAME?</x:v>
      </x:c>
      <x:c r="D748" s="11" t="s">
        <x:v>1957</x:v>
      </x:c>
      <x:c r="E748" s="12" t="s">
        <x:v>1958</x:v>
      </x:c>
      <x:c r="F748" s="13">
        <x:v>87613519000123</x:v>
      </x:c>
      <x:c r="G748" s="14"/>
      <x:c r="H748" s="59"/>
      <x:c r="I748" s="9" t="s">
        <x:v>25</x:v>
      </x:c>
      <x:c r="J748" s="9" t="s">
        <x:v>25</x:v>
      </x:c>
      <x:c r="K748" s="16" t="s">
        <x:v>32</x:v>
      </x:c>
      <x:c r="L748" s="71" t="s">
        <x:v>1943</x:v>
      </x:c>
      <x:c r="M748" s="71"/>
      <x:c r="N748" s="9" t="s">
        <x:v>137</x:v>
      </x:c>
      <x:c r="O748" s="16"/>
      <x:c r="P748" s="49" t="s">
        <x:v>1944</x:v>
      </x:c>
      <x:c r="Q748" s="19"/>
    </x:row>
    <x:row r="749" ht="63.75">
      <x:c r="A749" s="9">
        <x:v>2025</x:v>
      </x:c>
      <x:c r="B749" s="14" t="s">
        <x:v>611</x:v>
      </x:c>
      <x:c r="C749" s="11" t="e">
        <x:f>IFERROR(VLOOKUP(B749,Regiões!A:B,2,0),"")</x:f>
        <x:v>#NAME?</x:v>
      </x:c>
      <x:c r="D749" s="11" t="s">
        <x:v>1959</x:v>
      </x:c>
      <x:c r="E749" s="12" t="s">
        <x:v>611</x:v>
      </x:c>
      <x:c r="F749" s="13">
        <x:v>88546890000182</x:v>
      </x:c>
      <x:c r="G749" s="14"/>
      <x:c r="H749" s="59"/>
      <x:c r="I749" s="9" t="s">
        <x:v>25</x:v>
      </x:c>
      <x:c r="J749" s="9" t="s">
        <x:v>25</x:v>
      </x:c>
      <x:c r="K749" s="16" t="s">
        <x:v>32</x:v>
      </x:c>
      <x:c r="L749" s="71" t="s">
        <x:v>1943</x:v>
      </x:c>
      <x:c r="M749" s="71"/>
      <x:c r="N749" s="9" t="s">
        <x:v>137</x:v>
      </x:c>
      <x:c r="O749" s="16"/>
      <x:c r="P749" s="49" t="s">
        <x:v>1944</x:v>
      </x:c>
      <x:c r="Q749" s="19"/>
    </x:row>
    <x:row r="750" ht="63.75">
      <x:c r="A750" s="9">
        <x:v>2025</x:v>
      </x:c>
      <x:c r="B750" s="14" t="s">
        <x:v>1540</x:v>
      </x:c>
      <x:c r="C750" s="11" t="e">
        <x:f>IFERROR(VLOOKUP(B750,Regiões!A:B,2,0),"")</x:f>
        <x:v>#NAME?</x:v>
      </x:c>
      <x:c r="D750" s="11" t="s">
        <x:v>1960</x:v>
      </x:c>
      <x:c r="E750" s="12" t="s">
        <x:v>1540</x:v>
      </x:c>
      <x:c r="F750" s="13">
        <x:v>87592861000194</x:v>
      </x:c>
      <x:c r="G750" s="14"/>
      <x:c r="H750" s="59"/>
      <x:c r="I750" s="9" t="s">
        <x:v>25</x:v>
      </x:c>
      <x:c r="J750" s="9" t="s">
        <x:v>25</x:v>
      </x:c>
      <x:c r="K750" s="16" t="s">
        <x:v>32</x:v>
      </x:c>
      <x:c r="L750" s="71" t="s">
        <x:v>1943</x:v>
      </x:c>
      <x:c r="M750" s="71"/>
      <x:c r="N750" s="9" t="s">
        <x:v>137</x:v>
      </x:c>
      <x:c r="O750" s="16"/>
      <x:c r="P750" s="49" t="s">
        <x:v>1944</x:v>
      </x:c>
      <x:c r="Q750" s="19"/>
    </x:row>
    <x:row r="751" ht="51">
      <x:c r="A751" s="9">
        <x:v>2025</x:v>
      </x:c>
      <x:c r="B751" s="14" t="s">
        <x:v>352</x:v>
      </x:c>
      <x:c r="C751" s="11" t="e">
        <x:f>IFERROR(VLOOKUP(B751,Regiões!A:B,2,0),"")</x:f>
        <x:v>#NAME?</x:v>
      </x:c>
      <x:c r="D751" s="11" t="s">
        <x:v>1961</x:v>
      </x:c>
      <x:c r="E751" s="12" t="s">
        <x:v>352</x:v>
      </x:c>
      <x:c r="F751" s="13">
        <x:v>88254891000153</x:v>
      </x:c>
      <x:c r="G751" s="14"/>
      <x:c r="H751" s="59"/>
      <x:c r="I751" s="9" t="s">
        <x:v>25</x:v>
      </x:c>
      <x:c r="J751" s="9" t="s">
        <x:v>25</x:v>
      </x:c>
      <x:c r="K751" s="16" t="s">
        <x:v>32</x:v>
      </x:c>
      <x:c r="L751" s="71" t="s">
        <x:v>1962</x:v>
      </x:c>
      <x:c r="M751" s="71"/>
      <x:c r="N751" s="9" t="s">
        <x:v>137</x:v>
      </x:c>
      <x:c r="O751" s="16"/>
      <x:c r="P751" s="49" t="s">
        <x:v>1963</x:v>
      </x:c>
      <x:c r="Q751" s="19"/>
    </x:row>
    <x:row r="752" ht="38.25">
      <x:c r="A752" s="9">
        <x:v>2025</x:v>
      </x:c>
      <x:c r="B752" s="14" t="s">
        <x:v>1026</x:v>
      </x:c>
      <x:c r="C752" s="11" t="e">
        <x:f>IFERROR(VLOOKUP(B752,Regiões!A:B,2,0),"")</x:f>
        <x:v>#NAME?</x:v>
      </x:c>
      <x:c r="D752" s="11" t="s">
        <x:v>1027</x:v>
      </x:c>
      <x:c r="E752" s="12" t="s">
        <x:v>1026</x:v>
      </x:c>
      <x:c r="F752" s="13">
        <x:v>87613634000106</x:v>
      </x:c>
      <x:c r="G752" s="14"/>
      <x:c r="H752" s="59"/>
      <x:c r="I752" s="9" t="s">
        <x:v>25</x:v>
      </x:c>
      <x:c r="J752" s="9" t="s">
        <x:v>25</x:v>
      </x:c>
      <x:c r="K752" s="16" t="s">
        <x:v>32</x:v>
      </x:c>
      <x:c r="L752" s="71" t="s">
        <x:v>1964</x:v>
      </x:c>
      <x:c r="M752" s="71"/>
      <x:c r="N752" s="9" t="s">
        <x:v>137</x:v>
      </x:c>
      <x:c r="O752" s="16"/>
      <x:c r="P752" s="49" t="s">
        <x:v>1965</x:v>
      </x:c>
      <x:c r="Q752" s="19"/>
    </x:row>
    <x:row r="753" ht="38.25">
      <x:c r="A753" s="9">
        <x:v>2025</x:v>
      </x:c>
      <x:c r="B753" s="14" t="s">
        <x:v>1638</x:v>
      </x:c>
      <x:c r="C753" s="11" t="e">
        <x:f>IFERROR(VLOOKUP(B753,Regiões!A:B,2,0),"")</x:f>
        <x:v>#NAME?</x:v>
      </x:c>
      <x:c r="D753" s="11" t="s">
        <x:v>1966</x:v>
      </x:c>
      <x:c r="E753" s="12" t="s">
        <x:v>1638</x:v>
      </x:c>
      <x:c r="F753" s="13">
        <x:v>4217437000213</x:v>
      </x:c>
      <x:c r="G753" s="14"/>
      <x:c r="H753" s="59"/>
      <x:c r="I753" s="9" t="s">
        <x:v>25</x:v>
      </x:c>
      <x:c r="J753" s="9" t="s">
        <x:v>25</x:v>
      </x:c>
      <x:c r="K753" s="16" t="s">
        <x:v>32</x:v>
      </x:c>
      <x:c r="L753" s="71" t="s">
        <x:v>1964</x:v>
      </x:c>
      <x:c r="M753" s="71"/>
      <x:c r="N753" s="9" t="s">
        <x:v>137</x:v>
      </x:c>
      <x:c r="O753" s="16"/>
      <x:c r="P753" s="49" t="s">
        <x:v>1965</x:v>
      </x:c>
      <x:c r="Q753" s="19"/>
    </x:row>
    <x:row r="754" ht="89.25">
      <x:c r="A754" s="9">
        <x:v>2025</x:v>
      </x:c>
      <x:c r="B754" s="14" t="s">
        <x:v>116</x:v>
      </x:c>
      <x:c r="C754" s="11" t="e">
        <x:f>IFERROR(VLOOKUP(B754,Regiões!A:B,2,0),"")</x:f>
        <x:v>#NAME?</x:v>
      </x:c>
      <x:c r="D754" s="11" t="s">
        <x:v>1967</x:v>
      </x:c>
      <x:c r="E754" s="12" t="s">
        <x:v>1968</x:v>
      </x:c>
      <x:c r="F754" s="13">
        <x:v>87242707000192</x:v>
      </x:c>
      <x:c r="G754" s="14"/>
      <x:c r="H754" s="59"/>
      <x:c r="I754" s="9" t="s">
        <x:v>25</x:v>
      </x:c>
      <x:c r="J754" s="9" t="s">
        <x:v>25</x:v>
      </x:c>
      <x:c r="K754" s="16" t="s">
        <x:v>32</x:v>
      </x:c>
      <x:c r="L754" s="71" t="s">
        <x:v>1969</x:v>
      </x:c>
      <x:c r="M754" s="71"/>
      <x:c r="N754" s="9" t="s">
        <x:v>137</x:v>
      </x:c>
      <x:c r="O754" s="16"/>
      <x:c r="P754" s="49" t="s">
        <x:v>1944</x:v>
      </x:c>
      <x:c r="Q754" s="19"/>
    </x:row>
    <x:row r="755" ht="38.25">
      <x:c r="A755" s="92">
        <x:v>2020</x:v>
      </x:c>
      <x:c r="B755" s="92" t="s">
        <x:v>352</x:v>
      </x:c>
      <x:c r="C755" s="92" t="e">
        <x:f>IFERROR(VLOOKUP(B755,Regiões!A:B,2,0),"")</x:f>
        <x:v>#NAME?</x:v>
      </x:c>
      <x:c r="D755" s="92" t="s">
        <x:v>709</x:v>
      </x:c>
      <x:c r="E755" s="93" t="s">
        <x:v>567</x:v>
      </x:c>
      <x:c r="F755" s="94"/>
      <x:c r="G755" s="92" t="s">
        <x:v>710</x:v>
      </x:c>
      <x:c r="H755" s="120">
        <x:v>41160012</x:v>
      </x:c>
      <x:c r="I755" s="92" t="s">
        <x:v>31</x:v>
      </x:c>
      <x:c r="J755" s="92" t="s">
        <x:v>25</x:v>
      </x:c>
      <x:c r="K755" s="92" t="s">
        <x:v>32</x:v>
      </x:c>
      <x:c r="L755" s="121"/>
      <x:c r="M755" s="121"/>
      <x:c r="N755" s="92" t="s">
        <x:v>33</x:v>
      </x:c>
      <x:c r="O755" s="92" t="s">
        <x:v>26</x:v>
      </x:c>
      <x:c r="P755" s="93" t="s">
        <x:v>1970</x:v>
      </x:c>
      <x:c r="Q755" s="92"/>
    </x:row>
    <x:row r="756" ht="89.25">
      <x:c r="A756" s="9">
        <x:v>2024</x:v>
      </x:c>
      <x:c r="B756" s="10" t="s">
        <x:v>335</x:v>
      </x:c>
      <x:c r="C756" s="11" t="e">
        <x:f>IFERROR(VLOOKUP(B756,Regiões!A:B,2,0),"")</x:f>
        <x:v>#NAME?</x:v>
      </x:c>
      <x:c r="D756" s="11" t="s">
        <x:v>1971</x:v>
      </x:c>
      <x:c r="E756" s="12" t="str">
        <x:f t="shared" ref="E756:E765" si="35">G756&amp;" de "&amp;B756</x:f>
        <x:v>Prefeitura Municipal de Arroio do Meio</x:v>
      </x:c>
      <x:c r="F756" s="13"/>
      <x:c r="G756" s="14" t="s">
        <x:v>18</x:v>
      </x:c>
      <x:c r="H756" s="15">
        <x:v>41160005</x:v>
      </x:c>
      <x:c r="I756" s="9" t="s">
        <x:v>19</x:v>
      </x:c>
      <x:c r="J756" s="9" t="s">
        <x:v>19</x:v>
      </x:c>
      <x:c r="K756" s="16" t="s">
        <x:v>20</x:v>
      </x:c>
      <x:c r="L756" s="17"/>
      <x:c r="M756" s="17"/>
      <x:c r="N756" s="11" t="s">
        <x:v>21</x:v>
      </x:c>
      <x:c r="O756" s="16"/>
      <x:c r="P756" s="18"/>
      <x:c r="Q756" s="19"/>
    </x:row>
    <x:row r="757" ht="63.75">
      <x:c r="A757" s="9">
        <x:v>2024</x:v>
      </x:c>
      <x:c r="B757" s="10" t="s">
        <x:v>540</x:v>
      </x:c>
      <x:c r="C757" s="11" t="e">
        <x:f>IFERROR(VLOOKUP(B757,Regiões!A:B,2,0),"")</x:f>
        <x:v>#NAME?</x:v>
      </x:c>
      <x:c r="D757" s="11" t="s">
        <x:v>1972</x:v>
      </x:c>
      <x:c r="E757" s="12" t="str">
        <x:f t="shared" si="35"/>
        <x:v>Prefeitura Municipal de Caxias do Sul</x:v>
      </x:c>
      <x:c r="F757" s="13"/>
      <x:c r="G757" s="14" t="s">
        <x:v>18</x:v>
      </x:c>
      <x:c r="H757" s="15">
        <x:v>41160005</x:v>
      </x:c>
      <x:c r="I757" s="9" t="s">
        <x:v>1109</x:v>
      </x:c>
      <x:c r="J757" s="9" t="s">
        <x:v>1109</x:v>
      </x:c>
      <x:c r="K757" s="16" t="s">
        <x:v>32</x:v>
      </x:c>
      <x:c r="L757" s="17"/>
      <x:c r="M757" s="17"/>
      <x:c r="N757" s="11" t="s">
        <x:v>21</x:v>
      </x:c>
      <x:c r="O757" s="16"/>
      <x:c r="P757" s="18"/>
      <x:c r="Q757" s="19"/>
    </x:row>
    <x:row r="758" ht="51">
      <x:c r="A758" s="9">
        <x:v>2024</x:v>
      </x:c>
      <x:c r="B758" s="10" t="s">
        <x:v>1714</x:v>
      </x:c>
      <x:c r="C758" s="11" t="e">
        <x:f>IFERROR(VLOOKUP(B758,Regiões!A:B,2,0),"")</x:f>
        <x:v>#NAME?</x:v>
      </x:c>
      <x:c r="D758" s="11" t="s">
        <x:v>1973</x:v>
      </x:c>
      <x:c r="E758" s="12" t="str">
        <x:f t="shared" si="35"/>
        <x:v>Prefeitura Municipal de Dois Lajeados</x:v>
      </x:c>
      <x:c r="F758" s="13"/>
      <x:c r="G758" s="14" t="s">
        <x:v>18</x:v>
      </x:c>
      <x:c r="H758" s="15">
        <x:v>41160005</x:v>
      </x:c>
      <x:c r="I758" s="9" t="s">
        <x:v>1109</x:v>
      </x:c>
      <x:c r="J758" s="9" t="s">
        <x:v>1109</x:v>
      </x:c>
      <x:c r="K758" s="16" t="s">
        <x:v>32</x:v>
      </x:c>
      <x:c r="L758" s="17"/>
      <x:c r="M758" s="17"/>
      <x:c r="N758" s="11" t="s">
        <x:v>21</x:v>
      </x:c>
      <x:c r="O758" s="16"/>
      <x:c r="P758" s="18"/>
      <x:c r="Q758" s="19"/>
    </x:row>
    <x:row r="759" ht="76.5">
      <x:c r="A759" s="9">
        <x:v>2024</x:v>
      </x:c>
      <x:c r="B759" s="10" t="s">
        <x:v>1462</x:v>
      </x:c>
      <x:c r="C759" s="11" t="e">
        <x:f>IFERROR(VLOOKUP(B759,Regiões!A:B,2,0),"")</x:f>
        <x:v>#NAME?</x:v>
      </x:c>
      <x:c r="D759" s="11" t="s">
        <x:v>1974</x:v>
      </x:c>
      <x:c r="E759" s="12" t="str">
        <x:f t="shared" si="35"/>
        <x:v>Prefeitura Municipal de Flores da Cunha</x:v>
      </x:c>
      <x:c r="F759" s="13"/>
      <x:c r="G759" s="14" t="s">
        <x:v>18</x:v>
      </x:c>
      <x:c r="H759" s="15">
        <x:v>41160005</x:v>
      </x:c>
      <x:c r="I759" s="9" t="s">
        <x:v>1109</x:v>
      </x:c>
      <x:c r="J759" s="9" t="s">
        <x:v>1109</x:v>
      </x:c>
      <x:c r="K759" s="16" t="s">
        <x:v>32</x:v>
      </x:c>
      <x:c r="L759" s="17"/>
      <x:c r="M759" s="17"/>
      <x:c r="N759" s="11" t="s">
        <x:v>21</x:v>
      </x:c>
      <x:c r="O759" s="16"/>
      <x:c r="P759" s="18"/>
      <x:c r="Q759" s="19"/>
    </x:row>
    <x:row r="760" ht="51">
      <x:c r="A760" s="9">
        <x:v>2024</x:v>
      </x:c>
      <x:c r="B760" s="10" t="s">
        <x:v>230</x:v>
      </x:c>
      <x:c r="C760" s="11" t="e">
        <x:f>IFERROR(VLOOKUP(B760,Regiões!A:B,2,0),"")</x:f>
        <x:v>#NAME?</x:v>
      </x:c>
      <x:c r="D760" s="11" t="s">
        <x:v>1975</x:v>
      </x:c>
      <x:c r="E760" s="12" t="str">
        <x:f t="shared" si="35"/>
        <x:v>Prefeitura Municipal de Lagoa Vermelha</x:v>
      </x:c>
      <x:c r="F760" s="13"/>
      <x:c r="G760" s="14" t="s">
        <x:v>18</x:v>
      </x:c>
      <x:c r="H760" s="15">
        <x:v>41160005</x:v>
      </x:c>
      <x:c r="I760" s="9" t="s">
        <x:v>1109</x:v>
      </x:c>
      <x:c r="J760" s="9" t="s">
        <x:v>1109</x:v>
      </x:c>
      <x:c r="K760" s="16" t="s">
        <x:v>32</x:v>
      </x:c>
      <x:c r="L760" s="17"/>
      <x:c r="M760" s="17"/>
      <x:c r="N760" s="11" t="s">
        <x:v>21</x:v>
      </x:c>
      <x:c r="O760" s="16"/>
      <x:c r="P760" s="18"/>
      <x:c r="Q760" s="19"/>
    </x:row>
    <x:row r="761" ht="51">
      <x:c r="A761" s="9">
        <x:v>2024</x:v>
      </x:c>
      <x:c r="B761" s="10" t="s">
        <x:v>183</x:v>
      </x:c>
      <x:c r="C761" s="11" t="e">
        <x:f>IFERROR(VLOOKUP(B761,Regiões!A:B,2,0),"")</x:f>
        <x:v>#NAME?</x:v>
      </x:c>
      <x:c r="D761" s="11" t="s">
        <x:v>290</x:v>
      </x:c>
      <x:c r="E761" s="12" t="str">
        <x:f t="shared" si="35"/>
        <x:v>Prefeitura Municipal de Morro Reuter</x:v>
      </x:c>
      <x:c r="F761" s="13"/>
      <x:c r="G761" s="14" t="s">
        <x:v>18</x:v>
      </x:c>
      <x:c r="H761" s="15">
        <x:v>41160005</x:v>
      </x:c>
      <x:c r="I761" s="9" t="s">
        <x:v>1109</x:v>
      </x:c>
      <x:c r="J761" s="9" t="s">
        <x:v>1109</x:v>
      </x:c>
      <x:c r="K761" s="16" t="s">
        <x:v>32</x:v>
      </x:c>
      <x:c r="L761" s="17"/>
      <x:c r="M761" s="17"/>
      <x:c r="N761" s="11" t="s">
        <x:v>21</x:v>
      </x:c>
      <x:c r="O761" s="16"/>
      <x:c r="P761" s="18"/>
      <x:c r="Q761" s="19"/>
    </x:row>
    <x:row r="762" ht="51">
      <x:c r="A762" s="9">
        <x:v>2024</x:v>
      </x:c>
      <x:c r="B762" s="14" t="s">
        <x:v>1567</x:v>
      </x:c>
      <x:c r="C762" s="11" t="e">
        <x:f>IFERROR(VLOOKUP(B762,Regiões!A:B,2,0),"")</x:f>
        <x:v>#NAME?</x:v>
      </x:c>
      <x:c r="D762" s="11" t="s">
        <x:v>1976</x:v>
      </x:c>
      <x:c r="E762" s="12" t="str">
        <x:f t="shared" si="35"/>
        <x:v>Prefeitura Municipal de Muçum</x:v>
      </x:c>
      <x:c r="F762" s="13"/>
      <x:c r="G762" s="14" t="s">
        <x:v>18</x:v>
      </x:c>
      <x:c r="H762" s="15">
        <x:v>41160005</x:v>
      </x:c>
      <x:c r="I762" s="9" t="s">
        <x:v>1109</x:v>
      </x:c>
      <x:c r="J762" s="9" t="s">
        <x:v>1109</x:v>
      </x:c>
      <x:c r="K762" s="16" t="s">
        <x:v>32</x:v>
      </x:c>
      <x:c r="L762" s="17"/>
      <x:c r="M762" s="17"/>
      <x:c r="N762" s="11" t="s">
        <x:v>21</x:v>
      </x:c>
      <x:c r="O762" s="16"/>
      <x:c r="P762" s="18"/>
      <x:c r="Q762" s="19"/>
    </x:row>
    <x:row r="763" ht="38.25">
      <x:c r="A763" s="9">
        <x:v>2024</x:v>
      </x:c>
      <x:c r="B763" s="10" t="s">
        <x:v>1537</x:v>
      </x:c>
      <x:c r="C763" s="11" t="e">
        <x:f>IFERROR(VLOOKUP(B763,Regiões!A:B,2,0),"")</x:f>
        <x:v>#NAME?</x:v>
      </x:c>
      <x:c r="D763" s="11" t="s">
        <x:v>1538</x:v>
      </x:c>
      <x:c r="E763" s="12" t="str">
        <x:f t="shared" si="35"/>
        <x:v>Prefeitura Municipal de Relvado</x:v>
      </x:c>
      <x:c r="F763" s="13"/>
      <x:c r="G763" s="14" t="s">
        <x:v>18</x:v>
      </x:c>
      <x:c r="H763" s="15">
        <x:v>41160005</x:v>
      </x:c>
      <x:c r="I763" s="9" t="s">
        <x:v>1109</x:v>
      </x:c>
      <x:c r="J763" s="9" t="s">
        <x:v>1109</x:v>
      </x:c>
      <x:c r="K763" s="16" t="s">
        <x:v>32</x:v>
      </x:c>
      <x:c r="L763" s="17"/>
      <x:c r="M763" s="17"/>
      <x:c r="N763" s="11" t="s">
        <x:v>21</x:v>
      </x:c>
      <x:c r="O763" s="16"/>
      <x:c r="P763" s="18"/>
      <x:c r="Q763" s="19"/>
    </x:row>
    <x:row r="764" ht="63.75">
      <x:c r="A764" s="9">
        <x:v>2024</x:v>
      </x:c>
      <x:c r="B764" s="14" t="s">
        <x:v>848</x:v>
      </x:c>
      <x:c r="C764" s="11" t="e">
        <x:f>IFERROR(VLOOKUP(B764,Regiões!A:B,2,0),"")</x:f>
        <x:v>#NAME?</x:v>
      </x:c>
      <x:c r="D764" s="11" t="s">
        <x:v>1539</x:v>
      </x:c>
      <x:c r="E764" s="12" t="str">
        <x:f t="shared" si="35"/>
        <x:v>Prefeitura Municipal de São Martinho da Serra</x:v>
      </x:c>
      <x:c r="F764" s="13"/>
      <x:c r="G764" s="14" t="s">
        <x:v>18</x:v>
      </x:c>
      <x:c r="H764" s="15">
        <x:v>41160005</x:v>
      </x:c>
      <x:c r="I764" s="9" t="s">
        <x:v>1109</x:v>
      </x:c>
      <x:c r="J764" s="9" t="s">
        <x:v>1109</x:v>
      </x:c>
      <x:c r="K764" s="16" t="s">
        <x:v>32</x:v>
      </x:c>
      <x:c r="L764" s="17"/>
      <x:c r="M764" s="17"/>
      <x:c r="N764" s="11" t="s">
        <x:v>21</x:v>
      </x:c>
      <x:c r="O764" s="16"/>
      <x:c r="P764" s="18"/>
      <x:c r="Q764" s="19"/>
    </x:row>
    <x:row r="765" ht="63.75">
      <x:c r="A765" s="9">
        <x:v>2024</x:v>
      </x:c>
      <x:c r="B765" s="10" t="s">
        <x:v>1540</x:v>
      </x:c>
      <x:c r="C765" s="11" t="e">
        <x:f>IFERROR(VLOOKUP(B765,Regiões!A:B,2,0),"")</x:f>
        <x:v>#NAME?</x:v>
      </x:c>
      <x:c r="D765" s="11" t="s">
        <x:v>1977</x:v>
      </x:c>
      <x:c r="E765" s="12" t="str">
        <x:f t="shared" si="35"/>
        <x:v>Prefeitura Municipal de Sobradinho</x:v>
      </x:c>
      <x:c r="F765" s="13"/>
      <x:c r="G765" s="14" t="s">
        <x:v>18</x:v>
      </x:c>
      <x:c r="H765" s="15">
        <x:v>41160005</x:v>
      </x:c>
      <x:c r="I765" s="9" t="s">
        <x:v>1109</x:v>
      </x:c>
      <x:c r="J765" s="9" t="s">
        <x:v>1109</x:v>
      </x:c>
      <x:c r="K765" s="16" t="s">
        <x:v>32</x:v>
      </x:c>
      <x:c r="L765" s="17"/>
      <x:c r="M765" s="17"/>
      <x:c r="N765" s="11" t="s">
        <x:v>21</x:v>
      </x:c>
      <x:c r="O765" s="16"/>
      <x:c r="P765" s="18"/>
      <x:c r="Q765" s="19"/>
    </x:row>
    <x:row r="766" ht="12.75">
      <x:c r="A766" s="9"/>
      <x:c r="B766" s="14"/>
      <x:c r="C766" s="11"/>
      <x:c r="D766" s="11"/>
      <x:c r="E766" s="12"/>
      <x:c r="F766" s="13"/>
      <x:c r="G766" s="14"/>
      <x:c r="H766" s="59"/>
      <x:c r="I766" s="9"/>
      <x:c r="J766" s="9"/>
      <x:c r="K766" s="16"/>
      <x:c r="L766" s="71"/>
      <x:c r="M766" s="71"/>
      <x:c r="N766" s="9"/>
      <x:c r="O766" s="16"/>
      <x:c r="P766" s="49"/>
      <x:c r="Q766" s="19"/>
    </x:row>
    <x:row r="767" ht="12.75">
      <x:c r="A767" s="9"/>
      <x:c r="B767" s="14"/>
      <x:c r="C767" s="11"/>
      <x:c r="D767" s="11"/>
      <x:c r="E767" s="12"/>
      <x:c r="F767" s="13"/>
      <x:c r="G767" s="14"/>
      <x:c r="H767" s="15"/>
      <x:c r="I767" s="9"/>
      <x:c r="J767" s="9"/>
      <x:c r="K767" s="16"/>
      <x:c r="L767" s="17"/>
      <x:c r="M767" s="17"/>
      <x:c r="N767" s="9"/>
      <x:c r="O767" s="16"/>
      <x:c r="P767" s="18"/>
      <x:c r="Q767" s="19"/>
    </x:row>
    <x:row r="768" ht="12.75">
      <x:c r="A768" s="3"/>
      <x:c r="B768" s="264"/>
      <x:c r="C768" s="127"/>
      <x:c r="D768" s="127"/>
      <x:c r="E768" s="265"/>
      <x:c r="F768" s="266"/>
      <x:c r="G768" s="264"/>
      <x:c r="H768" s="267"/>
      <x:c r="I768" s="3"/>
      <x:c r="J768" s="3"/>
      <x:c r="K768" s="269"/>
      <x:c r="L768" s="270"/>
      <x:c r="M768" s="270"/>
      <x:c r="N768" s="3"/>
      <x:c r="O768" s="269"/>
      <x:c r="P768" s="271"/>
      <x:c r="Q768" s="272"/>
    </x:row>
    <x:row r="769" ht="12.75">
      <x:c r="A769" s="3"/>
      <x:c r="B769" s="264"/>
      <x:c r="C769" s="127"/>
      <x:c r="D769" s="127"/>
      <x:c r="E769" s="265"/>
      <x:c r="F769" s="266"/>
      <x:c r="G769" s="264"/>
      <x:c r="H769" s="267"/>
      <x:c r="I769" s="3"/>
      <x:c r="J769" s="3"/>
      <x:c r="K769" s="269"/>
      <x:c r="L769" s="270"/>
      <x:c r="M769" s="270"/>
      <x:c r="N769" s="3"/>
      <x:c r="O769" s="269"/>
      <x:c r="P769" s="271"/>
      <x:c r="Q769" s="272"/>
    </x:row>
    <x:row r="770" ht="12.75">
      <x:c r="A770" s="3"/>
      <x:c r="B770" s="264"/>
      <x:c r="C770" s="127"/>
      <x:c r="D770" s="127"/>
      <x:c r="E770" s="265"/>
      <x:c r="F770" s="266"/>
      <x:c r="G770" s="264"/>
      <x:c r="H770" s="267"/>
      <x:c r="I770" s="3"/>
      <x:c r="J770" s="3"/>
      <x:c r="K770" s="269"/>
      <x:c r="L770" s="270"/>
      <x:c r="M770" s="270"/>
      <x:c r="N770" s="3"/>
      <x:c r="O770" s="269"/>
      <x:c r="P770" s="271"/>
      <x:c r="Q770" s="272"/>
    </x:row>
    <x:row r="771" ht="12.75">
      <x:c r="A771" s="3"/>
      <x:c r="B771" s="264"/>
      <x:c r="C771" s="127"/>
      <x:c r="D771" s="127"/>
      <x:c r="E771" s="265"/>
      <x:c r="F771" s="266"/>
      <x:c r="G771" s="264"/>
      <x:c r="H771" s="267"/>
      <x:c r="I771" s="3"/>
      <x:c r="J771" s="3"/>
      <x:c r="K771" s="269"/>
      <x:c r="L771" s="270"/>
      <x:c r="M771" s="270"/>
      <x:c r="N771" s="3"/>
      <x:c r="O771" s="269"/>
      <x:c r="P771" s="271"/>
      <x:c r="Q771" s="272"/>
    </x:row>
    <x:row r="772" ht="12.75">
      <x:c r="A772" s="3"/>
      <x:c r="B772" s="264"/>
      <x:c r="C772" s="127"/>
      <x:c r="D772" s="127"/>
      <x:c r="E772" s="265"/>
      <x:c r="F772" s="266"/>
      <x:c r="G772" s="264"/>
      <x:c r="H772" s="267"/>
      <x:c r="I772" s="3"/>
      <x:c r="J772" s="3"/>
      <x:c r="K772" s="269"/>
      <x:c r="L772" s="270"/>
      <x:c r="M772" s="270"/>
      <x:c r="N772" s="3"/>
      <x:c r="O772" s="269"/>
      <x:c r="P772" s="271"/>
      <x:c r="Q772" s="272"/>
    </x:row>
    <x:row r="773" ht="12.75">
      <x:c r="A773" s="3"/>
      <x:c r="B773" s="264"/>
      <x:c r="C773" s="127"/>
      <x:c r="D773" s="127"/>
      <x:c r="E773" s="265"/>
      <x:c r="F773" s="266"/>
      <x:c r="G773" s="264"/>
      <x:c r="H773" s="267"/>
      <x:c r="I773" s="3"/>
      <x:c r="J773" s="3"/>
      <x:c r="K773" s="269"/>
      <x:c r="L773" s="270"/>
      <x:c r="M773" s="270"/>
      <x:c r="N773" s="3"/>
      <x:c r="O773" s="269"/>
      <x:c r="P773" s="271"/>
      <x:c r="Q773" s="272"/>
    </x:row>
    <x:row r="774" ht="12.75">
      <x:c r="A774" s="3"/>
      <x:c r="B774" s="264"/>
      <x:c r="C774" s="127"/>
      <x:c r="D774" s="127"/>
      <x:c r="E774" s="265"/>
      <x:c r="F774" s="266"/>
      <x:c r="G774" s="264"/>
      <x:c r="H774" s="267"/>
      <x:c r="I774" s="3"/>
      <x:c r="J774" s="3"/>
      <x:c r="K774" s="269"/>
      <x:c r="L774" s="270"/>
      <x:c r="M774" s="270"/>
      <x:c r="N774" s="3"/>
      <x:c r="O774" s="269"/>
      <x:c r="P774" s="271"/>
      <x:c r="Q774" s="272"/>
    </x:row>
    <x:row r="775" ht="12.75">
      <x:c r="A775" s="3"/>
      <x:c r="B775" s="264"/>
      <x:c r="C775" s="127"/>
      <x:c r="D775" s="127"/>
      <x:c r="E775" s="265"/>
      <x:c r="F775" s="266"/>
      <x:c r="G775" s="264"/>
      <x:c r="H775" s="267"/>
      <x:c r="I775" s="3"/>
      <x:c r="J775" s="3"/>
      <x:c r="K775" s="269"/>
      <x:c r="L775" s="270"/>
      <x:c r="M775" s="270"/>
      <x:c r="N775" s="3"/>
      <x:c r="O775" s="269"/>
      <x:c r="P775" s="271"/>
      <x:c r="Q775" s="272"/>
    </x:row>
    <x:row r="776" ht="12.75">
      <x:c r="A776" s="3"/>
      <x:c r="B776" s="264"/>
      <x:c r="C776" s="127"/>
      <x:c r="D776" s="127"/>
      <x:c r="E776" s="265"/>
      <x:c r="F776" s="266"/>
      <x:c r="G776" s="264"/>
      <x:c r="H776" s="267"/>
      <x:c r="I776" s="3"/>
      <x:c r="J776" s="3"/>
      <x:c r="K776" s="269"/>
      <x:c r="L776" s="270"/>
      <x:c r="M776" s="270"/>
      <x:c r="N776" s="3"/>
      <x:c r="O776" s="269"/>
      <x:c r="P776" s="271"/>
      <x:c r="Q776" s="272"/>
    </x:row>
    <x:row r="777" ht="12.75">
      <x:c r="A777" s="3"/>
      <x:c r="B777" s="264"/>
      <x:c r="C777" s="127"/>
      <x:c r="D777" s="127"/>
      <x:c r="E777" s="265"/>
      <x:c r="F777" s="266"/>
      <x:c r="G777" s="264"/>
      <x:c r="H777" s="267"/>
      <x:c r="I777" s="3"/>
      <x:c r="J777" s="3"/>
      <x:c r="K777" s="269"/>
      <x:c r="L777" s="270"/>
      <x:c r="M777" s="270"/>
      <x:c r="N777" s="3"/>
      <x:c r="O777" s="269"/>
      <x:c r="P777" s="271"/>
      <x:c r="Q777" s="272"/>
    </x:row>
    <x:row r="778" ht="12.75">
      <x:c r="A778" s="3"/>
      <x:c r="B778" s="264"/>
      <x:c r="C778" s="127"/>
      <x:c r="D778" s="127"/>
      <x:c r="E778" s="265"/>
      <x:c r="F778" s="266"/>
      <x:c r="G778" s="264"/>
      <x:c r="H778" s="267"/>
      <x:c r="I778" s="3"/>
      <x:c r="J778" s="3"/>
      <x:c r="K778" s="269"/>
      <x:c r="L778" s="270"/>
      <x:c r="M778" s="270"/>
      <x:c r="N778" s="3"/>
      <x:c r="O778" s="269"/>
      <x:c r="P778" s="271"/>
      <x:c r="Q778" s="272"/>
    </x:row>
    <x:row r="779" ht="12.75">
      <x:c r="A779" s="3"/>
      <x:c r="B779" s="264"/>
      <x:c r="C779" s="127"/>
      <x:c r="D779" s="127"/>
      <x:c r="E779" s="265"/>
      <x:c r="F779" s="266"/>
      <x:c r="G779" s="264"/>
      <x:c r="H779" s="267"/>
      <x:c r="I779" s="3"/>
      <x:c r="J779" s="3"/>
      <x:c r="K779" s="269"/>
      <x:c r="L779" s="270"/>
      <x:c r="M779" s="270"/>
      <x:c r="N779" s="3"/>
      <x:c r="O779" s="269"/>
      <x:c r="P779" s="271"/>
      <x:c r="Q779" s="272"/>
    </x:row>
    <x:row r="780" ht="12.75">
      <x:c r="A780" s="3"/>
      <x:c r="B780" s="264"/>
      <x:c r="C780" s="127"/>
      <x:c r="D780" s="127"/>
      <x:c r="E780" s="265"/>
      <x:c r="F780" s="266"/>
      <x:c r="G780" s="264"/>
      <x:c r="H780" s="267"/>
      <x:c r="I780" s="3"/>
      <x:c r="J780" s="3"/>
      <x:c r="K780" s="269"/>
      <x:c r="L780" s="270"/>
      <x:c r="M780" s="270"/>
      <x:c r="N780" s="3"/>
      <x:c r="O780" s="269"/>
      <x:c r="P780" s="271"/>
      <x:c r="Q780" s="272"/>
    </x:row>
    <x:row r="781" ht="12.75">
      <x:c r="A781" s="3"/>
      <x:c r="B781" s="264"/>
      <x:c r="C781" s="127"/>
      <x:c r="D781" s="127"/>
      <x:c r="E781" s="265"/>
      <x:c r="F781" s="266"/>
      <x:c r="G781" s="264"/>
      <x:c r="H781" s="267"/>
      <x:c r="I781" s="3"/>
      <x:c r="J781" s="3"/>
      <x:c r="K781" s="269"/>
      <x:c r="L781" s="270"/>
      <x:c r="M781" s="270"/>
      <x:c r="N781" s="3"/>
      <x:c r="O781" s="269"/>
      <x:c r="P781" s="271"/>
      <x:c r="Q781" s="272"/>
    </x:row>
    <x:row r="782" ht="12.75">
      <x:c r="A782" s="3"/>
      <x:c r="B782" s="264"/>
      <x:c r="C782" s="127"/>
      <x:c r="D782" s="127"/>
      <x:c r="E782" s="265"/>
      <x:c r="F782" s="266"/>
      <x:c r="G782" s="264"/>
      <x:c r="H782" s="267"/>
      <x:c r="I782" s="3"/>
      <x:c r="J782" s="3"/>
      <x:c r="K782" s="269"/>
      <x:c r="L782" s="270"/>
      <x:c r="M782" s="270"/>
      <x:c r="N782" s="3"/>
      <x:c r="O782" s="269"/>
      <x:c r="P782" s="271"/>
      <x:c r="Q782" s="272"/>
    </x:row>
    <x:row r="783" ht="12.75">
      <x:c r="A783" s="3"/>
      <x:c r="B783" s="264"/>
      <x:c r="C783" s="127"/>
      <x:c r="D783" s="127"/>
      <x:c r="E783" s="265"/>
      <x:c r="F783" s="266"/>
      <x:c r="G783" s="264"/>
      <x:c r="H783" s="267"/>
      <x:c r="I783" s="3"/>
      <x:c r="J783" s="3"/>
      <x:c r="K783" s="269"/>
      <x:c r="L783" s="270"/>
      <x:c r="M783" s="270"/>
      <x:c r="N783" s="3"/>
      <x:c r="O783" s="269"/>
      <x:c r="P783" s="271"/>
      <x:c r="Q783" s="272"/>
    </x:row>
    <x:row r="784" ht="12.75">
      <x:c r="A784" s="3"/>
      <x:c r="B784" s="264"/>
      <x:c r="C784" s="127"/>
      <x:c r="D784" s="127"/>
      <x:c r="E784" s="265"/>
      <x:c r="F784" s="266"/>
      <x:c r="G784" s="264"/>
      <x:c r="H784" s="267"/>
      <x:c r="I784" s="3"/>
      <x:c r="J784" s="3"/>
      <x:c r="K784" s="269"/>
      <x:c r="L784" s="270"/>
      <x:c r="M784" s="270"/>
      <x:c r="N784" s="3"/>
      <x:c r="O784" s="269"/>
      <x:c r="P784" s="271"/>
      <x:c r="Q784" s="272"/>
    </x:row>
    <x:row r="785" ht="12.75">
      <x:c r="A785" s="3"/>
      <x:c r="B785" s="264"/>
      <x:c r="C785" s="127"/>
      <x:c r="D785" s="127"/>
      <x:c r="E785" s="265"/>
      <x:c r="F785" s="266"/>
      <x:c r="G785" s="264"/>
      <x:c r="H785" s="267"/>
      <x:c r="I785" s="3"/>
      <x:c r="J785" s="3"/>
      <x:c r="K785" s="269"/>
      <x:c r="L785" s="270"/>
      <x:c r="M785" s="270"/>
      <x:c r="N785" s="3"/>
      <x:c r="O785" s="269"/>
      <x:c r="P785" s="271"/>
      <x:c r="Q785" s="272"/>
    </x:row>
    <x:row r="786" ht="12.75">
      <x:c r="A786" s="3"/>
      <x:c r="B786" s="264"/>
      <x:c r="C786" s="127"/>
      <x:c r="D786" s="127"/>
      <x:c r="E786" s="265"/>
      <x:c r="F786" s="266"/>
      <x:c r="G786" s="264"/>
      <x:c r="H786" s="267"/>
      <x:c r="I786" s="3"/>
      <x:c r="J786" s="3"/>
      <x:c r="K786" s="269"/>
      <x:c r="L786" s="270"/>
      <x:c r="M786" s="270"/>
      <x:c r="N786" s="3"/>
      <x:c r="O786" s="269"/>
      <x:c r="P786" s="271"/>
      <x:c r="Q786" s="272"/>
    </x:row>
    <x:row r="787" ht="12.75">
      <x:c r="A787" s="3"/>
      <x:c r="B787" s="264"/>
      <x:c r="C787" s="127"/>
      <x:c r="D787" s="127"/>
      <x:c r="E787" s="265"/>
      <x:c r="F787" s="266"/>
      <x:c r="G787" s="264"/>
      <x:c r="H787" s="267"/>
      <x:c r="I787" s="3"/>
      <x:c r="J787" s="3"/>
      <x:c r="K787" s="269"/>
      <x:c r="L787" s="270"/>
      <x:c r="M787" s="270"/>
      <x:c r="N787" s="3"/>
      <x:c r="O787" s="269"/>
      <x:c r="P787" s="271"/>
      <x:c r="Q787" s="272"/>
    </x:row>
    <x:row r="788" ht="12.75">
      <x:c r="A788" s="3"/>
      <x:c r="B788" s="264"/>
      <x:c r="C788" s="127"/>
      <x:c r="D788" s="127"/>
      <x:c r="E788" s="265"/>
      <x:c r="F788" s="266"/>
      <x:c r="G788" s="264"/>
      <x:c r="H788" s="267"/>
      <x:c r="I788" s="3"/>
      <x:c r="J788" s="3"/>
      <x:c r="K788" s="269"/>
      <x:c r="L788" s="270"/>
      <x:c r="M788" s="270"/>
      <x:c r="N788" s="3"/>
      <x:c r="O788" s="269"/>
      <x:c r="P788" s="271"/>
      <x:c r="Q788" s="272"/>
    </x:row>
    <x:row r="789" ht="12.75">
      <x:c r="A789" s="3"/>
      <x:c r="B789" s="264"/>
      <x:c r="C789" s="127"/>
      <x:c r="D789" s="127"/>
      <x:c r="E789" s="265"/>
      <x:c r="F789" s="266"/>
      <x:c r="G789" s="264"/>
      <x:c r="H789" s="267"/>
      <x:c r="I789" s="3"/>
      <x:c r="J789" s="3"/>
      <x:c r="K789" s="269"/>
      <x:c r="L789" s="270"/>
      <x:c r="M789" s="270"/>
      <x:c r="N789" s="3"/>
      <x:c r="O789" s="269"/>
      <x:c r="P789" s="271"/>
      <x:c r="Q789" s="272"/>
    </x:row>
    <x:row r="790" ht="12.75">
      <x:c r="A790" s="3"/>
      <x:c r="B790" s="264"/>
      <x:c r="C790" s="127"/>
      <x:c r="D790" s="127"/>
      <x:c r="E790" s="265"/>
      <x:c r="F790" s="266"/>
      <x:c r="G790" s="264"/>
      <x:c r="H790" s="267"/>
      <x:c r="I790" s="3"/>
      <x:c r="J790" s="3"/>
      <x:c r="K790" s="269"/>
      <x:c r="L790" s="270"/>
      <x:c r="M790" s="270"/>
      <x:c r="N790" s="3"/>
      <x:c r="O790" s="269"/>
      <x:c r="P790" s="271"/>
      <x:c r="Q790" s="272"/>
    </x:row>
    <x:row r="791" ht="12.75">
      <x:c r="A791" s="3"/>
      <x:c r="B791" s="264"/>
      <x:c r="C791" s="127"/>
      <x:c r="D791" s="127"/>
      <x:c r="E791" s="265"/>
      <x:c r="F791" s="266"/>
      <x:c r="G791" s="264"/>
      <x:c r="H791" s="267"/>
      <x:c r="I791" s="3"/>
      <x:c r="J791" s="3"/>
      <x:c r="K791" s="269"/>
      <x:c r="L791" s="270"/>
      <x:c r="M791" s="270"/>
      <x:c r="N791" s="3"/>
      <x:c r="O791" s="269"/>
      <x:c r="P791" s="271"/>
      <x:c r="Q791" s="272"/>
    </x:row>
    <x:row r="792" ht="12.75">
      <x:c r="A792" s="3"/>
      <x:c r="B792" s="264"/>
      <x:c r="C792" s="127"/>
      <x:c r="D792" s="127"/>
      <x:c r="E792" s="265"/>
      <x:c r="F792" s="266"/>
      <x:c r="G792" s="264"/>
      <x:c r="H792" s="267"/>
      <x:c r="I792" s="3"/>
      <x:c r="J792" s="3"/>
      <x:c r="K792" s="269"/>
      <x:c r="L792" s="270"/>
      <x:c r="M792" s="270"/>
      <x:c r="N792" s="3"/>
      <x:c r="O792" s="269"/>
      <x:c r="P792" s="271"/>
      <x:c r="Q792" s="272"/>
    </x:row>
    <x:row r="793" ht="12.75">
      <x:c r="A793" s="3"/>
      <x:c r="B793" s="264"/>
      <x:c r="C793" s="127"/>
      <x:c r="D793" s="127"/>
      <x:c r="E793" s="265"/>
      <x:c r="F793" s="266"/>
      <x:c r="G793" s="264"/>
      <x:c r="H793" s="267"/>
      <x:c r="I793" s="3"/>
      <x:c r="J793" s="3"/>
      <x:c r="K793" s="269"/>
      <x:c r="L793" s="270"/>
      <x:c r="M793" s="270"/>
      <x:c r="N793" s="3"/>
      <x:c r="O793" s="269"/>
      <x:c r="P793" s="271"/>
      <x:c r="Q793" s="272"/>
    </x:row>
    <x:row r="794" ht="12.75">
      <x:c r="A794" s="3"/>
      <x:c r="B794" s="264"/>
      <x:c r="C794" s="127"/>
      <x:c r="D794" s="127"/>
      <x:c r="E794" s="265"/>
      <x:c r="F794" s="266"/>
      <x:c r="G794" s="264"/>
      <x:c r="H794" s="267"/>
      <x:c r="I794" s="3"/>
      <x:c r="J794" s="3"/>
      <x:c r="K794" s="269"/>
      <x:c r="L794" s="270"/>
      <x:c r="M794" s="270"/>
      <x:c r="N794" s="3"/>
      <x:c r="O794" s="269"/>
      <x:c r="P794" s="271"/>
      <x:c r="Q794" s="272"/>
    </x:row>
    <x:row r="795" ht="12.75">
      <x:c r="A795" s="3"/>
      <x:c r="B795" s="264"/>
      <x:c r="C795" s="127"/>
      <x:c r="D795" s="127"/>
      <x:c r="E795" s="265"/>
      <x:c r="F795" s="266"/>
      <x:c r="G795" s="264"/>
      <x:c r="H795" s="267"/>
      <x:c r="I795" s="3"/>
      <x:c r="J795" s="3"/>
      <x:c r="K795" s="269"/>
      <x:c r="L795" s="270"/>
      <x:c r="M795" s="270"/>
      <x:c r="N795" s="3"/>
      <x:c r="O795" s="269"/>
      <x:c r="P795" s="271"/>
      <x:c r="Q795" s="272"/>
    </x:row>
    <x:row r="796" ht="12.75">
      <x:c r="A796" s="3"/>
      <x:c r="B796" s="264"/>
      <x:c r="C796" s="127"/>
      <x:c r="D796" s="127"/>
      <x:c r="E796" s="265"/>
      <x:c r="F796" s="266"/>
      <x:c r="G796" s="264"/>
      <x:c r="H796" s="267"/>
      <x:c r="I796" s="3"/>
      <x:c r="J796" s="3"/>
      <x:c r="K796" s="269"/>
      <x:c r="L796" s="270"/>
      <x:c r="M796" s="270"/>
      <x:c r="N796" s="3"/>
      <x:c r="O796" s="269"/>
      <x:c r="P796" s="271"/>
      <x:c r="Q796" s="272"/>
    </x:row>
    <x:row r="797" ht="12.75">
      <x:c r="A797" s="3"/>
      <x:c r="B797" s="264"/>
      <x:c r="C797" s="127"/>
      <x:c r="D797" s="127"/>
      <x:c r="E797" s="265"/>
      <x:c r="F797" s="266"/>
      <x:c r="G797" s="264"/>
      <x:c r="H797" s="267"/>
      <x:c r="I797" s="3"/>
      <x:c r="J797" s="3"/>
      <x:c r="K797" s="269"/>
      <x:c r="L797" s="270"/>
      <x:c r="M797" s="270"/>
      <x:c r="N797" s="3"/>
      <x:c r="O797" s="269"/>
      <x:c r="P797" s="271"/>
      <x:c r="Q797" s="272"/>
    </x:row>
    <x:row r="798" ht="12.75">
      <x:c r="A798" s="3"/>
      <x:c r="B798" s="264"/>
      <x:c r="C798" s="127"/>
      <x:c r="D798" s="127"/>
      <x:c r="E798" s="265"/>
      <x:c r="F798" s="266"/>
      <x:c r="G798" s="264"/>
      <x:c r="H798" s="267"/>
      <x:c r="I798" s="3"/>
      <x:c r="J798" s="3"/>
      <x:c r="K798" s="269"/>
      <x:c r="L798" s="270"/>
      <x:c r="M798" s="270"/>
      <x:c r="N798" s="3"/>
      <x:c r="O798" s="269"/>
      <x:c r="P798" s="271"/>
      <x:c r="Q798" s="272"/>
    </x:row>
    <x:row r="799" ht="12.75">
      <x:c r="A799" s="3"/>
      <x:c r="B799" s="264"/>
      <x:c r="C799" s="127"/>
      <x:c r="D799" s="127"/>
      <x:c r="E799" s="265"/>
      <x:c r="F799" s="266"/>
      <x:c r="G799" s="264"/>
      <x:c r="H799" s="267"/>
      <x:c r="I799" s="3"/>
      <x:c r="J799" s="3"/>
      <x:c r="K799" s="269"/>
      <x:c r="L799" s="270"/>
      <x:c r="M799" s="270"/>
      <x:c r="N799" s="3"/>
      <x:c r="O799" s="269"/>
      <x:c r="P799" s="271"/>
      <x:c r="Q799" s="272"/>
    </x:row>
    <x:row r="800" ht="12.75">
      <x:c r="A800" s="3"/>
      <x:c r="B800" s="264"/>
      <x:c r="C800" s="127"/>
      <x:c r="D800" s="127"/>
      <x:c r="E800" s="265"/>
      <x:c r="F800" s="266"/>
      <x:c r="G800" s="264"/>
      <x:c r="H800" s="267"/>
      <x:c r="I800" s="3"/>
      <x:c r="J800" s="3"/>
      <x:c r="K800" s="269"/>
      <x:c r="L800" s="270"/>
      <x:c r="M800" s="270"/>
      <x:c r="N800" s="3"/>
      <x:c r="O800" s="269"/>
      <x:c r="P800" s="271"/>
      <x:c r="Q800" s="272"/>
    </x:row>
    <x:row r="801" ht="12.75">
      <x:c r="A801" s="3"/>
      <x:c r="B801" s="264"/>
      <x:c r="C801" s="127"/>
      <x:c r="D801" s="127"/>
      <x:c r="E801" s="265"/>
      <x:c r="F801" s="266"/>
      <x:c r="G801" s="264"/>
      <x:c r="H801" s="267"/>
      <x:c r="I801" s="3"/>
      <x:c r="J801" s="3"/>
      <x:c r="K801" s="269"/>
      <x:c r="L801" s="270"/>
      <x:c r="M801" s="270"/>
      <x:c r="N801" s="3"/>
      <x:c r="O801" s="269"/>
      <x:c r="P801" s="271"/>
      <x:c r="Q801" s="272"/>
    </x:row>
    <x:row r="802" ht="12.75">
      <x:c r="A802" s="3"/>
      <x:c r="B802" s="264"/>
      <x:c r="C802" s="127"/>
      <x:c r="D802" s="127"/>
      <x:c r="E802" s="265"/>
      <x:c r="F802" s="266"/>
      <x:c r="G802" s="264"/>
      <x:c r="H802" s="267"/>
      <x:c r="I802" s="3"/>
      <x:c r="J802" s="3"/>
      <x:c r="K802" s="269"/>
      <x:c r="L802" s="270"/>
      <x:c r="M802" s="270"/>
      <x:c r="N802" s="3"/>
      <x:c r="O802" s="269"/>
      <x:c r="P802" s="271"/>
      <x:c r="Q802" s="272"/>
    </x:row>
    <x:row r="803" ht="12.75">
      <x:c r="A803" s="3"/>
      <x:c r="B803" s="264"/>
      <x:c r="C803" s="127"/>
      <x:c r="D803" s="127"/>
      <x:c r="E803" s="265"/>
      <x:c r="F803" s="266"/>
      <x:c r="G803" s="264"/>
      <x:c r="H803" s="267"/>
      <x:c r="I803" s="3"/>
      <x:c r="J803" s="3"/>
      <x:c r="K803" s="269"/>
      <x:c r="L803" s="270"/>
      <x:c r="M803" s="270"/>
      <x:c r="N803" s="3"/>
      <x:c r="O803" s="269"/>
      <x:c r="P803" s="271"/>
      <x:c r="Q803" s="272"/>
    </x:row>
    <x:row r="804" ht="12.75">
      <x:c r="A804" s="3"/>
      <x:c r="B804" s="264"/>
      <x:c r="C804" s="127"/>
      <x:c r="D804" s="127"/>
      <x:c r="E804" s="265"/>
      <x:c r="F804" s="266"/>
      <x:c r="G804" s="264"/>
      <x:c r="H804" s="267"/>
      <x:c r="I804" s="3"/>
      <x:c r="J804" s="3"/>
      <x:c r="K804" s="269"/>
      <x:c r="L804" s="270"/>
      <x:c r="M804" s="270"/>
      <x:c r="N804" s="3"/>
      <x:c r="O804" s="269"/>
      <x:c r="P804" s="271"/>
      <x:c r="Q804" s="272"/>
    </x:row>
    <x:row r="805" ht="12.75">
      <x:c r="A805" s="3"/>
      <x:c r="B805" s="264"/>
      <x:c r="C805" s="127"/>
      <x:c r="D805" s="127"/>
      <x:c r="E805" s="265"/>
      <x:c r="F805" s="266"/>
      <x:c r="G805" s="264"/>
      <x:c r="H805" s="267"/>
      <x:c r="I805" s="3"/>
      <x:c r="J805" s="3"/>
      <x:c r="K805" s="269"/>
      <x:c r="L805" s="270"/>
      <x:c r="M805" s="270"/>
      <x:c r="N805" s="3"/>
      <x:c r="O805" s="269"/>
      <x:c r="P805" s="271"/>
      <x:c r="Q805" s="272"/>
    </x:row>
    <x:row r="806" ht="12.75">
      <x:c r="A806" s="3"/>
      <x:c r="B806" s="264"/>
      <x:c r="C806" s="127"/>
      <x:c r="D806" s="127"/>
      <x:c r="E806" s="265"/>
      <x:c r="F806" s="266"/>
      <x:c r="G806" s="264"/>
      <x:c r="H806" s="267"/>
      <x:c r="I806" s="3"/>
      <x:c r="J806" s="3"/>
      <x:c r="K806" s="269"/>
      <x:c r="L806" s="270"/>
      <x:c r="M806" s="270"/>
      <x:c r="N806" s="3"/>
      <x:c r="O806" s="269"/>
      <x:c r="P806" s="271"/>
      <x:c r="Q806" s="272"/>
    </x:row>
    <x:row r="807" ht="12.75">
      <x:c r="A807" s="3"/>
      <x:c r="B807" s="264"/>
      <x:c r="C807" s="127"/>
      <x:c r="D807" s="127"/>
      <x:c r="E807" s="265"/>
      <x:c r="F807" s="266"/>
      <x:c r="G807" s="264"/>
      <x:c r="H807" s="267"/>
      <x:c r="I807" s="3"/>
      <x:c r="J807" s="3"/>
      <x:c r="K807" s="269"/>
      <x:c r="L807" s="270"/>
      <x:c r="M807" s="270"/>
      <x:c r="N807" s="3"/>
      <x:c r="O807" s="269"/>
      <x:c r="P807" s="271"/>
      <x:c r="Q807" s="272"/>
    </x:row>
    <x:row r="808" ht="12.75">
      <x:c r="A808" s="3"/>
      <x:c r="B808" s="264"/>
      <x:c r="C808" s="127"/>
      <x:c r="D808" s="127"/>
      <x:c r="E808" s="265"/>
      <x:c r="F808" s="266"/>
      <x:c r="G808" s="264"/>
      <x:c r="H808" s="267"/>
      <x:c r="I808" s="3"/>
      <x:c r="J808" s="3"/>
      <x:c r="K808" s="269"/>
      <x:c r="L808" s="270"/>
      <x:c r="M808" s="270"/>
      <x:c r="N808" s="3"/>
      <x:c r="O808" s="269"/>
      <x:c r="P808" s="271"/>
      <x:c r="Q808" s="272"/>
    </x:row>
    <x:row r="809" ht="12.75">
      <x:c r="A809" s="3"/>
      <x:c r="B809" s="264"/>
      <x:c r="C809" s="127"/>
      <x:c r="D809" s="127"/>
      <x:c r="E809" s="265"/>
      <x:c r="F809" s="266"/>
      <x:c r="G809" s="264"/>
      <x:c r="H809" s="267"/>
      <x:c r="I809" s="3"/>
      <x:c r="J809" s="3"/>
      <x:c r="K809" s="269"/>
      <x:c r="L809" s="270"/>
      <x:c r="M809" s="270"/>
      <x:c r="N809" s="3"/>
      <x:c r="O809" s="269"/>
      <x:c r="P809" s="271"/>
      <x:c r="Q809" s="272"/>
    </x:row>
    <x:row r="810" ht="12.75">
      <x:c r="A810" s="3"/>
      <x:c r="B810" s="264"/>
      <x:c r="C810" s="127"/>
      <x:c r="D810" s="127"/>
      <x:c r="E810" s="265"/>
      <x:c r="F810" s="266"/>
      <x:c r="G810" s="264"/>
      <x:c r="H810" s="267"/>
      <x:c r="I810" s="3"/>
      <x:c r="J810" s="3"/>
      <x:c r="K810" s="269"/>
      <x:c r="L810" s="270"/>
      <x:c r="M810" s="270"/>
      <x:c r="N810" s="3"/>
      <x:c r="O810" s="269"/>
      <x:c r="P810" s="271"/>
      <x:c r="Q810" s="272"/>
    </x:row>
    <x:row r="811" ht="12.75">
      <x:c r="A811" s="3"/>
      <x:c r="B811" s="264"/>
      <x:c r="C811" s="127"/>
      <x:c r="D811" s="127"/>
      <x:c r="E811" s="265"/>
      <x:c r="F811" s="266"/>
      <x:c r="G811" s="264"/>
      <x:c r="H811" s="267"/>
      <x:c r="I811" s="3"/>
      <x:c r="J811" s="3"/>
      <x:c r="K811" s="269"/>
      <x:c r="L811" s="270"/>
      <x:c r="M811" s="270"/>
      <x:c r="N811" s="3"/>
      <x:c r="O811" s="269"/>
      <x:c r="P811" s="271"/>
      <x:c r="Q811" s="272"/>
    </x:row>
    <x:row r="812" ht="12.75">
      <x:c r="A812" s="3"/>
      <x:c r="B812" s="264"/>
      <x:c r="C812" s="127"/>
      <x:c r="D812" s="127"/>
      <x:c r="E812" s="265"/>
      <x:c r="F812" s="266"/>
      <x:c r="G812" s="264"/>
      <x:c r="H812" s="267"/>
      <x:c r="I812" s="3"/>
      <x:c r="J812" s="3"/>
      <x:c r="K812" s="269"/>
      <x:c r="L812" s="270"/>
      <x:c r="M812" s="270"/>
      <x:c r="N812" s="3"/>
      <x:c r="O812" s="269"/>
      <x:c r="P812" s="271"/>
      <x:c r="Q812" s="272"/>
    </x:row>
    <x:row r="813" ht="12.75">
      <x:c r="A813" s="3"/>
      <x:c r="B813" s="264"/>
      <x:c r="C813" s="127"/>
      <x:c r="D813" s="127"/>
      <x:c r="E813" s="265"/>
      <x:c r="F813" s="266"/>
      <x:c r="G813" s="264"/>
      <x:c r="H813" s="267"/>
      <x:c r="I813" s="3"/>
      <x:c r="J813" s="3"/>
      <x:c r="K813" s="269"/>
      <x:c r="L813" s="270"/>
      <x:c r="M813" s="270"/>
      <x:c r="N813" s="3"/>
      <x:c r="O813" s="269"/>
      <x:c r="P813" s="271"/>
      <x:c r="Q813" s="272"/>
    </x:row>
    <x:row r="814" ht="12.75">
      <x:c r="A814" s="3"/>
      <x:c r="B814" s="264"/>
      <x:c r="C814" s="127"/>
      <x:c r="D814" s="127"/>
      <x:c r="E814" s="265"/>
      <x:c r="F814" s="266"/>
      <x:c r="G814" s="264"/>
      <x:c r="H814" s="267"/>
      <x:c r="I814" s="3"/>
      <x:c r="J814" s="3"/>
      <x:c r="K814" s="269"/>
      <x:c r="L814" s="270"/>
      <x:c r="M814" s="270"/>
      <x:c r="N814" s="3"/>
      <x:c r="O814" s="269"/>
      <x:c r="P814" s="271"/>
      <x:c r="Q814" s="272"/>
    </x:row>
    <x:row r="815" ht="12.75">
      <x:c r="A815" s="3"/>
      <x:c r="B815" s="264"/>
      <x:c r="C815" s="127"/>
      <x:c r="D815" s="127"/>
      <x:c r="E815" s="265"/>
      <x:c r="F815" s="266"/>
      <x:c r="G815" s="264"/>
      <x:c r="H815" s="267"/>
      <x:c r="I815" s="3"/>
      <x:c r="J815" s="3"/>
      <x:c r="K815" s="269"/>
      <x:c r="L815" s="270"/>
      <x:c r="M815" s="270"/>
      <x:c r="N815" s="3"/>
      <x:c r="O815" s="269"/>
      <x:c r="P815" s="271"/>
      <x:c r="Q815" s="272"/>
    </x:row>
    <x:row r="816" ht="12.75">
      <x:c r="A816" s="3"/>
      <x:c r="B816" s="264"/>
      <x:c r="C816" s="127"/>
      <x:c r="D816" s="127"/>
      <x:c r="E816" s="265"/>
      <x:c r="F816" s="266"/>
      <x:c r="G816" s="264"/>
      <x:c r="H816" s="267"/>
      <x:c r="I816" s="3"/>
      <x:c r="J816" s="3"/>
      <x:c r="K816" s="269"/>
      <x:c r="L816" s="270"/>
      <x:c r="M816" s="270"/>
      <x:c r="N816" s="3"/>
      <x:c r="O816" s="269"/>
      <x:c r="P816" s="271"/>
      <x:c r="Q816" s="272"/>
    </x:row>
    <x:row r="817" ht="12.75">
      <x:c r="A817" s="3"/>
      <x:c r="B817" s="264"/>
      <x:c r="C817" s="127"/>
      <x:c r="D817" s="127"/>
      <x:c r="E817" s="265"/>
      <x:c r="F817" s="266"/>
      <x:c r="G817" s="264"/>
      <x:c r="H817" s="267"/>
      <x:c r="I817" s="3"/>
      <x:c r="J817" s="3"/>
      <x:c r="K817" s="269"/>
      <x:c r="L817" s="270"/>
      <x:c r="M817" s="270"/>
      <x:c r="N817" s="3"/>
      <x:c r="O817" s="269"/>
      <x:c r="P817" s="271"/>
      <x:c r="Q817" s="272"/>
    </x:row>
    <x:row r="818" ht="12.75">
      <x:c r="A818" s="3"/>
      <x:c r="B818" s="264"/>
      <x:c r="C818" s="127"/>
      <x:c r="D818" s="127"/>
      <x:c r="E818" s="265"/>
      <x:c r="F818" s="266"/>
      <x:c r="G818" s="264"/>
      <x:c r="H818" s="267"/>
      <x:c r="I818" s="3"/>
      <x:c r="J818" s="3"/>
      <x:c r="K818" s="269"/>
      <x:c r="L818" s="270"/>
      <x:c r="M818" s="270"/>
      <x:c r="N818" s="3"/>
      <x:c r="O818" s="269"/>
      <x:c r="P818" s="271"/>
      <x:c r="Q818" s="272"/>
    </x:row>
    <x:row r="819" ht="12.75">
      <x:c r="A819" s="3"/>
      <x:c r="B819" s="264"/>
      <x:c r="C819" s="127"/>
      <x:c r="D819" s="127"/>
      <x:c r="E819" s="265"/>
      <x:c r="F819" s="266"/>
      <x:c r="G819" s="264"/>
      <x:c r="H819" s="267"/>
      <x:c r="I819" s="3"/>
      <x:c r="J819" s="3"/>
      <x:c r="K819" s="269"/>
      <x:c r="L819" s="270"/>
      <x:c r="M819" s="270"/>
      <x:c r="N819" s="3"/>
      <x:c r="O819" s="269"/>
      <x:c r="P819" s="271"/>
      <x:c r="Q819" s="272"/>
    </x:row>
    <x:row r="820" ht="12.75">
      <x:c r="A820" s="3"/>
      <x:c r="B820" s="264"/>
      <x:c r="C820" s="127"/>
      <x:c r="D820" s="127"/>
      <x:c r="E820" s="265"/>
      <x:c r="F820" s="266"/>
      <x:c r="G820" s="264"/>
      <x:c r="H820" s="267"/>
      <x:c r="I820" s="3"/>
      <x:c r="J820" s="3"/>
      <x:c r="K820" s="269"/>
      <x:c r="L820" s="270"/>
      <x:c r="M820" s="270"/>
      <x:c r="N820" s="3"/>
      <x:c r="O820" s="269"/>
      <x:c r="P820" s="271"/>
      <x:c r="Q820" s="272"/>
    </x:row>
    <x:row r="821" ht="12.75">
      <x:c r="A821" s="3"/>
      <x:c r="B821" s="264"/>
      <x:c r="C821" s="127"/>
      <x:c r="D821" s="127"/>
      <x:c r="E821" s="265"/>
      <x:c r="F821" s="266"/>
      <x:c r="G821" s="264"/>
      <x:c r="H821" s="267"/>
      <x:c r="I821" s="3"/>
      <x:c r="J821" s="3"/>
      <x:c r="K821" s="269"/>
      <x:c r="L821" s="270"/>
      <x:c r="M821" s="270"/>
      <x:c r="N821" s="3"/>
      <x:c r="O821" s="269"/>
      <x:c r="P821" s="271"/>
      <x:c r="Q821" s="272"/>
    </x:row>
    <x:row r="822" ht="12.75">
      <x:c r="A822" s="3"/>
      <x:c r="B822" s="264"/>
      <x:c r="C822" s="127"/>
      <x:c r="D822" s="127"/>
      <x:c r="E822" s="265"/>
      <x:c r="F822" s="266"/>
      <x:c r="G822" s="264"/>
      <x:c r="H822" s="267"/>
      <x:c r="I822" s="3"/>
      <x:c r="J822" s="3"/>
      <x:c r="K822" s="269"/>
      <x:c r="L822" s="270"/>
      <x:c r="M822" s="270"/>
      <x:c r="N822" s="3"/>
      <x:c r="O822" s="269"/>
      <x:c r="P822" s="271"/>
      <x:c r="Q822" s="272"/>
    </x:row>
    <x:row r="823" ht="12.75">
      <x:c r="A823" s="3"/>
      <x:c r="B823" s="264"/>
      <x:c r="C823" s="127"/>
      <x:c r="D823" s="127"/>
      <x:c r="E823" s="265"/>
      <x:c r="F823" s="266"/>
      <x:c r="G823" s="264"/>
      <x:c r="H823" s="267"/>
      <x:c r="I823" s="3"/>
      <x:c r="J823" s="3"/>
      <x:c r="K823" s="269"/>
      <x:c r="L823" s="270"/>
      <x:c r="M823" s="270"/>
      <x:c r="N823" s="3"/>
      <x:c r="O823" s="269"/>
      <x:c r="P823" s="271"/>
      <x:c r="Q823" s="272"/>
    </x:row>
    <x:row r="824" ht="12.75">
      <x:c r="A824" s="3"/>
      <x:c r="B824" s="264"/>
      <x:c r="C824" s="127"/>
      <x:c r="D824" s="127"/>
      <x:c r="E824" s="265"/>
      <x:c r="F824" s="266"/>
      <x:c r="G824" s="264"/>
      <x:c r="H824" s="267"/>
      <x:c r="I824" s="3"/>
      <x:c r="J824" s="3"/>
      <x:c r="K824" s="269"/>
      <x:c r="L824" s="270"/>
      <x:c r="M824" s="270"/>
      <x:c r="N824" s="3"/>
      <x:c r="O824" s="269"/>
      <x:c r="P824" s="271"/>
      <x:c r="Q824" s="272"/>
    </x:row>
    <x:row r="825" ht="12.75">
      <x:c r="A825" s="3"/>
      <x:c r="B825" s="264"/>
      <x:c r="C825" s="127"/>
      <x:c r="D825" s="127"/>
      <x:c r="E825" s="265"/>
      <x:c r="F825" s="266"/>
      <x:c r="G825" s="264"/>
      <x:c r="H825" s="267"/>
      <x:c r="I825" s="3"/>
      <x:c r="J825" s="3"/>
      <x:c r="K825" s="269"/>
      <x:c r="L825" s="270"/>
      <x:c r="M825" s="270"/>
      <x:c r="N825" s="3"/>
      <x:c r="O825" s="269"/>
      <x:c r="P825" s="271"/>
      <x:c r="Q825" s="272"/>
    </x:row>
    <x:row r="826" ht="12.75">
      <x:c r="A826" s="3"/>
      <x:c r="B826" s="264"/>
      <x:c r="C826" s="127"/>
      <x:c r="D826" s="127"/>
      <x:c r="E826" s="265"/>
      <x:c r="F826" s="266"/>
      <x:c r="G826" s="264"/>
      <x:c r="H826" s="267"/>
      <x:c r="I826" s="3"/>
      <x:c r="J826" s="3"/>
      <x:c r="K826" s="269"/>
      <x:c r="L826" s="270"/>
      <x:c r="M826" s="270"/>
      <x:c r="N826" s="3"/>
      <x:c r="O826" s="269"/>
      <x:c r="P826" s="271"/>
      <x:c r="Q826" s="272"/>
    </x:row>
    <x:row r="827" ht="12.75">
      <x:c r="A827" s="3"/>
      <x:c r="B827" s="264"/>
      <x:c r="C827" s="127"/>
      <x:c r="D827" s="127"/>
      <x:c r="E827" s="265"/>
      <x:c r="F827" s="266"/>
      <x:c r="G827" s="264"/>
      <x:c r="H827" s="267"/>
      <x:c r="I827" s="3"/>
      <x:c r="J827" s="3"/>
      <x:c r="K827" s="269"/>
      <x:c r="L827" s="270"/>
      <x:c r="M827" s="270"/>
      <x:c r="N827" s="3"/>
      <x:c r="O827" s="269"/>
      <x:c r="P827" s="271"/>
      <x:c r="Q827" s="272"/>
    </x:row>
    <x:row r="828" ht="12.75">
      <x:c r="A828" s="3"/>
      <x:c r="B828" s="264"/>
      <x:c r="C828" s="127"/>
      <x:c r="D828" s="127"/>
      <x:c r="E828" s="265"/>
      <x:c r="F828" s="266"/>
      <x:c r="G828" s="264"/>
      <x:c r="H828" s="267"/>
      <x:c r="I828" s="3"/>
      <x:c r="J828" s="3"/>
      <x:c r="K828" s="269"/>
      <x:c r="L828" s="270"/>
      <x:c r="M828" s="270"/>
      <x:c r="N828" s="3"/>
      <x:c r="O828" s="269"/>
      <x:c r="P828" s="271"/>
      <x:c r="Q828" s="272"/>
    </x:row>
    <x:row r="829" ht="12.75">
      <x:c r="A829" s="3"/>
      <x:c r="B829" s="264"/>
      <x:c r="C829" s="127"/>
      <x:c r="D829" s="127"/>
      <x:c r="E829" s="265"/>
      <x:c r="F829" s="266"/>
      <x:c r="G829" s="264"/>
      <x:c r="H829" s="267"/>
      <x:c r="I829" s="3"/>
      <x:c r="J829" s="3"/>
      <x:c r="K829" s="269"/>
      <x:c r="L829" s="270"/>
      <x:c r="M829" s="270"/>
      <x:c r="N829" s="3"/>
      <x:c r="O829" s="269"/>
      <x:c r="P829" s="271"/>
      <x:c r="Q829" s="272"/>
    </x:row>
    <x:row r="830" ht="12.75">
      <x:c r="A830" s="3"/>
      <x:c r="B830" s="264"/>
      <x:c r="C830" s="127"/>
      <x:c r="D830" s="127"/>
      <x:c r="E830" s="265"/>
      <x:c r="F830" s="266"/>
      <x:c r="G830" s="264"/>
      <x:c r="H830" s="267"/>
      <x:c r="I830" s="3"/>
      <x:c r="J830" s="3"/>
      <x:c r="K830" s="269"/>
      <x:c r="L830" s="270"/>
      <x:c r="M830" s="270"/>
      <x:c r="N830" s="3"/>
      <x:c r="O830" s="269"/>
      <x:c r="P830" s="271"/>
      <x:c r="Q830" s="272"/>
    </x:row>
    <x:row r="831" ht="12.75">
      <x:c r="A831" s="3"/>
      <x:c r="B831" s="264"/>
      <x:c r="C831" s="127"/>
      <x:c r="D831" s="127"/>
      <x:c r="E831" s="265"/>
      <x:c r="F831" s="266"/>
      <x:c r="G831" s="264"/>
      <x:c r="H831" s="267"/>
      <x:c r="I831" s="3"/>
      <x:c r="J831" s="3"/>
      <x:c r="K831" s="269"/>
      <x:c r="L831" s="270"/>
      <x:c r="M831" s="270"/>
      <x:c r="N831" s="3"/>
      <x:c r="O831" s="269"/>
      <x:c r="P831" s="271"/>
      <x:c r="Q831" s="272"/>
    </x:row>
    <x:row r="832" ht="12.75">
      <x:c r="A832" s="3"/>
      <x:c r="B832" s="264"/>
      <x:c r="C832" s="127"/>
      <x:c r="D832" s="127"/>
      <x:c r="E832" s="265"/>
      <x:c r="F832" s="266"/>
      <x:c r="G832" s="264"/>
      <x:c r="H832" s="267"/>
      <x:c r="I832" s="3"/>
      <x:c r="J832" s="3"/>
      <x:c r="K832" s="269"/>
      <x:c r="L832" s="270"/>
      <x:c r="M832" s="270"/>
      <x:c r="N832" s="3"/>
      <x:c r="O832" s="269"/>
      <x:c r="P832" s="271"/>
      <x:c r="Q832" s="272"/>
    </x:row>
    <x:row r="833" ht="12.75">
      <x:c r="A833" s="3"/>
      <x:c r="B833" s="264"/>
      <x:c r="C833" s="127"/>
      <x:c r="D833" s="127"/>
      <x:c r="E833" s="265"/>
      <x:c r="F833" s="266"/>
      <x:c r="G833" s="264"/>
      <x:c r="H833" s="267"/>
      <x:c r="I833" s="3"/>
      <x:c r="J833" s="3"/>
      <x:c r="K833" s="269"/>
      <x:c r="L833" s="270"/>
      <x:c r="M833" s="270"/>
      <x:c r="N833" s="3"/>
      <x:c r="O833" s="269"/>
      <x:c r="P833" s="271"/>
      <x:c r="Q833" s="272"/>
    </x:row>
    <x:row r="834" ht="12.75">
      <x:c r="A834" s="3"/>
      <x:c r="B834" s="264"/>
      <x:c r="C834" s="127"/>
      <x:c r="D834" s="127"/>
      <x:c r="E834" s="265"/>
      <x:c r="F834" s="266"/>
      <x:c r="G834" s="264"/>
      <x:c r="H834" s="267"/>
      <x:c r="I834" s="3"/>
      <x:c r="J834" s="3"/>
      <x:c r="K834" s="269"/>
      <x:c r="L834" s="270"/>
      <x:c r="M834" s="270"/>
      <x:c r="N834" s="3"/>
      <x:c r="O834" s="269"/>
      <x:c r="P834" s="271"/>
      <x:c r="Q834" s="272"/>
    </x:row>
    <x:row r="835" ht="12.75">
      <x:c r="A835" s="3"/>
      <x:c r="B835" s="264"/>
      <x:c r="C835" s="127"/>
      <x:c r="D835" s="127"/>
      <x:c r="E835" s="265"/>
      <x:c r="F835" s="266"/>
      <x:c r="G835" s="264"/>
      <x:c r="H835" s="267"/>
      <x:c r="I835" s="3"/>
      <x:c r="J835" s="3"/>
      <x:c r="K835" s="269"/>
      <x:c r="L835" s="270"/>
      <x:c r="M835" s="270"/>
      <x:c r="N835" s="3"/>
      <x:c r="O835" s="269"/>
      <x:c r="P835" s="271"/>
      <x:c r="Q835" s="272"/>
    </x:row>
    <x:row r="836" ht="12.75">
      <x:c r="A836" s="3"/>
      <x:c r="B836" s="264"/>
      <x:c r="C836" s="127"/>
      <x:c r="D836" s="127"/>
      <x:c r="E836" s="265"/>
      <x:c r="F836" s="266"/>
      <x:c r="G836" s="264"/>
      <x:c r="H836" s="267"/>
      <x:c r="I836" s="3"/>
      <x:c r="J836" s="3"/>
      <x:c r="K836" s="269"/>
      <x:c r="L836" s="270"/>
      <x:c r="M836" s="270"/>
      <x:c r="N836" s="3"/>
      <x:c r="O836" s="269"/>
      <x:c r="P836" s="271"/>
      <x:c r="Q836" s="272"/>
    </x:row>
    <x:row r="837" ht="12.75">
      <x:c r="A837" s="3"/>
      <x:c r="B837" s="264"/>
      <x:c r="C837" s="127"/>
      <x:c r="D837" s="127"/>
      <x:c r="E837" s="265"/>
      <x:c r="F837" s="266"/>
      <x:c r="G837" s="264"/>
      <x:c r="H837" s="267"/>
      <x:c r="I837" s="3"/>
      <x:c r="J837" s="3"/>
      <x:c r="K837" s="269"/>
      <x:c r="L837" s="270"/>
      <x:c r="M837" s="270"/>
      <x:c r="N837" s="3"/>
      <x:c r="O837" s="269"/>
      <x:c r="P837" s="271"/>
      <x:c r="Q837" s="272"/>
    </x:row>
    <x:row r="838" ht="12.75">
      <x:c r="A838" s="3"/>
      <x:c r="B838" s="264"/>
      <x:c r="C838" s="127"/>
      <x:c r="D838" s="127"/>
      <x:c r="E838" s="265"/>
      <x:c r="F838" s="266"/>
      <x:c r="G838" s="264"/>
      <x:c r="H838" s="267"/>
      <x:c r="I838" s="3"/>
      <x:c r="J838" s="3"/>
      <x:c r="K838" s="269"/>
      <x:c r="L838" s="270"/>
      <x:c r="M838" s="270"/>
      <x:c r="N838" s="3"/>
      <x:c r="O838" s="269"/>
      <x:c r="P838" s="271"/>
      <x:c r="Q838" s="272"/>
    </x:row>
    <x:row r="839" ht="12.75">
      <x:c r="A839" s="3"/>
      <x:c r="B839" s="264"/>
      <x:c r="C839" s="127"/>
      <x:c r="D839" s="127"/>
      <x:c r="E839" s="265"/>
      <x:c r="F839" s="266"/>
      <x:c r="G839" s="264"/>
      <x:c r="H839" s="267"/>
      <x:c r="I839" s="3"/>
      <x:c r="J839" s="3"/>
      <x:c r="K839" s="269"/>
      <x:c r="L839" s="270"/>
      <x:c r="M839" s="270"/>
      <x:c r="N839" s="3"/>
      <x:c r="O839" s="269"/>
      <x:c r="P839" s="271"/>
      <x:c r="Q839" s="272"/>
    </x:row>
    <x:row r="840" ht="12.75">
      <x:c r="A840" s="3"/>
      <x:c r="B840" s="264"/>
      <x:c r="C840" s="127"/>
      <x:c r="D840" s="127"/>
      <x:c r="E840" s="265"/>
      <x:c r="F840" s="266"/>
      <x:c r="G840" s="264"/>
      <x:c r="H840" s="267"/>
      <x:c r="I840" s="3"/>
      <x:c r="J840" s="3"/>
      <x:c r="K840" s="269"/>
      <x:c r="L840" s="270"/>
      <x:c r="M840" s="270"/>
      <x:c r="N840" s="3"/>
      <x:c r="O840" s="269"/>
      <x:c r="P840" s="271"/>
      <x:c r="Q840" s="272"/>
    </x:row>
    <x:row r="841" ht="12.75">
      <x:c r="A841" s="3"/>
      <x:c r="B841" s="264"/>
      <x:c r="C841" s="127"/>
      <x:c r="D841" s="127"/>
      <x:c r="E841" s="265"/>
      <x:c r="F841" s="266"/>
      <x:c r="G841" s="264"/>
      <x:c r="H841" s="267"/>
      <x:c r="I841" s="3"/>
      <x:c r="J841" s="3"/>
      <x:c r="K841" s="269"/>
      <x:c r="L841" s="270"/>
      <x:c r="M841" s="270"/>
      <x:c r="N841" s="3"/>
      <x:c r="O841" s="269"/>
      <x:c r="P841" s="271"/>
      <x:c r="Q841" s="272"/>
    </x:row>
    <x:row r="842" ht="12.75">
      <x:c r="A842" s="3"/>
      <x:c r="B842" s="264"/>
      <x:c r="C842" s="127"/>
      <x:c r="D842" s="127"/>
      <x:c r="E842" s="265"/>
      <x:c r="F842" s="266"/>
      <x:c r="G842" s="264"/>
      <x:c r="H842" s="267"/>
      <x:c r="I842" s="3"/>
      <x:c r="J842" s="3"/>
      <x:c r="K842" s="269"/>
      <x:c r="L842" s="270"/>
      <x:c r="M842" s="270"/>
      <x:c r="N842" s="3"/>
      <x:c r="O842" s="269"/>
      <x:c r="P842" s="271"/>
      <x:c r="Q842" s="272"/>
    </x:row>
    <x:row r="843" ht="12.75">
      <x:c r="A843" s="3"/>
      <x:c r="B843" s="264"/>
      <x:c r="C843" s="127"/>
      <x:c r="D843" s="127"/>
      <x:c r="E843" s="265"/>
      <x:c r="F843" s="266"/>
      <x:c r="G843" s="264"/>
      <x:c r="H843" s="267"/>
      <x:c r="I843" s="3"/>
      <x:c r="J843" s="3"/>
      <x:c r="K843" s="269"/>
      <x:c r="L843" s="270"/>
      <x:c r="M843" s="270"/>
      <x:c r="N843" s="3"/>
      <x:c r="O843" s="269"/>
      <x:c r="P843" s="271"/>
      <x:c r="Q843" s="272"/>
    </x:row>
    <x:row r="844" ht="12.75">
      <x:c r="A844" s="3"/>
      <x:c r="B844" s="264"/>
      <x:c r="C844" s="127"/>
      <x:c r="D844" s="127"/>
      <x:c r="E844" s="265"/>
      <x:c r="F844" s="266"/>
      <x:c r="G844" s="264"/>
      <x:c r="H844" s="267"/>
      <x:c r="I844" s="3"/>
      <x:c r="J844" s="3"/>
      <x:c r="K844" s="269"/>
      <x:c r="L844" s="270"/>
      <x:c r="M844" s="270"/>
      <x:c r="N844" s="3"/>
      <x:c r="O844" s="269"/>
      <x:c r="P844" s="271"/>
      <x:c r="Q844" s="272"/>
    </x:row>
    <x:row r="845" ht="12.75">
      <x:c r="A845" s="3"/>
      <x:c r="B845" s="264"/>
      <x:c r="C845" s="127"/>
      <x:c r="D845" s="127"/>
      <x:c r="E845" s="265"/>
      <x:c r="F845" s="266"/>
      <x:c r="G845" s="264"/>
      <x:c r="H845" s="267"/>
      <x:c r="I845" s="3"/>
      <x:c r="J845" s="3"/>
      <x:c r="K845" s="269"/>
      <x:c r="L845" s="270"/>
      <x:c r="M845" s="270"/>
      <x:c r="N845" s="3"/>
      <x:c r="O845" s="269"/>
      <x:c r="P845" s="271"/>
      <x:c r="Q845" s="272"/>
    </x:row>
    <x:row r="846" ht="12.75">
      <x:c r="A846" s="3"/>
      <x:c r="B846" s="264"/>
      <x:c r="C846" s="127"/>
      <x:c r="D846" s="127"/>
      <x:c r="E846" s="265"/>
      <x:c r="F846" s="266"/>
      <x:c r="G846" s="264"/>
      <x:c r="H846" s="267"/>
      <x:c r="I846" s="3"/>
      <x:c r="J846" s="3"/>
      <x:c r="K846" s="269"/>
      <x:c r="L846" s="270"/>
      <x:c r="M846" s="270"/>
      <x:c r="N846" s="3"/>
      <x:c r="O846" s="269"/>
      <x:c r="P846" s="271"/>
      <x:c r="Q846" s="272"/>
    </x:row>
    <x:row r="847" ht="12.75">
      <x:c r="A847" s="3"/>
      <x:c r="B847" s="264"/>
      <x:c r="C847" s="127"/>
      <x:c r="D847" s="127"/>
      <x:c r="E847" s="265"/>
      <x:c r="F847" s="266"/>
      <x:c r="G847" s="264"/>
      <x:c r="H847" s="267"/>
      <x:c r="I847" s="3"/>
      <x:c r="J847" s="3"/>
      <x:c r="K847" s="269"/>
      <x:c r="L847" s="270"/>
      <x:c r="M847" s="270"/>
      <x:c r="N847" s="3"/>
      <x:c r="O847" s="269"/>
      <x:c r="P847" s="271"/>
      <x:c r="Q847" s="272"/>
    </x:row>
    <x:row r="848" ht="12.75">
      <x:c r="A848" s="3"/>
      <x:c r="B848" s="264"/>
      <x:c r="C848" s="127"/>
      <x:c r="D848" s="127"/>
      <x:c r="E848" s="265"/>
      <x:c r="F848" s="266"/>
      <x:c r="G848" s="264"/>
      <x:c r="H848" s="267"/>
      <x:c r="I848" s="3"/>
      <x:c r="J848" s="3"/>
      <x:c r="K848" s="269"/>
      <x:c r="L848" s="270"/>
      <x:c r="M848" s="270"/>
      <x:c r="N848" s="3"/>
      <x:c r="O848" s="269"/>
      <x:c r="P848" s="271"/>
      <x:c r="Q848" s="272"/>
    </x:row>
    <x:row r="849" ht="12.75">
      <x:c r="A849" s="3"/>
      <x:c r="B849" s="264"/>
      <x:c r="C849" s="127"/>
      <x:c r="D849" s="127"/>
      <x:c r="E849" s="265"/>
      <x:c r="F849" s="266"/>
      <x:c r="G849" s="264"/>
      <x:c r="H849" s="267"/>
      <x:c r="I849" s="3"/>
      <x:c r="J849" s="3"/>
      <x:c r="K849" s="269"/>
      <x:c r="L849" s="270"/>
      <x:c r="M849" s="270"/>
      <x:c r="N849" s="3"/>
      <x:c r="O849" s="269"/>
      <x:c r="P849" s="271"/>
      <x:c r="Q849" s="272"/>
    </x:row>
    <x:row r="850" ht="12.75">
      <x:c r="A850" s="3"/>
      <x:c r="B850" s="264"/>
      <x:c r="C850" s="127"/>
      <x:c r="D850" s="127"/>
      <x:c r="E850" s="265"/>
      <x:c r="F850" s="266"/>
      <x:c r="G850" s="264"/>
      <x:c r="H850" s="267"/>
      <x:c r="I850" s="3"/>
      <x:c r="J850" s="3"/>
      <x:c r="K850" s="269"/>
      <x:c r="L850" s="270"/>
      <x:c r="M850" s="270"/>
      <x:c r="N850" s="3"/>
      <x:c r="O850" s="269"/>
      <x:c r="P850" s="271"/>
      <x:c r="Q850" s="272"/>
    </x:row>
    <x:row r="851" ht="12.75">
      <x:c r="A851" s="3"/>
      <x:c r="B851" s="264"/>
      <x:c r="C851" s="127"/>
      <x:c r="D851" s="127"/>
      <x:c r="E851" s="265"/>
      <x:c r="F851" s="266"/>
      <x:c r="G851" s="264"/>
      <x:c r="H851" s="267"/>
      <x:c r="I851" s="3"/>
      <x:c r="J851" s="3"/>
      <x:c r="K851" s="269"/>
      <x:c r="L851" s="270"/>
      <x:c r="M851" s="270"/>
      <x:c r="N851" s="3"/>
      <x:c r="O851" s="269"/>
      <x:c r="P851" s="271"/>
      <x:c r="Q851" s="272"/>
    </x:row>
    <x:row r="852" ht="12.75">
      <x:c r="A852" s="3"/>
      <x:c r="B852" s="264"/>
      <x:c r="C852" s="127"/>
      <x:c r="D852" s="127"/>
      <x:c r="E852" s="265"/>
      <x:c r="F852" s="266"/>
      <x:c r="G852" s="264"/>
      <x:c r="H852" s="267"/>
      <x:c r="I852" s="3"/>
      <x:c r="J852" s="3"/>
      <x:c r="K852" s="269"/>
      <x:c r="L852" s="270"/>
      <x:c r="M852" s="270"/>
      <x:c r="N852" s="3"/>
      <x:c r="O852" s="269"/>
      <x:c r="P852" s="271"/>
      <x:c r="Q852" s="272"/>
    </x:row>
    <x:row r="853" ht="12.75">
      <x:c r="A853" s="3"/>
      <x:c r="B853" s="264"/>
      <x:c r="C853" s="127"/>
      <x:c r="D853" s="127"/>
      <x:c r="E853" s="265"/>
      <x:c r="F853" s="266"/>
      <x:c r="G853" s="264"/>
      <x:c r="H853" s="267"/>
      <x:c r="I853" s="3"/>
      <x:c r="J853" s="3"/>
      <x:c r="K853" s="269"/>
      <x:c r="L853" s="270"/>
      <x:c r="M853" s="270"/>
      <x:c r="N853" s="3"/>
      <x:c r="O853" s="269"/>
      <x:c r="P853" s="271"/>
      <x:c r="Q853" s="272"/>
    </x:row>
    <x:row r="854" ht="12.75">
      <x:c r="A854" s="3"/>
      <x:c r="B854" s="264"/>
      <x:c r="C854" s="127"/>
      <x:c r="D854" s="127"/>
      <x:c r="E854" s="265"/>
      <x:c r="F854" s="266"/>
      <x:c r="G854" s="264"/>
      <x:c r="H854" s="267"/>
      <x:c r="I854" s="3"/>
      <x:c r="J854" s="3"/>
      <x:c r="K854" s="269"/>
      <x:c r="L854" s="270"/>
      <x:c r="M854" s="270"/>
      <x:c r="N854" s="3"/>
      <x:c r="O854" s="269"/>
      <x:c r="P854" s="271"/>
      <x:c r="Q854" s="272"/>
    </x:row>
    <x:row r="855" ht="12.75">
      <x:c r="A855" s="3"/>
      <x:c r="B855" s="264"/>
      <x:c r="C855" s="127"/>
      <x:c r="D855" s="127"/>
      <x:c r="E855" s="265"/>
      <x:c r="F855" s="266"/>
      <x:c r="G855" s="264"/>
      <x:c r="H855" s="267"/>
      <x:c r="I855" s="3"/>
      <x:c r="J855" s="3"/>
      <x:c r="K855" s="269"/>
      <x:c r="L855" s="270"/>
      <x:c r="M855" s="270"/>
      <x:c r="N855" s="3"/>
      <x:c r="O855" s="269"/>
      <x:c r="P855" s="271"/>
      <x:c r="Q855" s="272"/>
    </x:row>
    <x:row r="856" ht="12.75">
      <x:c r="A856" s="3"/>
      <x:c r="B856" s="264"/>
      <x:c r="C856" s="127"/>
      <x:c r="D856" s="127"/>
      <x:c r="E856" s="265"/>
      <x:c r="F856" s="266"/>
      <x:c r="G856" s="264"/>
      <x:c r="H856" s="267"/>
      <x:c r="I856" s="3"/>
      <x:c r="J856" s="3"/>
      <x:c r="K856" s="269"/>
      <x:c r="L856" s="270"/>
      <x:c r="M856" s="270"/>
      <x:c r="N856" s="3"/>
      <x:c r="O856" s="269"/>
      <x:c r="P856" s="271"/>
      <x:c r="Q856" s="272"/>
    </x:row>
    <x:row r="857" ht="12.75">
      <x:c r="A857" s="3"/>
      <x:c r="B857" s="264"/>
      <x:c r="C857" s="127"/>
      <x:c r="D857" s="127"/>
      <x:c r="E857" s="265"/>
      <x:c r="F857" s="266"/>
      <x:c r="G857" s="264"/>
      <x:c r="H857" s="267"/>
      <x:c r="I857" s="3"/>
      <x:c r="J857" s="3"/>
      <x:c r="K857" s="269"/>
      <x:c r="L857" s="270"/>
      <x:c r="M857" s="270"/>
      <x:c r="N857" s="3"/>
      <x:c r="O857" s="269"/>
      <x:c r="P857" s="271"/>
      <x:c r="Q857" s="272"/>
    </x:row>
    <x:row r="858" ht="12.75">
      <x:c r="A858" s="3"/>
      <x:c r="B858" s="264"/>
      <x:c r="C858" s="127"/>
      <x:c r="D858" s="127"/>
      <x:c r="E858" s="265"/>
      <x:c r="F858" s="266"/>
      <x:c r="G858" s="264"/>
      <x:c r="H858" s="267"/>
      <x:c r="I858" s="3"/>
      <x:c r="J858" s="3"/>
      <x:c r="K858" s="269"/>
      <x:c r="L858" s="270"/>
      <x:c r="M858" s="270"/>
      <x:c r="N858" s="3"/>
      <x:c r="O858" s="269"/>
      <x:c r="P858" s="271"/>
      <x:c r="Q858" s="272"/>
    </x:row>
    <x:row r="859" ht="12.75">
      <x:c r="A859" s="3"/>
      <x:c r="B859" s="264"/>
      <x:c r="C859" s="127"/>
      <x:c r="D859" s="127"/>
      <x:c r="E859" s="265"/>
      <x:c r="F859" s="266"/>
      <x:c r="G859" s="264"/>
      <x:c r="H859" s="267"/>
      <x:c r="I859" s="3"/>
      <x:c r="J859" s="3"/>
      <x:c r="K859" s="269"/>
      <x:c r="L859" s="270"/>
      <x:c r="M859" s="270"/>
      <x:c r="N859" s="3"/>
      <x:c r="O859" s="269"/>
      <x:c r="P859" s="271"/>
      <x:c r="Q859" s="272"/>
    </x:row>
    <x:row r="860" ht="12.75">
      <x:c r="A860" s="3"/>
      <x:c r="B860" s="264"/>
      <x:c r="C860" s="127"/>
      <x:c r="D860" s="127"/>
      <x:c r="E860" s="265"/>
      <x:c r="F860" s="266"/>
      <x:c r="G860" s="264"/>
      <x:c r="H860" s="267"/>
      <x:c r="I860" s="3"/>
      <x:c r="J860" s="3"/>
      <x:c r="K860" s="269"/>
      <x:c r="L860" s="270"/>
      <x:c r="M860" s="270"/>
      <x:c r="N860" s="3"/>
      <x:c r="O860" s="269"/>
      <x:c r="P860" s="271"/>
      <x:c r="Q860" s="272"/>
    </x:row>
    <x:row r="861" ht="12.75">
      <x:c r="A861" s="3"/>
      <x:c r="B861" s="264"/>
      <x:c r="C861" s="127"/>
      <x:c r="D861" s="127"/>
      <x:c r="E861" s="265"/>
      <x:c r="F861" s="266"/>
      <x:c r="G861" s="264"/>
      <x:c r="H861" s="267"/>
      <x:c r="I861" s="3"/>
      <x:c r="J861" s="3"/>
      <x:c r="K861" s="269"/>
      <x:c r="L861" s="270"/>
      <x:c r="M861" s="270"/>
      <x:c r="N861" s="3"/>
      <x:c r="O861" s="269"/>
      <x:c r="P861" s="271"/>
      <x:c r="Q861" s="272"/>
    </x:row>
    <x:row r="862" ht="12.75">
      <x:c r="A862" s="3"/>
      <x:c r="B862" s="264"/>
      <x:c r="C862" s="127"/>
      <x:c r="D862" s="127"/>
      <x:c r="E862" s="265"/>
      <x:c r="F862" s="266"/>
      <x:c r="G862" s="264"/>
      <x:c r="H862" s="267"/>
      <x:c r="I862" s="3"/>
      <x:c r="J862" s="3"/>
      <x:c r="K862" s="269"/>
      <x:c r="L862" s="270"/>
      <x:c r="M862" s="270"/>
      <x:c r="N862" s="3"/>
      <x:c r="O862" s="269"/>
      <x:c r="P862" s="271"/>
      <x:c r="Q862" s="272"/>
    </x:row>
    <x:row r="863" ht="12.75">
      <x:c r="A863" s="3"/>
      <x:c r="B863" s="264"/>
      <x:c r="C863" s="127"/>
      <x:c r="D863" s="127"/>
      <x:c r="E863" s="265"/>
      <x:c r="F863" s="266"/>
      <x:c r="G863" s="264"/>
      <x:c r="H863" s="267"/>
      <x:c r="I863" s="3"/>
      <x:c r="J863" s="3"/>
      <x:c r="K863" s="269"/>
      <x:c r="L863" s="270"/>
      <x:c r="M863" s="270"/>
      <x:c r="N863" s="3"/>
      <x:c r="O863" s="269"/>
      <x:c r="P863" s="271"/>
      <x:c r="Q863" s="272"/>
    </x:row>
    <x:row r="864" ht="12.75">
      <x:c r="A864" s="3"/>
      <x:c r="B864" s="264"/>
      <x:c r="C864" s="127"/>
      <x:c r="D864" s="127"/>
      <x:c r="E864" s="265"/>
      <x:c r="F864" s="266"/>
      <x:c r="G864" s="264"/>
      <x:c r="H864" s="267"/>
      <x:c r="I864" s="3"/>
      <x:c r="J864" s="3"/>
      <x:c r="K864" s="269"/>
      <x:c r="L864" s="270"/>
      <x:c r="M864" s="270"/>
      <x:c r="N864" s="3"/>
      <x:c r="O864" s="269"/>
      <x:c r="P864" s="271"/>
      <x:c r="Q864" s="272"/>
    </x:row>
    <x:row r="865" ht="12.75">
      <x:c r="A865" s="3"/>
      <x:c r="B865" s="264"/>
      <x:c r="C865" s="127"/>
      <x:c r="D865" s="127"/>
      <x:c r="E865" s="265"/>
      <x:c r="F865" s="266"/>
      <x:c r="G865" s="264"/>
      <x:c r="H865" s="267"/>
      <x:c r="I865" s="3"/>
      <x:c r="J865" s="3"/>
      <x:c r="K865" s="269"/>
      <x:c r="L865" s="270"/>
      <x:c r="M865" s="270"/>
      <x:c r="N865" s="3"/>
      <x:c r="O865" s="269"/>
      <x:c r="P865" s="271"/>
      <x:c r="Q865" s="272"/>
    </x:row>
    <x:row r="866" ht="12.75">
      <x:c r="A866" s="3"/>
      <x:c r="B866" s="264"/>
      <x:c r="C866" s="127"/>
      <x:c r="D866" s="127"/>
      <x:c r="E866" s="265"/>
      <x:c r="F866" s="266"/>
      <x:c r="G866" s="264"/>
      <x:c r="H866" s="267"/>
      <x:c r="I866" s="3"/>
      <x:c r="J866" s="3"/>
      <x:c r="K866" s="269"/>
      <x:c r="L866" s="270"/>
      <x:c r="M866" s="270"/>
      <x:c r="N866" s="3"/>
      <x:c r="O866" s="269"/>
      <x:c r="P866" s="271"/>
      <x:c r="Q866" s="272"/>
    </x:row>
    <x:row r="867" ht="12.75">
      <x:c r="A867" s="3"/>
      <x:c r="B867" s="264"/>
      <x:c r="C867" s="127"/>
      <x:c r="D867" s="127"/>
      <x:c r="E867" s="265"/>
      <x:c r="F867" s="266"/>
      <x:c r="G867" s="264"/>
      <x:c r="H867" s="267"/>
      <x:c r="I867" s="3"/>
      <x:c r="J867" s="3"/>
      <x:c r="K867" s="269"/>
      <x:c r="L867" s="270"/>
      <x:c r="M867" s="270"/>
      <x:c r="N867" s="3"/>
      <x:c r="O867" s="269"/>
      <x:c r="P867" s="271"/>
      <x:c r="Q867" s="272"/>
    </x:row>
    <x:row r="868" ht="12.75">
      <x:c r="A868" s="3"/>
      <x:c r="B868" s="264"/>
      <x:c r="C868" s="127"/>
      <x:c r="D868" s="127"/>
      <x:c r="E868" s="265"/>
      <x:c r="F868" s="266"/>
      <x:c r="G868" s="264"/>
      <x:c r="H868" s="267"/>
      <x:c r="I868" s="3"/>
      <x:c r="J868" s="3"/>
      <x:c r="K868" s="269"/>
      <x:c r="L868" s="270"/>
      <x:c r="M868" s="270"/>
      <x:c r="N868" s="3"/>
      <x:c r="O868" s="269"/>
      <x:c r="P868" s="271"/>
      <x:c r="Q868" s="272"/>
    </x:row>
    <x:row r="869" ht="12.75">
      <x:c r="A869" s="3"/>
      <x:c r="B869" s="264"/>
      <x:c r="C869" s="127"/>
      <x:c r="D869" s="127"/>
      <x:c r="E869" s="265"/>
      <x:c r="F869" s="266"/>
      <x:c r="G869" s="264"/>
      <x:c r="H869" s="267"/>
      <x:c r="I869" s="3"/>
      <x:c r="J869" s="3"/>
      <x:c r="K869" s="269"/>
      <x:c r="L869" s="270"/>
      <x:c r="M869" s="270"/>
      <x:c r="N869" s="3"/>
      <x:c r="O869" s="269"/>
      <x:c r="P869" s="271"/>
      <x:c r="Q869" s="272"/>
    </x:row>
    <x:row r="870" ht="12.75">
      <x:c r="A870" s="3"/>
      <x:c r="B870" s="264"/>
      <x:c r="C870" s="127"/>
      <x:c r="D870" s="127"/>
      <x:c r="E870" s="265"/>
      <x:c r="F870" s="266"/>
      <x:c r="G870" s="264"/>
      <x:c r="H870" s="267"/>
      <x:c r="I870" s="3"/>
      <x:c r="J870" s="3"/>
      <x:c r="K870" s="269"/>
      <x:c r="L870" s="270"/>
      <x:c r="M870" s="270"/>
      <x:c r="N870" s="3"/>
      <x:c r="O870" s="269"/>
      <x:c r="P870" s="271"/>
      <x:c r="Q870" s="272"/>
    </x:row>
    <x:row r="871" ht="12.75">
      <x:c r="A871" s="3"/>
      <x:c r="B871" s="264"/>
      <x:c r="C871" s="127"/>
      <x:c r="D871" s="127"/>
      <x:c r="E871" s="265"/>
      <x:c r="F871" s="266"/>
      <x:c r="G871" s="264"/>
      <x:c r="H871" s="267"/>
      <x:c r="I871" s="3"/>
      <x:c r="J871" s="3"/>
      <x:c r="K871" s="269"/>
      <x:c r="L871" s="270"/>
      <x:c r="M871" s="270"/>
      <x:c r="N871" s="3"/>
      <x:c r="O871" s="269"/>
      <x:c r="P871" s="271"/>
      <x:c r="Q871" s="272"/>
    </x:row>
    <x:row r="872" ht="12.75">
      <x:c r="A872" s="3"/>
      <x:c r="B872" s="264"/>
      <x:c r="C872" s="127"/>
      <x:c r="D872" s="127"/>
      <x:c r="E872" s="265"/>
      <x:c r="F872" s="266"/>
      <x:c r="G872" s="264"/>
      <x:c r="H872" s="267"/>
      <x:c r="I872" s="3"/>
      <x:c r="J872" s="3"/>
      <x:c r="K872" s="269"/>
      <x:c r="L872" s="270"/>
      <x:c r="M872" s="270"/>
      <x:c r="N872" s="3"/>
      <x:c r="O872" s="269"/>
      <x:c r="P872" s="271"/>
      <x:c r="Q872" s="272"/>
    </x:row>
    <x:row r="873" ht="12.75">
      <x:c r="A873" s="3"/>
      <x:c r="B873" s="264"/>
      <x:c r="C873" s="127"/>
      <x:c r="D873" s="127"/>
      <x:c r="E873" s="265"/>
      <x:c r="F873" s="266"/>
      <x:c r="G873" s="264"/>
      <x:c r="H873" s="267"/>
      <x:c r="I873" s="3"/>
      <x:c r="J873" s="3"/>
      <x:c r="K873" s="269"/>
      <x:c r="L873" s="270"/>
      <x:c r="M873" s="270"/>
      <x:c r="N873" s="3"/>
      <x:c r="O873" s="269"/>
      <x:c r="P873" s="271"/>
      <x:c r="Q873" s="272"/>
    </x:row>
    <x:row r="874" ht="12.75">
      <x:c r="A874" s="3"/>
      <x:c r="B874" s="264"/>
      <x:c r="C874" s="127"/>
      <x:c r="D874" s="127"/>
      <x:c r="E874" s="265"/>
      <x:c r="F874" s="266"/>
      <x:c r="G874" s="264"/>
      <x:c r="H874" s="267"/>
      <x:c r="I874" s="3"/>
      <x:c r="J874" s="3"/>
      <x:c r="K874" s="269"/>
      <x:c r="L874" s="270"/>
      <x:c r="M874" s="270"/>
      <x:c r="N874" s="3"/>
      <x:c r="O874" s="269"/>
      <x:c r="P874" s="271"/>
      <x:c r="Q874" s="272"/>
    </x:row>
    <x:row r="875" ht="12.75">
      <x:c r="A875" s="3"/>
      <x:c r="B875" s="264"/>
      <x:c r="C875" s="127"/>
      <x:c r="D875" s="127"/>
      <x:c r="E875" s="265"/>
      <x:c r="F875" s="266"/>
      <x:c r="G875" s="264"/>
      <x:c r="H875" s="267"/>
      <x:c r="I875" s="3"/>
      <x:c r="J875" s="3"/>
      <x:c r="K875" s="269"/>
      <x:c r="L875" s="270"/>
      <x:c r="M875" s="270"/>
      <x:c r="N875" s="3"/>
      <x:c r="O875" s="269"/>
      <x:c r="P875" s="271"/>
      <x:c r="Q875" s="272"/>
    </x:row>
    <x:row r="876" ht="12.75">
      <x:c r="A876" s="3"/>
      <x:c r="B876" s="264"/>
      <x:c r="C876" s="127"/>
      <x:c r="D876" s="127"/>
      <x:c r="E876" s="265"/>
      <x:c r="F876" s="266"/>
      <x:c r="G876" s="264"/>
      <x:c r="H876" s="267"/>
      <x:c r="I876" s="3"/>
      <x:c r="J876" s="3"/>
      <x:c r="K876" s="269"/>
      <x:c r="L876" s="270"/>
      <x:c r="M876" s="270"/>
      <x:c r="N876" s="3"/>
      <x:c r="O876" s="269"/>
      <x:c r="P876" s="271"/>
      <x:c r="Q876" s="272"/>
    </x:row>
    <x:row r="877" ht="12.75">
      <x:c r="A877" s="3"/>
      <x:c r="B877" s="264"/>
      <x:c r="C877" s="127"/>
      <x:c r="D877" s="127"/>
      <x:c r="E877" s="265"/>
      <x:c r="F877" s="266"/>
      <x:c r="G877" s="264"/>
      <x:c r="H877" s="267"/>
      <x:c r="I877" s="3"/>
      <x:c r="J877" s="3"/>
      <x:c r="K877" s="269"/>
      <x:c r="L877" s="270"/>
      <x:c r="M877" s="270"/>
      <x:c r="N877" s="3"/>
      <x:c r="O877" s="269"/>
      <x:c r="P877" s="271"/>
      <x:c r="Q877" s="272"/>
    </x:row>
    <x:row r="878" ht="12.75">
      <x:c r="A878" s="3"/>
      <x:c r="B878" s="264"/>
      <x:c r="C878" s="127"/>
      <x:c r="D878" s="127"/>
      <x:c r="E878" s="265"/>
      <x:c r="F878" s="266"/>
      <x:c r="G878" s="264"/>
      <x:c r="H878" s="267"/>
      <x:c r="I878" s="3"/>
      <x:c r="J878" s="3"/>
      <x:c r="K878" s="269"/>
      <x:c r="L878" s="270"/>
      <x:c r="M878" s="270"/>
      <x:c r="N878" s="3"/>
      <x:c r="O878" s="269"/>
      <x:c r="P878" s="271"/>
      <x:c r="Q878" s="272"/>
    </x:row>
    <x:row r="879" ht="12.75">
      <x:c r="A879" s="3"/>
      <x:c r="B879" s="264"/>
      <x:c r="C879" s="127"/>
      <x:c r="D879" s="127"/>
      <x:c r="E879" s="265"/>
      <x:c r="F879" s="266"/>
      <x:c r="G879" s="264"/>
      <x:c r="H879" s="267"/>
      <x:c r="I879" s="3"/>
      <x:c r="J879" s="3"/>
      <x:c r="K879" s="269"/>
      <x:c r="L879" s="270"/>
      <x:c r="M879" s="270"/>
      <x:c r="N879" s="3"/>
      <x:c r="O879" s="269"/>
      <x:c r="P879" s="271"/>
      <x:c r="Q879" s="272"/>
    </x:row>
    <x:row r="880" ht="12.75">
      <x:c r="A880" s="3"/>
      <x:c r="B880" s="264"/>
      <x:c r="C880" s="127"/>
      <x:c r="D880" s="127"/>
      <x:c r="E880" s="265"/>
      <x:c r="F880" s="266"/>
      <x:c r="G880" s="264"/>
      <x:c r="H880" s="267"/>
      <x:c r="I880" s="3"/>
      <x:c r="J880" s="3"/>
      <x:c r="K880" s="269"/>
      <x:c r="L880" s="270"/>
      <x:c r="M880" s="270"/>
      <x:c r="N880" s="3"/>
      <x:c r="O880" s="269"/>
      <x:c r="P880" s="271"/>
      <x:c r="Q880" s="272"/>
    </x:row>
    <x:row r="881" ht="12.75">
      <x:c r="A881" s="3"/>
      <x:c r="B881" s="264"/>
      <x:c r="C881" s="127"/>
      <x:c r="D881" s="127"/>
      <x:c r="E881" s="265"/>
      <x:c r="F881" s="266"/>
      <x:c r="G881" s="264"/>
      <x:c r="H881" s="267"/>
      <x:c r="I881" s="3"/>
      <x:c r="J881" s="3"/>
      <x:c r="K881" s="269"/>
      <x:c r="L881" s="270"/>
      <x:c r="M881" s="270"/>
      <x:c r="N881" s="3"/>
      <x:c r="O881" s="269"/>
      <x:c r="P881" s="271"/>
      <x:c r="Q881" s="272"/>
    </x:row>
    <x:row r="882" ht="12.75">
      <x:c r="A882" s="3"/>
      <x:c r="B882" s="264"/>
      <x:c r="C882" s="127"/>
      <x:c r="D882" s="127"/>
      <x:c r="E882" s="265"/>
      <x:c r="F882" s="266"/>
      <x:c r="G882" s="264"/>
      <x:c r="H882" s="267"/>
      <x:c r="I882" s="3"/>
      <x:c r="J882" s="3"/>
      <x:c r="K882" s="269"/>
      <x:c r="L882" s="270"/>
      <x:c r="M882" s="270"/>
      <x:c r="N882" s="3"/>
      <x:c r="O882" s="269"/>
      <x:c r="P882" s="271"/>
      <x:c r="Q882" s="272"/>
    </x:row>
    <x:row r="883" ht="12.75">
      <x:c r="A883" s="3"/>
      <x:c r="B883" s="264"/>
      <x:c r="C883" s="127"/>
      <x:c r="D883" s="127"/>
      <x:c r="E883" s="265"/>
      <x:c r="F883" s="266"/>
      <x:c r="G883" s="264"/>
      <x:c r="H883" s="267"/>
      <x:c r="I883" s="3"/>
      <x:c r="J883" s="3"/>
      <x:c r="K883" s="269"/>
      <x:c r="L883" s="270"/>
      <x:c r="M883" s="270"/>
      <x:c r="N883" s="3"/>
      <x:c r="O883" s="269"/>
      <x:c r="P883" s="271"/>
      <x:c r="Q883" s="272"/>
    </x:row>
    <x:row r="884" ht="12.75">
      <x:c r="A884" s="3"/>
      <x:c r="B884" s="264"/>
      <x:c r="C884" s="127"/>
      <x:c r="D884" s="127"/>
      <x:c r="E884" s="265"/>
      <x:c r="F884" s="266"/>
      <x:c r="G884" s="264"/>
      <x:c r="H884" s="267"/>
      <x:c r="I884" s="3"/>
      <x:c r="J884" s="3"/>
      <x:c r="K884" s="269"/>
      <x:c r="L884" s="270"/>
      <x:c r="M884" s="270"/>
      <x:c r="N884" s="3"/>
      <x:c r="O884" s="269"/>
      <x:c r="P884" s="271"/>
      <x:c r="Q884" s="272"/>
    </x:row>
    <x:row r="885" ht="12.75">
      <x:c r="A885" s="3"/>
      <x:c r="B885" s="264"/>
      <x:c r="C885" s="127"/>
      <x:c r="D885" s="127"/>
      <x:c r="E885" s="265"/>
      <x:c r="F885" s="266"/>
      <x:c r="G885" s="264"/>
      <x:c r="H885" s="267"/>
      <x:c r="I885" s="3"/>
      <x:c r="J885" s="3"/>
      <x:c r="K885" s="269"/>
      <x:c r="L885" s="270"/>
      <x:c r="M885" s="270"/>
      <x:c r="N885" s="3"/>
      <x:c r="O885" s="269"/>
      <x:c r="P885" s="271"/>
      <x:c r="Q885" s="272"/>
    </x:row>
    <x:row r="886" ht="12.75">
      <x:c r="A886" s="3"/>
      <x:c r="B886" s="264"/>
      <x:c r="C886" s="127"/>
      <x:c r="D886" s="127"/>
      <x:c r="E886" s="265"/>
      <x:c r="F886" s="266"/>
      <x:c r="G886" s="264"/>
      <x:c r="H886" s="267"/>
      <x:c r="I886" s="3"/>
      <x:c r="J886" s="3"/>
      <x:c r="K886" s="269"/>
      <x:c r="L886" s="270"/>
      <x:c r="M886" s="270"/>
      <x:c r="N886" s="3"/>
      <x:c r="O886" s="269"/>
      <x:c r="P886" s="271"/>
      <x:c r="Q886" s="272"/>
    </x:row>
    <x:row r="887" ht="12.75">
      <x:c r="A887" s="3"/>
      <x:c r="B887" s="264"/>
      <x:c r="C887" s="127"/>
      <x:c r="D887" s="127"/>
      <x:c r="E887" s="265"/>
      <x:c r="F887" s="266"/>
      <x:c r="G887" s="264"/>
      <x:c r="H887" s="267"/>
      <x:c r="I887" s="3"/>
      <x:c r="J887" s="3"/>
      <x:c r="K887" s="269"/>
      <x:c r="L887" s="270"/>
      <x:c r="M887" s="270"/>
      <x:c r="N887" s="3"/>
      <x:c r="O887" s="269"/>
      <x:c r="P887" s="271"/>
      <x:c r="Q887" s="272"/>
    </x:row>
    <x:row r="888" ht="12.75">
      <x:c r="A888" s="3"/>
      <x:c r="B888" s="264"/>
      <x:c r="C888" s="127"/>
      <x:c r="D888" s="127"/>
      <x:c r="E888" s="265"/>
      <x:c r="F888" s="266"/>
      <x:c r="G888" s="264"/>
      <x:c r="H888" s="267"/>
      <x:c r="I888" s="3"/>
      <x:c r="J888" s="3"/>
      <x:c r="K888" s="269"/>
      <x:c r="L888" s="270"/>
      <x:c r="M888" s="270"/>
      <x:c r="N888" s="3"/>
      <x:c r="O888" s="269"/>
      <x:c r="P888" s="271"/>
      <x:c r="Q888" s="272"/>
    </x:row>
    <x:row r="889" ht="12.75">
      <x:c r="A889" s="3"/>
      <x:c r="B889" s="264"/>
      <x:c r="C889" s="127"/>
      <x:c r="D889" s="127"/>
      <x:c r="E889" s="265"/>
      <x:c r="F889" s="266"/>
      <x:c r="G889" s="264"/>
      <x:c r="H889" s="267"/>
      <x:c r="I889" s="3"/>
      <x:c r="J889" s="3"/>
      <x:c r="K889" s="269"/>
      <x:c r="L889" s="270"/>
      <x:c r="M889" s="270"/>
      <x:c r="N889" s="3"/>
      <x:c r="O889" s="269"/>
      <x:c r="P889" s="271"/>
      <x:c r="Q889" s="272"/>
    </x:row>
    <x:row r="890" ht="12.75">
      <x:c r="A890" s="3"/>
      <x:c r="B890" s="264"/>
      <x:c r="C890" s="127"/>
      <x:c r="D890" s="127"/>
      <x:c r="E890" s="265"/>
      <x:c r="F890" s="266"/>
      <x:c r="G890" s="264"/>
      <x:c r="H890" s="267"/>
      <x:c r="I890" s="3"/>
      <x:c r="J890" s="3"/>
      <x:c r="K890" s="269"/>
      <x:c r="L890" s="270"/>
      <x:c r="M890" s="270"/>
      <x:c r="N890" s="3"/>
      <x:c r="O890" s="269"/>
      <x:c r="P890" s="271"/>
      <x:c r="Q890" s="272"/>
    </x:row>
    <x:row r="891" ht="12.75">
      <x:c r="A891" s="3"/>
      <x:c r="B891" s="264"/>
      <x:c r="C891" s="127"/>
      <x:c r="D891" s="127"/>
      <x:c r="E891" s="265"/>
      <x:c r="F891" s="266"/>
      <x:c r="G891" s="264"/>
      <x:c r="H891" s="267"/>
      <x:c r="I891" s="3"/>
      <x:c r="J891" s="3"/>
      <x:c r="K891" s="269"/>
      <x:c r="L891" s="270"/>
      <x:c r="M891" s="270"/>
      <x:c r="N891" s="3"/>
      <x:c r="O891" s="269"/>
      <x:c r="P891" s="271"/>
      <x:c r="Q891" s="272"/>
    </x:row>
    <x:row r="892" ht="12.75">
      <x:c r="A892" s="3"/>
      <x:c r="B892" s="264"/>
      <x:c r="C892" s="127"/>
      <x:c r="D892" s="127"/>
      <x:c r="E892" s="265"/>
      <x:c r="F892" s="266"/>
      <x:c r="G892" s="264"/>
      <x:c r="H892" s="267"/>
      <x:c r="I892" s="3"/>
      <x:c r="J892" s="3"/>
      <x:c r="K892" s="269"/>
      <x:c r="L892" s="270"/>
      <x:c r="M892" s="270"/>
      <x:c r="N892" s="3"/>
      <x:c r="O892" s="269"/>
      <x:c r="P892" s="271"/>
      <x:c r="Q892" s="272"/>
    </x:row>
    <x:row r="893" ht="12.75">
      <x:c r="A893" s="3"/>
      <x:c r="B893" s="264"/>
      <x:c r="C893" s="127"/>
      <x:c r="D893" s="127"/>
      <x:c r="E893" s="265"/>
      <x:c r="F893" s="266"/>
      <x:c r="G893" s="264"/>
      <x:c r="H893" s="267"/>
      <x:c r="I893" s="3"/>
      <x:c r="J893" s="3"/>
      <x:c r="K893" s="269"/>
      <x:c r="L893" s="270"/>
      <x:c r="M893" s="270"/>
      <x:c r="N893" s="3"/>
      <x:c r="O893" s="269"/>
      <x:c r="P893" s="271"/>
      <x:c r="Q893" s="272"/>
    </x:row>
    <x:row r="894" ht="12.75">
      <x:c r="A894" s="3"/>
      <x:c r="B894" s="264"/>
      <x:c r="C894" s="127"/>
      <x:c r="D894" s="127"/>
      <x:c r="E894" s="265"/>
      <x:c r="F894" s="266"/>
      <x:c r="G894" s="264"/>
      <x:c r="H894" s="267"/>
      <x:c r="I894" s="3"/>
      <x:c r="J894" s="3"/>
      <x:c r="K894" s="269"/>
      <x:c r="L894" s="270"/>
      <x:c r="M894" s="270"/>
      <x:c r="N894" s="3"/>
      <x:c r="O894" s="269"/>
      <x:c r="P894" s="271"/>
      <x:c r="Q894" s="272"/>
    </x:row>
    <x:row r="895" ht="12.75">
      <x:c r="A895" s="3"/>
      <x:c r="B895" s="264"/>
      <x:c r="C895" s="127"/>
      <x:c r="D895" s="127"/>
      <x:c r="E895" s="265"/>
      <x:c r="F895" s="266"/>
      <x:c r="G895" s="264"/>
      <x:c r="H895" s="267"/>
      <x:c r="I895" s="3"/>
      <x:c r="J895" s="3"/>
      <x:c r="K895" s="269"/>
      <x:c r="L895" s="270"/>
      <x:c r="M895" s="270"/>
      <x:c r="N895" s="3"/>
      <x:c r="O895" s="269"/>
      <x:c r="P895" s="271"/>
      <x:c r="Q895" s="272"/>
    </x:row>
    <x:row r="896" ht="12.75">
      <x:c r="A896" s="3"/>
      <x:c r="B896" s="264"/>
      <x:c r="C896" s="127"/>
      <x:c r="D896" s="127"/>
      <x:c r="E896" s="265"/>
      <x:c r="F896" s="266"/>
      <x:c r="G896" s="264"/>
      <x:c r="H896" s="267"/>
      <x:c r="I896" s="3"/>
      <x:c r="J896" s="3"/>
      <x:c r="K896" s="269"/>
      <x:c r="L896" s="270"/>
      <x:c r="M896" s="270"/>
      <x:c r="N896" s="3"/>
      <x:c r="O896" s="269"/>
      <x:c r="P896" s="271"/>
      <x:c r="Q896" s="272"/>
    </x:row>
    <x:row r="897" ht="12.75">
      <x:c r="A897" s="3"/>
      <x:c r="B897" s="264"/>
      <x:c r="C897" s="127"/>
      <x:c r="D897" s="127"/>
      <x:c r="E897" s="265"/>
      <x:c r="F897" s="266"/>
      <x:c r="G897" s="264"/>
      <x:c r="H897" s="267"/>
      <x:c r="I897" s="3"/>
      <x:c r="J897" s="3"/>
      <x:c r="K897" s="269"/>
      <x:c r="L897" s="270"/>
      <x:c r="M897" s="270"/>
      <x:c r="N897" s="3"/>
      <x:c r="O897" s="269"/>
      <x:c r="P897" s="271"/>
      <x:c r="Q897" s="272"/>
    </x:row>
    <x:row r="898" ht="12.75">
      <x:c r="A898" s="3"/>
      <x:c r="B898" s="264"/>
      <x:c r="C898" s="127"/>
      <x:c r="D898" s="127"/>
      <x:c r="E898" s="265"/>
      <x:c r="F898" s="266"/>
      <x:c r="G898" s="264"/>
      <x:c r="H898" s="267"/>
      <x:c r="I898" s="3"/>
      <x:c r="J898" s="3"/>
      <x:c r="K898" s="269"/>
      <x:c r="L898" s="270"/>
      <x:c r="M898" s="270"/>
      <x:c r="N898" s="3"/>
      <x:c r="O898" s="269"/>
      <x:c r="P898" s="271"/>
      <x:c r="Q898" s="272"/>
    </x:row>
    <x:row r="899" ht="12.75">
      <x:c r="A899" s="3"/>
      <x:c r="B899" s="264"/>
      <x:c r="C899" s="127"/>
      <x:c r="D899" s="127"/>
      <x:c r="E899" s="265"/>
      <x:c r="F899" s="266"/>
      <x:c r="G899" s="264"/>
      <x:c r="H899" s="267"/>
      <x:c r="I899" s="3"/>
      <x:c r="J899" s="3"/>
      <x:c r="K899" s="269"/>
      <x:c r="L899" s="270"/>
      <x:c r="M899" s="270"/>
      <x:c r="N899" s="3"/>
      <x:c r="O899" s="269"/>
      <x:c r="P899" s="271"/>
      <x:c r="Q899" s="272"/>
    </x:row>
    <x:row r="900" ht="12.75">
      <x:c r="A900" s="3"/>
      <x:c r="B900" s="264"/>
      <x:c r="C900" s="127"/>
      <x:c r="D900" s="127"/>
      <x:c r="E900" s="265"/>
      <x:c r="F900" s="266"/>
      <x:c r="G900" s="264"/>
      <x:c r="H900" s="267"/>
      <x:c r="I900" s="3"/>
      <x:c r="J900" s="3"/>
      <x:c r="K900" s="269"/>
      <x:c r="L900" s="270"/>
      <x:c r="M900" s="270"/>
      <x:c r="N900" s="3"/>
      <x:c r="O900" s="269"/>
      <x:c r="P900" s="271"/>
      <x:c r="Q900" s="272"/>
    </x:row>
    <x:row r="901" ht="12.75">
      <x:c r="A901" s="3"/>
      <x:c r="B901" s="264"/>
      <x:c r="C901" s="127"/>
      <x:c r="D901" s="127"/>
      <x:c r="E901" s="265"/>
      <x:c r="F901" s="266"/>
      <x:c r="G901" s="264"/>
      <x:c r="H901" s="267"/>
      <x:c r="I901" s="3"/>
      <x:c r="J901" s="3"/>
      <x:c r="K901" s="269"/>
      <x:c r="L901" s="270"/>
      <x:c r="M901" s="270"/>
      <x:c r="N901" s="3"/>
      <x:c r="O901" s="269"/>
      <x:c r="P901" s="271"/>
      <x:c r="Q901" s="272"/>
    </x:row>
    <x:row r="902" ht="12.75">
      <x:c r="A902" s="3"/>
      <x:c r="B902" s="264"/>
      <x:c r="C902" s="127"/>
      <x:c r="D902" s="127"/>
      <x:c r="E902" s="265"/>
      <x:c r="F902" s="266"/>
      <x:c r="G902" s="264"/>
      <x:c r="H902" s="267"/>
      <x:c r="I902" s="3"/>
      <x:c r="J902" s="3"/>
      <x:c r="K902" s="269"/>
      <x:c r="L902" s="270"/>
      <x:c r="M902" s="270"/>
      <x:c r="N902" s="3"/>
      <x:c r="O902" s="269"/>
      <x:c r="P902" s="271"/>
      <x:c r="Q902" s="272"/>
    </x:row>
    <x:row r="903" ht="12.75">
      <x:c r="A903" s="3"/>
      <x:c r="B903" s="264"/>
      <x:c r="C903" s="127"/>
      <x:c r="D903" s="127"/>
      <x:c r="E903" s="265"/>
      <x:c r="F903" s="266"/>
      <x:c r="G903" s="264"/>
      <x:c r="H903" s="267"/>
      <x:c r="I903" s="3"/>
      <x:c r="J903" s="3"/>
      <x:c r="K903" s="269"/>
      <x:c r="L903" s="270"/>
      <x:c r="M903" s="270"/>
      <x:c r="N903" s="3"/>
      <x:c r="O903" s="269"/>
      <x:c r="P903" s="271"/>
      <x:c r="Q903" s="272"/>
    </x:row>
    <x:row r="904" ht="12.75">
      <x:c r="A904" s="3"/>
      <x:c r="B904" s="264"/>
      <x:c r="C904" s="127"/>
      <x:c r="D904" s="127"/>
      <x:c r="E904" s="265"/>
      <x:c r="F904" s="266"/>
      <x:c r="G904" s="264"/>
      <x:c r="H904" s="267"/>
      <x:c r="I904" s="3"/>
      <x:c r="J904" s="3"/>
      <x:c r="K904" s="269"/>
      <x:c r="L904" s="270"/>
      <x:c r="M904" s="270"/>
      <x:c r="N904" s="3"/>
      <x:c r="O904" s="269"/>
      <x:c r="P904" s="271"/>
      <x:c r="Q904" s="272"/>
    </x:row>
    <x:row r="905" ht="12.75">
      <x:c r="A905" s="3"/>
      <x:c r="B905" s="264"/>
      <x:c r="C905" s="127"/>
      <x:c r="D905" s="127"/>
      <x:c r="E905" s="265"/>
      <x:c r="F905" s="266"/>
      <x:c r="G905" s="264"/>
      <x:c r="H905" s="267"/>
      <x:c r="I905" s="3"/>
      <x:c r="J905" s="3"/>
      <x:c r="K905" s="269"/>
      <x:c r="L905" s="270"/>
      <x:c r="M905" s="270"/>
      <x:c r="N905" s="3"/>
      <x:c r="O905" s="269"/>
      <x:c r="P905" s="271"/>
      <x:c r="Q905" s="272"/>
    </x:row>
    <x:row r="906" ht="12.75">
      <x:c r="A906" s="3"/>
      <x:c r="B906" s="264"/>
      <x:c r="C906" s="127"/>
      <x:c r="D906" s="127"/>
      <x:c r="E906" s="265"/>
      <x:c r="F906" s="266"/>
      <x:c r="G906" s="264"/>
      <x:c r="H906" s="267"/>
      <x:c r="I906" s="3"/>
      <x:c r="J906" s="3"/>
      <x:c r="K906" s="269"/>
      <x:c r="L906" s="270"/>
      <x:c r="M906" s="270"/>
      <x:c r="N906" s="3"/>
      <x:c r="O906" s="269"/>
      <x:c r="P906" s="271"/>
      <x:c r="Q906" s="272"/>
    </x:row>
    <x:row r="907" ht="12.75">
      <x:c r="A907" s="3"/>
      <x:c r="B907" s="264"/>
      <x:c r="C907" s="127"/>
      <x:c r="D907" s="127"/>
      <x:c r="E907" s="265"/>
      <x:c r="F907" s="266"/>
      <x:c r="G907" s="264"/>
      <x:c r="H907" s="267"/>
      <x:c r="I907" s="3"/>
      <x:c r="J907" s="3"/>
      <x:c r="K907" s="269"/>
      <x:c r="L907" s="270"/>
      <x:c r="M907" s="270"/>
      <x:c r="N907" s="3"/>
      <x:c r="O907" s="269"/>
      <x:c r="P907" s="271"/>
      <x:c r="Q907" s="272"/>
    </x:row>
    <x:row r="908" ht="12.75">
      <x:c r="A908" s="3"/>
      <x:c r="B908" s="264"/>
      <x:c r="C908" s="127"/>
      <x:c r="D908" s="127"/>
      <x:c r="E908" s="265"/>
      <x:c r="F908" s="266"/>
      <x:c r="G908" s="264"/>
      <x:c r="H908" s="267"/>
      <x:c r="I908" s="3"/>
      <x:c r="J908" s="3"/>
      <x:c r="K908" s="269"/>
      <x:c r="L908" s="270"/>
      <x:c r="M908" s="270"/>
      <x:c r="N908" s="3"/>
      <x:c r="O908" s="269"/>
      <x:c r="P908" s="271"/>
      <x:c r="Q908" s="272"/>
    </x:row>
    <x:row r="909" ht="12.75">
      <x:c r="A909" s="3"/>
      <x:c r="B909" s="264"/>
      <x:c r="C909" s="127"/>
      <x:c r="D909" s="127"/>
      <x:c r="E909" s="265"/>
      <x:c r="F909" s="266"/>
      <x:c r="G909" s="264"/>
      <x:c r="H909" s="267"/>
      <x:c r="I909" s="3"/>
      <x:c r="J909" s="3"/>
      <x:c r="K909" s="269"/>
      <x:c r="L909" s="270"/>
      <x:c r="M909" s="270"/>
      <x:c r="N909" s="3"/>
      <x:c r="O909" s="269"/>
      <x:c r="P909" s="271"/>
      <x:c r="Q909" s="272"/>
    </x:row>
    <x:row r="910" ht="12.75">
      <x:c r="A910" s="3"/>
      <x:c r="B910" s="264"/>
      <x:c r="C910" s="127"/>
      <x:c r="D910" s="127"/>
      <x:c r="E910" s="265"/>
      <x:c r="F910" s="266"/>
      <x:c r="G910" s="264"/>
      <x:c r="H910" s="267"/>
      <x:c r="I910" s="3"/>
      <x:c r="J910" s="3"/>
      <x:c r="K910" s="269"/>
      <x:c r="L910" s="270"/>
      <x:c r="M910" s="270"/>
      <x:c r="N910" s="3"/>
      <x:c r="O910" s="269"/>
      <x:c r="P910" s="271"/>
      <x:c r="Q910" s="272"/>
    </x:row>
    <x:row r="911" ht="12.75">
      <x:c r="A911" s="3"/>
      <x:c r="B911" s="264"/>
      <x:c r="C911" s="127"/>
      <x:c r="D911" s="127"/>
      <x:c r="E911" s="265"/>
      <x:c r="F911" s="266"/>
      <x:c r="G911" s="264"/>
      <x:c r="H911" s="267"/>
      <x:c r="I911" s="3"/>
      <x:c r="J911" s="3"/>
      <x:c r="K911" s="269"/>
      <x:c r="L911" s="270"/>
      <x:c r="M911" s="270"/>
      <x:c r="N911" s="3"/>
      <x:c r="O911" s="269"/>
      <x:c r="P911" s="271"/>
      <x:c r="Q911" s="272"/>
    </x:row>
    <x:row r="912" ht="12.75">
      <x:c r="A912" s="3"/>
      <x:c r="B912" s="264"/>
      <x:c r="C912" s="127"/>
      <x:c r="D912" s="127"/>
      <x:c r="E912" s="265"/>
      <x:c r="F912" s="266"/>
      <x:c r="G912" s="264"/>
      <x:c r="H912" s="267"/>
      <x:c r="I912" s="3"/>
      <x:c r="J912" s="3"/>
      <x:c r="K912" s="269"/>
      <x:c r="L912" s="270"/>
      <x:c r="M912" s="270"/>
      <x:c r="N912" s="3"/>
      <x:c r="O912" s="269"/>
      <x:c r="P912" s="271"/>
      <x:c r="Q912" s="272"/>
    </x:row>
    <x:row r="913" ht="12.75">
      <x:c r="A913" s="3"/>
      <x:c r="B913" s="264"/>
      <x:c r="C913" s="127"/>
      <x:c r="D913" s="127"/>
      <x:c r="E913" s="265"/>
      <x:c r="F913" s="266"/>
      <x:c r="G913" s="264"/>
      <x:c r="H913" s="267"/>
      <x:c r="I913" s="3"/>
      <x:c r="J913" s="3"/>
      <x:c r="K913" s="269"/>
      <x:c r="L913" s="270"/>
      <x:c r="M913" s="270"/>
      <x:c r="N913" s="3"/>
      <x:c r="O913" s="269"/>
      <x:c r="P913" s="271"/>
      <x:c r="Q913" s="272"/>
    </x:row>
    <x:row r="914" ht="12.75">
      <x:c r="A914" s="3"/>
      <x:c r="B914" s="264"/>
      <x:c r="C914" s="127"/>
      <x:c r="D914" s="127"/>
      <x:c r="E914" s="265"/>
      <x:c r="F914" s="266"/>
      <x:c r="G914" s="264"/>
      <x:c r="H914" s="267"/>
      <x:c r="I914" s="3"/>
      <x:c r="J914" s="3"/>
      <x:c r="K914" s="269"/>
      <x:c r="L914" s="270"/>
      <x:c r="M914" s="270"/>
      <x:c r="N914" s="3"/>
      <x:c r="O914" s="269"/>
      <x:c r="P914" s="271"/>
      <x:c r="Q914" s="272"/>
    </x:row>
    <x:row r="915" ht="12.75">
      <x:c r="A915" s="3"/>
      <x:c r="B915" s="264"/>
      <x:c r="C915" s="127"/>
      <x:c r="D915" s="127"/>
      <x:c r="E915" s="265"/>
      <x:c r="F915" s="266"/>
      <x:c r="G915" s="264"/>
      <x:c r="H915" s="267"/>
      <x:c r="I915" s="3"/>
      <x:c r="J915" s="3"/>
      <x:c r="K915" s="269"/>
      <x:c r="L915" s="270"/>
      <x:c r="M915" s="270"/>
      <x:c r="N915" s="3"/>
      <x:c r="O915" s="269"/>
      <x:c r="P915" s="271"/>
      <x:c r="Q915" s="272"/>
    </x:row>
    <x:row r="916" ht="12.75">
      <x:c r="A916" s="3"/>
      <x:c r="B916" s="264"/>
      <x:c r="C916" s="127"/>
      <x:c r="D916" s="127"/>
      <x:c r="E916" s="265"/>
      <x:c r="F916" s="266"/>
      <x:c r="G916" s="264"/>
      <x:c r="H916" s="267"/>
      <x:c r="I916" s="3"/>
      <x:c r="J916" s="3"/>
      <x:c r="K916" s="269"/>
      <x:c r="L916" s="270"/>
      <x:c r="M916" s="270"/>
      <x:c r="N916" s="3"/>
      <x:c r="O916" s="269"/>
      <x:c r="P916" s="271"/>
      <x:c r="Q916" s="272"/>
    </x:row>
    <x:row r="917" ht="12.75">
      <x:c r="A917" s="3"/>
      <x:c r="B917" s="264"/>
      <x:c r="C917" s="127"/>
      <x:c r="D917" s="127"/>
      <x:c r="E917" s="265"/>
      <x:c r="F917" s="266"/>
      <x:c r="G917" s="264"/>
      <x:c r="H917" s="267"/>
      <x:c r="I917" s="3"/>
      <x:c r="J917" s="3"/>
      <x:c r="K917" s="269"/>
      <x:c r="L917" s="270"/>
      <x:c r="M917" s="270"/>
      <x:c r="N917" s="3"/>
      <x:c r="O917" s="269"/>
      <x:c r="P917" s="271"/>
      <x:c r="Q917" s="272"/>
    </x:row>
    <x:row r="918" ht="12.75">
      <x:c r="A918" s="3"/>
      <x:c r="B918" s="264"/>
      <x:c r="C918" s="127"/>
      <x:c r="D918" s="127"/>
      <x:c r="E918" s="265"/>
      <x:c r="F918" s="266"/>
      <x:c r="G918" s="264"/>
      <x:c r="H918" s="267"/>
      <x:c r="I918" s="3"/>
      <x:c r="J918" s="3"/>
      <x:c r="K918" s="269"/>
      <x:c r="L918" s="270"/>
      <x:c r="M918" s="270"/>
      <x:c r="N918" s="3"/>
      <x:c r="O918" s="269"/>
      <x:c r="P918" s="271"/>
      <x:c r="Q918" s="272"/>
    </x:row>
    <x:row r="919" ht="12.75">
      <x:c r="A919" s="3"/>
      <x:c r="B919" s="264"/>
      <x:c r="C919" s="127"/>
      <x:c r="D919" s="127"/>
      <x:c r="E919" s="265"/>
      <x:c r="F919" s="266"/>
      <x:c r="G919" s="264"/>
      <x:c r="H919" s="267"/>
      <x:c r="I919" s="3"/>
      <x:c r="J919" s="3"/>
      <x:c r="K919" s="269"/>
      <x:c r="L919" s="270"/>
      <x:c r="M919" s="270"/>
      <x:c r="N919" s="3"/>
      <x:c r="O919" s="269"/>
      <x:c r="P919" s="271"/>
      <x:c r="Q919" s="272"/>
    </x:row>
    <x:row r="920" ht="12.75">
      <x:c r="A920" s="3"/>
      <x:c r="B920" s="264"/>
      <x:c r="C920" s="127"/>
      <x:c r="D920" s="127"/>
      <x:c r="E920" s="265"/>
      <x:c r="F920" s="266"/>
      <x:c r="G920" s="264"/>
      <x:c r="H920" s="267"/>
      <x:c r="I920" s="3"/>
      <x:c r="J920" s="3"/>
      <x:c r="K920" s="269"/>
      <x:c r="L920" s="270"/>
      <x:c r="M920" s="270"/>
      <x:c r="N920" s="3"/>
      <x:c r="O920" s="269"/>
      <x:c r="P920" s="271"/>
      <x:c r="Q920" s="272"/>
    </x:row>
    <x:row r="921" ht="12.75">
      <x:c r="A921" s="3"/>
      <x:c r="B921" s="264"/>
      <x:c r="C921" s="127"/>
      <x:c r="D921" s="127"/>
      <x:c r="E921" s="265"/>
      <x:c r="F921" s="266"/>
      <x:c r="G921" s="264"/>
      <x:c r="H921" s="267"/>
      <x:c r="I921" s="3"/>
      <x:c r="J921" s="3"/>
      <x:c r="K921" s="269"/>
      <x:c r="L921" s="270"/>
      <x:c r="M921" s="270"/>
      <x:c r="N921" s="3"/>
      <x:c r="O921" s="269"/>
      <x:c r="P921" s="271"/>
      <x:c r="Q921" s="272"/>
    </x:row>
    <x:row r="922" ht="12.75">
      <x:c r="A922" s="3"/>
      <x:c r="B922" s="264"/>
      <x:c r="C922" s="127"/>
      <x:c r="D922" s="127"/>
      <x:c r="E922" s="265"/>
      <x:c r="F922" s="266"/>
      <x:c r="G922" s="264"/>
      <x:c r="H922" s="267"/>
      <x:c r="I922" s="3"/>
      <x:c r="J922" s="3"/>
      <x:c r="K922" s="269"/>
      <x:c r="L922" s="270"/>
      <x:c r="M922" s="270"/>
      <x:c r="N922" s="3"/>
      <x:c r="O922" s="269"/>
      <x:c r="P922" s="271"/>
      <x:c r="Q922" s="272"/>
    </x:row>
    <x:row r="923" ht="12.75">
      <x:c r="A923" s="3"/>
      <x:c r="B923" s="264"/>
      <x:c r="C923" s="127"/>
      <x:c r="D923" s="127"/>
      <x:c r="E923" s="265"/>
      <x:c r="F923" s="266"/>
      <x:c r="G923" s="264"/>
      <x:c r="H923" s="267"/>
      <x:c r="I923" s="3"/>
      <x:c r="J923" s="3"/>
      <x:c r="K923" s="269"/>
      <x:c r="L923" s="270"/>
      <x:c r="M923" s="270"/>
      <x:c r="N923" s="3"/>
      <x:c r="O923" s="269"/>
      <x:c r="P923" s="271"/>
      <x:c r="Q923" s="272"/>
    </x:row>
    <x:row r="924" ht="12.75">
      <x:c r="A924" s="3"/>
      <x:c r="B924" s="264"/>
      <x:c r="C924" s="127"/>
      <x:c r="D924" s="127"/>
      <x:c r="E924" s="265"/>
      <x:c r="F924" s="266"/>
      <x:c r="G924" s="264"/>
      <x:c r="H924" s="267"/>
      <x:c r="I924" s="3"/>
      <x:c r="J924" s="3"/>
      <x:c r="K924" s="269"/>
      <x:c r="L924" s="270"/>
      <x:c r="M924" s="270"/>
      <x:c r="N924" s="3"/>
      <x:c r="O924" s="269"/>
      <x:c r="P924" s="271"/>
      <x:c r="Q924" s="272"/>
    </x:row>
    <x:row r="925" ht="12.75">
      <x:c r="A925" s="3"/>
      <x:c r="B925" s="264"/>
      <x:c r="C925" s="127"/>
      <x:c r="D925" s="127"/>
      <x:c r="E925" s="265"/>
      <x:c r="F925" s="266"/>
      <x:c r="G925" s="264"/>
      <x:c r="H925" s="267"/>
      <x:c r="I925" s="3"/>
      <x:c r="J925" s="3"/>
      <x:c r="K925" s="269"/>
      <x:c r="L925" s="270"/>
      <x:c r="M925" s="270"/>
      <x:c r="N925" s="3"/>
      <x:c r="O925" s="269"/>
      <x:c r="P925" s="271"/>
      <x:c r="Q925" s="272"/>
    </x:row>
    <x:row r="926" ht="12.75">
      <x:c r="A926" s="3"/>
      <x:c r="B926" s="264"/>
      <x:c r="C926" s="127"/>
      <x:c r="D926" s="127"/>
      <x:c r="E926" s="265"/>
      <x:c r="F926" s="266"/>
      <x:c r="G926" s="264"/>
      <x:c r="H926" s="267"/>
      <x:c r="I926" s="3"/>
      <x:c r="J926" s="3"/>
      <x:c r="K926" s="269"/>
      <x:c r="L926" s="270"/>
      <x:c r="M926" s="270"/>
      <x:c r="N926" s="3"/>
      <x:c r="O926" s="269"/>
      <x:c r="P926" s="271"/>
      <x:c r="Q926" s="272"/>
    </x:row>
    <x:row r="927" ht="12.75">
      <x:c r="A927" s="3"/>
      <x:c r="B927" s="264"/>
      <x:c r="C927" s="127"/>
      <x:c r="D927" s="127"/>
      <x:c r="E927" s="265"/>
      <x:c r="F927" s="266"/>
      <x:c r="G927" s="264"/>
      <x:c r="H927" s="267"/>
      <x:c r="I927" s="3"/>
      <x:c r="J927" s="3"/>
      <x:c r="K927" s="269"/>
      <x:c r="L927" s="270"/>
      <x:c r="M927" s="270"/>
      <x:c r="N927" s="3"/>
      <x:c r="O927" s="269"/>
      <x:c r="P927" s="271"/>
      <x:c r="Q927" s="272"/>
    </x:row>
    <x:row r="928" ht="12.75">
      <x:c r="A928" s="3"/>
      <x:c r="B928" s="264"/>
      <x:c r="C928" s="127"/>
      <x:c r="D928" s="127"/>
      <x:c r="E928" s="265"/>
      <x:c r="F928" s="266"/>
      <x:c r="G928" s="264"/>
      <x:c r="H928" s="267"/>
      <x:c r="I928" s="3"/>
      <x:c r="J928" s="3"/>
      <x:c r="K928" s="269"/>
      <x:c r="L928" s="270"/>
      <x:c r="M928" s="270"/>
      <x:c r="N928" s="3"/>
      <x:c r="O928" s="269"/>
      <x:c r="P928" s="271"/>
      <x:c r="Q928" s="272"/>
    </x:row>
    <x:row r="929" ht="12.75">
      <x:c r="A929" s="3"/>
      <x:c r="B929" s="264"/>
      <x:c r="C929" s="127"/>
      <x:c r="D929" s="127"/>
      <x:c r="E929" s="265"/>
      <x:c r="F929" s="266"/>
      <x:c r="G929" s="264"/>
      <x:c r="H929" s="267"/>
      <x:c r="I929" s="3"/>
      <x:c r="J929" s="3"/>
      <x:c r="K929" s="269"/>
      <x:c r="L929" s="270"/>
      <x:c r="M929" s="270"/>
      <x:c r="N929" s="3"/>
      <x:c r="O929" s="269"/>
      <x:c r="P929" s="271"/>
      <x:c r="Q929" s="272"/>
    </x:row>
    <x:row r="930" ht="12.75">
      <x:c r="A930" s="3"/>
      <x:c r="B930" s="264"/>
      <x:c r="C930" s="127"/>
      <x:c r="D930" s="127"/>
      <x:c r="E930" s="265"/>
      <x:c r="F930" s="266"/>
      <x:c r="G930" s="264"/>
      <x:c r="H930" s="267"/>
      <x:c r="I930" s="3"/>
      <x:c r="J930" s="3"/>
      <x:c r="K930" s="269"/>
      <x:c r="L930" s="270"/>
      <x:c r="M930" s="270"/>
      <x:c r="N930" s="3"/>
      <x:c r="O930" s="269"/>
      <x:c r="P930" s="271"/>
      <x:c r="Q930" s="272"/>
    </x:row>
    <x:row r="931" ht="12.75">
      <x:c r="A931" s="3"/>
      <x:c r="B931" s="264"/>
      <x:c r="C931" s="127"/>
      <x:c r="D931" s="127"/>
      <x:c r="E931" s="265"/>
      <x:c r="F931" s="266"/>
      <x:c r="G931" s="264"/>
      <x:c r="H931" s="267"/>
      <x:c r="I931" s="3"/>
      <x:c r="J931" s="3"/>
      <x:c r="K931" s="269"/>
      <x:c r="L931" s="270"/>
      <x:c r="M931" s="270"/>
      <x:c r="N931" s="3"/>
      <x:c r="O931" s="269"/>
      <x:c r="P931" s="271"/>
      <x:c r="Q931" s="272"/>
    </x:row>
    <x:row r="932" ht="12.75">
      <x:c r="A932" s="3"/>
      <x:c r="B932" s="264"/>
      <x:c r="C932" s="127"/>
      <x:c r="D932" s="127"/>
      <x:c r="E932" s="265"/>
      <x:c r="F932" s="266"/>
      <x:c r="G932" s="264"/>
      <x:c r="H932" s="267"/>
      <x:c r="I932" s="3"/>
      <x:c r="J932" s="3"/>
      <x:c r="K932" s="269"/>
      <x:c r="L932" s="270"/>
      <x:c r="M932" s="270"/>
      <x:c r="N932" s="3"/>
      <x:c r="O932" s="269"/>
      <x:c r="P932" s="271"/>
      <x:c r="Q932" s="272"/>
    </x:row>
    <x:row r="933" ht="12.75">
      <x:c r="A933" s="3"/>
      <x:c r="B933" s="264"/>
      <x:c r="C933" s="127"/>
      <x:c r="D933" s="127"/>
      <x:c r="E933" s="265"/>
      <x:c r="F933" s="266"/>
      <x:c r="G933" s="264"/>
      <x:c r="H933" s="267"/>
      <x:c r="I933" s="3"/>
      <x:c r="J933" s="3"/>
      <x:c r="K933" s="269"/>
      <x:c r="L933" s="270"/>
      <x:c r="M933" s="270"/>
      <x:c r="N933" s="3"/>
      <x:c r="O933" s="269"/>
      <x:c r="P933" s="271"/>
      <x:c r="Q933" s="272"/>
    </x:row>
    <x:row r="934" ht="12.75">
      <x:c r="A934" s="3"/>
      <x:c r="B934" s="264"/>
      <x:c r="C934" s="127"/>
      <x:c r="D934" s="127"/>
      <x:c r="E934" s="265"/>
      <x:c r="F934" s="266"/>
      <x:c r="G934" s="264"/>
      <x:c r="H934" s="267"/>
      <x:c r="I934" s="3"/>
      <x:c r="J934" s="3"/>
      <x:c r="K934" s="269"/>
      <x:c r="L934" s="270"/>
      <x:c r="M934" s="270"/>
      <x:c r="N934" s="3"/>
      <x:c r="O934" s="269"/>
      <x:c r="P934" s="271"/>
      <x:c r="Q934" s="272"/>
    </x:row>
    <x:row r="935" ht="12.75">
      <x:c r="A935" s="3"/>
      <x:c r="B935" s="264"/>
      <x:c r="C935" s="127"/>
      <x:c r="D935" s="127"/>
      <x:c r="E935" s="265"/>
      <x:c r="F935" s="266"/>
      <x:c r="G935" s="264"/>
      <x:c r="H935" s="267"/>
      <x:c r="I935" s="3"/>
      <x:c r="J935" s="3"/>
      <x:c r="K935" s="269"/>
      <x:c r="L935" s="270"/>
      <x:c r="M935" s="270"/>
      <x:c r="N935" s="3"/>
      <x:c r="O935" s="269"/>
      <x:c r="P935" s="271"/>
      <x:c r="Q935" s="272"/>
    </x:row>
    <x:row r="936" ht="12.75">
      <x:c r="A936" s="3"/>
      <x:c r="B936" s="264"/>
      <x:c r="C936" s="127"/>
      <x:c r="D936" s="127"/>
      <x:c r="E936" s="265"/>
      <x:c r="F936" s="266"/>
      <x:c r="G936" s="264"/>
      <x:c r="H936" s="267"/>
      <x:c r="I936" s="3"/>
      <x:c r="J936" s="3"/>
      <x:c r="K936" s="269"/>
      <x:c r="L936" s="270"/>
      <x:c r="M936" s="270"/>
      <x:c r="N936" s="3"/>
      <x:c r="O936" s="269"/>
      <x:c r="P936" s="271"/>
      <x:c r="Q936" s="272"/>
    </x:row>
    <x:row r="937" ht="12.75">
      <x:c r="A937" s="3"/>
      <x:c r="B937" s="264"/>
      <x:c r="C937" s="127"/>
      <x:c r="D937" s="127"/>
      <x:c r="E937" s="265"/>
      <x:c r="F937" s="266"/>
      <x:c r="G937" s="264"/>
      <x:c r="H937" s="267"/>
      <x:c r="I937" s="3"/>
      <x:c r="J937" s="3"/>
      <x:c r="K937" s="269"/>
      <x:c r="L937" s="270"/>
      <x:c r="M937" s="270"/>
      <x:c r="N937" s="3"/>
      <x:c r="O937" s="269"/>
      <x:c r="P937" s="271"/>
      <x:c r="Q937" s="272"/>
    </x:row>
    <x:row r="938" ht="12.75">
      <x:c r="A938" s="3"/>
      <x:c r="B938" s="264"/>
      <x:c r="C938" s="127"/>
      <x:c r="D938" s="127"/>
      <x:c r="E938" s="265"/>
      <x:c r="F938" s="266"/>
      <x:c r="G938" s="264"/>
      <x:c r="H938" s="267"/>
      <x:c r="I938" s="3"/>
      <x:c r="J938" s="3"/>
      <x:c r="K938" s="269"/>
      <x:c r="L938" s="270"/>
      <x:c r="M938" s="270"/>
      <x:c r="N938" s="3"/>
      <x:c r="O938" s="269"/>
      <x:c r="P938" s="271"/>
      <x:c r="Q938" s="272"/>
    </x:row>
    <x:row r="939" ht="12.75">
      <x:c r="A939" s="3"/>
      <x:c r="B939" s="264"/>
      <x:c r="C939" s="127"/>
      <x:c r="D939" s="127"/>
      <x:c r="E939" s="265"/>
      <x:c r="F939" s="266"/>
      <x:c r="G939" s="264"/>
      <x:c r="H939" s="267"/>
      <x:c r="I939" s="3"/>
      <x:c r="J939" s="3"/>
      <x:c r="K939" s="269"/>
      <x:c r="L939" s="270"/>
      <x:c r="M939" s="270"/>
      <x:c r="N939" s="3"/>
      <x:c r="O939" s="269"/>
      <x:c r="P939" s="271"/>
      <x:c r="Q939" s="272"/>
    </x:row>
    <x:row r="940" ht="12.75">
      <x:c r="A940" s="3"/>
      <x:c r="B940" s="264"/>
      <x:c r="C940" s="127"/>
      <x:c r="D940" s="127"/>
      <x:c r="E940" s="265"/>
      <x:c r="F940" s="266"/>
      <x:c r="G940" s="264"/>
      <x:c r="H940" s="267"/>
      <x:c r="I940" s="3"/>
      <x:c r="J940" s="3"/>
      <x:c r="K940" s="269"/>
      <x:c r="L940" s="270"/>
      <x:c r="M940" s="270"/>
      <x:c r="N940" s="3"/>
      <x:c r="O940" s="269"/>
      <x:c r="P940" s="271"/>
      <x:c r="Q940" s="272"/>
    </x:row>
    <x:row r="941" ht="12.75">
      <x:c r="A941" s="3"/>
      <x:c r="B941" s="264"/>
      <x:c r="C941" s="127"/>
      <x:c r="D941" s="127"/>
      <x:c r="E941" s="265"/>
      <x:c r="F941" s="266"/>
      <x:c r="G941" s="264"/>
      <x:c r="H941" s="267"/>
      <x:c r="I941" s="3"/>
      <x:c r="J941" s="3"/>
      <x:c r="K941" s="269"/>
      <x:c r="L941" s="270"/>
      <x:c r="M941" s="270"/>
      <x:c r="N941" s="3"/>
      <x:c r="O941" s="269"/>
      <x:c r="P941" s="271"/>
      <x:c r="Q941" s="272"/>
    </x:row>
    <x:row r="942" ht="12.75">
      <x:c r="A942" s="3"/>
      <x:c r="B942" s="264"/>
      <x:c r="C942" s="127"/>
      <x:c r="D942" s="127"/>
      <x:c r="E942" s="265"/>
      <x:c r="F942" s="266"/>
      <x:c r="G942" s="264"/>
      <x:c r="H942" s="267"/>
      <x:c r="I942" s="3"/>
      <x:c r="J942" s="3"/>
      <x:c r="K942" s="269"/>
      <x:c r="L942" s="270"/>
      <x:c r="M942" s="270"/>
      <x:c r="N942" s="3"/>
      <x:c r="O942" s="269"/>
      <x:c r="P942" s="271"/>
      <x:c r="Q942" s="272"/>
    </x:row>
    <x:row r="943" ht="12.75">
      <x:c r="A943" s="3"/>
      <x:c r="B943" s="264"/>
      <x:c r="C943" s="127"/>
      <x:c r="D943" s="127"/>
      <x:c r="E943" s="265"/>
      <x:c r="F943" s="266"/>
      <x:c r="G943" s="264"/>
      <x:c r="H943" s="267"/>
      <x:c r="I943" s="3"/>
      <x:c r="J943" s="3"/>
      <x:c r="K943" s="269"/>
      <x:c r="L943" s="270"/>
      <x:c r="M943" s="270"/>
      <x:c r="N943" s="3"/>
      <x:c r="O943" s="269"/>
      <x:c r="P943" s="271"/>
      <x:c r="Q943" s="272"/>
    </x:row>
    <x:row r="944" ht="12.75">
      <x:c r="A944" s="3"/>
      <x:c r="B944" s="264"/>
      <x:c r="C944" s="127"/>
      <x:c r="D944" s="127"/>
      <x:c r="E944" s="265"/>
      <x:c r="F944" s="266"/>
      <x:c r="G944" s="264"/>
      <x:c r="H944" s="267"/>
      <x:c r="I944" s="3"/>
      <x:c r="J944" s="3"/>
      <x:c r="K944" s="269"/>
      <x:c r="L944" s="270"/>
      <x:c r="M944" s="270"/>
      <x:c r="N944" s="3"/>
      <x:c r="O944" s="269"/>
      <x:c r="P944" s="271"/>
      <x:c r="Q944" s="272"/>
    </x:row>
    <x:row r="945" ht="12.75">
      <x:c r="A945" s="3"/>
      <x:c r="B945" s="264"/>
      <x:c r="C945" s="127"/>
      <x:c r="D945" s="127"/>
      <x:c r="E945" s="265"/>
      <x:c r="F945" s="266"/>
      <x:c r="G945" s="264"/>
      <x:c r="H945" s="267"/>
      <x:c r="I945" s="3"/>
      <x:c r="J945" s="3"/>
      <x:c r="K945" s="269"/>
      <x:c r="L945" s="270"/>
      <x:c r="M945" s="270"/>
      <x:c r="N945" s="3"/>
      <x:c r="O945" s="269"/>
      <x:c r="P945" s="271"/>
      <x:c r="Q945" s="272"/>
    </x:row>
    <x:row r="946" ht="12.75">
      <x:c r="A946" s="3"/>
      <x:c r="B946" s="264"/>
      <x:c r="C946" s="127"/>
      <x:c r="D946" s="127"/>
      <x:c r="E946" s="265"/>
      <x:c r="F946" s="266"/>
      <x:c r="G946" s="264"/>
      <x:c r="H946" s="267"/>
      <x:c r="I946" s="3"/>
      <x:c r="J946" s="3"/>
      <x:c r="K946" s="269"/>
      <x:c r="L946" s="270"/>
      <x:c r="M946" s="270"/>
      <x:c r="N946" s="3"/>
      <x:c r="O946" s="269"/>
      <x:c r="P946" s="271"/>
      <x:c r="Q946" s="272"/>
    </x:row>
    <x:row r="947" ht="12.75">
      <x:c r="A947" s="3"/>
      <x:c r="B947" s="264"/>
      <x:c r="C947" s="127"/>
      <x:c r="D947" s="127"/>
      <x:c r="E947" s="265"/>
      <x:c r="F947" s="266"/>
      <x:c r="G947" s="264"/>
      <x:c r="H947" s="267"/>
      <x:c r="I947" s="3"/>
      <x:c r="J947" s="3"/>
      <x:c r="K947" s="269"/>
      <x:c r="L947" s="270"/>
      <x:c r="M947" s="270"/>
      <x:c r="N947" s="3"/>
      <x:c r="O947" s="269"/>
      <x:c r="P947" s="271"/>
      <x:c r="Q947" s="272"/>
    </x:row>
    <x:row r="948" ht="12.75">
      <x:c r="A948" s="3"/>
      <x:c r="B948" s="264"/>
      <x:c r="C948" s="127"/>
      <x:c r="D948" s="127"/>
      <x:c r="E948" s="265"/>
      <x:c r="F948" s="266"/>
      <x:c r="G948" s="264"/>
      <x:c r="H948" s="267"/>
      <x:c r="I948" s="3"/>
      <x:c r="J948" s="3"/>
      <x:c r="K948" s="269"/>
      <x:c r="L948" s="270"/>
      <x:c r="M948" s="270"/>
      <x:c r="N948" s="3"/>
      <x:c r="O948" s="269"/>
      <x:c r="P948" s="271"/>
      <x:c r="Q948" s="272"/>
    </x:row>
    <x:row r="949" ht="12.75">
      <x:c r="A949" s="3"/>
      <x:c r="B949" s="264"/>
      <x:c r="C949" s="127"/>
      <x:c r="D949" s="127"/>
      <x:c r="E949" s="265"/>
      <x:c r="F949" s="266"/>
      <x:c r="G949" s="264"/>
      <x:c r="H949" s="267"/>
      <x:c r="I949" s="3"/>
      <x:c r="J949" s="3"/>
      <x:c r="K949" s="269"/>
      <x:c r="L949" s="270"/>
      <x:c r="M949" s="270"/>
      <x:c r="N949" s="3"/>
      <x:c r="O949" s="269"/>
      <x:c r="P949" s="271"/>
      <x:c r="Q949" s="272"/>
    </x:row>
    <x:row r="950" ht="12.75">
      <x:c r="A950" s="3"/>
      <x:c r="B950" s="264"/>
      <x:c r="C950" s="127"/>
      <x:c r="D950" s="127"/>
      <x:c r="E950" s="265"/>
      <x:c r="F950" s="266"/>
      <x:c r="G950" s="264"/>
      <x:c r="H950" s="267"/>
      <x:c r="I950" s="3"/>
      <x:c r="J950" s="3"/>
      <x:c r="K950" s="269"/>
      <x:c r="L950" s="270"/>
      <x:c r="M950" s="270"/>
      <x:c r="N950" s="3"/>
      <x:c r="O950" s="269"/>
      <x:c r="P950" s="271"/>
      <x:c r="Q950" s="272"/>
    </x:row>
    <x:row r="951" ht="12.75">
      <x:c r="A951" s="3"/>
      <x:c r="B951" s="264"/>
      <x:c r="C951" s="127"/>
      <x:c r="D951" s="127"/>
      <x:c r="E951" s="265"/>
      <x:c r="F951" s="266"/>
      <x:c r="G951" s="264"/>
      <x:c r="H951" s="267"/>
      <x:c r="I951" s="3"/>
      <x:c r="J951" s="3"/>
      <x:c r="K951" s="269"/>
      <x:c r="L951" s="270"/>
      <x:c r="M951" s="270"/>
      <x:c r="N951" s="3"/>
      <x:c r="O951" s="269"/>
      <x:c r="P951" s="271"/>
      <x:c r="Q951" s="272"/>
    </x:row>
    <x:row r="952" ht="12.75">
      <x:c r="A952" s="3"/>
      <x:c r="B952" s="264"/>
      <x:c r="C952" s="127"/>
      <x:c r="D952" s="127"/>
      <x:c r="E952" s="265"/>
      <x:c r="F952" s="266"/>
      <x:c r="G952" s="264"/>
      <x:c r="H952" s="267"/>
      <x:c r="I952" s="3"/>
      <x:c r="J952" s="3"/>
      <x:c r="K952" s="269"/>
      <x:c r="L952" s="270"/>
      <x:c r="M952" s="270"/>
      <x:c r="N952" s="3"/>
      <x:c r="O952" s="269"/>
      <x:c r="P952" s="271"/>
      <x:c r="Q952" s="272"/>
    </x:row>
    <x:row r="953" ht="12.75">
      <x:c r="A953" s="3"/>
      <x:c r="B953" s="264"/>
      <x:c r="C953" s="127"/>
      <x:c r="D953" s="127"/>
      <x:c r="E953" s="265"/>
      <x:c r="F953" s="266"/>
      <x:c r="G953" s="264"/>
      <x:c r="H953" s="267"/>
      <x:c r="I953" s="3"/>
      <x:c r="J953" s="3"/>
      <x:c r="K953" s="269"/>
      <x:c r="L953" s="270"/>
      <x:c r="M953" s="270"/>
      <x:c r="N953" s="3"/>
      <x:c r="O953" s="269"/>
      <x:c r="P953" s="271"/>
      <x:c r="Q953" s="272"/>
    </x:row>
    <x:row r="954" ht="12.75">
      <x:c r="A954" s="3"/>
      <x:c r="B954" s="264"/>
      <x:c r="C954" s="127"/>
      <x:c r="D954" s="127"/>
      <x:c r="E954" s="265"/>
      <x:c r="F954" s="266"/>
      <x:c r="G954" s="264"/>
      <x:c r="H954" s="267"/>
      <x:c r="I954" s="3"/>
      <x:c r="J954" s="3"/>
      <x:c r="K954" s="269"/>
      <x:c r="L954" s="270"/>
      <x:c r="M954" s="270"/>
      <x:c r="N954" s="3"/>
      <x:c r="O954" s="269"/>
      <x:c r="P954" s="271"/>
      <x:c r="Q954" s="272"/>
    </x:row>
    <x:row r="955" ht="12.75">
      <x:c r="A955" s="3"/>
      <x:c r="B955" s="264"/>
      <x:c r="C955" s="127"/>
      <x:c r="D955" s="127"/>
      <x:c r="E955" s="265"/>
      <x:c r="F955" s="266"/>
      <x:c r="G955" s="264"/>
      <x:c r="H955" s="267"/>
      <x:c r="I955" s="3"/>
      <x:c r="J955" s="3"/>
      <x:c r="K955" s="269"/>
      <x:c r="L955" s="270"/>
      <x:c r="M955" s="270"/>
      <x:c r="N955" s="3"/>
      <x:c r="O955" s="269"/>
      <x:c r="P955" s="271"/>
      <x:c r="Q955" s="272"/>
    </x:row>
    <x:row r="956" ht="12.75">
      <x:c r="A956" s="3"/>
      <x:c r="B956" s="264"/>
      <x:c r="C956" s="127"/>
      <x:c r="D956" s="127"/>
      <x:c r="E956" s="265"/>
      <x:c r="F956" s="266"/>
      <x:c r="G956" s="264"/>
      <x:c r="H956" s="267"/>
      <x:c r="I956" s="3"/>
      <x:c r="J956" s="3"/>
      <x:c r="K956" s="269"/>
      <x:c r="L956" s="270"/>
      <x:c r="M956" s="270"/>
      <x:c r="N956" s="3"/>
      <x:c r="O956" s="269"/>
      <x:c r="P956" s="271"/>
      <x:c r="Q956" s="272"/>
    </x:row>
    <x:row r="957" ht="12.75">
      <x:c r="A957" s="3"/>
      <x:c r="B957" s="264"/>
      <x:c r="C957" s="127"/>
      <x:c r="D957" s="127"/>
      <x:c r="E957" s="265"/>
      <x:c r="F957" s="266"/>
      <x:c r="G957" s="264"/>
      <x:c r="H957" s="267"/>
      <x:c r="I957" s="3"/>
      <x:c r="J957" s="3"/>
      <x:c r="K957" s="269"/>
      <x:c r="L957" s="270"/>
      <x:c r="M957" s="270"/>
      <x:c r="N957" s="3"/>
      <x:c r="O957" s="269"/>
      <x:c r="P957" s="271"/>
      <x:c r="Q957" s="272"/>
    </x:row>
    <x:row r="958" ht="12.75">
      <x:c r="A958" s="3"/>
      <x:c r="B958" s="264"/>
      <x:c r="C958" s="127"/>
      <x:c r="D958" s="127"/>
      <x:c r="E958" s="265"/>
      <x:c r="F958" s="266"/>
      <x:c r="G958" s="264"/>
      <x:c r="H958" s="267"/>
      <x:c r="I958" s="3"/>
      <x:c r="J958" s="3"/>
      <x:c r="K958" s="269"/>
      <x:c r="L958" s="270"/>
      <x:c r="M958" s="270"/>
      <x:c r="N958" s="3"/>
      <x:c r="O958" s="269"/>
      <x:c r="P958" s="271"/>
      <x:c r="Q958" s="272"/>
    </x:row>
    <x:row r="959" ht="12.75">
      <x:c r="A959" s="3"/>
      <x:c r="B959" s="264"/>
      <x:c r="C959" s="127"/>
      <x:c r="D959" s="127"/>
      <x:c r="E959" s="265"/>
      <x:c r="F959" s="266"/>
      <x:c r="G959" s="264"/>
      <x:c r="H959" s="267"/>
      <x:c r="I959" s="3"/>
      <x:c r="J959" s="3"/>
      <x:c r="K959" s="269"/>
      <x:c r="L959" s="270"/>
      <x:c r="M959" s="270"/>
      <x:c r="N959" s="3"/>
      <x:c r="O959" s="269"/>
      <x:c r="P959" s="271"/>
      <x:c r="Q959" s="272"/>
    </x:row>
    <x:row r="960" ht="12.75">
      <x:c r="A960" s="3"/>
      <x:c r="B960" s="264"/>
      <x:c r="C960" s="127"/>
      <x:c r="D960" s="127"/>
      <x:c r="E960" s="265"/>
      <x:c r="F960" s="266"/>
      <x:c r="G960" s="264"/>
      <x:c r="H960" s="267"/>
      <x:c r="I960" s="3"/>
      <x:c r="J960" s="3"/>
      <x:c r="K960" s="269"/>
      <x:c r="L960" s="270"/>
      <x:c r="M960" s="270"/>
      <x:c r="N960" s="3"/>
      <x:c r="O960" s="269"/>
      <x:c r="P960" s="271"/>
      <x:c r="Q960" s="272"/>
    </x:row>
    <x:row r="961" ht="12.75">
      <x:c r="A961" s="3"/>
      <x:c r="B961" s="264"/>
      <x:c r="C961" s="127"/>
      <x:c r="D961" s="127"/>
      <x:c r="E961" s="265"/>
      <x:c r="F961" s="266"/>
      <x:c r="G961" s="264"/>
      <x:c r="H961" s="267"/>
      <x:c r="I961" s="3"/>
      <x:c r="J961" s="3"/>
      <x:c r="K961" s="269"/>
      <x:c r="L961" s="270"/>
      <x:c r="M961" s="270"/>
      <x:c r="N961" s="3"/>
      <x:c r="O961" s="269"/>
      <x:c r="P961" s="271"/>
      <x:c r="Q961" s="272"/>
    </x:row>
    <x:row r="962" ht="12.75">
      <x:c r="A962" s="3"/>
      <x:c r="B962" s="264"/>
      <x:c r="C962" s="127"/>
      <x:c r="D962" s="127"/>
      <x:c r="E962" s="265"/>
      <x:c r="F962" s="266"/>
      <x:c r="G962" s="264"/>
      <x:c r="H962" s="267"/>
      <x:c r="I962" s="3"/>
      <x:c r="J962" s="3"/>
      <x:c r="K962" s="269"/>
      <x:c r="L962" s="270"/>
      <x:c r="M962" s="270"/>
      <x:c r="N962" s="3"/>
      <x:c r="O962" s="269"/>
      <x:c r="P962" s="271"/>
      <x:c r="Q962" s="272"/>
    </x:row>
    <x:row r="963" ht="12.75">
      <x:c r="A963" s="3"/>
      <x:c r="B963" s="264"/>
      <x:c r="C963" s="127"/>
      <x:c r="D963" s="127"/>
      <x:c r="E963" s="265"/>
      <x:c r="F963" s="266"/>
      <x:c r="G963" s="264"/>
      <x:c r="H963" s="267"/>
      <x:c r="I963" s="3"/>
      <x:c r="J963" s="3"/>
      <x:c r="K963" s="269"/>
      <x:c r="L963" s="270"/>
      <x:c r="M963" s="270"/>
      <x:c r="N963" s="3"/>
      <x:c r="O963" s="269"/>
      <x:c r="P963" s="271"/>
      <x:c r="Q963" s="272"/>
    </x:row>
    <x:row r="964" ht="12.75">
      <x:c r="A964" s="3"/>
      <x:c r="B964" s="264"/>
      <x:c r="C964" s="127"/>
      <x:c r="D964" s="127"/>
      <x:c r="E964" s="265"/>
      <x:c r="F964" s="266"/>
      <x:c r="G964" s="264"/>
      <x:c r="H964" s="267"/>
      <x:c r="I964" s="3"/>
      <x:c r="J964" s="3"/>
      <x:c r="K964" s="269"/>
      <x:c r="L964" s="270"/>
      <x:c r="M964" s="270"/>
      <x:c r="N964" s="3"/>
      <x:c r="O964" s="269"/>
      <x:c r="P964" s="271"/>
      <x:c r="Q964" s="272"/>
    </x:row>
    <x:row r="965" ht="12.75">
      <x:c r="A965" s="3"/>
      <x:c r="B965" s="264"/>
      <x:c r="C965" s="127"/>
      <x:c r="D965" s="127"/>
      <x:c r="E965" s="265"/>
      <x:c r="F965" s="266"/>
      <x:c r="G965" s="264"/>
      <x:c r="H965" s="267"/>
      <x:c r="I965" s="3"/>
      <x:c r="J965" s="3"/>
      <x:c r="K965" s="269"/>
      <x:c r="L965" s="270"/>
      <x:c r="M965" s="270"/>
      <x:c r="N965" s="3"/>
      <x:c r="O965" s="269"/>
      <x:c r="P965" s="271"/>
      <x:c r="Q965" s="272"/>
    </x:row>
    <x:row r="966" ht="12.75">
      <x:c r="A966" s="3"/>
      <x:c r="B966" s="264"/>
      <x:c r="C966" s="127"/>
      <x:c r="D966" s="127"/>
      <x:c r="E966" s="265"/>
      <x:c r="F966" s="266"/>
      <x:c r="G966" s="264"/>
      <x:c r="H966" s="267"/>
      <x:c r="I966" s="3"/>
      <x:c r="J966" s="3"/>
      <x:c r="K966" s="269"/>
      <x:c r="L966" s="270"/>
      <x:c r="M966" s="270"/>
      <x:c r="N966" s="3"/>
      <x:c r="O966" s="269"/>
      <x:c r="P966" s="271"/>
      <x:c r="Q966" s="272"/>
    </x:row>
    <x:row r="967" ht="12.75">
      <x:c r="A967" s="3"/>
      <x:c r="B967" s="264"/>
      <x:c r="C967" s="127"/>
      <x:c r="D967" s="127"/>
      <x:c r="E967" s="265"/>
      <x:c r="F967" s="266"/>
      <x:c r="G967" s="264"/>
      <x:c r="H967" s="267"/>
      <x:c r="I967" s="3"/>
      <x:c r="J967" s="3"/>
      <x:c r="K967" s="269"/>
      <x:c r="L967" s="270"/>
      <x:c r="M967" s="270"/>
      <x:c r="N967" s="3"/>
      <x:c r="O967" s="269"/>
      <x:c r="P967" s="271"/>
      <x:c r="Q967" s="272"/>
    </x:row>
    <x:row r="968" ht="12.75">
      <x:c r="A968" s="3"/>
      <x:c r="B968" s="264"/>
      <x:c r="C968" s="127"/>
      <x:c r="D968" s="127"/>
      <x:c r="E968" s="265"/>
      <x:c r="F968" s="266"/>
      <x:c r="G968" s="264"/>
      <x:c r="H968" s="267"/>
      <x:c r="I968" s="3"/>
      <x:c r="J968" s="3"/>
      <x:c r="K968" s="269"/>
      <x:c r="L968" s="270"/>
      <x:c r="M968" s="270"/>
      <x:c r="N968" s="3"/>
      <x:c r="O968" s="269"/>
      <x:c r="P968" s="271"/>
      <x:c r="Q968" s="272"/>
    </x:row>
    <x:row r="969" ht="12.75">
      <x:c r="A969" s="3"/>
      <x:c r="B969" s="264"/>
      <x:c r="C969" s="127"/>
      <x:c r="D969" s="127"/>
      <x:c r="E969" s="265"/>
      <x:c r="F969" s="266"/>
      <x:c r="G969" s="264"/>
      <x:c r="H969" s="267"/>
      <x:c r="I969" s="3"/>
      <x:c r="J969" s="3"/>
      <x:c r="K969" s="269"/>
      <x:c r="L969" s="270"/>
      <x:c r="M969" s="270"/>
      <x:c r="N969" s="3"/>
      <x:c r="O969" s="269"/>
      <x:c r="P969" s="271"/>
      <x:c r="Q969" s="272"/>
    </x:row>
    <x:row r="970" ht="12.75">
      <x:c r="A970" s="3"/>
      <x:c r="B970" s="264"/>
      <x:c r="C970" s="127"/>
      <x:c r="D970" s="127"/>
      <x:c r="E970" s="265"/>
      <x:c r="F970" s="266"/>
      <x:c r="G970" s="264"/>
      <x:c r="H970" s="267"/>
      <x:c r="I970" s="3"/>
      <x:c r="J970" s="3"/>
      <x:c r="K970" s="269"/>
      <x:c r="L970" s="270"/>
      <x:c r="M970" s="270"/>
      <x:c r="N970" s="3"/>
      <x:c r="O970" s="269"/>
      <x:c r="P970" s="271"/>
      <x:c r="Q970" s="272"/>
    </x:row>
    <x:row r="971" ht="12.75">
      <x:c r="A971" s="3"/>
      <x:c r="B971" s="264"/>
      <x:c r="C971" s="127"/>
      <x:c r="D971" s="127"/>
      <x:c r="E971" s="265"/>
      <x:c r="F971" s="266"/>
      <x:c r="G971" s="264"/>
      <x:c r="H971" s="267"/>
      <x:c r="I971" s="3"/>
      <x:c r="J971" s="3"/>
      <x:c r="K971" s="269"/>
      <x:c r="L971" s="270"/>
      <x:c r="M971" s="270"/>
      <x:c r="N971" s="3"/>
      <x:c r="O971" s="269"/>
      <x:c r="P971" s="271"/>
      <x:c r="Q971" s="272"/>
    </x:row>
    <x:row r="972" ht="12.75">
      <x:c r="A972" s="3"/>
      <x:c r="B972" s="264"/>
      <x:c r="C972" s="127"/>
      <x:c r="D972" s="127"/>
      <x:c r="E972" s="265"/>
      <x:c r="F972" s="266"/>
      <x:c r="G972" s="264"/>
      <x:c r="H972" s="267"/>
      <x:c r="I972" s="3"/>
      <x:c r="J972" s="3"/>
      <x:c r="K972" s="269"/>
      <x:c r="L972" s="270"/>
      <x:c r="M972" s="270"/>
      <x:c r="N972" s="3"/>
      <x:c r="O972" s="269"/>
      <x:c r="P972" s="271"/>
      <x:c r="Q972" s="272"/>
    </x:row>
    <x:row r="973" ht="12.75">
      <x:c r="A973" s="3"/>
      <x:c r="B973" s="264"/>
      <x:c r="C973" s="127"/>
      <x:c r="D973" s="127"/>
      <x:c r="E973" s="265"/>
      <x:c r="F973" s="266"/>
      <x:c r="G973" s="264"/>
      <x:c r="H973" s="267"/>
      <x:c r="I973" s="3"/>
      <x:c r="J973" s="3"/>
      <x:c r="K973" s="269"/>
      <x:c r="L973" s="270"/>
      <x:c r="M973" s="270"/>
      <x:c r="N973" s="3"/>
      <x:c r="O973" s="269"/>
      <x:c r="P973" s="271"/>
      <x:c r="Q973" s="272"/>
    </x:row>
    <x:row r="974" ht="12.75">
      <x:c r="A974" s="3"/>
      <x:c r="B974" s="264"/>
      <x:c r="C974" s="127"/>
      <x:c r="D974" s="127"/>
      <x:c r="E974" s="265"/>
      <x:c r="F974" s="266"/>
      <x:c r="G974" s="264"/>
      <x:c r="H974" s="267"/>
      <x:c r="I974" s="3"/>
      <x:c r="J974" s="3"/>
      <x:c r="K974" s="269"/>
      <x:c r="L974" s="270"/>
      <x:c r="M974" s="270"/>
      <x:c r="N974" s="3"/>
      <x:c r="O974" s="269"/>
      <x:c r="P974" s="271"/>
      <x:c r="Q974" s="272"/>
    </x:row>
    <x:row r="975" ht="12.75">
      <x:c r="A975" s="3"/>
      <x:c r="B975" s="264"/>
      <x:c r="C975" s="127"/>
      <x:c r="D975" s="127"/>
      <x:c r="E975" s="265"/>
      <x:c r="F975" s="266"/>
      <x:c r="G975" s="264"/>
      <x:c r="H975" s="267"/>
      <x:c r="I975" s="3"/>
      <x:c r="J975" s="3"/>
      <x:c r="K975" s="269"/>
      <x:c r="L975" s="270"/>
      <x:c r="M975" s="270"/>
      <x:c r="N975" s="3"/>
      <x:c r="O975" s="269"/>
      <x:c r="P975" s="271"/>
      <x:c r="Q975" s="272"/>
    </x:row>
    <x:row r="976" ht="12.75">
      <x:c r="A976" s="3"/>
      <x:c r="B976" s="264"/>
      <x:c r="C976" s="127"/>
      <x:c r="D976" s="127"/>
      <x:c r="E976" s="265"/>
      <x:c r="F976" s="266"/>
      <x:c r="G976" s="264"/>
      <x:c r="H976" s="267"/>
      <x:c r="I976" s="3"/>
      <x:c r="J976" s="3"/>
      <x:c r="K976" s="269"/>
      <x:c r="L976" s="270"/>
      <x:c r="M976" s="270"/>
      <x:c r="N976" s="3"/>
      <x:c r="O976" s="269"/>
      <x:c r="P976" s="271"/>
      <x:c r="Q976" s="272"/>
    </x:row>
    <x:row r="977" ht="12.75">
      <x:c r="A977" s="3"/>
      <x:c r="B977" s="264"/>
      <x:c r="C977" s="127"/>
      <x:c r="D977" s="127"/>
      <x:c r="E977" s="265"/>
      <x:c r="F977" s="266"/>
      <x:c r="G977" s="264"/>
      <x:c r="H977" s="267"/>
      <x:c r="I977" s="3"/>
      <x:c r="J977" s="3"/>
      <x:c r="K977" s="269"/>
      <x:c r="L977" s="270"/>
      <x:c r="M977" s="270"/>
      <x:c r="N977" s="3"/>
      <x:c r="O977" s="269"/>
      <x:c r="P977" s="271"/>
      <x:c r="Q977" s="272"/>
    </x:row>
    <x:row r="978" ht="12.75">
      <x:c r="A978" s="3"/>
      <x:c r="B978" s="264"/>
      <x:c r="C978" s="127"/>
      <x:c r="D978" s="127"/>
      <x:c r="E978" s="265"/>
      <x:c r="F978" s="266"/>
      <x:c r="G978" s="264"/>
      <x:c r="H978" s="267"/>
      <x:c r="I978" s="3"/>
      <x:c r="J978" s="3"/>
      <x:c r="K978" s="269"/>
      <x:c r="L978" s="270"/>
      <x:c r="M978" s="270"/>
      <x:c r="N978" s="3"/>
      <x:c r="O978" s="269"/>
      <x:c r="P978" s="271"/>
      <x:c r="Q978" s="272"/>
    </x:row>
    <x:row r="979" ht="12.75">
      <x:c r="A979" s="3"/>
      <x:c r="B979" s="264"/>
      <x:c r="C979" s="127"/>
      <x:c r="D979" s="127"/>
      <x:c r="E979" s="265"/>
      <x:c r="F979" s="266"/>
      <x:c r="G979" s="264"/>
      <x:c r="H979" s="267"/>
      <x:c r="I979" s="3"/>
      <x:c r="J979" s="3"/>
      <x:c r="K979" s="269"/>
      <x:c r="L979" s="270"/>
      <x:c r="M979" s="270"/>
      <x:c r="N979" s="3"/>
      <x:c r="O979" s="269"/>
      <x:c r="P979" s="271"/>
      <x:c r="Q979" s="272"/>
    </x:row>
    <x:row r="980" ht="12.75">
      <x:c r="A980" s="3"/>
      <x:c r="B980" s="264"/>
      <x:c r="C980" s="127"/>
      <x:c r="D980" s="127"/>
      <x:c r="E980" s="265"/>
      <x:c r="F980" s="266"/>
      <x:c r="G980" s="264"/>
      <x:c r="H980" s="267"/>
      <x:c r="I980" s="3"/>
      <x:c r="J980" s="3"/>
      <x:c r="K980" s="269"/>
      <x:c r="L980" s="270"/>
      <x:c r="M980" s="270"/>
      <x:c r="N980" s="3"/>
      <x:c r="O980" s="269"/>
      <x:c r="P980" s="271"/>
      <x:c r="Q980" s="272"/>
    </x:row>
    <x:row r="981" ht="12.75">
      <x:c r="A981" s="3"/>
      <x:c r="B981" s="264"/>
      <x:c r="C981" s="127"/>
      <x:c r="D981" s="127"/>
      <x:c r="E981" s="265"/>
      <x:c r="F981" s="266"/>
      <x:c r="G981" s="264"/>
      <x:c r="H981" s="267"/>
      <x:c r="I981" s="3"/>
      <x:c r="J981" s="3"/>
      <x:c r="K981" s="269"/>
      <x:c r="L981" s="270"/>
      <x:c r="M981" s="270"/>
      <x:c r="N981" s="3"/>
      <x:c r="O981" s="269"/>
      <x:c r="P981" s="271"/>
      <x:c r="Q981" s="272"/>
    </x:row>
    <x:row r="982" ht="12.75">
      <x:c r="A982" s="3"/>
      <x:c r="B982" s="264"/>
      <x:c r="C982" s="127"/>
      <x:c r="D982" s="127"/>
      <x:c r="E982" s="265"/>
      <x:c r="F982" s="266"/>
      <x:c r="G982" s="264"/>
      <x:c r="H982" s="267"/>
      <x:c r="I982" s="3"/>
      <x:c r="J982" s="3"/>
      <x:c r="K982" s="269"/>
      <x:c r="L982" s="270"/>
      <x:c r="M982" s="270"/>
      <x:c r="N982" s="3"/>
      <x:c r="O982" s="269"/>
      <x:c r="P982" s="271"/>
      <x:c r="Q982" s="272"/>
    </x:row>
    <x:row r="983" ht="12.75">
      <x:c r="A983" s="3"/>
      <x:c r="B983" s="264"/>
      <x:c r="C983" s="127"/>
      <x:c r="D983" s="127"/>
      <x:c r="E983" s="265"/>
      <x:c r="F983" s="266"/>
      <x:c r="G983" s="264"/>
      <x:c r="H983" s="267"/>
      <x:c r="I983" s="3"/>
      <x:c r="J983" s="3"/>
      <x:c r="K983" s="269"/>
      <x:c r="L983" s="270"/>
      <x:c r="M983" s="270"/>
      <x:c r="N983" s="3"/>
      <x:c r="O983" s="269"/>
      <x:c r="P983" s="271"/>
      <x:c r="Q983" s="272"/>
    </x:row>
    <x:row r="984" ht="12.75">
      <x:c r="A984" s="3"/>
      <x:c r="B984" s="264"/>
      <x:c r="C984" s="127"/>
      <x:c r="D984" s="127"/>
      <x:c r="E984" s="265"/>
      <x:c r="F984" s="266"/>
      <x:c r="G984" s="264"/>
      <x:c r="H984" s="267"/>
      <x:c r="I984" s="3"/>
      <x:c r="J984" s="3"/>
      <x:c r="K984" s="269"/>
      <x:c r="L984" s="270"/>
      <x:c r="M984" s="270"/>
      <x:c r="N984" s="3"/>
      <x:c r="O984" s="269"/>
      <x:c r="P984" s="271"/>
      <x:c r="Q984" s="272"/>
    </x:row>
    <x:row r="985" ht="12.75">
      <x:c r="A985" s="3"/>
      <x:c r="B985" s="264"/>
      <x:c r="C985" s="127"/>
      <x:c r="D985" s="127"/>
      <x:c r="E985" s="265"/>
      <x:c r="F985" s="266"/>
      <x:c r="G985" s="264"/>
      <x:c r="H985" s="267"/>
      <x:c r="I985" s="3"/>
      <x:c r="J985" s="3"/>
      <x:c r="K985" s="269"/>
      <x:c r="L985" s="270"/>
      <x:c r="M985" s="270"/>
      <x:c r="N985" s="3"/>
      <x:c r="O985" s="269"/>
      <x:c r="P985" s="271"/>
      <x:c r="Q985" s="272"/>
    </x:row>
    <x:row r="986" ht="12.75">
      <x:c r="A986" s="3"/>
      <x:c r="B986" s="264"/>
      <x:c r="C986" s="127"/>
      <x:c r="D986" s="127"/>
      <x:c r="E986" s="265"/>
      <x:c r="F986" s="266"/>
      <x:c r="G986" s="264"/>
      <x:c r="H986" s="267"/>
      <x:c r="I986" s="3"/>
      <x:c r="J986" s="3"/>
      <x:c r="K986" s="269"/>
      <x:c r="L986" s="270"/>
      <x:c r="M986" s="270"/>
      <x:c r="N986" s="3"/>
      <x:c r="O986" s="269"/>
      <x:c r="P986" s="271"/>
      <x:c r="Q986" s="272"/>
    </x:row>
    <x:row r="987" ht="12.75">
      <x:c r="A987" s="3"/>
      <x:c r="B987" s="264"/>
      <x:c r="C987" s="127"/>
      <x:c r="D987" s="127"/>
      <x:c r="E987" s="265"/>
      <x:c r="F987" s="266"/>
      <x:c r="G987" s="264"/>
      <x:c r="H987" s="267"/>
      <x:c r="I987" s="3"/>
      <x:c r="J987" s="3"/>
      <x:c r="K987" s="269"/>
      <x:c r="L987" s="270"/>
      <x:c r="M987" s="270"/>
      <x:c r="N987" s="3"/>
      <x:c r="O987" s="269"/>
      <x:c r="P987" s="271"/>
      <x:c r="Q987" s="272"/>
    </x:row>
    <x:row r="988" ht="12.75">
      <x:c r="A988" s="3"/>
      <x:c r="B988" s="264"/>
      <x:c r="C988" s="127"/>
      <x:c r="D988" s="127"/>
      <x:c r="E988" s="265"/>
      <x:c r="F988" s="266"/>
      <x:c r="G988" s="264"/>
      <x:c r="H988" s="267"/>
      <x:c r="I988" s="3"/>
      <x:c r="J988" s="3"/>
      <x:c r="K988" s="269"/>
      <x:c r="L988" s="270"/>
      <x:c r="M988" s="270"/>
      <x:c r="N988" s="3"/>
      <x:c r="O988" s="269"/>
      <x:c r="P988" s="271"/>
      <x:c r="Q988" s="272"/>
    </x:row>
    <x:row r="989" ht="12.75">
      <x:c r="A989" s="3"/>
      <x:c r="B989" s="264"/>
      <x:c r="C989" s="127"/>
      <x:c r="D989" s="127"/>
      <x:c r="E989" s="265"/>
      <x:c r="F989" s="266"/>
      <x:c r="G989" s="264"/>
      <x:c r="H989" s="267"/>
      <x:c r="I989" s="3"/>
      <x:c r="J989" s="3"/>
      <x:c r="K989" s="269"/>
      <x:c r="L989" s="270"/>
      <x:c r="M989" s="270"/>
      <x:c r="N989" s="3"/>
      <x:c r="O989" s="269"/>
      <x:c r="P989" s="271"/>
      <x:c r="Q989" s="272"/>
    </x:row>
    <x:row r="990" ht="12.75">
      <x:c r="A990" s="3"/>
      <x:c r="B990" s="264"/>
      <x:c r="C990" s="127"/>
      <x:c r="D990" s="127"/>
      <x:c r="E990" s="265"/>
      <x:c r="F990" s="266"/>
      <x:c r="G990" s="264"/>
      <x:c r="H990" s="267"/>
      <x:c r="I990" s="3"/>
      <x:c r="J990" s="3"/>
      <x:c r="K990" s="269"/>
      <x:c r="L990" s="270"/>
      <x:c r="M990" s="270"/>
      <x:c r="N990" s="3"/>
      <x:c r="O990" s="269"/>
      <x:c r="P990" s="271"/>
      <x:c r="Q990" s="272"/>
    </x:row>
    <x:row r="991" ht="12.75">
      <x:c r="A991" s="3"/>
      <x:c r="B991" s="264"/>
      <x:c r="C991" s="127"/>
      <x:c r="D991" s="127"/>
      <x:c r="E991" s="265"/>
      <x:c r="F991" s="266"/>
      <x:c r="G991" s="264"/>
      <x:c r="H991" s="267"/>
      <x:c r="I991" s="3"/>
      <x:c r="J991" s="3"/>
      <x:c r="K991" s="269"/>
      <x:c r="L991" s="270"/>
      <x:c r="M991" s="270"/>
      <x:c r="N991" s="3"/>
      <x:c r="O991" s="269"/>
      <x:c r="P991" s="271"/>
      <x:c r="Q991" s="272"/>
    </x:row>
    <x:row r="992" ht="12.75">
      <x:c r="A992" s="3"/>
      <x:c r="B992" s="264"/>
      <x:c r="C992" s="127"/>
      <x:c r="D992" s="127"/>
      <x:c r="E992" s="265"/>
      <x:c r="F992" s="266"/>
      <x:c r="G992" s="264"/>
      <x:c r="H992" s="267"/>
      <x:c r="I992" s="3"/>
      <x:c r="J992" s="3"/>
      <x:c r="K992" s="269"/>
      <x:c r="L992" s="270"/>
      <x:c r="M992" s="270"/>
      <x:c r="N992" s="3"/>
      <x:c r="O992" s="269"/>
      <x:c r="P992" s="271"/>
      <x:c r="Q992" s="272"/>
    </x:row>
    <x:row r="993" ht="12.75">
      <x:c r="A993" s="3"/>
      <x:c r="B993" s="264"/>
      <x:c r="C993" s="127"/>
      <x:c r="D993" s="127"/>
      <x:c r="E993" s="265"/>
      <x:c r="F993" s="266"/>
      <x:c r="G993" s="264"/>
      <x:c r="H993" s="267"/>
      <x:c r="I993" s="3"/>
      <x:c r="J993" s="3"/>
      <x:c r="K993" s="269"/>
      <x:c r="L993" s="270"/>
      <x:c r="M993" s="270"/>
      <x:c r="N993" s="3"/>
      <x:c r="O993" s="269"/>
      <x:c r="P993" s="271"/>
      <x:c r="Q993" s="272"/>
    </x:row>
    <x:row r="994" ht="12.75">
      <x:c r="A994" s="3"/>
      <x:c r="B994" s="264"/>
      <x:c r="C994" s="127"/>
      <x:c r="D994" s="127"/>
      <x:c r="E994" s="265"/>
      <x:c r="F994" s="266"/>
      <x:c r="G994" s="264"/>
      <x:c r="H994" s="267"/>
      <x:c r="I994" s="3"/>
      <x:c r="J994" s="3"/>
      <x:c r="K994" s="269"/>
      <x:c r="L994" s="270"/>
      <x:c r="M994" s="270"/>
      <x:c r="N994" s="3"/>
      <x:c r="O994" s="269"/>
      <x:c r="P994" s="271"/>
      <x:c r="Q994" s="272"/>
    </x:row>
    <x:row r="995" ht="12.75">
      <x:c r="A995" s="3"/>
      <x:c r="B995" s="264"/>
      <x:c r="C995" s="127"/>
      <x:c r="D995" s="127"/>
      <x:c r="E995" s="265"/>
      <x:c r="F995" s="266"/>
      <x:c r="G995" s="264"/>
      <x:c r="H995" s="267"/>
      <x:c r="I995" s="3"/>
      <x:c r="J995" s="3"/>
      <x:c r="K995" s="269"/>
      <x:c r="L995" s="270"/>
      <x:c r="M995" s="270"/>
      <x:c r="N995" s="3"/>
      <x:c r="O995" s="269"/>
      <x:c r="P995" s="271"/>
      <x:c r="Q995" s="272"/>
    </x:row>
    <x:row r="996" ht="12.75">
      <x:c r="A996" s="3"/>
      <x:c r="B996" s="264"/>
      <x:c r="C996" s="127"/>
      <x:c r="D996" s="127"/>
      <x:c r="E996" s="265"/>
      <x:c r="F996" s="266"/>
      <x:c r="G996" s="264"/>
      <x:c r="H996" s="267"/>
      <x:c r="I996" s="3"/>
      <x:c r="J996" s="3"/>
      <x:c r="K996" s="269"/>
      <x:c r="L996" s="270"/>
      <x:c r="M996" s="270"/>
      <x:c r="N996" s="3"/>
      <x:c r="O996" s="269"/>
      <x:c r="P996" s="271"/>
      <x:c r="Q996" s="272"/>
    </x:row>
    <x:row r="997" ht="12.75">
      <x:c r="A997" s="3"/>
      <x:c r="B997" s="264"/>
      <x:c r="C997" s="127"/>
      <x:c r="D997" s="127"/>
      <x:c r="E997" s="265"/>
      <x:c r="F997" s="266"/>
      <x:c r="G997" s="264"/>
      <x:c r="H997" s="267"/>
      <x:c r="I997" s="3"/>
      <x:c r="J997" s="3"/>
      <x:c r="K997" s="269"/>
      <x:c r="L997" s="270"/>
      <x:c r="M997" s="270"/>
      <x:c r="N997" s="3"/>
      <x:c r="O997" s="269"/>
      <x:c r="P997" s="271"/>
      <x:c r="Q997" s="272"/>
    </x:row>
    <x:row r="998" ht="12.75">
      <x:c r="A998" s="3"/>
      <x:c r="B998" s="264"/>
      <x:c r="C998" s="127"/>
      <x:c r="D998" s="127"/>
      <x:c r="E998" s="265"/>
      <x:c r="F998" s="266"/>
      <x:c r="G998" s="264"/>
      <x:c r="H998" s="267"/>
      <x:c r="I998" s="3"/>
      <x:c r="J998" s="3"/>
      <x:c r="K998" s="269"/>
      <x:c r="L998" s="270"/>
      <x:c r="M998" s="270"/>
      <x:c r="N998" s="3"/>
      <x:c r="O998" s="269"/>
      <x:c r="P998" s="271"/>
      <x:c r="Q998" s="272"/>
    </x:row>
    <x:row r="999" ht="12.75">
      <x:c r="A999" s="3"/>
      <x:c r="B999" s="264"/>
      <x:c r="C999" s="127"/>
      <x:c r="D999" s="127"/>
      <x:c r="E999" s="265"/>
      <x:c r="F999" s="266"/>
      <x:c r="G999" s="264"/>
      <x:c r="H999" s="267"/>
      <x:c r="I999" s="3"/>
      <x:c r="J999" s="3"/>
      <x:c r="K999" s="269"/>
      <x:c r="L999" s="270"/>
      <x:c r="M999" s="270"/>
      <x:c r="N999" s="3"/>
      <x:c r="O999" s="269"/>
      <x:c r="P999" s="271"/>
      <x:c r="Q999" s="272"/>
    </x:row>
    <x:row r="1000" ht="12.75">
      <x:c r="A1000" s="3"/>
      <x:c r="B1000" s="264"/>
      <x:c r="C1000" s="127"/>
      <x:c r="D1000" s="127"/>
      <x:c r="E1000" s="265"/>
      <x:c r="F1000" s="266"/>
      <x:c r="G1000" s="264"/>
      <x:c r="H1000" s="267"/>
      <x:c r="I1000" s="3"/>
      <x:c r="J1000" s="3"/>
      <x:c r="K1000" s="269"/>
      <x:c r="L1000" s="270"/>
      <x:c r="M1000" s="270"/>
      <x:c r="N1000" s="3"/>
      <x:c r="O1000" s="269"/>
      <x:c r="P1000" s="271"/>
      <x:c r="Q1000" s="272"/>
    </x:row>
    <x:row r="1001" ht="12.75">
      <x:c r="A1001" s="3"/>
      <x:c r="B1001" s="264"/>
      <x:c r="C1001" s="127"/>
      <x:c r="D1001" s="127"/>
      <x:c r="E1001" s="265"/>
      <x:c r="F1001" s="266"/>
      <x:c r="G1001" s="264"/>
      <x:c r="H1001" s="267"/>
      <x:c r="I1001" s="3"/>
      <x:c r="J1001" s="3"/>
      <x:c r="K1001" s="269"/>
      <x:c r="L1001" s="270"/>
      <x:c r="M1001" s="270"/>
      <x:c r="N1001" s="3"/>
      <x:c r="O1001" s="269"/>
      <x:c r="P1001" s="271"/>
      <x:c r="Q1001" s="272"/>
    </x:row>
    <x:row r="1002" ht="12.75">
      <x:c r="A1002" s="3"/>
      <x:c r="B1002" s="264"/>
      <x:c r="C1002" s="127"/>
      <x:c r="D1002" s="127"/>
      <x:c r="E1002" s="265"/>
      <x:c r="F1002" s="266"/>
      <x:c r="G1002" s="264"/>
      <x:c r="H1002" s="267"/>
      <x:c r="I1002" s="3"/>
      <x:c r="J1002" s="3"/>
      <x:c r="K1002" s="269"/>
      <x:c r="L1002" s="270"/>
      <x:c r="M1002" s="270"/>
      <x:c r="N1002" s="3"/>
      <x:c r="O1002" s="269"/>
      <x:c r="P1002" s="271"/>
      <x:c r="Q1002" s="272"/>
    </x:row>
    <x:row r="1003" ht="12.75">
      <x:c r="A1003" s="3"/>
      <x:c r="B1003" s="264"/>
      <x:c r="C1003" s="127"/>
      <x:c r="D1003" s="127"/>
      <x:c r="E1003" s="265"/>
      <x:c r="F1003" s="266"/>
      <x:c r="G1003" s="264"/>
      <x:c r="H1003" s="267"/>
      <x:c r="I1003" s="3"/>
      <x:c r="J1003" s="3"/>
      <x:c r="K1003" s="269"/>
      <x:c r="L1003" s="270"/>
      <x:c r="M1003" s="270"/>
      <x:c r="N1003" s="3"/>
      <x:c r="O1003" s="269"/>
      <x:c r="P1003" s="271"/>
      <x:c r="Q1003" s="272"/>
    </x:row>
    <x:row r="1004" ht="12.75">
      <x:c r="A1004" s="3"/>
      <x:c r="B1004" s="264"/>
      <x:c r="C1004" s="127"/>
      <x:c r="D1004" s="127"/>
      <x:c r="E1004" s="265"/>
      <x:c r="F1004" s="266"/>
      <x:c r="G1004" s="264"/>
      <x:c r="H1004" s="267"/>
      <x:c r="I1004" s="3"/>
      <x:c r="J1004" s="3"/>
      <x:c r="K1004" s="269"/>
      <x:c r="L1004" s="270"/>
      <x:c r="M1004" s="270"/>
      <x:c r="N1004" s="3"/>
      <x:c r="O1004" s="269"/>
      <x:c r="P1004" s="271"/>
      <x:c r="Q1004" s="272"/>
    </x:row>
    <x:row r="1005" ht="12.75">
      <x:c r="A1005" s="3"/>
      <x:c r="B1005" s="264"/>
      <x:c r="C1005" s="127"/>
      <x:c r="D1005" s="127"/>
      <x:c r="E1005" s="265"/>
      <x:c r="F1005" s="266"/>
      <x:c r="G1005" s="264"/>
      <x:c r="H1005" s="267"/>
      <x:c r="I1005" s="3"/>
      <x:c r="J1005" s="3"/>
      <x:c r="K1005" s="269"/>
      <x:c r="L1005" s="270"/>
      <x:c r="M1005" s="270"/>
      <x:c r="N1005" s="3"/>
      <x:c r="O1005" s="269"/>
      <x:c r="P1005" s="271"/>
      <x:c r="Q1005" s="272"/>
    </x:row>
    <x:row r="1006" ht="12.75">
      <x:c r="A1006" s="3"/>
      <x:c r="B1006" s="264"/>
      <x:c r="C1006" s="127"/>
      <x:c r="D1006" s="127"/>
      <x:c r="E1006" s="265"/>
      <x:c r="F1006" s="266"/>
      <x:c r="G1006" s="264"/>
      <x:c r="H1006" s="267"/>
      <x:c r="I1006" s="3"/>
      <x:c r="J1006" s="3"/>
      <x:c r="K1006" s="269"/>
      <x:c r="L1006" s="270"/>
      <x:c r="M1006" s="270"/>
      <x:c r="N1006" s="3"/>
      <x:c r="O1006" s="269"/>
      <x:c r="P1006" s="271"/>
      <x:c r="Q1006" s="272"/>
    </x:row>
    <x:row r="1007" ht="12.75">
      <x:c r="A1007" s="3"/>
      <x:c r="B1007" s="264"/>
      <x:c r="C1007" s="127"/>
      <x:c r="D1007" s="127"/>
      <x:c r="E1007" s="265"/>
      <x:c r="F1007" s="266"/>
      <x:c r="G1007" s="264"/>
      <x:c r="H1007" s="267"/>
      <x:c r="I1007" s="3"/>
      <x:c r="J1007" s="3"/>
      <x:c r="K1007" s="269"/>
      <x:c r="L1007" s="270"/>
      <x:c r="M1007" s="270"/>
      <x:c r="N1007" s="3"/>
      <x:c r="O1007" s="269"/>
      <x:c r="P1007" s="271"/>
      <x:c r="Q1007" s="272"/>
    </x:row>
    <x:row r="1008" ht="12.75">
      <x:c r="A1008" s="3"/>
      <x:c r="B1008" s="264"/>
      <x:c r="C1008" s="127"/>
      <x:c r="D1008" s="127"/>
      <x:c r="E1008" s="265"/>
      <x:c r="F1008" s="266"/>
      <x:c r="G1008" s="264"/>
      <x:c r="H1008" s="267"/>
      <x:c r="I1008" s="3"/>
      <x:c r="J1008" s="3"/>
      <x:c r="K1008" s="269"/>
      <x:c r="L1008" s="270"/>
      <x:c r="M1008" s="270"/>
      <x:c r="N1008" s="3"/>
      <x:c r="O1008" s="269"/>
      <x:c r="P1008" s="271"/>
      <x:c r="Q1008" s="272"/>
    </x:row>
    <x:row r="1009" ht="12.75">
      <x:c r="A1009" s="3"/>
      <x:c r="B1009" s="264"/>
      <x:c r="C1009" s="127"/>
      <x:c r="D1009" s="127"/>
      <x:c r="E1009" s="265"/>
      <x:c r="F1009" s="266"/>
      <x:c r="G1009" s="264"/>
      <x:c r="H1009" s="267"/>
      <x:c r="I1009" s="3"/>
      <x:c r="J1009" s="3"/>
      <x:c r="K1009" s="269"/>
      <x:c r="L1009" s="270"/>
      <x:c r="M1009" s="270"/>
      <x:c r="N1009" s="3"/>
      <x:c r="O1009" s="269"/>
      <x:c r="P1009" s="271"/>
      <x:c r="Q1009" s="272"/>
    </x:row>
    <x:row r="1010" ht="12.75">
      <x:c r="A1010" s="3"/>
      <x:c r="B1010" s="264"/>
      <x:c r="C1010" s="127"/>
      <x:c r="D1010" s="127"/>
      <x:c r="E1010" s="265"/>
      <x:c r="F1010" s="266"/>
      <x:c r="G1010" s="264"/>
      <x:c r="H1010" s="267"/>
      <x:c r="I1010" s="3"/>
      <x:c r="J1010" s="3"/>
      <x:c r="K1010" s="269"/>
      <x:c r="L1010" s="270"/>
      <x:c r="M1010" s="270"/>
      <x:c r="N1010" s="3"/>
      <x:c r="O1010" s="269"/>
      <x:c r="P1010" s="271"/>
      <x:c r="Q1010" s="272"/>
    </x:row>
    <x:row r="1011" ht="12.75">
      <x:c r="A1011" s="3"/>
      <x:c r="B1011" s="264"/>
      <x:c r="C1011" s="127"/>
      <x:c r="D1011" s="127"/>
      <x:c r="E1011" s="265"/>
      <x:c r="F1011" s="266"/>
      <x:c r="G1011" s="264"/>
      <x:c r="H1011" s="267"/>
      <x:c r="I1011" s="3"/>
      <x:c r="J1011" s="3"/>
      <x:c r="K1011" s="269"/>
      <x:c r="L1011" s="270"/>
      <x:c r="M1011" s="270"/>
      <x:c r="N1011" s="3"/>
      <x:c r="O1011" s="269"/>
      <x:c r="P1011" s="271"/>
      <x:c r="Q1011" s="272"/>
    </x:row>
    <x:row r="1012" ht="12.75">
      <x:c r="A1012" s="3"/>
      <x:c r="B1012" s="264"/>
      <x:c r="C1012" s="127"/>
      <x:c r="D1012" s="127"/>
      <x:c r="E1012" s="265"/>
      <x:c r="F1012" s="266"/>
      <x:c r="G1012" s="264"/>
      <x:c r="H1012" s="267"/>
      <x:c r="I1012" s="3"/>
      <x:c r="J1012" s="3"/>
      <x:c r="K1012" s="269"/>
      <x:c r="L1012" s="270"/>
      <x:c r="M1012" s="270"/>
      <x:c r="N1012" s="3"/>
      <x:c r="O1012" s="269"/>
      <x:c r="P1012" s="271"/>
      <x:c r="Q1012" s="272"/>
    </x:row>
    <x:row r="1013" ht="12.75">
      <x:c r="A1013" s="3"/>
      <x:c r="B1013" s="264"/>
      <x:c r="C1013" s="127"/>
      <x:c r="D1013" s="127"/>
      <x:c r="E1013" s="265"/>
      <x:c r="F1013" s="266"/>
      <x:c r="G1013" s="264"/>
      <x:c r="H1013" s="267"/>
      <x:c r="I1013" s="3"/>
      <x:c r="J1013" s="3"/>
      <x:c r="K1013" s="269"/>
      <x:c r="L1013" s="270"/>
      <x:c r="M1013" s="270"/>
      <x:c r="N1013" s="3"/>
      <x:c r="O1013" s="269"/>
      <x:c r="P1013" s="271"/>
      <x:c r="Q1013" s="272"/>
    </x:row>
    <x:row r="1014" ht="12.75">
      <x:c r="A1014" s="3"/>
      <x:c r="B1014" s="264"/>
      <x:c r="C1014" s="127"/>
      <x:c r="D1014" s="127"/>
      <x:c r="E1014" s="265"/>
      <x:c r="F1014" s="266"/>
      <x:c r="G1014" s="264"/>
      <x:c r="H1014" s="267"/>
      <x:c r="I1014" s="3"/>
      <x:c r="J1014" s="3"/>
      <x:c r="K1014" s="269"/>
      <x:c r="L1014" s="270"/>
      <x:c r="M1014" s="270"/>
      <x:c r="N1014" s="3"/>
      <x:c r="O1014" s="269"/>
      <x:c r="P1014" s="271"/>
      <x:c r="Q1014" s="272"/>
    </x:row>
    <x:row r="1015" ht="12.75">
      <x:c r="A1015" s="3"/>
      <x:c r="B1015" s="264"/>
      <x:c r="C1015" s="127"/>
      <x:c r="D1015" s="127"/>
      <x:c r="E1015" s="265"/>
      <x:c r="F1015" s="266"/>
      <x:c r="G1015" s="264"/>
      <x:c r="H1015" s="267"/>
      <x:c r="I1015" s="3"/>
      <x:c r="J1015" s="3"/>
      <x:c r="K1015" s="269"/>
      <x:c r="L1015" s="270"/>
      <x:c r="M1015" s="270"/>
      <x:c r="N1015" s="3"/>
      <x:c r="O1015" s="269"/>
      <x:c r="P1015" s="271"/>
      <x:c r="Q1015" s="272"/>
    </x:row>
    <x:row r="1016" ht="12.75">
      <x:c r="A1016" s="3"/>
      <x:c r="B1016" s="264"/>
      <x:c r="C1016" s="127"/>
      <x:c r="D1016" s="127"/>
      <x:c r="E1016" s="265"/>
      <x:c r="F1016" s="266"/>
      <x:c r="G1016" s="264"/>
      <x:c r="H1016" s="267"/>
      <x:c r="I1016" s="3"/>
      <x:c r="J1016" s="3"/>
      <x:c r="K1016" s="269"/>
      <x:c r="L1016" s="270"/>
      <x:c r="M1016" s="270"/>
      <x:c r="N1016" s="3"/>
      <x:c r="O1016" s="269"/>
      <x:c r="P1016" s="271"/>
      <x:c r="Q1016" s="272"/>
    </x:row>
    <x:row r="1017" ht="12.75">
      <x:c r="A1017" s="3"/>
      <x:c r="B1017" s="264"/>
      <x:c r="C1017" s="127"/>
      <x:c r="D1017" s="127"/>
      <x:c r="E1017" s="265"/>
      <x:c r="F1017" s="266"/>
      <x:c r="G1017" s="264"/>
      <x:c r="H1017" s="267"/>
      <x:c r="I1017" s="3"/>
      <x:c r="J1017" s="3"/>
      <x:c r="K1017" s="269"/>
      <x:c r="L1017" s="270"/>
      <x:c r="M1017" s="270"/>
      <x:c r="N1017" s="3"/>
      <x:c r="O1017" s="269"/>
      <x:c r="P1017" s="271"/>
      <x:c r="Q1017" s="272"/>
    </x:row>
    <x:row r="1018" ht="12.75">
      <x:c r="A1018" s="3"/>
      <x:c r="B1018" s="264"/>
      <x:c r="C1018" s="127"/>
      <x:c r="D1018" s="127"/>
      <x:c r="E1018" s="265"/>
      <x:c r="F1018" s="266"/>
      <x:c r="G1018" s="264"/>
      <x:c r="H1018" s="267"/>
      <x:c r="I1018" s="3"/>
      <x:c r="J1018" s="3"/>
      <x:c r="K1018" s="269"/>
      <x:c r="L1018" s="270"/>
      <x:c r="M1018" s="270"/>
      <x:c r="N1018" s="3"/>
      <x:c r="O1018" s="269"/>
      <x:c r="P1018" s="271"/>
      <x:c r="Q1018" s="272"/>
    </x:row>
    <x:row r="1019" ht="12.75">
      <x:c r="A1019" s="3"/>
      <x:c r="B1019" s="264"/>
      <x:c r="C1019" s="127"/>
      <x:c r="D1019" s="127"/>
      <x:c r="E1019" s="265"/>
      <x:c r="F1019" s="266"/>
      <x:c r="G1019" s="264"/>
      <x:c r="H1019" s="267"/>
      <x:c r="I1019" s="3"/>
      <x:c r="J1019" s="3"/>
      <x:c r="K1019" s="269"/>
      <x:c r="L1019" s="270"/>
      <x:c r="M1019" s="270"/>
      <x:c r="N1019" s="3"/>
      <x:c r="O1019" s="269"/>
      <x:c r="P1019" s="271"/>
      <x:c r="Q1019" s="272"/>
    </x:row>
    <x:row r="1020" ht="12.75">
      <x:c r="A1020" s="3"/>
      <x:c r="B1020" s="264"/>
      <x:c r="C1020" s="127"/>
      <x:c r="D1020" s="127"/>
      <x:c r="E1020" s="265"/>
      <x:c r="F1020" s="266"/>
      <x:c r="G1020" s="264"/>
      <x:c r="H1020" s="267"/>
      <x:c r="I1020" s="3"/>
      <x:c r="J1020" s="3"/>
      <x:c r="K1020" s="269"/>
      <x:c r="L1020" s="270"/>
      <x:c r="M1020" s="270"/>
      <x:c r="N1020" s="3"/>
      <x:c r="O1020" s="269"/>
      <x:c r="P1020" s="271"/>
      <x:c r="Q1020" s="272"/>
    </x:row>
    <x:row r="1021" ht="12.75">
      <x:c r="A1021" s="3"/>
      <x:c r="B1021" s="264"/>
      <x:c r="C1021" s="127"/>
      <x:c r="D1021" s="127"/>
      <x:c r="E1021" s="265"/>
      <x:c r="F1021" s="266"/>
      <x:c r="G1021" s="264"/>
      <x:c r="H1021" s="267"/>
      <x:c r="I1021" s="3"/>
      <x:c r="J1021" s="3"/>
      <x:c r="K1021" s="269"/>
      <x:c r="L1021" s="270"/>
      <x:c r="M1021" s="270"/>
      <x:c r="N1021" s="3"/>
      <x:c r="O1021" s="269"/>
      <x:c r="P1021" s="271"/>
      <x:c r="Q1021" s="272"/>
    </x:row>
    <x:row r="1022" ht="12.75">
      <x:c r="A1022" s="3"/>
      <x:c r="B1022" s="264"/>
      <x:c r="C1022" s="127"/>
      <x:c r="D1022" s="127"/>
      <x:c r="E1022" s="265"/>
      <x:c r="F1022" s="266"/>
      <x:c r="G1022" s="264"/>
      <x:c r="H1022" s="267"/>
      <x:c r="I1022" s="3"/>
      <x:c r="J1022" s="3"/>
      <x:c r="K1022" s="269"/>
      <x:c r="L1022" s="270"/>
      <x:c r="M1022" s="270"/>
      <x:c r="N1022" s="3"/>
      <x:c r="O1022" s="269"/>
      <x:c r="P1022" s="271"/>
      <x:c r="Q1022" s="272"/>
    </x:row>
    <x:row r="1023" ht="12.75">
      <x:c r="A1023" s="3"/>
      <x:c r="B1023" s="264"/>
      <x:c r="C1023" s="127"/>
      <x:c r="D1023" s="127"/>
      <x:c r="E1023" s="265"/>
      <x:c r="F1023" s="266"/>
      <x:c r="G1023" s="264"/>
      <x:c r="H1023" s="267"/>
      <x:c r="I1023" s="3"/>
      <x:c r="J1023" s="3"/>
      <x:c r="K1023" s="269"/>
      <x:c r="L1023" s="270"/>
      <x:c r="M1023" s="270"/>
      <x:c r="N1023" s="3"/>
      <x:c r="O1023" s="269"/>
      <x:c r="P1023" s="271"/>
      <x:c r="Q1023" s="272"/>
    </x:row>
    <x:row r="1024" ht="12.75">
      <x:c r="A1024" s="3"/>
      <x:c r="B1024" s="264"/>
      <x:c r="C1024" s="127"/>
      <x:c r="D1024" s="127"/>
      <x:c r="E1024" s="265"/>
      <x:c r="F1024" s="266"/>
      <x:c r="G1024" s="264"/>
      <x:c r="H1024" s="267"/>
      <x:c r="I1024" s="3"/>
      <x:c r="J1024" s="3"/>
      <x:c r="K1024" s="269"/>
      <x:c r="L1024" s="270"/>
      <x:c r="M1024" s="270"/>
      <x:c r="N1024" s="3"/>
      <x:c r="O1024" s="269"/>
      <x:c r="P1024" s="271"/>
      <x:c r="Q1024" s="272"/>
    </x:row>
    <x:row r="1025" ht="12.75">
      <x:c r="A1025" s="3"/>
      <x:c r="B1025" s="264"/>
      <x:c r="C1025" s="127"/>
      <x:c r="D1025" s="127"/>
      <x:c r="E1025" s="265"/>
      <x:c r="F1025" s="266"/>
      <x:c r="G1025" s="264"/>
      <x:c r="H1025" s="267"/>
      <x:c r="I1025" s="3"/>
      <x:c r="J1025" s="3"/>
      <x:c r="K1025" s="269"/>
      <x:c r="L1025" s="270"/>
      <x:c r="M1025" s="270"/>
      <x:c r="N1025" s="3"/>
      <x:c r="O1025" s="269"/>
      <x:c r="P1025" s="271"/>
      <x:c r="Q1025" s="272"/>
    </x:row>
    <x:row r="1026" ht="12.75">
      <x:c r="A1026" s="3"/>
      <x:c r="B1026" s="264"/>
      <x:c r="C1026" s="127"/>
      <x:c r="D1026" s="127"/>
      <x:c r="E1026" s="265"/>
      <x:c r="F1026" s="266"/>
      <x:c r="G1026" s="264"/>
      <x:c r="H1026" s="267"/>
      <x:c r="I1026" s="3"/>
      <x:c r="J1026" s="3"/>
      <x:c r="K1026" s="269"/>
      <x:c r="L1026" s="270"/>
      <x:c r="M1026" s="270"/>
      <x:c r="N1026" s="3"/>
      <x:c r="O1026" s="269"/>
      <x:c r="P1026" s="271"/>
      <x:c r="Q1026" s="272"/>
    </x:row>
    <x:row r="1027" ht="12.75">
      <x:c r="A1027" s="3"/>
      <x:c r="B1027" s="264"/>
      <x:c r="C1027" s="127"/>
      <x:c r="D1027" s="127"/>
      <x:c r="E1027" s="265"/>
      <x:c r="F1027" s="266"/>
      <x:c r="G1027" s="264"/>
      <x:c r="H1027" s="267"/>
      <x:c r="I1027" s="3"/>
      <x:c r="J1027" s="3"/>
      <x:c r="K1027" s="269"/>
      <x:c r="L1027" s="270"/>
      <x:c r="M1027" s="270"/>
      <x:c r="N1027" s="3"/>
      <x:c r="O1027" s="269"/>
      <x:c r="P1027" s="271"/>
      <x:c r="Q1027" s="272"/>
    </x:row>
    <x:row r="1028" ht="12.75">
      <x:c r="A1028" s="3"/>
      <x:c r="B1028" s="264"/>
      <x:c r="C1028" s="127"/>
      <x:c r="D1028" s="127"/>
      <x:c r="E1028" s="265"/>
      <x:c r="F1028" s="266"/>
      <x:c r="G1028" s="264"/>
      <x:c r="H1028" s="267"/>
      <x:c r="I1028" s="3"/>
      <x:c r="J1028" s="3"/>
      <x:c r="K1028" s="269"/>
      <x:c r="L1028" s="270"/>
      <x:c r="M1028" s="270"/>
      <x:c r="N1028" s="3"/>
      <x:c r="O1028" s="269"/>
      <x:c r="P1028" s="271"/>
      <x:c r="Q1028" s="272"/>
    </x:row>
    <x:row r="1029" ht="12.75">
      <x:c r="A1029" s="3"/>
      <x:c r="B1029" s="264"/>
      <x:c r="C1029" s="127"/>
      <x:c r="D1029" s="127"/>
      <x:c r="E1029" s="265"/>
      <x:c r="F1029" s="266"/>
      <x:c r="G1029" s="264"/>
      <x:c r="H1029" s="267"/>
      <x:c r="I1029" s="3"/>
      <x:c r="J1029" s="3"/>
      <x:c r="K1029" s="269"/>
      <x:c r="L1029" s="270"/>
      <x:c r="M1029" s="270"/>
      <x:c r="N1029" s="3"/>
      <x:c r="O1029" s="269"/>
      <x:c r="P1029" s="271"/>
      <x:c r="Q1029" s="272"/>
    </x:row>
    <x:row r="1030" ht="12.75">
      <x:c r="A1030" s="3"/>
      <x:c r="B1030" s="264"/>
      <x:c r="C1030" s="127"/>
      <x:c r="D1030" s="127"/>
      <x:c r="E1030" s="265"/>
      <x:c r="F1030" s="266"/>
      <x:c r="G1030" s="264"/>
      <x:c r="H1030" s="267"/>
      <x:c r="I1030" s="3"/>
      <x:c r="J1030" s="3"/>
      <x:c r="K1030" s="269"/>
      <x:c r="L1030" s="270"/>
      <x:c r="M1030" s="270"/>
      <x:c r="N1030" s="3"/>
      <x:c r="O1030" s="269"/>
      <x:c r="P1030" s="271"/>
      <x:c r="Q1030" s="272"/>
    </x:row>
    <x:row r="1031" ht="12.75">
      <x:c r="A1031" s="3"/>
      <x:c r="B1031" s="264"/>
      <x:c r="C1031" s="127"/>
      <x:c r="D1031" s="127"/>
      <x:c r="E1031" s="265"/>
      <x:c r="F1031" s="266"/>
      <x:c r="G1031" s="264"/>
      <x:c r="H1031" s="267"/>
      <x:c r="I1031" s="3"/>
      <x:c r="J1031" s="3"/>
      <x:c r="K1031" s="269"/>
      <x:c r="L1031" s="270"/>
      <x:c r="M1031" s="270"/>
      <x:c r="N1031" s="3"/>
      <x:c r="O1031" s="269"/>
      <x:c r="P1031" s="271"/>
      <x:c r="Q1031" s="272"/>
    </x:row>
    <x:row r="1032" ht="12.75">
      <x:c r="A1032" s="3"/>
      <x:c r="B1032" s="264"/>
      <x:c r="C1032" s="127"/>
      <x:c r="D1032" s="127"/>
      <x:c r="E1032" s="265"/>
      <x:c r="F1032" s="266"/>
      <x:c r="G1032" s="264"/>
      <x:c r="H1032" s="267"/>
      <x:c r="I1032" s="3"/>
      <x:c r="J1032" s="3"/>
      <x:c r="K1032" s="269"/>
      <x:c r="L1032" s="270"/>
      <x:c r="M1032" s="270"/>
      <x:c r="N1032" s="3"/>
      <x:c r="O1032" s="269"/>
      <x:c r="P1032" s="271"/>
      <x:c r="Q1032" s="272"/>
    </x:row>
    <x:row r="1033" ht="12.75">
      <x:c r="A1033" s="3"/>
      <x:c r="B1033" s="264"/>
      <x:c r="C1033" s="127"/>
      <x:c r="D1033" s="127"/>
      <x:c r="E1033" s="265"/>
      <x:c r="F1033" s="266"/>
      <x:c r="G1033" s="264"/>
      <x:c r="H1033" s="267"/>
      <x:c r="I1033" s="3"/>
      <x:c r="J1033" s="3"/>
      <x:c r="K1033" s="269"/>
      <x:c r="L1033" s="270"/>
      <x:c r="M1033" s="270"/>
      <x:c r="N1033" s="3"/>
      <x:c r="O1033" s="269"/>
      <x:c r="P1033" s="271"/>
      <x:c r="Q1033" s="272"/>
    </x:row>
    <x:row r="1034" ht="12.75">
      <x:c r="A1034" s="3"/>
      <x:c r="B1034" s="264"/>
      <x:c r="C1034" s="127"/>
      <x:c r="D1034" s="127"/>
      <x:c r="E1034" s="265"/>
      <x:c r="F1034" s="266"/>
      <x:c r="G1034" s="264"/>
      <x:c r="H1034" s="267"/>
      <x:c r="I1034" s="3"/>
      <x:c r="J1034" s="3"/>
      <x:c r="K1034" s="269"/>
      <x:c r="L1034" s="270"/>
      <x:c r="M1034" s="270"/>
      <x:c r="N1034" s="3"/>
      <x:c r="O1034" s="269"/>
      <x:c r="P1034" s="271"/>
      <x:c r="Q1034" s="272"/>
    </x:row>
    <x:row r="1035" ht="12.75">
      <x:c r="A1035" s="3"/>
      <x:c r="B1035" s="264"/>
      <x:c r="C1035" s="127"/>
      <x:c r="D1035" s="127"/>
      <x:c r="E1035" s="265"/>
      <x:c r="F1035" s="266"/>
      <x:c r="G1035" s="264"/>
      <x:c r="H1035" s="267"/>
      <x:c r="I1035" s="3"/>
      <x:c r="J1035" s="3"/>
      <x:c r="K1035" s="269"/>
      <x:c r="L1035" s="270"/>
      <x:c r="M1035" s="270"/>
      <x:c r="N1035" s="3"/>
      <x:c r="O1035" s="269"/>
      <x:c r="P1035" s="271"/>
      <x:c r="Q1035" s="272"/>
    </x:row>
    <x:row r="1036" ht="12.75">
      <x:c r="A1036" s="3"/>
      <x:c r="B1036" s="264"/>
      <x:c r="C1036" s="127"/>
      <x:c r="D1036" s="127"/>
      <x:c r="E1036" s="265"/>
      <x:c r="F1036" s="266"/>
      <x:c r="G1036" s="264"/>
      <x:c r="H1036" s="267"/>
      <x:c r="I1036" s="3"/>
      <x:c r="J1036" s="3"/>
      <x:c r="K1036" s="269"/>
      <x:c r="L1036" s="270"/>
      <x:c r="M1036" s="270"/>
      <x:c r="N1036" s="3"/>
      <x:c r="O1036" s="269"/>
      <x:c r="P1036" s="271"/>
      <x:c r="Q1036" s="272"/>
    </x:row>
    <x:row r="1037" ht="12.75">
      <x:c r="A1037" s="3"/>
      <x:c r="B1037" s="264"/>
      <x:c r="C1037" s="127"/>
      <x:c r="D1037" s="127"/>
      <x:c r="E1037" s="265"/>
      <x:c r="F1037" s="266"/>
      <x:c r="G1037" s="264"/>
      <x:c r="H1037" s="267"/>
      <x:c r="I1037" s="3"/>
      <x:c r="J1037" s="3"/>
      <x:c r="K1037" s="269"/>
      <x:c r="L1037" s="270"/>
      <x:c r="M1037" s="270"/>
      <x:c r="N1037" s="3"/>
      <x:c r="O1037" s="269"/>
      <x:c r="P1037" s="271"/>
      <x:c r="Q1037" s="272"/>
    </x:row>
    <x:row r="1038" ht="12.75">
      <x:c r="A1038" s="3"/>
      <x:c r="B1038" s="264"/>
      <x:c r="C1038" s="127"/>
      <x:c r="D1038" s="127"/>
      <x:c r="E1038" s="265"/>
      <x:c r="F1038" s="266"/>
      <x:c r="G1038" s="264"/>
      <x:c r="H1038" s="267"/>
      <x:c r="I1038" s="3"/>
      <x:c r="J1038" s="3"/>
      <x:c r="K1038" s="269"/>
      <x:c r="L1038" s="270"/>
      <x:c r="M1038" s="270"/>
      <x:c r="N1038" s="3"/>
      <x:c r="O1038" s="269"/>
      <x:c r="P1038" s="271"/>
      <x:c r="Q1038" s="272"/>
    </x:row>
    <x:row r="1039" ht="12.75">
      <x:c r="A1039" s="3"/>
      <x:c r="B1039" s="264"/>
      <x:c r="C1039" s="127"/>
      <x:c r="D1039" s="127"/>
      <x:c r="E1039" s="265"/>
      <x:c r="F1039" s="266"/>
      <x:c r="G1039" s="264"/>
      <x:c r="H1039" s="267"/>
      <x:c r="I1039" s="3"/>
      <x:c r="J1039" s="3"/>
      <x:c r="K1039" s="269"/>
      <x:c r="L1039" s="270"/>
      <x:c r="M1039" s="270"/>
      <x:c r="N1039" s="3"/>
      <x:c r="O1039" s="269"/>
      <x:c r="P1039" s="271"/>
      <x:c r="Q1039" s="272"/>
    </x:row>
    <x:row r="1040" ht="12.75">
      <x:c r="A1040" s="3"/>
      <x:c r="B1040" s="264"/>
      <x:c r="C1040" s="127"/>
      <x:c r="D1040" s="127"/>
      <x:c r="E1040" s="265"/>
      <x:c r="F1040" s="266"/>
      <x:c r="G1040" s="264"/>
      <x:c r="H1040" s="267"/>
      <x:c r="I1040" s="3"/>
      <x:c r="J1040" s="3"/>
      <x:c r="K1040" s="269"/>
      <x:c r="L1040" s="270"/>
      <x:c r="M1040" s="270"/>
      <x:c r="N1040" s="3"/>
      <x:c r="O1040" s="269"/>
      <x:c r="P1040" s="271"/>
      <x:c r="Q1040" s="272"/>
    </x:row>
    <x:row r="1041" ht="12.75">
      <x:c r="A1041" s="3"/>
      <x:c r="B1041" s="264"/>
      <x:c r="C1041" s="127"/>
      <x:c r="D1041" s="127"/>
      <x:c r="E1041" s="265"/>
      <x:c r="F1041" s="266"/>
      <x:c r="G1041" s="264"/>
      <x:c r="H1041" s="267"/>
      <x:c r="I1041" s="3"/>
      <x:c r="J1041" s="3"/>
      <x:c r="K1041" s="269"/>
      <x:c r="L1041" s="270"/>
      <x:c r="M1041" s="270"/>
      <x:c r="N1041" s="3"/>
      <x:c r="O1041" s="269"/>
      <x:c r="P1041" s="271"/>
      <x:c r="Q1041" s="272"/>
    </x:row>
    <x:row r="1042" ht="12.75">
      <x:c r="A1042" s="3"/>
      <x:c r="B1042" s="264"/>
      <x:c r="C1042" s="127"/>
      <x:c r="D1042" s="127"/>
      <x:c r="E1042" s="265"/>
      <x:c r="F1042" s="266"/>
      <x:c r="G1042" s="264"/>
      <x:c r="H1042" s="267"/>
      <x:c r="I1042" s="3"/>
      <x:c r="J1042" s="3"/>
      <x:c r="K1042" s="269"/>
      <x:c r="L1042" s="270"/>
      <x:c r="M1042" s="270"/>
      <x:c r="N1042" s="3"/>
      <x:c r="O1042" s="269"/>
      <x:c r="P1042" s="271"/>
      <x:c r="Q1042" s="272"/>
    </x:row>
    <x:row r="1043" ht="12.75">
      <x:c r="A1043" s="3"/>
      <x:c r="B1043" s="264"/>
      <x:c r="C1043" s="127"/>
      <x:c r="D1043" s="127"/>
      <x:c r="E1043" s="265"/>
      <x:c r="F1043" s="266"/>
      <x:c r="G1043" s="264"/>
      <x:c r="H1043" s="267"/>
      <x:c r="I1043" s="3"/>
      <x:c r="J1043" s="3"/>
      <x:c r="K1043" s="269"/>
      <x:c r="L1043" s="270"/>
      <x:c r="M1043" s="270"/>
      <x:c r="N1043" s="3"/>
      <x:c r="O1043" s="269"/>
      <x:c r="P1043" s="271"/>
      <x:c r="Q1043" s="272"/>
    </x:row>
    <x:row r="1044" ht="12.75">
      <x:c r="A1044" s="3"/>
      <x:c r="B1044" s="264"/>
      <x:c r="C1044" s="127"/>
      <x:c r="D1044" s="127"/>
      <x:c r="E1044" s="265"/>
      <x:c r="F1044" s="266"/>
      <x:c r="G1044" s="264"/>
      <x:c r="H1044" s="267"/>
      <x:c r="I1044" s="3"/>
      <x:c r="J1044" s="3"/>
      <x:c r="K1044" s="269"/>
      <x:c r="L1044" s="270"/>
      <x:c r="M1044" s="270"/>
      <x:c r="N1044" s="3"/>
      <x:c r="O1044" s="269"/>
      <x:c r="P1044" s="271"/>
      <x:c r="Q1044" s="272"/>
    </x:row>
    <x:row r="1045" ht="12.75">
      <x:c r="A1045" s="3"/>
      <x:c r="B1045" s="264"/>
      <x:c r="C1045" s="127"/>
      <x:c r="D1045" s="127"/>
      <x:c r="E1045" s="265"/>
      <x:c r="F1045" s="266"/>
      <x:c r="G1045" s="264"/>
      <x:c r="H1045" s="267"/>
      <x:c r="I1045" s="3"/>
      <x:c r="J1045" s="3"/>
      <x:c r="K1045" s="269"/>
      <x:c r="L1045" s="270"/>
      <x:c r="M1045" s="270"/>
      <x:c r="N1045" s="3"/>
      <x:c r="O1045" s="269"/>
      <x:c r="P1045" s="271"/>
      <x:c r="Q1045" s="272"/>
    </x:row>
    <x:row r="1046" ht="12.75">
      <x:c r="A1046" s="3"/>
      <x:c r="B1046" s="264"/>
      <x:c r="C1046" s="127"/>
      <x:c r="D1046" s="127"/>
      <x:c r="E1046" s="265"/>
      <x:c r="F1046" s="266"/>
      <x:c r="G1046" s="264"/>
      <x:c r="H1046" s="267"/>
      <x:c r="I1046" s="3"/>
      <x:c r="J1046" s="3"/>
      <x:c r="K1046" s="269"/>
      <x:c r="L1046" s="270"/>
      <x:c r="M1046" s="270"/>
      <x:c r="N1046" s="3"/>
      <x:c r="O1046" s="269"/>
      <x:c r="P1046" s="271"/>
      <x:c r="Q1046" s="272"/>
    </x:row>
    <x:row r="1047" ht="12.75">
      <x:c r="A1047" s="3"/>
      <x:c r="B1047" s="264"/>
      <x:c r="C1047" s="127"/>
      <x:c r="D1047" s="127"/>
      <x:c r="E1047" s="265"/>
      <x:c r="F1047" s="266"/>
      <x:c r="G1047" s="264"/>
      <x:c r="H1047" s="267"/>
      <x:c r="I1047" s="3"/>
      <x:c r="J1047" s="3"/>
      <x:c r="K1047" s="269"/>
      <x:c r="L1047" s="270"/>
      <x:c r="M1047" s="270"/>
      <x:c r="N1047" s="3"/>
      <x:c r="O1047" s="269"/>
      <x:c r="P1047" s="271"/>
      <x:c r="Q1047" s="272"/>
    </x:row>
    <x:row r="1048" ht="12.75">
      <x:c r="A1048" s="3"/>
      <x:c r="B1048" s="264"/>
      <x:c r="C1048" s="127"/>
      <x:c r="D1048" s="127"/>
      <x:c r="E1048" s="265"/>
      <x:c r="F1048" s="266"/>
      <x:c r="G1048" s="264"/>
      <x:c r="H1048" s="267"/>
      <x:c r="I1048" s="3"/>
      <x:c r="J1048" s="3"/>
      <x:c r="K1048" s="269"/>
      <x:c r="L1048" s="270"/>
      <x:c r="M1048" s="270"/>
      <x:c r="N1048" s="3"/>
      <x:c r="O1048" s="269"/>
      <x:c r="P1048" s="271"/>
      <x:c r="Q1048" s="272"/>
    </x:row>
    <x:row r="1049" ht="12.75">
      <x:c r="A1049" s="3"/>
      <x:c r="B1049" s="264"/>
      <x:c r="C1049" s="127"/>
      <x:c r="D1049" s="127"/>
      <x:c r="E1049" s="265"/>
      <x:c r="F1049" s="266"/>
      <x:c r="G1049" s="264"/>
      <x:c r="H1049" s="267"/>
      <x:c r="I1049" s="3"/>
      <x:c r="J1049" s="3"/>
      <x:c r="K1049" s="269"/>
      <x:c r="L1049" s="270"/>
      <x:c r="M1049" s="270"/>
      <x:c r="N1049" s="3"/>
      <x:c r="O1049" s="269"/>
      <x:c r="P1049" s="271"/>
      <x:c r="Q1049" s="272"/>
    </x:row>
    <x:row r="1050" ht="12.75">
      <x:c r="A1050" s="3"/>
      <x:c r="B1050" s="264"/>
      <x:c r="C1050" s="127"/>
      <x:c r="D1050" s="127"/>
      <x:c r="E1050" s="265"/>
      <x:c r="F1050" s="266"/>
      <x:c r="G1050" s="264"/>
      <x:c r="H1050" s="267"/>
      <x:c r="I1050" s="3"/>
      <x:c r="J1050" s="3"/>
      <x:c r="K1050" s="269"/>
      <x:c r="L1050" s="270"/>
      <x:c r="M1050" s="270"/>
      <x:c r="N1050" s="3"/>
      <x:c r="O1050" s="269"/>
      <x:c r="P1050" s="271"/>
      <x:c r="Q1050" s="272"/>
    </x:row>
    <x:row r="1051" ht="12.75">
      <x:c r="A1051" s="3"/>
      <x:c r="B1051" s="264"/>
      <x:c r="C1051" s="127"/>
      <x:c r="D1051" s="127"/>
      <x:c r="E1051" s="265"/>
      <x:c r="F1051" s="266"/>
      <x:c r="G1051" s="264"/>
      <x:c r="H1051" s="267"/>
      <x:c r="I1051" s="3"/>
      <x:c r="J1051" s="3"/>
      <x:c r="K1051" s="269"/>
      <x:c r="L1051" s="270"/>
      <x:c r="M1051" s="270"/>
      <x:c r="N1051" s="3"/>
      <x:c r="O1051" s="269"/>
      <x:c r="P1051" s="271"/>
      <x:c r="Q1051" s="272"/>
    </x:row>
    <x:row r="1052" ht="12.75">
      <x:c r="A1052" s="3"/>
      <x:c r="B1052" s="264"/>
      <x:c r="C1052" s="127"/>
      <x:c r="D1052" s="127"/>
      <x:c r="E1052" s="265"/>
      <x:c r="F1052" s="266"/>
      <x:c r="G1052" s="264"/>
      <x:c r="H1052" s="267"/>
      <x:c r="I1052" s="3"/>
      <x:c r="J1052" s="3"/>
      <x:c r="K1052" s="269"/>
      <x:c r="L1052" s="270"/>
      <x:c r="M1052" s="270"/>
      <x:c r="N1052" s="3"/>
      <x:c r="O1052" s="269"/>
      <x:c r="P1052" s="271"/>
      <x:c r="Q1052" s="272"/>
    </x:row>
    <x:row r="1053" ht="12.75">
      <x:c r="A1053" s="3"/>
      <x:c r="B1053" s="264"/>
      <x:c r="C1053" s="127"/>
      <x:c r="D1053" s="127"/>
      <x:c r="E1053" s="265"/>
      <x:c r="F1053" s="266"/>
      <x:c r="G1053" s="264"/>
      <x:c r="H1053" s="267"/>
      <x:c r="I1053" s="3"/>
      <x:c r="J1053" s="3"/>
      <x:c r="K1053" s="269"/>
      <x:c r="L1053" s="270"/>
      <x:c r="M1053" s="270"/>
      <x:c r="N1053" s="3"/>
      <x:c r="O1053" s="269"/>
      <x:c r="P1053" s="271"/>
      <x:c r="Q1053" s="272"/>
    </x:row>
    <x:row r="1054" ht="12.75">
      <x:c r="A1054" s="3"/>
      <x:c r="B1054" s="264"/>
      <x:c r="C1054" s="127"/>
      <x:c r="D1054" s="127"/>
      <x:c r="E1054" s="265"/>
      <x:c r="F1054" s="266"/>
      <x:c r="G1054" s="264"/>
      <x:c r="H1054" s="267"/>
      <x:c r="I1054" s="3"/>
      <x:c r="J1054" s="3"/>
      <x:c r="K1054" s="269"/>
      <x:c r="L1054" s="270"/>
      <x:c r="M1054" s="270"/>
      <x:c r="N1054" s="3"/>
      <x:c r="O1054" s="269"/>
      <x:c r="P1054" s="271"/>
      <x:c r="Q1054" s="272"/>
    </x:row>
    <x:row r="1055" ht="12.75">
      <x:c r="A1055" s="3"/>
      <x:c r="B1055" s="264"/>
      <x:c r="C1055" s="127"/>
      <x:c r="D1055" s="127"/>
      <x:c r="E1055" s="265"/>
      <x:c r="F1055" s="266"/>
      <x:c r="G1055" s="264"/>
      <x:c r="H1055" s="267"/>
      <x:c r="I1055" s="3"/>
      <x:c r="J1055" s="3"/>
      <x:c r="K1055" s="269"/>
      <x:c r="L1055" s="270"/>
      <x:c r="M1055" s="270"/>
      <x:c r="N1055" s="3"/>
      <x:c r="O1055" s="269"/>
      <x:c r="P1055" s="271"/>
      <x:c r="Q1055" s="272"/>
    </x:row>
    <x:row r="1056" ht="12.75">
      <x:c r="A1056" s="3"/>
      <x:c r="B1056" s="264"/>
      <x:c r="C1056" s="127"/>
      <x:c r="D1056" s="127"/>
      <x:c r="E1056" s="265"/>
      <x:c r="F1056" s="266"/>
      <x:c r="G1056" s="264"/>
      <x:c r="H1056" s="267"/>
      <x:c r="I1056" s="3"/>
      <x:c r="J1056" s="3"/>
      <x:c r="K1056" s="269"/>
      <x:c r="L1056" s="270"/>
      <x:c r="M1056" s="270"/>
      <x:c r="N1056" s="3"/>
      <x:c r="O1056" s="269"/>
      <x:c r="P1056" s="271"/>
      <x:c r="Q1056" s="272"/>
    </x:row>
    <x:row r="1057" ht="12.75">
      <x:c r="A1057" s="3"/>
      <x:c r="B1057" s="264"/>
      <x:c r="C1057" s="127"/>
      <x:c r="D1057" s="127"/>
      <x:c r="E1057" s="265"/>
      <x:c r="F1057" s="266"/>
      <x:c r="G1057" s="264"/>
      <x:c r="H1057" s="267"/>
      <x:c r="I1057" s="3"/>
      <x:c r="J1057" s="3"/>
      <x:c r="K1057" s="269"/>
      <x:c r="L1057" s="270"/>
      <x:c r="M1057" s="270"/>
      <x:c r="N1057" s="3"/>
      <x:c r="O1057" s="269"/>
      <x:c r="P1057" s="271"/>
      <x:c r="Q1057" s="272"/>
    </x:row>
    <x:row r="1058" ht="12.75">
      <x:c r="A1058" s="3"/>
      <x:c r="B1058" s="264"/>
      <x:c r="C1058" s="127"/>
      <x:c r="D1058" s="127"/>
      <x:c r="E1058" s="265"/>
      <x:c r="F1058" s="266"/>
      <x:c r="G1058" s="264"/>
      <x:c r="H1058" s="267"/>
      <x:c r="I1058" s="3"/>
      <x:c r="J1058" s="3"/>
      <x:c r="K1058" s="269"/>
      <x:c r="L1058" s="270"/>
      <x:c r="M1058" s="270"/>
      <x:c r="N1058" s="3"/>
      <x:c r="O1058" s="269"/>
      <x:c r="P1058" s="271"/>
      <x:c r="Q1058" s="272"/>
    </x:row>
    <x:row r="1059" ht="12.75">
      <x:c r="A1059" s="3"/>
      <x:c r="B1059" s="264"/>
      <x:c r="C1059" s="127"/>
      <x:c r="D1059" s="127"/>
      <x:c r="E1059" s="265"/>
      <x:c r="F1059" s="266"/>
      <x:c r="G1059" s="264"/>
      <x:c r="H1059" s="267"/>
      <x:c r="I1059" s="3"/>
      <x:c r="J1059" s="3"/>
      <x:c r="K1059" s="269"/>
      <x:c r="L1059" s="270"/>
      <x:c r="M1059" s="270"/>
      <x:c r="N1059" s="3"/>
      <x:c r="O1059" s="269"/>
      <x:c r="P1059" s="271"/>
      <x:c r="Q1059" s="272"/>
    </x:row>
    <x:row r="1060" ht="12.75">
      <x:c r="A1060" s="3"/>
      <x:c r="B1060" s="264"/>
      <x:c r="C1060" s="127"/>
      <x:c r="D1060" s="127"/>
      <x:c r="E1060" s="265"/>
      <x:c r="F1060" s="266"/>
      <x:c r="G1060" s="264"/>
      <x:c r="H1060" s="267"/>
      <x:c r="I1060" s="3"/>
      <x:c r="J1060" s="3"/>
      <x:c r="K1060" s="269"/>
      <x:c r="L1060" s="270"/>
      <x:c r="M1060" s="270"/>
      <x:c r="N1060" s="3"/>
      <x:c r="O1060" s="269"/>
      <x:c r="P1060" s="271"/>
      <x:c r="Q1060" s="272"/>
    </x:row>
    <x:row r="1061" ht="12.75">
      <x:c r="A1061" s="3"/>
      <x:c r="B1061" s="264"/>
      <x:c r="C1061" s="127"/>
      <x:c r="D1061" s="127"/>
      <x:c r="E1061" s="265"/>
      <x:c r="F1061" s="266"/>
      <x:c r="G1061" s="264"/>
      <x:c r="H1061" s="267"/>
      <x:c r="I1061" s="3"/>
      <x:c r="J1061" s="3"/>
      <x:c r="K1061" s="269"/>
      <x:c r="L1061" s="270"/>
      <x:c r="M1061" s="270"/>
      <x:c r="N1061" s="3"/>
      <x:c r="O1061" s="269"/>
      <x:c r="P1061" s="271"/>
      <x:c r="Q1061" s="272"/>
    </x:row>
    <x:row r="1062" ht="12.75">
      <x:c r="A1062" s="3"/>
      <x:c r="B1062" s="264"/>
      <x:c r="C1062" s="127"/>
      <x:c r="D1062" s="127"/>
      <x:c r="E1062" s="265"/>
      <x:c r="F1062" s="266"/>
      <x:c r="G1062" s="264"/>
      <x:c r="H1062" s="267"/>
      <x:c r="I1062" s="3"/>
      <x:c r="J1062" s="3"/>
      <x:c r="K1062" s="269"/>
      <x:c r="L1062" s="270"/>
      <x:c r="M1062" s="270"/>
      <x:c r="N1062" s="3"/>
      <x:c r="O1062" s="269"/>
      <x:c r="P1062" s="271"/>
      <x:c r="Q1062" s="272"/>
    </x:row>
    <x:row r="1063" ht="12.75">
      <x:c r="A1063" s="3"/>
      <x:c r="B1063" s="264"/>
      <x:c r="C1063" s="127"/>
      <x:c r="D1063" s="127"/>
      <x:c r="E1063" s="265"/>
      <x:c r="F1063" s="266"/>
      <x:c r="G1063" s="264"/>
      <x:c r="H1063" s="267"/>
      <x:c r="I1063" s="3"/>
      <x:c r="J1063" s="3"/>
      <x:c r="K1063" s="269"/>
      <x:c r="L1063" s="270"/>
      <x:c r="M1063" s="270"/>
      <x:c r="N1063" s="3"/>
      <x:c r="O1063" s="269"/>
      <x:c r="P1063" s="271"/>
      <x:c r="Q1063" s="272"/>
    </x:row>
    <x:row r="1064" ht="12.75">
      <x:c r="A1064" s="3"/>
      <x:c r="B1064" s="264"/>
      <x:c r="C1064" s="127"/>
      <x:c r="D1064" s="127"/>
      <x:c r="E1064" s="265"/>
      <x:c r="F1064" s="266"/>
      <x:c r="G1064" s="264"/>
      <x:c r="H1064" s="267"/>
      <x:c r="I1064" s="3"/>
      <x:c r="J1064" s="3"/>
      <x:c r="K1064" s="269"/>
      <x:c r="L1064" s="270"/>
      <x:c r="M1064" s="270"/>
      <x:c r="N1064" s="3"/>
      <x:c r="O1064" s="269"/>
      <x:c r="P1064" s="271"/>
      <x:c r="Q1064" s="272"/>
    </x:row>
    <x:row r="1065" ht="12.75">
      <x:c r="A1065" s="3"/>
      <x:c r="B1065" s="264"/>
      <x:c r="C1065" s="127"/>
      <x:c r="D1065" s="127"/>
      <x:c r="E1065" s="265"/>
      <x:c r="F1065" s="266"/>
      <x:c r="G1065" s="264"/>
      <x:c r="H1065" s="267"/>
      <x:c r="I1065" s="3"/>
      <x:c r="J1065" s="3"/>
      <x:c r="K1065" s="269"/>
      <x:c r="L1065" s="270"/>
      <x:c r="M1065" s="270"/>
      <x:c r="N1065" s="3"/>
      <x:c r="O1065" s="269"/>
      <x:c r="P1065" s="271"/>
      <x:c r="Q1065" s="272"/>
    </x:row>
    <x:row r="1066" ht="12.75">
      <x:c r="A1066" s="3"/>
      <x:c r="B1066" s="264"/>
      <x:c r="C1066" s="127"/>
      <x:c r="D1066" s="127"/>
      <x:c r="E1066" s="265"/>
      <x:c r="F1066" s="266"/>
      <x:c r="G1066" s="264"/>
      <x:c r="H1066" s="267"/>
      <x:c r="I1066" s="3"/>
      <x:c r="J1066" s="3"/>
      <x:c r="K1066" s="269"/>
      <x:c r="L1066" s="270"/>
      <x:c r="M1066" s="270"/>
      <x:c r="N1066" s="3"/>
      <x:c r="O1066" s="269"/>
      <x:c r="P1066" s="271"/>
      <x:c r="Q1066" s="272"/>
    </x:row>
    <x:row r="1067" ht="12.75">
      <x:c r="A1067" s="3"/>
      <x:c r="B1067" s="264"/>
      <x:c r="C1067" s="127"/>
      <x:c r="D1067" s="127"/>
      <x:c r="E1067" s="265"/>
      <x:c r="F1067" s="266"/>
      <x:c r="G1067" s="264"/>
      <x:c r="H1067" s="267"/>
      <x:c r="I1067" s="3"/>
      <x:c r="J1067" s="3"/>
      <x:c r="K1067" s="269"/>
      <x:c r="L1067" s="270"/>
      <x:c r="M1067" s="270"/>
      <x:c r="N1067" s="3"/>
      <x:c r="O1067" s="269"/>
      <x:c r="P1067" s="271"/>
      <x:c r="Q1067" s="272"/>
    </x:row>
    <x:row r="1068" ht="12.75">
      <x:c r="A1068" s="3"/>
      <x:c r="B1068" s="264"/>
      <x:c r="C1068" s="127"/>
      <x:c r="D1068" s="127"/>
      <x:c r="E1068" s="265"/>
      <x:c r="F1068" s="266"/>
      <x:c r="G1068" s="264"/>
      <x:c r="H1068" s="267"/>
      <x:c r="I1068" s="3"/>
      <x:c r="J1068" s="3"/>
      <x:c r="K1068" s="269"/>
      <x:c r="L1068" s="270"/>
      <x:c r="M1068" s="270"/>
      <x:c r="N1068" s="3"/>
      <x:c r="O1068" s="269"/>
      <x:c r="P1068" s="271"/>
      <x:c r="Q1068" s="272"/>
    </x:row>
    <x:row r="1069" ht="12.75">
      <x:c r="A1069" s="3"/>
      <x:c r="B1069" s="264"/>
      <x:c r="C1069" s="127"/>
      <x:c r="D1069" s="127"/>
      <x:c r="E1069" s="265"/>
      <x:c r="F1069" s="266"/>
      <x:c r="G1069" s="264"/>
      <x:c r="H1069" s="267"/>
      <x:c r="I1069" s="3"/>
      <x:c r="J1069" s="3"/>
      <x:c r="K1069" s="269"/>
      <x:c r="L1069" s="270"/>
      <x:c r="M1069" s="270"/>
      <x:c r="N1069" s="3"/>
      <x:c r="O1069" s="269"/>
      <x:c r="P1069" s="271"/>
      <x:c r="Q1069" s="272"/>
    </x:row>
    <x:row r="1070" ht="12.75">
      <x:c r="A1070" s="3"/>
      <x:c r="B1070" s="264"/>
      <x:c r="C1070" s="127"/>
      <x:c r="D1070" s="127"/>
      <x:c r="E1070" s="265"/>
      <x:c r="F1070" s="266"/>
      <x:c r="G1070" s="264"/>
      <x:c r="H1070" s="267"/>
      <x:c r="I1070" s="3"/>
      <x:c r="J1070" s="3"/>
      <x:c r="K1070" s="269"/>
      <x:c r="L1070" s="270"/>
      <x:c r="M1070" s="270"/>
      <x:c r="N1070" s="3"/>
      <x:c r="O1070" s="269"/>
      <x:c r="P1070" s="271"/>
      <x:c r="Q1070" s="272"/>
    </x:row>
    <x:row r="1071" ht="12.75">
      <x:c r="A1071" s="3"/>
      <x:c r="B1071" s="264"/>
      <x:c r="C1071" s="127"/>
      <x:c r="D1071" s="127"/>
      <x:c r="E1071" s="265"/>
      <x:c r="F1071" s="266"/>
      <x:c r="G1071" s="264"/>
      <x:c r="H1071" s="267"/>
      <x:c r="I1071" s="3"/>
      <x:c r="J1071" s="3"/>
      <x:c r="K1071" s="269"/>
      <x:c r="L1071" s="270"/>
      <x:c r="M1071" s="270"/>
      <x:c r="N1071" s="3"/>
      <x:c r="O1071" s="269"/>
      <x:c r="P1071" s="271"/>
      <x:c r="Q1071" s="272"/>
    </x:row>
    <x:row r="1072" ht="12.75">
      <x:c r="A1072" s="3"/>
      <x:c r="B1072" s="264"/>
      <x:c r="C1072" s="127"/>
      <x:c r="D1072" s="127"/>
      <x:c r="E1072" s="265"/>
      <x:c r="F1072" s="266"/>
      <x:c r="G1072" s="264"/>
      <x:c r="H1072" s="267"/>
      <x:c r="I1072" s="3"/>
      <x:c r="J1072" s="3"/>
      <x:c r="K1072" s="269"/>
      <x:c r="L1072" s="270"/>
      <x:c r="M1072" s="270"/>
      <x:c r="N1072" s="3"/>
      <x:c r="O1072" s="269"/>
      <x:c r="P1072" s="271"/>
      <x:c r="Q1072" s="272"/>
    </x:row>
    <x:row r="1073" ht="12.75">
      <x:c r="A1073" s="3"/>
      <x:c r="B1073" s="264"/>
      <x:c r="C1073" s="127"/>
      <x:c r="D1073" s="127"/>
      <x:c r="E1073" s="265"/>
      <x:c r="F1073" s="266"/>
      <x:c r="G1073" s="264"/>
      <x:c r="H1073" s="267"/>
      <x:c r="I1073" s="3"/>
      <x:c r="J1073" s="3"/>
      <x:c r="K1073" s="269"/>
      <x:c r="L1073" s="270"/>
      <x:c r="M1073" s="270"/>
      <x:c r="N1073" s="3"/>
      <x:c r="O1073" s="269"/>
      <x:c r="P1073" s="271"/>
      <x:c r="Q1073" s="272"/>
    </x:row>
    <x:row r="1074" ht="12.75">
      <x:c r="A1074" s="3"/>
      <x:c r="B1074" s="264"/>
      <x:c r="C1074" s="127"/>
      <x:c r="D1074" s="127"/>
      <x:c r="E1074" s="265"/>
      <x:c r="F1074" s="266"/>
      <x:c r="G1074" s="264"/>
      <x:c r="H1074" s="267"/>
      <x:c r="I1074" s="3"/>
      <x:c r="J1074" s="3"/>
      <x:c r="K1074" s="269"/>
      <x:c r="L1074" s="270"/>
      <x:c r="M1074" s="270"/>
      <x:c r="N1074" s="3"/>
      <x:c r="O1074" s="269"/>
      <x:c r="P1074" s="271"/>
      <x:c r="Q1074" s="272"/>
    </x:row>
    <x:row r="1075" ht="12.75">
      <x:c r="A1075" s="3"/>
      <x:c r="B1075" s="264"/>
      <x:c r="C1075" s="127"/>
      <x:c r="D1075" s="127"/>
      <x:c r="E1075" s="265"/>
      <x:c r="F1075" s="266"/>
      <x:c r="G1075" s="264"/>
      <x:c r="H1075" s="267"/>
      <x:c r="I1075" s="3"/>
      <x:c r="J1075" s="3"/>
      <x:c r="K1075" s="269"/>
      <x:c r="L1075" s="270"/>
      <x:c r="M1075" s="270"/>
      <x:c r="N1075" s="3"/>
      <x:c r="O1075" s="269"/>
      <x:c r="P1075" s="271"/>
      <x:c r="Q1075" s="272"/>
    </x:row>
    <x:row r="1076" ht="12.75">
      <x:c r="A1076" s="3"/>
      <x:c r="B1076" s="264"/>
      <x:c r="C1076" s="127"/>
      <x:c r="D1076" s="127"/>
      <x:c r="E1076" s="265"/>
      <x:c r="F1076" s="266"/>
      <x:c r="G1076" s="264"/>
      <x:c r="H1076" s="267"/>
      <x:c r="I1076" s="3"/>
      <x:c r="J1076" s="3"/>
      <x:c r="K1076" s="269"/>
      <x:c r="L1076" s="270"/>
      <x:c r="M1076" s="270"/>
      <x:c r="N1076" s="3"/>
      <x:c r="O1076" s="269"/>
      <x:c r="P1076" s="271"/>
      <x:c r="Q1076" s="272"/>
    </x:row>
    <x:row r="1077" ht="12.75">
      <x:c r="A1077" s="3"/>
      <x:c r="B1077" s="264"/>
      <x:c r="C1077" s="127"/>
      <x:c r="D1077" s="127"/>
      <x:c r="E1077" s="265"/>
      <x:c r="F1077" s="266"/>
      <x:c r="G1077" s="264"/>
      <x:c r="H1077" s="267"/>
      <x:c r="I1077" s="3"/>
      <x:c r="J1077" s="3"/>
      <x:c r="K1077" s="269"/>
      <x:c r="L1077" s="270"/>
      <x:c r="M1077" s="270"/>
      <x:c r="N1077" s="3"/>
      <x:c r="O1077" s="269"/>
      <x:c r="P1077" s="271"/>
      <x:c r="Q1077" s="272"/>
    </x:row>
    <x:row r="1078" ht="12.75">
      <x:c r="A1078" s="3"/>
      <x:c r="B1078" s="264"/>
      <x:c r="C1078" s="127"/>
      <x:c r="D1078" s="127"/>
      <x:c r="E1078" s="265"/>
      <x:c r="F1078" s="266"/>
      <x:c r="G1078" s="264"/>
      <x:c r="H1078" s="267"/>
      <x:c r="I1078" s="3"/>
      <x:c r="J1078" s="3"/>
      <x:c r="K1078" s="269"/>
      <x:c r="L1078" s="270"/>
      <x:c r="M1078" s="270"/>
      <x:c r="N1078" s="3"/>
      <x:c r="O1078" s="269"/>
      <x:c r="P1078" s="271"/>
      <x:c r="Q1078" s="272"/>
    </x:row>
    <x:row r="1079" ht="12.75">
      <x:c r="A1079" s="3"/>
      <x:c r="B1079" s="264"/>
      <x:c r="C1079" s="127"/>
      <x:c r="D1079" s="127"/>
      <x:c r="E1079" s="265"/>
      <x:c r="F1079" s="266"/>
      <x:c r="G1079" s="264"/>
      <x:c r="H1079" s="267"/>
      <x:c r="I1079" s="3"/>
      <x:c r="J1079" s="3"/>
      <x:c r="K1079" s="269"/>
      <x:c r="L1079" s="270"/>
      <x:c r="M1079" s="270"/>
      <x:c r="N1079" s="3"/>
      <x:c r="O1079" s="269"/>
      <x:c r="P1079" s="271"/>
      <x:c r="Q1079" s="272"/>
    </x:row>
    <x:row r="1080" ht="12.75">
      <x:c r="A1080" s="3"/>
      <x:c r="B1080" s="264"/>
      <x:c r="C1080" s="127"/>
      <x:c r="D1080" s="127"/>
      <x:c r="E1080" s="265"/>
      <x:c r="F1080" s="266"/>
      <x:c r="G1080" s="264"/>
      <x:c r="H1080" s="267"/>
      <x:c r="I1080" s="3"/>
      <x:c r="J1080" s="3"/>
      <x:c r="K1080" s="269"/>
      <x:c r="L1080" s="270"/>
      <x:c r="M1080" s="270"/>
      <x:c r="N1080" s="3"/>
      <x:c r="O1080" s="269"/>
      <x:c r="P1080" s="271"/>
      <x:c r="Q1080" s="272"/>
    </x:row>
    <x:row r="1081" ht="12.75">
      <x:c r="A1081" s="3"/>
      <x:c r="B1081" s="264"/>
      <x:c r="C1081" s="127"/>
      <x:c r="D1081" s="127"/>
      <x:c r="E1081" s="265"/>
      <x:c r="F1081" s="266"/>
      <x:c r="G1081" s="264"/>
      <x:c r="H1081" s="267"/>
      <x:c r="I1081" s="3"/>
      <x:c r="J1081" s="3"/>
      <x:c r="K1081" s="269"/>
      <x:c r="L1081" s="270"/>
      <x:c r="M1081" s="270"/>
      <x:c r="N1081" s="3"/>
      <x:c r="O1081" s="269"/>
      <x:c r="P1081" s="271"/>
      <x:c r="Q1081" s="272"/>
    </x:row>
    <x:row r="1082" ht="12.75">
      <x:c r="A1082" s="3"/>
      <x:c r="B1082" s="264"/>
      <x:c r="C1082" s="127"/>
      <x:c r="D1082" s="127"/>
      <x:c r="E1082" s="265"/>
      <x:c r="F1082" s="266"/>
      <x:c r="G1082" s="264"/>
      <x:c r="H1082" s="267"/>
      <x:c r="I1082" s="3"/>
      <x:c r="J1082" s="3"/>
      <x:c r="K1082" s="269"/>
      <x:c r="L1082" s="270"/>
      <x:c r="M1082" s="270"/>
      <x:c r="N1082" s="3"/>
      <x:c r="O1082" s="269"/>
      <x:c r="P1082" s="271"/>
      <x:c r="Q1082" s="272"/>
    </x:row>
    <x:row r="1083" ht="12.75">
      <x:c r="A1083" s="3"/>
      <x:c r="B1083" s="264"/>
      <x:c r="C1083" s="127"/>
      <x:c r="D1083" s="127"/>
      <x:c r="E1083" s="265"/>
      <x:c r="F1083" s="266"/>
      <x:c r="G1083" s="264"/>
      <x:c r="H1083" s="267"/>
      <x:c r="I1083" s="3"/>
      <x:c r="J1083" s="3"/>
      <x:c r="K1083" s="269"/>
      <x:c r="L1083" s="270"/>
      <x:c r="M1083" s="270"/>
      <x:c r="N1083" s="3"/>
      <x:c r="O1083" s="269"/>
      <x:c r="P1083" s="271"/>
      <x:c r="Q1083" s="272"/>
    </x:row>
    <x:row r="1084" ht="12.75">
      <x:c r="A1084" s="3"/>
      <x:c r="B1084" s="264"/>
      <x:c r="C1084" s="127"/>
      <x:c r="D1084" s="127"/>
      <x:c r="E1084" s="265"/>
      <x:c r="F1084" s="266"/>
      <x:c r="G1084" s="264"/>
      <x:c r="H1084" s="267"/>
      <x:c r="I1084" s="3"/>
      <x:c r="J1084" s="3"/>
      <x:c r="K1084" s="269"/>
      <x:c r="L1084" s="270"/>
      <x:c r="M1084" s="270"/>
      <x:c r="N1084" s="3"/>
      <x:c r="O1084" s="269"/>
      <x:c r="P1084" s="271"/>
      <x:c r="Q1084" s="272"/>
    </x:row>
    <x:row r="1085" ht="12.75">
      <x:c r="A1085" s="3"/>
      <x:c r="B1085" s="264"/>
      <x:c r="C1085" s="127"/>
      <x:c r="D1085" s="127"/>
      <x:c r="E1085" s="265"/>
      <x:c r="F1085" s="266"/>
      <x:c r="G1085" s="264"/>
      <x:c r="H1085" s="267"/>
      <x:c r="I1085" s="3"/>
      <x:c r="J1085" s="3"/>
      <x:c r="K1085" s="269"/>
      <x:c r="L1085" s="270"/>
      <x:c r="M1085" s="270"/>
      <x:c r="N1085" s="3"/>
      <x:c r="O1085" s="269"/>
      <x:c r="P1085" s="271"/>
      <x:c r="Q1085" s="272"/>
    </x:row>
    <x:row r="1086" ht="12.75">
      <x:c r="A1086" s="3"/>
      <x:c r="B1086" s="264"/>
      <x:c r="C1086" s="127"/>
      <x:c r="D1086" s="127"/>
      <x:c r="E1086" s="265"/>
      <x:c r="F1086" s="266"/>
      <x:c r="G1086" s="264"/>
      <x:c r="H1086" s="267"/>
      <x:c r="I1086" s="3"/>
      <x:c r="J1086" s="3"/>
      <x:c r="K1086" s="269"/>
      <x:c r="L1086" s="270"/>
      <x:c r="M1086" s="270"/>
      <x:c r="N1086" s="3"/>
      <x:c r="O1086" s="269"/>
      <x:c r="P1086" s="271"/>
      <x:c r="Q1086" s="272"/>
    </x:row>
    <x:row r="1087" ht="12.75">
      <x:c r="A1087" s="3"/>
      <x:c r="B1087" s="264"/>
      <x:c r="C1087" s="127"/>
      <x:c r="D1087" s="127"/>
      <x:c r="E1087" s="265"/>
      <x:c r="F1087" s="266"/>
      <x:c r="G1087" s="264"/>
      <x:c r="H1087" s="267"/>
      <x:c r="I1087" s="3"/>
      <x:c r="J1087" s="3"/>
      <x:c r="K1087" s="269"/>
      <x:c r="L1087" s="270"/>
      <x:c r="M1087" s="270"/>
      <x:c r="N1087" s="3"/>
      <x:c r="O1087" s="269"/>
      <x:c r="P1087" s="271"/>
      <x:c r="Q1087" s="272"/>
    </x:row>
    <x:row r="1088" ht="12.75">
      <x:c r="A1088" s="3"/>
      <x:c r="B1088" s="264"/>
      <x:c r="C1088" s="127"/>
      <x:c r="D1088" s="127"/>
      <x:c r="E1088" s="265"/>
      <x:c r="F1088" s="266"/>
      <x:c r="G1088" s="264"/>
      <x:c r="H1088" s="267"/>
      <x:c r="I1088" s="3"/>
      <x:c r="J1088" s="3"/>
      <x:c r="K1088" s="269"/>
      <x:c r="L1088" s="270"/>
      <x:c r="M1088" s="270"/>
      <x:c r="N1088" s="3"/>
      <x:c r="O1088" s="269"/>
      <x:c r="P1088" s="271"/>
      <x:c r="Q1088" s="272"/>
    </x:row>
    <x:row r="1089" ht="12.75">
      <x:c r="A1089" s="3"/>
      <x:c r="B1089" s="264"/>
      <x:c r="C1089" s="127"/>
      <x:c r="D1089" s="127"/>
      <x:c r="E1089" s="265"/>
      <x:c r="F1089" s="266"/>
      <x:c r="G1089" s="264"/>
      <x:c r="H1089" s="267"/>
      <x:c r="I1089" s="3"/>
      <x:c r="J1089" s="3"/>
      <x:c r="K1089" s="269"/>
      <x:c r="L1089" s="270"/>
      <x:c r="M1089" s="270"/>
      <x:c r="N1089" s="3"/>
      <x:c r="O1089" s="269"/>
      <x:c r="P1089" s="271"/>
      <x:c r="Q1089" s="272"/>
    </x:row>
    <x:row r="1090" ht="12.75">
      <x:c r="A1090" s="3"/>
      <x:c r="B1090" s="264"/>
      <x:c r="C1090" s="127"/>
      <x:c r="D1090" s="127"/>
      <x:c r="E1090" s="265"/>
      <x:c r="F1090" s="266"/>
      <x:c r="G1090" s="264"/>
      <x:c r="H1090" s="267"/>
      <x:c r="I1090" s="3"/>
      <x:c r="J1090" s="3"/>
      <x:c r="K1090" s="269"/>
      <x:c r="L1090" s="270"/>
      <x:c r="M1090" s="270"/>
      <x:c r="N1090" s="3"/>
      <x:c r="O1090" s="269"/>
      <x:c r="P1090" s="271"/>
      <x:c r="Q1090" s="272"/>
    </x:row>
    <x:row r="1091" ht="12.75">
      <x:c r="A1091" s="3"/>
      <x:c r="B1091" s="264"/>
      <x:c r="C1091" s="127"/>
      <x:c r="D1091" s="127"/>
      <x:c r="E1091" s="265"/>
      <x:c r="F1091" s="266"/>
      <x:c r="G1091" s="264"/>
      <x:c r="H1091" s="267"/>
      <x:c r="I1091" s="3"/>
      <x:c r="J1091" s="3"/>
      <x:c r="K1091" s="269"/>
      <x:c r="L1091" s="270"/>
      <x:c r="M1091" s="270"/>
      <x:c r="N1091" s="3"/>
      <x:c r="O1091" s="269"/>
      <x:c r="P1091" s="271"/>
      <x:c r="Q1091" s="272"/>
    </x:row>
    <x:row r="1092" ht="12.75">
      <x:c r="A1092" s="3"/>
      <x:c r="B1092" s="264"/>
      <x:c r="C1092" s="127"/>
      <x:c r="D1092" s="127"/>
      <x:c r="E1092" s="265"/>
      <x:c r="F1092" s="266"/>
      <x:c r="G1092" s="264"/>
      <x:c r="H1092" s="267"/>
      <x:c r="I1092" s="3"/>
      <x:c r="J1092" s="3"/>
      <x:c r="K1092" s="269"/>
      <x:c r="L1092" s="270"/>
      <x:c r="M1092" s="270"/>
      <x:c r="N1092" s="3"/>
      <x:c r="O1092" s="269"/>
      <x:c r="P1092" s="271"/>
      <x:c r="Q1092" s="272"/>
    </x:row>
    <x:row r="1093" ht="12.75">
      <x:c r="A1093" s="3"/>
      <x:c r="B1093" s="264"/>
      <x:c r="C1093" s="127"/>
      <x:c r="D1093" s="127"/>
      <x:c r="E1093" s="265"/>
      <x:c r="F1093" s="266"/>
      <x:c r="G1093" s="264"/>
      <x:c r="H1093" s="267"/>
      <x:c r="I1093" s="3"/>
      <x:c r="J1093" s="3"/>
      <x:c r="K1093" s="269"/>
      <x:c r="L1093" s="270"/>
      <x:c r="M1093" s="270"/>
      <x:c r="N1093" s="3"/>
      <x:c r="O1093" s="269"/>
      <x:c r="P1093" s="271"/>
      <x:c r="Q1093" s="272"/>
    </x:row>
    <x:row r="1094" ht="12.75">
      <x:c r="A1094" s="3"/>
      <x:c r="B1094" s="264"/>
      <x:c r="C1094" s="127"/>
      <x:c r="D1094" s="127"/>
      <x:c r="E1094" s="265"/>
      <x:c r="F1094" s="266"/>
      <x:c r="G1094" s="264"/>
      <x:c r="H1094" s="267"/>
      <x:c r="I1094" s="3"/>
      <x:c r="J1094" s="3"/>
      <x:c r="K1094" s="269"/>
      <x:c r="L1094" s="270"/>
      <x:c r="M1094" s="270"/>
      <x:c r="N1094" s="3"/>
      <x:c r="O1094" s="269"/>
      <x:c r="P1094" s="271"/>
      <x:c r="Q1094" s="272"/>
    </x:row>
    <x:row r="1095" ht="12.75">
      <x:c r="A1095" s="3"/>
      <x:c r="B1095" s="264"/>
      <x:c r="C1095" s="127"/>
      <x:c r="D1095" s="127"/>
      <x:c r="E1095" s="265"/>
      <x:c r="F1095" s="266"/>
      <x:c r="G1095" s="264"/>
      <x:c r="H1095" s="267"/>
      <x:c r="I1095" s="3"/>
      <x:c r="J1095" s="3"/>
      <x:c r="K1095" s="269"/>
      <x:c r="L1095" s="270"/>
      <x:c r="M1095" s="270"/>
      <x:c r="N1095" s="3"/>
      <x:c r="O1095" s="269"/>
      <x:c r="P1095" s="271"/>
      <x:c r="Q1095" s="272"/>
    </x:row>
    <x:row r="1096" ht="12.75">
      <x:c r="A1096" s="3"/>
      <x:c r="B1096" s="264"/>
      <x:c r="C1096" s="127"/>
      <x:c r="D1096" s="127"/>
      <x:c r="E1096" s="265"/>
      <x:c r="F1096" s="266"/>
      <x:c r="G1096" s="264"/>
      <x:c r="H1096" s="267"/>
      <x:c r="I1096" s="3"/>
      <x:c r="J1096" s="3"/>
      <x:c r="K1096" s="269"/>
      <x:c r="L1096" s="270"/>
      <x:c r="M1096" s="270"/>
      <x:c r="N1096" s="3"/>
      <x:c r="O1096" s="269"/>
      <x:c r="P1096" s="271"/>
      <x:c r="Q1096" s="272"/>
    </x:row>
    <x:row r="1097" ht="12.75">
      <x:c r="A1097" s="3"/>
      <x:c r="B1097" s="264"/>
      <x:c r="C1097" s="127"/>
      <x:c r="D1097" s="127"/>
      <x:c r="E1097" s="265"/>
      <x:c r="F1097" s="266"/>
      <x:c r="G1097" s="264"/>
      <x:c r="H1097" s="267"/>
      <x:c r="I1097" s="3"/>
      <x:c r="J1097" s="3"/>
      <x:c r="K1097" s="269"/>
      <x:c r="L1097" s="270"/>
      <x:c r="M1097" s="270"/>
      <x:c r="N1097" s="3"/>
      <x:c r="O1097" s="269"/>
      <x:c r="P1097" s="271"/>
      <x:c r="Q1097" s="272"/>
    </x:row>
    <x:row r="1098" ht="12.75">
      <x:c r="A1098" s="3"/>
      <x:c r="B1098" s="264"/>
      <x:c r="C1098" s="127"/>
      <x:c r="D1098" s="127"/>
      <x:c r="E1098" s="265"/>
      <x:c r="F1098" s="266"/>
      <x:c r="G1098" s="264"/>
      <x:c r="H1098" s="267"/>
      <x:c r="I1098" s="3"/>
      <x:c r="J1098" s="3"/>
      <x:c r="K1098" s="269"/>
      <x:c r="L1098" s="270"/>
      <x:c r="M1098" s="270"/>
      <x:c r="N1098" s="3"/>
      <x:c r="O1098" s="269"/>
      <x:c r="P1098" s="271"/>
      <x:c r="Q1098" s="272"/>
    </x:row>
    <x:row r="1099" ht="12.75">
      <x:c r="A1099" s="3"/>
      <x:c r="B1099" s="264"/>
      <x:c r="C1099" s="127"/>
      <x:c r="D1099" s="127"/>
      <x:c r="E1099" s="265"/>
      <x:c r="F1099" s="266"/>
      <x:c r="G1099" s="264"/>
      <x:c r="H1099" s="267"/>
      <x:c r="I1099" s="3"/>
      <x:c r="J1099" s="3"/>
      <x:c r="K1099" s="269"/>
      <x:c r="L1099" s="270"/>
      <x:c r="M1099" s="270"/>
      <x:c r="N1099" s="3"/>
      <x:c r="O1099" s="269"/>
      <x:c r="P1099" s="271"/>
      <x:c r="Q1099" s="272"/>
    </x:row>
    <x:row r="1100" ht="12.75">
      <x:c r="A1100" s="3"/>
      <x:c r="B1100" s="264"/>
      <x:c r="C1100" s="127"/>
      <x:c r="D1100" s="127"/>
      <x:c r="E1100" s="265"/>
      <x:c r="F1100" s="266"/>
      <x:c r="G1100" s="264"/>
      <x:c r="H1100" s="267"/>
      <x:c r="I1100" s="3"/>
      <x:c r="J1100" s="3"/>
      <x:c r="K1100" s="269"/>
      <x:c r="L1100" s="270"/>
      <x:c r="M1100" s="270"/>
      <x:c r="N1100" s="3"/>
      <x:c r="O1100" s="269"/>
      <x:c r="P1100" s="271"/>
      <x:c r="Q1100" s="272"/>
    </x:row>
    <x:row r="1101" ht="12.75">
      <x:c r="A1101" s="3"/>
      <x:c r="B1101" s="264"/>
      <x:c r="C1101" s="127"/>
      <x:c r="D1101" s="127"/>
      <x:c r="E1101" s="265"/>
      <x:c r="F1101" s="266"/>
      <x:c r="G1101" s="264"/>
      <x:c r="H1101" s="267"/>
      <x:c r="I1101" s="3"/>
      <x:c r="J1101" s="3"/>
      <x:c r="K1101" s="269"/>
      <x:c r="L1101" s="270"/>
      <x:c r="M1101" s="270"/>
      <x:c r="N1101" s="3"/>
      <x:c r="O1101" s="269"/>
      <x:c r="P1101" s="271"/>
      <x:c r="Q1101" s="272"/>
    </x:row>
    <x:row r="1102" ht="12.75">
      <x:c r="A1102" s="3"/>
      <x:c r="B1102" s="264"/>
      <x:c r="C1102" s="127"/>
      <x:c r="D1102" s="127"/>
      <x:c r="E1102" s="265"/>
      <x:c r="F1102" s="266"/>
      <x:c r="G1102" s="264"/>
      <x:c r="H1102" s="267"/>
      <x:c r="I1102" s="3"/>
      <x:c r="J1102" s="3"/>
      <x:c r="K1102" s="269"/>
      <x:c r="L1102" s="270"/>
      <x:c r="M1102" s="270"/>
      <x:c r="N1102" s="3"/>
      <x:c r="O1102" s="269"/>
      <x:c r="P1102" s="271"/>
      <x:c r="Q1102" s="272"/>
    </x:row>
    <x:row r="1103" ht="12.75">
      <x:c r="A1103" s="3"/>
      <x:c r="B1103" s="264"/>
      <x:c r="C1103" s="127"/>
      <x:c r="D1103" s="127"/>
      <x:c r="E1103" s="265"/>
      <x:c r="F1103" s="266"/>
      <x:c r="G1103" s="264"/>
      <x:c r="H1103" s="267"/>
      <x:c r="I1103" s="3"/>
      <x:c r="J1103" s="3"/>
      <x:c r="K1103" s="269"/>
      <x:c r="L1103" s="270"/>
      <x:c r="M1103" s="270"/>
      <x:c r="N1103" s="3"/>
      <x:c r="O1103" s="269"/>
      <x:c r="P1103" s="271"/>
      <x:c r="Q1103" s="272"/>
    </x:row>
    <x:row r="1104" ht="12.75">
      <x:c r="A1104" s="3"/>
      <x:c r="B1104" s="264"/>
      <x:c r="C1104" s="127"/>
      <x:c r="D1104" s="127"/>
      <x:c r="E1104" s="265"/>
      <x:c r="F1104" s="266"/>
      <x:c r="G1104" s="264"/>
      <x:c r="H1104" s="267"/>
      <x:c r="I1104" s="3"/>
      <x:c r="J1104" s="3"/>
      <x:c r="K1104" s="269"/>
      <x:c r="L1104" s="270"/>
      <x:c r="M1104" s="270"/>
      <x:c r="N1104" s="3"/>
      <x:c r="O1104" s="269"/>
      <x:c r="P1104" s="271"/>
      <x:c r="Q1104" s="272"/>
    </x:row>
    <x:row r="1105" ht="12.75">
      <x:c r="A1105" s="3"/>
      <x:c r="B1105" s="264"/>
      <x:c r="C1105" s="127"/>
      <x:c r="D1105" s="127"/>
      <x:c r="E1105" s="265"/>
      <x:c r="F1105" s="266"/>
      <x:c r="G1105" s="264"/>
      <x:c r="H1105" s="267"/>
      <x:c r="I1105" s="3"/>
      <x:c r="J1105" s="3"/>
      <x:c r="K1105" s="269"/>
      <x:c r="L1105" s="270"/>
      <x:c r="M1105" s="270"/>
      <x:c r="N1105" s="3"/>
      <x:c r="O1105" s="269"/>
      <x:c r="P1105" s="271"/>
      <x:c r="Q1105" s="272"/>
    </x:row>
    <x:row r="1106" ht="12.75">
      <x:c r="A1106" s="3"/>
      <x:c r="B1106" s="264"/>
      <x:c r="C1106" s="127"/>
      <x:c r="D1106" s="127"/>
      <x:c r="E1106" s="265"/>
      <x:c r="F1106" s="266"/>
      <x:c r="G1106" s="264"/>
      <x:c r="H1106" s="267"/>
      <x:c r="I1106" s="3"/>
      <x:c r="J1106" s="3"/>
      <x:c r="K1106" s="269"/>
      <x:c r="L1106" s="270"/>
      <x:c r="M1106" s="270"/>
      <x:c r="N1106" s="3"/>
      <x:c r="O1106" s="269"/>
      <x:c r="P1106" s="271"/>
      <x:c r="Q1106" s="272"/>
    </x:row>
    <x:row r="1107" ht="12.75">
      <x:c r="A1107" s="3"/>
      <x:c r="B1107" s="264"/>
      <x:c r="C1107" s="127"/>
      <x:c r="D1107" s="127"/>
      <x:c r="E1107" s="265"/>
      <x:c r="F1107" s="266"/>
      <x:c r="G1107" s="264"/>
      <x:c r="H1107" s="267"/>
      <x:c r="I1107" s="3"/>
      <x:c r="J1107" s="3"/>
      <x:c r="K1107" s="269"/>
      <x:c r="L1107" s="270"/>
      <x:c r="M1107" s="270"/>
      <x:c r="N1107" s="3"/>
      <x:c r="O1107" s="269"/>
      <x:c r="P1107" s="271"/>
      <x:c r="Q1107" s="272"/>
    </x:row>
    <x:row r="1108" ht="12.75">
      <x:c r="A1108" s="3"/>
      <x:c r="B1108" s="264"/>
      <x:c r="C1108" s="127"/>
      <x:c r="D1108" s="127"/>
      <x:c r="E1108" s="265"/>
      <x:c r="F1108" s="266"/>
      <x:c r="G1108" s="264"/>
      <x:c r="H1108" s="267"/>
      <x:c r="I1108" s="3"/>
      <x:c r="J1108" s="3"/>
      <x:c r="K1108" s="269"/>
      <x:c r="L1108" s="270"/>
      <x:c r="M1108" s="270"/>
      <x:c r="N1108" s="3"/>
      <x:c r="O1108" s="269"/>
      <x:c r="P1108" s="271"/>
      <x:c r="Q1108" s="272"/>
    </x:row>
    <x:row r="1109" ht="12.75">
      <x:c r="A1109" s="3"/>
      <x:c r="B1109" s="264"/>
      <x:c r="C1109" s="127"/>
      <x:c r="D1109" s="127"/>
      <x:c r="E1109" s="265"/>
      <x:c r="F1109" s="266"/>
      <x:c r="G1109" s="264"/>
      <x:c r="H1109" s="267"/>
      <x:c r="I1109" s="3"/>
      <x:c r="J1109" s="3"/>
      <x:c r="K1109" s="269"/>
      <x:c r="L1109" s="270"/>
      <x:c r="M1109" s="270"/>
      <x:c r="N1109" s="3"/>
      <x:c r="O1109" s="269"/>
      <x:c r="P1109" s="271"/>
      <x:c r="Q1109" s="272"/>
    </x:row>
    <x:row r="1110" ht="12.75">
      <x:c r="A1110" s="3"/>
      <x:c r="B1110" s="264"/>
      <x:c r="C1110" s="127"/>
      <x:c r="D1110" s="127"/>
      <x:c r="E1110" s="265"/>
      <x:c r="F1110" s="266"/>
      <x:c r="G1110" s="264"/>
      <x:c r="H1110" s="267"/>
      <x:c r="I1110" s="3"/>
      <x:c r="J1110" s="3"/>
      <x:c r="K1110" s="269"/>
      <x:c r="L1110" s="270"/>
      <x:c r="M1110" s="270"/>
      <x:c r="N1110" s="3"/>
      <x:c r="O1110" s="269"/>
      <x:c r="P1110" s="271"/>
      <x:c r="Q1110" s="272"/>
    </x:row>
    <x:row r="1111" ht="12.75">
      <x:c r="A1111" s="3"/>
      <x:c r="B1111" s="264"/>
      <x:c r="C1111" s="127"/>
      <x:c r="D1111" s="127"/>
      <x:c r="E1111" s="265"/>
      <x:c r="F1111" s="266"/>
      <x:c r="G1111" s="264"/>
      <x:c r="H1111" s="267"/>
      <x:c r="I1111" s="3"/>
      <x:c r="J1111" s="3"/>
      <x:c r="K1111" s="269"/>
      <x:c r="L1111" s="270"/>
      <x:c r="M1111" s="270"/>
      <x:c r="N1111" s="3"/>
      <x:c r="O1111" s="269"/>
      <x:c r="P1111" s="271"/>
      <x:c r="Q1111" s="272"/>
    </x:row>
    <x:row r="1112" ht="12.75">
      <x:c r="A1112" s="3"/>
      <x:c r="B1112" s="264"/>
      <x:c r="C1112" s="127"/>
      <x:c r="D1112" s="127"/>
      <x:c r="E1112" s="265"/>
      <x:c r="F1112" s="266"/>
      <x:c r="G1112" s="264"/>
      <x:c r="H1112" s="267"/>
      <x:c r="I1112" s="3"/>
      <x:c r="J1112" s="3"/>
      <x:c r="K1112" s="269"/>
      <x:c r="L1112" s="270"/>
      <x:c r="M1112" s="270"/>
      <x:c r="N1112" s="3"/>
      <x:c r="O1112" s="269"/>
      <x:c r="P1112" s="271"/>
      <x:c r="Q1112" s="272"/>
    </x:row>
    <x:row r="1113" ht="12.75">
      <x:c r="A1113" s="3"/>
      <x:c r="B1113" s="264"/>
      <x:c r="C1113" s="127"/>
      <x:c r="D1113" s="127"/>
      <x:c r="E1113" s="265"/>
      <x:c r="F1113" s="266"/>
      <x:c r="G1113" s="264"/>
      <x:c r="H1113" s="267"/>
      <x:c r="I1113" s="3"/>
      <x:c r="J1113" s="3"/>
      <x:c r="K1113" s="269"/>
      <x:c r="L1113" s="270"/>
      <x:c r="M1113" s="270"/>
      <x:c r="N1113" s="3"/>
      <x:c r="O1113" s="269"/>
      <x:c r="P1113" s="271"/>
      <x:c r="Q1113" s="272"/>
    </x:row>
    <x:row r="1114" ht="12.75">
      <x:c r="A1114" s="3"/>
      <x:c r="B1114" s="264"/>
      <x:c r="C1114" s="127"/>
      <x:c r="D1114" s="127"/>
      <x:c r="E1114" s="265"/>
      <x:c r="F1114" s="266"/>
      <x:c r="G1114" s="264"/>
      <x:c r="H1114" s="267"/>
      <x:c r="I1114" s="3"/>
      <x:c r="J1114" s="3"/>
      <x:c r="K1114" s="269"/>
      <x:c r="L1114" s="270"/>
      <x:c r="M1114" s="270"/>
      <x:c r="N1114" s="3"/>
      <x:c r="O1114" s="269"/>
      <x:c r="P1114" s="271"/>
      <x:c r="Q1114" s="272"/>
    </x:row>
    <x:row r="1115" ht="12.75">
      <x:c r="A1115" s="3"/>
      <x:c r="B1115" s="264"/>
      <x:c r="C1115" s="127"/>
      <x:c r="D1115" s="127"/>
      <x:c r="E1115" s="265"/>
      <x:c r="F1115" s="266"/>
      <x:c r="G1115" s="264"/>
      <x:c r="H1115" s="267"/>
      <x:c r="I1115" s="3"/>
      <x:c r="J1115" s="3"/>
      <x:c r="K1115" s="269"/>
      <x:c r="L1115" s="270"/>
      <x:c r="M1115" s="270"/>
      <x:c r="N1115" s="3"/>
      <x:c r="O1115" s="269"/>
      <x:c r="P1115" s="271"/>
      <x:c r="Q1115" s="272"/>
    </x:row>
    <x:row r="1116" ht="12.75">
      <x:c r="A1116" s="3"/>
      <x:c r="B1116" s="264"/>
      <x:c r="C1116" s="127"/>
      <x:c r="D1116" s="127"/>
      <x:c r="E1116" s="265"/>
      <x:c r="F1116" s="266"/>
      <x:c r="G1116" s="264"/>
      <x:c r="H1116" s="267"/>
      <x:c r="I1116" s="3"/>
      <x:c r="J1116" s="3"/>
      <x:c r="K1116" s="269"/>
      <x:c r="L1116" s="270"/>
      <x:c r="M1116" s="270"/>
      <x:c r="N1116" s="3"/>
      <x:c r="O1116" s="269"/>
      <x:c r="P1116" s="271"/>
      <x:c r="Q1116" s="272"/>
    </x:row>
    <x:row r="1117" ht="12.75">
      <x:c r="A1117" s="3"/>
      <x:c r="B1117" s="264"/>
      <x:c r="C1117" s="127"/>
      <x:c r="D1117" s="127"/>
      <x:c r="E1117" s="265"/>
      <x:c r="F1117" s="266"/>
      <x:c r="G1117" s="264"/>
      <x:c r="H1117" s="267"/>
      <x:c r="I1117" s="3"/>
      <x:c r="J1117" s="3"/>
      <x:c r="K1117" s="269"/>
      <x:c r="L1117" s="270"/>
      <x:c r="M1117" s="270"/>
      <x:c r="N1117" s="3"/>
      <x:c r="O1117" s="269"/>
      <x:c r="P1117" s="271"/>
      <x:c r="Q1117" s="272"/>
    </x:row>
    <x:row r="1118" ht="12.75">
      <x:c r="A1118" s="3"/>
      <x:c r="B1118" s="264"/>
      <x:c r="C1118" s="127"/>
      <x:c r="D1118" s="127"/>
      <x:c r="E1118" s="265"/>
      <x:c r="F1118" s="266"/>
      <x:c r="G1118" s="264"/>
      <x:c r="H1118" s="267"/>
      <x:c r="I1118" s="3"/>
      <x:c r="J1118" s="3"/>
      <x:c r="K1118" s="269"/>
      <x:c r="L1118" s="270"/>
      <x:c r="M1118" s="270"/>
      <x:c r="N1118" s="3"/>
      <x:c r="O1118" s="269"/>
      <x:c r="P1118" s="271"/>
      <x:c r="Q1118" s="272"/>
    </x:row>
    <x:row r="1119" ht="12.75">
      <x:c r="A1119" s="3"/>
      <x:c r="B1119" s="264"/>
      <x:c r="C1119" s="127"/>
      <x:c r="D1119" s="127"/>
      <x:c r="E1119" s="265"/>
      <x:c r="F1119" s="266"/>
      <x:c r="G1119" s="264"/>
      <x:c r="H1119" s="267"/>
      <x:c r="I1119" s="3"/>
      <x:c r="J1119" s="3"/>
      <x:c r="K1119" s="269"/>
      <x:c r="L1119" s="270"/>
      <x:c r="M1119" s="270"/>
      <x:c r="N1119" s="3"/>
      <x:c r="O1119" s="269"/>
      <x:c r="P1119" s="271"/>
      <x:c r="Q1119" s="272"/>
    </x:row>
    <x:row r="1120" ht="12.75">
      <x:c r="A1120" s="3"/>
      <x:c r="B1120" s="264"/>
      <x:c r="C1120" s="127"/>
      <x:c r="D1120" s="127"/>
      <x:c r="E1120" s="265"/>
      <x:c r="F1120" s="266"/>
      <x:c r="G1120" s="264"/>
      <x:c r="H1120" s="267"/>
      <x:c r="I1120" s="3"/>
      <x:c r="J1120" s="3"/>
      <x:c r="K1120" s="269"/>
      <x:c r="L1120" s="270"/>
      <x:c r="M1120" s="270"/>
      <x:c r="N1120" s="3"/>
      <x:c r="O1120" s="269"/>
      <x:c r="P1120" s="271"/>
      <x:c r="Q1120" s="272"/>
    </x:row>
    <x:row r="1121" ht="12.75">
      <x:c r="A1121" s="3"/>
      <x:c r="B1121" s="264"/>
      <x:c r="C1121" s="127"/>
      <x:c r="D1121" s="127"/>
      <x:c r="E1121" s="265"/>
      <x:c r="F1121" s="266"/>
      <x:c r="G1121" s="264"/>
      <x:c r="H1121" s="267"/>
      <x:c r="I1121" s="3"/>
      <x:c r="J1121" s="3"/>
      <x:c r="K1121" s="269"/>
      <x:c r="L1121" s="270"/>
      <x:c r="M1121" s="270"/>
      <x:c r="N1121" s="3"/>
      <x:c r="O1121" s="269"/>
      <x:c r="P1121" s="271"/>
      <x:c r="Q1121" s="272"/>
    </x:row>
    <x:row r="1122" ht="12.75">
      <x:c r="A1122" s="3"/>
      <x:c r="B1122" s="264"/>
      <x:c r="C1122" s="127"/>
      <x:c r="D1122" s="127"/>
      <x:c r="E1122" s="265"/>
      <x:c r="F1122" s="266"/>
      <x:c r="G1122" s="264"/>
      <x:c r="H1122" s="267"/>
      <x:c r="I1122" s="3"/>
      <x:c r="J1122" s="3"/>
      <x:c r="K1122" s="269"/>
      <x:c r="L1122" s="270"/>
      <x:c r="M1122" s="270"/>
      <x:c r="N1122" s="3"/>
      <x:c r="O1122" s="269"/>
      <x:c r="P1122" s="271"/>
      <x:c r="Q1122" s="272"/>
    </x:row>
    <x:row r="1123" ht="12.75">
      <x:c r="A1123" s="3"/>
      <x:c r="B1123" s="264"/>
      <x:c r="C1123" s="127"/>
      <x:c r="D1123" s="127"/>
      <x:c r="E1123" s="265"/>
      <x:c r="F1123" s="266"/>
      <x:c r="G1123" s="264"/>
      <x:c r="H1123" s="267"/>
      <x:c r="I1123" s="3"/>
      <x:c r="J1123" s="3"/>
      <x:c r="K1123" s="269"/>
      <x:c r="L1123" s="270"/>
      <x:c r="M1123" s="270"/>
      <x:c r="N1123" s="3"/>
      <x:c r="O1123" s="269"/>
      <x:c r="P1123" s="271"/>
      <x:c r="Q1123" s="272"/>
    </x:row>
    <x:row r="1124" ht="12.75">
      <x:c r="A1124" s="3"/>
      <x:c r="B1124" s="264"/>
      <x:c r="C1124" s="127"/>
      <x:c r="D1124" s="127"/>
      <x:c r="E1124" s="265"/>
      <x:c r="F1124" s="266"/>
      <x:c r="G1124" s="264"/>
      <x:c r="H1124" s="267"/>
      <x:c r="I1124" s="3"/>
      <x:c r="J1124" s="3"/>
      <x:c r="K1124" s="269"/>
      <x:c r="L1124" s="270"/>
      <x:c r="M1124" s="270"/>
      <x:c r="N1124" s="3"/>
      <x:c r="O1124" s="269"/>
      <x:c r="P1124" s="271"/>
      <x:c r="Q1124" s="272"/>
    </x:row>
    <x:row r="1125" ht="12.75">
      <x:c r="A1125" s="3"/>
      <x:c r="B1125" s="264"/>
      <x:c r="C1125" s="127"/>
      <x:c r="D1125" s="127"/>
      <x:c r="E1125" s="265"/>
      <x:c r="F1125" s="266"/>
      <x:c r="G1125" s="264"/>
      <x:c r="H1125" s="267"/>
      <x:c r="I1125" s="3"/>
      <x:c r="J1125" s="3"/>
      <x:c r="K1125" s="269"/>
      <x:c r="L1125" s="270"/>
      <x:c r="M1125" s="270"/>
      <x:c r="N1125" s="3"/>
      <x:c r="O1125" s="269"/>
      <x:c r="P1125" s="271"/>
      <x:c r="Q1125" s="272"/>
    </x:row>
    <x:row r="1126" ht="12.75">
      <x:c r="A1126" s="3"/>
      <x:c r="B1126" s="264"/>
      <x:c r="C1126" s="127"/>
      <x:c r="D1126" s="127"/>
      <x:c r="E1126" s="265"/>
      <x:c r="F1126" s="266"/>
      <x:c r="G1126" s="264"/>
      <x:c r="H1126" s="267"/>
      <x:c r="I1126" s="3"/>
      <x:c r="J1126" s="3"/>
      <x:c r="K1126" s="269"/>
      <x:c r="L1126" s="270"/>
      <x:c r="M1126" s="270"/>
      <x:c r="N1126" s="3"/>
      <x:c r="O1126" s="269"/>
      <x:c r="P1126" s="271"/>
      <x:c r="Q1126" s="272"/>
    </x:row>
    <x:row r="1127" ht="12.75">
      <x:c r="A1127" s="3"/>
      <x:c r="B1127" s="264"/>
      <x:c r="C1127" s="127"/>
      <x:c r="D1127" s="127"/>
      <x:c r="E1127" s="265"/>
      <x:c r="F1127" s="266"/>
      <x:c r="G1127" s="264"/>
      <x:c r="H1127" s="267"/>
      <x:c r="I1127" s="3"/>
      <x:c r="J1127" s="3"/>
      <x:c r="K1127" s="269"/>
      <x:c r="L1127" s="270"/>
      <x:c r="M1127" s="270"/>
      <x:c r="N1127" s="3"/>
      <x:c r="O1127" s="269"/>
      <x:c r="P1127" s="271"/>
      <x:c r="Q1127" s="272"/>
    </x:row>
    <x:row r="1128" ht="12.75">
      <x:c r="A1128" s="3"/>
      <x:c r="B1128" s="264"/>
      <x:c r="C1128" s="127"/>
      <x:c r="D1128" s="127"/>
      <x:c r="E1128" s="265"/>
      <x:c r="F1128" s="266"/>
      <x:c r="G1128" s="264"/>
      <x:c r="H1128" s="267"/>
      <x:c r="I1128" s="3"/>
      <x:c r="J1128" s="3"/>
      <x:c r="K1128" s="269"/>
      <x:c r="L1128" s="270"/>
      <x:c r="M1128" s="270"/>
      <x:c r="N1128" s="3"/>
      <x:c r="O1128" s="269"/>
      <x:c r="P1128" s="271"/>
      <x:c r="Q1128" s="272"/>
    </x:row>
    <x:row r="1129" ht="12.75">
      <x:c r="A1129" s="3"/>
      <x:c r="B1129" s="264"/>
      <x:c r="C1129" s="127"/>
      <x:c r="D1129" s="127"/>
      <x:c r="E1129" s="265"/>
      <x:c r="F1129" s="266"/>
      <x:c r="G1129" s="264"/>
      <x:c r="H1129" s="267"/>
      <x:c r="I1129" s="3"/>
      <x:c r="J1129" s="3"/>
      <x:c r="K1129" s="269"/>
      <x:c r="L1129" s="270"/>
      <x:c r="M1129" s="270"/>
      <x:c r="N1129" s="3"/>
      <x:c r="O1129" s="269"/>
      <x:c r="P1129" s="271"/>
      <x:c r="Q1129" s="272"/>
    </x:row>
    <x:row r="1130" ht="12.75">
      <x:c r="A1130" s="3"/>
      <x:c r="B1130" s="264"/>
      <x:c r="C1130" s="127"/>
      <x:c r="D1130" s="127"/>
      <x:c r="E1130" s="265"/>
      <x:c r="F1130" s="266"/>
      <x:c r="G1130" s="264"/>
      <x:c r="H1130" s="267"/>
      <x:c r="I1130" s="3"/>
      <x:c r="J1130" s="3"/>
      <x:c r="K1130" s="269"/>
      <x:c r="L1130" s="270"/>
      <x:c r="M1130" s="270"/>
      <x:c r="N1130" s="3"/>
      <x:c r="O1130" s="269"/>
      <x:c r="P1130" s="271"/>
      <x:c r="Q1130" s="272"/>
    </x:row>
    <x:row r="1131" ht="12.75">
      <x:c r="A1131" s="3"/>
      <x:c r="B1131" s="264"/>
      <x:c r="C1131" s="127"/>
      <x:c r="D1131" s="127"/>
      <x:c r="E1131" s="265"/>
      <x:c r="F1131" s="266"/>
      <x:c r="G1131" s="264"/>
      <x:c r="H1131" s="267"/>
      <x:c r="I1131" s="3"/>
      <x:c r="J1131" s="3"/>
      <x:c r="K1131" s="269"/>
      <x:c r="L1131" s="270"/>
      <x:c r="M1131" s="270"/>
      <x:c r="N1131" s="3"/>
      <x:c r="O1131" s="269"/>
      <x:c r="P1131" s="271"/>
      <x:c r="Q1131" s="272"/>
    </x:row>
    <x:row r="1132" ht="12.75">
      <x:c r="A1132" s="3"/>
      <x:c r="B1132" s="264"/>
      <x:c r="C1132" s="127"/>
      <x:c r="D1132" s="127"/>
      <x:c r="E1132" s="265"/>
      <x:c r="F1132" s="266"/>
      <x:c r="G1132" s="264"/>
      <x:c r="H1132" s="267"/>
      <x:c r="I1132" s="3"/>
      <x:c r="J1132" s="3"/>
      <x:c r="K1132" s="269"/>
      <x:c r="L1132" s="270"/>
      <x:c r="M1132" s="270"/>
      <x:c r="N1132" s="3"/>
      <x:c r="O1132" s="269"/>
      <x:c r="P1132" s="271"/>
      <x:c r="Q1132" s="272"/>
    </x:row>
    <x:row r="1133" ht="12.75">
      <x:c r="A1133" s="3"/>
      <x:c r="B1133" s="264"/>
      <x:c r="C1133" s="127"/>
      <x:c r="D1133" s="127"/>
      <x:c r="E1133" s="265"/>
      <x:c r="F1133" s="266"/>
      <x:c r="G1133" s="264"/>
      <x:c r="H1133" s="267"/>
      <x:c r="I1133" s="3"/>
      <x:c r="J1133" s="3"/>
      <x:c r="K1133" s="269"/>
      <x:c r="L1133" s="270"/>
      <x:c r="M1133" s="270"/>
      <x:c r="N1133" s="3"/>
      <x:c r="O1133" s="269"/>
      <x:c r="P1133" s="271"/>
      <x:c r="Q1133" s="272"/>
    </x:row>
    <x:row r="1134" ht="12.75">
      <x:c r="A1134" s="3"/>
      <x:c r="B1134" s="264"/>
      <x:c r="C1134" s="127"/>
      <x:c r="D1134" s="127"/>
      <x:c r="E1134" s="265"/>
      <x:c r="F1134" s="266"/>
      <x:c r="G1134" s="264"/>
      <x:c r="H1134" s="267"/>
      <x:c r="I1134" s="3"/>
      <x:c r="J1134" s="3"/>
      <x:c r="K1134" s="269"/>
      <x:c r="L1134" s="270"/>
      <x:c r="M1134" s="270"/>
      <x:c r="N1134" s="3"/>
      <x:c r="O1134" s="269"/>
      <x:c r="P1134" s="271"/>
      <x:c r="Q1134" s="272"/>
    </x:row>
    <x:row r="1135" ht="12.75">
      <x:c r="A1135" s="3"/>
      <x:c r="B1135" s="264"/>
      <x:c r="C1135" s="127"/>
      <x:c r="D1135" s="127"/>
      <x:c r="E1135" s="265"/>
      <x:c r="F1135" s="266"/>
      <x:c r="G1135" s="264"/>
      <x:c r="H1135" s="267"/>
      <x:c r="I1135" s="3"/>
      <x:c r="J1135" s="3"/>
      <x:c r="K1135" s="269"/>
      <x:c r="L1135" s="270"/>
      <x:c r="M1135" s="270"/>
      <x:c r="N1135" s="3"/>
      <x:c r="O1135" s="269"/>
      <x:c r="P1135" s="271"/>
      <x:c r="Q1135" s="272"/>
    </x:row>
    <x:row r="1136" ht="12.75">
      <x:c r="A1136" s="3"/>
      <x:c r="B1136" s="264"/>
      <x:c r="C1136" s="127"/>
      <x:c r="D1136" s="127"/>
      <x:c r="E1136" s="265"/>
      <x:c r="F1136" s="266"/>
      <x:c r="G1136" s="264"/>
      <x:c r="H1136" s="267"/>
      <x:c r="I1136" s="3"/>
      <x:c r="J1136" s="3"/>
      <x:c r="K1136" s="269"/>
      <x:c r="L1136" s="270"/>
      <x:c r="M1136" s="270"/>
      <x:c r="N1136" s="3"/>
      <x:c r="O1136" s="269"/>
      <x:c r="P1136" s="271"/>
      <x:c r="Q1136" s="272"/>
    </x:row>
    <x:row r="1137" ht="12.75">
      <x:c r="A1137" s="3"/>
      <x:c r="B1137" s="264"/>
      <x:c r="C1137" s="127"/>
      <x:c r="D1137" s="127"/>
      <x:c r="E1137" s="265"/>
      <x:c r="F1137" s="266"/>
      <x:c r="G1137" s="264"/>
      <x:c r="H1137" s="267"/>
      <x:c r="I1137" s="3"/>
      <x:c r="J1137" s="3"/>
      <x:c r="K1137" s="269"/>
      <x:c r="L1137" s="270"/>
      <x:c r="M1137" s="270"/>
      <x:c r="N1137" s="3"/>
      <x:c r="O1137" s="269"/>
      <x:c r="P1137" s="271"/>
      <x:c r="Q1137" s="272"/>
    </x:row>
    <x:row r="1138" ht="12.75">
      <x:c r="A1138" s="3"/>
      <x:c r="B1138" s="264"/>
      <x:c r="C1138" s="127"/>
      <x:c r="D1138" s="127"/>
      <x:c r="E1138" s="265"/>
      <x:c r="F1138" s="266"/>
      <x:c r="G1138" s="264"/>
      <x:c r="H1138" s="267"/>
      <x:c r="I1138" s="3"/>
      <x:c r="J1138" s="3"/>
      <x:c r="K1138" s="269"/>
      <x:c r="L1138" s="270"/>
      <x:c r="M1138" s="270"/>
      <x:c r="N1138" s="3"/>
      <x:c r="O1138" s="269"/>
      <x:c r="P1138" s="271"/>
      <x:c r="Q1138" s="272"/>
    </x:row>
    <x:row r="1139" ht="12.75">
      <x:c r="A1139" s="3"/>
      <x:c r="B1139" s="264"/>
      <x:c r="C1139" s="127"/>
      <x:c r="D1139" s="127"/>
      <x:c r="E1139" s="265"/>
      <x:c r="F1139" s="266"/>
      <x:c r="G1139" s="264"/>
      <x:c r="H1139" s="267"/>
      <x:c r="I1139" s="3"/>
      <x:c r="J1139" s="3"/>
      <x:c r="K1139" s="269"/>
      <x:c r="L1139" s="270"/>
      <x:c r="M1139" s="270"/>
      <x:c r="N1139" s="3"/>
      <x:c r="O1139" s="269"/>
      <x:c r="P1139" s="271"/>
      <x:c r="Q1139" s="272"/>
    </x:row>
    <x:row r="1140" ht="12.75">
      <x:c r="A1140" s="3"/>
      <x:c r="B1140" s="264"/>
      <x:c r="C1140" s="127"/>
      <x:c r="D1140" s="127"/>
      <x:c r="E1140" s="265"/>
      <x:c r="F1140" s="266"/>
      <x:c r="G1140" s="264"/>
      <x:c r="H1140" s="267"/>
      <x:c r="I1140" s="3"/>
      <x:c r="J1140" s="3"/>
      <x:c r="K1140" s="269"/>
      <x:c r="L1140" s="270"/>
      <x:c r="M1140" s="270"/>
      <x:c r="N1140" s="3"/>
      <x:c r="O1140" s="269"/>
      <x:c r="P1140" s="271"/>
      <x:c r="Q1140" s="272"/>
    </x:row>
    <x:row r="1141" ht="12.75">
      <x:c r="A1141" s="3"/>
      <x:c r="B1141" s="264"/>
      <x:c r="C1141" s="127"/>
      <x:c r="D1141" s="127"/>
      <x:c r="E1141" s="265"/>
      <x:c r="F1141" s="266"/>
      <x:c r="G1141" s="264"/>
      <x:c r="H1141" s="267"/>
      <x:c r="I1141" s="3"/>
      <x:c r="J1141" s="3"/>
      <x:c r="K1141" s="269"/>
      <x:c r="L1141" s="270"/>
      <x:c r="M1141" s="270"/>
      <x:c r="N1141" s="3"/>
      <x:c r="O1141" s="269"/>
      <x:c r="P1141" s="271"/>
      <x:c r="Q1141" s="272"/>
    </x:row>
    <x:row r="1142" ht="12.75">
      <x:c r="A1142" s="3"/>
      <x:c r="B1142" s="264"/>
      <x:c r="C1142" s="127"/>
      <x:c r="D1142" s="127"/>
      <x:c r="E1142" s="265"/>
      <x:c r="F1142" s="266"/>
      <x:c r="G1142" s="264"/>
      <x:c r="H1142" s="267"/>
      <x:c r="I1142" s="3"/>
      <x:c r="J1142" s="3"/>
      <x:c r="K1142" s="269"/>
      <x:c r="L1142" s="270"/>
      <x:c r="M1142" s="270"/>
      <x:c r="N1142" s="3"/>
      <x:c r="O1142" s="269"/>
      <x:c r="P1142" s="271"/>
      <x:c r="Q1142" s="272"/>
    </x:row>
    <x:row r="1143" ht="12.75">
      <x:c r="A1143" s="3"/>
      <x:c r="B1143" s="264"/>
      <x:c r="C1143" s="127"/>
      <x:c r="D1143" s="127"/>
      <x:c r="E1143" s="265"/>
      <x:c r="F1143" s="266"/>
      <x:c r="G1143" s="264"/>
      <x:c r="H1143" s="267"/>
      <x:c r="I1143" s="3"/>
      <x:c r="J1143" s="3"/>
      <x:c r="K1143" s="269"/>
      <x:c r="L1143" s="270"/>
      <x:c r="M1143" s="270"/>
      <x:c r="N1143" s="3"/>
      <x:c r="O1143" s="269"/>
      <x:c r="P1143" s="271"/>
      <x:c r="Q1143" s="272"/>
    </x:row>
    <x:row r="1144" ht="12.75">
      <x:c r="A1144" s="3"/>
      <x:c r="B1144" s="264"/>
      <x:c r="C1144" s="127"/>
      <x:c r="D1144" s="127"/>
      <x:c r="E1144" s="265"/>
      <x:c r="F1144" s="266"/>
      <x:c r="G1144" s="264"/>
      <x:c r="H1144" s="267"/>
      <x:c r="I1144" s="3"/>
      <x:c r="J1144" s="3"/>
      <x:c r="K1144" s="269"/>
      <x:c r="L1144" s="270"/>
      <x:c r="M1144" s="270"/>
      <x:c r="N1144" s="3"/>
      <x:c r="O1144" s="269"/>
      <x:c r="P1144" s="271"/>
      <x:c r="Q1144" s="272"/>
    </x:row>
    <x:row r="1145" ht="12.75">
      <x:c r="A1145" s="3"/>
      <x:c r="B1145" s="264"/>
      <x:c r="C1145" s="127"/>
      <x:c r="D1145" s="127"/>
      <x:c r="E1145" s="265"/>
      <x:c r="F1145" s="266"/>
      <x:c r="G1145" s="264"/>
      <x:c r="H1145" s="267"/>
      <x:c r="I1145" s="3"/>
      <x:c r="J1145" s="3"/>
      <x:c r="K1145" s="269"/>
      <x:c r="L1145" s="270"/>
      <x:c r="M1145" s="270"/>
      <x:c r="N1145" s="3"/>
      <x:c r="O1145" s="269"/>
      <x:c r="P1145" s="271"/>
      <x:c r="Q1145" s="272"/>
    </x:row>
    <x:row r="1146" ht="12.75">
      <x:c r="A1146" s="3"/>
      <x:c r="B1146" s="264"/>
      <x:c r="C1146" s="127"/>
      <x:c r="D1146" s="127"/>
      <x:c r="E1146" s="265"/>
      <x:c r="F1146" s="266"/>
      <x:c r="G1146" s="264"/>
      <x:c r="H1146" s="267"/>
      <x:c r="I1146" s="3"/>
      <x:c r="J1146" s="3"/>
      <x:c r="K1146" s="269"/>
      <x:c r="L1146" s="270"/>
      <x:c r="M1146" s="270"/>
      <x:c r="N1146" s="3"/>
      <x:c r="O1146" s="269"/>
      <x:c r="P1146" s="271"/>
      <x:c r="Q1146" s="272"/>
    </x:row>
    <x:row r="1147" ht="12.75">
      <x:c r="A1147" s="3"/>
      <x:c r="B1147" s="264"/>
      <x:c r="C1147" s="127"/>
      <x:c r="D1147" s="127"/>
      <x:c r="E1147" s="265"/>
      <x:c r="F1147" s="266"/>
      <x:c r="G1147" s="264"/>
      <x:c r="H1147" s="267"/>
      <x:c r="I1147" s="3"/>
      <x:c r="J1147" s="3"/>
      <x:c r="K1147" s="269"/>
      <x:c r="L1147" s="270"/>
      <x:c r="M1147" s="270"/>
      <x:c r="N1147" s="3"/>
      <x:c r="O1147" s="269"/>
      <x:c r="P1147" s="271"/>
      <x:c r="Q1147" s="272"/>
    </x:row>
    <x:row r="1148" ht="12.75">
      <x:c r="A1148" s="3"/>
      <x:c r="B1148" s="264"/>
      <x:c r="C1148" s="127"/>
      <x:c r="D1148" s="127"/>
      <x:c r="E1148" s="265"/>
      <x:c r="F1148" s="266"/>
      <x:c r="G1148" s="264"/>
      <x:c r="H1148" s="267"/>
      <x:c r="I1148" s="3"/>
      <x:c r="J1148" s="3"/>
      <x:c r="K1148" s="269"/>
      <x:c r="L1148" s="270"/>
      <x:c r="M1148" s="270"/>
      <x:c r="N1148" s="3"/>
      <x:c r="O1148" s="269"/>
      <x:c r="P1148" s="271"/>
      <x:c r="Q1148" s="272"/>
    </x:row>
    <x:row r="1149" ht="12.75">
      <x:c r="A1149" s="3"/>
      <x:c r="B1149" s="264"/>
      <x:c r="C1149" s="127"/>
      <x:c r="D1149" s="127"/>
      <x:c r="E1149" s="265"/>
      <x:c r="F1149" s="266"/>
      <x:c r="G1149" s="264"/>
      <x:c r="H1149" s="267"/>
      <x:c r="I1149" s="3"/>
      <x:c r="J1149" s="3"/>
      <x:c r="K1149" s="269"/>
      <x:c r="L1149" s="270"/>
      <x:c r="M1149" s="270"/>
      <x:c r="N1149" s="3"/>
      <x:c r="O1149" s="269"/>
      <x:c r="P1149" s="271"/>
      <x:c r="Q1149" s="272"/>
    </x:row>
    <x:row r="1150" ht="12.75">
      <x:c r="A1150" s="3"/>
      <x:c r="B1150" s="264"/>
      <x:c r="C1150" s="127"/>
      <x:c r="D1150" s="127"/>
      <x:c r="E1150" s="265"/>
      <x:c r="F1150" s="266"/>
      <x:c r="G1150" s="264"/>
      <x:c r="H1150" s="267"/>
      <x:c r="I1150" s="3"/>
      <x:c r="J1150" s="3"/>
      <x:c r="K1150" s="269"/>
      <x:c r="L1150" s="270"/>
      <x:c r="M1150" s="270"/>
      <x:c r="N1150" s="3"/>
      <x:c r="O1150" s="269"/>
      <x:c r="P1150" s="271"/>
      <x:c r="Q1150" s="272"/>
    </x:row>
    <x:row r="1151" ht="12.75">
      <x:c r="A1151" s="3"/>
      <x:c r="B1151" s="264"/>
      <x:c r="C1151" s="127"/>
      <x:c r="D1151" s="127"/>
      <x:c r="E1151" s="265"/>
      <x:c r="F1151" s="266"/>
      <x:c r="G1151" s="264"/>
      <x:c r="H1151" s="267"/>
      <x:c r="I1151" s="3"/>
      <x:c r="J1151" s="3"/>
      <x:c r="K1151" s="269"/>
      <x:c r="L1151" s="270"/>
      <x:c r="M1151" s="270"/>
      <x:c r="N1151" s="3"/>
      <x:c r="O1151" s="269"/>
      <x:c r="P1151" s="271"/>
      <x:c r="Q1151" s="272"/>
    </x:row>
    <x:row r="1152" ht="12.75">
      <x:c r="A1152" s="3"/>
      <x:c r="B1152" s="264"/>
      <x:c r="C1152" s="127"/>
      <x:c r="D1152" s="127"/>
      <x:c r="E1152" s="265"/>
      <x:c r="F1152" s="266"/>
      <x:c r="G1152" s="264"/>
      <x:c r="H1152" s="267"/>
      <x:c r="I1152" s="3"/>
      <x:c r="J1152" s="3"/>
      <x:c r="K1152" s="269"/>
      <x:c r="L1152" s="270"/>
      <x:c r="M1152" s="270"/>
      <x:c r="N1152" s="3"/>
      <x:c r="O1152" s="269"/>
      <x:c r="P1152" s="271"/>
      <x:c r="Q1152" s="272"/>
    </x:row>
    <x:row r="1153" ht="12.75">
      <x:c r="A1153" s="3"/>
      <x:c r="B1153" s="264"/>
      <x:c r="C1153" s="127"/>
      <x:c r="D1153" s="127"/>
      <x:c r="E1153" s="265"/>
      <x:c r="F1153" s="266"/>
      <x:c r="G1153" s="264"/>
      <x:c r="H1153" s="267"/>
      <x:c r="I1153" s="3"/>
      <x:c r="J1153" s="3"/>
      <x:c r="K1153" s="269"/>
      <x:c r="L1153" s="270"/>
      <x:c r="M1153" s="270"/>
      <x:c r="N1153" s="3"/>
      <x:c r="O1153" s="269"/>
      <x:c r="P1153" s="271"/>
      <x:c r="Q1153" s="272"/>
    </x:row>
    <x:row r="1154" ht="12.75">
      <x:c r="A1154" s="3"/>
      <x:c r="B1154" s="264"/>
      <x:c r="C1154" s="127"/>
      <x:c r="D1154" s="127"/>
      <x:c r="E1154" s="265"/>
      <x:c r="F1154" s="266"/>
      <x:c r="G1154" s="264"/>
      <x:c r="H1154" s="267"/>
      <x:c r="I1154" s="3"/>
      <x:c r="J1154" s="3"/>
      <x:c r="K1154" s="269"/>
      <x:c r="L1154" s="270"/>
      <x:c r="M1154" s="270"/>
      <x:c r="N1154" s="3"/>
      <x:c r="O1154" s="269"/>
      <x:c r="P1154" s="271"/>
      <x:c r="Q1154" s="272"/>
    </x:row>
    <x:row r="1155" ht="12.75">
      <x:c r="A1155" s="3"/>
      <x:c r="B1155" s="264"/>
      <x:c r="C1155" s="127"/>
      <x:c r="D1155" s="127"/>
      <x:c r="E1155" s="265"/>
      <x:c r="F1155" s="266"/>
      <x:c r="G1155" s="264"/>
      <x:c r="H1155" s="267"/>
      <x:c r="I1155" s="3"/>
      <x:c r="J1155" s="3"/>
      <x:c r="K1155" s="269"/>
      <x:c r="L1155" s="270"/>
      <x:c r="M1155" s="270"/>
      <x:c r="N1155" s="3"/>
      <x:c r="O1155" s="269"/>
      <x:c r="P1155" s="271"/>
      <x:c r="Q1155" s="272"/>
    </x:row>
    <x:row r="1156" ht="12.75">
      <x:c r="A1156" s="3"/>
      <x:c r="B1156" s="264"/>
      <x:c r="C1156" s="127"/>
      <x:c r="D1156" s="127"/>
      <x:c r="E1156" s="265"/>
      <x:c r="F1156" s="266"/>
      <x:c r="G1156" s="264"/>
      <x:c r="H1156" s="267"/>
      <x:c r="I1156" s="3"/>
      <x:c r="J1156" s="3"/>
      <x:c r="K1156" s="269"/>
      <x:c r="L1156" s="270"/>
      <x:c r="M1156" s="270"/>
      <x:c r="N1156" s="3"/>
      <x:c r="O1156" s="269"/>
      <x:c r="P1156" s="271"/>
      <x:c r="Q1156" s="272"/>
    </x:row>
    <x:row r="1157" ht="12.75">
      <x:c r="A1157" s="3"/>
      <x:c r="B1157" s="264"/>
      <x:c r="C1157" s="127"/>
      <x:c r="D1157" s="127"/>
      <x:c r="E1157" s="265"/>
      <x:c r="F1157" s="266"/>
      <x:c r="G1157" s="264"/>
      <x:c r="H1157" s="267"/>
      <x:c r="I1157" s="3"/>
      <x:c r="J1157" s="3"/>
      <x:c r="K1157" s="269"/>
      <x:c r="L1157" s="270"/>
      <x:c r="M1157" s="270"/>
      <x:c r="N1157" s="3"/>
      <x:c r="O1157" s="269"/>
      <x:c r="P1157" s="271"/>
      <x:c r="Q1157" s="272"/>
    </x:row>
    <x:row r="1158" ht="12.75">
      <x:c r="A1158" s="3"/>
      <x:c r="B1158" s="264"/>
      <x:c r="C1158" s="127"/>
      <x:c r="D1158" s="127"/>
      <x:c r="E1158" s="265"/>
      <x:c r="F1158" s="266"/>
      <x:c r="G1158" s="264"/>
      <x:c r="H1158" s="267"/>
      <x:c r="I1158" s="3"/>
      <x:c r="J1158" s="3"/>
      <x:c r="K1158" s="269"/>
      <x:c r="L1158" s="270"/>
      <x:c r="M1158" s="270"/>
      <x:c r="N1158" s="3"/>
      <x:c r="O1158" s="269"/>
      <x:c r="P1158" s="271"/>
      <x:c r="Q1158" s="272"/>
    </x:row>
    <x:row r="1159" ht="12.75">
      <x:c r="A1159" s="3"/>
      <x:c r="B1159" s="264"/>
      <x:c r="C1159" s="127"/>
      <x:c r="D1159" s="127"/>
      <x:c r="E1159" s="265"/>
      <x:c r="F1159" s="266"/>
      <x:c r="G1159" s="264"/>
      <x:c r="H1159" s="267"/>
      <x:c r="I1159" s="3"/>
      <x:c r="J1159" s="3"/>
      <x:c r="K1159" s="269"/>
      <x:c r="L1159" s="270"/>
      <x:c r="M1159" s="270"/>
      <x:c r="N1159" s="3"/>
      <x:c r="O1159" s="269"/>
      <x:c r="P1159" s="271"/>
      <x:c r="Q1159" s="272"/>
    </x:row>
    <x:row r="1160" ht="12.75">
      <x:c r="A1160" s="3"/>
      <x:c r="B1160" s="264"/>
      <x:c r="C1160" s="127"/>
      <x:c r="D1160" s="127"/>
      <x:c r="E1160" s="265"/>
      <x:c r="F1160" s="266"/>
      <x:c r="G1160" s="264"/>
      <x:c r="H1160" s="267"/>
      <x:c r="I1160" s="3"/>
      <x:c r="J1160" s="3"/>
      <x:c r="K1160" s="269"/>
      <x:c r="L1160" s="270"/>
      <x:c r="M1160" s="270"/>
      <x:c r="N1160" s="3"/>
      <x:c r="O1160" s="269"/>
      <x:c r="P1160" s="271"/>
      <x:c r="Q1160" s="272"/>
    </x:row>
    <x:row r="1161" ht="12.75">
      <x:c r="A1161" s="3"/>
      <x:c r="B1161" s="264"/>
      <x:c r="C1161" s="127"/>
      <x:c r="D1161" s="127"/>
      <x:c r="E1161" s="265"/>
      <x:c r="F1161" s="266"/>
      <x:c r="G1161" s="264"/>
      <x:c r="H1161" s="267"/>
      <x:c r="I1161" s="3"/>
      <x:c r="J1161" s="3"/>
      <x:c r="K1161" s="269"/>
      <x:c r="L1161" s="270"/>
      <x:c r="M1161" s="270"/>
      <x:c r="N1161" s="3"/>
      <x:c r="O1161" s="269"/>
      <x:c r="P1161" s="271"/>
      <x:c r="Q1161" s="272"/>
    </x:row>
    <x:row r="1162" ht="12.75">
      <x:c r="A1162" s="3"/>
      <x:c r="B1162" s="264"/>
      <x:c r="C1162" s="127"/>
      <x:c r="D1162" s="127"/>
      <x:c r="E1162" s="265"/>
      <x:c r="F1162" s="266"/>
      <x:c r="G1162" s="264"/>
      <x:c r="H1162" s="267"/>
      <x:c r="I1162" s="3"/>
      <x:c r="J1162" s="3"/>
      <x:c r="K1162" s="269"/>
      <x:c r="L1162" s="270"/>
      <x:c r="M1162" s="270"/>
      <x:c r="N1162" s="3"/>
      <x:c r="O1162" s="269"/>
      <x:c r="P1162" s="271"/>
      <x:c r="Q1162" s="272"/>
    </x:row>
    <x:row r="1163" ht="12.75">
      <x:c r="A1163" s="3"/>
      <x:c r="B1163" s="264"/>
      <x:c r="C1163" s="127"/>
      <x:c r="D1163" s="127"/>
      <x:c r="E1163" s="265"/>
      <x:c r="F1163" s="266"/>
      <x:c r="G1163" s="264"/>
      <x:c r="H1163" s="267"/>
      <x:c r="I1163" s="3"/>
      <x:c r="J1163" s="3"/>
      <x:c r="K1163" s="269"/>
      <x:c r="L1163" s="270"/>
      <x:c r="M1163" s="270"/>
      <x:c r="N1163" s="3"/>
      <x:c r="O1163" s="269"/>
      <x:c r="P1163" s="271"/>
      <x:c r="Q1163" s="272"/>
    </x:row>
    <x:row r="1164" ht="12.75">
      <x:c r="A1164" s="3"/>
      <x:c r="B1164" s="264"/>
      <x:c r="C1164" s="127"/>
      <x:c r="D1164" s="127"/>
      <x:c r="E1164" s="265"/>
      <x:c r="F1164" s="266"/>
      <x:c r="G1164" s="264"/>
      <x:c r="H1164" s="267"/>
      <x:c r="I1164" s="3"/>
      <x:c r="J1164" s="3"/>
      <x:c r="K1164" s="269"/>
      <x:c r="L1164" s="270"/>
      <x:c r="M1164" s="270"/>
      <x:c r="N1164" s="3"/>
      <x:c r="O1164" s="269"/>
      <x:c r="P1164" s="271"/>
      <x:c r="Q1164" s="272"/>
    </x:row>
    <x:row r="1165" ht="12.75">
      <x:c r="A1165" s="3"/>
      <x:c r="B1165" s="264"/>
      <x:c r="C1165" s="127"/>
      <x:c r="D1165" s="127"/>
      <x:c r="E1165" s="265"/>
      <x:c r="F1165" s="266"/>
      <x:c r="G1165" s="264"/>
      <x:c r="H1165" s="267"/>
      <x:c r="I1165" s="3"/>
      <x:c r="J1165" s="3"/>
      <x:c r="K1165" s="269"/>
      <x:c r="L1165" s="270"/>
      <x:c r="M1165" s="270"/>
      <x:c r="N1165" s="3"/>
      <x:c r="O1165" s="269"/>
      <x:c r="P1165" s="271"/>
      <x:c r="Q1165" s="272"/>
    </x:row>
    <x:row r="1166" ht="12.75">
      <x:c r="A1166" s="3"/>
      <x:c r="B1166" s="264"/>
      <x:c r="C1166" s="127"/>
      <x:c r="D1166" s="127"/>
      <x:c r="E1166" s="265"/>
      <x:c r="F1166" s="266"/>
      <x:c r="G1166" s="264"/>
      <x:c r="H1166" s="267"/>
      <x:c r="I1166" s="3"/>
      <x:c r="J1166" s="3"/>
      <x:c r="K1166" s="269"/>
      <x:c r="L1166" s="270"/>
      <x:c r="M1166" s="270"/>
      <x:c r="N1166" s="3"/>
      <x:c r="O1166" s="269"/>
      <x:c r="P1166" s="271"/>
      <x:c r="Q1166" s="272"/>
    </x:row>
    <x:row r="1167" ht="12.75">
      <x:c r="A1167" s="3"/>
      <x:c r="B1167" s="264"/>
      <x:c r="C1167" s="127"/>
      <x:c r="D1167" s="127"/>
      <x:c r="E1167" s="265"/>
      <x:c r="F1167" s="266"/>
      <x:c r="G1167" s="264"/>
      <x:c r="H1167" s="267"/>
      <x:c r="I1167" s="3"/>
      <x:c r="J1167" s="3"/>
      <x:c r="K1167" s="269"/>
      <x:c r="L1167" s="270"/>
      <x:c r="M1167" s="270"/>
      <x:c r="N1167" s="3"/>
      <x:c r="O1167" s="269"/>
      <x:c r="P1167" s="271"/>
      <x:c r="Q1167" s="272"/>
    </x:row>
    <x:row r="1168" ht="12.75">
      <x:c r="A1168" s="3"/>
      <x:c r="B1168" s="264"/>
      <x:c r="C1168" s="127"/>
      <x:c r="D1168" s="127"/>
      <x:c r="E1168" s="265"/>
      <x:c r="F1168" s="266"/>
      <x:c r="G1168" s="264"/>
      <x:c r="H1168" s="267"/>
      <x:c r="I1168" s="3"/>
      <x:c r="J1168" s="3"/>
      <x:c r="K1168" s="269"/>
      <x:c r="L1168" s="270"/>
      <x:c r="M1168" s="270"/>
      <x:c r="N1168" s="3"/>
      <x:c r="O1168" s="269"/>
      <x:c r="P1168" s="271"/>
      <x:c r="Q1168" s="272"/>
    </x:row>
    <x:row r="1169" ht="12.75">
      <x:c r="A1169" s="3"/>
      <x:c r="B1169" s="264"/>
      <x:c r="C1169" s="127"/>
      <x:c r="D1169" s="127"/>
      <x:c r="E1169" s="265"/>
      <x:c r="F1169" s="266"/>
      <x:c r="G1169" s="264"/>
      <x:c r="H1169" s="267"/>
      <x:c r="I1169" s="3"/>
      <x:c r="J1169" s="3"/>
      <x:c r="K1169" s="269"/>
      <x:c r="L1169" s="270"/>
      <x:c r="M1169" s="270"/>
      <x:c r="N1169" s="3"/>
      <x:c r="O1169" s="269"/>
      <x:c r="P1169" s="271"/>
      <x:c r="Q1169" s="272"/>
    </x:row>
    <x:row r="1170" ht="12.75">
      <x:c r="A1170" s="3"/>
      <x:c r="B1170" s="264"/>
      <x:c r="C1170" s="127"/>
      <x:c r="D1170" s="127"/>
      <x:c r="E1170" s="265"/>
      <x:c r="F1170" s="266"/>
      <x:c r="G1170" s="264"/>
      <x:c r="H1170" s="267"/>
      <x:c r="I1170" s="3"/>
      <x:c r="J1170" s="3"/>
      <x:c r="K1170" s="269"/>
      <x:c r="L1170" s="270"/>
      <x:c r="M1170" s="270"/>
      <x:c r="N1170" s="3"/>
      <x:c r="O1170" s="269"/>
      <x:c r="P1170" s="271"/>
      <x:c r="Q1170" s="272"/>
    </x:row>
    <x:row r="1171" ht="12.75">
      <x:c r="A1171" s="3"/>
      <x:c r="B1171" s="264"/>
      <x:c r="C1171" s="127"/>
      <x:c r="D1171" s="127"/>
      <x:c r="E1171" s="265"/>
      <x:c r="F1171" s="266"/>
      <x:c r="G1171" s="264"/>
      <x:c r="H1171" s="267"/>
      <x:c r="I1171" s="3"/>
      <x:c r="J1171" s="3"/>
      <x:c r="K1171" s="269"/>
      <x:c r="L1171" s="270"/>
      <x:c r="M1171" s="270"/>
      <x:c r="N1171" s="3"/>
      <x:c r="O1171" s="269"/>
      <x:c r="P1171" s="271"/>
      <x:c r="Q1171" s="272"/>
    </x:row>
    <x:row r="1172" ht="12.75">
      <x:c r="A1172" s="3"/>
      <x:c r="B1172" s="264"/>
      <x:c r="C1172" s="127"/>
      <x:c r="D1172" s="127"/>
      <x:c r="E1172" s="265"/>
      <x:c r="F1172" s="266"/>
      <x:c r="G1172" s="264"/>
      <x:c r="H1172" s="267"/>
      <x:c r="I1172" s="3"/>
      <x:c r="J1172" s="3"/>
      <x:c r="K1172" s="269"/>
      <x:c r="L1172" s="270"/>
      <x:c r="M1172" s="270"/>
      <x:c r="N1172" s="3"/>
      <x:c r="O1172" s="269"/>
      <x:c r="P1172" s="271"/>
      <x:c r="Q1172" s="272"/>
    </x:row>
    <x:row r="1173" ht="12.75">
      <x:c r="A1173" s="3"/>
      <x:c r="B1173" s="264"/>
      <x:c r="C1173" s="127"/>
      <x:c r="D1173" s="127"/>
      <x:c r="E1173" s="265"/>
      <x:c r="F1173" s="266"/>
      <x:c r="G1173" s="264"/>
      <x:c r="H1173" s="267"/>
      <x:c r="I1173" s="3"/>
      <x:c r="J1173" s="3"/>
      <x:c r="K1173" s="269"/>
      <x:c r="L1173" s="270"/>
      <x:c r="M1173" s="270"/>
      <x:c r="N1173" s="3"/>
      <x:c r="O1173" s="269"/>
      <x:c r="P1173" s="271"/>
      <x:c r="Q1173" s="272"/>
    </x:row>
    <x:row r="1174" ht="12.75">
      <x:c r="A1174" s="3"/>
      <x:c r="B1174" s="264"/>
      <x:c r="C1174" s="127"/>
      <x:c r="D1174" s="127"/>
      <x:c r="E1174" s="265"/>
      <x:c r="F1174" s="266"/>
      <x:c r="G1174" s="264"/>
      <x:c r="H1174" s="267"/>
      <x:c r="I1174" s="3"/>
      <x:c r="J1174" s="3"/>
      <x:c r="K1174" s="269"/>
      <x:c r="L1174" s="270"/>
      <x:c r="M1174" s="270"/>
      <x:c r="N1174" s="3"/>
      <x:c r="O1174" s="269"/>
      <x:c r="P1174" s="271"/>
      <x:c r="Q1174" s="272"/>
    </x:row>
    <x:row r="1175" ht="12.75">
      <x:c r="A1175" s="3"/>
      <x:c r="B1175" s="264"/>
      <x:c r="C1175" s="127"/>
      <x:c r="D1175" s="127"/>
      <x:c r="E1175" s="265"/>
      <x:c r="F1175" s="266"/>
      <x:c r="G1175" s="264"/>
      <x:c r="H1175" s="267"/>
      <x:c r="I1175" s="3"/>
      <x:c r="J1175" s="3"/>
      <x:c r="K1175" s="269"/>
      <x:c r="L1175" s="270"/>
      <x:c r="M1175" s="270"/>
      <x:c r="N1175" s="3"/>
      <x:c r="O1175" s="269"/>
      <x:c r="P1175" s="271"/>
      <x:c r="Q1175" s="272"/>
    </x:row>
    <x:row r="1176" ht="12.75">
      <x:c r="A1176" s="3"/>
      <x:c r="B1176" s="264"/>
      <x:c r="C1176" s="127"/>
      <x:c r="D1176" s="127"/>
      <x:c r="E1176" s="265"/>
      <x:c r="F1176" s="266"/>
      <x:c r="G1176" s="264"/>
      <x:c r="H1176" s="267"/>
      <x:c r="I1176" s="3"/>
      <x:c r="J1176" s="3"/>
      <x:c r="K1176" s="269"/>
      <x:c r="L1176" s="270"/>
      <x:c r="M1176" s="270"/>
      <x:c r="N1176" s="3"/>
      <x:c r="O1176" s="269"/>
      <x:c r="P1176" s="271"/>
      <x:c r="Q1176" s="272"/>
    </x:row>
    <x:row r="1177" ht="12.75">
      <x:c r="A1177" s="3"/>
      <x:c r="B1177" s="264"/>
      <x:c r="C1177" s="127"/>
      <x:c r="D1177" s="127"/>
      <x:c r="E1177" s="265"/>
      <x:c r="F1177" s="266"/>
      <x:c r="G1177" s="264"/>
      <x:c r="H1177" s="267"/>
      <x:c r="I1177" s="3"/>
      <x:c r="J1177" s="3"/>
      <x:c r="K1177" s="269"/>
      <x:c r="L1177" s="270"/>
      <x:c r="M1177" s="270"/>
      <x:c r="N1177" s="3"/>
      <x:c r="O1177" s="269"/>
      <x:c r="P1177" s="271"/>
      <x:c r="Q1177" s="272"/>
    </x:row>
    <x:row r="1178" ht="12.75">
      <x:c r="A1178" s="3"/>
      <x:c r="B1178" s="264"/>
      <x:c r="C1178" s="127"/>
      <x:c r="D1178" s="127"/>
      <x:c r="E1178" s="265"/>
      <x:c r="F1178" s="266"/>
      <x:c r="G1178" s="264"/>
      <x:c r="H1178" s="267"/>
      <x:c r="I1178" s="3"/>
      <x:c r="J1178" s="3"/>
      <x:c r="K1178" s="269"/>
      <x:c r="L1178" s="270"/>
      <x:c r="M1178" s="270"/>
      <x:c r="N1178" s="3"/>
      <x:c r="O1178" s="269"/>
      <x:c r="P1178" s="271"/>
      <x:c r="Q1178" s="272"/>
    </x:row>
    <x:row r="1179" ht="12.75">
      <x:c r="A1179" s="3"/>
      <x:c r="B1179" s="264"/>
      <x:c r="C1179" s="127"/>
      <x:c r="D1179" s="127"/>
      <x:c r="E1179" s="265"/>
      <x:c r="F1179" s="266"/>
      <x:c r="G1179" s="264"/>
      <x:c r="H1179" s="267"/>
      <x:c r="I1179" s="3"/>
      <x:c r="J1179" s="3"/>
      <x:c r="K1179" s="269"/>
      <x:c r="L1179" s="270"/>
      <x:c r="M1179" s="270"/>
      <x:c r="N1179" s="3"/>
      <x:c r="O1179" s="269"/>
      <x:c r="P1179" s="271"/>
      <x:c r="Q1179" s="272"/>
    </x:row>
    <x:row r="1180" ht="12.75">
      <x:c r="A1180" s="3"/>
      <x:c r="B1180" s="264"/>
      <x:c r="C1180" s="127"/>
      <x:c r="D1180" s="127"/>
      <x:c r="E1180" s="265"/>
      <x:c r="F1180" s="266"/>
      <x:c r="G1180" s="264"/>
      <x:c r="H1180" s="267"/>
      <x:c r="I1180" s="3"/>
      <x:c r="J1180" s="3"/>
      <x:c r="K1180" s="269"/>
      <x:c r="L1180" s="270"/>
      <x:c r="M1180" s="270"/>
      <x:c r="N1180" s="3"/>
      <x:c r="O1180" s="269"/>
      <x:c r="P1180" s="271"/>
      <x:c r="Q1180" s="272"/>
    </x:row>
    <x:row r="1181" ht="12.75">
      <x:c r="A1181" s="3"/>
      <x:c r="B1181" s="264"/>
      <x:c r="C1181" s="127"/>
      <x:c r="D1181" s="127"/>
      <x:c r="E1181" s="265"/>
      <x:c r="F1181" s="266"/>
      <x:c r="G1181" s="264"/>
      <x:c r="H1181" s="267"/>
      <x:c r="I1181" s="3"/>
      <x:c r="J1181" s="3"/>
      <x:c r="K1181" s="269"/>
      <x:c r="L1181" s="270"/>
      <x:c r="M1181" s="270"/>
      <x:c r="N1181" s="3"/>
      <x:c r="O1181" s="269"/>
      <x:c r="P1181" s="271"/>
      <x:c r="Q1181" s="272"/>
    </x:row>
    <x:row r="1182" ht="12.75">
      <x:c r="A1182" s="3"/>
      <x:c r="B1182" s="264"/>
      <x:c r="C1182" s="127"/>
      <x:c r="D1182" s="127"/>
      <x:c r="E1182" s="265"/>
      <x:c r="F1182" s="266"/>
      <x:c r="G1182" s="264"/>
      <x:c r="H1182" s="267"/>
      <x:c r="I1182" s="3"/>
      <x:c r="J1182" s="3"/>
      <x:c r="K1182" s="269"/>
      <x:c r="L1182" s="270"/>
      <x:c r="M1182" s="270"/>
      <x:c r="N1182" s="3"/>
      <x:c r="O1182" s="269"/>
      <x:c r="P1182" s="271"/>
      <x:c r="Q1182" s="272"/>
    </x:row>
    <x:row r="1183" ht="12.75">
      <x:c r="A1183" s="3"/>
      <x:c r="B1183" s="264"/>
      <x:c r="C1183" s="127"/>
      <x:c r="D1183" s="127"/>
      <x:c r="E1183" s="265"/>
      <x:c r="F1183" s="266"/>
      <x:c r="G1183" s="264"/>
      <x:c r="H1183" s="267"/>
      <x:c r="I1183" s="3"/>
      <x:c r="J1183" s="3"/>
      <x:c r="K1183" s="269"/>
      <x:c r="L1183" s="270"/>
      <x:c r="M1183" s="270"/>
      <x:c r="N1183" s="3"/>
      <x:c r="O1183" s="269"/>
      <x:c r="P1183" s="271"/>
      <x:c r="Q1183" s="272"/>
    </x:row>
    <x:row r="1184" ht="12.75">
      <x:c r="A1184" s="3"/>
      <x:c r="B1184" s="264"/>
      <x:c r="C1184" s="127"/>
      <x:c r="D1184" s="127"/>
      <x:c r="E1184" s="265"/>
      <x:c r="F1184" s="266"/>
      <x:c r="G1184" s="264"/>
      <x:c r="H1184" s="267"/>
      <x:c r="I1184" s="3"/>
      <x:c r="J1184" s="3"/>
      <x:c r="K1184" s="269"/>
      <x:c r="L1184" s="270"/>
      <x:c r="M1184" s="270"/>
      <x:c r="N1184" s="3"/>
      <x:c r="O1184" s="269"/>
      <x:c r="P1184" s="271"/>
      <x:c r="Q1184" s="272"/>
    </x:row>
    <x:row r="1185" ht="12.75">
      <x:c r="A1185" s="3"/>
      <x:c r="B1185" s="264"/>
      <x:c r="C1185" s="127"/>
      <x:c r="D1185" s="127"/>
      <x:c r="E1185" s="265"/>
      <x:c r="F1185" s="266"/>
      <x:c r="G1185" s="264"/>
      <x:c r="H1185" s="267"/>
      <x:c r="I1185" s="3"/>
      <x:c r="J1185" s="3"/>
      <x:c r="K1185" s="269"/>
      <x:c r="L1185" s="270"/>
      <x:c r="M1185" s="270"/>
      <x:c r="N1185" s="3"/>
      <x:c r="O1185" s="269"/>
      <x:c r="P1185" s="271"/>
      <x:c r="Q1185" s="272"/>
    </x:row>
    <x:row r="1186" ht="12.75">
      <x:c r="A1186" s="3"/>
      <x:c r="B1186" s="264"/>
      <x:c r="C1186" s="127"/>
      <x:c r="D1186" s="127"/>
      <x:c r="E1186" s="265"/>
      <x:c r="F1186" s="266"/>
      <x:c r="G1186" s="264"/>
      <x:c r="H1186" s="267"/>
      <x:c r="I1186" s="3"/>
      <x:c r="J1186" s="3"/>
      <x:c r="K1186" s="269"/>
      <x:c r="L1186" s="270"/>
      <x:c r="M1186" s="270"/>
      <x:c r="N1186" s="3"/>
      <x:c r="O1186" s="269"/>
      <x:c r="P1186" s="271"/>
      <x:c r="Q1186" s="272"/>
    </x:row>
    <x:row r="1187" ht="12.75">
      <x:c r="A1187" s="3"/>
      <x:c r="B1187" s="264"/>
      <x:c r="C1187" s="127"/>
      <x:c r="D1187" s="127"/>
      <x:c r="E1187" s="265"/>
      <x:c r="F1187" s="266"/>
      <x:c r="G1187" s="264"/>
      <x:c r="H1187" s="267"/>
      <x:c r="I1187" s="3"/>
      <x:c r="J1187" s="3"/>
      <x:c r="K1187" s="269"/>
      <x:c r="L1187" s="270"/>
      <x:c r="M1187" s="270"/>
      <x:c r="N1187" s="3"/>
      <x:c r="O1187" s="269"/>
      <x:c r="P1187" s="271"/>
      <x:c r="Q1187" s="272"/>
    </x:row>
    <x:row r="1188" ht="12.75">
      <x:c r="A1188" s="3"/>
      <x:c r="B1188" s="264"/>
      <x:c r="C1188" s="127"/>
      <x:c r="D1188" s="127"/>
      <x:c r="E1188" s="265"/>
      <x:c r="F1188" s="266"/>
      <x:c r="G1188" s="264"/>
      <x:c r="H1188" s="267"/>
      <x:c r="I1188" s="3"/>
      <x:c r="J1188" s="3"/>
      <x:c r="K1188" s="269"/>
      <x:c r="L1188" s="270"/>
      <x:c r="M1188" s="270"/>
      <x:c r="N1188" s="3"/>
      <x:c r="O1188" s="269"/>
      <x:c r="P1188" s="271"/>
      <x:c r="Q1188" s="272"/>
    </x:row>
    <x:row r="1189" ht="12.75">
      <x:c r="A1189" s="3"/>
      <x:c r="B1189" s="264"/>
      <x:c r="C1189" s="127"/>
      <x:c r="D1189" s="127"/>
      <x:c r="E1189" s="265"/>
      <x:c r="F1189" s="266"/>
      <x:c r="G1189" s="264"/>
      <x:c r="H1189" s="267"/>
      <x:c r="I1189" s="3"/>
      <x:c r="J1189" s="3"/>
      <x:c r="K1189" s="269"/>
      <x:c r="L1189" s="270"/>
      <x:c r="M1189" s="270"/>
      <x:c r="N1189" s="3"/>
      <x:c r="O1189" s="269"/>
      <x:c r="P1189" s="271"/>
      <x:c r="Q1189" s="272"/>
    </x:row>
    <x:row r="1190" ht="12.75">
      <x:c r="A1190" s="3"/>
      <x:c r="B1190" s="264"/>
      <x:c r="C1190" s="127"/>
      <x:c r="D1190" s="127"/>
      <x:c r="E1190" s="265"/>
      <x:c r="F1190" s="266"/>
      <x:c r="G1190" s="264"/>
      <x:c r="H1190" s="267"/>
      <x:c r="I1190" s="3"/>
      <x:c r="J1190" s="3"/>
      <x:c r="K1190" s="269"/>
      <x:c r="L1190" s="270"/>
      <x:c r="M1190" s="270"/>
      <x:c r="N1190" s="3"/>
      <x:c r="O1190" s="269"/>
      <x:c r="P1190" s="271"/>
      <x:c r="Q1190" s="272"/>
    </x:row>
    <x:row r="1191" ht="12.75">
      <x:c r="A1191" s="3"/>
      <x:c r="B1191" s="264"/>
      <x:c r="C1191" s="127"/>
      <x:c r="D1191" s="127"/>
      <x:c r="E1191" s="265"/>
      <x:c r="F1191" s="266"/>
      <x:c r="G1191" s="264"/>
      <x:c r="H1191" s="267"/>
      <x:c r="I1191" s="3"/>
      <x:c r="J1191" s="3"/>
      <x:c r="K1191" s="269"/>
      <x:c r="L1191" s="270"/>
      <x:c r="M1191" s="270"/>
      <x:c r="N1191" s="3"/>
      <x:c r="O1191" s="269"/>
      <x:c r="P1191" s="271"/>
      <x:c r="Q1191" s="272"/>
    </x:row>
    <x:row r="1192" ht="12.75">
      <x:c r="A1192" s="3"/>
      <x:c r="B1192" s="264"/>
      <x:c r="C1192" s="127"/>
      <x:c r="D1192" s="127"/>
      <x:c r="E1192" s="265"/>
      <x:c r="F1192" s="266"/>
      <x:c r="G1192" s="264"/>
      <x:c r="H1192" s="267"/>
      <x:c r="I1192" s="3"/>
      <x:c r="J1192" s="3"/>
      <x:c r="K1192" s="269"/>
      <x:c r="L1192" s="270"/>
      <x:c r="M1192" s="270"/>
      <x:c r="N1192" s="3"/>
      <x:c r="O1192" s="269"/>
      <x:c r="P1192" s="271"/>
      <x:c r="Q1192" s="272"/>
    </x:row>
    <x:row r="1193" ht="12.75">
      <x:c r="A1193" s="3"/>
      <x:c r="B1193" s="264"/>
      <x:c r="C1193" s="127"/>
      <x:c r="D1193" s="127"/>
      <x:c r="E1193" s="265"/>
      <x:c r="F1193" s="266"/>
      <x:c r="G1193" s="264"/>
      <x:c r="H1193" s="267"/>
      <x:c r="I1193" s="3"/>
      <x:c r="J1193" s="3"/>
      <x:c r="K1193" s="269"/>
      <x:c r="L1193" s="270"/>
      <x:c r="M1193" s="270"/>
      <x:c r="N1193" s="3"/>
      <x:c r="O1193" s="269"/>
      <x:c r="P1193" s="271"/>
      <x:c r="Q1193" s="272"/>
    </x:row>
    <x:row r="1194" ht="12.75">
      <x:c r="A1194" s="3"/>
      <x:c r="B1194" s="264"/>
      <x:c r="C1194" s="127"/>
      <x:c r="D1194" s="127"/>
      <x:c r="E1194" s="265"/>
      <x:c r="F1194" s="266"/>
      <x:c r="G1194" s="264"/>
      <x:c r="H1194" s="267"/>
      <x:c r="I1194" s="3"/>
      <x:c r="J1194" s="3"/>
      <x:c r="K1194" s="269"/>
      <x:c r="L1194" s="270"/>
      <x:c r="M1194" s="270"/>
      <x:c r="N1194" s="3"/>
      <x:c r="O1194" s="269"/>
      <x:c r="P1194" s="271"/>
      <x:c r="Q1194" s="272"/>
    </x:row>
    <x:row r="1195" ht="12.75">
      <x:c r="A1195" s="3"/>
      <x:c r="B1195" s="264"/>
      <x:c r="C1195" s="127"/>
      <x:c r="D1195" s="127"/>
      <x:c r="E1195" s="265"/>
      <x:c r="F1195" s="266"/>
      <x:c r="G1195" s="264"/>
      <x:c r="H1195" s="267"/>
      <x:c r="I1195" s="3"/>
      <x:c r="J1195" s="3"/>
      <x:c r="K1195" s="269"/>
      <x:c r="L1195" s="270"/>
      <x:c r="M1195" s="270"/>
      <x:c r="N1195" s="3"/>
      <x:c r="O1195" s="269"/>
      <x:c r="P1195" s="271"/>
      <x:c r="Q1195" s="272"/>
    </x:row>
    <x:row r="1196" ht="12.75">
      <x:c r="A1196" s="3"/>
      <x:c r="B1196" s="264"/>
      <x:c r="C1196" s="127"/>
      <x:c r="D1196" s="127"/>
      <x:c r="E1196" s="265"/>
      <x:c r="F1196" s="266"/>
      <x:c r="G1196" s="264"/>
      <x:c r="H1196" s="267"/>
      <x:c r="I1196" s="3"/>
      <x:c r="J1196" s="3"/>
      <x:c r="K1196" s="269"/>
      <x:c r="L1196" s="270"/>
      <x:c r="M1196" s="270"/>
      <x:c r="N1196" s="3"/>
      <x:c r="O1196" s="269"/>
      <x:c r="P1196" s="271"/>
      <x:c r="Q1196" s="272"/>
    </x:row>
    <x:row r="1197" ht="12.75">
      <x:c r="A1197" s="3"/>
      <x:c r="B1197" s="264"/>
      <x:c r="C1197" s="127"/>
      <x:c r="D1197" s="127"/>
      <x:c r="E1197" s="265"/>
      <x:c r="F1197" s="266"/>
      <x:c r="G1197" s="264"/>
      <x:c r="H1197" s="267"/>
      <x:c r="I1197" s="3"/>
      <x:c r="J1197" s="3"/>
      <x:c r="K1197" s="269"/>
      <x:c r="L1197" s="270"/>
      <x:c r="M1197" s="270"/>
      <x:c r="N1197" s="3"/>
      <x:c r="O1197" s="269"/>
      <x:c r="P1197" s="271"/>
      <x:c r="Q1197" s="272"/>
    </x:row>
    <x:row r="1198" ht="12.75">
      <x:c r="A1198" s="3"/>
      <x:c r="B1198" s="264"/>
      <x:c r="C1198" s="127"/>
      <x:c r="D1198" s="127"/>
      <x:c r="E1198" s="265"/>
      <x:c r="F1198" s="266"/>
      <x:c r="G1198" s="264"/>
      <x:c r="H1198" s="267"/>
      <x:c r="I1198" s="3"/>
      <x:c r="J1198" s="3"/>
      <x:c r="K1198" s="269"/>
      <x:c r="L1198" s="270"/>
      <x:c r="M1198" s="270"/>
      <x:c r="N1198" s="3"/>
      <x:c r="O1198" s="269"/>
      <x:c r="P1198" s="271"/>
      <x:c r="Q1198" s="272"/>
    </x:row>
    <x:row r="1199" ht="12.75">
      <x:c r="A1199" s="3"/>
      <x:c r="B1199" s="264"/>
      <x:c r="C1199" s="127"/>
      <x:c r="D1199" s="127"/>
      <x:c r="E1199" s="265"/>
      <x:c r="F1199" s="266"/>
      <x:c r="G1199" s="264"/>
      <x:c r="H1199" s="267"/>
      <x:c r="I1199" s="3"/>
      <x:c r="J1199" s="3"/>
      <x:c r="K1199" s="269"/>
      <x:c r="L1199" s="270"/>
      <x:c r="M1199" s="270"/>
      <x:c r="N1199" s="3"/>
      <x:c r="O1199" s="269"/>
      <x:c r="P1199" s="271"/>
      <x:c r="Q1199" s="272"/>
    </x:row>
    <x:row r="1200" ht="12.75">
      <x:c r="A1200" s="3"/>
      <x:c r="B1200" s="264"/>
      <x:c r="C1200" s="127"/>
      <x:c r="D1200" s="127"/>
      <x:c r="E1200" s="265"/>
      <x:c r="F1200" s="266"/>
      <x:c r="G1200" s="264"/>
      <x:c r="H1200" s="267"/>
      <x:c r="I1200" s="3"/>
      <x:c r="J1200" s="3"/>
      <x:c r="K1200" s="269"/>
      <x:c r="L1200" s="270"/>
      <x:c r="M1200" s="270"/>
      <x:c r="N1200" s="3"/>
      <x:c r="O1200" s="269"/>
      <x:c r="P1200" s="271"/>
      <x:c r="Q1200" s="272"/>
    </x:row>
    <x:row r="1201" ht="12.75">
      <x:c r="A1201" s="3"/>
      <x:c r="B1201" s="264"/>
      <x:c r="C1201" s="127"/>
      <x:c r="D1201" s="127"/>
      <x:c r="E1201" s="265"/>
      <x:c r="F1201" s="266"/>
      <x:c r="G1201" s="264"/>
      <x:c r="H1201" s="267"/>
      <x:c r="I1201" s="3"/>
      <x:c r="J1201" s="3"/>
      <x:c r="K1201" s="269"/>
      <x:c r="L1201" s="270"/>
      <x:c r="M1201" s="270"/>
      <x:c r="N1201" s="3"/>
      <x:c r="O1201" s="269"/>
      <x:c r="P1201" s="271"/>
      <x:c r="Q1201" s="272"/>
    </x:row>
    <x:row r="1202" ht="12.75">
      <x:c r="A1202" s="3"/>
      <x:c r="B1202" s="264"/>
      <x:c r="C1202" s="127"/>
      <x:c r="D1202" s="127"/>
      <x:c r="E1202" s="265"/>
      <x:c r="F1202" s="266"/>
      <x:c r="G1202" s="264"/>
      <x:c r="H1202" s="267"/>
      <x:c r="I1202" s="3"/>
      <x:c r="J1202" s="3"/>
      <x:c r="K1202" s="269"/>
      <x:c r="L1202" s="270"/>
      <x:c r="M1202" s="270"/>
      <x:c r="N1202" s="3"/>
      <x:c r="O1202" s="269"/>
      <x:c r="P1202" s="271"/>
      <x:c r="Q1202" s="272"/>
    </x:row>
    <x:row r="1203" ht="12.75">
      <x:c r="A1203" s="3"/>
      <x:c r="B1203" s="264"/>
      <x:c r="C1203" s="127"/>
      <x:c r="D1203" s="127"/>
      <x:c r="E1203" s="265"/>
      <x:c r="F1203" s="266"/>
      <x:c r="G1203" s="264"/>
      <x:c r="H1203" s="267"/>
      <x:c r="I1203" s="3"/>
      <x:c r="J1203" s="3"/>
      <x:c r="K1203" s="269"/>
      <x:c r="L1203" s="270"/>
      <x:c r="M1203" s="270"/>
      <x:c r="N1203" s="3"/>
      <x:c r="O1203" s="269"/>
      <x:c r="P1203" s="271"/>
      <x:c r="Q1203" s="272"/>
    </x:row>
    <x:row r="1204" ht="12.75">
      <x:c r="A1204" s="3"/>
      <x:c r="B1204" s="264"/>
      <x:c r="C1204" s="127"/>
      <x:c r="D1204" s="127"/>
      <x:c r="E1204" s="265"/>
      <x:c r="F1204" s="266"/>
      <x:c r="G1204" s="264"/>
      <x:c r="H1204" s="267"/>
      <x:c r="I1204" s="3"/>
      <x:c r="J1204" s="3"/>
      <x:c r="K1204" s="269"/>
      <x:c r="L1204" s="270"/>
      <x:c r="M1204" s="270"/>
      <x:c r="N1204" s="3"/>
      <x:c r="O1204" s="269"/>
      <x:c r="P1204" s="271"/>
      <x:c r="Q1204" s="272"/>
    </x:row>
    <x:row r="1205" ht="12.75">
      <x:c r="A1205" s="3"/>
      <x:c r="B1205" s="264"/>
      <x:c r="C1205" s="127"/>
      <x:c r="D1205" s="127"/>
      <x:c r="E1205" s="265"/>
      <x:c r="F1205" s="266"/>
      <x:c r="G1205" s="264"/>
      <x:c r="H1205" s="267"/>
      <x:c r="I1205" s="3"/>
      <x:c r="J1205" s="3"/>
      <x:c r="K1205" s="269"/>
      <x:c r="L1205" s="270"/>
      <x:c r="M1205" s="270"/>
      <x:c r="N1205" s="3"/>
      <x:c r="O1205" s="269"/>
      <x:c r="P1205" s="271"/>
      <x:c r="Q1205" s="272"/>
    </x:row>
    <x:row r="1206" ht="12.75">
      <x:c r="A1206" s="3"/>
      <x:c r="B1206" s="264"/>
      <x:c r="C1206" s="127"/>
      <x:c r="D1206" s="127"/>
      <x:c r="E1206" s="265"/>
      <x:c r="F1206" s="266"/>
      <x:c r="G1206" s="264"/>
      <x:c r="H1206" s="267"/>
      <x:c r="I1206" s="3"/>
      <x:c r="J1206" s="3"/>
      <x:c r="K1206" s="269"/>
      <x:c r="L1206" s="270"/>
      <x:c r="M1206" s="270"/>
      <x:c r="N1206" s="3"/>
      <x:c r="O1206" s="269"/>
      <x:c r="P1206" s="271"/>
      <x:c r="Q1206" s="272"/>
    </x:row>
    <x:row r="1207" ht="12.75">
      <x:c r="A1207" s="3"/>
      <x:c r="B1207" s="264"/>
      <x:c r="C1207" s="127"/>
      <x:c r="D1207" s="127"/>
      <x:c r="E1207" s="265"/>
      <x:c r="F1207" s="266"/>
      <x:c r="G1207" s="264"/>
      <x:c r="H1207" s="267"/>
      <x:c r="I1207" s="3"/>
      <x:c r="J1207" s="3"/>
      <x:c r="K1207" s="269"/>
      <x:c r="L1207" s="270"/>
      <x:c r="M1207" s="270"/>
      <x:c r="N1207" s="3"/>
      <x:c r="O1207" s="269"/>
      <x:c r="P1207" s="271"/>
      <x:c r="Q1207" s="272"/>
    </x:row>
    <x:row r="1208" ht="12.75">
      <x:c r="A1208" s="3"/>
      <x:c r="B1208" s="264"/>
      <x:c r="C1208" s="127"/>
      <x:c r="D1208" s="127"/>
      <x:c r="E1208" s="265"/>
      <x:c r="F1208" s="266"/>
      <x:c r="G1208" s="264"/>
      <x:c r="H1208" s="267"/>
      <x:c r="I1208" s="3"/>
      <x:c r="J1208" s="3"/>
      <x:c r="K1208" s="269"/>
      <x:c r="L1208" s="270"/>
      <x:c r="M1208" s="270"/>
      <x:c r="N1208" s="3"/>
      <x:c r="O1208" s="269"/>
      <x:c r="P1208" s="271"/>
      <x:c r="Q1208" s="272"/>
    </x:row>
    <x:row r="1209" ht="12.75">
      <x:c r="A1209" s="3"/>
      <x:c r="B1209" s="264"/>
      <x:c r="C1209" s="127"/>
      <x:c r="D1209" s="127"/>
      <x:c r="E1209" s="265"/>
      <x:c r="F1209" s="266"/>
      <x:c r="G1209" s="264"/>
      <x:c r="H1209" s="267"/>
      <x:c r="I1209" s="3"/>
      <x:c r="J1209" s="3"/>
      <x:c r="K1209" s="269"/>
      <x:c r="L1209" s="270"/>
      <x:c r="M1209" s="270"/>
      <x:c r="N1209" s="3"/>
      <x:c r="O1209" s="269"/>
      <x:c r="P1209" s="271"/>
      <x:c r="Q1209" s="272"/>
    </x:row>
    <x:row r="1210" ht="12.75">
      <x:c r="A1210" s="3"/>
      <x:c r="B1210" s="264"/>
      <x:c r="C1210" s="127"/>
      <x:c r="D1210" s="127"/>
      <x:c r="E1210" s="265"/>
      <x:c r="F1210" s="266"/>
      <x:c r="G1210" s="264"/>
      <x:c r="H1210" s="267"/>
      <x:c r="I1210" s="3"/>
      <x:c r="J1210" s="3"/>
      <x:c r="K1210" s="269"/>
      <x:c r="L1210" s="270"/>
      <x:c r="M1210" s="270"/>
      <x:c r="N1210" s="3"/>
      <x:c r="O1210" s="269"/>
      <x:c r="P1210" s="271"/>
      <x:c r="Q1210" s="272"/>
    </x:row>
    <x:row r="1211" ht="12.75">
      <x:c r="A1211" s="3"/>
      <x:c r="B1211" s="264"/>
      <x:c r="C1211" s="127"/>
      <x:c r="D1211" s="127"/>
      <x:c r="E1211" s="265"/>
      <x:c r="F1211" s="266"/>
      <x:c r="G1211" s="264"/>
      <x:c r="H1211" s="267"/>
      <x:c r="I1211" s="3"/>
      <x:c r="J1211" s="3"/>
      <x:c r="K1211" s="269"/>
      <x:c r="L1211" s="270"/>
      <x:c r="M1211" s="270"/>
      <x:c r="N1211" s="3"/>
      <x:c r="O1211" s="269"/>
      <x:c r="P1211" s="271"/>
      <x:c r="Q1211" s="272"/>
    </x:row>
    <x:row r="1212" ht="12.75">
      <x:c r="A1212" s="3"/>
      <x:c r="B1212" s="264"/>
      <x:c r="C1212" s="127"/>
      <x:c r="D1212" s="127"/>
      <x:c r="E1212" s="265"/>
      <x:c r="F1212" s="266"/>
      <x:c r="G1212" s="264"/>
      <x:c r="H1212" s="267"/>
      <x:c r="I1212" s="3"/>
      <x:c r="J1212" s="3"/>
      <x:c r="K1212" s="269"/>
      <x:c r="L1212" s="270"/>
      <x:c r="M1212" s="270"/>
      <x:c r="N1212" s="3"/>
      <x:c r="O1212" s="269"/>
      <x:c r="P1212" s="271"/>
      <x:c r="Q1212" s="272"/>
    </x:row>
    <x:row r="1213" ht="12.75">
      <x:c r="A1213" s="3"/>
      <x:c r="B1213" s="264"/>
      <x:c r="C1213" s="127"/>
      <x:c r="D1213" s="127"/>
      <x:c r="E1213" s="265"/>
      <x:c r="F1213" s="266"/>
      <x:c r="G1213" s="264"/>
      <x:c r="H1213" s="267"/>
      <x:c r="I1213" s="3"/>
      <x:c r="J1213" s="3"/>
      <x:c r="K1213" s="269"/>
      <x:c r="L1213" s="270"/>
      <x:c r="M1213" s="270"/>
      <x:c r="N1213" s="3"/>
      <x:c r="O1213" s="269"/>
      <x:c r="P1213" s="271"/>
      <x:c r="Q1213" s="272"/>
    </x:row>
    <x:row r="1214" ht="12.75">
      <x:c r="A1214" s="3"/>
      <x:c r="B1214" s="264"/>
      <x:c r="C1214" s="127"/>
      <x:c r="D1214" s="127"/>
      <x:c r="E1214" s="265"/>
      <x:c r="F1214" s="266"/>
      <x:c r="G1214" s="264"/>
      <x:c r="H1214" s="267"/>
      <x:c r="I1214" s="3"/>
      <x:c r="J1214" s="3"/>
      <x:c r="K1214" s="269"/>
      <x:c r="L1214" s="270"/>
      <x:c r="M1214" s="270"/>
      <x:c r="N1214" s="3"/>
      <x:c r="O1214" s="269"/>
      <x:c r="P1214" s="271"/>
      <x:c r="Q1214" s="272"/>
    </x:row>
    <x:row r="1215" ht="12.75">
      <x:c r="A1215" s="3"/>
      <x:c r="B1215" s="264"/>
      <x:c r="C1215" s="127"/>
      <x:c r="D1215" s="127"/>
      <x:c r="E1215" s="265"/>
      <x:c r="F1215" s="266"/>
      <x:c r="G1215" s="264"/>
      <x:c r="H1215" s="267"/>
      <x:c r="I1215" s="3"/>
      <x:c r="J1215" s="3"/>
      <x:c r="K1215" s="269"/>
      <x:c r="L1215" s="270"/>
      <x:c r="M1215" s="270"/>
      <x:c r="N1215" s="3"/>
      <x:c r="O1215" s="269"/>
      <x:c r="P1215" s="271"/>
      <x:c r="Q1215" s="272"/>
    </x:row>
    <x:row r="1216" ht="12.75">
      <x:c r="A1216" s="3"/>
      <x:c r="B1216" s="264"/>
      <x:c r="C1216" s="127"/>
      <x:c r="D1216" s="127"/>
      <x:c r="E1216" s="265"/>
      <x:c r="F1216" s="266"/>
      <x:c r="G1216" s="264"/>
      <x:c r="H1216" s="267"/>
      <x:c r="I1216" s="3"/>
      <x:c r="J1216" s="3"/>
      <x:c r="K1216" s="269"/>
      <x:c r="L1216" s="270"/>
      <x:c r="M1216" s="270"/>
      <x:c r="N1216" s="3"/>
      <x:c r="O1216" s="269"/>
      <x:c r="P1216" s="271"/>
      <x:c r="Q1216" s="272"/>
    </x:row>
    <x:row r="1217" ht="12.75">
      <x:c r="A1217" s="3"/>
      <x:c r="B1217" s="264"/>
      <x:c r="C1217" s="127"/>
      <x:c r="D1217" s="127"/>
      <x:c r="E1217" s="265"/>
      <x:c r="F1217" s="266"/>
      <x:c r="G1217" s="264"/>
      <x:c r="H1217" s="267"/>
      <x:c r="I1217" s="3"/>
      <x:c r="J1217" s="3"/>
      <x:c r="K1217" s="269"/>
      <x:c r="L1217" s="270"/>
      <x:c r="M1217" s="270"/>
      <x:c r="N1217" s="3"/>
      <x:c r="O1217" s="269"/>
      <x:c r="P1217" s="271"/>
      <x:c r="Q1217" s="272"/>
    </x:row>
    <x:row r="1218" ht="12.75">
      <x:c r="A1218" s="3"/>
      <x:c r="B1218" s="264"/>
      <x:c r="C1218" s="127"/>
      <x:c r="D1218" s="127"/>
      <x:c r="E1218" s="265"/>
      <x:c r="F1218" s="266"/>
      <x:c r="G1218" s="264"/>
      <x:c r="H1218" s="267"/>
      <x:c r="I1218" s="3"/>
      <x:c r="J1218" s="3"/>
      <x:c r="K1218" s="269"/>
      <x:c r="L1218" s="270"/>
      <x:c r="M1218" s="270"/>
      <x:c r="N1218" s="3"/>
      <x:c r="O1218" s="269"/>
      <x:c r="P1218" s="271"/>
      <x:c r="Q1218" s="272"/>
    </x:row>
    <x:row r="1219" ht="12.75">
      <x:c r="A1219" s="3"/>
      <x:c r="B1219" s="264"/>
      <x:c r="C1219" s="127"/>
      <x:c r="D1219" s="127"/>
      <x:c r="E1219" s="265"/>
      <x:c r="F1219" s="266"/>
      <x:c r="G1219" s="264"/>
      <x:c r="H1219" s="267"/>
      <x:c r="I1219" s="3"/>
      <x:c r="J1219" s="3"/>
      <x:c r="K1219" s="269"/>
      <x:c r="L1219" s="270"/>
      <x:c r="M1219" s="270"/>
      <x:c r="N1219" s="3"/>
      <x:c r="O1219" s="269"/>
      <x:c r="P1219" s="271"/>
      <x:c r="Q1219" s="272"/>
    </x:row>
    <x:row r="1220" ht="12.75">
      <x:c r="A1220" s="3"/>
      <x:c r="B1220" s="264"/>
      <x:c r="C1220" s="127"/>
      <x:c r="D1220" s="127"/>
      <x:c r="E1220" s="265"/>
      <x:c r="F1220" s="266"/>
      <x:c r="G1220" s="264"/>
      <x:c r="H1220" s="267"/>
      <x:c r="I1220" s="3"/>
      <x:c r="J1220" s="3"/>
      <x:c r="K1220" s="269"/>
      <x:c r="L1220" s="270"/>
      <x:c r="M1220" s="270"/>
      <x:c r="N1220" s="3"/>
      <x:c r="O1220" s="269"/>
      <x:c r="P1220" s="271"/>
      <x:c r="Q1220" s="272"/>
    </x:row>
    <x:row r="1221" ht="12.75">
      <x:c r="A1221" s="3"/>
      <x:c r="B1221" s="264"/>
      <x:c r="C1221" s="127"/>
      <x:c r="D1221" s="127"/>
      <x:c r="E1221" s="265"/>
      <x:c r="F1221" s="266"/>
      <x:c r="G1221" s="264"/>
      <x:c r="H1221" s="267"/>
      <x:c r="I1221" s="3"/>
      <x:c r="J1221" s="3"/>
      <x:c r="K1221" s="269"/>
      <x:c r="L1221" s="270"/>
      <x:c r="M1221" s="270"/>
      <x:c r="N1221" s="3"/>
      <x:c r="O1221" s="269"/>
      <x:c r="P1221" s="271"/>
      <x:c r="Q1221" s="272"/>
    </x:row>
    <x:row r="1222" ht="12.75">
      <x:c r="A1222" s="3"/>
      <x:c r="B1222" s="264"/>
      <x:c r="C1222" s="127"/>
      <x:c r="D1222" s="127"/>
      <x:c r="E1222" s="265"/>
      <x:c r="F1222" s="266"/>
      <x:c r="G1222" s="264"/>
      <x:c r="H1222" s="267"/>
      <x:c r="I1222" s="3"/>
      <x:c r="J1222" s="3"/>
      <x:c r="K1222" s="269"/>
      <x:c r="L1222" s="270"/>
      <x:c r="M1222" s="270"/>
      <x:c r="N1222" s="3"/>
      <x:c r="O1222" s="269"/>
      <x:c r="P1222" s="271"/>
      <x:c r="Q1222" s="272"/>
    </x:row>
    <x:row r="1223" ht="12.75">
      <x:c r="A1223" s="3"/>
      <x:c r="B1223" s="264"/>
      <x:c r="C1223" s="127"/>
      <x:c r="D1223" s="127"/>
      <x:c r="E1223" s="265"/>
      <x:c r="F1223" s="266"/>
      <x:c r="G1223" s="264"/>
      <x:c r="H1223" s="267"/>
      <x:c r="I1223" s="3"/>
      <x:c r="J1223" s="3"/>
      <x:c r="K1223" s="269"/>
      <x:c r="L1223" s="270"/>
      <x:c r="M1223" s="270"/>
      <x:c r="N1223" s="3"/>
      <x:c r="O1223" s="269"/>
      <x:c r="P1223" s="271"/>
      <x:c r="Q1223" s="272"/>
    </x:row>
    <x:row r="1224" ht="12.75">
      <x:c r="A1224" s="3"/>
      <x:c r="B1224" s="264"/>
      <x:c r="C1224" s="127"/>
      <x:c r="D1224" s="127"/>
      <x:c r="E1224" s="265"/>
      <x:c r="F1224" s="266"/>
      <x:c r="G1224" s="264"/>
      <x:c r="H1224" s="267"/>
      <x:c r="I1224" s="3"/>
      <x:c r="J1224" s="3"/>
      <x:c r="K1224" s="269"/>
      <x:c r="L1224" s="270"/>
      <x:c r="M1224" s="270"/>
      <x:c r="N1224" s="3"/>
      <x:c r="O1224" s="269"/>
      <x:c r="P1224" s="271"/>
      <x:c r="Q1224" s="272"/>
    </x:row>
    <x:row r="1225" ht="12.75">
      <x:c r="A1225" s="3"/>
      <x:c r="B1225" s="264"/>
      <x:c r="C1225" s="127"/>
      <x:c r="D1225" s="127"/>
      <x:c r="E1225" s="265"/>
      <x:c r="F1225" s="266"/>
      <x:c r="G1225" s="264"/>
      <x:c r="H1225" s="267"/>
      <x:c r="I1225" s="3"/>
      <x:c r="J1225" s="3"/>
      <x:c r="K1225" s="269"/>
      <x:c r="L1225" s="270"/>
      <x:c r="M1225" s="270"/>
      <x:c r="N1225" s="3"/>
      <x:c r="O1225" s="269"/>
      <x:c r="P1225" s="271"/>
      <x:c r="Q1225" s="272"/>
    </x:row>
    <x:row r="1226" ht="12.75">
      <x:c r="A1226" s="3"/>
      <x:c r="B1226" s="264"/>
      <x:c r="C1226" s="127"/>
      <x:c r="D1226" s="127"/>
      <x:c r="E1226" s="265"/>
      <x:c r="F1226" s="266"/>
      <x:c r="G1226" s="264"/>
      <x:c r="H1226" s="267"/>
      <x:c r="I1226" s="3"/>
      <x:c r="J1226" s="3"/>
      <x:c r="K1226" s="269"/>
      <x:c r="L1226" s="270"/>
      <x:c r="M1226" s="270"/>
      <x:c r="N1226" s="3"/>
      <x:c r="O1226" s="269"/>
      <x:c r="P1226" s="271"/>
      <x:c r="Q1226" s="272"/>
    </x:row>
    <x:row r="1227" ht="12.75">
      <x:c r="A1227" s="3"/>
      <x:c r="B1227" s="264"/>
      <x:c r="C1227" s="127"/>
      <x:c r="D1227" s="127"/>
      <x:c r="E1227" s="265"/>
      <x:c r="F1227" s="266"/>
      <x:c r="G1227" s="264"/>
      <x:c r="H1227" s="267"/>
      <x:c r="I1227" s="3"/>
      <x:c r="J1227" s="3"/>
      <x:c r="K1227" s="269"/>
      <x:c r="L1227" s="270"/>
      <x:c r="M1227" s="270"/>
      <x:c r="N1227" s="3"/>
      <x:c r="O1227" s="269"/>
      <x:c r="P1227" s="271"/>
      <x:c r="Q1227" s="272"/>
    </x:row>
    <x:row r="1228" ht="12.75">
      <x:c r="A1228" s="3"/>
      <x:c r="B1228" s="264"/>
      <x:c r="C1228" s="127"/>
      <x:c r="D1228" s="127"/>
      <x:c r="E1228" s="265"/>
      <x:c r="F1228" s="266"/>
      <x:c r="G1228" s="264"/>
      <x:c r="H1228" s="267"/>
      <x:c r="I1228" s="3"/>
      <x:c r="J1228" s="3"/>
      <x:c r="K1228" s="269"/>
      <x:c r="L1228" s="270"/>
      <x:c r="M1228" s="270"/>
      <x:c r="N1228" s="3"/>
      <x:c r="O1228" s="269"/>
      <x:c r="P1228" s="271"/>
      <x:c r="Q1228" s="272"/>
    </x:row>
    <x:row r="1229" ht="12.75">
      <x:c r="A1229" s="3"/>
      <x:c r="B1229" s="264"/>
      <x:c r="C1229" s="127"/>
      <x:c r="D1229" s="127"/>
      <x:c r="E1229" s="265"/>
      <x:c r="F1229" s="266"/>
      <x:c r="G1229" s="264"/>
      <x:c r="H1229" s="267"/>
      <x:c r="I1229" s="3"/>
      <x:c r="J1229" s="3"/>
      <x:c r="K1229" s="269"/>
      <x:c r="L1229" s="270"/>
      <x:c r="M1229" s="270"/>
      <x:c r="N1229" s="3"/>
      <x:c r="O1229" s="269"/>
      <x:c r="P1229" s="271"/>
      <x:c r="Q1229" s="272"/>
    </x:row>
    <x:row r="1230" ht="12.75">
      <x:c r="A1230" s="3"/>
      <x:c r="B1230" s="264"/>
      <x:c r="C1230" s="127"/>
      <x:c r="D1230" s="127"/>
      <x:c r="E1230" s="265"/>
      <x:c r="F1230" s="266"/>
      <x:c r="G1230" s="264"/>
      <x:c r="H1230" s="267"/>
      <x:c r="I1230" s="3"/>
      <x:c r="J1230" s="3"/>
      <x:c r="K1230" s="269"/>
      <x:c r="L1230" s="270"/>
      <x:c r="M1230" s="270"/>
      <x:c r="N1230" s="3"/>
      <x:c r="O1230" s="269"/>
      <x:c r="P1230" s="271"/>
      <x:c r="Q1230" s="272"/>
    </x:row>
    <x:row r="1231" ht="12.75">
      <x:c r="A1231" s="3"/>
      <x:c r="B1231" s="264"/>
      <x:c r="C1231" s="127"/>
      <x:c r="D1231" s="127"/>
      <x:c r="E1231" s="265"/>
      <x:c r="F1231" s="266"/>
      <x:c r="G1231" s="264"/>
      <x:c r="H1231" s="267"/>
      <x:c r="I1231" s="3"/>
      <x:c r="J1231" s="3"/>
      <x:c r="K1231" s="269"/>
      <x:c r="L1231" s="270"/>
      <x:c r="M1231" s="270"/>
      <x:c r="N1231" s="3"/>
      <x:c r="O1231" s="269"/>
      <x:c r="P1231" s="271"/>
      <x:c r="Q1231" s="272"/>
    </x:row>
    <x:row r="1232" ht="12.75">
      <x:c r="A1232" s="3"/>
      <x:c r="B1232" s="264"/>
      <x:c r="C1232" s="127"/>
      <x:c r="D1232" s="127"/>
      <x:c r="E1232" s="265"/>
      <x:c r="F1232" s="266"/>
      <x:c r="G1232" s="264"/>
      <x:c r="H1232" s="267"/>
      <x:c r="I1232" s="3"/>
      <x:c r="J1232" s="3"/>
      <x:c r="K1232" s="269"/>
      <x:c r="L1232" s="270"/>
      <x:c r="M1232" s="270"/>
      <x:c r="N1232" s="3"/>
      <x:c r="O1232" s="269"/>
      <x:c r="P1232" s="271"/>
      <x:c r="Q1232" s="272"/>
    </x:row>
    <x:row r="1233" ht="12.75">
      <x:c r="A1233" s="3"/>
      <x:c r="B1233" s="264"/>
      <x:c r="C1233" s="127"/>
      <x:c r="D1233" s="127"/>
      <x:c r="E1233" s="265"/>
      <x:c r="F1233" s="266"/>
      <x:c r="G1233" s="264"/>
      <x:c r="H1233" s="267"/>
      <x:c r="I1233" s="3"/>
      <x:c r="J1233" s="3"/>
      <x:c r="K1233" s="269"/>
      <x:c r="L1233" s="270"/>
      <x:c r="M1233" s="270"/>
      <x:c r="N1233" s="3"/>
      <x:c r="O1233" s="269"/>
      <x:c r="P1233" s="271"/>
      <x:c r="Q1233" s="272"/>
    </x:row>
    <x:row r="1234" ht="12.75">
      <x:c r="A1234" s="3"/>
      <x:c r="B1234" s="264"/>
      <x:c r="C1234" s="127"/>
      <x:c r="D1234" s="127"/>
      <x:c r="E1234" s="265"/>
      <x:c r="F1234" s="266"/>
      <x:c r="G1234" s="264"/>
      <x:c r="H1234" s="267"/>
      <x:c r="I1234" s="3"/>
      <x:c r="J1234" s="3"/>
      <x:c r="K1234" s="269"/>
      <x:c r="L1234" s="270"/>
      <x:c r="M1234" s="270"/>
      <x:c r="N1234" s="3"/>
      <x:c r="O1234" s="269"/>
      <x:c r="P1234" s="271"/>
      <x:c r="Q1234" s="272"/>
    </x:row>
    <x:row r="1235" ht="12.75">
      <x:c r="A1235" s="3"/>
      <x:c r="B1235" s="264"/>
      <x:c r="C1235" s="127"/>
      <x:c r="D1235" s="127"/>
      <x:c r="E1235" s="265"/>
      <x:c r="F1235" s="266"/>
      <x:c r="G1235" s="264"/>
      <x:c r="H1235" s="267"/>
      <x:c r="I1235" s="3"/>
      <x:c r="J1235" s="3"/>
      <x:c r="K1235" s="269"/>
      <x:c r="L1235" s="270"/>
      <x:c r="M1235" s="270"/>
      <x:c r="N1235" s="3"/>
      <x:c r="O1235" s="269"/>
      <x:c r="P1235" s="271"/>
      <x:c r="Q1235" s="272"/>
    </x:row>
    <x:row r="1236" ht="12.75">
      <x:c r="A1236" s="3"/>
      <x:c r="B1236" s="264"/>
      <x:c r="C1236" s="127"/>
      <x:c r="D1236" s="127"/>
      <x:c r="E1236" s="265"/>
      <x:c r="F1236" s="266"/>
      <x:c r="G1236" s="264"/>
      <x:c r="H1236" s="267"/>
      <x:c r="I1236" s="3"/>
      <x:c r="J1236" s="3"/>
      <x:c r="K1236" s="269"/>
      <x:c r="L1236" s="270"/>
      <x:c r="M1236" s="270"/>
      <x:c r="N1236" s="3"/>
      <x:c r="O1236" s="269"/>
      <x:c r="P1236" s="271"/>
      <x:c r="Q1236" s="272"/>
    </x:row>
    <x:row r="1237" ht="12.75">
      <x:c r="A1237" s="3"/>
      <x:c r="B1237" s="264"/>
      <x:c r="C1237" s="127"/>
      <x:c r="D1237" s="127"/>
      <x:c r="E1237" s="265"/>
      <x:c r="F1237" s="266"/>
      <x:c r="G1237" s="264"/>
      <x:c r="H1237" s="267"/>
      <x:c r="I1237" s="3"/>
      <x:c r="J1237" s="3"/>
      <x:c r="K1237" s="269"/>
      <x:c r="L1237" s="270"/>
      <x:c r="M1237" s="270"/>
      <x:c r="N1237" s="3"/>
      <x:c r="O1237" s="269"/>
      <x:c r="P1237" s="271"/>
      <x:c r="Q1237" s="272"/>
    </x:row>
    <x:row r="1238" ht="12.75">
      <x:c r="A1238" s="3"/>
      <x:c r="B1238" s="264"/>
      <x:c r="C1238" s="127"/>
      <x:c r="D1238" s="127"/>
      <x:c r="E1238" s="265"/>
      <x:c r="F1238" s="266"/>
      <x:c r="G1238" s="264"/>
      <x:c r="H1238" s="267"/>
      <x:c r="I1238" s="3"/>
      <x:c r="J1238" s="3"/>
      <x:c r="K1238" s="269"/>
      <x:c r="L1238" s="270"/>
      <x:c r="M1238" s="270"/>
      <x:c r="N1238" s="3"/>
      <x:c r="O1238" s="269"/>
      <x:c r="P1238" s="271"/>
      <x:c r="Q1238" s="272"/>
    </x:row>
    <x:row r="1239" ht="12.75">
      <x:c r="A1239" s="3"/>
      <x:c r="B1239" s="264"/>
      <x:c r="C1239" s="127"/>
      <x:c r="D1239" s="127"/>
      <x:c r="E1239" s="265"/>
      <x:c r="F1239" s="266"/>
      <x:c r="G1239" s="264"/>
      <x:c r="H1239" s="267"/>
      <x:c r="I1239" s="3"/>
      <x:c r="J1239" s="3"/>
      <x:c r="K1239" s="269"/>
      <x:c r="L1239" s="270"/>
      <x:c r="M1239" s="270"/>
      <x:c r="N1239" s="3"/>
      <x:c r="O1239" s="269"/>
      <x:c r="P1239" s="271"/>
      <x:c r="Q1239" s="272"/>
    </x:row>
    <x:row r="1240" ht="12.75">
      <x:c r="A1240" s="3"/>
      <x:c r="B1240" s="264"/>
      <x:c r="C1240" s="127"/>
      <x:c r="D1240" s="127"/>
      <x:c r="E1240" s="265"/>
      <x:c r="F1240" s="266"/>
      <x:c r="G1240" s="264"/>
      <x:c r="H1240" s="267"/>
      <x:c r="I1240" s="3"/>
      <x:c r="J1240" s="3"/>
      <x:c r="K1240" s="269"/>
      <x:c r="L1240" s="270"/>
      <x:c r="M1240" s="270"/>
      <x:c r="N1240" s="3"/>
      <x:c r="O1240" s="269"/>
      <x:c r="P1240" s="271"/>
      <x:c r="Q1240" s="272"/>
    </x:row>
    <x:row r="1241" ht="12.75">
      <x:c r="A1241" s="3"/>
      <x:c r="B1241" s="264"/>
      <x:c r="C1241" s="127"/>
      <x:c r="D1241" s="127"/>
      <x:c r="E1241" s="265"/>
      <x:c r="F1241" s="266"/>
      <x:c r="G1241" s="264"/>
      <x:c r="H1241" s="267"/>
      <x:c r="I1241" s="3"/>
      <x:c r="J1241" s="3"/>
      <x:c r="K1241" s="269"/>
      <x:c r="L1241" s="270"/>
      <x:c r="M1241" s="270"/>
      <x:c r="N1241" s="3"/>
      <x:c r="O1241" s="269"/>
      <x:c r="P1241" s="271"/>
      <x:c r="Q1241" s="272"/>
    </x:row>
    <x:row r="1242" ht="12.75">
      <x:c r="A1242" s="3"/>
      <x:c r="B1242" s="264"/>
      <x:c r="C1242" s="127"/>
      <x:c r="D1242" s="127"/>
      <x:c r="E1242" s="265"/>
      <x:c r="F1242" s="266"/>
      <x:c r="G1242" s="264"/>
      <x:c r="H1242" s="267"/>
      <x:c r="I1242" s="3"/>
      <x:c r="J1242" s="3"/>
      <x:c r="K1242" s="269"/>
      <x:c r="L1242" s="270"/>
      <x:c r="M1242" s="270"/>
      <x:c r="N1242" s="3"/>
      <x:c r="O1242" s="269"/>
      <x:c r="P1242" s="271"/>
      <x:c r="Q1242" s="272"/>
    </x:row>
    <x:row r="1243" ht="12.75">
      <x:c r="A1243" s="3"/>
      <x:c r="B1243" s="264"/>
      <x:c r="C1243" s="127"/>
      <x:c r="D1243" s="127"/>
      <x:c r="E1243" s="265"/>
      <x:c r="F1243" s="266"/>
      <x:c r="G1243" s="264"/>
      <x:c r="H1243" s="267"/>
      <x:c r="I1243" s="3"/>
      <x:c r="J1243" s="3"/>
      <x:c r="K1243" s="269"/>
      <x:c r="L1243" s="270"/>
      <x:c r="M1243" s="270"/>
      <x:c r="N1243" s="3"/>
      <x:c r="O1243" s="269"/>
      <x:c r="P1243" s="271"/>
      <x:c r="Q1243" s="272"/>
    </x:row>
    <x:row r="1244" ht="12.75">
      <x:c r="A1244" s="3"/>
      <x:c r="B1244" s="264"/>
      <x:c r="C1244" s="127"/>
      <x:c r="D1244" s="127"/>
      <x:c r="E1244" s="265"/>
      <x:c r="F1244" s="266"/>
      <x:c r="G1244" s="264"/>
      <x:c r="H1244" s="267"/>
      <x:c r="I1244" s="3"/>
      <x:c r="J1244" s="3"/>
      <x:c r="K1244" s="269"/>
      <x:c r="L1244" s="270"/>
      <x:c r="M1244" s="270"/>
      <x:c r="N1244" s="3"/>
      <x:c r="O1244" s="269"/>
      <x:c r="P1244" s="271"/>
      <x:c r="Q1244" s="272"/>
    </x:row>
    <x:row r="1245" ht="12.75">
      <x:c r="A1245" s="3"/>
      <x:c r="B1245" s="264"/>
      <x:c r="C1245" s="127"/>
      <x:c r="D1245" s="127"/>
      <x:c r="E1245" s="265"/>
      <x:c r="F1245" s="266"/>
      <x:c r="G1245" s="264"/>
      <x:c r="H1245" s="267"/>
      <x:c r="I1245" s="3"/>
      <x:c r="J1245" s="3"/>
      <x:c r="K1245" s="269"/>
      <x:c r="L1245" s="270"/>
      <x:c r="M1245" s="270"/>
      <x:c r="N1245" s="3"/>
      <x:c r="O1245" s="269"/>
      <x:c r="P1245" s="271"/>
      <x:c r="Q1245" s="272"/>
    </x:row>
    <x:row r="1246" ht="12.75">
      <x:c r="A1246" s="3"/>
      <x:c r="B1246" s="264"/>
      <x:c r="C1246" s="127"/>
      <x:c r="D1246" s="127"/>
      <x:c r="E1246" s="265"/>
      <x:c r="F1246" s="266"/>
      <x:c r="G1246" s="264"/>
      <x:c r="H1246" s="267"/>
      <x:c r="I1246" s="3"/>
      <x:c r="J1246" s="3"/>
      <x:c r="K1246" s="269"/>
      <x:c r="L1246" s="270"/>
      <x:c r="M1246" s="270"/>
      <x:c r="N1246" s="3"/>
      <x:c r="O1246" s="269"/>
      <x:c r="P1246" s="271"/>
      <x:c r="Q1246" s="272"/>
    </x:row>
    <x:row r="1247" ht="12.75">
      <x:c r="A1247" s="3"/>
      <x:c r="B1247" s="264"/>
      <x:c r="C1247" s="127"/>
      <x:c r="D1247" s="127"/>
      <x:c r="E1247" s="265"/>
      <x:c r="F1247" s="266"/>
      <x:c r="G1247" s="264"/>
      <x:c r="H1247" s="267"/>
      <x:c r="I1247" s="3"/>
      <x:c r="J1247" s="3"/>
      <x:c r="K1247" s="269"/>
      <x:c r="L1247" s="270"/>
      <x:c r="M1247" s="270"/>
      <x:c r="N1247" s="3"/>
      <x:c r="O1247" s="269"/>
      <x:c r="P1247" s="271"/>
      <x:c r="Q1247" s="272"/>
    </x:row>
    <x:row r="1248" ht="12.75">
      <x:c r="A1248" s="3"/>
      <x:c r="B1248" s="264"/>
      <x:c r="C1248" s="127"/>
      <x:c r="D1248" s="127"/>
      <x:c r="E1248" s="265"/>
      <x:c r="F1248" s="266"/>
      <x:c r="G1248" s="264"/>
      <x:c r="H1248" s="267"/>
      <x:c r="I1248" s="3"/>
      <x:c r="J1248" s="3"/>
      <x:c r="K1248" s="269"/>
      <x:c r="L1248" s="270"/>
      <x:c r="M1248" s="270"/>
      <x:c r="N1248" s="3"/>
      <x:c r="O1248" s="269"/>
      <x:c r="P1248" s="271"/>
      <x:c r="Q1248" s="272"/>
    </x:row>
    <x:row r="1249" ht="12.75">
      <x:c r="A1249" s="3"/>
      <x:c r="B1249" s="264"/>
      <x:c r="C1249" s="127"/>
      <x:c r="D1249" s="127"/>
      <x:c r="E1249" s="265"/>
      <x:c r="F1249" s="266"/>
      <x:c r="G1249" s="264"/>
      <x:c r="H1249" s="267"/>
      <x:c r="I1249" s="3"/>
      <x:c r="J1249" s="3"/>
      <x:c r="K1249" s="269"/>
      <x:c r="L1249" s="270"/>
      <x:c r="M1249" s="270"/>
      <x:c r="N1249" s="3"/>
      <x:c r="O1249" s="269"/>
      <x:c r="P1249" s="271"/>
      <x:c r="Q1249" s="272"/>
    </x:row>
    <x:row r="1250" ht="12.75">
      <x:c r="A1250" s="3"/>
      <x:c r="B1250" s="264"/>
      <x:c r="C1250" s="127"/>
      <x:c r="D1250" s="127"/>
      <x:c r="E1250" s="265"/>
      <x:c r="F1250" s="266"/>
      <x:c r="G1250" s="264"/>
      <x:c r="H1250" s="267"/>
      <x:c r="I1250" s="3"/>
      <x:c r="J1250" s="3"/>
      <x:c r="K1250" s="269"/>
      <x:c r="L1250" s="270"/>
      <x:c r="M1250" s="270"/>
      <x:c r="N1250" s="3"/>
      <x:c r="O1250" s="269"/>
      <x:c r="P1250" s="271"/>
      <x:c r="Q1250" s="272"/>
    </x:row>
    <x:row r="1251" ht="12.75">
      <x:c r="A1251" s="3"/>
      <x:c r="B1251" s="264"/>
      <x:c r="C1251" s="127"/>
      <x:c r="D1251" s="127"/>
      <x:c r="E1251" s="265"/>
      <x:c r="F1251" s="266"/>
      <x:c r="G1251" s="264"/>
      <x:c r="H1251" s="267"/>
      <x:c r="I1251" s="3"/>
      <x:c r="J1251" s="3"/>
      <x:c r="K1251" s="269"/>
      <x:c r="L1251" s="270"/>
      <x:c r="M1251" s="270"/>
      <x:c r="N1251" s="3"/>
      <x:c r="O1251" s="269"/>
      <x:c r="P1251" s="271"/>
      <x:c r="Q1251" s="272"/>
    </x:row>
    <x:row r="1252" ht="12.75">
      <x:c r="A1252" s="3"/>
      <x:c r="B1252" s="264"/>
      <x:c r="C1252" s="127"/>
      <x:c r="D1252" s="127"/>
      <x:c r="E1252" s="265"/>
      <x:c r="F1252" s="266"/>
      <x:c r="G1252" s="264"/>
      <x:c r="H1252" s="267"/>
      <x:c r="I1252" s="3"/>
      <x:c r="J1252" s="3"/>
      <x:c r="K1252" s="269"/>
      <x:c r="L1252" s="270"/>
      <x:c r="M1252" s="270"/>
      <x:c r="N1252" s="3"/>
      <x:c r="O1252" s="269"/>
      <x:c r="P1252" s="271"/>
      <x:c r="Q1252" s="272"/>
    </x:row>
    <x:row r="1253" ht="12.75">
      <x:c r="A1253" s="3"/>
      <x:c r="B1253" s="264"/>
      <x:c r="C1253" s="127"/>
      <x:c r="D1253" s="127"/>
      <x:c r="E1253" s="265"/>
      <x:c r="F1253" s="266"/>
      <x:c r="G1253" s="264"/>
      <x:c r="H1253" s="267"/>
      <x:c r="I1253" s="3"/>
      <x:c r="J1253" s="3"/>
      <x:c r="K1253" s="269"/>
      <x:c r="L1253" s="270"/>
      <x:c r="M1253" s="270"/>
      <x:c r="N1253" s="3"/>
      <x:c r="O1253" s="269"/>
      <x:c r="P1253" s="271"/>
      <x:c r="Q1253" s="272"/>
    </x:row>
    <x:row r="1254" ht="12.75">
      <x:c r="A1254" s="3"/>
      <x:c r="B1254" s="264"/>
      <x:c r="C1254" s="127"/>
      <x:c r="D1254" s="127"/>
      <x:c r="E1254" s="265"/>
      <x:c r="F1254" s="266"/>
      <x:c r="G1254" s="264"/>
      <x:c r="H1254" s="267"/>
      <x:c r="I1254" s="3"/>
      <x:c r="J1254" s="3"/>
      <x:c r="K1254" s="269"/>
      <x:c r="L1254" s="270"/>
      <x:c r="M1254" s="270"/>
      <x:c r="N1254" s="3"/>
      <x:c r="O1254" s="269"/>
      <x:c r="P1254" s="271"/>
      <x:c r="Q1254" s="272"/>
    </x:row>
    <x:row r="1255" ht="12.75">
      <x:c r="A1255" s="3"/>
      <x:c r="B1255" s="264"/>
      <x:c r="C1255" s="127"/>
      <x:c r="D1255" s="127"/>
      <x:c r="E1255" s="265"/>
      <x:c r="F1255" s="266"/>
      <x:c r="G1255" s="264"/>
      <x:c r="H1255" s="267"/>
      <x:c r="I1255" s="3"/>
      <x:c r="J1255" s="3"/>
      <x:c r="K1255" s="269"/>
      <x:c r="L1255" s="270"/>
      <x:c r="M1255" s="270"/>
      <x:c r="N1255" s="3"/>
      <x:c r="O1255" s="269"/>
      <x:c r="P1255" s="271"/>
      <x:c r="Q1255" s="272"/>
    </x:row>
    <x:row r="1256" ht="12.75">
      <x:c r="A1256" s="3"/>
      <x:c r="B1256" s="264"/>
      <x:c r="C1256" s="127"/>
      <x:c r="D1256" s="127"/>
      <x:c r="E1256" s="265"/>
      <x:c r="F1256" s="266"/>
      <x:c r="G1256" s="264"/>
      <x:c r="H1256" s="267"/>
      <x:c r="I1256" s="3"/>
      <x:c r="J1256" s="3"/>
      <x:c r="K1256" s="269"/>
      <x:c r="L1256" s="270"/>
      <x:c r="M1256" s="270"/>
      <x:c r="N1256" s="3"/>
      <x:c r="O1256" s="269"/>
      <x:c r="P1256" s="271"/>
      <x:c r="Q1256" s="272"/>
    </x:row>
    <x:row r="1257" ht="12.75">
      <x:c r="A1257" s="3"/>
      <x:c r="B1257" s="264"/>
      <x:c r="C1257" s="127"/>
      <x:c r="D1257" s="127"/>
      <x:c r="E1257" s="265"/>
      <x:c r="F1257" s="266"/>
      <x:c r="G1257" s="264"/>
      <x:c r="H1257" s="267"/>
      <x:c r="I1257" s="3"/>
      <x:c r="J1257" s="3"/>
      <x:c r="K1257" s="269"/>
      <x:c r="L1257" s="270"/>
      <x:c r="M1257" s="270"/>
      <x:c r="N1257" s="3"/>
      <x:c r="O1257" s="269"/>
      <x:c r="P1257" s="271"/>
      <x:c r="Q1257" s="272"/>
    </x:row>
    <x:row r="1258" ht="12.75">
      <x:c r="A1258" s="3"/>
      <x:c r="B1258" s="264"/>
      <x:c r="C1258" s="127"/>
      <x:c r="D1258" s="127"/>
      <x:c r="E1258" s="265"/>
      <x:c r="F1258" s="266"/>
      <x:c r="G1258" s="264"/>
      <x:c r="H1258" s="267"/>
      <x:c r="I1258" s="3"/>
      <x:c r="J1258" s="3"/>
      <x:c r="K1258" s="269"/>
      <x:c r="L1258" s="270"/>
      <x:c r="M1258" s="270"/>
      <x:c r="N1258" s="3"/>
      <x:c r="O1258" s="269"/>
      <x:c r="P1258" s="271"/>
      <x:c r="Q1258" s="272"/>
    </x:row>
    <x:row r="1259" ht="12.75">
      <x:c r="A1259" s="3"/>
      <x:c r="B1259" s="264"/>
      <x:c r="C1259" s="127"/>
      <x:c r="D1259" s="127"/>
      <x:c r="E1259" s="265"/>
      <x:c r="F1259" s="266"/>
      <x:c r="G1259" s="264"/>
      <x:c r="H1259" s="267"/>
      <x:c r="I1259" s="3"/>
      <x:c r="J1259" s="3"/>
      <x:c r="K1259" s="269"/>
      <x:c r="L1259" s="270"/>
      <x:c r="M1259" s="270"/>
      <x:c r="N1259" s="3"/>
      <x:c r="O1259" s="269"/>
      <x:c r="P1259" s="271"/>
      <x:c r="Q1259" s="272"/>
    </x:row>
    <x:row r="1260" ht="12.75">
      <x:c r="A1260" s="3"/>
      <x:c r="B1260" s="264"/>
      <x:c r="C1260" s="127"/>
      <x:c r="D1260" s="127"/>
      <x:c r="E1260" s="265"/>
      <x:c r="F1260" s="266"/>
      <x:c r="G1260" s="264"/>
      <x:c r="H1260" s="267"/>
      <x:c r="I1260" s="3"/>
      <x:c r="J1260" s="3"/>
      <x:c r="K1260" s="269"/>
      <x:c r="L1260" s="270"/>
      <x:c r="M1260" s="270"/>
      <x:c r="N1260" s="3"/>
      <x:c r="O1260" s="269"/>
      <x:c r="P1260" s="271"/>
      <x:c r="Q1260" s="272"/>
    </x:row>
    <x:row r="1261" ht="12.75">
      <x:c r="A1261" s="3"/>
      <x:c r="B1261" s="264"/>
      <x:c r="C1261" s="127"/>
      <x:c r="D1261" s="127"/>
      <x:c r="E1261" s="265"/>
      <x:c r="F1261" s="266"/>
      <x:c r="G1261" s="264"/>
      <x:c r="H1261" s="267"/>
      <x:c r="I1261" s="3"/>
      <x:c r="J1261" s="3"/>
      <x:c r="K1261" s="269"/>
      <x:c r="L1261" s="270"/>
      <x:c r="M1261" s="270"/>
      <x:c r="N1261" s="3"/>
      <x:c r="O1261" s="269"/>
      <x:c r="P1261" s="271"/>
      <x:c r="Q1261" s="272"/>
    </x:row>
    <x:row r="1262" ht="12.75">
      <x:c r="A1262" s="3"/>
      <x:c r="B1262" s="264"/>
      <x:c r="C1262" s="127"/>
      <x:c r="D1262" s="127"/>
      <x:c r="E1262" s="265"/>
      <x:c r="F1262" s="266"/>
      <x:c r="G1262" s="264"/>
      <x:c r="H1262" s="267"/>
      <x:c r="I1262" s="3"/>
      <x:c r="J1262" s="3"/>
      <x:c r="K1262" s="269"/>
      <x:c r="L1262" s="270"/>
      <x:c r="M1262" s="270"/>
      <x:c r="N1262" s="3"/>
      <x:c r="O1262" s="269"/>
      <x:c r="P1262" s="271"/>
      <x:c r="Q1262" s="272"/>
    </x:row>
    <x:row r="1263" ht="12.75">
      <x:c r="A1263" s="3"/>
      <x:c r="B1263" s="264"/>
      <x:c r="C1263" s="127"/>
      <x:c r="D1263" s="127"/>
      <x:c r="E1263" s="265"/>
      <x:c r="F1263" s="266"/>
      <x:c r="G1263" s="264"/>
      <x:c r="H1263" s="267"/>
      <x:c r="I1263" s="3"/>
      <x:c r="J1263" s="3"/>
      <x:c r="K1263" s="269"/>
      <x:c r="L1263" s="270"/>
      <x:c r="M1263" s="270"/>
      <x:c r="N1263" s="3"/>
      <x:c r="O1263" s="269"/>
      <x:c r="P1263" s="271"/>
      <x:c r="Q1263" s="272"/>
    </x:row>
    <x:row r="1264" ht="12.75">
      <x:c r="A1264" s="3"/>
      <x:c r="B1264" s="264"/>
      <x:c r="C1264" s="127"/>
      <x:c r="D1264" s="127"/>
      <x:c r="E1264" s="265"/>
      <x:c r="F1264" s="266"/>
      <x:c r="G1264" s="264"/>
      <x:c r="H1264" s="267"/>
      <x:c r="I1264" s="3"/>
      <x:c r="J1264" s="3"/>
      <x:c r="K1264" s="269"/>
      <x:c r="L1264" s="270"/>
      <x:c r="M1264" s="270"/>
      <x:c r="N1264" s="3"/>
      <x:c r="O1264" s="269"/>
      <x:c r="P1264" s="271"/>
      <x:c r="Q1264" s="272"/>
    </x:row>
    <x:row r="1265" ht="12.75">
      <x:c r="A1265" s="3"/>
      <x:c r="B1265" s="264"/>
      <x:c r="C1265" s="127"/>
      <x:c r="D1265" s="127"/>
      <x:c r="E1265" s="265"/>
      <x:c r="F1265" s="266"/>
      <x:c r="G1265" s="264"/>
      <x:c r="H1265" s="267"/>
      <x:c r="I1265" s="3"/>
      <x:c r="J1265" s="3"/>
      <x:c r="K1265" s="269"/>
      <x:c r="L1265" s="270"/>
      <x:c r="M1265" s="270"/>
      <x:c r="N1265" s="3"/>
      <x:c r="O1265" s="269"/>
      <x:c r="P1265" s="271"/>
      <x:c r="Q1265" s="272"/>
    </x:row>
    <x:row r="1266" ht="12.75">
      <x:c r="A1266" s="3"/>
      <x:c r="B1266" s="264"/>
      <x:c r="C1266" s="127"/>
      <x:c r="D1266" s="127"/>
      <x:c r="E1266" s="265"/>
      <x:c r="F1266" s="266"/>
      <x:c r="G1266" s="264"/>
      <x:c r="H1266" s="267"/>
      <x:c r="I1266" s="3"/>
      <x:c r="J1266" s="3"/>
      <x:c r="K1266" s="269"/>
      <x:c r="L1266" s="270"/>
      <x:c r="M1266" s="270"/>
      <x:c r="N1266" s="3"/>
      <x:c r="O1266" s="269"/>
      <x:c r="P1266" s="271"/>
      <x:c r="Q1266" s="272"/>
    </x:row>
    <x:row r="1267" ht="12.75">
      <x:c r="A1267" s="3"/>
      <x:c r="B1267" s="264"/>
      <x:c r="C1267" s="127"/>
      <x:c r="D1267" s="127"/>
      <x:c r="E1267" s="265"/>
      <x:c r="F1267" s="266"/>
      <x:c r="G1267" s="264"/>
      <x:c r="H1267" s="267"/>
      <x:c r="I1267" s="3"/>
      <x:c r="J1267" s="3"/>
      <x:c r="K1267" s="269"/>
      <x:c r="L1267" s="270"/>
      <x:c r="M1267" s="270"/>
      <x:c r="N1267" s="3"/>
      <x:c r="O1267" s="269"/>
      <x:c r="P1267" s="271"/>
      <x:c r="Q1267" s="272"/>
    </x:row>
    <x:row r="1268" ht="12.75">
      <x:c r="A1268" s="3"/>
      <x:c r="B1268" s="264"/>
      <x:c r="C1268" s="127"/>
      <x:c r="D1268" s="127"/>
      <x:c r="E1268" s="265"/>
      <x:c r="F1268" s="266"/>
      <x:c r="G1268" s="264"/>
      <x:c r="H1268" s="267"/>
      <x:c r="I1268" s="3"/>
      <x:c r="J1268" s="3"/>
      <x:c r="K1268" s="269"/>
      <x:c r="L1268" s="270"/>
      <x:c r="M1268" s="270"/>
      <x:c r="N1268" s="3"/>
      <x:c r="O1268" s="269"/>
      <x:c r="P1268" s="271"/>
      <x:c r="Q1268" s="272"/>
    </x:row>
    <x:row r="1269" ht="12.75">
      <x:c r="A1269" s="3"/>
      <x:c r="B1269" s="264"/>
      <x:c r="C1269" s="127"/>
      <x:c r="D1269" s="127"/>
      <x:c r="E1269" s="265"/>
      <x:c r="F1269" s="266"/>
      <x:c r="G1269" s="264"/>
      <x:c r="H1269" s="267"/>
      <x:c r="I1269" s="3"/>
      <x:c r="J1269" s="3"/>
      <x:c r="K1269" s="269"/>
      <x:c r="L1269" s="270"/>
      <x:c r="M1269" s="270"/>
      <x:c r="N1269" s="3"/>
      <x:c r="O1269" s="269"/>
      <x:c r="P1269" s="271"/>
      <x:c r="Q1269" s="272"/>
    </x:row>
    <x:row r="1270" ht="12.75">
      <x:c r="A1270" s="3"/>
      <x:c r="B1270" s="264"/>
      <x:c r="C1270" s="127"/>
      <x:c r="D1270" s="127"/>
      <x:c r="E1270" s="265"/>
      <x:c r="F1270" s="266"/>
      <x:c r="G1270" s="264"/>
      <x:c r="H1270" s="267"/>
      <x:c r="I1270" s="3"/>
      <x:c r="J1270" s="3"/>
      <x:c r="K1270" s="269"/>
      <x:c r="L1270" s="270"/>
      <x:c r="M1270" s="270"/>
      <x:c r="N1270" s="3"/>
      <x:c r="O1270" s="269"/>
      <x:c r="P1270" s="271"/>
      <x:c r="Q1270" s="272"/>
    </x:row>
    <x:row r="1271" ht="12.75">
      <x:c r="A1271" s="3"/>
      <x:c r="B1271" s="264"/>
      <x:c r="C1271" s="127"/>
      <x:c r="D1271" s="127"/>
      <x:c r="E1271" s="265"/>
      <x:c r="F1271" s="266"/>
      <x:c r="G1271" s="264"/>
      <x:c r="H1271" s="267"/>
      <x:c r="I1271" s="3"/>
      <x:c r="J1271" s="3"/>
      <x:c r="K1271" s="269"/>
      <x:c r="L1271" s="270"/>
      <x:c r="M1271" s="270"/>
      <x:c r="N1271" s="3"/>
      <x:c r="O1271" s="269"/>
      <x:c r="P1271" s="271"/>
      <x:c r="Q1271" s="272"/>
    </x:row>
    <x:row r="1272" ht="12.75">
      <x:c r="A1272" s="3"/>
      <x:c r="B1272" s="264"/>
      <x:c r="C1272" s="127"/>
      <x:c r="D1272" s="127"/>
      <x:c r="E1272" s="265"/>
      <x:c r="F1272" s="266"/>
      <x:c r="G1272" s="264"/>
      <x:c r="H1272" s="267"/>
      <x:c r="I1272" s="3"/>
      <x:c r="J1272" s="3"/>
      <x:c r="K1272" s="269"/>
      <x:c r="L1272" s="270"/>
      <x:c r="M1272" s="270"/>
      <x:c r="N1272" s="3"/>
      <x:c r="O1272" s="269"/>
      <x:c r="P1272" s="271"/>
      <x:c r="Q1272" s="272"/>
    </x:row>
    <x:row r="1273" ht="12.75">
      <x:c r="A1273" s="3"/>
      <x:c r="B1273" s="264"/>
      <x:c r="C1273" s="127"/>
      <x:c r="D1273" s="127"/>
      <x:c r="E1273" s="265"/>
      <x:c r="F1273" s="266"/>
      <x:c r="G1273" s="264"/>
      <x:c r="H1273" s="267"/>
      <x:c r="I1273" s="3"/>
      <x:c r="J1273" s="3"/>
      <x:c r="K1273" s="269"/>
      <x:c r="L1273" s="270"/>
      <x:c r="M1273" s="270"/>
      <x:c r="N1273" s="3"/>
      <x:c r="O1273" s="269"/>
      <x:c r="P1273" s="271"/>
      <x:c r="Q1273" s="272"/>
    </x:row>
    <x:row r="1274" ht="12.75">
      <x:c r="A1274" s="3"/>
      <x:c r="B1274" s="264"/>
      <x:c r="C1274" s="127"/>
      <x:c r="D1274" s="127"/>
      <x:c r="E1274" s="265"/>
      <x:c r="F1274" s="266"/>
      <x:c r="G1274" s="264"/>
      <x:c r="H1274" s="267"/>
      <x:c r="I1274" s="3"/>
      <x:c r="J1274" s="3"/>
      <x:c r="K1274" s="269"/>
      <x:c r="L1274" s="270"/>
      <x:c r="M1274" s="270"/>
      <x:c r="N1274" s="3"/>
      <x:c r="O1274" s="269"/>
      <x:c r="P1274" s="271"/>
      <x:c r="Q1274" s="272"/>
    </x:row>
    <x:row r="1275" ht="12.75">
      <x:c r="A1275" s="3"/>
      <x:c r="B1275" s="264"/>
      <x:c r="C1275" s="127"/>
      <x:c r="D1275" s="127"/>
      <x:c r="E1275" s="265"/>
      <x:c r="F1275" s="266"/>
      <x:c r="G1275" s="264"/>
      <x:c r="H1275" s="267"/>
      <x:c r="I1275" s="3"/>
      <x:c r="J1275" s="3"/>
      <x:c r="K1275" s="269"/>
      <x:c r="L1275" s="270"/>
      <x:c r="M1275" s="270"/>
      <x:c r="N1275" s="3"/>
      <x:c r="O1275" s="269"/>
      <x:c r="P1275" s="271"/>
      <x:c r="Q1275" s="272"/>
    </x:row>
    <x:row r="1276" ht="12.75">
      <x:c r="A1276" s="3"/>
      <x:c r="B1276" s="264"/>
      <x:c r="C1276" s="127"/>
      <x:c r="D1276" s="127"/>
      <x:c r="E1276" s="265"/>
      <x:c r="F1276" s="266"/>
      <x:c r="G1276" s="264"/>
      <x:c r="H1276" s="267"/>
      <x:c r="I1276" s="3"/>
      <x:c r="J1276" s="3"/>
      <x:c r="K1276" s="269"/>
      <x:c r="L1276" s="270"/>
      <x:c r="M1276" s="270"/>
      <x:c r="N1276" s="3"/>
      <x:c r="O1276" s="269"/>
      <x:c r="P1276" s="271"/>
      <x:c r="Q1276" s="272"/>
    </x:row>
    <x:row r="1277" ht="12.75">
      <x:c r="A1277" s="3"/>
      <x:c r="B1277" s="264"/>
      <x:c r="C1277" s="127"/>
      <x:c r="D1277" s="127"/>
      <x:c r="E1277" s="265"/>
      <x:c r="F1277" s="266"/>
      <x:c r="G1277" s="264"/>
      <x:c r="H1277" s="267"/>
      <x:c r="I1277" s="3"/>
      <x:c r="J1277" s="3"/>
      <x:c r="K1277" s="269"/>
      <x:c r="L1277" s="270"/>
      <x:c r="M1277" s="270"/>
      <x:c r="N1277" s="3"/>
      <x:c r="O1277" s="269"/>
      <x:c r="P1277" s="271"/>
      <x:c r="Q1277" s="272"/>
    </x:row>
    <x:row r="1278" ht="12.75">
      <x:c r="A1278" s="3"/>
      <x:c r="B1278" s="264"/>
      <x:c r="C1278" s="127"/>
      <x:c r="D1278" s="127"/>
      <x:c r="E1278" s="265"/>
      <x:c r="F1278" s="266"/>
      <x:c r="G1278" s="264"/>
      <x:c r="H1278" s="267"/>
      <x:c r="I1278" s="3"/>
      <x:c r="J1278" s="3"/>
      <x:c r="K1278" s="269"/>
      <x:c r="L1278" s="270"/>
      <x:c r="M1278" s="270"/>
      <x:c r="N1278" s="3"/>
      <x:c r="O1278" s="269"/>
      <x:c r="P1278" s="271"/>
      <x:c r="Q1278" s="272"/>
    </x:row>
    <x:row r="1279" ht="12.75">
      <x:c r="A1279" s="3"/>
      <x:c r="B1279" s="264"/>
      <x:c r="C1279" s="127"/>
      <x:c r="D1279" s="127"/>
      <x:c r="E1279" s="265"/>
      <x:c r="F1279" s="266"/>
      <x:c r="G1279" s="264"/>
      <x:c r="H1279" s="267"/>
      <x:c r="I1279" s="3"/>
      <x:c r="J1279" s="3"/>
      <x:c r="K1279" s="269"/>
      <x:c r="L1279" s="270"/>
      <x:c r="M1279" s="270"/>
      <x:c r="N1279" s="3"/>
      <x:c r="O1279" s="269"/>
      <x:c r="P1279" s="271"/>
      <x:c r="Q1279" s="272"/>
    </x:row>
    <x:row r="1280" ht="12.75">
      <x:c r="A1280" s="3"/>
      <x:c r="B1280" s="264"/>
      <x:c r="C1280" s="127"/>
      <x:c r="D1280" s="127"/>
      <x:c r="E1280" s="265"/>
      <x:c r="F1280" s="266"/>
      <x:c r="G1280" s="264"/>
      <x:c r="H1280" s="267"/>
      <x:c r="I1280" s="3"/>
      <x:c r="J1280" s="3"/>
      <x:c r="K1280" s="269"/>
      <x:c r="L1280" s="270"/>
      <x:c r="M1280" s="270"/>
      <x:c r="N1280" s="3"/>
      <x:c r="O1280" s="269"/>
      <x:c r="P1280" s="271"/>
      <x:c r="Q1280" s="272"/>
    </x:row>
    <x:row r="1281" ht="12.75">
      <x:c r="A1281" s="3"/>
      <x:c r="B1281" s="264"/>
      <x:c r="C1281" s="127"/>
      <x:c r="D1281" s="127"/>
      <x:c r="E1281" s="265"/>
      <x:c r="F1281" s="266"/>
      <x:c r="G1281" s="264"/>
      <x:c r="H1281" s="267"/>
      <x:c r="I1281" s="3"/>
      <x:c r="J1281" s="3"/>
      <x:c r="K1281" s="269"/>
      <x:c r="L1281" s="270"/>
      <x:c r="M1281" s="270"/>
      <x:c r="N1281" s="3"/>
      <x:c r="O1281" s="269"/>
      <x:c r="P1281" s="271"/>
      <x:c r="Q1281" s="272"/>
    </x:row>
    <x:row r="1282" ht="12.75">
      <x:c r="A1282" s="3"/>
      <x:c r="B1282" s="264"/>
      <x:c r="C1282" s="127"/>
      <x:c r="D1282" s="127"/>
      <x:c r="E1282" s="265"/>
      <x:c r="F1282" s="266"/>
      <x:c r="G1282" s="264"/>
      <x:c r="H1282" s="267"/>
      <x:c r="I1282" s="3"/>
      <x:c r="J1282" s="3"/>
      <x:c r="K1282" s="269"/>
      <x:c r="L1282" s="270"/>
      <x:c r="M1282" s="270"/>
      <x:c r="N1282" s="3"/>
      <x:c r="O1282" s="269"/>
      <x:c r="P1282" s="271"/>
      <x:c r="Q1282" s="272"/>
    </x:row>
    <x:row r="1283" ht="12.75">
      <x:c r="A1283" s="3"/>
      <x:c r="B1283" s="264"/>
      <x:c r="C1283" s="127"/>
      <x:c r="D1283" s="127"/>
      <x:c r="E1283" s="265"/>
      <x:c r="F1283" s="266"/>
      <x:c r="G1283" s="264"/>
      <x:c r="H1283" s="267"/>
      <x:c r="I1283" s="3"/>
      <x:c r="J1283" s="3"/>
      <x:c r="K1283" s="269"/>
      <x:c r="L1283" s="270"/>
      <x:c r="M1283" s="270"/>
      <x:c r="N1283" s="3"/>
      <x:c r="O1283" s="269"/>
      <x:c r="P1283" s="271"/>
      <x:c r="Q1283" s="272"/>
    </x:row>
    <x:row r="1284" ht="12.75">
      <x:c r="A1284" s="3"/>
      <x:c r="B1284" s="264"/>
      <x:c r="C1284" s="127"/>
      <x:c r="D1284" s="127"/>
      <x:c r="E1284" s="265"/>
      <x:c r="F1284" s="266"/>
      <x:c r="G1284" s="264"/>
      <x:c r="H1284" s="267"/>
      <x:c r="I1284" s="3"/>
      <x:c r="J1284" s="3"/>
      <x:c r="K1284" s="269"/>
      <x:c r="L1284" s="270"/>
      <x:c r="M1284" s="270"/>
      <x:c r="N1284" s="3"/>
      <x:c r="O1284" s="269"/>
      <x:c r="P1284" s="271"/>
      <x:c r="Q1284" s="272"/>
    </x:row>
    <x:row r="1285" ht="12.75">
      <x:c r="A1285" s="3"/>
      <x:c r="B1285" s="264"/>
      <x:c r="C1285" s="127"/>
      <x:c r="D1285" s="127"/>
      <x:c r="E1285" s="265"/>
      <x:c r="F1285" s="266"/>
      <x:c r="G1285" s="264"/>
      <x:c r="H1285" s="267"/>
      <x:c r="I1285" s="3"/>
      <x:c r="J1285" s="3"/>
      <x:c r="K1285" s="269"/>
      <x:c r="L1285" s="270"/>
      <x:c r="M1285" s="270"/>
      <x:c r="N1285" s="3"/>
      <x:c r="O1285" s="269"/>
      <x:c r="P1285" s="271"/>
      <x:c r="Q1285" s="272"/>
    </x:row>
    <x:row r="1286" ht="12.75">
      <x:c r="A1286" s="3"/>
      <x:c r="B1286" s="264"/>
      <x:c r="C1286" s="127"/>
      <x:c r="D1286" s="127"/>
      <x:c r="E1286" s="265"/>
      <x:c r="F1286" s="266"/>
      <x:c r="G1286" s="264"/>
      <x:c r="H1286" s="267"/>
      <x:c r="I1286" s="3"/>
      <x:c r="J1286" s="3"/>
      <x:c r="K1286" s="269"/>
      <x:c r="L1286" s="270"/>
      <x:c r="M1286" s="270"/>
      <x:c r="N1286" s="3"/>
      <x:c r="O1286" s="269"/>
      <x:c r="P1286" s="271"/>
      <x:c r="Q1286" s="272"/>
    </x:row>
    <x:row r="1287" ht="12.75">
      <x:c r="A1287" s="3"/>
      <x:c r="B1287" s="264"/>
      <x:c r="C1287" s="127"/>
      <x:c r="D1287" s="127"/>
      <x:c r="E1287" s="265"/>
      <x:c r="F1287" s="266"/>
      <x:c r="G1287" s="264"/>
      <x:c r="H1287" s="267"/>
      <x:c r="I1287" s="3"/>
      <x:c r="J1287" s="3"/>
      <x:c r="K1287" s="269"/>
      <x:c r="L1287" s="270"/>
      <x:c r="M1287" s="270"/>
      <x:c r="N1287" s="3"/>
      <x:c r="O1287" s="269"/>
      <x:c r="P1287" s="271"/>
      <x:c r="Q1287" s="272"/>
    </x:row>
    <x:row r="1288" ht="12.75">
      <x:c r="A1288" s="3"/>
      <x:c r="B1288" s="264"/>
      <x:c r="C1288" s="127"/>
      <x:c r="D1288" s="127"/>
      <x:c r="E1288" s="265"/>
      <x:c r="F1288" s="266"/>
      <x:c r="G1288" s="264"/>
      <x:c r="H1288" s="267"/>
      <x:c r="I1288" s="3"/>
      <x:c r="J1288" s="3"/>
      <x:c r="K1288" s="269"/>
      <x:c r="L1288" s="270"/>
      <x:c r="M1288" s="270"/>
      <x:c r="N1288" s="3"/>
      <x:c r="O1288" s="269"/>
      <x:c r="P1288" s="271"/>
      <x:c r="Q1288" s="272"/>
    </x:row>
    <x:row r="1289" ht="12.75">
      <x:c r="A1289" s="3"/>
      <x:c r="B1289" s="264"/>
      <x:c r="C1289" s="127"/>
      <x:c r="D1289" s="127"/>
      <x:c r="E1289" s="265"/>
      <x:c r="F1289" s="266"/>
      <x:c r="G1289" s="264"/>
      <x:c r="H1289" s="267"/>
      <x:c r="I1289" s="3"/>
      <x:c r="J1289" s="3"/>
      <x:c r="K1289" s="269"/>
      <x:c r="L1289" s="270"/>
      <x:c r="M1289" s="270"/>
      <x:c r="N1289" s="3"/>
      <x:c r="O1289" s="269"/>
      <x:c r="P1289" s="271"/>
      <x:c r="Q1289" s="272"/>
    </x:row>
    <x:row r="1290" ht="12.75">
      <x:c r="A1290" s="3"/>
      <x:c r="B1290" s="264"/>
      <x:c r="C1290" s="127"/>
      <x:c r="D1290" s="127"/>
      <x:c r="E1290" s="265"/>
      <x:c r="F1290" s="266"/>
      <x:c r="G1290" s="264"/>
      <x:c r="H1290" s="267"/>
      <x:c r="I1290" s="3"/>
      <x:c r="J1290" s="3"/>
      <x:c r="K1290" s="269"/>
      <x:c r="L1290" s="270"/>
      <x:c r="M1290" s="270"/>
      <x:c r="N1290" s="3"/>
      <x:c r="O1290" s="269"/>
      <x:c r="P1290" s="271"/>
      <x:c r="Q1290" s="272"/>
    </x:row>
    <x:row r="1291" ht="12.75">
      <x:c r="A1291" s="3"/>
      <x:c r="B1291" s="264"/>
      <x:c r="C1291" s="127"/>
      <x:c r="D1291" s="127"/>
      <x:c r="E1291" s="265"/>
      <x:c r="F1291" s="266"/>
      <x:c r="G1291" s="264"/>
      <x:c r="H1291" s="267"/>
      <x:c r="I1291" s="3"/>
      <x:c r="J1291" s="3"/>
      <x:c r="K1291" s="269"/>
      <x:c r="L1291" s="270"/>
      <x:c r="M1291" s="270"/>
      <x:c r="N1291" s="3"/>
      <x:c r="O1291" s="269"/>
      <x:c r="P1291" s="271"/>
      <x:c r="Q1291" s="272"/>
    </x:row>
    <x:row r="1292" ht="12.75">
      <x:c r="A1292" s="3"/>
      <x:c r="B1292" s="264"/>
      <x:c r="C1292" s="127"/>
      <x:c r="D1292" s="127"/>
      <x:c r="E1292" s="265"/>
      <x:c r="F1292" s="266"/>
      <x:c r="G1292" s="264"/>
      <x:c r="H1292" s="267"/>
      <x:c r="I1292" s="3"/>
      <x:c r="J1292" s="3"/>
      <x:c r="K1292" s="269"/>
      <x:c r="L1292" s="270"/>
      <x:c r="M1292" s="270"/>
      <x:c r="N1292" s="3"/>
      <x:c r="O1292" s="269"/>
      <x:c r="P1292" s="271"/>
      <x:c r="Q1292" s="272"/>
    </x:row>
    <x:row r="1293" ht="12.75">
      <x:c r="A1293" s="3"/>
      <x:c r="B1293" s="264"/>
      <x:c r="C1293" s="127"/>
      <x:c r="D1293" s="127"/>
      <x:c r="E1293" s="265"/>
      <x:c r="F1293" s="266"/>
      <x:c r="G1293" s="264"/>
      <x:c r="H1293" s="267"/>
      <x:c r="I1293" s="3"/>
      <x:c r="J1293" s="3"/>
      <x:c r="K1293" s="269"/>
      <x:c r="L1293" s="270"/>
      <x:c r="M1293" s="270"/>
      <x:c r="N1293" s="3"/>
      <x:c r="O1293" s="269"/>
      <x:c r="P1293" s="271"/>
      <x:c r="Q1293" s="272"/>
    </x:row>
    <x:row r="1294" ht="12.75">
      <x:c r="A1294" s="3"/>
      <x:c r="B1294" s="264"/>
      <x:c r="C1294" s="127"/>
      <x:c r="D1294" s="127"/>
      <x:c r="E1294" s="265"/>
      <x:c r="F1294" s="266"/>
      <x:c r="G1294" s="264"/>
      <x:c r="H1294" s="267"/>
      <x:c r="I1294" s="3"/>
      <x:c r="J1294" s="3"/>
      <x:c r="K1294" s="269"/>
      <x:c r="L1294" s="270"/>
      <x:c r="M1294" s="270"/>
      <x:c r="N1294" s="3"/>
      <x:c r="O1294" s="269"/>
      <x:c r="P1294" s="271"/>
      <x:c r="Q1294" s="272"/>
    </x:row>
    <x:row r="1295" ht="12.75">
      <x:c r="A1295" s="3"/>
      <x:c r="B1295" s="264"/>
      <x:c r="C1295" s="127"/>
      <x:c r="D1295" s="127"/>
      <x:c r="E1295" s="265"/>
      <x:c r="F1295" s="266"/>
      <x:c r="G1295" s="264"/>
      <x:c r="H1295" s="267"/>
      <x:c r="I1295" s="3"/>
      <x:c r="J1295" s="3"/>
      <x:c r="K1295" s="269"/>
      <x:c r="L1295" s="270"/>
      <x:c r="M1295" s="270"/>
      <x:c r="N1295" s="3"/>
      <x:c r="O1295" s="269"/>
      <x:c r="P1295" s="271"/>
      <x:c r="Q1295" s="272"/>
    </x:row>
    <x:row r="1296" ht="12.75">
      <x:c r="A1296" s="3"/>
      <x:c r="B1296" s="264"/>
      <x:c r="C1296" s="127"/>
      <x:c r="D1296" s="127"/>
      <x:c r="E1296" s="265"/>
      <x:c r="F1296" s="266"/>
      <x:c r="G1296" s="264"/>
      <x:c r="H1296" s="267"/>
      <x:c r="I1296" s="3"/>
      <x:c r="J1296" s="3"/>
      <x:c r="K1296" s="269"/>
      <x:c r="L1296" s="270"/>
      <x:c r="M1296" s="270"/>
      <x:c r="N1296" s="3"/>
      <x:c r="O1296" s="269"/>
      <x:c r="P1296" s="271"/>
      <x:c r="Q1296" s="272"/>
    </x:row>
    <x:row r="1297" ht="12.75">
      <x:c r="A1297" s="3"/>
      <x:c r="B1297" s="264"/>
      <x:c r="C1297" s="127"/>
      <x:c r="D1297" s="127"/>
      <x:c r="E1297" s="265"/>
      <x:c r="F1297" s="266"/>
      <x:c r="G1297" s="264"/>
      <x:c r="H1297" s="267"/>
      <x:c r="I1297" s="3"/>
      <x:c r="J1297" s="3"/>
      <x:c r="K1297" s="269"/>
      <x:c r="L1297" s="270"/>
      <x:c r="M1297" s="270"/>
      <x:c r="N1297" s="3"/>
      <x:c r="O1297" s="269"/>
      <x:c r="P1297" s="271"/>
      <x:c r="Q1297" s="272"/>
    </x:row>
    <x:row r="1298" ht="12.75">
      <x:c r="A1298" s="3"/>
      <x:c r="B1298" s="264"/>
      <x:c r="C1298" s="127"/>
      <x:c r="D1298" s="127"/>
      <x:c r="E1298" s="265"/>
      <x:c r="F1298" s="266"/>
      <x:c r="G1298" s="264"/>
      <x:c r="H1298" s="267"/>
      <x:c r="I1298" s="3"/>
      <x:c r="J1298" s="3"/>
      <x:c r="K1298" s="269"/>
      <x:c r="L1298" s="270"/>
      <x:c r="M1298" s="270"/>
      <x:c r="N1298" s="3"/>
      <x:c r="O1298" s="269"/>
      <x:c r="P1298" s="271"/>
      <x:c r="Q1298" s="272"/>
    </x:row>
    <x:row r="1299" ht="12.75">
      <x:c r="A1299" s="3"/>
      <x:c r="B1299" s="264"/>
      <x:c r="C1299" s="127"/>
      <x:c r="D1299" s="127"/>
      <x:c r="E1299" s="265"/>
      <x:c r="F1299" s="266"/>
      <x:c r="G1299" s="264"/>
      <x:c r="H1299" s="267"/>
      <x:c r="I1299" s="3"/>
      <x:c r="J1299" s="3"/>
      <x:c r="K1299" s="269"/>
      <x:c r="L1299" s="270"/>
      <x:c r="M1299" s="270"/>
      <x:c r="N1299" s="3"/>
      <x:c r="O1299" s="269"/>
      <x:c r="P1299" s="271"/>
      <x:c r="Q1299" s="272"/>
    </x:row>
    <x:row r="1300" ht="12.75">
      <x:c r="A1300" s="3"/>
      <x:c r="B1300" s="264"/>
      <x:c r="C1300" s="127"/>
      <x:c r="D1300" s="127"/>
      <x:c r="E1300" s="265"/>
      <x:c r="F1300" s="266"/>
      <x:c r="G1300" s="264"/>
      <x:c r="H1300" s="267"/>
      <x:c r="I1300" s="3"/>
      <x:c r="J1300" s="3"/>
      <x:c r="K1300" s="269"/>
      <x:c r="L1300" s="270"/>
      <x:c r="M1300" s="270"/>
      <x:c r="N1300" s="3"/>
      <x:c r="O1300" s="269"/>
      <x:c r="P1300" s="271"/>
      <x:c r="Q1300" s="272"/>
    </x:row>
    <x:row r="1301" ht="12.75">
      <x:c r="A1301" s="3"/>
      <x:c r="B1301" s="264"/>
      <x:c r="C1301" s="127"/>
      <x:c r="D1301" s="127"/>
      <x:c r="E1301" s="265"/>
      <x:c r="F1301" s="266"/>
      <x:c r="G1301" s="264"/>
      <x:c r="H1301" s="267"/>
      <x:c r="I1301" s="3"/>
      <x:c r="J1301" s="3"/>
      <x:c r="K1301" s="269"/>
      <x:c r="L1301" s="270"/>
      <x:c r="M1301" s="270"/>
      <x:c r="N1301" s="3"/>
      <x:c r="O1301" s="269"/>
      <x:c r="P1301" s="271"/>
      <x:c r="Q1301" s="272"/>
    </x:row>
    <x:row r="1302" ht="12.75">
      <x:c r="A1302" s="3"/>
      <x:c r="B1302" s="264"/>
      <x:c r="C1302" s="127"/>
      <x:c r="D1302" s="127"/>
      <x:c r="E1302" s="265"/>
      <x:c r="F1302" s="266"/>
      <x:c r="G1302" s="264"/>
      <x:c r="H1302" s="267"/>
      <x:c r="I1302" s="3"/>
      <x:c r="J1302" s="3"/>
      <x:c r="K1302" s="269"/>
      <x:c r="L1302" s="270"/>
      <x:c r="M1302" s="270"/>
      <x:c r="N1302" s="3"/>
      <x:c r="O1302" s="269"/>
      <x:c r="P1302" s="271"/>
      <x:c r="Q1302" s="272"/>
    </x:row>
    <x:row r="1303" ht="12.75">
      <x:c r="A1303" s="3"/>
      <x:c r="B1303" s="264"/>
      <x:c r="C1303" s="127"/>
      <x:c r="D1303" s="127"/>
      <x:c r="E1303" s="265"/>
      <x:c r="F1303" s="266"/>
      <x:c r="G1303" s="264"/>
      <x:c r="H1303" s="267"/>
      <x:c r="I1303" s="3"/>
      <x:c r="J1303" s="3"/>
      <x:c r="K1303" s="269"/>
      <x:c r="L1303" s="270"/>
      <x:c r="M1303" s="270"/>
      <x:c r="N1303" s="3"/>
      <x:c r="O1303" s="269"/>
      <x:c r="P1303" s="271"/>
      <x:c r="Q1303" s="272"/>
    </x:row>
    <x:row r="1304" ht="12.75">
      <x:c r="A1304" s="3"/>
      <x:c r="B1304" s="264"/>
      <x:c r="C1304" s="127"/>
      <x:c r="D1304" s="127"/>
      <x:c r="E1304" s="265"/>
      <x:c r="F1304" s="266"/>
      <x:c r="G1304" s="264"/>
      <x:c r="H1304" s="267"/>
      <x:c r="I1304" s="3"/>
      <x:c r="J1304" s="3"/>
      <x:c r="K1304" s="269"/>
      <x:c r="L1304" s="270"/>
      <x:c r="M1304" s="270"/>
      <x:c r="N1304" s="3"/>
      <x:c r="O1304" s="269"/>
      <x:c r="P1304" s="271"/>
      <x:c r="Q1304" s="272"/>
    </x:row>
    <x:row r="1305" ht="12.75">
      <x:c r="A1305" s="3"/>
      <x:c r="B1305" s="264"/>
      <x:c r="C1305" s="127"/>
      <x:c r="D1305" s="127"/>
      <x:c r="E1305" s="265"/>
      <x:c r="F1305" s="266"/>
      <x:c r="G1305" s="264"/>
      <x:c r="H1305" s="267"/>
      <x:c r="I1305" s="3"/>
      <x:c r="J1305" s="3"/>
      <x:c r="K1305" s="269"/>
      <x:c r="L1305" s="270"/>
      <x:c r="M1305" s="270"/>
      <x:c r="N1305" s="3"/>
      <x:c r="O1305" s="269"/>
      <x:c r="P1305" s="271"/>
      <x:c r="Q1305" s="272"/>
    </x:row>
    <x:row r="1306" ht="12.75">
      <x:c r="A1306" s="3"/>
      <x:c r="B1306" s="264"/>
      <x:c r="C1306" s="127"/>
      <x:c r="D1306" s="127"/>
      <x:c r="E1306" s="265"/>
      <x:c r="F1306" s="266"/>
      <x:c r="G1306" s="264"/>
      <x:c r="H1306" s="267"/>
      <x:c r="I1306" s="3"/>
      <x:c r="J1306" s="3"/>
      <x:c r="K1306" s="269"/>
      <x:c r="L1306" s="270"/>
      <x:c r="M1306" s="270"/>
      <x:c r="N1306" s="3"/>
      <x:c r="O1306" s="269"/>
      <x:c r="P1306" s="271"/>
      <x:c r="Q1306" s="272"/>
    </x:row>
    <x:row r="1307" ht="12.75">
      <x:c r="A1307" s="3"/>
      <x:c r="B1307" s="264"/>
      <x:c r="C1307" s="127"/>
      <x:c r="D1307" s="127"/>
      <x:c r="E1307" s="265"/>
      <x:c r="F1307" s="266"/>
      <x:c r="G1307" s="264"/>
      <x:c r="H1307" s="267"/>
      <x:c r="I1307" s="3"/>
      <x:c r="J1307" s="3"/>
      <x:c r="K1307" s="269"/>
      <x:c r="L1307" s="270"/>
      <x:c r="M1307" s="270"/>
      <x:c r="N1307" s="3"/>
      <x:c r="O1307" s="269"/>
      <x:c r="P1307" s="271"/>
      <x:c r="Q1307" s="272"/>
    </x:row>
    <x:row r="1308" ht="12.75">
      <x:c r="A1308" s="3"/>
      <x:c r="B1308" s="264"/>
      <x:c r="C1308" s="127"/>
      <x:c r="D1308" s="127"/>
      <x:c r="E1308" s="265"/>
      <x:c r="F1308" s="266"/>
      <x:c r="G1308" s="264"/>
      <x:c r="H1308" s="267"/>
      <x:c r="I1308" s="3"/>
      <x:c r="J1308" s="3"/>
      <x:c r="K1308" s="269"/>
      <x:c r="L1308" s="270"/>
      <x:c r="M1308" s="270"/>
      <x:c r="N1308" s="3"/>
      <x:c r="O1308" s="269"/>
      <x:c r="P1308" s="271"/>
      <x:c r="Q1308" s="272"/>
    </x:row>
    <x:row r="1309" ht="12.75">
      <x:c r="A1309" s="3"/>
      <x:c r="B1309" s="264"/>
      <x:c r="C1309" s="127"/>
      <x:c r="D1309" s="127"/>
      <x:c r="E1309" s="265"/>
      <x:c r="F1309" s="266"/>
      <x:c r="G1309" s="264"/>
      <x:c r="H1309" s="267"/>
      <x:c r="I1309" s="3"/>
      <x:c r="J1309" s="3"/>
      <x:c r="K1309" s="269"/>
      <x:c r="L1309" s="270"/>
      <x:c r="M1309" s="270"/>
      <x:c r="N1309" s="3"/>
      <x:c r="O1309" s="269"/>
      <x:c r="P1309" s="271"/>
      <x:c r="Q1309" s="272"/>
    </x:row>
    <x:row r="1310" ht="12.75">
      <x:c r="A1310" s="3"/>
      <x:c r="B1310" s="264"/>
      <x:c r="C1310" s="127"/>
      <x:c r="D1310" s="127"/>
      <x:c r="E1310" s="265"/>
      <x:c r="F1310" s="266"/>
      <x:c r="G1310" s="264"/>
      <x:c r="H1310" s="267"/>
      <x:c r="I1310" s="3"/>
      <x:c r="J1310" s="3"/>
      <x:c r="K1310" s="269"/>
      <x:c r="L1310" s="270"/>
      <x:c r="M1310" s="270"/>
      <x:c r="N1310" s="3"/>
      <x:c r="O1310" s="269"/>
      <x:c r="P1310" s="271"/>
      <x:c r="Q1310" s="272"/>
    </x:row>
    <x:row r="1311" ht="12.75">
      <x:c r="A1311" s="3"/>
      <x:c r="B1311" s="264"/>
      <x:c r="C1311" s="127"/>
      <x:c r="D1311" s="127"/>
      <x:c r="E1311" s="265"/>
      <x:c r="F1311" s="266"/>
      <x:c r="G1311" s="264"/>
      <x:c r="H1311" s="267"/>
      <x:c r="I1311" s="3"/>
      <x:c r="J1311" s="3"/>
      <x:c r="K1311" s="269"/>
      <x:c r="L1311" s="270"/>
      <x:c r="M1311" s="270"/>
      <x:c r="N1311" s="3"/>
      <x:c r="O1311" s="269"/>
      <x:c r="P1311" s="271"/>
      <x:c r="Q1311" s="272"/>
    </x:row>
    <x:row r="1312" ht="12.75">
      <x:c r="A1312" s="3"/>
      <x:c r="B1312" s="264"/>
      <x:c r="C1312" s="127"/>
      <x:c r="D1312" s="127"/>
      <x:c r="E1312" s="265"/>
      <x:c r="F1312" s="266"/>
      <x:c r="G1312" s="264"/>
      <x:c r="H1312" s="267"/>
      <x:c r="I1312" s="3"/>
      <x:c r="J1312" s="3"/>
      <x:c r="K1312" s="269"/>
      <x:c r="L1312" s="270"/>
      <x:c r="M1312" s="270"/>
      <x:c r="N1312" s="3"/>
      <x:c r="O1312" s="269"/>
      <x:c r="P1312" s="271"/>
      <x:c r="Q1312" s="272"/>
    </x:row>
    <x:row r="1313" ht="12.75">
      <x:c r="A1313" s="3"/>
      <x:c r="B1313" s="264"/>
      <x:c r="C1313" s="127"/>
      <x:c r="D1313" s="127"/>
      <x:c r="E1313" s="265"/>
      <x:c r="F1313" s="266"/>
      <x:c r="G1313" s="264"/>
      <x:c r="H1313" s="267"/>
      <x:c r="I1313" s="3"/>
      <x:c r="J1313" s="3"/>
      <x:c r="K1313" s="269"/>
      <x:c r="L1313" s="270"/>
      <x:c r="M1313" s="270"/>
      <x:c r="N1313" s="3"/>
      <x:c r="O1313" s="269"/>
      <x:c r="P1313" s="271"/>
      <x:c r="Q1313" s="272"/>
    </x:row>
    <x:row r="1314" ht="12.75">
      <x:c r="A1314" s="3"/>
      <x:c r="B1314" s="264"/>
      <x:c r="C1314" s="127"/>
      <x:c r="D1314" s="127"/>
      <x:c r="E1314" s="265"/>
      <x:c r="F1314" s="266"/>
      <x:c r="G1314" s="264"/>
      <x:c r="H1314" s="267"/>
      <x:c r="I1314" s="3"/>
      <x:c r="J1314" s="3"/>
      <x:c r="K1314" s="269"/>
      <x:c r="L1314" s="270"/>
      <x:c r="M1314" s="270"/>
      <x:c r="N1314" s="3"/>
      <x:c r="O1314" s="269"/>
      <x:c r="P1314" s="271"/>
      <x:c r="Q1314" s="272"/>
    </x:row>
    <x:row r="1315" ht="12.75">
      <x:c r="A1315" s="3"/>
      <x:c r="B1315" s="264"/>
      <x:c r="C1315" s="127"/>
      <x:c r="D1315" s="127"/>
      <x:c r="E1315" s="265"/>
      <x:c r="F1315" s="266"/>
      <x:c r="G1315" s="264"/>
      <x:c r="H1315" s="267"/>
      <x:c r="I1315" s="3"/>
      <x:c r="J1315" s="3"/>
      <x:c r="K1315" s="269"/>
      <x:c r="L1315" s="270"/>
      <x:c r="M1315" s="270"/>
      <x:c r="N1315" s="3"/>
      <x:c r="O1315" s="269"/>
      <x:c r="P1315" s="271"/>
      <x:c r="Q1315" s="272"/>
    </x:row>
    <x:row r="1316" ht="12.75">
      <x:c r="A1316" s="3"/>
      <x:c r="B1316" s="264"/>
      <x:c r="C1316" s="127"/>
      <x:c r="D1316" s="127"/>
      <x:c r="E1316" s="265"/>
      <x:c r="F1316" s="266"/>
      <x:c r="G1316" s="264"/>
      <x:c r="H1316" s="267"/>
      <x:c r="I1316" s="3"/>
      <x:c r="J1316" s="3"/>
      <x:c r="K1316" s="269"/>
      <x:c r="L1316" s="270"/>
      <x:c r="M1316" s="270"/>
      <x:c r="N1316" s="3"/>
      <x:c r="O1316" s="269"/>
      <x:c r="P1316" s="271"/>
      <x:c r="Q1316" s="272"/>
    </x:row>
    <x:row r="1317" ht="12.75">
      <x:c r="A1317" s="3"/>
      <x:c r="B1317" s="264"/>
      <x:c r="C1317" s="127"/>
      <x:c r="D1317" s="127"/>
      <x:c r="E1317" s="265"/>
      <x:c r="F1317" s="266"/>
      <x:c r="G1317" s="264"/>
      <x:c r="H1317" s="267"/>
      <x:c r="I1317" s="3"/>
      <x:c r="J1317" s="3"/>
      <x:c r="K1317" s="269"/>
      <x:c r="L1317" s="270"/>
      <x:c r="M1317" s="270"/>
      <x:c r="N1317" s="3"/>
      <x:c r="O1317" s="269"/>
      <x:c r="P1317" s="271"/>
      <x:c r="Q1317" s="272"/>
    </x:row>
    <x:row r="1318" ht="12.75">
      <x:c r="A1318" s="3"/>
      <x:c r="B1318" s="264"/>
      <x:c r="C1318" s="127"/>
      <x:c r="D1318" s="127"/>
      <x:c r="E1318" s="265"/>
      <x:c r="F1318" s="266"/>
      <x:c r="G1318" s="264"/>
      <x:c r="H1318" s="267"/>
      <x:c r="I1318" s="3"/>
      <x:c r="J1318" s="3"/>
      <x:c r="K1318" s="269"/>
      <x:c r="L1318" s="270"/>
      <x:c r="M1318" s="270"/>
      <x:c r="N1318" s="3"/>
      <x:c r="O1318" s="269"/>
      <x:c r="P1318" s="271"/>
      <x:c r="Q1318" s="272"/>
    </x:row>
    <x:row r="1319" ht="12.75">
      <x:c r="A1319" s="3"/>
      <x:c r="B1319" s="264"/>
      <x:c r="C1319" s="127"/>
      <x:c r="D1319" s="127"/>
      <x:c r="E1319" s="265"/>
      <x:c r="F1319" s="266"/>
      <x:c r="G1319" s="264"/>
      <x:c r="H1319" s="267"/>
      <x:c r="I1319" s="3"/>
      <x:c r="J1319" s="3"/>
      <x:c r="K1319" s="269"/>
      <x:c r="L1319" s="270"/>
      <x:c r="M1319" s="270"/>
      <x:c r="N1319" s="3"/>
      <x:c r="O1319" s="269"/>
      <x:c r="P1319" s="271"/>
      <x:c r="Q1319" s="272"/>
    </x:row>
    <x:row r="1320" ht="12.75">
      <x:c r="A1320" s="3"/>
      <x:c r="B1320" s="264"/>
      <x:c r="C1320" s="127"/>
      <x:c r="D1320" s="127"/>
      <x:c r="E1320" s="265"/>
      <x:c r="F1320" s="266"/>
      <x:c r="G1320" s="264"/>
      <x:c r="H1320" s="267"/>
      <x:c r="I1320" s="3"/>
      <x:c r="J1320" s="3"/>
      <x:c r="K1320" s="269"/>
      <x:c r="L1320" s="270"/>
      <x:c r="M1320" s="270"/>
      <x:c r="N1320" s="3"/>
      <x:c r="O1320" s="269"/>
      <x:c r="P1320" s="271"/>
      <x:c r="Q1320" s="272"/>
    </x:row>
    <x:row r="1321" ht="12.75">
      <x:c r="A1321" s="3"/>
      <x:c r="B1321" s="264"/>
      <x:c r="C1321" s="127"/>
      <x:c r="D1321" s="127"/>
      <x:c r="E1321" s="265"/>
      <x:c r="F1321" s="266"/>
      <x:c r="G1321" s="264"/>
      <x:c r="H1321" s="267"/>
      <x:c r="I1321" s="3"/>
      <x:c r="J1321" s="3"/>
      <x:c r="K1321" s="269"/>
      <x:c r="L1321" s="270"/>
      <x:c r="M1321" s="270"/>
      <x:c r="N1321" s="3"/>
      <x:c r="O1321" s="269"/>
      <x:c r="P1321" s="271"/>
      <x:c r="Q1321" s="272"/>
    </x:row>
    <x:row r="1322" ht="12.75">
      <x:c r="A1322" s="3"/>
      <x:c r="B1322" s="264"/>
      <x:c r="C1322" s="127"/>
      <x:c r="D1322" s="127"/>
      <x:c r="E1322" s="265"/>
      <x:c r="F1322" s="266"/>
      <x:c r="G1322" s="264"/>
      <x:c r="H1322" s="267"/>
      <x:c r="I1322" s="3"/>
      <x:c r="J1322" s="3"/>
      <x:c r="K1322" s="269"/>
      <x:c r="L1322" s="270"/>
      <x:c r="M1322" s="270"/>
      <x:c r="N1322" s="3"/>
      <x:c r="O1322" s="269"/>
      <x:c r="P1322" s="271"/>
      <x:c r="Q1322" s="272"/>
    </x:row>
    <x:row r="1323" ht="12.75">
      <x:c r="A1323" s="3"/>
      <x:c r="B1323" s="264"/>
      <x:c r="C1323" s="127"/>
      <x:c r="D1323" s="127"/>
      <x:c r="E1323" s="265"/>
      <x:c r="F1323" s="266"/>
      <x:c r="G1323" s="264"/>
      <x:c r="H1323" s="267"/>
      <x:c r="I1323" s="3"/>
      <x:c r="J1323" s="3"/>
      <x:c r="K1323" s="269"/>
      <x:c r="L1323" s="270"/>
      <x:c r="M1323" s="270"/>
      <x:c r="N1323" s="3"/>
      <x:c r="O1323" s="269"/>
      <x:c r="P1323" s="271"/>
      <x:c r="Q1323" s="272"/>
    </x:row>
    <x:row r="1324" ht="12.75">
      <x:c r="A1324" s="3"/>
      <x:c r="B1324" s="264"/>
      <x:c r="C1324" s="127"/>
      <x:c r="D1324" s="127"/>
      <x:c r="E1324" s="265"/>
      <x:c r="F1324" s="266"/>
      <x:c r="G1324" s="264"/>
      <x:c r="H1324" s="267"/>
      <x:c r="I1324" s="3"/>
      <x:c r="J1324" s="3"/>
      <x:c r="K1324" s="269"/>
      <x:c r="L1324" s="270"/>
      <x:c r="M1324" s="270"/>
      <x:c r="N1324" s="3"/>
      <x:c r="O1324" s="269"/>
      <x:c r="P1324" s="271"/>
      <x:c r="Q1324" s="272"/>
    </x:row>
    <x:row r="1325" ht="12.75">
      <x:c r="A1325" s="3"/>
      <x:c r="B1325" s="264"/>
      <x:c r="C1325" s="127"/>
      <x:c r="D1325" s="127"/>
      <x:c r="E1325" s="265"/>
      <x:c r="F1325" s="266"/>
      <x:c r="G1325" s="264"/>
      <x:c r="H1325" s="267"/>
      <x:c r="I1325" s="3"/>
      <x:c r="J1325" s="3"/>
      <x:c r="K1325" s="269"/>
      <x:c r="L1325" s="270"/>
      <x:c r="M1325" s="270"/>
      <x:c r="N1325" s="3"/>
      <x:c r="O1325" s="269"/>
      <x:c r="P1325" s="271"/>
      <x:c r="Q1325" s="272"/>
    </x:row>
    <x:row r="1326" ht="12.75">
      <x:c r="A1326" s="3"/>
      <x:c r="B1326" s="264"/>
      <x:c r="C1326" s="127"/>
      <x:c r="D1326" s="127"/>
      <x:c r="E1326" s="265"/>
      <x:c r="F1326" s="266"/>
      <x:c r="G1326" s="264"/>
      <x:c r="H1326" s="267"/>
      <x:c r="I1326" s="3"/>
      <x:c r="J1326" s="3"/>
      <x:c r="K1326" s="269"/>
      <x:c r="L1326" s="270"/>
      <x:c r="M1326" s="270"/>
      <x:c r="N1326" s="3"/>
      <x:c r="O1326" s="269"/>
      <x:c r="P1326" s="271"/>
      <x:c r="Q1326" s="272"/>
    </x:row>
    <x:row r="1327" ht="12.75">
      <x:c r="A1327" s="3"/>
      <x:c r="B1327" s="264"/>
      <x:c r="C1327" s="127"/>
      <x:c r="D1327" s="127"/>
      <x:c r="E1327" s="265"/>
      <x:c r="F1327" s="266"/>
      <x:c r="G1327" s="264"/>
      <x:c r="H1327" s="267"/>
      <x:c r="I1327" s="3"/>
      <x:c r="J1327" s="3"/>
      <x:c r="K1327" s="269"/>
      <x:c r="L1327" s="270"/>
      <x:c r="M1327" s="270"/>
      <x:c r="N1327" s="3"/>
      <x:c r="O1327" s="269"/>
      <x:c r="P1327" s="271"/>
      <x:c r="Q1327" s="272"/>
    </x:row>
    <x:row r="1328" ht="12.75">
      <x:c r="A1328" s="3"/>
      <x:c r="B1328" s="264"/>
      <x:c r="C1328" s="127"/>
      <x:c r="D1328" s="127"/>
      <x:c r="E1328" s="265"/>
      <x:c r="F1328" s="266"/>
      <x:c r="G1328" s="264"/>
      <x:c r="H1328" s="267"/>
      <x:c r="I1328" s="3"/>
      <x:c r="J1328" s="3"/>
      <x:c r="K1328" s="269"/>
      <x:c r="L1328" s="270"/>
      <x:c r="M1328" s="270"/>
      <x:c r="N1328" s="3"/>
      <x:c r="O1328" s="269"/>
      <x:c r="P1328" s="271"/>
      <x:c r="Q1328" s="272"/>
    </x:row>
    <x:row r="1329" ht="12.75">
      <x:c r="A1329" s="3"/>
      <x:c r="B1329" s="264"/>
      <x:c r="C1329" s="127"/>
      <x:c r="D1329" s="127"/>
      <x:c r="E1329" s="265"/>
      <x:c r="F1329" s="266"/>
      <x:c r="G1329" s="264"/>
      <x:c r="H1329" s="267"/>
      <x:c r="I1329" s="3"/>
      <x:c r="J1329" s="3"/>
      <x:c r="K1329" s="269"/>
      <x:c r="L1329" s="270"/>
      <x:c r="M1329" s="270"/>
      <x:c r="N1329" s="3"/>
      <x:c r="O1329" s="269"/>
      <x:c r="P1329" s="271"/>
      <x:c r="Q1329" s="272"/>
    </x:row>
    <x:row r="1330" ht="12.75">
      <x:c r="A1330" s="3"/>
      <x:c r="B1330" s="264"/>
      <x:c r="C1330" s="127"/>
      <x:c r="D1330" s="127"/>
      <x:c r="E1330" s="265"/>
      <x:c r="F1330" s="266"/>
      <x:c r="G1330" s="264"/>
      <x:c r="H1330" s="267"/>
      <x:c r="I1330" s="3"/>
      <x:c r="J1330" s="3"/>
      <x:c r="K1330" s="269"/>
      <x:c r="L1330" s="270"/>
      <x:c r="M1330" s="270"/>
      <x:c r="N1330" s="3"/>
      <x:c r="O1330" s="269"/>
      <x:c r="P1330" s="271"/>
      <x:c r="Q1330" s="272"/>
    </x:row>
    <x:row r="1331" ht="12.75">
      <x:c r="A1331" s="3"/>
      <x:c r="B1331" s="264"/>
      <x:c r="C1331" s="127"/>
      <x:c r="D1331" s="127"/>
      <x:c r="E1331" s="265"/>
      <x:c r="F1331" s="266"/>
      <x:c r="G1331" s="264"/>
      <x:c r="H1331" s="267"/>
      <x:c r="I1331" s="3"/>
      <x:c r="J1331" s="3"/>
      <x:c r="K1331" s="269"/>
      <x:c r="L1331" s="270"/>
      <x:c r="M1331" s="270"/>
      <x:c r="N1331" s="3"/>
      <x:c r="O1331" s="269"/>
      <x:c r="P1331" s="271"/>
      <x:c r="Q1331" s="272"/>
    </x:row>
    <x:row r="1332" ht="12.75">
      <x:c r="A1332" s="3"/>
      <x:c r="B1332" s="264"/>
      <x:c r="C1332" s="127"/>
      <x:c r="D1332" s="127"/>
      <x:c r="E1332" s="265"/>
      <x:c r="F1332" s="266"/>
      <x:c r="G1332" s="264"/>
      <x:c r="H1332" s="267"/>
      <x:c r="I1332" s="3"/>
      <x:c r="J1332" s="3"/>
      <x:c r="K1332" s="269"/>
      <x:c r="L1332" s="270"/>
      <x:c r="M1332" s="270"/>
      <x:c r="N1332" s="3"/>
      <x:c r="O1332" s="269"/>
      <x:c r="P1332" s="271"/>
      <x:c r="Q1332" s="272"/>
    </x:row>
    <x:row r="1333" ht="12.75">
      <x:c r="A1333" s="3"/>
      <x:c r="B1333" s="264"/>
      <x:c r="C1333" s="127"/>
      <x:c r="D1333" s="127"/>
      <x:c r="E1333" s="265"/>
      <x:c r="F1333" s="266"/>
      <x:c r="G1333" s="264"/>
      <x:c r="H1333" s="267"/>
      <x:c r="I1333" s="3"/>
      <x:c r="J1333" s="3"/>
      <x:c r="K1333" s="269"/>
      <x:c r="L1333" s="270"/>
      <x:c r="M1333" s="270"/>
      <x:c r="N1333" s="3"/>
      <x:c r="O1333" s="269"/>
      <x:c r="P1333" s="271"/>
      <x:c r="Q1333" s="272"/>
    </x:row>
    <x:row r="1334" ht="12.75">
      <x:c r="A1334" s="3"/>
      <x:c r="B1334" s="264"/>
      <x:c r="C1334" s="127"/>
      <x:c r="D1334" s="127"/>
      <x:c r="E1334" s="265"/>
      <x:c r="F1334" s="266"/>
      <x:c r="G1334" s="264"/>
      <x:c r="H1334" s="267"/>
      <x:c r="I1334" s="3"/>
      <x:c r="J1334" s="3"/>
      <x:c r="K1334" s="269"/>
      <x:c r="L1334" s="270"/>
      <x:c r="M1334" s="270"/>
      <x:c r="N1334" s="3"/>
      <x:c r="O1334" s="269"/>
      <x:c r="P1334" s="271"/>
      <x:c r="Q1334" s="272"/>
    </x:row>
    <x:row r="1335" ht="12.75">
      <x:c r="A1335" s="3"/>
      <x:c r="B1335" s="264"/>
      <x:c r="C1335" s="127"/>
      <x:c r="D1335" s="127"/>
      <x:c r="E1335" s="265"/>
      <x:c r="F1335" s="266"/>
      <x:c r="G1335" s="264"/>
      <x:c r="H1335" s="267"/>
      <x:c r="I1335" s="3"/>
      <x:c r="J1335" s="3"/>
      <x:c r="K1335" s="269"/>
      <x:c r="L1335" s="270"/>
      <x:c r="M1335" s="270"/>
      <x:c r="N1335" s="3"/>
      <x:c r="O1335" s="269"/>
      <x:c r="P1335" s="271"/>
      <x:c r="Q1335" s="272"/>
    </x:row>
    <x:row r="1336" ht="12.75">
      <x:c r="A1336" s="3"/>
      <x:c r="B1336" s="264"/>
      <x:c r="C1336" s="127"/>
      <x:c r="D1336" s="127"/>
      <x:c r="E1336" s="265"/>
      <x:c r="F1336" s="266"/>
      <x:c r="G1336" s="264"/>
      <x:c r="H1336" s="267"/>
      <x:c r="I1336" s="3"/>
      <x:c r="J1336" s="3"/>
      <x:c r="K1336" s="269"/>
      <x:c r="L1336" s="270"/>
      <x:c r="M1336" s="270"/>
      <x:c r="N1336" s="3"/>
      <x:c r="O1336" s="269"/>
      <x:c r="P1336" s="271"/>
      <x:c r="Q1336" s="272"/>
    </x:row>
    <x:row r="1337" ht="12.75">
      <x:c r="A1337" s="3"/>
      <x:c r="B1337" s="264"/>
      <x:c r="C1337" s="127"/>
      <x:c r="D1337" s="127"/>
      <x:c r="E1337" s="265"/>
      <x:c r="F1337" s="266"/>
      <x:c r="G1337" s="264"/>
      <x:c r="H1337" s="267"/>
      <x:c r="I1337" s="3"/>
      <x:c r="J1337" s="3"/>
      <x:c r="K1337" s="269"/>
      <x:c r="L1337" s="270"/>
      <x:c r="M1337" s="270"/>
      <x:c r="N1337" s="3"/>
      <x:c r="O1337" s="269"/>
      <x:c r="P1337" s="271"/>
      <x:c r="Q1337" s="272"/>
    </x:row>
    <x:row r="1338" ht="12.75">
      <x:c r="A1338" s="3"/>
      <x:c r="B1338" s="264"/>
      <x:c r="C1338" s="127"/>
      <x:c r="D1338" s="127"/>
      <x:c r="E1338" s="265"/>
      <x:c r="F1338" s="266"/>
      <x:c r="G1338" s="264"/>
      <x:c r="H1338" s="267"/>
      <x:c r="I1338" s="3"/>
      <x:c r="J1338" s="3"/>
      <x:c r="K1338" s="269"/>
      <x:c r="L1338" s="270"/>
      <x:c r="M1338" s="270"/>
      <x:c r="N1338" s="3"/>
      <x:c r="O1338" s="269"/>
      <x:c r="P1338" s="271"/>
      <x:c r="Q1338" s="272"/>
    </x:row>
    <x:row r="1339" ht="12.75">
      <x:c r="A1339" s="3"/>
      <x:c r="B1339" s="264"/>
      <x:c r="C1339" s="127"/>
      <x:c r="D1339" s="127"/>
      <x:c r="E1339" s="265"/>
      <x:c r="F1339" s="266"/>
      <x:c r="G1339" s="264"/>
      <x:c r="H1339" s="267"/>
      <x:c r="I1339" s="3"/>
      <x:c r="J1339" s="3"/>
      <x:c r="K1339" s="269"/>
      <x:c r="L1339" s="270"/>
      <x:c r="M1339" s="270"/>
      <x:c r="N1339" s="3"/>
      <x:c r="O1339" s="269"/>
      <x:c r="P1339" s="271"/>
      <x:c r="Q1339" s="272"/>
    </x:row>
    <x:row r="1340" ht="12.75">
      <x:c r="A1340" s="3"/>
      <x:c r="B1340" s="264"/>
      <x:c r="C1340" s="127"/>
      <x:c r="D1340" s="127"/>
      <x:c r="E1340" s="265"/>
      <x:c r="F1340" s="266"/>
      <x:c r="G1340" s="264"/>
      <x:c r="H1340" s="267"/>
      <x:c r="I1340" s="3"/>
      <x:c r="J1340" s="3"/>
      <x:c r="K1340" s="269"/>
      <x:c r="L1340" s="270"/>
      <x:c r="M1340" s="270"/>
      <x:c r="N1340" s="3"/>
      <x:c r="O1340" s="269"/>
      <x:c r="P1340" s="271"/>
      <x:c r="Q1340" s="272"/>
    </x:row>
    <x:row r="1341" ht="12.75">
      <x:c r="A1341" s="3"/>
      <x:c r="B1341" s="264"/>
      <x:c r="C1341" s="127"/>
      <x:c r="D1341" s="127"/>
      <x:c r="E1341" s="265"/>
      <x:c r="F1341" s="266"/>
      <x:c r="G1341" s="264"/>
      <x:c r="H1341" s="267"/>
      <x:c r="I1341" s="3"/>
      <x:c r="J1341" s="3"/>
      <x:c r="K1341" s="269"/>
      <x:c r="L1341" s="270"/>
      <x:c r="M1341" s="270"/>
      <x:c r="N1341" s="3"/>
      <x:c r="O1341" s="269"/>
      <x:c r="P1341" s="271"/>
      <x:c r="Q1341" s="272"/>
    </x:row>
    <x:row r="1342" ht="12.75">
      <x:c r="A1342" s="3"/>
      <x:c r="B1342" s="264"/>
      <x:c r="C1342" s="127"/>
      <x:c r="D1342" s="127"/>
      <x:c r="E1342" s="265"/>
      <x:c r="F1342" s="266"/>
      <x:c r="G1342" s="264"/>
      <x:c r="H1342" s="267"/>
      <x:c r="I1342" s="3"/>
      <x:c r="J1342" s="3"/>
      <x:c r="K1342" s="269"/>
      <x:c r="L1342" s="270"/>
      <x:c r="M1342" s="270"/>
      <x:c r="N1342" s="3"/>
      <x:c r="O1342" s="269"/>
      <x:c r="P1342" s="271"/>
      <x:c r="Q1342" s="272"/>
    </x:row>
    <x:row r="1343" ht="12.75">
      <x:c r="A1343" s="3"/>
      <x:c r="B1343" s="264"/>
      <x:c r="C1343" s="127"/>
      <x:c r="D1343" s="127"/>
      <x:c r="E1343" s="265"/>
      <x:c r="F1343" s="266"/>
      <x:c r="G1343" s="264"/>
      <x:c r="H1343" s="267"/>
      <x:c r="I1343" s="3"/>
      <x:c r="J1343" s="3"/>
      <x:c r="K1343" s="269"/>
      <x:c r="L1343" s="270"/>
      <x:c r="M1343" s="270"/>
      <x:c r="N1343" s="3"/>
      <x:c r="O1343" s="269"/>
      <x:c r="P1343" s="271"/>
      <x:c r="Q1343" s="272"/>
    </x:row>
    <x:row r="1344" ht="12.75">
      <x:c r="A1344" s="3"/>
      <x:c r="B1344" s="264"/>
      <x:c r="C1344" s="127"/>
      <x:c r="D1344" s="127"/>
      <x:c r="E1344" s="265"/>
      <x:c r="F1344" s="266"/>
      <x:c r="G1344" s="264"/>
      <x:c r="H1344" s="267"/>
      <x:c r="I1344" s="3"/>
      <x:c r="J1344" s="3"/>
      <x:c r="K1344" s="269"/>
      <x:c r="L1344" s="270"/>
      <x:c r="M1344" s="270"/>
      <x:c r="N1344" s="3"/>
      <x:c r="O1344" s="269"/>
      <x:c r="P1344" s="271"/>
      <x:c r="Q1344" s="272"/>
    </x:row>
    <x:row r="1345" ht="12.75">
      <x:c r="A1345" s="3"/>
      <x:c r="B1345" s="264"/>
      <x:c r="C1345" s="127"/>
      <x:c r="D1345" s="127"/>
      <x:c r="E1345" s="265"/>
      <x:c r="F1345" s="266"/>
      <x:c r="G1345" s="264"/>
      <x:c r="H1345" s="267"/>
      <x:c r="I1345" s="3"/>
      <x:c r="J1345" s="3"/>
      <x:c r="K1345" s="269"/>
      <x:c r="L1345" s="270"/>
      <x:c r="M1345" s="270"/>
      <x:c r="N1345" s="3"/>
      <x:c r="O1345" s="269"/>
      <x:c r="P1345" s="271"/>
      <x:c r="Q1345" s="272"/>
    </x:row>
    <x:row r="1346" ht="12.75">
      <x:c r="A1346" s="3"/>
      <x:c r="B1346" s="264"/>
      <x:c r="C1346" s="127"/>
      <x:c r="D1346" s="127"/>
      <x:c r="E1346" s="265"/>
      <x:c r="F1346" s="266"/>
      <x:c r="G1346" s="264"/>
      <x:c r="H1346" s="267"/>
      <x:c r="I1346" s="3"/>
      <x:c r="J1346" s="3"/>
      <x:c r="K1346" s="269"/>
      <x:c r="L1346" s="270"/>
      <x:c r="M1346" s="270"/>
      <x:c r="N1346" s="3"/>
      <x:c r="O1346" s="269"/>
      <x:c r="P1346" s="271"/>
      <x:c r="Q1346" s="272"/>
    </x:row>
    <x:row r="1347" ht="12.75">
      <x:c r="A1347" s="3"/>
      <x:c r="B1347" s="264"/>
      <x:c r="C1347" s="127"/>
      <x:c r="D1347" s="127"/>
      <x:c r="E1347" s="265"/>
      <x:c r="F1347" s="266"/>
      <x:c r="G1347" s="264"/>
      <x:c r="H1347" s="267"/>
      <x:c r="I1347" s="3"/>
      <x:c r="J1347" s="3"/>
      <x:c r="K1347" s="269"/>
      <x:c r="L1347" s="270"/>
      <x:c r="M1347" s="270"/>
      <x:c r="N1347" s="3"/>
      <x:c r="O1347" s="269"/>
      <x:c r="P1347" s="271"/>
      <x:c r="Q1347" s="272"/>
    </x:row>
    <x:row r="1348" ht="12.75">
      <x:c r="A1348" s="3"/>
      <x:c r="B1348" s="264"/>
      <x:c r="C1348" s="127"/>
      <x:c r="D1348" s="127"/>
      <x:c r="E1348" s="265"/>
      <x:c r="F1348" s="266"/>
      <x:c r="G1348" s="264"/>
      <x:c r="H1348" s="267"/>
      <x:c r="I1348" s="3"/>
      <x:c r="J1348" s="3"/>
      <x:c r="K1348" s="269"/>
      <x:c r="L1348" s="270"/>
      <x:c r="M1348" s="270"/>
      <x:c r="N1348" s="3"/>
      <x:c r="O1348" s="269"/>
      <x:c r="P1348" s="271"/>
      <x:c r="Q1348" s="272"/>
    </x:row>
    <x:row r="1349" ht="12.75">
      <x:c r="A1349" s="3"/>
      <x:c r="B1349" s="264"/>
      <x:c r="C1349" s="127"/>
      <x:c r="D1349" s="127"/>
      <x:c r="E1349" s="265"/>
      <x:c r="F1349" s="266"/>
      <x:c r="G1349" s="264"/>
      <x:c r="H1349" s="267"/>
      <x:c r="I1349" s="3"/>
      <x:c r="J1349" s="3"/>
      <x:c r="K1349" s="269"/>
      <x:c r="L1349" s="270"/>
      <x:c r="M1349" s="270"/>
      <x:c r="N1349" s="3"/>
      <x:c r="O1349" s="269"/>
      <x:c r="P1349" s="271"/>
      <x:c r="Q1349" s="272"/>
    </x:row>
    <x:row r="1350" ht="12.75">
      <x:c r="A1350" s="3"/>
      <x:c r="B1350" s="264"/>
      <x:c r="C1350" s="127"/>
      <x:c r="D1350" s="127"/>
      <x:c r="E1350" s="265"/>
      <x:c r="F1350" s="266"/>
      <x:c r="G1350" s="264"/>
      <x:c r="H1350" s="267"/>
      <x:c r="I1350" s="3"/>
      <x:c r="J1350" s="3"/>
      <x:c r="K1350" s="269"/>
      <x:c r="L1350" s="270"/>
      <x:c r="M1350" s="270"/>
      <x:c r="N1350" s="3"/>
      <x:c r="O1350" s="269"/>
      <x:c r="P1350" s="271"/>
      <x:c r="Q1350" s="272"/>
    </x:row>
    <x:row r="1351" ht="12.75">
      <x:c r="A1351" s="3"/>
      <x:c r="B1351" s="264"/>
      <x:c r="C1351" s="127"/>
      <x:c r="D1351" s="127"/>
      <x:c r="E1351" s="265"/>
      <x:c r="F1351" s="266"/>
      <x:c r="G1351" s="264"/>
      <x:c r="H1351" s="267"/>
      <x:c r="I1351" s="3"/>
      <x:c r="J1351" s="3"/>
      <x:c r="K1351" s="269"/>
      <x:c r="L1351" s="270"/>
      <x:c r="M1351" s="270"/>
      <x:c r="N1351" s="3"/>
      <x:c r="O1351" s="269"/>
      <x:c r="P1351" s="271"/>
      <x:c r="Q1351" s="272"/>
    </x:row>
    <x:row r="1352" ht="12.75">
      <x:c r="A1352" s="3"/>
      <x:c r="B1352" s="264"/>
      <x:c r="C1352" s="127"/>
      <x:c r="D1352" s="127"/>
      <x:c r="E1352" s="265"/>
      <x:c r="F1352" s="266"/>
      <x:c r="G1352" s="264"/>
      <x:c r="H1352" s="267"/>
      <x:c r="I1352" s="3"/>
      <x:c r="J1352" s="3"/>
      <x:c r="K1352" s="269"/>
      <x:c r="L1352" s="270"/>
      <x:c r="M1352" s="270"/>
      <x:c r="N1352" s="3"/>
      <x:c r="O1352" s="269"/>
      <x:c r="P1352" s="271"/>
      <x:c r="Q1352" s="272"/>
    </x:row>
    <x:row r="1353" ht="12.75">
      <x:c r="A1353" s="3"/>
      <x:c r="B1353" s="264"/>
      <x:c r="C1353" s="127"/>
      <x:c r="D1353" s="127"/>
      <x:c r="E1353" s="265"/>
      <x:c r="F1353" s="266"/>
      <x:c r="G1353" s="264"/>
      <x:c r="H1353" s="267"/>
      <x:c r="I1353" s="3"/>
      <x:c r="J1353" s="3"/>
      <x:c r="K1353" s="269"/>
      <x:c r="L1353" s="270"/>
      <x:c r="M1353" s="270"/>
      <x:c r="N1353" s="3"/>
      <x:c r="O1353" s="269"/>
      <x:c r="P1353" s="271"/>
      <x:c r="Q1353" s="272"/>
    </x:row>
    <x:row r="1354" ht="12.75">
      <x:c r="A1354" s="3"/>
      <x:c r="B1354" s="264"/>
      <x:c r="C1354" s="127"/>
      <x:c r="D1354" s="127"/>
      <x:c r="E1354" s="265"/>
      <x:c r="F1354" s="266"/>
      <x:c r="G1354" s="264"/>
      <x:c r="H1354" s="267"/>
      <x:c r="I1354" s="3"/>
      <x:c r="J1354" s="3"/>
      <x:c r="K1354" s="269"/>
      <x:c r="L1354" s="270"/>
      <x:c r="M1354" s="270"/>
      <x:c r="N1354" s="3"/>
      <x:c r="O1354" s="269"/>
      <x:c r="P1354" s="271"/>
      <x:c r="Q1354" s="272"/>
    </x:row>
    <x:row r="1355" ht="12.75">
      <x:c r="A1355" s="3"/>
      <x:c r="B1355" s="264"/>
      <x:c r="C1355" s="127"/>
      <x:c r="D1355" s="127"/>
      <x:c r="E1355" s="265"/>
      <x:c r="F1355" s="266"/>
      <x:c r="G1355" s="264"/>
      <x:c r="H1355" s="267"/>
      <x:c r="I1355" s="3"/>
      <x:c r="J1355" s="3"/>
      <x:c r="K1355" s="269"/>
      <x:c r="L1355" s="270"/>
      <x:c r="M1355" s="270"/>
      <x:c r="N1355" s="3"/>
      <x:c r="O1355" s="269"/>
      <x:c r="P1355" s="271"/>
      <x:c r="Q1355" s="272"/>
    </x:row>
    <x:row r="1356" ht="12.75">
      <x:c r="A1356" s="3"/>
      <x:c r="B1356" s="264"/>
      <x:c r="C1356" s="127"/>
      <x:c r="D1356" s="127"/>
      <x:c r="E1356" s="265"/>
      <x:c r="F1356" s="266"/>
      <x:c r="G1356" s="264"/>
      <x:c r="H1356" s="267"/>
      <x:c r="I1356" s="3"/>
      <x:c r="J1356" s="3"/>
      <x:c r="K1356" s="269"/>
      <x:c r="L1356" s="270"/>
      <x:c r="M1356" s="270"/>
      <x:c r="N1356" s="3"/>
      <x:c r="O1356" s="269"/>
      <x:c r="P1356" s="271"/>
      <x:c r="Q1356" s="272"/>
    </x:row>
    <x:row r="1357" ht="12.75">
      <x:c r="A1357" s="3"/>
      <x:c r="B1357" s="264"/>
      <x:c r="C1357" s="127"/>
      <x:c r="D1357" s="127"/>
      <x:c r="E1357" s="265"/>
      <x:c r="F1357" s="266"/>
      <x:c r="G1357" s="264"/>
      <x:c r="H1357" s="267"/>
      <x:c r="I1357" s="3"/>
      <x:c r="J1357" s="3"/>
      <x:c r="K1357" s="269"/>
      <x:c r="L1357" s="270"/>
      <x:c r="M1357" s="270"/>
      <x:c r="N1357" s="3"/>
      <x:c r="O1357" s="269"/>
      <x:c r="P1357" s="271"/>
      <x:c r="Q1357" s="272"/>
    </x:row>
    <x:row r="1358" ht="12.75">
      <x:c r="A1358" s="3"/>
      <x:c r="B1358" s="264"/>
      <x:c r="C1358" s="127"/>
      <x:c r="D1358" s="127"/>
      <x:c r="E1358" s="265"/>
      <x:c r="F1358" s="266"/>
      <x:c r="G1358" s="264"/>
      <x:c r="H1358" s="267"/>
      <x:c r="I1358" s="3"/>
      <x:c r="J1358" s="3"/>
      <x:c r="K1358" s="269"/>
      <x:c r="L1358" s="270"/>
      <x:c r="M1358" s="270"/>
      <x:c r="N1358" s="3"/>
      <x:c r="O1358" s="269"/>
      <x:c r="P1358" s="271"/>
      <x:c r="Q1358" s="272"/>
    </x:row>
    <x:row r="1359" ht="12.75">
      <x:c r="A1359" s="3"/>
      <x:c r="B1359" s="264"/>
      <x:c r="C1359" s="127"/>
      <x:c r="D1359" s="127"/>
      <x:c r="E1359" s="265"/>
      <x:c r="F1359" s="266"/>
      <x:c r="G1359" s="264"/>
      <x:c r="H1359" s="267"/>
      <x:c r="I1359" s="3"/>
      <x:c r="J1359" s="3"/>
      <x:c r="K1359" s="269"/>
      <x:c r="L1359" s="270"/>
      <x:c r="M1359" s="270"/>
      <x:c r="N1359" s="3"/>
      <x:c r="O1359" s="269"/>
      <x:c r="P1359" s="271"/>
      <x:c r="Q1359" s="272"/>
    </x:row>
    <x:row r="1360" ht="12.75">
      <x:c r="A1360" s="3"/>
      <x:c r="B1360" s="264"/>
      <x:c r="C1360" s="127"/>
      <x:c r="D1360" s="127"/>
      <x:c r="E1360" s="265"/>
      <x:c r="F1360" s="266"/>
      <x:c r="G1360" s="264"/>
      <x:c r="H1360" s="267"/>
      <x:c r="I1360" s="3"/>
      <x:c r="J1360" s="3"/>
      <x:c r="K1360" s="269"/>
      <x:c r="L1360" s="270"/>
      <x:c r="M1360" s="270"/>
      <x:c r="N1360" s="3"/>
      <x:c r="O1360" s="269"/>
      <x:c r="P1360" s="271"/>
      <x:c r="Q1360" s="272"/>
    </x:row>
    <x:row r="1361" ht="12.75">
      <x:c r="A1361" s="3"/>
      <x:c r="B1361" s="264"/>
      <x:c r="C1361" s="127"/>
      <x:c r="D1361" s="127"/>
      <x:c r="E1361" s="265"/>
      <x:c r="F1361" s="266"/>
      <x:c r="G1361" s="264"/>
      <x:c r="H1361" s="267"/>
      <x:c r="I1361" s="3"/>
      <x:c r="J1361" s="3"/>
      <x:c r="K1361" s="269"/>
      <x:c r="L1361" s="270"/>
      <x:c r="M1361" s="270"/>
      <x:c r="N1361" s="3"/>
      <x:c r="O1361" s="269"/>
      <x:c r="P1361" s="271"/>
      <x:c r="Q1361" s="272"/>
    </x:row>
    <x:row r="1362" ht="12.75">
      <x:c r="A1362" s="3"/>
      <x:c r="B1362" s="264"/>
      <x:c r="C1362" s="127"/>
      <x:c r="D1362" s="127"/>
      <x:c r="E1362" s="265"/>
      <x:c r="F1362" s="266"/>
      <x:c r="G1362" s="264"/>
      <x:c r="H1362" s="267"/>
      <x:c r="I1362" s="3"/>
      <x:c r="J1362" s="3"/>
      <x:c r="K1362" s="269"/>
      <x:c r="L1362" s="270"/>
      <x:c r="M1362" s="270"/>
      <x:c r="N1362" s="3"/>
      <x:c r="O1362" s="269"/>
      <x:c r="P1362" s="271"/>
      <x:c r="Q1362" s="272"/>
    </x:row>
    <x:row r="1363" ht="12.75">
      <x:c r="A1363" s="3"/>
      <x:c r="B1363" s="264"/>
      <x:c r="C1363" s="127"/>
      <x:c r="D1363" s="127"/>
      <x:c r="E1363" s="265"/>
      <x:c r="F1363" s="266"/>
      <x:c r="G1363" s="264"/>
      <x:c r="H1363" s="267"/>
      <x:c r="I1363" s="3"/>
      <x:c r="J1363" s="3"/>
      <x:c r="K1363" s="269"/>
      <x:c r="L1363" s="270"/>
      <x:c r="M1363" s="270"/>
      <x:c r="N1363" s="3"/>
      <x:c r="O1363" s="269"/>
      <x:c r="P1363" s="271"/>
      <x:c r="Q1363" s="272"/>
    </x:row>
    <x:row r="1364" ht="12.75">
      <x:c r="A1364" s="3"/>
      <x:c r="B1364" s="264"/>
      <x:c r="C1364" s="127"/>
      <x:c r="D1364" s="127"/>
      <x:c r="E1364" s="265"/>
      <x:c r="F1364" s="266"/>
      <x:c r="G1364" s="264"/>
      <x:c r="H1364" s="267"/>
      <x:c r="I1364" s="3"/>
      <x:c r="J1364" s="3"/>
      <x:c r="K1364" s="269"/>
      <x:c r="L1364" s="270"/>
      <x:c r="M1364" s="270"/>
      <x:c r="N1364" s="3"/>
      <x:c r="O1364" s="269"/>
      <x:c r="P1364" s="271"/>
      <x:c r="Q1364" s="272"/>
    </x:row>
    <x:row r="1365" ht="12.75">
      <x:c r="A1365" s="3"/>
      <x:c r="B1365" s="264"/>
      <x:c r="C1365" s="127"/>
      <x:c r="D1365" s="127"/>
      <x:c r="E1365" s="265"/>
      <x:c r="F1365" s="266"/>
      <x:c r="G1365" s="264"/>
      <x:c r="H1365" s="267"/>
      <x:c r="I1365" s="3"/>
      <x:c r="J1365" s="3"/>
      <x:c r="K1365" s="269"/>
      <x:c r="L1365" s="270"/>
      <x:c r="M1365" s="270"/>
      <x:c r="N1365" s="3"/>
      <x:c r="O1365" s="269"/>
      <x:c r="P1365" s="271"/>
      <x:c r="Q1365" s="272"/>
    </x:row>
    <x:row r="1366" ht="12.75">
      <x:c r="A1366" s="3"/>
      <x:c r="B1366" s="264"/>
      <x:c r="C1366" s="127"/>
      <x:c r="D1366" s="127"/>
      <x:c r="E1366" s="265"/>
      <x:c r="F1366" s="266"/>
      <x:c r="G1366" s="264"/>
      <x:c r="H1366" s="267"/>
      <x:c r="I1366" s="3"/>
      <x:c r="J1366" s="3"/>
      <x:c r="K1366" s="269"/>
      <x:c r="L1366" s="270"/>
      <x:c r="M1366" s="270"/>
      <x:c r="N1366" s="3"/>
      <x:c r="O1366" s="269"/>
      <x:c r="P1366" s="271"/>
      <x:c r="Q1366" s="272"/>
    </x:row>
    <x:row r="1367" ht="12.75">
      <x:c r="A1367" s="3"/>
      <x:c r="B1367" s="264"/>
      <x:c r="C1367" s="127"/>
      <x:c r="D1367" s="127"/>
      <x:c r="E1367" s="265"/>
      <x:c r="F1367" s="266"/>
      <x:c r="G1367" s="264"/>
      <x:c r="H1367" s="267"/>
      <x:c r="I1367" s="3"/>
      <x:c r="J1367" s="3"/>
      <x:c r="K1367" s="269"/>
      <x:c r="L1367" s="270"/>
      <x:c r="M1367" s="270"/>
      <x:c r="N1367" s="3"/>
      <x:c r="O1367" s="269"/>
      <x:c r="P1367" s="271"/>
      <x:c r="Q1367" s="272"/>
    </x:row>
    <x:row r="1368" ht="12.75">
      <x:c r="A1368" s="3"/>
      <x:c r="B1368" s="264"/>
      <x:c r="C1368" s="127"/>
      <x:c r="D1368" s="127"/>
      <x:c r="E1368" s="265"/>
      <x:c r="F1368" s="266"/>
      <x:c r="G1368" s="264"/>
      <x:c r="H1368" s="267"/>
      <x:c r="I1368" s="3"/>
      <x:c r="J1368" s="3"/>
      <x:c r="K1368" s="269"/>
      <x:c r="L1368" s="270"/>
      <x:c r="M1368" s="270"/>
      <x:c r="N1368" s="3"/>
      <x:c r="O1368" s="269"/>
      <x:c r="P1368" s="271"/>
      <x:c r="Q1368" s="272"/>
    </x:row>
    <x:row r="1369" ht="12.75">
      <x:c r="A1369" s="3"/>
      <x:c r="B1369" s="264"/>
      <x:c r="C1369" s="127"/>
      <x:c r="D1369" s="127"/>
      <x:c r="E1369" s="265"/>
      <x:c r="F1369" s="266"/>
      <x:c r="G1369" s="264"/>
      <x:c r="H1369" s="267"/>
      <x:c r="I1369" s="3"/>
      <x:c r="J1369" s="3"/>
      <x:c r="K1369" s="269"/>
      <x:c r="L1369" s="270"/>
      <x:c r="M1369" s="270"/>
      <x:c r="N1369" s="3"/>
      <x:c r="O1369" s="269"/>
      <x:c r="P1369" s="271"/>
      <x:c r="Q1369" s="272"/>
    </x:row>
    <x:row r="1370" ht="12.75">
      <x:c r="A1370" s="3"/>
      <x:c r="B1370" s="264"/>
      <x:c r="C1370" s="127"/>
      <x:c r="D1370" s="127"/>
      <x:c r="E1370" s="265"/>
      <x:c r="F1370" s="266"/>
      <x:c r="G1370" s="264"/>
      <x:c r="H1370" s="267"/>
      <x:c r="I1370" s="3"/>
      <x:c r="J1370" s="3"/>
      <x:c r="K1370" s="269"/>
      <x:c r="L1370" s="270"/>
      <x:c r="M1370" s="270"/>
      <x:c r="N1370" s="3"/>
      <x:c r="O1370" s="269"/>
      <x:c r="P1370" s="271"/>
      <x:c r="Q1370" s="272"/>
    </x:row>
    <x:row r="1371" ht="12.75">
      <x:c r="A1371" s="3"/>
      <x:c r="B1371" s="264"/>
      <x:c r="C1371" s="127"/>
      <x:c r="D1371" s="127"/>
      <x:c r="E1371" s="265"/>
      <x:c r="F1371" s="266"/>
      <x:c r="G1371" s="264"/>
      <x:c r="H1371" s="267"/>
      <x:c r="I1371" s="3"/>
      <x:c r="J1371" s="3"/>
      <x:c r="K1371" s="269"/>
      <x:c r="L1371" s="270"/>
      <x:c r="M1371" s="270"/>
      <x:c r="N1371" s="3"/>
      <x:c r="O1371" s="269"/>
      <x:c r="P1371" s="271"/>
      <x:c r="Q1371" s="272"/>
    </x:row>
    <x:row r="1372" ht="12.75">
      <x:c r="A1372" s="3"/>
      <x:c r="B1372" s="264"/>
      <x:c r="C1372" s="127"/>
      <x:c r="D1372" s="127"/>
      <x:c r="E1372" s="265"/>
      <x:c r="F1372" s="266"/>
      <x:c r="G1372" s="264"/>
      <x:c r="H1372" s="267"/>
      <x:c r="I1372" s="3"/>
      <x:c r="J1372" s="3"/>
      <x:c r="K1372" s="269"/>
      <x:c r="L1372" s="270"/>
      <x:c r="M1372" s="270"/>
      <x:c r="N1372" s="3"/>
      <x:c r="O1372" s="269"/>
      <x:c r="P1372" s="271"/>
      <x:c r="Q1372" s="272"/>
    </x:row>
    <x:row r="1373" ht="12.75">
      <x:c r="A1373" s="3"/>
      <x:c r="B1373" s="264"/>
      <x:c r="C1373" s="127"/>
      <x:c r="D1373" s="127"/>
      <x:c r="E1373" s="265"/>
      <x:c r="F1373" s="266"/>
      <x:c r="G1373" s="264"/>
      <x:c r="H1373" s="267"/>
      <x:c r="I1373" s="3"/>
      <x:c r="J1373" s="3"/>
      <x:c r="K1373" s="269"/>
      <x:c r="L1373" s="270"/>
      <x:c r="M1373" s="270"/>
      <x:c r="N1373" s="3"/>
      <x:c r="O1373" s="269"/>
      <x:c r="P1373" s="271"/>
      <x:c r="Q1373" s="272"/>
    </x:row>
    <x:row r="1374" ht="12.75">
      <x:c r="A1374" s="3"/>
      <x:c r="B1374" s="264"/>
      <x:c r="C1374" s="127"/>
      <x:c r="D1374" s="127"/>
      <x:c r="E1374" s="265"/>
      <x:c r="F1374" s="266"/>
      <x:c r="G1374" s="264"/>
      <x:c r="H1374" s="267"/>
      <x:c r="I1374" s="3"/>
      <x:c r="J1374" s="3"/>
      <x:c r="K1374" s="269"/>
      <x:c r="L1374" s="270"/>
      <x:c r="M1374" s="270"/>
      <x:c r="N1374" s="3"/>
      <x:c r="O1374" s="269"/>
      <x:c r="P1374" s="271"/>
      <x:c r="Q1374" s="272"/>
    </x:row>
    <x:row r="1375" ht="12.75">
      <x:c r="A1375" s="3"/>
      <x:c r="B1375" s="264"/>
      <x:c r="C1375" s="127"/>
      <x:c r="D1375" s="127"/>
      <x:c r="E1375" s="265"/>
      <x:c r="F1375" s="266"/>
      <x:c r="G1375" s="264"/>
      <x:c r="H1375" s="267"/>
      <x:c r="I1375" s="3"/>
      <x:c r="J1375" s="3"/>
      <x:c r="K1375" s="269"/>
      <x:c r="L1375" s="270"/>
      <x:c r="M1375" s="270"/>
      <x:c r="N1375" s="3"/>
      <x:c r="O1375" s="269"/>
      <x:c r="P1375" s="271"/>
      <x:c r="Q1375" s="272"/>
    </x:row>
    <x:row r="1376" ht="12.75">
      <x:c r="A1376" s="3"/>
      <x:c r="B1376" s="264"/>
      <x:c r="C1376" s="127"/>
      <x:c r="D1376" s="127"/>
      <x:c r="E1376" s="265"/>
      <x:c r="F1376" s="266"/>
      <x:c r="G1376" s="264"/>
      <x:c r="H1376" s="267"/>
      <x:c r="I1376" s="3"/>
      <x:c r="J1376" s="3"/>
      <x:c r="K1376" s="269"/>
      <x:c r="L1376" s="270"/>
      <x:c r="M1376" s="270"/>
      <x:c r="N1376" s="3"/>
      <x:c r="O1376" s="269"/>
      <x:c r="P1376" s="271"/>
      <x:c r="Q1376" s="272"/>
    </x:row>
    <x:row r="1377" ht="12.75">
      <x:c r="A1377" s="3"/>
      <x:c r="B1377" s="264"/>
      <x:c r="C1377" s="127"/>
      <x:c r="D1377" s="127"/>
      <x:c r="E1377" s="265"/>
      <x:c r="F1377" s="266"/>
      <x:c r="G1377" s="264"/>
      <x:c r="H1377" s="267"/>
      <x:c r="I1377" s="3"/>
      <x:c r="J1377" s="3"/>
      <x:c r="K1377" s="269"/>
      <x:c r="L1377" s="270"/>
      <x:c r="M1377" s="270"/>
      <x:c r="N1377" s="3"/>
      <x:c r="O1377" s="269"/>
      <x:c r="P1377" s="271"/>
      <x:c r="Q1377" s="272"/>
    </x:row>
    <x:row r="1378" ht="12.75">
      <x:c r="A1378" s="3"/>
      <x:c r="B1378" s="264"/>
      <x:c r="C1378" s="127"/>
      <x:c r="D1378" s="127"/>
      <x:c r="E1378" s="265"/>
      <x:c r="F1378" s="266"/>
      <x:c r="G1378" s="264"/>
      <x:c r="H1378" s="267"/>
      <x:c r="I1378" s="3"/>
      <x:c r="J1378" s="3"/>
      <x:c r="K1378" s="269"/>
      <x:c r="L1378" s="270"/>
      <x:c r="M1378" s="270"/>
      <x:c r="N1378" s="3"/>
      <x:c r="O1378" s="269"/>
      <x:c r="P1378" s="271"/>
      <x:c r="Q1378" s="272"/>
    </x:row>
    <x:row r="1379" ht="12.75">
      <x:c r="A1379" s="3"/>
      <x:c r="B1379" s="264"/>
      <x:c r="C1379" s="127"/>
      <x:c r="D1379" s="127"/>
      <x:c r="E1379" s="265"/>
      <x:c r="F1379" s="266"/>
      <x:c r="G1379" s="264"/>
      <x:c r="H1379" s="267"/>
      <x:c r="I1379" s="3"/>
      <x:c r="J1379" s="3"/>
      <x:c r="K1379" s="269"/>
      <x:c r="L1379" s="270"/>
      <x:c r="M1379" s="270"/>
      <x:c r="N1379" s="3"/>
      <x:c r="O1379" s="269"/>
      <x:c r="P1379" s="271"/>
      <x:c r="Q1379" s="272"/>
    </x:row>
    <x:row r="1380" ht="12.75">
      <x:c r="A1380" s="3"/>
      <x:c r="B1380" s="264"/>
      <x:c r="C1380" s="127"/>
      <x:c r="D1380" s="127"/>
      <x:c r="E1380" s="265"/>
      <x:c r="F1380" s="266"/>
      <x:c r="G1380" s="264"/>
      <x:c r="H1380" s="267"/>
      <x:c r="I1380" s="3"/>
      <x:c r="J1380" s="3"/>
      <x:c r="K1380" s="269"/>
      <x:c r="L1380" s="270"/>
      <x:c r="M1380" s="270"/>
      <x:c r="N1380" s="3"/>
      <x:c r="O1380" s="269"/>
      <x:c r="P1380" s="271"/>
      <x:c r="Q1380" s="272"/>
    </x:row>
    <x:row r="1381" ht="12.75">
      <x:c r="A1381" s="3"/>
      <x:c r="B1381" s="264"/>
      <x:c r="C1381" s="127"/>
      <x:c r="D1381" s="127"/>
      <x:c r="E1381" s="265"/>
      <x:c r="F1381" s="266"/>
      <x:c r="G1381" s="264"/>
      <x:c r="H1381" s="267"/>
      <x:c r="I1381" s="3"/>
      <x:c r="J1381" s="3"/>
      <x:c r="K1381" s="269"/>
      <x:c r="L1381" s="270"/>
      <x:c r="M1381" s="270"/>
      <x:c r="N1381" s="3"/>
      <x:c r="O1381" s="269"/>
      <x:c r="P1381" s="271"/>
      <x:c r="Q1381" s="272"/>
    </x:row>
    <x:row r="1382" ht="12.75">
      <x:c r="A1382" s="3"/>
      <x:c r="B1382" s="264"/>
      <x:c r="C1382" s="127"/>
      <x:c r="D1382" s="127"/>
      <x:c r="E1382" s="265"/>
      <x:c r="F1382" s="266"/>
      <x:c r="G1382" s="264"/>
      <x:c r="H1382" s="267"/>
      <x:c r="I1382" s="3"/>
      <x:c r="J1382" s="3"/>
      <x:c r="K1382" s="269"/>
      <x:c r="L1382" s="270"/>
      <x:c r="M1382" s="270"/>
      <x:c r="N1382" s="3"/>
      <x:c r="O1382" s="269"/>
      <x:c r="P1382" s="271"/>
      <x:c r="Q1382" s="272"/>
    </x:row>
    <x:row r="1383" ht="12.75">
      <x:c r="A1383" s="3"/>
      <x:c r="B1383" s="264"/>
      <x:c r="C1383" s="127"/>
      <x:c r="D1383" s="127"/>
      <x:c r="E1383" s="265"/>
      <x:c r="F1383" s="266"/>
      <x:c r="G1383" s="264"/>
      <x:c r="H1383" s="267"/>
      <x:c r="I1383" s="3"/>
      <x:c r="J1383" s="3"/>
      <x:c r="K1383" s="269"/>
      <x:c r="L1383" s="270"/>
      <x:c r="M1383" s="270"/>
      <x:c r="N1383" s="3"/>
      <x:c r="O1383" s="269"/>
      <x:c r="P1383" s="271"/>
      <x:c r="Q1383" s="272"/>
    </x:row>
    <x:row r="1384" ht="12.75">
      <x:c r="A1384" s="3"/>
      <x:c r="B1384" s="264"/>
      <x:c r="C1384" s="127"/>
      <x:c r="D1384" s="127"/>
      <x:c r="E1384" s="265"/>
      <x:c r="F1384" s="266"/>
      <x:c r="G1384" s="264"/>
      <x:c r="H1384" s="267"/>
      <x:c r="I1384" s="3"/>
      <x:c r="J1384" s="3"/>
      <x:c r="K1384" s="269"/>
      <x:c r="L1384" s="270"/>
      <x:c r="M1384" s="270"/>
      <x:c r="N1384" s="3"/>
      <x:c r="O1384" s="269"/>
      <x:c r="P1384" s="271"/>
      <x:c r="Q1384" s="272"/>
    </x:row>
    <x:row r="1385" ht="12.75">
      <x:c r="A1385" s="3"/>
      <x:c r="B1385" s="264"/>
      <x:c r="C1385" s="127"/>
      <x:c r="D1385" s="127"/>
      <x:c r="E1385" s="265"/>
      <x:c r="F1385" s="266"/>
      <x:c r="G1385" s="264"/>
      <x:c r="H1385" s="267"/>
      <x:c r="I1385" s="3"/>
      <x:c r="J1385" s="3"/>
      <x:c r="K1385" s="269"/>
      <x:c r="L1385" s="270"/>
      <x:c r="M1385" s="270"/>
      <x:c r="N1385" s="3"/>
      <x:c r="O1385" s="269"/>
      <x:c r="P1385" s="271"/>
      <x:c r="Q1385" s="272"/>
    </x:row>
    <x:row r="1386" ht="12.75">
      <x:c r="A1386" s="3"/>
      <x:c r="B1386" s="264"/>
      <x:c r="C1386" s="127"/>
      <x:c r="D1386" s="127"/>
      <x:c r="E1386" s="265"/>
      <x:c r="F1386" s="266"/>
      <x:c r="G1386" s="264"/>
      <x:c r="H1386" s="267"/>
      <x:c r="I1386" s="3"/>
      <x:c r="J1386" s="3"/>
      <x:c r="K1386" s="269"/>
      <x:c r="L1386" s="270"/>
      <x:c r="M1386" s="270"/>
      <x:c r="N1386" s="3"/>
      <x:c r="O1386" s="269"/>
      <x:c r="P1386" s="271"/>
      <x:c r="Q1386" s="272"/>
    </x:row>
    <x:row r="1387" ht="12.75">
      <x:c r="A1387" s="3"/>
      <x:c r="B1387" s="264"/>
      <x:c r="C1387" s="127"/>
      <x:c r="D1387" s="127"/>
      <x:c r="E1387" s="265"/>
      <x:c r="F1387" s="266"/>
      <x:c r="G1387" s="264"/>
      <x:c r="H1387" s="267"/>
      <x:c r="I1387" s="3"/>
      <x:c r="J1387" s="3"/>
      <x:c r="K1387" s="269"/>
      <x:c r="L1387" s="270"/>
      <x:c r="M1387" s="270"/>
      <x:c r="N1387" s="3"/>
      <x:c r="O1387" s="269"/>
      <x:c r="P1387" s="271"/>
      <x:c r="Q1387" s="272"/>
    </x:row>
    <x:row r="1388" ht="12.75">
      <x:c r="A1388" s="3"/>
      <x:c r="B1388" s="264"/>
      <x:c r="C1388" s="127"/>
      <x:c r="D1388" s="127"/>
      <x:c r="E1388" s="265"/>
      <x:c r="F1388" s="266"/>
      <x:c r="G1388" s="264"/>
      <x:c r="H1388" s="267"/>
      <x:c r="I1388" s="3"/>
      <x:c r="J1388" s="3"/>
      <x:c r="K1388" s="269"/>
      <x:c r="L1388" s="270"/>
      <x:c r="M1388" s="270"/>
      <x:c r="N1388" s="3"/>
      <x:c r="O1388" s="269"/>
      <x:c r="P1388" s="271"/>
      <x:c r="Q1388" s="272"/>
    </x:row>
    <x:row r="1389" ht="12.75">
      <x:c r="A1389" s="3"/>
      <x:c r="B1389" s="264"/>
      <x:c r="C1389" s="127"/>
      <x:c r="D1389" s="127"/>
      <x:c r="E1389" s="265"/>
      <x:c r="F1389" s="266"/>
      <x:c r="G1389" s="264"/>
      <x:c r="H1389" s="267"/>
      <x:c r="I1389" s="3"/>
      <x:c r="J1389" s="3"/>
      <x:c r="K1389" s="269"/>
      <x:c r="L1389" s="270"/>
      <x:c r="M1389" s="270"/>
      <x:c r="N1389" s="3"/>
      <x:c r="O1389" s="269"/>
      <x:c r="P1389" s="271"/>
      <x:c r="Q1389" s="272"/>
    </x:row>
    <x:row r="1390" ht="12.75">
      <x:c r="A1390" s="3"/>
      <x:c r="B1390" s="264"/>
      <x:c r="C1390" s="127"/>
      <x:c r="D1390" s="127"/>
      <x:c r="E1390" s="265"/>
      <x:c r="F1390" s="266"/>
      <x:c r="G1390" s="264"/>
      <x:c r="H1390" s="267"/>
      <x:c r="I1390" s="3"/>
      <x:c r="J1390" s="3"/>
      <x:c r="K1390" s="269"/>
      <x:c r="L1390" s="270"/>
      <x:c r="M1390" s="270"/>
      <x:c r="N1390" s="3"/>
      <x:c r="O1390" s="269"/>
      <x:c r="P1390" s="271"/>
      <x:c r="Q1390" s="272"/>
    </x:row>
    <x:row r="1391" ht="12.75">
      <x:c r="A1391" s="3"/>
      <x:c r="B1391" s="264"/>
      <x:c r="C1391" s="127"/>
      <x:c r="D1391" s="127"/>
      <x:c r="E1391" s="265"/>
      <x:c r="F1391" s="266"/>
      <x:c r="G1391" s="264"/>
      <x:c r="H1391" s="267"/>
      <x:c r="I1391" s="3"/>
      <x:c r="J1391" s="3"/>
      <x:c r="K1391" s="269"/>
      <x:c r="L1391" s="270"/>
      <x:c r="M1391" s="270"/>
      <x:c r="N1391" s="3"/>
      <x:c r="O1391" s="269"/>
      <x:c r="P1391" s="271"/>
      <x:c r="Q1391" s="272"/>
    </x:row>
    <x:row r="1392" ht="12.75">
      <x:c r="A1392" s="3"/>
      <x:c r="B1392" s="264"/>
      <x:c r="C1392" s="127"/>
      <x:c r="D1392" s="127"/>
      <x:c r="E1392" s="265"/>
      <x:c r="F1392" s="266"/>
      <x:c r="G1392" s="264"/>
      <x:c r="H1392" s="267"/>
      <x:c r="I1392" s="3"/>
      <x:c r="J1392" s="3"/>
      <x:c r="K1392" s="269"/>
      <x:c r="L1392" s="270"/>
      <x:c r="M1392" s="270"/>
      <x:c r="N1392" s="3"/>
      <x:c r="O1392" s="269"/>
      <x:c r="P1392" s="271"/>
      <x:c r="Q1392" s="272"/>
    </x:row>
    <x:row r="1393" ht="12.75">
      <x:c r="A1393" s="3"/>
      <x:c r="B1393" s="264"/>
      <x:c r="C1393" s="127"/>
      <x:c r="D1393" s="127"/>
      <x:c r="E1393" s="265"/>
      <x:c r="F1393" s="266"/>
      <x:c r="G1393" s="264"/>
      <x:c r="H1393" s="267"/>
      <x:c r="I1393" s="3"/>
      <x:c r="J1393" s="3"/>
      <x:c r="K1393" s="269"/>
      <x:c r="L1393" s="270"/>
      <x:c r="M1393" s="270"/>
      <x:c r="N1393" s="3"/>
      <x:c r="O1393" s="269"/>
      <x:c r="P1393" s="271"/>
      <x:c r="Q1393" s="272"/>
    </x:row>
    <x:row r="1394" ht="12.75">
      <x:c r="A1394" s="3"/>
      <x:c r="B1394" s="264"/>
      <x:c r="C1394" s="127"/>
      <x:c r="D1394" s="127"/>
      <x:c r="E1394" s="265"/>
      <x:c r="F1394" s="266"/>
      <x:c r="G1394" s="264"/>
      <x:c r="H1394" s="267"/>
      <x:c r="I1394" s="3"/>
      <x:c r="J1394" s="3"/>
      <x:c r="K1394" s="269"/>
      <x:c r="L1394" s="270"/>
      <x:c r="M1394" s="270"/>
      <x:c r="N1394" s="3"/>
      <x:c r="O1394" s="269"/>
      <x:c r="P1394" s="271"/>
      <x:c r="Q1394" s="272"/>
    </x:row>
    <x:row r="1395" ht="12.75">
      <x:c r="A1395" s="3"/>
      <x:c r="B1395" s="264"/>
      <x:c r="C1395" s="127"/>
      <x:c r="D1395" s="127"/>
      <x:c r="E1395" s="265"/>
      <x:c r="F1395" s="266"/>
      <x:c r="G1395" s="264"/>
      <x:c r="H1395" s="267"/>
      <x:c r="I1395" s="3"/>
      <x:c r="J1395" s="3"/>
      <x:c r="K1395" s="269"/>
      <x:c r="L1395" s="270"/>
      <x:c r="M1395" s="270"/>
      <x:c r="N1395" s="3"/>
      <x:c r="O1395" s="269"/>
      <x:c r="P1395" s="271"/>
      <x:c r="Q1395" s="272"/>
    </x:row>
    <x:row r="1396" ht="12.75">
      <x:c r="A1396" s="3"/>
      <x:c r="B1396" s="264"/>
      <x:c r="C1396" s="127"/>
      <x:c r="D1396" s="127"/>
      <x:c r="E1396" s="265"/>
      <x:c r="F1396" s="266"/>
      <x:c r="G1396" s="264"/>
      <x:c r="H1396" s="267"/>
      <x:c r="I1396" s="3"/>
      <x:c r="J1396" s="3"/>
      <x:c r="K1396" s="269"/>
      <x:c r="L1396" s="270"/>
      <x:c r="M1396" s="270"/>
      <x:c r="N1396" s="3"/>
      <x:c r="O1396" s="269"/>
      <x:c r="P1396" s="271"/>
      <x:c r="Q1396" s="272"/>
    </x:row>
    <x:row r="1397" ht="12.75">
      <x:c r="A1397" s="3"/>
      <x:c r="B1397" s="264"/>
      <x:c r="C1397" s="127"/>
      <x:c r="D1397" s="127"/>
      <x:c r="E1397" s="265"/>
      <x:c r="F1397" s="266"/>
      <x:c r="G1397" s="264"/>
      <x:c r="H1397" s="267"/>
      <x:c r="I1397" s="3"/>
      <x:c r="J1397" s="3"/>
      <x:c r="K1397" s="269"/>
      <x:c r="L1397" s="270"/>
      <x:c r="M1397" s="270"/>
      <x:c r="N1397" s="3"/>
      <x:c r="O1397" s="269"/>
      <x:c r="P1397" s="271"/>
      <x:c r="Q1397" s="272"/>
    </x:row>
    <x:row r="1398" ht="12.75">
      <x:c r="A1398" s="3"/>
      <x:c r="B1398" s="264"/>
      <x:c r="C1398" s="127"/>
      <x:c r="D1398" s="127"/>
      <x:c r="E1398" s="265"/>
      <x:c r="F1398" s="266"/>
      <x:c r="G1398" s="264"/>
      <x:c r="H1398" s="267"/>
      <x:c r="I1398" s="3"/>
      <x:c r="J1398" s="3"/>
      <x:c r="K1398" s="269"/>
      <x:c r="L1398" s="270"/>
      <x:c r="M1398" s="270"/>
      <x:c r="N1398" s="3"/>
      <x:c r="O1398" s="269"/>
      <x:c r="P1398" s="271"/>
      <x:c r="Q1398" s="272"/>
    </x:row>
    <x:row r="1399" ht="12.75">
      <x:c r="A1399" s="3"/>
      <x:c r="B1399" s="264"/>
      <x:c r="C1399" s="127"/>
      <x:c r="D1399" s="127"/>
      <x:c r="E1399" s="265"/>
      <x:c r="F1399" s="266"/>
      <x:c r="G1399" s="264"/>
      <x:c r="H1399" s="267"/>
      <x:c r="I1399" s="3"/>
      <x:c r="J1399" s="3"/>
      <x:c r="K1399" s="269"/>
      <x:c r="L1399" s="270"/>
      <x:c r="M1399" s="270"/>
      <x:c r="N1399" s="3"/>
      <x:c r="O1399" s="269"/>
      <x:c r="P1399" s="271"/>
      <x:c r="Q1399" s="272"/>
    </x:row>
    <x:row r="1400" ht="12.75">
      <x:c r="A1400" s="3"/>
      <x:c r="B1400" s="264"/>
      <x:c r="C1400" s="127"/>
      <x:c r="D1400" s="127"/>
      <x:c r="E1400" s="265"/>
      <x:c r="F1400" s="266"/>
      <x:c r="G1400" s="264"/>
      <x:c r="H1400" s="267"/>
      <x:c r="I1400" s="3"/>
      <x:c r="J1400" s="3"/>
      <x:c r="K1400" s="269"/>
      <x:c r="L1400" s="270"/>
      <x:c r="M1400" s="270"/>
      <x:c r="N1400" s="3"/>
      <x:c r="O1400" s="269"/>
      <x:c r="P1400" s="271"/>
      <x:c r="Q1400" s="272"/>
    </x:row>
    <x:row r="1401" ht="12.75">
      <x:c r="A1401" s="3"/>
      <x:c r="B1401" s="264"/>
      <x:c r="C1401" s="127"/>
      <x:c r="D1401" s="127"/>
      <x:c r="E1401" s="265"/>
      <x:c r="F1401" s="266"/>
      <x:c r="G1401" s="264"/>
      <x:c r="H1401" s="267"/>
      <x:c r="I1401" s="3"/>
      <x:c r="J1401" s="3"/>
      <x:c r="K1401" s="269"/>
      <x:c r="L1401" s="270"/>
      <x:c r="M1401" s="270"/>
      <x:c r="N1401" s="3"/>
      <x:c r="O1401" s="269"/>
      <x:c r="P1401" s="271"/>
      <x:c r="Q1401" s="272"/>
    </x:row>
    <x:row r="1402" ht="12.75">
      <x:c r="A1402" s="3"/>
      <x:c r="B1402" s="264"/>
      <x:c r="C1402" s="127"/>
      <x:c r="D1402" s="127"/>
      <x:c r="E1402" s="265"/>
      <x:c r="F1402" s="266"/>
      <x:c r="G1402" s="264"/>
      <x:c r="H1402" s="267"/>
      <x:c r="I1402" s="3"/>
      <x:c r="J1402" s="3"/>
      <x:c r="K1402" s="269"/>
      <x:c r="L1402" s="270"/>
      <x:c r="M1402" s="270"/>
      <x:c r="N1402" s="3"/>
      <x:c r="O1402" s="269"/>
      <x:c r="P1402" s="271"/>
      <x:c r="Q1402" s="272"/>
    </x:row>
    <x:row r="1403" ht="12.75">
      <x:c r="A1403" s="3"/>
      <x:c r="B1403" s="264"/>
      <x:c r="C1403" s="127"/>
      <x:c r="D1403" s="127"/>
      <x:c r="E1403" s="265"/>
      <x:c r="F1403" s="266"/>
      <x:c r="G1403" s="264"/>
      <x:c r="H1403" s="267"/>
      <x:c r="I1403" s="3"/>
      <x:c r="J1403" s="3"/>
      <x:c r="K1403" s="269"/>
      <x:c r="L1403" s="270"/>
      <x:c r="M1403" s="270"/>
      <x:c r="N1403" s="3"/>
      <x:c r="O1403" s="269"/>
      <x:c r="P1403" s="271"/>
      <x:c r="Q1403" s="272"/>
    </x:row>
    <x:row r="1404" ht="12.75">
      <x:c r="A1404" s="3"/>
      <x:c r="B1404" s="264"/>
      <x:c r="C1404" s="127"/>
      <x:c r="D1404" s="127"/>
      <x:c r="E1404" s="265"/>
      <x:c r="F1404" s="266"/>
      <x:c r="G1404" s="264"/>
      <x:c r="H1404" s="267"/>
      <x:c r="I1404" s="3"/>
      <x:c r="J1404" s="3"/>
      <x:c r="K1404" s="269"/>
      <x:c r="L1404" s="270"/>
      <x:c r="M1404" s="270"/>
      <x:c r="N1404" s="3"/>
      <x:c r="O1404" s="269"/>
      <x:c r="P1404" s="271"/>
      <x:c r="Q1404" s="272"/>
    </x:row>
    <x:row r="1405" ht="12.75">
      <x:c r="A1405" s="3"/>
      <x:c r="B1405" s="264"/>
      <x:c r="C1405" s="127"/>
      <x:c r="D1405" s="127"/>
      <x:c r="E1405" s="265"/>
      <x:c r="F1405" s="266"/>
      <x:c r="G1405" s="264"/>
      <x:c r="H1405" s="267"/>
      <x:c r="I1405" s="3"/>
      <x:c r="J1405" s="3"/>
      <x:c r="K1405" s="269"/>
      <x:c r="L1405" s="270"/>
      <x:c r="M1405" s="270"/>
      <x:c r="N1405" s="3"/>
      <x:c r="O1405" s="269"/>
      <x:c r="P1405" s="271"/>
      <x:c r="Q1405" s="272"/>
    </x:row>
    <x:row r="1406" ht="12.75">
      <x:c r="A1406" s="3"/>
      <x:c r="B1406" s="264"/>
      <x:c r="C1406" s="127"/>
      <x:c r="D1406" s="127"/>
      <x:c r="E1406" s="265"/>
      <x:c r="F1406" s="266"/>
      <x:c r="G1406" s="264"/>
      <x:c r="H1406" s="267"/>
      <x:c r="I1406" s="3"/>
      <x:c r="J1406" s="3"/>
      <x:c r="K1406" s="269"/>
      <x:c r="L1406" s="270"/>
      <x:c r="M1406" s="270"/>
      <x:c r="N1406" s="3"/>
      <x:c r="O1406" s="269"/>
      <x:c r="P1406" s="271"/>
      <x:c r="Q1406" s="272"/>
    </x:row>
    <x:row r="1407" ht="12.75">
      <x:c r="A1407" s="3"/>
      <x:c r="B1407" s="264"/>
      <x:c r="C1407" s="127"/>
      <x:c r="D1407" s="127"/>
      <x:c r="E1407" s="265"/>
      <x:c r="F1407" s="266"/>
      <x:c r="G1407" s="264"/>
      <x:c r="H1407" s="267"/>
      <x:c r="I1407" s="3"/>
      <x:c r="J1407" s="3"/>
      <x:c r="K1407" s="269"/>
      <x:c r="L1407" s="270"/>
      <x:c r="M1407" s="270"/>
      <x:c r="N1407" s="3"/>
      <x:c r="O1407" s="269"/>
      <x:c r="P1407" s="271"/>
      <x:c r="Q1407" s="272"/>
    </x:row>
    <x:row r="1408" ht="12.75">
      <x:c r="A1408" s="3"/>
      <x:c r="B1408" s="264"/>
      <x:c r="C1408" s="127"/>
      <x:c r="D1408" s="127"/>
      <x:c r="E1408" s="265"/>
      <x:c r="F1408" s="266"/>
      <x:c r="G1408" s="264"/>
      <x:c r="H1408" s="267"/>
      <x:c r="I1408" s="3"/>
      <x:c r="J1408" s="3"/>
      <x:c r="K1408" s="269"/>
      <x:c r="L1408" s="270"/>
      <x:c r="M1408" s="270"/>
      <x:c r="N1408" s="3"/>
      <x:c r="O1408" s="269"/>
      <x:c r="P1408" s="271"/>
      <x:c r="Q1408" s="272"/>
    </x:row>
    <x:row r="1409" ht="12.75">
      <x:c r="A1409" s="3"/>
      <x:c r="B1409" s="264"/>
      <x:c r="C1409" s="127"/>
      <x:c r="D1409" s="127"/>
      <x:c r="E1409" s="265"/>
      <x:c r="F1409" s="266"/>
      <x:c r="G1409" s="264"/>
      <x:c r="H1409" s="267"/>
      <x:c r="I1409" s="3"/>
      <x:c r="J1409" s="3"/>
      <x:c r="K1409" s="269"/>
      <x:c r="L1409" s="270"/>
      <x:c r="M1409" s="270"/>
      <x:c r="N1409" s="3"/>
      <x:c r="O1409" s="269"/>
      <x:c r="P1409" s="271"/>
      <x:c r="Q1409" s="272"/>
    </x:row>
    <x:row r="1410" ht="12.75">
      <x:c r="A1410" s="3"/>
      <x:c r="B1410" s="264"/>
      <x:c r="C1410" s="127"/>
      <x:c r="D1410" s="127"/>
      <x:c r="E1410" s="265"/>
      <x:c r="F1410" s="266"/>
      <x:c r="G1410" s="264"/>
      <x:c r="H1410" s="267"/>
      <x:c r="I1410" s="3"/>
      <x:c r="J1410" s="3"/>
      <x:c r="K1410" s="269"/>
      <x:c r="L1410" s="270"/>
      <x:c r="M1410" s="270"/>
      <x:c r="N1410" s="3"/>
      <x:c r="O1410" s="269"/>
      <x:c r="P1410" s="271"/>
      <x:c r="Q1410" s="272"/>
    </x:row>
    <x:row r="1411" ht="12.75">
      <x:c r="A1411" s="3"/>
      <x:c r="B1411" s="264"/>
      <x:c r="C1411" s="127"/>
      <x:c r="D1411" s="127"/>
      <x:c r="E1411" s="265"/>
      <x:c r="F1411" s="266"/>
      <x:c r="G1411" s="264"/>
      <x:c r="H1411" s="267"/>
      <x:c r="I1411" s="3"/>
      <x:c r="J1411" s="3"/>
      <x:c r="K1411" s="269"/>
      <x:c r="L1411" s="270"/>
      <x:c r="M1411" s="270"/>
      <x:c r="N1411" s="3"/>
      <x:c r="O1411" s="269"/>
      <x:c r="P1411" s="271"/>
      <x:c r="Q1411" s="272"/>
    </x:row>
    <x:row r="1412" ht="12.75">
      <x:c r="A1412" s="3"/>
      <x:c r="B1412" s="264"/>
      <x:c r="C1412" s="127"/>
      <x:c r="D1412" s="127"/>
      <x:c r="E1412" s="265"/>
      <x:c r="F1412" s="266"/>
      <x:c r="G1412" s="264"/>
      <x:c r="H1412" s="267"/>
      <x:c r="I1412" s="3"/>
      <x:c r="J1412" s="3"/>
      <x:c r="K1412" s="269"/>
      <x:c r="L1412" s="270"/>
      <x:c r="M1412" s="270"/>
      <x:c r="N1412" s="3"/>
      <x:c r="O1412" s="269"/>
      <x:c r="P1412" s="271"/>
      <x:c r="Q1412" s="272"/>
    </x:row>
    <x:row r="1413" ht="12.75">
      <x:c r="A1413" s="3"/>
      <x:c r="B1413" s="264"/>
      <x:c r="C1413" s="127"/>
      <x:c r="D1413" s="127"/>
      <x:c r="E1413" s="265"/>
      <x:c r="F1413" s="266"/>
      <x:c r="G1413" s="264"/>
      <x:c r="H1413" s="267"/>
      <x:c r="I1413" s="3"/>
      <x:c r="J1413" s="3"/>
      <x:c r="K1413" s="269"/>
      <x:c r="L1413" s="270"/>
      <x:c r="M1413" s="270"/>
      <x:c r="N1413" s="3"/>
      <x:c r="O1413" s="269"/>
      <x:c r="P1413" s="271"/>
      <x:c r="Q1413" s="272"/>
    </x:row>
    <x:row r="1414" ht="12.75">
      <x:c r="A1414" s="3"/>
      <x:c r="B1414" s="264"/>
      <x:c r="C1414" s="127"/>
      <x:c r="D1414" s="127"/>
      <x:c r="E1414" s="265"/>
      <x:c r="F1414" s="266"/>
      <x:c r="G1414" s="264"/>
      <x:c r="H1414" s="267"/>
      <x:c r="I1414" s="3"/>
      <x:c r="J1414" s="3"/>
      <x:c r="K1414" s="269"/>
      <x:c r="L1414" s="270"/>
      <x:c r="M1414" s="270"/>
      <x:c r="N1414" s="3"/>
      <x:c r="O1414" s="269"/>
      <x:c r="P1414" s="271"/>
      <x:c r="Q1414" s="272"/>
    </x:row>
    <x:row r="1415" ht="12.75">
      <x:c r="A1415" s="3"/>
      <x:c r="B1415" s="264"/>
      <x:c r="C1415" s="127"/>
      <x:c r="D1415" s="127"/>
      <x:c r="E1415" s="265"/>
      <x:c r="F1415" s="266"/>
      <x:c r="G1415" s="264"/>
      <x:c r="H1415" s="267"/>
      <x:c r="I1415" s="3"/>
      <x:c r="J1415" s="3"/>
      <x:c r="K1415" s="269"/>
      <x:c r="L1415" s="270"/>
      <x:c r="M1415" s="270"/>
      <x:c r="N1415" s="3"/>
      <x:c r="O1415" s="269"/>
      <x:c r="P1415" s="271"/>
      <x:c r="Q1415" s="272"/>
    </x:row>
    <x:row r="1416" ht="12.75">
      <x:c r="A1416" s="3"/>
      <x:c r="B1416" s="264"/>
      <x:c r="C1416" s="127"/>
      <x:c r="D1416" s="127"/>
      <x:c r="E1416" s="265"/>
      <x:c r="F1416" s="266"/>
      <x:c r="G1416" s="264"/>
      <x:c r="H1416" s="267"/>
      <x:c r="I1416" s="3"/>
      <x:c r="J1416" s="3"/>
      <x:c r="K1416" s="269"/>
      <x:c r="L1416" s="270"/>
      <x:c r="M1416" s="270"/>
      <x:c r="N1416" s="3"/>
      <x:c r="O1416" s="269"/>
      <x:c r="P1416" s="271"/>
      <x:c r="Q1416" s="272"/>
    </x:row>
    <x:row r="1417" ht="12.75">
      <x:c r="A1417" s="3"/>
      <x:c r="B1417" s="264"/>
      <x:c r="C1417" s="127"/>
      <x:c r="D1417" s="127"/>
      <x:c r="E1417" s="265"/>
      <x:c r="F1417" s="266"/>
      <x:c r="G1417" s="264"/>
      <x:c r="H1417" s="267"/>
      <x:c r="I1417" s="3"/>
      <x:c r="J1417" s="3"/>
      <x:c r="K1417" s="269"/>
      <x:c r="L1417" s="270"/>
      <x:c r="M1417" s="270"/>
      <x:c r="N1417" s="3"/>
      <x:c r="O1417" s="269"/>
      <x:c r="P1417" s="271"/>
      <x:c r="Q1417" s="272"/>
    </x:row>
    <x:row r="1418" ht="12.75">
      <x:c r="A1418" s="3"/>
      <x:c r="B1418" s="264"/>
      <x:c r="C1418" s="127"/>
      <x:c r="D1418" s="127"/>
      <x:c r="E1418" s="265"/>
      <x:c r="F1418" s="266"/>
      <x:c r="G1418" s="264"/>
      <x:c r="H1418" s="267"/>
      <x:c r="I1418" s="3"/>
      <x:c r="J1418" s="3"/>
      <x:c r="K1418" s="269"/>
      <x:c r="L1418" s="270"/>
      <x:c r="M1418" s="270"/>
      <x:c r="N1418" s="3"/>
      <x:c r="O1418" s="269"/>
      <x:c r="P1418" s="271"/>
      <x:c r="Q1418" s="272"/>
    </x:row>
    <x:row r="1419" ht="12.75">
      <x:c r="A1419" s="3"/>
      <x:c r="B1419" s="264"/>
      <x:c r="C1419" s="127"/>
      <x:c r="D1419" s="127"/>
      <x:c r="E1419" s="265"/>
      <x:c r="F1419" s="266"/>
      <x:c r="G1419" s="264"/>
      <x:c r="H1419" s="267"/>
      <x:c r="I1419" s="3"/>
      <x:c r="J1419" s="3"/>
      <x:c r="K1419" s="269"/>
      <x:c r="L1419" s="270"/>
      <x:c r="M1419" s="270"/>
      <x:c r="N1419" s="3"/>
      <x:c r="O1419" s="269"/>
      <x:c r="P1419" s="271"/>
      <x:c r="Q1419" s="272"/>
    </x:row>
    <x:row r="1420" ht="12.75">
      <x:c r="A1420" s="3"/>
      <x:c r="B1420" s="264"/>
      <x:c r="C1420" s="127"/>
      <x:c r="D1420" s="127"/>
      <x:c r="E1420" s="265"/>
      <x:c r="F1420" s="266"/>
      <x:c r="G1420" s="264"/>
      <x:c r="H1420" s="267"/>
      <x:c r="I1420" s="3"/>
      <x:c r="J1420" s="3"/>
      <x:c r="K1420" s="269"/>
      <x:c r="L1420" s="270"/>
      <x:c r="M1420" s="270"/>
      <x:c r="N1420" s="3"/>
      <x:c r="O1420" s="269"/>
      <x:c r="P1420" s="271"/>
      <x:c r="Q1420" s="272"/>
    </x:row>
    <x:row r="1421" ht="12.75">
      <x:c r="A1421" s="3"/>
      <x:c r="B1421" s="264"/>
      <x:c r="C1421" s="127"/>
      <x:c r="D1421" s="127"/>
      <x:c r="E1421" s="265"/>
      <x:c r="F1421" s="266"/>
      <x:c r="G1421" s="264"/>
      <x:c r="H1421" s="267"/>
      <x:c r="I1421" s="3"/>
      <x:c r="J1421" s="3"/>
      <x:c r="K1421" s="269"/>
      <x:c r="L1421" s="270"/>
      <x:c r="M1421" s="270"/>
      <x:c r="N1421" s="3"/>
      <x:c r="O1421" s="269"/>
      <x:c r="P1421" s="271"/>
      <x:c r="Q1421" s="272"/>
    </x:row>
    <x:row r="1422" ht="12.75">
      <x:c r="A1422" s="3"/>
      <x:c r="B1422" s="264"/>
      <x:c r="C1422" s="127"/>
      <x:c r="D1422" s="127"/>
      <x:c r="E1422" s="265"/>
      <x:c r="F1422" s="266"/>
      <x:c r="G1422" s="264"/>
      <x:c r="H1422" s="267"/>
      <x:c r="I1422" s="3"/>
      <x:c r="J1422" s="3"/>
      <x:c r="K1422" s="269"/>
      <x:c r="L1422" s="270"/>
      <x:c r="M1422" s="270"/>
      <x:c r="N1422" s="3"/>
      <x:c r="O1422" s="269"/>
      <x:c r="P1422" s="271"/>
      <x:c r="Q1422" s="272"/>
    </x:row>
    <x:row r="1423" ht="12.75">
      <x:c r="A1423" s="3"/>
      <x:c r="B1423" s="264"/>
      <x:c r="C1423" s="127"/>
      <x:c r="D1423" s="127"/>
      <x:c r="E1423" s="265"/>
      <x:c r="F1423" s="266"/>
      <x:c r="G1423" s="264"/>
      <x:c r="H1423" s="267"/>
      <x:c r="I1423" s="3"/>
      <x:c r="J1423" s="3"/>
      <x:c r="K1423" s="269"/>
      <x:c r="L1423" s="270"/>
      <x:c r="M1423" s="270"/>
      <x:c r="N1423" s="3"/>
      <x:c r="O1423" s="269"/>
      <x:c r="P1423" s="271"/>
      <x:c r="Q1423" s="272"/>
    </x:row>
    <x:row r="1424" ht="12.75">
      <x:c r="A1424" s="3"/>
      <x:c r="B1424" s="264"/>
      <x:c r="C1424" s="127"/>
      <x:c r="D1424" s="127"/>
      <x:c r="E1424" s="265"/>
      <x:c r="F1424" s="266"/>
      <x:c r="G1424" s="264"/>
      <x:c r="H1424" s="267"/>
      <x:c r="I1424" s="3"/>
      <x:c r="J1424" s="3"/>
      <x:c r="K1424" s="269"/>
      <x:c r="L1424" s="270"/>
      <x:c r="M1424" s="270"/>
      <x:c r="N1424" s="3"/>
      <x:c r="O1424" s="269"/>
      <x:c r="P1424" s="271"/>
      <x:c r="Q1424" s="272"/>
    </x:row>
    <x:row r="1425" ht="12.75">
      <x:c r="A1425" s="3"/>
      <x:c r="B1425" s="264"/>
      <x:c r="C1425" s="127"/>
      <x:c r="D1425" s="127"/>
      <x:c r="E1425" s="265"/>
      <x:c r="F1425" s="266"/>
      <x:c r="G1425" s="264"/>
      <x:c r="H1425" s="267"/>
      <x:c r="I1425" s="3"/>
      <x:c r="J1425" s="3"/>
      <x:c r="K1425" s="269"/>
      <x:c r="L1425" s="270"/>
      <x:c r="M1425" s="270"/>
      <x:c r="N1425" s="3"/>
      <x:c r="O1425" s="269"/>
      <x:c r="P1425" s="271"/>
      <x:c r="Q1425" s="272"/>
    </x:row>
    <x:row r="1426" ht="12.75">
      <x:c r="A1426" s="3"/>
      <x:c r="B1426" s="264"/>
      <x:c r="C1426" s="127"/>
      <x:c r="D1426" s="127"/>
      <x:c r="E1426" s="265"/>
      <x:c r="F1426" s="266"/>
      <x:c r="G1426" s="264"/>
      <x:c r="H1426" s="267"/>
      <x:c r="I1426" s="3"/>
      <x:c r="J1426" s="3"/>
      <x:c r="K1426" s="269"/>
      <x:c r="L1426" s="270"/>
      <x:c r="M1426" s="270"/>
      <x:c r="N1426" s="3"/>
      <x:c r="O1426" s="269"/>
      <x:c r="P1426" s="271"/>
      <x:c r="Q1426" s="272"/>
    </x:row>
    <x:row r="1427" ht="12.75">
      <x:c r="A1427" s="3"/>
      <x:c r="B1427" s="264"/>
      <x:c r="C1427" s="127"/>
      <x:c r="D1427" s="127"/>
      <x:c r="E1427" s="265"/>
      <x:c r="F1427" s="266"/>
      <x:c r="G1427" s="264"/>
      <x:c r="H1427" s="267"/>
      <x:c r="I1427" s="3"/>
      <x:c r="J1427" s="3"/>
      <x:c r="K1427" s="269"/>
      <x:c r="L1427" s="270"/>
      <x:c r="M1427" s="270"/>
      <x:c r="N1427" s="3"/>
      <x:c r="O1427" s="269"/>
      <x:c r="P1427" s="271"/>
      <x:c r="Q1427" s="272"/>
    </x:row>
    <x:row r="1428" ht="12.75">
      <x:c r="A1428" s="3"/>
      <x:c r="B1428" s="264"/>
      <x:c r="C1428" s="127"/>
      <x:c r="D1428" s="127"/>
      <x:c r="E1428" s="265"/>
      <x:c r="F1428" s="266"/>
      <x:c r="G1428" s="264"/>
      <x:c r="H1428" s="267"/>
      <x:c r="I1428" s="3"/>
      <x:c r="J1428" s="3"/>
      <x:c r="K1428" s="269"/>
      <x:c r="L1428" s="270"/>
      <x:c r="M1428" s="270"/>
      <x:c r="N1428" s="3"/>
      <x:c r="O1428" s="269"/>
      <x:c r="P1428" s="271"/>
      <x:c r="Q1428" s="272"/>
    </x:row>
    <x:row r="1429" ht="12.75">
      <x:c r="A1429" s="3"/>
      <x:c r="B1429" s="264"/>
      <x:c r="C1429" s="127"/>
      <x:c r="D1429" s="127"/>
      <x:c r="E1429" s="265"/>
      <x:c r="F1429" s="266"/>
      <x:c r="G1429" s="264"/>
      <x:c r="H1429" s="267"/>
      <x:c r="I1429" s="3"/>
      <x:c r="J1429" s="3"/>
      <x:c r="K1429" s="269"/>
      <x:c r="L1429" s="270"/>
      <x:c r="M1429" s="270"/>
      <x:c r="N1429" s="3"/>
      <x:c r="O1429" s="269"/>
      <x:c r="P1429" s="271"/>
      <x:c r="Q1429" s="272"/>
    </x:row>
    <x:row r="1430" ht="12.75">
      <x:c r="A1430" s="3"/>
      <x:c r="B1430" s="264"/>
      <x:c r="C1430" s="127"/>
      <x:c r="D1430" s="127"/>
      <x:c r="E1430" s="265"/>
      <x:c r="F1430" s="266"/>
      <x:c r="G1430" s="264"/>
      <x:c r="H1430" s="267"/>
      <x:c r="I1430" s="3"/>
      <x:c r="J1430" s="3"/>
      <x:c r="K1430" s="269"/>
      <x:c r="L1430" s="270"/>
      <x:c r="M1430" s="270"/>
      <x:c r="N1430" s="3"/>
      <x:c r="O1430" s="269"/>
      <x:c r="P1430" s="271"/>
      <x:c r="Q1430" s="272"/>
    </x:row>
    <x:row r="1431" ht="12.75">
      <x:c r="A1431" s="3"/>
      <x:c r="B1431" s="264"/>
      <x:c r="C1431" s="127"/>
      <x:c r="D1431" s="127"/>
      <x:c r="E1431" s="265"/>
      <x:c r="F1431" s="266"/>
      <x:c r="G1431" s="264"/>
      <x:c r="H1431" s="267"/>
      <x:c r="I1431" s="3"/>
      <x:c r="J1431" s="3"/>
      <x:c r="K1431" s="269"/>
      <x:c r="L1431" s="270"/>
      <x:c r="M1431" s="270"/>
      <x:c r="N1431" s="3"/>
      <x:c r="O1431" s="269"/>
      <x:c r="P1431" s="271"/>
      <x:c r="Q1431" s="272"/>
    </x:row>
    <x:row r="1432" ht="12.75">
      <x:c r="A1432" s="3"/>
      <x:c r="B1432" s="264"/>
      <x:c r="C1432" s="127"/>
      <x:c r="D1432" s="127"/>
      <x:c r="E1432" s="265"/>
      <x:c r="F1432" s="266"/>
      <x:c r="G1432" s="264"/>
      <x:c r="H1432" s="267"/>
      <x:c r="I1432" s="3"/>
      <x:c r="J1432" s="3"/>
      <x:c r="K1432" s="269"/>
      <x:c r="L1432" s="270"/>
      <x:c r="M1432" s="270"/>
      <x:c r="N1432" s="3"/>
      <x:c r="O1432" s="269"/>
      <x:c r="P1432" s="271"/>
      <x:c r="Q1432" s="272"/>
    </x:row>
    <x:row r="1433" ht="12.75">
      <x:c r="A1433" s="3"/>
      <x:c r="B1433" s="264"/>
      <x:c r="C1433" s="127"/>
      <x:c r="D1433" s="127"/>
      <x:c r="E1433" s="265"/>
      <x:c r="F1433" s="266"/>
      <x:c r="G1433" s="264"/>
      <x:c r="H1433" s="267"/>
      <x:c r="I1433" s="3"/>
      <x:c r="J1433" s="3"/>
      <x:c r="K1433" s="269"/>
      <x:c r="L1433" s="270"/>
      <x:c r="M1433" s="270"/>
      <x:c r="N1433" s="3"/>
      <x:c r="O1433" s="269"/>
      <x:c r="P1433" s="271"/>
      <x:c r="Q1433" s="272"/>
    </x:row>
    <x:row r="1434" ht="12.75">
      <x:c r="A1434" s="3"/>
      <x:c r="B1434" s="264"/>
      <x:c r="C1434" s="127"/>
      <x:c r="D1434" s="127"/>
      <x:c r="E1434" s="265"/>
      <x:c r="F1434" s="266"/>
      <x:c r="G1434" s="264"/>
      <x:c r="H1434" s="267"/>
      <x:c r="I1434" s="3"/>
      <x:c r="J1434" s="3"/>
      <x:c r="K1434" s="269"/>
      <x:c r="L1434" s="270"/>
      <x:c r="M1434" s="270"/>
      <x:c r="N1434" s="3"/>
      <x:c r="O1434" s="269"/>
      <x:c r="P1434" s="271"/>
      <x:c r="Q1434" s="272"/>
    </x:row>
    <x:row r="1435" ht="12.75">
      <x:c r="A1435" s="3"/>
      <x:c r="B1435" s="264"/>
      <x:c r="C1435" s="127"/>
      <x:c r="D1435" s="127"/>
      <x:c r="E1435" s="265"/>
      <x:c r="F1435" s="266"/>
      <x:c r="G1435" s="264"/>
      <x:c r="H1435" s="267"/>
      <x:c r="I1435" s="3"/>
      <x:c r="J1435" s="3"/>
      <x:c r="K1435" s="269"/>
      <x:c r="L1435" s="270"/>
      <x:c r="M1435" s="270"/>
      <x:c r="N1435" s="3"/>
      <x:c r="O1435" s="269"/>
      <x:c r="P1435" s="271"/>
      <x:c r="Q1435" s="272"/>
    </x:row>
    <x:row r="1436" ht="12.75">
      <x:c r="A1436" s="3"/>
      <x:c r="B1436" s="264"/>
      <x:c r="C1436" s="127"/>
      <x:c r="D1436" s="127"/>
      <x:c r="E1436" s="265"/>
      <x:c r="F1436" s="266"/>
      <x:c r="G1436" s="264"/>
      <x:c r="H1436" s="267"/>
      <x:c r="I1436" s="3"/>
      <x:c r="J1436" s="3"/>
      <x:c r="K1436" s="269"/>
      <x:c r="L1436" s="270"/>
      <x:c r="M1436" s="270"/>
      <x:c r="N1436" s="3"/>
      <x:c r="O1436" s="269"/>
      <x:c r="P1436" s="271"/>
      <x:c r="Q1436" s="272"/>
    </x:row>
    <x:row r="1437" ht="12.75">
      <x:c r="A1437" s="3"/>
      <x:c r="B1437" s="264"/>
      <x:c r="C1437" s="127"/>
      <x:c r="D1437" s="127"/>
      <x:c r="E1437" s="265"/>
      <x:c r="F1437" s="266"/>
      <x:c r="G1437" s="264"/>
      <x:c r="H1437" s="267"/>
      <x:c r="I1437" s="3"/>
      <x:c r="J1437" s="3"/>
      <x:c r="K1437" s="269"/>
      <x:c r="L1437" s="270"/>
      <x:c r="M1437" s="270"/>
      <x:c r="N1437" s="3"/>
      <x:c r="O1437" s="269"/>
      <x:c r="P1437" s="271"/>
      <x:c r="Q1437" s="272"/>
    </x:row>
    <x:row r="1438" ht="12.75">
      <x:c r="A1438" s="3"/>
      <x:c r="B1438" s="264"/>
      <x:c r="C1438" s="127"/>
      <x:c r="D1438" s="127"/>
      <x:c r="E1438" s="265"/>
      <x:c r="F1438" s="266"/>
      <x:c r="G1438" s="264"/>
      <x:c r="H1438" s="267"/>
      <x:c r="I1438" s="3"/>
      <x:c r="J1438" s="3"/>
      <x:c r="K1438" s="269"/>
      <x:c r="L1438" s="270"/>
      <x:c r="M1438" s="270"/>
      <x:c r="N1438" s="3"/>
      <x:c r="O1438" s="269"/>
      <x:c r="P1438" s="271"/>
      <x:c r="Q1438" s="272"/>
    </x:row>
    <x:row r="1439" ht="12.75">
      <x:c r="A1439" s="3"/>
      <x:c r="B1439" s="264"/>
      <x:c r="C1439" s="127"/>
      <x:c r="D1439" s="127"/>
      <x:c r="E1439" s="265"/>
      <x:c r="F1439" s="266"/>
      <x:c r="G1439" s="264"/>
      <x:c r="H1439" s="267"/>
      <x:c r="I1439" s="3"/>
      <x:c r="J1439" s="3"/>
      <x:c r="K1439" s="269"/>
      <x:c r="L1439" s="270"/>
      <x:c r="M1439" s="270"/>
      <x:c r="N1439" s="3"/>
      <x:c r="O1439" s="269"/>
      <x:c r="P1439" s="271"/>
      <x:c r="Q1439" s="272"/>
    </x:row>
    <x:row r="1440" ht="12.75">
      <x:c r="A1440" s="3"/>
      <x:c r="B1440" s="264"/>
      <x:c r="C1440" s="127"/>
      <x:c r="D1440" s="127"/>
      <x:c r="E1440" s="265"/>
      <x:c r="F1440" s="266"/>
      <x:c r="G1440" s="264"/>
      <x:c r="H1440" s="267"/>
      <x:c r="I1440" s="3"/>
      <x:c r="J1440" s="3"/>
      <x:c r="K1440" s="269"/>
      <x:c r="L1440" s="270"/>
      <x:c r="M1440" s="270"/>
      <x:c r="N1440" s="3"/>
      <x:c r="O1440" s="269"/>
      <x:c r="P1440" s="271"/>
      <x:c r="Q1440" s="272"/>
    </x:row>
    <x:row r="1441" ht="12.75">
      <x:c r="A1441" s="3"/>
      <x:c r="B1441" s="264"/>
      <x:c r="C1441" s="127"/>
      <x:c r="D1441" s="127"/>
      <x:c r="E1441" s="265"/>
      <x:c r="F1441" s="266"/>
      <x:c r="G1441" s="264"/>
      <x:c r="H1441" s="267"/>
      <x:c r="I1441" s="3"/>
      <x:c r="J1441" s="3"/>
      <x:c r="K1441" s="269"/>
      <x:c r="L1441" s="270"/>
      <x:c r="M1441" s="270"/>
      <x:c r="N1441" s="3"/>
      <x:c r="O1441" s="269"/>
      <x:c r="P1441" s="271"/>
      <x:c r="Q1441" s="272"/>
    </x:row>
    <x:row r="1442" ht="12.75">
      <x:c r="A1442" s="3"/>
      <x:c r="B1442" s="264"/>
      <x:c r="C1442" s="127"/>
      <x:c r="D1442" s="127"/>
      <x:c r="E1442" s="265"/>
      <x:c r="F1442" s="266"/>
      <x:c r="G1442" s="264"/>
      <x:c r="H1442" s="267"/>
      <x:c r="I1442" s="3"/>
      <x:c r="J1442" s="3"/>
      <x:c r="K1442" s="269"/>
      <x:c r="L1442" s="270"/>
      <x:c r="M1442" s="270"/>
      <x:c r="N1442" s="3"/>
      <x:c r="O1442" s="269"/>
      <x:c r="P1442" s="271"/>
      <x:c r="Q1442" s="272"/>
    </x:row>
    <x:row r="1443" ht="12.75">
      <x:c r="A1443" s="3"/>
      <x:c r="B1443" s="264"/>
      <x:c r="C1443" s="127"/>
      <x:c r="D1443" s="127"/>
      <x:c r="E1443" s="265"/>
      <x:c r="F1443" s="266"/>
      <x:c r="G1443" s="264"/>
      <x:c r="H1443" s="267"/>
      <x:c r="I1443" s="3"/>
      <x:c r="J1443" s="3"/>
      <x:c r="K1443" s="269"/>
      <x:c r="L1443" s="270"/>
      <x:c r="M1443" s="270"/>
      <x:c r="N1443" s="3"/>
      <x:c r="O1443" s="269"/>
      <x:c r="P1443" s="271"/>
      <x:c r="Q1443" s="272"/>
    </x:row>
    <x:row r="1444" ht="12.75">
      <x:c r="A1444" s="3"/>
      <x:c r="B1444" s="264"/>
      <x:c r="C1444" s="127"/>
      <x:c r="D1444" s="127"/>
      <x:c r="E1444" s="265"/>
      <x:c r="F1444" s="266"/>
      <x:c r="G1444" s="264"/>
      <x:c r="H1444" s="267"/>
      <x:c r="I1444" s="3"/>
      <x:c r="J1444" s="3"/>
      <x:c r="K1444" s="269"/>
      <x:c r="L1444" s="270"/>
      <x:c r="M1444" s="270"/>
      <x:c r="N1444" s="3"/>
      <x:c r="O1444" s="269"/>
      <x:c r="P1444" s="271"/>
      <x:c r="Q1444" s="272"/>
    </x:row>
    <x:row r="1445" ht="12.75">
      <x:c r="A1445" s="3"/>
      <x:c r="B1445" s="264"/>
      <x:c r="C1445" s="127"/>
      <x:c r="D1445" s="127"/>
      <x:c r="E1445" s="265"/>
      <x:c r="F1445" s="266"/>
      <x:c r="G1445" s="264"/>
      <x:c r="H1445" s="267"/>
      <x:c r="I1445" s="3"/>
      <x:c r="J1445" s="3"/>
      <x:c r="K1445" s="269"/>
      <x:c r="L1445" s="270"/>
      <x:c r="M1445" s="270"/>
      <x:c r="N1445" s="3"/>
      <x:c r="O1445" s="269"/>
      <x:c r="P1445" s="271"/>
      <x:c r="Q1445" s="272"/>
    </x:row>
    <x:row r="1446" ht="12.75">
      <x:c r="A1446" s="3"/>
      <x:c r="B1446" s="264"/>
      <x:c r="C1446" s="127"/>
      <x:c r="D1446" s="127"/>
      <x:c r="E1446" s="265"/>
      <x:c r="F1446" s="266"/>
      <x:c r="G1446" s="264"/>
      <x:c r="H1446" s="267"/>
      <x:c r="I1446" s="3"/>
      <x:c r="J1446" s="3"/>
      <x:c r="K1446" s="269"/>
      <x:c r="L1446" s="270"/>
      <x:c r="M1446" s="270"/>
      <x:c r="N1446" s="3"/>
      <x:c r="O1446" s="269"/>
      <x:c r="P1446" s="271"/>
      <x:c r="Q1446" s="272"/>
    </x:row>
    <x:row r="1447" ht="12.75">
      <x:c r="A1447" s="3"/>
      <x:c r="B1447" s="264"/>
      <x:c r="C1447" s="127"/>
      <x:c r="D1447" s="127"/>
      <x:c r="E1447" s="265"/>
      <x:c r="F1447" s="266"/>
      <x:c r="G1447" s="264"/>
      <x:c r="H1447" s="267"/>
      <x:c r="I1447" s="3"/>
      <x:c r="J1447" s="3"/>
      <x:c r="K1447" s="269"/>
      <x:c r="L1447" s="270"/>
      <x:c r="M1447" s="270"/>
      <x:c r="N1447" s="3"/>
      <x:c r="O1447" s="269"/>
      <x:c r="P1447" s="271"/>
      <x:c r="Q1447" s="272"/>
    </x:row>
    <x:row r="1448" ht="12.75">
      <x:c r="A1448" s="3"/>
      <x:c r="B1448" s="264"/>
      <x:c r="C1448" s="127"/>
      <x:c r="D1448" s="127"/>
      <x:c r="E1448" s="265"/>
      <x:c r="F1448" s="266"/>
      <x:c r="G1448" s="264"/>
      <x:c r="H1448" s="267"/>
      <x:c r="I1448" s="3"/>
      <x:c r="J1448" s="3"/>
      <x:c r="K1448" s="269"/>
      <x:c r="L1448" s="270"/>
      <x:c r="M1448" s="270"/>
      <x:c r="N1448" s="3"/>
      <x:c r="O1448" s="269"/>
      <x:c r="P1448" s="271"/>
      <x:c r="Q1448" s="272"/>
    </x:row>
    <x:row r="1449" ht="12.75">
      <x:c r="A1449" s="3"/>
      <x:c r="B1449" s="264"/>
      <x:c r="C1449" s="127"/>
      <x:c r="D1449" s="127"/>
      <x:c r="E1449" s="265"/>
      <x:c r="F1449" s="266"/>
      <x:c r="G1449" s="264"/>
      <x:c r="H1449" s="267"/>
      <x:c r="I1449" s="3"/>
      <x:c r="J1449" s="3"/>
      <x:c r="K1449" s="269"/>
      <x:c r="L1449" s="270"/>
      <x:c r="M1449" s="270"/>
      <x:c r="N1449" s="3"/>
      <x:c r="O1449" s="269"/>
      <x:c r="P1449" s="271"/>
      <x:c r="Q1449" s="272"/>
    </x:row>
    <x:row r="1450" ht="12.75">
      <x:c r="A1450" s="3"/>
      <x:c r="B1450" s="264"/>
      <x:c r="C1450" s="127"/>
      <x:c r="D1450" s="127"/>
      <x:c r="E1450" s="265"/>
      <x:c r="F1450" s="266"/>
      <x:c r="G1450" s="264"/>
      <x:c r="H1450" s="267"/>
      <x:c r="I1450" s="3"/>
      <x:c r="J1450" s="3"/>
      <x:c r="K1450" s="269"/>
      <x:c r="L1450" s="270"/>
      <x:c r="M1450" s="270"/>
      <x:c r="N1450" s="3"/>
      <x:c r="O1450" s="269"/>
      <x:c r="P1450" s="271"/>
      <x:c r="Q1450" s="272"/>
    </x:row>
    <x:row r="1451" ht="12.75">
      <x:c r="A1451" s="3"/>
      <x:c r="B1451" s="264"/>
      <x:c r="C1451" s="127"/>
      <x:c r="D1451" s="127"/>
      <x:c r="E1451" s="265"/>
      <x:c r="F1451" s="266"/>
      <x:c r="G1451" s="264"/>
      <x:c r="H1451" s="267"/>
      <x:c r="I1451" s="3"/>
      <x:c r="J1451" s="3"/>
      <x:c r="K1451" s="269"/>
      <x:c r="L1451" s="270"/>
      <x:c r="M1451" s="270"/>
      <x:c r="N1451" s="3"/>
      <x:c r="O1451" s="269"/>
      <x:c r="P1451" s="271"/>
      <x:c r="Q1451" s="272"/>
    </x:row>
    <x:row r="1452" ht="12.75">
      <x:c r="A1452" s="3"/>
      <x:c r="B1452" s="264"/>
      <x:c r="C1452" s="127"/>
      <x:c r="D1452" s="127"/>
      <x:c r="E1452" s="265"/>
      <x:c r="F1452" s="266"/>
      <x:c r="G1452" s="264"/>
      <x:c r="H1452" s="267"/>
      <x:c r="I1452" s="3"/>
      <x:c r="J1452" s="3"/>
      <x:c r="K1452" s="269"/>
      <x:c r="L1452" s="270"/>
      <x:c r="M1452" s="270"/>
      <x:c r="N1452" s="3"/>
      <x:c r="O1452" s="269"/>
      <x:c r="P1452" s="271"/>
      <x:c r="Q1452" s="272"/>
    </x:row>
    <x:row r="1453" ht="12.75">
      <x:c r="A1453" s="3"/>
      <x:c r="B1453" s="264"/>
      <x:c r="C1453" s="127"/>
      <x:c r="D1453" s="127"/>
      <x:c r="E1453" s="265"/>
      <x:c r="F1453" s="266"/>
      <x:c r="G1453" s="264"/>
      <x:c r="H1453" s="267"/>
      <x:c r="I1453" s="3"/>
      <x:c r="J1453" s="3"/>
      <x:c r="K1453" s="269"/>
      <x:c r="L1453" s="270"/>
      <x:c r="M1453" s="270"/>
      <x:c r="N1453" s="3"/>
      <x:c r="O1453" s="269"/>
      <x:c r="P1453" s="271"/>
      <x:c r="Q1453" s="272"/>
    </x:row>
    <x:row r="1454" ht="12.75">
      <x:c r="A1454" s="3"/>
      <x:c r="B1454" s="264"/>
      <x:c r="C1454" s="127"/>
      <x:c r="D1454" s="127"/>
      <x:c r="E1454" s="265"/>
      <x:c r="F1454" s="266"/>
      <x:c r="G1454" s="264"/>
      <x:c r="H1454" s="267"/>
      <x:c r="I1454" s="3"/>
      <x:c r="J1454" s="3"/>
      <x:c r="K1454" s="269"/>
      <x:c r="L1454" s="270"/>
      <x:c r="M1454" s="270"/>
      <x:c r="N1454" s="3"/>
      <x:c r="O1454" s="269"/>
      <x:c r="P1454" s="271"/>
      <x:c r="Q1454" s="272"/>
    </x:row>
    <x:row r="1455" ht="12.75">
      <x:c r="A1455" s="3"/>
      <x:c r="B1455" s="264"/>
      <x:c r="C1455" s="127"/>
      <x:c r="D1455" s="127"/>
      <x:c r="E1455" s="265"/>
      <x:c r="F1455" s="266"/>
      <x:c r="G1455" s="264"/>
      <x:c r="H1455" s="267"/>
      <x:c r="I1455" s="3"/>
      <x:c r="J1455" s="3"/>
      <x:c r="K1455" s="269"/>
      <x:c r="L1455" s="270"/>
      <x:c r="M1455" s="270"/>
      <x:c r="N1455" s="3"/>
      <x:c r="O1455" s="269"/>
      <x:c r="P1455" s="271"/>
      <x:c r="Q1455" s="272"/>
    </x:row>
    <x:row r="1456" ht="12.75">
      <x:c r="A1456" s="3"/>
      <x:c r="B1456" s="264"/>
      <x:c r="C1456" s="127"/>
      <x:c r="D1456" s="127"/>
      <x:c r="E1456" s="265"/>
      <x:c r="F1456" s="266"/>
      <x:c r="G1456" s="264"/>
      <x:c r="H1456" s="267"/>
      <x:c r="I1456" s="3"/>
      <x:c r="J1456" s="3"/>
      <x:c r="K1456" s="269"/>
      <x:c r="L1456" s="270"/>
      <x:c r="M1456" s="270"/>
      <x:c r="N1456" s="3"/>
      <x:c r="O1456" s="269"/>
      <x:c r="P1456" s="271"/>
      <x:c r="Q1456" s="272"/>
    </x:row>
    <x:row r="1457" ht="12.75">
      <x:c r="A1457" s="3"/>
      <x:c r="B1457" s="264"/>
      <x:c r="C1457" s="127"/>
      <x:c r="D1457" s="127"/>
      <x:c r="E1457" s="265"/>
      <x:c r="F1457" s="266"/>
      <x:c r="G1457" s="264"/>
      <x:c r="H1457" s="267"/>
      <x:c r="I1457" s="3"/>
      <x:c r="J1457" s="3"/>
      <x:c r="K1457" s="269"/>
      <x:c r="L1457" s="270"/>
      <x:c r="M1457" s="270"/>
      <x:c r="N1457" s="3"/>
      <x:c r="O1457" s="269"/>
      <x:c r="P1457" s="271"/>
      <x:c r="Q1457" s="272"/>
    </x:row>
    <x:row r="1458" ht="12.75">
      <x:c r="A1458" s="3"/>
      <x:c r="B1458" s="264"/>
      <x:c r="C1458" s="127"/>
      <x:c r="D1458" s="127"/>
      <x:c r="E1458" s="265"/>
      <x:c r="F1458" s="266"/>
      <x:c r="G1458" s="264"/>
      <x:c r="H1458" s="267"/>
      <x:c r="I1458" s="3"/>
      <x:c r="J1458" s="3"/>
      <x:c r="K1458" s="269"/>
      <x:c r="L1458" s="270"/>
      <x:c r="M1458" s="270"/>
      <x:c r="N1458" s="3"/>
      <x:c r="O1458" s="269"/>
      <x:c r="P1458" s="271"/>
      <x:c r="Q1458" s="272"/>
    </x:row>
    <x:row r="1459" ht="12.75">
      <x:c r="A1459" s="3"/>
      <x:c r="B1459" s="264"/>
      <x:c r="C1459" s="127"/>
      <x:c r="D1459" s="127"/>
      <x:c r="E1459" s="265"/>
      <x:c r="F1459" s="266"/>
      <x:c r="G1459" s="264"/>
      <x:c r="H1459" s="267"/>
      <x:c r="I1459" s="3"/>
      <x:c r="J1459" s="3"/>
      <x:c r="K1459" s="269"/>
      <x:c r="L1459" s="270"/>
      <x:c r="M1459" s="270"/>
      <x:c r="N1459" s="3"/>
      <x:c r="O1459" s="269"/>
      <x:c r="P1459" s="271"/>
      <x:c r="Q1459" s="272"/>
    </x:row>
    <x:row r="1460" ht="12.75">
      <x:c r="A1460" s="3"/>
      <x:c r="B1460" s="264"/>
      <x:c r="C1460" s="127"/>
      <x:c r="D1460" s="127"/>
      <x:c r="E1460" s="265"/>
      <x:c r="F1460" s="266"/>
      <x:c r="G1460" s="264"/>
      <x:c r="H1460" s="267"/>
      <x:c r="I1460" s="3"/>
      <x:c r="J1460" s="3"/>
      <x:c r="K1460" s="269"/>
      <x:c r="L1460" s="270"/>
      <x:c r="M1460" s="270"/>
      <x:c r="N1460" s="3"/>
      <x:c r="O1460" s="269"/>
      <x:c r="P1460" s="271"/>
      <x:c r="Q1460" s="272"/>
    </x:row>
    <x:row r="1461" ht="12.75">
      <x:c r="A1461" s="3"/>
      <x:c r="B1461" s="264"/>
      <x:c r="C1461" s="127"/>
      <x:c r="D1461" s="127"/>
      <x:c r="E1461" s="265"/>
      <x:c r="F1461" s="266"/>
      <x:c r="G1461" s="264"/>
      <x:c r="H1461" s="267"/>
      <x:c r="I1461" s="3"/>
      <x:c r="J1461" s="3"/>
      <x:c r="K1461" s="269"/>
      <x:c r="L1461" s="270"/>
      <x:c r="M1461" s="270"/>
      <x:c r="N1461" s="3"/>
      <x:c r="O1461" s="269"/>
      <x:c r="P1461" s="271"/>
      <x:c r="Q1461" s="272"/>
    </x:row>
    <x:row r="1462" ht="12.75">
      <x:c r="A1462" s="3"/>
      <x:c r="B1462" s="264"/>
      <x:c r="C1462" s="127"/>
      <x:c r="D1462" s="127"/>
      <x:c r="E1462" s="265"/>
      <x:c r="F1462" s="266"/>
      <x:c r="G1462" s="264"/>
      <x:c r="H1462" s="267"/>
      <x:c r="I1462" s="3"/>
      <x:c r="J1462" s="3"/>
      <x:c r="K1462" s="269"/>
      <x:c r="L1462" s="270"/>
      <x:c r="M1462" s="270"/>
      <x:c r="N1462" s="3"/>
      <x:c r="O1462" s="269"/>
      <x:c r="P1462" s="271"/>
      <x:c r="Q1462" s="272"/>
    </x:row>
    <x:row r="1463" ht="12.75">
      <x:c r="A1463" s="3"/>
      <x:c r="B1463" s="264"/>
      <x:c r="C1463" s="127"/>
      <x:c r="D1463" s="127"/>
      <x:c r="E1463" s="265"/>
      <x:c r="F1463" s="266"/>
      <x:c r="G1463" s="264"/>
      <x:c r="H1463" s="267"/>
      <x:c r="I1463" s="3"/>
      <x:c r="J1463" s="3"/>
      <x:c r="K1463" s="269"/>
      <x:c r="L1463" s="270"/>
      <x:c r="M1463" s="270"/>
      <x:c r="N1463" s="3"/>
      <x:c r="O1463" s="269"/>
      <x:c r="P1463" s="271"/>
      <x:c r="Q1463" s="272"/>
    </x:row>
    <x:row r="1464" ht="12.75">
      <x:c r="A1464" s="3"/>
      <x:c r="B1464" s="264"/>
      <x:c r="C1464" s="127"/>
      <x:c r="D1464" s="127"/>
      <x:c r="E1464" s="265"/>
      <x:c r="F1464" s="266"/>
      <x:c r="G1464" s="264"/>
      <x:c r="H1464" s="267"/>
      <x:c r="I1464" s="3"/>
      <x:c r="J1464" s="3"/>
      <x:c r="K1464" s="269"/>
      <x:c r="L1464" s="270"/>
      <x:c r="M1464" s="270"/>
      <x:c r="N1464" s="3"/>
      <x:c r="O1464" s="269"/>
      <x:c r="P1464" s="271"/>
      <x:c r="Q1464" s="272"/>
    </x:row>
    <x:row r="1465" ht="12.75">
      <x:c r="A1465" s="3"/>
      <x:c r="B1465" s="264"/>
      <x:c r="C1465" s="127"/>
      <x:c r="D1465" s="127"/>
      <x:c r="E1465" s="265"/>
      <x:c r="F1465" s="266"/>
      <x:c r="G1465" s="264"/>
      <x:c r="H1465" s="267"/>
      <x:c r="I1465" s="3"/>
      <x:c r="J1465" s="3"/>
      <x:c r="K1465" s="269"/>
      <x:c r="L1465" s="270"/>
      <x:c r="M1465" s="270"/>
      <x:c r="N1465" s="3"/>
      <x:c r="O1465" s="269"/>
      <x:c r="P1465" s="271"/>
      <x:c r="Q1465" s="272"/>
    </x:row>
    <x:row r="1466" ht="12.75">
      <x:c r="A1466" s="3"/>
      <x:c r="B1466" s="264"/>
      <x:c r="C1466" s="127"/>
      <x:c r="D1466" s="127"/>
      <x:c r="E1466" s="265"/>
      <x:c r="F1466" s="266"/>
      <x:c r="G1466" s="264"/>
      <x:c r="H1466" s="267"/>
      <x:c r="I1466" s="3"/>
      <x:c r="J1466" s="3"/>
      <x:c r="K1466" s="269"/>
      <x:c r="L1466" s="270"/>
      <x:c r="M1466" s="270"/>
      <x:c r="N1466" s="3"/>
      <x:c r="O1466" s="269"/>
      <x:c r="P1466" s="271"/>
      <x:c r="Q1466" s="272"/>
    </x:row>
    <x:row r="1467" ht="12.75">
      <x:c r="A1467" s="3"/>
      <x:c r="B1467" s="264"/>
      <x:c r="C1467" s="127"/>
      <x:c r="D1467" s="127"/>
      <x:c r="E1467" s="265"/>
      <x:c r="F1467" s="266"/>
      <x:c r="G1467" s="264"/>
      <x:c r="H1467" s="267"/>
      <x:c r="I1467" s="3"/>
      <x:c r="J1467" s="3"/>
      <x:c r="K1467" s="269"/>
      <x:c r="L1467" s="270"/>
      <x:c r="M1467" s="270"/>
      <x:c r="N1467" s="3"/>
      <x:c r="O1467" s="269"/>
      <x:c r="P1467" s="271"/>
      <x:c r="Q1467" s="272"/>
    </x:row>
    <x:row r="1468" ht="12.75">
      <x:c r="A1468" s="3"/>
      <x:c r="B1468" s="264"/>
      <x:c r="C1468" s="127"/>
      <x:c r="D1468" s="127"/>
      <x:c r="E1468" s="265"/>
      <x:c r="F1468" s="266"/>
      <x:c r="G1468" s="264"/>
      <x:c r="H1468" s="267"/>
      <x:c r="I1468" s="3"/>
      <x:c r="J1468" s="3"/>
      <x:c r="K1468" s="269"/>
      <x:c r="L1468" s="270"/>
      <x:c r="M1468" s="270"/>
      <x:c r="N1468" s="3"/>
      <x:c r="O1468" s="269"/>
      <x:c r="P1468" s="271"/>
      <x:c r="Q1468" s="272"/>
    </x:row>
    <x:row r="1469" ht="12.75">
      <x:c r="A1469" s="3"/>
      <x:c r="B1469" s="264"/>
      <x:c r="C1469" s="127"/>
      <x:c r="D1469" s="127"/>
      <x:c r="E1469" s="265"/>
      <x:c r="F1469" s="266"/>
      <x:c r="G1469" s="264"/>
      <x:c r="H1469" s="267"/>
      <x:c r="I1469" s="3"/>
      <x:c r="J1469" s="3"/>
      <x:c r="K1469" s="269"/>
      <x:c r="L1469" s="270"/>
      <x:c r="M1469" s="270"/>
      <x:c r="N1469" s="3"/>
      <x:c r="O1469" s="269"/>
      <x:c r="P1469" s="271"/>
      <x:c r="Q1469" s="272"/>
    </x:row>
    <x:row r="1470" ht="12.75">
      <x:c r="A1470" s="3"/>
      <x:c r="B1470" s="264"/>
      <x:c r="C1470" s="127"/>
      <x:c r="D1470" s="127"/>
      <x:c r="E1470" s="265"/>
      <x:c r="F1470" s="266"/>
      <x:c r="G1470" s="264"/>
      <x:c r="H1470" s="267"/>
      <x:c r="I1470" s="3"/>
      <x:c r="J1470" s="3"/>
      <x:c r="K1470" s="269"/>
      <x:c r="L1470" s="270"/>
      <x:c r="M1470" s="270"/>
      <x:c r="N1470" s="3"/>
      <x:c r="O1470" s="269"/>
      <x:c r="P1470" s="271"/>
      <x:c r="Q1470" s="272"/>
    </x:row>
    <x:row r="1471" ht="12.75">
      <x:c r="A1471" s="3"/>
      <x:c r="B1471" s="264"/>
      <x:c r="C1471" s="127"/>
      <x:c r="D1471" s="127"/>
      <x:c r="E1471" s="265"/>
      <x:c r="F1471" s="266"/>
      <x:c r="G1471" s="264"/>
      <x:c r="H1471" s="267"/>
      <x:c r="I1471" s="3"/>
      <x:c r="J1471" s="3"/>
      <x:c r="K1471" s="269"/>
      <x:c r="L1471" s="270"/>
      <x:c r="M1471" s="270"/>
      <x:c r="N1471" s="3"/>
      <x:c r="O1471" s="269"/>
      <x:c r="P1471" s="271"/>
      <x:c r="Q1471" s="272"/>
    </x:row>
    <x:row r="1472" ht="12.75">
      <x:c r="A1472" s="3"/>
      <x:c r="B1472" s="264"/>
      <x:c r="C1472" s="127"/>
      <x:c r="D1472" s="127"/>
      <x:c r="E1472" s="265"/>
      <x:c r="F1472" s="266"/>
      <x:c r="G1472" s="264"/>
      <x:c r="H1472" s="267"/>
      <x:c r="I1472" s="3"/>
      <x:c r="J1472" s="3"/>
      <x:c r="K1472" s="269"/>
      <x:c r="L1472" s="270"/>
      <x:c r="M1472" s="270"/>
      <x:c r="N1472" s="3"/>
      <x:c r="O1472" s="269"/>
      <x:c r="P1472" s="271"/>
      <x:c r="Q1472" s="272"/>
    </x:row>
    <x:row r="1473" ht="12.75">
      <x:c r="A1473" s="3"/>
      <x:c r="B1473" s="264"/>
      <x:c r="C1473" s="127"/>
      <x:c r="D1473" s="127"/>
      <x:c r="E1473" s="265"/>
      <x:c r="F1473" s="266"/>
      <x:c r="G1473" s="264"/>
      <x:c r="H1473" s="267"/>
      <x:c r="I1473" s="3"/>
      <x:c r="J1473" s="3"/>
      <x:c r="K1473" s="269"/>
      <x:c r="L1473" s="270"/>
      <x:c r="M1473" s="270"/>
      <x:c r="N1473" s="3"/>
      <x:c r="O1473" s="269"/>
      <x:c r="P1473" s="271"/>
      <x:c r="Q1473" s="272"/>
    </x:row>
    <x:row r="1474" ht="12.75">
      <x:c r="A1474" s="3"/>
      <x:c r="B1474" s="264"/>
      <x:c r="C1474" s="127"/>
      <x:c r="D1474" s="127"/>
      <x:c r="E1474" s="265"/>
      <x:c r="F1474" s="266"/>
      <x:c r="G1474" s="264"/>
      <x:c r="H1474" s="267"/>
      <x:c r="I1474" s="3"/>
      <x:c r="J1474" s="3"/>
      <x:c r="K1474" s="269"/>
      <x:c r="L1474" s="270"/>
      <x:c r="M1474" s="270"/>
      <x:c r="N1474" s="3"/>
      <x:c r="O1474" s="269"/>
      <x:c r="P1474" s="271"/>
      <x:c r="Q1474" s="272"/>
    </x:row>
    <x:row r="1475" ht="12.75">
      <x:c r="A1475" s="3"/>
      <x:c r="B1475" s="264"/>
      <x:c r="C1475" s="127"/>
      <x:c r="D1475" s="127"/>
      <x:c r="E1475" s="265"/>
      <x:c r="F1475" s="266"/>
      <x:c r="G1475" s="264"/>
      <x:c r="H1475" s="267"/>
      <x:c r="I1475" s="3"/>
      <x:c r="J1475" s="3"/>
      <x:c r="K1475" s="269"/>
      <x:c r="L1475" s="270"/>
      <x:c r="M1475" s="270"/>
      <x:c r="N1475" s="3"/>
      <x:c r="O1475" s="269"/>
      <x:c r="P1475" s="271"/>
      <x:c r="Q1475" s="272"/>
    </x:row>
    <x:row r="1476" ht="12.75">
      <x:c r="A1476" s="3"/>
      <x:c r="B1476" s="264"/>
      <x:c r="C1476" s="127"/>
      <x:c r="D1476" s="127"/>
      <x:c r="E1476" s="265"/>
      <x:c r="F1476" s="266"/>
      <x:c r="G1476" s="264"/>
      <x:c r="H1476" s="267"/>
      <x:c r="I1476" s="3"/>
      <x:c r="J1476" s="3"/>
      <x:c r="K1476" s="269"/>
      <x:c r="L1476" s="270"/>
      <x:c r="M1476" s="270"/>
      <x:c r="N1476" s="3"/>
      <x:c r="O1476" s="269"/>
      <x:c r="P1476" s="271"/>
      <x:c r="Q1476" s="272"/>
    </x:row>
    <x:row r="1477" ht="12.75">
      <x:c r="A1477" s="3"/>
      <x:c r="B1477" s="264"/>
      <x:c r="C1477" s="127"/>
      <x:c r="D1477" s="127"/>
      <x:c r="E1477" s="265"/>
      <x:c r="F1477" s="266"/>
      <x:c r="G1477" s="264"/>
      <x:c r="H1477" s="267"/>
      <x:c r="I1477" s="3"/>
      <x:c r="J1477" s="3"/>
      <x:c r="K1477" s="269"/>
      <x:c r="L1477" s="270"/>
      <x:c r="M1477" s="270"/>
      <x:c r="N1477" s="3"/>
      <x:c r="O1477" s="269"/>
      <x:c r="P1477" s="271"/>
      <x:c r="Q1477" s="272"/>
    </x:row>
    <x:row r="1478" ht="12.75">
      <x:c r="A1478" s="3"/>
      <x:c r="B1478" s="264"/>
      <x:c r="C1478" s="127"/>
      <x:c r="D1478" s="127"/>
      <x:c r="E1478" s="265"/>
      <x:c r="F1478" s="266"/>
      <x:c r="G1478" s="264"/>
      <x:c r="H1478" s="267"/>
      <x:c r="I1478" s="3"/>
      <x:c r="J1478" s="3"/>
      <x:c r="K1478" s="269"/>
      <x:c r="L1478" s="270"/>
      <x:c r="M1478" s="270"/>
      <x:c r="N1478" s="3"/>
      <x:c r="O1478" s="269"/>
      <x:c r="P1478" s="271"/>
      <x:c r="Q1478" s="272"/>
    </x:row>
    <x:row r="1479" ht="12.75">
      <x:c r="A1479" s="3"/>
      <x:c r="B1479" s="264"/>
      <x:c r="C1479" s="127"/>
      <x:c r="D1479" s="127"/>
      <x:c r="E1479" s="265"/>
      <x:c r="F1479" s="266"/>
      <x:c r="G1479" s="264"/>
      <x:c r="H1479" s="267"/>
      <x:c r="I1479" s="3"/>
      <x:c r="J1479" s="3"/>
      <x:c r="K1479" s="269"/>
      <x:c r="L1479" s="270"/>
      <x:c r="M1479" s="270"/>
      <x:c r="N1479" s="3"/>
      <x:c r="O1479" s="269"/>
      <x:c r="P1479" s="271"/>
      <x:c r="Q1479" s="272"/>
    </x:row>
    <x:row r="1480" ht="12.75">
      <x:c r="A1480" s="3"/>
      <x:c r="B1480" s="264"/>
      <x:c r="C1480" s="127"/>
      <x:c r="D1480" s="127"/>
      <x:c r="E1480" s="265"/>
      <x:c r="F1480" s="266"/>
      <x:c r="G1480" s="264"/>
      <x:c r="H1480" s="267"/>
      <x:c r="I1480" s="3"/>
      <x:c r="J1480" s="3"/>
      <x:c r="K1480" s="269"/>
      <x:c r="L1480" s="270"/>
      <x:c r="M1480" s="270"/>
      <x:c r="N1480" s="3"/>
      <x:c r="O1480" s="269"/>
      <x:c r="P1480" s="271"/>
      <x:c r="Q1480" s="272"/>
    </x:row>
    <x:row r="1481" ht="12.75">
      <x:c r="A1481" s="3"/>
      <x:c r="B1481" s="264"/>
      <x:c r="C1481" s="127"/>
      <x:c r="D1481" s="127"/>
      <x:c r="E1481" s="265"/>
      <x:c r="F1481" s="266"/>
      <x:c r="G1481" s="264"/>
      <x:c r="H1481" s="267"/>
      <x:c r="I1481" s="3"/>
      <x:c r="J1481" s="3"/>
      <x:c r="K1481" s="269"/>
      <x:c r="L1481" s="270"/>
      <x:c r="M1481" s="270"/>
      <x:c r="N1481" s="3"/>
      <x:c r="O1481" s="269"/>
      <x:c r="P1481" s="271"/>
      <x:c r="Q1481" s="272"/>
    </x:row>
    <x:row r="1482" ht="12.75">
      <x:c r="A1482" s="3"/>
      <x:c r="B1482" s="264"/>
      <x:c r="C1482" s="127"/>
      <x:c r="D1482" s="127"/>
      <x:c r="E1482" s="265"/>
      <x:c r="F1482" s="266"/>
      <x:c r="G1482" s="264"/>
      <x:c r="H1482" s="267"/>
      <x:c r="I1482" s="3"/>
      <x:c r="J1482" s="3"/>
      <x:c r="K1482" s="269"/>
      <x:c r="L1482" s="270"/>
      <x:c r="M1482" s="270"/>
      <x:c r="N1482" s="3"/>
      <x:c r="O1482" s="269"/>
      <x:c r="P1482" s="271"/>
      <x:c r="Q1482" s="272"/>
    </x:row>
    <x:row r="1483" ht="12.75">
      <x:c r="A1483" s="3"/>
      <x:c r="B1483" s="264"/>
      <x:c r="C1483" s="127"/>
      <x:c r="D1483" s="127"/>
      <x:c r="E1483" s="265"/>
      <x:c r="F1483" s="266"/>
      <x:c r="G1483" s="264"/>
      <x:c r="H1483" s="267"/>
      <x:c r="I1483" s="3"/>
      <x:c r="J1483" s="3"/>
      <x:c r="K1483" s="269"/>
      <x:c r="L1483" s="270"/>
      <x:c r="M1483" s="270"/>
      <x:c r="N1483" s="3"/>
      <x:c r="O1483" s="269"/>
      <x:c r="P1483" s="271"/>
      <x:c r="Q1483" s="272"/>
    </x:row>
    <x:row r="1484" ht="12.75">
      <x:c r="A1484" s="3"/>
      <x:c r="B1484" s="264"/>
      <x:c r="C1484" s="127"/>
      <x:c r="D1484" s="127"/>
      <x:c r="E1484" s="265"/>
      <x:c r="F1484" s="266"/>
      <x:c r="G1484" s="264"/>
      <x:c r="H1484" s="267"/>
      <x:c r="I1484" s="3"/>
      <x:c r="J1484" s="3"/>
      <x:c r="K1484" s="269"/>
      <x:c r="L1484" s="270"/>
      <x:c r="M1484" s="270"/>
      <x:c r="N1484" s="3"/>
      <x:c r="O1484" s="269"/>
      <x:c r="P1484" s="271"/>
      <x:c r="Q1484" s="272"/>
    </x:row>
    <x:row r="1485" ht="12.75">
      <x:c r="A1485" s="3"/>
      <x:c r="B1485" s="264"/>
      <x:c r="C1485" s="127"/>
      <x:c r="D1485" s="127"/>
      <x:c r="E1485" s="265"/>
      <x:c r="F1485" s="266"/>
      <x:c r="G1485" s="264"/>
      <x:c r="H1485" s="267"/>
      <x:c r="I1485" s="3"/>
      <x:c r="J1485" s="3"/>
      <x:c r="K1485" s="269"/>
      <x:c r="L1485" s="270"/>
      <x:c r="M1485" s="270"/>
      <x:c r="N1485" s="3"/>
      <x:c r="O1485" s="269"/>
      <x:c r="P1485" s="271"/>
      <x:c r="Q1485" s="272"/>
    </x:row>
    <x:row r="1486" ht="12.75">
      <x:c r="A1486" s="3"/>
      <x:c r="B1486" s="264"/>
      <x:c r="C1486" s="127"/>
      <x:c r="D1486" s="127"/>
      <x:c r="E1486" s="265"/>
      <x:c r="F1486" s="266"/>
      <x:c r="G1486" s="264"/>
      <x:c r="H1486" s="267"/>
      <x:c r="I1486" s="3"/>
      <x:c r="J1486" s="3"/>
      <x:c r="K1486" s="269"/>
      <x:c r="L1486" s="270"/>
      <x:c r="M1486" s="270"/>
      <x:c r="N1486" s="3"/>
      <x:c r="O1486" s="269"/>
      <x:c r="P1486" s="271"/>
      <x:c r="Q1486" s="272"/>
    </x:row>
    <x:row r="1487" ht="12.75">
      <x:c r="A1487" s="3"/>
      <x:c r="B1487" s="264"/>
      <x:c r="C1487" s="127"/>
      <x:c r="D1487" s="127"/>
      <x:c r="E1487" s="265"/>
      <x:c r="F1487" s="266"/>
      <x:c r="G1487" s="264"/>
      <x:c r="H1487" s="267"/>
      <x:c r="I1487" s="3"/>
      <x:c r="J1487" s="3"/>
      <x:c r="K1487" s="269"/>
      <x:c r="L1487" s="270"/>
      <x:c r="M1487" s="270"/>
      <x:c r="N1487" s="3"/>
      <x:c r="O1487" s="269"/>
      <x:c r="P1487" s="271"/>
      <x:c r="Q1487" s="272"/>
    </x:row>
    <x:row r="1488" ht="12.75">
      <x:c r="A1488" s="3"/>
      <x:c r="B1488" s="264"/>
      <x:c r="C1488" s="127"/>
      <x:c r="D1488" s="127"/>
      <x:c r="E1488" s="265"/>
      <x:c r="F1488" s="266"/>
      <x:c r="G1488" s="264"/>
      <x:c r="H1488" s="267"/>
      <x:c r="I1488" s="3"/>
      <x:c r="J1488" s="3"/>
      <x:c r="K1488" s="269"/>
      <x:c r="L1488" s="270"/>
      <x:c r="M1488" s="270"/>
      <x:c r="N1488" s="3"/>
      <x:c r="O1488" s="269"/>
      <x:c r="P1488" s="271"/>
      <x:c r="Q1488" s="272"/>
    </x:row>
    <x:row r="1489" ht="12.75">
      <x:c r="A1489" s="3"/>
      <x:c r="B1489" s="264"/>
      <x:c r="C1489" s="127"/>
      <x:c r="D1489" s="127"/>
      <x:c r="E1489" s="265"/>
      <x:c r="F1489" s="266"/>
      <x:c r="G1489" s="264"/>
      <x:c r="H1489" s="267"/>
      <x:c r="I1489" s="3"/>
      <x:c r="J1489" s="3"/>
      <x:c r="K1489" s="269"/>
      <x:c r="L1489" s="270"/>
      <x:c r="M1489" s="270"/>
      <x:c r="N1489" s="3"/>
      <x:c r="O1489" s="269"/>
      <x:c r="P1489" s="271"/>
      <x:c r="Q1489" s="272"/>
    </x:row>
    <x:row r="1490" ht="12.75">
      <x:c r="A1490" s="3"/>
      <x:c r="B1490" s="264"/>
      <x:c r="C1490" s="127"/>
      <x:c r="D1490" s="127"/>
      <x:c r="E1490" s="265"/>
      <x:c r="F1490" s="266"/>
      <x:c r="G1490" s="264"/>
      <x:c r="H1490" s="267"/>
      <x:c r="I1490" s="3"/>
      <x:c r="J1490" s="3"/>
      <x:c r="K1490" s="269"/>
      <x:c r="L1490" s="270"/>
      <x:c r="M1490" s="270"/>
      <x:c r="N1490" s="3"/>
      <x:c r="O1490" s="269"/>
      <x:c r="P1490" s="271"/>
      <x:c r="Q1490" s="272"/>
    </x:row>
    <x:row r="1491" ht="12.75">
      <x:c r="A1491" s="3"/>
      <x:c r="B1491" s="264"/>
      <x:c r="C1491" s="127"/>
      <x:c r="D1491" s="127"/>
      <x:c r="E1491" s="265"/>
      <x:c r="F1491" s="266"/>
      <x:c r="G1491" s="264"/>
      <x:c r="H1491" s="267"/>
      <x:c r="I1491" s="3"/>
      <x:c r="J1491" s="3"/>
      <x:c r="K1491" s="269"/>
      <x:c r="L1491" s="270"/>
      <x:c r="M1491" s="270"/>
      <x:c r="N1491" s="3"/>
      <x:c r="O1491" s="269"/>
      <x:c r="P1491" s="271"/>
      <x:c r="Q1491" s="272"/>
    </x:row>
    <x:row r="1492" ht="12.75">
      <x:c r="A1492" s="3"/>
      <x:c r="B1492" s="264"/>
      <x:c r="C1492" s="127"/>
      <x:c r="D1492" s="127"/>
      <x:c r="E1492" s="265"/>
      <x:c r="F1492" s="266"/>
      <x:c r="G1492" s="264"/>
      <x:c r="H1492" s="267"/>
      <x:c r="I1492" s="3"/>
      <x:c r="J1492" s="3"/>
      <x:c r="K1492" s="269"/>
      <x:c r="L1492" s="270"/>
      <x:c r="M1492" s="270"/>
      <x:c r="N1492" s="3"/>
      <x:c r="O1492" s="269"/>
      <x:c r="P1492" s="271"/>
      <x:c r="Q1492" s="272"/>
    </x:row>
    <x:row r="1493" ht="12.75">
      <x:c r="A1493" s="3"/>
      <x:c r="B1493" s="264"/>
      <x:c r="C1493" s="127"/>
      <x:c r="D1493" s="127"/>
      <x:c r="E1493" s="265"/>
      <x:c r="F1493" s="266"/>
      <x:c r="G1493" s="264"/>
      <x:c r="H1493" s="267"/>
      <x:c r="I1493" s="3"/>
      <x:c r="J1493" s="3"/>
      <x:c r="K1493" s="269"/>
      <x:c r="L1493" s="270"/>
      <x:c r="M1493" s="270"/>
      <x:c r="N1493" s="3"/>
      <x:c r="O1493" s="269"/>
      <x:c r="P1493" s="271"/>
      <x:c r="Q1493" s="272"/>
    </x:row>
    <x:row r="1494" ht="12.75">
      <x:c r="A1494" s="3"/>
      <x:c r="B1494" s="264"/>
      <x:c r="C1494" s="127"/>
      <x:c r="D1494" s="127"/>
      <x:c r="E1494" s="265"/>
      <x:c r="F1494" s="266"/>
      <x:c r="G1494" s="264"/>
      <x:c r="H1494" s="267"/>
      <x:c r="I1494" s="3"/>
      <x:c r="J1494" s="3"/>
      <x:c r="K1494" s="269"/>
      <x:c r="L1494" s="270"/>
      <x:c r="M1494" s="270"/>
      <x:c r="N1494" s="3"/>
      <x:c r="O1494" s="269"/>
      <x:c r="P1494" s="271"/>
      <x:c r="Q1494" s="272"/>
    </x:row>
    <x:row r="1495" ht="12.75">
      <x:c r="A1495" s="3"/>
      <x:c r="B1495" s="264"/>
      <x:c r="C1495" s="127"/>
      <x:c r="D1495" s="127"/>
      <x:c r="E1495" s="265"/>
      <x:c r="F1495" s="266"/>
      <x:c r="G1495" s="264"/>
      <x:c r="H1495" s="267"/>
      <x:c r="I1495" s="3"/>
      <x:c r="J1495" s="3"/>
      <x:c r="K1495" s="269"/>
      <x:c r="L1495" s="270"/>
      <x:c r="M1495" s="270"/>
      <x:c r="N1495" s="3"/>
      <x:c r="O1495" s="269"/>
      <x:c r="P1495" s="271"/>
      <x:c r="Q1495" s="272"/>
    </x:row>
    <x:row r="1496" ht="12.75">
      <x:c r="A1496" s="3"/>
      <x:c r="B1496" s="264"/>
      <x:c r="C1496" s="127"/>
      <x:c r="D1496" s="127"/>
      <x:c r="E1496" s="265"/>
      <x:c r="F1496" s="266"/>
      <x:c r="G1496" s="264"/>
      <x:c r="H1496" s="267"/>
      <x:c r="I1496" s="3"/>
      <x:c r="J1496" s="3"/>
      <x:c r="K1496" s="269"/>
      <x:c r="L1496" s="270"/>
      <x:c r="M1496" s="270"/>
      <x:c r="N1496" s="3"/>
      <x:c r="O1496" s="269"/>
      <x:c r="P1496" s="271"/>
      <x:c r="Q1496" s="272"/>
    </x:row>
    <x:row r="1497" ht="12.75">
      <x:c r="A1497" s="3"/>
      <x:c r="B1497" s="264"/>
      <x:c r="C1497" s="127"/>
      <x:c r="D1497" s="127"/>
      <x:c r="E1497" s="265"/>
      <x:c r="F1497" s="266"/>
      <x:c r="G1497" s="264"/>
      <x:c r="H1497" s="267"/>
      <x:c r="I1497" s="3"/>
      <x:c r="J1497" s="3"/>
      <x:c r="K1497" s="269"/>
      <x:c r="L1497" s="270"/>
      <x:c r="M1497" s="270"/>
      <x:c r="N1497" s="3"/>
      <x:c r="O1497" s="269"/>
      <x:c r="P1497" s="271"/>
      <x:c r="Q1497" s="272"/>
    </x:row>
    <x:row r="1498" ht="12.75">
      <x:c r="A1498" s="3"/>
      <x:c r="B1498" s="264"/>
      <x:c r="C1498" s="127"/>
      <x:c r="D1498" s="127"/>
      <x:c r="E1498" s="265"/>
      <x:c r="F1498" s="266"/>
      <x:c r="G1498" s="264"/>
      <x:c r="H1498" s="267"/>
      <x:c r="I1498" s="3"/>
      <x:c r="J1498" s="3"/>
      <x:c r="K1498" s="269"/>
      <x:c r="L1498" s="270"/>
      <x:c r="M1498" s="270"/>
      <x:c r="N1498" s="3"/>
      <x:c r="O1498" s="269"/>
      <x:c r="P1498" s="271"/>
      <x:c r="Q1498" s="272"/>
    </x:row>
    <x:row r="1499" ht="12.75">
      <x:c r="A1499" s="3"/>
      <x:c r="B1499" s="264"/>
      <x:c r="C1499" s="127"/>
      <x:c r="D1499" s="127"/>
      <x:c r="E1499" s="265"/>
      <x:c r="F1499" s="266"/>
      <x:c r="G1499" s="264"/>
      <x:c r="H1499" s="267"/>
      <x:c r="I1499" s="3"/>
      <x:c r="J1499" s="3"/>
      <x:c r="K1499" s="269"/>
      <x:c r="L1499" s="270"/>
      <x:c r="M1499" s="270"/>
      <x:c r="N1499" s="3"/>
      <x:c r="O1499" s="269"/>
      <x:c r="P1499" s="271"/>
      <x:c r="Q1499" s="272"/>
    </x:row>
    <x:row r="1500" ht="12.75">
      <x:c r="A1500" s="3"/>
      <x:c r="B1500" s="264"/>
      <x:c r="C1500" s="127"/>
      <x:c r="D1500" s="127"/>
      <x:c r="E1500" s="265"/>
      <x:c r="F1500" s="266"/>
      <x:c r="G1500" s="264"/>
      <x:c r="H1500" s="267"/>
      <x:c r="I1500" s="3"/>
      <x:c r="J1500" s="3"/>
      <x:c r="K1500" s="269"/>
      <x:c r="L1500" s="270"/>
      <x:c r="M1500" s="270"/>
      <x:c r="N1500" s="3"/>
      <x:c r="O1500" s="269"/>
      <x:c r="P1500" s="271"/>
      <x:c r="Q1500" s="272"/>
    </x:row>
    <x:row r="1501" ht="12.75">
      <x:c r="A1501" s="3"/>
      <x:c r="B1501" s="264"/>
      <x:c r="C1501" s="127"/>
      <x:c r="D1501" s="127"/>
      <x:c r="E1501" s="265"/>
      <x:c r="F1501" s="266"/>
      <x:c r="G1501" s="264"/>
      <x:c r="H1501" s="267"/>
      <x:c r="I1501" s="3"/>
      <x:c r="J1501" s="3"/>
      <x:c r="K1501" s="269"/>
      <x:c r="L1501" s="270"/>
      <x:c r="M1501" s="270"/>
      <x:c r="N1501" s="3"/>
      <x:c r="O1501" s="269"/>
      <x:c r="P1501" s="271"/>
      <x:c r="Q1501" s="272"/>
    </x:row>
    <x:row r="1502" ht="12.75">
      <x:c r="A1502" s="3"/>
      <x:c r="B1502" s="264"/>
      <x:c r="C1502" s="127"/>
      <x:c r="D1502" s="127"/>
      <x:c r="E1502" s="265"/>
      <x:c r="F1502" s="266"/>
      <x:c r="G1502" s="264"/>
      <x:c r="H1502" s="267"/>
      <x:c r="I1502" s="3"/>
      <x:c r="J1502" s="3"/>
      <x:c r="K1502" s="269"/>
      <x:c r="L1502" s="270"/>
      <x:c r="M1502" s="270"/>
      <x:c r="N1502" s="3"/>
      <x:c r="O1502" s="269"/>
      <x:c r="P1502" s="271"/>
      <x:c r="Q1502" s="272"/>
    </x:row>
    <x:row r="1503" ht="12.75">
      <x:c r="A1503" s="3"/>
      <x:c r="B1503" s="264"/>
      <x:c r="C1503" s="127"/>
      <x:c r="D1503" s="127"/>
      <x:c r="E1503" s="265"/>
      <x:c r="F1503" s="266"/>
      <x:c r="G1503" s="264"/>
      <x:c r="H1503" s="267"/>
      <x:c r="I1503" s="3"/>
      <x:c r="J1503" s="3"/>
      <x:c r="K1503" s="269"/>
      <x:c r="L1503" s="270"/>
      <x:c r="M1503" s="270"/>
      <x:c r="N1503" s="3"/>
      <x:c r="O1503" s="269"/>
      <x:c r="P1503" s="271"/>
      <x:c r="Q1503" s="272"/>
    </x:row>
    <x:row r="1504" ht="12.75">
      <x:c r="A1504" s="3"/>
      <x:c r="B1504" s="264"/>
      <x:c r="C1504" s="127"/>
      <x:c r="D1504" s="127"/>
      <x:c r="E1504" s="265"/>
      <x:c r="F1504" s="266"/>
      <x:c r="G1504" s="264"/>
      <x:c r="H1504" s="267"/>
      <x:c r="I1504" s="3"/>
      <x:c r="J1504" s="3"/>
      <x:c r="K1504" s="269"/>
      <x:c r="L1504" s="270"/>
      <x:c r="M1504" s="270"/>
      <x:c r="N1504" s="3"/>
      <x:c r="O1504" s="269"/>
      <x:c r="P1504" s="271"/>
      <x:c r="Q1504" s="272"/>
    </x:row>
    <x:row r="1505" ht="12.75">
      <x:c r="A1505" s="3"/>
      <x:c r="B1505" s="264"/>
      <x:c r="C1505" s="127"/>
      <x:c r="D1505" s="127"/>
      <x:c r="E1505" s="265"/>
      <x:c r="F1505" s="266"/>
      <x:c r="G1505" s="264"/>
      <x:c r="H1505" s="267"/>
      <x:c r="I1505" s="3"/>
      <x:c r="J1505" s="3"/>
      <x:c r="K1505" s="269"/>
      <x:c r="L1505" s="270"/>
      <x:c r="M1505" s="270"/>
      <x:c r="N1505" s="3"/>
      <x:c r="O1505" s="269"/>
      <x:c r="P1505" s="271"/>
      <x:c r="Q1505" s="272"/>
    </x:row>
    <x:row r="1506" ht="12.75">
      <x:c r="A1506" s="3"/>
      <x:c r="B1506" s="264"/>
      <x:c r="C1506" s="127"/>
      <x:c r="D1506" s="127"/>
      <x:c r="E1506" s="265"/>
      <x:c r="F1506" s="266"/>
      <x:c r="G1506" s="264"/>
      <x:c r="H1506" s="267"/>
      <x:c r="I1506" s="3"/>
      <x:c r="J1506" s="3"/>
      <x:c r="K1506" s="269"/>
      <x:c r="L1506" s="270"/>
      <x:c r="M1506" s="270"/>
      <x:c r="N1506" s="3"/>
      <x:c r="O1506" s="269"/>
      <x:c r="P1506" s="271"/>
      <x:c r="Q1506" s="272"/>
    </x:row>
    <x:row r="1507" ht="12.75">
      <x:c r="A1507" s="3"/>
      <x:c r="B1507" s="264"/>
      <x:c r="C1507" s="127"/>
      <x:c r="D1507" s="127"/>
      <x:c r="E1507" s="265"/>
      <x:c r="F1507" s="266"/>
      <x:c r="G1507" s="264"/>
      <x:c r="H1507" s="267"/>
      <x:c r="I1507" s="3"/>
      <x:c r="J1507" s="3"/>
      <x:c r="K1507" s="269"/>
      <x:c r="L1507" s="270"/>
      <x:c r="M1507" s="270"/>
      <x:c r="N1507" s="3"/>
      <x:c r="O1507" s="269"/>
      <x:c r="P1507" s="271"/>
      <x:c r="Q1507" s="272"/>
    </x:row>
    <x:row r="1508" ht="12.75">
      <x:c r="A1508" s="3"/>
      <x:c r="B1508" s="264"/>
      <x:c r="C1508" s="127"/>
      <x:c r="D1508" s="127"/>
      <x:c r="E1508" s="265"/>
      <x:c r="F1508" s="266"/>
      <x:c r="G1508" s="264"/>
      <x:c r="H1508" s="267"/>
      <x:c r="I1508" s="3"/>
      <x:c r="J1508" s="3"/>
      <x:c r="K1508" s="269"/>
      <x:c r="L1508" s="270"/>
      <x:c r="M1508" s="270"/>
      <x:c r="N1508" s="3"/>
      <x:c r="O1508" s="269"/>
      <x:c r="P1508" s="271"/>
      <x:c r="Q1508" s="272"/>
    </x:row>
    <x:row r="1509" ht="12.75">
      <x:c r="A1509" s="3"/>
      <x:c r="B1509" s="264"/>
      <x:c r="C1509" s="127"/>
      <x:c r="D1509" s="127"/>
      <x:c r="E1509" s="265"/>
      <x:c r="F1509" s="266"/>
      <x:c r="G1509" s="264"/>
      <x:c r="H1509" s="267"/>
      <x:c r="I1509" s="3"/>
      <x:c r="J1509" s="3"/>
      <x:c r="K1509" s="269"/>
      <x:c r="L1509" s="270"/>
      <x:c r="M1509" s="270"/>
      <x:c r="N1509" s="3"/>
      <x:c r="O1509" s="269"/>
      <x:c r="P1509" s="271"/>
      <x:c r="Q1509" s="272"/>
    </x:row>
    <x:row r="1510" ht="12.75">
      <x:c r="A1510" s="3"/>
      <x:c r="B1510" s="264"/>
      <x:c r="C1510" s="127"/>
      <x:c r="D1510" s="127"/>
      <x:c r="E1510" s="265"/>
      <x:c r="F1510" s="266"/>
      <x:c r="G1510" s="264"/>
      <x:c r="H1510" s="267"/>
      <x:c r="I1510" s="3"/>
      <x:c r="J1510" s="3"/>
      <x:c r="K1510" s="269"/>
      <x:c r="L1510" s="270"/>
      <x:c r="M1510" s="270"/>
      <x:c r="N1510" s="3"/>
      <x:c r="O1510" s="269"/>
      <x:c r="P1510" s="271"/>
      <x:c r="Q1510" s="272"/>
    </x:row>
    <x:row r="1511" ht="12.75">
      <x:c r="A1511" s="3"/>
      <x:c r="B1511" s="264"/>
      <x:c r="C1511" s="127"/>
      <x:c r="D1511" s="127"/>
      <x:c r="E1511" s="265"/>
      <x:c r="F1511" s="266"/>
      <x:c r="G1511" s="264"/>
      <x:c r="H1511" s="267"/>
      <x:c r="I1511" s="3"/>
      <x:c r="J1511" s="3"/>
      <x:c r="K1511" s="269"/>
      <x:c r="L1511" s="270"/>
      <x:c r="M1511" s="270"/>
      <x:c r="N1511" s="3"/>
      <x:c r="O1511" s="269"/>
      <x:c r="P1511" s="271"/>
      <x:c r="Q1511" s="272"/>
    </x:row>
    <x:row r="1512" ht="12.75">
      <x:c r="A1512" s="3"/>
      <x:c r="B1512" s="264"/>
      <x:c r="C1512" s="127"/>
      <x:c r="D1512" s="127"/>
      <x:c r="E1512" s="265"/>
      <x:c r="F1512" s="266"/>
      <x:c r="G1512" s="264"/>
      <x:c r="H1512" s="267"/>
      <x:c r="I1512" s="3"/>
      <x:c r="J1512" s="3"/>
      <x:c r="K1512" s="269"/>
      <x:c r="L1512" s="270"/>
      <x:c r="M1512" s="270"/>
      <x:c r="N1512" s="3"/>
      <x:c r="O1512" s="269"/>
      <x:c r="P1512" s="271"/>
      <x:c r="Q1512" s="272"/>
    </x:row>
    <x:row r="1513" ht="12.75">
      <x:c r="A1513" s="3"/>
      <x:c r="B1513" s="264"/>
      <x:c r="C1513" s="127"/>
      <x:c r="D1513" s="127"/>
      <x:c r="E1513" s="265"/>
      <x:c r="F1513" s="266"/>
      <x:c r="G1513" s="264"/>
      <x:c r="H1513" s="267"/>
      <x:c r="I1513" s="3"/>
      <x:c r="J1513" s="3"/>
      <x:c r="K1513" s="269"/>
      <x:c r="L1513" s="270"/>
      <x:c r="M1513" s="270"/>
      <x:c r="N1513" s="3"/>
      <x:c r="O1513" s="269"/>
      <x:c r="P1513" s="271"/>
      <x:c r="Q1513" s="272"/>
    </x:row>
    <x:row r="1514" ht="12.75">
      <x:c r="A1514" s="3"/>
      <x:c r="B1514" s="264"/>
      <x:c r="C1514" s="127"/>
      <x:c r="D1514" s="127"/>
      <x:c r="E1514" s="265"/>
      <x:c r="F1514" s="266"/>
      <x:c r="G1514" s="264"/>
      <x:c r="H1514" s="267"/>
      <x:c r="I1514" s="3"/>
      <x:c r="J1514" s="3"/>
      <x:c r="K1514" s="269"/>
      <x:c r="L1514" s="270"/>
      <x:c r="M1514" s="270"/>
      <x:c r="N1514" s="3"/>
      <x:c r="O1514" s="269"/>
      <x:c r="P1514" s="271"/>
      <x:c r="Q1514" s="272"/>
    </x:row>
    <x:row r="1515" ht="12.75">
      <x:c r="A1515" s="3"/>
      <x:c r="B1515" s="264"/>
      <x:c r="C1515" s="127"/>
      <x:c r="D1515" s="127"/>
      <x:c r="E1515" s="265"/>
      <x:c r="F1515" s="266"/>
      <x:c r="G1515" s="264"/>
      <x:c r="H1515" s="267"/>
      <x:c r="I1515" s="3"/>
      <x:c r="J1515" s="3"/>
      <x:c r="K1515" s="269"/>
      <x:c r="L1515" s="270"/>
      <x:c r="M1515" s="270"/>
      <x:c r="N1515" s="3"/>
      <x:c r="O1515" s="269"/>
      <x:c r="P1515" s="271"/>
      <x:c r="Q1515" s="272"/>
    </x:row>
    <x:row r="1516" ht="12.75">
      <x:c r="A1516" s="3"/>
      <x:c r="B1516" s="264"/>
      <x:c r="C1516" s="127"/>
      <x:c r="D1516" s="127"/>
      <x:c r="E1516" s="265"/>
      <x:c r="F1516" s="266"/>
      <x:c r="G1516" s="264"/>
      <x:c r="H1516" s="267"/>
      <x:c r="I1516" s="3"/>
      <x:c r="J1516" s="3"/>
      <x:c r="K1516" s="269"/>
      <x:c r="L1516" s="270"/>
      <x:c r="M1516" s="270"/>
      <x:c r="N1516" s="3"/>
      <x:c r="O1516" s="269"/>
      <x:c r="P1516" s="271"/>
      <x:c r="Q1516" s="272"/>
    </x:row>
    <x:row r="1517" ht="12.75">
      <x:c r="A1517" s="3"/>
      <x:c r="B1517" s="264"/>
      <x:c r="C1517" s="127"/>
      <x:c r="D1517" s="127"/>
      <x:c r="E1517" s="265"/>
      <x:c r="F1517" s="266"/>
      <x:c r="G1517" s="264"/>
      <x:c r="H1517" s="267"/>
      <x:c r="I1517" s="3"/>
      <x:c r="J1517" s="3"/>
      <x:c r="K1517" s="269"/>
      <x:c r="L1517" s="270"/>
      <x:c r="M1517" s="270"/>
      <x:c r="N1517" s="3"/>
      <x:c r="O1517" s="269"/>
      <x:c r="P1517" s="271"/>
      <x:c r="Q1517" s="272"/>
    </x:row>
    <x:row r="1518" ht="12.75">
      <x:c r="A1518" s="3"/>
      <x:c r="B1518" s="264"/>
      <x:c r="C1518" s="127"/>
      <x:c r="D1518" s="127"/>
      <x:c r="E1518" s="265"/>
      <x:c r="F1518" s="266"/>
      <x:c r="G1518" s="264"/>
      <x:c r="H1518" s="267"/>
      <x:c r="I1518" s="3"/>
      <x:c r="J1518" s="3"/>
      <x:c r="K1518" s="269"/>
      <x:c r="L1518" s="270"/>
      <x:c r="M1518" s="270"/>
      <x:c r="N1518" s="3"/>
      <x:c r="O1518" s="269"/>
      <x:c r="P1518" s="271"/>
      <x:c r="Q1518" s="272"/>
    </x:row>
    <x:row r="1519" ht="12.75">
      <x:c r="A1519" s="3"/>
      <x:c r="B1519" s="264"/>
      <x:c r="C1519" s="127"/>
      <x:c r="D1519" s="127"/>
      <x:c r="E1519" s="265"/>
      <x:c r="F1519" s="266"/>
      <x:c r="G1519" s="264"/>
      <x:c r="H1519" s="267"/>
      <x:c r="I1519" s="3"/>
      <x:c r="J1519" s="3"/>
      <x:c r="K1519" s="269"/>
      <x:c r="L1519" s="270"/>
      <x:c r="M1519" s="270"/>
      <x:c r="N1519" s="3"/>
      <x:c r="O1519" s="269"/>
      <x:c r="P1519" s="271"/>
      <x:c r="Q1519" s="272"/>
    </x:row>
    <x:row r="1520" ht="12.75">
      <x:c r="A1520" s="3"/>
      <x:c r="B1520" s="264"/>
      <x:c r="C1520" s="127"/>
      <x:c r="D1520" s="127"/>
      <x:c r="E1520" s="265"/>
      <x:c r="F1520" s="266"/>
      <x:c r="G1520" s="264"/>
      <x:c r="H1520" s="267"/>
      <x:c r="I1520" s="3"/>
      <x:c r="J1520" s="3"/>
      <x:c r="K1520" s="269"/>
      <x:c r="L1520" s="270"/>
      <x:c r="M1520" s="270"/>
      <x:c r="N1520" s="3"/>
      <x:c r="O1520" s="269"/>
      <x:c r="P1520" s="271"/>
      <x:c r="Q1520" s="272"/>
    </x:row>
    <x:row r="1521" ht="12.75">
      <x:c r="A1521" s="3"/>
      <x:c r="B1521" s="264"/>
      <x:c r="C1521" s="127"/>
      <x:c r="D1521" s="127"/>
      <x:c r="E1521" s="265"/>
      <x:c r="F1521" s="266"/>
      <x:c r="G1521" s="264"/>
      <x:c r="H1521" s="267"/>
      <x:c r="I1521" s="3"/>
      <x:c r="J1521" s="3"/>
      <x:c r="K1521" s="269"/>
      <x:c r="L1521" s="270"/>
      <x:c r="M1521" s="270"/>
      <x:c r="N1521" s="3"/>
      <x:c r="O1521" s="269"/>
      <x:c r="P1521" s="271"/>
      <x:c r="Q1521" s="272"/>
    </x:row>
    <x:row r="1522" ht="12.75">
      <x:c r="A1522" s="3"/>
      <x:c r="B1522" s="264"/>
      <x:c r="C1522" s="127"/>
      <x:c r="D1522" s="127"/>
      <x:c r="E1522" s="265"/>
      <x:c r="F1522" s="266"/>
      <x:c r="G1522" s="264"/>
      <x:c r="H1522" s="267"/>
      <x:c r="I1522" s="3"/>
      <x:c r="J1522" s="3"/>
      <x:c r="K1522" s="269"/>
      <x:c r="L1522" s="270"/>
      <x:c r="M1522" s="270"/>
      <x:c r="N1522" s="3"/>
      <x:c r="O1522" s="269"/>
      <x:c r="P1522" s="271"/>
      <x:c r="Q1522" s="272"/>
    </x:row>
    <x:row r="1523" ht="12.75">
      <x:c r="A1523" s="3"/>
      <x:c r="B1523" s="264"/>
      <x:c r="C1523" s="127"/>
      <x:c r="D1523" s="127"/>
      <x:c r="E1523" s="265"/>
      <x:c r="F1523" s="266"/>
      <x:c r="G1523" s="264"/>
      <x:c r="H1523" s="267"/>
      <x:c r="I1523" s="3"/>
      <x:c r="J1523" s="3"/>
      <x:c r="K1523" s="269"/>
      <x:c r="L1523" s="270"/>
      <x:c r="M1523" s="270"/>
      <x:c r="N1523" s="3"/>
      <x:c r="O1523" s="269"/>
      <x:c r="P1523" s="271"/>
      <x:c r="Q1523" s="272"/>
    </x:row>
    <x:row r="1524" ht="12.75">
      <x:c r="A1524" s="3"/>
      <x:c r="B1524" s="264"/>
      <x:c r="C1524" s="127"/>
      <x:c r="D1524" s="127"/>
      <x:c r="E1524" s="265"/>
      <x:c r="F1524" s="266"/>
      <x:c r="G1524" s="264"/>
      <x:c r="H1524" s="267"/>
      <x:c r="I1524" s="3"/>
      <x:c r="J1524" s="3"/>
      <x:c r="K1524" s="269"/>
      <x:c r="L1524" s="270"/>
      <x:c r="M1524" s="270"/>
      <x:c r="N1524" s="3"/>
      <x:c r="O1524" s="269"/>
      <x:c r="P1524" s="271"/>
      <x:c r="Q1524" s="272"/>
    </x:row>
    <x:row r="1525" ht="12.75">
      <x:c r="A1525" s="3"/>
      <x:c r="B1525" s="264"/>
      <x:c r="C1525" s="127"/>
      <x:c r="D1525" s="127"/>
      <x:c r="E1525" s="265"/>
      <x:c r="F1525" s="266"/>
      <x:c r="G1525" s="264"/>
      <x:c r="H1525" s="267"/>
      <x:c r="I1525" s="3"/>
      <x:c r="J1525" s="3"/>
      <x:c r="K1525" s="269"/>
      <x:c r="L1525" s="270"/>
      <x:c r="M1525" s="270"/>
      <x:c r="N1525" s="3"/>
      <x:c r="O1525" s="269"/>
      <x:c r="P1525" s="271"/>
      <x:c r="Q1525" s="272"/>
    </x:row>
    <x:row r="1526" ht="12.75">
      <x:c r="A1526" s="3"/>
      <x:c r="B1526" s="264"/>
      <x:c r="C1526" s="127"/>
      <x:c r="D1526" s="127"/>
      <x:c r="E1526" s="265"/>
      <x:c r="F1526" s="266"/>
      <x:c r="G1526" s="264"/>
      <x:c r="H1526" s="267"/>
      <x:c r="I1526" s="3"/>
      <x:c r="J1526" s="3"/>
      <x:c r="K1526" s="269"/>
      <x:c r="L1526" s="270"/>
      <x:c r="M1526" s="270"/>
      <x:c r="N1526" s="3"/>
      <x:c r="O1526" s="269"/>
      <x:c r="P1526" s="271"/>
      <x:c r="Q1526" s="272"/>
    </x:row>
    <x:row r="1527" ht="12.75">
      <x:c r="A1527" s="3"/>
      <x:c r="B1527" s="264"/>
      <x:c r="C1527" s="127"/>
      <x:c r="D1527" s="127"/>
      <x:c r="E1527" s="265"/>
      <x:c r="F1527" s="266"/>
      <x:c r="G1527" s="264"/>
      <x:c r="H1527" s="267"/>
      <x:c r="I1527" s="3"/>
      <x:c r="J1527" s="3"/>
      <x:c r="K1527" s="269"/>
      <x:c r="L1527" s="270"/>
      <x:c r="M1527" s="270"/>
      <x:c r="N1527" s="3"/>
      <x:c r="O1527" s="269"/>
      <x:c r="P1527" s="271"/>
      <x:c r="Q1527" s="272"/>
    </x:row>
    <x:row r="1528" ht="12.75">
      <x:c r="A1528" s="3"/>
      <x:c r="B1528" s="264"/>
      <x:c r="C1528" s="127"/>
      <x:c r="D1528" s="127"/>
      <x:c r="E1528" s="265"/>
      <x:c r="F1528" s="266"/>
      <x:c r="G1528" s="264"/>
      <x:c r="H1528" s="267"/>
      <x:c r="I1528" s="3"/>
      <x:c r="J1528" s="3"/>
      <x:c r="K1528" s="269"/>
      <x:c r="L1528" s="270"/>
      <x:c r="M1528" s="270"/>
      <x:c r="N1528" s="3"/>
      <x:c r="O1528" s="269"/>
      <x:c r="P1528" s="271"/>
      <x:c r="Q1528" s="272"/>
    </x:row>
    <x:row r="1529" ht="12.75">
      <x:c r="A1529" s="3"/>
      <x:c r="B1529" s="264"/>
      <x:c r="C1529" s="127"/>
      <x:c r="D1529" s="127"/>
      <x:c r="E1529" s="265"/>
      <x:c r="F1529" s="266"/>
      <x:c r="G1529" s="264"/>
      <x:c r="H1529" s="267"/>
      <x:c r="I1529" s="3"/>
      <x:c r="J1529" s="3"/>
      <x:c r="K1529" s="269"/>
      <x:c r="L1529" s="270"/>
      <x:c r="M1529" s="270"/>
      <x:c r="N1529" s="3"/>
      <x:c r="O1529" s="269"/>
      <x:c r="P1529" s="271"/>
      <x:c r="Q1529" s="272"/>
    </x:row>
    <x:row r="1530" ht="12.75">
      <x:c r="A1530" s="3"/>
      <x:c r="B1530" s="264"/>
      <x:c r="C1530" s="127"/>
      <x:c r="D1530" s="127"/>
      <x:c r="E1530" s="265"/>
      <x:c r="F1530" s="266"/>
      <x:c r="G1530" s="264"/>
      <x:c r="H1530" s="267"/>
      <x:c r="I1530" s="3"/>
      <x:c r="J1530" s="3"/>
      <x:c r="K1530" s="269"/>
      <x:c r="L1530" s="270"/>
      <x:c r="M1530" s="270"/>
      <x:c r="N1530" s="3"/>
      <x:c r="O1530" s="269"/>
      <x:c r="P1530" s="271"/>
      <x:c r="Q1530" s="272"/>
    </x:row>
    <x:row r="1531" ht="12.75">
      <x:c r="A1531" s="3"/>
      <x:c r="B1531" s="264"/>
      <x:c r="C1531" s="127"/>
      <x:c r="D1531" s="127"/>
      <x:c r="E1531" s="265"/>
      <x:c r="F1531" s="266"/>
      <x:c r="G1531" s="264"/>
      <x:c r="H1531" s="267"/>
      <x:c r="I1531" s="3"/>
      <x:c r="J1531" s="3"/>
      <x:c r="K1531" s="269"/>
      <x:c r="L1531" s="270"/>
      <x:c r="M1531" s="270"/>
      <x:c r="N1531" s="3"/>
      <x:c r="O1531" s="269"/>
      <x:c r="P1531" s="271"/>
      <x:c r="Q1531" s="272"/>
    </x:row>
    <x:row r="1532" ht="12.75">
      <x:c r="A1532" s="3"/>
      <x:c r="B1532" s="264"/>
      <x:c r="C1532" s="127"/>
      <x:c r="D1532" s="127"/>
      <x:c r="E1532" s="265"/>
      <x:c r="F1532" s="266"/>
      <x:c r="G1532" s="264"/>
      <x:c r="H1532" s="267"/>
      <x:c r="I1532" s="3"/>
      <x:c r="J1532" s="3"/>
      <x:c r="K1532" s="269"/>
      <x:c r="L1532" s="270"/>
      <x:c r="M1532" s="270"/>
      <x:c r="N1532" s="3"/>
      <x:c r="O1532" s="269"/>
      <x:c r="P1532" s="271"/>
      <x:c r="Q1532" s="272"/>
    </x:row>
    <x:row r="1533" ht="12.75">
      <x:c r="A1533" s="3"/>
      <x:c r="B1533" s="264"/>
      <x:c r="C1533" s="127"/>
      <x:c r="D1533" s="127"/>
      <x:c r="E1533" s="265"/>
      <x:c r="F1533" s="266"/>
      <x:c r="G1533" s="264"/>
      <x:c r="H1533" s="267"/>
      <x:c r="I1533" s="3"/>
      <x:c r="J1533" s="3"/>
      <x:c r="K1533" s="269"/>
      <x:c r="L1533" s="270"/>
      <x:c r="M1533" s="270"/>
      <x:c r="N1533" s="3"/>
      <x:c r="O1533" s="269"/>
      <x:c r="P1533" s="271"/>
      <x:c r="Q1533" s="272"/>
    </x:row>
    <x:row r="1534" ht="12.75">
      <x:c r="A1534" s="3"/>
      <x:c r="B1534" s="264"/>
      <x:c r="C1534" s="127"/>
      <x:c r="D1534" s="127"/>
      <x:c r="E1534" s="265"/>
      <x:c r="F1534" s="266"/>
      <x:c r="G1534" s="264"/>
      <x:c r="H1534" s="267"/>
      <x:c r="I1534" s="3"/>
      <x:c r="J1534" s="3"/>
      <x:c r="K1534" s="269"/>
      <x:c r="L1534" s="270"/>
      <x:c r="M1534" s="270"/>
      <x:c r="N1534" s="3"/>
      <x:c r="O1534" s="269"/>
      <x:c r="P1534" s="271"/>
      <x:c r="Q1534" s="272"/>
    </x:row>
    <x:row r="1535" ht="12.75">
      <x:c r="A1535" s="3"/>
      <x:c r="B1535" s="264"/>
      <x:c r="C1535" s="127"/>
      <x:c r="D1535" s="127"/>
      <x:c r="E1535" s="265"/>
      <x:c r="F1535" s="266"/>
      <x:c r="G1535" s="264"/>
      <x:c r="H1535" s="267"/>
      <x:c r="I1535" s="3"/>
      <x:c r="J1535" s="3"/>
      <x:c r="K1535" s="269"/>
      <x:c r="L1535" s="270"/>
      <x:c r="M1535" s="270"/>
      <x:c r="N1535" s="3"/>
      <x:c r="O1535" s="269"/>
      <x:c r="P1535" s="271"/>
      <x:c r="Q1535" s="272"/>
    </x:row>
    <x:row r="1536" ht="12.75">
      <x:c r="A1536" s="3"/>
      <x:c r="B1536" s="264"/>
      <x:c r="C1536" s="127"/>
      <x:c r="D1536" s="127"/>
      <x:c r="E1536" s="265"/>
      <x:c r="F1536" s="266"/>
      <x:c r="G1536" s="264"/>
      <x:c r="H1536" s="267"/>
      <x:c r="I1536" s="3"/>
      <x:c r="J1536" s="3"/>
      <x:c r="K1536" s="269"/>
      <x:c r="L1536" s="270"/>
      <x:c r="M1536" s="270"/>
      <x:c r="N1536" s="3"/>
      <x:c r="O1536" s="269"/>
      <x:c r="P1536" s="271"/>
      <x:c r="Q1536" s="272"/>
    </x:row>
    <x:row r="1537" ht="12.75">
      <x:c r="A1537" s="3"/>
      <x:c r="B1537" s="264"/>
      <x:c r="C1537" s="127"/>
      <x:c r="D1537" s="127"/>
      <x:c r="E1537" s="265"/>
      <x:c r="F1537" s="266"/>
      <x:c r="G1537" s="264"/>
      <x:c r="H1537" s="267"/>
      <x:c r="I1537" s="3"/>
      <x:c r="J1537" s="3"/>
      <x:c r="K1537" s="269"/>
      <x:c r="L1537" s="270"/>
      <x:c r="M1537" s="270"/>
      <x:c r="N1537" s="3"/>
      <x:c r="O1537" s="269"/>
      <x:c r="P1537" s="271"/>
      <x:c r="Q1537" s="272"/>
    </x:row>
    <x:row r="1538" ht="12.75">
      <x:c r="A1538" s="3"/>
      <x:c r="B1538" s="264"/>
      <x:c r="C1538" s="127"/>
      <x:c r="D1538" s="127"/>
      <x:c r="E1538" s="265"/>
      <x:c r="F1538" s="266"/>
      <x:c r="G1538" s="264"/>
      <x:c r="H1538" s="267"/>
      <x:c r="I1538" s="3"/>
      <x:c r="J1538" s="3"/>
      <x:c r="K1538" s="269"/>
      <x:c r="L1538" s="270"/>
      <x:c r="M1538" s="270"/>
      <x:c r="N1538" s="3"/>
      <x:c r="O1538" s="269"/>
      <x:c r="P1538" s="271"/>
      <x:c r="Q1538" s="272"/>
    </x:row>
    <x:row r="1539" ht="12.75">
      <x:c r="A1539" s="3"/>
      <x:c r="B1539" s="264"/>
      <x:c r="C1539" s="127"/>
      <x:c r="D1539" s="127"/>
      <x:c r="E1539" s="265"/>
      <x:c r="F1539" s="266"/>
      <x:c r="G1539" s="264"/>
      <x:c r="H1539" s="267"/>
      <x:c r="I1539" s="3"/>
      <x:c r="J1539" s="3"/>
      <x:c r="K1539" s="269"/>
      <x:c r="L1539" s="270"/>
      <x:c r="M1539" s="270"/>
      <x:c r="N1539" s="3"/>
      <x:c r="O1539" s="269"/>
      <x:c r="P1539" s="271"/>
      <x:c r="Q1539" s="272"/>
    </x:row>
    <x:row r="1540" ht="12.75">
      <x:c r="A1540" s="3"/>
      <x:c r="B1540" s="264"/>
      <x:c r="C1540" s="127"/>
      <x:c r="D1540" s="127"/>
      <x:c r="E1540" s="265"/>
      <x:c r="F1540" s="266"/>
      <x:c r="G1540" s="264"/>
      <x:c r="H1540" s="267"/>
      <x:c r="I1540" s="3"/>
      <x:c r="J1540" s="3"/>
      <x:c r="K1540" s="269"/>
      <x:c r="L1540" s="270"/>
      <x:c r="M1540" s="270"/>
      <x:c r="N1540" s="3"/>
      <x:c r="O1540" s="269"/>
      <x:c r="P1540" s="271"/>
      <x:c r="Q1540" s="272"/>
    </x:row>
    <x:row r="1541" ht="12.75">
      <x:c r="A1541" s="3"/>
      <x:c r="B1541" s="264"/>
      <x:c r="C1541" s="127"/>
      <x:c r="D1541" s="127"/>
      <x:c r="E1541" s="265"/>
      <x:c r="F1541" s="266"/>
      <x:c r="G1541" s="264"/>
      <x:c r="H1541" s="267"/>
      <x:c r="I1541" s="3"/>
      <x:c r="J1541" s="3"/>
      <x:c r="K1541" s="269"/>
      <x:c r="L1541" s="270"/>
      <x:c r="M1541" s="270"/>
      <x:c r="N1541" s="3"/>
      <x:c r="O1541" s="269"/>
      <x:c r="P1541" s="271"/>
      <x:c r="Q1541" s="272"/>
    </x:row>
    <x:row r="1542" ht="12.75">
      <x:c r="A1542" s="3"/>
      <x:c r="B1542" s="264"/>
      <x:c r="C1542" s="127"/>
      <x:c r="D1542" s="127"/>
      <x:c r="E1542" s="265"/>
      <x:c r="F1542" s="266"/>
      <x:c r="G1542" s="264"/>
      <x:c r="H1542" s="267"/>
      <x:c r="I1542" s="3"/>
      <x:c r="J1542" s="3"/>
      <x:c r="K1542" s="269"/>
      <x:c r="L1542" s="270"/>
      <x:c r="M1542" s="270"/>
      <x:c r="N1542" s="3"/>
      <x:c r="O1542" s="269"/>
      <x:c r="P1542" s="271"/>
      <x:c r="Q1542" s="272"/>
    </x:row>
    <x:row r="1543" ht="12.75">
      <x:c r="A1543" s="3"/>
      <x:c r="B1543" s="264"/>
      <x:c r="C1543" s="127"/>
      <x:c r="D1543" s="127"/>
      <x:c r="E1543" s="265"/>
      <x:c r="F1543" s="266"/>
      <x:c r="G1543" s="264"/>
      <x:c r="H1543" s="267"/>
      <x:c r="I1543" s="3"/>
      <x:c r="J1543" s="3"/>
      <x:c r="K1543" s="269"/>
      <x:c r="L1543" s="270"/>
      <x:c r="M1543" s="270"/>
      <x:c r="N1543" s="3"/>
      <x:c r="O1543" s="269"/>
      <x:c r="P1543" s="271"/>
      <x:c r="Q1543" s="272"/>
    </x:row>
    <x:row r="1544" ht="12.75">
      <x:c r="A1544" s="3"/>
      <x:c r="B1544" s="264"/>
      <x:c r="C1544" s="127"/>
      <x:c r="D1544" s="127"/>
      <x:c r="E1544" s="265"/>
      <x:c r="F1544" s="266"/>
      <x:c r="G1544" s="264"/>
      <x:c r="H1544" s="267"/>
      <x:c r="I1544" s="3"/>
      <x:c r="J1544" s="3"/>
      <x:c r="K1544" s="269"/>
      <x:c r="L1544" s="270"/>
      <x:c r="M1544" s="270"/>
      <x:c r="N1544" s="3"/>
      <x:c r="O1544" s="269"/>
      <x:c r="P1544" s="271"/>
      <x:c r="Q1544" s="272"/>
    </x:row>
    <x:row r="1545" ht="12.75">
      <x:c r="A1545" s="3"/>
      <x:c r="B1545" s="264"/>
      <x:c r="C1545" s="127"/>
      <x:c r="D1545" s="127"/>
      <x:c r="E1545" s="265"/>
      <x:c r="F1545" s="266"/>
      <x:c r="G1545" s="264"/>
      <x:c r="H1545" s="267"/>
      <x:c r="I1545" s="3"/>
      <x:c r="J1545" s="3"/>
      <x:c r="K1545" s="269"/>
      <x:c r="L1545" s="270"/>
      <x:c r="M1545" s="270"/>
      <x:c r="N1545" s="3"/>
      <x:c r="O1545" s="269"/>
      <x:c r="P1545" s="271"/>
      <x:c r="Q1545" s="272"/>
    </x:row>
    <x:row r="1546" ht="12.75">
      <x:c r="A1546" s="3"/>
      <x:c r="B1546" s="264"/>
      <x:c r="C1546" s="127"/>
      <x:c r="D1546" s="127"/>
      <x:c r="E1546" s="265"/>
      <x:c r="F1546" s="266"/>
      <x:c r="G1546" s="264"/>
      <x:c r="H1546" s="267"/>
      <x:c r="I1546" s="3"/>
      <x:c r="J1546" s="3"/>
      <x:c r="K1546" s="269"/>
      <x:c r="L1546" s="270"/>
      <x:c r="M1546" s="270"/>
      <x:c r="N1546" s="3"/>
      <x:c r="O1546" s="269"/>
      <x:c r="P1546" s="271"/>
      <x:c r="Q1546" s="272"/>
    </x:row>
    <x:row r="1547" ht="12.75">
      <x:c r="A1547" s="3"/>
      <x:c r="B1547" s="264"/>
      <x:c r="C1547" s="127"/>
      <x:c r="D1547" s="127"/>
      <x:c r="E1547" s="265"/>
      <x:c r="F1547" s="266"/>
      <x:c r="G1547" s="264"/>
      <x:c r="H1547" s="267"/>
      <x:c r="I1547" s="3"/>
      <x:c r="J1547" s="3"/>
      <x:c r="K1547" s="269"/>
      <x:c r="L1547" s="270"/>
      <x:c r="M1547" s="270"/>
      <x:c r="N1547" s="3"/>
      <x:c r="O1547" s="269"/>
      <x:c r="P1547" s="271"/>
      <x:c r="Q1547" s="272"/>
    </x:row>
    <x:row r="1548" ht="12.75">
      <x:c r="A1548" s="3"/>
      <x:c r="B1548" s="264"/>
      <x:c r="C1548" s="127"/>
      <x:c r="D1548" s="127"/>
      <x:c r="E1548" s="265"/>
      <x:c r="F1548" s="266"/>
      <x:c r="G1548" s="264"/>
      <x:c r="H1548" s="267"/>
      <x:c r="I1548" s="3"/>
      <x:c r="J1548" s="3"/>
      <x:c r="K1548" s="269"/>
      <x:c r="L1548" s="270"/>
      <x:c r="M1548" s="270"/>
      <x:c r="N1548" s="3"/>
      <x:c r="O1548" s="269"/>
      <x:c r="P1548" s="271"/>
      <x:c r="Q1548" s="272"/>
    </x:row>
    <x:row r="1549" ht="12.75">
      <x:c r="A1549" s="3"/>
      <x:c r="B1549" s="264"/>
      <x:c r="C1549" s="127"/>
      <x:c r="D1549" s="127"/>
      <x:c r="E1549" s="265"/>
      <x:c r="F1549" s="266"/>
      <x:c r="G1549" s="264"/>
      <x:c r="H1549" s="267"/>
      <x:c r="I1549" s="3"/>
      <x:c r="J1549" s="3"/>
      <x:c r="K1549" s="269"/>
      <x:c r="L1549" s="270"/>
      <x:c r="M1549" s="270"/>
      <x:c r="N1549" s="3"/>
      <x:c r="O1549" s="269"/>
      <x:c r="P1549" s="271"/>
      <x:c r="Q1549" s="272"/>
    </x:row>
    <x:row r="1550" ht="12.75">
      <x:c r="A1550" s="3"/>
      <x:c r="B1550" s="264"/>
      <x:c r="C1550" s="127"/>
      <x:c r="D1550" s="127"/>
      <x:c r="E1550" s="265"/>
      <x:c r="F1550" s="266"/>
      <x:c r="G1550" s="264"/>
      <x:c r="H1550" s="267"/>
      <x:c r="I1550" s="3"/>
      <x:c r="J1550" s="3"/>
      <x:c r="K1550" s="269"/>
      <x:c r="L1550" s="270"/>
      <x:c r="M1550" s="270"/>
      <x:c r="N1550" s="3"/>
      <x:c r="O1550" s="269"/>
      <x:c r="P1550" s="271"/>
      <x:c r="Q1550" s="272"/>
    </x:row>
    <x:row r="1551" ht="12.75">
      <x:c r="A1551" s="3"/>
      <x:c r="B1551" s="264"/>
      <x:c r="C1551" s="127"/>
      <x:c r="D1551" s="127"/>
      <x:c r="E1551" s="265"/>
      <x:c r="F1551" s="266"/>
      <x:c r="G1551" s="264"/>
      <x:c r="H1551" s="267"/>
      <x:c r="I1551" s="3"/>
      <x:c r="J1551" s="3"/>
      <x:c r="K1551" s="269"/>
      <x:c r="L1551" s="270"/>
      <x:c r="M1551" s="270"/>
      <x:c r="N1551" s="3"/>
      <x:c r="O1551" s="269"/>
      <x:c r="P1551" s="271"/>
      <x:c r="Q1551" s="272"/>
    </x:row>
    <x:row r="1552" ht="12.75">
      <x:c r="A1552" s="3"/>
      <x:c r="B1552" s="264"/>
      <x:c r="C1552" s="127"/>
      <x:c r="D1552" s="127"/>
      <x:c r="E1552" s="265"/>
      <x:c r="F1552" s="266"/>
      <x:c r="G1552" s="264"/>
      <x:c r="H1552" s="267"/>
      <x:c r="I1552" s="3"/>
      <x:c r="J1552" s="3"/>
      <x:c r="K1552" s="269"/>
      <x:c r="L1552" s="270"/>
      <x:c r="M1552" s="270"/>
      <x:c r="N1552" s="3"/>
      <x:c r="O1552" s="269"/>
      <x:c r="P1552" s="271"/>
      <x:c r="Q1552" s="272"/>
    </x:row>
    <x:row r="1553" ht="12.75">
      <x:c r="A1553" s="3"/>
      <x:c r="B1553" s="264"/>
      <x:c r="C1553" s="127"/>
      <x:c r="D1553" s="127"/>
      <x:c r="E1553" s="265"/>
      <x:c r="F1553" s="266"/>
      <x:c r="G1553" s="264"/>
      <x:c r="H1553" s="267"/>
      <x:c r="I1553" s="3"/>
      <x:c r="J1553" s="3"/>
      <x:c r="K1553" s="269"/>
      <x:c r="L1553" s="270"/>
      <x:c r="M1553" s="270"/>
      <x:c r="N1553" s="3"/>
      <x:c r="O1553" s="269"/>
      <x:c r="P1553" s="271"/>
      <x:c r="Q1553" s="272"/>
    </x:row>
    <x:row r="1554" ht="12.75">
      <x:c r="A1554" s="3"/>
      <x:c r="B1554" s="264"/>
      <x:c r="C1554" s="127"/>
      <x:c r="D1554" s="127"/>
      <x:c r="E1554" s="265"/>
      <x:c r="F1554" s="266"/>
      <x:c r="G1554" s="264"/>
      <x:c r="H1554" s="267"/>
      <x:c r="I1554" s="3"/>
      <x:c r="J1554" s="3"/>
      <x:c r="K1554" s="269"/>
      <x:c r="L1554" s="270"/>
      <x:c r="M1554" s="270"/>
      <x:c r="N1554" s="3"/>
      <x:c r="O1554" s="269"/>
      <x:c r="P1554" s="271"/>
      <x:c r="Q1554" s="272"/>
    </x:row>
    <x:row r="1555" ht="12.75">
      <x:c r="A1555" s="3"/>
      <x:c r="B1555" s="264"/>
      <x:c r="C1555" s="127"/>
      <x:c r="D1555" s="127"/>
      <x:c r="E1555" s="265"/>
      <x:c r="F1555" s="266"/>
      <x:c r="G1555" s="264"/>
      <x:c r="H1555" s="267"/>
      <x:c r="I1555" s="3"/>
      <x:c r="J1555" s="3"/>
      <x:c r="K1555" s="269"/>
      <x:c r="L1555" s="270"/>
      <x:c r="M1555" s="270"/>
      <x:c r="N1555" s="3"/>
      <x:c r="O1555" s="269"/>
      <x:c r="P1555" s="271"/>
      <x:c r="Q1555" s="272"/>
    </x:row>
    <x:row r="1556" ht="12.75">
      <x:c r="A1556" s="3"/>
      <x:c r="B1556" s="264"/>
      <x:c r="C1556" s="127"/>
      <x:c r="D1556" s="127"/>
      <x:c r="E1556" s="265"/>
      <x:c r="F1556" s="266"/>
      <x:c r="G1556" s="264"/>
      <x:c r="H1556" s="267"/>
      <x:c r="I1556" s="3"/>
      <x:c r="J1556" s="3"/>
      <x:c r="K1556" s="269"/>
      <x:c r="L1556" s="270"/>
      <x:c r="M1556" s="270"/>
      <x:c r="N1556" s="3"/>
      <x:c r="O1556" s="269"/>
      <x:c r="P1556" s="271"/>
      <x:c r="Q1556" s="272"/>
    </x:row>
    <x:row r="1557" ht="12.75">
      <x:c r="A1557" s="3"/>
      <x:c r="B1557" s="264"/>
      <x:c r="C1557" s="127"/>
      <x:c r="D1557" s="127"/>
      <x:c r="E1557" s="265"/>
      <x:c r="F1557" s="266"/>
      <x:c r="G1557" s="264"/>
      <x:c r="H1557" s="267"/>
      <x:c r="I1557" s="3"/>
      <x:c r="J1557" s="3"/>
      <x:c r="K1557" s="269"/>
      <x:c r="L1557" s="270"/>
      <x:c r="M1557" s="270"/>
      <x:c r="N1557" s="3"/>
      <x:c r="O1557" s="269"/>
      <x:c r="P1557" s="271"/>
      <x:c r="Q1557" s="272"/>
    </x:row>
    <x:row r="1558" ht="12.75">
      <x:c r="A1558" s="3"/>
      <x:c r="B1558" s="264"/>
      <x:c r="C1558" s="127"/>
      <x:c r="D1558" s="127"/>
      <x:c r="E1558" s="265"/>
      <x:c r="F1558" s="266"/>
      <x:c r="G1558" s="264"/>
      <x:c r="H1558" s="267"/>
      <x:c r="I1558" s="3"/>
      <x:c r="J1558" s="3"/>
      <x:c r="K1558" s="269"/>
      <x:c r="L1558" s="270"/>
      <x:c r="M1558" s="270"/>
      <x:c r="N1558" s="3"/>
      <x:c r="O1558" s="269"/>
      <x:c r="P1558" s="271"/>
      <x:c r="Q1558" s="272"/>
    </x:row>
    <x:row r="1559" ht="12.75">
      <x:c r="A1559" s="3"/>
      <x:c r="B1559" s="264"/>
      <x:c r="C1559" s="127"/>
      <x:c r="D1559" s="127"/>
      <x:c r="E1559" s="265"/>
      <x:c r="F1559" s="266"/>
      <x:c r="G1559" s="264"/>
      <x:c r="H1559" s="267"/>
      <x:c r="I1559" s="3"/>
      <x:c r="J1559" s="3"/>
      <x:c r="K1559" s="269"/>
      <x:c r="L1559" s="270"/>
      <x:c r="M1559" s="270"/>
      <x:c r="N1559" s="3"/>
      <x:c r="O1559" s="269"/>
      <x:c r="P1559" s="271"/>
      <x:c r="Q1559" s="272"/>
    </x:row>
    <x:row r="1560" ht="12.75">
      <x:c r="A1560" s="3"/>
      <x:c r="B1560" s="264"/>
      <x:c r="C1560" s="127"/>
      <x:c r="D1560" s="127"/>
      <x:c r="E1560" s="265"/>
      <x:c r="F1560" s="266"/>
      <x:c r="G1560" s="264"/>
      <x:c r="H1560" s="267"/>
      <x:c r="I1560" s="3"/>
      <x:c r="J1560" s="3"/>
      <x:c r="K1560" s="269"/>
      <x:c r="L1560" s="270"/>
      <x:c r="M1560" s="270"/>
      <x:c r="N1560" s="3"/>
      <x:c r="O1560" s="269"/>
      <x:c r="P1560" s="271"/>
      <x:c r="Q1560" s="272"/>
    </x:row>
    <x:row r="1561" ht="12.75">
      <x:c r="A1561" s="3"/>
      <x:c r="B1561" s="264"/>
      <x:c r="C1561" s="127"/>
      <x:c r="D1561" s="127"/>
      <x:c r="E1561" s="265"/>
      <x:c r="F1561" s="266"/>
      <x:c r="G1561" s="264"/>
      <x:c r="H1561" s="267"/>
      <x:c r="I1561" s="3"/>
      <x:c r="J1561" s="3"/>
      <x:c r="K1561" s="269"/>
      <x:c r="L1561" s="270"/>
      <x:c r="M1561" s="270"/>
      <x:c r="N1561" s="3"/>
      <x:c r="O1561" s="269"/>
      <x:c r="P1561" s="271"/>
      <x:c r="Q1561" s="272"/>
    </x:row>
    <x:row r="1562" ht="12.75">
      <x:c r="A1562" s="3"/>
      <x:c r="B1562" s="264"/>
      <x:c r="C1562" s="127"/>
      <x:c r="D1562" s="127"/>
      <x:c r="E1562" s="265"/>
      <x:c r="F1562" s="266"/>
      <x:c r="G1562" s="264"/>
      <x:c r="H1562" s="267"/>
      <x:c r="I1562" s="3"/>
      <x:c r="J1562" s="3"/>
      <x:c r="K1562" s="269"/>
      <x:c r="L1562" s="270"/>
      <x:c r="M1562" s="270"/>
      <x:c r="N1562" s="3"/>
      <x:c r="O1562" s="269"/>
      <x:c r="P1562" s="271"/>
      <x:c r="Q1562" s="272"/>
    </x:row>
    <x:row r="1563" ht="12.75">
      <x:c r="A1563" s="3"/>
      <x:c r="B1563" s="264"/>
      <x:c r="C1563" s="127"/>
      <x:c r="D1563" s="127"/>
      <x:c r="E1563" s="265"/>
      <x:c r="F1563" s="266"/>
      <x:c r="G1563" s="264"/>
      <x:c r="H1563" s="267"/>
      <x:c r="I1563" s="3"/>
      <x:c r="J1563" s="3"/>
      <x:c r="K1563" s="269"/>
      <x:c r="L1563" s="270"/>
      <x:c r="M1563" s="270"/>
      <x:c r="N1563" s="3"/>
      <x:c r="O1563" s="269"/>
      <x:c r="P1563" s="271"/>
      <x:c r="Q1563" s="272"/>
    </x:row>
    <x:row r="1564" ht="12.75">
      <x:c r="A1564" s="3"/>
      <x:c r="B1564" s="264"/>
      <x:c r="C1564" s="127"/>
      <x:c r="D1564" s="127"/>
      <x:c r="E1564" s="265"/>
      <x:c r="F1564" s="266"/>
      <x:c r="G1564" s="264"/>
      <x:c r="H1564" s="267"/>
      <x:c r="I1564" s="3"/>
      <x:c r="J1564" s="3"/>
      <x:c r="K1564" s="269"/>
      <x:c r="L1564" s="270"/>
      <x:c r="M1564" s="270"/>
      <x:c r="N1564" s="3"/>
      <x:c r="O1564" s="269"/>
      <x:c r="P1564" s="271"/>
      <x:c r="Q1564" s="272"/>
    </x:row>
    <x:row r="1565" ht="12.75">
      <x:c r="A1565" s="3"/>
      <x:c r="B1565" s="264"/>
      <x:c r="C1565" s="127"/>
      <x:c r="D1565" s="127"/>
      <x:c r="E1565" s="265"/>
      <x:c r="F1565" s="266"/>
      <x:c r="G1565" s="264"/>
      <x:c r="H1565" s="267"/>
      <x:c r="I1565" s="3"/>
      <x:c r="J1565" s="3"/>
      <x:c r="K1565" s="269"/>
      <x:c r="L1565" s="270"/>
      <x:c r="M1565" s="270"/>
      <x:c r="N1565" s="3"/>
      <x:c r="O1565" s="269"/>
      <x:c r="P1565" s="271"/>
      <x:c r="Q1565" s="272"/>
    </x:row>
    <x:row r="1566" ht="12.75">
      <x:c r="A1566" s="3"/>
      <x:c r="B1566" s="264"/>
      <x:c r="C1566" s="127"/>
      <x:c r="D1566" s="127"/>
      <x:c r="E1566" s="265"/>
      <x:c r="F1566" s="266"/>
      <x:c r="G1566" s="264"/>
      <x:c r="H1566" s="267"/>
      <x:c r="I1566" s="3"/>
      <x:c r="J1566" s="3"/>
      <x:c r="K1566" s="269"/>
      <x:c r="L1566" s="270"/>
      <x:c r="M1566" s="270"/>
      <x:c r="N1566" s="3"/>
      <x:c r="O1566" s="269"/>
      <x:c r="P1566" s="271"/>
      <x:c r="Q1566" s="272"/>
    </x:row>
    <x:row r="1567" ht="12.75">
      <x:c r="A1567" s="3"/>
      <x:c r="B1567" s="264"/>
      <x:c r="C1567" s="127"/>
      <x:c r="D1567" s="127"/>
      <x:c r="E1567" s="265"/>
      <x:c r="F1567" s="266"/>
      <x:c r="G1567" s="264"/>
      <x:c r="H1567" s="267"/>
      <x:c r="I1567" s="3"/>
      <x:c r="J1567" s="3"/>
      <x:c r="K1567" s="269"/>
      <x:c r="L1567" s="270"/>
      <x:c r="M1567" s="270"/>
      <x:c r="N1567" s="3"/>
      <x:c r="O1567" s="269"/>
      <x:c r="P1567" s="271"/>
      <x:c r="Q1567" s="272"/>
    </x:row>
    <x:row r="1568" ht="12.75">
      <x:c r="A1568" s="3"/>
      <x:c r="B1568" s="264"/>
      <x:c r="C1568" s="127"/>
      <x:c r="D1568" s="127"/>
      <x:c r="E1568" s="265"/>
      <x:c r="F1568" s="266"/>
      <x:c r="G1568" s="264"/>
      <x:c r="H1568" s="267"/>
      <x:c r="I1568" s="3"/>
      <x:c r="J1568" s="3"/>
      <x:c r="K1568" s="269"/>
      <x:c r="L1568" s="270"/>
      <x:c r="M1568" s="270"/>
      <x:c r="N1568" s="3"/>
      <x:c r="O1568" s="269"/>
      <x:c r="P1568" s="271"/>
      <x:c r="Q1568" s="272"/>
    </x:row>
    <x:row r="1569" ht="12.75">
      <x:c r="A1569" s="3"/>
      <x:c r="B1569" s="264"/>
      <x:c r="C1569" s="127"/>
      <x:c r="D1569" s="127"/>
      <x:c r="E1569" s="265"/>
      <x:c r="F1569" s="266"/>
      <x:c r="G1569" s="264"/>
      <x:c r="H1569" s="267"/>
      <x:c r="I1569" s="3"/>
      <x:c r="J1569" s="3"/>
      <x:c r="K1569" s="269"/>
      <x:c r="L1569" s="270"/>
      <x:c r="M1569" s="270"/>
      <x:c r="N1569" s="3"/>
      <x:c r="O1569" s="269"/>
      <x:c r="P1569" s="271"/>
      <x:c r="Q1569" s="272"/>
    </x:row>
    <x:row r="1570" ht="12.75">
      <x:c r="A1570" s="3"/>
      <x:c r="B1570" s="264"/>
      <x:c r="C1570" s="127"/>
      <x:c r="D1570" s="127"/>
      <x:c r="E1570" s="265"/>
      <x:c r="F1570" s="266"/>
      <x:c r="G1570" s="264"/>
      <x:c r="H1570" s="267"/>
      <x:c r="I1570" s="3"/>
      <x:c r="J1570" s="3"/>
      <x:c r="K1570" s="269"/>
      <x:c r="L1570" s="270"/>
      <x:c r="M1570" s="270"/>
      <x:c r="N1570" s="3"/>
      <x:c r="O1570" s="269"/>
      <x:c r="P1570" s="271"/>
      <x:c r="Q1570" s="272"/>
    </x:row>
    <x:row r="1571" ht="12.75">
      <x:c r="A1571" s="3"/>
      <x:c r="B1571" s="264"/>
      <x:c r="C1571" s="127"/>
      <x:c r="D1571" s="127"/>
      <x:c r="E1571" s="265"/>
      <x:c r="F1571" s="266"/>
      <x:c r="G1571" s="264"/>
      <x:c r="H1571" s="267"/>
      <x:c r="I1571" s="3"/>
      <x:c r="J1571" s="3"/>
      <x:c r="K1571" s="269"/>
      <x:c r="L1571" s="270"/>
      <x:c r="M1571" s="270"/>
      <x:c r="N1571" s="3"/>
      <x:c r="O1571" s="269"/>
      <x:c r="P1571" s="271"/>
      <x:c r="Q1571" s="272"/>
    </x:row>
    <x:row r="1572" ht="12.75">
      <x:c r="A1572" s="3"/>
      <x:c r="B1572" s="264"/>
      <x:c r="C1572" s="127"/>
      <x:c r="D1572" s="127"/>
      <x:c r="E1572" s="265"/>
      <x:c r="F1572" s="266"/>
      <x:c r="G1572" s="264"/>
      <x:c r="H1572" s="267"/>
      <x:c r="I1572" s="3"/>
      <x:c r="J1572" s="3"/>
      <x:c r="K1572" s="269"/>
      <x:c r="L1572" s="270"/>
      <x:c r="M1572" s="270"/>
      <x:c r="N1572" s="3"/>
      <x:c r="O1572" s="269"/>
      <x:c r="P1572" s="271"/>
      <x:c r="Q1572" s="272"/>
    </x:row>
    <x:row r="1573" ht="12.75">
      <x:c r="A1573" s="3"/>
      <x:c r="B1573" s="264"/>
      <x:c r="C1573" s="127"/>
      <x:c r="D1573" s="127"/>
      <x:c r="E1573" s="265"/>
      <x:c r="F1573" s="266"/>
      <x:c r="G1573" s="264"/>
      <x:c r="H1573" s="267"/>
      <x:c r="I1573" s="3"/>
      <x:c r="J1573" s="3"/>
      <x:c r="K1573" s="269"/>
      <x:c r="L1573" s="270"/>
      <x:c r="M1573" s="270"/>
      <x:c r="N1573" s="3"/>
      <x:c r="O1573" s="269"/>
      <x:c r="P1573" s="271"/>
      <x:c r="Q1573" s="272"/>
    </x:row>
    <x:row r="1574" ht="12.75">
      <x:c r="A1574" s="3"/>
      <x:c r="B1574" s="264"/>
      <x:c r="C1574" s="127"/>
      <x:c r="D1574" s="127"/>
      <x:c r="E1574" s="265"/>
      <x:c r="F1574" s="266"/>
      <x:c r="G1574" s="264"/>
      <x:c r="H1574" s="267"/>
      <x:c r="I1574" s="3"/>
      <x:c r="J1574" s="3"/>
      <x:c r="K1574" s="269"/>
      <x:c r="L1574" s="270"/>
      <x:c r="M1574" s="270"/>
      <x:c r="N1574" s="3"/>
      <x:c r="O1574" s="269"/>
      <x:c r="P1574" s="271"/>
      <x:c r="Q1574" s="272"/>
    </x:row>
    <x:row r="1575" ht="12.75">
      <x:c r="A1575" s="3"/>
      <x:c r="B1575" s="264"/>
      <x:c r="C1575" s="127"/>
      <x:c r="D1575" s="127"/>
      <x:c r="E1575" s="265"/>
      <x:c r="F1575" s="266"/>
      <x:c r="G1575" s="264"/>
      <x:c r="H1575" s="267"/>
      <x:c r="I1575" s="3"/>
      <x:c r="J1575" s="3"/>
      <x:c r="K1575" s="269"/>
      <x:c r="L1575" s="270"/>
      <x:c r="M1575" s="270"/>
      <x:c r="N1575" s="3"/>
      <x:c r="O1575" s="269"/>
      <x:c r="P1575" s="271"/>
      <x:c r="Q1575" s="272"/>
    </x:row>
    <x:row r="1576" ht="12.75">
      <x:c r="A1576" s="3"/>
      <x:c r="B1576" s="264"/>
      <x:c r="C1576" s="127"/>
      <x:c r="D1576" s="127"/>
      <x:c r="E1576" s="265"/>
      <x:c r="F1576" s="266"/>
      <x:c r="G1576" s="264"/>
      <x:c r="H1576" s="267"/>
      <x:c r="I1576" s="3"/>
      <x:c r="J1576" s="3"/>
      <x:c r="K1576" s="269"/>
      <x:c r="L1576" s="270"/>
      <x:c r="M1576" s="270"/>
      <x:c r="N1576" s="3"/>
      <x:c r="O1576" s="269"/>
      <x:c r="P1576" s="271"/>
      <x:c r="Q1576" s="272"/>
    </x:row>
    <x:row r="1577" ht="12.75">
      <x:c r="A1577" s="3"/>
      <x:c r="B1577" s="264"/>
      <x:c r="C1577" s="127"/>
      <x:c r="D1577" s="127"/>
      <x:c r="E1577" s="265"/>
      <x:c r="F1577" s="266"/>
      <x:c r="G1577" s="264"/>
      <x:c r="H1577" s="267"/>
      <x:c r="I1577" s="3"/>
      <x:c r="J1577" s="3"/>
      <x:c r="K1577" s="269"/>
      <x:c r="L1577" s="270"/>
      <x:c r="M1577" s="270"/>
      <x:c r="N1577" s="3"/>
      <x:c r="O1577" s="269"/>
      <x:c r="P1577" s="271"/>
      <x:c r="Q1577" s="272"/>
    </x:row>
    <x:row r="1578" ht="12.75">
      <x:c r="A1578" s="3"/>
      <x:c r="B1578" s="264"/>
      <x:c r="C1578" s="127"/>
      <x:c r="D1578" s="127"/>
      <x:c r="E1578" s="265"/>
      <x:c r="F1578" s="266"/>
      <x:c r="G1578" s="264"/>
      <x:c r="H1578" s="267"/>
      <x:c r="I1578" s="3"/>
      <x:c r="J1578" s="3"/>
      <x:c r="K1578" s="269"/>
      <x:c r="L1578" s="270"/>
      <x:c r="M1578" s="270"/>
      <x:c r="N1578" s="3"/>
      <x:c r="O1578" s="269"/>
      <x:c r="P1578" s="271"/>
      <x:c r="Q1578" s="272"/>
    </x:row>
    <x:row r="1579" ht="12.75">
      <x:c r="A1579" s="3"/>
      <x:c r="B1579" s="264"/>
      <x:c r="C1579" s="127"/>
      <x:c r="D1579" s="127"/>
      <x:c r="E1579" s="265"/>
      <x:c r="F1579" s="266"/>
      <x:c r="G1579" s="264"/>
      <x:c r="H1579" s="267"/>
      <x:c r="I1579" s="3"/>
      <x:c r="J1579" s="3"/>
      <x:c r="K1579" s="269"/>
      <x:c r="L1579" s="270"/>
      <x:c r="M1579" s="270"/>
      <x:c r="N1579" s="3"/>
      <x:c r="O1579" s="269"/>
      <x:c r="P1579" s="271"/>
      <x:c r="Q1579" s="272"/>
    </x:row>
    <x:row r="1580" ht="12.75">
      <x:c r="A1580" s="3"/>
      <x:c r="B1580" s="264"/>
      <x:c r="C1580" s="127"/>
      <x:c r="D1580" s="127"/>
      <x:c r="E1580" s="265"/>
      <x:c r="F1580" s="266"/>
      <x:c r="G1580" s="264"/>
      <x:c r="H1580" s="267"/>
      <x:c r="I1580" s="3"/>
      <x:c r="J1580" s="3"/>
      <x:c r="K1580" s="269"/>
      <x:c r="L1580" s="270"/>
      <x:c r="M1580" s="270"/>
      <x:c r="N1580" s="3"/>
      <x:c r="O1580" s="269"/>
      <x:c r="P1580" s="271"/>
      <x:c r="Q1580" s="272"/>
    </x:row>
    <x:row r="1581" ht="12.75">
      <x:c r="A1581" s="3"/>
      <x:c r="B1581" s="264"/>
      <x:c r="C1581" s="127"/>
      <x:c r="D1581" s="127"/>
      <x:c r="E1581" s="265"/>
      <x:c r="F1581" s="266"/>
      <x:c r="G1581" s="264"/>
      <x:c r="H1581" s="267"/>
      <x:c r="I1581" s="3"/>
      <x:c r="J1581" s="3"/>
      <x:c r="K1581" s="269"/>
      <x:c r="L1581" s="270"/>
      <x:c r="M1581" s="270"/>
      <x:c r="N1581" s="3"/>
      <x:c r="O1581" s="269"/>
      <x:c r="P1581" s="271"/>
      <x:c r="Q1581" s="272"/>
    </x:row>
    <x:row r="1582" ht="12.75">
      <x:c r="A1582" s="3"/>
      <x:c r="B1582" s="264"/>
      <x:c r="C1582" s="127"/>
      <x:c r="D1582" s="127"/>
      <x:c r="E1582" s="265"/>
      <x:c r="F1582" s="266"/>
      <x:c r="G1582" s="264"/>
      <x:c r="H1582" s="267"/>
      <x:c r="I1582" s="3"/>
      <x:c r="J1582" s="3"/>
      <x:c r="K1582" s="269"/>
      <x:c r="L1582" s="270"/>
      <x:c r="M1582" s="270"/>
      <x:c r="N1582" s="3"/>
      <x:c r="O1582" s="269"/>
      <x:c r="P1582" s="271"/>
      <x:c r="Q1582" s="272"/>
    </x:row>
    <x:row r="1583" ht="12.75">
      <x:c r="A1583" s="3"/>
      <x:c r="B1583" s="264"/>
      <x:c r="C1583" s="127"/>
      <x:c r="D1583" s="127"/>
      <x:c r="E1583" s="265"/>
      <x:c r="F1583" s="266"/>
      <x:c r="G1583" s="264"/>
      <x:c r="H1583" s="267"/>
      <x:c r="I1583" s="3"/>
      <x:c r="J1583" s="3"/>
      <x:c r="K1583" s="269"/>
      <x:c r="L1583" s="270"/>
      <x:c r="M1583" s="270"/>
      <x:c r="N1583" s="3"/>
      <x:c r="O1583" s="269"/>
      <x:c r="P1583" s="271"/>
      <x:c r="Q1583" s="272"/>
    </x:row>
    <x:row r="1584" ht="12.75">
      <x:c r="A1584" s="3"/>
      <x:c r="B1584" s="264"/>
      <x:c r="C1584" s="127"/>
      <x:c r="D1584" s="127"/>
      <x:c r="E1584" s="265"/>
      <x:c r="F1584" s="266"/>
      <x:c r="G1584" s="264"/>
      <x:c r="H1584" s="267"/>
      <x:c r="I1584" s="3"/>
      <x:c r="J1584" s="3"/>
      <x:c r="K1584" s="269"/>
      <x:c r="L1584" s="270"/>
      <x:c r="M1584" s="270"/>
      <x:c r="N1584" s="3"/>
      <x:c r="O1584" s="269"/>
      <x:c r="P1584" s="271"/>
      <x:c r="Q1584" s="272"/>
    </x:row>
    <x:row r="1585" ht="12.75">
      <x:c r="A1585" s="3"/>
      <x:c r="B1585" s="264"/>
      <x:c r="C1585" s="127"/>
      <x:c r="D1585" s="127"/>
      <x:c r="E1585" s="265"/>
      <x:c r="F1585" s="266"/>
      <x:c r="G1585" s="264"/>
      <x:c r="H1585" s="267"/>
      <x:c r="I1585" s="3"/>
      <x:c r="J1585" s="3"/>
      <x:c r="K1585" s="269"/>
      <x:c r="L1585" s="270"/>
      <x:c r="M1585" s="270"/>
      <x:c r="N1585" s="3"/>
      <x:c r="O1585" s="269"/>
      <x:c r="P1585" s="271"/>
      <x:c r="Q1585" s="272"/>
    </x:row>
    <x:row r="1586" ht="12.75">
      <x:c r="A1586" s="3"/>
      <x:c r="B1586" s="264"/>
      <x:c r="C1586" s="127"/>
      <x:c r="D1586" s="127"/>
      <x:c r="E1586" s="265"/>
      <x:c r="F1586" s="266"/>
      <x:c r="G1586" s="264"/>
      <x:c r="H1586" s="267"/>
      <x:c r="I1586" s="3"/>
      <x:c r="J1586" s="3"/>
      <x:c r="K1586" s="269"/>
      <x:c r="L1586" s="270"/>
      <x:c r="M1586" s="270"/>
      <x:c r="N1586" s="3"/>
      <x:c r="O1586" s="269"/>
      <x:c r="P1586" s="271"/>
      <x:c r="Q1586" s="272"/>
    </x:row>
    <x:row r="1587" ht="12.75">
      <x:c r="A1587" s="3"/>
      <x:c r="B1587" s="264"/>
      <x:c r="C1587" s="127"/>
      <x:c r="D1587" s="127"/>
      <x:c r="E1587" s="265"/>
      <x:c r="F1587" s="266"/>
      <x:c r="G1587" s="264"/>
      <x:c r="H1587" s="267"/>
      <x:c r="I1587" s="3"/>
      <x:c r="J1587" s="3"/>
      <x:c r="K1587" s="269"/>
      <x:c r="L1587" s="270"/>
      <x:c r="M1587" s="270"/>
      <x:c r="N1587" s="3"/>
      <x:c r="O1587" s="269"/>
      <x:c r="P1587" s="271"/>
      <x:c r="Q1587" s="272"/>
    </x:row>
    <x:row r="1588" ht="12.75">
      <x:c r="A1588" s="3"/>
      <x:c r="B1588" s="264"/>
      <x:c r="C1588" s="127"/>
      <x:c r="D1588" s="127"/>
      <x:c r="E1588" s="265"/>
      <x:c r="F1588" s="266"/>
      <x:c r="G1588" s="264"/>
      <x:c r="H1588" s="267"/>
      <x:c r="I1588" s="3"/>
      <x:c r="J1588" s="3"/>
      <x:c r="K1588" s="269"/>
      <x:c r="L1588" s="270"/>
      <x:c r="M1588" s="270"/>
      <x:c r="N1588" s="3"/>
      <x:c r="O1588" s="269"/>
      <x:c r="P1588" s="271"/>
      <x:c r="Q1588" s="272"/>
    </x:row>
    <x:row r="1589" ht="12.75">
      <x:c r="A1589" s="3"/>
      <x:c r="B1589" s="264"/>
      <x:c r="C1589" s="127"/>
      <x:c r="D1589" s="127"/>
      <x:c r="E1589" s="265"/>
      <x:c r="F1589" s="266"/>
      <x:c r="G1589" s="264"/>
      <x:c r="H1589" s="267"/>
      <x:c r="I1589" s="3"/>
      <x:c r="J1589" s="3"/>
      <x:c r="K1589" s="269"/>
      <x:c r="L1589" s="270"/>
      <x:c r="M1589" s="270"/>
      <x:c r="N1589" s="3"/>
      <x:c r="O1589" s="269"/>
      <x:c r="P1589" s="271"/>
      <x:c r="Q1589" s="272"/>
    </x:row>
    <x:row r="1590" ht="12.75">
      <x:c r="A1590" s="3"/>
      <x:c r="B1590" s="264"/>
      <x:c r="C1590" s="127"/>
      <x:c r="D1590" s="127"/>
      <x:c r="E1590" s="265"/>
      <x:c r="F1590" s="266"/>
      <x:c r="G1590" s="264"/>
      <x:c r="H1590" s="267"/>
      <x:c r="I1590" s="3"/>
      <x:c r="J1590" s="3"/>
      <x:c r="K1590" s="269"/>
      <x:c r="L1590" s="270"/>
      <x:c r="M1590" s="270"/>
      <x:c r="N1590" s="3"/>
      <x:c r="O1590" s="269"/>
      <x:c r="P1590" s="271"/>
      <x:c r="Q1590" s="272"/>
    </x:row>
    <x:row r="1591" ht="12.75">
      <x:c r="A1591" s="3"/>
      <x:c r="B1591" s="264"/>
      <x:c r="C1591" s="127"/>
      <x:c r="D1591" s="127"/>
      <x:c r="E1591" s="265"/>
      <x:c r="F1591" s="266"/>
      <x:c r="G1591" s="264"/>
      <x:c r="H1591" s="267"/>
      <x:c r="I1591" s="3"/>
      <x:c r="J1591" s="3"/>
      <x:c r="K1591" s="269"/>
      <x:c r="L1591" s="270"/>
      <x:c r="M1591" s="270"/>
      <x:c r="N1591" s="3"/>
      <x:c r="O1591" s="269"/>
      <x:c r="P1591" s="271"/>
      <x:c r="Q1591" s="272"/>
    </x:row>
    <x:row r="1592" ht="12.75">
      <x:c r="A1592" s="3"/>
      <x:c r="B1592" s="264"/>
      <x:c r="C1592" s="127"/>
      <x:c r="D1592" s="127"/>
      <x:c r="E1592" s="265"/>
      <x:c r="F1592" s="266"/>
      <x:c r="G1592" s="264"/>
      <x:c r="H1592" s="267"/>
      <x:c r="I1592" s="3"/>
      <x:c r="J1592" s="3"/>
      <x:c r="K1592" s="269"/>
      <x:c r="L1592" s="270"/>
      <x:c r="M1592" s="270"/>
      <x:c r="N1592" s="3"/>
      <x:c r="O1592" s="269"/>
      <x:c r="P1592" s="271"/>
      <x:c r="Q1592" s="272"/>
    </x:row>
    <x:row r="1593" ht="12.75">
      <x:c r="A1593" s="3"/>
      <x:c r="B1593" s="264"/>
      <x:c r="C1593" s="127"/>
      <x:c r="D1593" s="127"/>
      <x:c r="E1593" s="265"/>
      <x:c r="F1593" s="266"/>
      <x:c r="G1593" s="264"/>
      <x:c r="H1593" s="267"/>
      <x:c r="I1593" s="3"/>
      <x:c r="J1593" s="3"/>
      <x:c r="K1593" s="269"/>
      <x:c r="L1593" s="270"/>
      <x:c r="M1593" s="270"/>
      <x:c r="N1593" s="3"/>
      <x:c r="O1593" s="269"/>
      <x:c r="P1593" s="271"/>
      <x:c r="Q1593" s="272"/>
    </x:row>
    <x:row r="1594" ht="12.75">
      <x:c r="A1594" s="3"/>
      <x:c r="B1594" s="264"/>
      <x:c r="C1594" s="127"/>
      <x:c r="D1594" s="127"/>
      <x:c r="E1594" s="265"/>
      <x:c r="F1594" s="266"/>
      <x:c r="G1594" s="264"/>
      <x:c r="H1594" s="267"/>
      <x:c r="I1594" s="3"/>
      <x:c r="J1594" s="3"/>
      <x:c r="K1594" s="269"/>
      <x:c r="L1594" s="270"/>
      <x:c r="M1594" s="270"/>
      <x:c r="N1594" s="3"/>
      <x:c r="O1594" s="269"/>
      <x:c r="P1594" s="271"/>
      <x:c r="Q1594" s="272"/>
    </x:row>
    <x:row r="1595" ht="12.75">
      <x:c r="A1595" s="3"/>
      <x:c r="B1595" s="264"/>
      <x:c r="C1595" s="127"/>
      <x:c r="D1595" s="127"/>
      <x:c r="E1595" s="265"/>
      <x:c r="F1595" s="266"/>
      <x:c r="G1595" s="264"/>
      <x:c r="H1595" s="267"/>
      <x:c r="I1595" s="3"/>
      <x:c r="J1595" s="3"/>
      <x:c r="K1595" s="269"/>
      <x:c r="L1595" s="270"/>
      <x:c r="M1595" s="270"/>
      <x:c r="N1595" s="3"/>
      <x:c r="O1595" s="269"/>
      <x:c r="P1595" s="271"/>
      <x:c r="Q1595" s="272"/>
    </x:row>
    <x:row r="1596" ht="12.75">
      <x:c r="A1596" s="3"/>
      <x:c r="B1596" s="264"/>
      <x:c r="C1596" s="127"/>
      <x:c r="D1596" s="127"/>
      <x:c r="E1596" s="265"/>
      <x:c r="F1596" s="266"/>
      <x:c r="G1596" s="264"/>
      <x:c r="H1596" s="267"/>
      <x:c r="I1596" s="3"/>
      <x:c r="J1596" s="3"/>
      <x:c r="K1596" s="269"/>
      <x:c r="L1596" s="270"/>
      <x:c r="M1596" s="270"/>
      <x:c r="N1596" s="3"/>
      <x:c r="O1596" s="269"/>
      <x:c r="P1596" s="271"/>
      <x:c r="Q1596" s="272"/>
    </x:row>
    <x:row r="1597" ht="12.75">
      <x:c r="A1597" s="3"/>
      <x:c r="B1597" s="264"/>
      <x:c r="C1597" s="127"/>
      <x:c r="D1597" s="127"/>
      <x:c r="E1597" s="265"/>
      <x:c r="F1597" s="266"/>
      <x:c r="G1597" s="264"/>
      <x:c r="H1597" s="267"/>
      <x:c r="I1597" s="3"/>
      <x:c r="J1597" s="3"/>
      <x:c r="K1597" s="269"/>
      <x:c r="L1597" s="270"/>
      <x:c r="M1597" s="270"/>
      <x:c r="N1597" s="3"/>
      <x:c r="O1597" s="269"/>
      <x:c r="P1597" s="271"/>
      <x:c r="Q1597" s="272"/>
    </x:row>
    <x:row r="1598" ht="12.75">
      <x:c r="A1598" s="3"/>
      <x:c r="B1598" s="264"/>
      <x:c r="C1598" s="127"/>
      <x:c r="D1598" s="127"/>
      <x:c r="E1598" s="265"/>
      <x:c r="F1598" s="266"/>
      <x:c r="G1598" s="264"/>
      <x:c r="H1598" s="267"/>
      <x:c r="I1598" s="3"/>
      <x:c r="J1598" s="3"/>
      <x:c r="K1598" s="269"/>
      <x:c r="L1598" s="270"/>
      <x:c r="M1598" s="270"/>
      <x:c r="N1598" s="3"/>
      <x:c r="O1598" s="269"/>
      <x:c r="P1598" s="271"/>
      <x:c r="Q1598" s="272"/>
    </x:row>
    <x:row r="1599" ht="12.75">
      <x:c r="A1599" s="3"/>
      <x:c r="B1599" s="264"/>
      <x:c r="C1599" s="127"/>
      <x:c r="D1599" s="127"/>
      <x:c r="E1599" s="265"/>
      <x:c r="F1599" s="266"/>
      <x:c r="G1599" s="264"/>
      <x:c r="H1599" s="267"/>
      <x:c r="I1599" s="3"/>
      <x:c r="J1599" s="3"/>
      <x:c r="K1599" s="269"/>
      <x:c r="L1599" s="270"/>
      <x:c r="M1599" s="270"/>
      <x:c r="N1599" s="3"/>
      <x:c r="O1599" s="269"/>
      <x:c r="P1599" s="271"/>
      <x:c r="Q1599" s="272"/>
    </x:row>
    <x:row r="1600" ht="12.75">
      <x:c r="A1600" s="3"/>
      <x:c r="B1600" s="264"/>
      <x:c r="C1600" s="127"/>
      <x:c r="D1600" s="127"/>
      <x:c r="E1600" s="265"/>
      <x:c r="F1600" s="266"/>
      <x:c r="G1600" s="264"/>
      <x:c r="H1600" s="267"/>
      <x:c r="I1600" s="3"/>
      <x:c r="J1600" s="3"/>
      <x:c r="K1600" s="269"/>
      <x:c r="L1600" s="270"/>
      <x:c r="M1600" s="270"/>
      <x:c r="N1600" s="3"/>
      <x:c r="O1600" s="269"/>
      <x:c r="P1600" s="271"/>
      <x:c r="Q1600" s="272"/>
    </x:row>
    <x:row r="1601" ht="12.75">
      <x:c r="A1601" s="3"/>
      <x:c r="B1601" s="264"/>
      <x:c r="C1601" s="127"/>
      <x:c r="D1601" s="127"/>
      <x:c r="E1601" s="265"/>
      <x:c r="F1601" s="266"/>
      <x:c r="G1601" s="264"/>
      <x:c r="H1601" s="267"/>
      <x:c r="I1601" s="3"/>
      <x:c r="J1601" s="3"/>
      <x:c r="K1601" s="269"/>
      <x:c r="L1601" s="270"/>
      <x:c r="M1601" s="270"/>
      <x:c r="N1601" s="3"/>
      <x:c r="O1601" s="269"/>
      <x:c r="P1601" s="271"/>
      <x:c r="Q1601" s="272"/>
    </x:row>
    <x:row r="1602" ht="12.75">
      <x:c r="A1602" s="3"/>
      <x:c r="B1602" s="264"/>
      <x:c r="C1602" s="127"/>
      <x:c r="D1602" s="127"/>
      <x:c r="E1602" s="265"/>
      <x:c r="F1602" s="266"/>
      <x:c r="G1602" s="264"/>
      <x:c r="H1602" s="267"/>
      <x:c r="I1602" s="3"/>
      <x:c r="J1602" s="3"/>
      <x:c r="K1602" s="269"/>
      <x:c r="L1602" s="270"/>
      <x:c r="M1602" s="270"/>
      <x:c r="N1602" s="3"/>
      <x:c r="O1602" s="269"/>
      <x:c r="P1602" s="271"/>
      <x:c r="Q1602" s="272"/>
    </x:row>
    <x:row r="1603" ht="12.75">
      <x:c r="A1603" s="3"/>
      <x:c r="B1603" s="264"/>
      <x:c r="C1603" s="127"/>
      <x:c r="D1603" s="127"/>
      <x:c r="E1603" s="265"/>
      <x:c r="F1603" s="266"/>
      <x:c r="G1603" s="264"/>
      <x:c r="H1603" s="267"/>
      <x:c r="I1603" s="3"/>
      <x:c r="J1603" s="3"/>
      <x:c r="K1603" s="269"/>
      <x:c r="L1603" s="270"/>
      <x:c r="M1603" s="270"/>
      <x:c r="N1603" s="3"/>
      <x:c r="O1603" s="269"/>
      <x:c r="P1603" s="271"/>
      <x:c r="Q1603" s="272"/>
    </x:row>
    <x:row r="1604" ht="12.75">
      <x:c r="A1604" s="3"/>
      <x:c r="B1604" s="264"/>
      <x:c r="C1604" s="127"/>
      <x:c r="D1604" s="127"/>
      <x:c r="E1604" s="265"/>
      <x:c r="F1604" s="266"/>
      <x:c r="G1604" s="264"/>
      <x:c r="H1604" s="267"/>
      <x:c r="I1604" s="3"/>
      <x:c r="J1604" s="3"/>
      <x:c r="K1604" s="269"/>
      <x:c r="L1604" s="270"/>
      <x:c r="M1604" s="270"/>
      <x:c r="N1604" s="3"/>
      <x:c r="O1604" s="269"/>
      <x:c r="P1604" s="271"/>
      <x:c r="Q1604" s="272"/>
    </x:row>
    <x:row r="1605" ht="12.75">
      <x:c r="A1605" s="3"/>
      <x:c r="B1605" s="264"/>
      <x:c r="C1605" s="127"/>
      <x:c r="D1605" s="127"/>
      <x:c r="E1605" s="265"/>
      <x:c r="F1605" s="266"/>
      <x:c r="G1605" s="264"/>
      <x:c r="H1605" s="267"/>
      <x:c r="I1605" s="3"/>
      <x:c r="J1605" s="3"/>
      <x:c r="K1605" s="269"/>
      <x:c r="L1605" s="270"/>
      <x:c r="M1605" s="270"/>
      <x:c r="N1605" s="3"/>
      <x:c r="O1605" s="269"/>
      <x:c r="P1605" s="271"/>
      <x:c r="Q1605" s="272"/>
    </x:row>
    <x:row r="1606" ht="12.75">
      <x:c r="A1606" s="3"/>
      <x:c r="B1606" s="264"/>
      <x:c r="C1606" s="127"/>
      <x:c r="D1606" s="127"/>
      <x:c r="E1606" s="265"/>
      <x:c r="F1606" s="266"/>
      <x:c r="G1606" s="264"/>
      <x:c r="H1606" s="267"/>
      <x:c r="I1606" s="3"/>
      <x:c r="J1606" s="3"/>
      <x:c r="K1606" s="269"/>
      <x:c r="L1606" s="270"/>
      <x:c r="M1606" s="270"/>
      <x:c r="N1606" s="3"/>
      <x:c r="O1606" s="269"/>
      <x:c r="P1606" s="271"/>
      <x:c r="Q1606" s="272"/>
    </x:row>
    <x:row r="1607" ht="12.75">
      <x:c r="A1607" s="3"/>
      <x:c r="B1607" s="264"/>
      <x:c r="C1607" s="127"/>
      <x:c r="D1607" s="127"/>
      <x:c r="E1607" s="265"/>
      <x:c r="F1607" s="266"/>
      <x:c r="G1607" s="264"/>
      <x:c r="H1607" s="267"/>
      <x:c r="I1607" s="3"/>
      <x:c r="J1607" s="3"/>
      <x:c r="K1607" s="269"/>
      <x:c r="L1607" s="270"/>
      <x:c r="M1607" s="270"/>
      <x:c r="N1607" s="3"/>
      <x:c r="O1607" s="269"/>
      <x:c r="P1607" s="271"/>
      <x:c r="Q1607" s="272"/>
    </x:row>
    <x:row r="1608" ht="12.75">
      <x:c r="A1608" s="3"/>
      <x:c r="B1608" s="264"/>
      <x:c r="C1608" s="127"/>
      <x:c r="D1608" s="127"/>
      <x:c r="E1608" s="265"/>
      <x:c r="F1608" s="266"/>
      <x:c r="G1608" s="264"/>
      <x:c r="H1608" s="267"/>
      <x:c r="I1608" s="3"/>
      <x:c r="J1608" s="3"/>
      <x:c r="K1608" s="269"/>
      <x:c r="L1608" s="270"/>
      <x:c r="M1608" s="270"/>
      <x:c r="N1608" s="3"/>
      <x:c r="O1608" s="269"/>
      <x:c r="P1608" s="271"/>
      <x:c r="Q1608" s="272"/>
    </x:row>
    <x:row r="1609" ht="12.75">
      <x:c r="A1609" s="3"/>
      <x:c r="B1609" s="264"/>
      <x:c r="C1609" s="127"/>
      <x:c r="D1609" s="127"/>
      <x:c r="E1609" s="265"/>
      <x:c r="F1609" s="266"/>
      <x:c r="G1609" s="264"/>
      <x:c r="H1609" s="267"/>
      <x:c r="I1609" s="3"/>
      <x:c r="J1609" s="3"/>
      <x:c r="K1609" s="269"/>
      <x:c r="L1609" s="270"/>
      <x:c r="M1609" s="270"/>
      <x:c r="N1609" s="3"/>
      <x:c r="O1609" s="269"/>
      <x:c r="P1609" s="271"/>
      <x:c r="Q1609" s="272"/>
    </x:row>
    <x:row r="1610" ht="12.75">
      <x:c r="A1610" s="3"/>
      <x:c r="B1610" s="264"/>
      <x:c r="C1610" s="127"/>
      <x:c r="D1610" s="127"/>
      <x:c r="E1610" s="265"/>
      <x:c r="F1610" s="266"/>
      <x:c r="G1610" s="264"/>
      <x:c r="H1610" s="267"/>
      <x:c r="I1610" s="3"/>
      <x:c r="J1610" s="3"/>
      <x:c r="K1610" s="269"/>
      <x:c r="L1610" s="270"/>
      <x:c r="M1610" s="270"/>
      <x:c r="N1610" s="3"/>
      <x:c r="O1610" s="269"/>
      <x:c r="P1610" s="271"/>
      <x:c r="Q1610" s="272"/>
    </x:row>
    <x:row r="1611" ht="12.75">
      <x:c r="A1611" s="3"/>
      <x:c r="B1611" s="264"/>
      <x:c r="C1611" s="127"/>
      <x:c r="D1611" s="127"/>
      <x:c r="E1611" s="265"/>
      <x:c r="F1611" s="266"/>
      <x:c r="G1611" s="264"/>
      <x:c r="H1611" s="267"/>
      <x:c r="I1611" s="3"/>
      <x:c r="J1611" s="3"/>
      <x:c r="K1611" s="269"/>
      <x:c r="L1611" s="270"/>
      <x:c r="M1611" s="270"/>
      <x:c r="N1611" s="3"/>
      <x:c r="O1611" s="269"/>
      <x:c r="P1611" s="271"/>
      <x:c r="Q1611" s="272"/>
    </x:row>
    <x:row r="1612" ht="12.75">
      <x:c r="A1612" s="3"/>
      <x:c r="B1612" s="264"/>
      <x:c r="C1612" s="127"/>
      <x:c r="D1612" s="127"/>
      <x:c r="E1612" s="265"/>
      <x:c r="F1612" s="266"/>
      <x:c r="G1612" s="264"/>
      <x:c r="H1612" s="267"/>
      <x:c r="I1612" s="3"/>
      <x:c r="J1612" s="3"/>
      <x:c r="K1612" s="269"/>
      <x:c r="L1612" s="270"/>
      <x:c r="M1612" s="270"/>
      <x:c r="N1612" s="3"/>
      <x:c r="O1612" s="269"/>
      <x:c r="P1612" s="271"/>
      <x:c r="Q1612" s="272"/>
    </x:row>
    <x:row r="1613" ht="12.75">
      <x:c r="A1613" s="3"/>
      <x:c r="B1613" s="264"/>
      <x:c r="C1613" s="127"/>
      <x:c r="D1613" s="127"/>
      <x:c r="E1613" s="265"/>
      <x:c r="F1613" s="266"/>
      <x:c r="G1613" s="264"/>
      <x:c r="H1613" s="267"/>
      <x:c r="I1613" s="3"/>
      <x:c r="J1613" s="3"/>
      <x:c r="K1613" s="269"/>
      <x:c r="L1613" s="270"/>
      <x:c r="M1613" s="270"/>
      <x:c r="N1613" s="3"/>
      <x:c r="O1613" s="269"/>
      <x:c r="P1613" s="271"/>
      <x:c r="Q1613" s="272"/>
    </x:row>
    <x:row r="1614" ht="12.75">
      <x:c r="A1614" s="3"/>
      <x:c r="B1614" s="264"/>
      <x:c r="C1614" s="127"/>
      <x:c r="D1614" s="127"/>
      <x:c r="E1614" s="265"/>
      <x:c r="F1614" s="266"/>
      <x:c r="G1614" s="264"/>
      <x:c r="H1614" s="267"/>
      <x:c r="I1614" s="3"/>
      <x:c r="J1614" s="3"/>
      <x:c r="K1614" s="269"/>
      <x:c r="L1614" s="270"/>
      <x:c r="M1614" s="270"/>
      <x:c r="N1614" s="3"/>
      <x:c r="O1614" s="269"/>
      <x:c r="P1614" s="271"/>
      <x:c r="Q1614" s="272"/>
    </x:row>
    <x:row r="1615" ht="12.75">
      <x:c r="A1615" s="3"/>
      <x:c r="B1615" s="264"/>
      <x:c r="C1615" s="127"/>
      <x:c r="D1615" s="127"/>
      <x:c r="E1615" s="265"/>
      <x:c r="F1615" s="266"/>
      <x:c r="G1615" s="264"/>
      <x:c r="H1615" s="267"/>
      <x:c r="I1615" s="3"/>
      <x:c r="J1615" s="3"/>
      <x:c r="K1615" s="269"/>
      <x:c r="L1615" s="270"/>
      <x:c r="M1615" s="270"/>
      <x:c r="N1615" s="3"/>
      <x:c r="O1615" s="269"/>
      <x:c r="P1615" s="271"/>
      <x:c r="Q1615" s="272"/>
    </x:row>
    <x:row r="1616" ht="12.75">
      <x:c r="A1616" s="3"/>
      <x:c r="B1616" s="264"/>
      <x:c r="C1616" s="127"/>
      <x:c r="D1616" s="127"/>
      <x:c r="E1616" s="265"/>
      <x:c r="F1616" s="266"/>
      <x:c r="G1616" s="264"/>
      <x:c r="H1616" s="267"/>
      <x:c r="I1616" s="3"/>
      <x:c r="J1616" s="3"/>
      <x:c r="K1616" s="269"/>
      <x:c r="L1616" s="270"/>
      <x:c r="M1616" s="270"/>
      <x:c r="N1616" s="3"/>
      <x:c r="O1616" s="269"/>
      <x:c r="P1616" s="271"/>
      <x:c r="Q1616" s="272"/>
    </x:row>
    <x:row r="1617" ht="12.75">
      <x:c r="A1617" s="3"/>
      <x:c r="B1617" s="264"/>
      <x:c r="C1617" s="127"/>
      <x:c r="D1617" s="127"/>
      <x:c r="E1617" s="265"/>
      <x:c r="F1617" s="266"/>
      <x:c r="G1617" s="264"/>
      <x:c r="H1617" s="267"/>
      <x:c r="I1617" s="3"/>
      <x:c r="J1617" s="3"/>
      <x:c r="K1617" s="269"/>
      <x:c r="L1617" s="270"/>
      <x:c r="M1617" s="270"/>
      <x:c r="N1617" s="3"/>
      <x:c r="O1617" s="269"/>
      <x:c r="P1617" s="271"/>
      <x:c r="Q1617" s="272"/>
    </x:row>
    <x:row r="1618" ht="12.75">
      <x:c r="A1618" s="3"/>
      <x:c r="B1618" s="264"/>
      <x:c r="C1618" s="127"/>
      <x:c r="D1618" s="127"/>
      <x:c r="E1618" s="265"/>
      <x:c r="F1618" s="266"/>
      <x:c r="G1618" s="264"/>
      <x:c r="H1618" s="267"/>
      <x:c r="I1618" s="3"/>
      <x:c r="J1618" s="3"/>
      <x:c r="K1618" s="269"/>
      <x:c r="L1618" s="270"/>
      <x:c r="M1618" s="270"/>
      <x:c r="N1618" s="3"/>
      <x:c r="O1618" s="269"/>
      <x:c r="P1618" s="271"/>
      <x:c r="Q1618" s="272"/>
    </x:row>
    <x:row r="1619" ht="12.75">
      <x:c r="A1619" s="3"/>
      <x:c r="B1619" s="264"/>
      <x:c r="C1619" s="127"/>
      <x:c r="D1619" s="127"/>
      <x:c r="E1619" s="265"/>
      <x:c r="F1619" s="266"/>
      <x:c r="G1619" s="264"/>
      <x:c r="H1619" s="267"/>
      <x:c r="I1619" s="3"/>
      <x:c r="J1619" s="3"/>
      <x:c r="K1619" s="269"/>
      <x:c r="L1619" s="270"/>
      <x:c r="M1619" s="270"/>
      <x:c r="N1619" s="3"/>
      <x:c r="O1619" s="269"/>
      <x:c r="P1619" s="271"/>
      <x:c r="Q1619" s="272"/>
    </x:row>
    <x:row r="1620" ht="12.75">
      <x:c r="A1620" s="3"/>
      <x:c r="B1620" s="264"/>
      <x:c r="C1620" s="127"/>
      <x:c r="D1620" s="127"/>
      <x:c r="E1620" s="265"/>
      <x:c r="F1620" s="266"/>
      <x:c r="G1620" s="264"/>
      <x:c r="H1620" s="267"/>
      <x:c r="I1620" s="3"/>
      <x:c r="J1620" s="3"/>
      <x:c r="K1620" s="269"/>
      <x:c r="L1620" s="270"/>
      <x:c r="M1620" s="270"/>
      <x:c r="N1620" s="3"/>
      <x:c r="O1620" s="269"/>
      <x:c r="P1620" s="271"/>
      <x:c r="Q1620" s="272"/>
    </x:row>
    <x:row r="1621" ht="12.75">
      <x:c r="A1621" s="3"/>
      <x:c r="B1621" s="264"/>
      <x:c r="C1621" s="127"/>
      <x:c r="D1621" s="127"/>
      <x:c r="E1621" s="265"/>
      <x:c r="F1621" s="266"/>
      <x:c r="G1621" s="264"/>
      <x:c r="H1621" s="267"/>
      <x:c r="I1621" s="3"/>
      <x:c r="J1621" s="3"/>
      <x:c r="K1621" s="269"/>
      <x:c r="L1621" s="270"/>
      <x:c r="M1621" s="270"/>
      <x:c r="N1621" s="3"/>
      <x:c r="O1621" s="269"/>
      <x:c r="P1621" s="271"/>
      <x:c r="Q1621" s="272"/>
    </x:row>
    <x:row r="1622" ht="12.75">
      <x:c r="A1622" s="3"/>
      <x:c r="B1622" s="264"/>
      <x:c r="C1622" s="127"/>
      <x:c r="D1622" s="127"/>
      <x:c r="E1622" s="265"/>
      <x:c r="F1622" s="266"/>
      <x:c r="G1622" s="264"/>
      <x:c r="H1622" s="267"/>
      <x:c r="I1622" s="3"/>
      <x:c r="J1622" s="3"/>
      <x:c r="K1622" s="269"/>
      <x:c r="L1622" s="270"/>
      <x:c r="M1622" s="270"/>
      <x:c r="N1622" s="3"/>
      <x:c r="O1622" s="269"/>
      <x:c r="P1622" s="271"/>
      <x:c r="Q1622" s="272"/>
    </x:row>
    <x:row r="1623" ht="12.75">
      <x:c r="A1623" s="3"/>
      <x:c r="B1623" s="264"/>
      <x:c r="C1623" s="127"/>
      <x:c r="D1623" s="127"/>
      <x:c r="E1623" s="265"/>
      <x:c r="F1623" s="266"/>
      <x:c r="G1623" s="264"/>
      <x:c r="H1623" s="267"/>
      <x:c r="I1623" s="3"/>
      <x:c r="J1623" s="3"/>
      <x:c r="K1623" s="269"/>
      <x:c r="L1623" s="270"/>
      <x:c r="M1623" s="270"/>
      <x:c r="N1623" s="3"/>
      <x:c r="O1623" s="269"/>
      <x:c r="P1623" s="271"/>
      <x:c r="Q1623" s="272"/>
    </x:row>
    <x:row r="1624" ht="12.75">
      <x:c r="A1624" s="3"/>
      <x:c r="B1624" s="264"/>
      <x:c r="C1624" s="127"/>
      <x:c r="D1624" s="127"/>
      <x:c r="E1624" s="265"/>
      <x:c r="F1624" s="266"/>
      <x:c r="G1624" s="264"/>
      <x:c r="H1624" s="267"/>
      <x:c r="I1624" s="3"/>
      <x:c r="J1624" s="3"/>
      <x:c r="K1624" s="269"/>
      <x:c r="L1624" s="270"/>
      <x:c r="M1624" s="270"/>
      <x:c r="N1624" s="3"/>
      <x:c r="O1624" s="269"/>
      <x:c r="P1624" s="271"/>
      <x:c r="Q1624" s="272"/>
    </x:row>
    <x:row r="1625" ht="12.75">
      <x:c r="A1625" s="3"/>
      <x:c r="B1625" s="264"/>
      <x:c r="C1625" s="127"/>
      <x:c r="D1625" s="127"/>
      <x:c r="E1625" s="265"/>
      <x:c r="F1625" s="266"/>
      <x:c r="G1625" s="264"/>
      <x:c r="H1625" s="267"/>
      <x:c r="I1625" s="3"/>
      <x:c r="J1625" s="3"/>
      <x:c r="K1625" s="269"/>
      <x:c r="L1625" s="270"/>
      <x:c r="M1625" s="270"/>
      <x:c r="N1625" s="3"/>
      <x:c r="O1625" s="269"/>
      <x:c r="P1625" s="271"/>
      <x:c r="Q1625" s="272"/>
    </x:row>
    <x:row r="1626" ht="12.75">
      <x:c r="A1626" s="3"/>
      <x:c r="B1626" s="264"/>
      <x:c r="C1626" s="127"/>
      <x:c r="D1626" s="127"/>
      <x:c r="E1626" s="265"/>
      <x:c r="F1626" s="266"/>
      <x:c r="G1626" s="264"/>
      <x:c r="H1626" s="267"/>
      <x:c r="I1626" s="3"/>
      <x:c r="J1626" s="3"/>
      <x:c r="K1626" s="269"/>
      <x:c r="L1626" s="270"/>
      <x:c r="M1626" s="270"/>
      <x:c r="N1626" s="3"/>
      <x:c r="O1626" s="269"/>
      <x:c r="P1626" s="271"/>
      <x:c r="Q1626" s="272"/>
    </x:row>
    <x:row r="1627" ht="12.75">
      <x:c r="A1627" s="3"/>
      <x:c r="B1627" s="264"/>
      <x:c r="C1627" s="127"/>
      <x:c r="D1627" s="127"/>
      <x:c r="E1627" s="265"/>
      <x:c r="F1627" s="266"/>
      <x:c r="G1627" s="264"/>
      <x:c r="H1627" s="267"/>
      <x:c r="I1627" s="3"/>
      <x:c r="J1627" s="3"/>
      <x:c r="K1627" s="269"/>
      <x:c r="L1627" s="270"/>
      <x:c r="M1627" s="270"/>
      <x:c r="N1627" s="3"/>
      <x:c r="O1627" s="269"/>
      <x:c r="P1627" s="271"/>
      <x:c r="Q1627" s="272"/>
    </x:row>
    <x:row r="1628" ht="12.75">
      <x:c r="A1628" s="3"/>
      <x:c r="B1628" s="264"/>
      <x:c r="C1628" s="127"/>
      <x:c r="D1628" s="127"/>
      <x:c r="E1628" s="265"/>
      <x:c r="F1628" s="266"/>
      <x:c r="G1628" s="264"/>
      <x:c r="H1628" s="267"/>
      <x:c r="I1628" s="3"/>
      <x:c r="J1628" s="3"/>
      <x:c r="K1628" s="269"/>
      <x:c r="L1628" s="270"/>
      <x:c r="M1628" s="270"/>
      <x:c r="N1628" s="3"/>
      <x:c r="O1628" s="269"/>
      <x:c r="P1628" s="271"/>
      <x:c r="Q1628" s="272"/>
    </x:row>
    <x:row r="1629" ht="12.75">
      <x:c r="A1629" s="3"/>
      <x:c r="B1629" s="264"/>
      <x:c r="C1629" s="127"/>
      <x:c r="D1629" s="127"/>
      <x:c r="E1629" s="265"/>
      <x:c r="F1629" s="266"/>
      <x:c r="G1629" s="264"/>
      <x:c r="H1629" s="267"/>
      <x:c r="I1629" s="3"/>
      <x:c r="J1629" s="3"/>
      <x:c r="K1629" s="269"/>
      <x:c r="L1629" s="270"/>
      <x:c r="M1629" s="270"/>
      <x:c r="N1629" s="3"/>
      <x:c r="O1629" s="269"/>
      <x:c r="P1629" s="271"/>
      <x:c r="Q1629" s="272"/>
    </x:row>
    <x:row r="1630" ht="12.75">
      <x:c r="A1630" s="3"/>
      <x:c r="B1630" s="264"/>
      <x:c r="C1630" s="127"/>
      <x:c r="D1630" s="127"/>
      <x:c r="E1630" s="265"/>
      <x:c r="F1630" s="266"/>
      <x:c r="G1630" s="264"/>
      <x:c r="H1630" s="267"/>
      <x:c r="I1630" s="3"/>
      <x:c r="J1630" s="3"/>
      <x:c r="K1630" s="269"/>
      <x:c r="L1630" s="270"/>
      <x:c r="M1630" s="270"/>
      <x:c r="N1630" s="3"/>
      <x:c r="O1630" s="269"/>
      <x:c r="P1630" s="271"/>
      <x:c r="Q1630" s="272"/>
    </x:row>
    <x:row r="1631" ht="12.75">
      <x:c r="A1631" s="3"/>
      <x:c r="B1631" s="264"/>
      <x:c r="C1631" s="127"/>
      <x:c r="D1631" s="127"/>
      <x:c r="E1631" s="265"/>
      <x:c r="F1631" s="266"/>
      <x:c r="G1631" s="264"/>
      <x:c r="H1631" s="267"/>
      <x:c r="I1631" s="3"/>
      <x:c r="J1631" s="3"/>
      <x:c r="K1631" s="269"/>
      <x:c r="L1631" s="270"/>
      <x:c r="M1631" s="270"/>
      <x:c r="N1631" s="3"/>
      <x:c r="O1631" s="269"/>
      <x:c r="P1631" s="271"/>
      <x:c r="Q1631" s="272"/>
    </x:row>
    <x:row r="1632" ht="12.75">
      <x:c r="A1632" s="3"/>
      <x:c r="B1632" s="264"/>
      <x:c r="C1632" s="127"/>
      <x:c r="D1632" s="127"/>
      <x:c r="E1632" s="265"/>
      <x:c r="F1632" s="266"/>
      <x:c r="G1632" s="264"/>
      <x:c r="H1632" s="267"/>
      <x:c r="I1632" s="3"/>
      <x:c r="J1632" s="3"/>
      <x:c r="K1632" s="269"/>
      <x:c r="L1632" s="270"/>
      <x:c r="M1632" s="270"/>
      <x:c r="N1632" s="3"/>
      <x:c r="O1632" s="269"/>
      <x:c r="P1632" s="271"/>
      <x:c r="Q1632" s="272"/>
    </x:row>
    <x:row r="1633" ht="12.75">
      <x:c r="A1633" s="3"/>
      <x:c r="B1633" s="264"/>
      <x:c r="C1633" s="127"/>
      <x:c r="D1633" s="127"/>
      <x:c r="E1633" s="265"/>
      <x:c r="F1633" s="266"/>
      <x:c r="G1633" s="264"/>
      <x:c r="H1633" s="267"/>
      <x:c r="I1633" s="3"/>
      <x:c r="J1633" s="3"/>
      <x:c r="K1633" s="269"/>
      <x:c r="L1633" s="270"/>
      <x:c r="M1633" s="270"/>
      <x:c r="N1633" s="3"/>
      <x:c r="O1633" s="269"/>
      <x:c r="P1633" s="271"/>
      <x:c r="Q1633" s="272"/>
    </x:row>
    <x:row r="1634" ht="12.75">
      <x:c r="A1634" s="3"/>
      <x:c r="B1634" s="264"/>
      <x:c r="C1634" s="127"/>
      <x:c r="D1634" s="127"/>
      <x:c r="E1634" s="265"/>
      <x:c r="F1634" s="266"/>
      <x:c r="G1634" s="264"/>
      <x:c r="H1634" s="267"/>
      <x:c r="I1634" s="3"/>
      <x:c r="J1634" s="3"/>
      <x:c r="K1634" s="269"/>
      <x:c r="L1634" s="270"/>
      <x:c r="M1634" s="270"/>
      <x:c r="N1634" s="3"/>
      <x:c r="O1634" s="269"/>
      <x:c r="P1634" s="271"/>
      <x:c r="Q1634" s="272"/>
    </x:row>
    <x:row r="1635" ht="12.75">
      <x:c r="A1635" s="3"/>
      <x:c r="B1635" s="264"/>
      <x:c r="C1635" s="127"/>
      <x:c r="D1635" s="127"/>
      <x:c r="E1635" s="265"/>
      <x:c r="F1635" s="266"/>
      <x:c r="G1635" s="264"/>
      <x:c r="H1635" s="267"/>
      <x:c r="I1635" s="3"/>
      <x:c r="J1635" s="3"/>
      <x:c r="K1635" s="269"/>
      <x:c r="L1635" s="270"/>
      <x:c r="M1635" s="270"/>
      <x:c r="N1635" s="3"/>
      <x:c r="O1635" s="269"/>
      <x:c r="P1635" s="271"/>
      <x:c r="Q1635" s="272"/>
    </x:row>
    <x:row r="1636" ht="12.75">
      <x:c r="A1636" s="3"/>
      <x:c r="B1636" s="264"/>
      <x:c r="C1636" s="127"/>
      <x:c r="D1636" s="127"/>
      <x:c r="E1636" s="265"/>
      <x:c r="F1636" s="266"/>
      <x:c r="G1636" s="264"/>
      <x:c r="H1636" s="267"/>
      <x:c r="I1636" s="3"/>
      <x:c r="J1636" s="3"/>
      <x:c r="K1636" s="269"/>
      <x:c r="L1636" s="270"/>
      <x:c r="M1636" s="270"/>
      <x:c r="N1636" s="3"/>
      <x:c r="O1636" s="269"/>
      <x:c r="P1636" s="271"/>
      <x:c r="Q1636" s="272"/>
    </x:row>
    <x:row r="1637" ht="12.75">
      <x:c r="A1637" s="3"/>
      <x:c r="B1637" s="264"/>
      <x:c r="C1637" s="127"/>
      <x:c r="D1637" s="127"/>
      <x:c r="E1637" s="265"/>
      <x:c r="F1637" s="266"/>
      <x:c r="G1637" s="264"/>
      <x:c r="H1637" s="267"/>
      <x:c r="I1637" s="3"/>
      <x:c r="J1637" s="3"/>
      <x:c r="K1637" s="269"/>
      <x:c r="L1637" s="270"/>
      <x:c r="M1637" s="270"/>
      <x:c r="N1637" s="3"/>
      <x:c r="O1637" s="269"/>
      <x:c r="P1637" s="271"/>
      <x:c r="Q1637" s="272"/>
    </x:row>
    <x:row r="1638" ht="12.75">
      <x:c r="A1638" s="3"/>
      <x:c r="B1638" s="264"/>
      <x:c r="C1638" s="127"/>
      <x:c r="D1638" s="127"/>
      <x:c r="E1638" s="265"/>
      <x:c r="F1638" s="266"/>
      <x:c r="G1638" s="264"/>
      <x:c r="H1638" s="267"/>
      <x:c r="I1638" s="3"/>
      <x:c r="J1638" s="3"/>
      <x:c r="K1638" s="269"/>
      <x:c r="L1638" s="270"/>
      <x:c r="M1638" s="270"/>
      <x:c r="N1638" s="3"/>
      <x:c r="O1638" s="269"/>
      <x:c r="P1638" s="271"/>
      <x:c r="Q1638" s="272"/>
    </x:row>
    <x:row r="1639" ht="12.75">
      <x:c r="A1639" s="3"/>
      <x:c r="B1639" s="264"/>
      <x:c r="C1639" s="127"/>
      <x:c r="D1639" s="127"/>
      <x:c r="E1639" s="265"/>
      <x:c r="F1639" s="266"/>
      <x:c r="G1639" s="264"/>
      <x:c r="H1639" s="267"/>
      <x:c r="I1639" s="3"/>
      <x:c r="J1639" s="3"/>
      <x:c r="K1639" s="269"/>
      <x:c r="L1639" s="270"/>
      <x:c r="M1639" s="270"/>
      <x:c r="N1639" s="3"/>
      <x:c r="O1639" s="269"/>
      <x:c r="P1639" s="271"/>
      <x:c r="Q1639" s="272"/>
    </x:row>
    <x:row r="1640" ht="12.75">
      <x:c r="A1640" s="3"/>
      <x:c r="B1640" s="264"/>
      <x:c r="C1640" s="127"/>
      <x:c r="D1640" s="127"/>
      <x:c r="E1640" s="265"/>
      <x:c r="F1640" s="266"/>
      <x:c r="G1640" s="264"/>
      <x:c r="H1640" s="267"/>
      <x:c r="I1640" s="3"/>
      <x:c r="J1640" s="3"/>
      <x:c r="K1640" s="269"/>
      <x:c r="L1640" s="270"/>
      <x:c r="M1640" s="270"/>
      <x:c r="N1640" s="3"/>
      <x:c r="O1640" s="269"/>
      <x:c r="P1640" s="271"/>
      <x:c r="Q1640" s="272"/>
    </x:row>
    <x:row r="1641" ht="12.75">
      <x:c r="A1641" s="3"/>
      <x:c r="B1641" s="264"/>
      <x:c r="C1641" s="127"/>
      <x:c r="D1641" s="127"/>
      <x:c r="E1641" s="265"/>
      <x:c r="F1641" s="266"/>
      <x:c r="G1641" s="264"/>
      <x:c r="H1641" s="267"/>
      <x:c r="I1641" s="3"/>
      <x:c r="J1641" s="3"/>
      <x:c r="K1641" s="269"/>
      <x:c r="L1641" s="270"/>
      <x:c r="M1641" s="270"/>
      <x:c r="N1641" s="3"/>
      <x:c r="O1641" s="269"/>
      <x:c r="P1641" s="271"/>
      <x:c r="Q1641" s="272"/>
    </x:row>
    <x:row r="1642" ht="12.75">
      <x:c r="A1642" s="3"/>
      <x:c r="B1642" s="264"/>
      <x:c r="C1642" s="127"/>
      <x:c r="D1642" s="127"/>
      <x:c r="E1642" s="265"/>
      <x:c r="F1642" s="266"/>
      <x:c r="G1642" s="264"/>
      <x:c r="H1642" s="267"/>
      <x:c r="I1642" s="3"/>
      <x:c r="J1642" s="3"/>
      <x:c r="K1642" s="269"/>
      <x:c r="L1642" s="270"/>
      <x:c r="M1642" s="270"/>
      <x:c r="N1642" s="3"/>
      <x:c r="O1642" s="269"/>
      <x:c r="P1642" s="271"/>
      <x:c r="Q1642" s="272"/>
    </x:row>
    <x:row r="1643" ht="12.75">
      <x:c r="A1643" s="3"/>
      <x:c r="B1643" s="264"/>
      <x:c r="C1643" s="127"/>
      <x:c r="D1643" s="127"/>
      <x:c r="E1643" s="265"/>
      <x:c r="F1643" s="266"/>
      <x:c r="G1643" s="264"/>
      <x:c r="H1643" s="267"/>
      <x:c r="I1643" s="3"/>
      <x:c r="J1643" s="3"/>
      <x:c r="K1643" s="269"/>
      <x:c r="L1643" s="270"/>
      <x:c r="M1643" s="270"/>
      <x:c r="N1643" s="3"/>
      <x:c r="O1643" s="269"/>
      <x:c r="P1643" s="271"/>
      <x:c r="Q1643" s="272"/>
    </x:row>
    <x:row r="1644" ht="12.75">
      <x:c r="A1644" s="3"/>
      <x:c r="B1644" s="264"/>
      <x:c r="C1644" s="127"/>
      <x:c r="D1644" s="127"/>
      <x:c r="E1644" s="265"/>
      <x:c r="F1644" s="266"/>
      <x:c r="G1644" s="264"/>
      <x:c r="H1644" s="267"/>
      <x:c r="I1644" s="3"/>
      <x:c r="J1644" s="3"/>
      <x:c r="K1644" s="269"/>
      <x:c r="L1644" s="270"/>
      <x:c r="M1644" s="270"/>
      <x:c r="N1644" s="3"/>
      <x:c r="O1644" s="269"/>
      <x:c r="P1644" s="271"/>
      <x:c r="Q1644" s="272"/>
    </x:row>
    <x:row r="1645" ht="12.75">
      <x:c r="A1645" s="3"/>
      <x:c r="B1645" s="264"/>
      <x:c r="C1645" s="127"/>
      <x:c r="D1645" s="127"/>
      <x:c r="E1645" s="265"/>
      <x:c r="F1645" s="266"/>
      <x:c r="G1645" s="264"/>
      <x:c r="H1645" s="267"/>
      <x:c r="I1645" s="3"/>
      <x:c r="J1645" s="3"/>
      <x:c r="K1645" s="269"/>
      <x:c r="L1645" s="270"/>
      <x:c r="M1645" s="270"/>
      <x:c r="N1645" s="3"/>
      <x:c r="O1645" s="269"/>
      <x:c r="P1645" s="271"/>
      <x:c r="Q1645" s="272"/>
    </x:row>
    <x:row r="1646" ht="12.75">
      <x:c r="A1646" s="3"/>
      <x:c r="B1646" s="264"/>
      <x:c r="C1646" s="127"/>
      <x:c r="D1646" s="127"/>
      <x:c r="E1646" s="265"/>
      <x:c r="F1646" s="266"/>
      <x:c r="G1646" s="264"/>
      <x:c r="H1646" s="267"/>
      <x:c r="I1646" s="3"/>
      <x:c r="J1646" s="3"/>
      <x:c r="K1646" s="269"/>
      <x:c r="L1646" s="270"/>
      <x:c r="M1646" s="270"/>
      <x:c r="N1646" s="3"/>
      <x:c r="O1646" s="269"/>
      <x:c r="P1646" s="271"/>
      <x:c r="Q1646" s="272"/>
    </x:row>
    <x:row r="1647" ht="12.75">
      <x:c r="A1647" s="3"/>
      <x:c r="B1647" s="264"/>
      <x:c r="C1647" s="127"/>
      <x:c r="D1647" s="127"/>
      <x:c r="E1647" s="265"/>
      <x:c r="F1647" s="266"/>
      <x:c r="G1647" s="264"/>
      <x:c r="H1647" s="267"/>
      <x:c r="I1647" s="3"/>
      <x:c r="J1647" s="3"/>
      <x:c r="K1647" s="269"/>
      <x:c r="L1647" s="270"/>
      <x:c r="M1647" s="270"/>
      <x:c r="N1647" s="3"/>
      <x:c r="O1647" s="269"/>
      <x:c r="P1647" s="271"/>
      <x:c r="Q1647" s="272"/>
    </x:row>
    <x:row r="1648" ht="12.75">
      <x:c r="A1648" s="3"/>
      <x:c r="B1648" s="264"/>
      <x:c r="C1648" s="127"/>
      <x:c r="D1648" s="127"/>
      <x:c r="E1648" s="265"/>
      <x:c r="F1648" s="266"/>
      <x:c r="G1648" s="264"/>
      <x:c r="H1648" s="267"/>
      <x:c r="I1648" s="3"/>
      <x:c r="J1648" s="3"/>
      <x:c r="K1648" s="269"/>
      <x:c r="L1648" s="270"/>
      <x:c r="M1648" s="270"/>
      <x:c r="N1648" s="3"/>
      <x:c r="O1648" s="269"/>
      <x:c r="P1648" s="271"/>
      <x:c r="Q1648" s="272"/>
    </x:row>
    <x:row r="1649" ht="12.75">
      <x:c r="A1649" s="3"/>
      <x:c r="B1649" s="264"/>
      <x:c r="C1649" s="127"/>
      <x:c r="D1649" s="127"/>
      <x:c r="E1649" s="265"/>
      <x:c r="F1649" s="266"/>
      <x:c r="G1649" s="264"/>
      <x:c r="H1649" s="267"/>
      <x:c r="I1649" s="3"/>
      <x:c r="J1649" s="3"/>
      <x:c r="K1649" s="269"/>
      <x:c r="L1649" s="270"/>
      <x:c r="M1649" s="270"/>
      <x:c r="N1649" s="3"/>
      <x:c r="O1649" s="269"/>
      <x:c r="P1649" s="271"/>
      <x:c r="Q1649" s="272"/>
    </x:row>
    <x:row r="1650" ht="12.75">
      <x:c r="A1650" s="3"/>
      <x:c r="B1650" s="264"/>
      <x:c r="C1650" s="127"/>
      <x:c r="D1650" s="127"/>
      <x:c r="E1650" s="265"/>
      <x:c r="F1650" s="266"/>
      <x:c r="G1650" s="264"/>
      <x:c r="H1650" s="267"/>
      <x:c r="I1650" s="3"/>
      <x:c r="J1650" s="3"/>
      <x:c r="K1650" s="269"/>
      <x:c r="L1650" s="270"/>
      <x:c r="M1650" s="270"/>
      <x:c r="N1650" s="3"/>
      <x:c r="O1650" s="269"/>
      <x:c r="P1650" s="271"/>
      <x:c r="Q1650" s="272"/>
    </x:row>
    <x:row r="1651" ht="12.75">
      <x:c r="A1651" s="3"/>
      <x:c r="B1651" s="264"/>
      <x:c r="C1651" s="127"/>
      <x:c r="D1651" s="127"/>
      <x:c r="E1651" s="265"/>
      <x:c r="F1651" s="266"/>
      <x:c r="G1651" s="264"/>
      <x:c r="H1651" s="267"/>
      <x:c r="I1651" s="3"/>
      <x:c r="J1651" s="3"/>
      <x:c r="K1651" s="269"/>
      <x:c r="L1651" s="270"/>
      <x:c r="M1651" s="270"/>
      <x:c r="N1651" s="3"/>
      <x:c r="O1651" s="269"/>
      <x:c r="P1651" s="271"/>
      <x:c r="Q1651" s="272"/>
    </x:row>
    <x:row r="1652" ht="12.75">
      <x:c r="A1652" s="3"/>
      <x:c r="B1652" s="264"/>
      <x:c r="C1652" s="127"/>
      <x:c r="D1652" s="127"/>
      <x:c r="E1652" s="265"/>
      <x:c r="F1652" s="266"/>
      <x:c r="G1652" s="264"/>
      <x:c r="H1652" s="267"/>
      <x:c r="I1652" s="3"/>
      <x:c r="J1652" s="3"/>
      <x:c r="K1652" s="269"/>
      <x:c r="L1652" s="270"/>
      <x:c r="M1652" s="270"/>
      <x:c r="N1652" s="3"/>
      <x:c r="O1652" s="269"/>
      <x:c r="P1652" s="271"/>
      <x:c r="Q1652" s="272"/>
    </x:row>
    <x:row r="1653" ht="12.75">
      <x:c r="A1653" s="3"/>
      <x:c r="B1653" s="264"/>
      <x:c r="C1653" s="127"/>
      <x:c r="D1653" s="127"/>
      <x:c r="E1653" s="265"/>
      <x:c r="F1653" s="266"/>
      <x:c r="G1653" s="264"/>
      <x:c r="H1653" s="267"/>
      <x:c r="I1653" s="3"/>
      <x:c r="J1653" s="3"/>
      <x:c r="K1653" s="269"/>
      <x:c r="L1653" s="270"/>
      <x:c r="M1653" s="270"/>
      <x:c r="N1653" s="3"/>
      <x:c r="O1653" s="269"/>
      <x:c r="P1653" s="271"/>
      <x:c r="Q1653" s="272"/>
    </x:row>
    <x:row r="1654" ht="12.75">
      <x:c r="A1654" s="3"/>
      <x:c r="B1654" s="264"/>
      <x:c r="C1654" s="127"/>
      <x:c r="D1654" s="127"/>
      <x:c r="E1654" s="265"/>
      <x:c r="F1654" s="266"/>
      <x:c r="G1654" s="264"/>
      <x:c r="H1654" s="267"/>
      <x:c r="I1654" s="3"/>
      <x:c r="J1654" s="3"/>
      <x:c r="K1654" s="269"/>
      <x:c r="L1654" s="270"/>
      <x:c r="M1654" s="270"/>
      <x:c r="N1654" s="3"/>
      <x:c r="O1654" s="269"/>
      <x:c r="P1654" s="271"/>
      <x:c r="Q1654" s="272"/>
    </x:row>
    <x:row r="1655" ht="12.75">
      <x:c r="A1655" s="3"/>
      <x:c r="B1655" s="264"/>
      <x:c r="C1655" s="127"/>
      <x:c r="D1655" s="127"/>
      <x:c r="E1655" s="265"/>
      <x:c r="F1655" s="266"/>
      <x:c r="G1655" s="264"/>
      <x:c r="H1655" s="267"/>
      <x:c r="I1655" s="3"/>
      <x:c r="J1655" s="3"/>
      <x:c r="K1655" s="269"/>
      <x:c r="L1655" s="270"/>
      <x:c r="M1655" s="270"/>
      <x:c r="N1655" s="3"/>
      <x:c r="O1655" s="269"/>
      <x:c r="P1655" s="271"/>
      <x:c r="Q1655" s="272"/>
    </x:row>
    <x:row r="1656" ht="12.75">
      <x:c r="A1656" s="3"/>
      <x:c r="B1656" s="264"/>
      <x:c r="C1656" s="127"/>
      <x:c r="D1656" s="127"/>
      <x:c r="E1656" s="265"/>
      <x:c r="F1656" s="266"/>
      <x:c r="G1656" s="264"/>
      <x:c r="H1656" s="267"/>
      <x:c r="I1656" s="3"/>
      <x:c r="J1656" s="3"/>
      <x:c r="K1656" s="269"/>
      <x:c r="L1656" s="270"/>
      <x:c r="M1656" s="270"/>
      <x:c r="N1656" s="3"/>
      <x:c r="O1656" s="269"/>
      <x:c r="P1656" s="271"/>
      <x:c r="Q1656" s="272"/>
    </x:row>
    <x:row r="1657" ht="12.75">
      <x:c r="A1657" s="3"/>
      <x:c r="B1657" s="264"/>
      <x:c r="C1657" s="127"/>
      <x:c r="D1657" s="127"/>
      <x:c r="E1657" s="265"/>
      <x:c r="F1657" s="266"/>
      <x:c r="G1657" s="264"/>
      <x:c r="H1657" s="267"/>
      <x:c r="I1657" s="3"/>
      <x:c r="J1657" s="3"/>
      <x:c r="K1657" s="269"/>
      <x:c r="L1657" s="270"/>
      <x:c r="M1657" s="270"/>
      <x:c r="N1657" s="3"/>
      <x:c r="O1657" s="269"/>
      <x:c r="P1657" s="271"/>
      <x:c r="Q1657" s="272"/>
    </x:row>
    <x:row r="1658" ht="12.75">
      <x:c r="A1658" s="3"/>
      <x:c r="B1658" s="264"/>
      <x:c r="C1658" s="127"/>
      <x:c r="D1658" s="127"/>
      <x:c r="E1658" s="265"/>
      <x:c r="F1658" s="266"/>
      <x:c r="G1658" s="264"/>
      <x:c r="H1658" s="267"/>
      <x:c r="I1658" s="3"/>
      <x:c r="J1658" s="3"/>
      <x:c r="K1658" s="269"/>
      <x:c r="L1658" s="270"/>
      <x:c r="M1658" s="270"/>
      <x:c r="N1658" s="3"/>
      <x:c r="O1658" s="269"/>
      <x:c r="P1658" s="271"/>
      <x:c r="Q1658" s="272"/>
    </x:row>
    <x:row r="1659" ht="12.75">
      <x:c r="A1659" s="3"/>
      <x:c r="B1659" s="264"/>
      <x:c r="C1659" s="127"/>
      <x:c r="D1659" s="127"/>
      <x:c r="E1659" s="265"/>
      <x:c r="F1659" s="266"/>
      <x:c r="G1659" s="264"/>
      <x:c r="H1659" s="267"/>
      <x:c r="I1659" s="3"/>
      <x:c r="J1659" s="3"/>
      <x:c r="K1659" s="269"/>
      <x:c r="L1659" s="270"/>
      <x:c r="M1659" s="270"/>
      <x:c r="N1659" s="3"/>
      <x:c r="O1659" s="269"/>
      <x:c r="P1659" s="271"/>
      <x:c r="Q1659" s="272"/>
    </x:row>
    <x:row r="1660" ht="12.75">
      <x:c r="A1660" s="3"/>
      <x:c r="B1660" s="264"/>
      <x:c r="C1660" s="127"/>
      <x:c r="D1660" s="127"/>
      <x:c r="E1660" s="265"/>
      <x:c r="F1660" s="266"/>
      <x:c r="G1660" s="264"/>
      <x:c r="H1660" s="267"/>
      <x:c r="I1660" s="3"/>
      <x:c r="J1660" s="3"/>
      <x:c r="K1660" s="269"/>
      <x:c r="L1660" s="270"/>
      <x:c r="M1660" s="270"/>
      <x:c r="N1660" s="3"/>
      <x:c r="O1660" s="269"/>
      <x:c r="P1660" s="271"/>
      <x:c r="Q1660" s="272"/>
    </x:row>
    <x:row r="1661" ht="12.75">
      <x:c r="A1661" s="3"/>
      <x:c r="B1661" s="264"/>
      <x:c r="C1661" s="127"/>
      <x:c r="D1661" s="127"/>
      <x:c r="E1661" s="265"/>
      <x:c r="F1661" s="266"/>
      <x:c r="G1661" s="264"/>
      <x:c r="H1661" s="267"/>
      <x:c r="I1661" s="3"/>
      <x:c r="J1661" s="3"/>
      <x:c r="K1661" s="269"/>
      <x:c r="L1661" s="270"/>
      <x:c r="M1661" s="270"/>
      <x:c r="N1661" s="3"/>
      <x:c r="O1661" s="269"/>
      <x:c r="P1661" s="271"/>
      <x:c r="Q1661" s="272"/>
    </x:row>
    <x:row r="1662" ht="12.75">
      <x:c r="A1662" s="3"/>
      <x:c r="B1662" s="264"/>
      <x:c r="C1662" s="127"/>
      <x:c r="D1662" s="127"/>
      <x:c r="E1662" s="265"/>
      <x:c r="F1662" s="266"/>
      <x:c r="G1662" s="264"/>
      <x:c r="H1662" s="267"/>
      <x:c r="I1662" s="3"/>
      <x:c r="J1662" s="3"/>
      <x:c r="K1662" s="269"/>
      <x:c r="L1662" s="270"/>
      <x:c r="M1662" s="270"/>
      <x:c r="N1662" s="3"/>
      <x:c r="O1662" s="269"/>
      <x:c r="P1662" s="271"/>
      <x:c r="Q1662" s="272"/>
    </x:row>
    <x:row r="1663" ht="12.75">
      <x:c r="A1663" s="3"/>
      <x:c r="B1663" s="264"/>
      <x:c r="C1663" s="127"/>
      <x:c r="D1663" s="127"/>
      <x:c r="E1663" s="265"/>
      <x:c r="F1663" s="266"/>
      <x:c r="G1663" s="264"/>
      <x:c r="H1663" s="267"/>
      <x:c r="I1663" s="3"/>
      <x:c r="J1663" s="3"/>
      <x:c r="K1663" s="269"/>
      <x:c r="L1663" s="270"/>
      <x:c r="M1663" s="270"/>
      <x:c r="N1663" s="3"/>
      <x:c r="O1663" s="269"/>
      <x:c r="P1663" s="271"/>
      <x:c r="Q1663" s="272"/>
    </x:row>
    <x:row r="1664" ht="12.75">
      <x:c r="A1664" s="3"/>
      <x:c r="B1664" s="264"/>
      <x:c r="C1664" s="127"/>
      <x:c r="D1664" s="127"/>
      <x:c r="E1664" s="265"/>
      <x:c r="F1664" s="266"/>
      <x:c r="G1664" s="264"/>
      <x:c r="H1664" s="267"/>
      <x:c r="I1664" s="3"/>
      <x:c r="J1664" s="3"/>
      <x:c r="K1664" s="269"/>
      <x:c r="L1664" s="270"/>
      <x:c r="M1664" s="270"/>
      <x:c r="N1664" s="3"/>
      <x:c r="O1664" s="269"/>
      <x:c r="P1664" s="271"/>
      <x:c r="Q1664" s="272"/>
    </x:row>
    <x:row r="1665" ht="12.75">
      <x:c r="A1665" s="3"/>
      <x:c r="B1665" s="264"/>
      <x:c r="C1665" s="127"/>
      <x:c r="D1665" s="127"/>
      <x:c r="E1665" s="265"/>
      <x:c r="F1665" s="266"/>
      <x:c r="G1665" s="264"/>
      <x:c r="H1665" s="267"/>
      <x:c r="I1665" s="3"/>
      <x:c r="J1665" s="3"/>
      <x:c r="K1665" s="269"/>
      <x:c r="L1665" s="270"/>
      <x:c r="M1665" s="270"/>
      <x:c r="N1665" s="3"/>
      <x:c r="O1665" s="269"/>
      <x:c r="P1665" s="271"/>
      <x:c r="Q1665" s="272"/>
    </x:row>
    <x:row r="1666" ht="12.75">
      <x:c r="A1666" s="3"/>
      <x:c r="B1666" s="264"/>
      <x:c r="C1666" s="127"/>
      <x:c r="D1666" s="127"/>
      <x:c r="E1666" s="265"/>
      <x:c r="F1666" s="266"/>
      <x:c r="G1666" s="264"/>
      <x:c r="H1666" s="267"/>
      <x:c r="I1666" s="3"/>
      <x:c r="J1666" s="3"/>
      <x:c r="K1666" s="269"/>
      <x:c r="L1666" s="270"/>
      <x:c r="M1666" s="270"/>
      <x:c r="N1666" s="3"/>
      <x:c r="O1666" s="269"/>
      <x:c r="P1666" s="271"/>
      <x:c r="Q1666" s="272"/>
    </x:row>
    <x:row r="1667" ht="12.75">
      <x:c r="A1667" s="3"/>
      <x:c r="B1667" s="264"/>
      <x:c r="C1667" s="127"/>
      <x:c r="D1667" s="127"/>
      <x:c r="E1667" s="265"/>
      <x:c r="F1667" s="266"/>
      <x:c r="G1667" s="264"/>
      <x:c r="H1667" s="267"/>
      <x:c r="I1667" s="3"/>
      <x:c r="J1667" s="3"/>
      <x:c r="K1667" s="269"/>
      <x:c r="L1667" s="270"/>
      <x:c r="M1667" s="270"/>
      <x:c r="N1667" s="3"/>
      <x:c r="O1667" s="269"/>
      <x:c r="P1667" s="271"/>
      <x:c r="Q1667" s="272"/>
    </x:row>
    <x:row r="1668" ht="12.75">
      <x:c r="A1668" s="3"/>
      <x:c r="B1668" s="264"/>
      <x:c r="C1668" s="127"/>
      <x:c r="D1668" s="127"/>
      <x:c r="E1668" s="265"/>
      <x:c r="F1668" s="266"/>
      <x:c r="G1668" s="264"/>
      <x:c r="H1668" s="267"/>
      <x:c r="I1668" s="3"/>
      <x:c r="J1668" s="3"/>
      <x:c r="K1668" s="269"/>
      <x:c r="L1668" s="270"/>
      <x:c r="M1668" s="270"/>
      <x:c r="N1668" s="3"/>
      <x:c r="O1668" s="269"/>
      <x:c r="P1668" s="271"/>
      <x:c r="Q1668" s="272"/>
    </x:row>
    <x:row r="1669" ht="12.75">
      <x:c r="A1669" s="3"/>
      <x:c r="B1669" s="264"/>
      <x:c r="C1669" s="127"/>
      <x:c r="D1669" s="127"/>
      <x:c r="E1669" s="265"/>
      <x:c r="F1669" s="266"/>
      <x:c r="G1669" s="264"/>
      <x:c r="H1669" s="267"/>
      <x:c r="I1669" s="3"/>
      <x:c r="J1669" s="3"/>
      <x:c r="K1669" s="269"/>
      <x:c r="L1669" s="270"/>
      <x:c r="M1669" s="270"/>
      <x:c r="N1669" s="3"/>
      <x:c r="O1669" s="269"/>
      <x:c r="P1669" s="271"/>
      <x:c r="Q1669" s="272"/>
    </x:row>
    <x:row r="1670" ht="12.75">
      <x:c r="A1670" s="3"/>
      <x:c r="B1670" s="264"/>
      <x:c r="C1670" s="127"/>
      <x:c r="D1670" s="127"/>
      <x:c r="E1670" s="265"/>
      <x:c r="F1670" s="266"/>
      <x:c r="G1670" s="264"/>
      <x:c r="H1670" s="267"/>
      <x:c r="I1670" s="3"/>
      <x:c r="J1670" s="3"/>
      <x:c r="K1670" s="269"/>
      <x:c r="L1670" s="270"/>
      <x:c r="M1670" s="270"/>
      <x:c r="N1670" s="3"/>
      <x:c r="O1670" s="269"/>
      <x:c r="P1670" s="271"/>
      <x:c r="Q1670" s="272"/>
    </x:row>
    <x:row r="1671" ht="12.75">
      <x:c r="A1671" s="3"/>
      <x:c r="B1671" s="264"/>
      <x:c r="C1671" s="127"/>
      <x:c r="D1671" s="127"/>
      <x:c r="E1671" s="265"/>
      <x:c r="F1671" s="266"/>
      <x:c r="G1671" s="264"/>
      <x:c r="H1671" s="267"/>
      <x:c r="I1671" s="3"/>
      <x:c r="J1671" s="3"/>
      <x:c r="K1671" s="269"/>
      <x:c r="L1671" s="270"/>
      <x:c r="M1671" s="270"/>
      <x:c r="N1671" s="3"/>
      <x:c r="O1671" s="269"/>
      <x:c r="P1671" s="271"/>
      <x:c r="Q1671" s="272"/>
    </x:row>
    <x:row r="1672" ht="12.75">
      <x:c r="A1672" s="3"/>
      <x:c r="B1672" s="264"/>
      <x:c r="C1672" s="127"/>
      <x:c r="D1672" s="127"/>
      <x:c r="E1672" s="265"/>
      <x:c r="F1672" s="266"/>
      <x:c r="G1672" s="264"/>
      <x:c r="H1672" s="267"/>
      <x:c r="I1672" s="3"/>
      <x:c r="J1672" s="3"/>
      <x:c r="K1672" s="269"/>
      <x:c r="L1672" s="270"/>
      <x:c r="M1672" s="270"/>
      <x:c r="N1672" s="3"/>
      <x:c r="O1672" s="269"/>
      <x:c r="P1672" s="271"/>
      <x:c r="Q1672" s="272"/>
    </x:row>
    <x:row r="1673" ht="12.75">
      <x:c r="A1673" s="3"/>
      <x:c r="B1673" s="264"/>
      <x:c r="C1673" s="127"/>
      <x:c r="D1673" s="127"/>
      <x:c r="E1673" s="265"/>
      <x:c r="F1673" s="266"/>
      <x:c r="G1673" s="264"/>
      <x:c r="H1673" s="267"/>
      <x:c r="I1673" s="3"/>
      <x:c r="J1673" s="3"/>
      <x:c r="K1673" s="269"/>
      <x:c r="L1673" s="270"/>
      <x:c r="M1673" s="270"/>
      <x:c r="N1673" s="3"/>
      <x:c r="O1673" s="269"/>
      <x:c r="P1673" s="271"/>
      <x:c r="Q1673" s="272"/>
    </x:row>
    <x:row r="1674" ht="12.75">
      <x:c r="A1674" s="3"/>
      <x:c r="B1674" s="264"/>
      <x:c r="C1674" s="127"/>
      <x:c r="D1674" s="127"/>
      <x:c r="E1674" s="265"/>
      <x:c r="F1674" s="266"/>
      <x:c r="G1674" s="264"/>
      <x:c r="H1674" s="267"/>
      <x:c r="I1674" s="3"/>
      <x:c r="J1674" s="3"/>
      <x:c r="K1674" s="269"/>
      <x:c r="L1674" s="270"/>
      <x:c r="M1674" s="270"/>
      <x:c r="N1674" s="3"/>
      <x:c r="O1674" s="269"/>
      <x:c r="P1674" s="271"/>
      <x:c r="Q1674" s="272"/>
    </x:row>
    <x:row r="1675" ht="12.75">
      <x:c r="A1675" s="3"/>
      <x:c r="B1675" s="264"/>
      <x:c r="C1675" s="127"/>
      <x:c r="D1675" s="127"/>
      <x:c r="E1675" s="265"/>
      <x:c r="F1675" s="266"/>
      <x:c r="G1675" s="264"/>
      <x:c r="H1675" s="267"/>
      <x:c r="I1675" s="3"/>
      <x:c r="J1675" s="3"/>
      <x:c r="K1675" s="269"/>
      <x:c r="L1675" s="270"/>
      <x:c r="M1675" s="270"/>
      <x:c r="N1675" s="3"/>
      <x:c r="O1675" s="269"/>
      <x:c r="P1675" s="271"/>
      <x:c r="Q1675" s="272"/>
    </x:row>
    <x:row r="1676" ht="12.75">
      <x:c r="A1676" s="3"/>
      <x:c r="B1676" s="264"/>
      <x:c r="C1676" s="127"/>
      <x:c r="D1676" s="127"/>
      <x:c r="E1676" s="265"/>
      <x:c r="F1676" s="266"/>
      <x:c r="G1676" s="264"/>
      <x:c r="H1676" s="267"/>
      <x:c r="I1676" s="3"/>
      <x:c r="J1676" s="3"/>
      <x:c r="K1676" s="269"/>
      <x:c r="L1676" s="270"/>
      <x:c r="M1676" s="270"/>
      <x:c r="N1676" s="3"/>
      <x:c r="O1676" s="269"/>
      <x:c r="P1676" s="271"/>
      <x:c r="Q1676" s="272"/>
    </x:row>
    <x:row r="1677" ht="12.75">
      <x:c r="A1677" s="3"/>
      <x:c r="B1677" s="264"/>
      <x:c r="C1677" s="127"/>
      <x:c r="D1677" s="127"/>
      <x:c r="E1677" s="265"/>
      <x:c r="F1677" s="266"/>
      <x:c r="G1677" s="264"/>
      <x:c r="H1677" s="267"/>
      <x:c r="I1677" s="3"/>
      <x:c r="J1677" s="3"/>
      <x:c r="K1677" s="269"/>
      <x:c r="L1677" s="270"/>
      <x:c r="M1677" s="270"/>
      <x:c r="N1677" s="3"/>
      <x:c r="O1677" s="269"/>
      <x:c r="P1677" s="271"/>
      <x:c r="Q1677" s="272"/>
    </x:row>
    <x:row r="1678" ht="12.75">
      <x:c r="A1678" s="3"/>
      <x:c r="B1678" s="264"/>
      <x:c r="C1678" s="127"/>
      <x:c r="D1678" s="127"/>
      <x:c r="E1678" s="265"/>
      <x:c r="F1678" s="266"/>
      <x:c r="G1678" s="264"/>
      <x:c r="H1678" s="267"/>
      <x:c r="I1678" s="3"/>
      <x:c r="J1678" s="3"/>
      <x:c r="K1678" s="269"/>
      <x:c r="L1678" s="270"/>
      <x:c r="M1678" s="270"/>
      <x:c r="N1678" s="3"/>
      <x:c r="O1678" s="269"/>
      <x:c r="P1678" s="271"/>
      <x:c r="Q1678" s="272"/>
    </x:row>
    <x:row r="1679" ht="12.75">
      <x:c r="A1679" s="3"/>
      <x:c r="B1679" s="264"/>
      <x:c r="C1679" s="127"/>
      <x:c r="D1679" s="127"/>
      <x:c r="E1679" s="265"/>
      <x:c r="F1679" s="266"/>
      <x:c r="G1679" s="264"/>
      <x:c r="H1679" s="267"/>
      <x:c r="I1679" s="3"/>
      <x:c r="J1679" s="3"/>
      <x:c r="K1679" s="269"/>
      <x:c r="L1679" s="270"/>
      <x:c r="M1679" s="270"/>
      <x:c r="N1679" s="3"/>
      <x:c r="O1679" s="269"/>
      <x:c r="P1679" s="271"/>
      <x:c r="Q1679" s="272"/>
    </x:row>
    <x:row r="1680" ht="12.75">
      <x:c r="A1680" s="3"/>
      <x:c r="B1680" s="264"/>
      <x:c r="C1680" s="127"/>
      <x:c r="D1680" s="127"/>
      <x:c r="E1680" s="265"/>
      <x:c r="F1680" s="266"/>
      <x:c r="G1680" s="264"/>
      <x:c r="H1680" s="267"/>
      <x:c r="I1680" s="3"/>
      <x:c r="J1680" s="3"/>
      <x:c r="K1680" s="269"/>
      <x:c r="L1680" s="270"/>
      <x:c r="M1680" s="270"/>
      <x:c r="N1680" s="3"/>
      <x:c r="O1680" s="269"/>
      <x:c r="P1680" s="271"/>
      <x:c r="Q1680" s="272"/>
    </x:row>
    <x:row r="1681" ht="12.75">
      <x:c r="A1681" s="3"/>
      <x:c r="B1681" s="264"/>
      <x:c r="C1681" s="127"/>
      <x:c r="D1681" s="127"/>
      <x:c r="E1681" s="265"/>
      <x:c r="F1681" s="266"/>
      <x:c r="G1681" s="264"/>
      <x:c r="H1681" s="267"/>
      <x:c r="I1681" s="3"/>
      <x:c r="J1681" s="3"/>
      <x:c r="K1681" s="269"/>
      <x:c r="L1681" s="270"/>
      <x:c r="M1681" s="270"/>
      <x:c r="N1681" s="3"/>
      <x:c r="O1681" s="269"/>
      <x:c r="P1681" s="271"/>
      <x:c r="Q1681" s="272"/>
    </x:row>
  </x:sheetData>
  <x:hyperlinks>
    <x:hyperlink xmlns:r="http://schemas.openxmlformats.org/officeDocument/2006/relationships" ref="H28" r:id="R48933b8f3fd54b82"/>
    <x:hyperlink xmlns:r="http://schemas.openxmlformats.org/officeDocument/2006/relationships" ref="H29" r:id="R306c79499fc54162"/>
    <x:hyperlink xmlns:r="http://schemas.openxmlformats.org/officeDocument/2006/relationships" ref="H30" r:id="R9e9b0b58fb344c9c"/>
    <x:hyperlink xmlns:r="http://schemas.openxmlformats.org/officeDocument/2006/relationships" ref="H31" r:id="R166fe8df58f9456f"/>
    <x:hyperlink xmlns:r="http://schemas.openxmlformats.org/officeDocument/2006/relationships" ref="H32" r:id="R58b7436f473a486f"/>
    <x:hyperlink xmlns:r="http://schemas.openxmlformats.org/officeDocument/2006/relationships" ref="H33" r:id="R47676b0566714421"/>
    <x:hyperlink xmlns:r="http://schemas.openxmlformats.org/officeDocument/2006/relationships" ref="H34" r:id="R93d68ccedff840b1"/>
    <x:hyperlink xmlns:r="http://schemas.openxmlformats.org/officeDocument/2006/relationships" ref="H35" r:id="R52c40ff4eee2448a"/>
    <x:hyperlink xmlns:r="http://schemas.openxmlformats.org/officeDocument/2006/relationships" ref="H36" r:id="Rd6bff982e8d5462e"/>
    <x:hyperlink xmlns:r="http://schemas.openxmlformats.org/officeDocument/2006/relationships" ref="H37" r:id="Rc32f7160d66e4397"/>
    <x:hyperlink xmlns:r="http://schemas.openxmlformats.org/officeDocument/2006/relationships" ref="H39" r:id="R21519002b07844b7"/>
    <x:hyperlink xmlns:r="http://schemas.openxmlformats.org/officeDocument/2006/relationships" ref="H40" r:id="R531f841a6b5242b5"/>
    <x:hyperlink xmlns:r="http://schemas.openxmlformats.org/officeDocument/2006/relationships" ref="H41" r:id="Ra312558a6d224942"/>
    <x:hyperlink xmlns:r="http://schemas.openxmlformats.org/officeDocument/2006/relationships" ref="H42" r:id="R3f01231898974d19"/>
    <x:hyperlink xmlns:r="http://schemas.openxmlformats.org/officeDocument/2006/relationships" ref="H43" r:id="R370a543dd3ed4da4"/>
    <x:hyperlink xmlns:r="http://schemas.openxmlformats.org/officeDocument/2006/relationships" ref="H44" r:id="Rf0273348cf4d4826"/>
    <x:hyperlink xmlns:r="http://schemas.openxmlformats.org/officeDocument/2006/relationships" ref="H45" r:id="R8ec91f14e0754000"/>
    <x:hyperlink xmlns:r="http://schemas.openxmlformats.org/officeDocument/2006/relationships" ref="H46" r:id="R6d406ee7b7e74865"/>
    <x:hyperlink xmlns:r="http://schemas.openxmlformats.org/officeDocument/2006/relationships" ref="H47" r:id="R1fb99f98fb3a4d4d"/>
    <x:hyperlink xmlns:r="http://schemas.openxmlformats.org/officeDocument/2006/relationships" ref="H48" r:id="R62d1b22636a54116"/>
    <x:hyperlink xmlns:r="http://schemas.openxmlformats.org/officeDocument/2006/relationships" ref="H62" r:id="Rdd7ab10168124aee"/>
    <x:hyperlink xmlns:r="http://schemas.openxmlformats.org/officeDocument/2006/relationships" ref="H81" r:id="Reec2a6d5ead747ac"/>
    <x:hyperlink xmlns:r="http://schemas.openxmlformats.org/officeDocument/2006/relationships" ref="H91" r:id="R1f0d22412d5b4e5b"/>
    <x:hyperlink xmlns:r="http://schemas.openxmlformats.org/officeDocument/2006/relationships" ref="H92" r:id="R6dca63c57b2043be"/>
    <x:hyperlink xmlns:r="http://schemas.openxmlformats.org/officeDocument/2006/relationships" ref="H113" r:id="Rd04315e1c1c9455f"/>
    <x:hyperlink xmlns:r="http://schemas.openxmlformats.org/officeDocument/2006/relationships" ref="H114" r:id="Re1bfa054da604d79"/>
    <x:hyperlink xmlns:r="http://schemas.openxmlformats.org/officeDocument/2006/relationships" ref="H230" r:id="R9c64944f5f874608"/>
    <x:hyperlink xmlns:r="http://schemas.openxmlformats.org/officeDocument/2006/relationships" ref="H393" r:id="R8826b29cdfb84cfb"/>
    <x:hyperlink xmlns:r="http://schemas.openxmlformats.org/officeDocument/2006/relationships" ref="H394" r:id="R248c870589604efd"/>
    <x:hyperlink xmlns:r="http://schemas.openxmlformats.org/officeDocument/2006/relationships" ref="H734" r:id="R64d8e77352114737"/>
  </x:hyperlinks>
  <x:pageMargins left="0.7" right="0.7" top="0.75" bottom="0.75" header="0.3" footer="0.3"/>
  <x:legacyDrawing xmlns:r="http://schemas.openxmlformats.org/officeDocument/2006/relationships" r:id="R74a8d31829af4ab6"/>
</x:worksheet>
</file>

<file path=xl/worksheets/sheet2.xml><?xml version="1.0" encoding="utf-8"?>
<x:worksheet xmlns:x="http://schemas.openxmlformats.org/spreadsheetml/2006/main">
  <x:sheetFormatPr defaultColWidth="12.5703125" defaultRowHeight="15.75"/>
  <x:sheetData>
    <x:row r="1">
      <x:c r="A1" s="2" t="s">
        <x:v>38</x:v>
      </x:c>
      <x:c r="B1" s="2" t="s">
        <x:v>1</x:v>
      </x:c>
    </x:row>
    <x:row r="2">
      <x:c r="A2" s="2" t="s">
        <x:v>1638</x:v>
      </x:c>
      <x:c r="B2" s="2" t="s">
        <x:v>1978</x:v>
      </x:c>
    </x:row>
    <x:row r="3">
      <x:c r="A3" s="2" t="s">
        <x:v>1643</x:v>
      </x:c>
      <x:c r="B3" s="2" t="s">
        <x:v>1979</x:v>
      </x:c>
    </x:row>
    <x:row r="4">
      <x:c r="A4" s="2" t="s">
        <x:v>495</x:v>
      </x:c>
      <x:c r="B4" s="2" t="s">
        <x:v>1980</x:v>
      </x:c>
    </x:row>
    <x:row r="5">
      <x:c r="A5" s="2" t="s">
        <x:v>412</x:v>
      </x:c>
      <x:c r="B5" s="2" t="s">
        <x:v>1981</x:v>
      </x:c>
    </x:row>
    <x:row r="6">
      <x:c r="A6" s="2" t="s">
        <x:v>1982</x:v>
      </x:c>
      <x:c r="B6" s="2" t="s">
        <x:v>1983</x:v>
      </x:c>
    </x:row>
    <x:row r="7">
      <x:c r="A7" s="2" t="s">
        <x:v>1335</x:v>
      </x:c>
      <x:c r="B7" s="2" t="s">
        <x:v>1984</x:v>
      </x:c>
    </x:row>
    <x:row r="8">
      <x:c r="A8" s="2" t="s">
        <x:v>437</x:v>
      </x:c>
      <x:c r="B8" s="2" t="s">
        <x:v>1983</x:v>
      </x:c>
    </x:row>
    <x:row r="9">
      <x:c r="A9" s="2" t="s">
        <x:v>1985</x:v>
      </x:c>
      <x:c r="B9" s="2" t="s">
        <x:v>1986</x:v>
      </x:c>
    </x:row>
    <x:row r="10">
      <x:c r="A10" s="2" t="s">
        <x:v>1987</x:v>
      </x:c>
      <x:c r="B10" s="2" t="s">
        <x:v>1988</x:v>
      </x:c>
    </x:row>
    <x:row r="11">
      <x:c r="A11" s="2" t="s">
        <x:v>1989</x:v>
      </x:c>
      <x:c r="B11" s="2" t="s">
        <x:v>1990</x:v>
      </x:c>
    </x:row>
    <x:row r="12">
      <x:c r="A12" s="2" t="s">
        <x:v>1610</x:v>
      </x:c>
      <x:c r="B12" s="2" t="s">
        <x:v>1991</x:v>
      </x:c>
    </x:row>
    <x:row r="13">
      <x:c r="A13" s="2" t="s">
        <x:v>310</x:v>
      </x:c>
      <x:c r="B13" s="2" t="s">
        <x:v>1992</x:v>
      </x:c>
    </x:row>
    <x:row r="14">
      <x:c r="A14" s="2" t="s">
        <x:v>509</x:v>
      </x:c>
      <x:c r="B14" s="2" t="s">
        <x:v>1993</x:v>
      </x:c>
    </x:row>
    <x:row r="15">
      <x:c r="A15" s="2" t="s">
        <x:v>1994</x:v>
      </x:c>
      <x:c r="B15" s="2" t="s">
        <x:v>1988</x:v>
      </x:c>
    </x:row>
    <x:row r="16">
      <x:c r="A16" s="2" t="s">
        <x:v>1995</x:v>
      </x:c>
      <x:c r="B16" s="2" t="s">
        <x:v>1996</x:v>
      </x:c>
    </x:row>
    <x:row r="17">
      <x:c r="A17" s="2" t="s">
        <x:v>1646</x:v>
      </x:c>
      <x:c r="B17" s="2" t="s">
        <x:v>1997</x:v>
      </x:c>
    </x:row>
    <x:row r="18">
      <x:c r="A18" s="2" t="s">
        <x:v>1758</x:v>
      </x:c>
      <x:c r="B18" s="2" t="s">
        <x:v>1996</x:v>
      </x:c>
    </x:row>
    <x:row r="19">
      <x:c r="A19" s="2" t="s">
        <x:v>1154</x:v>
      </x:c>
      <x:c r="B19" s="2" t="s">
        <x:v>1998</x:v>
      </x:c>
    </x:row>
    <x:row r="20">
      <x:c r="A20" s="2" t="s">
        <x:v>133</x:v>
      </x:c>
      <x:c r="B20" s="2" t="s">
        <x:v>1999</x:v>
      </x:c>
    </x:row>
    <x:row r="21">
      <x:c r="A21" s="2" t="s">
        <x:v>79</x:v>
      </x:c>
      <x:c r="B21" s="2" t="s">
        <x:v>2000</x:v>
      </x:c>
    </x:row>
    <x:row r="22">
      <x:c r="A22" s="2" t="s">
        <x:v>335</x:v>
      </x:c>
      <x:c r="B22" s="2" t="s">
        <x:v>1997</x:v>
      </x:c>
    </x:row>
    <x:row r="23">
      <x:c r="A23" s="2" t="s">
        <x:v>2001</x:v>
      </x:c>
      <x:c r="B23" s="2" t="s">
        <x:v>2002</x:v>
      </x:c>
    </x:row>
    <x:row r="24">
      <x:c r="A24" s="2" t="s">
        <x:v>2003</x:v>
      </x:c>
      <x:c r="B24" s="2" t="s">
        <x:v>1993</x:v>
      </x:c>
    </x:row>
    <x:row r="25">
      <x:c r="A25" s="2" t="s">
        <x:v>945</x:v>
      </x:c>
      <x:c r="B25" s="2" t="s">
        <x:v>2004</x:v>
      </x:c>
    </x:row>
    <x:row r="26">
      <x:c r="A26" s="2" t="s">
        <x:v>544</x:v>
      </x:c>
      <x:c r="B26" s="2" t="s">
        <x:v>2005</x:v>
      </x:c>
    </x:row>
    <x:row r="27">
      <x:c r="A27" s="2" t="s">
        <x:v>619</x:v>
      </x:c>
      <x:c r="B27" s="2" t="s">
        <x:v>1993</x:v>
      </x:c>
    </x:row>
    <x:row r="28">
      <x:c r="A28" s="2" t="s">
        <x:v>482</x:v>
      </x:c>
      <x:c r="B28" s="2" t="s">
        <x:v>1997</x:v>
      </x:c>
    </x:row>
    <x:row r="29">
      <x:c r="A29" s="2" t="s">
        <x:v>2006</x:v>
      </x:c>
      <x:c r="B29" s="2" t="s">
        <x:v>1981</x:v>
      </x:c>
    </x:row>
    <x:row r="30">
      <x:c r="A30" s="2" t="s">
        <x:v>2007</x:v>
      </x:c>
      <x:c r="B30" s="2" t="s">
        <x:v>2000</x:v>
      </x:c>
    </x:row>
    <x:row r="31">
      <x:c r="A31" s="2" t="s">
        <x:v>27</x:v>
      </x:c>
      <x:c r="B31" s="2" t="s">
        <x:v>1978</x:v>
      </x:c>
    </x:row>
    <x:row r="32">
      <x:c r="A32" s="2" t="s">
        <x:v>465</x:v>
      </x:c>
      <x:c r="B32" s="2" t="s">
        <x:v>2002</x:v>
      </x:c>
    </x:row>
    <x:row r="33">
      <x:c r="A33" s="2" t="s">
        <x:v>339</x:v>
      </x:c>
      <x:c r="B33" s="2" t="s">
        <x:v>1991</x:v>
      </x:c>
    </x:row>
    <x:row r="34">
      <x:c r="A34" s="2" t="s">
        <x:v>36</x:v>
      </x:c>
      <x:c r="B34" s="2" t="s">
        <x:v>2000</x:v>
      </x:c>
    </x:row>
    <x:row r="35">
      <x:c r="A35" s="2" t="s">
        <x:v>2008</x:v>
      </x:c>
      <x:c r="B35" s="2" t="s">
        <x:v>2004</x:v>
      </x:c>
    </x:row>
    <x:row r="36">
      <x:c r="A36" s="2" t="s">
        <x:v>1122</x:v>
      </x:c>
      <x:c r="B36" s="2" t="s">
        <x:v>1979</x:v>
      </x:c>
    </x:row>
    <x:row r="37">
      <x:c r="A37" s="2" t="s">
        <x:v>2009</x:v>
      </x:c>
      <x:c r="B37" s="2" t="s">
        <x:v>2010</x:v>
      </x:c>
    </x:row>
    <x:row r="38">
      <x:c r="A38" s="2" t="s">
        <x:v>2011</x:v>
      </x:c>
      <x:c r="B38" s="2" t="s">
        <x:v>1984</x:v>
      </x:c>
    </x:row>
    <x:row r="39">
      <x:c r="A39" s="2" t="s">
        <x:v>883</x:v>
      </x:c>
      <x:c r="B39" s="2" t="s">
        <x:v>1998</x:v>
      </x:c>
    </x:row>
    <x:row r="40">
      <x:c r="A40" s="2" t="s">
        <x:v>460</x:v>
      </x:c>
      <x:c r="B40" s="2" t="s">
        <x:v>2000</x:v>
      </x:c>
    </x:row>
    <x:row r="41">
      <x:c r="A41" s="2" t="s">
        <x:v>2012</x:v>
      </x:c>
      <x:c r="B41" s="2" t="s">
        <x:v>1988</x:v>
      </x:c>
    </x:row>
    <x:row r="42">
      <x:c r="A42" s="2" t="s">
        <x:v>1126</x:v>
      </x:c>
      <x:c r="B42" s="2" t="s">
        <x:v>1990</x:v>
      </x:c>
    </x:row>
    <x:row r="43">
      <x:c r="A43" s="2" t="s">
        <x:v>2013</x:v>
      </x:c>
      <x:c r="B43" s="2" t="s">
        <x:v>2000</x:v>
      </x:c>
    </x:row>
    <x:row r="44">
      <x:c r="A44" s="2" t="s">
        <x:v>342</x:v>
      </x:c>
      <x:c r="B44" s="2" t="s">
        <x:v>1996</x:v>
      </x:c>
    </x:row>
    <x:row r="45">
      <x:c r="A45" s="2" t="s">
        <x:v>2014</x:v>
      </x:c>
      <x:c r="B45" s="2" t="s">
        <x:v>1988</x:v>
      </x:c>
    </x:row>
    <x:row r="46">
      <x:c r="A46" s="2" t="s">
        <x:v>210</x:v>
      </x:c>
      <x:c r="B46" s="2" t="s">
        <x:v>1983</x:v>
      </x:c>
    </x:row>
    <x:row r="47">
      <x:c r="A47" s="2" t="s">
        <x:v>2015</x:v>
      </x:c>
      <x:c r="B47" s="2" t="s">
        <x:v>1986</x:v>
      </x:c>
    </x:row>
    <x:row r="48">
      <x:c r="A48" s="2" t="s">
        <x:v>2016</x:v>
      </x:c>
      <x:c r="B48" s="2" t="s">
        <x:v>1986</x:v>
      </x:c>
    </x:row>
    <x:row r="49">
      <x:c r="A49" s="2" t="s">
        <x:v>2017</x:v>
      </x:c>
      <x:c r="B49" s="2" t="s">
        <x:v>1996</x:v>
      </x:c>
    </x:row>
    <x:row r="50">
      <x:c r="A50" s="2" t="s">
        <x:v>2018</x:v>
      </x:c>
      <x:c r="B50" s="2" t="s">
        <x:v>2019</x:v>
      </x:c>
    </x:row>
    <x:row r="51">
      <x:c r="A51" s="2" t="s">
        <x:v>252</x:v>
      </x:c>
      <x:c r="B51" s="2" t="s">
        <x:v>1991</x:v>
      </x:c>
    </x:row>
    <x:row r="52">
      <x:c r="A52" s="2" t="s">
        <x:v>254</x:v>
      </x:c>
      <x:c r="B52" s="2" t="s">
        <x:v>2010</x:v>
      </x:c>
    </x:row>
    <x:row r="53">
      <x:c r="A53" s="2" t="s">
        <x:v>116</x:v>
      </x:c>
      <x:c r="B53" s="2" t="s">
        <x:v>1997</x:v>
      </x:c>
    </x:row>
    <x:row r="54">
      <x:c r="A54" s="2" t="s">
        <x:v>270</x:v>
      </x:c>
      <x:c r="B54" s="2" t="s">
        <x:v>1997</x:v>
      </x:c>
    </x:row>
    <x:row r="55">
      <x:c r="A55" s="2" t="s">
        <x:v>88</x:v>
      </x:c>
      <x:c r="B55" s="2" t="s">
        <x:v>2020</x:v>
      </x:c>
    </x:row>
    <x:row r="56">
      <x:c r="A56" s="2" t="s">
        <x:v>878</x:v>
      </x:c>
      <x:c r="B56" s="2" t="s">
        <x:v>1981</x:v>
      </x:c>
    </x:row>
    <x:row r="57">
      <x:c r="A57" s="2" t="s">
        <x:v>2021</x:v>
      </x:c>
      <x:c r="B57" s="2" t="s">
        <x:v>2010</x:v>
      </x:c>
    </x:row>
    <x:row r="58">
      <x:c r="A58" s="2" t="s">
        <x:v>347</x:v>
      </x:c>
      <x:c r="B58" s="2" t="s">
        <x:v>1991</x:v>
      </x:c>
    </x:row>
    <x:row r="59">
      <x:c r="A59" s="2" t="s">
        <x:v>2022</x:v>
      </x:c>
      <x:c r="B59" s="2" t="s">
        <x:v>2004</x:v>
      </x:c>
    </x:row>
    <x:row r="60">
      <x:c r="A60" s="2" t="s">
        <x:v>1260</x:v>
      </x:c>
      <x:c r="B60" s="2" t="s">
        <x:v>1978</x:v>
      </x:c>
    </x:row>
    <x:row r="61">
      <x:c r="A61" s="2" t="s">
        <x:v>971</x:v>
      </x:c>
      <x:c r="B61" s="2" t="s">
        <x:v>1980</x:v>
      </x:c>
    </x:row>
    <x:row r="62">
      <x:c r="A62" s="2" t="s">
        <x:v>810</x:v>
      </x:c>
      <x:c r="B62" s="2" t="s">
        <x:v>1980</x:v>
      </x:c>
    </x:row>
    <x:row r="63">
      <x:c r="A63" s="2" t="s">
        <x:v>1545</x:v>
      </x:c>
      <x:c r="B63" s="2" t="s">
        <x:v>1992</x:v>
      </x:c>
    </x:row>
    <x:row r="64">
      <x:c r="A64" s="2" t="s">
        <x:v>2023</x:v>
      </x:c>
      <x:c r="B64" s="2" t="s">
        <x:v>1979</x:v>
      </x:c>
    </x:row>
    <x:row r="65">
      <x:c r="A65" s="2" t="s">
        <x:v>2024</x:v>
      </x:c>
      <x:c r="B65" s="2" t="s">
        <x:v>2020</x:v>
      </x:c>
    </x:row>
    <x:row r="66">
      <x:c r="A66" s="2" t="s">
        <x:v>2025</x:v>
      </x:c>
      <x:c r="B66" s="2" t="s">
        <x:v>1988</x:v>
      </x:c>
    </x:row>
    <x:row r="67">
      <x:c r="A67" s="2" t="s">
        <x:v>303</x:v>
      </x:c>
      <x:c r="B67" s="2" t="s">
        <x:v>1998</x:v>
      </x:c>
    </x:row>
    <x:row r="68">
      <x:c r="A68" s="2" t="s">
        <x:v>2026</x:v>
      </x:c>
      <x:c r="B68" s="2" t="s">
        <x:v>2027</x:v>
      </x:c>
    </x:row>
    <x:row r="69">
      <x:c r="A69" s="2" t="s">
        <x:v>734</x:v>
      </x:c>
      <x:c r="B69" s="2" t="s">
        <x:v>2028</x:v>
      </x:c>
    </x:row>
    <x:row r="70">
      <x:c r="A70" s="2" t="s">
        <x:v>103</x:v>
      </x:c>
      <x:c r="B70" s="2" t="s">
        <x:v>2019</x:v>
      </x:c>
    </x:row>
    <x:row r="71">
      <x:c r="A71" s="2" t="s">
        <x:v>1211</x:v>
      </x:c>
      <x:c r="B71" s="2" t="s">
        <x:v>1983</x:v>
      </x:c>
    </x:row>
    <x:row r="72">
      <x:c r="A72" s="2" t="s">
        <x:v>1721</x:v>
      </x:c>
      <x:c r="B72" s="2" t="s">
        <x:v>2000</x:v>
      </x:c>
    </x:row>
    <x:row r="73">
      <x:c r="A73" s="2" t="s">
        <x:v>329</x:v>
      </x:c>
      <x:c r="B73" s="2" t="s">
        <x:v>1999</x:v>
      </x:c>
    </x:row>
    <x:row r="74">
      <x:c r="A74" s="2" t="s">
        <x:v>120</x:v>
      </x:c>
      <x:c r="B74" s="2" t="s">
        <x:v>2010</x:v>
      </x:c>
    </x:row>
    <x:row r="75">
      <x:c r="A75" s="2" t="s">
        <x:v>71</x:v>
      </x:c>
      <x:c r="B75" s="2" t="s">
        <x:v>1990</x:v>
      </x:c>
    </x:row>
    <x:row r="76">
      <x:c r="A76" s="2" t="s">
        <x:v>839</x:v>
      </x:c>
      <x:c r="B76" s="2" t="s">
        <x:v>2029</x:v>
      </x:c>
    </x:row>
    <x:row r="77">
      <x:c r="A77" s="2" t="s">
        <x:v>1305</x:v>
      </x:c>
      <x:c r="B77" s="2" t="s">
        <x:v>1983</x:v>
      </x:c>
    </x:row>
    <x:row r="78">
      <x:c r="A78" s="2" t="s">
        <x:v>2030</x:v>
      </x:c>
      <x:c r="B78" s="2" t="s">
        <x:v>1978</x:v>
      </x:c>
    </x:row>
    <x:row r="79">
      <x:c r="A79" s="2" t="s">
        <x:v>139</x:v>
      </x:c>
      <x:c r="B79" s="2" t="s">
        <x:v>2028</x:v>
      </x:c>
    </x:row>
    <x:row r="80">
      <x:c r="A80" s="2" t="s">
        <x:v>1519</x:v>
      </x:c>
      <x:c r="B80" s="2" t="s">
        <x:v>1993</x:v>
      </x:c>
    </x:row>
    <x:row r="81">
      <x:c r="A81" s="2" t="s">
        <x:v>171</x:v>
      </x:c>
      <x:c r="B81" s="2" t="s">
        <x:v>1992</x:v>
      </x:c>
    </x:row>
    <x:row r="82">
      <x:c r="A82" s="2" t="s">
        <x:v>910</x:v>
      </x:c>
      <x:c r="B82" s="2" t="s">
        <x:v>1997</x:v>
      </x:c>
    </x:row>
    <x:row r="83">
      <x:c r="A83" s="2" t="s">
        <x:v>176</x:v>
      </x:c>
      <x:c r="B83" s="2" t="s">
        <x:v>1979</x:v>
      </x:c>
    </x:row>
    <x:row r="84">
      <x:c r="A84" s="2" t="s">
        <x:v>1215</x:v>
      </x:c>
      <x:c r="B84" s="2" t="s">
        <x:v>2002</x:v>
      </x:c>
    </x:row>
    <x:row r="85">
      <x:c r="A85" s="2" t="s">
        <x:v>2031</x:v>
      </x:c>
      <x:c r="B85" s="2" t="s">
        <x:v>1980</x:v>
      </x:c>
    </x:row>
    <x:row r="86">
      <x:c r="A86" s="2" t="s">
        <x:v>2032</x:v>
      </x:c>
      <x:c r="B86" s="2" t="s">
        <x:v>1993</x:v>
      </x:c>
    </x:row>
    <x:row r="87">
      <x:c r="A87" s="2" t="s">
        <x:v>2033</x:v>
      </x:c>
      <x:c r="B87" s="2" t="s">
        <x:v>2002</x:v>
      </x:c>
    </x:row>
    <x:row r="88">
      <x:c r="A88" s="2" t="s">
        <x:v>1616</x:v>
      </x:c>
      <x:c r="B88" s="2" t="s">
        <x:v>1991</x:v>
      </x:c>
    </x:row>
    <x:row r="89">
      <x:c r="A89" s="2" t="s">
        <x:v>2034</x:v>
      </x:c>
      <x:c r="B89" s="2" t="s">
        <x:v>1997</x:v>
      </x:c>
    </x:row>
    <x:row r="90">
      <x:c r="A90" s="2" t="s">
        <x:v>144</x:v>
      </x:c>
      <x:c r="B90" s="2" t="s">
        <x:v>1986</x:v>
      </x:c>
    </x:row>
    <x:row r="91">
      <x:c r="A91" s="2" t="s">
        <x:v>2035</x:v>
      </x:c>
      <x:c r="B91" s="2" t="s">
        <x:v>2002</x:v>
      </x:c>
    </x:row>
    <x:row r="92">
      <x:c r="A92" s="2" t="s">
        <x:v>350</x:v>
      </x:c>
      <x:c r="B92" s="2" t="s">
        <x:v>1996</x:v>
      </x:c>
    </x:row>
    <x:row r="93">
      <x:c r="A93" s="2" t="s">
        <x:v>1555</x:v>
      </x:c>
      <x:c r="B93" s="2" t="s">
        <x:v>2000</x:v>
      </x:c>
    </x:row>
    <x:row r="94">
      <x:c r="A94" s="2" t="s">
        <x:v>1158</x:v>
      </x:c>
      <x:c r="B94" s="2" t="s">
        <x:v>2027</x:v>
      </x:c>
    </x:row>
    <x:row r="95">
      <x:c r="A95" s="2" t="s">
        <x:v>326</x:v>
      </x:c>
      <x:c r="B95" s="2" t="s">
        <x:v>1979</x:v>
      </x:c>
    </x:row>
    <x:row r="96">
      <x:c r="A96" s="2" t="s">
        <x:v>2036</x:v>
      </x:c>
      <x:c r="B96" s="2" t="s">
        <x:v>1981</x:v>
      </x:c>
    </x:row>
    <x:row r="97">
      <x:c r="A97" s="2" t="s">
        <x:v>540</x:v>
      </x:c>
      <x:c r="B97" s="2" t="s">
        <x:v>1996</x:v>
      </x:c>
    </x:row>
    <x:row r="98">
      <x:c r="A98" s="2" t="s">
        <x:v>2037</x:v>
      </x:c>
      <x:c r="B98" s="2" t="s">
        <x:v>2000</x:v>
      </x:c>
    </x:row>
    <x:row r="99">
      <x:c r="A99" s="2" t="s">
        <x:v>2038</x:v>
      </x:c>
      <x:c r="B99" s="2" t="s">
        <x:v>1993</x:v>
      </x:c>
    </x:row>
    <x:row r="100">
      <x:c r="A100" s="2" t="s">
        <x:v>56</x:v>
      </x:c>
      <x:c r="B100" s="2" t="s">
        <x:v>2005</x:v>
      </x:c>
    </x:row>
    <x:row r="101">
      <x:c r="A101" s="2" t="s">
        <x:v>2039</x:v>
      </x:c>
      <x:c r="B101" s="2" t="s">
        <x:v>1988</x:v>
      </x:c>
    </x:row>
    <x:row r="102">
      <x:c r="A102" s="2" t="s">
        <x:v>2040</x:v>
      </x:c>
      <x:c r="B102" s="2" t="s">
        <x:v>1998</x:v>
      </x:c>
    </x:row>
    <x:row r="103">
      <x:c r="A103" s="2" t="s">
        <x:v>1649</x:v>
      </x:c>
      <x:c r="B103" s="2" t="s">
        <x:v>2020</x:v>
      </x:c>
    </x:row>
    <x:row r="104">
      <x:c r="A104" s="2" t="s">
        <x:v>2041</x:v>
      </x:c>
      <x:c r="B104" s="2" t="s">
        <x:v>1988</x:v>
      </x:c>
    </x:row>
    <x:row r="105">
      <x:c r="A105" s="2" t="s">
        <x:v>764</x:v>
      </x:c>
      <x:c r="B105" s="2" t="s">
        <x:v>2004</x:v>
      </x:c>
    </x:row>
    <x:row r="106">
      <x:c r="A106" s="2" t="s">
        <x:v>2042</x:v>
      </x:c>
      <x:c r="B106" s="2" t="s">
        <x:v>2000</x:v>
      </x:c>
    </x:row>
    <x:row r="107">
      <x:c r="A107" s="2" t="s">
        <x:v>2043</x:v>
      </x:c>
      <x:c r="B107" s="2" t="s">
        <x:v>2010</x:v>
      </x:c>
    </x:row>
    <x:row r="108">
      <x:c r="A108" s="2" t="s">
        <x:v>2044</x:v>
      </x:c>
      <x:c r="B108" s="2" t="s">
        <x:v>1993</x:v>
      </x:c>
    </x:row>
    <x:row r="109">
      <x:c r="A109" s="2" t="s">
        <x:v>2045</x:v>
      </x:c>
      <x:c r="B109" s="2" t="s">
        <x:v>1998</x:v>
      </x:c>
    </x:row>
    <x:row r="110">
      <x:c r="A110" s="2" t="s">
        <x:v>2046</x:v>
      </x:c>
      <x:c r="B110" s="2" t="s">
        <x:v>2002</x:v>
      </x:c>
    </x:row>
    <x:row r="111">
      <x:c r="A111" s="2" t="s">
        <x:v>2047</x:v>
      </x:c>
      <x:c r="B111" s="2" t="s">
        <x:v>2027</x:v>
      </x:c>
    </x:row>
    <x:row r="112">
      <x:c r="A112" s="2" t="s">
        <x:v>913</x:v>
      </x:c>
      <x:c r="B112" s="2" t="s">
        <x:v>1997</x:v>
      </x:c>
    </x:row>
    <x:row r="113">
      <x:c r="A113" s="2" t="s">
        <x:v>1945</x:v>
      </x:c>
      <x:c r="B113" s="2" t="s">
        <x:v>1986</x:v>
      </x:c>
    </x:row>
    <x:row r="114">
      <x:c r="A114" s="2" t="s">
        <x:v>2048</x:v>
      </x:c>
      <x:c r="B114" s="2" t="s">
        <x:v>1981</x:v>
      </x:c>
    </x:row>
    <x:row r="115">
      <x:c r="A115" s="2" t="s">
        <x:v>1652</x:v>
      </x:c>
      <x:c r="B115" s="2" t="s">
        <x:v>1988</x:v>
      </x:c>
    </x:row>
    <x:row r="116">
      <x:c r="A116" s="2" t="s">
        <x:v>916</x:v>
      </x:c>
      <x:c r="B116" s="2" t="s">
        <x:v>1997</x:v>
      </x:c>
    </x:row>
    <x:row r="117">
      <x:c r="A117" s="2" t="s">
        <x:v>2049</x:v>
      </x:c>
      <x:c r="B117" s="2" t="s">
        <x:v>1986</x:v>
      </x:c>
    </x:row>
    <x:row r="118">
      <x:c r="A118" s="2" t="s">
        <x:v>2050</x:v>
      </x:c>
      <x:c r="B118" s="2" t="s">
        <x:v>1981</x:v>
      </x:c>
    </x:row>
    <x:row r="119">
      <x:c r="A119" s="2" t="s">
        <x:v>2051</x:v>
      </x:c>
      <x:c r="B119" s="2" t="s">
        <x:v>2010</x:v>
      </x:c>
    </x:row>
    <x:row r="120">
      <x:c r="A120" s="2" t="s">
        <x:v>2052</x:v>
      </x:c>
      <x:c r="B120" s="2" t="s">
        <x:v>1996</x:v>
      </x:c>
    </x:row>
    <x:row r="121">
      <x:c r="A121" s="2" t="s">
        <x:v>1087</x:v>
      </x:c>
      <x:c r="B121" s="2" t="s">
        <x:v>1996</x:v>
      </x:c>
    </x:row>
    <x:row r="122">
      <x:c r="A122" s="2" t="s">
        <x:v>969</x:v>
      </x:c>
      <x:c r="B122" s="2" t="s">
        <x:v>2027</x:v>
      </x:c>
    </x:row>
    <x:row r="123">
      <x:c r="A123" s="2" t="s">
        <x:v>952</x:v>
      </x:c>
      <x:c r="B123" s="2" t="s">
        <x:v>2010</x:v>
      </x:c>
    </x:row>
    <x:row r="124">
      <x:c r="A124" s="2" t="s">
        <x:v>2053</x:v>
      </x:c>
      <x:c r="B124" s="2" t="s">
        <x:v>1998</x:v>
      </x:c>
    </x:row>
    <x:row r="125">
      <x:c r="A125" s="2" t="s">
        <x:v>2054</x:v>
      </x:c>
      <x:c r="B125" s="2" t="s">
        <x:v>1988</x:v>
      </x:c>
    </x:row>
    <x:row r="126">
      <x:c r="A126" s="2" t="s">
        <x:v>622</x:v>
      </x:c>
      <x:c r="B126" s="2" t="s">
        <x:v>1986</x:v>
      </x:c>
    </x:row>
    <x:row r="127">
      <x:c r="A127" s="2" t="s">
        <x:v>2055</x:v>
      </x:c>
      <x:c r="B127" s="2" t="s">
        <x:v>2000</x:v>
      </x:c>
    </x:row>
    <x:row r="128">
      <x:c r="A128" s="2" t="s">
        <x:v>1778</x:v>
      </x:c>
      <x:c r="B128" s="2" t="s">
        <x:v>1997</x:v>
      </x:c>
    </x:row>
    <x:row r="129">
      <x:c r="A129" s="2" t="s">
        <x:v>1675</x:v>
      </x:c>
      <x:c r="B129" s="2" t="s">
        <x:v>2027</x:v>
      </x:c>
    </x:row>
    <x:row r="130">
      <x:c r="A130" s="2" t="s">
        <x:v>1180</x:v>
      </x:c>
      <x:c r="B130" s="2" t="s">
        <x:v>2010</x:v>
      </x:c>
    </x:row>
    <x:row r="131">
      <x:c r="A131" s="2" t="s">
        <x:v>2056</x:v>
      </x:c>
      <x:c r="B131" s="2" t="s">
        <x:v>2020</x:v>
      </x:c>
    </x:row>
    <x:row r="132">
      <x:c r="A132" s="2" t="s">
        <x:v>586</x:v>
      </x:c>
      <x:c r="B132" s="2" t="s">
        <x:v>1980</x:v>
      </x:c>
    </x:row>
    <x:row r="133">
      <x:c r="A133" s="2" t="s">
        <x:v>352</x:v>
      </x:c>
      <x:c r="B133" s="2" t="s">
        <x:v>1999</x:v>
      </x:c>
    </x:row>
    <x:row r="134">
      <x:c r="A134" s="2" t="s">
        <x:v>2057</x:v>
      </x:c>
      <x:c r="B134" s="2" t="s">
        <x:v>1988</x:v>
      </x:c>
    </x:row>
    <x:row r="135">
      <x:c r="A135" s="2" t="s">
        <x:v>1714</x:v>
      </x:c>
      <x:c r="B135" s="2" t="s">
        <x:v>1996</x:v>
      </x:c>
    </x:row>
    <x:row r="136">
      <x:c r="A136" s="2" t="s">
        <x:v>2058</x:v>
      </x:c>
      <x:c r="B136" s="2" t="s">
        <x:v>1998</x:v>
      </x:c>
    </x:row>
    <x:row r="137">
      <x:c r="A137" s="2" t="s">
        <x:v>2059</x:v>
      </x:c>
      <x:c r="B137" s="2" t="s">
        <x:v>2002</x:v>
      </x:c>
    </x:row>
    <x:row r="138">
      <x:c r="A138" s="2" t="s">
        <x:v>260</x:v>
      </x:c>
      <x:c r="B138" s="2" t="s">
        <x:v>1978</x:v>
      </x:c>
    </x:row>
    <x:row r="139">
      <x:c r="A139" s="2" t="s">
        <x:v>934</x:v>
      </x:c>
      <x:c r="B139" s="2" t="s">
        <x:v>1980</x:v>
      </x:c>
    </x:row>
    <x:row r="140">
      <x:c r="A140" s="2" t="s">
        <x:v>2060</x:v>
      </x:c>
      <x:c r="B140" s="2" t="s">
        <x:v>1983</x:v>
      </x:c>
    </x:row>
    <x:row r="141">
      <x:c r="A141" s="2" t="s">
        <x:v>860</x:v>
      </x:c>
      <x:c r="B141" s="2" t="s">
        <x:v>1997</x:v>
      </x:c>
    </x:row>
    <x:row r="142">
      <x:c r="A142" s="2" t="s">
        <x:v>1137</x:v>
      </x:c>
      <x:c r="B142" s="2" t="s">
        <x:v>1992</x:v>
      </x:c>
    </x:row>
    <x:row r="143">
      <x:c r="A143" s="2" t="s">
        <x:v>638</x:v>
      </x:c>
      <x:c r="B143" s="2" t="s">
        <x:v>1997</x:v>
      </x:c>
    </x:row>
    <x:row r="144">
      <x:c r="A144" s="2" t="s">
        <x:v>2061</x:v>
      </x:c>
      <x:c r="B144" s="2" t="s">
        <x:v>2029</x:v>
      </x:c>
    </x:row>
    <x:row r="145">
      <x:c r="A145" s="2" t="s">
        <x:v>2062</x:v>
      </x:c>
      <x:c r="B145" s="2" t="s">
        <x:v>1988</x:v>
      </x:c>
    </x:row>
    <x:row r="146">
      <x:c r="A146" s="2" t="s">
        <x:v>681</x:v>
      </x:c>
      <x:c r="B146" s="2" t="s">
        <x:v>2020</x:v>
      </x:c>
    </x:row>
    <x:row r="147">
      <x:c r="A147" s="2" t="s">
        <x:v>1228</x:v>
      </x:c>
      <x:c r="B147" s="2" t="s">
        <x:v>2000</x:v>
      </x:c>
    </x:row>
    <x:row r="148">
      <x:c r="A148" s="2" t="s">
        <x:v>2063</x:v>
      </x:c>
      <x:c r="B148" s="2" t="s">
        <x:v>2000</x:v>
      </x:c>
    </x:row>
    <x:row r="149">
      <x:c r="A149" s="2" t="s">
        <x:v>257</x:v>
      </x:c>
      <x:c r="B149" s="2" t="s">
        <x:v>2000</x:v>
      </x:c>
    </x:row>
    <x:row r="150">
      <x:c r="A150" s="2" t="s">
        <x:v>2064</x:v>
      </x:c>
      <x:c r="B150" s="2" t="s">
        <x:v>2027</x:v>
      </x:c>
    </x:row>
    <x:row r="151">
      <x:c r="A151" s="2" t="s">
        <x:v>1258</x:v>
      </x:c>
      <x:c r="B151" s="2" t="s">
        <x:v>1993</x:v>
      </x:c>
    </x:row>
    <x:row r="152">
      <x:c r="A152" s="2" t="s">
        <x:v>2065</x:v>
      </x:c>
      <x:c r="B152" s="2" t="s">
        <x:v>2000</x:v>
      </x:c>
    </x:row>
    <x:row r="153">
      <x:c r="A153" s="2" t="s">
        <x:v>2066</x:v>
      </x:c>
      <x:c r="B153" s="2" t="s">
        <x:v>1988</x:v>
      </x:c>
    </x:row>
    <x:row r="154">
      <x:c r="A154" s="2" t="s">
        <x:v>2067</x:v>
      </x:c>
      <x:c r="B154" s="2" t="s">
        <x:v>2019</x:v>
      </x:c>
    </x:row>
    <x:row r="155">
      <x:c r="A155" s="2" t="s">
        <x:v>2068</x:v>
      </x:c>
      <x:c r="B155" s="2" t="s">
        <x:v>2010</x:v>
      </x:c>
    </x:row>
    <x:row r="156">
      <x:c r="A156" s="2" t="s">
        <x:v>74</x:v>
      </x:c>
      <x:c r="B156" s="2" t="s">
        <x:v>1990</x:v>
      </x:c>
    </x:row>
    <x:row r="157">
      <x:c r="A157" s="2" t="s">
        <x:v>1004</x:v>
      </x:c>
      <x:c r="B157" s="2" t="s">
        <x:v>2000</x:v>
      </x:c>
    </x:row>
    <x:row r="158">
      <x:c r="A158" s="2" t="s">
        <x:v>245</x:v>
      </x:c>
      <x:c r="B158" s="2" t="s">
        <x:v>1999</x:v>
      </x:c>
    </x:row>
    <x:row r="159">
      <x:c r="A159" s="2" t="s">
        <x:v>357</x:v>
      </x:c>
      <x:c r="B159" s="2" t="s">
        <x:v>1992</x:v>
      </x:c>
    </x:row>
    <x:row r="160">
      <x:c r="A160" s="2" t="s">
        <x:v>1872</x:v>
      </x:c>
      <x:c r="B160" s="2" t="s">
        <x:v>1997</x:v>
      </x:c>
    </x:row>
    <x:row r="161">
      <x:c r="A161" s="2" t="s">
        <x:v>2069</x:v>
      </x:c>
      <x:c r="B161" s="2" t="s">
        <x:v>2005</x:v>
      </x:c>
    </x:row>
    <x:row r="162">
      <x:c r="A162" s="2" t="s">
        <x:v>2070</x:v>
      </x:c>
      <x:c r="B162" s="2" t="s">
        <x:v>2020</x:v>
      </x:c>
    </x:row>
    <x:row r="163">
      <x:c r="A163" s="2" t="s">
        <x:v>2071</x:v>
      </x:c>
      <x:c r="B163" s="2" t="s">
        <x:v>1996</x:v>
      </x:c>
    </x:row>
    <x:row r="164">
      <x:c r="A164" s="2" t="s">
        <x:v>778</x:v>
      </x:c>
      <x:c r="B164" s="2" t="s">
        <x:v>1996</x:v>
      </x:c>
    </x:row>
    <x:row r="165">
      <x:c r="A165" s="2" t="s">
        <x:v>1233</x:v>
      </x:c>
      <x:c r="B165" s="2" t="s">
        <x:v>1980</x:v>
      </x:c>
    </x:row>
    <x:row r="166">
      <x:c r="A166" s="2" t="s">
        <x:v>2072</x:v>
      </x:c>
      <x:c r="B166" s="2" t="s">
        <x:v>2000</x:v>
      </x:c>
    </x:row>
    <x:row r="167">
      <x:c r="A167" s="2" t="s">
        <x:v>2073</x:v>
      </x:c>
      <x:c r="B167" s="2" t="s">
        <x:v>1997</x:v>
      </x:c>
    </x:row>
    <x:row r="168">
      <x:c r="A168" s="2" t="s">
        <x:v>214</x:v>
      </x:c>
      <x:c r="B168" s="2" t="s">
        <x:v>1991</x:v>
      </x:c>
    </x:row>
    <x:row r="169">
      <x:c r="A169" s="2" t="s">
        <x:v>1462</x:v>
      </x:c>
      <x:c r="B169" s="2" t="s">
        <x:v>1996</x:v>
      </x:c>
    </x:row>
    <x:row r="170">
      <x:c r="A170" s="2" t="s">
        <x:v>2074</x:v>
      </x:c>
      <x:c r="B170" s="2" t="s">
        <x:v>2000</x:v>
      </x:c>
    </x:row>
    <x:row r="171">
      <x:c r="A171" s="2" t="s">
        <x:v>863</x:v>
      </x:c>
      <x:c r="B171" s="2" t="s">
        <x:v>1990</x:v>
      </x:c>
    </x:row>
    <x:row r="172">
      <x:c r="A172" s="2" t="s">
        <x:v>236</x:v>
      </x:c>
      <x:c r="B172" s="2" t="s">
        <x:v>1980</x:v>
      </x:c>
    </x:row>
    <x:row r="173">
      <x:c r="A173" s="2" t="s">
        <x:v>222</x:v>
      </x:c>
      <x:c r="B173" s="2" t="s">
        <x:v>1997</x:v>
      </x:c>
    </x:row>
    <x:row r="174">
      <x:c r="A174" s="2" t="s">
        <x:v>2075</x:v>
      </x:c>
      <x:c r="B174" s="2" t="s">
        <x:v>1986</x:v>
      </x:c>
    </x:row>
    <x:row r="175">
      <x:c r="A175" s="2" t="s">
        <x:v>470</x:v>
      </x:c>
      <x:c r="B175" s="2" t="s">
        <x:v>1988</x:v>
      </x:c>
    </x:row>
    <x:row r="176">
      <x:c r="A176" s="2" t="s">
        <x:v>641</x:v>
      </x:c>
      <x:c r="B176" s="2" t="s">
        <x:v>1996</x:v>
      </x:c>
    </x:row>
    <x:row r="177">
      <x:c r="A177" s="2" t="s">
        <x:v>2076</x:v>
      </x:c>
      <x:c r="B177" s="2" t="s">
        <x:v>2020</x:v>
      </x:c>
    </x:row>
    <x:row r="178">
      <x:c r="A178" s="2" t="s">
        <x:v>2077</x:v>
      </x:c>
      <x:c r="B178" s="2" t="s">
        <x:v>2000</x:v>
      </x:c>
    </x:row>
    <x:row r="179">
      <x:c r="A179" s="2" t="s">
        <x:v>766</x:v>
      </x:c>
      <x:c r="B179" s="2" t="s">
        <x:v>2004</x:v>
      </x:c>
    </x:row>
    <x:row r="180">
      <x:c r="A180" s="2" t="s">
        <x:v>2078</x:v>
      </x:c>
      <x:c r="B180" s="2" t="s">
        <x:v>2027</x:v>
      </x:c>
    </x:row>
    <x:row r="181">
      <x:c r="A181" s="2" t="s">
        <x:v>958</x:v>
      </x:c>
      <x:c r="B181" s="2" t="s">
        <x:v>2000</x:v>
      </x:c>
    </x:row>
    <x:row r="182">
      <x:c r="A182" s="2" t="s">
        <x:v>1465</x:v>
      </x:c>
      <x:c r="B182" s="2" t="s">
        <x:v>2020</x:v>
      </x:c>
    </x:row>
    <x:row r="183">
      <x:c r="A183" s="2" t="s">
        <x:v>2079</x:v>
      </x:c>
      <x:c r="B183" s="2" t="s">
        <x:v>1992</x:v>
      </x:c>
    </x:row>
    <x:row r="184">
      <x:c r="A184" s="2" t="s">
        <x:v>16</x:v>
      </x:c>
      <x:c r="B184" s="2" t="s">
        <x:v>2028</x:v>
      </x:c>
    </x:row>
    <x:row r="185">
      <x:c r="A185" s="2" t="s">
        <x:v>1006</x:v>
      </x:c>
      <x:c r="B185" s="2" t="s">
        <x:v>1988</x:v>
      </x:c>
    </x:row>
    <x:row r="186">
      <x:c r="A186" s="2" t="s">
        <x:v>2080</x:v>
      </x:c>
      <x:c r="B186" s="2" t="s">
        <x:v>1990</x:v>
      </x:c>
    </x:row>
    <x:row r="187">
      <x:c r="A187" s="2" t="s">
        <x:v>1097</x:v>
      </x:c>
      <x:c r="B187" s="2" t="s">
        <x:v>1992</x:v>
      </x:c>
    </x:row>
    <x:row r="188">
      <x:c r="A188" s="2" t="s">
        <x:v>2081</x:v>
      </x:c>
      <x:c r="B188" s="2" t="s">
        <x:v>1996</x:v>
      </x:c>
    </x:row>
    <x:row r="189">
      <x:c r="A189" s="2" t="s">
        <x:v>456</x:v>
      </x:c>
      <x:c r="B189" s="2" t="s">
        <x:v>1998</x:v>
      </x:c>
    </x:row>
    <x:row r="190">
      <x:c r="A190" s="2" t="s">
        <x:v>124</x:v>
      </x:c>
      <x:c r="B190" s="2" t="s">
        <x:v>1996</x:v>
      </x:c>
    </x:row>
    <x:row r="191">
      <x:c r="A191" s="2" t="s">
        <x:v>294</x:v>
      </x:c>
      <x:c r="B191" s="2" t="s">
        <x:v>2020</x:v>
      </x:c>
    </x:row>
    <x:row r="192">
      <x:c r="A192" s="2" t="s">
        <x:v>361</x:v>
      </x:c>
      <x:c r="B192" s="2" t="s">
        <x:v>1991</x:v>
      </x:c>
    </x:row>
    <x:row r="193">
      <x:c r="A193" s="2" t="s">
        <x:v>2082</x:v>
      </x:c>
      <x:c r="B193" s="2" t="s">
        <x:v>2029</x:v>
      </x:c>
    </x:row>
    <x:row r="194">
      <x:c r="A194" s="2" t="s">
        <x:v>977</x:v>
      </x:c>
      <x:c r="B194" s="2" t="s">
        <x:v>1983</x:v>
      </x:c>
    </x:row>
    <x:row r="195">
      <x:c r="A195" s="2" t="s">
        <x:v>2083</x:v>
      </x:c>
      <x:c r="B195" s="2" t="s">
        <x:v>1978</x:v>
      </x:c>
    </x:row>
    <x:row r="196">
      <x:c r="A196" s="2" t="s">
        <x:v>2084</x:v>
      </x:c>
      <x:c r="B196" s="2" t="s">
        <x:v>2010</x:v>
      </x:c>
    </x:row>
    <x:row r="197">
      <x:c r="A197" s="2" t="s">
        <x:v>761</x:v>
      </x:c>
      <x:c r="B197" s="2" t="s">
        <x:v>2005</x:v>
      </x:c>
    </x:row>
    <x:row r="198">
      <x:c r="A198" s="2" t="s">
        <x:v>942</x:v>
      </x:c>
      <x:c r="B198" s="2" t="s">
        <x:v>1979</x:v>
      </x:c>
    </x:row>
    <x:row r="199">
      <x:c r="A199" s="2" t="s">
        <x:v>1810</x:v>
      </x:c>
      <x:c r="B199" s="2" t="s">
        <x:v>1979</x:v>
      </x:c>
    </x:row>
    <x:row r="200">
      <x:c r="A200" s="2" t="s">
        <x:v>2085</x:v>
      </x:c>
      <x:c r="B200" s="2" t="s">
        <x:v>1990</x:v>
      </x:c>
    </x:row>
    <x:row r="201">
      <x:c r="A201" s="2" t="s">
        <x:v>1684</x:v>
      </x:c>
      <x:c r="B201" s="2" t="s">
        <x:v>1986</x:v>
      </x:c>
    </x:row>
    <x:row r="202">
      <x:c r="A202" s="2" t="s">
        <x:v>150</x:v>
      </x:c>
      <x:c r="B202" s="2" t="s">
        <x:v>2086</x:v>
      </x:c>
    </x:row>
    <x:row r="203">
      <x:c r="A203" s="2" t="s">
        <x:v>365</x:v>
      </x:c>
      <x:c r="B203" s="2" t="s">
        <x:v>1981</x:v>
      </x:c>
    </x:row>
    <x:row r="204">
      <x:c r="A204" s="2" t="s">
        <x:v>2087</x:v>
      </x:c>
      <x:c r="B204" s="2" t="s">
        <x:v>1997</x:v>
      </x:c>
    </x:row>
    <x:row r="205">
      <x:c r="A205" s="2" t="s">
        <x:v>1765</x:v>
      </x:c>
      <x:c r="B205" s="2" t="s">
        <x:v>2002</x:v>
      </x:c>
    </x:row>
    <x:row r="206">
      <x:c r="A206" s="2" t="s">
        <x:v>225</x:v>
      </x:c>
      <x:c r="B206" s="2" t="s">
        <x:v>1997</x:v>
      </x:c>
    </x:row>
    <x:row r="207">
      <x:c r="A207" s="2" t="s">
        <x:v>2088</x:v>
      </x:c>
      <x:c r="B207" s="2" t="s">
        <x:v>1983</x:v>
      </x:c>
    </x:row>
    <x:row r="208">
      <x:c r="A208" s="2" t="s">
        <x:v>2089</x:v>
      </x:c>
      <x:c r="B208" s="2" t="s">
        <x:v>2010</x:v>
      </x:c>
    </x:row>
    <x:row r="209">
      <x:c r="A209" s="2" t="s">
        <x:v>2090</x:v>
      </x:c>
      <x:c r="B209" s="2" t="s">
        <x:v>2019</x:v>
      </x:c>
    </x:row>
    <x:row r="210">
      <x:c r="A210" s="2" t="s">
        <x:v>2091</x:v>
      </x:c>
      <x:c r="B210" s="2" t="s">
        <x:v>2000</x:v>
      </x:c>
    </x:row>
    <x:row r="211">
      <x:c r="A211" s="2" t="s">
        <x:v>1251</x:v>
      </x:c>
      <x:c r="B211" s="2" t="s">
        <x:v>1988</x:v>
      </x:c>
    </x:row>
    <x:row r="212">
      <x:c r="A212" s="2" t="s">
        <x:v>2092</x:v>
      </x:c>
      <x:c r="B212" s="2" t="s">
        <x:v>1980</x:v>
      </x:c>
    </x:row>
    <x:row r="213">
      <x:c r="A213" s="2" t="s">
        <x:v>2093</x:v>
      </x:c>
      <x:c r="B213" s="2" t="s">
        <x:v>1984</x:v>
      </x:c>
    </x:row>
    <x:row r="214">
      <x:c r="A214" s="2" t="s">
        <x:v>2094</x:v>
      </x:c>
      <x:c r="B214" s="2" t="s">
        <x:v>1997</x:v>
      </x:c>
    </x:row>
    <x:row r="215">
      <x:c r="A215" s="2" t="s">
        <x:v>2095</x:v>
      </x:c>
      <x:c r="B215" s="2" t="s">
        <x:v>1984</x:v>
      </x:c>
    </x:row>
    <x:row r="216">
      <x:c r="A216" s="2" t="s">
        <x:v>484</x:v>
      </x:c>
      <x:c r="B216" s="2" t="s">
        <x:v>2002</x:v>
      </x:c>
    </x:row>
    <x:row r="217">
      <x:c r="A217" s="2" t="s">
        <x:v>2096</x:v>
      </x:c>
      <x:c r="B217" s="2" t="s">
        <x:v>2000</x:v>
      </x:c>
    </x:row>
    <x:row r="218">
      <x:c r="A218" s="2" t="s">
        <x:v>931</x:v>
      </x:c>
      <x:c r="B218" s="2" t="s">
        <x:v>1980</x:v>
      </x:c>
    </x:row>
    <x:row r="219">
      <x:c r="A219" s="2" t="s">
        <x:v>153</x:v>
      </x:c>
      <x:c r="B219" s="2" t="s">
        <x:v>1999</x:v>
      </x:c>
    </x:row>
    <x:row r="220">
      <x:c r="A220" s="2" t="s">
        <x:v>2097</x:v>
      </x:c>
      <x:c r="B220" s="2" t="s">
        <x:v>1988</x:v>
      </x:c>
    </x:row>
    <x:row r="221">
      <x:c r="A221" s="2" t="s">
        <x:v>2098</x:v>
      </x:c>
      <x:c r="B221" s="2" t="s">
        <x:v>2005</x:v>
      </x:c>
    </x:row>
    <x:row r="222">
      <x:c r="A222" s="2" t="s">
        <x:v>1656</x:v>
      </x:c>
      <x:c r="B222" s="2" t="s">
        <x:v>2000</x:v>
      </x:c>
    </x:row>
    <x:row r="223">
      <x:c r="A223" s="2" t="s">
        <x:v>2099</x:v>
      </x:c>
      <x:c r="B223" s="2" t="s">
        <x:v>1993</x:v>
      </x:c>
    </x:row>
    <x:row r="224">
      <x:c r="A224" s="2" t="s">
        <x:v>1378</x:v>
      </x:c>
      <x:c r="B224" s="2" t="s">
        <x:v>1980</x:v>
      </x:c>
    </x:row>
    <x:row r="225">
      <x:c r="A225" s="2" t="s">
        <x:v>2100</x:v>
      </x:c>
      <x:c r="B225" s="2" t="s">
        <x:v>2019</x:v>
      </x:c>
    </x:row>
    <x:row r="226">
      <x:c r="A226" s="2" t="s">
        <x:v>2101</x:v>
      </x:c>
      <x:c r="B226" s="2" t="s">
        <x:v>1980</x:v>
      </x:c>
    </x:row>
    <x:row r="227">
      <x:c r="A227" s="2" t="s">
        <x:v>2102</x:v>
      </x:c>
      <x:c r="B227" s="2" t="s">
        <x:v>1981</x:v>
      </x:c>
    </x:row>
    <x:row r="228">
      <x:c r="A228" s="2" t="s">
        <x:v>782</x:v>
      </x:c>
      <x:c r="B228" s="2" t="s">
        <x:v>1980</x:v>
      </x:c>
    </x:row>
    <x:row r="229">
      <x:c r="A229" s="2" t="s">
        <x:v>2103</x:v>
      </x:c>
      <x:c r="B229" s="2" t="s">
        <x:v>2005</x:v>
      </x:c>
    </x:row>
    <x:row r="230">
      <x:c r="A230" s="2" t="s">
        <x:v>2104</x:v>
      </x:c>
      <x:c r="B230" s="2" t="s">
        <x:v>2005</x:v>
      </x:c>
    </x:row>
    <x:row r="231">
      <x:c r="A231" s="2" t="s">
        <x:v>1262</x:v>
      </x:c>
      <x:c r="B231" s="2" t="s">
        <x:v>1986</x:v>
      </x:c>
    </x:row>
    <x:row r="232">
      <x:c r="A232" s="2" t="s">
        <x:v>230</x:v>
      </x:c>
      <x:c r="B232" s="2" t="s">
        <x:v>1979</x:v>
      </x:c>
    </x:row>
    <x:row r="233">
      <x:c r="A233" s="2" t="s">
        <x:v>630</x:v>
      </x:c>
      <x:c r="B233" s="2" t="s">
        <x:v>1997</x:v>
      </x:c>
    </x:row>
    <x:row r="234">
      <x:c r="A234" s="2" t="s">
        <x:v>2105</x:v>
      </x:c>
      <x:c r="B234" s="2" t="s">
        <x:v>1988</x:v>
      </x:c>
    </x:row>
    <x:row r="235">
      <x:c r="A235" s="2" t="s">
        <x:v>1659</x:v>
      </x:c>
      <x:c r="B235" s="2" t="s">
        <x:v>1978</x:v>
      </x:c>
    </x:row>
    <x:row r="236">
      <x:c r="A236" s="2" t="s">
        <x:v>2106</x:v>
      </x:c>
      <x:c r="B236" s="2" t="s">
        <x:v>1988</x:v>
      </x:c>
    </x:row>
    <x:row r="237">
      <x:c r="A237" s="2" t="s">
        <x:v>180</x:v>
      </x:c>
      <x:c r="B237" s="2" t="s">
        <x:v>1999</x:v>
      </x:c>
    </x:row>
    <x:row r="238">
      <x:c r="A238" s="2" t="s">
        <x:v>2107</x:v>
      </x:c>
      <x:c r="B238" s="2" t="s">
        <x:v>1991</x:v>
      </x:c>
    </x:row>
    <x:row r="239">
      <x:c r="A239" s="2" t="s">
        <x:v>1662</x:v>
      </x:c>
      <x:c r="B239" s="2" t="s">
        <x:v>1979</x:v>
      </x:c>
    </x:row>
    <x:row r="240">
      <x:c r="A240" s="2" t="s">
        <x:v>2108</x:v>
      </x:c>
      <x:c r="B240" s="2" t="s">
        <x:v>1984</x:v>
      </x:c>
    </x:row>
    <x:row r="241">
      <x:c r="A241" s="2" t="s">
        <x:v>2109</x:v>
      </x:c>
      <x:c r="B241" s="2" t="s">
        <x:v>2002</x:v>
      </x:c>
    </x:row>
    <x:row r="242">
      <x:c r="A242" s="2" t="s">
        <x:v>2110</x:v>
      </x:c>
      <x:c r="B242" s="2" t="s">
        <x:v>1984</x:v>
      </x:c>
    </x:row>
    <x:row r="243">
      <x:c r="A243" s="2" t="s">
        <x:v>1534</x:v>
      </x:c>
      <x:c r="B243" s="2" t="s">
        <x:v>2002</x:v>
      </x:c>
    </x:row>
    <x:row r="244">
      <x:c r="A244" s="2" t="s">
        <x:v>1185</x:v>
      </x:c>
      <x:c r="B244" s="2" t="s">
        <x:v>1991</x:v>
      </x:c>
    </x:row>
    <x:row r="245">
      <x:c r="A245" s="2" t="s">
        <x:v>156</x:v>
      </x:c>
      <x:c r="B245" s="2" t="s">
        <x:v>2027</x:v>
      </x:c>
    </x:row>
    <x:row r="246">
      <x:c r="A246" s="2" t="s">
        <x:v>2111</x:v>
      </x:c>
      <x:c r="B246" s="2" t="s">
        <x:v>2000</x:v>
      </x:c>
    </x:row>
    <x:row r="247">
      <x:c r="A247" s="2" t="s">
        <x:v>2112</x:v>
      </x:c>
      <x:c r="B247" s="2" t="s">
        <x:v>1998</x:v>
      </x:c>
    </x:row>
    <x:row r="248">
      <x:c r="A248" s="2" t="s">
        <x:v>2113</x:v>
      </x:c>
      <x:c r="B248" s="2" t="s">
        <x:v>2000</x:v>
      </x:c>
    </x:row>
    <x:row r="249">
      <x:c r="A249" s="2" t="s">
        <x:v>1245</x:v>
      </x:c>
      <x:c r="B249" s="2" t="s">
        <x:v>1997</x:v>
      </x:c>
    </x:row>
    <x:row r="250">
      <x:c r="A250" s="2" t="s">
        <x:v>1419</x:v>
      </x:c>
      <x:c r="B250" s="2" t="s">
        <x:v>1980</x:v>
      </x:c>
    </x:row>
    <x:row r="251">
      <x:c r="A251" s="2" t="s">
        <x:v>486</x:v>
      </x:c>
      <x:c r="B251" s="2" t="s">
        <x:v>2027</x:v>
      </x:c>
    </x:row>
    <x:row r="252">
      <x:c r="A252" s="2" t="s">
        <x:v>2114</x:v>
      </x:c>
      <x:c r="B252" s="2" t="s">
        <x:v>2029</x:v>
      </x:c>
    </x:row>
    <x:row r="253">
      <x:c r="A253" s="2" t="s">
        <x:v>2115</x:v>
      </x:c>
      <x:c r="B253" s="2" t="s">
        <x:v>2020</x:v>
      </x:c>
    </x:row>
    <x:row r="254">
      <x:c r="A254" s="2" t="s">
        <x:v>834</x:v>
      </x:c>
      <x:c r="B254" s="2" t="s">
        <x:v>1979</x:v>
      </x:c>
    </x:row>
    <x:row r="255">
      <x:c r="A255" s="2" t="s">
        <x:v>2116</x:v>
      </x:c>
      <x:c r="B255" s="2" t="s">
        <x:v>2004</x:v>
      </x:c>
    </x:row>
    <x:row r="256">
      <x:c r="A256" s="2" t="s">
        <x:v>2117</x:v>
      </x:c>
      <x:c r="B256" s="2" t="s">
        <x:v>2010</x:v>
      </x:c>
    </x:row>
    <x:row r="257">
      <x:c r="A257" s="2" t="s">
        <x:v>2118</x:v>
      </x:c>
      <x:c r="B257" s="2" t="s">
        <x:v>1996</x:v>
      </x:c>
    </x:row>
    <x:row r="258">
      <x:c r="A258" s="2" t="s">
        <x:v>2119</x:v>
      </x:c>
      <x:c r="B258" s="2" t="s">
        <x:v>2019</x:v>
      </x:c>
    </x:row>
    <x:row r="259">
      <x:c r="A259" s="2" t="s">
        <x:v>2120</x:v>
      </x:c>
      <x:c r="B259" s="2" t="s">
        <x:v>1996</x:v>
      </x:c>
    </x:row>
    <x:row r="260">
      <x:c r="A260" s="2" t="s">
        <x:v>368</x:v>
      </x:c>
      <x:c r="B260" s="2" t="s">
        <x:v>1991</x:v>
      </x:c>
    </x:row>
    <x:row r="261">
      <x:c r="A261" s="2" t="s">
        <x:v>2121</x:v>
      </x:c>
      <x:c r="B261" s="2" t="s">
        <x:v>1990</x:v>
      </x:c>
    </x:row>
    <x:row r="262">
      <x:c r="A262" s="2" t="s">
        <x:v>2122</x:v>
      </x:c>
      <x:c r="B262" s="2" t="s">
        <x:v>2002</x:v>
      </x:c>
    </x:row>
    <x:row r="263">
      <x:c r="A263" s="2" t="s">
        <x:v>425</x:v>
      </x:c>
      <x:c r="B263" s="2" t="s">
        <x:v>1993</x:v>
      </x:c>
    </x:row>
    <x:row r="264">
      <x:c r="A264" s="2" t="s">
        <x:v>183</x:v>
      </x:c>
      <x:c r="B264" s="2" t="s">
        <x:v>1999</x:v>
      </x:c>
    </x:row>
    <x:row r="265">
      <x:c r="A265" s="2" t="s">
        <x:v>1624</x:v>
      </x:c>
      <x:c r="B265" s="2" t="s">
        <x:v>2002</x:v>
      </x:c>
    </x:row>
    <x:row r="266">
      <x:c r="A266" s="2" t="s">
        <x:v>1567</x:v>
      </x:c>
      <x:c r="B266" s="2" t="s">
        <x:v>1997</x:v>
      </x:c>
    </x:row>
    <x:row r="267">
      <x:c r="A267" s="2" t="s">
        <x:v>476</x:v>
      </x:c>
      <x:c r="B267" s="2" t="s">
        <x:v>2019</x:v>
      </x:c>
    </x:row>
    <x:row r="268">
      <x:c r="A268" s="2" t="s">
        <x:v>2123</x:v>
      </x:c>
      <x:c r="B268" s="2" t="s">
        <x:v>2027</x:v>
      </x:c>
    </x:row>
    <x:row r="269">
      <x:c r="A269" s="2" t="s">
        <x:v>312</x:v>
      </x:c>
      <x:c r="B269" s="2" t="s">
        <x:v>1986</x:v>
      </x:c>
    </x:row>
    <x:row r="270">
      <x:c r="A270" s="2" t="s">
        <x:v>2124</x:v>
      </x:c>
      <x:c r="B270" s="2" t="s">
        <x:v>2027</x:v>
      </x:c>
    </x:row>
    <x:row r="271">
      <x:c r="A271" s="2" t="s">
        <x:v>2125</x:v>
      </x:c>
      <x:c r="B271" s="2" t="s">
        <x:v>1988</x:v>
      </x:c>
    </x:row>
    <x:row r="272">
      <x:c r="A272" s="2" t="s">
        <x:v>967</x:v>
      </x:c>
      <x:c r="B272" s="2" t="s">
        <x:v>2027</x:v>
      </x:c>
    </x:row>
    <x:row r="273">
      <x:c r="A273" s="2" t="s">
        <x:v>1413</x:v>
      </x:c>
      <x:c r="B273" s="2" t="s">
        <x:v>1996</x:v>
      </x:c>
    </x:row>
    <x:row r="274">
      <x:c r="A274" s="2" t="s">
        <x:v>685</x:v>
      </x:c>
      <x:c r="B274" s="2" t="s">
        <x:v>1996</x:v>
      </x:c>
    </x:row>
    <x:row r="275">
      <x:c r="A275" s="2" t="s">
        <x:v>1009</x:v>
      </x:c>
      <x:c r="B275" s="2" t="s">
        <x:v>1988</x:v>
      </x:c>
    </x:row>
    <x:row r="276">
      <x:c r="A276" s="2" t="s">
        <x:v>983</x:v>
      </x:c>
      <x:c r="B276" s="2" t="s">
        <x:v>1997</x:v>
      </x:c>
    </x:row>
    <x:row r="277">
      <x:c r="A277" s="2" t="s">
        <x:v>2126</x:v>
      </x:c>
      <x:c r="B277" s="2" t="s">
        <x:v>1983</x:v>
      </x:c>
    </x:row>
    <x:row r="278">
      <x:c r="A278" s="2" t="s">
        <x:v>2127</x:v>
      </x:c>
      <x:c r="B278" s="2" t="s">
        <x:v>1980</x:v>
      </x:c>
    </x:row>
    <x:row r="279">
      <x:c r="A279" s="2" t="s">
        <x:v>190</x:v>
      </x:c>
      <x:c r="B279" s="2" t="s">
        <x:v>1999</x:v>
      </x:c>
    </x:row>
    <x:row r="280">
      <x:c r="A280" s="2" t="s">
        <x:v>580</x:v>
      </x:c>
      <x:c r="B280" s="2" t="s">
        <x:v>1996</x:v>
      </x:c>
    </x:row>
    <x:row r="281">
      <x:c r="A281" s="2" t="s">
        <x:v>449</x:v>
      </x:c>
      <x:c r="B281" s="2" t="s">
        <x:v>1980</x:v>
      </x:c>
    </x:row>
    <x:row r="282">
      <x:c r="A282" s="2" t="s">
        <x:v>159</x:v>
      </x:c>
      <x:c r="B282" s="2" t="s">
        <x:v>2028</x:v>
      </x:c>
    </x:row>
    <x:row r="283">
      <x:c r="A283" s="2" t="s">
        <x:v>662</x:v>
      </x:c>
      <x:c r="B283" s="2" t="s">
        <x:v>1996</x:v>
      </x:c>
    </x:row>
    <x:row r="284">
      <x:c r="A284" s="2" t="s">
        <x:v>2128</x:v>
      </x:c>
      <x:c r="B284" s="2" t="s">
        <x:v>1981</x:v>
      </x:c>
    </x:row>
    <x:row r="285">
      <x:c r="A285" s="2" t="s">
        <x:v>2129</x:v>
      </x:c>
      <x:c r="B285" s="2" t="s">
        <x:v>1996</x:v>
      </x:c>
    </x:row>
    <x:row r="286">
      <x:c r="A286" s="2" t="s">
        <x:v>773</x:v>
      </x:c>
      <x:c r="B286" s="2" t="s">
        <x:v>1992</x:v>
      </x:c>
    </x:row>
    <x:row r="287">
      <x:c r="A287" s="2" t="s">
        <x:v>2130</x:v>
      </x:c>
      <x:c r="B287" s="2" t="s">
        <x:v>2005</x:v>
      </x:c>
    </x:row>
    <x:row r="288">
      <x:c r="A288" s="2" t="s">
        <x:v>45</x:v>
      </x:c>
      <x:c r="B288" s="2" t="s">
        <x:v>1992</x:v>
      </x:c>
    </x:row>
    <x:row r="289">
      <x:c r="A289" s="2" t="s">
        <x:v>2131</x:v>
      </x:c>
      <x:c r="B289" s="2" t="s">
        <x:v>1983</x:v>
      </x:c>
    </x:row>
    <x:row r="290">
      <x:c r="A290" s="2" t="s">
        <x:v>2132</x:v>
      </x:c>
      <x:c r="B290" s="2" t="s">
        <x:v>1988</x:v>
      </x:c>
    </x:row>
    <x:row r="291">
      <x:c r="A291" s="2" t="s">
        <x:v>2133</x:v>
      </x:c>
      <x:c r="B291" s="2" t="s">
        <x:v>1988</x:v>
      </x:c>
    </x:row>
    <x:row r="292">
      <x:c r="A292" s="2" t="s">
        <x:v>2134</x:v>
      </x:c>
      <x:c r="B292" s="2" t="s">
        <x:v>1988</x:v>
      </x:c>
    </x:row>
    <x:row r="293">
      <x:c r="A293" s="2" t="s">
        <x:v>1364</x:v>
      </x:c>
      <x:c r="B293" s="2" t="s">
        <x:v>2002</x:v>
      </x:c>
    </x:row>
    <x:row r="294">
      <x:c r="A294" s="2" t="s">
        <x:v>986</x:v>
      </x:c>
      <x:c r="B294" s="2" t="s">
        <x:v>1979</x:v>
      </x:c>
    </x:row>
    <x:row r="295">
      <x:c r="A295" s="2" t="s">
        <x:v>2135</x:v>
      </x:c>
      <x:c r="B295" s="2" t="s">
        <x:v>2002</x:v>
      </x:c>
    </x:row>
    <x:row r="296">
      <x:c r="A296" s="2" t="s">
        <x:v>263</x:v>
      </x:c>
      <x:c r="B296" s="2" t="s">
        <x:v>1988</x:v>
      </x:c>
    </x:row>
    <x:row r="297">
      <x:c r="A297" s="2" t="s">
        <x:v>1014</x:v>
      </x:c>
      <x:c r="B297" s="2" t="s">
        <x:v>1988</x:v>
      </x:c>
    </x:row>
    <x:row r="298">
      <x:c r="A298" s="2" t="s">
        <x:v>376</x:v>
      </x:c>
      <x:c r="B298" s="2" t="s">
        <x:v>1981</x:v>
      </x:c>
    </x:row>
    <x:row r="299">
      <x:c r="A299" s="2" t="s">
        <x:v>2136</x:v>
      </x:c>
      <x:c r="B299" s="2" t="s">
        <x:v>2029</x:v>
      </x:c>
    </x:row>
    <x:row r="300">
      <x:c r="A300" s="2" t="s">
        <x:v>504</x:v>
      </x:c>
      <x:c r="B300" s="2" t="s">
        <x:v>1996</x:v>
      </x:c>
    </x:row>
    <x:row r="301">
      <x:c r="A301" s="2" t="s">
        <x:v>1476</x:v>
      </x:c>
      <x:c r="B301" s="2" t="s">
        <x:v>1980</x:v>
      </x:c>
    </x:row>
    <x:row r="302">
      <x:c r="A302" s="2" t="s">
        <x:v>853</x:v>
      </x:c>
      <x:c r="B302" s="2" t="s">
        <x:v>1991</x:v>
      </x:c>
    </x:row>
    <x:row r="303">
      <x:c r="A303" s="2" t="s">
        <x:v>332</x:v>
      </x:c>
      <x:c r="B303" s="2" t="s">
        <x:v>2086</x:v>
      </x:c>
    </x:row>
    <x:row r="304">
      <x:c r="A304" s="2" t="s">
        <x:v>867</x:v>
      </x:c>
      <x:c r="B304" s="2" t="s">
        <x:v>2005</x:v>
      </x:c>
    </x:row>
    <x:row r="305">
      <x:c r="A305" s="2" t="s">
        <x:v>1237</x:v>
      </x:c>
      <x:c r="B305" s="2" t="s">
        <x:v>2029</x:v>
      </x:c>
    </x:row>
    <x:row r="306">
      <x:c r="A306" s="2" t="s">
        <x:v>297</x:v>
      </x:c>
      <x:c r="B306" s="2" t="s">
        <x:v>2027</x:v>
      </x:c>
    </x:row>
    <x:row r="307">
      <x:c r="A307" s="2" t="s">
        <x:v>2137</x:v>
      </x:c>
      <x:c r="B307" s="2" t="s">
        <x:v>2000</x:v>
      </x:c>
    </x:row>
    <x:row r="308">
      <x:c r="A308" s="2" t="s">
        <x:v>2138</x:v>
      </x:c>
      <x:c r="B308" s="2" t="s">
        <x:v>1997</x:v>
      </x:c>
    </x:row>
    <x:row r="309">
      <x:c r="A309" s="2" t="s">
        <x:v>2139</x:v>
      </x:c>
      <x:c r="B309" s="2" t="s">
        <x:v>1993</x:v>
      </x:c>
    </x:row>
    <x:row r="310">
      <x:c r="A310" s="2" t="s">
        <x:v>2140</x:v>
      </x:c>
      <x:c r="B310" s="2" t="s">
        <x:v>1993</x:v>
      </x:c>
    </x:row>
    <x:row r="311">
      <x:c r="A311" s="2" t="s">
        <x:v>748</x:v>
      </x:c>
      <x:c r="B311" s="2" t="s">
        <x:v>1981</x:v>
      </x:c>
    </x:row>
    <x:row r="312">
      <x:c r="A312" s="2" t="s">
        <x:v>379</x:v>
      </x:c>
      <x:c r="B312" s="2" t="s">
        <x:v>1993</x:v>
      </x:c>
    </x:row>
    <x:row r="313">
      <x:c r="A313" s="2" t="s">
        <x:v>195</x:v>
      </x:c>
      <x:c r="B313" s="2" t="s">
        <x:v>2028</x:v>
      </x:c>
    </x:row>
    <x:row r="314">
      <x:c r="A314" s="2" t="s">
        <x:v>2141</x:v>
      </x:c>
      <x:c r="B314" s="2" t="s">
        <x:v>1988</x:v>
      </x:c>
    </x:row>
    <x:row r="315">
      <x:c r="A315" s="2" t="s">
        <x:v>2142</x:v>
      </x:c>
      <x:c r="B315" s="2" t="s">
        <x:v>2019</x:v>
      </x:c>
    </x:row>
    <x:row r="316">
      <x:c r="A316" s="2" t="s">
        <x:v>871</x:v>
      </x:c>
      <x:c r="B316" s="2" t="s">
        <x:v>1980</x:v>
      </x:c>
    </x:row>
    <x:row r="317">
      <x:c r="A317" s="2" t="s">
        <x:v>2143</x:v>
      </x:c>
      <x:c r="B317" s="2" t="s">
        <x:v>1988</x:v>
      </x:c>
    </x:row>
    <x:row r="318">
      <x:c r="A318" s="2" t="s">
        <x:v>1017</x:v>
      </x:c>
      <x:c r="B318" s="2" t="s">
        <x:v>1993</x:v>
      </x:c>
    </x:row>
    <x:row r="319">
      <x:c r="A319" s="2" t="s">
        <x:v>383</x:v>
      </x:c>
      <x:c r="B319" s="2" t="s">
        <x:v>1996</x:v>
      </x:c>
    </x:row>
    <x:row r="320">
      <x:c r="A320" s="2" t="s">
        <x:v>2144</x:v>
      </x:c>
      <x:c r="B320" s="2" t="s">
        <x:v>2020</x:v>
      </x:c>
    </x:row>
    <x:row r="321">
      <x:c r="A321" s="2" t="s">
        <x:v>938</x:v>
      </x:c>
      <x:c r="B321" s="2" t="s">
        <x:v>1993</x:v>
      </x:c>
    </x:row>
    <x:row r="322">
      <x:c r="A322" s="2" t="s">
        <x:v>2027</x:v>
      </x:c>
      <x:c r="B322" s="2" t="s">
        <x:v>1988</x:v>
      </x:c>
    </x:row>
    <x:row r="323">
      <x:c r="A323" s="2" t="s">
        <x:v>2145</x:v>
      </x:c>
      <x:c r="B323" s="2" t="s">
        <x:v>1997</x:v>
      </x:c>
    </x:row>
    <x:row r="324">
      <x:c r="A324" s="2" t="s">
        <x:v>2146</x:v>
      </x:c>
      <x:c r="B324" s="2" t="s">
        <x:v>1988</x:v>
      </x:c>
    </x:row>
    <x:row r="325">
      <x:c r="A325" s="2" t="s">
        <x:v>927</x:v>
      </x:c>
      <x:c r="B325" s="2" t="s">
        <x:v>2000</x:v>
      </x:c>
    </x:row>
    <x:row r="326">
      <x:c r="A326" s="2" t="s">
        <x:v>162</x:v>
      </x:c>
      <x:c r="B326" s="2" t="s">
        <x:v>1991</x:v>
      </x:c>
    </x:row>
    <x:row r="327">
      <x:c r="A327" s="2" t="s">
        <x:v>51</x:v>
      </x:c>
      <x:c r="B327" s="2" t="s">
        <x:v>1992</x:v>
      </x:c>
    </x:row>
    <x:row r="328">
      <x:c r="A328" s="2" t="s">
        <x:v>806</x:v>
      </x:c>
      <x:c r="B328" s="2" t="s">
        <x:v>1983</x:v>
      </x:c>
    </x:row>
    <x:row r="329">
      <x:c r="A329" s="2" t="s">
        <x:v>675</x:v>
      </x:c>
      <x:c r="B329" s="2" t="s">
        <x:v>1983</x:v>
      </x:c>
    </x:row>
    <x:row r="330">
      <x:c r="A330" s="2" t="s">
        <x:v>2147</x:v>
      </x:c>
      <x:c r="B330" s="2" t="s">
        <x:v>1983</x:v>
      </x:c>
    </x:row>
    <x:row r="331">
      <x:c r="A331" s="2" t="s">
        <x:v>898</x:v>
      </x:c>
      <x:c r="B331" s="2" t="s">
        <x:v>2020</x:v>
      </x:c>
    </x:row>
    <x:row r="332">
      <x:c r="A332" s="2" t="s">
        <x:v>1116</x:v>
      </x:c>
      <x:c r="B332" s="2" t="s">
        <x:v>1997</x:v>
      </x:c>
    </x:row>
    <x:row r="333">
      <x:c r="A333" s="2" t="s">
        <x:v>198</x:v>
      </x:c>
      <x:c r="B333" s="2" t="s">
        <x:v>1999</x:v>
      </x:c>
    </x:row>
    <x:row r="334">
      <x:c r="A334" s="2" t="s">
        <x:v>902</x:v>
      </x:c>
      <x:c r="B334" s="2" t="s">
        <x:v>1997</x:v>
      </x:c>
    </x:row>
    <x:row r="335">
      <x:c r="A335" s="2" t="s">
        <x:v>1062</x:v>
      </x:c>
      <x:c r="B335" s="2" t="s">
        <x:v>1996</x:v>
      </x:c>
    </x:row>
    <x:row r="336">
      <x:c r="A336" s="2" t="s">
        <x:v>280</x:v>
      </x:c>
      <x:c r="B336" s="2" t="s">
        <x:v>1997</x:v>
      </x:c>
    </x:row>
    <x:row r="337">
      <x:c r="A337" s="2" t="s">
        <x:v>536</x:v>
      </x:c>
      <x:c r="B337" s="2" t="s">
        <x:v>1984</x:v>
      </x:c>
    </x:row>
    <x:row r="338">
      <x:c r="A338" s="2" t="s">
        <x:v>2148</x:v>
      </x:c>
      <x:c r="B338" s="2" t="s">
        <x:v>2000</x:v>
      </x:c>
    </x:row>
    <x:row r="339">
      <x:c r="A339" s="2" t="s">
        <x:v>2149</x:v>
      </x:c>
      <x:c r="B339" s="2" t="s">
        <x:v>1980</x:v>
      </x:c>
    </x:row>
    <x:row r="340">
      <x:c r="A340" s="2" t="s">
        <x:v>528</x:v>
      </x:c>
      <x:c r="B340" s="2" t="s">
        <x:v>1986</x:v>
      </x:c>
    </x:row>
    <x:row r="341">
      <x:c r="A341" s="2" t="s">
        <x:v>2150</x:v>
      </x:c>
      <x:c r="B341" s="2" t="s">
        <x:v>2010</x:v>
      </x:c>
    </x:row>
    <x:row r="342">
      <x:c r="A342" s="2" t="s">
        <x:v>1537</x:v>
      </x:c>
      <x:c r="B342" s="2" t="s">
        <x:v>1997</x:v>
      </x:c>
    </x:row>
    <x:row r="343">
      <x:c r="A343" s="2" t="s">
        <x:v>845</x:v>
      </x:c>
      <x:c r="B343" s="2" t="s">
        <x:v>1980</x:v>
      </x:c>
    </x:row>
    <x:row r="344">
      <x:c r="A344" s="2" t="s">
        <x:v>2151</x:v>
      </x:c>
      <x:c r="B344" s="2" t="s">
        <x:v>1988</x:v>
      </x:c>
    </x:row>
    <x:row r="345">
      <x:c r="A345" s="2" t="s">
        <x:v>22</x:v>
      </x:c>
      <x:c r="B345" s="2" t="s">
        <x:v>1993</x:v>
      </x:c>
    </x:row>
    <x:row r="346">
      <x:c r="A346" s="2" t="s">
        <x:v>759</x:v>
      </x:c>
      <x:c r="B346" s="2" t="s">
        <x:v>2029</x:v>
      </x:c>
    </x:row>
    <x:row r="347">
      <x:c r="A347" s="2" t="s">
        <x:v>165</x:v>
      </x:c>
      <x:c r="B347" s="2" t="s">
        <x:v>2086</x:v>
      </x:c>
    </x:row>
    <x:row r="348">
      <x:c r="A348" s="2" t="s">
        <x:v>1300</x:v>
      </x:c>
      <x:c r="B348" s="2" t="s">
        <x:v>1997</x:v>
      </x:c>
    </x:row>
    <x:row r="349">
      <x:c r="A349" s="2" t="s">
        <x:v>1192</x:v>
      </x:c>
      <x:c r="B349" s="2" t="s">
        <x:v>1988</x:v>
      </x:c>
    </x:row>
    <x:row r="350">
      <x:c r="A350" s="2" t="s">
        <x:v>1953</x:v>
      </x:c>
      <x:c r="B350" s="2" t="s">
        <x:v>2020</x:v>
      </x:c>
    </x:row>
    <x:row r="351">
      <x:c r="A351" s="2" t="s">
        <x:v>168</x:v>
      </x:c>
      <x:c r="B351" s="2" t="s">
        <x:v>2086</x:v>
      </x:c>
    </x:row>
    <x:row r="352">
      <x:c r="A352" s="2" t="s">
        <x:v>1392</x:v>
      </x:c>
      <x:c r="B352" s="2" t="s">
        <x:v>1988</x:v>
      </x:c>
    </x:row>
    <x:row r="353">
      <x:c r="A353" s="2" t="s">
        <x:v>2152</x:v>
      </x:c>
      <x:c r="B353" s="2" t="s">
        <x:v>1988</x:v>
      </x:c>
    </x:row>
    <x:row r="354">
      <x:c r="A354" s="2" t="s">
        <x:v>2153</x:v>
      </x:c>
      <x:c r="B354" s="2" t="s">
        <x:v>2020</x:v>
      </x:c>
    </x:row>
    <x:row r="355">
      <x:c r="A355" s="2" t="s">
        <x:v>112</x:v>
      </x:c>
      <x:c r="B355" s="2" t="s">
        <x:v>1984</x:v>
      </x:c>
    </x:row>
    <x:row r="356">
      <x:c r="A356" s="2" t="s">
        <x:v>2154</x:v>
      </x:c>
      <x:c r="B356" s="2" t="s">
        <x:v>1988</x:v>
      </x:c>
    </x:row>
    <x:row r="357">
      <x:c r="A357" s="2" t="s">
        <x:v>2155</x:v>
      </x:c>
      <x:c r="B357" s="2" t="s">
        <x:v>1986</x:v>
      </x:c>
    </x:row>
    <x:row r="358">
      <x:c r="A358" s="2" t="s">
        <x:v>2156</x:v>
      </x:c>
      <x:c r="B358" s="2" t="s">
        <x:v>1986</x:v>
      </x:c>
    </x:row>
    <x:row r="359">
      <x:c r="A359" s="2" t="s">
        <x:v>2157</x:v>
      </x:c>
      <x:c r="B359" s="2" t="s">
        <x:v>2020</x:v>
      </x:c>
    </x:row>
    <x:row r="360">
      <x:c r="A360" s="2" t="s">
        <x:v>2158</x:v>
      </x:c>
      <x:c r="B360" s="2" t="s">
        <x:v>1991</x:v>
      </x:c>
    </x:row>
    <x:row r="361">
      <x:c r="A361" s="2" t="s">
        <x:v>702</x:v>
      </x:c>
      <x:c r="B361" s="2" t="s">
        <x:v>1979</x:v>
      </x:c>
    </x:row>
    <x:row r="362">
      <x:c r="A362" s="2" t="s">
        <x:v>793</x:v>
      </x:c>
      <x:c r="B362" s="2" t="s">
        <x:v>1986</x:v>
      </x:c>
    </x:row>
    <x:row r="363">
      <x:c r="A363" s="2" t="s">
        <x:v>2159</x:v>
      </x:c>
      <x:c r="B363" s="2" t="s">
        <x:v>1979</x:v>
      </x:c>
    </x:row>
    <x:row r="364">
      <x:c r="A364" s="2" t="s">
        <x:v>2160</x:v>
      </x:c>
      <x:c r="B364" s="2" t="s">
        <x:v>1997</x:v>
      </x:c>
    </x:row>
    <x:row r="365">
      <x:c r="A365" s="2" t="s">
        <x:v>452</x:v>
      </x:c>
      <x:c r="B365" s="2" t="s">
        <x:v>2029</x:v>
      </x:c>
    </x:row>
    <x:row r="366">
      <x:c r="A366" s="2" t="s">
        <x:v>83</x:v>
      </x:c>
      <x:c r="B366" s="2" t="s">
        <x:v>1980</x:v>
      </x:c>
    </x:row>
    <x:row r="367">
      <x:c r="A367" s="2" t="s">
        <x:v>200</x:v>
      </x:c>
      <x:c r="B367" s="2" t="s">
        <x:v>2028</x:v>
      </x:c>
    </x:row>
    <x:row r="368">
      <x:c r="A368" s="2" t="s">
        <x:v>2161</x:v>
      </x:c>
      <x:c r="B368" s="2" t="s">
        <x:v>1984</x:v>
      </x:c>
    </x:row>
    <x:row r="369">
      <x:c r="A369" s="2" t="s">
        <x:v>2162</x:v>
      </x:c>
      <x:c r="B369" s="2" t="s">
        <x:v>1993</x:v>
      </x:c>
    </x:row>
    <x:row r="370">
      <x:c r="A370" s="2" t="s">
        <x:v>1447</x:v>
      </x:c>
      <x:c r="B370" s="2" t="s">
        <x:v>1984</x:v>
      </x:c>
    </x:row>
    <x:row r="371">
      <x:c r="A371" s="2" t="s">
        <x:v>611</x:v>
      </x:c>
      <x:c r="B371" s="2" t="s">
        <x:v>1983</x:v>
      </x:c>
    </x:row>
    <x:row r="372">
      <x:c r="A372" s="2" t="s">
        <x:v>1427</x:v>
      </x:c>
      <x:c r="B372" s="2" t="s">
        <x:v>1996</x:v>
      </x:c>
    </x:row>
    <x:row r="373">
      <x:c r="A373" s="2" t="s">
        <x:v>59</x:v>
      </x:c>
      <x:c r="B373" s="2" t="s">
        <x:v>1993</x:v>
      </x:c>
    </x:row>
    <x:row r="374">
      <x:c r="A374" s="2" t="s">
        <x:v>574</x:v>
      </x:c>
      <x:c r="B374" s="2" t="s">
        <x:v>1980</x:v>
      </x:c>
    </x:row>
    <x:row r="375">
      <x:c r="A375" s="2" t="s">
        <x:v>392</x:v>
      </x:c>
      <x:c r="B375" s="2" t="s">
        <x:v>2020</x:v>
      </x:c>
    </x:row>
    <x:row r="376">
      <x:c r="A376" s="2" t="s">
        <x:v>2163</x:v>
      </x:c>
      <x:c r="B376" s="2" t="s">
        <x:v>2027</x:v>
      </x:c>
    </x:row>
    <x:row r="377">
      <x:c r="A377" s="2" t="s">
        <x:v>291</x:v>
      </x:c>
      <x:c r="B377" s="2" t="s">
        <x:v>1992</x:v>
      </x:c>
    </x:row>
    <x:row r="378">
      <x:c r="A378" s="2" t="s">
        <x:v>227</x:v>
      </x:c>
      <x:c r="B378" s="2" t="s">
        <x:v>2020</x:v>
      </x:c>
    </x:row>
    <x:row r="379">
      <x:c r="A379" s="2" t="s">
        <x:v>2164</x:v>
      </x:c>
      <x:c r="B379" s="2" t="s">
        <x:v>1986</x:v>
      </x:c>
    </x:row>
    <x:row r="380">
      <x:c r="A380" s="2" t="s">
        <x:v>99</x:v>
      </x:c>
      <x:c r="B380" s="2" t="s">
        <x:v>2010</x:v>
      </x:c>
    </x:row>
    <x:row r="381">
      <x:c r="A381" s="2" t="s">
        <x:v>1080</x:v>
      </x:c>
      <x:c r="B381" s="2" t="s">
        <x:v>1983</x:v>
      </x:c>
    </x:row>
    <x:row r="382">
      <x:c r="A382" s="2" t="s">
        <x:v>2165</x:v>
      </x:c>
      <x:c r="B382" s="2" t="s">
        <x:v>1979</x:v>
      </x:c>
    </x:row>
    <x:row r="383">
      <x:c r="A383" s="2" t="s">
        <x:v>395</x:v>
      </x:c>
      <x:c r="B383" s="2" t="s">
        <x:v>1984</x:v>
      </x:c>
    </x:row>
    <x:row r="384">
      <x:c r="A384" s="2" t="s">
        <x:v>2166</x:v>
      </x:c>
      <x:c r="B384" s="2" t="s">
        <x:v>2027</x:v>
      </x:c>
    </x:row>
    <x:row r="385">
      <x:c r="A385" s="2" t="s">
        <x:v>1169</x:v>
      </x:c>
      <x:c r="B385" s="2" t="s">
        <x:v>1980</x:v>
      </x:c>
    </x:row>
    <x:row r="386">
      <x:c r="A386" s="2" t="s">
        <x:v>187</x:v>
      </x:c>
      <x:c r="B386" s="2" t="s">
        <x:v>2028</x:v>
      </x:c>
    </x:row>
    <x:row r="387">
      <x:c r="A387" s="2" t="s">
        <x:v>1402</x:v>
      </x:c>
      <x:c r="B387" s="2" t="s">
        <x:v>1984</x:v>
      </x:c>
    </x:row>
    <x:row r="388">
      <x:c r="A388" s="2" t="s">
        <x:v>894</x:v>
      </x:c>
      <x:c r="B388" s="2" t="s">
        <x:v>2004</x:v>
      </x:c>
    </x:row>
    <x:row r="389">
      <x:c r="A389" s="2" t="s">
        <x:v>2167</x:v>
      </x:c>
      <x:c r="B389" s="2" t="s">
        <x:v>1979</x:v>
      </x:c>
    </x:row>
    <x:row r="390">
      <x:c r="A390" s="2" t="s">
        <x:v>698</x:v>
      </x:c>
      <x:c r="B390" s="2" t="s">
        <x:v>1980</x:v>
      </x:c>
    </x:row>
    <x:row r="391">
      <x:c r="A391" s="2" t="s">
        <x:v>2168</x:v>
      </x:c>
      <x:c r="B391" s="2" t="s">
        <x:v>1996</x:v>
      </x:c>
    </x:row>
    <x:row r="392">
      <x:c r="A392" s="2" t="s">
        <x:v>2169</x:v>
      </x:c>
      <x:c r="B392" s="2" t="s">
        <x:v>1988</x:v>
      </x:c>
    </x:row>
    <x:row r="393">
      <x:c r="A393" s="2" t="s">
        <x:v>319</x:v>
      </x:c>
      <x:c r="B393" s="2" t="s">
        <x:v>1990</x:v>
      </x:c>
    </x:row>
    <x:row r="394">
      <x:c r="A394" s="2" t="s">
        <x:v>593</x:v>
      </x:c>
      <x:c r="B394" s="2" t="s">
        <x:v>1991</x:v>
      </x:c>
    </x:row>
    <x:row r="395">
      <x:c r="A395" s="2" t="s">
        <x:v>2170</x:v>
      </x:c>
      <x:c r="B395" s="2" t="s">
        <x:v>1983</x:v>
      </x:c>
    </x:row>
    <x:row r="396">
      <x:c r="A396" s="2" t="s">
        <x:v>768</x:v>
      </x:c>
      <x:c r="B396" s="2" t="s">
        <x:v>1993</x:v>
      </x:c>
    </x:row>
    <x:row r="397">
      <x:c r="A397" s="2" t="s">
        <x:v>2171</x:v>
      </x:c>
      <x:c r="B397" s="2" t="s">
        <x:v>1979</x:v>
      </x:c>
    </x:row>
    <x:row r="398">
      <x:c r="A398" s="2" t="s">
        <x:v>2172</x:v>
      </x:c>
      <x:c r="B398" s="2" t="s">
        <x:v>1991</x:v>
      </x:c>
    </x:row>
    <x:row r="399">
      <x:c r="A399" s="2" t="s">
        <x:v>2173</x:v>
      </x:c>
      <x:c r="B399" s="2" t="s">
        <x:v>2019</x:v>
      </x:c>
    </x:row>
    <x:row r="400">
      <x:c r="A400" s="2" t="s">
        <x:v>800</x:v>
      </x:c>
      <x:c r="B400" s="2" t="s">
        <x:v>1999</x:v>
      </x:c>
    </x:row>
    <x:row r="401">
      <x:c r="A401" s="2" t="s">
        <x:v>233</x:v>
      </x:c>
      <x:c r="B401" s="2" t="s">
        <x:v>1993</x:v>
      </x:c>
    </x:row>
    <x:row r="402">
      <x:c r="A402" s="2" t="s">
        <x:v>192</x:v>
      </x:c>
      <x:c r="B402" s="2" t="s">
        <x:v>2020</x:v>
      </x:c>
    </x:row>
    <x:row r="403">
      <x:c r="A403" s="2" t="s">
        <x:v>955</x:v>
      </x:c>
      <x:c r="B403" s="2" t="s">
        <x:v>1996</x:v>
      </x:c>
    </x:row>
    <x:row r="404">
      <x:c r="A404" s="2" t="s">
        <x:v>218</x:v>
      </x:c>
      <x:c r="B404" s="2" t="s">
        <x:v>2010</x:v>
      </x:c>
    </x:row>
    <x:row r="405">
      <x:c r="A405" s="2" t="s">
        <x:v>848</x:v>
      </x:c>
      <x:c r="B405" s="2" t="s">
        <x:v>1980</x:v>
      </x:c>
    </x:row>
    <x:row r="406">
      <x:c r="A406" s="2" t="s">
        <x:v>1207</x:v>
      </x:c>
      <x:c r="B406" s="2" t="s">
        <x:v>2020</x:v>
      </x:c>
    </x:row>
    <x:row r="407">
      <x:c r="A407" s="2" t="s">
        <x:v>2174</x:v>
      </x:c>
      <x:c r="B407" s="2" t="s">
        <x:v>2020</x:v>
      </x:c>
    </x:row>
    <x:row r="408">
      <x:c r="A408" s="2" t="s">
        <x:v>1023</x:v>
      </x:c>
      <x:c r="B408" s="2" t="s">
        <x:v>2020</x:v>
      </x:c>
    </x:row>
    <x:row r="409">
      <x:c r="A409" s="2" t="s">
        <x:v>2175</x:v>
      </x:c>
      <x:c r="B409" s="2" t="s">
        <x:v>1991</x:v>
      </x:c>
    </x:row>
    <x:row r="410">
      <x:c r="A410" s="2" t="s">
        <x:v>2176</x:v>
      </x:c>
      <x:c r="B410" s="2" t="s">
        <x:v>1988</x:v>
      </x:c>
    </x:row>
    <x:row r="411">
      <x:c r="A411" s="2" t="s">
        <x:v>2177</x:v>
      </x:c>
      <x:c r="B411" s="2" t="s">
        <x:v>2020</x:v>
      </x:c>
    </x:row>
    <x:row r="412">
      <x:c r="A412" s="2" t="s">
        <x:v>1634</x:v>
      </x:c>
      <x:c r="B412" s="2" t="s">
        <x:v>1980</x:v>
      </x:c>
    </x:row>
    <x:row r="413">
      <x:c r="A413" s="2" t="s">
        <x:v>577</x:v>
      </x:c>
      <x:c r="B413" s="2" t="s">
        <x:v>1991</x:v>
      </x:c>
    </x:row>
    <x:row r="414">
      <x:c r="A414" s="2" t="s">
        <x:v>266</x:v>
      </x:c>
      <x:c r="B414" s="2" t="s">
        <x:v>1980</x:v>
      </x:c>
    </x:row>
    <x:row r="415">
      <x:c r="A415" s="2" t="s">
        <x:v>695</x:v>
      </x:c>
      <x:c r="B415" s="2" t="s">
        <x:v>2000</x:v>
      </x:c>
    </x:row>
    <x:row r="416">
      <x:c r="A416" s="2" t="s">
        <x:v>850</x:v>
      </x:c>
      <x:c r="B416" s="2" t="s">
        <x:v>1996</x:v>
      </x:c>
    </x:row>
    <x:row r="417">
      <x:c r="A417" s="2" t="s">
        <x:v>2178</x:v>
      </x:c>
      <x:c r="B417" s="2" t="s">
        <x:v>2010</x:v>
      </x:c>
    </x:row>
    <x:row r="418">
      <x:c r="A418" s="2" t="s">
        <x:v>321</x:v>
      </x:c>
      <x:c r="B418" s="2" t="s">
        <x:v>1991</x:v>
      </x:c>
    </x:row>
    <x:row r="419">
      <x:c r="A419" s="2" t="s">
        <x:v>2179</x:v>
      </x:c>
      <x:c r="B419" s="2" t="s">
        <x:v>1980</x:v>
      </x:c>
    </x:row>
    <x:row r="420">
      <x:c r="A420" s="2" t="s">
        <x:v>386</x:v>
      </x:c>
      <x:c r="B420" s="2" t="s">
        <x:v>1999</x:v>
      </x:c>
    </x:row>
    <x:row r="421">
      <x:c r="A421" s="2" t="s">
        <x:v>400</x:v>
      </x:c>
      <x:c r="B421" s="2" t="s">
        <x:v>1992</x:v>
      </x:c>
    </x:row>
    <x:row r="422">
      <x:c r="A422" s="2" t="s">
        <x:v>1385</x:v>
      </x:c>
      <x:c r="B422" s="2" t="s">
        <x:v>1988</x:v>
      </x:c>
    </x:row>
    <x:row r="423">
      <x:c r="A423" s="2" t="s">
        <x:v>906</x:v>
      </x:c>
      <x:c r="B423" s="2" t="s">
        <x:v>1988</x:v>
      </x:c>
    </x:row>
    <x:row r="424">
      <x:c r="A424" s="2" t="s">
        <x:v>2180</x:v>
      </x:c>
      <x:c r="B424" s="2" t="s">
        <x:v>2010</x:v>
      </x:c>
    </x:row>
    <x:row r="425">
      <x:c r="A425" s="2" t="s">
        <x:v>1239</x:v>
      </x:c>
      <x:c r="B425" s="2" t="s">
        <x:v>2005</x:v>
      </x:c>
    </x:row>
    <x:row r="426">
      <x:c r="A426" s="2" t="s">
        <x:v>2181</x:v>
      </x:c>
      <x:c r="B426" s="2" t="s">
        <x:v>1986</x:v>
      </x:c>
    </x:row>
    <x:row r="427">
      <x:c r="A427" s="2" t="s">
        <x:v>690</x:v>
      </x:c>
      <x:c r="B427" s="2" t="s">
        <x:v>1983</x:v>
      </x:c>
    </x:row>
    <x:row r="428">
      <x:c r="A428" s="2" t="s">
        <x:v>2182</x:v>
      </x:c>
      <x:c r="B428" s="2" t="s">
        <x:v>1998</x:v>
      </x:c>
    </x:row>
    <x:row r="429">
      <x:c r="A429" s="2" t="s">
        <x:v>274</x:v>
      </x:c>
      <x:c r="B429" s="2" t="s">
        <x:v>1996</x:v>
      </x:c>
    </x:row>
    <x:row r="430">
      <x:c r="A430" s="2" t="s">
        <x:v>2183</x:v>
      </x:c>
      <x:c r="B430" s="2" t="s">
        <x:v>1997</x:v>
      </x:c>
    </x:row>
    <x:row r="431">
      <x:c r="A431" s="2" t="s">
        <x:v>989</x:v>
      </x:c>
      <x:c r="B431" s="2" t="s">
        <x:v>2000</x:v>
      </x:c>
    </x:row>
    <x:row r="432">
      <x:c r="A432" s="2" t="s">
        <x:v>2184</x:v>
      </x:c>
      <x:c r="B432" s="2" t="s">
        <x:v>1998</x:v>
      </x:c>
    </x:row>
    <x:row r="433">
      <x:c r="A433" s="2" t="s">
        <x:v>479</x:v>
      </x:c>
      <x:c r="B433" s="2" t="s">
        <x:v>2020</x:v>
      </x:c>
    </x:row>
    <x:row r="434">
      <x:c r="A434" s="2" t="s">
        <x:v>922</x:v>
      </x:c>
      <x:c r="B434" s="2" t="s">
        <x:v>2000</x:v>
      </x:c>
    </x:row>
    <x:row r="435">
      <x:c r="A435" s="2" t="s">
        <x:v>757</x:v>
      </x:c>
      <x:c r="B435" s="2" t="s">
        <x:v>1980</x:v>
      </x:c>
    </x:row>
    <x:row r="436">
      <x:c r="A436" s="2" t="s">
        <x:v>434</x:v>
      </x:c>
      <x:c r="B436" s="2" t="s">
        <x:v>2029</x:v>
      </x:c>
    </x:row>
    <x:row r="437">
      <x:c r="A437" s="2" t="s">
        <x:v>1540</x:v>
      </x:c>
      <x:c r="B437" s="2" t="s">
        <x:v>2005</x:v>
      </x:c>
    </x:row>
    <x:row r="438">
      <x:c r="A438" s="2" t="s">
        <x:v>2185</x:v>
      </x:c>
      <x:c r="B438" s="2" t="s">
        <x:v>1990</x:v>
      </x:c>
    </x:row>
    <x:row r="439">
      <x:c r="A439" s="2" t="s">
        <x:v>2186</x:v>
      </x:c>
      <x:c r="B439" s="2" t="s">
        <x:v>1997</x:v>
      </x:c>
    </x:row>
    <x:row r="440">
      <x:c r="A440" s="2" t="s">
        <x:v>286</x:v>
      </x:c>
      <x:c r="B440" s="2" t="s">
        <x:v>1979</x:v>
      </x:c>
    </x:row>
    <x:row r="441">
      <x:c r="A441" s="2" t="s">
        <x:v>206</x:v>
      </x:c>
      <x:c r="B441" s="2" t="s">
        <x:v>1986</x:v>
      </x:c>
    </x:row>
    <x:row r="442">
      <x:c r="A442" s="2" t="s">
        <x:v>2187</x:v>
      </x:c>
      <x:c r="B442" s="2" t="s">
        <x:v>1998</x:v>
      </x:c>
    </x:row>
    <x:row r="443">
      <x:c r="A443" s="2" t="s">
        <x:v>389</x:v>
      </x:c>
      <x:c r="B443" s="2" t="s">
        <x:v>2086</x:v>
      </x:c>
    </x:row>
    <x:row r="444">
      <x:c r="A444" s="2" t="s">
        <x:v>890</x:v>
      </x:c>
      <x:c r="B444" s="2" t="s">
        <x:v>1997</x:v>
      </x:c>
    </x:row>
    <x:row r="445">
      <x:c r="A445" s="2" t="s">
        <x:v>2188</x:v>
      </x:c>
      <x:c r="B445" s="2" t="s">
        <x:v>1988</x:v>
      </x:c>
    </x:row>
    <x:row r="446">
      <x:c r="A446" s="2" t="s">
        <x:v>2189</x:v>
      </x:c>
      <x:c r="B446" s="2" t="s">
        <x:v>2002</x:v>
      </x:c>
    </x:row>
    <x:row r="447">
      <x:c r="A447" s="2" t="s">
        <x:v>995</x:v>
      </x:c>
      <x:c r="B447" s="2" t="s">
        <x:v>2010</x:v>
      </x:c>
    </x:row>
    <x:row r="448">
      <x:c r="A448" s="2" t="s">
        <x:v>488</x:v>
      </x:c>
      <x:c r="B448" s="2" t="s">
        <x:v>2002</x:v>
      </x:c>
    </x:row>
    <x:row r="449">
      <x:c r="A449" s="2" t="s">
        <x:v>653</x:v>
      </x:c>
      <x:c r="B449" s="2" t="s">
        <x:v>1997</x:v>
      </x:c>
    </x:row>
    <x:row r="450">
      <x:c r="A450" s="2" t="s">
        <x:v>2190</x:v>
      </x:c>
      <x:c r="B450" s="2" t="s">
        <x:v>1990</x:v>
      </x:c>
    </x:row>
    <x:row r="451">
      <x:c r="A451" s="2" t="s">
        <x:v>2191</x:v>
      </x:c>
      <x:c r="B451" s="2" t="s">
        <x:v>2010</x:v>
      </x:c>
    </x:row>
    <x:row r="452">
      <x:c r="A452" s="2" t="s">
        <x:v>2192</x:v>
      </x:c>
      <x:c r="B452" s="2" t="s">
        <x:v>1980</x:v>
      </x:c>
    </x:row>
    <x:row r="453">
      <x:c r="A453" s="2" t="s">
        <x:v>2193</x:v>
      </x:c>
      <x:c r="B453" s="2" t="s">
        <x:v>2002</x:v>
      </x:c>
    </x:row>
    <x:row r="454">
      <x:c r="A454" s="2" t="s">
        <x:v>1552</x:v>
      </x:c>
      <x:c r="B454" s="2" t="s">
        <x:v>2002</x:v>
      </x:c>
    </x:row>
    <x:row r="455">
      <x:c r="A455" s="2" t="s">
        <x:v>2194</x:v>
      </x:c>
      <x:c r="B455" s="2" t="s">
        <x:v>1997</x:v>
      </x:c>
    </x:row>
    <x:row r="456">
      <x:c r="A456" s="2" t="s">
        <x:v>2195</x:v>
      </x:c>
      <x:c r="B456" s="2" t="s">
        <x:v>2000</x:v>
      </x:c>
    </x:row>
    <x:row r="457">
      <x:c r="A457" s="2" t="s">
        <x:v>2196</x:v>
      </x:c>
      <x:c r="B457" s="2" t="s">
        <x:v>2002</x:v>
      </x:c>
    </x:row>
    <x:row r="458">
      <x:c r="A458" s="2" t="s">
        <x:v>202</x:v>
      </x:c>
      <x:c r="B458" s="2" t="s">
        <x:v>2086</x:v>
      </x:c>
    </x:row>
    <x:row r="459">
      <x:c r="A459" s="2" t="s">
        <x:v>323</x:v>
      </x:c>
      <x:c r="B459" s="2" t="s">
        <x:v>1983</x:v>
      </x:c>
    </x:row>
    <x:row r="460">
      <x:c r="A460" s="2" t="s">
        <x:v>678</x:v>
      </x:c>
      <x:c r="B460" s="2" t="s">
        <x:v>2002</x:v>
      </x:c>
    </x:row>
    <x:row r="461">
      <x:c r="A461" s="2" t="s">
        <x:v>405</x:v>
      </x:c>
      <x:c r="B461" s="2" t="s">
        <x:v>1988</x:v>
      </x:c>
    </x:row>
    <x:row r="462">
      <x:c r="A462" s="2" t="s">
        <x:v>1410</x:v>
      </x:c>
      <x:c r="B462" s="2" t="s">
        <x:v>2010</x:v>
      </x:c>
    </x:row>
    <x:row r="463">
      <x:c r="A463" s="2" t="s">
        <x:v>1668</x:v>
      </x:c>
      <x:c r="B463" s="2" t="s">
        <x:v>1988</x:v>
      </x:c>
    </x:row>
    <x:row r="464">
      <x:c r="A464" s="2" t="s">
        <x:v>855</x:v>
      </x:c>
      <x:c r="B464" s="2" t="s">
        <x:v>2004</x:v>
      </x:c>
    </x:row>
    <x:row r="465">
      <x:c r="A465" s="2" t="s">
        <x:v>998</x:v>
      </x:c>
      <x:c r="B465" s="2" t="s">
        <x:v>1983</x:v>
      </x:c>
    </x:row>
    <x:row r="466">
      <x:c r="A466" s="2" t="s">
        <x:v>2197</x:v>
      </x:c>
      <x:c r="B466" s="2" t="s">
        <x:v>2005</x:v>
      </x:c>
    </x:row>
    <x:row r="467">
      <x:c r="A467" s="2" t="s">
        <x:v>599</x:v>
      </x:c>
      <x:c r="B467" s="2" t="s">
        <x:v>1979</x:v>
      </x:c>
    </x:row>
    <x:row r="468">
      <x:c r="A468" s="2" t="s">
        <x:v>1431</x:v>
      </x:c>
      <x:c r="B468" s="2" t="s">
        <x:v>1980</x:v>
      </x:c>
    </x:row>
    <x:row r="469">
      <x:c r="A469" s="2" t="s">
        <x:v>248</x:v>
      </x:c>
      <x:c r="B469" s="2" t="s">
        <x:v>1991</x:v>
      </x:c>
    </x:row>
    <x:row r="470">
      <x:c r="A470" s="2" t="s">
        <x:v>1026</x:v>
      </x:c>
      <x:c r="B470" s="2" t="s">
        <x:v>1983</x:v>
      </x:c>
    </x:row>
    <x:row r="471">
      <x:c r="A471" s="2" t="s">
        <x:v>2198</x:v>
      </x:c>
      <x:c r="B471" s="2" t="s">
        <x:v>1993</x:v>
      </x:c>
    </x:row>
    <x:row r="472">
      <x:c r="A472" s="2" t="s">
        <x:v>672</x:v>
      </x:c>
      <x:c r="B472" s="2" t="s">
        <x:v>2020</x:v>
      </x:c>
    </x:row>
    <x:row r="473">
      <x:c r="A473" s="2" t="s">
        <x:v>2199</x:v>
      </x:c>
      <x:c r="B473" s="2" t="s">
        <x:v>1996</x:v>
      </x:c>
    </x:row>
    <x:row r="474">
      <x:c r="A474" s="2" t="s">
        <x:v>2200</x:v>
      </x:c>
      <x:c r="B474" s="2" t="s">
        <x:v>1980</x:v>
      </x:c>
    </x:row>
    <x:row r="475">
      <x:c r="A475" s="2" t="s">
        <x:v>408</x:v>
      </x:c>
      <x:c r="B475" s="2" t="s">
        <x:v>1984</x:v>
      </x:c>
    </x:row>
    <x:row r="476">
      <x:c r="A476" s="2" t="s">
        <x:v>605</x:v>
      </x:c>
      <x:c r="B476" s="2" t="s">
        <x:v>2019</x:v>
      </x:c>
    </x:row>
    <x:row r="477">
      <x:c r="A477" s="2" t="s">
        <x:v>874</x:v>
      </x:c>
      <x:c r="B477" s="2" t="s">
        <x:v>2029</x:v>
      </x:c>
    </x:row>
    <x:row r="478">
      <x:c r="A478" s="2" t="s">
        <x:v>1065</x:v>
      </x:c>
      <x:c r="B478" s="2" t="s">
        <x:v>2029</x:v>
      </x:c>
    </x:row>
    <x:row r="479">
      <x:c r="A479" s="2" t="s">
        <x:v>688</x:v>
      </x:c>
      <x:c r="B479" s="2" t="s">
        <x:v>1991</x:v>
      </x:c>
    </x:row>
    <x:row r="480">
      <x:c r="A480" s="2" t="s">
        <x:v>2201</x:v>
      </x:c>
      <x:c r="B480" s="2" t="s">
        <x:v>2027</x:v>
      </x:c>
    </x:row>
    <x:row r="481">
      <x:c r="A481" s="2" t="s">
        <x:v>454</x:v>
      </x:c>
      <x:c r="B481" s="2" t="s">
        <x:v>1997</x:v>
      </x:c>
    </x:row>
    <x:row r="482">
      <x:c r="A482" s="2" t="s">
        <x:v>1286</x:v>
      </x:c>
      <x:c r="B482" s="2" t="s">
        <x:v>2029</x:v>
      </x:c>
    </x:row>
    <x:row r="483">
      <x:c r="A483" s="2" t="s">
        <x:v>615</x:v>
      </x:c>
      <x:c r="B483" s="2" t="s">
        <x:v>1996</x:v>
      </x:c>
    </x:row>
    <x:row r="484">
      <x:c r="A484" s="2" t="s">
        <x:v>1606</x:v>
      </x:c>
      <x:c r="B484" s="2" t="s">
        <x:v>1997</x:v>
      </x:c>
    </x:row>
    <x:row r="485">
      <x:c r="A485" s="2" t="s">
        <x:v>2202</x:v>
      </x:c>
      <x:c r="B485" s="2" t="s">
        <x:v>2000</x:v>
      </x:c>
    </x:row>
    <x:row r="486">
      <x:c r="A486" s="2" t="s">
        <x:v>1104</x:v>
      </x:c>
      <x:c r="B486" s="2" t="s">
        <x:v>1992</x:v>
      </x:c>
    </x:row>
    <x:row r="487">
      <x:c r="A487" s="2" t="s">
        <x:v>2203</x:v>
      </x:c>
      <x:c r="B487" s="2" t="s">
        <x:v>1988</x:v>
      </x:c>
    </x:row>
    <x:row r="488">
      <x:c r="A488" s="2" t="s">
        <x:v>2204</x:v>
      </x:c>
      <x:c r="B488" s="2" t="s">
        <x:v>1986</x:v>
      </x:c>
    </x:row>
    <x:row r="489">
      <x:c r="A489" s="2" t="s">
        <x:v>2205</x:v>
      </x:c>
      <x:c r="B489" s="2" t="s">
        <x:v>1996</x:v>
      </x:c>
    </x:row>
    <x:row r="490">
      <x:c r="A490" s="2" t="s">
        <x:v>2206</x:v>
      </x:c>
      <x:c r="B490" s="2" t="s">
        <x:v>1979</x:v>
      </x:c>
    </x:row>
    <x:row r="491">
      <x:c r="A491" s="2" t="s">
        <x:v>2207</x:v>
      </x:c>
      <x:c r="B491" s="2" t="s">
        <x:v>2027</x:v>
      </x:c>
    </x:row>
    <x:row r="492">
      <x:c r="A492" s="2" t="s">
        <x:v>2208</x:v>
      </x:c>
      <x:c r="B492" s="2" t="s">
        <x:v>1980</x:v>
      </x:c>
    </x:row>
    <x:row r="493">
      <x:c r="A493" s="2" t="s">
        <x:v>2209</x:v>
      </x:c>
      <x:c r="B493" s="2" t="s">
        <x:v>1988</x:v>
      </x:c>
    </x:row>
    <x:row r="494">
      <x:c r="A494" s="2" t="s">
        <x:v>2210</x:v>
      </x:c>
      <x:c r="B494" s="2" t="s">
        <x:v>1996</x:v>
      </x:c>
    </x:row>
    <x:row r="495">
      <x:c r="A495" s="2" t="s">
        <x:v>2211</x:v>
      </x:c>
      <x:c r="B495" s="2" t="s">
        <x:v>2010</x:v>
      </x:c>
    </x:row>
    <x:row r="496">
      <x:c r="A496" s="2" t="s">
        <x:v>2212</x:v>
      </x:c>
      <x:c r="B496" s="2" t="s">
        <x:v>2020</x:v>
      </x:c>
    </x:row>
    <x:row r="497">
      <x:c r="A497" s="2" t="s">
        <x:v>2213</x:v>
      </x:c>
      <x:c r="B497" s="2" t="s">
        <x:v>1997</x:v>
      </x:c>
    </x:row>
    <x:row r="498">
      <x:c r="A498" s="2" t="s">
        <x:v>1950</x:v>
      </x:c>
      <x:c r="B498" s="2" t="s">
        <x:v>2002</x:v>
      </x:c>
    </x:row>
  </x:sheetData>
  <x:pageMargins left="0.7" right="0.7" top="0.75" bottom="0.75" header="0.3" footer="0.3"/>
</x:worksheet>
</file>

<file path=xl/worksheets/sheet3.xml><?xml version="1.0" encoding="utf-8"?>
<x:worksheet xmlns:x="http://schemas.openxmlformats.org/spreadsheetml/2006/main">
  <x:sheetFormatPr defaultColWidth="12.5703125" defaultRowHeight="15.75"/>
  <x:cols>
    <x:col min="1" max="1" width="9.5703125" customWidth="1"/>
    <x:col min="2" max="2" width="26.140625" customWidth="1"/>
    <x:col min="3" max="3" width="39.5703125" customWidth="1"/>
    <x:col min="4" max="4" width="19" customWidth="1"/>
    <x:col min="5" max="5" width="11.42578125" customWidth="1"/>
    <x:col min="6" max="6" width="30" customWidth="1"/>
    <x:col min="7" max="7" width="26" customWidth="1"/>
    <x:col min="8" max="8" width="17" customWidth="1"/>
    <x:col min="9" max="9" width="20.140625" customWidth="1"/>
    <x:col min="10" max="10" width="17" customWidth="1"/>
    <x:col min="11" max="11" width="17.28515625" customWidth="1"/>
    <x:col min="12" max="12" width="24.28515625" customWidth="1"/>
    <x:col min="13" max="14" width="15.140625" customWidth="1"/>
    <x:col min="15" max="15" width="34.42578125" customWidth="1"/>
    <x:col min="16" max="16" width="9.7109375" customWidth="1"/>
    <x:col min="17" max="17" width="34.7109375" customWidth="1"/>
    <x:col min="18" max="18" width="20.85546875" customWidth="1"/>
    <x:col min="19" max="19" width="18.5703125" customWidth="1"/>
  </x:cols>
  <x:sheetData>
    <x:row r="1">
      <x:c r="A1" s="175" t="s">
        <x:v>0</x:v>
      </x:c>
      <x:c r="B1" s="176" t="s">
        <x:v>2214</x:v>
      </x:c>
      <x:c r="C1" s="176" t="s">
        <x:v>5</x:v>
      </x:c>
      <x:c r="D1" s="176" t="s">
        <x:v>2215</x:v>
      </x:c>
      <x:c r="E1" s="176" t="s">
        <x:v>6</x:v>
      </x:c>
      <x:c r="F1" s="175" t="s">
        <x:v>2216</x:v>
      </x:c>
      <x:c r="G1" s="175" t="s">
        <x:v>7</x:v>
      </x:c>
      <x:c r="H1" s="175" t="s">
        <x:v>9</x:v>
      </x:c>
      <x:c r="I1" s="175" t="s">
        <x:v>2217</x:v>
      </x:c>
      <x:c r="J1" s="176" t="s">
        <x:v>2218</x:v>
      </x:c>
      <x:c r="K1" s="175" t="s">
        <x:v>10</x:v>
      </x:c>
      <x:c r="L1" s="176" t="s">
        <x:v>12</x:v>
      </x:c>
      <x:c r="M1" s="176" t="s">
        <x:v>13</x:v>
      </x:c>
      <x:c r="N1" s="176" t="s">
        <x:v>2219</x:v>
      </x:c>
      <x:c r="O1" s="176" t="s">
        <x:v>2220</x:v>
      </x:c>
      <x:c r="P1" s="175" t="s">
        <x:v>2221</x:v>
      </x:c>
      <x:c r="Q1" s="176" t="s">
        <x:v>14</x:v>
      </x:c>
      <x:c r="R1" s="177" t="s">
        <x:v>2</x:v>
      </x:c>
      <x:c r="S1" s="77" t="s">
        <x:v>2222</x:v>
      </x:c>
    </x:row>
    <x:row r="2">
      <x:c r="A2" s="178">
        <x:v>2020</x:v>
      </x:c>
      <x:c r="B2" s="179" t="s">
        <x:v>133</x:v>
      </x:c>
      <x:c r="C2" s="180" t="s">
        <x:v>388</x:v>
      </x:c>
      <x:c r="D2" s="181" t="s">
        <x:v>2223</x:v>
      </x:c>
      <x:c r="E2" s="182" t="s">
        <x:v>142</x:v>
      </x:c>
      <x:c r="F2" s="183" t="s">
        <x:v>2224</x:v>
      </x:c>
      <x:c r="G2" s="184" t="s">
        <x:v>2225</x:v>
      </x:c>
      <x:c r="H2" s="178" t="s">
        <x:v>20</x:v>
      </x:c>
      <x:c r="I2" s="185" t="s">
        <x:v>2226</x:v>
      </x:c>
      <x:c r="J2" s="186" t="s">
        <x:v>2227</x:v>
      </x:c>
      <x:c r="K2" s="187">
        <x:v>50000</x:v>
      </x:c>
      <x:c r="L2" s="178" t="s">
        <x:v>179</x:v>
      </x:c>
      <x:c r="M2" s="178"/>
      <x:c r="N2" s="178"/>
      <x:c r="O2" s="185" t="s">
        <x:v>2228</x:v>
      </x:c>
      <x:c r="P2" s="188"/>
      <x:c r="Q2" s="76" t="s">
        <x:v>2229</x:v>
      </x:c>
      <x:c r="R2" s="189"/>
      <x:c r="S2" s="191" t="s">
        <x:v>2230</x:v>
      </x:c>
    </x:row>
    <x:row r="3">
      <x:c r="A3" s="178">
        <x:v>2020</x:v>
      </x:c>
      <x:c r="B3" s="178" t="s">
        <x:v>335</x:v>
      </x:c>
      <x:c r="C3" s="76" t="s">
        <x:v>2231</x:v>
      </x:c>
      <x:c r="D3" s="178" t="s">
        <x:v>2232</x:v>
      </x:c>
      <x:c r="E3" s="192">
        <x:v>41160001</x:v>
      </x:c>
      <x:c r="F3" s="185" t="s">
        <x:v>2233</x:v>
      </x:c>
      <x:c r="G3" s="184" t="s">
        <x:v>2234</x:v>
      </x:c>
      <x:c r="H3" s="178" t="s">
        <x:v>20</x:v>
      </x:c>
      <x:c r="I3" s="185" t="s">
        <x:v>2226</x:v>
      </x:c>
      <x:c r="J3" s="178">
        <x:v>3.6000310091202E+16</x:v>
      </x:c>
      <x:c r="K3" s="193">
        <x:v>100000</x:v>
      </x:c>
      <x:c r="L3" s="185" t="s">
        <x:v>21</x:v>
      </x:c>
      <x:c r="M3" s="185" t="s">
        <x:v>2235</x:v>
      </x:c>
      <x:c r="N3" s="178"/>
      <x:c r="O3" s="178" t="s">
        <x:v>2236</x:v>
      </x:c>
      <x:c r="P3" s="178" t="s">
        <x:v>2228</x:v>
      </x:c>
      <x:c r="Q3" s="76" t="s">
        <x:v>2237</x:v>
      </x:c>
      <x:c r="R3" s="194" t="s">
        <x:v>2238</x:v>
      </x:c>
      <x:c r="S3" s="181" t="s">
        <x:v>2239</x:v>
      </x:c>
    </x:row>
    <x:row r="4">
      <x:c r="A4" s="178">
        <x:v>2020</x:v>
      </x:c>
      <x:c r="B4" s="183" t="s">
        <x:v>27</x:v>
      </x:c>
      <x:c r="C4" s="195" t="s">
        <x:v>338</x:v>
      </x:c>
      <x:c r="D4" s="178" t="s">
        <x:v>2223</x:v>
      </x:c>
      <x:c r="E4" s="192">
        <x:v>41160005</x:v>
      </x:c>
      <x:c r="F4" s="185" t="s">
        <x:v>2240</x:v>
      </x:c>
      <x:c r="G4" s="184" t="s">
        <x:v>2225</x:v>
      </x:c>
      <x:c r="H4" s="178" t="s">
        <x:v>20</x:v>
      </x:c>
      <x:c r="I4" s="185" t="s">
        <x:v>2226</x:v>
      </x:c>
      <x:c r="J4" s="178">
        <x:v>3.6000309413202E+16</x:v>
      </x:c>
      <x:c r="K4" s="193">
        <x:v>100000</x:v>
      </x:c>
      <x:c r="L4" s="185" t="s">
        <x:v>21</x:v>
      </x:c>
      <x:c r="M4" s="185" t="s">
        <x:v>2235</x:v>
      </x:c>
      <x:c r="N4" s="178"/>
      <x:c r="O4" s="178" t="s">
        <x:v>2241</x:v>
      </x:c>
      <x:c r="P4" s="196" t="s">
        <x:v>2228</x:v>
      </x:c>
      <x:c r="Q4" s="76" t="s">
        <x:v>174</x:v>
      </x:c>
      <x:c r="R4" s="194" t="s">
        <x:v>2242</x:v>
      </x:c>
      <x:c r="S4" s="181" t="s">
        <x:v>2243</x:v>
      </x:c>
    </x:row>
    <x:row r="5">
      <x:c r="A5" s="178">
        <x:v>2020</x:v>
      </x:c>
      <x:c r="B5" s="178" t="s">
        <x:v>339</x:v>
      </x:c>
      <x:c r="C5" s="76" t="s">
        <x:v>2231</x:v>
      </x:c>
      <x:c r="D5" s="178" t="s">
        <x:v>2244</x:v>
      </x:c>
      <x:c r="E5" s="192">
        <x:v>41160001</x:v>
      </x:c>
      <x:c r="F5" s="185" t="s">
        <x:v>2233</x:v>
      </x:c>
      <x:c r="G5" s="184" t="s">
        <x:v>2234</x:v>
      </x:c>
      <x:c r="H5" s="178" t="s">
        <x:v>20</x:v>
      </x:c>
      <x:c r="I5" s="185" t="s">
        <x:v>2226</x:v>
      </x:c>
      <x:c r="J5" s="178">
        <x:v>3.6000305031202E+16</x:v>
      </x:c>
      <x:c r="K5" s="193">
        <x:v>100000</x:v>
      </x:c>
      <x:c r="L5" s="185" t="s">
        <x:v>21</x:v>
      </x:c>
      <x:c r="M5" s="185" t="s">
        <x:v>2235</x:v>
      </x:c>
      <x:c r="N5" s="178"/>
      <x:c r="O5" s="178" t="s">
        <x:v>2245</x:v>
      </x:c>
      <x:c r="P5" s="178" t="s">
        <x:v>2228</x:v>
      </x:c>
      <x:c r="Q5" s="76" t="s">
        <x:v>2237</x:v>
      </x:c>
      <x:c r="R5" s="194" t="s">
        <x:v>2246</x:v>
      </x:c>
      <x:c r="S5" s="191" t="s">
        <x:v>2247</x:v>
      </x:c>
    </x:row>
    <x:row r="6">
      <x:c r="A6" s="178">
        <x:v>2020</x:v>
      </x:c>
      <x:c r="B6" s="183" t="s">
        <x:v>342</x:v>
      </x:c>
      <x:c r="C6" s="195" t="s">
        <x:v>344</x:v>
      </x:c>
      <x:c r="D6" s="178" t="s">
        <x:v>2248</x:v>
      </x:c>
      <x:c r="E6" s="192">
        <x:v>41160005</x:v>
      </x:c>
      <x:c r="F6" s="185" t="s">
        <x:v>2233</x:v>
      </x:c>
      <x:c r="G6" s="184" t="s">
        <x:v>2225</x:v>
      </x:c>
      <x:c r="H6" s="178" t="s">
        <x:v>20</x:v>
      </x:c>
      <x:c r="I6" s="185" t="s">
        <x:v>2226</x:v>
      </x:c>
      <x:c r="J6" s="185">
        <x:v>3.6000309387202E+16</x:v>
      </x:c>
      <x:c r="K6" s="193">
        <x:v>100000</x:v>
      </x:c>
      <x:c r="L6" s="185" t="s">
        <x:v>21</x:v>
      </x:c>
      <x:c r="M6" s="185" t="s">
        <x:v>2235</x:v>
      </x:c>
      <x:c r="N6" s="178"/>
      <x:c r="O6" s="178" t="s">
        <x:v>2249</x:v>
      </x:c>
      <x:c r="P6" s="178" t="s">
        <x:v>2228</x:v>
      </x:c>
      <x:c r="Q6" s="76" t="s">
        <x:v>174</x:v>
      </x:c>
      <x:c r="R6" s="194" t="s">
        <x:v>2250</x:v>
      </x:c>
      <x:c r="S6" s="181" t="s">
        <x:v>2251</x:v>
      </x:c>
    </x:row>
    <x:row r="7">
      <x:c r="A7" s="178">
        <x:v>2020</x:v>
      </x:c>
      <x:c r="B7" s="178" t="s">
        <x:v>252</x:v>
      </x:c>
      <x:c r="C7" s="76" t="s">
        <x:v>2231</x:v>
      </x:c>
      <x:c r="D7" s="178" t="s">
        <x:v>2252</x:v>
      </x:c>
      <x:c r="E7" s="192">
        <x:v>41160001</x:v>
      </x:c>
      <x:c r="F7" s="185" t="s">
        <x:v>2233</x:v>
      </x:c>
      <x:c r="G7" s="184" t="s">
        <x:v>2234</x:v>
      </x:c>
      <x:c r="H7" s="178" t="s">
        <x:v>20</x:v>
      </x:c>
      <x:c r="I7" s="185" t="s">
        <x:v>2226</x:v>
      </x:c>
      <x:c r="J7" s="178">
        <x:v>3.6000310467202E+16</x:v>
      </x:c>
      <x:c r="K7" s="193">
        <x:v>100000</x:v>
      </x:c>
      <x:c r="L7" s="185" t="s">
        <x:v>21</x:v>
      </x:c>
      <x:c r="M7" s="185" t="s">
        <x:v>2235</x:v>
      </x:c>
      <x:c r="N7" s="178"/>
      <x:c r="O7" s="178" t="s">
        <x:v>2245</x:v>
      </x:c>
      <x:c r="P7" s="178" t="s">
        <x:v>2228</x:v>
      </x:c>
      <x:c r="Q7" s="76" t="s">
        <x:v>2237</x:v>
      </x:c>
      <x:c r="R7" s="194" t="s">
        <x:v>2253</x:v>
      </x:c>
      <x:c r="S7" s="191" t="s">
        <x:v>2254</x:v>
      </x:c>
    </x:row>
    <x:row r="8">
      <x:c r="A8" s="178">
        <x:v>2019</x:v>
      </x:c>
      <x:c r="B8" s="178" t="s">
        <x:v>2255</x:v>
      </x:c>
      <x:c r="C8" s="76" t="s">
        <x:v>256</x:v>
      </x:c>
      <x:c r="D8" s="178"/>
      <x:c r="E8" s="192">
        <x:v>71220005</x:v>
      </x:c>
      <x:c r="F8" s="185" t="s">
        <x:v>2256</x:v>
      </x:c>
      <x:c r="G8" s="184" t="s">
        <x:v>2257</x:v>
      </x:c>
      <x:c r="H8" s="185" t="s">
        <x:v>32</x:v>
      </x:c>
      <x:c r="I8" s="178" t="s">
        <x:v>2258</x:v>
      </x:c>
      <x:c r="J8" s="178"/>
      <x:c r="K8" s="193">
        <x:v>63000</x:v>
      </x:c>
      <x:c r="L8" s="185" t="s">
        <x:v>64</x:v>
      </x:c>
      <x:c r="M8" s="185" t="s">
        <x:v>2259</x:v>
      </x:c>
      <x:c r="N8" s="178"/>
      <x:c r="O8" s="178" t="s">
        <x:v>2259</x:v>
      </x:c>
      <x:c r="P8" s="178"/>
      <x:c r="Q8" s="76" t="s">
        <x:v>131</x:v>
      </x:c>
      <x:c r="R8" s="194" t="s">
        <x:v>2260</x:v>
      </x:c>
      <x:c r="S8" s="181" t="s">
        <x:v>2261</x:v>
      </x:c>
    </x:row>
    <x:row r="9">
      <x:c r="A9" s="178">
        <x:v>2020</x:v>
      </x:c>
      <x:c r="B9" s="178" t="s">
        <x:v>270</x:v>
      </x:c>
      <x:c r="C9" s="76" t="s">
        <x:v>2231</x:v>
      </x:c>
      <x:c r="D9" s="178" t="s">
        <x:v>2262</x:v>
      </x:c>
      <x:c r="E9" s="192">
        <x:v>41160001</x:v>
      </x:c>
      <x:c r="F9" s="185" t="s">
        <x:v>2233</x:v>
      </x:c>
      <x:c r="G9" s="184" t="s">
        <x:v>2234</x:v>
      </x:c>
      <x:c r="H9" s="178" t="s">
        <x:v>20</x:v>
      </x:c>
      <x:c r="I9" s="185" t="s">
        <x:v>2226</x:v>
      </x:c>
      <x:c r="J9" s="178">
        <x:v>3.6000305500202E+16</x:v>
      </x:c>
      <x:c r="K9" s="193">
        <x:v>67500</x:v>
      </x:c>
      <x:c r="L9" s="185" t="s">
        <x:v>21</x:v>
      </x:c>
      <x:c r="M9" s="185" t="s">
        <x:v>2235</x:v>
      </x:c>
      <x:c r="N9" s="178"/>
      <x:c r="O9" s="178" t="s">
        <x:v>2245</x:v>
      </x:c>
      <x:c r="P9" s="178" t="s">
        <x:v>2228</x:v>
      </x:c>
      <x:c r="Q9" s="76" t="s">
        <x:v>2237</x:v>
      </x:c>
      <x:c r="R9" s="194" t="s">
        <x:v>2263</x:v>
      </x:c>
      <x:c r="S9" s="191" t="s">
        <x:v>2264</x:v>
      </x:c>
    </x:row>
    <x:row r="10">
      <x:c r="A10" s="178">
        <x:v>2020</x:v>
      </x:c>
      <x:c r="B10" s="178" t="s">
        <x:v>347</x:v>
      </x:c>
      <x:c r="C10" s="76" t="s">
        <x:v>2231</x:v>
      </x:c>
      <x:c r="D10" s="178" t="s">
        <x:v>2265</x:v>
      </x:c>
      <x:c r="E10" s="192">
        <x:v>41160001</x:v>
      </x:c>
      <x:c r="F10" s="185" t="s">
        <x:v>2233</x:v>
      </x:c>
      <x:c r="G10" s="184" t="s">
        <x:v>2234</x:v>
      </x:c>
      <x:c r="H10" s="178" t="s">
        <x:v>20</x:v>
      </x:c>
      <x:c r="I10" s="185" t="s">
        <x:v>2226</x:v>
      </x:c>
      <x:c r="J10" s="178">
        <x:v>3.6000310892202E+16</x:v>
      </x:c>
      <x:c r="K10" s="193">
        <x:v>100000</x:v>
      </x:c>
      <x:c r="L10" s="185" t="s">
        <x:v>21</x:v>
      </x:c>
      <x:c r="M10" s="185" t="s">
        <x:v>2235</x:v>
      </x:c>
      <x:c r="N10" s="178"/>
      <x:c r="O10" s="178" t="s">
        <x:v>2245</x:v>
      </x:c>
      <x:c r="P10" s="178" t="s">
        <x:v>2228</x:v>
      </x:c>
      <x:c r="Q10" s="76" t="s">
        <x:v>2237</x:v>
      </x:c>
      <x:c r="R10" s="194" t="s">
        <x:v>2266</x:v>
      </x:c>
      <x:c r="S10" s="181" t="s">
        <x:v>2267</x:v>
      </x:c>
    </x:row>
    <x:row r="11">
      <x:c r="A11" s="178">
        <x:v>2020</x:v>
      </x:c>
      <x:c r="B11" s="183" t="s">
        <x:v>734</x:v>
      </x:c>
      <x:c r="C11" s="180" t="s">
        <x:v>736</x:v>
      </x:c>
      <x:c r="D11" s="181" t="s">
        <x:v>2268</x:v>
      </x:c>
      <x:c r="E11" s="182" t="s">
        <x:v>142</x:v>
      </x:c>
      <x:c r="F11" s="183" t="s">
        <x:v>2224</x:v>
      </x:c>
      <x:c r="G11" s="184" t="s">
        <x:v>2225</x:v>
      </x:c>
      <x:c r="H11" s="178" t="s">
        <x:v>20</x:v>
      </x:c>
      <x:c r="I11" s="185" t="s">
        <x:v>2226</x:v>
      </x:c>
      <x:c r="J11" s="186" t="s">
        <x:v>2269</x:v>
      </x:c>
      <x:c r="K11" s="187">
        <x:v>174741</x:v>
      </x:c>
      <x:c r="L11" s="178" t="s">
        <x:v>179</x:v>
      </x:c>
      <x:c r="M11" s="178"/>
      <x:c r="N11" s="178"/>
      <x:c r="O11" s="185" t="s">
        <x:v>2228</x:v>
      </x:c>
      <x:c r="P11" s="188"/>
      <x:c r="Q11" s="76" t="s">
        <x:v>2229</x:v>
      </x:c>
      <x:c r="R11" s="181"/>
      <x:c r="S11" s="191" t="s">
        <x:v>2270</x:v>
      </x:c>
    </x:row>
    <x:row r="12">
      <x:c r="A12" s="178">
        <x:v>2020</x:v>
      </x:c>
      <x:c r="B12" s="183" t="s">
        <x:v>329</x:v>
      </x:c>
      <x:c r="C12" s="180" t="s">
        <x:v>331</x:v>
      </x:c>
      <x:c r="D12" s="181" t="s">
        <x:v>2271</x:v>
      </x:c>
      <x:c r="E12" s="182" t="s">
        <x:v>142</x:v>
      </x:c>
      <x:c r="F12" s="183" t="s">
        <x:v>1176</x:v>
      </x:c>
      <x:c r="G12" s="184" t="s">
        <x:v>2225</x:v>
      </x:c>
      <x:c r="H12" s="178" t="s">
        <x:v>20</x:v>
      </x:c>
      <x:c r="I12" s="185" t="s">
        <x:v>2226</x:v>
      </x:c>
      <x:c r="J12" s="200" t="s">
        <x:v>2272</x:v>
      </x:c>
      <x:c r="K12" s="187">
        <x:v>100000</x:v>
      </x:c>
      <x:c r="L12" s="178" t="s">
        <x:v>179</x:v>
      </x:c>
      <x:c r="M12" s="178"/>
      <x:c r="N12" s="178"/>
      <x:c r="O12" s="185" t="s">
        <x:v>2228</x:v>
      </x:c>
      <x:c r="P12" s="188"/>
      <x:c r="Q12" s="76" t="s">
        <x:v>2229</x:v>
      </x:c>
      <x:c r="R12" s="181"/>
      <x:c r="S12" s="191" t="s">
        <x:v>2273</x:v>
      </x:c>
    </x:row>
    <x:row r="13">
      <x:c r="A13" s="178">
        <x:v>2020</x:v>
      </x:c>
      <x:c r="B13" s="183" t="s">
        <x:v>139</x:v>
      </x:c>
      <x:c r="C13" s="180" t="s">
        <x:v>141</x:v>
      </x:c>
      <x:c r="D13" s="181" t="s">
        <x:v>2274</x:v>
      </x:c>
      <x:c r="E13" s="182" t="s">
        <x:v>142</x:v>
      </x:c>
      <x:c r="F13" s="183" t="s">
        <x:v>1176</x:v>
      </x:c>
      <x:c r="G13" s="184" t="s">
        <x:v>2225</x:v>
      </x:c>
      <x:c r="H13" s="178" t="s">
        <x:v>20</x:v>
      </x:c>
      <x:c r="I13" s="185" t="s">
        <x:v>2226</x:v>
      </x:c>
      <x:c r="J13" s="200" t="s">
        <x:v>2275</x:v>
      </x:c>
      <x:c r="K13" s="202">
        <x:v>50000</x:v>
      </x:c>
      <x:c r="L13" s="178" t="s">
        <x:v>179</x:v>
      </x:c>
      <x:c r="M13" s="178"/>
      <x:c r="N13" s="178"/>
      <x:c r="O13" s="185" t="s">
        <x:v>2228</x:v>
      </x:c>
      <x:c r="P13" s="188"/>
      <x:c r="Q13" s="76" t="s">
        <x:v>2229</x:v>
      </x:c>
      <x:c r="R13" s="203"/>
      <x:c r="S13" s="191" t="s">
        <x:v>2276</x:v>
      </x:c>
    </x:row>
    <x:row r="14">
      <x:c r="A14" s="178">
        <x:v>2020</x:v>
      </x:c>
      <x:c r="B14" s="178" t="s">
        <x:v>139</x:v>
      </x:c>
      <x:c r="C14" s="76" t="s">
        <x:v>2231</x:v>
      </x:c>
      <x:c r="D14" s="178" t="s">
        <x:v>2274</x:v>
      </x:c>
      <x:c r="E14" s="192">
        <x:v>41160001</x:v>
      </x:c>
      <x:c r="F14" s="185" t="s">
        <x:v>2233</x:v>
      </x:c>
      <x:c r="G14" s="184" t="s">
        <x:v>2234</x:v>
      </x:c>
      <x:c r="H14" s="178" t="s">
        <x:v>20</x:v>
      </x:c>
      <x:c r="I14" s="185" t="s">
        <x:v>2226</x:v>
      </x:c>
      <x:c r="J14" s="178">
        <x:v>3.6000306568202E+16</x:v>
      </x:c>
      <x:c r="K14" s="205">
        <x:v>67500</x:v>
      </x:c>
      <x:c r="L14" s="185" t="s">
        <x:v>21</x:v>
      </x:c>
      <x:c r="M14" s="185" t="s">
        <x:v>2235</x:v>
      </x:c>
      <x:c r="N14" s="178"/>
      <x:c r="O14" s="178" t="s">
        <x:v>2245</x:v>
      </x:c>
      <x:c r="P14" s="178" t="s">
        <x:v>2228</x:v>
      </x:c>
      <x:c r="Q14" s="76" t="s">
        <x:v>2237</x:v>
      </x:c>
      <x:c r="R14" s="206" t="s">
        <x:v>2277</x:v>
      </x:c>
      <x:c r="S14" s="191" t="s">
        <x:v>2276</x:v>
      </x:c>
    </x:row>
    <x:row r="15">
      <x:c r="A15" s="178">
        <x:v>2020</x:v>
      </x:c>
      <x:c r="B15" s="183" t="s">
        <x:v>171</x:v>
      </x:c>
      <x:c r="C15" s="195" t="s">
        <x:v>1939</x:v>
      </x:c>
      <x:c r="D15" s="178" t="s">
        <x:v>2278</x:v>
      </x:c>
      <x:c r="E15" s="192">
        <x:v>41160005</x:v>
      </x:c>
      <x:c r="F15" s="185" t="s">
        <x:v>2233</x:v>
      </x:c>
      <x:c r="G15" s="184" t="s">
        <x:v>2225</x:v>
      </x:c>
      <x:c r="H15" s="178" t="s">
        <x:v>20</x:v>
      </x:c>
      <x:c r="I15" s="185" t="s">
        <x:v>2226</x:v>
      </x:c>
      <x:c r="J15" s="178">
        <x:v>3.6000309567202E+16</x:v>
      </x:c>
      <x:c r="K15" s="193">
        <x:v>150000</x:v>
      </x:c>
      <x:c r="L15" s="185" t="s">
        <x:v>21</x:v>
      </x:c>
      <x:c r="M15" s="185" t="s">
        <x:v>2235</x:v>
      </x:c>
      <x:c r="N15" s="178"/>
      <x:c r="O15" s="178" t="s">
        <x:v>2241</x:v>
      </x:c>
      <x:c r="P15" s="178" t="s">
        <x:v>2228</x:v>
      </x:c>
      <x:c r="Q15" s="76" t="s">
        <x:v>174</x:v>
      </x:c>
      <x:c r="R15" s="194" t="s">
        <x:v>2279</x:v>
      </x:c>
      <x:c r="S15" s="181" t="s">
        <x:v>2280</x:v>
      </x:c>
    </x:row>
    <x:row r="16">
      <x:c r="A16" s="178">
        <x:v>2020</x:v>
      </x:c>
      <x:c r="B16" s="183" t="s">
        <x:v>171</x:v>
      </x:c>
      <x:c r="C16" s="195" t="s">
        <x:v>173</x:v>
      </x:c>
      <x:c r="D16" s="178" t="s">
        <x:v>2278</x:v>
      </x:c>
      <x:c r="E16" s="192">
        <x:v>41160005</x:v>
      </x:c>
      <x:c r="F16" s="185" t="s">
        <x:v>2233</x:v>
      </x:c>
      <x:c r="G16" s="184" t="s">
        <x:v>2225</x:v>
      </x:c>
      <x:c r="H16" s="178" t="s">
        <x:v>20</x:v>
      </x:c>
      <x:c r="I16" s="185" t="s">
        <x:v>2226</x:v>
      </x:c>
      <x:c r="J16" s="178">
        <x:v>3.6000309567202E+16</x:v>
      </x:c>
      <x:c r="K16" s="193">
        <x:v>50000</x:v>
      </x:c>
      <x:c r="L16" s="185" t="s">
        <x:v>21</x:v>
      </x:c>
      <x:c r="M16" s="185" t="s">
        <x:v>2235</x:v>
      </x:c>
      <x:c r="N16" s="178"/>
      <x:c r="O16" s="178" t="s">
        <x:v>2241</x:v>
      </x:c>
      <x:c r="P16" s="178" t="s">
        <x:v>2228</x:v>
      </x:c>
      <x:c r="Q16" s="76" t="s">
        <x:v>174</x:v>
      </x:c>
      <x:c r="R16" s="194" t="s">
        <x:v>1352</x:v>
      </x:c>
      <x:c r="S16" s="181" t="s">
        <x:v>2281</x:v>
      </x:c>
    </x:row>
    <x:row r="17">
      <x:c r="A17" s="178">
        <x:v>2020</x:v>
      </x:c>
      <x:c r="B17" s="183" t="s">
        <x:v>176</x:v>
      </x:c>
      <x:c r="C17" s="180" t="s">
        <x:v>645</x:v>
      </x:c>
      <x:c r="D17" s="181" t="s">
        <x:v>2223</x:v>
      </x:c>
      <x:c r="E17" s="182" t="s">
        <x:v>142</x:v>
      </x:c>
      <x:c r="F17" s="183" t="s">
        <x:v>2224</x:v>
      </x:c>
      <x:c r="G17" s="184" t="s">
        <x:v>2225</x:v>
      </x:c>
      <x:c r="H17" s="178" t="s">
        <x:v>20</x:v>
      </x:c>
      <x:c r="I17" s="185" t="s">
        <x:v>2226</x:v>
      </x:c>
      <x:c r="J17" s="200" t="s">
        <x:v>2282</x:v>
      </x:c>
      <x:c r="K17" s="187">
        <x:v>50000</x:v>
      </x:c>
      <x:c r="L17" s="178" t="s">
        <x:v>179</x:v>
      </x:c>
      <x:c r="M17" s="178"/>
      <x:c r="N17" s="178"/>
      <x:c r="O17" s="185" t="s">
        <x:v>2228</x:v>
      </x:c>
      <x:c r="P17" s="188"/>
      <x:c r="Q17" s="76" t="s">
        <x:v>2229</x:v>
      </x:c>
      <x:c r="R17" s="181"/>
      <x:c r="S17" s="191" t="s">
        <x:v>2283</x:v>
      </x:c>
    </x:row>
    <x:row r="18">
      <x:c r="A18" s="178">
        <x:v>2019</x:v>
      </x:c>
      <x:c r="B18" s="178" t="s">
        <x:v>2284</x:v>
      </x:c>
      <x:c r="C18" s="76" t="s">
        <x:v>244</x:v>
      </x:c>
      <x:c r="D18" s="178"/>
      <x:c r="E18" s="192">
        <x:v>71220005</x:v>
      </x:c>
      <x:c r="F18" s="185" t="s">
        <x:v>2256</x:v>
      </x:c>
      <x:c r="G18" s="184" t="s">
        <x:v>2257</x:v>
      </x:c>
      <x:c r="H18" s="185" t="s">
        <x:v>32</x:v>
      </x:c>
      <x:c r="I18" s="178" t="s">
        <x:v>2258</x:v>
      </x:c>
      <x:c r="J18" s="178"/>
      <x:c r="K18" s="193">
        <x:v>59000</x:v>
      </x:c>
      <x:c r="L18" s="185" t="s">
        <x:v>64</x:v>
      </x:c>
      <x:c r="M18" s="185" t="s">
        <x:v>2259</x:v>
      </x:c>
      <x:c r="N18" s="178"/>
      <x:c r="O18" s="178" t="s">
        <x:v>2259</x:v>
      </x:c>
      <x:c r="P18" s="178"/>
      <x:c r="Q18" s="76" t="s">
        <x:v>131</x:v>
      </x:c>
      <x:c r="R18" s="194" t="s">
        <x:v>2285</x:v>
      </x:c>
      <x:c r="S18" s="181" t="s">
        <x:v>2286</x:v>
      </x:c>
    </x:row>
    <x:row r="19">
      <x:c r="A19" s="178">
        <x:v>2020</x:v>
      </x:c>
      <x:c r="B19" s="183" t="s">
        <x:v>144</x:v>
      </x:c>
      <x:c r="C19" s="180" t="s">
        <x:v>146</x:v>
      </x:c>
      <x:c r="D19" s="181" t="s">
        <x:v>2287</x:v>
      </x:c>
      <x:c r="E19" s="182" t="s">
        <x:v>142</x:v>
      </x:c>
      <x:c r="F19" s="183" t="s">
        <x:v>1176</x:v>
      </x:c>
      <x:c r="G19" s="184" t="s">
        <x:v>2225</x:v>
      </x:c>
      <x:c r="H19" s="178" t="s">
        <x:v>20</x:v>
      </x:c>
      <x:c r="I19" s="185" t="s">
        <x:v>2226</x:v>
      </x:c>
      <x:c r="J19" s="200" t="s">
        <x:v>2288</x:v>
      </x:c>
      <x:c r="K19" s="187">
        <x:v>50000</x:v>
      </x:c>
      <x:c r="L19" s="178" t="s">
        <x:v>179</x:v>
      </x:c>
      <x:c r="M19" s="178"/>
      <x:c r="N19" s="178"/>
      <x:c r="O19" s="185" t="s">
        <x:v>2228</x:v>
      </x:c>
      <x:c r="P19" s="188"/>
      <x:c r="Q19" s="76" t="s">
        <x:v>2229</x:v>
      </x:c>
      <x:c r="R19" s="181"/>
      <x:c r="S19" s="191" t="s">
        <x:v>2289</x:v>
      </x:c>
    </x:row>
    <x:row r="20">
      <x:c r="A20" s="178">
        <x:v>2020</x:v>
      </x:c>
      <x:c r="B20" s="178" t="s">
        <x:v>350</x:v>
      </x:c>
      <x:c r="C20" s="184" t="s">
        <x:v>2231</x:v>
      </x:c>
      <x:c r="D20" s="178" t="s">
        <x:v>2290</x:v>
      </x:c>
      <x:c r="E20" s="192">
        <x:v>41160001</x:v>
      </x:c>
      <x:c r="F20" s="185" t="s">
        <x:v>2233</x:v>
      </x:c>
      <x:c r="G20" s="184" t="s">
        <x:v>2234</x:v>
      </x:c>
      <x:c r="H20" s="178" t="s">
        <x:v>20</x:v>
      </x:c>
      <x:c r="I20" s="185" t="s">
        <x:v>2226</x:v>
      </x:c>
      <x:c r="J20" s="178">
        <x:v>3.6000304445202E+16</x:v>
      </x:c>
      <x:c r="K20" s="193">
        <x:v>100000</x:v>
      </x:c>
      <x:c r="L20" s="185" t="s">
        <x:v>21</x:v>
      </x:c>
      <x:c r="M20" s="185" t="s">
        <x:v>2235</x:v>
      </x:c>
      <x:c r="N20" s="178"/>
      <x:c r="O20" s="178" t="s">
        <x:v>2245</x:v>
      </x:c>
      <x:c r="P20" s="178" t="s">
        <x:v>2228</x:v>
      </x:c>
      <x:c r="Q20" s="76" t="s">
        <x:v>2237</x:v>
      </x:c>
      <x:c r="R20" s="194" t="s">
        <x:v>2291</x:v>
      </x:c>
      <x:c r="S20" s="191" t="s">
        <x:v>2292</x:v>
      </x:c>
    </x:row>
    <x:row r="21">
      <x:c r="A21" s="178">
        <x:v>2020</x:v>
      </x:c>
      <x:c r="B21" s="183" t="s">
        <x:v>731</x:v>
      </x:c>
      <x:c r="C21" s="208" t="s">
        <x:v>1324</x:v>
      </x:c>
      <x:c r="D21" s="178" t="s">
        <x:v>2293</x:v>
      </x:c>
      <x:c r="E21" s="192">
        <x:v>41160005</x:v>
      </x:c>
      <x:c r="F21" s="185" t="s">
        <x:v>2233</x:v>
      </x:c>
      <x:c r="G21" s="184" t="s">
        <x:v>2225</x:v>
      </x:c>
      <x:c r="H21" s="178" t="s">
        <x:v>20</x:v>
      </x:c>
      <x:c r="I21" s="185" t="s">
        <x:v>2226</x:v>
      </x:c>
      <x:c r="J21" s="178">
        <x:v>3.6000304805202E+16</x:v>
      </x:c>
      <x:c r="K21" s="193">
        <x:v>300000</x:v>
      </x:c>
      <x:c r="L21" s="185" t="s">
        <x:v>21</x:v>
      </x:c>
      <x:c r="M21" s="185" t="s">
        <x:v>2235</x:v>
      </x:c>
      <x:c r="N21" s="178"/>
      <x:c r="O21" s="178" t="s">
        <x:v>2294</x:v>
      </x:c>
      <x:c r="P21" s="178" t="s">
        <x:v>2228</x:v>
      </x:c>
      <x:c r="Q21" s="76" t="s">
        <x:v>174</x:v>
      </x:c>
      <x:c r="R21" s="209" t="s">
        <x:v>2295</x:v>
      </x:c>
      <x:c r="S21" s="181" t="s">
        <x:v>2296</x:v>
      </x:c>
    </x:row>
    <x:row r="22">
      <x:c r="A22" s="178">
        <x:v>2020</x:v>
      </x:c>
      <x:c r="B22" s="183" t="s">
        <x:v>731</x:v>
      </x:c>
      <x:c r="C22" s="208" t="s">
        <x:v>776</x:v>
      </x:c>
      <x:c r="D22" s="178" t="s">
        <x:v>2293</x:v>
      </x:c>
      <x:c r="E22" s="192">
        <x:v>41160005</x:v>
      </x:c>
      <x:c r="F22" s="185" t="s">
        <x:v>2233</x:v>
      </x:c>
      <x:c r="G22" s="184" t="s">
        <x:v>2225</x:v>
      </x:c>
      <x:c r="H22" s="178" t="s">
        <x:v>20</x:v>
      </x:c>
      <x:c r="I22" s="185" t="s">
        <x:v>2226</x:v>
      </x:c>
      <x:c r="J22" s="178">
        <x:v>3.6000304805202E+16</x:v>
      </x:c>
      <x:c r="K22" s="193">
        <x:v>200000</x:v>
      </x:c>
      <x:c r="L22" s="185" t="s">
        <x:v>21</x:v>
      </x:c>
      <x:c r="M22" s="185" t="s">
        <x:v>2235</x:v>
      </x:c>
      <x:c r="N22" s="178"/>
      <x:c r="O22" s="178" t="s">
        <x:v>2294</x:v>
      </x:c>
      <x:c r="P22" s="178" t="s">
        <x:v>2228</x:v>
      </x:c>
      <x:c r="Q22" s="76" t="s">
        <x:v>174</x:v>
      </x:c>
      <x:c r="R22" s="194" t="s">
        <x:v>2297</x:v>
      </x:c>
      <x:c r="S22" s="181" t="s">
        <x:v>2298</x:v>
      </x:c>
    </x:row>
    <x:row r="23">
      <x:c r="A23" s="210">
        <x:v>2019</x:v>
      </x:c>
      <x:c r="B23" s="211" t="s">
        <x:v>2299</x:v>
      </x:c>
      <x:c r="C23" s="212" t="s">
        <x:v>2300</x:v>
      </x:c>
      <x:c r="D23" s="125" t="s">
        <x:v>2301</x:v>
      </x:c>
      <x:c r="E23" s="213"/>
      <x:c r="F23" s="185" t="s">
        <x:v>2256</x:v>
      </x:c>
      <x:c r="G23" s="214" t="s">
        <x:v>2302</x:v>
      </x:c>
      <x:c r="H23" s="210" t="s">
        <x:v>32</x:v>
      </x:c>
      <x:c r="I23" s="210" t="s">
        <x:v>2303</x:v>
      </x:c>
      <x:c r="J23" s="215" t="s">
        <x:v>2304</x:v>
      </x:c>
      <x:c r="K23" s="216"/>
      <x:c r="L23" s="185" t="s">
        <x:v>64</x:v>
      </x:c>
      <x:c r="M23" s="210" t="s">
        <x:v>2305</x:v>
      </x:c>
      <x:c r="N23" s="76"/>
      <x:c r="O23" s="76"/>
      <x:c r="P23" s="75"/>
      <x:c r="Q23" s="210" t="s">
        <x:v>305</x:v>
      </x:c>
      <x:c r="R23" s="217" t="s">
        <x:v>2306</x:v>
      </x:c>
      <x:c r="S23" s="218" t="s">
        <x:v>2307</x:v>
      </x:c>
    </x:row>
    <x:row r="24">
      <x:c r="A24" s="178">
        <x:v>2020</x:v>
      </x:c>
      <x:c r="B24" s="183" t="s">
        <x:v>352</x:v>
      </x:c>
      <x:c r="C24" s="219" t="s">
        <x:v>514</x:v>
      </x:c>
      <x:c r="D24" s="220" t="s">
        <x:v>2223</x:v>
      </x:c>
      <x:c r="E24" s="182" t="s">
        <x:v>142</x:v>
      </x:c>
      <x:c r="F24" s="183" t="s">
        <x:v>2224</x:v>
      </x:c>
      <x:c r="G24" s="184" t="s">
        <x:v>2225</x:v>
      </x:c>
      <x:c r="H24" s="178" t="s">
        <x:v>20</x:v>
      </x:c>
      <x:c r="I24" s="185" t="s">
        <x:v>2226</x:v>
      </x:c>
      <x:c r="J24" s="221" t="s">
        <x:v>2308</x:v>
      </x:c>
      <x:c r="K24" s="187">
        <x:v>1874000</x:v>
      </x:c>
      <x:c r="L24" s="185" t="s">
        <x:v>179</x:v>
      </x:c>
      <x:c r="M24" s="178"/>
      <x:c r="N24" s="178"/>
      <x:c r="O24" s="185" t="s">
        <x:v>2228</x:v>
      </x:c>
      <x:c r="P24" s="188"/>
      <x:c r="Q24" s="76" t="s">
        <x:v>2229</x:v>
      </x:c>
      <x:c r="R24" s="222"/>
      <x:c r="S24" s="191" t="s">
        <x:v>2309</x:v>
      </x:c>
    </x:row>
    <x:row r="25">
      <x:c r="A25" s="178">
        <x:v>2020</x:v>
      </x:c>
      <x:c r="B25" s="223" t="s">
        <x:v>352</x:v>
      </x:c>
      <x:c r="C25" s="224" t="s">
        <x:v>2231</x:v>
      </x:c>
      <x:c r="D25" s="178" t="s">
        <x:v>2310</x:v>
      </x:c>
      <x:c r="E25" s="192">
        <x:v>41160001</x:v>
      </x:c>
      <x:c r="F25" s="185" t="s">
        <x:v>2233</x:v>
      </x:c>
      <x:c r="G25" s="184" t="s">
        <x:v>2234</x:v>
      </x:c>
      <x:c r="H25" s="178" t="s">
        <x:v>20</x:v>
      </x:c>
      <x:c r="I25" s="185" t="s">
        <x:v>2226</x:v>
      </x:c>
      <x:c r="J25" s="178">
        <x:v>3.6000308346202E+16</x:v>
      </x:c>
      <x:c r="K25" s="193">
        <x:v>100000</x:v>
      </x:c>
      <x:c r="L25" s="185" t="s">
        <x:v>21</x:v>
      </x:c>
      <x:c r="M25" s="185" t="s">
        <x:v>2235</x:v>
      </x:c>
      <x:c r="N25" s="178"/>
      <x:c r="O25" s="178" t="s">
        <x:v>2245</x:v>
      </x:c>
      <x:c r="P25" s="178" t="s">
        <x:v>2228</x:v>
      </x:c>
      <x:c r="Q25" s="76" t="s">
        <x:v>2237</x:v>
      </x:c>
      <x:c r="R25" s="206" t="s">
        <x:v>2311</x:v>
      </x:c>
      <x:c r="S25" s="191" t="s">
        <x:v>2309</x:v>
      </x:c>
    </x:row>
    <x:row r="26">
      <x:c r="A26" s="178">
        <x:v>2019</x:v>
      </x:c>
      <x:c r="B26" s="223" t="s">
        <x:v>2312</x:v>
      </x:c>
      <x:c r="C26" s="224" t="s">
        <x:v>262</x:v>
      </x:c>
      <x:c r="D26" s="178"/>
      <x:c r="E26" s="192">
        <x:v>71220005</x:v>
      </x:c>
      <x:c r="F26" s="185" t="s">
        <x:v>2256</x:v>
      </x:c>
      <x:c r="G26" s="184" t="s">
        <x:v>2257</x:v>
      </x:c>
      <x:c r="H26" s="185" t="s">
        <x:v>32</x:v>
      </x:c>
      <x:c r="I26" s="178" t="s">
        <x:v>2258</x:v>
      </x:c>
      <x:c r="J26" s="178"/>
      <x:c r="K26" s="193">
        <x:v>64000</x:v>
      </x:c>
      <x:c r="L26" s="185" t="s">
        <x:v>64</x:v>
      </x:c>
      <x:c r="M26" s="185" t="s">
        <x:v>2259</x:v>
      </x:c>
      <x:c r="N26" s="178"/>
      <x:c r="O26" s="178" t="s">
        <x:v>2259</x:v>
      </x:c>
      <x:c r="P26" s="178"/>
      <x:c r="Q26" s="76" t="s">
        <x:v>131</x:v>
      </x:c>
      <x:c r="R26" s="225" t="s">
        <x:v>2313</x:v>
      </x:c>
      <x:c r="S26" s="188"/>
    </x:row>
    <x:row r="27">
      <x:c r="A27" s="178">
        <x:v>2020</x:v>
      </x:c>
      <x:c r="B27" s="223" t="s">
        <x:v>638</x:v>
      </x:c>
      <x:c r="C27" s="224" t="s">
        <x:v>2231</x:v>
      </x:c>
      <x:c r="D27" s="178" t="s">
        <x:v>2314</x:v>
      </x:c>
      <x:c r="E27" s="192">
        <x:v>41160009</x:v>
      </x:c>
      <x:c r="F27" s="185" t="s">
        <x:v>2233</x:v>
      </x:c>
      <x:c r="G27" s="184" t="s">
        <x:v>2234</x:v>
      </x:c>
      <x:c r="H27" s="178" t="s">
        <x:v>20</x:v>
      </x:c>
      <x:c r="I27" s="185" t="s">
        <x:v>2226</x:v>
      </x:c>
      <x:c r="J27" s="178">
        <x:v>3.6000305064202E+16</x:v>
      </x:c>
      <x:c r="K27" s="193">
        <x:v>150000</x:v>
      </x:c>
      <x:c r="L27" s="185" t="s">
        <x:v>21</x:v>
      </x:c>
      <x:c r="M27" s="185" t="s">
        <x:v>2235</x:v>
      </x:c>
      <x:c r="N27" s="178"/>
      <x:c r="O27" s="178" t="s">
        <x:v>2294</x:v>
      </x:c>
      <x:c r="P27" s="178" t="s">
        <x:v>2228</x:v>
      </x:c>
      <x:c r="Q27" s="76" t="s">
        <x:v>2237</x:v>
      </x:c>
      <x:c r="R27" s="194" t="s">
        <x:v>2315</x:v>
      </x:c>
      <x:c r="S27" s="191" t="s">
        <x:v>2316</x:v>
      </x:c>
    </x:row>
    <x:row r="28">
      <x:c r="A28" s="178">
        <x:v>2019</x:v>
      </x:c>
      <x:c r="B28" s="223" t="s">
        <x:v>2317</x:v>
      </x:c>
      <x:c r="C28" s="224" t="s">
        <x:v>259</x:v>
      </x:c>
      <x:c r="D28" s="178"/>
      <x:c r="E28" s="192">
        <x:v>71220005</x:v>
      </x:c>
      <x:c r="F28" s="185" t="s">
        <x:v>2256</x:v>
      </x:c>
      <x:c r="G28" s="184" t="s">
        <x:v>2257</x:v>
      </x:c>
      <x:c r="H28" s="185" t="s">
        <x:v>32</x:v>
      </x:c>
      <x:c r="I28" s="178" t="s">
        <x:v>2258</x:v>
      </x:c>
      <x:c r="J28" s="178"/>
      <x:c r="K28" s="193">
        <x:v>63000</x:v>
      </x:c>
      <x:c r="L28" s="185" t="s">
        <x:v>64</x:v>
      </x:c>
      <x:c r="M28" s="185" t="s">
        <x:v>2259</x:v>
      </x:c>
      <x:c r="N28" s="178"/>
      <x:c r="O28" s="178" t="s">
        <x:v>2259</x:v>
      </x:c>
      <x:c r="P28" s="178"/>
      <x:c r="Q28" s="76" t="s">
        <x:v>131</x:v>
      </x:c>
      <x:c r="R28" s="194" t="s">
        <x:v>2318</x:v>
      </x:c>
      <x:c r="S28" s="181" t="s">
        <x:v>2319</x:v>
      </x:c>
    </x:row>
    <x:row r="29">
      <x:c r="A29" s="178">
        <x:v>2020</x:v>
      </x:c>
      <x:c r="B29" s="226" t="s">
        <x:v>257</x:v>
      </x:c>
      <x:c r="C29" s="227" t="s">
        <x:v>355</x:v>
      </x:c>
      <x:c r="D29" s="178" t="s">
        <x:v>2223</x:v>
      </x:c>
      <x:c r="E29" s="192">
        <x:v>41160005</x:v>
      </x:c>
      <x:c r="F29" s="185" t="s">
        <x:v>2240</x:v>
      </x:c>
      <x:c r="G29" s="184" t="s">
        <x:v>2225</x:v>
      </x:c>
      <x:c r="H29" s="178" t="s">
        <x:v>20</x:v>
      </x:c>
      <x:c r="I29" s="185" t="s">
        <x:v>2226</x:v>
      </x:c>
      <x:c r="J29" s="178">
        <x:v>3.6000309413202E+16</x:v>
      </x:c>
      <x:c r="K29" s="193">
        <x:v>100000</x:v>
      </x:c>
      <x:c r="L29" s="185" t="s">
        <x:v>21</x:v>
      </x:c>
      <x:c r="M29" s="185" t="s">
        <x:v>2235</x:v>
      </x:c>
      <x:c r="N29" s="178"/>
      <x:c r="O29" s="178" t="s">
        <x:v>2241</x:v>
      </x:c>
      <x:c r="P29" s="185" t="s">
        <x:v>2228</x:v>
      </x:c>
      <x:c r="Q29" s="76" t="s">
        <x:v>174</x:v>
      </x:c>
      <x:c r="R29" s="194" t="s">
        <x:v>1456</x:v>
      </x:c>
      <x:c r="S29" s="181" t="s">
        <x:v>2320</x:v>
      </x:c>
    </x:row>
    <x:row r="30">
      <x:c r="A30" s="178">
        <x:v>2020</x:v>
      </x:c>
      <x:c r="B30" s="226" t="s">
        <x:v>245</x:v>
      </x:c>
      <x:c r="C30" s="228" t="s">
        <x:v>247</x:v>
      </x:c>
      <x:c r="D30" s="181" t="s">
        <x:v>2223</x:v>
      </x:c>
      <x:c r="E30" s="182" t="s">
        <x:v>142</x:v>
      </x:c>
      <x:c r="F30" s="183" t="s">
        <x:v>2224</x:v>
      </x:c>
      <x:c r="G30" s="184" t="s">
        <x:v>2225</x:v>
      </x:c>
      <x:c r="H30" s="178" t="s">
        <x:v>20</x:v>
      </x:c>
      <x:c r="I30" s="185" t="s">
        <x:v>2226</x:v>
      </x:c>
      <x:c r="J30" s="200" t="s">
        <x:v>2321</x:v>
      </x:c>
      <x:c r="K30" s="229">
        <x:v>60000</x:v>
      </x:c>
      <x:c r="L30" s="178" t="s">
        <x:v>179</x:v>
      </x:c>
      <x:c r="M30" s="178"/>
      <x:c r="N30" s="178"/>
      <x:c r="O30" s="185" t="s">
        <x:v>2228</x:v>
      </x:c>
      <x:c r="P30" s="188"/>
      <x:c r="Q30" s="76" t="s">
        <x:v>2229</x:v>
      </x:c>
      <x:c r="R30" s="181"/>
      <x:c r="S30" s="191" t="s">
        <x:v>2322</x:v>
      </x:c>
    </x:row>
    <x:row r="31">
      <x:c r="A31" s="178">
        <x:v>2020</x:v>
      </x:c>
      <x:c r="B31" s="223" t="s">
        <x:v>357</x:v>
      </x:c>
      <x:c r="C31" s="224" t="s">
        <x:v>2231</x:v>
      </x:c>
      <x:c r="D31" s="178" t="s">
        <x:v>2323</x:v>
      </x:c>
      <x:c r="E31" s="192">
        <x:v>41160001</x:v>
      </x:c>
      <x:c r="F31" s="185" t="s">
        <x:v>2233</x:v>
      </x:c>
      <x:c r="G31" s="184" t="s">
        <x:v>2234</x:v>
      </x:c>
      <x:c r="H31" s="178" t="s">
        <x:v>20</x:v>
      </x:c>
      <x:c r="I31" s="185" t="s">
        <x:v>2226</x:v>
      </x:c>
      <x:c r="J31" s="178">
        <x:v>3.6000311109202E+16</x:v>
      </x:c>
      <x:c r="K31" s="193">
        <x:v>100000</x:v>
      </x:c>
      <x:c r="L31" s="185" t="s">
        <x:v>21</x:v>
      </x:c>
      <x:c r="M31" s="185" t="s">
        <x:v>2324</x:v>
      </x:c>
      <x:c r="N31" s="178"/>
      <x:c r="O31" s="185" t="s">
        <x:v>2325</x:v>
      </x:c>
      <x:c r="P31" s="178"/>
      <x:c r="Q31" s="76" t="s">
        <x:v>2237</x:v>
      </x:c>
      <x:c r="R31" s="194" t="s">
        <x:v>2326</x:v>
      </x:c>
      <x:c r="S31" s="231" t="s">
        <x:v>2327</x:v>
      </x:c>
    </x:row>
    <x:row r="32">
      <x:c r="A32" s="185">
        <x:v>2020</x:v>
      </x:c>
      <x:c r="B32" s="226" t="s">
        <x:v>778</x:v>
      </x:c>
      <x:c r="C32" s="227" t="s">
        <x:v>780</x:v>
      </x:c>
      <x:c r="D32" s="178" t="s">
        <x:v>2328</x:v>
      </x:c>
      <x:c r="E32" s="192">
        <x:v>41160005</x:v>
      </x:c>
      <x:c r="F32" s="185" t="s">
        <x:v>2233</x:v>
      </x:c>
      <x:c r="G32" s="184" t="s">
        <x:v>2225</x:v>
      </x:c>
      <x:c r="H32" s="178" t="s">
        <x:v>20</x:v>
      </x:c>
      <x:c r="I32" s="185" t="s">
        <x:v>2226</x:v>
      </x:c>
      <x:c r="J32" s="178">
        <x:v>3.6000292118202E+16</x:v>
      </x:c>
      <x:c r="K32" s="193">
        <x:v>200000</x:v>
      </x:c>
      <x:c r="L32" s="185" t="s">
        <x:v>21</x:v>
      </x:c>
      <x:c r="M32" s="185" t="s">
        <x:v>2235</x:v>
      </x:c>
      <x:c r="N32" s="178"/>
      <x:c r="O32" s="178" t="s">
        <x:v>2329</x:v>
      </x:c>
      <x:c r="P32" s="178" t="s">
        <x:v>2228</x:v>
      </x:c>
      <x:c r="Q32" s="76" t="s">
        <x:v>174</x:v>
      </x:c>
      <x:c r="R32" s="194" t="s">
        <x:v>2330</x:v>
      </x:c>
      <x:c r="S32" s="220" t="s">
        <x:v>2331</x:v>
      </x:c>
    </x:row>
    <x:row r="33">
      <x:c r="A33" s="185">
        <x:v>2020</x:v>
      </x:c>
      <x:c r="B33" s="223" t="s">
        <x:v>214</x:v>
      </x:c>
      <x:c r="C33" s="224" t="s">
        <x:v>2231</x:v>
      </x:c>
      <x:c r="D33" s="178" t="s">
        <x:v>2332</x:v>
      </x:c>
      <x:c r="E33" s="192">
        <x:v>41160009</x:v>
      </x:c>
      <x:c r="F33" s="185" t="s">
        <x:v>2233</x:v>
      </x:c>
      <x:c r="G33" s="184" t="s">
        <x:v>2234</x:v>
      </x:c>
      <x:c r="H33" s="178" t="s">
        <x:v>20</x:v>
      </x:c>
      <x:c r="I33" s="185" t="s">
        <x:v>2226</x:v>
      </x:c>
      <x:c r="J33" s="178">
        <x:v>3.6000302585202E+16</x:v>
      </x:c>
      <x:c r="K33" s="193">
        <x:v>100000</x:v>
      </x:c>
      <x:c r="L33" s="185" t="s">
        <x:v>21</x:v>
      </x:c>
      <x:c r="M33" s="185" t="s">
        <x:v>2235</x:v>
      </x:c>
      <x:c r="N33" s="178"/>
      <x:c r="O33" s="178" t="s">
        <x:v>2294</x:v>
      </x:c>
      <x:c r="P33" s="178" t="s">
        <x:v>2228</x:v>
      </x:c>
      <x:c r="Q33" s="72" t="s">
        <x:v>2237</x:v>
      </x:c>
      <x:c r="R33" s="194" t="s">
        <x:v>2333</x:v>
      </x:c>
      <x:c r="S33" s="191" t="s">
        <x:v>2334</x:v>
      </x:c>
    </x:row>
    <x:row r="34">
      <x:c r="A34" s="185">
        <x:v>2020</x:v>
      </x:c>
      <x:c r="B34" s="223" t="s">
        <x:v>641</x:v>
      </x:c>
      <x:c r="C34" s="224" t="s">
        <x:v>2231</x:v>
      </x:c>
      <x:c r="D34" s="232" t="s">
        <x:v>2335</x:v>
      </x:c>
      <x:c r="E34" s="192">
        <x:v>41160009</x:v>
      </x:c>
      <x:c r="F34" s="185" t="s">
        <x:v>2233</x:v>
      </x:c>
      <x:c r="G34" s="184" t="s">
        <x:v>2234</x:v>
      </x:c>
      <x:c r="H34" s="178" t="s">
        <x:v>20</x:v>
      </x:c>
      <x:c r="I34" s="185" t="s">
        <x:v>2226</x:v>
      </x:c>
      <x:c r="J34" s="178">
        <x:v>3.6000304033202E+16</x:v>
      </x:c>
      <x:c r="K34" s="178" t="s">
        <x:v>2336</x:v>
      </x:c>
      <x:c r="L34" s="185" t="s">
        <x:v>21</x:v>
      </x:c>
      <x:c r="M34" s="185" t="s">
        <x:v>2235</x:v>
      </x:c>
      <x:c r="N34" s="178"/>
      <x:c r="O34" s="178" t="s">
        <x:v>2249</x:v>
      </x:c>
      <x:c r="P34" s="178" t="s">
        <x:v>2228</x:v>
      </x:c>
      <x:c r="Q34" s="76" t="s">
        <x:v>2237</x:v>
      </x:c>
      <x:c r="R34" s="194" t="s">
        <x:v>2337</x:v>
      </x:c>
      <x:c r="S34" s="191" t="s">
        <x:v>2338</x:v>
      </x:c>
    </x:row>
    <x:row r="35">
      <x:c r="A35" s="178">
        <x:v>2020</x:v>
      </x:c>
      <x:c r="B35" s="226" t="s">
        <x:v>16</x:v>
      </x:c>
      <x:c r="C35" s="233" t="s">
        <x:v>148</x:v>
      </x:c>
      <x:c r="D35" s="181" t="s">
        <x:v>2339</x:v>
      </x:c>
      <x:c r="E35" s="182" t="s">
        <x:v>142</x:v>
      </x:c>
      <x:c r="F35" s="183" t="s">
        <x:v>1176</x:v>
      </x:c>
      <x:c r="G35" s="184" t="s">
        <x:v>2225</x:v>
      </x:c>
      <x:c r="H35" s="178" t="s">
        <x:v>20</x:v>
      </x:c>
      <x:c r="I35" s="185" t="s">
        <x:v>2226</x:v>
      </x:c>
      <x:c r="J35" s="200" t="s">
        <x:v>2340</x:v>
      </x:c>
      <x:c r="K35" s="187">
        <x:v>50000</x:v>
      </x:c>
      <x:c r="L35" s="178" t="s">
        <x:v>179</x:v>
      </x:c>
      <x:c r="M35" s="178"/>
      <x:c r="N35" s="178"/>
      <x:c r="O35" s="185" t="s">
        <x:v>2228</x:v>
      </x:c>
      <x:c r="P35" s="188"/>
      <x:c r="Q35" s="76" t="s">
        <x:v>2229</x:v>
      </x:c>
      <x:c r="R35" s="189"/>
      <x:c r="S35" s="191" t="s">
        <x:v>2341</x:v>
      </x:c>
    </x:row>
    <x:row r="36">
      <x:c r="A36" s="178">
        <x:v>2020</x:v>
      </x:c>
      <x:c r="B36" s="223" t="s">
        <x:v>456</x:v>
      </x:c>
      <x:c r="C36" s="224" t="s">
        <x:v>2231</x:v>
      </x:c>
      <x:c r="D36" s="185" t="s">
        <x:v>2342</x:v>
      </x:c>
      <x:c r="E36" s="192">
        <x:v>41160009</x:v>
      </x:c>
      <x:c r="F36" s="185" t="s">
        <x:v>2233</x:v>
      </x:c>
      <x:c r="G36" s="184" t="s">
        <x:v>2234</x:v>
      </x:c>
      <x:c r="H36" s="178" t="s">
        <x:v>20</x:v>
      </x:c>
      <x:c r="I36" s="185" t="s">
        <x:v>2226</x:v>
      </x:c>
      <x:c r="J36" s="188"/>
      <x:c r="K36" s="205">
        <x:v>150000</x:v>
      </x:c>
      <x:c r="L36" s="185" t="s">
        <x:v>21</x:v>
      </x:c>
      <x:c r="M36" s="237" t="s">
        <x:v>2324</x:v>
      </x:c>
      <x:c r="N36" s="188"/>
      <x:c r="O36" s="185" t="s">
        <x:v>2343</x:v>
      </x:c>
      <x:c r="P36" s="185" t="s">
        <x:v>49</x:v>
      </x:c>
      <x:c r="Q36" s="76" t="s">
        <x:v>2237</x:v>
      </x:c>
      <x:c r="R36" s="194" t="s">
        <x:v>2344</x:v>
      </x:c>
      <x:c r="S36" s="191" t="s">
        <x:v>2345</x:v>
      </x:c>
    </x:row>
    <x:row r="37">
      <x:c r="A37" s="178">
        <x:v>2019</x:v>
      </x:c>
      <x:c r="B37" s="223" t="s">
        <x:v>2346</x:v>
      </x:c>
      <x:c r="C37" s="224" t="s">
        <x:v>127</x:v>
      </x:c>
      <x:c r="D37" s="232"/>
      <x:c r="E37" s="192">
        <x:v>71220005</x:v>
      </x:c>
      <x:c r="F37" s="185" t="s">
        <x:v>2256</x:v>
      </x:c>
      <x:c r="G37" s="184" t="s">
        <x:v>2257</x:v>
      </x:c>
      <x:c r="H37" s="185" t="s">
        <x:v>32</x:v>
      </x:c>
      <x:c r="I37" s="178" t="s">
        <x:v>2258</x:v>
      </x:c>
      <x:c r="J37" s="178"/>
      <x:c r="K37" s="193">
        <x:v>50000</x:v>
      </x:c>
      <x:c r="L37" s="185" t="s">
        <x:v>64</x:v>
      </x:c>
      <x:c r="M37" s="185" t="s">
        <x:v>2259</x:v>
      </x:c>
      <x:c r="N37" s="178"/>
      <x:c r="O37" s="178" t="s">
        <x:v>2259</x:v>
      </x:c>
      <x:c r="P37" s="178"/>
      <x:c r="Q37" s="76" t="s">
        <x:v>131</x:v>
      </x:c>
      <x:c r="R37" s="194" t="s">
        <x:v>2347</x:v>
      </x:c>
      <x:c r="S37" s="181" t="s">
        <x:v>2348</x:v>
      </x:c>
    </x:row>
    <x:row r="38">
      <x:c r="A38" s="178">
        <x:v>2019</x:v>
      </x:c>
      <x:c r="B38" s="223" t="s">
        <x:v>2349</x:v>
      </x:c>
      <x:c r="C38" s="224" t="s">
        <x:v>296</x:v>
      </x:c>
      <x:c r="D38" s="178"/>
      <x:c r="E38" s="192">
        <x:v>71220005</x:v>
      </x:c>
      <x:c r="F38" s="185" t="s">
        <x:v>2256</x:v>
      </x:c>
      <x:c r="G38" s="184" t="s">
        <x:v>2257</x:v>
      </x:c>
      <x:c r="H38" s="185" t="s">
        <x:v>32</x:v>
      </x:c>
      <x:c r="I38" s="178" t="s">
        <x:v>2258</x:v>
      </x:c>
      <x:c r="J38" s="232"/>
      <x:c r="K38" s="193">
        <x:v>78705.88</x:v>
      </x:c>
      <x:c r="L38" s="185" t="s">
        <x:v>64</x:v>
      </x:c>
      <x:c r="M38" s="185" t="s">
        <x:v>2259</x:v>
      </x:c>
      <x:c r="N38" s="178"/>
      <x:c r="O38" s="178" t="s">
        <x:v>2259</x:v>
      </x:c>
      <x:c r="P38" s="178"/>
      <x:c r="Q38" s="76" t="s">
        <x:v>131</x:v>
      </x:c>
      <x:c r="R38" s="194" t="s">
        <x:v>2350</x:v>
      </x:c>
      <x:c r="S38" s="181" t="s">
        <x:v>2351</x:v>
      </x:c>
    </x:row>
    <x:row r="39">
      <x:c r="A39" s="178">
        <x:v>2020</x:v>
      </x:c>
      <x:c r="B39" s="223" t="s">
        <x:v>361</x:v>
      </x:c>
      <x:c r="C39" s="224" t="s">
        <x:v>2231</x:v>
      </x:c>
      <x:c r="D39" s="178" t="s">
        <x:v>2352</x:v>
      </x:c>
      <x:c r="E39" s="192">
        <x:v>41160001</x:v>
      </x:c>
      <x:c r="F39" s="185" t="s">
        <x:v>2233</x:v>
      </x:c>
      <x:c r="G39" s="184" t="s">
        <x:v>2234</x:v>
      </x:c>
      <x:c r="H39" s="178" t="s">
        <x:v>20</x:v>
      </x:c>
      <x:c r="I39" s="185" t="s">
        <x:v>2226</x:v>
      </x:c>
      <x:c r="J39" s="178">
        <x:v>3.6000307438202E+16</x:v>
      </x:c>
      <x:c r="K39" s="193">
        <x:v>100000</x:v>
      </x:c>
      <x:c r="L39" s="185" t="s">
        <x:v>21</x:v>
      </x:c>
      <x:c r="M39" s="185" t="s">
        <x:v>2324</x:v>
      </x:c>
      <x:c r="N39" s="178"/>
      <x:c r="O39" s="238" t="s">
        <x:v>2353</x:v>
      </x:c>
      <x:c r="P39" s="178"/>
      <x:c r="Q39" s="76" t="s">
        <x:v>2237</x:v>
      </x:c>
      <x:c r="R39" s="194" t="s">
        <x:v>2354</x:v>
      </x:c>
      <x:c r="S39" s="191" t="s">
        <x:v>2355</x:v>
      </x:c>
    </x:row>
    <x:row r="40">
      <x:c r="A40" s="178">
        <x:v>2019</x:v>
      </x:c>
      <x:c r="B40" s="223" t="s">
        <x:v>150</x:v>
      </x:c>
      <x:c r="C40" s="224" t="s">
        <x:v>152</x:v>
      </x:c>
      <x:c r="D40" s="181" t="s">
        <x:v>2356</x:v>
      </x:c>
      <x:c r="E40" s="192">
        <x:v>71220009</x:v>
      </x:c>
      <x:c r="F40" s="185" t="s">
        <x:v>2240</x:v>
      </x:c>
      <x:c r="G40" s="184" t="s">
        <x:v>2225</x:v>
      </x:c>
      <x:c r="H40" s="178" t="s">
        <x:v>20</x:v>
      </x:c>
      <x:c r="I40" s="185" t="s">
        <x:v>2226</x:v>
      </x:c>
      <x:c r="J40" s="188"/>
      <x:c r="K40" s="193">
        <x:v>250000</x:v>
      </x:c>
      <x:c r="L40" s="185" t="s">
        <x:v>64</x:v>
      </x:c>
      <x:c r="M40" s="185" t="s">
        <x:v>2324</x:v>
      </x:c>
      <x:c r="N40" s="188"/>
      <x:c r="O40" s="188"/>
      <x:c r="P40" s="185"/>
      <x:c r="Q40" s="76" t="s">
        <x:v>174</x:v>
      </x:c>
      <x:c r="R40" s="194" t="s">
        <x:v>2357</x:v>
      </x:c>
      <x:c r="S40" s="181" t="s">
        <x:v>2358</x:v>
      </x:c>
    </x:row>
    <x:row r="41">
      <x:c r="A41" s="178">
        <x:v>2020</x:v>
      </x:c>
      <x:c r="B41" s="226" t="s">
        <x:v>150</x:v>
      </x:c>
      <x:c r="C41" s="228" t="s">
        <x:v>152</x:v>
      </x:c>
      <x:c r="D41" s="181" t="s">
        <x:v>2223</x:v>
      </x:c>
      <x:c r="E41" s="182" t="s">
        <x:v>142</x:v>
      </x:c>
      <x:c r="F41" s="183" t="s">
        <x:v>2224</x:v>
      </x:c>
      <x:c r="G41" s="184" t="s">
        <x:v>2225</x:v>
      </x:c>
      <x:c r="H41" s="178" t="s">
        <x:v>20</x:v>
      </x:c>
      <x:c r="I41" s="185" t="s">
        <x:v>2226</x:v>
      </x:c>
      <x:c r="J41" s="186" t="s">
        <x:v>2359</x:v>
      </x:c>
      <x:c r="K41" s="187">
        <x:v>50000</x:v>
      </x:c>
      <x:c r="L41" s="178" t="s">
        <x:v>179</x:v>
      </x:c>
      <x:c r="M41" s="178"/>
      <x:c r="N41" s="178"/>
      <x:c r="O41" s="185" t="s">
        <x:v>2228</x:v>
      </x:c>
      <x:c r="P41" s="188"/>
      <x:c r="Q41" s="76" t="s">
        <x:v>2229</x:v>
      </x:c>
      <x:c r="R41" s="222"/>
      <x:c r="S41" s="191" t="s">
        <x:v>2360</x:v>
      </x:c>
    </x:row>
    <x:row r="42">
      <x:c r="A42" s="178">
        <x:v>2020</x:v>
      </x:c>
      <x:c r="B42" s="223" t="s">
        <x:v>150</x:v>
      </x:c>
      <x:c r="C42" s="224" t="s">
        <x:v>2231</x:v>
      </x:c>
      <x:c r="D42" s="178" t="s">
        <x:v>2356</x:v>
      </x:c>
      <x:c r="E42" s="192">
        <x:v>41160001</x:v>
      </x:c>
      <x:c r="F42" s="185" t="s">
        <x:v>2233</x:v>
      </x:c>
      <x:c r="G42" s="184" t="s">
        <x:v>2234</x:v>
      </x:c>
      <x:c r="H42" s="178" t="s">
        <x:v>20</x:v>
      </x:c>
      <x:c r="I42" s="185" t="s">
        <x:v>2226</x:v>
      </x:c>
      <x:c r="J42" s="178">
        <x:v>3.6000311325202E+16</x:v>
      </x:c>
      <x:c r="K42" s="193">
        <x:v>100000</x:v>
      </x:c>
      <x:c r="L42" s="185" t="s">
        <x:v>21</x:v>
      </x:c>
      <x:c r="M42" s="185" t="s">
        <x:v>2324</x:v>
      </x:c>
      <x:c r="N42" s="178"/>
      <x:c r="O42" s="238" t="s">
        <x:v>2353</x:v>
      </x:c>
      <x:c r="P42" s="178"/>
      <x:c r="Q42" s="76" t="s">
        <x:v>2237</x:v>
      </x:c>
      <x:c r="R42" s="206" t="s">
        <x:v>2361</x:v>
      </x:c>
      <x:c r="S42" s="191" t="s">
        <x:v>2360</x:v>
      </x:c>
    </x:row>
    <x:row r="43">
      <x:c r="A43" s="178">
        <x:v>2020</x:v>
      </x:c>
      <x:c r="B43" s="226" t="s">
        <x:v>365</x:v>
      </x:c>
      <x:c r="C43" s="227" t="s">
        <x:v>367</x:v>
      </x:c>
      <x:c r="D43" s="232" t="s">
        <x:v>2223</x:v>
      </x:c>
      <x:c r="E43" s="192">
        <x:v>41160005</x:v>
      </x:c>
      <x:c r="F43" s="185" t="s">
        <x:v>2240</x:v>
      </x:c>
      <x:c r="G43" s="184" t="s">
        <x:v>2225</x:v>
      </x:c>
      <x:c r="H43" s="178" t="s">
        <x:v>20</x:v>
      </x:c>
      <x:c r="I43" s="185" t="s">
        <x:v>2226</x:v>
      </x:c>
      <x:c r="J43" s="188"/>
      <x:c r="K43" s="178"/>
      <x:c r="L43" s="185" t="s">
        <x:v>21</x:v>
      </x:c>
      <x:c r="M43" s="185" t="s">
        <x:v>2235</x:v>
      </x:c>
      <x:c r="N43" s="178"/>
      <x:c r="O43" s="178" t="s">
        <x:v>2241</x:v>
      </x:c>
      <x:c r="P43" s="178" t="s">
        <x:v>2228</x:v>
      </x:c>
      <x:c r="Q43" s="76" t="s">
        <x:v>174</x:v>
      </x:c>
      <x:c r="R43" s="194" t="s">
        <x:v>2362</x:v>
      </x:c>
      <x:c r="S43" s="181" t="s">
        <x:v>2363</x:v>
      </x:c>
    </x:row>
    <x:row r="44">
      <x:c r="A44" s="178">
        <x:v>2020</x:v>
      </x:c>
      <x:c r="B44" s="223" t="s">
        <x:v>225</x:v>
      </x:c>
      <x:c r="C44" s="224" t="s">
        <x:v>2231</x:v>
      </x:c>
      <x:c r="D44" s="232" t="s">
        <x:v>2364</x:v>
      </x:c>
      <x:c r="E44" s="192">
        <x:v>41160009</x:v>
      </x:c>
      <x:c r="F44" s="185" t="s">
        <x:v>2233</x:v>
      </x:c>
      <x:c r="G44" s="184" t="s">
        <x:v>2234</x:v>
      </x:c>
      <x:c r="H44" s="178" t="s">
        <x:v>20</x:v>
      </x:c>
      <x:c r="I44" s="185" t="s">
        <x:v>2226</x:v>
      </x:c>
      <x:c r="J44" s="178">
        <x:v>3.6000311945202E+16</x:v>
      </x:c>
      <x:c r="K44" s="178" t="s">
        <x:v>2365</x:v>
      </x:c>
      <x:c r="L44" s="185" t="s">
        <x:v>21</x:v>
      </x:c>
      <x:c r="M44" s="185" t="s">
        <x:v>2235</x:v>
      </x:c>
      <x:c r="N44" s="178"/>
      <x:c r="O44" s="178" t="s">
        <x:v>2329</x:v>
      </x:c>
      <x:c r="P44" s="178" t="s">
        <x:v>2228</x:v>
      </x:c>
      <x:c r="Q44" s="76" t="s">
        <x:v>2237</x:v>
      </x:c>
      <x:c r="R44" s="194" t="s">
        <x:v>2366</x:v>
      </x:c>
      <x:c r="S44" s="191" t="s">
        <x:v>2367</x:v>
      </x:c>
    </x:row>
    <x:row r="45">
      <x:c r="A45" s="178">
        <x:v>2019</x:v>
      </x:c>
      <x:c r="B45" s="223" t="s">
        <x:v>153</x:v>
      </x:c>
      <x:c r="C45" s="224" t="s">
        <x:v>1141</x:v>
      </x:c>
      <x:c r="D45" s="181" t="s">
        <x:v>2368</x:v>
      </x:c>
      <x:c r="E45" s="192">
        <x:v>71220009</x:v>
      </x:c>
      <x:c r="F45" s="185" t="s">
        <x:v>2240</x:v>
      </x:c>
      <x:c r="G45" s="184" t="s">
        <x:v>2225</x:v>
      </x:c>
      <x:c r="H45" s="178" t="s">
        <x:v>20</x:v>
      </x:c>
      <x:c r="I45" s="185" t="s">
        <x:v>2226</x:v>
      </x:c>
      <x:c r="J45" s="188"/>
      <x:c r="K45" s="193">
        <x:v>250000</x:v>
      </x:c>
      <x:c r="L45" s="185" t="s">
        <x:v>64</x:v>
      </x:c>
      <x:c r="M45" s="185" t="s">
        <x:v>2235</x:v>
      </x:c>
      <x:c r="N45" s="188"/>
      <x:c r="O45" s="188"/>
      <x:c r="P45" s="185" t="s">
        <x:v>2228</x:v>
      </x:c>
      <x:c r="Q45" s="76" t="s">
        <x:v>174</x:v>
      </x:c>
      <x:c r="R45" s="194" t="s">
        <x:v>1473</x:v>
      </x:c>
      <x:c r="S45" s="181" t="s">
        <x:v>2369</x:v>
      </x:c>
    </x:row>
    <x:row r="46">
      <x:c r="A46" s="178">
        <x:v>2020</x:v>
      </x:c>
      <x:c r="B46" s="226" t="s">
        <x:v>153</x:v>
      </x:c>
      <x:c r="C46" s="228" t="s">
        <x:v>2370</x:v>
      </x:c>
      <x:c r="D46" s="181" t="s">
        <x:v>2223</x:v>
      </x:c>
      <x:c r="E46" s="182" t="s">
        <x:v>142</x:v>
      </x:c>
      <x:c r="F46" s="183" t="s">
        <x:v>2224</x:v>
      </x:c>
      <x:c r="G46" s="184" t="s">
        <x:v>2225</x:v>
      </x:c>
      <x:c r="H46" s="178" t="s">
        <x:v>20</x:v>
      </x:c>
      <x:c r="I46" s="185" t="s">
        <x:v>2226</x:v>
      </x:c>
      <x:c r="J46" s="186" t="s">
        <x:v>2371</x:v>
      </x:c>
      <x:c r="K46" s="187">
        <x:v>50000</x:v>
      </x:c>
      <x:c r="L46" s="178" t="s">
        <x:v>179</x:v>
      </x:c>
      <x:c r="M46" s="178"/>
      <x:c r="N46" s="178"/>
      <x:c r="O46" s="185" t="s">
        <x:v>2228</x:v>
      </x:c>
      <x:c r="P46" s="188"/>
      <x:c r="Q46" s="76" t="s">
        <x:v>2229</x:v>
      </x:c>
      <x:c r="R46" s="181"/>
      <x:c r="S46" s="191" t="s">
        <x:v>2372</x:v>
      </x:c>
    </x:row>
    <x:row r="47">
      <x:c r="A47" s="178">
        <x:v>2020</x:v>
      </x:c>
      <x:c r="B47" s="223" t="s">
        <x:v>782</x:v>
      </x:c>
      <x:c r="C47" s="224" t="s">
        <x:v>784</x:v>
      </x:c>
      <x:c r="D47" s="232" t="s">
        <x:v>2223</x:v>
      </x:c>
      <x:c r="E47" s="192">
        <x:v>41160005</x:v>
      </x:c>
      <x:c r="F47" s="185" t="s">
        <x:v>2240</x:v>
      </x:c>
      <x:c r="G47" s="184" t="s">
        <x:v>2225</x:v>
      </x:c>
      <x:c r="H47" s="178" t="s">
        <x:v>20</x:v>
      </x:c>
      <x:c r="I47" s="185" t="s">
        <x:v>2226</x:v>
      </x:c>
      <x:c r="J47" s="238">
        <x:v>3.6000310549202E+16</x:v>
      </x:c>
      <x:c r="K47" s="205">
        <x:v>200000</x:v>
      </x:c>
      <x:c r="L47" s="185" t="s">
        <x:v>21</x:v>
      </x:c>
      <x:c r="M47" s="185" t="s">
        <x:v>2235</x:v>
      </x:c>
      <x:c r="N47" s="188"/>
      <x:c r="O47" s="185" t="s">
        <x:v>2343</x:v>
      </x:c>
      <x:c r="P47" s="185" t="s">
        <x:v>49</x:v>
      </x:c>
      <x:c r="Q47" s="76" t="s">
        <x:v>174</x:v>
      </x:c>
      <x:c r="R47" s="194" t="s">
        <x:v>2373</x:v>
      </x:c>
      <x:c r="S47" s="181" t="s">
        <x:v>2374</x:v>
      </x:c>
    </x:row>
    <x:row r="48">
      <x:c r="A48" s="178">
        <x:v>2019</x:v>
      </x:c>
      <x:c r="B48" s="178" t="s">
        <x:v>2375</x:v>
      </x:c>
      <x:c r="C48" s="76" t="s">
        <x:v>232</x:v>
      </x:c>
      <x:c r="D48" s="178"/>
      <x:c r="E48" s="192">
        <x:v>71220005</x:v>
      </x:c>
      <x:c r="F48" s="185" t="s">
        <x:v>2256</x:v>
      </x:c>
      <x:c r="G48" s="184" t="s">
        <x:v>2257</x:v>
      </x:c>
      <x:c r="H48" s="185" t="s">
        <x:v>32</x:v>
      </x:c>
      <x:c r="I48" s="178" t="s">
        <x:v>2258</x:v>
      </x:c>
      <x:c r="J48" s="178"/>
      <x:c r="K48" s="193">
        <x:v>54000</x:v>
      </x:c>
      <x:c r="L48" s="185" t="s">
        <x:v>64</x:v>
      </x:c>
      <x:c r="M48" s="185" t="s">
        <x:v>2259</x:v>
      </x:c>
      <x:c r="N48" s="178"/>
      <x:c r="O48" s="178" t="s">
        <x:v>2259</x:v>
      </x:c>
      <x:c r="P48" s="178"/>
      <x:c r="Q48" s="76" t="s">
        <x:v>131</x:v>
      </x:c>
      <x:c r="R48" s="194" t="s">
        <x:v>2376</x:v>
      </x:c>
      <x:c r="S48" s="181" t="s">
        <x:v>2377</x:v>
      </x:c>
    </x:row>
    <x:row r="49">
      <x:c r="A49" s="178">
        <x:v>2020</x:v>
      </x:c>
      <x:c r="B49" s="178" t="s">
        <x:v>230</x:v>
      </x:c>
      <x:c r="C49" s="76" t="s">
        <x:v>2231</x:v>
      </x:c>
      <x:c r="D49" s="232" t="s">
        <x:v>2378</x:v>
      </x:c>
      <x:c r="E49" s="192">
        <x:v>41160009</x:v>
      </x:c>
      <x:c r="F49" s="185" t="s">
        <x:v>2240</x:v>
      </x:c>
      <x:c r="G49" s="184" t="s">
        <x:v>2234</x:v>
      </x:c>
      <x:c r="H49" s="178" t="s">
        <x:v>20</x:v>
      </x:c>
      <x:c r="I49" s="185" t="s">
        <x:v>2226</x:v>
      </x:c>
      <x:c r="J49" s="178">
        <x:v>3.6000317675202E+16</x:v>
      </x:c>
      <x:c r="K49" s="240">
        <x:v>150000</x:v>
      </x:c>
      <x:c r="L49" s="185" t="s">
        <x:v>21</x:v>
      </x:c>
      <x:c r="M49" s="185" t="s">
        <x:v>2235</x:v>
      </x:c>
      <x:c r="N49" s="178"/>
      <x:c r="O49" s="178" t="s">
        <x:v>2379</x:v>
      </x:c>
      <x:c r="P49" s="185" t="s">
        <x:v>2228</x:v>
      </x:c>
      <x:c r="Q49" s="76" t="s">
        <x:v>2237</x:v>
      </x:c>
      <x:c r="R49" s="194" t="s">
        <x:v>2380</x:v>
      </x:c>
      <x:c r="S49" s="191" t="s">
        <x:v>2381</x:v>
      </x:c>
    </x:row>
    <x:row r="50">
      <x:c r="A50" s="178">
        <x:v>2020</x:v>
      </x:c>
      <x:c r="B50" s="183" t="s">
        <x:v>630</x:v>
      </x:c>
      <x:c r="C50" s="195" t="s">
        <x:v>2382</x:v>
      </x:c>
      <x:c r="D50" s="178" t="s">
        <x:v>2383</x:v>
      </x:c>
      <x:c r="E50" s="192">
        <x:v>41160005</x:v>
      </x:c>
      <x:c r="F50" s="185" t="s">
        <x:v>2233</x:v>
      </x:c>
      <x:c r="G50" s="184" t="s">
        <x:v>2225</x:v>
      </x:c>
      <x:c r="H50" s="178" t="s">
        <x:v>20</x:v>
      </x:c>
      <x:c r="I50" s="185" t="s">
        <x:v>2226</x:v>
      </x:c>
      <x:c r="J50" s="178">
        <x:v>3.6000306010202E+16</x:v>
      </x:c>
      <x:c r="K50" s="193">
        <x:v>200000</x:v>
      </x:c>
      <x:c r="L50" s="185" t="s">
        <x:v>21</x:v>
      </x:c>
      <x:c r="M50" s="185" t="s">
        <x:v>2235</x:v>
      </x:c>
      <x:c r="N50" s="178"/>
      <x:c r="O50" s="178" t="s">
        <x:v>2249</x:v>
      </x:c>
      <x:c r="P50" s="178" t="s">
        <x:v>2228</x:v>
      </x:c>
      <x:c r="Q50" s="76" t="s">
        <x:v>174</x:v>
      </x:c>
      <x:c r="R50" s="225" t="s">
        <x:v>2384</x:v>
      </x:c>
      <x:c r="S50" s="188"/>
    </x:row>
    <x:row r="51">
      <x:c r="A51" s="178">
        <x:v>2020</x:v>
      </x:c>
      <x:c r="B51" s="183" t="s">
        <x:v>180</x:v>
      </x:c>
      <x:c r="C51" s="180" t="s">
        <x:v>2370</x:v>
      </x:c>
      <x:c r="D51" s="181" t="s">
        <x:v>2223</x:v>
      </x:c>
      <x:c r="E51" s="182" t="s">
        <x:v>142</x:v>
      </x:c>
      <x:c r="F51" s="183" t="s">
        <x:v>2224</x:v>
      </x:c>
      <x:c r="G51" s="184" t="s">
        <x:v>2225</x:v>
      </x:c>
      <x:c r="H51" s="178" t="s">
        <x:v>20</x:v>
      </x:c>
      <x:c r="I51" s="185" t="s">
        <x:v>2226</x:v>
      </x:c>
      <x:c r="J51" s="186" t="s">
        <x:v>2371</x:v>
      </x:c>
      <x:c r="K51" s="187">
        <x:v>50000</x:v>
      </x:c>
      <x:c r="L51" s="178" t="s">
        <x:v>179</x:v>
      </x:c>
      <x:c r="M51" s="178"/>
      <x:c r="N51" s="178"/>
      <x:c r="O51" s="185" t="s">
        <x:v>2228</x:v>
      </x:c>
      <x:c r="P51" s="188"/>
      <x:c r="Q51" s="76" t="s">
        <x:v>2229</x:v>
      </x:c>
      <x:c r="R51" s="181"/>
      <x:c r="S51" s="191" t="s">
        <x:v>2385</x:v>
      </x:c>
    </x:row>
    <x:row r="52">
      <x:c r="A52" s="178">
        <x:v>2020</x:v>
      </x:c>
      <x:c r="B52" s="183" t="s">
        <x:v>156</x:v>
      </x:c>
      <x:c r="C52" s="180" t="s">
        <x:v>158</x:v>
      </x:c>
      <x:c r="D52" s="181" t="s">
        <x:v>2223</x:v>
      </x:c>
      <x:c r="E52" s="182" t="s">
        <x:v>142</x:v>
      </x:c>
      <x:c r="F52" s="183" t="s">
        <x:v>2224</x:v>
      </x:c>
      <x:c r="G52" s="184" t="s">
        <x:v>2225</x:v>
      </x:c>
      <x:c r="H52" s="178" t="s">
        <x:v>20</x:v>
      </x:c>
      <x:c r="I52" s="185" t="s">
        <x:v>2226</x:v>
      </x:c>
      <x:c r="J52" s="186" t="s">
        <x:v>2386</x:v>
      </x:c>
      <x:c r="K52" s="187">
        <x:v>50000</x:v>
      </x:c>
      <x:c r="L52" s="178" t="s">
        <x:v>179</x:v>
      </x:c>
      <x:c r="M52" s="178"/>
      <x:c r="N52" s="178"/>
      <x:c r="O52" s="185" t="s">
        <x:v>2228</x:v>
      </x:c>
      <x:c r="P52" s="188"/>
      <x:c r="Q52" s="76" t="s">
        <x:v>2229</x:v>
      </x:c>
      <x:c r="R52" s="181"/>
      <x:c r="S52" s="191" t="s">
        <x:v>2387</x:v>
      </x:c>
    </x:row>
    <x:row r="53">
      <x:c r="A53" s="178">
        <x:v>2020</x:v>
      </x:c>
      <x:c r="B53" s="183" t="s">
        <x:v>368</x:v>
      </x:c>
      <x:c r="C53" s="195" t="s">
        <x:v>370</x:v>
      </x:c>
      <x:c r="D53" s="178" t="s">
        <x:v>2223</x:v>
      </x:c>
      <x:c r="E53" s="242"/>
      <x:c r="F53" s="185" t="s">
        <x:v>2240</x:v>
      </x:c>
      <x:c r="G53" s="184" t="s">
        <x:v>2225</x:v>
      </x:c>
      <x:c r="H53" s="178" t="s">
        <x:v>20</x:v>
      </x:c>
      <x:c r="I53" s="185" t="s">
        <x:v>2226</x:v>
      </x:c>
      <x:c r="J53" s="188"/>
      <x:c r="K53" s="178"/>
      <x:c r="L53" s="185" t="s">
        <x:v>21</x:v>
      </x:c>
      <x:c r="M53" s="185" t="s">
        <x:v>2235</x:v>
      </x:c>
      <x:c r="N53" s="178"/>
      <x:c r="O53" s="178" t="s">
        <x:v>2241</x:v>
      </x:c>
      <x:c r="P53" s="185" t="s">
        <x:v>2228</x:v>
      </x:c>
      <x:c r="Q53" s="76" t="s">
        <x:v>174</x:v>
      </x:c>
      <x:c r="R53" s="194" t="s">
        <x:v>2388</x:v>
      </x:c>
      <x:c r="S53" s="181" t="s">
        <x:v>2389</x:v>
      </x:c>
    </x:row>
    <x:row r="54">
      <x:c r="A54" s="178">
        <x:v>2020</x:v>
      </x:c>
      <x:c r="B54" s="183" t="s">
        <x:v>183</x:v>
      </x:c>
      <x:c r="C54" s="180" t="s">
        <x:v>514</x:v>
      </x:c>
      <x:c r="D54" s="181" t="s">
        <x:v>2223</x:v>
      </x:c>
      <x:c r="E54" s="182" t="s">
        <x:v>142</x:v>
      </x:c>
      <x:c r="F54" s="183" t="s">
        <x:v>2224</x:v>
      </x:c>
      <x:c r="G54" s="184" t="s">
        <x:v>2225</x:v>
      </x:c>
      <x:c r="H54" s="178" t="s">
        <x:v>20</x:v>
      </x:c>
      <x:c r="I54" s="185" t="s">
        <x:v>2226</x:v>
      </x:c>
      <x:c r="J54" s="200" t="s">
        <x:v>2308</x:v>
      </x:c>
      <x:c r="K54" s="187">
        <x:v>50000</x:v>
      </x:c>
      <x:c r="L54" s="178" t="s">
        <x:v>179</x:v>
      </x:c>
      <x:c r="M54" s="178"/>
      <x:c r="N54" s="178"/>
      <x:c r="O54" s="185" t="s">
        <x:v>2228</x:v>
      </x:c>
      <x:c r="P54" s="188"/>
      <x:c r="Q54" s="76" t="s">
        <x:v>2229</x:v>
      </x:c>
      <x:c r="R54" s="189"/>
      <x:c r="S54" s="191" t="s">
        <x:v>2390</x:v>
      </x:c>
    </x:row>
    <x:row r="55">
      <x:c r="A55" s="178">
        <x:v>2020</x:v>
      </x:c>
      <x:c r="B55" s="185" t="s">
        <x:v>312</x:v>
      </x:c>
      <x:c r="C55" s="210" t="s">
        <x:v>314</x:v>
      </x:c>
      <x:c r="D55" s="178" t="s">
        <x:v>2223</x:v>
      </x:c>
      <x:c r="E55" s="192">
        <x:v>41160005</x:v>
      </x:c>
      <x:c r="F55" s="185" t="s">
        <x:v>2240</x:v>
      </x:c>
      <x:c r="G55" s="214" t="s">
        <x:v>2225</x:v>
      </x:c>
      <x:c r="H55" s="178" t="s">
        <x:v>20</x:v>
      </x:c>
      <x:c r="I55" s="185" t="s">
        <x:v>2226</x:v>
      </x:c>
      <x:c r="J55" s="185">
        <x:v>3.6000317672202E+16</x:v>
      </x:c>
      <x:c r="K55" s="205">
        <x:v>86000</x:v>
      </x:c>
      <x:c r="L55" s="185" t="s">
        <x:v>21</x:v>
      </x:c>
      <x:c r="M55" s="185" t="s">
        <x:v>2235</x:v>
      </x:c>
      <x:c r="N55" s="188"/>
      <x:c r="O55" s="185" t="s">
        <x:v>2343</x:v>
      </x:c>
      <x:c r="P55" s="185" t="s">
        <x:v>2228</x:v>
      </x:c>
      <x:c r="Q55" s="76" t="s">
        <x:v>174</x:v>
      </x:c>
      <x:c r="R55" s="194" t="s">
        <x:v>2391</x:v>
      </x:c>
      <x:c r="S55" s="181" t="s">
        <x:v>2392</x:v>
      </x:c>
    </x:row>
    <x:row r="56">
      <x:c r="A56" s="178">
        <x:v>2020</x:v>
      </x:c>
      <x:c r="B56" s="183" t="s">
        <x:v>190</x:v>
      </x:c>
      <x:c r="C56" s="180" t="s">
        <x:v>388</x:v>
      </x:c>
      <x:c r="D56" s="181" t="s">
        <x:v>2223</x:v>
      </x:c>
      <x:c r="E56" s="182" t="s">
        <x:v>142</x:v>
      </x:c>
      <x:c r="F56" s="183" t="s">
        <x:v>2224</x:v>
      </x:c>
      <x:c r="G56" s="184" t="s">
        <x:v>2225</x:v>
      </x:c>
      <x:c r="H56" s="178" t="s">
        <x:v>20</x:v>
      </x:c>
      <x:c r="I56" s="185" t="s">
        <x:v>2226</x:v>
      </x:c>
      <x:c r="J56" s="186" t="s">
        <x:v>2227</x:v>
      </x:c>
      <x:c r="K56" s="187">
        <x:v>50000</x:v>
      </x:c>
      <x:c r="L56" s="178" t="s">
        <x:v>179</x:v>
      </x:c>
      <x:c r="M56" s="178"/>
      <x:c r="N56" s="178"/>
      <x:c r="O56" s="185" t="s">
        <x:v>2228</x:v>
      </x:c>
      <x:c r="P56" s="188"/>
      <x:c r="Q56" s="76" t="s">
        <x:v>2229</x:v>
      </x:c>
      <x:c r="R56" s="222"/>
      <x:c r="S56" s="191" t="s">
        <x:v>2393</x:v>
      </x:c>
    </x:row>
    <x:row r="57">
      <x:c r="A57" s="178">
        <x:v>2020</x:v>
      </x:c>
      <x:c r="B57" s="178" t="s">
        <x:v>190</x:v>
      </x:c>
      <x:c r="C57" s="76" t="s">
        <x:v>2231</x:v>
      </x:c>
      <x:c r="D57" s="178" t="s">
        <x:v>2394</x:v>
      </x:c>
      <x:c r="E57" s="192">
        <x:v>41160001</x:v>
      </x:c>
      <x:c r="F57" s="185" t="s">
        <x:v>2233</x:v>
      </x:c>
      <x:c r="G57" s="184" t="s">
        <x:v>2234</x:v>
      </x:c>
      <x:c r="H57" s="178" t="s">
        <x:v>20</x:v>
      </x:c>
      <x:c r="I57" s="185" t="s">
        <x:v>2226</x:v>
      </x:c>
      <x:c r="J57" s="178">
        <x:v>3.6000306746202E+16</x:v>
      </x:c>
      <x:c r="K57" s="193">
        <x:v>67727</x:v>
      </x:c>
      <x:c r="L57" s="185" t="s">
        <x:v>21</x:v>
      </x:c>
      <x:c r="M57" s="185" t="s">
        <x:v>2235</x:v>
      </x:c>
      <x:c r="N57" s="178"/>
      <x:c r="O57" s="178" t="s">
        <x:v>2245</x:v>
      </x:c>
      <x:c r="P57" s="178" t="s">
        <x:v>2228</x:v>
      </x:c>
      <x:c r="Q57" s="76" t="s">
        <x:v>2237</x:v>
      </x:c>
      <x:c r="R57" s="206" t="s">
        <x:v>2395</x:v>
      </x:c>
      <x:c r="S57" s="191" t="s">
        <x:v>2396</x:v>
      </x:c>
    </x:row>
    <x:row r="58">
      <x:c r="A58" s="178">
        <x:v>2020</x:v>
      </x:c>
      <x:c r="B58" s="183" t="s">
        <x:v>159</x:v>
      </x:c>
      <x:c r="C58" s="180" t="s">
        <x:v>161</x:v>
      </x:c>
      <x:c r="D58" s="181" t="s">
        <x:v>2397</x:v>
      </x:c>
      <x:c r="E58" s="182" t="s">
        <x:v>142</x:v>
      </x:c>
      <x:c r="F58" s="183" t="s">
        <x:v>1176</x:v>
      </x:c>
      <x:c r="G58" s="184" t="s">
        <x:v>2225</x:v>
      </x:c>
      <x:c r="H58" s="178" t="s">
        <x:v>20</x:v>
      </x:c>
      <x:c r="I58" s="185" t="s">
        <x:v>2226</x:v>
      </x:c>
      <x:c r="J58" s="200" t="s">
        <x:v>2398</x:v>
      </x:c>
      <x:c r="K58" s="187">
        <x:v>50000</x:v>
      </x:c>
      <x:c r="L58" s="178" t="s">
        <x:v>179</x:v>
      </x:c>
      <x:c r="M58" s="178"/>
      <x:c r="N58" s="178"/>
      <x:c r="O58" s="185" t="s">
        <x:v>2228</x:v>
      </x:c>
      <x:c r="P58" s="188"/>
      <x:c r="Q58" s="76" t="s">
        <x:v>2229</x:v>
      </x:c>
      <x:c r="R58" s="203"/>
      <x:c r="S58" s="191" t="s">
        <x:v>2399</x:v>
      </x:c>
    </x:row>
    <x:row r="59">
      <x:c r="A59" s="178">
        <x:v>2020</x:v>
      </x:c>
      <x:c r="B59" s="178" t="s">
        <x:v>159</x:v>
      </x:c>
      <x:c r="C59" s="76" t="s">
        <x:v>2231</x:v>
      </x:c>
      <x:c r="D59" s="178" t="s">
        <x:v>2397</x:v>
      </x:c>
      <x:c r="E59" s="192">
        <x:v>41160009</x:v>
      </x:c>
      <x:c r="F59" s="185" t="s">
        <x:v>2233</x:v>
      </x:c>
      <x:c r="G59" s="184" t="s">
        <x:v>2234</x:v>
      </x:c>
      <x:c r="H59" s="178" t="s">
        <x:v>20</x:v>
      </x:c>
      <x:c r="I59" s="185" t="s">
        <x:v>2226</x:v>
      </x:c>
      <x:c r="J59" s="178">
        <x:v>3.6000311207202E+16</x:v>
      </x:c>
      <x:c r="K59" s="193">
        <x:v>100000</x:v>
      </x:c>
      <x:c r="L59" s="185" t="s">
        <x:v>21</x:v>
      </x:c>
      <x:c r="M59" s="185" t="s">
        <x:v>2235</x:v>
      </x:c>
      <x:c r="N59" s="178"/>
      <x:c r="O59" s="178" t="s">
        <x:v>2400</x:v>
      </x:c>
      <x:c r="P59" s="178" t="s">
        <x:v>2228</x:v>
      </x:c>
      <x:c r="Q59" s="76" t="s">
        <x:v>2237</x:v>
      </x:c>
      <x:c r="R59" s="206" t="s">
        <x:v>2401</x:v>
      </x:c>
      <x:c r="S59" s="191" t="s">
        <x:v>2399</x:v>
      </x:c>
    </x:row>
    <x:row r="60">
      <x:c r="A60" s="178">
        <x:v>2020</x:v>
      </x:c>
      <x:c r="B60" s="183" t="s">
        <x:v>45</x:v>
      </x:c>
      <x:c r="C60" s="195" t="s">
        <x:v>791</x:v>
      </x:c>
      <x:c r="D60" s="178" t="s">
        <x:v>2402</x:v>
      </x:c>
      <x:c r="E60" s="192">
        <x:v>41160005</x:v>
      </x:c>
      <x:c r="F60" s="185" t="s">
        <x:v>2233</x:v>
      </x:c>
      <x:c r="G60" s="184" t="s">
        <x:v>2225</x:v>
      </x:c>
      <x:c r="H60" s="178" t="s">
        <x:v>20</x:v>
      </x:c>
      <x:c r="I60" s="185" t="s">
        <x:v>2226</x:v>
      </x:c>
      <x:c r="J60" s="178">
        <x:v>3.6000303621202E+16</x:v>
      </x:c>
      <x:c r="K60" s="193">
        <x:v>200000</x:v>
      </x:c>
      <x:c r="L60" s="185" t="s">
        <x:v>21</x:v>
      </x:c>
      <x:c r="M60" s="185" t="s">
        <x:v>2235</x:v>
      </x:c>
      <x:c r="N60" s="178"/>
      <x:c r="O60" s="178" t="s">
        <x:v>2294</x:v>
      </x:c>
      <x:c r="P60" s="178" t="s">
        <x:v>2228</x:v>
      </x:c>
      <x:c r="Q60" s="76" t="s">
        <x:v>174</x:v>
      </x:c>
      <x:c r="R60" s="194" t="s">
        <x:v>2403</x:v>
      </x:c>
      <x:c r="S60" s="181" t="s">
        <x:v>2404</x:v>
      </x:c>
    </x:row>
    <x:row r="61">
      <x:c r="A61" s="178">
        <x:v>2020</x:v>
      </x:c>
      <x:c r="B61" s="183" t="s">
        <x:v>45</x:v>
      </x:c>
      <x:c r="C61" s="195" t="s">
        <x:v>375</x:v>
      </x:c>
      <x:c r="D61" s="178" t="s">
        <x:v>2402</x:v>
      </x:c>
      <x:c r="E61" s="192">
        <x:v>41160005</x:v>
      </x:c>
      <x:c r="F61" s="185" t="s">
        <x:v>2233</x:v>
      </x:c>
      <x:c r="G61" s="184" t="s">
        <x:v>2225</x:v>
      </x:c>
      <x:c r="H61" s="178" t="s">
        <x:v>20</x:v>
      </x:c>
      <x:c r="I61" s="185" t="s">
        <x:v>2226</x:v>
      </x:c>
      <x:c r="J61" s="178">
        <x:v>3.6000303621202E+16</x:v>
      </x:c>
      <x:c r="K61" s="193">
        <x:v>100000</x:v>
      </x:c>
      <x:c r="L61" s="185" t="s">
        <x:v>21</x:v>
      </x:c>
      <x:c r="M61" s="185" t="s">
        <x:v>2235</x:v>
      </x:c>
      <x:c r="N61" s="178"/>
      <x:c r="O61" s="178" t="s">
        <x:v>2294</x:v>
      </x:c>
      <x:c r="P61" s="178" t="s">
        <x:v>2228</x:v>
      </x:c>
      <x:c r="Q61" s="76" t="s">
        <x:v>174</x:v>
      </x:c>
      <x:c r="R61" s="194" t="s">
        <x:v>2405</x:v>
      </x:c>
      <x:c r="S61" s="181" t="s">
        <x:v>2406</x:v>
      </x:c>
    </x:row>
    <x:row r="62">
      <x:c r="A62" s="178">
        <x:v>2020</x:v>
      </x:c>
      <x:c r="B62" s="183" t="s">
        <x:v>45</x:v>
      </x:c>
      <x:c r="C62" s="244" t="s">
        <x:v>375</x:v>
      </x:c>
      <x:c r="D62" s="181" t="s">
        <x:v>2402</x:v>
      </x:c>
      <x:c r="E62" s="182" t="s">
        <x:v>142</x:v>
      </x:c>
      <x:c r="F62" s="183" t="s">
        <x:v>1176</x:v>
      </x:c>
      <x:c r="G62" s="184" t="s">
        <x:v>2225</x:v>
      </x:c>
      <x:c r="H62" s="178" t="s">
        <x:v>20</x:v>
      </x:c>
      <x:c r="I62" s="185" t="s">
        <x:v>2226</x:v>
      </x:c>
      <x:c r="J62" s="245" t="s">
        <x:v>2407</x:v>
      </x:c>
      <x:c r="K62" s="187">
        <x:v>250000</x:v>
      </x:c>
      <x:c r="L62" s="178" t="s">
        <x:v>179</x:v>
      </x:c>
      <x:c r="M62" s="178"/>
      <x:c r="N62" s="178"/>
      <x:c r="O62" s="185" t="s">
        <x:v>2228</x:v>
      </x:c>
      <x:c r="P62" s="188"/>
      <x:c r="Q62" s="76" t="s">
        <x:v>2229</x:v>
      </x:c>
      <x:c r="R62" s="181"/>
      <x:c r="S62" s="191" t="s">
        <x:v>2408</x:v>
      </x:c>
    </x:row>
    <x:row r="63">
      <x:c r="A63" s="178">
        <x:v>2019</x:v>
      </x:c>
      <x:c r="B63" s="178" t="s">
        <x:v>2409</x:v>
      </x:c>
      <x:c r="C63" s="76" t="s">
        <x:v>265</x:v>
      </x:c>
      <x:c r="D63" s="178"/>
      <x:c r="E63" s="192">
        <x:v>71220005</x:v>
      </x:c>
      <x:c r="F63" s="185" t="s">
        <x:v>2256</x:v>
      </x:c>
      <x:c r="G63" s="184" t="s">
        <x:v>2257</x:v>
      </x:c>
      <x:c r="H63" s="185" t="s">
        <x:v>32</x:v>
      </x:c>
      <x:c r="I63" s="178" t="s">
        <x:v>2258</x:v>
      </x:c>
      <x:c r="J63" s="178"/>
      <x:c r="K63" s="193">
        <x:v>66000</x:v>
      </x:c>
      <x:c r="L63" s="185" t="s">
        <x:v>64</x:v>
      </x:c>
      <x:c r="M63" s="185" t="s">
        <x:v>2259</x:v>
      </x:c>
      <x:c r="N63" s="178"/>
      <x:c r="O63" s="178" t="s">
        <x:v>2259</x:v>
      </x:c>
      <x:c r="P63" s="178"/>
      <x:c r="Q63" s="76" t="s">
        <x:v>131</x:v>
      </x:c>
      <x:c r="R63" s="194" t="s">
        <x:v>2410</x:v>
      </x:c>
      <x:c r="S63" s="181" t="s">
        <x:v>2411</x:v>
      </x:c>
    </x:row>
    <x:row r="64">
      <x:c r="A64" s="178">
        <x:v>2020</x:v>
      </x:c>
      <x:c r="B64" s="178" t="s">
        <x:v>376</x:v>
      </x:c>
      <x:c r="C64" s="76" t="s">
        <x:v>2231</x:v>
      </x:c>
      <x:c r="D64" s="178" t="s">
        <x:v>2412</x:v>
      </x:c>
      <x:c r="E64" s="192">
        <x:v>41160009</x:v>
      </x:c>
      <x:c r="F64" s="185" t="s">
        <x:v>2233</x:v>
      </x:c>
      <x:c r="G64" s="184" t="s">
        <x:v>2234</x:v>
      </x:c>
      <x:c r="H64" s="178" t="s">
        <x:v>20</x:v>
      </x:c>
      <x:c r="I64" s="185" t="s">
        <x:v>2226</x:v>
      </x:c>
      <x:c r="J64" s="178">
        <x:v>3.6000302286202E+16</x:v>
      </x:c>
      <x:c r="K64" s="193">
        <x:v>100000</x:v>
      </x:c>
      <x:c r="L64" s="185" t="s">
        <x:v>21</x:v>
      </x:c>
      <x:c r="M64" s="185" t="s">
        <x:v>2235</x:v>
      </x:c>
      <x:c r="N64" s="178"/>
      <x:c r="O64" s="178" t="s">
        <x:v>2413</x:v>
      </x:c>
      <x:c r="P64" s="178" t="s">
        <x:v>2228</x:v>
      </x:c>
      <x:c r="Q64" s="76" t="s">
        <x:v>2237</x:v>
      </x:c>
      <x:c r="R64" s="194" t="s">
        <x:v>2414</x:v>
      </x:c>
      <x:c r="S64" s="191" t="s">
        <x:v>2415</x:v>
      </x:c>
    </x:row>
    <x:row r="65">
      <x:c r="A65" s="178">
        <x:v>2020</x:v>
      </x:c>
      <x:c r="B65" s="178" t="s">
        <x:v>1476</x:v>
      </x:c>
      <x:c r="C65" s="76" t="s">
        <x:v>2416</x:v>
      </x:c>
      <x:c r="D65" s="178" t="s">
        <x:v>2417</x:v>
      </x:c>
      <x:c r="E65" s="192">
        <x:v>41160005</x:v>
      </x:c>
      <x:c r="F65" s="185" t="s">
        <x:v>2233</x:v>
      </x:c>
      <x:c r="G65" s="184" t="s">
        <x:v>2225</x:v>
      </x:c>
      <x:c r="H65" s="178" t="s">
        <x:v>20</x:v>
      </x:c>
      <x:c r="I65" s="185" t="s">
        <x:v>2226</x:v>
      </x:c>
      <x:c r="J65" s="238">
        <x:v>3.6000310549202E+16</x:v>
      </x:c>
      <x:c r="K65" s="193">
        <x:v>200000</x:v>
      </x:c>
      <x:c r="L65" s="185" t="s">
        <x:v>21</x:v>
      </x:c>
      <x:c r="M65" s="237" t="s">
        <x:v>2418</x:v>
      </x:c>
      <x:c r="N65" s="188"/>
      <x:c r="O65" s="185"/>
      <x:c r="P65" s="185"/>
      <x:c r="Q65" s="76" t="s">
        <x:v>174</x:v>
      </x:c>
      <x:c r="R65" s="248"/>
      <x:c r="S65" s="188"/>
    </x:row>
    <x:row r="66">
      <x:c r="A66" s="178">
        <x:v>2019</x:v>
      </x:c>
      <x:c r="B66" s="178" t="s">
        <x:v>332</x:v>
      </x:c>
      <x:c r="C66" s="76" t="s">
        <x:v>334</x:v>
      </x:c>
      <x:c r="D66" s="181" t="s">
        <x:v>2419</x:v>
      </x:c>
      <x:c r="E66" s="192">
        <x:v>71220009</x:v>
      </x:c>
      <x:c r="F66" s="185" t="s">
        <x:v>2240</x:v>
      </x:c>
      <x:c r="G66" s="184" t="s">
        <x:v>2225</x:v>
      </x:c>
      <x:c r="H66" s="178" t="s">
        <x:v>20</x:v>
      </x:c>
      <x:c r="I66" s="185" t="s">
        <x:v>2226</x:v>
      </x:c>
      <x:c r="J66" s="188"/>
      <x:c r="K66" s="193">
        <x:v>250000</x:v>
      </x:c>
      <x:c r="L66" s="185" t="s">
        <x:v>21</x:v>
      </x:c>
      <x:c r="M66" s="185" t="s">
        <x:v>2235</x:v>
      </x:c>
      <x:c r="N66" s="188"/>
      <x:c r="O66" s="188"/>
      <x:c r="P66" s="185" t="s">
        <x:v>2228</x:v>
      </x:c>
      <x:c r="Q66" s="76" t="s">
        <x:v>174</x:v>
      </x:c>
      <x:c r="R66" s="194" t="s">
        <x:v>2420</x:v>
      </x:c>
      <x:c r="S66" s="181" t="s">
        <x:v>2421</x:v>
      </x:c>
    </x:row>
    <x:row r="67">
      <x:c r="A67" s="178">
        <x:v>2020</x:v>
      </x:c>
      <x:c r="B67" s="183" t="s">
        <x:v>332</x:v>
      </x:c>
      <x:c r="C67" s="180" t="s">
        <x:v>334</x:v>
      </x:c>
      <x:c r="D67" s="181" t="s">
        <x:v>2223</x:v>
      </x:c>
      <x:c r="E67" s="182" t="s">
        <x:v>142</x:v>
      </x:c>
      <x:c r="F67" s="183" t="s">
        <x:v>2224</x:v>
      </x:c>
      <x:c r="G67" s="184" t="s">
        <x:v>2225</x:v>
      </x:c>
      <x:c r="H67" s="178" t="s">
        <x:v>20</x:v>
      </x:c>
      <x:c r="I67" s="185" t="s">
        <x:v>2226</x:v>
      </x:c>
      <x:c r="J67" s="186" t="s">
        <x:v>2422</x:v>
      </x:c>
      <x:c r="K67" s="187">
        <x:v>100000</x:v>
      </x:c>
      <x:c r="L67" s="178" t="s">
        <x:v>179</x:v>
      </x:c>
      <x:c r="M67" s="178"/>
      <x:c r="N67" s="178"/>
      <x:c r="O67" s="185" t="s">
        <x:v>2228</x:v>
      </x:c>
      <x:c r="P67" s="188"/>
      <x:c r="Q67" s="76" t="s">
        <x:v>2229</x:v>
      </x:c>
      <x:c r="R67" s="189"/>
      <x:c r="S67" s="191" t="s">
        <x:v>2423</x:v>
      </x:c>
    </x:row>
    <x:row r="68">
      <x:c r="A68" s="178">
        <x:v>2020</x:v>
      </x:c>
      <x:c r="B68" s="183" t="s">
        <x:v>297</x:v>
      </x:c>
      <x:c r="C68" s="249" t="s">
        <x:v>1150</x:v>
      </x:c>
      <x:c r="D68" s="185" t="s">
        <x:v>2223</x:v>
      </x:c>
      <x:c r="E68" s="242"/>
      <x:c r="F68" s="185" t="s">
        <x:v>2240</x:v>
      </x:c>
      <x:c r="G68" s="184" t="s">
        <x:v>2225</x:v>
      </x:c>
      <x:c r="H68" s="178" t="s">
        <x:v>20</x:v>
      </x:c>
      <x:c r="I68" s="185" t="s">
        <x:v>2226</x:v>
      </x:c>
      <x:c r="J68" s="188"/>
      <x:c r="K68" s="205">
        <x:v>250000</x:v>
      </x:c>
      <x:c r="L68" s="185" t="s">
        <x:v>21</x:v>
      </x:c>
      <x:c r="M68" s="185" t="s">
        <x:v>2235</x:v>
      </x:c>
      <x:c r="N68" s="178"/>
      <x:c r="O68" s="178" t="s">
        <x:v>2241</x:v>
      </x:c>
      <x:c r="P68" s="185" t="s">
        <x:v>2228</x:v>
      </x:c>
      <x:c r="Q68" s="76" t="s">
        <x:v>174</x:v>
      </x:c>
      <x:c r="R68" s="194" t="s">
        <x:v>1860</x:v>
      </x:c>
      <x:c r="S68" s="181" t="s">
        <x:v>2424</x:v>
      </x:c>
    </x:row>
    <x:row r="69">
      <x:c r="A69" s="178">
        <x:v>2020</x:v>
      </x:c>
      <x:c r="B69" s="183" t="s">
        <x:v>297</x:v>
      </x:c>
      <x:c r="C69" s="249" t="s">
        <x:v>299</x:v>
      </x:c>
      <x:c r="D69" s="181" t="s">
        <x:v>2223</x:v>
      </x:c>
      <x:c r="E69" s="182" t="s">
        <x:v>142</x:v>
      </x:c>
      <x:c r="F69" s="183" t="s">
        <x:v>2224</x:v>
      </x:c>
      <x:c r="G69" s="184" t="s">
        <x:v>2225</x:v>
      </x:c>
      <x:c r="H69" s="178" t="s">
        <x:v>20</x:v>
      </x:c>
      <x:c r="I69" s="185" t="s">
        <x:v>2226</x:v>
      </x:c>
      <x:c r="J69" s="186" t="s">
        <x:v>2425</x:v>
      </x:c>
      <x:c r="K69" s="187">
        <x:v>80000</x:v>
      </x:c>
      <x:c r="L69" s="178" t="s">
        <x:v>179</x:v>
      </x:c>
      <x:c r="M69" s="178"/>
      <x:c r="N69" s="178"/>
      <x:c r="O69" s="185" t="s">
        <x:v>2228</x:v>
      </x:c>
      <x:c r="P69" s="188"/>
      <x:c r="Q69" s="76" t="s">
        <x:v>2229</x:v>
      </x:c>
      <x:c r="R69" s="181"/>
      <x:c r="S69" s="191" t="s">
        <x:v>2426</x:v>
      </x:c>
    </x:row>
    <x:row r="70">
      <x:c r="A70" s="178">
        <x:v>2020</x:v>
      </x:c>
      <x:c r="B70" s="183" t="s">
        <x:v>379</x:v>
      </x:c>
      <x:c r="C70" s="195" t="s">
        <x:v>381</x:v>
      </x:c>
      <x:c r="D70" s="178" t="s">
        <x:v>2427</x:v>
      </x:c>
      <x:c r="E70" s="192">
        <x:v>41160005</x:v>
      </x:c>
      <x:c r="F70" s="185" t="s">
        <x:v>2233</x:v>
      </x:c>
      <x:c r="G70" s="184" t="s">
        <x:v>2225</x:v>
      </x:c>
      <x:c r="H70" s="178" t="s">
        <x:v>20</x:v>
      </x:c>
      <x:c r="I70" s="185" t="s">
        <x:v>2226</x:v>
      </x:c>
      <x:c r="J70" s="178">
        <x:v>3.6000312903202E+16</x:v>
      </x:c>
      <x:c r="K70" s="193">
        <x:v>100000</x:v>
      </x:c>
      <x:c r="L70" s="185" t="s">
        <x:v>21</x:v>
      </x:c>
      <x:c r="M70" s="185" t="s">
        <x:v>2235</x:v>
      </x:c>
      <x:c r="N70" s="178"/>
      <x:c r="O70" s="178" t="s">
        <x:v>2249</x:v>
      </x:c>
      <x:c r="P70" s="185" t="s">
        <x:v>2228</x:v>
      </x:c>
      <x:c r="Q70" s="76" t="s">
        <x:v>174</x:v>
      </x:c>
      <x:c r="R70" s="194" t="s">
        <x:v>2428</x:v>
      </x:c>
      <x:c r="S70" s="181" t="s">
        <x:v>2429</x:v>
      </x:c>
    </x:row>
    <x:row r="71">
      <x:c r="A71" s="178">
        <x:v>2020</x:v>
      </x:c>
      <x:c r="B71" s="183" t="s">
        <x:v>195</x:v>
      </x:c>
      <x:c r="C71" s="180" t="s">
        <x:v>161</x:v>
      </x:c>
      <x:c r="D71" s="181" t="s">
        <x:v>2223</x:v>
      </x:c>
      <x:c r="E71" s="182" t="s">
        <x:v>142</x:v>
      </x:c>
      <x:c r="F71" s="183" t="s">
        <x:v>2224</x:v>
      </x:c>
      <x:c r="G71" s="184" t="s">
        <x:v>2225</x:v>
      </x:c>
      <x:c r="H71" s="178" t="s">
        <x:v>20</x:v>
      </x:c>
      <x:c r="I71" s="185" t="s">
        <x:v>2226</x:v>
      </x:c>
      <x:c r="J71" s="200" t="s">
        <x:v>2398</x:v>
      </x:c>
      <x:c r="K71" s="187">
        <x:v>50000</x:v>
      </x:c>
      <x:c r="L71" s="178" t="s">
        <x:v>179</x:v>
      </x:c>
      <x:c r="M71" s="178"/>
      <x:c r="N71" s="178"/>
      <x:c r="O71" s="185" t="s">
        <x:v>2228</x:v>
      </x:c>
      <x:c r="P71" s="188"/>
      <x:c r="Q71" s="76" t="s">
        <x:v>2229</x:v>
      </x:c>
      <x:c r="R71" s="181"/>
      <x:c r="S71" s="191" t="s">
        <x:v>2430</x:v>
      </x:c>
    </x:row>
    <x:row r="72">
      <x:c r="A72" s="178">
        <x:v>2020</x:v>
      </x:c>
      <x:c r="B72" s="178" t="s">
        <x:v>383</x:v>
      </x:c>
      <x:c r="C72" s="76" t="s">
        <x:v>2231</x:v>
      </x:c>
      <x:c r="D72" s="178" t="s">
        <x:v>2431</x:v>
      </x:c>
      <x:c r="E72" s="192">
        <x:v>41160001</x:v>
      </x:c>
      <x:c r="F72" s="185" t="s">
        <x:v>2233</x:v>
      </x:c>
      <x:c r="G72" s="184" t="s">
        <x:v>2234</x:v>
      </x:c>
      <x:c r="H72" s="178" t="s">
        <x:v>20</x:v>
      </x:c>
      <x:c r="I72" s="185" t="s">
        <x:v>2226</x:v>
      </x:c>
      <x:c r="J72" s="178">
        <x:v>3.6000305683202E+16</x:v>
      </x:c>
      <x:c r="K72" s="193">
        <x:v>100000</x:v>
      </x:c>
      <x:c r="L72" s="185" t="s">
        <x:v>21</x:v>
      </x:c>
      <x:c r="M72" s="185" t="s">
        <x:v>2235</x:v>
      </x:c>
      <x:c r="N72" s="178"/>
      <x:c r="O72" s="178" t="s">
        <x:v>2245</x:v>
      </x:c>
      <x:c r="P72" s="178" t="s">
        <x:v>2228</x:v>
      </x:c>
      <x:c r="Q72" s="76" t="s">
        <x:v>2237</x:v>
      </x:c>
      <x:c r="R72" s="194" t="s">
        <x:v>2432</x:v>
      </x:c>
      <x:c r="S72" s="181" t="s">
        <x:v>2433</x:v>
      </x:c>
    </x:row>
    <x:row r="73">
      <x:c r="A73" s="178">
        <x:v>2019</x:v>
      </x:c>
      <x:c r="B73" s="178" t="s">
        <x:v>162</x:v>
      </x:c>
      <x:c r="C73" s="76" t="s">
        <x:v>164</x:v>
      </x:c>
      <x:c r="D73" s="181" t="s">
        <x:v>2434</x:v>
      </x:c>
      <x:c r="E73" s="192">
        <x:v>71220009</x:v>
      </x:c>
      <x:c r="F73" s="185" t="s">
        <x:v>2240</x:v>
      </x:c>
      <x:c r="G73" s="184" t="s">
        <x:v>2225</x:v>
      </x:c>
      <x:c r="H73" s="178" t="s">
        <x:v>20</x:v>
      </x:c>
      <x:c r="I73" s="185" t="s">
        <x:v>2226</x:v>
      </x:c>
      <x:c r="J73" s="188"/>
      <x:c r="K73" s="193">
        <x:v>250000</x:v>
      </x:c>
      <x:c r="L73" s="185" t="s">
        <x:v>21</x:v>
      </x:c>
      <x:c r="M73" s="185" t="s">
        <x:v>2235</x:v>
      </x:c>
      <x:c r="N73" s="188"/>
      <x:c r="O73" s="188"/>
      <x:c r="P73" s="185" t="s">
        <x:v>2228</x:v>
      </x:c>
      <x:c r="Q73" s="76" t="s">
        <x:v>174</x:v>
      </x:c>
      <x:c r="R73" s="194" t="s">
        <x:v>827</x:v>
      </x:c>
      <x:c r="S73" s="181" t="s">
        <x:v>2435</x:v>
      </x:c>
    </x:row>
    <x:row r="74">
      <x:c r="A74" s="178">
        <x:v>2020</x:v>
      </x:c>
      <x:c r="B74" s="183" t="s">
        <x:v>162</x:v>
      </x:c>
      <x:c r="C74" s="180" t="s">
        <x:v>164</x:v>
      </x:c>
      <x:c r="D74" s="181" t="s">
        <x:v>2223</x:v>
      </x:c>
      <x:c r="E74" s="182" t="s">
        <x:v>142</x:v>
      </x:c>
      <x:c r="F74" s="183" t="s">
        <x:v>2224</x:v>
      </x:c>
      <x:c r="G74" s="184" t="s">
        <x:v>2225</x:v>
      </x:c>
      <x:c r="H74" s="178" t="s">
        <x:v>20</x:v>
      </x:c>
      <x:c r="I74" s="185" t="s">
        <x:v>2226</x:v>
      </x:c>
      <x:c r="J74" s="186" t="s">
        <x:v>2436</x:v>
      </x:c>
      <x:c r="K74" s="187">
        <x:v>50000</x:v>
      </x:c>
      <x:c r="L74" s="178" t="s">
        <x:v>179</x:v>
      </x:c>
      <x:c r="M74" s="178"/>
      <x:c r="N74" s="178"/>
      <x:c r="O74" s="185" t="s">
        <x:v>2228</x:v>
      </x:c>
      <x:c r="P74" s="188"/>
      <x:c r="Q74" s="76" t="s">
        <x:v>2229</x:v>
      </x:c>
      <x:c r="R74" s="189"/>
      <x:c r="S74" s="191" t="s">
        <x:v>2437</x:v>
      </x:c>
    </x:row>
    <x:row r="75">
      <x:c r="A75" s="178">
        <x:v>2020</x:v>
      </x:c>
      <x:c r="B75" s="183" t="s">
        <x:v>51</x:v>
      </x:c>
      <x:c r="C75" s="195" t="s">
        <x:v>1331</x:v>
      </x:c>
      <x:c r="D75" s="178" t="s">
        <x:v>2438</x:v>
      </x:c>
      <x:c r="E75" s="192">
        <x:v>41160005</x:v>
      </x:c>
      <x:c r="F75" s="185" t="s">
        <x:v>2233</x:v>
      </x:c>
      <x:c r="G75" s="184" t="s">
        <x:v>2225</x:v>
      </x:c>
      <x:c r="H75" s="178" t="s">
        <x:v>20</x:v>
      </x:c>
      <x:c r="I75" s="185" t="s">
        <x:v>2226</x:v>
      </x:c>
      <x:c r="J75" s="188"/>
      <x:c r="K75" s="193">
        <x:v>300000</x:v>
      </x:c>
      <x:c r="L75" s="185" t="s">
        <x:v>21</x:v>
      </x:c>
      <x:c r="M75" s="185" t="s">
        <x:v>2235</x:v>
      </x:c>
      <x:c r="N75" s="188"/>
      <x:c r="O75" s="185" t="s">
        <x:v>2343</x:v>
      </x:c>
      <x:c r="P75" s="185" t="s">
        <x:v>49</x:v>
      </x:c>
      <x:c r="Q75" s="76" t="s">
        <x:v>174</x:v>
      </x:c>
      <x:c r="R75" s="194" t="s">
        <x:v>2439</x:v>
      </x:c>
      <x:c r="S75" s="181" t="s">
        <x:v>2440</x:v>
      </x:c>
    </x:row>
    <x:row r="76">
      <x:c r="A76" s="178">
        <x:v>2020</x:v>
      </x:c>
      <x:c r="B76" s="183" t="s">
        <x:v>51</x:v>
      </x:c>
      <x:c r="C76" s="195" t="s">
        <x:v>1334</x:v>
      </x:c>
      <x:c r="D76" s="178" t="s">
        <x:v>2438</x:v>
      </x:c>
      <x:c r="E76" s="192">
        <x:v>41160005</x:v>
      </x:c>
      <x:c r="F76" s="185" t="s">
        <x:v>2233</x:v>
      </x:c>
      <x:c r="G76" s="184" t="s">
        <x:v>2225</x:v>
      </x:c>
      <x:c r="H76" s="178" t="s">
        <x:v>20</x:v>
      </x:c>
      <x:c r="I76" s="185" t="s">
        <x:v>2226</x:v>
      </x:c>
      <x:c r="J76" s="178">
        <x:v>3.6000314987202E+16</x:v>
      </x:c>
      <x:c r="K76" s="193">
        <x:v>300000</x:v>
      </x:c>
      <x:c r="L76" s="185" t="s">
        <x:v>21</x:v>
      </x:c>
      <x:c r="M76" s="185" t="s">
        <x:v>2235</x:v>
      </x:c>
      <x:c r="N76" s="188"/>
      <x:c r="O76" s="185" t="s">
        <x:v>2343</x:v>
      </x:c>
      <x:c r="P76" s="185" t="s">
        <x:v>49</x:v>
      </x:c>
      <x:c r="Q76" s="76" t="s">
        <x:v>174</x:v>
      </x:c>
      <x:c r="R76" s="194" t="s">
        <x:v>2441</x:v>
      </x:c>
      <x:c r="S76" s="181" t="s">
        <x:v>2442</x:v>
      </x:c>
    </x:row>
    <x:row r="77">
      <x:c r="A77" s="178">
        <x:v>2020</x:v>
      </x:c>
      <x:c r="B77" s="183" t="s">
        <x:v>51</x:v>
      </x:c>
      <x:c r="C77" s="195" t="s">
        <x:v>94</x:v>
      </x:c>
      <x:c r="D77" s="178" t="s">
        <x:v>2438</x:v>
      </x:c>
      <x:c r="E77" s="192">
        <x:v>41160005</x:v>
      </x:c>
      <x:c r="F77" s="185" t="s">
        <x:v>2233</x:v>
      </x:c>
      <x:c r="G77" s="184" t="s">
        <x:v>2225</x:v>
      </x:c>
      <x:c r="H77" s="178" t="s">
        <x:v>20</x:v>
      </x:c>
      <x:c r="I77" s="185" t="s">
        <x:v>2226</x:v>
      </x:c>
      <x:c r="J77" s="178">
        <x:v>3.6000314987202E+16</x:v>
      </x:c>
      <x:c r="K77" s="193">
        <x:v>40000</x:v>
      </x:c>
      <x:c r="L77" s="185" t="s">
        <x:v>21</x:v>
      </x:c>
      <x:c r="M77" s="185" t="s">
        <x:v>2235</x:v>
      </x:c>
      <x:c r="N77" s="188"/>
      <x:c r="O77" s="185" t="s">
        <x:v>2343</x:v>
      </x:c>
      <x:c r="P77" s="185" t="s">
        <x:v>49</x:v>
      </x:c>
      <x:c r="Q77" s="76" t="s">
        <x:v>174</x:v>
      </x:c>
      <x:c r="R77" s="194" t="s">
        <x:v>2443</x:v>
      </x:c>
      <x:c r="S77" s="181" t="s">
        <x:v>2444</x:v>
      </x:c>
    </x:row>
    <x:row r="78">
      <x:c r="A78" s="178">
        <x:v>2020</x:v>
      </x:c>
      <x:c r="B78" s="178" t="s">
        <x:v>51</x:v>
      </x:c>
      <x:c r="C78" s="76" t="s">
        <x:v>1513</x:v>
      </x:c>
      <x:c r="D78" s="178" t="s">
        <x:v>2438</x:v>
      </x:c>
      <x:c r="E78" s="192">
        <x:v>41160005</x:v>
      </x:c>
      <x:c r="F78" s="185" t="s">
        <x:v>2233</x:v>
      </x:c>
      <x:c r="G78" s="184" t="s">
        <x:v>2225</x:v>
      </x:c>
      <x:c r="H78" s="178" t="s">
        <x:v>20</x:v>
      </x:c>
      <x:c r="I78" s="185" t="s">
        <x:v>2226</x:v>
      </x:c>
      <x:c r="J78" s="238">
        <x:v>3.6000310549202E+16</x:v>
      </x:c>
      <x:c r="K78" s="193">
        <x:v>360000</x:v>
      </x:c>
      <x:c r="L78" s="185" t="s">
        <x:v>21</x:v>
      </x:c>
      <x:c r="M78" s="185" t="s">
        <x:v>2235</x:v>
      </x:c>
      <x:c r="N78" s="188"/>
      <x:c r="O78" s="185" t="s">
        <x:v>2343</x:v>
      </x:c>
      <x:c r="P78" s="185" t="s">
        <x:v>49</x:v>
      </x:c>
      <x:c r="Q78" s="76" t="s">
        <x:v>174</x:v>
      </x:c>
      <x:c r="R78" s="194" t="s">
        <x:v>2445</x:v>
      </x:c>
      <x:c r="S78" s="181" t="s">
        <x:v>2446</x:v>
      </x:c>
    </x:row>
    <x:row r="79">
      <x:c r="A79" s="185">
        <x:v>2020</x:v>
      </x:c>
      <x:c r="B79" s="179" t="s">
        <x:v>51</x:v>
      </x:c>
      <x:c r="C79" s="210" t="s">
        <x:v>2447</x:v>
      </x:c>
      <x:c r="D79" s="251" t="s">
        <x:v>2448</x:v>
      </x:c>
      <x:c r="E79" s="252">
        <x:v>71220004</x:v>
      </x:c>
      <x:c r="F79" s="185" t="s">
        <x:v>2449</x:v>
      </x:c>
      <x:c r="G79" s="214" t="s">
        <x:v>2302</x:v>
      </x:c>
      <x:c r="H79" s="185" t="s">
        <x:v>32</x:v>
      </x:c>
      <x:c r="I79" s="185" t="s">
        <x:v>2303</x:v>
      </x:c>
      <x:c r="J79" s="188"/>
      <x:c r="K79" s="205">
        <x:v>886000</x:v>
      </x:c>
      <x:c r="L79" s="178" t="s">
        <x:v>179</x:v>
      </x:c>
      <x:c r="M79" s="188"/>
      <x:c r="N79" s="188"/>
      <x:c r="O79" s="188"/>
      <x:c r="P79" s="188"/>
      <x:c r="Q79" s="210" t="s">
        <x:v>2450</x:v>
      </x:c>
      <x:c r="R79" s="253"/>
      <x:c r="S79" s="218" t="s">
        <x:v>2451</x:v>
      </x:c>
    </x:row>
    <x:row r="80">
      <x:c r="A80" s="178">
        <x:v>2020</x:v>
      </x:c>
      <x:c r="B80" s="178" t="s">
        <x:v>51</x:v>
      </x:c>
      <x:c r="C80" s="76" t="s">
        <x:v>2302</x:v>
      </x:c>
      <x:c r="D80" s="181" t="s">
        <x:v>2452</x:v>
      </x:c>
      <x:c r="E80" s="254">
        <x:v>41160010</x:v>
      </x:c>
      <x:c r="F80" s="185" t="s">
        <x:v>2256</x:v>
      </x:c>
      <x:c r="G80" s="184" t="s">
        <x:v>2453</x:v>
      </x:c>
      <x:c r="H80" s="178" t="s">
        <x:v>32</x:v>
      </x:c>
      <x:c r="I80" s="210" t="s">
        <x:v>2303</x:v>
      </x:c>
      <x:c r="J80" s="178" t="s">
        <x:v>2454</x:v>
      </x:c>
      <x:c r="K80" s="255">
        <x:v>641914</x:v>
      </x:c>
      <x:c r="L80" s="185" t="s">
        <x:v>21</x:v>
      </x:c>
      <x:c r="M80" s="185" t="s">
        <x:v>2418</x:v>
      </x:c>
      <x:c r="N80" s="178"/>
      <x:c r="O80" s="178" t="s">
        <x:v>2455</x:v>
      </x:c>
      <x:c r="P80" s="188"/>
      <x:c r="Q80" s="72" t="s">
        <x:v>2456</x:v>
      </x:c>
      <x:c r="R80" s="225" t="s">
        <x:v>2457</x:v>
      </x:c>
      <x:c r="S80" s="188"/>
    </x:row>
    <x:row r="81">
      <x:c r="A81" s="178">
        <x:v>2020</x:v>
      </x:c>
      <x:c r="B81" s="178" t="s">
        <x:v>51</x:v>
      </x:c>
      <x:c r="C81" s="76" t="s">
        <x:v>2302</x:v>
      </x:c>
      <x:c r="D81" s="181" t="s">
        <x:v>2452</x:v>
      </x:c>
      <x:c r="E81" s="254">
        <x:v>41160006</x:v>
      </x:c>
      <x:c r="F81" s="185" t="s">
        <x:v>2256</x:v>
      </x:c>
      <x:c r="G81" s="184" t="s">
        <x:v>2453</x:v>
      </x:c>
      <x:c r="H81" s="178" t="s">
        <x:v>32</x:v>
      </x:c>
      <x:c r="I81" s="210" t="s">
        <x:v>2303</x:v>
      </x:c>
      <x:c r="J81" s="178" t="s">
        <x:v>2458</x:v>
      </x:c>
      <x:c r="K81" s="255">
        <x:v>261914</x:v>
      </x:c>
      <x:c r="L81" s="185" t="s">
        <x:v>21</x:v>
      </x:c>
      <x:c r="M81" s="185" t="s">
        <x:v>2418</x:v>
      </x:c>
      <x:c r="N81" s="178"/>
      <x:c r="O81" s="178" t="s">
        <x:v>2455</x:v>
      </x:c>
      <x:c r="P81" s="188"/>
      <x:c r="Q81" s="72" t="s">
        <x:v>2456</x:v>
      </x:c>
      <x:c r="R81" s="225" t="s">
        <x:v>2457</x:v>
      </x:c>
      <x:c r="S81" s="75"/>
    </x:row>
    <x:row r="82">
      <x:c r="A82" s="178">
        <x:v>2020</x:v>
      </x:c>
      <x:c r="B82" s="178" t="s">
        <x:v>51</x:v>
      </x:c>
      <x:c r="C82" s="76" t="s">
        <x:v>2302</x:v>
      </x:c>
      <x:c r="D82" s="181" t="s">
        <x:v>2452</x:v>
      </x:c>
      <x:c r="E82" s="254">
        <x:v>41160012</x:v>
      </x:c>
      <x:c r="F82" s="185" t="s">
        <x:v>2256</x:v>
      </x:c>
      <x:c r="G82" s="184" t="s">
        <x:v>2453</x:v>
      </x:c>
      <x:c r="H82" s="178" t="s">
        <x:v>32</x:v>
      </x:c>
      <x:c r="I82" s="210" t="s">
        <x:v>2303</x:v>
      </x:c>
      <x:c r="J82" s="178" t="s">
        <x:v>2459</x:v>
      </x:c>
      <x:c r="K82" s="193">
        <x:v>500000</x:v>
      </x:c>
      <x:c r="L82" s="185" t="s">
        <x:v>21</x:v>
      </x:c>
      <x:c r="M82" s="185" t="s">
        <x:v>2418</x:v>
      </x:c>
      <x:c r="N82" s="178"/>
      <x:c r="O82" s="178" t="s">
        <x:v>2455</x:v>
      </x:c>
      <x:c r="P82" s="188"/>
      <x:c r="Q82" s="72" t="s">
        <x:v>2456</x:v>
      </x:c>
      <x:c r="R82" s="225" t="s">
        <x:v>2457</x:v>
      </x:c>
      <x:c r="S82" s="75"/>
    </x:row>
    <x:row r="83">
      <x:c r="A83" s="178">
        <x:v>2020</x:v>
      </x:c>
      <x:c r="B83" s="178" t="s">
        <x:v>51</x:v>
      </x:c>
      <x:c r="C83" s="76" t="s">
        <x:v>2302</x:v>
      </x:c>
      <x:c r="D83" s="181" t="s">
        <x:v>2452</x:v>
      </x:c>
      <x:c r="E83" s="254">
        <x:v>41160010</x:v>
      </x:c>
      <x:c r="F83" s="185" t="s">
        <x:v>2256</x:v>
      </x:c>
      <x:c r="G83" s="184" t="s">
        <x:v>2453</x:v>
      </x:c>
      <x:c r="H83" s="178" t="s">
        <x:v>32</x:v>
      </x:c>
      <x:c r="I83" s="210" t="s">
        <x:v>2303</x:v>
      </x:c>
      <x:c r="J83" s="178" t="s">
        <x:v>2460</x:v>
      </x:c>
      <x:c r="K83" s="257">
        <x:v>857825</x:v>
      </x:c>
      <x:c r="L83" s="185" t="s">
        <x:v>21</x:v>
      </x:c>
      <x:c r="M83" s="185" t="s">
        <x:v>2418</x:v>
      </x:c>
      <x:c r="N83" s="178"/>
      <x:c r="O83" s="178" t="s">
        <x:v>2455</x:v>
      </x:c>
      <x:c r="P83" s="188"/>
      <x:c r="Q83" s="76" t="s">
        <x:v>2456</x:v>
      </x:c>
      <x:c r="R83" s="225" t="s">
        <x:v>2457</x:v>
      </x:c>
      <x:c r="S83" s="75"/>
    </x:row>
    <x:row r="84">
      <x:c r="A84" s="178">
        <x:v>2020</x:v>
      </x:c>
      <x:c r="B84" s="178" t="s">
        <x:v>51</x:v>
      </x:c>
      <x:c r="C84" s="76" t="s">
        <x:v>2302</x:v>
      </x:c>
      <x:c r="D84" s="181" t="s">
        <x:v>2452</x:v>
      </x:c>
      <x:c r="E84" s="213" t="s">
        <x:v>2461</x:v>
      </x:c>
      <x:c r="F84" s="185" t="s">
        <x:v>2256</x:v>
      </x:c>
      <x:c r="G84" s="184" t="s">
        <x:v>2453</x:v>
      </x:c>
      <x:c r="H84" s="178" t="s">
        <x:v>32</x:v>
      </x:c>
      <x:c r="I84" s="210" t="s">
        <x:v>2303</x:v>
      </x:c>
      <x:c r="J84" s="178" t="s">
        <x:v>2462</x:v>
      </x:c>
      <x:c r="K84" s="193">
        <x:v>1000000</x:v>
      </x:c>
      <x:c r="L84" s="185" t="s">
        <x:v>21</x:v>
      </x:c>
      <x:c r="M84" s="185" t="s">
        <x:v>2418</x:v>
      </x:c>
      <x:c r="N84" s="178"/>
      <x:c r="O84" s="178" t="s">
        <x:v>2455</x:v>
      </x:c>
      <x:c r="P84" s="188"/>
      <x:c r="Q84" s="76" t="s">
        <x:v>2456</x:v>
      </x:c>
      <x:c r="R84" s="259" t="s">
        <x:v>2457</x:v>
      </x:c>
      <x:c r="S84" s="75"/>
    </x:row>
    <x:row r="85">
      <x:c r="A85" s="185">
        <x:v>2020</x:v>
      </x:c>
      <x:c r="B85" s="178" t="s">
        <x:v>2463</x:v>
      </x:c>
      <x:c r="C85" s="78" t="s">
        <x:v>2464</x:v>
      </x:c>
      <x:c r="D85" s="251" t="s">
        <x:v>2465</x:v>
      </x:c>
      <x:c r="E85" s="254">
        <x:v>41160004</x:v>
      </x:c>
      <x:c r="F85" s="260" t="s">
        <x:v>2256</x:v>
      </x:c>
      <x:c r="G85" s="261" t="s">
        <x:v>2466</x:v>
      </x:c>
      <x:c r="H85" s="251" t="s">
        <x:v>2467</x:v>
      </x:c>
      <x:c r="I85" s="210" t="s">
        <x:v>2468</x:v>
      </x:c>
      <x:c r="J85" s="178" t="s">
        <x:v>2469</x:v>
      </x:c>
      <x:c r="K85" s="193">
        <x:v>300000</x:v>
      </x:c>
      <x:c r="L85" s="185" t="s">
        <x:v>21</x:v>
      </x:c>
      <x:c r="M85" s="185" t="s">
        <x:v>2418</x:v>
      </x:c>
      <x:c r="N85" s="178"/>
      <x:c r="O85" s="178" t="s">
        <x:v>2455</x:v>
      </x:c>
      <x:c r="P85" s="188"/>
      <x:c r="Q85" s="76" t="s">
        <x:v>2470</x:v>
      </x:c>
      <x:c r="R85" s="225" t="s">
        <x:v>2471</x:v>
      </x:c>
      <x:c r="S85" s="75"/>
    </x:row>
    <x:row r="86">
      <x:c r="A86" s="178">
        <x:v>2020</x:v>
      </x:c>
      <x:c r="B86" s="178" t="s">
        <x:v>2472</x:v>
      </x:c>
      <x:c r="C86" s="78" t="s">
        <x:v>2464</x:v>
      </x:c>
      <x:c r="D86" s="181" t="s">
        <x:v>2473</x:v>
      </x:c>
      <x:c r="E86" s="192">
        <x:v>41160004</x:v>
      </x:c>
      <x:c r="F86" s="185" t="s">
        <x:v>2256</x:v>
      </x:c>
      <x:c r="G86" s="184" t="s">
        <x:v>2466</x:v>
      </x:c>
      <x:c r="H86" s="251" t="s">
        <x:v>2467</x:v>
      </x:c>
      <x:c r="I86" s="210" t="s">
        <x:v>2468</x:v>
      </x:c>
      <x:c r="J86" s="178" t="s">
        <x:v>2474</x:v>
      </x:c>
      <x:c r="K86" s="193">
        <x:v>300000</x:v>
      </x:c>
      <x:c r="L86" s="185" t="s">
        <x:v>21</x:v>
      </x:c>
      <x:c r="M86" s="185" t="s">
        <x:v>2305</x:v>
      </x:c>
      <x:c r="N86" s="178"/>
      <x:c r="O86" s="283" t="s">
        <x:v>2475</x:v>
      </x:c>
      <x:c r="P86" s="282"/>
      <x:c r="Q86" s="76" t="s">
        <x:v>2470</x:v>
      </x:c>
      <x:c r="R86" s="225" t="s">
        <x:v>2326</x:v>
      </x:c>
      <x:c r="S86" s="75"/>
    </x:row>
    <x:row r="87">
      <x:c r="A87" s="178">
        <x:v>2020</x:v>
      </x:c>
      <x:c r="B87" s="183" t="s">
        <x:v>198</x:v>
      </x:c>
      <x:c r="C87" s="180" t="s">
        <x:v>2370</x:v>
      </x:c>
      <x:c r="D87" s="181" t="s">
        <x:v>2223</x:v>
      </x:c>
      <x:c r="E87" s="182" t="s">
        <x:v>142</x:v>
      </x:c>
      <x:c r="F87" s="183" t="s">
        <x:v>2224</x:v>
      </x:c>
      <x:c r="G87" s="184" t="s">
        <x:v>2225</x:v>
      </x:c>
      <x:c r="H87" s="178" t="s">
        <x:v>20</x:v>
      </x:c>
      <x:c r="I87" s="185" t="s">
        <x:v>2226</x:v>
      </x:c>
      <x:c r="J87" s="186" t="s">
        <x:v>2371</x:v>
      </x:c>
      <x:c r="K87" s="187">
        <x:v>50000</x:v>
      </x:c>
      <x:c r="L87" s="178" t="s">
        <x:v>179</x:v>
      </x:c>
      <x:c r="M87" s="178"/>
      <x:c r="N87" s="178"/>
      <x:c r="O87" s="185" t="s">
        <x:v>2228</x:v>
      </x:c>
      <x:c r="P87" s="188"/>
      <x:c r="Q87" s="76" t="s">
        <x:v>2229</x:v>
      </x:c>
      <x:c r="R87" s="181"/>
      <x:c r="S87" s="191" t="s">
        <x:v>2476</x:v>
      </x:c>
    </x:row>
    <x:row r="88">
      <x:c r="A88" s="178">
        <x:v>2020</x:v>
      </x:c>
      <x:c r="B88" s="178" t="s">
        <x:v>528</x:v>
      </x:c>
      <x:c r="C88" s="76" t="s">
        <x:v>530</x:v>
      </x:c>
      <x:c r="D88" s="178" t="s">
        <x:v>2223</x:v>
      </x:c>
      <x:c r="E88" s="192">
        <x:v>41160005</x:v>
      </x:c>
      <x:c r="F88" s="185" t="s">
        <x:v>2240</x:v>
      </x:c>
      <x:c r="G88" s="184" t="s">
        <x:v>2225</x:v>
      </x:c>
      <x:c r="H88" s="178" t="s">
        <x:v>20</x:v>
      </x:c>
      <x:c r="I88" s="185" t="s">
        <x:v>2226</x:v>
      </x:c>
      <x:c r="J88" s="238">
        <x:v>3.6000310549202E+16</x:v>
      </x:c>
      <x:c r="K88" s="205">
        <x:v>114000</x:v>
      </x:c>
      <x:c r="L88" s="185" t="s">
        <x:v>21</x:v>
      </x:c>
      <x:c r="M88" s="185" t="s">
        <x:v>2235</x:v>
      </x:c>
      <x:c r="N88" s="188"/>
      <x:c r="O88" s="185" t="s">
        <x:v>2343</x:v>
      </x:c>
      <x:c r="P88" s="185" t="s">
        <x:v>49</x:v>
      </x:c>
      <x:c r="Q88" s="76" t="s">
        <x:v>174</x:v>
      </x:c>
      <x:c r="R88" s="248"/>
      <x:c r="S88" s="188"/>
    </x:row>
    <x:row r="89">
      <x:c r="A89" s="178">
        <x:v>2020</x:v>
      </x:c>
      <x:c r="B89" s="183" t="s">
        <x:v>165</x:v>
      </x:c>
      <x:c r="C89" s="180" t="s">
        <x:v>167</x:v>
      </x:c>
      <x:c r="D89" s="181" t="s">
        <x:v>2223</x:v>
      </x:c>
      <x:c r="E89" s="231" t="s">
        <x:v>142</x:v>
      </x:c>
      <x:c r="F89" s="183" t="s">
        <x:v>2224</x:v>
      </x:c>
      <x:c r="G89" s="184" t="s">
        <x:v>2225</x:v>
      </x:c>
      <x:c r="H89" s="178" t="s">
        <x:v>20</x:v>
      </x:c>
      <x:c r="I89" s="185" t="s">
        <x:v>2226</x:v>
      </x:c>
      <x:c r="J89" s="186" t="s">
        <x:v>2477</x:v>
      </x:c>
      <x:c r="K89" s="187">
        <x:v>50000</x:v>
      </x:c>
      <x:c r="L89" s="178" t="s">
        <x:v>179</x:v>
      </x:c>
      <x:c r="M89" s="178"/>
      <x:c r="N89" s="178"/>
      <x:c r="O89" s="185" t="s">
        <x:v>2228</x:v>
      </x:c>
      <x:c r="P89" s="188"/>
      <x:c r="Q89" s="76" t="s">
        <x:v>2229</x:v>
      </x:c>
      <x:c r="R89" s="189"/>
      <x:c r="S89" s="191" t="s">
        <x:v>2478</x:v>
      </x:c>
    </x:row>
    <x:row r="90">
      <x:c r="A90" s="178">
        <x:v>2019</x:v>
      </x:c>
      <x:c r="B90" s="178" t="s">
        <x:v>168</x:v>
      </x:c>
      <x:c r="C90" s="76" t="s">
        <x:v>170</x:v>
      </x:c>
      <x:c r="D90" s="181" t="s">
        <x:v>2479</x:v>
      </x:c>
      <x:c r="E90" s="192">
        <x:v>71220009</x:v>
      </x:c>
      <x:c r="F90" s="185" t="s">
        <x:v>2240</x:v>
      </x:c>
      <x:c r="G90" s="184" t="s">
        <x:v>2225</x:v>
      </x:c>
      <x:c r="H90" s="178" t="s">
        <x:v>20</x:v>
      </x:c>
      <x:c r="I90" s="185" t="s">
        <x:v>2226</x:v>
      </x:c>
      <x:c r="J90" s="188"/>
      <x:c r="K90" s="193">
        <x:v>250000</x:v>
      </x:c>
      <x:c r="L90" s="185" t="s">
        <x:v>21</x:v>
      </x:c>
      <x:c r="M90" s="185" t="s">
        <x:v>2235</x:v>
      </x:c>
      <x:c r="N90" s="188"/>
      <x:c r="O90" s="188"/>
      <x:c r="P90" s="185" t="s">
        <x:v>2228</x:v>
      </x:c>
      <x:c r="Q90" s="76" t="s">
        <x:v>174</x:v>
      </x:c>
      <x:c r="R90" s="194" t="s">
        <x:v>2480</x:v>
      </x:c>
      <x:c r="S90" s="181" t="s">
        <x:v>2481</x:v>
      </x:c>
    </x:row>
    <x:row r="91">
      <x:c r="A91" s="178">
        <x:v>2020</x:v>
      </x:c>
      <x:c r="B91" s="183" t="s">
        <x:v>168</x:v>
      </x:c>
      <x:c r="C91" s="180" t="s">
        <x:v>170</x:v>
      </x:c>
      <x:c r="D91" s="181" t="s">
        <x:v>2223</x:v>
      </x:c>
      <x:c r="E91" s="182" t="s">
        <x:v>142</x:v>
      </x:c>
      <x:c r="F91" s="183" t="s">
        <x:v>2224</x:v>
      </x:c>
      <x:c r="G91" s="184" t="s">
        <x:v>2225</x:v>
      </x:c>
      <x:c r="H91" s="178" t="s">
        <x:v>20</x:v>
      </x:c>
      <x:c r="I91" s="185" t="s">
        <x:v>2226</x:v>
      </x:c>
      <x:c r="J91" s="186" t="s">
        <x:v>2482</x:v>
      </x:c>
      <x:c r="K91" s="187">
        <x:v>50000</x:v>
      </x:c>
      <x:c r="L91" s="178" t="s">
        <x:v>179</x:v>
      </x:c>
      <x:c r="M91" s="178"/>
      <x:c r="N91" s="178"/>
      <x:c r="O91" s="185" t="s">
        <x:v>2228</x:v>
      </x:c>
      <x:c r="P91" s="188"/>
      <x:c r="Q91" s="76" t="s">
        <x:v>2229</x:v>
      </x:c>
      <x:c r="R91" s="189"/>
      <x:c r="S91" s="191" t="s">
        <x:v>2483</x:v>
      </x:c>
    </x:row>
    <x:row r="92">
      <x:c r="A92" s="178">
        <x:v>2020</x:v>
      </x:c>
      <x:c r="B92" s="178" t="s">
        <x:v>793</x:v>
      </x:c>
      <x:c r="C92" s="76" t="s">
        <x:v>795</x:v>
      </x:c>
      <x:c r="D92" s="178" t="s">
        <x:v>2223</x:v>
      </x:c>
      <x:c r="E92" s="192">
        <x:v>41160005</x:v>
      </x:c>
      <x:c r="F92" s="185" t="s">
        <x:v>2240</x:v>
      </x:c>
      <x:c r="G92" s="184" t="s">
        <x:v>2225</x:v>
      </x:c>
      <x:c r="H92" s="178" t="s">
        <x:v>20</x:v>
      </x:c>
      <x:c r="I92" s="185" t="s">
        <x:v>2226</x:v>
      </x:c>
      <x:c r="J92" s="185">
        <x:v>3.6000317672202E+16</x:v>
      </x:c>
      <x:c r="K92" s="205">
        <x:v>200000</x:v>
      </x:c>
      <x:c r="L92" s="185" t="s">
        <x:v>21</x:v>
      </x:c>
      <x:c r="M92" s="185" t="s">
        <x:v>2235</x:v>
      </x:c>
      <x:c r="N92" s="188"/>
      <x:c r="O92" s="185" t="s">
        <x:v>2343</x:v>
      </x:c>
      <x:c r="P92" s="185" t="s">
        <x:v>1471</x:v>
      </x:c>
      <x:c r="Q92" s="76" t="s">
        <x:v>174</x:v>
      </x:c>
      <x:c r="R92" s="194" t="s">
        <x:v>2484</x:v>
      </x:c>
      <x:c r="S92" s="181" t="s">
        <x:v>2485</x:v>
      </x:c>
    </x:row>
    <x:row r="93">
      <x:c r="A93" s="178">
        <x:v>2020</x:v>
      </x:c>
      <x:c r="B93" s="183" t="s">
        <x:v>452</x:v>
      </x:c>
      <x:c r="C93" s="195" t="s">
        <x:v>798</x:v>
      </x:c>
      <x:c r="D93" s="178" t="s">
        <x:v>2486</x:v>
      </x:c>
      <x:c r="E93" s="192">
        <x:v>41160005</x:v>
      </x:c>
      <x:c r="F93" s="185" t="s">
        <x:v>2233</x:v>
      </x:c>
      <x:c r="G93" s="184" t="s">
        <x:v>2225</x:v>
      </x:c>
      <x:c r="H93" s="178" t="s">
        <x:v>20</x:v>
      </x:c>
      <x:c r="I93" s="185" t="s">
        <x:v>2226</x:v>
      </x:c>
      <x:c r="J93" s="178">
        <x:v>3.6000312477202E+16</x:v>
      </x:c>
      <x:c r="K93" s="193">
        <x:v>200000</x:v>
      </x:c>
      <x:c r="L93" s="185" t="s">
        <x:v>21</x:v>
      </x:c>
      <x:c r="M93" s="185" t="s">
        <x:v>2235</x:v>
      </x:c>
      <x:c r="N93" s="178"/>
      <x:c r="O93" s="193">
        <x:v>200000</x:v>
      </x:c>
      <x:c r="P93" s="178" t="s">
        <x:v>2228</x:v>
      </x:c>
      <x:c r="Q93" s="76" t="s">
        <x:v>174</x:v>
      </x:c>
      <x:c r="R93" s="194" t="s">
        <x:v>2487</x:v>
      </x:c>
      <x:c r="S93" s="181" t="s">
        <x:v>2488</x:v>
      </x:c>
    </x:row>
    <x:row r="94">
      <x:c r="A94" s="178">
        <x:v>2020</x:v>
      </x:c>
      <x:c r="B94" s="183" t="s">
        <x:v>83</x:v>
      </x:c>
      <x:c r="C94" s="195" t="s">
        <x:v>1153</x:v>
      </x:c>
      <x:c r="D94" s="178" t="s">
        <x:v>2223</x:v>
      </x:c>
      <x:c r="E94" s="192">
        <x:v>41160005</x:v>
      </x:c>
      <x:c r="F94" s="185" t="s">
        <x:v>2240</x:v>
      </x:c>
      <x:c r="G94" s="184" t="s">
        <x:v>2225</x:v>
      </x:c>
      <x:c r="H94" s="178" t="s">
        <x:v>20</x:v>
      </x:c>
      <x:c r="I94" s="185" t="s">
        <x:v>2226</x:v>
      </x:c>
      <x:c r="J94" s="185">
        <x:v>3.6000317672202E+16</x:v>
      </x:c>
      <x:c r="K94" s="205">
        <x:v>250000</x:v>
      </x:c>
      <x:c r="L94" s="185" t="s">
        <x:v>21</x:v>
      </x:c>
      <x:c r="M94" s="185" t="s">
        <x:v>2235</x:v>
      </x:c>
      <x:c r="N94" s="188"/>
      <x:c r="O94" s="185" t="s">
        <x:v>2343</x:v>
      </x:c>
      <x:c r="P94" s="185" t="s">
        <x:v>49</x:v>
      </x:c>
      <x:c r="Q94" s="76" t="s">
        <x:v>174</x:v>
      </x:c>
      <x:c r="R94" s="194" t="s">
        <x:v>2489</x:v>
      </x:c>
      <x:c r="S94" s="181" t="s">
        <x:v>2490</x:v>
      </x:c>
    </x:row>
    <x:row r="95">
      <x:c r="A95" s="178">
        <x:v>2020</x:v>
      </x:c>
      <x:c r="B95" s="183" t="s">
        <x:v>200</x:v>
      </x:c>
      <x:c r="C95" s="180" t="s">
        <x:v>514</x:v>
      </x:c>
      <x:c r="D95" s="181" t="s">
        <x:v>2223</x:v>
      </x:c>
      <x:c r="E95" s="182" t="s">
        <x:v>142</x:v>
      </x:c>
      <x:c r="F95" s="183" t="s">
        <x:v>2224</x:v>
      </x:c>
      <x:c r="G95" s="184" t="s">
        <x:v>2225</x:v>
      </x:c>
      <x:c r="H95" s="178" t="s">
        <x:v>20</x:v>
      </x:c>
      <x:c r="I95" s="185" t="s">
        <x:v>2226</x:v>
      </x:c>
      <x:c r="J95" s="200" t="s">
        <x:v>2308</x:v>
      </x:c>
      <x:c r="K95" s="229">
        <x:v>50000</x:v>
      </x:c>
      <x:c r="L95" s="178" t="s">
        <x:v>179</x:v>
      </x:c>
      <x:c r="M95" s="178"/>
      <x:c r="N95" s="178"/>
      <x:c r="O95" s="185" t="s">
        <x:v>2228</x:v>
      </x:c>
      <x:c r="P95" s="188"/>
      <x:c r="Q95" s="76" t="s">
        <x:v>2229</x:v>
      </x:c>
      <x:c r="R95" s="222"/>
      <x:c r="S95" s="191" t="s">
        <x:v>2491</x:v>
      </x:c>
    </x:row>
    <x:row r="96">
      <x:c r="A96" s="210">
        <x:v>2019</x:v>
      </x:c>
      <x:c r="B96" s="183" t="s">
        <x:v>200</x:v>
      </x:c>
      <x:c r="C96" s="249" t="s">
        <x:v>2492</x:v>
      </x:c>
      <x:c r="D96" s="262" t="s">
        <x:v>2493</x:v>
      </x:c>
      <x:c r="E96" s="213"/>
      <x:c r="F96" s="185" t="s">
        <x:v>2256</x:v>
      </x:c>
      <x:c r="G96" s="214" t="s">
        <x:v>2302</x:v>
      </x:c>
      <x:c r="H96" s="210" t="s">
        <x:v>32</x:v>
      </x:c>
      <x:c r="I96" s="210" t="s">
        <x:v>2303</x:v>
      </x:c>
      <x:c r="J96" s="284" t="s">
        <x:v>2304</x:v>
      </x:c>
      <x:c r="K96" s="282"/>
      <x:c r="L96" s="185" t="s">
        <x:v>64</x:v>
      </x:c>
      <x:c r="M96" s="210" t="s">
        <x:v>2305</x:v>
      </x:c>
      <x:c r="N96" s="76"/>
      <x:c r="O96" s="76"/>
      <x:c r="P96" s="75"/>
      <x:c r="Q96" s="210" t="s">
        <x:v>305</x:v>
      </x:c>
      <x:c r="R96" s="263" t="s">
        <x:v>2494</x:v>
      </x:c>
      <x:c r="S96" s="218" t="s">
        <x:v>2495</x:v>
      </x:c>
    </x:row>
    <x:row r="97">
      <x:c r="A97" s="178">
        <x:v>2020</x:v>
      </x:c>
      <x:c r="B97" s="178" t="s">
        <x:v>611</x:v>
      </x:c>
      <x:c r="C97" s="76" t="s">
        <x:v>2231</x:v>
      </x:c>
      <x:c r="D97" s="178" t="s">
        <x:v>2496</x:v>
      </x:c>
      <x:c r="E97" s="192">
        <x:v>41160009</x:v>
      </x:c>
      <x:c r="F97" s="185" t="s">
        <x:v>2233</x:v>
      </x:c>
      <x:c r="G97" s="184" t="s">
        <x:v>2234</x:v>
      </x:c>
      <x:c r="H97" s="178" t="s">
        <x:v>20</x:v>
      </x:c>
      <x:c r="I97" s="185" t="s">
        <x:v>2226</x:v>
      </x:c>
      <x:c r="J97" s="178">
        <x:v>3.6000305619202E+16</x:v>
      </x:c>
      <x:c r="K97" s="193">
        <x:v>150000</x:v>
      </x:c>
      <x:c r="L97" s="185" t="s">
        <x:v>21</x:v>
      </x:c>
      <x:c r="M97" s="185" t="s">
        <x:v>2235</x:v>
      </x:c>
      <x:c r="N97" s="178"/>
      <x:c r="O97" s="178" t="s">
        <x:v>2413</x:v>
      </x:c>
      <x:c r="P97" s="178" t="s">
        <x:v>2228</x:v>
      </x:c>
      <x:c r="Q97" s="76" t="s">
        <x:v>2237</x:v>
      </x:c>
      <x:c r="R97" s="194" t="s">
        <x:v>2497</x:v>
      </x:c>
      <x:c r="S97" s="191" t="s">
        <x:v>2498</x:v>
      </x:c>
    </x:row>
    <x:row r="98">
      <x:c r="A98" s="178">
        <x:v>2020</x:v>
      </x:c>
      <x:c r="B98" s="183" t="s">
        <x:v>392</x:v>
      </x:c>
      <x:c r="C98" s="195" t="s">
        <x:v>2499</x:v>
      </x:c>
      <x:c r="D98" s="178" t="s">
        <x:v>2223</x:v>
      </x:c>
      <x:c r="E98" s="192">
        <x:v>41160005</x:v>
      </x:c>
      <x:c r="F98" s="185" t="s">
        <x:v>2240</x:v>
      </x:c>
      <x:c r="G98" s="184" t="s">
        <x:v>2225</x:v>
      </x:c>
      <x:c r="H98" s="178" t="s">
        <x:v>20</x:v>
      </x:c>
      <x:c r="I98" s="185" t="s">
        <x:v>2226</x:v>
      </x:c>
      <x:c r="J98" s="185">
        <x:v>3.6000317672202E+16</x:v>
      </x:c>
      <x:c r="K98" s="205">
        <x:v>100000</x:v>
      </x:c>
      <x:c r="L98" s="185" t="s">
        <x:v>21</x:v>
      </x:c>
      <x:c r="M98" s="185" t="s">
        <x:v>2235</x:v>
      </x:c>
      <x:c r="N98" s="188"/>
      <x:c r="O98" s="185" t="s">
        <x:v>2343</x:v>
      </x:c>
      <x:c r="P98" s="185" t="s">
        <x:v>49</x:v>
      </x:c>
      <x:c r="Q98" s="76" t="s">
        <x:v>174</x:v>
      </x:c>
      <x:c r="R98" s="194" t="s">
        <x:v>2500</x:v>
      </x:c>
      <x:c r="S98" s="181" t="s">
        <x:v>2501</x:v>
      </x:c>
    </x:row>
    <x:row r="99">
      <x:c r="A99" s="178">
        <x:v>2019</x:v>
      </x:c>
      <x:c r="B99" s="178" t="s">
        <x:v>2502</x:v>
      </x:c>
      <x:c r="C99" s="76" t="s">
        <x:v>1143</x:v>
      </x:c>
      <x:c r="D99" s="181" t="s">
        <x:v>2503</x:v>
      </x:c>
      <x:c r="E99" s="192">
        <x:v>71220009</x:v>
      </x:c>
      <x:c r="F99" s="185" t="s">
        <x:v>2240</x:v>
      </x:c>
      <x:c r="G99" s="184" t="s">
        <x:v>2225</x:v>
      </x:c>
      <x:c r="H99" s="178" t="s">
        <x:v>20</x:v>
      </x:c>
      <x:c r="I99" s="185" t="s">
        <x:v>2226</x:v>
      </x:c>
      <x:c r="J99" s="188"/>
      <x:c r="K99" s="193">
        <x:v>250000</x:v>
      </x:c>
      <x:c r="L99" s="185" t="s">
        <x:v>64</x:v>
      </x:c>
      <x:c r="M99" s="185" t="s">
        <x:v>2235</x:v>
      </x:c>
      <x:c r="N99" s="188"/>
      <x:c r="O99" s="188"/>
      <x:c r="P99" s="185" t="s">
        <x:v>2228</x:v>
      </x:c>
      <x:c r="Q99" s="76" t="s">
        <x:v>174</x:v>
      </x:c>
      <x:c r="R99" s="194" t="s">
        <x:v>2504</x:v>
      </x:c>
      <x:c r="S99" s="181" t="s">
        <x:v>2505</x:v>
      </x:c>
    </x:row>
    <x:row r="100">
      <x:c r="A100" s="178">
        <x:v>2019</x:v>
      </x:c>
      <x:c r="B100" s="178" t="s">
        <x:v>2506</x:v>
      </x:c>
      <x:c r="C100" s="76" t="s">
        <x:v>229</x:v>
      </x:c>
      <x:c r="D100" s="178"/>
      <x:c r="E100" s="192">
        <x:v>71220005</x:v>
      </x:c>
      <x:c r="F100" s="185" t="s">
        <x:v>2256</x:v>
      </x:c>
      <x:c r="G100" s="184" t="s">
        <x:v>2257</x:v>
      </x:c>
      <x:c r="H100" s="185" t="s">
        <x:v>32</x:v>
      </x:c>
      <x:c r="I100" s="178" t="s">
        <x:v>2258</x:v>
      </x:c>
      <x:c r="J100" s="178"/>
      <x:c r="K100" s="193">
        <x:v>54000</x:v>
      </x:c>
      <x:c r="L100" s="185" t="s">
        <x:v>64</x:v>
      </x:c>
      <x:c r="M100" s="185" t="s">
        <x:v>2259</x:v>
      </x:c>
      <x:c r="N100" s="178"/>
      <x:c r="O100" s="178" t="s">
        <x:v>2259</x:v>
      </x:c>
      <x:c r="P100" s="178"/>
      <x:c r="Q100" s="76" t="s">
        <x:v>131</x:v>
      </x:c>
      <x:c r="R100" s="268" t="s">
        <x:v>2507</x:v>
      </x:c>
      <x:c r="S100" s="181" t="s">
        <x:v>2508</x:v>
      </x:c>
    </x:row>
    <x:row r="101">
      <x:c r="A101" s="178">
        <x:v>2020</x:v>
      </x:c>
      <x:c r="B101" s="183" t="s">
        <x:v>395</x:v>
      </x:c>
      <x:c r="C101" s="195" t="s">
        <x:v>397</x:v>
      </x:c>
      <x:c r="D101" s="178" t="s">
        <x:v>2509</x:v>
      </x:c>
      <x:c r="E101" s="192">
        <x:v>41160005</x:v>
      </x:c>
      <x:c r="F101" s="185" t="s">
        <x:v>2233</x:v>
      </x:c>
      <x:c r="G101" s="184" t="s">
        <x:v>2225</x:v>
      </x:c>
      <x:c r="H101" s="178" t="s">
        <x:v>20</x:v>
      </x:c>
      <x:c r="I101" s="185" t="s">
        <x:v>2226</x:v>
      </x:c>
      <x:c r="J101" s="178">
        <x:v>3.6000307580202E+16</x:v>
      </x:c>
      <x:c r="K101" s="193">
        <x:v>100000</x:v>
      </x:c>
      <x:c r="L101" s="185" t="s">
        <x:v>21</x:v>
      </x:c>
      <x:c r="M101" s="185" t="s">
        <x:v>2235</x:v>
      </x:c>
      <x:c r="N101" s="178"/>
      <x:c r="O101" s="178" t="s">
        <x:v>2241</x:v>
      </x:c>
      <x:c r="P101" s="178" t="s">
        <x:v>2228</x:v>
      </x:c>
      <x:c r="Q101" s="76" t="s">
        <x:v>174</x:v>
      </x:c>
      <x:c r="R101" s="194" t="s">
        <x:v>2510</x:v>
      </x:c>
      <x:c r="S101" s="181" t="s">
        <x:v>2511</x:v>
      </x:c>
    </x:row>
    <x:row r="102">
      <x:c r="A102" s="178">
        <x:v>2020</x:v>
      </x:c>
      <x:c r="B102" s="183" t="s">
        <x:v>187</x:v>
      </x:c>
      <x:c r="C102" s="180" t="s">
        <x:v>189</x:v>
      </x:c>
      <x:c r="D102" s="181" t="s">
        <x:v>2223</x:v>
      </x:c>
      <x:c r="E102" s="182" t="s">
        <x:v>142</x:v>
      </x:c>
      <x:c r="F102" s="183" t="s">
        <x:v>2224</x:v>
      </x:c>
      <x:c r="G102" s="184" t="s">
        <x:v>2225</x:v>
      </x:c>
      <x:c r="H102" s="178" t="s">
        <x:v>20</x:v>
      </x:c>
      <x:c r="I102" s="185" t="s">
        <x:v>2226</x:v>
      </x:c>
      <x:c r="J102" s="186" t="s">
        <x:v>2512</x:v>
      </x:c>
      <x:c r="K102" s="187">
        <x:v>50000</x:v>
      </x:c>
      <x:c r="L102" s="178" t="s">
        <x:v>179</x:v>
      </x:c>
      <x:c r="M102" s="178"/>
      <x:c r="N102" s="178"/>
      <x:c r="O102" s="185" t="s">
        <x:v>2228</x:v>
      </x:c>
      <x:c r="P102" s="188"/>
      <x:c r="Q102" s="76" t="s">
        <x:v>2229</x:v>
      </x:c>
      <x:c r="R102" s="181"/>
      <x:c r="S102" s="191" t="s">
        <x:v>2513</x:v>
      </x:c>
    </x:row>
    <x:row r="103">
      <x:c r="A103" s="210">
        <x:v>2019</x:v>
      </x:c>
      <x:c r="B103" s="273" t="s">
        <x:v>2514</x:v>
      </x:c>
      <x:c r="C103" s="249" t="s">
        <x:v>2515</x:v>
      </x:c>
      <x:c r="D103" s="274"/>
      <x:c r="E103" s="213"/>
      <x:c r="F103" s="185" t="s">
        <x:v>2256</x:v>
      </x:c>
      <x:c r="G103" s="214" t="s">
        <x:v>2302</x:v>
      </x:c>
      <x:c r="H103" s="210" t="s">
        <x:v>32</x:v>
      </x:c>
      <x:c r="I103" s="210" t="s">
        <x:v>2303</x:v>
      </x:c>
      <x:c r="J103" s="284" t="s">
        <x:v>2304</x:v>
      </x:c>
      <x:c r="K103" s="282"/>
      <x:c r="L103" s="185" t="s">
        <x:v>64</x:v>
      </x:c>
      <x:c r="M103" s="210" t="s">
        <x:v>2305</x:v>
      </x:c>
      <x:c r="N103" s="76"/>
      <x:c r="O103" s="76"/>
      <x:c r="P103" s="75"/>
      <x:c r="Q103" s="210" t="s">
        <x:v>2516</x:v>
      </x:c>
      <x:c r="R103" s="275" t="s">
        <x:v>2517</x:v>
      </x:c>
      <x:c r="S103" s="218" t="s">
        <x:v>2518</x:v>
      </x:c>
    </x:row>
    <x:row r="104">
      <x:c r="A104" s="178">
        <x:v>2020</x:v>
      </x:c>
      <x:c r="B104" s="183" t="s">
        <x:v>800</x:v>
      </x:c>
      <x:c r="C104" s="195" t="s">
        <x:v>802</x:v>
      </x:c>
      <x:c r="D104" s="178" t="s">
        <x:v>2519</x:v>
      </x:c>
      <x:c r="E104" s="192">
        <x:v>41160005</x:v>
      </x:c>
      <x:c r="F104" s="185" t="s">
        <x:v>2233</x:v>
      </x:c>
      <x:c r="G104" s="184" t="s">
        <x:v>2225</x:v>
      </x:c>
      <x:c r="H104" s="178" t="s">
        <x:v>20</x:v>
      </x:c>
      <x:c r="I104" s="185" t="s">
        <x:v>2226</x:v>
      </x:c>
      <x:c r="J104" s="185">
        <x:v>3.6000310549202E+16</x:v>
      </x:c>
      <x:c r="K104" s="193">
        <x:v>200000</x:v>
      </x:c>
      <x:c r="L104" s="185" t="s">
        <x:v>21</x:v>
      </x:c>
      <x:c r="M104" s="185" t="s">
        <x:v>2235</x:v>
      </x:c>
      <x:c r="N104" s="178"/>
      <x:c r="O104" s="178" t="s">
        <x:v>2520</x:v>
      </x:c>
      <x:c r="P104" s="178" t="s">
        <x:v>2228</x:v>
      </x:c>
      <x:c r="Q104" s="76" t="s">
        <x:v>174</x:v>
      </x:c>
      <x:c r="R104" s="194" t="s">
        <x:v>2521</x:v>
      </x:c>
      <x:c r="S104" s="181" t="s">
        <x:v>2522</x:v>
      </x:c>
    </x:row>
    <x:row r="105">
      <x:c r="A105" s="178">
        <x:v>2020</x:v>
      </x:c>
      <x:c r="B105" s="183" t="s">
        <x:v>800</x:v>
      </x:c>
      <x:c r="C105" s="180" t="s">
        <x:v>802</x:v>
      </x:c>
      <x:c r="D105" s="178" t="s">
        <x:v>2519</x:v>
      </x:c>
      <x:c r="E105" s="182" t="s">
        <x:v>142</x:v>
      </x:c>
      <x:c r="F105" s="183" t="s">
        <x:v>1176</x:v>
      </x:c>
      <x:c r="G105" s="184" t="s">
        <x:v>2225</x:v>
      </x:c>
      <x:c r="H105" s="178" t="s">
        <x:v>20</x:v>
      </x:c>
      <x:c r="I105" s="185" t="s">
        <x:v>2226</x:v>
      </x:c>
      <x:c r="J105" s="245" t="s">
        <x:v>2523</x:v>
      </x:c>
      <x:c r="K105" s="187">
        <x:v>250000</x:v>
      </x:c>
      <x:c r="L105" s="178" t="s">
        <x:v>179</x:v>
      </x:c>
      <x:c r="M105" s="178"/>
      <x:c r="N105" s="178"/>
      <x:c r="O105" s="185" t="s">
        <x:v>2228</x:v>
      </x:c>
      <x:c r="P105" s="188"/>
      <x:c r="Q105" s="76" t="s">
        <x:v>2229</x:v>
      </x:c>
      <x:c r="R105" s="188"/>
      <x:c r="S105" s="188"/>
    </x:row>
    <x:row r="106">
      <x:c r="A106" s="178">
        <x:v>2019</x:v>
      </x:c>
      <x:c r="B106" s="178" t="s">
        <x:v>2524</x:v>
      </x:c>
      <x:c r="C106" s="76" t="s">
        <x:v>2525</x:v>
      </x:c>
      <x:c r="D106" s="178"/>
      <x:c r="E106" s="192">
        <x:v>71220005</x:v>
      </x:c>
      <x:c r="F106" s="185" t="s">
        <x:v>2256</x:v>
      </x:c>
      <x:c r="G106" s="184" t="s">
        <x:v>2257</x:v>
      </x:c>
      <x:c r="H106" s="185" t="s">
        <x:v>32</x:v>
      </x:c>
      <x:c r="I106" s="178" t="s">
        <x:v>2258</x:v>
      </x:c>
      <x:c r="J106" s="178"/>
      <x:c r="K106" s="193">
        <x:v>55000</x:v>
      </x:c>
      <x:c r="L106" s="185" t="s">
        <x:v>64</x:v>
      </x:c>
      <x:c r="M106" s="185" t="s">
        <x:v>2259</x:v>
      </x:c>
      <x:c r="N106" s="178"/>
      <x:c r="O106" s="178" t="s">
        <x:v>2259</x:v>
      </x:c>
      <x:c r="P106" s="178"/>
      <x:c r="Q106" s="76" t="s">
        <x:v>131</x:v>
      </x:c>
      <x:c r="R106" s="194" t="s">
        <x:v>2526</x:v>
      </x:c>
      <x:c r="S106" s="181" t="s">
        <x:v>2527</x:v>
      </x:c>
    </x:row>
    <x:row r="107">
      <x:c r="A107" s="178">
        <x:v>2020</x:v>
      </x:c>
      <x:c r="B107" s="183" t="s">
        <x:v>192</x:v>
      </x:c>
      <x:c r="C107" s="180" t="s">
        <x:v>194</x:v>
      </x:c>
      <x:c r="D107" s="181" t="s">
        <x:v>2223</x:v>
      </x:c>
      <x:c r="E107" s="182" t="s">
        <x:v>142</x:v>
      </x:c>
      <x:c r="F107" s="183" t="s">
        <x:v>2224</x:v>
      </x:c>
      <x:c r="G107" s="184" t="s">
        <x:v>2225</x:v>
      </x:c>
      <x:c r="H107" s="178" t="s">
        <x:v>20</x:v>
      </x:c>
      <x:c r="I107" s="185" t="s">
        <x:v>2226</x:v>
      </x:c>
      <x:c r="J107" s="186" t="s">
        <x:v>2528</x:v>
      </x:c>
      <x:c r="K107" s="187">
        <x:v>50000</x:v>
      </x:c>
      <x:c r="L107" s="178" t="s">
        <x:v>179</x:v>
      </x:c>
      <x:c r="M107" s="178"/>
      <x:c r="N107" s="178"/>
      <x:c r="O107" s="185" t="s">
        <x:v>2228</x:v>
      </x:c>
      <x:c r="P107" s="188"/>
      <x:c r="Q107" s="76" t="s">
        <x:v>2229</x:v>
      </x:c>
      <x:c r="R107" s="181"/>
      <x:c r="S107" s="191" t="s">
        <x:v>2529</x:v>
      </x:c>
    </x:row>
    <x:row r="108">
      <x:c r="A108" s="178">
        <x:v>2020</x:v>
      </x:c>
      <x:c r="B108" s="178" t="s">
        <x:v>577</x:v>
      </x:c>
      <x:c r="C108" s="76" t="s">
        <x:v>2231</x:v>
      </x:c>
      <x:c r="D108" s="185" t="s">
        <x:v>2530</x:v>
      </x:c>
      <x:c r="E108" s="192">
        <x:v>41160009</x:v>
      </x:c>
      <x:c r="F108" s="185" t="s">
        <x:v>2240</x:v>
      </x:c>
      <x:c r="G108" s="184" t="s">
        <x:v>2234</x:v>
      </x:c>
      <x:c r="H108" s="178" t="s">
        <x:v>20</x:v>
      </x:c>
      <x:c r="I108" s="185" t="s">
        <x:v>2226</x:v>
      </x:c>
      <x:c r="J108" s="188"/>
      <x:c r="K108" s="193">
        <x:v>100000</x:v>
      </x:c>
      <x:c r="L108" s="185" t="s">
        <x:v>21</x:v>
      </x:c>
      <x:c r="M108" s="237" t="s">
        <x:v>2418</x:v>
      </x:c>
      <x:c r="N108" s="276"/>
      <x:c r="O108" s="237" t="s">
        <x:v>2531</x:v>
      </x:c>
      <x:c r="P108" s="237" t="s">
        <x:v>2531</x:v>
      </x:c>
      <x:c r="Q108" s="76" t="s">
        <x:v>2237</x:v>
      </x:c>
      <x:c r="R108" s="194" t="s">
        <x:v>2532</x:v>
      </x:c>
      <x:c r="S108" s="191" t="s">
        <x:v>2533</x:v>
      </x:c>
    </x:row>
    <x:row r="109">
      <x:c r="A109" s="178">
        <x:v>2020</x:v>
      </x:c>
      <x:c r="B109" s="178" t="s">
        <x:v>386</x:v>
      </x:c>
      <x:c r="C109" s="76" t="s">
        <x:v>2231</x:v>
      </x:c>
      <x:c r="D109" s="178" t="s">
        <x:v>2534</x:v>
      </x:c>
      <x:c r="E109" s="192">
        <x:v>41160009</x:v>
      </x:c>
      <x:c r="F109" s="185" t="s">
        <x:v>2233</x:v>
      </x:c>
      <x:c r="G109" s="184" t="s">
        <x:v>2234</x:v>
      </x:c>
      <x:c r="H109" s="178" t="s">
        <x:v>20</x:v>
      </x:c>
      <x:c r="I109" s="185" t="s">
        <x:v>2226</x:v>
      </x:c>
      <x:c r="J109" s="178">
        <x:v>3.6000310331202E+16</x:v>
      </x:c>
      <x:c r="K109" s="240">
        <x:v>100000</x:v>
      </x:c>
      <x:c r="L109" s="185" t="s">
        <x:v>21</x:v>
      </x:c>
      <x:c r="M109" s="185" t="s">
        <x:v>2235</x:v>
      </x:c>
      <x:c r="N109" s="178"/>
      <x:c r="O109" s="178" t="s">
        <x:v>2329</x:v>
      </x:c>
      <x:c r="P109" s="178" t="s">
        <x:v>2228</x:v>
      </x:c>
      <x:c r="Q109" s="72" t="s">
        <x:v>2237</x:v>
      </x:c>
      <x:c r="R109" s="194" t="s">
        <x:v>2535</x:v>
      </x:c>
      <x:c r="S109" s="191" t="s">
        <x:v>2536</x:v>
      </x:c>
    </x:row>
    <x:row r="110">
      <x:c r="A110" s="178">
        <x:v>2020</x:v>
      </x:c>
      <x:c r="B110" s="183" t="s">
        <x:v>386</x:v>
      </x:c>
      <x:c r="C110" s="180" t="s">
        <x:v>388</x:v>
      </x:c>
      <x:c r="D110" s="181" t="s">
        <x:v>2223</x:v>
      </x:c>
      <x:c r="E110" s="182" t="s">
        <x:v>142</x:v>
      </x:c>
      <x:c r="F110" s="183" t="s">
        <x:v>2224</x:v>
      </x:c>
      <x:c r="G110" s="184" t="s">
        <x:v>2225</x:v>
      </x:c>
      <x:c r="H110" s="178" t="s">
        <x:v>20</x:v>
      </x:c>
      <x:c r="I110" s="185" t="s">
        <x:v>2226</x:v>
      </x:c>
      <x:c r="J110" s="186" t="s">
        <x:v>2227</x:v>
      </x:c>
      <x:c r="K110" s="187">
        <x:v>100000</x:v>
      </x:c>
      <x:c r="L110" s="178" t="s">
        <x:v>179</x:v>
      </x:c>
      <x:c r="M110" s="178"/>
      <x:c r="N110" s="178"/>
      <x:c r="O110" s="185" t="s">
        <x:v>2228</x:v>
      </x:c>
      <x:c r="P110" s="188"/>
      <x:c r="Q110" s="76" t="s">
        <x:v>2229</x:v>
      </x:c>
      <x:c r="R110" s="181"/>
      <x:c r="S110" s="191" t="s">
        <x:v>2536</x:v>
      </x:c>
    </x:row>
    <x:row r="111">
      <x:c r="A111" s="178">
        <x:v>2019</x:v>
      </x:c>
      <x:c r="B111" s="178" t="s">
        <x:v>2537</x:v>
      </x:c>
      <x:c r="C111" s="76" t="s">
        <x:v>2538</x:v>
      </x:c>
      <x:c r="D111" s="181" t="s">
        <x:v>2534</x:v>
      </x:c>
      <x:c r="E111" s="192">
        <x:v>71220009</x:v>
      </x:c>
      <x:c r="F111" s="185" t="s">
        <x:v>2240</x:v>
      </x:c>
      <x:c r="G111" s="184" t="s">
        <x:v>2225</x:v>
      </x:c>
      <x:c r="H111" s="178" t="s">
        <x:v>20</x:v>
      </x:c>
      <x:c r="I111" s="185" t="s">
        <x:v>2226</x:v>
      </x:c>
      <x:c r="J111" s="188"/>
      <x:c r="K111" s="240">
        <x:v>250000</x:v>
      </x:c>
      <x:c r="L111" s="185" t="s">
        <x:v>64</x:v>
      </x:c>
      <x:c r="M111" s="185" t="s">
        <x:v>2235</x:v>
      </x:c>
      <x:c r="N111" s="188"/>
      <x:c r="O111" s="185" t="s">
        <x:v>2343</x:v>
      </x:c>
      <x:c r="P111" s="178" t="s">
        <x:v>2228</x:v>
      </x:c>
      <x:c r="Q111" s="76" t="s">
        <x:v>174</x:v>
      </x:c>
      <x:c r="R111" s="194" t="s">
        <x:v>2539</x:v>
      </x:c>
      <x:c r="S111" s="181" t="s">
        <x:v>2540</x:v>
      </x:c>
    </x:row>
    <x:row r="112">
      <x:c r="A112" s="178">
        <x:v>2020</x:v>
      </x:c>
      <x:c r="B112" s="178" t="s">
        <x:v>400</x:v>
      </x:c>
      <x:c r="C112" s="76" t="s">
        <x:v>2231</x:v>
      </x:c>
      <x:c r="D112" s="178" t="s">
        <x:v>2541</x:v>
      </x:c>
      <x:c r="E112" s="192">
        <x:v>41160001</x:v>
      </x:c>
      <x:c r="F112" s="185" t="s">
        <x:v>2233</x:v>
      </x:c>
      <x:c r="G112" s="184" t="s">
        <x:v>2234</x:v>
      </x:c>
      <x:c r="H112" s="178" t="s">
        <x:v>20</x:v>
      </x:c>
      <x:c r="I112" s="185" t="s">
        <x:v>2226</x:v>
      </x:c>
      <x:c r="J112" s="178">
        <x:v>3.6000311532202E+16</x:v>
      </x:c>
      <x:c r="K112" s="240">
        <x:v>100000</x:v>
      </x:c>
      <x:c r="L112" s="185" t="s">
        <x:v>21</x:v>
      </x:c>
      <x:c r="M112" s="185" t="s">
        <x:v>2235</x:v>
      </x:c>
      <x:c r="N112" s="178"/>
      <x:c r="O112" s="178" t="s">
        <x:v>2542</x:v>
      </x:c>
      <x:c r="P112" s="178" t="s">
        <x:v>2228</x:v>
      </x:c>
      <x:c r="Q112" s="76" t="s">
        <x:v>2237</x:v>
      </x:c>
      <x:c r="R112" s="194" t="s">
        <x:v>2543</x:v>
      </x:c>
      <x:c r="S112" s="191" t="s">
        <x:v>2544</x:v>
      </x:c>
    </x:row>
    <x:row r="113">
      <x:c r="A113" s="178">
        <x:v>2020</x:v>
      </x:c>
      <x:c r="B113" s="178" t="s">
        <x:v>274</x:v>
      </x:c>
      <x:c r="C113" s="76" t="s">
        <x:v>2231</x:v>
      </x:c>
      <x:c r="D113" s="178" t="s">
        <x:v>2545</x:v>
      </x:c>
      <x:c r="E113" s="192">
        <x:v>41160001</x:v>
      </x:c>
      <x:c r="F113" s="185" t="s">
        <x:v>2233</x:v>
      </x:c>
      <x:c r="G113" s="184" t="s">
        <x:v>2234</x:v>
      </x:c>
      <x:c r="H113" s="178" t="s">
        <x:v>20</x:v>
      </x:c>
      <x:c r="I113" s="185" t="s">
        <x:v>2226</x:v>
      </x:c>
      <x:c r="J113" s="178">
        <x:v>3.6000305902202E+16</x:v>
      </x:c>
      <x:c r="K113" s="240">
        <x:v>67500</x:v>
      </x:c>
      <x:c r="L113" s="185" t="s">
        <x:v>21</x:v>
      </x:c>
      <x:c r="M113" s="185" t="s">
        <x:v>2235</x:v>
      </x:c>
      <x:c r="N113" s="178"/>
      <x:c r="O113" s="178" t="s">
        <x:v>2542</x:v>
      </x:c>
      <x:c r="P113" s="178" t="s">
        <x:v>2228</x:v>
      </x:c>
      <x:c r="Q113" s="76" t="s">
        <x:v>2237</x:v>
      </x:c>
      <x:c r="R113" s="194" t="s">
        <x:v>2546</x:v>
      </x:c>
      <x:c r="S113" s="178" t="s">
        <x:v>2547</x:v>
      </x:c>
    </x:row>
    <x:row r="114">
      <x:c r="A114" s="178">
        <x:v>2020</x:v>
      </x:c>
      <x:c r="B114" s="178" t="s">
        <x:v>286</x:v>
      </x:c>
      <x:c r="C114" s="76" t="s">
        <x:v>2231</x:v>
      </x:c>
      <x:c r="D114" s="185" t="s">
        <x:v>2548</x:v>
      </x:c>
      <x:c r="E114" s="192">
        <x:v>41160009</x:v>
      </x:c>
      <x:c r="F114" s="185" t="s">
        <x:v>2233</x:v>
      </x:c>
      <x:c r="G114" s="184" t="s">
        <x:v>2234</x:v>
      </x:c>
      <x:c r="H114" s="178" t="s">
        <x:v>20</x:v>
      </x:c>
      <x:c r="I114" s="185" t="s">
        <x:v>2226</x:v>
      </x:c>
      <x:c r="J114" s="188"/>
      <x:c r="K114" s="188"/>
      <x:c r="L114" s="185" t="s">
        <x:v>21</x:v>
      </x:c>
      <x:c r="M114" s="237" t="s">
        <x:v>2324</x:v>
      </x:c>
      <x:c r="N114" s="276"/>
      <x:c r="O114" s="237" t="s">
        <x:v>2418</x:v>
      </x:c>
      <x:c r="P114" s="188"/>
      <x:c r="Q114" s="72" t="s">
        <x:v>2237</x:v>
      </x:c>
      <x:c r="R114" s="194" t="s">
        <x:v>2549</x:v>
      </x:c>
      <x:c r="S114" s="191" t="s">
        <x:v>2550</x:v>
      </x:c>
    </x:row>
    <x:row r="115">
      <x:c r="A115" s="178">
        <x:v>2020</x:v>
      </x:c>
      <x:c r="B115" s="183" t="s">
        <x:v>389</x:v>
      </x:c>
      <x:c r="C115" s="180" t="s">
        <x:v>391</x:v>
      </x:c>
      <x:c r="D115" s="181" t="s">
        <x:v>2223</x:v>
      </x:c>
      <x:c r="E115" s="182" t="s">
        <x:v>142</x:v>
      </x:c>
      <x:c r="F115" s="183" t="s">
        <x:v>2224</x:v>
      </x:c>
      <x:c r="G115" s="184" t="s">
        <x:v>2225</x:v>
      </x:c>
      <x:c r="H115" s="185" t="s">
        <x:v>20</x:v>
      </x:c>
      <x:c r="I115" s="185" t="s">
        <x:v>2226</x:v>
      </x:c>
      <x:c r="J115" s="186" t="s">
        <x:v>2551</x:v>
      </x:c>
      <x:c r="K115" s="187">
        <x:v>100000</x:v>
      </x:c>
      <x:c r="L115" s="178" t="s">
        <x:v>179</x:v>
      </x:c>
      <x:c r="M115" s="178"/>
      <x:c r="N115" s="178"/>
      <x:c r="O115" s="185" t="s">
        <x:v>2228</x:v>
      </x:c>
      <x:c r="P115" s="188"/>
      <x:c r="Q115" s="76" t="s">
        <x:v>2229</x:v>
      </x:c>
      <x:c r="R115" s="181"/>
      <x:c r="S115" s="191" t="s">
        <x:v>2552</x:v>
      </x:c>
    </x:row>
    <x:row r="116">
      <x:c r="A116" s="178">
        <x:v>2019</x:v>
      </x:c>
      <x:c r="B116" s="185" t="s">
        <x:v>2553</x:v>
      </x:c>
      <x:c r="C116" s="76" t="s">
        <x:v>2554</x:v>
      </x:c>
      <x:c r="D116" s="181" t="s">
        <x:v>2555</x:v>
      </x:c>
      <x:c r="E116" s="192">
        <x:v>71220009</x:v>
      </x:c>
      <x:c r="F116" s="185" t="s">
        <x:v>2240</x:v>
      </x:c>
      <x:c r="G116" s="184" t="s">
        <x:v>2225</x:v>
      </x:c>
      <x:c r="H116" s="178" t="s">
        <x:v>20</x:v>
      </x:c>
      <x:c r="I116" s="185" t="s">
        <x:v>2226</x:v>
      </x:c>
      <x:c r="J116" s="188"/>
      <x:c r="K116" s="193">
        <x:v>250000</x:v>
      </x:c>
      <x:c r="L116" s="185" t="s">
        <x:v>64</x:v>
      </x:c>
      <x:c r="M116" s="185" t="s">
        <x:v>2235</x:v>
      </x:c>
      <x:c r="N116" s="188"/>
      <x:c r="O116" s="185" t="s">
        <x:v>2343</x:v>
      </x:c>
      <x:c r="P116" s="178" t="s">
        <x:v>2228</x:v>
      </x:c>
      <x:c r="Q116" s="76" t="s">
        <x:v>174</x:v>
      </x:c>
      <x:c r="R116" s="194" t="s">
        <x:v>1112</x:v>
      </x:c>
      <x:c r="S116" s="181" t="s">
        <x:v>2556</x:v>
      </x:c>
    </x:row>
    <x:row r="117">
      <x:c r="A117" s="178">
        <x:v>2020</x:v>
      </x:c>
      <x:c r="B117" s="183" t="s">
        <x:v>202</x:v>
      </x:c>
      <x:c r="C117" s="180" t="s">
        <x:v>204</x:v>
      </x:c>
      <x:c r="D117" s="181" t="s">
        <x:v>2223</x:v>
      </x:c>
      <x:c r="E117" s="231" t="s">
        <x:v>142</x:v>
      </x:c>
      <x:c r="F117" s="183" t="s">
        <x:v>2224</x:v>
      </x:c>
      <x:c r="G117" s="184" t="s">
        <x:v>2225</x:v>
      </x:c>
      <x:c r="H117" s="178" t="s">
        <x:v>20</x:v>
      </x:c>
      <x:c r="I117" s="185" t="s">
        <x:v>2226</x:v>
      </x:c>
      <x:c r="J117" s="186" t="s">
        <x:v>2557</x:v>
      </x:c>
      <x:c r="K117" s="187">
        <x:v>50000</x:v>
      </x:c>
      <x:c r="L117" s="178" t="s">
        <x:v>179</x:v>
      </x:c>
      <x:c r="M117" s="178"/>
      <x:c r="N117" s="178"/>
      <x:c r="O117" s="185" t="s">
        <x:v>2228</x:v>
      </x:c>
      <x:c r="P117" s="188"/>
      <x:c r="Q117" s="76" t="s">
        <x:v>2229</x:v>
      </x:c>
      <x:c r="R117" s="181"/>
      <x:c r="S117" s="191" t="s">
        <x:v>2558</x:v>
      </x:c>
    </x:row>
    <x:row r="118">
      <x:c r="A118" s="178">
        <x:v>2020</x:v>
      </x:c>
      <x:c r="B118" s="178" t="s">
        <x:v>405</x:v>
      </x:c>
      <x:c r="C118" s="76" t="s">
        <x:v>2231</x:v>
      </x:c>
      <x:c r="D118" s="178" t="s">
        <x:v>2559</x:v>
      </x:c>
      <x:c r="E118" s="192">
        <x:v>41160001</x:v>
      </x:c>
      <x:c r="F118" s="185" t="s">
        <x:v>2233</x:v>
      </x:c>
      <x:c r="G118" s="184" t="s">
        <x:v>2234</x:v>
      </x:c>
      <x:c r="H118" s="178" t="s">
        <x:v>20</x:v>
      </x:c>
      <x:c r="I118" s="185" t="s">
        <x:v>2226</x:v>
      </x:c>
      <x:c r="J118" s="178">
        <x:v>3.6000315606202E+16</x:v>
      </x:c>
      <x:c r="K118" s="193">
        <x:v>100000</x:v>
      </x:c>
      <x:c r="L118" s="185" t="s">
        <x:v>21</x:v>
      </x:c>
      <x:c r="M118" s="185" t="s">
        <x:v>2235</x:v>
      </x:c>
      <x:c r="N118" s="178"/>
      <x:c r="O118" s="178" t="s">
        <x:v>2560</x:v>
      </x:c>
      <x:c r="P118" s="178" t="s">
        <x:v>2228</x:v>
      </x:c>
      <x:c r="Q118" s="76" t="s">
        <x:v>2237</x:v>
      </x:c>
      <x:c r="R118" s="194" t="s">
        <x:v>2561</x:v>
      </x:c>
      <x:c r="S118" s="181" t="s">
        <x:v>2562</x:v>
      </x:c>
    </x:row>
    <x:row r="119">
      <x:c r="A119" s="210">
        <x:v>2019</x:v>
      </x:c>
      <x:c r="B119" s="273" t="s">
        <x:v>2563</x:v>
      </x:c>
      <x:c r="C119" s="249" t="s">
        <x:v>2564</x:v>
      </x:c>
      <x:c r="D119" s="277" t="s">
        <x:v>2565</x:v>
      </x:c>
      <x:c r="E119" s="213"/>
      <x:c r="F119" s="185" t="s">
        <x:v>2256</x:v>
      </x:c>
      <x:c r="G119" s="214" t="s">
        <x:v>2302</x:v>
      </x:c>
      <x:c r="H119" s="210" t="s">
        <x:v>32</x:v>
      </x:c>
      <x:c r="I119" s="210" t="s">
        <x:v>2303</x:v>
      </x:c>
      <x:c r="J119" s="284" t="s">
        <x:v>2304</x:v>
      </x:c>
      <x:c r="K119" s="282"/>
      <x:c r="L119" s="185" t="s">
        <x:v>64</x:v>
      </x:c>
      <x:c r="M119" s="210" t="s">
        <x:v>2305</x:v>
      </x:c>
      <x:c r="N119" s="76"/>
      <x:c r="O119" s="76"/>
      <x:c r="P119" s="75"/>
      <x:c r="Q119" s="210" t="s">
        <x:v>305</x:v>
      </x:c>
      <x:c r="R119" s="275" t="s">
        <x:v>2566</x:v>
      </x:c>
      <x:c r="S119" s="218" t="s">
        <x:v>2567</x:v>
      </x:c>
    </x:row>
    <x:row r="120">
      <x:c r="A120" s="178">
        <x:v>2020</x:v>
      </x:c>
      <x:c r="B120" s="183" t="s">
        <x:v>408</x:v>
      </x:c>
      <x:c r="C120" s="195" t="s">
        <x:v>410</x:v>
      </x:c>
      <x:c r="D120" s="178" t="s">
        <x:v>2223</x:v>
      </x:c>
      <x:c r="E120" s="178">
        <x:v>41160005</x:v>
      </x:c>
      <x:c r="F120" s="185" t="s">
        <x:v>2240</x:v>
      </x:c>
      <x:c r="G120" s="76" t="s">
        <x:v>2225</x:v>
      </x:c>
      <x:c r="H120" s="178" t="s">
        <x:v>20</x:v>
      </x:c>
      <x:c r="I120" s="185" t="s">
        <x:v>2226</x:v>
      </x:c>
      <x:c r="J120" s="185">
        <x:v>3.6000317672202E+16</x:v>
      </x:c>
      <x:c r="K120" s="205">
        <x:v>100000</x:v>
      </x:c>
      <x:c r="L120" s="185" t="s">
        <x:v>21</x:v>
      </x:c>
      <x:c r="M120" s="185" t="s">
        <x:v>2235</x:v>
      </x:c>
      <x:c r="N120" s="188"/>
      <x:c r="O120" s="185" t="s">
        <x:v>2343</x:v>
      </x:c>
      <x:c r="P120" s="178" t="s">
        <x:v>2228</x:v>
      </x:c>
      <x:c r="Q120" s="76" t="s">
        <x:v>174</x:v>
      </x:c>
      <x:c r="R120" s="194" t="s">
        <x:v>2568</x:v>
      </x:c>
      <x:c r="S120" s="181" t="s">
        <x:v>2569</x:v>
      </x:c>
    </x:row>
    <x:row r="121">
      <x:c r="A121" s="278"/>
      <x:c r="C121" s="279"/>
      <x:c r="F121" s="278"/>
      <x:c r="G121" s="280"/>
      <x:c r="H121" s="278"/>
      <x:c r="I121" s="278"/>
      <x:c r="K121" s="278"/>
      <x:c r="L121" s="7"/>
      <x:c r="M121" s="7"/>
      <x:c r="Q121" s="279"/>
      <x:c r="R121" s="281"/>
    </x:row>
    <x:row r="122">
      <x:c r="A122" s="278"/>
      <x:c r="C122" s="279"/>
      <x:c r="F122" s="278"/>
      <x:c r="G122" s="280"/>
      <x:c r="H122" s="278"/>
      <x:c r="I122" s="278"/>
      <x:c r="K122" s="278"/>
      <x:c r="L122" s="7"/>
      <x:c r="M122" s="7"/>
      <x:c r="Q122" s="279"/>
      <x:c r="R122" s="281"/>
    </x:row>
    <x:row r="123">
      <x:c r="A123" s="278"/>
      <x:c r="C123" s="279"/>
      <x:c r="F123" s="278"/>
      <x:c r="G123" s="280"/>
      <x:c r="H123" s="278"/>
      <x:c r="I123" s="278"/>
      <x:c r="K123" s="278"/>
      <x:c r="L123" s="7"/>
      <x:c r="M123" s="7"/>
      <x:c r="Q123" s="279"/>
      <x:c r="R123" s="281"/>
    </x:row>
    <x:row r="124">
      <x:c r="A124" s="278"/>
      <x:c r="C124" s="279"/>
      <x:c r="F124" s="278"/>
      <x:c r="G124" s="280"/>
      <x:c r="H124" s="278"/>
      <x:c r="I124" s="278"/>
      <x:c r="K124" s="278"/>
      <x:c r="L124" s="7"/>
      <x:c r="M124" s="7"/>
      <x:c r="Q124" s="279"/>
      <x:c r="R124" s="281"/>
    </x:row>
    <x:row r="125">
      <x:c r="A125" s="278"/>
      <x:c r="C125" s="279"/>
      <x:c r="F125" s="278"/>
      <x:c r="G125" s="280"/>
      <x:c r="H125" s="278"/>
      <x:c r="I125" s="278"/>
      <x:c r="K125" s="278"/>
      <x:c r="L125" s="7"/>
      <x:c r="M125" s="7"/>
      <x:c r="Q125" s="279"/>
      <x:c r="R125" s="281"/>
    </x:row>
    <x:row r="126">
      <x:c r="A126" s="278"/>
      <x:c r="C126" s="279"/>
      <x:c r="F126" s="278"/>
      <x:c r="G126" s="280"/>
      <x:c r="H126" s="278"/>
      <x:c r="I126" s="278"/>
      <x:c r="K126" s="278"/>
      <x:c r="L126" s="7"/>
      <x:c r="M126" s="7"/>
      <x:c r="Q126" s="279"/>
      <x:c r="R126" s="281"/>
    </x:row>
    <x:row r="127">
      <x:c r="A127" s="278"/>
      <x:c r="C127" s="279"/>
      <x:c r="F127" s="278"/>
      <x:c r="G127" s="280"/>
      <x:c r="H127" s="278"/>
      <x:c r="I127" s="278"/>
      <x:c r="K127" s="278"/>
      <x:c r="L127" s="7"/>
      <x:c r="M127" s="7"/>
      <x:c r="Q127" s="279"/>
      <x:c r="R127" s="281"/>
    </x:row>
    <x:row r="128">
      <x:c r="A128" s="278"/>
      <x:c r="C128" s="279"/>
      <x:c r="F128" s="278"/>
      <x:c r="G128" s="280"/>
      <x:c r="H128" s="278"/>
      <x:c r="I128" s="278"/>
      <x:c r="K128" s="278"/>
      <x:c r="L128" s="7"/>
      <x:c r="M128" s="7"/>
      <x:c r="Q128" s="279"/>
      <x:c r="R128" s="281"/>
    </x:row>
    <x:row r="129">
      <x:c r="A129" s="278"/>
      <x:c r="C129" s="279"/>
      <x:c r="F129" s="278"/>
      <x:c r="G129" s="280"/>
      <x:c r="H129" s="278"/>
      <x:c r="I129" s="278"/>
      <x:c r="K129" s="278"/>
      <x:c r="L129" s="7"/>
      <x:c r="M129" s="7"/>
      <x:c r="Q129" s="279"/>
      <x:c r="R129" s="281"/>
    </x:row>
    <x:row r="130">
      <x:c r="A130" s="278"/>
      <x:c r="C130" s="279"/>
      <x:c r="F130" s="278"/>
      <x:c r="G130" s="280"/>
      <x:c r="H130" s="278"/>
      <x:c r="I130" s="278"/>
      <x:c r="K130" s="278"/>
      <x:c r="L130" s="7"/>
      <x:c r="M130" s="7"/>
      <x:c r="Q130" s="279"/>
      <x:c r="R130" s="281"/>
    </x:row>
    <x:row r="131">
      <x:c r="A131" s="278"/>
      <x:c r="C131" s="279"/>
      <x:c r="F131" s="278"/>
      <x:c r="G131" s="280"/>
      <x:c r="H131" s="278"/>
      <x:c r="I131" s="278"/>
      <x:c r="K131" s="278"/>
      <x:c r="L131" s="7"/>
      <x:c r="M131" s="7"/>
      <x:c r="Q131" s="279"/>
      <x:c r="R131" s="281"/>
    </x:row>
    <x:row r="132">
      <x:c r="A132" s="278"/>
      <x:c r="C132" s="279"/>
      <x:c r="F132" s="278"/>
      <x:c r="G132" s="280"/>
      <x:c r="H132" s="278"/>
      <x:c r="I132" s="278"/>
      <x:c r="K132" s="278"/>
      <x:c r="L132" s="7"/>
      <x:c r="M132" s="7"/>
      <x:c r="Q132" s="279"/>
      <x:c r="R132" s="281"/>
    </x:row>
    <x:row r="133">
      <x:c r="A133" s="278"/>
      <x:c r="C133" s="279"/>
      <x:c r="F133" s="278"/>
      <x:c r="G133" s="280"/>
      <x:c r="H133" s="278"/>
      <x:c r="I133" s="278"/>
      <x:c r="K133" s="278"/>
      <x:c r="L133" s="7"/>
      <x:c r="M133" s="7"/>
      <x:c r="Q133" s="279"/>
      <x:c r="R133" s="281"/>
    </x:row>
    <x:row r="134">
      <x:c r="A134" s="278"/>
      <x:c r="C134" s="279"/>
      <x:c r="F134" s="278"/>
      <x:c r="G134" s="280"/>
      <x:c r="H134" s="278"/>
      <x:c r="I134" s="278"/>
      <x:c r="K134" s="278"/>
      <x:c r="L134" s="7"/>
      <x:c r="M134" s="7"/>
      <x:c r="Q134" s="279"/>
      <x:c r="R134" s="281"/>
    </x:row>
    <x:row r="135">
      <x:c r="A135" s="278"/>
      <x:c r="C135" s="279"/>
      <x:c r="F135" s="278"/>
      <x:c r="G135" s="280"/>
      <x:c r="H135" s="278"/>
      <x:c r="I135" s="278"/>
      <x:c r="K135" s="278"/>
      <x:c r="L135" s="7"/>
      <x:c r="M135" s="7"/>
      <x:c r="Q135" s="279"/>
      <x:c r="R135" s="281"/>
    </x:row>
    <x:row r="136">
      <x:c r="A136" s="278"/>
      <x:c r="C136" s="279"/>
      <x:c r="F136" s="278"/>
      <x:c r="G136" s="280"/>
      <x:c r="H136" s="278"/>
      <x:c r="I136" s="278"/>
      <x:c r="K136" s="278"/>
      <x:c r="L136" s="7"/>
      <x:c r="M136" s="7"/>
      <x:c r="Q136" s="279"/>
      <x:c r="R136" s="281"/>
    </x:row>
    <x:row r="137">
      <x:c r="A137" s="278"/>
      <x:c r="C137" s="279"/>
      <x:c r="F137" s="278"/>
      <x:c r="G137" s="280"/>
      <x:c r="H137" s="278"/>
      <x:c r="I137" s="278"/>
      <x:c r="K137" s="278"/>
      <x:c r="L137" s="7"/>
      <x:c r="M137" s="7"/>
      <x:c r="Q137" s="279"/>
      <x:c r="R137" s="281"/>
    </x:row>
    <x:row r="138">
      <x:c r="A138" s="278"/>
      <x:c r="C138" s="279"/>
      <x:c r="F138" s="278"/>
      <x:c r="G138" s="280"/>
      <x:c r="H138" s="278"/>
      <x:c r="I138" s="278"/>
      <x:c r="K138" s="278"/>
      <x:c r="L138" s="7"/>
      <x:c r="M138" s="7"/>
      <x:c r="Q138" s="279"/>
      <x:c r="R138" s="281"/>
    </x:row>
    <x:row r="139">
      <x:c r="A139" s="278"/>
      <x:c r="C139" s="279"/>
      <x:c r="F139" s="278"/>
      <x:c r="G139" s="280"/>
      <x:c r="H139" s="278"/>
      <x:c r="I139" s="278"/>
      <x:c r="K139" s="278"/>
      <x:c r="L139" s="7"/>
      <x:c r="M139" s="7"/>
      <x:c r="Q139" s="279"/>
      <x:c r="R139" s="281"/>
    </x:row>
    <x:row r="140">
      <x:c r="A140" s="278"/>
      <x:c r="C140" s="279"/>
      <x:c r="F140" s="278"/>
      <x:c r="G140" s="280"/>
      <x:c r="H140" s="278"/>
      <x:c r="I140" s="278"/>
      <x:c r="K140" s="278"/>
      <x:c r="L140" s="7"/>
      <x:c r="M140" s="7"/>
      <x:c r="Q140" s="279"/>
      <x:c r="R140" s="281"/>
    </x:row>
    <x:row r="141">
      <x:c r="A141" s="278"/>
      <x:c r="C141" s="279"/>
      <x:c r="F141" s="278"/>
      <x:c r="G141" s="280"/>
      <x:c r="H141" s="278"/>
      <x:c r="I141" s="278"/>
      <x:c r="K141" s="278"/>
      <x:c r="L141" s="7"/>
      <x:c r="M141" s="7"/>
      <x:c r="Q141" s="279"/>
      <x:c r="R141" s="281"/>
    </x:row>
    <x:row r="142">
      <x:c r="A142" s="278"/>
      <x:c r="C142" s="279"/>
      <x:c r="F142" s="278"/>
      <x:c r="G142" s="280"/>
      <x:c r="H142" s="278"/>
      <x:c r="I142" s="278"/>
      <x:c r="K142" s="278"/>
      <x:c r="L142" s="7"/>
      <x:c r="M142" s="7"/>
      <x:c r="Q142" s="279"/>
      <x:c r="R142" s="281"/>
    </x:row>
    <x:row r="143">
      <x:c r="A143" s="278"/>
      <x:c r="C143" s="279"/>
      <x:c r="F143" s="278"/>
      <x:c r="G143" s="280"/>
      <x:c r="H143" s="278"/>
      <x:c r="I143" s="278"/>
      <x:c r="K143" s="278"/>
      <x:c r="L143" s="7"/>
      <x:c r="M143" s="7"/>
      <x:c r="Q143" s="279"/>
      <x:c r="R143" s="281"/>
    </x:row>
    <x:row r="144">
      <x:c r="A144" s="278"/>
      <x:c r="C144" s="279"/>
      <x:c r="F144" s="278"/>
      <x:c r="G144" s="280"/>
      <x:c r="H144" s="278"/>
      <x:c r="I144" s="278"/>
      <x:c r="K144" s="278"/>
      <x:c r="L144" s="7"/>
      <x:c r="M144" s="7"/>
      <x:c r="Q144" s="279"/>
      <x:c r="R144" s="281"/>
    </x:row>
    <x:row r="145">
      <x:c r="A145" s="278"/>
      <x:c r="C145" s="279"/>
      <x:c r="F145" s="278"/>
      <x:c r="G145" s="280"/>
      <x:c r="H145" s="278"/>
      <x:c r="I145" s="278"/>
      <x:c r="K145" s="278"/>
      <x:c r="L145" s="7"/>
      <x:c r="M145" s="7"/>
      <x:c r="Q145" s="279"/>
      <x:c r="R145" s="281"/>
    </x:row>
    <x:row r="146">
      <x:c r="A146" s="278"/>
      <x:c r="C146" s="279"/>
      <x:c r="F146" s="278"/>
      <x:c r="G146" s="280"/>
      <x:c r="H146" s="278"/>
      <x:c r="I146" s="278"/>
      <x:c r="K146" s="278"/>
      <x:c r="L146" s="7"/>
      <x:c r="M146" s="7"/>
      <x:c r="Q146" s="279"/>
      <x:c r="R146" s="281"/>
    </x:row>
    <x:row r="147">
      <x:c r="A147" s="278"/>
      <x:c r="C147" s="279"/>
      <x:c r="F147" s="278"/>
      <x:c r="G147" s="280"/>
      <x:c r="H147" s="278"/>
      <x:c r="I147" s="278"/>
      <x:c r="K147" s="278"/>
      <x:c r="L147" s="7"/>
      <x:c r="M147" s="7"/>
      <x:c r="Q147" s="279"/>
      <x:c r="R147" s="281"/>
    </x:row>
    <x:row r="148">
      <x:c r="A148" s="278"/>
      <x:c r="C148" s="279"/>
      <x:c r="F148" s="278"/>
      <x:c r="G148" s="280"/>
      <x:c r="H148" s="278"/>
      <x:c r="I148" s="278"/>
      <x:c r="K148" s="278"/>
      <x:c r="L148" s="7"/>
      <x:c r="M148" s="7"/>
      <x:c r="Q148" s="279"/>
      <x:c r="R148" s="281"/>
    </x:row>
    <x:row r="149">
      <x:c r="A149" s="278"/>
      <x:c r="C149" s="279"/>
      <x:c r="F149" s="278"/>
      <x:c r="G149" s="280"/>
      <x:c r="H149" s="278"/>
      <x:c r="I149" s="278"/>
      <x:c r="K149" s="278"/>
      <x:c r="L149" s="7"/>
      <x:c r="M149" s="7"/>
      <x:c r="Q149" s="279"/>
      <x:c r="R149" s="281"/>
    </x:row>
    <x:row r="150">
      <x:c r="A150" s="278"/>
      <x:c r="C150" s="279"/>
      <x:c r="F150" s="278"/>
      <x:c r="G150" s="280"/>
      <x:c r="H150" s="278"/>
      <x:c r="I150" s="278"/>
      <x:c r="K150" s="278"/>
      <x:c r="L150" s="7"/>
      <x:c r="M150" s="7"/>
      <x:c r="Q150" s="279"/>
      <x:c r="R150" s="281"/>
    </x:row>
    <x:row r="151">
      <x:c r="A151" s="278"/>
      <x:c r="C151" s="279"/>
      <x:c r="F151" s="278"/>
      <x:c r="G151" s="280"/>
      <x:c r="H151" s="278"/>
      <x:c r="I151" s="278"/>
      <x:c r="K151" s="278"/>
      <x:c r="L151" s="7"/>
      <x:c r="M151" s="7"/>
      <x:c r="Q151" s="279"/>
      <x:c r="R151" s="281"/>
    </x:row>
    <x:row r="152">
      <x:c r="A152" s="278"/>
      <x:c r="C152" s="279"/>
      <x:c r="F152" s="278"/>
      <x:c r="G152" s="280"/>
      <x:c r="H152" s="278"/>
      <x:c r="I152" s="278"/>
      <x:c r="K152" s="278"/>
      <x:c r="L152" s="7"/>
      <x:c r="M152" s="7"/>
      <x:c r="Q152" s="279"/>
      <x:c r="R152" s="281"/>
    </x:row>
    <x:row r="153">
      <x:c r="A153" s="278"/>
      <x:c r="C153" s="279"/>
      <x:c r="F153" s="278"/>
      <x:c r="G153" s="280"/>
      <x:c r="H153" s="278"/>
      <x:c r="I153" s="278"/>
      <x:c r="K153" s="278"/>
      <x:c r="L153" s="7"/>
      <x:c r="M153" s="7"/>
      <x:c r="Q153" s="279"/>
      <x:c r="R153" s="281"/>
    </x:row>
    <x:row r="154">
      <x:c r="A154" s="278"/>
      <x:c r="C154" s="279"/>
      <x:c r="F154" s="278"/>
      <x:c r="G154" s="280"/>
      <x:c r="H154" s="278"/>
      <x:c r="I154" s="278"/>
      <x:c r="K154" s="278"/>
      <x:c r="L154" s="7"/>
      <x:c r="M154" s="7"/>
      <x:c r="Q154" s="279"/>
      <x:c r="R154" s="281"/>
    </x:row>
    <x:row r="155">
      <x:c r="A155" s="278"/>
      <x:c r="C155" s="279"/>
      <x:c r="F155" s="278"/>
      <x:c r="G155" s="280"/>
      <x:c r="H155" s="278"/>
      <x:c r="I155" s="278"/>
      <x:c r="K155" s="278"/>
      <x:c r="L155" s="7"/>
      <x:c r="M155" s="7"/>
      <x:c r="Q155" s="279"/>
      <x:c r="R155" s="281"/>
    </x:row>
    <x:row r="156">
      <x:c r="A156" s="278"/>
      <x:c r="C156" s="279"/>
      <x:c r="F156" s="278"/>
      <x:c r="G156" s="280"/>
      <x:c r="H156" s="278"/>
      <x:c r="I156" s="278"/>
      <x:c r="K156" s="278"/>
      <x:c r="L156" s="7"/>
      <x:c r="M156" s="7"/>
      <x:c r="Q156" s="279"/>
      <x:c r="R156" s="281"/>
    </x:row>
    <x:row r="157">
      <x:c r="A157" s="278"/>
      <x:c r="C157" s="279"/>
      <x:c r="F157" s="278"/>
      <x:c r="G157" s="280"/>
      <x:c r="H157" s="278"/>
      <x:c r="I157" s="278"/>
      <x:c r="K157" s="278"/>
      <x:c r="L157" s="7"/>
      <x:c r="M157" s="7"/>
      <x:c r="Q157" s="279"/>
      <x:c r="R157" s="281"/>
    </x:row>
    <x:row r="158">
      <x:c r="A158" s="278"/>
      <x:c r="C158" s="279"/>
      <x:c r="F158" s="278"/>
      <x:c r="G158" s="280"/>
      <x:c r="H158" s="278"/>
      <x:c r="I158" s="278"/>
      <x:c r="K158" s="278"/>
      <x:c r="L158" s="7"/>
      <x:c r="M158" s="7"/>
      <x:c r="Q158" s="279"/>
      <x:c r="R158" s="281"/>
    </x:row>
    <x:row r="159">
      <x:c r="A159" s="278"/>
      <x:c r="C159" s="279"/>
      <x:c r="F159" s="278"/>
      <x:c r="G159" s="280"/>
      <x:c r="H159" s="278"/>
      <x:c r="I159" s="278"/>
      <x:c r="K159" s="278"/>
      <x:c r="L159" s="7"/>
      <x:c r="M159" s="7"/>
      <x:c r="Q159" s="279"/>
      <x:c r="R159" s="281"/>
    </x:row>
    <x:row r="160">
      <x:c r="A160" s="278"/>
      <x:c r="C160" s="279"/>
      <x:c r="F160" s="278"/>
      <x:c r="G160" s="280"/>
      <x:c r="H160" s="278"/>
      <x:c r="I160" s="278"/>
      <x:c r="K160" s="278"/>
      <x:c r="L160" s="7"/>
      <x:c r="M160" s="7"/>
      <x:c r="Q160" s="279"/>
      <x:c r="R160" s="281"/>
    </x:row>
    <x:row r="161">
      <x:c r="A161" s="278"/>
      <x:c r="C161" s="279"/>
      <x:c r="F161" s="278"/>
      <x:c r="G161" s="280"/>
      <x:c r="H161" s="278"/>
      <x:c r="I161" s="278"/>
      <x:c r="K161" s="278"/>
      <x:c r="L161" s="7"/>
      <x:c r="M161" s="7"/>
      <x:c r="Q161" s="279"/>
      <x:c r="R161" s="281"/>
    </x:row>
    <x:row r="162">
      <x:c r="A162" s="278"/>
      <x:c r="C162" s="279"/>
      <x:c r="F162" s="278"/>
      <x:c r="G162" s="280"/>
      <x:c r="H162" s="278"/>
      <x:c r="I162" s="278"/>
      <x:c r="K162" s="278"/>
      <x:c r="L162" s="7"/>
      <x:c r="M162" s="7"/>
      <x:c r="Q162" s="279"/>
      <x:c r="R162" s="281"/>
    </x:row>
    <x:row r="163">
      <x:c r="A163" s="278"/>
      <x:c r="C163" s="279"/>
      <x:c r="F163" s="278"/>
      <x:c r="G163" s="280"/>
      <x:c r="H163" s="278"/>
      <x:c r="I163" s="278"/>
      <x:c r="K163" s="278"/>
      <x:c r="L163" s="7"/>
      <x:c r="M163" s="7"/>
      <x:c r="Q163" s="279"/>
      <x:c r="R163" s="281"/>
    </x:row>
    <x:row r="164">
      <x:c r="A164" s="278"/>
      <x:c r="C164" s="279"/>
      <x:c r="F164" s="278"/>
      <x:c r="G164" s="280"/>
      <x:c r="H164" s="278"/>
      <x:c r="I164" s="278"/>
      <x:c r="K164" s="278"/>
      <x:c r="L164" s="7"/>
      <x:c r="M164" s="7"/>
      <x:c r="Q164" s="279"/>
      <x:c r="R164" s="281"/>
    </x:row>
    <x:row r="165">
      <x:c r="A165" s="278"/>
      <x:c r="C165" s="279"/>
      <x:c r="F165" s="278"/>
      <x:c r="G165" s="280"/>
      <x:c r="H165" s="278"/>
      <x:c r="I165" s="278"/>
      <x:c r="K165" s="278"/>
      <x:c r="L165" s="7"/>
      <x:c r="M165" s="7"/>
      <x:c r="Q165" s="279"/>
      <x:c r="R165" s="281"/>
    </x:row>
    <x:row r="166">
      <x:c r="A166" s="278"/>
      <x:c r="C166" s="279"/>
      <x:c r="F166" s="278"/>
      <x:c r="G166" s="280"/>
      <x:c r="H166" s="278"/>
      <x:c r="I166" s="278"/>
      <x:c r="K166" s="278"/>
      <x:c r="L166" s="7"/>
      <x:c r="M166" s="7"/>
      <x:c r="Q166" s="279"/>
      <x:c r="R166" s="281"/>
    </x:row>
    <x:row r="167">
      <x:c r="A167" s="278"/>
      <x:c r="C167" s="279"/>
      <x:c r="F167" s="278"/>
      <x:c r="G167" s="280"/>
      <x:c r="H167" s="278"/>
      <x:c r="I167" s="278"/>
      <x:c r="K167" s="278"/>
      <x:c r="L167" s="7"/>
      <x:c r="M167" s="7"/>
      <x:c r="Q167" s="279"/>
      <x:c r="R167" s="281"/>
    </x:row>
    <x:row r="168">
      <x:c r="A168" s="278"/>
      <x:c r="C168" s="279"/>
      <x:c r="F168" s="278"/>
      <x:c r="G168" s="280"/>
      <x:c r="H168" s="278"/>
      <x:c r="I168" s="278"/>
      <x:c r="K168" s="278"/>
      <x:c r="L168" s="7"/>
      <x:c r="M168" s="7"/>
      <x:c r="Q168" s="279"/>
      <x:c r="R168" s="281"/>
    </x:row>
    <x:row r="169">
      <x:c r="A169" s="278"/>
      <x:c r="C169" s="279"/>
      <x:c r="F169" s="278"/>
      <x:c r="G169" s="280"/>
      <x:c r="H169" s="278"/>
      <x:c r="I169" s="278"/>
      <x:c r="K169" s="278"/>
      <x:c r="L169" s="7"/>
      <x:c r="M169" s="7"/>
      <x:c r="Q169" s="279"/>
      <x:c r="R169" s="281"/>
    </x:row>
    <x:row r="170">
      <x:c r="A170" s="278"/>
      <x:c r="C170" s="279"/>
      <x:c r="F170" s="278"/>
      <x:c r="G170" s="280"/>
      <x:c r="H170" s="278"/>
      <x:c r="I170" s="278"/>
      <x:c r="K170" s="278"/>
      <x:c r="L170" s="7"/>
      <x:c r="M170" s="7"/>
      <x:c r="Q170" s="279"/>
      <x:c r="R170" s="281"/>
    </x:row>
    <x:row r="171">
      <x:c r="A171" s="278"/>
      <x:c r="C171" s="279"/>
      <x:c r="F171" s="278"/>
      <x:c r="G171" s="280"/>
      <x:c r="H171" s="278"/>
      <x:c r="I171" s="278"/>
      <x:c r="K171" s="278"/>
      <x:c r="L171" s="7"/>
      <x:c r="M171" s="7"/>
      <x:c r="Q171" s="279"/>
      <x:c r="R171" s="281"/>
    </x:row>
    <x:row r="172">
      <x:c r="A172" s="278"/>
      <x:c r="C172" s="279"/>
      <x:c r="F172" s="278"/>
      <x:c r="G172" s="280"/>
      <x:c r="H172" s="278"/>
      <x:c r="I172" s="278"/>
      <x:c r="K172" s="278"/>
      <x:c r="L172" s="7"/>
      <x:c r="M172" s="7"/>
      <x:c r="Q172" s="279"/>
      <x:c r="R172" s="281"/>
    </x:row>
    <x:row r="173">
      <x:c r="A173" s="278"/>
      <x:c r="C173" s="279"/>
      <x:c r="F173" s="278"/>
      <x:c r="G173" s="280"/>
      <x:c r="H173" s="278"/>
      <x:c r="I173" s="278"/>
      <x:c r="K173" s="278"/>
      <x:c r="L173" s="7"/>
      <x:c r="M173" s="7"/>
      <x:c r="Q173" s="279"/>
      <x:c r="R173" s="281"/>
    </x:row>
    <x:row r="174">
      <x:c r="A174" s="278"/>
      <x:c r="C174" s="279"/>
      <x:c r="F174" s="278"/>
      <x:c r="G174" s="280"/>
      <x:c r="H174" s="278"/>
      <x:c r="I174" s="278"/>
      <x:c r="K174" s="278"/>
      <x:c r="L174" s="7"/>
      <x:c r="M174" s="7"/>
      <x:c r="Q174" s="279"/>
      <x:c r="R174" s="281"/>
    </x:row>
    <x:row r="175">
      <x:c r="A175" s="278"/>
      <x:c r="C175" s="279"/>
      <x:c r="F175" s="278"/>
      <x:c r="G175" s="280"/>
      <x:c r="H175" s="278"/>
      <x:c r="I175" s="278"/>
      <x:c r="K175" s="278"/>
      <x:c r="L175" s="7"/>
      <x:c r="M175" s="7"/>
      <x:c r="Q175" s="279"/>
      <x:c r="R175" s="281"/>
    </x:row>
    <x:row r="176">
      <x:c r="A176" s="278"/>
      <x:c r="C176" s="279"/>
      <x:c r="F176" s="278"/>
      <x:c r="G176" s="280"/>
      <x:c r="H176" s="278"/>
      <x:c r="I176" s="278"/>
      <x:c r="K176" s="278"/>
      <x:c r="L176" s="7"/>
      <x:c r="M176" s="7"/>
      <x:c r="Q176" s="279"/>
      <x:c r="R176" s="281"/>
    </x:row>
    <x:row r="177">
      <x:c r="A177" s="278"/>
      <x:c r="C177" s="279"/>
      <x:c r="F177" s="278"/>
      <x:c r="G177" s="280"/>
      <x:c r="H177" s="278"/>
      <x:c r="I177" s="278"/>
      <x:c r="K177" s="278"/>
      <x:c r="L177" s="7"/>
      <x:c r="M177" s="7"/>
      <x:c r="Q177" s="279"/>
      <x:c r="R177" s="281"/>
    </x:row>
    <x:row r="178">
      <x:c r="A178" s="278"/>
      <x:c r="C178" s="279"/>
      <x:c r="F178" s="278"/>
      <x:c r="G178" s="280"/>
      <x:c r="H178" s="278"/>
      <x:c r="I178" s="278"/>
      <x:c r="K178" s="278"/>
      <x:c r="L178" s="7"/>
      <x:c r="M178" s="7"/>
      <x:c r="Q178" s="279"/>
      <x:c r="R178" s="281"/>
    </x:row>
    <x:row r="179">
      <x:c r="A179" s="278"/>
      <x:c r="C179" s="279"/>
      <x:c r="F179" s="278"/>
      <x:c r="G179" s="280"/>
      <x:c r="H179" s="278"/>
      <x:c r="I179" s="278"/>
      <x:c r="K179" s="278"/>
      <x:c r="L179" s="7"/>
      <x:c r="M179" s="7"/>
      <x:c r="Q179" s="279"/>
      <x:c r="R179" s="281"/>
    </x:row>
    <x:row r="180">
      <x:c r="A180" s="278"/>
      <x:c r="C180" s="279"/>
      <x:c r="F180" s="278"/>
      <x:c r="G180" s="280"/>
      <x:c r="H180" s="278"/>
      <x:c r="I180" s="278"/>
      <x:c r="K180" s="278"/>
      <x:c r="L180" s="7"/>
      <x:c r="M180" s="7"/>
      <x:c r="Q180" s="279"/>
      <x:c r="R180" s="281"/>
    </x:row>
    <x:row r="181">
      <x:c r="A181" s="278"/>
      <x:c r="C181" s="279"/>
      <x:c r="F181" s="278"/>
      <x:c r="G181" s="280"/>
      <x:c r="H181" s="278"/>
      <x:c r="I181" s="278"/>
      <x:c r="K181" s="278"/>
      <x:c r="L181" s="7"/>
      <x:c r="M181" s="7"/>
      <x:c r="Q181" s="279"/>
      <x:c r="R181" s="281"/>
    </x:row>
    <x:row r="182">
      <x:c r="A182" s="278"/>
      <x:c r="C182" s="279"/>
      <x:c r="F182" s="278"/>
      <x:c r="G182" s="280"/>
      <x:c r="H182" s="278"/>
      <x:c r="I182" s="278"/>
      <x:c r="K182" s="278"/>
      <x:c r="L182" s="7"/>
      <x:c r="M182" s="7"/>
      <x:c r="Q182" s="279"/>
      <x:c r="R182" s="281"/>
    </x:row>
    <x:row r="183">
      <x:c r="A183" s="278"/>
      <x:c r="C183" s="279"/>
      <x:c r="F183" s="278"/>
      <x:c r="G183" s="280"/>
      <x:c r="H183" s="278"/>
      <x:c r="I183" s="278"/>
      <x:c r="K183" s="278"/>
      <x:c r="L183" s="7"/>
      <x:c r="M183" s="7"/>
      <x:c r="Q183" s="279"/>
      <x:c r="R183" s="281"/>
    </x:row>
    <x:row r="184">
      <x:c r="A184" s="278"/>
      <x:c r="C184" s="279"/>
      <x:c r="F184" s="278"/>
      <x:c r="G184" s="280"/>
      <x:c r="H184" s="278"/>
      <x:c r="I184" s="278"/>
      <x:c r="K184" s="278"/>
      <x:c r="L184" s="7"/>
      <x:c r="M184" s="7"/>
      <x:c r="Q184" s="279"/>
      <x:c r="R184" s="281"/>
    </x:row>
    <x:row r="185">
      <x:c r="A185" s="278"/>
      <x:c r="C185" s="279"/>
      <x:c r="F185" s="278"/>
      <x:c r="G185" s="280"/>
      <x:c r="H185" s="278"/>
      <x:c r="I185" s="278"/>
      <x:c r="K185" s="278"/>
      <x:c r="L185" s="7"/>
      <x:c r="M185" s="7"/>
      <x:c r="Q185" s="279"/>
      <x:c r="R185" s="281"/>
    </x:row>
    <x:row r="186">
      <x:c r="A186" s="278"/>
      <x:c r="C186" s="279"/>
      <x:c r="F186" s="278"/>
      <x:c r="G186" s="280"/>
      <x:c r="H186" s="278"/>
      <x:c r="I186" s="278"/>
      <x:c r="K186" s="278"/>
      <x:c r="L186" s="7"/>
      <x:c r="M186" s="7"/>
      <x:c r="Q186" s="279"/>
      <x:c r="R186" s="281"/>
    </x:row>
    <x:row r="187">
      <x:c r="A187" s="278"/>
      <x:c r="C187" s="279"/>
      <x:c r="F187" s="278"/>
      <x:c r="G187" s="280"/>
      <x:c r="H187" s="278"/>
      <x:c r="I187" s="278"/>
      <x:c r="K187" s="278"/>
      <x:c r="L187" s="7"/>
      <x:c r="M187" s="7"/>
      <x:c r="Q187" s="279"/>
      <x:c r="R187" s="281"/>
    </x:row>
    <x:row r="188">
      <x:c r="A188" s="278"/>
      <x:c r="C188" s="279"/>
      <x:c r="F188" s="278"/>
      <x:c r="G188" s="280"/>
      <x:c r="H188" s="278"/>
      <x:c r="I188" s="278"/>
      <x:c r="K188" s="278"/>
      <x:c r="L188" s="7"/>
      <x:c r="M188" s="7"/>
      <x:c r="Q188" s="279"/>
      <x:c r="R188" s="281"/>
    </x:row>
    <x:row r="189">
      <x:c r="A189" s="278"/>
      <x:c r="C189" s="279"/>
      <x:c r="F189" s="278"/>
      <x:c r="G189" s="280"/>
      <x:c r="H189" s="278"/>
      <x:c r="I189" s="278"/>
      <x:c r="K189" s="278"/>
      <x:c r="L189" s="7"/>
      <x:c r="M189" s="7"/>
      <x:c r="Q189" s="279"/>
      <x:c r="R189" s="281"/>
    </x:row>
    <x:row r="190">
      <x:c r="A190" s="278"/>
      <x:c r="C190" s="279"/>
      <x:c r="F190" s="278"/>
      <x:c r="G190" s="280"/>
      <x:c r="H190" s="278"/>
      <x:c r="I190" s="278"/>
      <x:c r="K190" s="278"/>
      <x:c r="L190" s="7"/>
      <x:c r="M190" s="7"/>
      <x:c r="Q190" s="279"/>
      <x:c r="R190" s="281"/>
    </x:row>
    <x:row r="191">
      <x:c r="A191" s="278"/>
      <x:c r="C191" s="279"/>
      <x:c r="F191" s="278"/>
      <x:c r="G191" s="280"/>
      <x:c r="H191" s="278"/>
      <x:c r="I191" s="278"/>
      <x:c r="K191" s="278"/>
      <x:c r="L191" s="7"/>
      <x:c r="M191" s="7"/>
      <x:c r="Q191" s="279"/>
      <x:c r="R191" s="281"/>
    </x:row>
    <x:row r="192">
      <x:c r="A192" s="278"/>
      <x:c r="C192" s="279"/>
      <x:c r="F192" s="278"/>
      <x:c r="G192" s="280"/>
      <x:c r="H192" s="278"/>
      <x:c r="I192" s="278"/>
      <x:c r="K192" s="278"/>
      <x:c r="L192" s="7"/>
      <x:c r="M192" s="7"/>
      <x:c r="Q192" s="279"/>
      <x:c r="R192" s="281"/>
    </x:row>
    <x:row r="193">
      <x:c r="A193" s="278"/>
      <x:c r="C193" s="279"/>
      <x:c r="F193" s="278"/>
      <x:c r="G193" s="280"/>
      <x:c r="H193" s="278"/>
      <x:c r="I193" s="278"/>
      <x:c r="K193" s="278"/>
      <x:c r="L193" s="7"/>
      <x:c r="M193" s="7"/>
      <x:c r="Q193" s="279"/>
      <x:c r="R193" s="281"/>
    </x:row>
    <x:row r="194">
      <x:c r="A194" s="278"/>
      <x:c r="C194" s="279"/>
      <x:c r="F194" s="278"/>
      <x:c r="G194" s="280"/>
      <x:c r="H194" s="278"/>
      <x:c r="I194" s="278"/>
      <x:c r="K194" s="278"/>
      <x:c r="L194" s="7"/>
      <x:c r="M194" s="7"/>
      <x:c r="Q194" s="279"/>
      <x:c r="R194" s="281"/>
    </x:row>
    <x:row r="195">
      <x:c r="A195" s="278"/>
      <x:c r="C195" s="279"/>
      <x:c r="F195" s="278"/>
      <x:c r="G195" s="280"/>
      <x:c r="H195" s="278"/>
      <x:c r="I195" s="278"/>
      <x:c r="K195" s="278"/>
      <x:c r="L195" s="7"/>
      <x:c r="M195" s="7"/>
      <x:c r="Q195" s="279"/>
      <x:c r="R195" s="281"/>
    </x:row>
    <x:row r="196">
      <x:c r="A196" s="278"/>
      <x:c r="C196" s="279"/>
      <x:c r="F196" s="278"/>
      <x:c r="G196" s="280"/>
      <x:c r="H196" s="278"/>
      <x:c r="I196" s="278"/>
      <x:c r="K196" s="278"/>
      <x:c r="L196" s="7"/>
      <x:c r="M196" s="7"/>
      <x:c r="Q196" s="279"/>
      <x:c r="R196" s="281"/>
    </x:row>
    <x:row r="197">
      <x:c r="A197" s="278"/>
      <x:c r="C197" s="279"/>
      <x:c r="F197" s="278"/>
      <x:c r="G197" s="280"/>
      <x:c r="H197" s="278"/>
      <x:c r="I197" s="278"/>
      <x:c r="K197" s="278"/>
      <x:c r="L197" s="7"/>
      <x:c r="M197" s="7"/>
      <x:c r="Q197" s="279"/>
      <x:c r="R197" s="281"/>
    </x:row>
    <x:row r="198">
      <x:c r="A198" s="278"/>
      <x:c r="C198" s="279"/>
      <x:c r="F198" s="278"/>
      <x:c r="G198" s="280"/>
      <x:c r="H198" s="278"/>
      <x:c r="I198" s="278"/>
      <x:c r="K198" s="278"/>
      <x:c r="L198" s="7"/>
      <x:c r="M198" s="7"/>
      <x:c r="Q198" s="279"/>
      <x:c r="R198" s="281"/>
    </x:row>
    <x:row r="199">
      <x:c r="A199" s="278"/>
      <x:c r="C199" s="279"/>
      <x:c r="F199" s="278"/>
      <x:c r="G199" s="280"/>
      <x:c r="H199" s="278"/>
      <x:c r="I199" s="278"/>
      <x:c r="K199" s="278"/>
      <x:c r="L199" s="7"/>
      <x:c r="M199" s="7"/>
      <x:c r="Q199" s="279"/>
      <x:c r="R199" s="281"/>
    </x:row>
    <x:row r="200">
      <x:c r="A200" s="278"/>
      <x:c r="C200" s="279"/>
      <x:c r="F200" s="278"/>
      <x:c r="G200" s="280"/>
      <x:c r="H200" s="278"/>
      <x:c r="I200" s="278"/>
      <x:c r="K200" s="278"/>
      <x:c r="L200" s="7"/>
      <x:c r="M200" s="7"/>
      <x:c r="Q200" s="279"/>
      <x:c r="R200" s="281"/>
    </x:row>
    <x:row r="201">
      <x:c r="A201" s="278"/>
      <x:c r="C201" s="279"/>
      <x:c r="F201" s="278"/>
      <x:c r="G201" s="280"/>
      <x:c r="H201" s="278"/>
      <x:c r="I201" s="278"/>
      <x:c r="K201" s="278"/>
      <x:c r="L201" s="7"/>
      <x:c r="M201" s="7"/>
      <x:c r="Q201" s="279"/>
      <x:c r="R201" s="281"/>
    </x:row>
    <x:row r="202">
      <x:c r="A202" s="278"/>
      <x:c r="C202" s="279"/>
      <x:c r="F202" s="278"/>
      <x:c r="G202" s="280"/>
      <x:c r="H202" s="278"/>
      <x:c r="I202" s="278"/>
      <x:c r="K202" s="278"/>
      <x:c r="L202" s="7"/>
      <x:c r="M202" s="7"/>
      <x:c r="Q202" s="279"/>
      <x:c r="R202" s="281"/>
    </x:row>
    <x:row r="203">
      <x:c r="A203" s="278"/>
      <x:c r="C203" s="279"/>
      <x:c r="F203" s="278"/>
      <x:c r="G203" s="280"/>
      <x:c r="H203" s="278"/>
      <x:c r="I203" s="278"/>
      <x:c r="K203" s="278"/>
      <x:c r="L203" s="7"/>
      <x:c r="M203" s="7"/>
      <x:c r="Q203" s="279"/>
      <x:c r="R203" s="281"/>
    </x:row>
    <x:row r="204">
      <x:c r="A204" s="278"/>
      <x:c r="C204" s="279"/>
      <x:c r="F204" s="278"/>
      <x:c r="G204" s="280"/>
      <x:c r="H204" s="278"/>
      <x:c r="I204" s="278"/>
      <x:c r="K204" s="278"/>
      <x:c r="L204" s="7"/>
      <x:c r="M204" s="7"/>
      <x:c r="Q204" s="279"/>
      <x:c r="R204" s="281"/>
    </x:row>
    <x:row r="205">
      <x:c r="A205" s="278"/>
      <x:c r="C205" s="279"/>
      <x:c r="F205" s="278"/>
      <x:c r="G205" s="280"/>
      <x:c r="H205" s="278"/>
      <x:c r="I205" s="278"/>
      <x:c r="K205" s="278"/>
      <x:c r="L205" s="7"/>
      <x:c r="M205" s="7"/>
      <x:c r="Q205" s="279"/>
      <x:c r="R205" s="281"/>
    </x:row>
    <x:row r="206">
      <x:c r="A206" s="278"/>
      <x:c r="C206" s="279"/>
      <x:c r="F206" s="278"/>
      <x:c r="G206" s="280"/>
      <x:c r="H206" s="278"/>
      <x:c r="I206" s="278"/>
      <x:c r="K206" s="278"/>
      <x:c r="L206" s="7"/>
      <x:c r="M206" s="7"/>
      <x:c r="Q206" s="279"/>
      <x:c r="R206" s="281"/>
    </x:row>
    <x:row r="207">
      <x:c r="A207" s="278"/>
      <x:c r="C207" s="279"/>
      <x:c r="F207" s="278"/>
      <x:c r="G207" s="280"/>
      <x:c r="H207" s="278"/>
      <x:c r="I207" s="278"/>
      <x:c r="K207" s="278"/>
      <x:c r="L207" s="7"/>
      <x:c r="M207" s="7"/>
      <x:c r="Q207" s="279"/>
      <x:c r="R207" s="281"/>
    </x:row>
    <x:row r="208">
      <x:c r="A208" s="278"/>
      <x:c r="C208" s="279"/>
      <x:c r="F208" s="278"/>
      <x:c r="G208" s="280"/>
      <x:c r="H208" s="278"/>
      <x:c r="I208" s="278"/>
      <x:c r="K208" s="278"/>
      <x:c r="L208" s="7"/>
      <x:c r="M208" s="7"/>
      <x:c r="Q208" s="279"/>
      <x:c r="R208" s="281"/>
    </x:row>
    <x:row r="209">
      <x:c r="A209" s="278"/>
      <x:c r="C209" s="279"/>
      <x:c r="F209" s="278"/>
      <x:c r="G209" s="280"/>
      <x:c r="H209" s="278"/>
      <x:c r="I209" s="278"/>
      <x:c r="K209" s="278"/>
      <x:c r="L209" s="7"/>
      <x:c r="M209" s="7"/>
      <x:c r="Q209" s="279"/>
      <x:c r="R209" s="281"/>
    </x:row>
    <x:row r="210">
      <x:c r="A210" s="278"/>
      <x:c r="C210" s="279"/>
      <x:c r="F210" s="278"/>
      <x:c r="G210" s="280"/>
      <x:c r="H210" s="278"/>
      <x:c r="I210" s="278"/>
      <x:c r="K210" s="278"/>
      <x:c r="L210" s="7"/>
      <x:c r="M210" s="7"/>
      <x:c r="Q210" s="279"/>
      <x:c r="R210" s="281"/>
    </x:row>
    <x:row r="211">
      <x:c r="A211" s="278"/>
      <x:c r="C211" s="279"/>
      <x:c r="F211" s="278"/>
      <x:c r="G211" s="280"/>
      <x:c r="H211" s="278"/>
      <x:c r="I211" s="278"/>
      <x:c r="K211" s="278"/>
      <x:c r="L211" s="7"/>
      <x:c r="M211" s="7"/>
      <x:c r="Q211" s="279"/>
      <x:c r="R211" s="281"/>
    </x:row>
    <x:row r="212">
      <x:c r="A212" s="278"/>
      <x:c r="C212" s="279"/>
      <x:c r="F212" s="278"/>
      <x:c r="G212" s="280"/>
      <x:c r="H212" s="278"/>
      <x:c r="I212" s="278"/>
      <x:c r="K212" s="278"/>
      <x:c r="L212" s="7"/>
      <x:c r="M212" s="7"/>
      <x:c r="Q212" s="279"/>
      <x:c r="R212" s="281"/>
    </x:row>
    <x:row r="213">
      <x:c r="A213" s="278"/>
      <x:c r="C213" s="279"/>
      <x:c r="F213" s="278"/>
      <x:c r="G213" s="280"/>
      <x:c r="H213" s="278"/>
      <x:c r="I213" s="278"/>
      <x:c r="K213" s="278"/>
      <x:c r="L213" s="7"/>
      <x:c r="M213" s="7"/>
      <x:c r="Q213" s="279"/>
      <x:c r="R213" s="281"/>
    </x:row>
    <x:row r="214">
      <x:c r="A214" s="278"/>
      <x:c r="C214" s="279"/>
      <x:c r="F214" s="278"/>
      <x:c r="G214" s="280"/>
      <x:c r="H214" s="278"/>
      <x:c r="I214" s="278"/>
      <x:c r="K214" s="278"/>
      <x:c r="L214" s="7"/>
      <x:c r="M214" s="7"/>
      <x:c r="Q214" s="279"/>
      <x:c r="R214" s="281"/>
    </x:row>
    <x:row r="215">
      <x:c r="A215" s="278"/>
      <x:c r="C215" s="279"/>
      <x:c r="F215" s="278"/>
      <x:c r="G215" s="280"/>
      <x:c r="H215" s="278"/>
      <x:c r="I215" s="278"/>
      <x:c r="K215" s="278"/>
      <x:c r="L215" s="7"/>
      <x:c r="M215" s="7"/>
      <x:c r="Q215" s="279"/>
      <x:c r="R215" s="281"/>
    </x:row>
    <x:row r="216">
      <x:c r="A216" s="278"/>
      <x:c r="C216" s="279"/>
      <x:c r="F216" s="278"/>
      <x:c r="G216" s="280"/>
      <x:c r="H216" s="278"/>
      <x:c r="I216" s="278"/>
      <x:c r="K216" s="278"/>
      <x:c r="L216" s="7"/>
      <x:c r="M216" s="7"/>
      <x:c r="Q216" s="279"/>
      <x:c r="R216" s="281"/>
    </x:row>
    <x:row r="217">
      <x:c r="A217" s="278"/>
      <x:c r="C217" s="279"/>
      <x:c r="F217" s="278"/>
      <x:c r="G217" s="280"/>
      <x:c r="H217" s="278"/>
      <x:c r="I217" s="278"/>
      <x:c r="K217" s="278"/>
      <x:c r="L217" s="7"/>
      <x:c r="M217" s="7"/>
      <x:c r="Q217" s="279"/>
      <x:c r="R217" s="281"/>
    </x:row>
    <x:row r="218">
      <x:c r="A218" s="278"/>
      <x:c r="C218" s="279"/>
      <x:c r="F218" s="278"/>
      <x:c r="G218" s="280"/>
      <x:c r="H218" s="278"/>
      <x:c r="I218" s="278"/>
      <x:c r="K218" s="278"/>
      <x:c r="L218" s="7"/>
      <x:c r="M218" s="7"/>
      <x:c r="Q218" s="279"/>
      <x:c r="R218" s="281"/>
    </x:row>
    <x:row r="219">
      <x:c r="A219" s="278"/>
      <x:c r="C219" s="279"/>
      <x:c r="F219" s="278"/>
      <x:c r="G219" s="280"/>
      <x:c r="H219" s="278"/>
      <x:c r="I219" s="278"/>
      <x:c r="K219" s="278"/>
      <x:c r="L219" s="7"/>
      <x:c r="M219" s="7"/>
      <x:c r="Q219" s="279"/>
      <x:c r="R219" s="281"/>
    </x:row>
    <x:row r="220">
      <x:c r="A220" s="278"/>
      <x:c r="C220" s="279"/>
      <x:c r="F220" s="278"/>
      <x:c r="G220" s="280"/>
      <x:c r="H220" s="278"/>
      <x:c r="I220" s="278"/>
      <x:c r="K220" s="278"/>
      <x:c r="L220" s="7"/>
      <x:c r="M220" s="7"/>
      <x:c r="Q220" s="279"/>
      <x:c r="R220" s="281"/>
    </x:row>
    <x:row r="221">
      <x:c r="A221" s="278"/>
      <x:c r="C221" s="279"/>
      <x:c r="F221" s="278"/>
      <x:c r="G221" s="280"/>
      <x:c r="H221" s="278"/>
      <x:c r="I221" s="278"/>
      <x:c r="K221" s="278"/>
      <x:c r="L221" s="7"/>
      <x:c r="M221" s="7"/>
      <x:c r="Q221" s="279"/>
      <x:c r="R221" s="281"/>
    </x:row>
    <x:row r="222">
      <x:c r="A222" s="278"/>
      <x:c r="C222" s="279"/>
      <x:c r="F222" s="278"/>
      <x:c r="G222" s="280"/>
      <x:c r="H222" s="278"/>
      <x:c r="I222" s="278"/>
      <x:c r="K222" s="278"/>
      <x:c r="L222" s="7"/>
      <x:c r="M222" s="7"/>
      <x:c r="Q222" s="279"/>
      <x:c r="R222" s="281"/>
    </x:row>
    <x:row r="223">
      <x:c r="A223" s="278"/>
      <x:c r="C223" s="279"/>
      <x:c r="F223" s="278"/>
      <x:c r="G223" s="280"/>
      <x:c r="H223" s="278"/>
      <x:c r="I223" s="278"/>
      <x:c r="K223" s="278"/>
      <x:c r="L223" s="7"/>
      <x:c r="M223" s="7"/>
      <x:c r="Q223" s="279"/>
      <x:c r="R223" s="281"/>
    </x:row>
    <x:row r="224">
      <x:c r="A224" s="278"/>
      <x:c r="C224" s="279"/>
      <x:c r="F224" s="278"/>
      <x:c r="G224" s="280"/>
      <x:c r="H224" s="278"/>
      <x:c r="I224" s="278"/>
      <x:c r="K224" s="278"/>
      <x:c r="L224" s="7"/>
      <x:c r="M224" s="7"/>
      <x:c r="Q224" s="279"/>
      <x:c r="R224" s="281"/>
    </x:row>
    <x:row r="225">
      <x:c r="A225" s="278"/>
      <x:c r="C225" s="279"/>
      <x:c r="F225" s="278"/>
      <x:c r="G225" s="280"/>
      <x:c r="H225" s="278"/>
      <x:c r="I225" s="278"/>
      <x:c r="K225" s="278"/>
      <x:c r="L225" s="7"/>
      <x:c r="M225" s="7"/>
      <x:c r="Q225" s="279"/>
      <x:c r="R225" s="281"/>
    </x:row>
    <x:row r="226">
      <x:c r="A226" s="278"/>
      <x:c r="C226" s="279"/>
      <x:c r="F226" s="278"/>
      <x:c r="G226" s="280"/>
      <x:c r="H226" s="278"/>
      <x:c r="I226" s="278"/>
      <x:c r="K226" s="278"/>
      <x:c r="L226" s="7"/>
      <x:c r="M226" s="7"/>
      <x:c r="Q226" s="279"/>
      <x:c r="R226" s="281"/>
    </x:row>
    <x:row r="227">
      <x:c r="A227" s="278"/>
      <x:c r="C227" s="279"/>
      <x:c r="F227" s="278"/>
      <x:c r="G227" s="280"/>
      <x:c r="H227" s="278"/>
      <x:c r="I227" s="278"/>
      <x:c r="K227" s="278"/>
      <x:c r="L227" s="7"/>
      <x:c r="M227" s="7"/>
      <x:c r="Q227" s="279"/>
      <x:c r="R227" s="281"/>
    </x:row>
    <x:row r="228">
      <x:c r="A228" s="278"/>
      <x:c r="C228" s="279"/>
      <x:c r="F228" s="278"/>
      <x:c r="G228" s="280"/>
      <x:c r="H228" s="278"/>
      <x:c r="I228" s="278"/>
      <x:c r="K228" s="278"/>
      <x:c r="L228" s="7"/>
      <x:c r="M228" s="7"/>
      <x:c r="Q228" s="279"/>
      <x:c r="R228" s="281"/>
    </x:row>
    <x:row r="229">
      <x:c r="A229" s="278"/>
      <x:c r="C229" s="279"/>
      <x:c r="F229" s="278"/>
      <x:c r="G229" s="280"/>
      <x:c r="H229" s="278"/>
      <x:c r="I229" s="278"/>
      <x:c r="K229" s="278"/>
      <x:c r="L229" s="7"/>
      <x:c r="M229" s="7"/>
      <x:c r="Q229" s="279"/>
      <x:c r="R229" s="281"/>
    </x:row>
    <x:row r="230">
      <x:c r="A230" s="278"/>
      <x:c r="C230" s="279"/>
      <x:c r="F230" s="278"/>
      <x:c r="G230" s="280"/>
      <x:c r="H230" s="278"/>
      <x:c r="I230" s="278"/>
      <x:c r="K230" s="278"/>
      <x:c r="L230" s="7"/>
      <x:c r="M230" s="7"/>
      <x:c r="Q230" s="279"/>
      <x:c r="R230" s="281"/>
    </x:row>
    <x:row r="231">
      <x:c r="A231" s="278"/>
      <x:c r="C231" s="279"/>
      <x:c r="F231" s="278"/>
      <x:c r="G231" s="280"/>
      <x:c r="H231" s="278"/>
      <x:c r="I231" s="278"/>
      <x:c r="K231" s="278"/>
      <x:c r="L231" s="7"/>
      <x:c r="M231" s="7"/>
      <x:c r="Q231" s="279"/>
      <x:c r="R231" s="281"/>
    </x:row>
    <x:row r="232">
      <x:c r="A232" s="278"/>
      <x:c r="C232" s="279"/>
      <x:c r="F232" s="278"/>
      <x:c r="G232" s="280"/>
      <x:c r="H232" s="278"/>
      <x:c r="I232" s="278"/>
      <x:c r="K232" s="278"/>
      <x:c r="L232" s="7"/>
      <x:c r="M232" s="7"/>
      <x:c r="Q232" s="279"/>
      <x:c r="R232" s="281"/>
    </x:row>
    <x:row r="233">
      <x:c r="A233" s="278"/>
      <x:c r="C233" s="279"/>
      <x:c r="F233" s="278"/>
      <x:c r="G233" s="280"/>
      <x:c r="H233" s="278"/>
      <x:c r="I233" s="278"/>
      <x:c r="K233" s="278"/>
      <x:c r="L233" s="7"/>
      <x:c r="M233" s="7"/>
      <x:c r="Q233" s="279"/>
      <x:c r="R233" s="281"/>
    </x:row>
    <x:row r="234">
      <x:c r="A234" s="278"/>
      <x:c r="C234" s="279"/>
      <x:c r="F234" s="278"/>
      <x:c r="G234" s="280"/>
      <x:c r="H234" s="278"/>
      <x:c r="I234" s="278"/>
      <x:c r="K234" s="278"/>
      <x:c r="L234" s="7"/>
      <x:c r="M234" s="7"/>
      <x:c r="Q234" s="279"/>
      <x:c r="R234" s="281"/>
    </x:row>
    <x:row r="235">
      <x:c r="A235" s="278"/>
      <x:c r="C235" s="279"/>
      <x:c r="F235" s="278"/>
      <x:c r="G235" s="280"/>
      <x:c r="H235" s="278"/>
      <x:c r="I235" s="278"/>
      <x:c r="K235" s="278"/>
      <x:c r="L235" s="7"/>
      <x:c r="M235" s="7"/>
      <x:c r="Q235" s="279"/>
      <x:c r="R235" s="281"/>
    </x:row>
    <x:row r="236">
      <x:c r="A236" s="278"/>
      <x:c r="C236" s="279"/>
      <x:c r="F236" s="278"/>
      <x:c r="G236" s="280"/>
      <x:c r="H236" s="278"/>
      <x:c r="I236" s="278"/>
      <x:c r="K236" s="278"/>
      <x:c r="L236" s="7"/>
      <x:c r="M236" s="7"/>
      <x:c r="Q236" s="279"/>
      <x:c r="R236" s="281"/>
    </x:row>
    <x:row r="237">
      <x:c r="A237" s="278"/>
      <x:c r="C237" s="279"/>
      <x:c r="F237" s="278"/>
      <x:c r="G237" s="280"/>
      <x:c r="H237" s="278"/>
      <x:c r="I237" s="278"/>
      <x:c r="K237" s="278"/>
      <x:c r="L237" s="7"/>
      <x:c r="M237" s="7"/>
      <x:c r="Q237" s="279"/>
      <x:c r="R237" s="281"/>
    </x:row>
    <x:row r="238">
      <x:c r="A238" s="278"/>
      <x:c r="C238" s="279"/>
      <x:c r="F238" s="278"/>
      <x:c r="G238" s="280"/>
      <x:c r="H238" s="278"/>
      <x:c r="I238" s="278"/>
      <x:c r="K238" s="278"/>
      <x:c r="L238" s="7"/>
      <x:c r="M238" s="7"/>
      <x:c r="Q238" s="279"/>
      <x:c r="R238" s="281"/>
    </x:row>
    <x:row r="239">
      <x:c r="A239" s="278"/>
      <x:c r="C239" s="279"/>
      <x:c r="F239" s="278"/>
      <x:c r="G239" s="280"/>
      <x:c r="H239" s="278"/>
      <x:c r="I239" s="278"/>
      <x:c r="K239" s="278"/>
      <x:c r="L239" s="7"/>
      <x:c r="M239" s="7"/>
      <x:c r="Q239" s="279"/>
      <x:c r="R239" s="281"/>
    </x:row>
    <x:row r="240">
      <x:c r="A240" s="278"/>
      <x:c r="C240" s="279"/>
      <x:c r="F240" s="278"/>
      <x:c r="G240" s="280"/>
      <x:c r="H240" s="278"/>
      <x:c r="I240" s="278"/>
      <x:c r="K240" s="278"/>
      <x:c r="L240" s="7"/>
      <x:c r="M240" s="7"/>
      <x:c r="Q240" s="279"/>
      <x:c r="R240" s="281"/>
    </x:row>
    <x:row r="241">
      <x:c r="A241" s="278"/>
      <x:c r="C241" s="279"/>
      <x:c r="F241" s="278"/>
      <x:c r="G241" s="280"/>
      <x:c r="H241" s="278"/>
      <x:c r="I241" s="278"/>
      <x:c r="K241" s="278"/>
      <x:c r="L241" s="7"/>
      <x:c r="M241" s="7"/>
      <x:c r="Q241" s="279"/>
      <x:c r="R241" s="281"/>
    </x:row>
    <x:row r="242">
      <x:c r="A242" s="278"/>
      <x:c r="C242" s="279"/>
      <x:c r="F242" s="278"/>
      <x:c r="G242" s="280"/>
      <x:c r="H242" s="278"/>
      <x:c r="I242" s="278"/>
      <x:c r="K242" s="278"/>
      <x:c r="L242" s="7"/>
      <x:c r="M242" s="7"/>
      <x:c r="Q242" s="279"/>
      <x:c r="R242" s="281"/>
    </x:row>
    <x:row r="243">
      <x:c r="A243" s="278"/>
      <x:c r="C243" s="279"/>
      <x:c r="F243" s="278"/>
      <x:c r="G243" s="280"/>
      <x:c r="H243" s="278"/>
      <x:c r="I243" s="278"/>
      <x:c r="K243" s="278"/>
      <x:c r="L243" s="7"/>
      <x:c r="M243" s="7"/>
      <x:c r="Q243" s="279"/>
      <x:c r="R243" s="281"/>
    </x:row>
    <x:row r="244">
      <x:c r="A244" s="278"/>
      <x:c r="C244" s="279"/>
      <x:c r="F244" s="278"/>
      <x:c r="G244" s="280"/>
      <x:c r="H244" s="278"/>
      <x:c r="I244" s="278"/>
      <x:c r="K244" s="278"/>
      <x:c r="L244" s="7"/>
      <x:c r="M244" s="7"/>
      <x:c r="Q244" s="279"/>
      <x:c r="R244" s="281"/>
    </x:row>
    <x:row r="245">
      <x:c r="A245" s="278"/>
      <x:c r="C245" s="279"/>
      <x:c r="F245" s="278"/>
      <x:c r="G245" s="280"/>
      <x:c r="H245" s="278"/>
      <x:c r="I245" s="278"/>
      <x:c r="K245" s="278"/>
      <x:c r="L245" s="7"/>
      <x:c r="M245" s="7"/>
      <x:c r="Q245" s="279"/>
      <x:c r="R245" s="281"/>
    </x:row>
    <x:row r="246">
      <x:c r="A246" s="278"/>
      <x:c r="C246" s="279"/>
      <x:c r="F246" s="278"/>
      <x:c r="G246" s="280"/>
      <x:c r="H246" s="278"/>
      <x:c r="I246" s="278"/>
      <x:c r="K246" s="278"/>
      <x:c r="L246" s="7"/>
      <x:c r="M246" s="7"/>
      <x:c r="Q246" s="279"/>
      <x:c r="R246" s="281"/>
    </x:row>
    <x:row r="247">
      <x:c r="A247" s="278"/>
      <x:c r="C247" s="279"/>
      <x:c r="F247" s="278"/>
      <x:c r="G247" s="280"/>
      <x:c r="H247" s="278"/>
      <x:c r="I247" s="278"/>
      <x:c r="K247" s="278"/>
      <x:c r="L247" s="7"/>
      <x:c r="M247" s="7"/>
      <x:c r="Q247" s="279"/>
      <x:c r="R247" s="281"/>
    </x:row>
    <x:row r="248">
      <x:c r="A248" s="278"/>
      <x:c r="C248" s="279"/>
      <x:c r="F248" s="278"/>
      <x:c r="G248" s="280"/>
      <x:c r="H248" s="278"/>
      <x:c r="I248" s="278"/>
      <x:c r="K248" s="278"/>
      <x:c r="L248" s="7"/>
      <x:c r="M248" s="7"/>
      <x:c r="Q248" s="279"/>
      <x:c r="R248" s="281"/>
    </x:row>
    <x:row r="249">
      <x:c r="A249" s="278"/>
      <x:c r="C249" s="279"/>
      <x:c r="F249" s="278"/>
      <x:c r="G249" s="280"/>
      <x:c r="H249" s="278"/>
      <x:c r="I249" s="278"/>
      <x:c r="K249" s="278"/>
      <x:c r="L249" s="7"/>
      <x:c r="M249" s="7"/>
      <x:c r="Q249" s="279"/>
      <x:c r="R249" s="281"/>
    </x:row>
    <x:row r="250">
      <x:c r="A250" s="278"/>
      <x:c r="C250" s="279"/>
      <x:c r="F250" s="278"/>
      <x:c r="G250" s="280"/>
      <x:c r="H250" s="278"/>
      <x:c r="I250" s="278"/>
      <x:c r="K250" s="278"/>
      <x:c r="L250" s="7"/>
      <x:c r="M250" s="7"/>
      <x:c r="Q250" s="279"/>
      <x:c r="R250" s="281"/>
    </x:row>
    <x:row r="251">
      <x:c r="A251" s="278"/>
      <x:c r="C251" s="279"/>
      <x:c r="F251" s="278"/>
      <x:c r="G251" s="280"/>
      <x:c r="H251" s="278"/>
      <x:c r="I251" s="278"/>
      <x:c r="K251" s="278"/>
      <x:c r="L251" s="7"/>
      <x:c r="M251" s="7"/>
      <x:c r="Q251" s="279"/>
      <x:c r="R251" s="281"/>
    </x:row>
    <x:row r="252">
      <x:c r="A252" s="278"/>
      <x:c r="C252" s="279"/>
      <x:c r="F252" s="278"/>
      <x:c r="G252" s="280"/>
      <x:c r="H252" s="278"/>
      <x:c r="I252" s="278"/>
      <x:c r="K252" s="278"/>
      <x:c r="L252" s="7"/>
      <x:c r="M252" s="7"/>
      <x:c r="Q252" s="279"/>
      <x:c r="R252" s="281"/>
    </x:row>
    <x:row r="253">
      <x:c r="A253" s="278"/>
      <x:c r="C253" s="279"/>
      <x:c r="F253" s="278"/>
      <x:c r="G253" s="280"/>
      <x:c r="H253" s="278"/>
      <x:c r="I253" s="278"/>
      <x:c r="K253" s="278"/>
      <x:c r="L253" s="7"/>
      <x:c r="M253" s="7"/>
      <x:c r="Q253" s="279"/>
      <x:c r="R253" s="281"/>
    </x:row>
    <x:row r="254">
      <x:c r="A254" s="278"/>
      <x:c r="C254" s="279"/>
      <x:c r="F254" s="278"/>
      <x:c r="G254" s="280"/>
      <x:c r="H254" s="278"/>
      <x:c r="I254" s="278"/>
      <x:c r="K254" s="278"/>
      <x:c r="L254" s="7"/>
      <x:c r="M254" s="7"/>
      <x:c r="Q254" s="279"/>
      <x:c r="R254" s="281"/>
    </x:row>
    <x:row r="255">
      <x:c r="A255" s="278"/>
      <x:c r="C255" s="279"/>
      <x:c r="F255" s="278"/>
      <x:c r="G255" s="280"/>
      <x:c r="H255" s="278"/>
      <x:c r="I255" s="278"/>
      <x:c r="K255" s="278"/>
      <x:c r="L255" s="7"/>
      <x:c r="M255" s="7"/>
      <x:c r="Q255" s="279"/>
      <x:c r="R255" s="281"/>
    </x:row>
    <x:row r="256">
      <x:c r="A256" s="278"/>
      <x:c r="C256" s="279"/>
      <x:c r="F256" s="278"/>
      <x:c r="G256" s="280"/>
      <x:c r="H256" s="278"/>
      <x:c r="I256" s="278"/>
      <x:c r="K256" s="278"/>
      <x:c r="L256" s="7"/>
      <x:c r="M256" s="7"/>
      <x:c r="Q256" s="279"/>
      <x:c r="R256" s="281"/>
    </x:row>
    <x:row r="257">
      <x:c r="A257" s="278"/>
      <x:c r="C257" s="279"/>
      <x:c r="F257" s="278"/>
      <x:c r="G257" s="280"/>
      <x:c r="H257" s="278"/>
      <x:c r="I257" s="278"/>
      <x:c r="K257" s="278"/>
      <x:c r="L257" s="7"/>
      <x:c r="M257" s="7"/>
      <x:c r="Q257" s="279"/>
      <x:c r="R257" s="281"/>
    </x:row>
    <x:row r="258">
      <x:c r="A258" s="278"/>
      <x:c r="C258" s="279"/>
      <x:c r="F258" s="278"/>
      <x:c r="G258" s="280"/>
      <x:c r="H258" s="278"/>
      <x:c r="I258" s="278"/>
      <x:c r="K258" s="278"/>
      <x:c r="L258" s="7"/>
      <x:c r="M258" s="7"/>
      <x:c r="Q258" s="279"/>
      <x:c r="R258" s="281"/>
    </x:row>
    <x:row r="259">
      <x:c r="A259" s="278"/>
      <x:c r="C259" s="279"/>
      <x:c r="F259" s="278"/>
      <x:c r="G259" s="280"/>
      <x:c r="H259" s="278"/>
      <x:c r="I259" s="278"/>
      <x:c r="K259" s="278"/>
      <x:c r="L259" s="7"/>
      <x:c r="M259" s="7"/>
      <x:c r="Q259" s="279"/>
      <x:c r="R259" s="281"/>
    </x:row>
    <x:row r="260">
      <x:c r="A260" s="278"/>
      <x:c r="C260" s="279"/>
      <x:c r="F260" s="278"/>
      <x:c r="G260" s="280"/>
      <x:c r="H260" s="278"/>
      <x:c r="I260" s="278"/>
      <x:c r="K260" s="278"/>
      <x:c r="L260" s="7"/>
      <x:c r="M260" s="7"/>
      <x:c r="Q260" s="279"/>
      <x:c r="R260" s="281"/>
    </x:row>
    <x:row r="261">
      <x:c r="A261" s="278"/>
      <x:c r="C261" s="279"/>
      <x:c r="F261" s="278"/>
      <x:c r="G261" s="280"/>
      <x:c r="H261" s="278"/>
      <x:c r="I261" s="278"/>
      <x:c r="K261" s="278"/>
      <x:c r="L261" s="7"/>
      <x:c r="M261" s="7"/>
      <x:c r="Q261" s="279"/>
      <x:c r="R261" s="281"/>
    </x:row>
    <x:row r="262">
      <x:c r="A262" s="278"/>
      <x:c r="C262" s="279"/>
      <x:c r="F262" s="278"/>
      <x:c r="G262" s="280"/>
      <x:c r="H262" s="278"/>
      <x:c r="I262" s="278"/>
      <x:c r="K262" s="278"/>
      <x:c r="L262" s="7"/>
      <x:c r="M262" s="7"/>
      <x:c r="Q262" s="279"/>
      <x:c r="R262" s="281"/>
    </x:row>
    <x:row r="263">
      <x:c r="A263" s="278"/>
      <x:c r="C263" s="279"/>
      <x:c r="F263" s="278"/>
      <x:c r="G263" s="280"/>
      <x:c r="H263" s="278"/>
      <x:c r="I263" s="278"/>
      <x:c r="K263" s="278"/>
      <x:c r="L263" s="7"/>
      <x:c r="M263" s="7"/>
      <x:c r="Q263" s="279"/>
      <x:c r="R263" s="281"/>
    </x:row>
    <x:row r="264">
      <x:c r="A264" s="278"/>
      <x:c r="C264" s="279"/>
      <x:c r="F264" s="278"/>
      <x:c r="G264" s="280"/>
      <x:c r="H264" s="278"/>
      <x:c r="I264" s="278"/>
      <x:c r="K264" s="278"/>
      <x:c r="L264" s="7"/>
      <x:c r="M264" s="7"/>
      <x:c r="Q264" s="279"/>
      <x:c r="R264" s="281"/>
    </x:row>
    <x:row r="265">
      <x:c r="A265" s="278"/>
      <x:c r="C265" s="279"/>
      <x:c r="F265" s="278"/>
      <x:c r="G265" s="280"/>
      <x:c r="H265" s="278"/>
      <x:c r="I265" s="278"/>
      <x:c r="K265" s="278"/>
      <x:c r="L265" s="7"/>
      <x:c r="M265" s="7"/>
      <x:c r="Q265" s="279"/>
      <x:c r="R265" s="281"/>
    </x:row>
    <x:row r="266">
      <x:c r="A266" s="278"/>
      <x:c r="C266" s="279"/>
      <x:c r="F266" s="278"/>
      <x:c r="G266" s="280"/>
      <x:c r="H266" s="278"/>
      <x:c r="I266" s="278"/>
      <x:c r="K266" s="278"/>
      <x:c r="L266" s="7"/>
      <x:c r="M266" s="7"/>
      <x:c r="Q266" s="279"/>
      <x:c r="R266" s="281"/>
    </x:row>
    <x:row r="267">
      <x:c r="A267" s="278"/>
      <x:c r="C267" s="279"/>
      <x:c r="F267" s="278"/>
      <x:c r="G267" s="280"/>
      <x:c r="H267" s="278"/>
      <x:c r="I267" s="278"/>
      <x:c r="K267" s="278"/>
      <x:c r="L267" s="7"/>
      <x:c r="M267" s="7"/>
      <x:c r="Q267" s="279"/>
      <x:c r="R267" s="281"/>
    </x:row>
    <x:row r="268">
      <x:c r="A268" s="278"/>
      <x:c r="C268" s="279"/>
      <x:c r="F268" s="278"/>
      <x:c r="G268" s="280"/>
      <x:c r="H268" s="278"/>
      <x:c r="I268" s="278"/>
      <x:c r="K268" s="278"/>
      <x:c r="L268" s="7"/>
      <x:c r="M268" s="7"/>
      <x:c r="Q268" s="279"/>
      <x:c r="R268" s="281"/>
    </x:row>
    <x:row r="269">
      <x:c r="A269" s="278"/>
      <x:c r="C269" s="279"/>
      <x:c r="F269" s="278"/>
      <x:c r="G269" s="280"/>
      <x:c r="H269" s="278"/>
      <x:c r="I269" s="278"/>
      <x:c r="K269" s="278"/>
      <x:c r="L269" s="7"/>
      <x:c r="M269" s="7"/>
      <x:c r="Q269" s="279"/>
      <x:c r="R269" s="281"/>
    </x:row>
    <x:row r="270">
      <x:c r="A270" s="278"/>
      <x:c r="C270" s="279"/>
      <x:c r="F270" s="278"/>
      <x:c r="G270" s="280"/>
      <x:c r="H270" s="278"/>
      <x:c r="I270" s="278"/>
      <x:c r="K270" s="278"/>
      <x:c r="L270" s="7"/>
      <x:c r="M270" s="7"/>
      <x:c r="Q270" s="279"/>
      <x:c r="R270" s="281"/>
    </x:row>
    <x:row r="271">
      <x:c r="A271" s="278"/>
      <x:c r="C271" s="279"/>
      <x:c r="F271" s="278"/>
      <x:c r="G271" s="280"/>
      <x:c r="H271" s="278"/>
      <x:c r="I271" s="278"/>
      <x:c r="K271" s="278"/>
      <x:c r="L271" s="7"/>
      <x:c r="M271" s="7"/>
      <x:c r="Q271" s="279"/>
      <x:c r="R271" s="281"/>
    </x:row>
    <x:row r="272">
      <x:c r="A272" s="278"/>
      <x:c r="C272" s="279"/>
      <x:c r="F272" s="278"/>
      <x:c r="G272" s="280"/>
      <x:c r="H272" s="278"/>
      <x:c r="I272" s="278"/>
      <x:c r="K272" s="278"/>
      <x:c r="L272" s="7"/>
      <x:c r="M272" s="7"/>
      <x:c r="Q272" s="279"/>
      <x:c r="R272" s="281"/>
    </x:row>
    <x:row r="273">
      <x:c r="A273" s="278"/>
      <x:c r="C273" s="279"/>
      <x:c r="F273" s="278"/>
      <x:c r="G273" s="280"/>
      <x:c r="H273" s="278"/>
      <x:c r="I273" s="278"/>
      <x:c r="K273" s="278"/>
      <x:c r="L273" s="7"/>
      <x:c r="M273" s="7"/>
      <x:c r="Q273" s="279"/>
      <x:c r="R273" s="281"/>
    </x:row>
    <x:row r="274">
      <x:c r="A274" s="278"/>
      <x:c r="C274" s="279"/>
      <x:c r="F274" s="278"/>
      <x:c r="G274" s="280"/>
      <x:c r="H274" s="278"/>
      <x:c r="I274" s="278"/>
      <x:c r="K274" s="278"/>
      <x:c r="L274" s="7"/>
      <x:c r="M274" s="7"/>
      <x:c r="Q274" s="279"/>
      <x:c r="R274" s="281"/>
    </x:row>
    <x:row r="275">
      <x:c r="A275" s="278"/>
      <x:c r="C275" s="279"/>
      <x:c r="F275" s="278"/>
      <x:c r="G275" s="280"/>
      <x:c r="H275" s="278"/>
      <x:c r="I275" s="278"/>
      <x:c r="K275" s="278"/>
      <x:c r="L275" s="7"/>
      <x:c r="M275" s="7"/>
      <x:c r="Q275" s="279"/>
      <x:c r="R275" s="281"/>
    </x:row>
    <x:row r="276">
      <x:c r="A276" s="278"/>
      <x:c r="C276" s="279"/>
      <x:c r="F276" s="278"/>
      <x:c r="G276" s="280"/>
      <x:c r="H276" s="278"/>
      <x:c r="I276" s="278"/>
      <x:c r="K276" s="278"/>
      <x:c r="L276" s="7"/>
      <x:c r="M276" s="7"/>
      <x:c r="Q276" s="279"/>
      <x:c r="R276" s="281"/>
    </x:row>
    <x:row r="277">
      <x:c r="A277" s="278"/>
      <x:c r="C277" s="279"/>
      <x:c r="F277" s="278"/>
      <x:c r="G277" s="280"/>
      <x:c r="H277" s="278"/>
      <x:c r="I277" s="278"/>
      <x:c r="K277" s="278"/>
      <x:c r="L277" s="7"/>
      <x:c r="M277" s="7"/>
      <x:c r="Q277" s="279"/>
      <x:c r="R277" s="281"/>
    </x:row>
    <x:row r="278">
      <x:c r="A278" s="278"/>
      <x:c r="C278" s="279"/>
      <x:c r="F278" s="278"/>
      <x:c r="G278" s="280"/>
      <x:c r="H278" s="278"/>
      <x:c r="I278" s="278"/>
      <x:c r="K278" s="278"/>
      <x:c r="L278" s="7"/>
      <x:c r="M278" s="7"/>
      <x:c r="Q278" s="279"/>
      <x:c r="R278" s="281"/>
    </x:row>
    <x:row r="279">
      <x:c r="A279" s="278"/>
      <x:c r="C279" s="279"/>
      <x:c r="F279" s="278"/>
      <x:c r="G279" s="280"/>
      <x:c r="H279" s="278"/>
      <x:c r="I279" s="278"/>
      <x:c r="K279" s="278"/>
      <x:c r="L279" s="7"/>
      <x:c r="M279" s="7"/>
      <x:c r="Q279" s="279"/>
      <x:c r="R279" s="281"/>
    </x:row>
    <x:row r="280">
      <x:c r="A280" s="278"/>
      <x:c r="C280" s="279"/>
      <x:c r="F280" s="278"/>
      <x:c r="G280" s="280"/>
      <x:c r="H280" s="278"/>
      <x:c r="I280" s="278"/>
      <x:c r="K280" s="278"/>
      <x:c r="L280" s="7"/>
      <x:c r="M280" s="7"/>
      <x:c r="Q280" s="279"/>
      <x:c r="R280" s="281"/>
    </x:row>
    <x:row r="281">
      <x:c r="A281" s="278"/>
      <x:c r="C281" s="279"/>
      <x:c r="F281" s="278"/>
      <x:c r="G281" s="280"/>
      <x:c r="H281" s="278"/>
      <x:c r="I281" s="278"/>
      <x:c r="K281" s="278"/>
      <x:c r="L281" s="7"/>
      <x:c r="M281" s="7"/>
      <x:c r="Q281" s="279"/>
      <x:c r="R281" s="281"/>
    </x:row>
    <x:row r="282">
      <x:c r="A282" s="278"/>
      <x:c r="C282" s="279"/>
      <x:c r="F282" s="278"/>
      <x:c r="G282" s="280"/>
      <x:c r="H282" s="278"/>
      <x:c r="I282" s="278"/>
      <x:c r="K282" s="278"/>
      <x:c r="L282" s="7"/>
      <x:c r="M282" s="7"/>
      <x:c r="Q282" s="279"/>
      <x:c r="R282" s="281"/>
    </x:row>
    <x:row r="283">
      <x:c r="A283" s="278"/>
      <x:c r="C283" s="279"/>
      <x:c r="F283" s="278"/>
      <x:c r="G283" s="280"/>
      <x:c r="H283" s="278"/>
      <x:c r="I283" s="278"/>
      <x:c r="K283" s="278"/>
      <x:c r="L283" s="7"/>
      <x:c r="M283" s="7"/>
      <x:c r="Q283" s="279"/>
      <x:c r="R283" s="281"/>
    </x:row>
    <x:row r="284">
      <x:c r="A284" s="278"/>
      <x:c r="C284" s="279"/>
      <x:c r="F284" s="278"/>
      <x:c r="G284" s="280"/>
      <x:c r="H284" s="278"/>
      <x:c r="I284" s="278"/>
      <x:c r="K284" s="278"/>
      <x:c r="L284" s="7"/>
      <x:c r="M284" s="7"/>
      <x:c r="Q284" s="279"/>
      <x:c r="R284" s="281"/>
    </x:row>
    <x:row r="285">
      <x:c r="A285" s="278"/>
      <x:c r="C285" s="279"/>
      <x:c r="F285" s="278"/>
      <x:c r="G285" s="280"/>
      <x:c r="H285" s="278"/>
      <x:c r="I285" s="278"/>
      <x:c r="K285" s="278"/>
      <x:c r="L285" s="7"/>
      <x:c r="M285" s="7"/>
      <x:c r="Q285" s="279"/>
      <x:c r="R285" s="281"/>
    </x:row>
    <x:row r="286">
      <x:c r="A286" s="278"/>
      <x:c r="C286" s="279"/>
      <x:c r="F286" s="278"/>
      <x:c r="G286" s="280"/>
      <x:c r="H286" s="278"/>
      <x:c r="I286" s="278"/>
      <x:c r="K286" s="278"/>
      <x:c r="L286" s="7"/>
      <x:c r="M286" s="7"/>
      <x:c r="Q286" s="279"/>
      <x:c r="R286" s="281"/>
    </x:row>
    <x:row r="287">
      <x:c r="A287" s="278"/>
      <x:c r="C287" s="279"/>
      <x:c r="F287" s="278"/>
      <x:c r="G287" s="280"/>
      <x:c r="H287" s="278"/>
      <x:c r="I287" s="278"/>
      <x:c r="K287" s="278"/>
      <x:c r="L287" s="7"/>
      <x:c r="M287" s="7"/>
      <x:c r="Q287" s="279"/>
      <x:c r="R287" s="281"/>
    </x:row>
    <x:row r="288">
      <x:c r="A288" s="278"/>
      <x:c r="C288" s="279"/>
      <x:c r="F288" s="278"/>
      <x:c r="G288" s="280"/>
      <x:c r="H288" s="278"/>
      <x:c r="I288" s="278"/>
      <x:c r="K288" s="278"/>
      <x:c r="L288" s="7"/>
      <x:c r="M288" s="7"/>
      <x:c r="Q288" s="279"/>
      <x:c r="R288" s="281"/>
    </x:row>
    <x:row r="289">
      <x:c r="A289" s="278"/>
      <x:c r="C289" s="279"/>
      <x:c r="F289" s="278"/>
      <x:c r="G289" s="280"/>
      <x:c r="H289" s="278"/>
      <x:c r="I289" s="278"/>
      <x:c r="K289" s="278"/>
      <x:c r="L289" s="7"/>
      <x:c r="M289" s="7"/>
      <x:c r="Q289" s="279"/>
      <x:c r="R289" s="281"/>
    </x:row>
    <x:row r="290">
      <x:c r="A290" s="278"/>
      <x:c r="C290" s="279"/>
      <x:c r="F290" s="278"/>
      <x:c r="G290" s="280"/>
      <x:c r="H290" s="278"/>
      <x:c r="I290" s="278"/>
      <x:c r="K290" s="278"/>
      <x:c r="L290" s="7"/>
      <x:c r="M290" s="7"/>
      <x:c r="Q290" s="279"/>
      <x:c r="R290" s="281"/>
    </x:row>
    <x:row r="291">
      <x:c r="A291" s="278"/>
      <x:c r="C291" s="279"/>
      <x:c r="F291" s="278"/>
      <x:c r="G291" s="280"/>
      <x:c r="H291" s="278"/>
      <x:c r="I291" s="278"/>
      <x:c r="K291" s="278"/>
      <x:c r="L291" s="7"/>
      <x:c r="M291" s="7"/>
      <x:c r="Q291" s="279"/>
      <x:c r="R291" s="281"/>
    </x:row>
    <x:row r="292">
      <x:c r="A292" s="278"/>
      <x:c r="C292" s="279"/>
      <x:c r="F292" s="278"/>
      <x:c r="G292" s="280"/>
      <x:c r="H292" s="278"/>
      <x:c r="I292" s="278"/>
      <x:c r="K292" s="278"/>
      <x:c r="L292" s="7"/>
      <x:c r="M292" s="7"/>
      <x:c r="Q292" s="279"/>
      <x:c r="R292" s="281"/>
    </x:row>
    <x:row r="293">
      <x:c r="A293" s="278"/>
      <x:c r="C293" s="279"/>
      <x:c r="F293" s="278"/>
      <x:c r="G293" s="280"/>
      <x:c r="H293" s="278"/>
      <x:c r="I293" s="278"/>
      <x:c r="K293" s="278"/>
      <x:c r="L293" s="7"/>
      <x:c r="M293" s="7"/>
      <x:c r="Q293" s="279"/>
      <x:c r="R293" s="281"/>
    </x:row>
    <x:row r="294">
      <x:c r="A294" s="278"/>
      <x:c r="C294" s="279"/>
      <x:c r="F294" s="278"/>
      <x:c r="G294" s="280"/>
      <x:c r="H294" s="278"/>
      <x:c r="I294" s="278"/>
      <x:c r="K294" s="278"/>
      <x:c r="L294" s="7"/>
      <x:c r="M294" s="7"/>
      <x:c r="Q294" s="279"/>
      <x:c r="R294" s="281"/>
    </x:row>
    <x:row r="295">
      <x:c r="A295" s="278"/>
      <x:c r="C295" s="279"/>
      <x:c r="F295" s="278"/>
      <x:c r="G295" s="280"/>
      <x:c r="H295" s="278"/>
      <x:c r="I295" s="278"/>
      <x:c r="K295" s="278"/>
      <x:c r="L295" s="7"/>
      <x:c r="M295" s="7"/>
      <x:c r="Q295" s="279"/>
      <x:c r="R295" s="281"/>
    </x:row>
    <x:row r="296">
      <x:c r="A296" s="278"/>
      <x:c r="C296" s="279"/>
      <x:c r="F296" s="278"/>
      <x:c r="G296" s="280"/>
      <x:c r="H296" s="278"/>
      <x:c r="I296" s="278"/>
      <x:c r="K296" s="278"/>
      <x:c r="L296" s="7"/>
      <x:c r="M296" s="7"/>
      <x:c r="Q296" s="279"/>
      <x:c r="R296" s="281"/>
    </x:row>
    <x:row r="297">
      <x:c r="A297" s="278"/>
      <x:c r="C297" s="279"/>
      <x:c r="F297" s="278"/>
      <x:c r="G297" s="280"/>
      <x:c r="H297" s="278"/>
      <x:c r="I297" s="278"/>
      <x:c r="K297" s="278"/>
      <x:c r="L297" s="7"/>
      <x:c r="M297" s="7"/>
      <x:c r="Q297" s="279"/>
      <x:c r="R297" s="281"/>
    </x:row>
    <x:row r="298">
      <x:c r="A298" s="278"/>
      <x:c r="C298" s="279"/>
      <x:c r="F298" s="278"/>
      <x:c r="G298" s="280"/>
      <x:c r="H298" s="278"/>
      <x:c r="I298" s="278"/>
      <x:c r="K298" s="278"/>
      <x:c r="L298" s="7"/>
      <x:c r="M298" s="7"/>
      <x:c r="Q298" s="279"/>
      <x:c r="R298" s="281"/>
    </x:row>
    <x:row r="299">
      <x:c r="A299" s="278"/>
      <x:c r="C299" s="279"/>
      <x:c r="F299" s="278"/>
      <x:c r="G299" s="280"/>
      <x:c r="H299" s="278"/>
      <x:c r="I299" s="278"/>
      <x:c r="K299" s="278"/>
      <x:c r="L299" s="7"/>
      <x:c r="M299" s="7"/>
      <x:c r="Q299" s="279"/>
      <x:c r="R299" s="281"/>
    </x:row>
    <x:row r="300">
      <x:c r="A300" s="278"/>
      <x:c r="C300" s="279"/>
      <x:c r="F300" s="278"/>
      <x:c r="G300" s="280"/>
      <x:c r="H300" s="278"/>
      <x:c r="I300" s="278"/>
      <x:c r="K300" s="278"/>
      <x:c r="L300" s="7"/>
      <x:c r="M300" s="7"/>
      <x:c r="Q300" s="279"/>
      <x:c r="R300" s="281"/>
    </x:row>
    <x:row r="301">
      <x:c r="A301" s="278"/>
      <x:c r="C301" s="279"/>
      <x:c r="F301" s="278"/>
      <x:c r="G301" s="280"/>
      <x:c r="H301" s="278"/>
      <x:c r="I301" s="278"/>
      <x:c r="K301" s="278"/>
      <x:c r="L301" s="7"/>
      <x:c r="M301" s="7"/>
      <x:c r="Q301" s="279"/>
      <x:c r="R301" s="281"/>
    </x:row>
    <x:row r="302">
      <x:c r="A302" s="278"/>
      <x:c r="C302" s="279"/>
      <x:c r="F302" s="278"/>
      <x:c r="G302" s="280"/>
      <x:c r="H302" s="278"/>
      <x:c r="I302" s="278"/>
      <x:c r="K302" s="278"/>
      <x:c r="L302" s="7"/>
      <x:c r="M302" s="7"/>
      <x:c r="Q302" s="279"/>
      <x:c r="R302" s="281"/>
    </x:row>
    <x:row r="303">
      <x:c r="A303" s="278"/>
      <x:c r="C303" s="279"/>
      <x:c r="F303" s="278"/>
      <x:c r="G303" s="280"/>
      <x:c r="H303" s="278"/>
      <x:c r="I303" s="278"/>
      <x:c r="K303" s="278"/>
      <x:c r="L303" s="7"/>
      <x:c r="M303" s="7"/>
      <x:c r="Q303" s="279"/>
      <x:c r="R303" s="281"/>
    </x:row>
    <x:row r="304">
      <x:c r="A304" s="278"/>
      <x:c r="C304" s="279"/>
      <x:c r="F304" s="278"/>
      <x:c r="G304" s="280"/>
      <x:c r="H304" s="278"/>
      <x:c r="I304" s="278"/>
      <x:c r="K304" s="278"/>
      <x:c r="L304" s="7"/>
      <x:c r="M304" s="7"/>
      <x:c r="Q304" s="279"/>
      <x:c r="R304" s="281"/>
    </x:row>
    <x:row r="305">
      <x:c r="A305" s="278"/>
      <x:c r="C305" s="279"/>
      <x:c r="F305" s="278"/>
      <x:c r="G305" s="280"/>
      <x:c r="H305" s="278"/>
      <x:c r="I305" s="278"/>
      <x:c r="K305" s="278"/>
      <x:c r="L305" s="7"/>
      <x:c r="M305" s="7"/>
      <x:c r="Q305" s="279"/>
      <x:c r="R305" s="281"/>
    </x:row>
    <x:row r="306">
      <x:c r="A306" s="278"/>
      <x:c r="C306" s="279"/>
      <x:c r="F306" s="278"/>
      <x:c r="G306" s="280"/>
      <x:c r="H306" s="278"/>
      <x:c r="I306" s="278"/>
      <x:c r="K306" s="278"/>
      <x:c r="L306" s="7"/>
      <x:c r="M306" s="7"/>
      <x:c r="Q306" s="279"/>
      <x:c r="R306" s="281"/>
    </x:row>
    <x:row r="307">
      <x:c r="A307" s="278"/>
      <x:c r="C307" s="279"/>
      <x:c r="F307" s="278"/>
      <x:c r="G307" s="280"/>
      <x:c r="H307" s="278"/>
      <x:c r="I307" s="278"/>
      <x:c r="K307" s="278"/>
      <x:c r="L307" s="7"/>
      <x:c r="M307" s="7"/>
      <x:c r="Q307" s="279"/>
      <x:c r="R307" s="281"/>
    </x:row>
    <x:row r="308">
      <x:c r="A308" s="278"/>
      <x:c r="C308" s="279"/>
      <x:c r="F308" s="278"/>
      <x:c r="G308" s="280"/>
      <x:c r="H308" s="278"/>
      <x:c r="I308" s="278"/>
      <x:c r="K308" s="278"/>
      <x:c r="L308" s="7"/>
      <x:c r="M308" s="7"/>
      <x:c r="Q308" s="279"/>
      <x:c r="R308" s="281"/>
    </x:row>
    <x:row r="309">
      <x:c r="A309" s="278"/>
      <x:c r="C309" s="279"/>
      <x:c r="F309" s="278"/>
      <x:c r="G309" s="280"/>
      <x:c r="H309" s="278"/>
      <x:c r="I309" s="278"/>
      <x:c r="K309" s="278"/>
      <x:c r="L309" s="7"/>
      <x:c r="M309" s="7"/>
      <x:c r="Q309" s="279"/>
      <x:c r="R309" s="281"/>
    </x:row>
    <x:row r="310">
      <x:c r="A310" s="278"/>
      <x:c r="C310" s="279"/>
      <x:c r="F310" s="278"/>
      <x:c r="G310" s="280"/>
      <x:c r="H310" s="278"/>
      <x:c r="I310" s="278"/>
      <x:c r="K310" s="278"/>
      <x:c r="L310" s="7"/>
      <x:c r="M310" s="7"/>
      <x:c r="Q310" s="279"/>
      <x:c r="R310" s="281"/>
    </x:row>
    <x:row r="311">
      <x:c r="A311" s="278"/>
      <x:c r="C311" s="279"/>
      <x:c r="F311" s="278"/>
      <x:c r="G311" s="280"/>
      <x:c r="H311" s="278"/>
      <x:c r="I311" s="278"/>
      <x:c r="K311" s="278"/>
      <x:c r="L311" s="7"/>
      <x:c r="M311" s="7"/>
      <x:c r="Q311" s="279"/>
      <x:c r="R311" s="281"/>
    </x:row>
    <x:row r="312">
      <x:c r="A312" s="278"/>
      <x:c r="C312" s="279"/>
      <x:c r="F312" s="278"/>
      <x:c r="G312" s="280"/>
      <x:c r="H312" s="278"/>
      <x:c r="I312" s="278"/>
      <x:c r="K312" s="278"/>
      <x:c r="L312" s="7"/>
      <x:c r="M312" s="7"/>
      <x:c r="Q312" s="279"/>
      <x:c r="R312" s="281"/>
    </x:row>
    <x:row r="313">
      <x:c r="A313" s="278"/>
      <x:c r="C313" s="279"/>
      <x:c r="F313" s="278"/>
      <x:c r="G313" s="280"/>
      <x:c r="H313" s="278"/>
      <x:c r="I313" s="278"/>
      <x:c r="K313" s="278"/>
      <x:c r="L313" s="7"/>
      <x:c r="M313" s="7"/>
      <x:c r="Q313" s="279"/>
      <x:c r="R313" s="281"/>
    </x:row>
    <x:row r="314">
      <x:c r="A314" s="278"/>
      <x:c r="C314" s="279"/>
      <x:c r="F314" s="278"/>
      <x:c r="G314" s="280"/>
      <x:c r="H314" s="278"/>
      <x:c r="I314" s="278"/>
      <x:c r="K314" s="278"/>
      <x:c r="L314" s="7"/>
      <x:c r="M314" s="7"/>
      <x:c r="Q314" s="279"/>
      <x:c r="R314" s="281"/>
    </x:row>
    <x:row r="315">
      <x:c r="A315" s="278"/>
      <x:c r="C315" s="279"/>
      <x:c r="F315" s="278"/>
      <x:c r="G315" s="280"/>
      <x:c r="H315" s="278"/>
      <x:c r="I315" s="278"/>
      <x:c r="K315" s="278"/>
      <x:c r="L315" s="7"/>
      <x:c r="M315" s="7"/>
      <x:c r="Q315" s="279"/>
      <x:c r="R315" s="281"/>
    </x:row>
    <x:row r="316">
      <x:c r="A316" s="278"/>
      <x:c r="C316" s="279"/>
      <x:c r="F316" s="278"/>
      <x:c r="G316" s="280"/>
      <x:c r="H316" s="278"/>
      <x:c r="I316" s="278"/>
      <x:c r="K316" s="278"/>
      <x:c r="L316" s="7"/>
      <x:c r="M316" s="7"/>
      <x:c r="Q316" s="279"/>
      <x:c r="R316" s="281"/>
    </x:row>
    <x:row r="317">
      <x:c r="A317" s="278"/>
      <x:c r="C317" s="279"/>
      <x:c r="F317" s="278"/>
      <x:c r="G317" s="280"/>
      <x:c r="H317" s="278"/>
      <x:c r="I317" s="278"/>
      <x:c r="K317" s="278"/>
      <x:c r="L317" s="7"/>
      <x:c r="M317" s="7"/>
      <x:c r="Q317" s="279"/>
      <x:c r="R317" s="281"/>
    </x:row>
    <x:row r="318">
      <x:c r="A318" s="278"/>
      <x:c r="C318" s="279"/>
      <x:c r="F318" s="278"/>
      <x:c r="G318" s="280"/>
      <x:c r="H318" s="278"/>
      <x:c r="I318" s="278"/>
      <x:c r="K318" s="278"/>
      <x:c r="L318" s="7"/>
      <x:c r="M318" s="7"/>
      <x:c r="Q318" s="279"/>
      <x:c r="R318" s="281"/>
    </x:row>
    <x:row r="319">
      <x:c r="A319" s="278"/>
      <x:c r="C319" s="279"/>
      <x:c r="F319" s="278"/>
      <x:c r="G319" s="280"/>
      <x:c r="H319" s="278"/>
      <x:c r="I319" s="278"/>
      <x:c r="K319" s="278"/>
      <x:c r="L319" s="7"/>
      <x:c r="M319" s="7"/>
      <x:c r="Q319" s="279"/>
      <x:c r="R319" s="281"/>
    </x:row>
    <x:row r="320">
      <x:c r="A320" s="278"/>
      <x:c r="C320" s="279"/>
      <x:c r="F320" s="278"/>
      <x:c r="G320" s="280"/>
      <x:c r="H320" s="278"/>
      <x:c r="I320" s="278"/>
      <x:c r="K320" s="278"/>
      <x:c r="L320" s="7"/>
      <x:c r="M320" s="7"/>
      <x:c r="Q320" s="279"/>
      <x:c r="R320" s="281"/>
    </x:row>
    <x:row r="321">
      <x:c r="A321" s="278"/>
      <x:c r="C321" s="279"/>
      <x:c r="F321" s="278"/>
      <x:c r="G321" s="280"/>
      <x:c r="H321" s="278"/>
      <x:c r="I321" s="278"/>
      <x:c r="K321" s="278"/>
      <x:c r="L321" s="7"/>
      <x:c r="M321" s="7"/>
      <x:c r="Q321" s="279"/>
      <x:c r="R321" s="281"/>
    </x:row>
    <x:row r="322">
      <x:c r="A322" s="278"/>
      <x:c r="C322" s="279"/>
      <x:c r="F322" s="278"/>
      <x:c r="G322" s="280"/>
      <x:c r="H322" s="278"/>
      <x:c r="I322" s="278"/>
      <x:c r="K322" s="278"/>
      <x:c r="L322" s="7"/>
      <x:c r="M322" s="7"/>
      <x:c r="Q322" s="279"/>
      <x:c r="R322" s="281"/>
    </x:row>
    <x:row r="323">
      <x:c r="A323" s="278"/>
      <x:c r="C323" s="279"/>
      <x:c r="F323" s="278"/>
      <x:c r="G323" s="280"/>
      <x:c r="H323" s="278"/>
      <x:c r="I323" s="278"/>
      <x:c r="K323" s="278"/>
      <x:c r="L323" s="7"/>
      <x:c r="M323" s="7"/>
      <x:c r="Q323" s="279"/>
      <x:c r="R323" s="281"/>
    </x:row>
    <x:row r="324">
      <x:c r="A324" s="278"/>
      <x:c r="C324" s="279"/>
      <x:c r="F324" s="278"/>
      <x:c r="G324" s="280"/>
      <x:c r="H324" s="278"/>
      <x:c r="I324" s="278"/>
      <x:c r="K324" s="278"/>
      <x:c r="L324" s="7"/>
      <x:c r="M324" s="7"/>
      <x:c r="Q324" s="279"/>
      <x:c r="R324" s="281"/>
    </x:row>
    <x:row r="325">
      <x:c r="A325" s="278"/>
      <x:c r="C325" s="279"/>
      <x:c r="F325" s="278"/>
      <x:c r="G325" s="280"/>
      <x:c r="H325" s="278"/>
      <x:c r="I325" s="278"/>
      <x:c r="K325" s="278"/>
      <x:c r="L325" s="7"/>
      <x:c r="M325" s="7"/>
      <x:c r="Q325" s="279"/>
      <x:c r="R325" s="281"/>
    </x:row>
    <x:row r="326">
      <x:c r="A326" s="278"/>
      <x:c r="C326" s="279"/>
      <x:c r="F326" s="278"/>
      <x:c r="G326" s="280"/>
      <x:c r="H326" s="278"/>
      <x:c r="I326" s="278"/>
      <x:c r="K326" s="278"/>
      <x:c r="L326" s="7"/>
      <x:c r="M326" s="7"/>
      <x:c r="Q326" s="279"/>
      <x:c r="R326" s="281"/>
    </x:row>
    <x:row r="327">
      <x:c r="A327" s="278"/>
      <x:c r="C327" s="279"/>
      <x:c r="F327" s="278"/>
      <x:c r="G327" s="280"/>
      <x:c r="H327" s="278"/>
      <x:c r="I327" s="278"/>
      <x:c r="K327" s="278"/>
      <x:c r="L327" s="7"/>
      <x:c r="M327" s="7"/>
      <x:c r="Q327" s="279"/>
      <x:c r="R327" s="281"/>
    </x:row>
    <x:row r="328">
      <x:c r="A328" s="278"/>
      <x:c r="C328" s="279"/>
      <x:c r="F328" s="278"/>
      <x:c r="G328" s="280"/>
      <x:c r="H328" s="278"/>
      <x:c r="I328" s="278"/>
      <x:c r="K328" s="278"/>
      <x:c r="L328" s="7"/>
      <x:c r="M328" s="7"/>
      <x:c r="Q328" s="279"/>
      <x:c r="R328" s="281"/>
    </x:row>
    <x:row r="329">
      <x:c r="A329" s="278"/>
      <x:c r="C329" s="279"/>
      <x:c r="F329" s="278"/>
      <x:c r="G329" s="280"/>
      <x:c r="H329" s="278"/>
      <x:c r="I329" s="278"/>
      <x:c r="K329" s="278"/>
      <x:c r="L329" s="7"/>
      <x:c r="M329" s="7"/>
      <x:c r="Q329" s="279"/>
      <x:c r="R329" s="281"/>
    </x:row>
    <x:row r="330">
      <x:c r="A330" s="278"/>
      <x:c r="C330" s="279"/>
      <x:c r="F330" s="278"/>
      <x:c r="G330" s="280"/>
      <x:c r="H330" s="278"/>
      <x:c r="I330" s="278"/>
      <x:c r="K330" s="278"/>
      <x:c r="L330" s="7"/>
      <x:c r="M330" s="7"/>
      <x:c r="Q330" s="279"/>
      <x:c r="R330" s="281"/>
    </x:row>
    <x:row r="331">
      <x:c r="A331" s="278"/>
      <x:c r="C331" s="279"/>
      <x:c r="F331" s="278"/>
      <x:c r="G331" s="280"/>
      <x:c r="H331" s="278"/>
      <x:c r="I331" s="278"/>
      <x:c r="K331" s="278"/>
      <x:c r="L331" s="7"/>
      <x:c r="M331" s="7"/>
      <x:c r="Q331" s="279"/>
      <x:c r="R331" s="281"/>
    </x:row>
    <x:row r="332">
      <x:c r="A332" s="278"/>
      <x:c r="C332" s="279"/>
      <x:c r="F332" s="278"/>
      <x:c r="G332" s="280"/>
      <x:c r="H332" s="278"/>
      <x:c r="I332" s="278"/>
      <x:c r="K332" s="278"/>
      <x:c r="L332" s="7"/>
      <x:c r="M332" s="7"/>
      <x:c r="Q332" s="279"/>
      <x:c r="R332" s="281"/>
    </x:row>
    <x:row r="333">
      <x:c r="A333" s="278"/>
      <x:c r="C333" s="279"/>
      <x:c r="F333" s="278"/>
      <x:c r="G333" s="280"/>
      <x:c r="H333" s="278"/>
      <x:c r="I333" s="278"/>
      <x:c r="K333" s="278"/>
      <x:c r="L333" s="7"/>
      <x:c r="M333" s="7"/>
      <x:c r="Q333" s="279"/>
      <x:c r="R333" s="281"/>
    </x:row>
    <x:row r="334">
      <x:c r="A334" s="278"/>
      <x:c r="C334" s="279"/>
      <x:c r="F334" s="278"/>
      <x:c r="G334" s="280"/>
      <x:c r="H334" s="278"/>
      <x:c r="I334" s="278"/>
      <x:c r="K334" s="278"/>
      <x:c r="L334" s="7"/>
      <x:c r="M334" s="7"/>
      <x:c r="Q334" s="279"/>
      <x:c r="R334" s="281"/>
    </x:row>
    <x:row r="335">
      <x:c r="A335" s="278"/>
      <x:c r="C335" s="279"/>
      <x:c r="F335" s="278"/>
      <x:c r="G335" s="280"/>
      <x:c r="H335" s="278"/>
      <x:c r="I335" s="278"/>
      <x:c r="K335" s="278"/>
      <x:c r="L335" s="7"/>
      <x:c r="M335" s="7"/>
      <x:c r="Q335" s="279"/>
      <x:c r="R335" s="281"/>
    </x:row>
    <x:row r="336">
      <x:c r="A336" s="278"/>
      <x:c r="C336" s="279"/>
      <x:c r="F336" s="278"/>
      <x:c r="G336" s="280"/>
      <x:c r="H336" s="278"/>
      <x:c r="I336" s="278"/>
      <x:c r="K336" s="278"/>
      <x:c r="L336" s="7"/>
      <x:c r="M336" s="7"/>
      <x:c r="Q336" s="279"/>
      <x:c r="R336" s="281"/>
    </x:row>
    <x:row r="337">
      <x:c r="A337" s="278"/>
      <x:c r="C337" s="279"/>
      <x:c r="F337" s="278"/>
      <x:c r="G337" s="280"/>
      <x:c r="H337" s="278"/>
      <x:c r="I337" s="278"/>
      <x:c r="K337" s="278"/>
      <x:c r="L337" s="7"/>
      <x:c r="M337" s="7"/>
      <x:c r="Q337" s="279"/>
      <x:c r="R337" s="281"/>
    </x:row>
    <x:row r="338">
      <x:c r="A338" s="278"/>
      <x:c r="C338" s="279"/>
      <x:c r="F338" s="278"/>
      <x:c r="G338" s="280"/>
      <x:c r="H338" s="278"/>
      <x:c r="I338" s="278"/>
      <x:c r="K338" s="278"/>
      <x:c r="L338" s="7"/>
      <x:c r="M338" s="7"/>
      <x:c r="Q338" s="279"/>
      <x:c r="R338" s="281"/>
    </x:row>
    <x:row r="339">
      <x:c r="A339" s="278"/>
      <x:c r="C339" s="279"/>
      <x:c r="F339" s="278"/>
      <x:c r="G339" s="280"/>
      <x:c r="H339" s="278"/>
      <x:c r="I339" s="278"/>
      <x:c r="K339" s="278"/>
      <x:c r="L339" s="7"/>
      <x:c r="M339" s="7"/>
      <x:c r="Q339" s="279"/>
      <x:c r="R339" s="281"/>
    </x:row>
    <x:row r="340">
      <x:c r="A340" s="278"/>
      <x:c r="C340" s="279"/>
      <x:c r="F340" s="278"/>
      <x:c r="G340" s="280"/>
      <x:c r="H340" s="278"/>
      <x:c r="I340" s="278"/>
      <x:c r="K340" s="278"/>
      <x:c r="L340" s="7"/>
      <x:c r="M340" s="7"/>
      <x:c r="Q340" s="279"/>
      <x:c r="R340" s="281"/>
    </x:row>
    <x:row r="341">
      <x:c r="A341" s="278"/>
      <x:c r="C341" s="279"/>
      <x:c r="F341" s="278"/>
      <x:c r="G341" s="280"/>
      <x:c r="H341" s="278"/>
      <x:c r="I341" s="278"/>
      <x:c r="K341" s="278"/>
      <x:c r="L341" s="7"/>
      <x:c r="M341" s="7"/>
      <x:c r="Q341" s="279"/>
      <x:c r="R341" s="281"/>
    </x:row>
    <x:row r="342">
      <x:c r="A342" s="278"/>
      <x:c r="C342" s="279"/>
      <x:c r="F342" s="278"/>
      <x:c r="G342" s="280"/>
      <x:c r="H342" s="278"/>
      <x:c r="I342" s="278"/>
      <x:c r="K342" s="278"/>
      <x:c r="L342" s="7"/>
      <x:c r="M342" s="7"/>
      <x:c r="Q342" s="279"/>
      <x:c r="R342" s="281"/>
    </x:row>
    <x:row r="343">
      <x:c r="A343" s="278"/>
      <x:c r="C343" s="279"/>
      <x:c r="F343" s="278"/>
      <x:c r="G343" s="280"/>
      <x:c r="H343" s="278"/>
      <x:c r="I343" s="278"/>
      <x:c r="K343" s="278"/>
      <x:c r="L343" s="7"/>
      <x:c r="M343" s="7"/>
      <x:c r="Q343" s="279"/>
      <x:c r="R343" s="281"/>
    </x:row>
    <x:row r="344">
      <x:c r="A344" s="278"/>
      <x:c r="C344" s="279"/>
      <x:c r="F344" s="278"/>
      <x:c r="G344" s="280"/>
      <x:c r="H344" s="278"/>
      <x:c r="I344" s="278"/>
      <x:c r="K344" s="278"/>
      <x:c r="L344" s="7"/>
      <x:c r="M344" s="7"/>
      <x:c r="Q344" s="279"/>
      <x:c r="R344" s="281"/>
    </x:row>
    <x:row r="345">
      <x:c r="A345" s="278"/>
      <x:c r="C345" s="279"/>
      <x:c r="F345" s="278"/>
      <x:c r="G345" s="280"/>
      <x:c r="H345" s="278"/>
      <x:c r="I345" s="278"/>
      <x:c r="K345" s="278"/>
      <x:c r="L345" s="7"/>
      <x:c r="M345" s="7"/>
      <x:c r="Q345" s="279"/>
      <x:c r="R345" s="281"/>
    </x:row>
    <x:row r="346">
      <x:c r="A346" s="278"/>
      <x:c r="C346" s="279"/>
      <x:c r="F346" s="278"/>
      <x:c r="G346" s="280"/>
      <x:c r="H346" s="278"/>
      <x:c r="I346" s="278"/>
      <x:c r="K346" s="278"/>
      <x:c r="L346" s="7"/>
      <x:c r="M346" s="7"/>
      <x:c r="Q346" s="279"/>
      <x:c r="R346" s="281"/>
    </x:row>
    <x:row r="347">
      <x:c r="A347" s="278"/>
      <x:c r="C347" s="279"/>
      <x:c r="F347" s="278"/>
      <x:c r="G347" s="280"/>
      <x:c r="H347" s="278"/>
      <x:c r="I347" s="278"/>
      <x:c r="K347" s="278"/>
      <x:c r="L347" s="7"/>
      <x:c r="M347" s="7"/>
      <x:c r="Q347" s="279"/>
      <x:c r="R347" s="281"/>
    </x:row>
    <x:row r="348">
      <x:c r="A348" s="278"/>
      <x:c r="C348" s="279"/>
      <x:c r="F348" s="278"/>
      <x:c r="G348" s="280"/>
      <x:c r="H348" s="278"/>
      <x:c r="I348" s="278"/>
      <x:c r="K348" s="278"/>
      <x:c r="L348" s="7"/>
      <x:c r="M348" s="7"/>
      <x:c r="Q348" s="279"/>
      <x:c r="R348" s="281"/>
    </x:row>
    <x:row r="349">
      <x:c r="A349" s="278"/>
      <x:c r="C349" s="279"/>
      <x:c r="F349" s="278"/>
      <x:c r="G349" s="280"/>
      <x:c r="H349" s="278"/>
      <x:c r="I349" s="278"/>
      <x:c r="K349" s="278"/>
      <x:c r="L349" s="7"/>
      <x:c r="M349" s="7"/>
      <x:c r="Q349" s="279"/>
      <x:c r="R349" s="281"/>
    </x:row>
    <x:row r="350">
      <x:c r="A350" s="278"/>
      <x:c r="C350" s="279"/>
      <x:c r="F350" s="278"/>
      <x:c r="G350" s="280"/>
      <x:c r="H350" s="278"/>
      <x:c r="I350" s="278"/>
      <x:c r="K350" s="278"/>
      <x:c r="L350" s="7"/>
      <x:c r="M350" s="7"/>
      <x:c r="Q350" s="279"/>
      <x:c r="R350" s="281"/>
    </x:row>
    <x:row r="351">
      <x:c r="A351" s="278"/>
      <x:c r="C351" s="279"/>
      <x:c r="F351" s="278"/>
      <x:c r="G351" s="280"/>
      <x:c r="H351" s="278"/>
      <x:c r="I351" s="278"/>
      <x:c r="K351" s="278"/>
      <x:c r="L351" s="7"/>
      <x:c r="M351" s="7"/>
      <x:c r="Q351" s="279"/>
      <x:c r="R351" s="281"/>
    </x:row>
    <x:row r="352">
      <x:c r="A352" s="278"/>
      <x:c r="C352" s="279"/>
      <x:c r="F352" s="278"/>
      <x:c r="G352" s="280"/>
      <x:c r="H352" s="278"/>
      <x:c r="I352" s="278"/>
      <x:c r="K352" s="278"/>
      <x:c r="L352" s="7"/>
      <x:c r="M352" s="7"/>
      <x:c r="Q352" s="279"/>
      <x:c r="R352" s="281"/>
    </x:row>
    <x:row r="353">
      <x:c r="A353" s="278"/>
      <x:c r="C353" s="279"/>
      <x:c r="F353" s="278"/>
      <x:c r="G353" s="280"/>
      <x:c r="H353" s="278"/>
      <x:c r="I353" s="278"/>
      <x:c r="K353" s="278"/>
      <x:c r="L353" s="7"/>
      <x:c r="M353" s="7"/>
      <x:c r="Q353" s="279"/>
      <x:c r="R353" s="281"/>
    </x:row>
    <x:row r="354">
      <x:c r="A354" s="278"/>
      <x:c r="C354" s="279"/>
      <x:c r="F354" s="278"/>
      <x:c r="G354" s="280"/>
      <x:c r="H354" s="278"/>
      <x:c r="I354" s="278"/>
      <x:c r="K354" s="278"/>
      <x:c r="L354" s="7"/>
      <x:c r="M354" s="7"/>
      <x:c r="Q354" s="279"/>
      <x:c r="R354" s="281"/>
    </x:row>
    <x:row r="355">
      <x:c r="A355" s="278"/>
      <x:c r="C355" s="279"/>
      <x:c r="F355" s="278"/>
      <x:c r="G355" s="280"/>
      <x:c r="H355" s="278"/>
      <x:c r="I355" s="278"/>
      <x:c r="K355" s="278"/>
      <x:c r="L355" s="7"/>
      <x:c r="M355" s="7"/>
      <x:c r="Q355" s="279"/>
      <x:c r="R355" s="281"/>
    </x:row>
    <x:row r="356">
      <x:c r="A356" s="278"/>
      <x:c r="C356" s="279"/>
      <x:c r="F356" s="278"/>
      <x:c r="G356" s="280"/>
      <x:c r="H356" s="278"/>
      <x:c r="I356" s="278"/>
      <x:c r="K356" s="278"/>
      <x:c r="L356" s="7"/>
      <x:c r="M356" s="7"/>
      <x:c r="Q356" s="279"/>
      <x:c r="R356" s="281"/>
    </x:row>
    <x:row r="357">
      <x:c r="A357" s="278"/>
      <x:c r="C357" s="279"/>
      <x:c r="F357" s="278"/>
      <x:c r="G357" s="280"/>
      <x:c r="H357" s="278"/>
      <x:c r="I357" s="278"/>
      <x:c r="K357" s="278"/>
      <x:c r="L357" s="7"/>
      <x:c r="M357" s="7"/>
      <x:c r="Q357" s="279"/>
      <x:c r="R357" s="281"/>
    </x:row>
    <x:row r="358">
      <x:c r="A358" s="278"/>
      <x:c r="C358" s="279"/>
      <x:c r="F358" s="278"/>
      <x:c r="G358" s="280"/>
      <x:c r="H358" s="278"/>
      <x:c r="I358" s="278"/>
      <x:c r="K358" s="278"/>
      <x:c r="L358" s="7"/>
      <x:c r="M358" s="7"/>
      <x:c r="Q358" s="279"/>
      <x:c r="R358" s="281"/>
    </x:row>
    <x:row r="359">
      <x:c r="A359" s="278"/>
      <x:c r="C359" s="279"/>
      <x:c r="F359" s="278"/>
      <x:c r="G359" s="280"/>
      <x:c r="H359" s="278"/>
      <x:c r="I359" s="278"/>
      <x:c r="K359" s="278"/>
      <x:c r="L359" s="7"/>
      <x:c r="M359" s="7"/>
      <x:c r="Q359" s="279"/>
      <x:c r="R359" s="281"/>
    </x:row>
    <x:row r="360">
      <x:c r="A360" s="278"/>
      <x:c r="C360" s="279"/>
      <x:c r="F360" s="278"/>
      <x:c r="G360" s="280"/>
      <x:c r="H360" s="278"/>
      <x:c r="I360" s="278"/>
      <x:c r="K360" s="278"/>
      <x:c r="L360" s="7"/>
      <x:c r="M360" s="7"/>
      <x:c r="Q360" s="279"/>
      <x:c r="R360" s="281"/>
    </x:row>
    <x:row r="361">
      <x:c r="A361" s="278"/>
      <x:c r="C361" s="279"/>
      <x:c r="F361" s="278"/>
      <x:c r="G361" s="280"/>
      <x:c r="H361" s="278"/>
      <x:c r="I361" s="278"/>
      <x:c r="K361" s="278"/>
      <x:c r="L361" s="7"/>
      <x:c r="M361" s="7"/>
      <x:c r="Q361" s="279"/>
      <x:c r="R361" s="281"/>
    </x:row>
    <x:row r="362">
      <x:c r="A362" s="278"/>
      <x:c r="C362" s="279"/>
      <x:c r="F362" s="278"/>
      <x:c r="G362" s="280"/>
      <x:c r="H362" s="278"/>
      <x:c r="I362" s="278"/>
      <x:c r="K362" s="278"/>
      <x:c r="L362" s="7"/>
      <x:c r="M362" s="7"/>
      <x:c r="Q362" s="279"/>
      <x:c r="R362" s="281"/>
    </x:row>
    <x:row r="363">
      <x:c r="A363" s="278"/>
      <x:c r="C363" s="279"/>
      <x:c r="F363" s="278"/>
      <x:c r="G363" s="280"/>
      <x:c r="H363" s="278"/>
      <x:c r="I363" s="278"/>
      <x:c r="K363" s="278"/>
      <x:c r="L363" s="7"/>
      <x:c r="M363" s="7"/>
      <x:c r="Q363" s="279"/>
      <x:c r="R363" s="281"/>
    </x:row>
    <x:row r="364">
      <x:c r="A364" s="278"/>
      <x:c r="C364" s="279"/>
      <x:c r="F364" s="278"/>
      <x:c r="G364" s="280"/>
      <x:c r="H364" s="278"/>
      <x:c r="I364" s="278"/>
      <x:c r="K364" s="278"/>
      <x:c r="L364" s="7"/>
      <x:c r="M364" s="7"/>
      <x:c r="Q364" s="279"/>
      <x:c r="R364" s="281"/>
    </x:row>
    <x:row r="365">
      <x:c r="A365" s="278"/>
      <x:c r="C365" s="279"/>
      <x:c r="F365" s="278"/>
      <x:c r="G365" s="280"/>
      <x:c r="H365" s="278"/>
      <x:c r="I365" s="278"/>
      <x:c r="K365" s="278"/>
      <x:c r="L365" s="7"/>
      <x:c r="M365" s="7"/>
      <x:c r="Q365" s="279"/>
      <x:c r="R365" s="281"/>
    </x:row>
    <x:row r="366">
      <x:c r="A366" s="278"/>
      <x:c r="C366" s="279"/>
      <x:c r="F366" s="278"/>
      <x:c r="G366" s="280"/>
      <x:c r="H366" s="278"/>
      <x:c r="I366" s="278"/>
      <x:c r="K366" s="278"/>
      <x:c r="L366" s="7"/>
      <x:c r="M366" s="7"/>
      <x:c r="Q366" s="279"/>
      <x:c r="R366" s="281"/>
    </x:row>
    <x:row r="367">
      <x:c r="A367" s="278"/>
      <x:c r="C367" s="279"/>
      <x:c r="F367" s="278"/>
      <x:c r="G367" s="280"/>
      <x:c r="H367" s="278"/>
      <x:c r="I367" s="278"/>
      <x:c r="K367" s="278"/>
      <x:c r="L367" s="7"/>
      <x:c r="M367" s="7"/>
      <x:c r="Q367" s="279"/>
      <x:c r="R367" s="281"/>
    </x:row>
    <x:row r="368">
      <x:c r="A368" s="278"/>
      <x:c r="C368" s="279"/>
      <x:c r="F368" s="278"/>
      <x:c r="G368" s="280"/>
      <x:c r="H368" s="278"/>
      <x:c r="I368" s="278"/>
      <x:c r="K368" s="278"/>
      <x:c r="L368" s="7"/>
      <x:c r="M368" s="7"/>
      <x:c r="Q368" s="279"/>
      <x:c r="R368" s="281"/>
    </x:row>
    <x:row r="369">
      <x:c r="A369" s="278"/>
      <x:c r="C369" s="279"/>
      <x:c r="F369" s="278"/>
      <x:c r="G369" s="280"/>
      <x:c r="H369" s="278"/>
      <x:c r="I369" s="278"/>
      <x:c r="K369" s="278"/>
      <x:c r="L369" s="7"/>
      <x:c r="M369" s="7"/>
      <x:c r="Q369" s="279"/>
      <x:c r="R369" s="281"/>
    </x:row>
    <x:row r="370">
      <x:c r="A370" s="278"/>
      <x:c r="C370" s="279"/>
      <x:c r="F370" s="278"/>
      <x:c r="G370" s="280"/>
      <x:c r="H370" s="278"/>
      <x:c r="I370" s="278"/>
      <x:c r="K370" s="278"/>
      <x:c r="L370" s="7"/>
      <x:c r="M370" s="7"/>
      <x:c r="Q370" s="279"/>
      <x:c r="R370" s="281"/>
    </x:row>
    <x:row r="371">
      <x:c r="A371" s="278"/>
      <x:c r="C371" s="279"/>
      <x:c r="F371" s="278"/>
      <x:c r="G371" s="280"/>
      <x:c r="H371" s="278"/>
      <x:c r="I371" s="278"/>
      <x:c r="K371" s="278"/>
      <x:c r="L371" s="7"/>
      <x:c r="M371" s="7"/>
      <x:c r="Q371" s="279"/>
      <x:c r="R371" s="281"/>
    </x:row>
    <x:row r="372">
      <x:c r="A372" s="278"/>
      <x:c r="C372" s="279"/>
      <x:c r="F372" s="278"/>
      <x:c r="G372" s="280"/>
      <x:c r="H372" s="278"/>
      <x:c r="I372" s="278"/>
      <x:c r="K372" s="278"/>
      <x:c r="L372" s="7"/>
      <x:c r="M372" s="7"/>
      <x:c r="Q372" s="279"/>
      <x:c r="R372" s="281"/>
    </x:row>
    <x:row r="373">
      <x:c r="A373" s="278"/>
      <x:c r="C373" s="279"/>
      <x:c r="F373" s="278"/>
      <x:c r="G373" s="280"/>
      <x:c r="H373" s="278"/>
      <x:c r="I373" s="278"/>
      <x:c r="K373" s="278"/>
      <x:c r="L373" s="7"/>
      <x:c r="M373" s="7"/>
      <x:c r="Q373" s="279"/>
      <x:c r="R373" s="281"/>
    </x:row>
    <x:row r="374">
      <x:c r="A374" s="278"/>
      <x:c r="C374" s="279"/>
      <x:c r="F374" s="278"/>
      <x:c r="G374" s="280"/>
      <x:c r="H374" s="278"/>
      <x:c r="I374" s="278"/>
      <x:c r="K374" s="278"/>
      <x:c r="L374" s="7"/>
      <x:c r="M374" s="7"/>
      <x:c r="Q374" s="279"/>
      <x:c r="R374" s="281"/>
    </x:row>
    <x:row r="375">
      <x:c r="A375" s="278"/>
      <x:c r="C375" s="279"/>
      <x:c r="F375" s="278"/>
      <x:c r="G375" s="280"/>
      <x:c r="H375" s="278"/>
      <x:c r="I375" s="278"/>
      <x:c r="K375" s="278"/>
      <x:c r="L375" s="7"/>
      <x:c r="M375" s="7"/>
      <x:c r="Q375" s="279"/>
      <x:c r="R375" s="281"/>
    </x:row>
    <x:row r="376">
      <x:c r="A376" s="278"/>
      <x:c r="C376" s="279"/>
      <x:c r="F376" s="278"/>
      <x:c r="G376" s="280"/>
      <x:c r="H376" s="278"/>
      <x:c r="I376" s="278"/>
      <x:c r="K376" s="278"/>
      <x:c r="L376" s="7"/>
      <x:c r="M376" s="7"/>
      <x:c r="Q376" s="279"/>
      <x:c r="R376" s="281"/>
    </x:row>
    <x:row r="377">
      <x:c r="A377" s="278"/>
      <x:c r="C377" s="279"/>
      <x:c r="F377" s="278"/>
      <x:c r="G377" s="280"/>
      <x:c r="H377" s="278"/>
      <x:c r="I377" s="278"/>
      <x:c r="K377" s="278"/>
      <x:c r="L377" s="7"/>
      <x:c r="M377" s="7"/>
      <x:c r="Q377" s="279"/>
      <x:c r="R377" s="281"/>
    </x:row>
    <x:row r="378">
      <x:c r="A378" s="278"/>
      <x:c r="C378" s="279"/>
      <x:c r="F378" s="278"/>
      <x:c r="G378" s="280"/>
      <x:c r="H378" s="278"/>
      <x:c r="I378" s="278"/>
      <x:c r="K378" s="278"/>
      <x:c r="L378" s="7"/>
      <x:c r="M378" s="7"/>
      <x:c r="Q378" s="279"/>
      <x:c r="R378" s="281"/>
    </x:row>
    <x:row r="379">
      <x:c r="A379" s="278"/>
      <x:c r="C379" s="279"/>
      <x:c r="F379" s="278"/>
      <x:c r="G379" s="280"/>
      <x:c r="H379" s="278"/>
      <x:c r="I379" s="278"/>
      <x:c r="K379" s="278"/>
      <x:c r="L379" s="7"/>
      <x:c r="M379" s="7"/>
      <x:c r="Q379" s="279"/>
      <x:c r="R379" s="281"/>
    </x:row>
    <x:row r="380">
      <x:c r="A380" s="278"/>
      <x:c r="C380" s="279"/>
      <x:c r="F380" s="278"/>
      <x:c r="G380" s="280"/>
      <x:c r="H380" s="278"/>
      <x:c r="I380" s="278"/>
      <x:c r="K380" s="278"/>
      <x:c r="L380" s="7"/>
      <x:c r="M380" s="7"/>
      <x:c r="Q380" s="279"/>
      <x:c r="R380" s="281"/>
    </x:row>
    <x:row r="381">
      <x:c r="A381" s="278"/>
      <x:c r="C381" s="279"/>
      <x:c r="F381" s="278"/>
      <x:c r="G381" s="280"/>
      <x:c r="H381" s="278"/>
      <x:c r="I381" s="278"/>
      <x:c r="K381" s="278"/>
      <x:c r="L381" s="7"/>
      <x:c r="M381" s="7"/>
      <x:c r="Q381" s="279"/>
      <x:c r="R381" s="281"/>
    </x:row>
    <x:row r="382">
      <x:c r="A382" s="278"/>
      <x:c r="C382" s="279"/>
      <x:c r="F382" s="278"/>
      <x:c r="G382" s="280"/>
      <x:c r="H382" s="278"/>
      <x:c r="I382" s="278"/>
      <x:c r="K382" s="278"/>
      <x:c r="L382" s="7"/>
      <x:c r="M382" s="7"/>
      <x:c r="Q382" s="279"/>
      <x:c r="R382" s="281"/>
    </x:row>
    <x:row r="383">
      <x:c r="A383" s="278"/>
      <x:c r="C383" s="279"/>
      <x:c r="F383" s="278"/>
      <x:c r="G383" s="280"/>
      <x:c r="H383" s="278"/>
      <x:c r="I383" s="278"/>
      <x:c r="K383" s="278"/>
      <x:c r="L383" s="7"/>
      <x:c r="M383" s="7"/>
      <x:c r="Q383" s="279"/>
      <x:c r="R383" s="281"/>
    </x:row>
    <x:row r="384">
      <x:c r="A384" s="278"/>
      <x:c r="C384" s="279"/>
      <x:c r="F384" s="278"/>
      <x:c r="G384" s="280"/>
      <x:c r="H384" s="278"/>
      <x:c r="I384" s="278"/>
      <x:c r="K384" s="278"/>
      <x:c r="L384" s="7"/>
      <x:c r="M384" s="7"/>
      <x:c r="Q384" s="279"/>
      <x:c r="R384" s="281"/>
    </x:row>
    <x:row r="385">
      <x:c r="A385" s="278"/>
      <x:c r="C385" s="279"/>
      <x:c r="F385" s="278"/>
      <x:c r="G385" s="280"/>
      <x:c r="H385" s="278"/>
      <x:c r="I385" s="278"/>
      <x:c r="K385" s="278"/>
      <x:c r="L385" s="7"/>
      <x:c r="M385" s="7"/>
      <x:c r="Q385" s="279"/>
      <x:c r="R385" s="281"/>
    </x:row>
    <x:row r="386">
      <x:c r="A386" s="278"/>
      <x:c r="C386" s="279"/>
      <x:c r="F386" s="278"/>
      <x:c r="G386" s="280"/>
      <x:c r="H386" s="278"/>
      <x:c r="I386" s="278"/>
      <x:c r="K386" s="278"/>
      <x:c r="L386" s="7"/>
      <x:c r="M386" s="7"/>
      <x:c r="Q386" s="279"/>
      <x:c r="R386" s="281"/>
    </x:row>
    <x:row r="387">
      <x:c r="A387" s="278"/>
      <x:c r="C387" s="279"/>
      <x:c r="F387" s="278"/>
      <x:c r="G387" s="280"/>
      <x:c r="H387" s="278"/>
      <x:c r="I387" s="278"/>
      <x:c r="K387" s="278"/>
      <x:c r="L387" s="7"/>
      <x:c r="M387" s="7"/>
      <x:c r="Q387" s="279"/>
      <x:c r="R387" s="281"/>
    </x:row>
    <x:row r="388">
      <x:c r="A388" s="278"/>
      <x:c r="C388" s="279"/>
      <x:c r="F388" s="278"/>
      <x:c r="G388" s="280"/>
      <x:c r="H388" s="278"/>
      <x:c r="I388" s="278"/>
      <x:c r="K388" s="278"/>
      <x:c r="L388" s="7"/>
      <x:c r="M388" s="7"/>
      <x:c r="Q388" s="279"/>
      <x:c r="R388" s="281"/>
    </x:row>
    <x:row r="389">
      <x:c r="A389" s="278"/>
      <x:c r="C389" s="279"/>
      <x:c r="F389" s="278"/>
      <x:c r="G389" s="280"/>
      <x:c r="H389" s="278"/>
      <x:c r="I389" s="278"/>
      <x:c r="K389" s="278"/>
      <x:c r="L389" s="7"/>
      <x:c r="M389" s="7"/>
      <x:c r="Q389" s="279"/>
      <x:c r="R389" s="281"/>
    </x:row>
    <x:row r="390">
      <x:c r="A390" s="278"/>
      <x:c r="C390" s="279"/>
      <x:c r="F390" s="278"/>
      <x:c r="G390" s="280"/>
      <x:c r="H390" s="278"/>
      <x:c r="I390" s="278"/>
      <x:c r="K390" s="278"/>
      <x:c r="L390" s="7"/>
      <x:c r="M390" s="7"/>
      <x:c r="Q390" s="279"/>
      <x:c r="R390" s="281"/>
    </x:row>
    <x:row r="391">
      <x:c r="A391" s="278"/>
      <x:c r="C391" s="279"/>
      <x:c r="F391" s="278"/>
      <x:c r="G391" s="280"/>
      <x:c r="H391" s="278"/>
      <x:c r="I391" s="278"/>
      <x:c r="K391" s="278"/>
      <x:c r="L391" s="7"/>
      <x:c r="M391" s="7"/>
      <x:c r="Q391" s="279"/>
      <x:c r="R391" s="281"/>
    </x:row>
    <x:row r="392">
      <x:c r="A392" s="278"/>
      <x:c r="C392" s="279"/>
      <x:c r="F392" s="278"/>
      <x:c r="G392" s="280"/>
      <x:c r="H392" s="278"/>
      <x:c r="I392" s="278"/>
      <x:c r="K392" s="278"/>
      <x:c r="L392" s="7"/>
      <x:c r="M392" s="7"/>
      <x:c r="Q392" s="279"/>
      <x:c r="R392" s="281"/>
    </x:row>
    <x:row r="393">
      <x:c r="A393" s="278"/>
      <x:c r="C393" s="279"/>
      <x:c r="F393" s="278"/>
      <x:c r="G393" s="280"/>
      <x:c r="H393" s="278"/>
      <x:c r="I393" s="278"/>
      <x:c r="K393" s="278"/>
      <x:c r="L393" s="7"/>
      <x:c r="M393" s="7"/>
      <x:c r="Q393" s="279"/>
      <x:c r="R393" s="281"/>
    </x:row>
    <x:row r="394">
      <x:c r="A394" s="278"/>
      <x:c r="C394" s="279"/>
      <x:c r="F394" s="278"/>
      <x:c r="G394" s="280"/>
      <x:c r="H394" s="278"/>
      <x:c r="I394" s="278"/>
      <x:c r="K394" s="278"/>
      <x:c r="L394" s="7"/>
      <x:c r="M394" s="7"/>
      <x:c r="Q394" s="279"/>
      <x:c r="R394" s="281"/>
    </x:row>
    <x:row r="395">
      <x:c r="A395" s="278"/>
      <x:c r="C395" s="279"/>
      <x:c r="F395" s="278"/>
      <x:c r="G395" s="280"/>
      <x:c r="H395" s="278"/>
      <x:c r="I395" s="278"/>
      <x:c r="K395" s="278"/>
      <x:c r="L395" s="7"/>
      <x:c r="M395" s="7"/>
      <x:c r="Q395" s="279"/>
      <x:c r="R395" s="281"/>
    </x:row>
    <x:row r="396">
      <x:c r="A396" s="278"/>
      <x:c r="C396" s="279"/>
      <x:c r="F396" s="278"/>
      <x:c r="G396" s="280"/>
      <x:c r="H396" s="278"/>
      <x:c r="I396" s="278"/>
      <x:c r="K396" s="278"/>
      <x:c r="L396" s="7"/>
      <x:c r="M396" s="7"/>
      <x:c r="Q396" s="279"/>
      <x:c r="R396" s="281"/>
    </x:row>
    <x:row r="397">
      <x:c r="A397" s="278"/>
      <x:c r="C397" s="279"/>
      <x:c r="F397" s="278"/>
      <x:c r="G397" s="280"/>
      <x:c r="H397" s="278"/>
      <x:c r="I397" s="278"/>
      <x:c r="K397" s="278"/>
      <x:c r="L397" s="7"/>
      <x:c r="M397" s="7"/>
      <x:c r="Q397" s="279"/>
      <x:c r="R397" s="281"/>
    </x:row>
    <x:row r="398">
      <x:c r="A398" s="278"/>
      <x:c r="C398" s="279"/>
      <x:c r="F398" s="278"/>
      <x:c r="G398" s="280"/>
      <x:c r="H398" s="278"/>
      <x:c r="I398" s="278"/>
      <x:c r="K398" s="278"/>
      <x:c r="L398" s="7"/>
      <x:c r="M398" s="7"/>
      <x:c r="Q398" s="279"/>
      <x:c r="R398" s="281"/>
    </x:row>
    <x:row r="399">
      <x:c r="A399" s="278"/>
      <x:c r="C399" s="279"/>
      <x:c r="F399" s="278"/>
      <x:c r="G399" s="280"/>
      <x:c r="H399" s="278"/>
      <x:c r="I399" s="278"/>
      <x:c r="K399" s="278"/>
      <x:c r="L399" s="7"/>
      <x:c r="M399" s="7"/>
      <x:c r="Q399" s="279"/>
      <x:c r="R399" s="281"/>
    </x:row>
    <x:row r="400">
      <x:c r="A400" s="278"/>
      <x:c r="C400" s="279"/>
      <x:c r="F400" s="278"/>
      <x:c r="G400" s="280"/>
      <x:c r="H400" s="278"/>
      <x:c r="I400" s="278"/>
      <x:c r="K400" s="278"/>
      <x:c r="L400" s="7"/>
      <x:c r="M400" s="7"/>
      <x:c r="Q400" s="279"/>
      <x:c r="R400" s="281"/>
    </x:row>
    <x:row r="401">
      <x:c r="A401" s="278"/>
      <x:c r="C401" s="279"/>
      <x:c r="F401" s="278"/>
      <x:c r="G401" s="280"/>
      <x:c r="H401" s="278"/>
      <x:c r="I401" s="278"/>
      <x:c r="K401" s="278"/>
      <x:c r="L401" s="7"/>
      <x:c r="M401" s="7"/>
      <x:c r="Q401" s="279"/>
      <x:c r="R401" s="281"/>
    </x:row>
    <x:row r="402">
      <x:c r="A402" s="278"/>
      <x:c r="C402" s="279"/>
      <x:c r="F402" s="278"/>
      <x:c r="G402" s="280"/>
      <x:c r="H402" s="278"/>
      <x:c r="I402" s="278"/>
      <x:c r="K402" s="278"/>
      <x:c r="L402" s="7"/>
      <x:c r="M402" s="7"/>
      <x:c r="Q402" s="279"/>
      <x:c r="R402" s="281"/>
    </x:row>
    <x:row r="403">
      <x:c r="A403" s="278"/>
      <x:c r="C403" s="279"/>
      <x:c r="F403" s="278"/>
      <x:c r="G403" s="280"/>
      <x:c r="H403" s="278"/>
      <x:c r="I403" s="278"/>
      <x:c r="K403" s="278"/>
      <x:c r="L403" s="7"/>
      <x:c r="M403" s="7"/>
      <x:c r="Q403" s="279"/>
      <x:c r="R403" s="281"/>
    </x:row>
    <x:row r="404">
      <x:c r="A404" s="278"/>
      <x:c r="C404" s="279"/>
      <x:c r="F404" s="278"/>
      <x:c r="G404" s="280"/>
      <x:c r="H404" s="278"/>
      <x:c r="I404" s="278"/>
      <x:c r="K404" s="278"/>
      <x:c r="L404" s="7"/>
      <x:c r="M404" s="7"/>
      <x:c r="Q404" s="279"/>
      <x:c r="R404" s="281"/>
    </x:row>
    <x:row r="405">
      <x:c r="A405" s="278"/>
      <x:c r="C405" s="279"/>
      <x:c r="F405" s="278"/>
      <x:c r="G405" s="280"/>
      <x:c r="H405" s="278"/>
      <x:c r="I405" s="278"/>
      <x:c r="K405" s="278"/>
      <x:c r="L405" s="7"/>
      <x:c r="M405" s="7"/>
      <x:c r="Q405" s="279"/>
      <x:c r="R405" s="281"/>
    </x:row>
    <x:row r="406">
      <x:c r="A406" s="278"/>
      <x:c r="C406" s="279"/>
      <x:c r="F406" s="278"/>
      <x:c r="G406" s="280"/>
      <x:c r="H406" s="278"/>
      <x:c r="I406" s="278"/>
      <x:c r="K406" s="278"/>
      <x:c r="L406" s="7"/>
      <x:c r="M406" s="7"/>
      <x:c r="Q406" s="279"/>
      <x:c r="R406" s="281"/>
    </x:row>
    <x:row r="407">
      <x:c r="A407" s="278"/>
      <x:c r="C407" s="279"/>
      <x:c r="F407" s="278"/>
      <x:c r="G407" s="280"/>
      <x:c r="H407" s="278"/>
      <x:c r="I407" s="278"/>
      <x:c r="K407" s="278"/>
      <x:c r="L407" s="7"/>
      <x:c r="M407" s="7"/>
      <x:c r="Q407" s="279"/>
      <x:c r="R407" s="281"/>
    </x:row>
    <x:row r="408">
      <x:c r="A408" s="278"/>
      <x:c r="C408" s="279"/>
      <x:c r="F408" s="278"/>
      <x:c r="G408" s="280"/>
      <x:c r="H408" s="278"/>
      <x:c r="I408" s="278"/>
      <x:c r="K408" s="278"/>
      <x:c r="L408" s="7"/>
      <x:c r="M408" s="7"/>
      <x:c r="Q408" s="279"/>
      <x:c r="R408" s="281"/>
    </x:row>
    <x:row r="409">
      <x:c r="A409" s="278"/>
      <x:c r="C409" s="279"/>
      <x:c r="F409" s="278"/>
      <x:c r="G409" s="280"/>
      <x:c r="H409" s="278"/>
      <x:c r="I409" s="278"/>
      <x:c r="K409" s="278"/>
      <x:c r="L409" s="7"/>
      <x:c r="M409" s="7"/>
      <x:c r="Q409" s="279"/>
      <x:c r="R409" s="281"/>
    </x:row>
    <x:row r="410">
      <x:c r="A410" s="278"/>
      <x:c r="C410" s="279"/>
      <x:c r="F410" s="278"/>
      <x:c r="G410" s="280"/>
      <x:c r="H410" s="278"/>
      <x:c r="I410" s="278"/>
      <x:c r="K410" s="278"/>
      <x:c r="L410" s="7"/>
      <x:c r="M410" s="7"/>
      <x:c r="Q410" s="279"/>
      <x:c r="R410" s="281"/>
    </x:row>
    <x:row r="411">
      <x:c r="A411" s="278"/>
      <x:c r="C411" s="279"/>
      <x:c r="F411" s="278"/>
      <x:c r="G411" s="280"/>
      <x:c r="H411" s="278"/>
      <x:c r="I411" s="278"/>
      <x:c r="K411" s="278"/>
      <x:c r="L411" s="7"/>
      <x:c r="M411" s="7"/>
      <x:c r="Q411" s="279"/>
      <x:c r="R411" s="281"/>
    </x:row>
    <x:row r="412">
      <x:c r="A412" s="278"/>
      <x:c r="C412" s="279"/>
      <x:c r="F412" s="278"/>
      <x:c r="G412" s="280"/>
      <x:c r="H412" s="278"/>
      <x:c r="I412" s="278"/>
      <x:c r="K412" s="278"/>
      <x:c r="L412" s="7"/>
      <x:c r="M412" s="7"/>
      <x:c r="Q412" s="279"/>
      <x:c r="R412" s="281"/>
    </x:row>
    <x:row r="413">
      <x:c r="A413" s="278"/>
      <x:c r="C413" s="279"/>
      <x:c r="F413" s="278"/>
      <x:c r="G413" s="280"/>
      <x:c r="H413" s="278"/>
      <x:c r="I413" s="278"/>
      <x:c r="K413" s="278"/>
      <x:c r="L413" s="7"/>
      <x:c r="M413" s="7"/>
      <x:c r="Q413" s="279"/>
      <x:c r="R413" s="281"/>
    </x:row>
    <x:row r="414">
      <x:c r="A414" s="278"/>
      <x:c r="C414" s="279"/>
      <x:c r="F414" s="278"/>
      <x:c r="G414" s="280"/>
      <x:c r="H414" s="278"/>
      <x:c r="I414" s="278"/>
      <x:c r="K414" s="278"/>
      <x:c r="L414" s="7"/>
      <x:c r="M414" s="7"/>
      <x:c r="Q414" s="279"/>
      <x:c r="R414" s="281"/>
    </x:row>
    <x:row r="415">
      <x:c r="A415" s="278"/>
      <x:c r="C415" s="279"/>
      <x:c r="F415" s="278"/>
      <x:c r="G415" s="280"/>
      <x:c r="H415" s="278"/>
      <x:c r="I415" s="278"/>
      <x:c r="K415" s="278"/>
      <x:c r="L415" s="7"/>
      <x:c r="M415" s="7"/>
      <x:c r="Q415" s="279"/>
      <x:c r="R415" s="281"/>
    </x:row>
    <x:row r="416">
      <x:c r="A416" s="278"/>
      <x:c r="C416" s="279"/>
      <x:c r="F416" s="278"/>
      <x:c r="G416" s="280"/>
      <x:c r="H416" s="278"/>
      <x:c r="I416" s="278"/>
      <x:c r="K416" s="278"/>
      <x:c r="L416" s="7"/>
      <x:c r="M416" s="7"/>
      <x:c r="Q416" s="279"/>
      <x:c r="R416" s="281"/>
    </x:row>
    <x:row r="417">
      <x:c r="A417" s="278"/>
      <x:c r="C417" s="279"/>
      <x:c r="F417" s="278"/>
      <x:c r="G417" s="280"/>
      <x:c r="H417" s="278"/>
      <x:c r="I417" s="278"/>
      <x:c r="K417" s="278"/>
      <x:c r="L417" s="7"/>
      <x:c r="M417" s="7"/>
      <x:c r="Q417" s="279"/>
      <x:c r="R417" s="281"/>
    </x:row>
    <x:row r="418">
      <x:c r="A418" s="278"/>
      <x:c r="C418" s="279"/>
      <x:c r="F418" s="278"/>
      <x:c r="G418" s="280"/>
      <x:c r="H418" s="278"/>
      <x:c r="I418" s="278"/>
      <x:c r="K418" s="278"/>
      <x:c r="L418" s="7"/>
      <x:c r="M418" s="7"/>
      <x:c r="Q418" s="279"/>
      <x:c r="R418" s="281"/>
    </x:row>
    <x:row r="419">
      <x:c r="A419" s="278"/>
      <x:c r="C419" s="279"/>
      <x:c r="F419" s="278"/>
      <x:c r="G419" s="280"/>
      <x:c r="H419" s="278"/>
      <x:c r="I419" s="278"/>
      <x:c r="K419" s="278"/>
      <x:c r="L419" s="7"/>
      <x:c r="M419" s="7"/>
      <x:c r="Q419" s="279"/>
      <x:c r="R419" s="281"/>
    </x:row>
    <x:row r="420">
      <x:c r="A420" s="278"/>
      <x:c r="C420" s="279"/>
      <x:c r="F420" s="278"/>
      <x:c r="G420" s="280"/>
      <x:c r="H420" s="278"/>
      <x:c r="I420" s="278"/>
      <x:c r="K420" s="278"/>
      <x:c r="L420" s="7"/>
      <x:c r="M420" s="7"/>
      <x:c r="Q420" s="279"/>
      <x:c r="R420" s="281"/>
    </x:row>
    <x:row r="421">
      <x:c r="A421" s="278"/>
      <x:c r="C421" s="279"/>
      <x:c r="F421" s="278"/>
      <x:c r="G421" s="280"/>
      <x:c r="H421" s="278"/>
      <x:c r="I421" s="278"/>
      <x:c r="K421" s="278"/>
      <x:c r="L421" s="7"/>
      <x:c r="M421" s="7"/>
      <x:c r="Q421" s="279"/>
      <x:c r="R421" s="281"/>
    </x:row>
    <x:row r="422">
      <x:c r="A422" s="278"/>
      <x:c r="C422" s="279"/>
      <x:c r="F422" s="278"/>
      <x:c r="G422" s="280"/>
      <x:c r="H422" s="278"/>
      <x:c r="I422" s="278"/>
      <x:c r="K422" s="278"/>
      <x:c r="L422" s="7"/>
      <x:c r="M422" s="7"/>
      <x:c r="Q422" s="279"/>
      <x:c r="R422" s="281"/>
    </x:row>
    <x:row r="423">
      <x:c r="A423" s="278"/>
      <x:c r="C423" s="279"/>
      <x:c r="F423" s="278"/>
      <x:c r="G423" s="280"/>
      <x:c r="H423" s="278"/>
      <x:c r="I423" s="278"/>
      <x:c r="K423" s="278"/>
      <x:c r="L423" s="7"/>
      <x:c r="M423" s="7"/>
      <x:c r="Q423" s="279"/>
      <x:c r="R423" s="281"/>
    </x:row>
    <x:row r="424">
      <x:c r="A424" s="278"/>
      <x:c r="C424" s="279"/>
      <x:c r="F424" s="278"/>
      <x:c r="G424" s="280"/>
      <x:c r="H424" s="278"/>
      <x:c r="I424" s="278"/>
      <x:c r="K424" s="278"/>
      <x:c r="L424" s="7"/>
      <x:c r="M424" s="7"/>
      <x:c r="Q424" s="279"/>
      <x:c r="R424" s="281"/>
    </x:row>
    <x:row r="425">
      <x:c r="A425" s="278"/>
      <x:c r="C425" s="279"/>
      <x:c r="F425" s="278"/>
      <x:c r="G425" s="280"/>
      <x:c r="H425" s="278"/>
      <x:c r="I425" s="278"/>
      <x:c r="K425" s="278"/>
      <x:c r="L425" s="7"/>
      <x:c r="M425" s="7"/>
      <x:c r="Q425" s="279"/>
      <x:c r="R425" s="281"/>
    </x:row>
    <x:row r="426">
      <x:c r="A426" s="278"/>
      <x:c r="C426" s="279"/>
      <x:c r="F426" s="278"/>
      <x:c r="G426" s="280"/>
      <x:c r="H426" s="278"/>
      <x:c r="I426" s="278"/>
      <x:c r="K426" s="278"/>
      <x:c r="L426" s="7"/>
      <x:c r="M426" s="7"/>
      <x:c r="Q426" s="279"/>
      <x:c r="R426" s="281"/>
    </x:row>
    <x:row r="427">
      <x:c r="A427" s="278"/>
      <x:c r="C427" s="279"/>
      <x:c r="F427" s="278"/>
      <x:c r="G427" s="280"/>
      <x:c r="H427" s="278"/>
      <x:c r="I427" s="278"/>
      <x:c r="K427" s="278"/>
      <x:c r="L427" s="7"/>
      <x:c r="M427" s="7"/>
      <x:c r="Q427" s="279"/>
      <x:c r="R427" s="281"/>
    </x:row>
    <x:row r="428">
      <x:c r="A428" s="278"/>
      <x:c r="C428" s="279"/>
      <x:c r="F428" s="278"/>
      <x:c r="G428" s="280"/>
      <x:c r="H428" s="278"/>
      <x:c r="I428" s="278"/>
      <x:c r="K428" s="278"/>
      <x:c r="L428" s="7"/>
      <x:c r="M428" s="7"/>
      <x:c r="Q428" s="279"/>
      <x:c r="R428" s="281"/>
    </x:row>
    <x:row r="429">
      <x:c r="A429" s="278"/>
      <x:c r="C429" s="279"/>
      <x:c r="F429" s="278"/>
      <x:c r="G429" s="280"/>
      <x:c r="H429" s="278"/>
      <x:c r="I429" s="278"/>
      <x:c r="K429" s="278"/>
      <x:c r="L429" s="7"/>
      <x:c r="M429" s="7"/>
      <x:c r="Q429" s="279"/>
      <x:c r="R429" s="281"/>
    </x:row>
    <x:row r="430">
      <x:c r="A430" s="278"/>
      <x:c r="C430" s="279"/>
      <x:c r="F430" s="278"/>
      <x:c r="G430" s="280"/>
      <x:c r="H430" s="278"/>
      <x:c r="I430" s="278"/>
      <x:c r="K430" s="278"/>
      <x:c r="L430" s="7"/>
      <x:c r="M430" s="7"/>
      <x:c r="Q430" s="279"/>
      <x:c r="R430" s="281"/>
    </x:row>
    <x:row r="431">
      <x:c r="A431" s="278"/>
      <x:c r="C431" s="279"/>
      <x:c r="F431" s="278"/>
      <x:c r="G431" s="280"/>
      <x:c r="H431" s="278"/>
      <x:c r="I431" s="278"/>
      <x:c r="K431" s="278"/>
      <x:c r="L431" s="7"/>
      <x:c r="M431" s="7"/>
      <x:c r="Q431" s="279"/>
      <x:c r="R431" s="281"/>
    </x:row>
    <x:row r="432">
      <x:c r="A432" s="278"/>
      <x:c r="C432" s="279"/>
      <x:c r="F432" s="278"/>
      <x:c r="G432" s="280"/>
      <x:c r="H432" s="278"/>
      <x:c r="I432" s="278"/>
      <x:c r="K432" s="278"/>
      <x:c r="L432" s="7"/>
      <x:c r="M432" s="7"/>
      <x:c r="Q432" s="279"/>
      <x:c r="R432" s="281"/>
    </x:row>
    <x:row r="433">
      <x:c r="A433" s="278"/>
      <x:c r="C433" s="279"/>
      <x:c r="F433" s="278"/>
      <x:c r="G433" s="280"/>
      <x:c r="H433" s="278"/>
      <x:c r="I433" s="278"/>
      <x:c r="K433" s="278"/>
      <x:c r="L433" s="7"/>
      <x:c r="M433" s="7"/>
      <x:c r="Q433" s="279"/>
      <x:c r="R433" s="281"/>
    </x:row>
    <x:row r="434">
      <x:c r="A434" s="278"/>
      <x:c r="C434" s="279"/>
      <x:c r="F434" s="278"/>
      <x:c r="G434" s="280"/>
      <x:c r="H434" s="278"/>
      <x:c r="I434" s="278"/>
      <x:c r="K434" s="278"/>
      <x:c r="L434" s="7"/>
      <x:c r="M434" s="7"/>
      <x:c r="Q434" s="279"/>
      <x:c r="R434" s="281"/>
    </x:row>
    <x:row r="435">
      <x:c r="A435" s="278"/>
      <x:c r="C435" s="279"/>
      <x:c r="F435" s="278"/>
      <x:c r="G435" s="280"/>
      <x:c r="H435" s="278"/>
      <x:c r="I435" s="278"/>
      <x:c r="K435" s="278"/>
      <x:c r="L435" s="7"/>
      <x:c r="M435" s="7"/>
      <x:c r="Q435" s="279"/>
      <x:c r="R435" s="281"/>
    </x:row>
    <x:row r="436">
      <x:c r="A436" s="278"/>
      <x:c r="C436" s="279"/>
      <x:c r="F436" s="278"/>
      <x:c r="G436" s="280"/>
      <x:c r="H436" s="278"/>
      <x:c r="I436" s="278"/>
      <x:c r="K436" s="278"/>
      <x:c r="L436" s="7"/>
      <x:c r="M436" s="7"/>
      <x:c r="Q436" s="279"/>
      <x:c r="R436" s="281"/>
    </x:row>
    <x:row r="437">
      <x:c r="A437" s="278"/>
      <x:c r="C437" s="279"/>
      <x:c r="F437" s="278"/>
      <x:c r="G437" s="280"/>
      <x:c r="H437" s="278"/>
      <x:c r="I437" s="278"/>
      <x:c r="K437" s="278"/>
      <x:c r="L437" s="7"/>
      <x:c r="M437" s="7"/>
      <x:c r="Q437" s="279"/>
      <x:c r="R437" s="281"/>
    </x:row>
    <x:row r="438">
      <x:c r="A438" s="278"/>
      <x:c r="C438" s="279"/>
      <x:c r="F438" s="278"/>
      <x:c r="G438" s="280"/>
      <x:c r="H438" s="278"/>
      <x:c r="I438" s="278"/>
      <x:c r="K438" s="278"/>
      <x:c r="L438" s="7"/>
      <x:c r="M438" s="7"/>
      <x:c r="Q438" s="279"/>
      <x:c r="R438" s="281"/>
    </x:row>
    <x:row r="439">
      <x:c r="A439" s="278"/>
      <x:c r="C439" s="279"/>
      <x:c r="F439" s="278"/>
      <x:c r="G439" s="280"/>
      <x:c r="H439" s="278"/>
      <x:c r="I439" s="278"/>
      <x:c r="K439" s="278"/>
      <x:c r="L439" s="7"/>
      <x:c r="M439" s="7"/>
      <x:c r="Q439" s="279"/>
      <x:c r="R439" s="281"/>
    </x:row>
    <x:row r="440">
      <x:c r="A440" s="278"/>
      <x:c r="C440" s="279"/>
      <x:c r="F440" s="278"/>
      <x:c r="G440" s="280"/>
      <x:c r="H440" s="278"/>
      <x:c r="I440" s="278"/>
      <x:c r="K440" s="278"/>
      <x:c r="L440" s="7"/>
      <x:c r="M440" s="7"/>
      <x:c r="Q440" s="279"/>
      <x:c r="R440" s="281"/>
    </x:row>
    <x:row r="441">
      <x:c r="A441" s="278"/>
      <x:c r="C441" s="279"/>
      <x:c r="F441" s="278"/>
      <x:c r="G441" s="280"/>
      <x:c r="H441" s="278"/>
      <x:c r="I441" s="278"/>
      <x:c r="K441" s="278"/>
      <x:c r="L441" s="7"/>
      <x:c r="M441" s="7"/>
      <x:c r="Q441" s="279"/>
      <x:c r="R441" s="281"/>
    </x:row>
    <x:row r="442">
      <x:c r="A442" s="278"/>
      <x:c r="C442" s="279"/>
      <x:c r="F442" s="278"/>
      <x:c r="G442" s="280"/>
      <x:c r="H442" s="278"/>
      <x:c r="I442" s="278"/>
      <x:c r="K442" s="278"/>
      <x:c r="L442" s="7"/>
      <x:c r="M442" s="7"/>
      <x:c r="Q442" s="279"/>
      <x:c r="R442" s="281"/>
    </x:row>
    <x:row r="443">
      <x:c r="A443" s="278"/>
      <x:c r="C443" s="279"/>
      <x:c r="F443" s="278"/>
      <x:c r="G443" s="280"/>
      <x:c r="H443" s="278"/>
      <x:c r="I443" s="278"/>
      <x:c r="K443" s="278"/>
      <x:c r="L443" s="7"/>
      <x:c r="M443" s="7"/>
      <x:c r="Q443" s="279"/>
      <x:c r="R443" s="281"/>
    </x:row>
    <x:row r="444">
      <x:c r="A444" s="278"/>
      <x:c r="C444" s="279"/>
      <x:c r="F444" s="278"/>
      <x:c r="G444" s="280"/>
      <x:c r="H444" s="278"/>
      <x:c r="I444" s="278"/>
      <x:c r="K444" s="278"/>
      <x:c r="L444" s="7"/>
      <x:c r="M444" s="7"/>
      <x:c r="Q444" s="279"/>
      <x:c r="R444" s="281"/>
    </x:row>
    <x:row r="445">
      <x:c r="A445" s="278"/>
      <x:c r="C445" s="279"/>
      <x:c r="F445" s="278"/>
      <x:c r="G445" s="280"/>
      <x:c r="H445" s="278"/>
      <x:c r="I445" s="278"/>
      <x:c r="K445" s="278"/>
      <x:c r="L445" s="7"/>
      <x:c r="M445" s="7"/>
      <x:c r="Q445" s="279"/>
      <x:c r="R445" s="281"/>
    </x:row>
    <x:row r="446">
      <x:c r="A446" s="278"/>
      <x:c r="C446" s="279"/>
      <x:c r="F446" s="278"/>
      <x:c r="G446" s="280"/>
      <x:c r="H446" s="278"/>
      <x:c r="I446" s="278"/>
      <x:c r="K446" s="278"/>
      <x:c r="L446" s="7"/>
      <x:c r="M446" s="7"/>
      <x:c r="Q446" s="279"/>
      <x:c r="R446" s="281"/>
    </x:row>
    <x:row r="447">
      <x:c r="A447" s="278"/>
      <x:c r="C447" s="279"/>
      <x:c r="F447" s="278"/>
      <x:c r="G447" s="280"/>
      <x:c r="H447" s="278"/>
      <x:c r="I447" s="278"/>
      <x:c r="K447" s="278"/>
      <x:c r="L447" s="7"/>
      <x:c r="M447" s="7"/>
      <x:c r="Q447" s="279"/>
      <x:c r="R447" s="281"/>
    </x:row>
    <x:row r="448">
      <x:c r="A448" s="278"/>
      <x:c r="C448" s="279"/>
      <x:c r="F448" s="278"/>
      <x:c r="G448" s="280"/>
      <x:c r="H448" s="278"/>
      <x:c r="I448" s="278"/>
      <x:c r="K448" s="278"/>
      <x:c r="L448" s="7"/>
      <x:c r="M448" s="7"/>
      <x:c r="Q448" s="279"/>
      <x:c r="R448" s="281"/>
    </x:row>
    <x:row r="449">
      <x:c r="A449" s="278"/>
      <x:c r="C449" s="279"/>
      <x:c r="F449" s="278"/>
      <x:c r="G449" s="280"/>
      <x:c r="H449" s="278"/>
      <x:c r="I449" s="278"/>
      <x:c r="K449" s="278"/>
      <x:c r="L449" s="7"/>
      <x:c r="M449" s="7"/>
      <x:c r="Q449" s="279"/>
      <x:c r="R449" s="281"/>
    </x:row>
    <x:row r="450">
      <x:c r="A450" s="278"/>
      <x:c r="C450" s="279"/>
      <x:c r="F450" s="278"/>
      <x:c r="G450" s="280"/>
      <x:c r="H450" s="278"/>
      <x:c r="I450" s="278"/>
      <x:c r="K450" s="278"/>
      <x:c r="L450" s="7"/>
      <x:c r="M450" s="7"/>
      <x:c r="Q450" s="279"/>
      <x:c r="R450" s="281"/>
    </x:row>
    <x:row r="451">
      <x:c r="A451" s="278"/>
      <x:c r="C451" s="279"/>
      <x:c r="F451" s="278"/>
      <x:c r="G451" s="280"/>
      <x:c r="H451" s="278"/>
      <x:c r="I451" s="278"/>
      <x:c r="K451" s="278"/>
      <x:c r="L451" s="7"/>
      <x:c r="M451" s="7"/>
      <x:c r="Q451" s="279"/>
      <x:c r="R451" s="281"/>
    </x:row>
    <x:row r="452">
      <x:c r="A452" s="278"/>
      <x:c r="C452" s="279"/>
      <x:c r="F452" s="278"/>
      <x:c r="G452" s="280"/>
      <x:c r="H452" s="278"/>
      <x:c r="I452" s="278"/>
      <x:c r="K452" s="278"/>
      <x:c r="L452" s="7"/>
      <x:c r="M452" s="7"/>
      <x:c r="Q452" s="279"/>
      <x:c r="R452" s="281"/>
    </x:row>
    <x:row r="453">
      <x:c r="A453" s="278"/>
      <x:c r="C453" s="279"/>
      <x:c r="F453" s="278"/>
      <x:c r="G453" s="280"/>
      <x:c r="H453" s="278"/>
      <x:c r="I453" s="278"/>
      <x:c r="K453" s="278"/>
      <x:c r="L453" s="7"/>
      <x:c r="M453" s="7"/>
      <x:c r="Q453" s="279"/>
      <x:c r="R453" s="281"/>
    </x:row>
    <x:row r="454">
      <x:c r="A454" s="278"/>
      <x:c r="C454" s="279"/>
      <x:c r="F454" s="278"/>
      <x:c r="G454" s="280"/>
      <x:c r="H454" s="278"/>
      <x:c r="I454" s="278"/>
      <x:c r="K454" s="278"/>
      <x:c r="L454" s="7"/>
      <x:c r="M454" s="7"/>
      <x:c r="Q454" s="279"/>
      <x:c r="R454" s="281"/>
    </x:row>
    <x:row r="455">
      <x:c r="A455" s="278"/>
      <x:c r="C455" s="279"/>
      <x:c r="F455" s="278"/>
      <x:c r="G455" s="280"/>
      <x:c r="H455" s="278"/>
      <x:c r="I455" s="278"/>
      <x:c r="K455" s="278"/>
      <x:c r="L455" s="7"/>
      <x:c r="M455" s="7"/>
      <x:c r="Q455" s="279"/>
      <x:c r="R455" s="281"/>
    </x:row>
    <x:row r="456">
      <x:c r="A456" s="278"/>
      <x:c r="C456" s="279"/>
      <x:c r="F456" s="278"/>
      <x:c r="G456" s="280"/>
      <x:c r="H456" s="278"/>
      <x:c r="I456" s="278"/>
      <x:c r="K456" s="278"/>
      <x:c r="L456" s="7"/>
      <x:c r="M456" s="7"/>
      <x:c r="Q456" s="279"/>
      <x:c r="R456" s="281"/>
    </x:row>
    <x:row r="457">
      <x:c r="A457" s="278"/>
      <x:c r="C457" s="279"/>
      <x:c r="F457" s="278"/>
      <x:c r="G457" s="280"/>
      <x:c r="H457" s="278"/>
      <x:c r="I457" s="278"/>
      <x:c r="K457" s="278"/>
      <x:c r="L457" s="7"/>
      <x:c r="M457" s="7"/>
      <x:c r="Q457" s="279"/>
      <x:c r="R457" s="281"/>
    </x:row>
    <x:row r="458">
      <x:c r="A458" s="278"/>
      <x:c r="C458" s="279"/>
      <x:c r="F458" s="278"/>
      <x:c r="G458" s="280"/>
      <x:c r="H458" s="278"/>
      <x:c r="I458" s="278"/>
      <x:c r="K458" s="278"/>
      <x:c r="L458" s="7"/>
      <x:c r="M458" s="7"/>
      <x:c r="Q458" s="279"/>
      <x:c r="R458" s="281"/>
    </x:row>
    <x:row r="459">
      <x:c r="A459" s="278"/>
      <x:c r="C459" s="279"/>
      <x:c r="F459" s="278"/>
      <x:c r="G459" s="280"/>
      <x:c r="H459" s="278"/>
      <x:c r="I459" s="278"/>
      <x:c r="K459" s="278"/>
      <x:c r="L459" s="7"/>
      <x:c r="M459" s="7"/>
      <x:c r="Q459" s="279"/>
      <x:c r="R459" s="281"/>
    </x:row>
    <x:row r="460">
      <x:c r="A460" s="278"/>
      <x:c r="C460" s="279"/>
      <x:c r="F460" s="278"/>
      <x:c r="G460" s="280"/>
      <x:c r="H460" s="278"/>
      <x:c r="I460" s="278"/>
      <x:c r="K460" s="278"/>
      <x:c r="L460" s="7"/>
      <x:c r="M460" s="7"/>
      <x:c r="Q460" s="279"/>
      <x:c r="R460" s="281"/>
    </x:row>
    <x:row r="461">
      <x:c r="A461" s="278"/>
      <x:c r="C461" s="279"/>
      <x:c r="F461" s="278"/>
      <x:c r="G461" s="280"/>
      <x:c r="H461" s="278"/>
      <x:c r="I461" s="278"/>
      <x:c r="K461" s="278"/>
      <x:c r="L461" s="7"/>
      <x:c r="M461" s="7"/>
      <x:c r="Q461" s="279"/>
      <x:c r="R461" s="281"/>
    </x:row>
    <x:row r="462">
      <x:c r="A462" s="278"/>
      <x:c r="C462" s="279"/>
      <x:c r="F462" s="278"/>
      <x:c r="G462" s="280"/>
      <x:c r="H462" s="278"/>
      <x:c r="I462" s="278"/>
      <x:c r="K462" s="278"/>
      <x:c r="L462" s="7"/>
      <x:c r="M462" s="7"/>
      <x:c r="Q462" s="279"/>
      <x:c r="R462" s="281"/>
    </x:row>
    <x:row r="463">
      <x:c r="A463" s="278"/>
      <x:c r="C463" s="279"/>
      <x:c r="F463" s="278"/>
      <x:c r="G463" s="280"/>
      <x:c r="H463" s="278"/>
      <x:c r="I463" s="278"/>
      <x:c r="K463" s="278"/>
      <x:c r="L463" s="7"/>
      <x:c r="M463" s="7"/>
      <x:c r="Q463" s="279"/>
      <x:c r="R463" s="281"/>
    </x:row>
    <x:row r="464">
      <x:c r="A464" s="278"/>
      <x:c r="C464" s="279"/>
      <x:c r="F464" s="278"/>
      <x:c r="G464" s="280"/>
      <x:c r="H464" s="278"/>
      <x:c r="I464" s="278"/>
      <x:c r="K464" s="278"/>
      <x:c r="L464" s="7"/>
      <x:c r="M464" s="7"/>
      <x:c r="Q464" s="279"/>
      <x:c r="R464" s="281"/>
    </x:row>
    <x:row r="465">
      <x:c r="A465" s="278"/>
      <x:c r="C465" s="279"/>
      <x:c r="F465" s="278"/>
      <x:c r="G465" s="280"/>
      <x:c r="H465" s="278"/>
      <x:c r="I465" s="278"/>
      <x:c r="K465" s="278"/>
      <x:c r="L465" s="7"/>
      <x:c r="M465" s="7"/>
      <x:c r="Q465" s="279"/>
      <x:c r="R465" s="281"/>
    </x:row>
    <x:row r="466">
      <x:c r="A466" s="278"/>
      <x:c r="C466" s="279"/>
      <x:c r="F466" s="278"/>
      <x:c r="G466" s="280"/>
      <x:c r="H466" s="278"/>
      <x:c r="I466" s="278"/>
      <x:c r="K466" s="278"/>
      <x:c r="L466" s="7"/>
      <x:c r="M466" s="7"/>
      <x:c r="Q466" s="279"/>
      <x:c r="R466" s="281"/>
    </x:row>
    <x:row r="467">
      <x:c r="A467" s="278"/>
      <x:c r="C467" s="279"/>
      <x:c r="F467" s="278"/>
      <x:c r="G467" s="280"/>
      <x:c r="H467" s="278"/>
      <x:c r="I467" s="278"/>
      <x:c r="K467" s="278"/>
      <x:c r="L467" s="7"/>
      <x:c r="M467" s="7"/>
      <x:c r="Q467" s="279"/>
      <x:c r="R467" s="281"/>
    </x:row>
    <x:row r="468">
      <x:c r="A468" s="278"/>
      <x:c r="C468" s="279"/>
      <x:c r="F468" s="278"/>
      <x:c r="G468" s="280"/>
      <x:c r="H468" s="278"/>
      <x:c r="I468" s="278"/>
      <x:c r="K468" s="278"/>
      <x:c r="L468" s="7"/>
      <x:c r="M468" s="7"/>
      <x:c r="Q468" s="279"/>
      <x:c r="R468" s="281"/>
    </x:row>
    <x:row r="469">
      <x:c r="A469" s="278"/>
      <x:c r="C469" s="279"/>
      <x:c r="F469" s="278"/>
      <x:c r="G469" s="280"/>
      <x:c r="H469" s="278"/>
      <x:c r="I469" s="278"/>
      <x:c r="K469" s="278"/>
      <x:c r="L469" s="7"/>
      <x:c r="M469" s="7"/>
      <x:c r="Q469" s="279"/>
      <x:c r="R469" s="281"/>
    </x:row>
    <x:row r="470">
      <x:c r="A470" s="278"/>
      <x:c r="C470" s="279"/>
      <x:c r="F470" s="278"/>
      <x:c r="G470" s="280"/>
      <x:c r="H470" s="278"/>
      <x:c r="I470" s="278"/>
      <x:c r="K470" s="278"/>
      <x:c r="L470" s="7"/>
      <x:c r="M470" s="7"/>
      <x:c r="Q470" s="279"/>
      <x:c r="R470" s="281"/>
    </x:row>
    <x:row r="471">
      <x:c r="A471" s="278"/>
      <x:c r="C471" s="279"/>
      <x:c r="F471" s="278"/>
      <x:c r="G471" s="280"/>
      <x:c r="H471" s="278"/>
      <x:c r="I471" s="278"/>
      <x:c r="K471" s="278"/>
      <x:c r="L471" s="7"/>
      <x:c r="M471" s="7"/>
      <x:c r="Q471" s="279"/>
      <x:c r="R471" s="281"/>
    </x:row>
    <x:row r="472">
      <x:c r="A472" s="278"/>
      <x:c r="C472" s="279"/>
      <x:c r="F472" s="278"/>
      <x:c r="G472" s="280"/>
      <x:c r="H472" s="278"/>
      <x:c r="I472" s="278"/>
      <x:c r="K472" s="278"/>
      <x:c r="L472" s="7"/>
      <x:c r="M472" s="7"/>
      <x:c r="Q472" s="279"/>
      <x:c r="R472" s="281"/>
    </x:row>
    <x:row r="473">
      <x:c r="A473" s="278"/>
      <x:c r="C473" s="279"/>
      <x:c r="F473" s="278"/>
      <x:c r="G473" s="280"/>
      <x:c r="H473" s="278"/>
      <x:c r="I473" s="278"/>
      <x:c r="K473" s="278"/>
      <x:c r="L473" s="7"/>
      <x:c r="M473" s="7"/>
      <x:c r="Q473" s="279"/>
      <x:c r="R473" s="281"/>
    </x:row>
    <x:row r="474">
      <x:c r="A474" s="278"/>
      <x:c r="C474" s="279"/>
      <x:c r="F474" s="278"/>
      <x:c r="G474" s="280"/>
      <x:c r="H474" s="278"/>
      <x:c r="I474" s="278"/>
      <x:c r="K474" s="278"/>
      <x:c r="L474" s="7"/>
      <x:c r="M474" s="7"/>
      <x:c r="Q474" s="279"/>
      <x:c r="R474" s="281"/>
    </x:row>
    <x:row r="475">
      <x:c r="A475" s="278"/>
      <x:c r="C475" s="279"/>
      <x:c r="F475" s="278"/>
      <x:c r="G475" s="280"/>
      <x:c r="H475" s="278"/>
      <x:c r="I475" s="278"/>
      <x:c r="K475" s="278"/>
      <x:c r="L475" s="7"/>
      <x:c r="M475" s="7"/>
      <x:c r="Q475" s="279"/>
      <x:c r="R475" s="281"/>
    </x:row>
    <x:row r="476">
      <x:c r="A476" s="278"/>
      <x:c r="C476" s="279"/>
      <x:c r="F476" s="278"/>
      <x:c r="G476" s="280"/>
      <x:c r="H476" s="278"/>
      <x:c r="I476" s="278"/>
      <x:c r="K476" s="278"/>
      <x:c r="L476" s="7"/>
      <x:c r="M476" s="7"/>
      <x:c r="Q476" s="279"/>
      <x:c r="R476" s="281"/>
    </x:row>
    <x:row r="477">
      <x:c r="A477" s="278"/>
      <x:c r="C477" s="279"/>
      <x:c r="F477" s="278"/>
      <x:c r="G477" s="280"/>
      <x:c r="H477" s="278"/>
      <x:c r="I477" s="278"/>
      <x:c r="K477" s="278"/>
      <x:c r="L477" s="7"/>
      <x:c r="M477" s="7"/>
      <x:c r="Q477" s="279"/>
      <x:c r="R477" s="281"/>
    </x:row>
    <x:row r="478">
      <x:c r="A478" s="278"/>
      <x:c r="C478" s="279"/>
      <x:c r="F478" s="278"/>
      <x:c r="G478" s="280"/>
      <x:c r="H478" s="278"/>
      <x:c r="I478" s="278"/>
      <x:c r="K478" s="278"/>
      <x:c r="L478" s="7"/>
      <x:c r="M478" s="7"/>
      <x:c r="Q478" s="279"/>
      <x:c r="R478" s="281"/>
    </x:row>
    <x:row r="479">
      <x:c r="A479" s="278"/>
      <x:c r="C479" s="279"/>
      <x:c r="F479" s="278"/>
      <x:c r="G479" s="280"/>
      <x:c r="H479" s="278"/>
      <x:c r="I479" s="278"/>
      <x:c r="K479" s="278"/>
      <x:c r="L479" s="7"/>
      <x:c r="M479" s="7"/>
      <x:c r="Q479" s="279"/>
      <x:c r="R479" s="281"/>
    </x:row>
    <x:row r="480">
      <x:c r="A480" s="278"/>
      <x:c r="C480" s="279"/>
      <x:c r="F480" s="278"/>
      <x:c r="G480" s="280"/>
      <x:c r="H480" s="278"/>
      <x:c r="I480" s="278"/>
      <x:c r="K480" s="278"/>
      <x:c r="L480" s="7"/>
      <x:c r="M480" s="7"/>
      <x:c r="Q480" s="279"/>
      <x:c r="R480" s="281"/>
    </x:row>
    <x:row r="481">
      <x:c r="A481" s="278"/>
      <x:c r="C481" s="279"/>
      <x:c r="F481" s="278"/>
      <x:c r="G481" s="280"/>
      <x:c r="H481" s="278"/>
      <x:c r="I481" s="278"/>
      <x:c r="K481" s="278"/>
      <x:c r="L481" s="7"/>
      <x:c r="M481" s="7"/>
      <x:c r="Q481" s="279"/>
      <x:c r="R481" s="281"/>
    </x:row>
    <x:row r="482">
      <x:c r="A482" s="278"/>
      <x:c r="C482" s="279"/>
      <x:c r="F482" s="278"/>
      <x:c r="G482" s="280"/>
      <x:c r="H482" s="278"/>
      <x:c r="I482" s="278"/>
      <x:c r="K482" s="278"/>
      <x:c r="L482" s="7"/>
      <x:c r="M482" s="7"/>
      <x:c r="Q482" s="279"/>
      <x:c r="R482" s="281"/>
    </x:row>
    <x:row r="483">
      <x:c r="A483" s="278"/>
      <x:c r="C483" s="279"/>
      <x:c r="F483" s="278"/>
      <x:c r="G483" s="280"/>
      <x:c r="H483" s="278"/>
      <x:c r="I483" s="278"/>
      <x:c r="K483" s="278"/>
      <x:c r="L483" s="7"/>
      <x:c r="M483" s="7"/>
      <x:c r="Q483" s="279"/>
      <x:c r="R483" s="281"/>
    </x:row>
    <x:row r="484">
      <x:c r="A484" s="278"/>
      <x:c r="C484" s="279"/>
      <x:c r="F484" s="278"/>
      <x:c r="G484" s="280"/>
      <x:c r="H484" s="278"/>
      <x:c r="I484" s="278"/>
      <x:c r="K484" s="278"/>
      <x:c r="L484" s="7"/>
      <x:c r="M484" s="7"/>
      <x:c r="Q484" s="279"/>
      <x:c r="R484" s="281"/>
    </x:row>
    <x:row r="485">
      <x:c r="A485" s="278"/>
      <x:c r="C485" s="279"/>
      <x:c r="F485" s="278"/>
      <x:c r="G485" s="280"/>
      <x:c r="H485" s="278"/>
      <x:c r="I485" s="278"/>
      <x:c r="K485" s="278"/>
      <x:c r="L485" s="7"/>
      <x:c r="M485" s="7"/>
      <x:c r="Q485" s="279"/>
      <x:c r="R485" s="281"/>
    </x:row>
    <x:row r="486">
      <x:c r="A486" s="278"/>
      <x:c r="C486" s="279"/>
      <x:c r="F486" s="278"/>
      <x:c r="G486" s="280"/>
      <x:c r="H486" s="278"/>
      <x:c r="I486" s="278"/>
      <x:c r="K486" s="278"/>
      <x:c r="L486" s="7"/>
      <x:c r="M486" s="7"/>
      <x:c r="Q486" s="279"/>
      <x:c r="R486" s="281"/>
    </x:row>
    <x:row r="487">
      <x:c r="A487" s="278"/>
      <x:c r="C487" s="279"/>
      <x:c r="F487" s="278"/>
      <x:c r="G487" s="280"/>
      <x:c r="H487" s="278"/>
      <x:c r="I487" s="278"/>
      <x:c r="K487" s="278"/>
      <x:c r="L487" s="7"/>
      <x:c r="M487" s="7"/>
      <x:c r="Q487" s="279"/>
      <x:c r="R487" s="281"/>
    </x:row>
    <x:row r="488">
      <x:c r="A488" s="278"/>
      <x:c r="C488" s="279"/>
      <x:c r="F488" s="278"/>
      <x:c r="G488" s="280"/>
      <x:c r="H488" s="278"/>
      <x:c r="I488" s="278"/>
      <x:c r="K488" s="278"/>
      <x:c r="L488" s="7"/>
      <x:c r="M488" s="7"/>
      <x:c r="Q488" s="279"/>
      <x:c r="R488" s="281"/>
    </x:row>
    <x:row r="489">
      <x:c r="A489" s="278"/>
      <x:c r="C489" s="279"/>
      <x:c r="F489" s="278"/>
      <x:c r="G489" s="280"/>
      <x:c r="H489" s="278"/>
      <x:c r="I489" s="278"/>
      <x:c r="K489" s="278"/>
      <x:c r="L489" s="7"/>
      <x:c r="M489" s="7"/>
      <x:c r="Q489" s="279"/>
      <x:c r="R489" s="281"/>
    </x:row>
    <x:row r="490">
      <x:c r="A490" s="278"/>
      <x:c r="C490" s="279"/>
      <x:c r="F490" s="278"/>
      <x:c r="G490" s="280"/>
      <x:c r="H490" s="278"/>
      <x:c r="I490" s="278"/>
      <x:c r="K490" s="278"/>
      <x:c r="L490" s="7"/>
      <x:c r="M490" s="7"/>
      <x:c r="Q490" s="279"/>
      <x:c r="R490" s="281"/>
    </x:row>
    <x:row r="491">
      <x:c r="A491" s="278"/>
      <x:c r="C491" s="279"/>
      <x:c r="F491" s="278"/>
      <x:c r="G491" s="280"/>
      <x:c r="H491" s="278"/>
      <x:c r="I491" s="278"/>
      <x:c r="K491" s="278"/>
      <x:c r="L491" s="7"/>
      <x:c r="M491" s="7"/>
      <x:c r="Q491" s="279"/>
      <x:c r="R491" s="281"/>
    </x:row>
    <x:row r="492">
      <x:c r="A492" s="278"/>
      <x:c r="C492" s="279"/>
      <x:c r="F492" s="278"/>
      <x:c r="G492" s="280"/>
      <x:c r="H492" s="278"/>
      <x:c r="I492" s="278"/>
      <x:c r="K492" s="278"/>
      <x:c r="L492" s="7"/>
      <x:c r="M492" s="7"/>
      <x:c r="Q492" s="279"/>
      <x:c r="R492" s="281"/>
    </x:row>
    <x:row r="493">
      <x:c r="A493" s="278"/>
      <x:c r="C493" s="279"/>
      <x:c r="F493" s="278"/>
      <x:c r="G493" s="280"/>
      <x:c r="H493" s="278"/>
      <x:c r="I493" s="278"/>
      <x:c r="K493" s="278"/>
      <x:c r="L493" s="7"/>
      <x:c r="M493" s="7"/>
      <x:c r="Q493" s="279"/>
      <x:c r="R493" s="281"/>
    </x:row>
    <x:row r="494">
      <x:c r="A494" s="278"/>
      <x:c r="C494" s="279"/>
      <x:c r="F494" s="278"/>
      <x:c r="G494" s="280"/>
      <x:c r="H494" s="278"/>
      <x:c r="I494" s="278"/>
      <x:c r="K494" s="278"/>
      <x:c r="L494" s="7"/>
      <x:c r="M494" s="7"/>
      <x:c r="Q494" s="279"/>
      <x:c r="R494" s="281"/>
    </x:row>
    <x:row r="495">
      <x:c r="A495" s="278"/>
      <x:c r="C495" s="279"/>
      <x:c r="F495" s="278"/>
      <x:c r="G495" s="280"/>
      <x:c r="H495" s="278"/>
      <x:c r="I495" s="278"/>
      <x:c r="K495" s="278"/>
      <x:c r="L495" s="7"/>
      <x:c r="M495" s="7"/>
      <x:c r="Q495" s="279"/>
      <x:c r="R495" s="281"/>
    </x:row>
    <x:row r="496">
      <x:c r="A496" s="278"/>
      <x:c r="C496" s="279"/>
      <x:c r="F496" s="278"/>
      <x:c r="G496" s="280"/>
      <x:c r="H496" s="278"/>
      <x:c r="I496" s="278"/>
      <x:c r="K496" s="278"/>
      <x:c r="L496" s="7"/>
      <x:c r="M496" s="7"/>
      <x:c r="Q496" s="279"/>
      <x:c r="R496" s="281"/>
    </x:row>
    <x:row r="497">
      <x:c r="A497" s="278"/>
      <x:c r="C497" s="279"/>
      <x:c r="F497" s="278"/>
      <x:c r="G497" s="280"/>
      <x:c r="H497" s="278"/>
      <x:c r="I497" s="278"/>
      <x:c r="K497" s="278"/>
      <x:c r="L497" s="7"/>
      <x:c r="M497" s="7"/>
      <x:c r="Q497" s="279"/>
      <x:c r="R497" s="281"/>
    </x:row>
    <x:row r="498">
      <x:c r="A498" s="278"/>
      <x:c r="C498" s="279"/>
      <x:c r="F498" s="278"/>
      <x:c r="G498" s="280"/>
      <x:c r="H498" s="278"/>
      <x:c r="I498" s="278"/>
      <x:c r="K498" s="278"/>
      <x:c r="L498" s="7"/>
      <x:c r="M498" s="7"/>
      <x:c r="Q498" s="279"/>
      <x:c r="R498" s="281"/>
    </x:row>
    <x:row r="499">
      <x:c r="A499" s="278"/>
      <x:c r="C499" s="279"/>
      <x:c r="F499" s="278"/>
      <x:c r="G499" s="280"/>
      <x:c r="H499" s="278"/>
      <x:c r="I499" s="278"/>
      <x:c r="K499" s="278"/>
      <x:c r="L499" s="7"/>
      <x:c r="M499" s="7"/>
      <x:c r="Q499" s="279"/>
      <x:c r="R499" s="281"/>
    </x:row>
    <x:row r="500">
      <x:c r="A500" s="278"/>
      <x:c r="C500" s="279"/>
      <x:c r="F500" s="278"/>
      <x:c r="G500" s="280"/>
      <x:c r="H500" s="278"/>
      <x:c r="I500" s="278"/>
      <x:c r="K500" s="278"/>
      <x:c r="L500" s="7"/>
      <x:c r="M500" s="7"/>
      <x:c r="Q500" s="279"/>
      <x:c r="R500" s="281"/>
    </x:row>
    <x:row r="501">
      <x:c r="A501" s="278"/>
      <x:c r="C501" s="279"/>
      <x:c r="F501" s="278"/>
      <x:c r="G501" s="280"/>
      <x:c r="H501" s="278"/>
      <x:c r="I501" s="278"/>
      <x:c r="K501" s="278"/>
      <x:c r="L501" s="7"/>
      <x:c r="M501" s="7"/>
      <x:c r="Q501" s="279"/>
      <x:c r="R501" s="281"/>
    </x:row>
    <x:row r="502">
      <x:c r="A502" s="278"/>
      <x:c r="C502" s="279"/>
      <x:c r="F502" s="278"/>
      <x:c r="G502" s="280"/>
      <x:c r="H502" s="278"/>
      <x:c r="I502" s="278"/>
      <x:c r="K502" s="278"/>
      <x:c r="L502" s="7"/>
      <x:c r="M502" s="7"/>
      <x:c r="Q502" s="279"/>
      <x:c r="R502" s="281"/>
    </x:row>
    <x:row r="503">
      <x:c r="A503" s="278"/>
      <x:c r="C503" s="279"/>
      <x:c r="F503" s="278"/>
      <x:c r="G503" s="280"/>
      <x:c r="H503" s="278"/>
      <x:c r="I503" s="278"/>
      <x:c r="K503" s="278"/>
      <x:c r="L503" s="7"/>
      <x:c r="M503" s="7"/>
      <x:c r="Q503" s="279"/>
      <x:c r="R503" s="281"/>
    </x:row>
    <x:row r="504">
      <x:c r="A504" s="278"/>
      <x:c r="C504" s="279"/>
      <x:c r="F504" s="278"/>
      <x:c r="G504" s="280"/>
      <x:c r="H504" s="278"/>
      <x:c r="I504" s="278"/>
      <x:c r="K504" s="278"/>
      <x:c r="L504" s="7"/>
      <x:c r="M504" s="7"/>
      <x:c r="Q504" s="279"/>
      <x:c r="R504" s="281"/>
    </x:row>
    <x:row r="505">
      <x:c r="A505" s="278"/>
      <x:c r="C505" s="279"/>
      <x:c r="F505" s="278"/>
      <x:c r="G505" s="280"/>
      <x:c r="H505" s="278"/>
      <x:c r="I505" s="278"/>
      <x:c r="K505" s="278"/>
      <x:c r="L505" s="7"/>
      <x:c r="M505" s="7"/>
      <x:c r="Q505" s="279"/>
      <x:c r="R505" s="281"/>
    </x:row>
    <x:row r="506">
      <x:c r="A506" s="278"/>
      <x:c r="C506" s="279"/>
      <x:c r="F506" s="278"/>
      <x:c r="G506" s="280"/>
      <x:c r="H506" s="278"/>
      <x:c r="I506" s="278"/>
      <x:c r="K506" s="278"/>
      <x:c r="L506" s="7"/>
      <x:c r="M506" s="7"/>
      <x:c r="Q506" s="279"/>
      <x:c r="R506" s="281"/>
    </x:row>
    <x:row r="507">
      <x:c r="A507" s="278"/>
      <x:c r="C507" s="279"/>
      <x:c r="F507" s="278"/>
      <x:c r="G507" s="280"/>
      <x:c r="H507" s="278"/>
      <x:c r="I507" s="278"/>
      <x:c r="K507" s="278"/>
      <x:c r="L507" s="7"/>
      <x:c r="M507" s="7"/>
      <x:c r="Q507" s="279"/>
      <x:c r="R507" s="281"/>
    </x:row>
    <x:row r="508">
      <x:c r="A508" s="278"/>
      <x:c r="C508" s="279"/>
      <x:c r="F508" s="278"/>
      <x:c r="G508" s="280"/>
      <x:c r="H508" s="278"/>
      <x:c r="I508" s="278"/>
      <x:c r="K508" s="278"/>
      <x:c r="L508" s="7"/>
      <x:c r="M508" s="7"/>
      <x:c r="Q508" s="279"/>
      <x:c r="R508" s="281"/>
    </x:row>
    <x:row r="509">
      <x:c r="A509" s="278"/>
      <x:c r="C509" s="279"/>
      <x:c r="F509" s="278"/>
      <x:c r="G509" s="280"/>
      <x:c r="H509" s="278"/>
      <x:c r="I509" s="278"/>
      <x:c r="K509" s="278"/>
      <x:c r="L509" s="7"/>
      <x:c r="M509" s="7"/>
      <x:c r="Q509" s="279"/>
      <x:c r="R509" s="281"/>
    </x:row>
    <x:row r="510">
      <x:c r="A510" s="278"/>
      <x:c r="C510" s="279"/>
      <x:c r="F510" s="278"/>
      <x:c r="G510" s="280"/>
      <x:c r="H510" s="278"/>
      <x:c r="I510" s="278"/>
      <x:c r="K510" s="278"/>
      <x:c r="L510" s="7"/>
      <x:c r="M510" s="7"/>
      <x:c r="Q510" s="279"/>
      <x:c r="R510" s="281"/>
    </x:row>
    <x:row r="511">
      <x:c r="A511" s="278"/>
      <x:c r="C511" s="279"/>
      <x:c r="F511" s="278"/>
      <x:c r="G511" s="280"/>
      <x:c r="H511" s="278"/>
      <x:c r="I511" s="278"/>
      <x:c r="K511" s="278"/>
      <x:c r="L511" s="7"/>
      <x:c r="M511" s="7"/>
      <x:c r="Q511" s="279"/>
      <x:c r="R511" s="281"/>
    </x:row>
    <x:row r="512">
      <x:c r="A512" s="278"/>
      <x:c r="C512" s="279"/>
      <x:c r="F512" s="278"/>
      <x:c r="G512" s="280"/>
      <x:c r="H512" s="278"/>
      <x:c r="I512" s="278"/>
      <x:c r="K512" s="278"/>
      <x:c r="L512" s="7"/>
      <x:c r="M512" s="7"/>
      <x:c r="Q512" s="279"/>
      <x:c r="R512" s="281"/>
    </x:row>
    <x:row r="513">
      <x:c r="A513" s="278"/>
      <x:c r="C513" s="279"/>
      <x:c r="F513" s="278"/>
      <x:c r="G513" s="280"/>
      <x:c r="H513" s="278"/>
      <x:c r="I513" s="278"/>
      <x:c r="K513" s="278"/>
      <x:c r="L513" s="7"/>
      <x:c r="M513" s="7"/>
      <x:c r="Q513" s="279"/>
      <x:c r="R513" s="281"/>
    </x:row>
    <x:row r="514">
      <x:c r="A514" s="278"/>
      <x:c r="C514" s="279"/>
      <x:c r="F514" s="278"/>
      <x:c r="G514" s="280"/>
      <x:c r="H514" s="278"/>
      <x:c r="I514" s="278"/>
      <x:c r="K514" s="278"/>
      <x:c r="L514" s="7"/>
      <x:c r="M514" s="7"/>
      <x:c r="Q514" s="279"/>
      <x:c r="R514" s="281"/>
    </x:row>
    <x:row r="515">
      <x:c r="A515" s="278"/>
      <x:c r="C515" s="279"/>
      <x:c r="F515" s="278"/>
      <x:c r="G515" s="280"/>
      <x:c r="H515" s="278"/>
      <x:c r="I515" s="278"/>
      <x:c r="K515" s="278"/>
      <x:c r="L515" s="7"/>
      <x:c r="M515" s="7"/>
      <x:c r="Q515" s="279"/>
      <x:c r="R515" s="281"/>
    </x:row>
    <x:row r="516">
      <x:c r="A516" s="278"/>
      <x:c r="C516" s="279"/>
      <x:c r="F516" s="278"/>
      <x:c r="G516" s="280"/>
      <x:c r="H516" s="278"/>
      <x:c r="I516" s="278"/>
      <x:c r="K516" s="278"/>
      <x:c r="L516" s="7"/>
      <x:c r="M516" s="7"/>
      <x:c r="Q516" s="279"/>
      <x:c r="R516" s="281"/>
    </x:row>
    <x:row r="517">
      <x:c r="A517" s="278"/>
      <x:c r="C517" s="279"/>
      <x:c r="F517" s="278"/>
      <x:c r="G517" s="280"/>
      <x:c r="H517" s="278"/>
      <x:c r="I517" s="278"/>
      <x:c r="K517" s="278"/>
      <x:c r="L517" s="7"/>
      <x:c r="M517" s="7"/>
      <x:c r="Q517" s="279"/>
      <x:c r="R517" s="281"/>
    </x:row>
    <x:row r="518">
      <x:c r="A518" s="278"/>
      <x:c r="C518" s="279"/>
      <x:c r="F518" s="278"/>
      <x:c r="G518" s="280"/>
      <x:c r="H518" s="278"/>
      <x:c r="I518" s="278"/>
      <x:c r="K518" s="278"/>
      <x:c r="L518" s="7"/>
      <x:c r="M518" s="7"/>
      <x:c r="Q518" s="279"/>
      <x:c r="R518" s="281"/>
    </x:row>
    <x:row r="519">
      <x:c r="A519" s="278"/>
      <x:c r="C519" s="279"/>
      <x:c r="F519" s="278"/>
      <x:c r="G519" s="280"/>
      <x:c r="H519" s="278"/>
      <x:c r="I519" s="278"/>
      <x:c r="K519" s="278"/>
      <x:c r="L519" s="7"/>
      <x:c r="M519" s="7"/>
      <x:c r="Q519" s="279"/>
      <x:c r="R519" s="281"/>
    </x:row>
    <x:row r="520">
      <x:c r="A520" s="278"/>
      <x:c r="C520" s="279"/>
      <x:c r="F520" s="278"/>
      <x:c r="G520" s="280"/>
      <x:c r="H520" s="278"/>
      <x:c r="I520" s="278"/>
      <x:c r="K520" s="278"/>
      <x:c r="L520" s="7"/>
      <x:c r="M520" s="7"/>
      <x:c r="Q520" s="279"/>
      <x:c r="R520" s="281"/>
    </x:row>
    <x:row r="521">
      <x:c r="A521" s="278"/>
      <x:c r="C521" s="279"/>
      <x:c r="F521" s="278"/>
      <x:c r="G521" s="280"/>
      <x:c r="H521" s="278"/>
      <x:c r="I521" s="278"/>
      <x:c r="K521" s="278"/>
      <x:c r="L521" s="7"/>
      <x:c r="M521" s="7"/>
      <x:c r="Q521" s="279"/>
      <x:c r="R521" s="281"/>
    </x:row>
    <x:row r="522">
      <x:c r="A522" s="278"/>
      <x:c r="C522" s="279"/>
      <x:c r="F522" s="278"/>
      <x:c r="G522" s="280"/>
      <x:c r="H522" s="278"/>
      <x:c r="I522" s="278"/>
      <x:c r="K522" s="278"/>
      <x:c r="L522" s="7"/>
      <x:c r="M522" s="7"/>
      <x:c r="Q522" s="279"/>
      <x:c r="R522" s="281"/>
    </x:row>
    <x:row r="523">
      <x:c r="A523" s="278"/>
      <x:c r="C523" s="279"/>
      <x:c r="F523" s="278"/>
      <x:c r="G523" s="280"/>
      <x:c r="H523" s="278"/>
      <x:c r="I523" s="278"/>
      <x:c r="K523" s="278"/>
      <x:c r="L523" s="7"/>
      <x:c r="M523" s="7"/>
      <x:c r="Q523" s="279"/>
      <x:c r="R523" s="281"/>
    </x:row>
    <x:row r="524">
      <x:c r="A524" s="278"/>
      <x:c r="C524" s="279"/>
      <x:c r="F524" s="278"/>
      <x:c r="G524" s="280"/>
      <x:c r="H524" s="278"/>
      <x:c r="I524" s="278"/>
      <x:c r="K524" s="278"/>
      <x:c r="L524" s="7"/>
      <x:c r="M524" s="7"/>
      <x:c r="Q524" s="279"/>
      <x:c r="R524" s="281"/>
    </x:row>
    <x:row r="525">
      <x:c r="A525" s="278"/>
      <x:c r="C525" s="279"/>
      <x:c r="F525" s="278"/>
      <x:c r="G525" s="280"/>
      <x:c r="H525" s="278"/>
      <x:c r="I525" s="278"/>
      <x:c r="K525" s="278"/>
      <x:c r="L525" s="7"/>
      <x:c r="M525" s="7"/>
      <x:c r="Q525" s="279"/>
      <x:c r="R525" s="281"/>
    </x:row>
    <x:row r="526">
      <x:c r="A526" s="278"/>
      <x:c r="C526" s="279"/>
      <x:c r="F526" s="278"/>
      <x:c r="G526" s="280"/>
      <x:c r="H526" s="278"/>
      <x:c r="I526" s="278"/>
      <x:c r="K526" s="278"/>
      <x:c r="L526" s="7"/>
      <x:c r="M526" s="7"/>
      <x:c r="Q526" s="279"/>
      <x:c r="R526" s="281"/>
    </x:row>
    <x:row r="527">
      <x:c r="A527" s="278"/>
      <x:c r="C527" s="279"/>
      <x:c r="F527" s="278"/>
      <x:c r="G527" s="280"/>
      <x:c r="H527" s="278"/>
      <x:c r="I527" s="278"/>
      <x:c r="K527" s="278"/>
      <x:c r="L527" s="7"/>
      <x:c r="M527" s="7"/>
      <x:c r="Q527" s="279"/>
      <x:c r="R527" s="281"/>
    </x:row>
    <x:row r="528">
      <x:c r="A528" s="278"/>
      <x:c r="C528" s="279"/>
      <x:c r="F528" s="278"/>
      <x:c r="G528" s="280"/>
      <x:c r="H528" s="278"/>
      <x:c r="I528" s="278"/>
      <x:c r="K528" s="278"/>
      <x:c r="L528" s="7"/>
      <x:c r="M528" s="7"/>
      <x:c r="Q528" s="279"/>
      <x:c r="R528" s="281"/>
    </x:row>
    <x:row r="529">
      <x:c r="A529" s="278"/>
      <x:c r="C529" s="279"/>
      <x:c r="F529" s="278"/>
      <x:c r="G529" s="280"/>
      <x:c r="H529" s="278"/>
      <x:c r="I529" s="278"/>
      <x:c r="K529" s="278"/>
      <x:c r="L529" s="7"/>
      <x:c r="M529" s="7"/>
      <x:c r="Q529" s="279"/>
      <x:c r="R529" s="281"/>
    </x:row>
    <x:row r="530">
      <x:c r="A530" s="278"/>
      <x:c r="C530" s="279"/>
      <x:c r="F530" s="278"/>
      <x:c r="G530" s="280"/>
      <x:c r="H530" s="278"/>
      <x:c r="I530" s="278"/>
      <x:c r="K530" s="278"/>
      <x:c r="L530" s="7"/>
      <x:c r="M530" s="7"/>
      <x:c r="Q530" s="279"/>
      <x:c r="R530" s="281"/>
    </x:row>
    <x:row r="531">
      <x:c r="A531" s="278"/>
      <x:c r="C531" s="279"/>
      <x:c r="F531" s="278"/>
      <x:c r="G531" s="280"/>
      <x:c r="H531" s="278"/>
      <x:c r="I531" s="278"/>
      <x:c r="K531" s="278"/>
      <x:c r="L531" s="7"/>
      <x:c r="M531" s="7"/>
      <x:c r="Q531" s="279"/>
      <x:c r="R531" s="281"/>
    </x:row>
    <x:row r="532">
      <x:c r="A532" s="278"/>
      <x:c r="C532" s="279"/>
      <x:c r="F532" s="278"/>
      <x:c r="G532" s="280"/>
      <x:c r="H532" s="278"/>
      <x:c r="I532" s="278"/>
      <x:c r="K532" s="278"/>
      <x:c r="L532" s="7"/>
      <x:c r="M532" s="7"/>
      <x:c r="Q532" s="279"/>
      <x:c r="R532" s="281"/>
    </x:row>
    <x:row r="533">
      <x:c r="A533" s="278"/>
      <x:c r="C533" s="279"/>
      <x:c r="F533" s="278"/>
      <x:c r="G533" s="280"/>
      <x:c r="H533" s="278"/>
      <x:c r="I533" s="278"/>
      <x:c r="K533" s="278"/>
      <x:c r="L533" s="7"/>
      <x:c r="M533" s="7"/>
      <x:c r="Q533" s="279"/>
      <x:c r="R533" s="281"/>
    </x:row>
    <x:row r="534">
      <x:c r="A534" s="278"/>
      <x:c r="C534" s="279"/>
      <x:c r="F534" s="278"/>
      <x:c r="G534" s="280"/>
      <x:c r="H534" s="278"/>
      <x:c r="I534" s="278"/>
      <x:c r="K534" s="278"/>
      <x:c r="L534" s="7"/>
      <x:c r="M534" s="7"/>
      <x:c r="Q534" s="279"/>
      <x:c r="R534" s="281"/>
    </x:row>
    <x:row r="535">
      <x:c r="A535" s="278"/>
      <x:c r="C535" s="279"/>
      <x:c r="F535" s="278"/>
      <x:c r="G535" s="280"/>
      <x:c r="H535" s="278"/>
      <x:c r="I535" s="278"/>
      <x:c r="K535" s="278"/>
      <x:c r="L535" s="7"/>
      <x:c r="M535" s="7"/>
      <x:c r="Q535" s="279"/>
      <x:c r="R535" s="281"/>
    </x:row>
    <x:row r="536">
      <x:c r="A536" s="278"/>
      <x:c r="C536" s="279"/>
      <x:c r="F536" s="278"/>
      <x:c r="G536" s="280"/>
      <x:c r="H536" s="278"/>
      <x:c r="I536" s="278"/>
      <x:c r="K536" s="278"/>
      <x:c r="L536" s="7"/>
      <x:c r="M536" s="7"/>
      <x:c r="Q536" s="279"/>
      <x:c r="R536" s="281"/>
    </x:row>
    <x:row r="537">
      <x:c r="A537" s="278"/>
      <x:c r="C537" s="279"/>
      <x:c r="F537" s="278"/>
      <x:c r="G537" s="280"/>
      <x:c r="H537" s="278"/>
      <x:c r="I537" s="278"/>
      <x:c r="K537" s="278"/>
      <x:c r="L537" s="7"/>
      <x:c r="M537" s="7"/>
      <x:c r="Q537" s="279"/>
      <x:c r="R537" s="281"/>
    </x:row>
    <x:row r="538">
      <x:c r="A538" s="278"/>
      <x:c r="C538" s="279"/>
      <x:c r="F538" s="278"/>
      <x:c r="G538" s="280"/>
      <x:c r="H538" s="278"/>
      <x:c r="I538" s="278"/>
      <x:c r="K538" s="278"/>
      <x:c r="L538" s="7"/>
      <x:c r="M538" s="7"/>
      <x:c r="Q538" s="279"/>
      <x:c r="R538" s="281"/>
    </x:row>
    <x:row r="539">
      <x:c r="A539" s="278"/>
      <x:c r="C539" s="279"/>
      <x:c r="F539" s="278"/>
      <x:c r="G539" s="280"/>
      <x:c r="H539" s="278"/>
      <x:c r="I539" s="278"/>
      <x:c r="K539" s="278"/>
      <x:c r="L539" s="7"/>
      <x:c r="M539" s="7"/>
      <x:c r="Q539" s="279"/>
      <x:c r="R539" s="281"/>
    </x:row>
    <x:row r="540">
      <x:c r="A540" s="278"/>
      <x:c r="C540" s="279"/>
      <x:c r="F540" s="278"/>
      <x:c r="G540" s="280"/>
      <x:c r="H540" s="278"/>
      <x:c r="I540" s="278"/>
      <x:c r="K540" s="278"/>
      <x:c r="L540" s="7"/>
      <x:c r="M540" s="7"/>
      <x:c r="Q540" s="279"/>
      <x:c r="R540" s="281"/>
    </x:row>
    <x:row r="541">
      <x:c r="A541" s="278"/>
      <x:c r="C541" s="279"/>
      <x:c r="F541" s="278"/>
      <x:c r="G541" s="280"/>
      <x:c r="H541" s="278"/>
      <x:c r="I541" s="278"/>
      <x:c r="K541" s="278"/>
      <x:c r="L541" s="7"/>
      <x:c r="M541" s="7"/>
      <x:c r="Q541" s="279"/>
      <x:c r="R541" s="281"/>
    </x:row>
    <x:row r="542">
      <x:c r="A542" s="278"/>
      <x:c r="C542" s="279"/>
      <x:c r="F542" s="278"/>
      <x:c r="G542" s="280"/>
      <x:c r="H542" s="278"/>
      <x:c r="I542" s="278"/>
      <x:c r="K542" s="278"/>
      <x:c r="L542" s="7"/>
      <x:c r="M542" s="7"/>
      <x:c r="Q542" s="279"/>
      <x:c r="R542" s="281"/>
    </x:row>
    <x:row r="543">
      <x:c r="A543" s="278"/>
      <x:c r="C543" s="279"/>
      <x:c r="F543" s="278"/>
      <x:c r="G543" s="280"/>
      <x:c r="H543" s="278"/>
      <x:c r="I543" s="278"/>
      <x:c r="K543" s="278"/>
      <x:c r="L543" s="7"/>
      <x:c r="M543" s="7"/>
      <x:c r="Q543" s="279"/>
      <x:c r="R543" s="281"/>
    </x:row>
    <x:row r="544">
      <x:c r="A544" s="278"/>
      <x:c r="C544" s="279"/>
      <x:c r="F544" s="278"/>
      <x:c r="G544" s="280"/>
      <x:c r="H544" s="278"/>
      <x:c r="I544" s="278"/>
      <x:c r="K544" s="278"/>
      <x:c r="L544" s="7"/>
      <x:c r="M544" s="7"/>
      <x:c r="Q544" s="279"/>
      <x:c r="R544" s="281"/>
    </x:row>
    <x:row r="545">
      <x:c r="A545" s="278"/>
      <x:c r="C545" s="279"/>
      <x:c r="F545" s="278"/>
      <x:c r="G545" s="280"/>
      <x:c r="H545" s="278"/>
      <x:c r="I545" s="278"/>
      <x:c r="K545" s="278"/>
      <x:c r="L545" s="7"/>
      <x:c r="M545" s="7"/>
      <x:c r="Q545" s="279"/>
      <x:c r="R545" s="281"/>
    </x:row>
    <x:row r="546">
      <x:c r="A546" s="278"/>
      <x:c r="C546" s="279"/>
      <x:c r="F546" s="278"/>
      <x:c r="G546" s="280"/>
      <x:c r="H546" s="278"/>
      <x:c r="I546" s="278"/>
      <x:c r="K546" s="278"/>
      <x:c r="L546" s="7"/>
      <x:c r="M546" s="7"/>
      <x:c r="Q546" s="279"/>
      <x:c r="R546" s="281"/>
    </x:row>
    <x:row r="547">
      <x:c r="A547" s="278"/>
      <x:c r="C547" s="279"/>
      <x:c r="F547" s="278"/>
      <x:c r="G547" s="280"/>
      <x:c r="H547" s="278"/>
      <x:c r="I547" s="278"/>
      <x:c r="K547" s="278"/>
      <x:c r="L547" s="7"/>
      <x:c r="M547" s="7"/>
      <x:c r="Q547" s="279"/>
      <x:c r="R547" s="281"/>
    </x:row>
    <x:row r="548">
      <x:c r="A548" s="278"/>
      <x:c r="C548" s="279"/>
      <x:c r="F548" s="278"/>
      <x:c r="G548" s="280"/>
      <x:c r="H548" s="278"/>
      <x:c r="I548" s="278"/>
      <x:c r="K548" s="278"/>
      <x:c r="L548" s="7"/>
      <x:c r="M548" s="7"/>
      <x:c r="Q548" s="279"/>
      <x:c r="R548" s="281"/>
    </x:row>
    <x:row r="549">
      <x:c r="A549" s="278"/>
      <x:c r="C549" s="279"/>
      <x:c r="F549" s="278"/>
      <x:c r="G549" s="280"/>
      <x:c r="H549" s="278"/>
      <x:c r="I549" s="278"/>
      <x:c r="K549" s="278"/>
      <x:c r="L549" s="7"/>
      <x:c r="M549" s="7"/>
      <x:c r="Q549" s="279"/>
      <x:c r="R549" s="281"/>
    </x:row>
    <x:row r="550">
      <x:c r="A550" s="278"/>
      <x:c r="C550" s="279"/>
      <x:c r="F550" s="278"/>
      <x:c r="G550" s="280"/>
      <x:c r="H550" s="278"/>
      <x:c r="I550" s="278"/>
      <x:c r="K550" s="278"/>
      <x:c r="L550" s="7"/>
      <x:c r="M550" s="7"/>
      <x:c r="Q550" s="279"/>
      <x:c r="R550" s="281"/>
    </x:row>
    <x:row r="551">
      <x:c r="A551" s="278"/>
      <x:c r="C551" s="279"/>
      <x:c r="F551" s="278"/>
      <x:c r="G551" s="280"/>
      <x:c r="H551" s="278"/>
      <x:c r="I551" s="278"/>
      <x:c r="K551" s="278"/>
      <x:c r="L551" s="7"/>
      <x:c r="M551" s="7"/>
      <x:c r="Q551" s="279"/>
      <x:c r="R551" s="281"/>
    </x:row>
    <x:row r="552">
      <x:c r="A552" s="278"/>
      <x:c r="C552" s="279"/>
      <x:c r="F552" s="278"/>
      <x:c r="G552" s="280"/>
      <x:c r="H552" s="278"/>
      <x:c r="I552" s="278"/>
      <x:c r="K552" s="278"/>
      <x:c r="L552" s="7"/>
      <x:c r="M552" s="7"/>
      <x:c r="Q552" s="279"/>
      <x:c r="R552" s="281"/>
    </x:row>
    <x:row r="553">
      <x:c r="A553" s="278"/>
      <x:c r="C553" s="279"/>
      <x:c r="F553" s="278"/>
      <x:c r="G553" s="280"/>
      <x:c r="H553" s="278"/>
      <x:c r="I553" s="278"/>
      <x:c r="K553" s="278"/>
      <x:c r="L553" s="7"/>
      <x:c r="M553" s="7"/>
      <x:c r="Q553" s="279"/>
      <x:c r="R553" s="281"/>
    </x:row>
    <x:row r="554">
      <x:c r="A554" s="278"/>
      <x:c r="C554" s="279"/>
      <x:c r="F554" s="278"/>
      <x:c r="G554" s="280"/>
      <x:c r="H554" s="278"/>
      <x:c r="I554" s="278"/>
      <x:c r="K554" s="278"/>
      <x:c r="L554" s="7"/>
      <x:c r="M554" s="7"/>
      <x:c r="Q554" s="279"/>
      <x:c r="R554" s="281"/>
    </x:row>
    <x:row r="555">
      <x:c r="A555" s="278"/>
      <x:c r="C555" s="279"/>
      <x:c r="F555" s="278"/>
      <x:c r="G555" s="280"/>
      <x:c r="H555" s="278"/>
      <x:c r="I555" s="278"/>
      <x:c r="K555" s="278"/>
      <x:c r="L555" s="7"/>
      <x:c r="M555" s="7"/>
      <x:c r="Q555" s="279"/>
      <x:c r="R555" s="281"/>
    </x:row>
    <x:row r="556">
      <x:c r="A556" s="278"/>
      <x:c r="C556" s="279"/>
      <x:c r="F556" s="278"/>
      <x:c r="G556" s="280"/>
      <x:c r="H556" s="278"/>
      <x:c r="I556" s="278"/>
      <x:c r="K556" s="278"/>
      <x:c r="L556" s="7"/>
      <x:c r="M556" s="7"/>
      <x:c r="Q556" s="279"/>
      <x:c r="R556" s="281"/>
    </x:row>
    <x:row r="557">
      <x:c r="A557" s="278"/>
      <x:c r="C557" s="279"/>
      <x:c r="F557" s="278"/>
      <x:c r="G557" s="280"/>
      <x:c r="H557" s="278"/>
      <x:c r="I557" s="278"/>
      <x:c r="K557" s="278"/>
      <x:c r="L557" s="7"/>
      <x:c r="M557" s="7"/>
      <x:c r="Q557" s="279"/>
      <x:c r="R557" s="281"/>
    </x:row>
    <x:row r="558">
      <x:c r="A558" s="278"/>
      <x:c r="C558" s="279"/>
      <x:c r="F558" s="278"/>
      <x:c r="G558" s="280"/>
      <x:c r="H558" s="278"/>
      <x:c r="I558" s="278"/>
      <x:c r="K558" s="278"/>
      <x:c r="L558" s="7"/>
      <x:c r="M558" s="7"/>
      <x:c r="Q558" s="279"/>
      <x:c r="R558" s="281"/>
    </x:row>
    <x:row r="559">
      <x:c r="A559" s="278"/>
      <x:c r="C559" s="279"/>
      <x:c r="F559" s="278"/>
      <x:c r="G559" s="280"/>
      <x:c r="H559" s="278"/>
      <x:c r="I559" s="278"/>
      <x:c r="K559" s="278"/>
      <x:c r="L559" s="7"/>
      <x:c r="M559" s="7"/>
      <x:c r="Q559" s="279"/>
      <x:c r="R559" s="281"/>
    </x:row>
    <x:row r="560">
      <x:c r="A560" s="278"/>
      <x:c r="C560" s="279"/>
      <x:c r="F560" s="278"/>
      <x:c r="G560" s="280"/>
      <x:c r="H560" s="278"/>
      <x:c r="I560" s="278"/>
      <x:c r="K560" s="278"/>
      <x:c r="L560" s="7"/>
      <x:c r="M560" s="7"/>
      <x:c r="Q560" s="279"/>
      <x:c r="R560" s="281"/>
    </x:row>
    <x:row r="561">
      <x:c r="A561" s="278"/>
      <x:c r="C561" s="279"/>
      <x:c r="F561" s="278"/>
      <x:c r="G561" s="280"/>
      <x:c r="H561" s="278"/>
      <x:c r="I561" s="278"/>
      <x:c r="K561" s="278"/>
      <x:c r="L561" s="7"/>
      <x:c r="M561" s="7"/>
      <x:c r="Q561" s="279"/>
      <x:c r="R561" s="281"/>
    </x:row>
    <x:row r="562">
      <x:c r="A562" s="278"/>
      <x:c r="C562" s="279"/>
      <x:c r="F562" s="278"/>
      <x:c r="G562" s="280"/>
      <x:c r="H562" s="278"/>
      <x:c r="I562" s="278"/>
      <x:c r="K562" s="278"/>
      <x:c r="L562" s="7"/>
      <x:c r="M562" s="7"/>
      <x:c r="Q562" s="279"/>
      <x:c r="R562" s="281"/>
    </x:row>
    <x:row r="563">
      <x:c r="A563" s="278"/>
      <x:c r="C563" s="279"/>
      <x:c r="F563" s="278"/>
      <x:c r="G563" s="280"/>
      <x:c r="H563" s="278"/>
      <x:c r="I563" s="278"/>
      <x:c r="K563" s="278"/>
      <x:c r="L563" s="7"/>
      <x:c r="M563" s="7"/>
      <x:c r="Q563" s="279"/>
      <x:c r="R563" s="281"/>
    </x:row>
    <x:row r="564">
      <x:c r="A564" s="278"/>
      <x:c r="C564" s="279"/>
      <x:c r="F564" s="278"/>
      <x:c r="G564" s="280"/>
      <x:c r="H564" s="278"/>
      <x:c r="I564" s="278"/>
      <x:c r="K564" s="278"/>
      <x:c r="L564" s="7"/>
      <x:c r="M564" s="7"/>
      <x:c r="Q564" s="279"/>
      <x:c r="R564" s="281"/>
    </x:row>
    <x:row r="565">
      <x:c r="A565" s="278"/>
      <x:c r="C565" s="279"/>
      <x:c r="F565" s="278"/>
      <x:c r="G565" s="280"/>
      <x:c r="H565" s="278"/>
      <x:c r="I565" s="278"/>
      <x:c r="K565" s="278"/>
      <x:c r="L565" s="7"/>
      <x:c r="M565" s="7"/>
      <x:c r="Q565" s="279"/>
      <x:c r="R565" s="281"/>
    </x:row>
    <x:row r="566">
      <x:c r="A566" s="278"/>
      <x:c r="C566" s="279"/>
      <x:c r="F566" s="278"/>
      <x:c r="G566" s="280"/>
      <x:c r="H566" s="278"/>
      <x:c r="I566" s="278"/>
      <x:c r="K566" s="278"/>
      <x:c r="L566" s="7"/>
      <x:c r="M566" s="7"/>
      <x:c r="Q566" s="279"/>
      <x:c r="R566" s="281"/>
    </x:row>
    <x:row r="567">
      <x:c r="A567" s="278"/>
      <x:c r="C567" s="279"/>
      <x:c r="F567" s="278"/>
      <x:c r="G567" s="280"/>
      <x:c r="H567" s="278"/>
      <x:c r="I567" s="278"/>
      <x:c r="K567" s="278"/>
      <x:c r="L567" s="7"/>
      <x:c r="M567" s="7"/>
      <x:c r="Q567" s="279"/>
      <x:c r="R567" s="281"/>
    </x:row>
    <x:row r="568">
      <x:c r="A568" s="278"/>
      <x:c r="C568" s="279"/>
      <x:c r="F568" s="278"/>
      <x:c r="G568" s="280"/>
      <x:c r="H568" s="278"/>
      <x:c r="I568" s="278"/>
      <x:c r="K568" s="278"/>
      <x:c r="L568" s="7"/>
      <x:c r="M568" s="7"/>
      <x:c r="Q568" s="279"/>
      <x:c r="R568" s="281"/>
    </x:row>
    <x:row r="569">
      <x:c r="A569" s="278"/>
      <x:c r="C569" s="279"/>
      <x:c r="F569" s="278"/>
      <x:c r="G569" s="280"/>
      <x:c r="H569" s="278"/>
      <x:c r="I569" s="278"/>
      <x:c r="K569" s="278"/>
      <x:c r="L569" s="7"/>
      <x:c r="M569" s="7"/>
      <x:c r="Q569" s="279"/>
      <x:c r="R569" s="281"/>
    </x:row>
    <x:row r="570">
      <x:c r="A570" s="278"/>
      <x:c r="C570" s="279"/>
      <x:c r="F570" s="278"/>
      <x:c r="G570" s="280"/>
      <x:c r="H570" s="278"/>
      <x:c r="I570" s="278"/>
      <x:c r="K570" s="278"/>
      <x:c r="L570" s="7"/>
      <x:c r="M570" s="7"/>
      <x:c r="Q570" s="279"/>
      <x:c r="R570" s="281"/>
    </x:row>
    <x:row r="571">
      <x:c r="A571" s="278"/>
      <x:c r="C571" s="279"/>
      <x:c r="F571" s="278"/>
      <x:c r="G571" s="280"/>
      <x:c r="H571" s="278"/>
      <x:c r="I571" s="278"/>
      <x:c r="K571" s="278"/>
      <x:c r="L571" s="7"/>
      <x:c r="M571" s="7"/>
      <x:c r="Q571" s="279"/>
      <x:c r="R571" s="281"/>
    </x:row>
    <x:row r="572">
      <x:c r="A572" s="278"/>
      <x:c r="C572" s="279"/>
      <x:c r="F572" s="278"/>
      <x:c r="G572" s="280"/>
      <x:c r="H572" s="278"/>
      <x:c r="I572" s="278"/>
      <x:c r="K572" s="278"/>
      <x:c r="L572" s="7"/>
      <x:c r="M572" s="7"/>
      <x:c r="Q572" s="279"/>
      <x:c r="R572" s="281"/>
    </x:row>
    <x:row r="573">
      <x:c r="A573" s="278"/>
      <x:c r="C573" s="279"/>
      <x:c r="F573" s="278"/>
      <x:c r="G573" s="280"/>
      <x:c r="H573" s="278"/>
      <x:c r="I573" s="278"/>
      <x:c r="K573" s="278"/>
      <x:c r="L573" s="7"/>
      <x:c r="M573" s="7"/>
      <x:c r="Q573" s="279"/>
      <x:c r="R573" s="281"/>
    </x:row>
    <x:row r="574">
      <x:c r="A574" s="278"/>
      <x:c r="C574" s="279"/>
      <x:c r="F574" s="278"/>
      <x:c r="G574" s="280"/>
      <x:c r="H574" s="278"/>
      <x:c r="I574" s="278"/>
      <x:c r="K574" s="278"/>
      <x:c r="L574" s="7"/>
      <x:c r="M574" s="7"/>
      <x:c r="Q574" s="279"/>
      <x:c r="R574" s="281"/>
    </x:row>
    <x:row r="575">
      <x:c r="A575" s="278"/>
      <x:c r="C575" s="279"/>
      <x:c r="F575" s="278"/>
      <x:c r="G575" s="280"/>
      <x:c r="H575" s="278"/>
      <x:c r="I575" s="278"/>
      <x:c r="K575" s="278"/>
      <x:c r="L575" s="7"/>
      <x:c r="M575" s="7"/>
      <x:c r="Q575" s="279"/>
      <x:c r="R575" s="281"/>
    </x:row>
    <x:row r="576">
      <x:c r="A576" s="278"/>
      <x:c r="C576" s="279"/>
      <x:c r="F576" s="278"/>
      <x:c r="G576" s="280"/>
      <x:c r="H576" s="278"/>
      <x:c r="I576" s="278"/>
      <x:c r="K576" s="278"/>
      <x:c r="L576" s="7"/>
      <x:c r="M576" s="7"/>
      <x:c r="Q576" s="279"/>
      <x:c r="R576" s="281"/>
    </x:row>
    <x:row r="577">
      <x:c r="A577" s="278"/>
      <x:c r="C577" s="279"/>
      <x:c r="F577" s="278"/>
      <x:c r="G577" s="280"/>
      <x:c r="H577" s="278"/>
      <x:c r="I577" s="278"/>
      <x:c r="K577" s="278"/>
      <x:c r="L577" s="7"/>
      <x:c r="M577" s="7"/>
      <x:c r="Q577" s="279"/>
      <x:c r="R577" s="281"/>
    </x:row>
    <x:row r="578">
      <x:c r="A578" s="278"/>
      <x:c r="C578" s="279"/>
      <x:c r="F578" s="278"/>
      <x:c r="G578" s="280"/>
      <x:c r="H578" s="278"/>
      <x:c r="I578" s="278"/>
      <x:c r="K578" s="278"/>
      <x:c r="L578" s="7"/>
      <x:c r="M578" s="7"/>
      <x:c r="Q578" s="279"/>
      <x:c r="R578" s="281"/>
    </x:row>
    <x:row r="579">
      <x:c r="A579" s="278"/>
      <x:c r="C579" s="279"/>
      <x:c r="F579" s="278"/>
      <x:c r="G579" s="280"/>
      <x:c r="H579" s="278"/>
      <x:c r="I579" s="278"/>
      <x:c r="K579" s="278"/>
      <x:c r="L579" s="7"/>
      <x:c r="M579" s="7"/>
      <x:c r="Q579" s="279"/>
      <x:c r="R579" s="281"/>
    </x:row>
    <x:row r="580">
      <x:c r="A580" s="278"/>
      <x:c r="C580" s="279"/>
      <x:c r="F580" s="278"/>
      <x:c r="G580" s="280"/>
      <x:c r="H580" s="278"/>
      <x:c r="I580" s="278"/>
      <x:c r="K580" s="278"/>
      <x:c r="L580" s="7"/>
      <x:c r="M580" s="7"/>
      <x:c r="Q580" s="279"/>
      <x:c r="R580" s="281"/>
    </x:row>
    <x:row r="581">
      <x:c r="A581" s="278"/>
      <x:c r="C581" s="279"/>
      <x:c r="F581" s="278"/>
      <x:c r="G581" s="280"/>
      <x:c r="H581" s="278"/>
      <x:c r="I581" s="278"/>
      <x:c r="K581" s="278"/>
      <x:c r="L581" s="7"/>
      <x:c r="M581" s="7"/>
      <x:c r="Q581" s="279"/>
      <x:c r="R581" s="281"/>
    </x:row>
    <x:row r="582">
      <x:c r="A582" s="278"/>
      <x:c r="C582" s="279"/>
      <x:c r="F582" s="278"/>
      <x:c r="G582" s="280"/>
      <x:c r="H582" s="278"/>
      <x:c r="I582" s="278"/>
      <x:c r="K582" s="278"/>
      <x:c r="L582" s="7"/>
      <x:c r="M582" s="7"/>
      <x:c r="Q582" s="279"/>
      <x:c r="R582" s="281"/>
    </x:row>
    <x:row r="583">
      <x:c r="A583" s="278"/>
      <x:c r="C583" s="279"/>
      <x:c r="F583" s="278"/>
      <x:c r="G583" s="280"/>
      <x:c r="H583" s="278"/>
      <x:c r="I583" s="278"/>
      <x:c r="K583" s="278"/>
      <x:c r="L583" s="7"/>
      <x:c r="M583" s="7"/>
      <x:c r="Q583" s="279"/>
      <x:c r="R583" s="281"/>
    </x:row>
    <x:row r="584">
      <x:c r="A584" s="278"/>
      <x:c r="C584" s="279"/>
      <x:c r="F584" s="278"/>
      <x:c r="G584" s="280"/>
      <x:c r="H584" s="278"/>
      <x:c r="I584" s="278"/>
      <x:c r="K584" s="278"/>
      <x:c r="L584" s="7"/>
      <x:c r="M584" s="7"/>
      <x:c r="Q584" s="279"/>
      <x:c r="R584" s="281"/>
    </x:row>
    <x:row r="585">
      <x:c r="A585" s="278"/>
      <x:c r="C585" s="279"/>
      <x:c r="F585" s="278"/>
      <x:c r="G585" s="280"/>
      <x:c r="H585" s="278"/>
      <x:c r="I585" s="278"/>
      <x:c r="K585" s="278"/>
      <x:c r="L585" s="7"/>
      <x:c r="M585" s="7"/>
      <x:c r="Q585" s="279"/>
      <x:c r="R585" s="281"/>
    </x:row>
    <x:row r="586">
      <x:c r="A586" s="278"/>
      <x:c r="C586" s="279"/>
      <x:c r="F586" s="278"/>
      <x:c r="G586" s="280"/>
      <x:c r="H586" s="278"/>
      <x:c r="I586" s="278"/>
      <x:c r="K586" s="278"/>
      <x:c r="L586" s="7"/>
      <x:c r="M586" s="7"/>
      <x:c r="Q586" s="279"/>
      <x:c r="R586" s="281"/>
    </x:row>
    <x:row r="587">
      <x:c r="A587" s="278"/>
      <x:c r="C587" s="279"/>
      <x:c r="F587" s="278"/>
      <x:c r="G587" s="280"/>
      <x:c r="H587" s="278"/>
      <x:c r="I587" s="278"/>
      <x:c r="K587" s="278"/>
      <x:c r="L587" s="7"/>
      <x:c r="M587" s="7"/>
      <x:c r="Q587" s="279"/>
      <x:c r="R587" s="281"/>
    </x:row>
    <x:row r="588">
      <x:c r="A588" s="278"/>
      <x:c r="C588" s="279"/>
      <x:c r="F588" s="278"/>
      <x:c r="G588" s="280"/>
      <x:c r="H588" s="278"/>
      <x:c r="I588" s="278"/>
      <x:c r="K588" s="278"/>
      <x:c r="L588" s="7"/>
      <x:c r="M588" s="7"/>
      <x:c r="Q588" s="279"/>
      <x:c r="R588" s="281"/>
    </x:row>
    <x:row r="589">
      <x:c r="A589" s="278"/>
      <x:c r="C589" s="279"/>
      <x:c r="F589" s="278"/>
      <x:c r="G589" s="280"/>
      <x:c r="H589" s="278"/>
      <x:c r="I589" s="278"/>
      <x:c r="K589" s="278"/>
      <x:c r="L589" s="7"/>
      <x:c r="M589" s="7"/>
      <x:c r="Q589" s="279"/>
      <x:c r="R589" s="281"/>
    </x:row>
    <x:row r="590">
      <x:c r="A590" s="278"/>
      <x:c r="C590" s="279"/>
      <x:c r="F590" s="278"/>
      <x:c r="G590" s="280"/>
      <x:c r="H590" s="278"/>
      <x:c r="I590" s="278"/>
      <x:c r="K590" s="278"/>
      <x:c r="L590" s="7"/>
      <x:c r="M590" s="7"/>
      <x:c r="Q590" s="279"/>
      <x:c r="R590" s="281"/>
    </x:row>
    <x:row r="591">
      <x:c r="A591" s="278"/>
      <x:c r="C591" s="279"/>
      <x:c r="F591" s="278"/>
      <x:c r="G591" s="280"/>
      <x:c r="H591" s="278"/>
      <x:c r="I591" s="278"/>
      <x:c r="K591" s="278"/>
      <x:c r="L591" s="7"/>
      <x:c r="M591" s="7"/>
      <x:c r="Q591" s="279"/>
      <x:c r="R591" s="281"/>
    </x:row>
    <x:row r="592">
      <x:c r="A592" s="278"/>
      <x:c r="C592" s="279"/>
      <x:c r="F592" s="278"/>
      <x:c r="G592" s="280"/>
      <x:c r="H592" s="278"/>
      <x:c r="I592" s="278"/>
      <x:c r="K592" s="278"/>
      <x:c r="L592" s="7"/>
      <x:c r="M592" s="7"/>
      <x:c r="Q592" s="279"/>
      <x:c r="R592" s="281"/>
    </x:row>
    <x:row r="593">
      <x:c r="A593" s="278"/>
      <x:c r="C593" s="279"/>
      <x:c r="F593" s="278"/>
      <x:c r="G593" s="280"/>
      <x:c r="H593" s="278"/>
      <x:c r="I593" s="278"/>
      <x:c r="K593" s="278"/>
      <x:c r="L593" s="7"/>
      <x:c r="M593" s="7"/>
      <x:c r="Q593" s="279"/>
      <x:c r="R593" s="281"/>
    </x:row>
    <x:row r="594">
      <x:c r="A594" s="278"/>
      <x:c r="C594" s="279"/>
      <x:c r="F594" s="278"/>
      <x:c r="G594" s="280"/>
      <x:c r="H594" s="278"/>
      <x:c r="I594" s="278"/>
      <x:c r="K594" s="278"/>
      <x:c r="L594" s="7"/>
      <x:c r="M594" s="7"/>
      <x:c r="Q594" s="279"/>
      <x:c r="R594" s="281"/>
    </x:row>
    <x:row r="595">
      <x:c r="A595" s="278"/>
      <x:c r="C595" s="279"/>
      <x:c r="F595" s="278"/>
      <x:c r="G595" s="280"/>
      <x:c r="H595" s="278"/>
      <x:c r="I595" s="278"/>
      <x:c r="K595" s="278"/>
      <x:c r="L595" s="7"/>
      <x:c r="M595" s="7"/>
      <x:c r="Q595" s="279"/>
      <x:c r="R595" s="281"/>
    </x:row>
    <x:row r="596">
      <x:c r="A596" s="278"/>
      <x:c r="C596" s="279"/>
      <x:c r="F596" s="278"/>
      <x:c r="G596" s="280"/>
      <x:c r="H596" s="278"/>
      <x:c r="I596" s="278"/>
      <x:c r="K596" s="278"/>
      <x:c r="L596" s="7"/>
      <x:c r="M596" s="7"/>
      <x:c r="Q596" s="279"/>
      <x:c r="R596" s="281"/>
    </x:row>
    <x:row r="597">
      <x:c r="A597" s="278"/>
      <x:c r="C597" s="279"/>
      <x:c r="F597" s="278"/>
      <x:c r="G597" s="280"/>
      <x:c r="H597" s="278"/>
      <x:c r="I597" s="278"/>
      <x:c r="K597" s="278"/>
      <x:c r="L597" s="7"/>
      <x:c r="M597" s="7"/>
      <x:c r="Q597" s="279"/>
      <x:c r="R597" s="281"/>
    </x:row>
    <x:row r="598">
      <x:c r="A598" s="278"/>
      <x:c r="C598" s="279"/>
      <x:c r="F598" s="278"/>
      <x:c r="G598" s="280"/>
      <x:c r="H598" s="278"/>
      <x:c r="I598" s="278"/>
      <x:c r="K598" s="278"/>
      <x:c r="L598" s="7"/>
      <x:c r="M598" s="7"/>
      <x:c r="Q598" s="279"/>
      <x:c r="R598" s="281"/>
    </x:row>
    <x:row r="599">
      <x:c r="A599" s="278"/>
      <x:c r="C599" s="279"/>
      <x:c r="F599" s="278"/>
      <x:c r="G599" s="280"/>
      <x:c r="H599" s="278"/>
      <x:c r="I599" s="278"/>
      <x:c r="K599" s="278"/>
      <x:c r="L599" s="7"/>
      <x:c r="M599" s="7"/>
      <x:c r="Q599" s="279"/>
      <x:c r="R599" s="281"/>
    </x:row>
    <x:row r="600">
      <x:c r="A600" s="278"/>
      <x:c r="C600" s="279"/>
      <x:c r="F600" s="278"/>
      <x:c r="G600" s="280"/>
      <x:c r="H600" s="278"/>
      <x:c r="I600" s="278"/>
      <x:c r="K600" s="278"/>
      <x:c r="L600" s="7"/>
      <x:c r="M600" s="7"/>
      <x:c r="Q600" s="279"/>
      <x:c r="R600" s="281"/>
    </x:row>
    <x:row r="601">
      <x:c r="A601" s="278"/>
      <x:c r="C601" s="279"/>
      <x:c r="F601" s="278"/>
      <x:c r="G601" s="280"/>
      <x:c r="H601" s="278"/>
      <x:c r="I601" s="278"/>
      <x:c r="K601" s="278"/>
      <x:c r="L601" s="7"/>
      <x:c r="M601" s="7"/>
      <x:c r="Q601" s="279"/>
      <x:c r="R601" s="281"/>
    </x:row>
    <x:row r="602">
      <x:c r="A602" s="278"/>
      <x:c r="C602" s="279"/>
      <x:c r="F602" s="278"/>
      <x:c r="G602" s="280"/>
      <x:c r="H602" s="278"/>
      <x:c r="I602" s="278"/>
      <x:c r="K602" s="278"/>
      <x:c r="L602" s="7"/>
      <x:c r="M602" s="7"/>
      <x:c r="Q602" s="279"/>
      <x:c r="R602" s="281"/>
    </x:row>
    <x:row r="603">
      <x:c r="A603" s="278"/>
      <x:c r="C603" s="279"/>
      <x:c r="F603" s="278"/>
      <x:c r="G603" s="280"/>
      <x:c r="H603" s="278"/>
      <x:c r="I603" s="278"/>
      <x:c r="K603" s="278"/>
      <x:c r="L603" s="7"/>
      <x:c r="M603" s="7"/>
      <x:c r="Q603" s="279"/>
      <x:c r="R603" s="281"/>
    </x:row>
    <x:row r="604">
      <x:c r="A604" s="278"/>
      <x:c r="C604" s="279"/>
      <x:c r="F604" s="278"/>
      <x:c r="G604" s="280"/>
      <x:c r="H604" s="278"/>
      <x:c r="I604" s="278"/>
      <x:c r="K604" s="278"/>
      <x:c r="L604" s="7"/>
      <x:c r="M604" s="7"/>
      <x:c r="Q604" s="279"/>
      <x:c r="R604" s="281"/>
    </x:row>
    <x:row r="605">
      <x:c r="A605" s="278"/>
      <x:c r="C605" s="279"/>
      <x:c r="F605" s="278"/>
      <x:c r="G605" s="280"/>
      <x:c r="H605" s="278"/>
      <x:c r="I605" s="278"/>
      <x:c r="K605" s="278"/>
      <x:c r="L605" s="7"/>
      <x:c r="M605" s="7"/>
      <x:c r="Q605" s="279"/>
      <x:c r="R605" s="281"/>
    </x:row>
    <x:row r="606">
      <x:c r="A606" s="278"/>
      <x:c r="C606" s="279"/>
      <x:c r="F606" s="278"/>
      <x:c r="G606" s="280"/>
      <x:c r="H606" s="278"/>
      <x:c r="I606" s="278"/>
      <x:c r="K606" s="278"/>
      <x:c r="L606" s="7"/>
      <x:c r="M606" s="7"/>
      <x:c r="Q606" s="279"/>
      <x:c r="R606" s="281"/>
    </x:row>
    <x:row r="607">
      <x:c r="A607" s="278"/>
      <x:c r="C607" s="279"/>
      <x:c r="F607" s="278"/>
      <x:c r="G607" s="280"/>
      <x:c r="H607" s="278"/>
      <x:c r="I607" s="278"/>
      <x:c r="K607" s="278"/>
      <x:c r="L607" s="7"/>
      <x:c r="M607" s="7"/>
      <x:c r="Q607" s="279"/>
      <x:c r="R607" s="281"/>
    </x:row>
    <x:row r="608">
      <x:c r="A608" s="278"/>
      <x:c r="C608" s="279"/>
      <x:c r="F608" s="278"/>
      <x:c r="G608" s="280"/>
      <x:c r="H608" s="278"/>
      <x:c r="I608" s="278"/>
      <x:c r="K608" s="278"/>
      <x:c r="L608" s="7"/>
      <x:c r="M608" s="7"/>
      <x:c r="Q608" s="279"/>
      <x:c r="R608" s="281"/>
    </x:row>
    <x:row r="609">
      <x:c r="A609" s="278"/>
      <x:c r="C609" s="279"/>
      <x:c r="F609" s="278"/>
      <x:c r="G609" s="280"/>
      <x:c r="H609" s="278"/>
      <x:c r="I609" s="278"/>
      <x:c r="K609" s="278"/>
      <x:c r="L609" s="7"/>
      <x:c r="M609" s="7"/>
      <x:c r="Q609" s="279"/>
      <x:c r="R609" s="281"/>
    </x:row>
    <x:row r="610">
      <x:c r="A610" s="278"/>
      <x:c r="C610" s="279"/>
      <x:c r="F610" s="278"/>
      <x:c r="G610" s="280"/>
      <x:c r="H610" s="278"/>
      <x:c r="I610" s="278"/>
      <x:c r="K610" s="278"/>
      <x:c r="L610" s="7"/>
      <x:c r="M610" s="7"/>
      <x:c r="Q610" s="279"/>
      <x:c r="R610" s="281"/>
    </x:row>
    <x:row r="611">
      <x:c r="A611" s="278"/>
      <x:c r="C611" s="279"/>
      <x:c r="F611" s="278"/>
      <x:c r="G611" s="280"/>
      <x:c r="H611" s="278"/>
      <x:c r="I611" s="278"/>
      <x:c r="K611" s="278"/>
      <x:c r="L611" s="7"/>
      <x:c r="M611" s="7"/>
      <x:c r="Q611" s="279"/>
      <x:c r="R611" s="281"/>
    </x:row>
    <x:row r="612">
      <x:c r="A612" s="278"/>
      <x:c r="C612" s="279"/>
      <x:c r="F612" s="278"/>
      <x:c r="G612" s="280"/>
      <x:c r="H612" s="278"/>
      <x:c r="I612" s="278"/>
      <x:c r="K612" s="278"/>
      <x:c r="L612" s="7"/>
      <x:c r="M612" s="7"/>
      <x:c r="Q612" s="279"/>
      <x:c r="R612" s="281"/>
    </x:row>
    <x:row r="613">
      <x:c r="A613" s="278"/>
      <x:c r="C613" s="279"/>
      <x:c r="F613" s="278"/>
      <x:c r="G613" s="280"/>
      <x:c r="H613" s="278"/>
      <x:c r="I613" s="278"/>
      <x:c r="K613" s="278"/>
      <x:c r="L613" s="7"/>
      <x:c r="M613" s="7"/>
      <x:c r="Q613" s="279"/>
      <x:c r="R613" s="281"/>
    </x:row>
    <x:row r="614">
      <x:c r="A614" s="278"/>
      <x:c r="C614" s="279"/>
      <x:c r="F614" s="278"/>
      <x:c r="G614" s="280"/>
      <x:c r="H614" s="278"/>
      <x:c r="I614" s="278"/>
      <x:c r="K614" s="278"/>
      <x:c r="L614" s="7"/>
      <x:c r="M614" s="7"/>
      <x:c r="Q614" s="279"/>
      <x:c r="R614" s="281"/>
    </x:row>
    <x:row r="615">
      <x:c r="A615" s="278"/>
      <x:c r="C615" s="279"/>
      <x:c r="F615" s="278"/>
      <x:c r="G615" s="280"/>
      <x:c r="H615" s="278"/>
      <x:c r="I615" s="278"/>
      <x:c r="K615" s="278"/>
      <x:c r="L615" s="7"/>
      <x:c r="M615" s="7"/>
      <x:c r="Q615" s="279"/>
      <x:c r="R615" s="281"/>
    </x:row>
    <x:row r="616">
      <x:c r="A616" s="278"/>
      <x:c r="C616" s="279"/>
      <x:c r="F616" s="278"/>
      <x:c r="G616" s="280"/>
      <x:c r="H616" s="278"/>
      <x:c r="I616" s="278"/>
      <x:c r="K616" s="278"/>
      <x:c r="L616" s="7"/>
      <x:c r="M616" s="7"/>
      <x:c r="Q616" s="279"/>
      <x:c r="R616" s="281"/>
    </x:row>
    <x:row r="617">
      <x:c r="A617" s="278"/>
      <x:c r="C617" s="279"/>
      <x:c r="F617" s="278"/>
      <x:c r="G617" s="280"/>
      <x:c r="H617" s="278"/>
      <x:c r="I617" s="278"/>
      <x:c r="K617" s="278"/>
      <x:c r="L617" s="7"/>
      <x:c r="M617" s="7"/>
      <x:c r="Q617" s="279"/>
      <x:c r="R617" s="281"/>
    </x:row>
    <x:row r="618">
      <x:c r="A618" s="278"/>
      <x:c r="C618" s="279"/>
      <x:c r="F618" s="278"/>
      <x:c r="G618" s="280"/>
      <x:c r="H618" s="278"/>
      <x:c r="I618" s="278"/>
      <x:c r="K618" s="278"/>
      <x:c r="L618" s="7"/>
      <x:c r="M618" s="7"/>
      <x:c r="Q618" s="279"/>
      <x:c r="R618" s="281"/>
    </x:row>
    <x:row r="619">
      <x:c r="A619" s="278"/>
      <x:c r="C619" s="279"/>
      <x:c r="F619" s="278"/>
      <x:c r="G619" s="280"/>
      <x:c r="H619" s="278"/>
      <x:c r="I619" s="278"/>
      <x:c r="K619" s="278"/>
      <x:c r="L619" s="7"/>
      <x:c r="M619" s="7"/>
      <x:c r="Q619" s="279"/>
      <x:c r="R619" s="281"/>
    </x:row>
    <x:row r="620">
      <x:c r="A620" s="278"/>
      <x:c r="C620" s="279"/>
      <x:c r="F620" s="278"/>
      <x:c r="G620" s="280"/>
      <x:c r="H620" s="278"/>
      <x:c r="I620" s="278"/>
      <x:c r="K620" s="278"/>
      <x:c r="L620" s="7"/>
      <x:c r="M620" s="7"/>
      <x:c r="Q620" s="279"/>
      <x:c r="R620" s="281"/>
    </x:row>
    <x:row r="621">
      <x:c r="A621" s="278"/>
      <x:c r="C621" s="279"/>
      <x:c r="F621" s="278"/>
      <x:c r="G621" s="280"/>
      <x:c r="H621" s="278"/>
      <x:c r="I621" s="278"/>
      <x:c r="K621" s="278"/>
      <x:c r="L621" s="7"/>
      <x:c r="M621" s="7"/>
      <x:c r="Q621" s="279"/>
      <x:c r="R621" s="281"/>
    </x:row>
    <x:row r="622">
      <x:c r="A622" s="278"/>
      <x:c r="C622" s="279"/>
      <x:c r="F622" s="278"/>
      <x:c r="G622" s="280"/>
      <x:c r="H622" s="278"/>
      <x:c r="I622" s="278"/>
      <x:c r="K622" s="278"/>
      <x:c r="L622" s="7"/>
      <x:c r="M622" s="7"/>
      <x:c r="Q622" s="279"/>
      <x:c r="R622" s="281"/>
    </x:row>
    <x:row r="623">
      <x:c r="A623" s="278"/>
      <x:c r="C623" s="279"/>
      <x:c r="F623" s="278"/>
      <x:c r="G623" s="280"/>
      <x:c r="H623" s="278"/>
      <x:c r="I623" s="278"/>
      <x:c r="K623" s="278"/>
      <x:c r="L623" s="7"/>
      <x:c r="M623" s="7"/>
      <x:c r="Q623" s="279"/>
      <x:c r="R623" s="281"/>
    </x:row>
    <x:row r="624">
      <x:c r="A624" s="278"/>
      <x:c r="C624" s="279"/>
      <x:c r="F624" s="278"/>
      <x:c r="G624" s="280"/>
      <x:c r="H624" s="278"/>
      <x:c r="I624" s="278"/>
      <x:c r="K624" s="278"/>
      <x:c r="L624" s="7"/>
      <x:c r="M624" s="7"/>
      <x:c r="Q624" s="279"/>
      <x:c r="R624" s="281"/>
    </x:row>
    <x:row r="625">
      <x:c r="A625" s="278"/>
      <x:c r="C625" s="279"/>
      <x:c r="F625" s="278"/>
      <x:c r="G625" s="280"/>
      <x:c r="H625" s="278"/>
      <x:c r="I625" s="278"/>
      <x:c r="K625" s="278"/>
      <x:c r="L625" s="7"/>
      <x:c r="M625" s="7"/>
      <x:c r="Q625" s="279"/>
      <x:c r="R625" s="281"/>
    </x:row>
    <x:row r="626">
      <x:c r="A626" s="278"/>
      <x:c r="C626" s="279"/>
      <x:c r="F626" s="278"/>
      <x:c r="G626" s="280"/>
      <x:c r="H626" s="278"/>
      <x:c r="I626" s="278"/>
      <x:c r="K626" s="278"/>
      <x:c r="L626" s="7"/>
      <x:c r="M626" s="7"/>
      <x:c r="Q626" s="279"/>
      <x:c r="R626" s="281"/>
    </x:row>
    <x:row r="627">
      <x:c r="A627" s="278"/>
      <x:c r="C627" s="279"/>
      <x:c r="F627" s="278"/>
      <x:c r="G627" s="280"/>
      <x:c r="H627" s="278"/>
      <x:c r="I627" s="278"/>
      <x:c r="K627" s="278"/>
      <x:c r="L627" s="7"/>
      <x:c r="M627" s="7"/>
      <x:c r="Q627" s="279"/>
      <x:c r="R627" s="281"/>
    </x:row>
    <x:row r="628">
      <x:c r="A628" s="278"/>
      <x:c r="C628" s="279"/>
      <x:c r="F628" s="278"/>
      <x:c r="G628" s="280"/>
      <x:c r="H628" s="278"/>
      <x:c r="I628" s="278"/>
      <x:c r="K628" s="278"/>
      <x:c r="L628" s="7"/>
      <x:c r="M628" s="7"/>
      <x:c r="Q628" s="279"/>
      <x:c r="R628" s="281"/>
    </x:row>
    <x:row r="629">
      <x:c r="A629" s="278"/>
      <x:c r="C629" s="279"/>
      <x:c r="F629" s="278"/>
      <x:c r="G629" s="280"/>
      <x:c r="H629" s="278"/>
      <x:c r="I629" s="278"/>
      <x:c r="K629" s="278"/>
      <x:c r="L629" s="7"/>
      <x:c r="M629" s="7"/>
      <x:c r="Q629" s="279"/>
      <x:c r="R629" s="281"/>
    </x:row>
    <x:row r="630">
      <x:c r="A630" s="278"/>
      <x:c r="C630" s="279"/>
      <x:c r="F630" s="278"/>
      <x:c r="G630" s="280"/>
      <x:c r="H630" s="278"/>
      <x:c r="I630" s="278"/>
      <x:c r="K630" s="278"/>
      <x:c r="L630" s="7"/>
      <x:c r="M630" s="7"/>
      <x:c r="Q630" s="279"/>
      <x:c r="R630" s="281"/>
    </x:row>
    <x:row r="631">
      <x:c r="A631" s="278"/>
      <x:c r="C631" s="279"/>
      <x:c r="F631" s="278"/>
      <x:c r="G631" s="280"/>
      <x:c r="H631" s="278"/>
      <x:c r="I631" s="278"/>
      <x:c r="K631" s="278"/>
      <x:c r="L631" s="7"/>
      <x:c r="M631" s="7"/>
      <x:c r="Q631" s="279"/>
      <x:c r="R631" s="281"/>
    </x:row>
    <x:row r="632">
      <x:c r="A632" s="278"/>
      <x:c r="C632" s="279"/>
      <x:c r="F632" s="278"/>
      <x:c r="G632" s="280"/>
      <x:c r="H632" s="278"/>
      <x:c r="I632" s="278"/>
      <x:c r="K632" s="278"/>
      <x:c r="L632" s="7"/>
      <x:c r="M632" s="7"/>
      <x:c r="Q632" s="279"/>
      <x:c r="R632" s="281"/>
    </x:row>
    <x:row r="633">
      <x:c r="A633" s="278"/>
      <x:c r="C633" s="279"/>
      <x:c r="F633" s="278"/>
      <x:c r="G633" s="280"/>
      <x:c r="H633" s="278"/>
      <x:c r="I633" s="278"/>
      <x:c r="K633" s="278"/>
      <x:c r="L633" s="7"/>
      <x:c r="M633" s="7"/>
      <x:c r="Q633" s="279"/>
      <x:c r="R633" s="281"/>
    </x:row>
    <x:row r="634">
      <x:c r="A634" s="278"/>
      <x:c r="C634" s="279"/>
      <x:c r="F634" s="278"/>
      <x:c r="G634" s="280"/>
      <x:c r="H634" s="278"/>
      <x:c r="I634" s="278"/>
      <x:c r="K634" s="278"/>
      <x:c r="L634" s="7"/>
      <x:c r="M634" s="7"/>
      <x:c r="Q634" s="279"/>
      <x:c r="R634" s="281"/>
    </x:row>
    <x:row r="635">
      <x:c r="A635" s="278"/>
      <x:c r="C635" s="279"/>
      <x:c r="F635" s="278"/>
      <x:c r="G635" s="280"/>
      <x:c r="H635" s="278"/>
      <x:c r="I635" s="278"/>
      <x:c r="K635" s="278"/>
      <x:c r="L635" s="7"/>
      <x:c r="M635" s="7"/>
      <x:c r="Q635" s="279"/>
      <x:c r="R635" s="281"/>
    </x:row>
    <x:row r="636">
      <x:c r="A636" s="278"/>
      <x:c r="C636" s="279"/>
      <x:c r="F636" s="278"/>
      <x:c r="G636" s="280"/>
      <x:c r="H636" s="278"/>
      <x:c r="I636" s="278"/>
      <x:c r="K636" s="278"/>
      <x:c r="L636" s="7"/>
      <x:c r="M636" s="7"/>
      <x:c r="Q636" s="279"/>
      <x:c r="R636" s="281"/>
    </x:row>
    <x:row r="637">
      <x:c r="A637" s="278"/>
      <x:c r="C637" s="279"/>
      <x:c r="F637" s="278"/>
      <x:c r="G637" s="280"/>
      <x:c r="H637" s="278"/>
      <x:c r="I637" s="278"/>
      <x:c r="K637" s="278"/>
      <x:c r="L637" s="7"/>
      <x:c r="M637" s="7"/>
      <x:c r="Q637" s="279"/>
      <x:c r="R637" s="281"/>
    </x:row>
    <x:row r="638">
      <x:c r="A638" s="278"/>
      <x:c r="C638" s="279"/>
      <x:c r="F638" s="278"/>
      <x:c r="G638" s="280"/>
      <x:c r="H638" s="278"/>
      <x:c r="I638" s="278"/>
      <x:c r="K638" s="278"/>
      <x:c r="L638" s="7"/>
      <x:c r="M638" s="7"/>
      <x:c r="Q638" s="279"/>
      <x:c r="R638" s="281"/>
    </x:row>
    <x:row r="639">
      <x:c r="A639" s="278"/>
      <x:c r="C639" s="279"/>
      <x:c r="F639" s="278"/>
      <x:c r="G639" s="280"/>
      <x:c r="H639" s="278"/>
      <x:c r="I639" s="278"/>
      <x:c r="K639" s="278"/>
      <x:c r="L639" s="7"/>
      <x:c r="M639" s="7"/>
      <x:c r="Q639" s="279"/>
      <x:c r="R639" s="281"/>
    </x:row>
    <x:row r="640">
      <x:c r="A640" s="278"/>
      <x:c r="C640" s="279"/>
      <x:c r="F640" s="278"/>
      <x:c r="G640" s="280"/>
      <x:c r="H640" s="278"/>
      <x:c r="I640" s="278"/>
      <x:c r="K640" s="278"/>
      <x:c r="L640" s="7"/>
      <x:c r="M640" s="7"/>
      <x:c r="Q640" s="279"/>
      <x:c r="R640" s="281"/>
    </x:row>
    <x:row r="641">
      <x:c r="A641" s="278"/>
      <x:c r="C641" s="279"/>
      <x:c r="F641" s="278"/>
      <x:c r="G641" s="280"/>
      <x:c r="H641" s="278"/>
      <x:c r="I641" s="278"/>
      <x:c r="K641" s="278"/>
      <x:c r="L641" s="7"/>
      <x:c r="M641" s="7"/>
      <x:c r="Q641" s="279"/>
      <x:c r="R641" s="281"/>
    </x:row>
    <x:row r="642">
      <x:c r="A642" s="278"/>
      <x:c r="C642" s="279"/>
      <x:c r="F642" s="278"/>
      <x:c r="G642" s="280"/>
      <x:c r="H642" s="278"/>
      <x:c r="I642" s="278"/>
      <x:c r="K642" s="278"/>
      <x:c r="L642" s="7"/>
      <x:c r="M642" s="7"/>
      <x:c r="Q642" s="279"/>
      <x:c r="R642" s="281"/>
    </x:row>
    <x:row r="643">
      <x:c r="A643" s="278"/>
      <x:c r="C643" s="279"/>
      <x:c r="F643" s="278"/>
      <x:c r="G643" s="280"/>
      <x:c r="H643" s="278"/>
      <x:c r="I643" s="278"/>
      <x:c r="K643" s="278"/>
      <x:c r="L643" s="7"/>
      <x:c r="M643" s="7"/>
      <x:c r="Q643" s="279"/>
      <x:c r="R643" s="281"/>
    </x:row>
    <x:row r="644">
      <x:c r="A644" s="278"/>
      <x:c r="C644" s="279"/>
      <x:c r="F644" s="278"/>
      <x:c r="G644" s="280"/>
      <x:c r="H644" s="278"/>
      <x:c r="I644" s="278"/>
      <x:c r="K644" s="278"/>
      <x:c r="L644" s="7"/>
      <x:c r="M644" s="7"/>
      <x:c r="Q644" s="279"/>
      <x:c r="R644" s="281"/>
    </x:row>
    <x:row r="645">
      <x:c r="A645" s="278"/>
      <x:c r="C645" s="279"/>
      <x:c r="F645" s="278"/>
      <x:c r="G645" s="280"/>
      <x:c r="H645" s="278"/>
      <x:c r="I645" s="278"/>
      <x:c r="K645" s="278"/>
      <x:c r="L645" s="7"/>
      <x:c r="M645" s="7"/>
      <x:c r="Q645" s="279"/>
      <x:c r="R645" s="281"/>
    </x:row>
    <x:row r="646">
      <x:c r="A646" s="278"/>
      <x:c r="C646" s="279"/>
      <x:c r="F646" s="278"/>
      <x:c r="G646" s="280"/>
      <x:c r="H646" s="278"/>
      <x:c r="I646" s="278"/>
      <x:c r="K646" s="278"/>
      <x:c r="L646" s="7"/>
      <x:c r="M646" s="7"/>
      <x:c r="Q646" s="279"/>
      <x:c r="R646" s="281"/>
    </x:row>
    <x:row r="647">
      <x:c r="A647" s="278"/>
      <x:c r="C647" s="279"/>
      <x:c r="F647" s="278"/>
      <x:c r="G647" s="280"/>
      <x:c r="H647" s="278"/>
      <x:c r="I647" s="278"/>
      <x:c r="K647" s="278"/>
      <x:c r="L647" s="7"/>
      <x:c r="M647" s="7"/>
      <x:c r="Q647" s="279"/>
      <x:c r="R647" s="281"/>
    </x:row>
    <x:row r="648">
      <x:c r="A648" s="278"/>
      <x:c r="C648" s="279"/>
      <x:c r="F648" s="278"/>
      <x:c r="G648" s="280"/>
      <x:c r="H648" s="278"/>
      <x:c r="I648" s="278"/>
      <x:c r="K648" s="278"/>
      <x:c r="L648" s="7"/>
      <x:c r="M648" s="7"/>
      <x:c r="Q648" s="279"/>
      <x:c r="R648" s="281"/>
    </x:row>
    <x:row r="649">
      <x:c r="A649" s="278"/>
      <x:c r="C649" s="279"/>
      <x:c r="F649" s="278"/>
      <x:c r="G649" s="280"/>
      <x:c r="H649" s="278"/>
      <x:c r="I649" s="278"/>
      <x:c r="K649" s="278"/>
      <x:c r="L649" s="7"/>
      <x:c r="M649" s="7"/>
      <x:c r="Q649" s="279"/>
      <x:c r="R649" s="281"/>
    </x:row>
    <x:row r="650">
      <x:c r="A650" s="278"/>
      <x:c r="C650" s="279"/>
      <x:c r="F650" s="278"/>
      <x:c r="G650" s="280"/>
      <x:c r="H650" s="278"/>
      <x:c r="I650" s="278"/>
      <x:c r="K650" s="278"/>
      <x:c r="L650" s="7"/>
      <x:c r="M650" s="7"/>
      <x:c r="Q650" s="279"/>
      <x:c r="R650" s="281"/>
    </x:row>
    <x:row r="651">
      <x:c r="A651" s="278"/>
      <x:c r="C651" s="279"/>
      <x:c r="F651" s="278"/>
      <x:c r="G651" s="280"/>
      <x:c r="H651" s="278"/>
      <x:c r="I651" s="278"/>
      <x:c r="K651" s="278"/>
      <x:c r="L651" s="7"/>
      <x:c r="M651" s="7"/>
      <x:c r="Q651" s="279"/>
      <x:c r="R651" s="281"/>
    </x:row>
    <x:row r="652">
      <x:c r="A652" s="278"/>
      <x:c r="C652" s="279"/>
      <x:c r="F652" s="278"/>
      <x:c r="G652" s="280"/>
      <x:c r="H652" s="278"/>
      <x:c r="I652" s="278"/>
      <x:c r="K652" s="278"/>
      <x:c r="L652" s="7"/>
      <x:c r="M652" s="7"/>
      <x:c r="Q652" s="279"/>
      <x:c r="R652" s="281"/>
    </x:row>
    <x:row r="653">
      <x:c r="A653" s="278"/>
      <x:c r="C653" s="279"/>
      <x:c r="F653" s="278"/>
      <x:c r="G653" s="280"/>
      <x:c r="H653" s="278"/>
      <x:c r="I653" s="278"/>
      <x:c r="K653" s="278"/>
      <x:c r="L653" s="7"/>
      <x:c r="M653" s="7"/>
      <x:c r="Q653" s="279"/>
      <x:c r="R653" s="281"/>
    </x:row>
    <x:row r="654">
      <x:c r="A654" s="278"/>
      <x:c r="C654" s="279"/>
      <x:c r="F654" s="278"/>
      <x:c r="G654" s="280"/>
      <x:c r="H654" s="278"/>
      <x:c r="I654" s="278"/>
      <x:c r="K654" s="278"/>
      <x:c r="L654" s="7"/>
      <x:c r="M654" s="7"/>
      <x:c r="Q654" s="279"/>
      <x:c r="R654" s="281"/>
    </x:row>
    <x:row r="655">
      <x:c r="A655" s="278"/>
      <x:c r="C655" s="279"/>
      <x:c r="F655" s="278"/>
      <x:c r="G655" s="280"/>
      <x:c r="H655" s="278"/>
      <x:c r="I655" s="278"/>
      <x:c r="K655" s="278"/>
      <x:c r="L655" s="7"/>
      <x:c r="M655" s="7"/>
      <x:c r="Q655" s="279"/>
      <x:c r="R655" s="281"/>
    </x:row>
    <x:row r="656">
      <x:c r="A656" s="278"/>
      <x:c r="C656" s="279"/>
      <x:c r="F656" s="278"/>
      <x:c r="G656" s="280"/>
      <x:c r="H656" s="278"/>
      <x:c r="I656" s="278"/>
      <x:c r="K656" s="278"/>
      <x:c r="L656" s="7"/>
      <x:c r="M656" s="7"/>
      <x:c r="Q656" s="279"/>
      <x:c r="R656" s="281"/>
    </x:row>
    <x:row r="657">
      <x:c r="A657" s="278"/>
      <x:c r="C657" s="279"/>
      <x:c r="F657" s="278"/>
      <x:c r="G657" s="280"/>
      <x:c r="H657" s="278"/>
      <x:c r="I657" s="278"/>
      <x:c r="K657" s="278"/>
      <x:c r="L657" s="7"/>
      <x:c r="M657" s="7"/>
      <x:c r="Q657" s="279"/>
      <x:c r="R657" s="281"/>
    </x:row>
    <x:row r="658">
      <x:c r="A658" s="278"/>
      <x:c r="C658" s="279"/>
      <x:c r="F658" s="278"/>
      <x:c r="G658" s="280"/>
      <x:c r="H658" s="278"/>
      <x:c r="I658" s="278"/>
      <x:c r="K658" s="278"/>
      <x:c r="L658" s="7"/>
      <x:c r="M658" s="7"/>
      <x:c r="Q658" s="279"/>
      <x:c r="R658" s="281"/>
    </x:row>
    <x:row r="659">
      <x:c r="A659" s="278"/>
      <x:c r="C659" s="279"/>
      <x:c r="F659" s="278"/>
      <x:c r="G659" s="280"/>
      <x:c r="H659" s="278"/>
      <x:c r="I659" s="278"/>
      <x:c r="K659" s="278"/>
      <x:c r="L659" s="7"/>
      <x:c r="M659" s="7"/>
      <x:c r="Q659" s="279"/>
      <x:c r="R659" s="281"/>
    </x:row>
    <x:row r="660">
      <x:c r="A660" s="278"/>
      <x:c r="C660" s="279"/>
      <x:c r="F660" s="278"/>
      <x:c r="G660" s="280"/>
      <x:c r="H660" s="278"/>
      <x:c r="I660" s="278"/>
      <x:c r="K660" s="278"/>
      <x:c r="L660" s="7"/>
      <x:c r="M660" s="7"/>
      <x:c r="Q660" s="279"/>
      <x:c r="R660" s="281"/>
    </x:row>
    <x:row r="661">
      <x:c r="A661" s="278"/>
      <x:c r="C661" s="279"/>
      <x:c r="F661" s="278"/>
      <x:c r="G661" s="280"/>
      <x:c r="H661" s="278"/>
      <x:c r="I661" s="278"/>
      <x:c r="K661" s="278"/>
      <x:c r="L661" s="7"/>
      <x:c r="M661" s="7"/>
      <x:c r="Q661" s="279"/>
      <x:c r="R661" s="281"/>
    </x:row>
    <x:row r="662">
      <x:c r="A662" s="278"/>
      <x:c r="C662" s="279"/>
      <x:c r="F662" s="278"/>
      <x:c r="G662" s="280"/>
      <x:c r="H662" s="278"/>
      <x:c r="I662" s="278"/>
      <x:c r="K662" s="278"/>
      <x:c r="L662" s="7"/>
      <x:c r="M662" s="7"/>
      <x:c r="Q662" s="279"/>
      <x:c r="R662" s="281"/>
    </x:row>
    <x:row r="663">
      <x:c r="A663" s="278"/>
      <x:c r="C663" s="279"/>
      <x:c r="F663" s="278"/>
      <x:c r="G663" s="280"/>
      <x:c r="H663" s="278"/>
      <x:c r="I663" s="278"/>
      <x:c r="K663" s="278"/>
      <x:c r="L663" s="7"/>
      <x:c r="M663" s="7"/>
      <x:c r="Q663" s="279"/>
      <x:c r="R663" s="281"/>
    </x:row>
    <x:row r="664">
      <x:c r="A664" s="278"/>
      <x:c r="C664" s="279"/>
      <x:c r="F664" s="278"/>
      <x:c r="G664" s="280"/>
      <x:c r="H664" s="278"/>
      <x:c r="I664" s="278"/>
      <x:c r="K664" s="278"/>
      <x:c r="L664" s="7"/>
      <x:c r="M664" s="7"/>
      <x:c r="Q664" s="279"/>
      <x:c r="R664" s="281"/>
    </x:row>
    <x:row r="665">
      <x:c r="A665" s="278"/>
      <x:c r="C665" s="279"/>
      <x:c r="F665" s="278"/>
      <x:c r="G665" s="280"/>
      <x:c r="H665" s="278"/>
      <x:c r="I665" s="278"/>
      <x:c r="K665" s="278"/>
      <x:c r="L665" s="7"/>
      <x:c r="M665" s="7"/>
      <x:c r="Q665" s="279"/>
      <x:c r="R665" s="281"/>
    </x:row>
    <x:row r="666">
      <x:c r="A666" s="278"/>
      <x:c r="C666" s="279"/>
      <x:c r="F666" s="278"/>
      <x:c r="G666" s="280"/>
      <x:c r="H666" s="278"/>
      <x:c r="I666" s="278"/>
      <x:c r="K666" s="278"/>
      <x:c r="L666" s="7"/>
      <x:c r="M666" s="7"/>
      <x:c r="Q666" s="279"/>
      <x:c r="R666" s="281"/>
    </x:row>
    <x:row r="667">
      <x:c r="A667" s="278"/>
      <x:c r="C667" s="279"/>
      <x:c r="F667" s="278"/>
      <x:c r="G667" s="280"/>
      <x:c r="H667" s="278"/>
      <x:c r="I667" s="278"/>
      <x:c r="K667" s="278"/>
      <x:c r="L667" s="7"/>
      <x:c r="M667" s="7"/>
      <x:c r="Q667" s="279"/>
      <x:c r="R667" s="281"/>
    </x:row>
    <x:row r="668">
      <x:c r="A668" s="278"/>
      <x:c r="C668" s="279"/>
      <x:c r="F668" s="278"/>
      <x:c r="G668" s="280"/>
      <x:c r="H668" s="278"/>
      <x:c r="I668" s="278"/>
      <x:c r="K668" s="278"/>
      <x:c r="L668" s="7"/>
      <x:c r="M668" s="7"/>
      <x:c r="Q668" s="279"/>
      <x:c r="R668" s="281"/>
    </x:row>
    <x:row r="669">
      <x:c r="A669" s="278"/>
      <x:c r="C669" s="279"/>
      <x:c r="F669" s="278"/>
      <x:c r="G669" s="280"/>
      <x:c r="H669" s="278"/>
      <x:c r="I669" s="278"/>
      <x:c r="K669" s="278"/>
      <x:c r="L669" s="7"/>
      <x:c r="M669" s="7"/>
      <x:c r="Q669" s="279"/>
      <x:c r="R669" s="281"/>
    </x:row>
    <x:row r="670">
      <x:c r="A670" s="278"/>
      <x:c r="C670" s="279"/>
      <x:c r="F670" s="278"/>
      <x:c r="G670" s="280"/>
      <x:c r="H670" s="278"/>
      <x:c r="I670" s="278"/>
      <x:c r="K670" s="278"/>
      <x:c r="L670" s="7"/>
      <x:c r="M670" s="7"/>
      <x:c r="Q670" s="279"/>
      <x:c r="R670" s="281"/>
    </x:row>
    <x:row r="671">
      <x:c r="A671" s="278"/>
      <x:c r="C671" s="279"/>
      <x:c r="F671" s="278"/>
      <x:c r="G671" s="280"/>
      <x:c r="H671" s="278"/>
      <x:c r="I671" s="278"/>
      <x:c r="K671" s="278"/>
      <x:c r="L671" s="7"/>
      <x:c r="M671" s="7"/>
      <x:c r="Q671" s="279"/>
      <x:c r="R671" s="281"/>
    </x:row>
    <x:row r="672">
      <x:c r="A672" s="278"/>
      <x:c r="C672" s="279"/>
      <x:c r="F672" s="278"/>
      <x:c r="G672" s="280"/>
      <x:c r="H672" s="278"/>
      <x:c r="I672" s="278"/>
      <x:c r="K672" s="278"/>
      <x:c r="L672" s="7"/>
      <x:c r="M672" s="7"/>
      <x:c r="Q672" s="279"/>
      <x:c r="R672" s="281"/>
    </x:row>
    <x:row r="673">
      <x:c r="A673" s="278"/>
      <x:c r="C673" s="279"/>
      <x:c r="F673" s="278"/>
      <x:c r="G673" s="280"/>
      <x:c r="H673" s="278"/>
      <x:c r="I673" s="278"/>
      <x:c r="K673" s="278"/>
      <x:c r="L673" s="7"/>
      <x:c r="M673" s="7"/>
      <x:c r="Q673" s="279"/>
      <x:c r="R673" s="281"/>
    </x:row>
    <x:row r="674">
      <x:c r="A674" s="278"/>
      <x:c r="C674" s="279"/>
      <x:c r="F674" s="278"/>
      <x:c r="G674" s="280"/>
      <x:c r="H674" s="278"/>
      <x:c r="I674" s="278"/>
      <x:c r="K674" s="278"/>
      <x:c r="L674" s="7"/>
      <x:c r="M674" s="7"/>
      <x:c r="Q674" s="279"/>
      <x:c r="R674" s="281"/>
    </x:row>
    <x:row r="675">
      <x:c r="A675" s="278"/>
      <x:c r="C675" s="279"/>
      <x:c r="F675" s="278"/>
      <x:c r="G675" s="280"/>
      <x:c r="H675" s="278"/>
      <x:c r="I675" s="278"/>
      <x:c r="K675" s="278"/>
      <x:c r="L675" s="7"/>
      <x:c r="M675" s="7"/>
      <x:c r="Q675" s="279"/>
      <x:c r="R675" s="281"/>
    </x:row>
    <x:row r="676">
      <x:c r="A676" s="278"/>
      <x:c r="C676" s="279"/>
      <x:c r="F676" s="278"/>
      <x:c r="G676" s="280"/>
      <x:c r="H676" s="278"/>
      <x:c r="I676" s="278"/>
      <x:c r="K676" s="278"/>
      <x:c r="L676" s="7"/>
      <x:c r="M676" s="7"/>
      <x:c r="Q676" s="279"/>
      <x:c r="R676" s="281"/>
    </x:row>
    <x:row r="677">
      <x:c r="A677" s="278"/>
      <x:c r="C677" s="279"/>
      <x:c r="F677" s="278"/>
      <x:c r="G677" s="280"/>
      <x:c r="H677" s="278"/>
      <x:c r="I677" s="278"/>
      <x:c r="K677" s="278"/>
      <x:c r="L677" s="7"/>
      <x:c r="M677" s="7"/>
      <x:c r="Q677" s="279"/>
      <x:c r="R677" s="281"/>
    </x:row>
    <x:row r="678">
      <x:c r="A678" s="278"/>
      <x:c r="C678" s="279"/>
      <x:c r="F678" s="278"/>
      <x:c r="G678" s="280"/>
      <x:c r="H678" s="278"/>
      <x:c r="I678" s="278"/>
      <x:c r="K678" s="278"/>
      <x:c r="L678" s="7"/>
      <x:c r="M678" s="7"/>
      <x:c r="Q678" s="279"/>
      <x:c r="R678" s="281"/>
    </x:row>
    <x:row r="679">
      <x:c r="A679" s="278"/>
      <x:c r="C679" s="279"/>
      <x:c r="F679" s="278"/>
      <x:c r="G679" s="280"/>
      <x:c r="H679" s="278"/>
      <x:c r="I679" s="278"/>
      <x:c r="K679" s="278"/>
      <x:c r="L679" s="7"/>
      <x:c r="M679" s="7"/>
      <x:c r="Q679" s="279"/>
      <x:c r="R679" s="281"/>
    </x:row>
    <x:row r="680">
      <x:c r="A680" s="278"/>
      <x:c r="C680" s="279"/>
      <x:c r="F680" s="278"/>
      <x:c r="G680" s="280"/>
      <x:c r="H680" s="278"/>
      <x:c r="I680" s="278"/>
      <x:c r="K680" s="278"/>
      <x:c r="L680" s="7"/>
      <x:c r="M680" s="7"/>
      <x:c r="Q680" s="279"/>
      <x:c r="R680" s="281"/>
    </x:row>
    <x:row r="681">
      <x:c r="A681" s="278"/>
      <x:c r="C681" s="279"/>
      <x:c r="F681" s="278"/>
      <x:c r="G681" s="280"/>
      <x:c r="H681" s="278"/>
      <x:c r="I681" s="278"/>
      <x:c r="K681" s="278"/>
      <x:c r="L681" s="7"/>
      <x:c r="M681" s="7"/>
      <x:c r="Q681" s="279"/>
      <x:c r="R681" s="281"/>
    </x:row>
    <x:row r="682">
      <x:c r="A682" s="278"/>
      <x:c r="C682" s="279"/>
      <x:c r="F682" s="278"/>
      <x:c r="G682" s="280"/>
      <x:c r="H682" s="278"/>
      <x:c r="I682" s="278"/>
      <x:c r="K682" s="278"/>
      <x:c r="L682" s="7"/>
      <x:c r="M682" s="7"/>
      <x:c r="Q682" s="279"/>
      <x:c r="R682" s="281"/>
    </x:row>
    <x:row r="683">
      <x:c r="A683" s="278"/>
      <x:c r="C683" s="279"/>
      <x:c r="F683" s="278"/>
      <x:c r="G683" s="280"/>
      <x:c r="H683" s="278"/>
      <x:c r="I683" s="278"/>
      <x:c r="K683" s="278"/>
      <x:c r="L683" s="7"/>
      <x:c r="M683" s="7"/>
      <x:c r="Q683" s="279"/>
      <x:c r="R683" s="281"/>
    </x:row>
    <x:row r="684">
      <x:c r="A684" s="278"/>
      <x:c r="C684" s="279"/>
      <x:c r="F684" s="278"/>
      <x:c r="G684" s="280"/>
      <x:c r="H684" s="278"/>
      <x:c r="I684" s="278"/>
      <x:c r="K684" s="278"/>
      <x:c r="L684" s="7"/>
      <x:c r="M684" s="7"/>
      <x:c r="Q684" s="279"/>
      <x:c r="R684" s="281"/>
    </x:row>
    <x:row r="685">
      <x:c r="A685" s="278"/>
      <x:c r="C685" s="279"/>
      <x:c r="F685" s="278"/>
      <x:c r="G685" s="280"/>
      <x:c r="H685" s="278"/>
      <x:c r="I685" s="278"/>
      <x:c r="K685" s="278"/>
      <x:c r="L685" s="7"/>
      <x:c r="M685" s="7"/>
      <x:c r="Q685" s="279"/>
      <x:c r="R685" s="281"/>
    </x:row>
    <x:row r="686">
      <x:c r="A686" s="278"/>
      <x:c r="C686" s="279"/>
      <x:c r="F686" s="278"/>
      <x:c r="G686" s="280"/>
      <x:c r="H686" s="278"/>
      <x:c r="I686" s="278"/>
      <x:c r="K686" s="278"/>
      <x:c r="L686" s="7"/>
      <x:c r="M686" s="7"/>
      <x:c r="Q686" s="279"/>
      <x:c r="R686" s="281"/>
    </x:row>
    <x:row r="687">
      <x:c r="A687" s="278"/>
      <x:c r="C687" s="279"/>
      <x:c r="F687" s="278"/>
      <x:c r="G687" s="280"/>
      <x:c r="H687" s="278"/>
      <x:c r="I687" s="278"/>
      <x:c r="K687" s="278"/>
      <x:c r="L687" s="7"/>
      <x:c r="M687" s="7"/>
      <x:c r="Q687" s="279"/>
      <x:c r="R687" s="281"/>
    </x:row>
    <x:row r="688">
      <x:c r="A688" s="278"/>
      <x:c r="C688" s="279"/>
      <x:c r="F688" s="278"/>
      <x:c r="G688" s="280"/>
      <x:c r="H688" s="278"/>
      <x:c r="I688" s="278"/>
      <x:c r="K688" s="278"/>
      <x:c r="L688" s="7"/>
      <x:c r="M688" s="7"/>
      <x:c r="Q688" s="279"/>
      <x:c r="R688" s="281"/>
    </x:row>
    <x:row r="689">
      <x:c r="A689" s="278"/>
      <x:c r="C689" s="279"/>
      <x:c r="F689" s="278"/>
      <x:c r="G689" s="280"/>
      <x:c r="H689" s="278"/>
      <x:c r="I689" s="278"/>
      <x:c r="K689" s="278"/>
      <x:c r="L689" s="7"/>
      <x:c r="M689" s="7"/>
      <x:c r="Q689" s="279"/>
      <x:c r="R689" s="281"/>
    </x:row>
    <x:row r="690">
      <x:c r="A690" s="278"/>
      <x:c r="C690" s="279"/>
      <x:c r="F690" s="278"/>
      <x:c r="G690" s="280"/>
      <x:c r="H690" s="278"/>
      <x:c r="I690" s="278"/>
      <x:c r="K690" s="278"/>
      <x:c r="L690" s="7"/>
      <x:c r="M690" s="7"/>
      <x:c r="Q690" s="279"/>
      <x:c r="R690" s="281"/>
    </x:row>
    <x:row r="691">
      <x:c r="A691" s="278"/>
      <x:c r="C691" s="279"/>
      <x:c r="F691" s="278"/>
      <x:c r="G691" s="280"/>
      <x:c r="H691" s="278"/>
      <x:c r="I691" s="278"/>
      <x:c r="K691" s="278"/>
      <x:c r="L691" s="7"/>
      <x:c r="M691" s="7"/>
      <x:c r="Q691" s="279"/>
      <x:c r="R691" s="281"/>
    </x:row>
    <x:row r="692">
      <x:c r="A692" s="278"/>
      <x:c r="C692" s="279"/>
      <x:c r="F692" s="278"/>
      <x:c r="G692" s="280"/>
      <x:c r="H692" s="278"/>
      <x:c r="I692" s="278"/>
      <x:c r="K692" s="278"/>
      <x:c r="L692" s="7"/>
      <x:c r="M692" s="7"/>
      <x:c r="Q692" s="279"/>
      <x:c r="R692" s="281"/>
    </x:row>
    <x:row r="693">
      <x:c r="A693" s="278"/>
      <x:c r="C693" s="279"/>
      <x:c r="F693" s="278"/>
      <x:c r="G693" s="280"/>
      <x:c r="H693" s="278"/>
      <x:c r="I693" s="278"/>
      <x:c r="K693" s="278"/>
      <x:c r="L693" s="7"/>
      <x:c r="M693" s="7"/>
      <x:c r="Q693" s="279"/>
      <x:c r="R693" s="281"/>
    </x:row>
    <x:row r="694">
      <x:c r="A694" s="278"/>
      <x:c r="C694" s="279"/>
      <x:c r="F694" s="278"/>
      <x:c r="G694" s="280"/>
      <x:c r="H694" s="278"/>
      <x:c r="I694" s="278"/>
      <x:c r="K694" s="278"/>
      <x:c r="L694" s="7"/>
      <x:c r="M694" s="7"/>
      <x:c r="Q694" s="279"/>
      <x:c r="R694" s="281"/>
    </x:row>
    <x:row r="695">
      <x:c r="A695" s="278"/>
      <x:c r="C695" s="279"/>
      <x:c r="F695" s="278"/>
      <x:c r="G695" s="280"/>
      <x:c r="H695" s="278"/>
      <x:c r="I695" s="278"/>
      <x:c r="K695" s="278"/>
      <x:c r="L695" s="7"/>
      <x:c r="M695" s="7"/>
      <x:c r="Q695" s="279"/>
      <x:c r="R695" s="281"/>
    </x:row>
    <x:row r="696">
      <x:c r="A696" s="278"/>
      <x:c r="C696" s="279"/>
      <x:c r="F696" s="278"/>
      <x:c r="G696" s="280"/>
      <x:c r="H696" s="278"/>
      <x:c r="I696" s="278"/>
      <x:c r="K696" s="278"/>
      <x:c r="L696" s="7"/>
      <x:c r="M696" s="7"/>
      <x:c r="Q696" s="279"/>
      <x:c r="R696" s="281"/>
    </x:row>
    <x:row r="697">
      <x:c r="A697" s="278"/>
      <x:c r="C697" s="279"/>
      <x:c r="F697" s="278"/>
      <x:c r="G697" s="280"/>
      <x:c r="H697" s="278"/>
      <x:c r="I697" s="278"/>
      <x:c r="K697" s="278"/>
      <x:c r="L697" s="7"/>
      <x:c r="M697" s="7"/>
      <x:c r="Q697" s="279"/>
      <x:c r="R697" s="281"/>
    </x:row>
    <x:row r="698">
      <x:c r="A698" s="278"/>
      <x:c r="C698" s="279"/>
      <x:c r="F698" s="278"/>
      <x:c r="G698" s="280"/>
      <x:c r="H698" s="278"/>
      <x:c r="I698" s="278"/>
      <x:c r="K698" s="278"/>
      <x:c r="L698" s="7"/>
      <x:c r="M698" s="7"/>
      <x:c r="Q698" s="279"/>
      <x:c r="R698" s="281"/>
    </x:row>
    <x:row r="699">
      <x:c r="A699" s="278"/>
      <x:c r="C699" s="279"/>
      <x:c r="F699" s="278"/>
      <x:c r="G699" s="280"/>
      <x:c r="H699" s="278"/>
      <x:c r="I699" s="278"/>
      <x:c r="K699" s="278"/>
      <x:c r="L699" s="7"/>
      <x:c r="M699" s="7"/>
      <x:c r="Q699" s="279"/>
      <x:c r="R699" s="281"/>
    </x:row>
    <x:row r="700">
      <x:c r="A700" s="278"/>
      <x:c r="C700" s="279"/>
      <x:c r="F700" s="278"/>
      <x:c r="G700" s="280"/>
      <x:c r="H700" s="278"/>
      <x:c r="I700" s="278"/>
      <x:c r="K700" s="278"/>
      <x:c r="L700" s="7"/>
      <x:c r="M700" s="7"/>
      <x:c r="Q700" s="279"/>
      <x:c r="R700" s="281"/>
    </x:row>
    <x:row r="701">
      <x:c r="A701" s="278"/>
      <x:c r="C701" s="279"/>
      <x:c r="F701" s="278"/>
      <x:c r="G701" s="280"/>
      <x:c r="H701" s="278"/>
      <x:c r="I701" s="278"/>
      <x:c r="K701" s="278"/>
      <x:c r="L701" s="7"/>
      <x:c r="M701" s="7"/>
      <x:c r="Q701" s="279"/>
      <x:c r="R701" s="281"/>
    </x:row>
    <x:row r="702">
      <x:c r="A702" s="278"/>
      <x:c r="C702" s="279"/>
      <x:c r="F702" s="278"/>
      <x:c r="G702" s="280"/>
      <x:c r="H702" s="278"/>
      <x:c r="I702" s="278"/>
      <x:c r="K702" s="278"/>
      <x:c r="L702" s="7"/>
      <x:c r="M702" s="7"/>
      <x:c r="Q702" s="279"/>
      <x:c r="R702" s="281"/>
    </x:row>
    <x:row r="703">
      <x:c r="A703" s="278"/>
      <x:c r="C703" s="279"/>
      <x:c r="F703" s="278"/>
      <x:c r="G703" s="280"/>
      <x:c r="H703" s="278"/>
      <x:c r="I703" s="278"/>
      <x:c r="K703" s="278"/>
      <x:c r="L703" s="7"/>
      <x:c r="M703" s="7"/>
      <x:c r="Q703" s="279"/>
      <x:c r="R703" s="281"/>
    </x:row>
    <x:row r="704">
      <x:c r="A704" s="278"/>
      <x:c r="C704" s="279"/>
      <x:c r="F704" s="278"/>
      <x:c r="G704" s="280"/>
      <x:c r="H704" s="278"/>
      <x:c r="I704" s="278"/>
      <x:c r="K704" s="278"/>
      <x:c r="L704" s="7"/>
      <x:c r="M704" s="7"/>
      <x:c r="Q704" s="279"/>
      <x:c r="R704" s="281"/>
    </x:row>
    <x:row r="705">
      <x:c r="A705" s="278"/>
      <x:c r="C705" s="279"/>
      <x:c r="F705" s="278"/>
      <x:c r="G705" s="280"/>
      <x:c r="H705" s="278"/>
      <x:c r="I705" s="278"/>
      <x:c r="K705" s="278"/>
      <x:c r="L705" s="7"/>
      <x:c r="M705" s="7"/>
      <x:c r="Q705" s="279"/>
      <x:c r="R705" s="281"/>
    </x:row>
    <x:row r="706">
      <x:c r="A706" s="278"/>
      <x:c r="C706" s="279"/>
      <x:c r="F706" s="278"/>
      <x:c r="G706" s="280"/>
      <x:c r="H706" s="278"/>
      <x:c r="I706" s="278"/>
      <x:c r="K706" s="278"/>
      <x:c r="L706" s="7"/>
      <x:c r="M706" s="7"/>
      <x:c r="Q706" s="279"/>
      <x:c r="R706" s="281"/>
    </x:row>
    <x:row r="707">
      <x:c r="A707" s="278"/>
      <x:c r="C707" s="279"/>
      <x:c r="F707" s="278"/>
      <x:c r="G707" s="280"/>
      <x:c r="H707" s="278"/>
      <x:c r="I707" s="278"/>
      <x:c r="K707" s="278"/>
      <x:c r="L707" s="7"/>
      <x:c r="M707" s="7"/>
      <x:c r="Q707" s="279"/>
      <x:c r="R707" s="281"/>
    </x:row>
    <x:row r="708">
      <x:c r="A708" s="278"/>
      <x:c r="C708" s="279"/>
      <x:c r="F708" s="278"/>
      <x:c r="G708" s="280"/>
      <x:c r="H708" s="278"/>
      <x:c r="I708" s="278"/>
      <x:c r="K708" s="278"/>
      <x:c r="L708" s="7"/>
      <x:c r="M708" s="7"/>
      <x:c r="Q708" s="279"/>
      <x:c r="R708" s="281"/>
    </x:row>
    <x:row r="709">
      <x:c r="A709" s="278"/>
      <x:c r="C709" s="279"/>
      <x:c r="F709" s="278"/>
      <x:c r="G709" s="280"/>
      <x:c r="H709" s="278"/>
      <x:c r="I709" s="278"/>
      <x:c r="K709" s="278"/>
      <x:c r="L709" s="7"/>
      <x:c r="M709" s="7"/>
      <x:c r="Q709" s="279"/>
      <x:c r="R709" s="281"/>
    </x:row>
    <x:row r="710">
      <x:c r="A710" s="278"/>
      <x:c r="C710" s="279"/>
      <x:c r="F710" s="278"/>
      <x:c r="G710" s="280"/>
      <x:c r="H710" s="278"/>
      <x:c r="I710" s="278"/>
      <x:c r="K710" s="278"/>
      <x:c r="L710" s="7"/>
      <x:c r="M710" s="7"/>
      <x:c r="Q710" s="279"/>
      <x:c r="R710" s="281"/>
    </x:row>
    <x:row r="711">
      <x:c r="A711" s="278"/>
      <x:c r="C711" s="279"/>
      <x:c r="F711" s="278"/>
      <x:c r="G711" s="280"/>
      <x:c r="H711" s="278"/>
      <x:c r="I711" s="278"/>
      <x:c r="K711" s="278"/>
      <x:c r="L711" s="7"/>
      <x:c r="M711" s="7"/>
      <x:c r="Q711" s="279"/>
      <x:c r="R711" s="281"/>
    </x:row>
    <x:row r="712">
      <x:c r="A712" s="278"/>
      <x:c r="C712" s="279"/>
      <x:c r="F712" s="278"/>
      <x:c r="G712" s="280"/>
      <x:c r="H712" s="278"/>
      <x:c r="I712" s="278"/>
      <x:c r="K712" s="278"/>
      <x:c r="L712" s="7"/>
      <x:c r="M712" s="7"/>
      <x:c r="Q712" s="279"/>
      <x:c r="R712" s="281"/>
    </x:row>
    <x:row r="713">
      <x:c r="A713" s="278"/>
      <x:c r="C713" s="279"/>
      <x:c r="F713" s="278"/>
      <x:c r="G713" s="280"/>
      <x:c r="H713" s="278"/>
      <x:c r="I713" s="278"/>
      <x:c r="K713" s="278"/>
      <x:c r="L713" s="7"/>
      <x:c r="M713" s="7"/>
      <x:c r="Q713" s="279"/>
      <x:c r="R713" s="281"/>
    </x:row>
    <x:row r="714">
      <x:c r="A714" s="278"/>
      <x:c r="C714" s="279"/>
      <x:c r="F714" s="278"/>
      <x:c r="G714" s="280"/>
      <x:c r="H714" s="278"/>
      <x:c r="I714" s="278"/>
      <x:c r="K714" s="278"/>
      <x:c r="L714" s="7"/>
      <x:c r="M714" s="7"/>
      <x:c r="Q714" s="279"/>
      <x:c r="R714" s="281"/>
    </x:row>
    <x:row r="715">
      <x:c r="A715" s="278"/>
      <x:c r="C715" s="279"/>
      <x:c r="F715" s="278"/>
      <x:c r="G715" s="280"/>
      <x:c r="H715" s="278"/>
      <x:c r="I715" s="278"/>
      <x:c r="K715" s="278"/>
      <x:c r="L715" s="7"/>
      <x:c r="M715" s="7"/>
      <x:c r="Q715" s="279"/>
      <x:c r="R715" s="281"/>
    </x:row>
    <x:row r="716">
      <x:c r="A716" s="278"/>
      <x:c r="C716" s="279"/>
      <x:c r="F716" s="278"/>
      <x:c r="G716" s="280"/>
      <x:c r="H716" s="278"/>
      <x:c r="I716" s="278"/>
      <x:c r="K716" s="278"/>
      <x:c r="L716" s="7"/>
      <x:c r="M716" s="7"/>
      <x:c r="Q716" s="279"/>
      <x:c r="R716" s="281"/>
    </x:row>
    <x:row r="717">
      <x:c r="A717" s="278"/>
      <x:c r="C717" s="279"/>
      <x:c r="F717" s="278"/>
      <x:c r="G717" s="280"/>
      <x:c r="H717" s="278"/>
      <x:c r="I717" s="278"/>
      <x:c r="K717" s="278"/>
      <x:c r="L717" s="7"/>
      <x:c r="M717" s="7"/>
      <x:c r="Q717" s="279"/>
      <x:c r="R717" s="281"/>
    </x:row>
    <x:row r="718">
      <x:c r="A718" s="278"/>
      <x:c r="C718" s="279"/>
      <x:c r="F718" s="278"/>
      <x:c r="G718" s="280"/>
      <x:c r="H718" s="278"/>
      <x:c r="I718" s="278"/>
      <x:c r="K718" s="278"/>
      <x:c r="L718" s="7"/>
      <x:c r="M718" s="7"/>
      <x:c r="Q718" s="279"/>
      <x:c r="R718" s="281"/>
    </x:row>
    <x:row r="719">
      <x:c r="A719" s="278"/>
      <x:c r="C719" s="279"/>
      <x:c r="F719" s="278"/>
      <x:c r="G719" s="280"/>
      <x:c r="H719" s="278"/>
      <x:c r="I719" s="278"/>
      <x:c r="K719" s="278"/>
      <x:c r="L719" s="7"/>
      <x:c r="M719" s="7"/>
      <x:c r="Q719" s="279"/>
      <x:c r="R719" s="281"/>
    </x:row>
    <x:row r="720">
      <x:c r="A720" s="278"/>
      <x:c r="C720" s="279"/>
      <x:c r="F720" s="278"/>
      <x:c r="G720" s="280"/>
      <x:c r="H720" s="278"/>
      <x:c r="I720" s="278"/>
      <x:c r="K720" s="278"/>
      <x:c r="L720" s="7"/>
      <x:c r="M720" s="7"/>
      <x:c r="Q720" s="279"/>
      <x:c r="R720" s="281"/>
    </x:row>
    <x:row r="721">
      <x:c r="A721" s="278"/>
      <x:c r="C721" s="279"/>
      <x:c r="F721" s="278"/>
      <x:c r="G721" s="280"/>
      <x:c r="H721" s="278"/>
      <x:c r="I721" s="278"/>
      <x:c r="K721" s="278"/>
      <x:c r="L721" s="7"/>
      <x:c r="M721" s="7"/>
      <x:c r="Q721" s="279"/>
      <x:c r="R721" s="281"/>
    </x:row>
    <x:row r="722">
      <x:c r="A722" s="278"/>
      <x:c r="C722" s="279"/>
      <x:c r="F722" s="278"/>
      <x:c r="G722" s="280"/>
      <x:c r="H722" s="278"/>
      <x:c r="I722" s="278"/>
      <x:c r="K722" s="278"/>
      <x:c r="L722" s="7"/>
      <x:c r="M722" s="7"/>
      <x:c r="Q722" s="279"/>
      <x:c r="R722" s="281"/>
    </x:row>
    <x:row r="723">
      <x:c r="A723" s="278"/>
      <x:c r="C723" s="279"/>
      <x:c r="F723" s="278"/>
      <x:c r="G723" s="280"/>
      <x:c r="H723" s="278"/>
      <x:c r="I723" s="278"/>
      <x:c r="K723" s="278"/>
      <x:c r="L723" s="7"/>
      <x:c r="M723" s="7"/>
      <x:c r="Q723" s="279"/>
      <x:c r="R723" s="281"/>
    </x:row>
    <x:row r="724">
      <x:c r="A724" s="278"/>
      <x:c r="C724" s="279"/>
      <x:c r="F724" s="278"/>
      <x:c r="G724" s="280"/>
      <x:c r="H724" s="278"/>
      <x:c r="I724" s="278"/>
      <x:c r="K724" s="278"/>
      <x:c r="L724" s="7"/>
      <x:c r="M724" s="7"/>
      <x:c r="Q724" s="279"/>
      <x:c r="R724" s="281"/>
    </x:row>
    <x:row r="725">
      <x:c r="A725" s="278"/>
      <x:c r="C725" s="279"/>
      <x:c r="F725" s="278"/>
      <x:c r="G725" s="280"/>
      <x:c r="H725" s="278"/>
      <x:c r="I725" s="278"/>
      <x:c r="K725" s="278"/>
      <x:c r="L725" s="7"/>
      <x:c r="M725" s="7"/>
      <x:c r="Q725" s="279"/>
      <x:c r="R725" s="281"/>
    </x:row>
    <x:row r="726">
      <x:c r="A726" s="278"/>
      <x:c r="C726" s="279"/>
      <x:c r="F726" s="278"/>
      <x:c r="G726" s="280"/>
      <x:c r="H726" s="278"/>
      <x:c r="I726" s="278"/>
      <x:c r="K726" s="278"/>
      <x:c r="L726" s="7"/>
      <x:c r="M726" s="7"/>
      <x:c r="Q726" s="279"/>
      <x:c r="R726" s="281"/>
    </x:row>
    <x:row r="727">
      <x:c r="A727" s="278"/>
      <x:c r="C727" s="279"/>
      <x:c r="F727" s="278"/>
      <x:c r="G727" s="280"/>
      <x:c r="H727" s="278"/>
      <x:c r="I727" s="278"/>
      <x:c r="K727" s="278"/>
      <x:c r="L727" s="7"/>
      <x:c r="M727" s="7"/>
      <x:c r="Q727" s="279"/>
      <x:c r="R727" s="281"/>
    </x:row>
    <x:row r="728">
      <x:c r="A728" s="278"/>
      <x:c r="C728" s="279"/>
      <x:c r="F728" s="278"/>
      <x:c r="G728" s="280"/>
      <x:c r="H728" s="278"/>
      <x:c r="I728" s="278"/>
      <x:c r="K728" s="278"/>
      <x:c r="L728" s="7"/>
      <x:c r="M728" s="7"/>
      <x:c r="Q728" s="279"/>
      <x:c r="R728" s="281"/>
    </x:row>
    <x:row r="729">
      <x:c r="A729" s="278"/>
      <x:c r="C729" s="279"/>
      <x:c r="F729" s="278"/>
      <x:c r="G729" s="280"/>
      <x:c r="H729" s="278"/>
      <x:c r="I729" s="278"/>
      <x:c r="K729" s="278"/>
      <x:c r="L729" s="7"/>
      <x:c r="M729" s="7"/>
      <x:c r="Q729" s="279"/>
      <x:c r="R729" s="281"/>
    </x:row>
    <x:row r="730">
      <x:c r="A730" s="278"/>
      <x:c r="C730" s="279"/>
      <x:c r="F730" s="278"/>
      <x:c r="G730" s="280"/>
      <x:c r="H730" s="278"/>
      <x:c r="I730" s="278"/>
      <x:c r="K730" s="278"/>
      <x:c r="L730" s="7"/>
      <x:c r="M730" s="7"/>
      <x:c r="Q730" s="279"/>
      <x:c r="R730" s="281"/>
    </x:row>
    <x:row r="731">
      <x:c r="A731" s="278"/>
      <x:c r="C731" s="279"/>
      <x:c r="F731" s="278"/>
      <x:c r="G731" s="280"/>
      <x:c r="H731" s="278"/>
      <x:c r="I731" s="278"/>
      <x:c r="K731" s="278"/>
      <x:c r="L731" s="7"/>
      <x:c r="M731" s="7"/>
      <x:c r="Q731" s="279"/>
      <x:c r="R731" s="281"/>
    </x:row>
    <x:row r="732">
      <x:c r="A732" s="278"/>
      <x:c r="C732" s="279"/>
      <x:c r="F732" s="278"/>
      <x:c r="G732" s="280"/>
      <x:c r="H732" s="278"/>
      <x:c r="I732" s="278"/>
      <x:c r="K732" s="278"/>
      <x:c r="L732" s="7"/>
      <x:c r="M732" s="7"/>
      <x:c r="Q732" s="279"/>
      <x:c r="R732" s="281"/>
    </x:row>
    <x:row r="733">
      <x:c r="A733" s="278"/>
      <x:c r="C733" s="279"/>
      <x:c r="F733" s="278"/>
      <x:c r="G733" s="280"/>
      <x:c r="H733" s="278"/>
      <x:c r="I733" s="278"/>
      <x:c r="K733" s="278"/>
      <x:c r="L733" s="7"/>
      <x:c r="M733" s="7"/>
      <x:c r="Q733" s="279"/>
      <x:c r="R733" s="281"/>
    </x:row>
    <x:row r="734">
      <x:c r="A734" s="278"/>
      <x:c r="C734" s="279"/>
      <x:c r="F734" s="278"/>
      <x:c r="G734" s="280"/>
      <x:c r="H734" s="278"/>
      <x:c r="I734" s="278"/>
      <x:c r="K734" s="278"/>
      <x:c r="L734" s="7"/>
      <x:c r="M734" s="7"/>
      <x:c r="Q734" s="279"/>
      <x:c r="R734" s="281"/>
    </x:row>
    <x:row r="735">
      <x:c r="A735" s="278"/>
      <x:c r="C735" s="279"/>
      <x:c r="F735" s="278"/>
      <x:c r="G735" s="280"/>
      <x:c r="H735" s="278"/>
      <x:c r="I735" s="278"/>
      <x:c r="K735" s="278"/>
      <x:c r="L735" s="7"/>
      <x:c r="M735" s="7"/>
      <x:c r="Q735" s="279"/>
      <x:c r="R735" s="281"/>
    </x:row>
    <x:row r="736">
      <x:c r="A736" s="278"/>
      <x:c r="C736" s="279"/>
      <x:c r="F736" s="278"/>
      <x:c r="G736" s="280"/>
      <x:c r="H736" s="278"/>
      <x:c r="I736" s="278"/>
      <x:c r="K736" s="278"/>
      <x:c r="L736" s="7"/>
      <x:c r="M736" s="7"/>
      <x:c r="Q736" s="279"/>
      <x:c r="R736" s="281"/>
    </x:row>
    <x:row r="737">
      <x:c r="A737" s="278"/>
      <x:c r="C737" s="279"/>
      <x:c r="F737" s="278"/>
      <x:c r="G737" s="280"/>
      <x:c r="H737" s="278"/>
      <x:c r="I737" s="278"/>
      <x:c r="K737" s="278"/>
      <x:c r="L737" s="7"/>
      <x:c r="M737" s="7"/>
      <x:c r="Q737" s="279"/>
      <x:c r="R737" s="281"/>
    </x:row>
    <x:row r="738">
      <x:c r="A738" s="278"/>
      <x:c r="C738" s="279"/>
      <x:c r="F738" s="278"/>
      <x:c r="G738" s="280"/>
      <x:c r="H738" s="278"/>
      <x:c r="I738" s="278"/>
      <x:c r="K738" s="278"/>
      <x:c r="L738" s="7"/>
      <x:c r="M738" s="7"/>
      <x:c r="Q738" s="279"/>
      <x:c r="R738" s="281"/>
    </x:row>
    <x:row r="739">
      <x:c r="A739" s="278"/>
      <x:c r="C739" s="279"/>
      <x:c r="F739" s="278"/>
      <x:c r="G739" s="280"/>
      <x:c r="H739" s="278"/>
      <x:c r="I739" s="278"/>
      <x:c r="K739" s="278"/>
      <x:c r="L739" s="7"/>
      <x:c r="M739" s="7"/>
      <x:c r="Q739" s="279"/>
      <x:c r="R739" s="281"/>
    </x:row>
    <x:row r="740">
      <x:c r="A740" s="278"/>
      <x:c r="C740" s="279"/>
      <x:c r="F740" s="278"/>
      <x:c r="G740" s="280"/>
      <x:c r="H740" s="278"/>
      <x:c r="I740" s="278"/>
      <x:c r="K740" s="278"/>
      <x:c r="L740" s="7"/>
      <x:c r="M740" s="7"/>
      <x:c r="Q740" s="279"/>
      <x:c r="R740" s="281"/>
    </x:row>
    <x:row r="741">
      <x:c r="A741" s="278"/>
      <x:c r="C741" s="279"/>
      <x:c r="F741" s="278"/>
      <x:c r="G741" s="280"/>
      <x:c r="H741" s="278"/>
      <x:c r="I741" s="278"/>
      <x:c r="K741" s="278"/>
      <x:c r="L741" s="7"/>
      <x:c r="M741" s="7"/>
      <x:c r="Q741" s="279"/>
      <x:c r="R741" s="281"/>
    </x:row>
    <x:row r="742">
      <x:c r="A742" s="278"/>
      <x:c r="C742" s="279"/>
      <x:c r="F742" s="278"/>
      <x:c r="G742" s="280"/>
      <x:c r="H742" s="278"/>
      <x:c r="I742" s="278"/>
      <x:c r="K742" s="278"/>
      <x:c r="L742" s="7"/>
      <x:c r="M742" s="7"/>
      <x:c r="Q742" s="279"/>
      <x:c r="R742" s="281"/>
    </x:row>
    <x:row r="743">
      <x:c r="A743" s="278"/>
      <x:c r="C743" s="279"/>
      <x:c r="F743" s="278"/>
      <x:c r="G743" s="280"/>
      <x:c r="H743" s="278"/>
      <x:c r="I743" s="278"/>
      <x:c r="K743" s="278"/>
      <x:c r="L743" s="7"/>
      <x:c r="M743" s="7"/>
      <x:c r="Q743" s="279"/>
      <x:c r="R743" s="281"/>
    </x:row>
    <x:row r="744">
      <x:c r="A744" s="278"/>
      <x:c r="C744" s="279"/>
      <x:c r="F744" s="278"/>
      <x:c r="G744" s="280"/>
      <x:c r="H744" s="278"/>
      <x:c r="I744" s="278"/>
      <x:c r="K744" s="278"/>
      <x:c r="L744" s="7"/>
      <x:c r="M744" s="7"/>
      <x:c r="Q744" s="279"/>
      <x:c r="R744" s="281"/>
    </x:row>
    <x:row r="745">
      <x:c r="A745" s="278"/>
      <x:c r="C745" s="279"/>
      <x:c r="F745" s="278"/>
      <x:c r="G745" s="280"/>
      <x:c r="H745" s="278"/>
      <x:c r="I745" s="278"/>
      <x:c r="K745" s="278"/>
      <x:c r="L745" s="7"/>
      <x:c r="M745" s="7"/>
      <x:c r="Q745" s="279"/>
      <x:c r="R745" s="281"/>
    </x:row>
    <x:row r="746">
      <x:c r="A746" s="278"/>
      <x:c r="C746" s="279"/>
      <x:c r="F746" s="278"/>
      <x:c r="G746" s="280"/>
      <x:c r="H746" s="278"/>
      <x:c r="I746" s="278"/>
      <x:c r="K746" s="278"/>
      <x:c r="L746" s="7"/>
      <x:c r="M746" s="7"/>
      <x:c r="Q746" s="279"/>
      <x:c r="R746" s="281"/>
    </x:row>
    <x:row r="747">
      <x:c r="A747" s="278"/>
      <x:c r="C747" s="279"/>
      <x:c r="F747" s="278"/>
      <x:c r="G747" s="280"/>
      <x:c r="H747" s="278"/>
      <x:c r="I747" s="278"/>
      <x:c r="K747" s="278"/>
      <x:c r="L747" s="7"/>
      <x:c r="M747" s="7"/>
      <x:c r="Q747" s="279"/>
      <x:c r="R747" s="281"/>
    </x:row>
    <x:row r="748">
      <x:c r="A748" s="278"/>
      <x:c r="C748" s="279"/>
      <x:c r="F748" s="278"/>
      <x:c r="G748" s="280"/>
      <x:c r="H748" s="278"/>
      <x:c r="I748" s="278"/>
      <x:c r="K748" s="278"/>
      <x:c r="L748" s="7"/>
      <x:c r="M748" s="7"/>
      <x:c r="Q748" s="279"/>
      <x:c r="R748" s="281"/>
    </x:row>
    <x:row r="749">
      <x:c r="A749" s="278"/>
      <x:c r="C749" s="279"/>
      <x:c r="F749" s="278"/>
      <x:c r="G749" s="280"/>
      <x:c r="H749" s="278"/>
      <x:c r="I749" s="278"/>
      <x:c r="K749" s="278"/>
      <x:c r="L749" s="7"/>
      <x:c r="M749" s="7"/>
      <x:c r="Q749" s="279"/>
      <x:c r="R749" s="281"/>
    </x:row>
    <x:row r="750">
      <x:c r="A750" s="278"/>
      <x:c r="C750" s="279"/>
      <x:c r="F750" s="278"/>
      <x:c r="G750" s="280"/>
      <x:c r="H750" s="278"/>
      <x:c r="I750" s="278"/>
      <x:c r="K750" s="278"/>
      <x:c r="L750" s="7"/>
      <x:c r="M750" s="7"/>
      <x:c r="Q750" s="279"/>
      <x:c r="R750" s="281"/>
    </x:row>
    <x:row r="751">
      <x:c r="A751" s="278"/>
      <x:c r="C751" s="279"/>
      <x:c r="F751" s="278"/>
      <x:c r="G751" s="280"/>
      <x:c r="H751" s="278"/>
      <x:c r="I751" s="278"/>
      <x:c r="K751" s="278"/>
      <x:c r="L751" s="7"/>
      <x:c r="M751" s="7"/>
      <x:c r="Q751" s="279"/>
      <x:c r="R751" s="281"/>
    </x:row>
    <x:row r="752">
      <x:c r="A752" s="278"/>
      <x:c r="C752" s="279"/>
      <x:c r="F752" s="278"/>
      <x:c r="G752" s="280"/>
      <x:c r="H752" s="278"/>
      <x:c r="I752" s="278"/>
      <x:c r="K752" s="278"/>
      <x:c r="L752" s="7"/>
      <x:c r="M752" s="7"/>
      <x:c r="Q752" s="279"/>
      <x:c r="R752" s="281"/>
    </x:row>
    <x:row r="753">
      <x:c r="A753" s="278"/>
      <x:c r="C753" s="279"/>
      <x:c r="F753" s="278"/>
      <x:c r="G753" s="280"/>
      <x:c r="H753" s="278"/>
      <x:c r="I753" s="278"/>
      <x:c r="K753" s="278"/>
      <x:c r="L753" s="7"/>
      <x:c r="M753" s="7"/>
      <x:c r="Q753" s="279"/>
      <x:c r="R753" s="281"/>
    </x:row>
    <x:row r="754">
      <x:c r="A754" s="278"/>
      <x:c r="C754" s="279"/>
      <x:c r="F754" s="278"/>
      <x:c r="G754" s="280"/>
      <x:c r="H754" s="278"/>
      <x:c r="I754" s="278"/>
      <x:c r="K754" s="278"/>
      <x:c r="L754" s="7"/>
      <x:c r="M754" s="7"/>
      <x:c r="Q754" s="279"/>
      <x:c r="R754" s="281"/>
    </x:row>
    <x:row r="755">
      <x:c r="A755" s="278"/>
      <x:c r="C755" s="279"/>
      <x:c r="F755" s="278"/>
      <x:c r="G755" s="280"/>
      <x:c r="H755" s="278"/>
      <x:c r="I755" s="278"/>
      <x:c r="K755" s="278"/>
      <x:c r="L755" s="7"/>
      <x:c r="M755" s="7"/>
      <x:c r="Q755" s="279"/>
      <x:c r="R755" s="281"/>
    </x:row>
    <x:row r="756">
      <x:c r="A756" s="278"/>
      <x:c r="C756" s="279"/>
      <x:c r="F756" s="278"/>
      <x:c r="G756" s="280"/>
      <x:c r="H756" s="278"/>
      <x:c r="I756" s="278"/>
      <x:c r="K756" s="278"/>
      <x:c r="L756" s="7"/>
      <x:c r="M756" s="7"/>
      <x:c r="Q756" s="279"/>
      <x:c r="R756" s="281"/>
    </x:row>
    <x:row r="757">
      <x:c r="A757" s="278"/>
      <x:c r="C757" s="279"/>
      <x:c r="F757" s="278"/>
      <x:c r="G757" s="280"/>
      <x:c r="H757" s="278"/>
      <x:c r="I757" s="278"/>
      <x:c r="K757" s="278"/>
      <x:c r="L757" s="7"/>
      <x:c r="M757" s="7"/>
      <x:c r="Q757" s="279"/>
      <x:c r="R757" s="281"/>
    </x:row>
    <x:row r="758">
      <x:c r="A758" s="278"/>
      <x:c r="C758" s="279"/>
      <x:c r="F758" s="278"/>
      <x:c r="G758" s="280"/>
      <x:c r="H758" s="278"/>
      <x:c r="I758" s="278"/>
      <x:c r="K758" s="278"/>
      <x:c r="L758" s="7"/>
      <x:c r="M758" s="7"/>
      <x:c r="Q758" s="279"/>
      <x:c r="R758" s="281"/>
    </x:row>
    <x:row r="759">
      <x:c r="A759" s="278"/>
      <x:c r="C759" s="279"/>
      <x:c r="F759" s="278"/>
      <x:c r="G759" s="280"/>
      <x:c r="H759" s="278"/>
      <x:c r="I759" s="278"/>
      <x:c r="K759" s="278"/>
      <x:c r="L759" s="7"/>
      <x:c r="M759" s="7"/>
      <x:c r="Q759" s="279"/>
      <x:c r="R759" s="281"/>
    </x:row>
    <x:row r="760">
      <x:c r="A760" s="278"/>
      <x:c r="C760" s="279"/>
      <x:c r="F760" s="278"/>
      <x:c r="G760" s="280"/>
      <x:c r="H760" s="278"/>
      <x:c r="I760" s="278"/>
      <x:c r="K760" s="278"/>
      <x:c r="L760" s="7"/>
      <x:c r="M760" s="7"/>
      <x:c r="Q760" s="279"/>
      <x:c r="R760" s="281"/>
    </x:row>
    <x:row r="761">
      <x:c r="A761" s="278"/>
      <x:c r="C761" s="279"/>
      <x:c r="F761" s="278"/>
      <x:c r="G761" s="280"/>
      <x:c r="H761" s="278"/>
      <x:c r="I761" s="278"/>
      <x:c r="K761" s="278"/>
      <x:c r="L761" s="7"/>
      <x:c r="M761" s="7"/>
      <x:c r="Q761" s="279"/>
      <x:c r="R761" s="281"/>
    </x:row>
    <x:row r="762">
      <x:c r="A762" s="278"/>
      <x:c r="C762" s="279"/>
      <x:c r="F762" s="278"/>
      <x:c r="G762" s="280"/>
      <x:c r="H762" s="278"/>
      <x:c r="I762" s="278"/>
      <x:c r="K762" s="278"/>
      <x:c r="L762" s="7"/>
      <x:c r="M762" s="7"/>
      <x:c r="Q762" s="279"/>
      <x:c r="R762" s="281"/>
    </x:row>
    <x:row r="763">
      <x:c r="A763" s="278"/>
      <x:c r="C763" s="279"/>
      <x:c r="F763" s="278"/>
      <x:c r="G763" s="280"/>
      <x:c r="H763" s="278"/>
      <x:c r="I763" s="278"/>
      <x:c r="K763" s="278"/>
      <x:c r="L763" s="7"/>
      <x:c r="M763" s="7"/>
      <x:c r="Q763" s="279"/>
      <x:c r="R763" s="281"/>
    </x:row>
    <x:row r="764">
      <x:c r="A764" s="278"/>
      <x:c r="C764" s="279"/>
      <x:c r="F764" s="278"/>
      <x:c r="G764" s="280"/>
      <x:c r="H764" s="278"/>
      <x:c r="I764" s="278"/>
      <x:c r="K764" s="278"/>
      <x:c r="L764" s="7"/>
      <x:c r="M764" s="7"/>
      <x:c r="Q764" s="279"/>
      <x:c r="R764" s="281"/>
    </x:row>
    <x:row r="765">
      <x:c r="A765" s="278"/>
      <x:c r="C765" s="279"/>
      <x:c r="F765" s="278"/>
      <x:c r="G765" s="280"/>
      <x:c r="H765" s="278"/>
      <x:c r="I765" s="278"/>
      <x:c r="K765" s="278"/>
      <x:c r="L765" s="7"/>
      <x:c r="M765" s="7"/>
      <x:c r="Q765" s="279"/>
      <x:c r="R765" s="281"/>
    </x:row>
    <x:row r="766">
      <x:c r="A766" s="278"/>
      <x:c r="C766" s="279"/>
      <x:c r="F766" s="278"/>
      <x:c r="G766" s="280"/>
      <x:c r="H766" s="278"/>
      <x:c r="I766" s="278"/>
      <x:c r="K766" s="278"/>
      <x:c r="L766" s="7"/>
      <x:c r="M766" s="7"/>
      <x:c r="Q766" s="279"/>
      <x:c r="R766" s="281"/>
    </x:row>
    <x:row r="767">
      <x:c r="A767" s="278"/>
      <x:c r="C767" s="279"/>
      <x:c r="F767" s="278"/>
      <x:c r="G767" s="280"/>
      <x:c r="H767" s="278"/>
      <x:c r="I767" s="278"/>
      <x:c r="K767" s="278"/>
      <x:c r="L767" s="7"/>
      <x:c r="M767" s="7"/>
      <x:c r="Q767" s="279"/>
      <x:c r="R767" s="281"/>
    </x:row>
    <x:row r="768">
      <x:c r="A768" s="278"/>
      <x:c r="C768" s="279"/>
      <x:c r="F768" s="278"/>
      <x:c r="G768" s="280"/>
      <x:c r="H768" s="278"/>
      <x:c r="I768" s="278"/>
      <x:c r="K768" s="278"/>
      <x:c r="L768" s="7"/>
      <x:c r="M768" s="7"/>
      <x:c r="Q768" s="279"/>
      <x:c r="R768" s="281"/>
    </x:row>
    <x:row r="769">
      <x:c r="A769" s="278"/>
      <x:c r="C769" s="279"/>
      <x:c r="F769" s="278"/>
      <x:c r="G769" s="280"/>
      <x:c r="H769" s="278"/>
      <x:c r="I769" s="278"/>
      <x:c r="K769" s="278"/>
      <x:c r="L769" s="7"/>
      <x:c r="M769" s="7"/>
      <x:c r="Q769" s="279"/>
      <x:c r="R769" s="281"/>
    </x:row>
    <x:row r="770">
      <x:c r="A770" s="278"/>
      <x:c r="C770" s="279"/>
      <x:c r="F770" s="278"/>
      <x:c r="G770" s="280"/>
      <x:c r="H770" s="278"/>
      <x:c r="I770" s="278"/>
      <x:c r="K770" s="278"/>
      <x:c r="L770" s="7"/>
      <x:c r="M770" s="7"/>
      <x:c r="Q770" s="279"/>
      <x:c r="R770" s="281"/>
    </x:row>
    <x:row r="771">
      <x:c r="A771" s="278"/>
      <x:c r="C771" s="279"/>
      <x:c r="F771" s="278"/>
      <x:c r="G771" s="280"/>
      <x:c r="H771" s="278"/>
      <x:c r="I771" s="278"/>
      <x:c r="K771" s="278"/>
      <x:c r="L771" s="7"/>
      <x:c r="M771" s="7"/>
      <x:c r="Q771" s="279"/>
      <x:c r="R771" s="281"/>
    </x:row>
    <x:row r="772">
      <x:c r="A772" s="278"/>
      <x:c r="C772" s="279"/>
      <x:c r="F772" s="278"/>
      <x:c r="G772" s="280"/>
      <x:c r="H772" s="278"/>
      <x:c r="I772" s="278"/>
      <x:c r="K772" s="278"/>
      <x:c r="L772" s="7"/>
      <x:c r="M772" s="7"/>
      <x:c r="Q772" s="279"/>
      <x:c r="R772" s="281"/>
    </x:row>
    <x:row r="773">
      <x:c r="A773" s="278"/>
      <x:c r="C773" s="279"/>
      <x:c r="F773" s="278"/>
      <x:c r="G773" s="280"/>
      <x:c r="H773" s="278"/>
      <x:c r="I773" s="278"/>
      <x:c r="K773" s="278"/>
      <x:c r="L773" s="7"/>
      <x:c r="M773" s="7"/>
      <x:c r="Q773" s="279"/>
      <x:c r="R773" s="281"/>
    </x:row>
    <x:row r="774">
      <x:c r="A774" s="278"/>
      <x:c r="C774" s="279"/>
      <x:c r="F774" s="278"/>
      <x:c r="G774" s="280"/>
      <x:c r="H774" s="278"/>
      <x:c r="I774" s="278"/>
      <x:c r="K774" s="278"/>
      <x:c r="L774" s="7"/>
      <x:c r="M774" s="7"/>
      <x:c r="Q774" s="279"/>
      <x:c r="R774" s="281"/>
    </x:row>
    <x:row r="775">
      <x:c r="A775" s="278"/>
      <x:c r="C775" s="279"/>
      <x:c r="F775" s="278"/>
      <x:c r="G775" s="280"/>
      <x:c r="H775" s="278"/>
      <x:c r="I775" s="278"/>
      <x:c r="K775" s="278"/>
      <x:c r="L775" s="7"/>
      <x:c r="M775" s="7"/>
      <x:c r="Q775" s="279"/>
      <x:c r="R775" s="281"/>
    </x:row>
    <x:row r="776">
      <x:c r="A776" s="278"/>
      <x:c r="C776" s="279"/>
      <x:c r="F776" s="278"/>
      <x:c r="G776" s="280"/>
      <x:c r="H776" s="278"/>
      <x:c r="I776" s="278"/>
      <x:c r="K776" s="278"/>
      <x:c r="L776" s="7"/>
      <x:c r="M776" s="7"/>
      <x:c r="Q776" s="279"/>
      <x:c r="R776" s="281"/>
    </x:row>
    <x:row r="777">
      <x:c r="A777" s="278"/>
      <x:c r="C777" s="279"/>
      <x:c r="F777" s="278"/>
      <x:c r="G777" s="280"/>
      <x:c r="H777" s="278"/>
      <x:c r="I777" s="278"/>
      <x:c r="K777" s="278"/>
      <x:c r="L777" s="7"/>
      <x:c r="M777" s="7"/>
      <x:c r="Q777" s="279"/>
      <x:c r="R777" s="281"/>
    </x:row>
    <x:row r="778">
      <x:c r="A778" s="278"/>
      <x:c r="C778" s="279"/>
      <x:c r="F778" s="278"/>
      <x:c r="G778" s="280"/>
      <x:c r="H778" s="278"/>
      <x:c r="I778" s="278"/>
      <x:c r="K778" s="278"/>
      <x:c r="L778" s="7"/>
      <x:c r="M778" s="7"/>
      <x:c r="Q778" s="279"/>
      <x:c r="R778" s="281"/>
    </x:row>
    <x:row r="779">
      <x:c r="A779" s="278"/>
      <x:c r="C779" s="279"/>
      <x:c r="F779" s="278"/>
      <x:c r="G779" s="280"/>
      <x:c r="H779" s="278"/>
      <x:c r="I779" s="278"/>
      <x:c r="K779" s="278"/>
      <x:c r="L779" s="7"/>
      <x:c r="M779" s="7"/>
      <x:c r="Q779" s="279"/>
      <x:c r="R779" s="281"/>
    </x:row>
    <x:row r="780">
      <x:c r="A780" s="278"/>
      <x:c r="C780" s="279"/>
      <x:c r="F780" s="278"/>
      <x:c r="G780" s="280"/>
      <x:c r="H780" s="278"/>
      <x:c r="I780" s="278"/>
      <x:c r="K780" s="278"/>
      <x:c r="L780" s="7"/>
      <x:c r="M780" s="7"/>
      <x:c r="Q780" s="279"/>
      <x:c r="R780" s="281"/>
    </x:row>
    <x:row r="781">
      <x:c r="A781" s="278"/>
      <x:c r="C781" s="279"/>
      <x:c r="F781" s="278"/>
      <x:c r="G781" s="280"/>
      <x:c r="H781" s="278"/>
      <x:c r="I781" s="278"/>
      <x:c r="K781" s="278"/>
      <x:c r="L781" s="7"/>
      <x:c r="M781" s="7"/>
      <x:c r="Q781" s="279"/>
      <x:c r="R781" s="281"/>
    </x:row>
    <x:row r="782">
      <x:c r="A782" s="278"/>
      <x:c r="C782" s="279"/>
      <x:c r="F782" s="278"/>
      <x:c r="G782" s="280"/>
      <x:c r="H782" s="278"/>
      <x:c r="I782" s="278"/>
      <x:c r="K782" s="278"/>
      <x:c r="L782" s="7"/>
      <x:c r="M782" s="7"/>
      <x:c r="Q782" s="279"/>
      <x:c r="R782" s="281"/>
    </x:row>
    <x:row r="783">
      <x:c r="A783" s="278"/>
      <x:c r="C783" s="279"/>
      <x:c r="F783" s="278"/>
      <x:c r="G783" s="280"/>
      <x:c r="H783" s="278"/>
      <x:c r="I783" s="278"/>
      <x:c r="K783" s="278"/>
      <x:c r="L783" s="7"/>
      <x:c r="M783" s="7"/>
      <x:c r="Q783" s="279"/>
      <x:c r="R783" s="281"/>
    </x:row>
    <x:row r="784">
      <x:c r="A784" s="278"/>
      <x:c r="C784" s="279"/>
      <x:c r="F784" s="278"/>
      <x:c r="G784" s="280"/>
      <x:c r="H784" s="278"/>
      <x:c r="I784" s="278"/>
      <x:c r="K784" s="278"/>
      <x:c r="L784" s="7"/>
      <x:c r="M784" s="7"/>
      <x:c r="Q784" s="279"/>
      <x:c r="R784" s="281"/>
    </x:row>
    <x:row r="785">
      <x:c r="A785" s="278"/>
      <x:c r="C785" s="279"/>
      <x:c r="F785" s="278"/>
      <x:c r="G785" s="280"/>
      <x:c r="H785" s="278"/>
      <x:c r="I785" s="278"/>
      <x:c r="K785" s="278"/>
      <x:c r="L785" s="7"/>
      <x:c r="M785" s="7"/>
      <x:c r="Q785" s="279"/>
      <x:c r="R785" s="281"/>
    </x:row>
    <x:row r="786">
      <x:c r="A786" s="278"/>
      <x:c r="C786" s="279"/>
      <x:c r="F786" s="278"/>
      <x:c r="G786" s="280"/>
      <x:c r="H786" s="278"/>
      <x:c r="I786" s="278"/>
      <x:c r="K786" s="278"/>
      <x:c r="L786" s="7"/>
      <x:c r="M786" s="7"/>
      <x:c r="Q786" s="279"/>
      <x:c r="R786" s="281"/>
    </x:row>
    <x:row r="787">
      <x:c r="A787" s="278"/>
      <x:c r="C787" s="279"/>
      <x:c r="F787" s="278"/>
      <x:c r="G787" s="280"/>
      <x:c r="H787" s="278"/>
      <x:c r="I787" s="278"/>
      <x:c r="K787" s="278"/>
      <x:c r="L787" s="7"/>
      <x:c r="M787" s="7"/>
      <x:c r="Q787" s="279"/>
      <x:c r="R787" s="281"/>
    </x:row>
    <x:row r="788">
      <x:c r="A788" s="278"/>
      <x:c r="C788" s="279"/>
      <x:c r="F788" s="278"/>
      <x:c r="G788" s="280"/>
      <x:c r="H788" s="278"/>
      <x:c r="I788" s="278"/>
      <x:c r="K788" s="278"/>
      <x:c r="L788" s="7"/>
      <x:c r="M788" s="7"/>
      <x:c r="Q788" s="279"/>
      <x:c r="R788" s="281"/>
    </x:row>
    <x:row r="789">
      <x:c r="A789" s="278"/>
      <x:c r="C789" s="279"/>
      <x:c r="F789" s="278"/>
      <x:c r="G789" s="280"/>
      <x:c r="H789" s="278"/>
      <x:c r="I789" s="278"/>
      <x:c r="K789" s="278"/>
      <x:c r="L789" s="7"/>
      <x:c r="M789" s="7"/>
      <x:c r="Q789" s="279"/>
      <x:c r="R789" s="281"/>
    </x:row>
    <x:row r="790">
      <x:c r="A790" s="278"/>
      <x:c r="C790" s="279"/>
      <x:c r="F790" s="278"/>
      <x:c r="G790" s="280"/>
      <x:c r="H790" s="278"/>
      <x:c r="I790" s="278"/>
      <x:c r="K790" s="278"/>
      <x:c r="L790" s="7"/>
      <x:c r="M790" s="7"/>
      <x:c r="Q790" s="279"/>
      <x:c r="R790" s="281"/>
    </x:row>
    <x:row r="791">
      <x:c r="A791" s="278"/>
      <x:c r="C791" s="279"/>
      <x:c r="F791" s="278"/>
      <x:c r="G791" s="280"/>
      <x:c r="H791" s="278"/>
      <x:c r="I791" s="278"/>
      <x:c r="K791" s="278"/>
      <x:c r="L791" s="7"/>
      <x:c r="M791" s="7"/>
      <x:c r="Q791" s="279"/>
      <x:c r="R791" s="281"/>
    </x:row>
    <x:row r="792">
      <x:c r="A792" s="278"/>
      <x:c r="C792" s="279"/>
      <x:c r="F792" s="278"/>
      <x:c r="G792" s="280"/>
      <x:c r="H792" s="278"/>
      <x:c r="I792" s="278"/>
      <x:c r="K792" s="278"/>
      <x:c r="L792" s="7"/>
      <x:c r="M792" s="7"/>
      <x:c r="Q792" s="279"/>
      <x:c r="R792" s="281"/>
    </x:row>
    <x:row r="793">
      <x:c r="A793" s="278"/>
      <x:c r="C793" s="279"/>
      <x:c r="F793" s="278"/>
      <x:c r="G793" s="280"/>
      <x:c r="H793" s="278"/>
      <x:c r="I793" s="278"/>
      <x:c r="K793" s="278"/>
      <x:c r="L793" s="7"/>
      <x:c r="M793" s="7"/>
      <x:c r="Q793" s="279"/>
      <x:c r="R793" s="281"/>
    </x:row>
    <x:row r="794">
      <x:c r="A794" s="278"/>
      <x:c r="C794" s="279"/>
      <x:c r="F794" s="278"/>
      <x:c r="G794" s="280"/>
      <x:c r="H794" s="278"/>
      <x:c r="I794" s="278"/>
      <x:c r="K794" s="278"/>
      <x:c r="L794" s="7"/>
      <x:c r="M794" s="7"/>
      <x:c r="Q794" s="279"/>
      <x:c r="R794" s="281"/>
    </x:row>
    <x:row r="795">
      <x:c r="A795" s="278"/>
      <x:c r="C795" s="279"/>
      <x:c r="F795" s="278"/>
      <x:c r="G795" s="280"/>
      <x:c r="H795" s="278"/>
      <x:c r="I795" s="278"/>
      <x:c r="K795" s="278"/>
      <x:c r="L795" s="7"/>
      <x:c r="M795" s="7"/>
      <x:c r="Q795" s="279"/>
      <x:c r="R795" s="281"/>
    </x:row>
    <x:row r="796">
      <x:c r="A796" s="278"/>
      <x:c r="C796" s="279"/>
      <x:c r="F796" s="278"/>
      <x:c r="G796" s="280"/>
      <x:c r="H796" s="278"/>
      <x:c r="I796" s="278"/>
      <x:c r="K796" s="278"/>
      <x:c r="L796" s="7"/>
      <x:c r="M796" s="7"/>
      <x:c r="Q796" s="279"/>
      <x:c r="R796" s="281"/>
    </x:row>
    <x:row r="797">
      <x:c r="A797" s="278"/>
      <x:c r="C797" s="279"/>
      <x:c r="F797" s="278"/>
      <x:c r="G797" s="280"/>
      <x:c r="H797" s="278"/>
      <x:c r="I797" s="278"/>
      <x:c r="K797" s="278"/>
      <x:c r="L797" s="7"/>
      <x:c r="M797" s="7"/>
      <x:c r="Q797" s="279"/>
      <x:c r="R797" s="281"/>
    </x:row>
    <x:row r="798">
      <x:c r="A798" s="278"/>
      <x:c r="C798" s="279"/>
      <x:c r="F798" s="278"/>
      <x:c r="G798" s="280"/>
      <x:c r="H798" s="278"/>
      <x:c r="I798" s="278"/>
      <x:c r="K798" s="278"/>
      <x:c r="L798" s="7"/>
      <x:c r="M798" s="7"/>
      <x:c r="Q798" s="279"/>
      <x:c r="R798" s="281"/>
    </x:row>
    <x:row r="799">
      <x:c r="A799" s="278"/>
      <x:c r="C799" s="279"/>
      <x:c r="F799" s="278"/>
      <x:c r="G799" s="280"/>
      <x:c r="H799" s="278"/>
      <x:c r="I799" s="278"/>
      <x:c r="K799" s="278"/>
      <x:c r="L799" s="7"/>
      <x:c r="M799" s="7"/>
      <x:c r="Q799" s="279"/>
      <x:c r="R799" s="281"/>
    </x:row>
    <x:row r="800">
      <x:c r="A800" s="278"/>
      <x:c r="C800" s="279"/>
      <x:c r="F800" s="278"/>
      <x:c r="G800" s="280"/>
      <x:c r="H800" s="278"/>
      <x:c r="I800" s="278"/>
      <x:c r="K800" s="278"/>
      <x:c r="L800" s="7"/>
      <x:c r="M800" s="7"/>
      <x:c r="Q800" s="279"/>
      <x:c r="R800" s="281"/>
    </x:row>
    <x:row r="801">
      <x:c r="A801" s="278"/>
      <x:c r="C801" s="279"/>
      <x:c r="F801" s="278"/>
      <x:c r="G801" s="280"/>
      <x:c r="H801" s="278"/>
      <x:c r="I801" s="278"/>
      <x:c r="K801" s="278"/>
      <x:c r="L801" s="7"/>
      <x:c r="M801" s="7"/>
      <x:c r="Q801" s="279"/>
      <x:c r="R801" s="281"/>
    </x:row>
    <x:row r="802">
      <x:c r="A802" s="278"/>
      <x:c r="C802" s="279"/>
      <x:c r="F802" s="278"/>
      <x:c r="G802" s="280"/>
      <x:c r="H802" s="278"/>
      <x:c r="I802" s="278"/>
      <x:c r="K802" s="278"/>
      <x:c r="L802" s="7"/>
      <x:c r="M802" s="7"/>
      <x:c r="Q802" s="279"/>
      <x:c r="R802" s="281"/>
    </x:row>
    <x:row r="803">
      <x:c r="A803" s="278"/>
      <x:c r="C803" s="279"/>
      <x:c r="F803" s="278"/>
      <x:c r="G803" s="280"/>
      <x:c r="H803" s="278"/>
      <x:c r="I803" s="278"/>
      <x:c r="K803" s="278"/>
      <x:c r="L803" s="7"/>
      <x:c r="M803" s="7"/>
      <x:c r="Q803" s="279"/>
      <x:c r="R803" s="281"/>
    </x:row>
    <x:row r="804">
      <x:c r="A804" s="278"/>
      <x:c r="C804" s="279"/>
      <x:c r="F804" s="278"/>
      <x:c r="G804" s="280"/>
      <x:c r="H804" s="278"/>
      <x:c r="I804" s="278"/>
      <x:c r="K804" s="278"/>
      <x:c r="L804" s="7"/>
      <x:c r="M804" s="7"/>
      <x:c r="Q804" s="279"/>
      <x:c r="R804" s="281"/>
    </x:row>
    <x:row r="805">
      <x:c r="A805" s="278"/>
      <x:c r="C805" s="279"/>
      <x:c r="F805" s="278"/>
      <x:c r="G805" s="280"/>
      <x:c r="H805" s="278"/>
      <x:c r="I805" s="278"/>
      <x:c r="K805" s="278"/>
      <x:c r="L805" s="7"/>
      <x:c r="M805" s="7"/>
      <x:c r="Q805" s="279"/>
      <x:c r="R805" s="281"/>
    </x:row>
    <x:row r="806">
      <x:c r="A806" s="278"/>
      <x:c r="C806" s="279"/>
      <x:c r="F806" s="278"/>
      <x:c r="G806" s="280"/>
      <x:c r="H806" s="278"/>
      <x:c r="I806" s="278"/>
      <x:c r="K806" s="278"/>
      <x:c r="L806" s="7"/>
      <x:c r="M806" s="7"/>
      <x:c r="Q806" s="279"/>
      <x:c r="R806" s="281"/>
    </x:row>
    <x:row r="807">
      <x:c r="A807" s="278"/>
      <x:c r="C807" s="279"/>
      <x:c r="F807" s="278"/>
      <x:c r="G807" s="280"/>
      <x:c r="H807" s="278"/>
      <x:c r="I807" s="278"/>
      <x:c r="K807" s="278"/>
      <x:c r="L807" s="7"/>
      <x:c r="M807" s="7"/>
      <x:c r="Q807" s="279"/>
      <x:c r="R807" s="281"/>
    </x:row>
    <x:row r="808">
      <x:c r="A808" s="278"/>
      <x:c r="C808" s="279"/>
      <x:c r="F808" s="278"/>
      <x:c r="G808" s="280"/>
      <x:c r="H808" s="278"/>
      <x:c r="I808" s="278"/>
      <x:c r="K808" s="278"/>
      <x:c r="L808" s="7"/>
      <x:c r="M808" s="7"/>
      <x:c r="Q808" s="279"/>
      <x:c r="R808" s="281"/>
    </x:row>
    <x:row r="809">
      <x:c r="A809" s="278"/>
      <x:c r="C809" s="279"/>
      <x:c r="F809" s="278"/>
      <x:c r="G809" s="280"/>
      <x:c r="H809" s="278"/>
      <x:c r="I809" s="278"/>
      <x:c r="K809" s="278"/>
      <x:c r="L809" s="7"/>
      <x:c r="M809" s="7"/>
      <x:c r="Q809" s="279"/>
      <x:c r="R809" s="281"/>
    </x:row>
    <x:row r="810">
      <x:c r="A810" s="278"/>
      <x:c r="C810" s="279"/>
      <x:c r="F810" s="278"/>
      <x:c r="G810" s="280"/>
      <x:c r="H810" s="278"/>
      <x:c r="I810" s="278"/>
      <x:c r="K810" s="278"/>
      <x:c r="L810" s="7"/>
      <x:c r="M810" s="7"/>
      <x:c r="Q810" s="279"/>
      <x:c r="R810" s="281"/>
    </x:row>
    <x:row r="811">
      <x:c r="A811" s="278"/>
      <x:c r="C811" s="279"/>
      <x:c r="F811" s="278"/>
      <x:c r="G811" s="280"/>
      <x:c r="H811" s="278"/>
      <x:c r="I811" s="278"/>
      <x:c r="K811" s="278"/>
      <x:c r="L811" s="7"/>
      <x:c r="M811" s="7"/>
      <x:c r="Q811" s="279"/>
      <x:c r="R811" s="281"/>
    </x:row>
    <x:row r="812">
      <x:c r="A812" s="278"/>
      <x:c r="C812" s="279"/>
      <x:c r="F812" s="278"/>
      <x:c r="G812" s="280"/>
      <x:c r="H812" s="278"/>
      <x:c r="I812" s="278"/>
      <x:c r="K812" s="278"/>
      <x:c r="L812" s="7"/>
      <x:c r="M812" s="7"/>
      <x:c r="Q812" s="279"/>
      <x:c r="R812" s="281"/>
    </x:row>
    <x:row r="813">
      <x:c r="A813" s="278"/>
      <x:c r="C813" s="279"/>
      <x:c r="F813" s="278"/>
      <x:c r="G813" s="280"/>
      <x:c r="H813" s="278"/>
      <x:c r="I813" s="278"/>
      <x:c r="K813" s="278"/>
      <x:c r="L813" s="7"/>
      <x:c r="M813" s="7"/>
      <x:c r="Q813" s="279"/>
      <x:c r="R813" s="281"/>
    </x:row>
    <x:row r="814">
      <x:c r="A814" s="278"/>
      <x:c r="C814" s="279"/>
      <x:c r="F814" s="278"/>
      <x:c r="G814" s="280"/>
      <x:c r="H814" s="278"/>
      <x:c r="I814" s="278"/>
      <x:c r="K814" s="278"/>
      <x:c r="L814" s="7"/>
      <x:c r="M814" s="7"/>
      <x:c r="Q814" s="279"/>
      <x:c r="R814" s="281"/>
    </x:row>
    <x:row r="815">
      <x:c r="A815" s="278"/>
      <x:c r="C815" s="279"/>
      <x:c r="F815" s="278"/>
      <x:c r="G815" s="280"/>
      <x:c r="H815" s="278"/>
      <x:c r="I815" s="278"/>
      <x:c r="K815" s="278"/>
      <x:c r="L815" s="7"/>
      <x:c r="M815" s="7"/>
      <x:c r="Q815" s="279"/>
      <x:c r="R815" s="281"/>
    </x:row>
    <x:row r="816">
      <x:c r="A816" s="278"/>
      <x:c r="C816" s="279"/>
      <x:c r="F816" s="278"/>
      <x:c r="G816" s="280"/>
      <x:c r="H816" s="278"/>
      <x:c r="I816" s="278"/>
      <x:c r="K816" s="278"/>
      <x:c r="L816" s="7"/>
      <x:c r="M816" s="7"/>
      <x:c r="Q816" s="279"/>
      <x:c r="R816" s="281"/>
    </x:row>
    <x:row r="817">
      <x:c r="A817" s="278"/>
      <x:c r="C817" s="279"/>
      <x:c r="F817" s="278"/>
      <x:c r="G817" s="280"/>
      <x:c r="H817" s="278"/>
      <x:c r="I817" s="278"/>
      <x:c r="K817" s="278"/>
      <x:c r="L817" s="7"/>
      <x:c r="M817" s="7"/>
      <x:c r="Q817" s="279"/>
      <x:c r="R817" s="281"/>
    </x:row>
    <x:row r="818">
      <x:c r="A818" s="278"/>
      <x:c r="C818" s="279"/>
      <x:c r="F818" s="278"/>
      <x:c r="G818" s="280"/>
      <x:c r="H818" s="278"/>
      <x:c r="I818" s="278"/>
      <x:c r="K818" s="278"/>
      <x:c r="L818" s="7"/>
      <x:c r="M818" s="7"/>
      <x:c r="Q818" s="279"/>
      <x:c r="R818" s="281"/>
    </x:row>
    <x:row r="819">
      <x:c r="A819" s="278"/>
      <x:c r="C819" s="279"/>
      <x:c r="F819" s="278"/>
      <x:c r="G819" s="280"/>
      <x:c r="H819" s="278"/>
      <x:c r="I819" s="278"/>
      <x:c r="K819" s="278"/>
      <x:c r="L819" s="7"/>
      <x:c r="M819" s="7"/>
      <x:c r="Q819" s="279"/>
      <x:c r="R819" s="281"/>
    </x:row>
    <x:row r="820">
      <x:c r="A820" s="278"/>
      <x:c r="C820" s="279"/>
      <x:c r="F820" s="278"/>
      <x:c r="G820" s="280"/>
      <x:c r="H820" s="278"/>
      <x:c r="I820" s="278"/>
      <x:c r="K820" s="278"/>
      <x:c r="L820" s="7"/>
      <x:c r="M820" s="7"/>
      <x:c r="Q820" s="279"/>
      <x:c r="R820" s="281"/>
    </x:row>
    <x:row r="821">
      <x:c r="A821" s="278"/>
      <x:c r="C821" s="279"/>
      <x:c r="F821" s="278"/>
      <x:c r="G821" s="280"/>
      <x:c r="H821" s="278"/>
      <x:c r="I821" s="278"/>
      <x:c r="K821" s="278"/>
      <x:c r="L821" s="7"/>
      <x:c r="M821" s="7"/>
      <x:c r="Q821" s="279"/>
      <x:c r="R821" s="281"/>
    </x:row>
    <x:row r="822">
      <x:c r="A822" s="278"/>
      <x:c r="C822" s="279"/>
      <x:c r="F822" s="278"/>
      <x:c r="G822" s="280"/>
      <x:c r="H822" s="278"/>
      <x:c r="I822" s="278"/>
      <x:c r="K822" s="278"/>
      <x:c r="L822" s="7"/>
      <x:c r="M822" s="7"/>
      <x:c r="Q822" s="279"/>
      <x:c r="R822" s="281"/>
    </x:row>
    <x:row r="823">
      <x:c r="A823" s="278"/>
      <x:c r="C823" s="279"/>
      <x:c r="F823" s="278"/>
      <x:c r="G823" s="280"/>
      <x:c r="H823" s="278"/>
      <x:c r="I823" s="278"/>
      <x:c r="K823" s="278"/>
      <x:c r="L823" s="7"/>
      <x:c r="M823" s="7"/>
      <x:c r="Q823" s="279"/>
      <x:c r="R823" s="281"/>
    </x:row>
    <x:row r="824">
      <x:c r="A824" s="278"/>
      <x:c r="C824" s="279"/>
      <x:c r="F824" s="278"/>
      <x:c r="G824" s="280"/>
      <x:c r="H824" s="278"/>
      <x:c r="I824" s="278"/>
      <x:c r="K824" s="278"/>
      <x:c r="L824" s="7"/>
      <x:c r="M824" s="7"/>
      <x:c r="Q824" s="279"/>
      <x:c r="R824" s="281"/>
    </x:row>
    <x:row r="825">
      <x:c r="A825" s="278"/>
      <x:c r="C825" s="279"/>
      <x:c r="F825" s="278"/>
      <x:c r="G825" s="280"/>
      <x:c r="H825" s="278"/>
      <x:c r="I825" s="278"/>
      <x:c r="K825" s="278"/>
      <x:c r="L825" s="7"/>
      <x:c r="M825" s="7"/>
      <x:c r="Q825" s="279"/>
      <x:c r="R825" s="281"/>
    </x:row>
    <x:row r="826">
      <x:c r="A826" s="278"/>
      <x:c r="C826" s="279"/>
      <x:c r="F826" s="278"/>
      <x:c r="G826" s="280"/>
      <x:c r="H826" s="278"/>
      <x:c r="I826" s="278"/>
      <x:c r="K826" s="278"/>
      <x:c r="L826" s="7"/>
      <x:c r="M826" s="7"/>
      <x:c r="Q826" s="279"/>
      <x:c r="R826" s="281"/>
    </x:row>
    <x:row r="827">
      <x:c r="A827" s="278"/>
      <x:c r="C827" s="279"/>
      <x:c r="F827" s="278"/>
      <x:c r="G827" s="280"/>
      <x:c r="H827" s="278"/>
      <x:c r="I827" s="278"/>
      <x:c r="K827" s="278"/>
      <x:c r="L827" s="7"/>
      <x:c r="M827" s="7"/>
      <x:c r="Q827" s="279"/>
      <x:c r="R827" s="281"/>
    </x:row>
    <x:row r="828">
      <x:c r="A828" s="278"/>
      <x:c r="C828" s="279"/>
      <x:c r="F828" s="278"/>
      <x:c r="G828" s="280"/>
      <x:c r="H828" s="278"/>
      <x:c r="I828" s="278"/>
      <x:c r="K828" s="278"/>
      <x:c r="L828" s="7"/>
      <x:c r="M828" s="7"/>
      <x:c r="Q828" s="279"/>
      <x:c r="R828" s="281"/>
    </x:row>
    <x:row r="829">
      <x:c r="A829" s="278"/>
      <x:c r="C829" s="279"/>
      <x:c r="F829" s="278"/>
      <x:c r="G829" s="280"/>
      <x:c r="H829" s="278"/>
      <x:c r="I829" s="278"/>
      <x:c r="K829" s="278"/>
      <x:c r="L829" s="7"/>
      <x:c r="M829" s="7"/>
      <x:c r="Q829" s="279"/>
      <x:c r="R829" s="281"/>
    </x:row>
    <x:row r="830">
      <x:c r="A830" s="278"/>
      <x:c r="C830" s="279"/>
      <x:c r="F830" s="278"/>
      <x:c r="G830" s="280"/>
      <x:c r="H830" s="278"/>
      <x:c r="I830" s="278"/>
      <x:c r="K830" s="278"/>
      <x:c r="L830" s="7"/>
      <x:c r="M830" s="7"/>
      <x:c r="Q830" s="279"/>
      <x:c r="R830" s="281"/>
    </x:row>
    <x:row r="831">
      <x:c r="A831" s="278"/>
      <x:c r="C831" s="279"/>
      <x:c r="F831" s="278"/>
      <x:c r="G831" s="280"/>
      <x:c r="H831" s="278"/>
      <x:c r="I831" s="278"/>
      <x:c r="K831" s="278"/>
      <x:c r="L831" s="7"/>
      <x:c r="M831" s="7"/>
      <x:c r="Q831" s="279"/>
      <x:c r="R831" s="281"/>
    </x:row>
    <x:row r="832">
      <x:c r="A832" s="278"/>
      <x:c r="C832" s="279"/>
      <x:c r="F832" s="278"/>
      <x:c r="G832" s="280"/>
      <x:c r="H832" s="278"/>
      <x:c r="I832" s="278"/>
      <x:c r="K832" s="278"/>
      <x:c r="L832" s="7"/>
      <x:c r="M832" s="7"/>
      <x:c r="Q832" s="279"/>
      <x:c r="R832" s="281"/>
    </x:row>
    <x:row r="833">
      <x:c r="A833" s="278"/>
      <x:c r="C833" s="279"/>
      <x:c r="F833" s="278"/>
      <x:c r="G833" s="280"/>
      <x:c r="H833" s="278"/>
      <x:c r="I833" s="278"/>
      <x:c r="K833" s="278"/>
      <x:c r="L833" s="7"/>
      <x:c r="M833" s="7"/>
      <x:c r="Q833" s="279"/>
      <x:c r="R833" s="281"/>
    </x:row>
    <x:row r="834">
      <x:c r="A834" s="278"/>
      <x:c r="C834" s="279"/>
      <x:c r="F834" s="278"/>
      <x:c r="G834" s="280"/>
      <x:c r="H834" s="278"/>
      <x:c r="I834" s="278"/>
      <x:c r="K834" s="278"/>
      <x:c r="L834" s="7"/>
      <x:c r="M834" s="7"/>
      <x:c r="Q834" s="279"/>
      <x:c r="R834" s="281"/>
    </x:row>
    <x:row r="835">
      <x:c r="A835" s="278"/>
      <x:c r="C835" s="279"/>
      <x:c r="F835" s="278"/>
      <x:c r="G835" s="280"/>
      <x:c r="H835" s="278"/>
      <x:c r="I835" s="278"/>
      <x:c r="K835" s="278"/>
      <x:c r="L835" s="7"/>
      <x:c r="M835" s="7"/>
      <x:c r="Q835" s="279"/>
      <x:c r="R835" s="281"/>
    </x:row>
    <x:row r="836">
      <x:c r="A836" s="278"/>
      <x:c r="C836" s="279"/>
      <x:c r="F836" s="278"/>
      <x:c r="G836" s="280"/>
      <x:c r="H836" s="278"/>
      <x:c r="I836" s="278"/>
      <x:c r="K836" s="278"/>
      <x:c r="L836" s="7"/>
      <x:c r="M836" s="7"/>
      <x:c r="Q836" s="279"/>
      <x:c r="R836" s="281"/>
    </x:row>
    <x:row r="837">
      <x:c r="A837" s="278"/>
      <x:c r="C837" s="279"/>
      <x:c r="F837" s="278"/>
      <x:c r="G837" s="280"/>
      <x:c r="H837" s="278"/>
      <x:c r="I837" s="278"/>
      <x:c r="K837" s="278"/>
      <x:c r="L837" s="7"/>
      <x:c r="M837" s="7"/>
      <x:c r="Q837" s="279"/>
      <x:c r="R837" s="281"/>
    </x:row>
    <x:row r="838">
      <x:c r="A838" s="278"/>
      <x:c r="C838" s="279"/>
      <x:c r="F838" s="278"/>
      <x:c r="G838" s="280"/>
      <x:c r="H838" s="278"/>
      <x:c r="I838" s="278"/>
      <x:c r="K838" s="278"/>
      <x:c r="L838" s="7"/>
      <x:c r="M838" s="7"/>
      <x:c r="Q838" s="279"/>
      <x:c r="R838" s="281"/>
    </x:row>
    <x:row r="839">
      <x:c r="A839" s="278"/>
      <x:c r="C839" s="279"/>
      <x:c r="F839" s="278"/>
      <x:c r="G839" s="280"/>
      <x:c r="H839" s="278"/>
      <x:c r="I839" s="278"/>
      <x:c r="K839" s="278"/>
      <x:c r="L839" s="7"/>
      <x:c r="M839" s="7"/>
      <x:c r="Q839" s="279"/>
      <x:c r="R839" s="281"/>
    </x:row>
    <x:row r="840">
      <x:c r="A840" s="278"/>
      <x:c r="C840" s="279"/>
      <x:c r="F840" s="278"/>
      <x:c r="G840" s="280"/>
      <x:c r="H840" s="278"/>
      <x:c r="I840" s="278"/>
      <x:c r="K840" s="278"/>
      <x:c r="L840" s="7"/>
      <x:c r="M840" s="7"/>
      <x:c r="Q840" s="279"/>
      <x:c r="R840" s="281"/>
    </x:row>
    <x:row r="841">
      <x:c r="A841" s="278"/>
      <x:c r="C841" s="279"/>
      <x:c r="F841" s="278"/>
      <x:c r="G841" s="280"/>
      <x:c r="H841" s="278"/>
      <x:c r="I841" s="278"/>
      <x:c r="K841" s="278"/>
      <x:c r="L841" s="7"/>
      <x:c r="M841" s="7"/>
      <x:c r="Q841" s="279"/>
      <x:c r="R841" s="281"/>
    </x:row>
    <x:row r="842">
      <x:c r="A842" s="278"/>
      <x:c r="C842" s="279"/>
      <x:c r="F842" s="278"/>
      <x:c r="G842" s="280"/>
      <x:c r="H842" s="278"/>
      <x:c r="I842" s="278"/>
      <x:c r="K842" s="278"/>
      <x:c r="L842" s="7"/>
      <x:c r="M842" s="7"/>
      <x:c r="Q842" s="279"/>
      <x:c r="R842" s="281"/>
    </x:row>
    <x:row r="843">
      <x:c r="A843" s="278"/>
      <x:c r="C843" s="279"/>
      <x:c r="F843" s="278"/>
      <x:c r="G843" s="280"/>
      <x:c r="H843" s="278"/>
      <x:c r="I843" s="278"/>
      <x:c r="K843" s="278"/>
      <x:c r="L843" s="7"/>
      <x:c r="M843" s="7"/>
      <x:c r="Q843" s="279"/>
      <x:c r="R843" s="281"/>
    </x:row>
    <x:row r="844">
      <x:c r="A844" s="278"/>
      <x:c r="C844" s="279"/>
      <x:c r="F844" s="278"/>
      <x:c r="G844" s="280"/>
      <x:c r="H844" s="278"/>
      <x:c r="I844" s="278"/>
      <x:c r="K844" s="278"/>
      <x:c r="L844" s="7"/>
      <x:c r="M844" s="7"/>
      <x:c r="Q844" s="279"/>
      <x:c r="R844" s="281"/>
    </x:row>
    <x:row r="845">
      <x:c r="A845" s="278"/>
      <x:c r="C845" s="279"/>
      <x:c r="F845" s="278"/>
      <x:c r="G845" s="280"/>
      <x:c r="H845" s="278"/>
      <x:c r="I845" s="278"/>
      <x:c r="K845" s="278"/>
      <x:c r="L845" s="7"/>
      <x:c r="M845" s="7"/>
      <x:c r="Q845" s="279"/>
      <x:c r="R845" s="281"/>
    </x:row>
    <x:row r="846">
      <x:c r="A846" s="278"/>
      <x:c r="C846" s="279"/>
      <x:c r="F846" s="278"/>
      <x:c r="G846" s="280"/>
      <x:c r="H846" s="278"/>
      <x:c r="I846" s="278"/>
      <x:c r="K846" s="278"/>
      <x:c r="L846" s="7"/>
      <x:c r="M846" s="7"/>
      <x:c r="Q846" s="279"/>
      <x:c r="R846" s="281"/>
    </x:row>
    <x:row r="847">
      <x:c r="A847" s="278"/>
      <x:c r="C847" s="279"/>
      <x:c r="F847" s="278"/>
      <x:c r="G847" s="280"/>
      <x:c r="H847" s="278"/>
      <x:c r="I847" s="278"/>
      <x:c r="K847" s="278"/>
      <x:c r="L847" s="7"/>
      <x:c r="M847" s="7"/>
      <x:c r="Q847" s="279"/>
      <x:c r="R847" s="281"/>
    </x:row>
    <x:row r="848">
      <x:c r="A848" s="278"/>
      <x:c r="C848" s="279"/>
      <x:c r="F848" s="278"/>
      <x:c r="G848" s="280"/>
      <x:c r="H848" s="278"/>
      <x:c r="I848" s="278"/>
      <x:c r="K848" s="278"/>
      <x:c r="L848" s="7"/>
      <x:c r="M848" s="7"/>
      <x:c r="Q848" s="279"/>
      <x:c r="R848" s="281"/>
    </x:row>
    <x:row r="849">
      <x:c r="A849" s="278"/>
      <x:c r="C849" s="279"/>
      <x:c r="F849" s="278"/>
      <x:c r="G849" s="280"/>
      <x:c r="H849" s="278"/>
      <x:c r="I849" s="278"/>
      <x:c r="K849" s="278"/>
      <x:c r="L849" s="7"/>
      <x:c r="M849" s="7"/>
      <x:c r="Q849" s="279"/>
      <x:c r="R849" s="281"/>
    </x:row>
    <x:row r="850">
      <x:c r="A850" s="278"/>
      <x:c r="C850" s="279"/>
      <x:c r="F850" s="278"/>
      <x:c r="G850" s="280"/>
      <x:c r="H850" s="278"/>
      <x:c r="I850" s="278"/>
      <x:c r="K850" s="278"/>
      <x:c r="L850" s="7"/>
      <x:c r="M850" s="7"/>
      <x:c r="Q850" s="279"/>
      <x:c r="R850" s="281"/>
    </x:row>
    <x:row r="851">
      <x:c r="A851" s="278"/>
      <x:c r="C851" s="279"/>
      <x:c r="F851" s="278"/>
      <x:c r="G851" s="280"/>
      <x:c r="H851" s="278"/>
      <x:c r="I851" s="278"/>
      <x:c r="K851" s="278"/>
      <x:c r="L851" s="7"/>
      <x:c r="M851" s="7"/>
      <x:c r="Q851" s="279"/>
      <x:c r="R851" s="281"/>
    </x:row>
    <x:row r="852">
      <x:c r="A852" s="278"/>
      <x:c r="C852" s="279"/>
      <x:c r="F852" s="278"/>
      <x:c r="G852" s="280"/>
      <x:c r="H852" s="278"/>
      <x:c r="I852" s="278"/>
      <x:c r="K852" s="278"/>
      <x:c r="L852" s="7"/>
      <x:c r="M852" s="7"/>
      <x:c r="Q852" s="279"/>
      <x:c r="R852" s="281"/>
    </x:row>
    <x:row r="853">
      <x:c r="A853" s="278"/>
      <x:c r="C853" s="279"/>
      <x:c r="F853" s="278"/>
      <x:c r="G853" s="280"/>
      <x:c r="H853" s="278"/>
      <x:c r="I853" s="278"/>
      <x:c r="K853" s="278"/>
      <x:c r="L853" s="7"/>
      <x:c r="M853" s="7"/>
      <x:c r="Q853" s="279"/>
      <x:c r="R853" s="281"/>
    </x:row>
    <x:row r="854">
      <x:c r="A854" s="278"/>
      <x:c r="C854" s="279"/>
      <x:c r="F854" s="278"/>
      <x:c r="G854" s="280"/>
      <x:c r="H854" s="278"/>
      <x:c r="I854" s="278"/>
      <x:c r="K854" s="278"/>
      <x:c r="L854" s="7"/>
      <x:c r="M854" s="7"/>
      <x:c r="Q854" s="279"/>
      <x:c r="R854" s="281"/>
    </x:row>
    <x:row r="855">
      <x:c r="A855" s="278"/>
      <x:c r="C855" s="279"/>
      <x:c r="F855" s="278"/>
      <x:c r="G855" s="280"/>
      <x:c r="H855" s="278"/>
      <x:c r="I855" s="278"/>
      <x:c r="K855" s="278"/>
      <x:c r="L855" s="7"/>
      <x:c r="M855" s="7"/>
      <x:c r="Q855" s="279"/>
      <x:c r="R855" s="281"/>
    </x:row>
    <x:row r="856">
      <x:c r="A856" s="278"/>
      <x:c r="C856" s="279"/>
      <x:c r="F856" s="278"/>
      <x:c r="G856" s="280"/>
      <x:c r="H856" s="278"/>
      <x:c r="I856" s="278"/>
      <x:c r="K856" s="278"/>
      <x:c r="L856" s="7"/>
      <x:c r="M856" s="7"/>
      <x:c r="Q856" s="279"/>
      <x:c r="R856" s="281"/>
    </x:row>
    <x:row r="857">
      <x:c r="A857" s="278"/>
      <x:c r="C857" s="279"/>
      <x:c r="F857" s="278"/>
      <x:c r="G857" s="280"/>
      <x:c r="H857" s="278"/>
      <x:c r="I857" s="278"/>
      <x:c r="K857" s="278"/>
      <x:c r="L857" s="7"/>
      <x:c r="M857" s="7"/>
      <x:c r="Q857" s="279"/>
      <x:c r="R857" s="281"/>
    </x:row>
    <x:row r="858">
      <x:c r="A858" s="278"/>
      <x:c r="C858" s="279"/>
      <x:c r="F858" s="278"/>
      <x:c r="G858" s="280"/>
      <x:c r="H858" s="278"/>
      <x:c r="I858" s="278"/>
      <x:c r="K858" s="278"/>
      <x:c r="L858" s="7"/>
      <x:c r="M858" s="7"/>
      <x:c r="Q858" s="279"/>
      <x:c r="R858" s="281"/>
    </x:row>
    <x:row r="859">
      <x:c r="A859" s="278"/>
      <x:c r="C859" s="279"/>
      <x:c r="F859" s="278"/>
      <x:c r="G859" s="280"/>
      <x:c r="H859" s="278"/>
      <x:c r="I859" s="278"/>
      <x:c r="K859" s="278"/>
      <x:c r="L859" s="7"/>
      <x:c r="M859" s="7"/>
      <x:c r="Q859" s="279"/>
      <x:c r="R859" s="281"/>
    </x:row>
    <x:row r="860">
      <x:c r="A860" s="278"/>
      <x:c r="C860" s="279"/>
      <x:c r="F860" s="278"/>
      <x:c r="G860" s="280"/>
      <x:c r="H860" s="278"/>
      <x:c r="I860" s="278"/>
      <x:c r="K860" s="278"/>
      <x:c r="L860" s="7"/>
      <x:c r="M860" s="7"/>
      <x:c r="Q860" s="279"/>
      <x:c r="R860" s="281"/>
    </x:row>
    <x:row r="861">
      <x:c r="A861" s="278"/>
      <x:c r="C861" s="279"/>
      <x:c r="F861" s="278"/>
      <x:c r="G861" s="280"/>
      <x:c r="H861" s="278"/>
      <x:c r="I861" s="278"/>
      <x:c r="K861" s="278"/>
      <x:c r="L861" s="7"/>
      <x:c r="M861" s="7"/>
      <x:c r="Q861" s="279"/>
      <x:c r="R861" s="281"/>
    </x:row>
    <x:row r="862">
      <x:c r="A862" s="278"/>
      <x:c r="C862" s="279"/>
      <x:c r="F862" s="278"/>
      <x:c r="G862" s="280"/>
      <x:c r="H862" s="278"/>
      <x:c r="I862" s="278"/>
      <x:c r="K862" s="278"/>
      <x:c r="L862" s="7"/>
      <x:c r="M862" s="7"/>
      <x:c r="Q862" s="279"/>
      <x:c r="R862" s="281"/>
    </x:row>
    <x:row r="863">
      <x:c r="A863" s="278"/>
      <x:c r="C863" s="279"/>
      <x:c r="F863" s="278"/>
      <x:c r="G863" s="280"/>
      <x:c r="H863" s="278"/>
      <x:c r="I863" s="278"/>
      <x:c r="K863" s="278"/>
      <x:c r="L863" s="7"/>
      <x:c r="M863" s="7"/>
      <x:c r="Q863" s="279"/>
      <x:c r="R863" s="281"/>
    </x:row>
    <x:row r="864">
      <x:c r="A864" s="278"/>
      <x:c r="C864" s="279"/>
      <x:c r="F864" s="278"/>
      <x:c r="G864" s="280"/>
      <x:c r="H864" s="278"/>
      <x:c r="I864" s="278"/>
      <x:c r="K864" s="278"/>
      <x:c r="L864" s="7"/>
      <x:c r="M864" s="7"/>
      <x:c r="Q864" s="279"/>
      <x:c r="R864" s="281"/>
    </x:row>
    <x:row r="865">
      <x:c r="A865" s="278"/>
      <x:c r="C865" s="279"/>
      <x:c r="F865" s="278"/>
      <x:c r="G865" s="280"/>
      <x:c r="H865" s="278"/>
      <x:c r="I865" s="278"/>
      <x:c r="K865" s="278"/>
      <x:c r="L865" s="7"/>
      <x:c r="M865" s="7"/>
      <x:c r="Q865" s="279"/>
      <x:c r="R865" s="281"/>
    </x:row>
    <x:row r="866">
      <x:c r="A866" s="278"/>
      <x:c r="C866" s="279"/>
      <x:c r="F866" s="278"/>
      <x:c r="G866" s="280"/>
      <x:c r="H866" s="278"/>
      <x:c r="I866" s="278"/>
      <x:c r="K866" s="278"/>
      <x:c r="L866" s="7"/>
      <x:c r="M866" s="7"/>
      <x:c r="Q866" s="279"/>
      <x:c r="R866" s="281"/>
    </x:row>
    <x:row r="867">
      <x:c r="A867" s="278"/>
      <x:c r="C867" s="279"/>
      <x:c r="F867" s="278"/>
      <x:c r="G867" s="280"/>
      <x:c r="H867" s="278"/>
      <x:c r="I867" s="278"/>
      <x:c r="K867" s="278"/>
      <x:c r="L867" s="7"/>
      <x:c r="M867" s="7"/>
      <x:c r="Q867" s="279"/>
      <x:c r="R867" s="281"/>
    </x:row>
    <x:row r="868">
      <x:c r="A868" s="278"/>
      <x:c r="C868" s="279"/>
      <x:c r="F868" s="278"/>
      <x:c r="G868" s="280"/>
      <x:c r="H868" s="278"/>
      <x:c r="I868" s="278"/>
      <x:c r="K868" s="278"/>
      <x:c r="L868" s="7"/>
      <x:c r="M868" s="7"/>
      <x:c r="Q868" s="279"/>
      <x:c r="R868" s="281"/>
    </x:row>
    <x:row r="869">
      <x:c r="A869" s="278"/>
      <x:c r="C869" s="279"/>
      <x:c r="F869" s="278"/>
      <x:c r="G869" s="280"/>
      <x:c r="H869" s="278"/>
      <x:c r="I869" s="278"/>
      <x:c r="K869" s="278"/>
      <x:c r="L869" s="7"/>
      <x:c r="M869" s="7"/>
      <x:c r="Q869" s="279"/>
      <x:c r="R869" s="281"/>
    </x:row>
    <x:row r="870">
      <x:c r="A870" s="278"/>
      <x:c r="C870" s="279"/>
      <x:c r="F870" s="278"/>
      <x:c r="G870" s="280"/>
      <x:c r="H870" s="278"/>
      <x:c r="I870" s="278"/>
      <x:c r="K870" s="278"/>
      <x:c r="L870" s="7"/>
      <x:c r="M870" s="7"/>
      <x:c r="Q870" s="279"/>
      <x:c r="R870" s="281"/>
    </x:row>
    <x:row r="871">
      <x:c r="A871" s="278"/>
      <x:c r="C871" s="279"/>
      <x:c r="F871" s="278"/>
      <x:c r="G871" s="280"/>
      <x:c r="H871" s="278"/>
      <x:c r="I871" s="278"/>
      <x:c r="K871" s="278"/>
      <x:c r="L871" s="7"/>
      <x:c r="M871" s="7"/>
      <x:c r="Q871" s="279"/>
      <x:c r="R871" s="281"/>
    </x:row>
    <x:row r="872">
      <x:c r="A872" s="278"/>
      <x:c r="C872" s="279"/>
      <x:c r="F872" s="278"/>
      <x:c r="G872" s="280"/>
      <x:c r="H872" s="278"/>
      <x:c r="I872" s="278"/>
      <x:c r="K872" s="278"/>
      <x:c r="L872" s="7"/>
      <x:c r="M872" s="7"/>
      <x:c r="Q872" s="279"/>
      <x:c r="R872" s="281"/>
    </x:row>
    <x:row r="873">
      <x:c r="A873" s="278"/>
      <x:c r="C873" s="279"/>
      <x:c r="F873" s="278"/>
      <x:c r="G873" s="280"/>
      <x:c r="H873" s="278"/>
      <x:c r="I873" s="278"/>
      <x:c r="K873" s="278"/>
      <x:c r="L873" s="7"/>
      <x:c r="M873" s="7"/>
      <x:c r="Q873" s="279"/>
      <x:c r="R873" s="281"/>
    </x:row>
    <x:row r="874">
      <x:c r="A874" s="278"/>
      <x:c r="C874" s="279"/>
      <x:c r="F874" s="278"/>
      <x:c r="G874" s="280"/>
      <x:c r="H874" s="278"/>
      <x:c r="I874" s="278"/>
      <x:c r="K874" s="278"/>
      <x:c r="L874" s="7"/>
      <x:c r="M874" s="7"/>
      <x:c r="Q874" s="279"/>
      <x:c r="R874" s="281"/>
    </x:row>
    <x:row r="875">
      <x:c r="A875" s="278"/>
      <x:c r="C875" s="279"/>
      <x:c r="F875" s="278"/>
      <x:c r="G875" s="280"/>
      <x:c r="H875" s="278"/>
      <x:c r="I875" s="278"/>
      <x:c r="K875" s="278"/>
      <x:c r="L875" s="7"/>
      <x:c r="M875" s="7"/>
      <x:c r="Q875" s="279"/>
      <x:c r="R875" s="281"/>
    </x:row>
    <x:row r="876">
      <x:c r="A876" s="278"/>
      <x:c r="C876" s="279"/>
      <x:c r="F876" s="278"/>
      <x:c r="G876" s="280"/>
      <x:c r="H876" s="278"/>
      <x:c r="I876" s="278"/>
      <x:c r="K876" s="278"/>
      <x:c r="L876" s="7"/>
      <x:c r="M876" s="7"/>
      <x:c r="Q876" s="279"/>
      <x:c r="R876" s="281"/>
    </x:row>
    <x:row r="877">
      <x:c r="A877" s="278"/>
      <x:c r="C877" s="279"/>
      <x:c r="F877" s="278"/>
      <x:c r="G877" s="280"/>
      <x:c r="H877" s="278"/>
      <x:c r="I877" s="278"/>
      <x:c r="K877" s="278"/>
      <x:c r="L877" s="7"/>
      <x:c r="M877" s="7"/>
      <x:c r="Q877" s="279"/>
      <x:c r="R877" s="281"/>
    </x:row>
    <x:row r="878">
      <x:c r="A878" s="278"/>
      <x:c r="C878" s="279"/>
      <x:c r="F878" s="278"/>
      <x:c r="G878" s="280"/>
      <x:c r="H878" s="278"/>
      <x:c r="I878" s="278"/>
      <x:c r="K878" s="278"/>
      <x:c r="L878" s="7"/>
      <x:c r="M878" s="7"/>
      <x:c r="Q878" s="279"/>
      <x:c r="R878" s="281"/>
    </x:row>
    <x:row r="879">
      <x:c r="A879" s="278"/>
      <x:c r="C879" s="279"/>
      <x:c r="F879" s="278"/>
      <x:c r="G879" s="280"/>
      <x:c r="H879" s="278"/>
      <x:c r="I879" s="278"/>
      <x:c r="K879" s="278"/>
      <x:c r="L879" s="7"/>
      <x:c r="M879" s="7"/>
      <x:c r="Q879" s="279"/>
      <x:c r="R879" s="281"/>
    </x:row>
    <x:row r="880">
      <x:c r="A880" s="278"/>
      <x:c r="C880" s="279"/>
      <x:c r="F880" s="278"/>
      <x:c r="G880" s="280"/>
      <x:c r="H880" s="278"/>
      <x:c r="I880" s="278"/>
      <x:c r="K880" s="278"/>
      <x:c r="L880" s="7"/>
      <x:c r="M880" s="7"/>
      <x:c r="Q880" s="279"/>
      <x:c r="R880" s="281"/>
    </x:row>
    <x:row r="881">
      <x:c r="A881" s="278"/>
      <x:c r="C881" s="279"/>
      <x:c r="F881" s="278"/>
      <x:c r="G881" s="280"/>
      <x:c r="H881" s="278"/>
      <x:c r="I881" s="278"/>
      <x:c r="K881" s="278"/>
      <x:c r="L881" s="7"/>
      <x:c r="M881" s="7"/>
      <x:c r="Q881" s="279"/>
      <x:c r="R881" s="281"/>
    </x:row>
    <x:row r="882">
      <x:c r="A882" s="278"/>
      <x:c r="C882" s="279"/>
      <x:c r="F882" s="278"/>
      <x:c r="G882" s="280"/>
      <x:c r="H882" s="278"/>
      <x:c r="I882" s="278"/>
      <x:c r="K882" s="278"/>
      <x:c r="L882" s="7"/>
      <x:c r="M882" s="7"/>
      <x:c r="Q882" s="279"/>
      <x:c r="R882" s="281"/>
    </x:row>
    <x:row r="883">
      <x:c r="A883" s="278"/>
      <x:c r="C883" s="279"/>
      <x:c r="F883" s="278"/>
      <x:c r="G883" s="280"/>
      <x:c r="H883" s="278"/>
      <x:c r="I883" s="278"/>
      <x:c r="K883" s="278"/>
      <x:c r="L883" s="7"/>
      <x:c r="M883" s="7"/>
      <x:c r="Q883" s="279"/>
      <x:c r="R883" s="281"/>
    </x:row>
    <x:row r="884">
      <x:c r="A884" s="278"/>
      <x:c r="C884" s="279"/>
      <x:c r="F884" s="278"/>
      <x:c r="G884" s="280"/>
      <x:c r="H884" s="278"/>
      <x:c r="I884" s="278"/>
      <x:c r="K884" s="278"/>
      <x:c r="L884" s="7"/>
      <x:c r="M884" s="7"/>
      <x:c r="Q884" s="279"/>
      <x:c r="R884" s="281"/>
    </x:row>
    <x:row r="885">
      <x:c r="A885" s="278"/>
      <x:c r="C885" s="279"/>
      <x:c r="F885" s="278"/>
      <x:c r="G885" s="280"/>
      <x:c r="H885" s="278"/>
      <x:c r="I885" s="278"/>
      <x:c r="K885" s="278"/>
      <x:c r="L885" s="7"/>
      <x:c r="M885" s="7"/>
      <x:c r="Q885" s="279"/>
      <x:c r="R885" s="281"/>
    </x:row>
    <x:row r="886">
      <x:c r="A886" s="278"/>
      <x:c r="C886" s="279"/>
      <x:c r="F886" s="278"/>
      <x:c r="G886" s="280"/>
      <x:c r="H886" s="278"/>
      <x:c r="I886" s="278"/>
      <x:c r="K886" s="278"/>
      <x:c r="L886" s="7"/>
      <x:c r="M886" s="7"/>
      <x:c r="Q886" s="279"/>
      <x:c r="R886" s="281"/>
    </x:row>
    <x:row r="887">
      <x:c r="A887" s="278"/>
      <x:c r="C887" s="279"/>
      <x:c r="F887" s="278"/>
      <x:c r="G887" s="280"/>
      <x:c r="H887" s="278"/>
      <x:c r="I887" s="278"/>
      <x:c r="K887" s="278"/>
      <x:c r="L887" s="7"/>
      <x:c r="M887" s="7"/>
      <x:c r="Q887" s="279"/>
      <x:c r="R887" s="281"/>
    </x:row>
    <x:row r="888">
      <x:c r="A888" s="278"/>
      <x:c r="C888" s="279"/>
      <x:c r="F888" s="278"/>
      <x:c r="G888" s="280"/>
      <x:c r="H888" s="278"/>
      <x:c r="I888" s="278"/>
      <x:c r="K888" s="278"/>
      <x:c r="L888" s="7"/>
      <x:c r="M888" s="7"/>
      <x:c r="Q888" s="279"/>
      <x:c r="R888" s="281"/>
    </x:row>
    <x:row r="889">
      <x:c r="A889" s="278"/>
      <x:c r="C889" s="279"/>
      <x:c r="F889" s="278"/>
      <x:c r="G889" s="280"/>
      <x:c r="H889" s="278"/>
      <x:c r="I889" s="278"/>
      <x:c r="K889" s="278"/>
      <x:c r="L889" s="7"/>
      <x:c r="M889" s="7"/>
      <x:c r="Q889" s="279"/>
      <x:c r="R889" s="281"/>
    </x:row>
    <x:row r="890">
      <x:c r="A890" s="278"/>
      <x:c r="C890" s="279"/>
      <x:c r="F890" s="278"/>
      <x:c r="G890" s="280"/>
      <x:c r="H890" s="278"/>
      <x:c r="I890" s="278"/>
      <x:c r="K890" s="278"/>
      <x:c r="L890" s="7"/>
      <x:c r="M890" s="7"/>
      <x:c r="Q890" s="279"/>
      <x:c r="R890" s="281"/>
    </x:row>
    <x:row r="891">
      <x:c r="A891" s="278"/>
      <x:c r="C891" s="279"/>
      <x:c r="F891" s="278"/>
      <x:c r="G891" s="280"/>
      <x:c r="H891" s="278"/>
      <x:c r="I891" s="278"/>
      <x:c r="K891" s="278"/>
      <x:c r="L891" s="7"/>
      <x:c r="M891" s="7"/>
      <x:c r="Q891" s="279"/>
      <x:c r="R891" s="281"/>
    </x:row>
    <x:row r="892">
      <x:c r="A892" s="278"/>
      <x:c r="C892" s="279"/>
      <x:c r="F892" s="278"/>
      <x:c r="G892" s="280"/>
      <x:c r="H892" s="278"/>
      <x:c r="I892" s="278"/>
      <x:c r="K892" s="278"/>
      <x:c r="L892" s="7"/>
      <x:c r="M892" s="7"/>
      <x:c r="Q892" s="279"/>
      <x:c r="R892" s="281"/>
    </x:row>
    <x:row r="893">
      <x:c r="A893" s="278"/>
      <x:c r="C893" s="279"/>
      <x:c r="F893" s="278"/>
      <x:c r="G893" s="280"/>
      <x:c r="H893" s="278"/>
      <x:c r="I893" s="278"/>
      <x:c r="K893" s="278"/>
      <x:c r="L893" s="7"/>
      <x:c r="M893" s="7"/>
      <x:c r="Q893" s="279"/>
      <x:c r="R893" s="281"/>
    </x:row>
    <x:row r="894">
      <x:c r="A894" s="278"/>
      <x:c r="C894" s="279"/>
      <x:c r="F894" s="278"/>
      <x:c r="G894" s="280"/>
      <x:c r="H894" s="278"/>
      <x:c r="I894" s="278"/>
      <x:c r="K894" s="278"/>
      <x:c r="L894" s="7"/>
      <x:c r="M894" s="7"/>
      <x:c r="Q894" s="279"/>
      <x:c r="R894" s="281"/>
    </x:row>
    <x:row r="895">
      <x:c r="A895" s="278"/>
      <x:c r="C895" s="279"/>
      <x:c r="F895" s="278"/>
      <x:c r="G895" s="280"/>
      <x:c r="H895" s="278"/>
      <x:c r="I895" s="278"/>
      <x:c r="K895" s="278"/>
      <x:c r="L895" s="7"/>
      <x:c r="M895" s="7"/>
      <x:c r="Q895" s="279"/>
      <x:c r="R895" s="281"/>
    </x:row>
    <x:row r="896">
      <x:c r="A896" s="278"/>
      <x:c r="C896" s="279"/>
      <x:c r="F896" s="278"/>
      <x:c r="G896" s="280"/>
      <x:c r="H896" s="278"/>
      <x:c r="I896" s="278"/>
      <x:c r="K896" s="278"/>
      <x:c r="L896" s="7"/>
      <x:c r="M896" s="7"/>
      <x:c r="Q896" s="279"/>
      <x:c r="R896" s="281"/>
    </x:row>
    <x:row r="897">
      <x:c r="A897" s="278"/>
      <x:c r="C897" s="279"/>
      <x:c r="F897" s="278"/>
      <x:c r="G897" s="280"/>
      <x:c r="H897" s="278"/>
      <x:c r="I897" s="278"/>
      <x:c r="K897" s="278"/>
      <x:c r="L897" s="7"/>
      <x:c r="M897" s="7"/>
      <x:c r="Q897" s="279"/>
      <x:c r="R897" s="281"/>
    </x:row>
    <x:row r="898">
      <x:c r="A898" s="278"/>
      <x:c r="C898" s="279"/>
      <x:c r="F898" s="278"/>
      <x:c r="G898" s="280"/>
      <x:c r="H898" s="278"/>
      <x:c r="I898" s="278"/>
      <x:c r="K898" s="278"/>
      <x:c r="L898" s="7"/>
      <x:c r="M898" s="7"/>
      <x:c r="Q898" s="279"/>
      <x:c r="R898" s="281"/>
    </x:row>
    <x:row r="899">
      <x:c r="A899" s="278"/>
      <x:c r="C899" s="279"/>
      <x:c r="F899" s="278"/>
      <x:c r="G899" s="280"/>
      <x:c r="H899" s="278"/>
      <x:c r="I899" s="278"/>
      <x:c r="K899" s="278"/>
      <x:c r="L899" s="7"/>
      <x:c r="M899" s="7"/>
      <x:c r="Q899" s="279"/>
      <x:c r="R899" s="281"/>
    </x:row>
    <x:row r="900">
      <x:c r="A900" s="278"/>
      <x:c r="C900" s="279"/>
      <x:c r="F900" s="278"/>
      <x:c r="G900" s="280"/>
      <x:c r="H900" s="278"/>
      <x:c r="I900" s="278"/>
      <x:c r="K900" s="278"/>
      <x:c r="L900" s="7"/>
      <x:c r="M900" s="7"/>
      <x:c r="Q900" s="279"/>
      <x:c r="R900" s="281"/>
    </x:row>
    <x:row r="901">
      <x:c r="A901" s="278"/>
      <x:c r="C901" s="279"/>
      <x:c r="F901" s="278"/>
      <x:c r="G901" s="280"/>
      <x:c r="H901" s="278"/>
      <x:c r="I901" s="278"/>
      <x:c r="K901" s="278"/>
      <x:c r="L901" s="7"/>
      <x:c r="M901" s="7"/>
      <x:c r="Q901" s="279"/>
      <x:c r="R901" s="281"/>
    </x:row>
    <x:row r="902">
      <x:c r="A902" s="278"/>
      <x:c r="C902" s="279"/>
      <x:c r="F902" s="278"/>
      <x:c r="G902" s="280"/>
      <x:c r="H902" s="278"/>
      <x:c r="I902" s="278"/>
      <x:c r="K902" s="278"/>
      <x:c r="L902" s="7"/>
      <x:c r="M902" s="7"/>
      <x:c r="Q902" s="279"/>
      <x:c r="R902" s="281"/>
    </x:row>
    <x:row r="903">
      <x:c r="A903" s="278"/>
      <x:c r="C903" s="279"/>
      <x:c r="F903" s="278"/>
      <x:c r="G903" s="280"/>
      <x:c r="H903" s="278"/>
      <x:c r="I903" s="278"/>
      <x:c r="K903" s="278"/>
      <x:c r="L903" s="7"/>
      <x:c r="M903" s="7"/>
      <x:c r="Q903" s="279"/>
      <x:c r="R903" s="281"/>
    </x:row>
    <x:row r="904">
      <x:c r="A904" s="278"/>
      <x:c r="C904" s="279"/>
      <x:c r="F904" s="278"/>
      <x:c r="G904" s="280"/>
      <x:c r="H904" s="278"/>
      <x:c r="I904" s="278"/>
      <x:c r="K904" s="278"/>
      <x:c r="L904" s="7"/>
      <x:c r="M904" s="7"/>
      <x:c r="Q904" s="279"/>
      <x:c r="R904" s="281"/>
    </x:row>
    <x:row r="905">
      <x:c r="A905" s="278"/>
      <x:c r="C905" s="279"/>
      <x:c r="F905" s="278"/>
      <x:c r="G905" s="280"/>
      <x:c r="H905" s="278"/>
      <x:c r="I905" s="278"/>
      <x:c r="K905" s="278"/>
      <x:c r="L905" s="7"/>
      <x:c r="M905" s="7"/>
      <x:c r="Q905" s="279"/>
      <x:c r="R905" s="281"/>
    </x:row>
    <x:row r="906">
      <x:c r="A906" s="278"/>
      <x:c r="C906" s="279"/>
      <x:c r="F906" s="278"/>
      <x:c r="G906" s="280"/>
      <x:c r="H906" s="278"/>
      <x:c r="I906" s="278"/>
      <x:c r="K906" s="278"/>
      <x:c r="L906" s="7"/>
      <x:c r="M906" s="7"/>
      <x:c r="Q906" s="279"/>
      <x:c r="R906" s="281"/>
    </x:row>
    <x:row r="907">
      <x:c r="A907" s="278"/>
      <x:c r="C907" s="279"/>
      <x:c r="F907" s="278"/>
      <x:c r="G907" s="280"/>
      <x:c r="H907" s="278"/>
      <x:c r="I907" s="278"/>
      <x:c r="K907" s="278"/>
      <x:c r="L907" s="7"/>
      <x:c r="M907" s="7"/>
      <x:c r="Q907" s="279"/>
      <x:c r="R907" s="281"/>
    </x:row>
    <x:row r="908">
      <x:c r="A908" s="278"/>
      <x:c r="C908" s="279"/>
      <x:c r="F908" s="278"/>
      <x:c r="G908" s="280"/>
      <x:c r="H908" s="278"/>
      <x:c r="I908" s="278"/>
      <x:c r="K908" s="278"/>
      <x:c r="L908" s="7"/>
      <x:c r="M908" s="7"/>
      <x:c r="Q908" s="279"/>
      <x:c r="R908" s="281"/>
    </x:row>
    <x:row r="909">
      <x:c r="A909" s="278"/>
      <x:c r="C909" s="279"/>
      <x:c r="F909" s="278"/>
      <x:c r="G909" s="280"/>
      <x:c r="H909" s="278"/>
      <x:c r="I909" s="278"/>
      <x:c r="K909" s="278"/>
      <x:c r="L909" s="7"/>
      <x:c r="M909" s="7"/>
      <x:c r="Q909" s="279"/>
      <x:c r="R909" s="281"/>
    </x:row>
    <x:row r="910">
      <x:c r="A910" s="278"/>
      <x:c r="C910" s="279"/>
      <x:c r="F910" s="278"/>
      <x:c r="G910" s="280"/>
      <x:c r="H910" s="278"/>
      <x:c r="I910" s="278"/>
      <x:c r="K910" s="278"/>
      <x:c r="L910" s="7"/>
      <x:c r="M910" s="7"/>
      <x:c r="Q910" s="279"/>
      <x:c r="R910" s="281"/>
    </x:row>
    <x:row r="911">
      <x:c r="A911" s="278"/>
      <x:c r="C911" s="279"/>
      <x:c r="F911" s="278"/>
      <x:c r="G911" s="280"/>
      <x:c r="H911" s="278"/>
      <x:c r="I911" s="278"/>
      <x:c r="K911" s="278"/>
      <x:c r="L911" s="7"/>
      <x:c r="M911" s="7"/>
      <x:c r="Q911" s="279"/>
      <x:c r="R911" s="281"/>
    </x:row>
    <x:row r="912">
      <x:c r="A912" s="278"/>
      <x:c r="C912" s="279"/>
      <x:c r="F912" s="278"/>
      <x:c r="G912" s="280"/>
      <x:c r="H912" s="278"/>
      <x:c r="I912" s="278"/>
      <x:c r="K912" s="278"/>
      <x:c r="L912" s="7"/>
      <x:c r="M912" s="7"/>
      <x:c r="Q912" s="279"/>
      <x:c r="R912" s="281"/>
    </x:row>
    <x:row r="913">
      <x:c r="A913" s="278"/>
      <x:c r="C913" s="279"/>
      <x:c r="F913" s="278"/>
      <x:c r="G913" s="280"/>
      <x:c r="H913" s="278"/>
      <x:c r="I913" s="278"/>
      <x:c r="K913" s="278"/>
      <x:c r="L913" s="7"/>
      <x:c r="M913" s="7"/>
      <x:c r="Q913" s="279"/>
      <x:c r="R913" s="281"/>
    </x:row>
    <x:row r="914">
      <x:c r="A914" s="278"/>
      <x:c r="C914" s="279"/>
      <x:c r="F914" s="278"/>
      <x:c r="G914" s="280"/>
      <x:c r="H914" s="278"/>
      <x:c r="I914" s="278"/>
      <x:c r="K914" s="278"/>
      <x:c r="L914" s="7"/>
      <x:c r="M914" s="7"/>
      <x:c r="Q914" s="279"/>
      <x:c r="R914" s="281"/>
    </x:row>
    <x:row r="915">
      <x:c r="A915" s="278"/>
      <x:c r="C915" s="279"/>
      <x:c r="F915" s="278"/>
      <x:c r="G915" s="280"/>
      <x:c r="H915" s="278"/>
      <x:c r="I915" s="278"/>
      <x:c r="K915" s="278"/>
      <x:c r="L915" s="7"/>
      <x:c r="M915" s="7"/>
      <x:c r="Q915" s="279"/>
      <x:c r="R915" s="281"/>
    </x:row>
    <x:row r="916">
      <x:c r="A916" s="278"/>
      <x:c r="C916" s="279"/>
      <x:c r="F916" s="278"/>
      <x:c r="G916" s="280"/>
      <x:c r="H916" s="278"/>
      <x:c r="I916" s="278"/>
      <x:c r="K916" s="278"/>
      <x:c r="L916" s="7"/>
      <x:c r="M916" s="7"/>
      <x:c r="Q916" s="279"/>
      <x:c r="R916" s="281"/>
    </x:row>
    <x:row r="917">
      <x:c r="A917" s="278"/>
      <x:c r="C917" s="279"/>
      <x:c r="F917" s="278"/>
      <x:c r="G917" s="280"/>
      <x:c r="H917" s="278"/>
      <x:c r="I917" s="278"/>
      <x:c r="K917" s="278"/>
      <x:c r="L917" s="7"/>
      <x:c r="M917" s="7"/>
      <x:c r="Q917" s="279"/>
      <x:c r="R917" s="281"/>
    </x:row>
    <x:row r="918">
      <x:c r="A918" s="278"/>
      <x:c r="C918" s="279"/>
      <x:c r="F918" s="278"/>
      <x:c r="G918" s="280"/>
      <x:c r="H918" s="278"/>
      <x:c r="I918" s="278"/>
      <x:c r="K918" s="278"/>
      <x:c r="L918" s="7"/>
      <x:c r="M918" s="7"/>
      <x:c r="Q918" s="279"/>
      <x:c r="R918" s="281"/>
    </x:row>
    <x:row r="919">
      <x:c r="A919" s="278"/>
      <x:c r="C919" s="279"/>
      <x:c r="F919" s="278"/>
      <x:c r="G919" s="280"/>
      <x:c r="H919" s="278"/>
      <x:c r="I919" s="278"/>
      <x:c r="K919" s="278"/>
      <x:c r="L919" s="7"/>
      <x:c r="M919" s="7"/>
      <x:c r="Q919" s="279"/>
      <x:c r="R919" s="281"/>
    </x:row>
    <x:row r="920">
      <x:c r="A920" s="278"/>
      <x:c r="C920" s="279"/>
      <x:c r="F920" s="278"/>
      <x:c r="G920" s="280"/>
      <x:c r="H920" s="278"/>
      <x:c r="I920" s="278"/>
      <x:c r="K920" s="278"/>
      <x:c r="L920" s="7"/>
      <x:c r="M920" s="7"/>
      <x:c r="Q920" s="279"/>
      <x:c r="R920" s="281"/>
    </x:row>
    <x:row r="921">
      <x:c r="A921" s="278"/>
      <x:c r="C921" s="279"/>
      <x:c r="F921" s="278"/>
      <x:c r="G921" s="280"/>
      <x:c r="H921" s="278"/>
      <x:c r="I921" s="278"/>
      <x:c r="K921" s="278"/>
      <x:c r="L921" s="7"/>
      <x:c r="M921" s="7"/>
      <x:c r="Q921" s="279"/>
      <x:c r="R921" s="281"/>
    </x:row>
    <x:row r="922">
      <x:c r="A922" s="278"/>
      <x:c r="C922" s="279"/>
      <x:c r="F922" s="278"/>
      <x:c r="G922" s="280"/>
      <x:c r="H922" s="278"/>
      <x:c r="I922" s="278"/>
      <x:c r="K922" s="278"/>
      <x:c r="L922" s="7"/>
      <x:c r="M922" s="7"/>
      <x:c r="Q922" s="279"/>
      <x:c r="R922" s="281"/>
    </x:row>
    <x:row r="923">
      <x:c r="A923" s="278"/>
      <x:c r="C923" s="279"/>
      <x:c r="F923" s="278"/>
      <x:c r="G923" s="280"/>
      <x:c r="H923" s="278"/>
      <x:c r="I923" s="278"/>
      <x:c r="K923" s="278"/>
      <x:c r="L923" s="7"/>
      <x:c r="M923" s="7"/>
      <x:c r="Q923" s="279"/>
      <x:c r="R923" s="281"/>
    </x:row>
    <x:row r="924">
      <x:c r="A924" s="278"/>
      <x:c r="C924" s="279"/>
      <x:c r="F924" s="278"/>
      <x:c r="G924" s="280"/>
      <x:c r="H924" s="278"/>
      <x:c r="I924" s="278"/>
      <x:c r="K924" s="278"/>
      <x:c r="L924" s="7"/>
      <x:c r="M924" s="7"/>
      <x:c r="Q924" s="279"/>
      <x:c r="R924" s="281"/>
    </x:row>
    <x:row r="925">
      <x:c r="A925" s="278"/>
      <x:c r="C925" s="279"/>
      <x:c r="F925" s="278"/>
      <x:c r="G925" s="280"/>
      <x:c r="H925" s="278"/>
      <x:c r="I925" s="278"/>
      <x:c r="K925" s="278"/>
      <x:c r="L925" s="7"/>
      <x:c r="M925" s="7"/>
      <x:c r="Q925" s="279"/>
      <x:c r="R925" s="281"/>
    </x:row>
    <x:row r="926">
      <x:c r="A926" s="278"/>
      <x:c r="C926" s="279"/>
      <x:c r="F926" s="278"/>
      <x:c r="G926" s="280"/>
      <x:c r="H926" s="278"/>
      <x:c r="I926" s="278"/>
      <x:c r="K926" s="278"/>
      <x:c r="L926" s="7"/>
      <x:c r="M926" s="7"/>
      <x:c r="Q926" s="279"/>
      <x:c r="R926" s="281"/>
    </x:row>
    <x:row r="927">
      <x:c r="A927" s="278"/>
      <x:c r="C927" s="279"/>
      <x:c r="F927" s="278"/>
      <x:c r="G927" s="280"/>
      <x:c r="H927" s="278"/>
      <x:c r="I927" s="278"/>
      <x:c r="K927" s="278"/>
      <x:c r="L927" s="7"/>
      <x:c r="M927" s="7"/>
      <x:c r="Q927" s="279"/>
      <x:c r="R927" s="281"/>
    </x:row>
    <x:row r="928">
      <x:c r="A928" s="278"/>
      <x:c r="C928" s="279"/>
      <x:c r="F928" s="278"/>
      <x:c r="G928" s="280"/>
      <x:c r="H928" s="278"/>
      <x:c r="I928" s="278"/>
      <x:c r="K928" s="278"/>
      <x:c r="L928" s="7"/>
      <x:c r="M928" s="7"/>
      <x:c r="Q928" s="279"/>
      <x:c r="R928" s="281"/>
    </x:row>
    <x:row r="929">
      <x:c r="A929" s="278"/>
      <x:c r="C929" s="279"/>
      <x:c r="F929" s="278"/>
      <x:c r="G929" s="280"/>
      <x:c r="H929" s="278"/>
      <x:c r="I929" s="278"/>
      <x:c r="K929" s="278"/>
      <x:c r="L929" s="7"/>
      <x:c r="M929" s="7"/>
      <x:c r="Q929" s="279"/>
      <x:c r="R929" s="281"/>
    </x:row>
    <x:row r="930">
      <x:c r="A930" s="278"/>
      <x:c r="C930" s="279"/>
      <x:c r="F930" s="278"/>
      <x:c r="G930" s="280"/>
      <x:c r="H930" s="278"/>
      <x:c r="I930" s="278"/>
      <x:c r="K930" s="278"/>
      <x:c r="L930" s="7"/>
      <x:c r="M930" s="7"/>
      <x:c r="Q930" s="279"/>
      <x:c r="R930" s="281"/>
    </x:row>
    <x:row r="931">
      <x:c r="A931" s="278"/>
      <x:c r="C931" s="279"/>
      <x:c r="F931" s="278"/>
      <x:c r="G931" s="280"/>
      <x:c r="H931" s="278"/>
      <x:c r="I931" s="278"/>
      <x:c r="K931" s="278"/>
      <x:c r="L931" s="7"/>
      <x:c r="M931" s="7"/>
      <x:c r="Q931" s="279"/>
      <x:c r="R931" s="281"/>
    </x:row>
    <x:row r="932">
      <x:c r="A932" s="278"/>
      <x:c r="C932" s="279"/>
      <x:c r="F932" s="278"/>
      <x:c r="G932" s="280"/>
      <x:c r="H932" s="278"/>
      <x:c r="I932" s="278"/>
      <x:c r="K932" s="278"/>
      <x:c r="L932" s="7"/>
      <x:c r="M932" s="7"/>
      <x:c r="Q932" s="279"/>
      <x:c r="R932" s="281"/>
    </x:row>
    <x:row r="933">
      <x:c r="A933" s="278"/>
      <x:c r="C933" s="279"/>
      <x:c r="F933" s="278"/>
      <x:c r="G933" s="280"/>
      <x:c r="H933" s="278"/>
      <x:c r="I933" s="278"/>
      <x:c r="K933" s="278"/>
      <x:c r="L933" s="7"/>
      <x:c r="M933" s="7"/>
      <x:c r="Q933" s="279"/>
      <x:c r="R933" s="281"/>
    </x:row>
    <x:row r="934">
      <x:c r="A934" s="278"/>
      <x:c r="C934" s="279"/>
      <x:c r="F934" s="278"/>
      <x:c r="G934" s="280"/>
      <x:c r="H934" s="278"/>
      <x:c r="I934" s="278"/>
      <x:c r="K934" s="278"/>
      <x:c r="L934" s="7"/>
      <x:c r="M934" s="7"/>
      <x:c r="Q934" s="279"/>
      <x:c r="R934" s="281"/>
    </x:row>
    <x:row r="935">
      <x:c r="A935" s="278"/>
      <x:c r="C935" s="279"/>
      <x:c r="F935" s="278"/>
      <x:c r="G935" s="280"/>
      <x:c r="H935" s="278"/>
      <x:c r="I935" s="278"/>
      <x:c r="K935" s="278"/>
      <x:c r="L935" s="7"/>
      <x:c r="M935" s="7"/>
      <x:c r="Q935" s="279"/>
      <x:c r="R935" s="281"/>
    </x:row>
    <x:row r="936">
      <x:c r="A936" s="278"/>
      <x:c r="C936" s="279"/>
      <x:c r="F936" s="278"/>
      <x:c r="G936" s="280"/>
      <x:c r="H936" s="278"/>
      <x:c r="I936" s="278"/>
      <x:c r="K936" s="278"/>
      <x:c r="L936" s="7"/>
      <x:c r="M936" s="7"/>
      <x:c r="Q936" s="279"/>
      <x:c r="R936" s="281"/>
    </x:row>
    <x:row r="937">
      <x:c r="A937" s="278"/>
      <x:c r="C937" s="279"/>
      <x:c r="F937" s="278"/>
      <x:c r="G937" s="280"/>
      <x:c r="H937" s="278"/>
      <x:c r="I937" s="278"/>
      <x:c r="K937" s="278"/>
      <x:c r="L937" s="7"/>
      <x:c r="M937" s="7"/>
      <x:c r="Q937" s="279"/>
      <x:c r="R937" s="281"/>
    </x:row>
    <x:row r="938">
      <x:c r="A938" s="278"/>
      <x:c r="C938" s="279"/>
      <x:c r="F938" s="278"/>
      <x:c r="G938" s="280"/>
      <x:c r="H938" s="278"/>
      <x:c r="I938" s="278"/>
      <x:c r="K938" s="278"/>
      <x:c r="L938" s="7"/>
      <x:c r="M938" s="7"/>
      <x:c r="Q938" s="279"/>
      <x:c r="R938" s="281"/>
    </x:row>
    <x:row r="939">
      <x:c r="A939" s="278"/>
      <x:c r="C939" s="279"/>
      <x:c r="F939" s="278"/>
      <x:c r="G939" s="280"/>
      <x:c r="H939" s="278"/>
      <x:c r="I939" s="278"/>
      <x:c r="K939" s="278"/>
      <x:c r="L939" s="7"/>
      <x:c r="M939" s="7"/>
      <x:c r="Q939" s="279"/>
      <x:c r="R939" s="281"/>
    </x:row>
    <x:row r="940">
      <x:c r="A940" s="278"/>
      <x:c r="C940" s="279"/>
      <x:c r="F940" s="278"/>
      <x:c r="G940" s="280"/>
      <x:c r="H940" s="278"/>
      <x:c r="I940" s="278"/>
      <x:c r="K940" s="278"/>
      <x:c r="L940" s="7"/>
      <x:c r="M940" s="7"/>
      <x:c r="Q940" s="279"/>
      <x:c r="R940" s="281"/>
    </x:row>
    <x:row r="941">
      <x:c r="A941" s="278"/>
      <x:c r="C941" s="279"/>
      <x:c r="F941" s="278"/>
      <x:c r="G941" s="280"/>
      <x:c r="H941" s="278"/>
      <x:c r="I941" s="278"/>
      <x:c r="K941" s="278"/>
      <x:c r="L941" s="7"/>
      <x:c r="M941" s="7"/>
      <x:c r="Q941" s="279"/>
      <x:c r="R941" s="281"/>
    </x:row>
    <x:row r="942">
      <x:c r="A942" s="278"/>
      <x:c r="C942" s="279"/>
      <x:c r="F942" s="278"/>
      <x:c r="G942" s="280"/>
      <x:c r="H942" s="278"/>
      <x:c r="I942" s="278"/>
      <x:c r="K942" s="278"/>
      <x:c r="L942" s="7"/>
      <x:c r="M942" s="7"/>
      <x:c r="Q942" s="279"/>
      <x:c r="R942" s="281"/>
    </x:row>
    <x:row r="943">
      <x:c r="A943" s="278"/>
      <x:c r="C943" s="279"/>
      <x:c r="F943" s="278"/>
      <x:c r="G943" s="280"/>
      <x:c r="H943" s="278"/>
      <x:c r="I943" s="278"/>
      <x:c r="K943" s="278"/>
      <x:c r="L943" s="7"/>
      <x:c r="M943" s="7"/>
      <x:c r="Q943" s="279"/>
      <x:c r="R943" s="281"/>
    </x:row>
    <x:row r="944">
      <x:c r="A944" s="278"/>
      <x:c r="C944" s="279"/>
      <x:c r="F944" s="278"/>
      <x:c r="G944" s="280"/>
      <x:c r="H944" s="278"/>
      <x:c r="I944" s="278"/>
      <x:c r="K944" s="278"/>
      <x:c r="L944" s="7"/>
      <x:c r="M944" s="7"/>
      <x:c r="Q944" s="279"/>
      <x:c r="R944" s="281"/>
    </x:row>
    <x:row r="945">
      <x:c r="A945" s="278"/>
      <x:c r="C945" s="279"/>
      <x:c r="F945" s="278"/>
      <x:c r="G945" s="280"/>
      <x:c r="H945" s="278"/>
      <x:c r="I945" s="278"/>
      <x:c r="K945" s="278"/>
      <x:c r="L945" s="7"/>
      <x:c r="M945" s="7"/>
      <x:c r="Q945" s="279"/>
      <x:c r="R945" s="281"/>
    </x:row>
    <x:row r="946">
      <x:c r="A946" s="278"/>
      <x:c r="C946" s="279"/>
      <x:c r="F946" s="278"/>
      <x:c r="G946" s="280"/>
      <x:c r="H946" s="278"/>
      <x:c r="I946" s="278"/>
      <x:c r="K946" s="278"/>
      <x:c r="L946" s="7"/>
      <x:c r="M946" s="7"/>
      <x:c r="Q946" s="279"/>
      <x:c r="R946" s="281"/>
    </x:row>
    <x:row r="947">
      <x:c r="A947" s="278"/>
      <x:c r="C947" s="279"/>
      <x:c r="F947" s="278"/>
      <x:c r="G947" s="280"/>
      <x:c r="H947" s="278"/>
      <x:c r="I947" s="278"/>
      <x:c r="K947" s="278"/>
      <x:c r="L947" s="7"/>
      <x:c r="M947" s="7"/>
      <x:c r="Q947" s="279"/>
      <x:c r="R947" s="281"/>
    </x:row>
    <x:row r="948">
      <x:c r="A948" s="278"/>
      <x:c r="C948" s="279"/>
      <x:c r="F948" s="278"/>
      <x:c r="G948" s="280"/>
      <x:c r="H948" s="278"/>
      <x:c r="I948" s="278"/>
      <x:c r="K948" s="278"/>
      <x:c r="L948" s="7"/>
      <x:c r="M948" s="7"/>
      <x:c r="Q948" s="279"/>
      <x:c r="R948" s="281"/>
    </x:row>
    <x:row r="949">
      <x:c r="A949" s="278"/>
      <x:c r="C949" s="279"/>
      <x:c r="F949" s="278"/>
      <x:c r="G949" s="280"/>
      <x:c r="H949" s="278"/>
      <x:c r="I949" s="278"/>
      <x:c r="K949" s="278"/>
      <x:c r="L949" s="7"/>
      <x:c r="M949" s="7"/>
      <x:c r="Q949" s="279"/>
      <x:c r="R949" s="281"/>
    </x:row>
    <x:row r="950">
      <x:c r="A950" s="278"/>
      <x:c r="C950" s="279"/>
      <x:c r="F950" s="278"/>
      <x:c r="G950" s="280"/>
      <x:c r="H950" s="278"/>
      <x:c r="I950" s="278"/>
      <x:c r="K950" s="278"/>
      <x:c r="L950" s="7"/>
      <x:c r="M950" s="7"/>
      <x:c r="Q950" s="279"/>
      <x:c r="R950" s="281"/>
    </x:row>
    <x:row r="951">
      <x:c r="A951" s="278"/>
      <x:c r="C951" s="279"/>
      <x:c r="F951" s="278"/>
      <x:c r="G951" s="280"/>
      <x:c r="H951" s="278"/>
      <x:c r="I951" s="278"/>
      <x:c r="K951" s="278"/>
      <x:c r="L951" s="7"/>
      <x:c r="M951" s="7"/>
      <x:c r="Q951" s="279"/>
      <x:c r="R951" s="281"/>
    </x:row>
    <x:row r="952">
      <x:c r="A952" s="278"/>
      <x:c r="C952" s="279"/>
      <x:c r="F952" s="278"/>
      <x:c r="G952" s="280"/>
      <x:c r="H952" s="278"/>
      <x:c r="I952" s="278"/>
      <x:c r="K952" s="278"/>
      <x:c r="L952" s="7"/>
      <x:c r="M952" s="7"/>
      <x:c r="Q952" s="279"/>
      <x:c r="R952" s="281"/>
    </x:row>
    <x:row r="953">
      <x:c r="A953" s="278"/>
      <x:c r="C953" s="279"/>
      <x:c r="F953" s="278"/>
      <x:c r="G953" s="280"/>
      <x:c r="H953" s="278"/>
      <x:c r="I953" s="278"/>
      <x:c r="K953" s="278"/>
      <x:c r="L953" s="7"/>
      <x:c r="M953" s="7"/>
      <x:c r="Q953" s="279"/>
      <x:c r="R953" s="281"/>
    </x:row>
    <x:row r="954">
      <x:c r="A954" s="278"/>
      <x:c r="C954" s="279"/>
      <x:c r="F954" s="278"/>
      <x:c r="G954" s="280"/>
      <x:c r="H954" s="278"/>
      <x:c r="I954" s="278"/>
      <x:c r="K954" s="278"/>
      <x:c r="L954" s="7"/>
      <x:c r="M954" s="7"/>
      <x:c r="Q954" s="279"/>
      <x:c r="R954" s="281"/>
    </x:row>
    <x:row r="955">
      <x:c r="A955" s="278"/>
      <x:c r="C955" s="279"/>
      <x:c r="F955" s="278"/>
      <x:c r="G955" s="280"/>
      <x:c r="H955" s="278"/>
      <x:c r="I955" s="278"/>
      <x:c r="K955" s="278"/>
      <x:c r="L955" s="7"/>
      <x:c r="M955" s="7"/>
      <x:c r="Q955" s="279"/>
      <x:c r="R955" s="281"/>
    </x:row>
    <x:row r="956">
      <x:c r="A956" s="278"/>
      <x:c r="C956" s="279"/>
      <x:c r="F956" s="278"/>
      <x:c r="G956" s="280"/>
      <x:c r="H956" s="278"/>
      <x:c r="I956" s="278"/>
      <x:c r="K956" s="278"/>
      <x:c r="L956" s="7"/>
      <x:c r="M956" s="7"/>
      <x:c r="Q956" s="279"/>
      <x:c r="R956" s="281"/>
    </x:row>
    <x:row r="957">
      <x:c r="A957" s="278"/>
      <x:c r="C957" s="279"/>
      <x:c r="F957" s="278"/>
      <x:c r="G957" s="280"/>
      <x:c r="H957" s="278"/>
      <x:c r="I957" s="278"/>
      <x:c r="K957" s="278"/>
      <x:c r="L957" s="7"/>
      <x:c r="M957" s="7"/>
      <x:c r="Q957" s="279"/>
      <x:c r="R957" s="281"/>
    </x:row>
    <x:row r="958">
      <x:c r="A958" s="278"/>
      <x:c r="C958" s="279"/>
      <x:c r="F958" s="278"/>
      <x:c r="G958" s="280"/>
      <x:c r="H958" s="278"/>
      <x:c r="I958" s="278"/>
      <x:c r="K958" s="278"/>
      <x:c r="L958" s="7"/>
      <x:c r="M958" s="7"/>
      <x:c r="Q958" s="279"/>
      <x:c r="R958" s="281"/>
    </x:row>
    <x:row r="959">
      <x:c r="A959" s="278"/>
      <x:c r="C959" s="279"/>
      <x:c r="F959" s="278"/>
      <x:c r="G959" s="280"/>
      <x:c r="H959" s="278"/>
      <x:c r="I959" s="278"/>
      <x:c r="K959" s="278"/>
      <x:c r="L959" s="7"/>
      <x:c r="M959" s="7"/>
      <x:c r="Q959" s="279"/>
      <x:c r="R959" s="281"/>
    </x:row>
    <x:row r="960">
      <x:c r="A960" s="278"/>
      <x:c r="C960" s="279"/>
      <x:c r="F960" s="278"/>
      <x:c r="G960" s="280"/>
      <x:c r="H960" s="278"/>
      <x:c r="I960" s="278"/>
      <x:c r="K960" s="278"/>
      <x:c r="L960" s="7"/>
      <x:c r="M960" s="7"/>
      <x:c r="Q960" s="279"/>
      <x:c r="R960" s="281"/>
    </x:row>
    <x:row r="961">
      <x:c r="A961" s="278"/>
      <x:c r="C961" s="279"/>
      <x:c r="F961" s="278"/>
      <x:c r="G961" s="280"/>
      <x:c r="H961" s="278"/>
      <x:c r="I961" s="278"/>
      <x:c r="K961" s="278"/>
      <x:c r="L961" s="7"/>
      <x:c r="M961" s="7"/>
      <x:c r="Q961" s="279"/>
      <x:c r="R961" s="281"/>
    </x:row>
    <x:row r="962">
      <x:c r="A962" s="278"/>
      <x:c r="C962" s="279"/>
      <x:c r="F962" s="278"/>
      <x:c r="G962" s="280"/>
      <x:c r="H962" s="278"/>
      <x:c r="I962" s="278"/>
      <x:c r="K962" s="278"/>
      <x:c r="L962" s="7"/>
      <x:c r="M962" s="7"/>
      <x:c r="Q962" s="279"/>
      <x:c r="R962" s="281"/>
    </x:row>
    <x:row r="963">
      <x:c r="A963" s="278"/>
      <x:c r="C963" s="279"/>
      <x:c r="F963" s="278"/>
      <x:c r="G963" s="280"/>
      <x:c r="H963" s="278"/>
      <x:c r="I963" s="278"/>
      <x:c r="K963" s="278"/>
      <x:c r="L963" s="7"/>
      <x:c r="M963" s="7"/>
      <x:c r="Q963" s="279"/>
      <x:c r="R963" s="281"/>
    </x:row>
    <x:row r="964">
      <x:c r="A964" s="278"/>
      <x:c r="C964" s="279"/>
      <x:c r="F964" s="278"/>
      <x:c r="G964" s="280"/>
      <x:c r="H964" s="278"/>
      <x:c r="I964" s="278"/>
      <x:c r="K964" s="278"/>
      <x:c r="L964" s="7"/>
      <x:c r="M964" s="7"/>
      <x:c r="Q964" s="279"/>
      <x:c r="R964" s="281"/>
    </x:row>
    <x:row r="965">
      <x:c r="A965" s="278"/>
      <x:c r="C965" s="279"/>
      <x:c r="F965" s="278"/>
      <x:c r="G965" s="280"/>
      <x:c r="H965" s="278"/>
      <x:c r="I965" s="278"/>
      <x:c r="K965" s="278"/>
      <x:c r="L965" s="7"/>
      <x:c r="M965" s="7"/>
      <x:c r="Q965" s="279"/>
      <x:c r="R965" s="281"/>
    </x:row>
    <x:row r="966">
      <x:c r="A966" s="278"/>
      <x:c r="C966" s="279"/>
      <x:c r="F966" s="278"/>
      <x:c r="G966" s="280"/>
      <x:c r="H966" s="278"/>
      <x:c r="I966" s="278"/>
      <x:c r="K966" s="278"/>
      <x:c r="L966" s="7"/>
      <x:c r="M966" s="7"/>
      <x:c r="Q966" s="279"/>
      <x:c r="R966" s="281"/>
    </x:row>
    <x:row r="967">
      <x:c r="A967" s="278"/>
      <x:c r="C967" s="279"/>
      <x:c r="F967" s="278"/>
      <x:c r="G967" s="280"/>
      <x:c r="H967" s="278"/>
      <x:c r="I967" s="278"/>
      <x:c r="K967" s="278"/>
      <x:c r="L967" s="7"/>
      <x:c r="M967" s="7"/>
      <x:c r="Q967" s="279"/>
      <x:c r="R967" s="281"/>
    </x:row>
    <x:row r="968">
      <x:c r="A968" s="278"/>
      <x:c r="C968" s="279"/>
      <x:c r="F968" s="278"/>
      <x:c r="G968" s="280"/>
      <x:c r="H968" s="278"/>
      <x:c r="I968" s="278"/>
      <x:c r="K968" s="278"/>
      <x:c r="L968" s="7"/>
      <x:c r="M968" s="7"/>
      <x:c r="Q968" s="279"/>
      <x:c r="R968" s="281"/>
    </x:row>
    <x:row r="969">
      <x:c r="A969" s="278"/>
      <x:c r="C969" s="279"/>
      <x:c r="F969" s="278"/>
      <x:c r="G969" s="280"/>
      <x:c r="H969" s="278"/>
      <x:c r="I969" s="278"/>
      <x:c r="K969" s="278"/>
      <x:c r="L969" s="7"/>
      <x:c r="M969" s="7"/>
      <x:c r="Q969" s="279"/>
      <x:c r="R969" s="281"/>
    </x:row>
    <x:row r="970">
      <x:c r="A970" s="278"/>
      <x:c r="C970" s="279"/>
      <x:c r="F970" s="278"/>
      <x:c r="G970" s="280"/>
      <x:c r="H970" s="278"/>
      <x:c r="I970" s="278"/>
      <x:c r="K970" s="278"/>
      <x:c r="L970" s="7"/>
      <x:c r="M970" s="7"/>
      <x:c r="Q970" s="279"/>
      <x:c r="R970" s="281"/>
    </x:row>
    <x:row r="971">
      <x:c r="A971" s="278"/>
      <x:c r="C971" s="279"/>
      <x:c r="F971" s="278"/>
      <x:c r="G971" s="280"/>
      <x:c r="H971" s="278"/>
      <x:c r="I971" s="278"/>
      <x:c r="K971" s="278"/>
      <x:c r="L971" s="7"/>
      <x:c r="M971" s="7"/>
      <x:c r="Q971" s="279"/>
      <x:c r="R971" s="281"/>
    </x:row>
    <x:row r="972">
      <x:c r="A972" s="278"/>
      <x:c r="C972" s="279"/>
      <x:c r="F972" s="278"/>
      <x:c r="G972" s="280"/>
      <x:c r="H972" s="278"/>
      <x:c r="I972" s="278"/>
      <x:c r="K972" s="278"/>
      <x:c r="L972" s="7"/>
      <x:c r="M972" s="7"/>
      <x:c r="Q972" s="279"/>
      <x:c r="R972" s="281"/>
    </x:row>
    <x:row r="973">
      <x:c r="A973" s="278"/>
      <x:c r="C973" s="279"/>
      <x:c r="F973" s="278"/>
      <x:c r="G973" s="280"/>
      <x:c r="H973" s="278"/>
      <x:c r="I973" s="278"/>
      <x:c r="K973" s="278"/>
      <x:c r="L973" s="7"/>
      <x:c r="M973" s="7"/>
      <x:c r="Q973" s="279"/>
      <x:c r="R973" s="281"/>
    </x:row>
    <x:row r="974">
      <x:c r="A974" s="278"/>
      <x:c r="C974" s="279"/>
      <x:c r="F974" s="278"/>
      <x:c r="G974" s="280"/>
      <x:c r="H974" s="278"/>
      <x:c r="I974" s="278"/>
      <x:c r="K974" s="278"/>
      <x:c r="L974" s="7"/>
      <x:c r="M974" s="7"/>
      <x:c r="Q974" s="279"/>
      <x:c r="R974" s="281"/>
    </x:row>
    <x:row r="975">
      <x:c r="A975" s="278"/>
      <x:c r="C975" s="279"/>
      <x:c r="F975" s="278"/>
      <x:c r="G975" s="280"/>
      <x:c r="H975" s="278"/>
      <x:c r="I975" s="278"/>
      <x:c r="K975" s="278"/>
      <x:c r="L975" s="7"/>
      <x:c r="M975" s="7"/>
      <x:c r="Q975" s="279"/>
      <x:c r="R975" s="281"/>
    </x:row>
    <x:row r="976">
      <x:c r="A976" s="278"/>
      <x:c r="C976" s="279"/>
      <x:c r="F976" s="278"/>
      <x:c r="G976" s="280"/>
      <x:c r="H976" s="278"/>
      <x:c r="I976" s="278"/>
      <x:c r="K976" s="278"/>
      <x:c r="L976" s="7"/>
      <x:c r="M976" s="7"/>
      <x:c r="Q976" s="279"/>
      <x:c r="R976" s="281"/>
    </x:row>
    <x:row r="977">
      <x:c r="A977" s="278"/>
      <x:c r="C977" s="279"/>
      <x:c r="F977" s="278"/>
      <x:c r="G977" s="280"/>
      <x:c r="H977" s="278"/>
      <x:c r="I977" s="278"/>
      <x:c r="K977" s="278"/>
      <x:c r="L977" s="7"/>
      <x:c r="M977" s="7"/>
      <x:c r="Q977" s="279"/>
      <x:c r="R977" s="281"/>
    </x:row>
    <x:row r="978">
      <x:c r="A978" s="278"/>
      <x:c r="C978" s="279"/>
      <x:c r="F978" s="278"/>
      <x:c r="G978" s="280"/>
      <x:c r="H978" s="278"/>
      <x:c r="I978" s="278"/>
      <x:c r="K978" s="278"/>
      <x:c r="L978" s="7"/>
      <x:c r="M978" s="7"/>
      <x:c r="Q978" s="279"/>
      <x:c r="R978" s="281"/>
    </x:row>
    <x:row r="979">
      <x:c r="A979" s="278"/>
      <x:c r="C979" s="279"/>
      <x:c r="F979" s="278"/>
      <x:c r="G979" s="280"/>
      <x:c r="H979" s="278"/>
      <x:c r="I979" s="278"/>
      <x:c r="K979" s="278"/>
      <x:c r="L979" s="7"/>
      <x:c r="M979" s="7"/>
      <x:c r="Q979" s="279"/>
      <x:c r="R979" s="281"/>
    </x:row>
    <x:row r="980">
      <x:c r="A980" s="278"/>
      <x:c r="C980" s="279"/>
      <x:c r="F980" s="278"/>
      <x:c r="G980" s="280"/>
      <x:c r="H980" s="278"/>
      <x:c r="I980" s="278"/>
      <x:c r="K980" s="278"/>
      <x:c r="L980" s="7"/>
      <x:c r="M980" s="7"/>
      <x:c r="Q980" s="279"/>
      <x:c r="R980" s="281"/>
    </x:row>
    <x:row r="981">
      <x:c r="A981" s="278"/>
      <x:c r="C981" s="279"/>
      <x:c r="F981" s="278"/>
      <x:c r="G981" s="280"/>
      <x:c r="H981" s="278"/>
      <x:c r="I981" s="278"/>
      <x:c r="K981" s="278"/>
      <x:c r="L981" s="7"/>
      <x:c r="M981" s="7"/>
      <x:c r="Q981" s="279"/>
      <x:c r="R981" s="281"/>
    </x:row>
    <x:row r="982">
      <x:c r="A982" s="278"/>
      <x:c r="C982" s="279"/>
      <x:c r="F982" s="278"/>
      <x:c r="G982" s="280"/>
      <x:c r="H982" s="278"/>
      <x:c r="I982" s="278"/>
      <x:c r="K982" s="278"/>
      <x:c r="L982" s="7"/>
      <x:c r="M982" s="7"/>
      <x:c r="Q982" s="279"/>
      <x:c r="R982" s="281"/>
    </x:row>
    <x:row r="983">
      <x:c r="A983" s="278"/>
      <x:c r="C983" s="279"/>
      <x:c r="F983" s="278"/>
      <x:c r="G983" s="280"/>
      <x:c r="H983" s="278"/>
      <x:c r="I983" s="278"/>
      <x:c r="K983" s="278"/>
      <x:c r="L983" s="7"/>
      <x:c r="M983" s="7"/>
      <x:c r="Q983" s="279"/>
      <x:c r="R983" s="281"/>
    </x:row>
    <x:row r="984">
      <x:c r="A984" s="278"/>
      <x:c r="C984" s="279"/>
      <x:c r="F984" s="278"/>
      <x:c r="G984" s="280"/>
      <x:c r="H984" s="278"/>
      <x:c r="I984" s="278"/>
      <x:c r="K984" s="278"/>
      <x:c r="L984" s="7"/>
      <x:c r="M984" s="7"/>
      <x:c r="Q984" s="279"/>
      <x:c r="R984" s="281"/>
    </x:row>
    <x:row r="985">
      <x:c r="A985" s="278"/>
      <x:c r="C985" s="279"/>
      <x:c r="F985" s="278"/>
      <x:c r="G985" s="280"/>
      <x:c r="H985" s="278"/>
      <x:c r="I985" s="278"/>
      <x:c r="K985" s="278"/>
      <x:c r="L985" s="7"/>
      <x:c r="M985" s="7"/>
      <x:c r="Q985" s="279"/>
      <x:c r="R985" s="281"/>
    </x:row>
    <x:row r="986">
      <x:c r="A986" s="278"/>
      <x:c r="C986" s="279"/>
      <x:c r="F986" s="278"/>
      <x:c r="G986" s="280"/>
      <x:c r="H986" s="278"/>
      <x:c r="I986" s="278"/>
      <x:c r="K986" s="278"/>
      <x:c r="L986" s="7"/>
      <x:c r="M986" s="7"/>
      <x:c r="Q986" s="279"/>
      <x:c r="R986" s="281"/>
    </x:row>
    <x:row r="987">
      <x:c r="A987" s="278"/>
      <x:c r="C987" s="279"/>
      <x:c r="F987" s="278"/>
      <x:c r="G987" s="280"/>
      <x:c r="H987" s="278"/>
      <x:c r="I987" s="278"/>
      <x:c r="K987" s="278"/>
      <x:c r="L987" s="7"/>
      <x:c r="M987" s="7"/>
      <x:c r="Q987" s="279"/>
      <x:c r="R987" s="281"/>
    </x:row>
    <x:row r="988">
      <x:c r="A988" s="278"/>
      <x:c r="C988" s="279"/>
      <x:c r="F988" s="278"/>
      <x:c r="G988" s="280"/>
      <x:c r="H988" s="278"/>
      <x:c r="I988" s="278"/>
      <x:c r="K988" s="278"/>
      <x:c r="L988" s="7"/>
      <x:c r="M988" s="7"/>
      <x:c r="Q988" s="279"/>
      <x:c r="R988" s="281"/>
    </x:row>
    <x:row r="989">
      <x:c r="A989" s="278"/>
      <x:c r="C989" s="279"/>
      <x:c r="F989" s="278"/>
      <x:c r="G989" s="280"/>
      <x:c r="H989" s="278"/>
      <x:c r="I989" s="278"/>
      <x:c r="K989" s="278"/>
      <x:c r="L989" s="7"/>
      <x:c r="M989" s="7"/>
      <x:c r="Q989" s="279"/>
      <x:c r="R989" s="281"/>
    </x:row>
    <x:row r="990">
      <x:c r="A990" s="278"/>
      <x:c r="C990" s="279"/>
      <x:c r="F990" s="278"/>
      <x:c r="G990" s="280"/>
      <x:c r="H990" s="278"/>
      <x:c r="I990" s="278"/>
      <x:c r="K990" s="278"/>
      <x:c r="L990" s="7"/>
      <x:c r="M990" s="7"/>
      <x:c r="Q990" s="279"/>
      <x:c r="R990" s="281"/>
    </x:row>
    <x:row r="991">
      <x:c r="A991" s="278"/>
      <x:c r="C991" s="279"/>
      <x:c r="F991" s="278"/>
      <x:c r="G991" s="280"/>
      <x:c r="H991" s="278"/>
      <x:c r="I991" s="278"/>
      <x:c r="K991" s="278"/>
      <x:c r="L991" s="7"/>
      <x:c r="M991" s="7"/>
      <x:c r="Q991" s="279"/>
      <x:c r="R991" s="281"/>
    </x:row>
    <x:row r="992">
      <x:c r="A992" s="278"/>
      <x:c r="C992" s="279"/>
      <x:c r="F992" s="278"/>
      <x:c r="G992" s="280"/>
      <x:c r="H992" s="278"/>
      <x:c r="I992" s="278"/>
      <x:c r="K992" s="278"/>
      <x:c r="L992" s="7"/>
      <x:c r="M992" s="7"/>
      <x:c r="Q992" s="279"/>
      <x:c r="R992" s="281"/>
    </x:row>
    <x:row r="993">
      <x:c r="A993" s="278"/>
      <x:c r="C993" s="279"/>
      <x:c r="F993" s="278"/>
      <x:c r="G993" s="280"/>
      <x:c r="H993" s="278"/>
      <x:c r="I993" s="278"/>
      <x:c r="K993" s="278"/>
      <x:c r="L993" s="7"/>
      <x:c r="M993" s="7"/>
      <x:c r="Q993" s="279"/>
      <x:c r="R993" s="281"/>
    </x:row>
    <x:row r="994">
      <x:c r="A994" s="278"/>
      <x:c r="C994" s="279"/>
      <x:c r="F994" s="278"/>
      <x:c r="G994" s="280"/>
      <x:c r="H994" s="278"/>
      <x:c r="I994" s="278"/>
      <x:c r="K994" s="278"/>
      <x:c r="L994" s="7"/>
      <x:c r="M994" s="7"/>
      <x:c r="Q994" s="279"/>
      <x:c r="R994" s="281"/>
    </x:row>
    <x:row r="995">
      <x:c r="A995" s="278"/>
      <x:c r="C995" s="279"/>
      <x:c r="F995" s="278"/>
      <x:c r="G995" s="280"/>
      <x:c r="H995" s="278"/>
      <x:c r="I995" s="278"/>
      <x:c r="K995" s="278"/>
      <x:c r="L995" s="7"/>
      <x:c r="M995" s="7"/>
      <x:c r="Q995" s="279"/>
      <x:c r="R995" s="281"/>
    </x:row>
    <x:row r="996">
      <x:c r="A996" s="278"/>
      <x:c r="C996" s="279"/>
      <x:c r="F996" s="278"/>
      <x:c r="G996" s="280"/>
      <x:c r="H996" s="278"/>
      <x:c r="I996" s="278"/>
      <x:c r="K996" s="278"/>
      <x:c r="L996" s="7"/>
      <x:c r="M996" s="7"/>
      <x:c r="Q996" s="279"/>
      <x:c r="R996" s="281"/>
    </x:row>
  </x:sheetData>
  <x:mergeCells>
    <x:mergeCell ref="O86:P86"/>
    <x:mergeCell ref="J96:K96"/>
    <x:mergeCell ref="J103:K103"/>
    <x:mergeCell ref="J119:K119"/>
  </x:mergeCells>
  <x:conditionalFormatting sqref="J57:J57">
    <x:cfRule type="colorScale" priority="1">
      <x:colorScale>
        <x:cfvo type="min"/>
        <x:cfvo type="max"/>
        <x:color rgb="FF57BB8A"/>
        <x:color rgb="FFFFFFFF"/>
      </x:colorScale>
    </x:cfRule>
  </x:conditionalFormatting>
  <x:conditionalFormatting sqref="Q82:Q82">
    <x:cfRule type="notContainsBlanks" dxfId="1" priority="2">
      <x:formula>LEN(TRIM(Q82))&gt;0</x:formula>
    </x:cfRule>
  </x:conditionalFormatting>
  <x:conditionalFormatting sqref="G87:G87">
    <x:cfRule type="notContainsBlanks" dxfId="0" priority="3">
      <x:formula>LEN(TRIM(G87))&gt;0</x:formula>
    </x:cfRule>
  </x:conditionalFormatting>
  <x:dataValidations count="6">
    <x:dataValidation type="list" allowBlank="1" sqref="H1 H3:H10 H14:H16 H18 H20:H23 H25:H29 H31:H34 H36:H40 H42:H45 H47:H50 H53 H55 H57 H59:H61 H63:H66 H68 H70 H72:H73 H75:H78 H80:H86 H88 H90 H92:H94 H96:H101 H103:H104 H106 H108:H109 H111:H114 H116 H118:H996">
      <x:formula1>"Custeio,Investimento,Misto"</x:formula1>
    </x:dataValidation>
    <x:dataValidation type="list" allowBlank="1" sqref="I1:I996">
      <x:formula1>"Ministério da Justiça e Segurança Publica,Min da Saúde,MEC,FNDE,MAPA,M.Desenvolvimento Regional,M.Infraestrutura,M.turismo,Ministério da Mulher Família e Dir. Humanos,M Ciência Tec. Inovações e Comunicações"</x:formula1>
    </x:dataValidation>
    <x:dataValidation type="list" allowBlank="1" sqref="F1 F3:F10 F14:F16 F18 F20:F23 F25:F29 F31:F34 F36:F40 F42:F45 F47:F50 F53 F55 F57 F59:F61 F63:F66 F68 F70 F72:F73 F75:F78 F80:F86 F88 F90 F92:F94 F96:F101 F103:F104 F106 F108:F109 F111:F114 F116 F118:F996">
      <x:formula1>"Transferência a Município,Transferência Municipal Fundo a Fundo,Transferência Estadual  Fdo a Fdo,Transferência Direta"</x:formula1>
    </x:dataValidation>
    <x:dataValidation type="list" allowBlank="1" sqref="L1 L3:L10 L14:L16 L18 L20:L23 L25:L29 L31:L34 L36:L40 L42:L45 L47:L50 L53 L55 L57 L59:L61 L63:L66 L68 L70 L72:L73 L75:L78 L80:L86 L88 L90 L92:L94 L96:L101 L103:L104 L106 L108:L109 L111:L114 L116 L118:L996">
      <x:formula1>"Emenda Individual,Extraorçamentário,Emenda de Bancada"</x:formula1>
    </x:dataValidation>
    <x:dataValidation type="list" allowBlank="1" sqref="M1 M3:M10 M14:M16 M18 M20:M23 M25:M29 M31:M34 M36:M40 M42:M45 M47:M50 M53 M55 M57 M59:M61 M63:M66 M68 M70 M72:M73 M75:M78 M80:M86 M88 M90 M92:M94 M96:M101 M103:M104 M106 M108:M109 M111:M114 M116 M118:M996">
      <x:formula1>"não cadastrada,Cadastrada,Analise,Aprovada,Empenhada,Paga,Clausula Suspensiva,Licitação,Execução do Objeto,Prestação de Contas"</x:formula1>
    </x:dataValidation>
    <x:dataValidation type="list" allowBlank="1" sqref="A3:A10 A14:A16 A18 A20:A23 A25:A29 A31:A34 A36:A40 A42:A45 A47:A50 A53 A55 A57 A59:A61 A63:A66 A68 A70 A72:A73 A75:A78 A80:A86 A88 A90 A92:A94 A96:A101 A103:A104 A106 A108:A109 A111:A114 A116 A118:A208">
      <x:formula1>"2019,2020,2021,2022,2023"</x:formula1>
    </x:dataValidation>
  </x:dataValidations>
  <x:hyperlinks>
    <x:hyperlink xmlns:r="http://schemas.openxmlformats.org/officeDocument/2006/relationships" ref="E2" r:id="R0f1e1eb98fdd47f1"/>
    <x:hyperlink xmlns:r="http://schemas.openxmlformats.org/officeDocument/2006/relationships" ref="S2" r:id="Re21453b0707f4279"/>
    <x:hyperlink xmlns:r="http://schemas.openxmlformats.org/officeDocument/2006/relationships" ref="S5" r:id="Ra28e5b9a2c594ecd"/>
    <x:hyperlink xmlns:r="http://schemas.openxmlformats.org/officeDocument/2006/relationships" ref="S7" r:id="R984964484e9e4446"/>
    <x:hyperlink xmlns:r="http://schemas.openxmlformats.org/officeDocument/2006/relationships" ref="S9" r:id="R7a7365ead45845d9"/>
    <x:hyperlink xmlns:r="http://schemas.openxmlformats.org/officeDocument/2006/relationships" ref="E11" r:id="R6a2debd7fcc44fd4"/>
    <x:hyperlink xmlns:r="http://schemas.openxmlformats.org/officeDocument/2006/relationships" ref="S11" r:id="Rf819a2c6ccd24b2c"/>
    <x:hyperlink xmlns:r="http://schemas.openxmlformats.org/officeDocument/2006/relationships" ref="E12" r:id="R0ff0f13d64624340"/>
    <x:hyperlink xmlns:r="http://schemas.openxmlformats.org/officeDocument/2006/relationships" ref="S12" r:id="R1cd3ce08472e4987"/>
    <x:hyperlink xmlns:r="http://schemas.openxmlformats.org/officeDocument/2006/relationships" ref="E13" r:id="R2e1146b2bc5b40ab"/>
    <x:hyperlink xmlns:r="http://schemas.openxmlformats.org/officeDocument/2006/relationships" ref="S13" r:id="R75296a98729f4580"/>
    <x:hyperlink xmlns:r="http://schemas.openxmlformats.org/officeDocument/2006/relationships" ref="S14" r:id="Red85e2e8c9844a03"/>
    <x:hyperlink xmlns:r="http://schemas.openxmlformats.org/officeDocument/2006/relationships" ref="E17" r:id="Rda758f3aa9cf4ff5"/>
    <x:hyperlink xmlns:r="http://schemas.openxmlformats.org/officeDocument/2006/relationships" ref="S17" r:id="Rb310a8cce0d24dc5"/>
    <x:hyperlink xmlns:r="http://schemas.openxmlformats.org/officeDocument/2006/relationships" ref="E19" r:id="R2b9916af04ba4714"/>
    <x:hyperlink xmlns:r="http://schemas.openxmlformats.org/officeDocument/2006/relationships" ref="S19" r:id="Ra1f914622d634edb"/>
    <x:hyperlink xmlns:r="http://schemas.openxmlformats.org/officeDocument/2006/relationships" ref="S20" r:id="R801556e4a7b94b35"/>
    <x:hyperlink xmlns:r="http://schemas.openxmlformats.org/officeDocument/2006/relationships" ref="E24" r:id="R9833a5e848884f7f"/>
    <x:hyperlink xmlns:r="http://schemas.openxmlformats.org/officeDocument/2006/relationships" ref="S24" r:id="R868866b5f3484807"/>
    <x:hyperlink xmlns:r="http://schemas.openxmlformats.org/officeDocument/2006/relationships" ref="S25" r:id="R9ceb165fd519435f"/>
    <x:hyperlink xmlns:r="http://schemas.openxmlformats.org/officeDocument/2006/relationships" ref="S27" r:id="R732a8f644b9e4273"/>
    <x:hyperlink xmlns:r="http://schemas.openxmlformats.org/officeDocument/2006/relationships" ref="E30" r:id="Rdc1bb2b1000045fd"/>
    <x:hyperlink xmlns:r="http://schemas.openxmlformats.org/officeDocument/2006/relationships" ref="S30" r:id="Rbbcd785b43b64876"/>
    <x:hyperlink xmlns:r="http://schemas.openxmlformats.org/officeDocument/2006/relationships" ref="S31" r:id="R8923847339214380"/>
    <x:hyperlink xmlns:r="http://schemas.openxmlformats.org/officeDocument/2006/relationships" ref="S33" r:id="R5ce3aa7cbc7c4cf2"/>
    <x:hyperlink xmlns:r="http://schemas.openxmlformats.org/officeDocument/2006/relationships" ref="S34" r:id="Rf8d1f618f0514c13"/>
    <x:hyperlink xmlns:r="http://schemas.openxmlformats.org/officeDocument/2006/relationships" ref="E35" r:id="R89b81a722e4749cd"/>
    <x:hyperlink xmlns:r="http://schemas.openxmlformats.org/officeDocument/2006/relationships" ref="S35" r:id="Rc4c4996a34904701"/>
    <x:hyperlink xmlns:r="http://schemas.openxmlformats.org/officeDocument/2006/relationships" ref="S36" r:id="R2c7f4e0c11e74f4f"/>
    <x:hyperlink xmlns:r="http://schemas.openxmlformats.org/officeDocument/2006/relationships" ref="S39" r:id="R9a14e640ed98493d"/>
    <x:hyperlink xmlns:r="http://schemas.openxmlformats.org/officeDocument/2006/relationships" ref="E41" r:id="R951885a33f244e80"/>
    <x:hyperlink xmlns:r="http://schemas.openxmlformats.org/officeDocument/2006/relationships" ref="S41" r:id="Rfadbeb3c00ec477c"/>
    <x:hyperlink xmlns:r="http://schemas.openxmlformats.org/officeDocument/2006/relationships" ref="S42" r:id="Rc9c40b3a6302486c"/>
    <x:hyperlink xmlns:r="http://schemas.openxmlformats.org/officeDocument/2006/relationships" ref="S44" r:id="Rffc76ab6921a4441"/>
    <x:hyperlink xmlns:r="http://schemas.openxmlformats.org/officeDocument/2006/relationships" ref="E46" r:id="R8bea7b87d24644c8"/>
    <x:hyperlink xmlns:r="http://schemas.openxmlformats.org/officeDocument/2006/relationships" ref="S46" r:id="Ra7ea80a51ab54930"/>
    <x:hyperlink xmlns:r="http://schemas.openxmlformats.org/officeDocument/2006/relationships" ref="S49" r:id="Re445a64463104aee"/>
    <x:hyperlink xmlns:r="http://schemas.openxmlformats.org/officeDocument/2006/relationships" ref="E51" r:id="Rb3e9900c15234278"/>
    <x:hyperlink xmlns:r="http://schemas.openxmlformats.org/officeDocument/2006/relationships" ref="S51" r:id="R935d626e310c47a2"/>
    <x:hyperlink xmlns:r="http://schemas.openxmlformats.org/officeDocument/2006/relationships" ref="E52" r:id="R2adda3c210414208"/>
    <x:hyperlink xmlns:r="http://schemas.openxmlformats.org/officeDocument/2006/relationships" ref="S52" r:id="Rf6eacd15611b4f07"/>
    <x:hyperlink xmlns:r="http://schemas.openxmlformats.org/officeDocument/2006/relationships" ref="E54" r:id="Rc0c895429206445a"/>
    <x:hyperlink xmlns:r="http://schemas.openxmlformats.org/officeDocument/2006/relationships" ref="S54" r:id="R0b4216f59be14963"/>
    <x:hyperlink xmlns:r="http://schemas.openxmlformats.org/officeDocument/2006/relationships" ref="E56" r:id="R004dc2f019ea4f06"/>
    <x:hyperlink xmlns:r="http://schemas.openxmlformats.org/officeDocument/2006/relationships" ref="S56" r:id="R93e068c503a54bb5"/>
    <x:hyperlink xmlns:r="http://schemas.openxmlformats.org/officeDocument/2006/relationships" ref="S57" r:id="R7d631bcd16424581"/>
    <x:hyperlink xmlns:r="http://schemas.openxmlformats.org/officeDocument/2006/relationships" ref="E58" r:id="R7f8f059196e544dc"/>
    <x:hyperlink xmlns:r="http://schemas.openxmlformats.org/officeDocument/2006/relationships" ref="S58" r:id="Rc12f17aa341940c5"/>
    <x:hyperlink xmlns:r="http://schemas.openxmlformats.org/officeDocument/2006/relationships" ref="S59" r:id="R143957fdac074fc8"/>
    <x:hyperlink xmlns:r="http://schemas.openxmlformats.org/officeDocument/2006/relationships" ref="E62" r:id="Rbb76c0284ec441b4"/>
    <x:hyperlink xmlns:r="http://schemas.openxmlformats.org/officeDocument/2006/relationships" ref="S62" r:id="R9740880aa5db4fe7"/>
    <x:hyperlink xmlns:r="http://schemas.openxmlformats.org/officeDocument/2006/relationships" ref="S64" r:id="Re660a63ccba04beb"/>
    <x:hyperlink xmlns:r="http://schemas.openxmlformats.org/officeDocument/2006/relationships" ref="E67" r:id="R9c594d7e43de4fa2"/>
    <x:hyperlink xmlns:r="http://schemas.openxmlformats.org/officeDocument/2006/relationships" ref="S67" r:id="R8437ea87fcaa482d"/>
    <x:hyperlink xmlns:r="http://schemas.openxmlformats.org/officeDocument/2006/relationships" ref="E69" r:id="Rfe08208155954160"/>
    <x:hyperlink xmlns:r="http://schemas.openxmlformats.org/officeDocument/2006/relationships" ref="S69" r:id="Rab7b344c86b74970"/>
    <x:hyperlink xmlns:r="http://schemas.openxmlformats.org/officeDocument/2006/relationships" ref="E71" r:id="Rdbf3039cddcc44c5"/>
    <x:hyperlink xmlns:r="http://schemas.openxmlformats.org/officeDocument/2006/relationships" ref="S71" r:id="R171db2b8cf594b97"/>
    <x:hyperlink xmlns:r="http://schemas.openxmlformats.org/officeDocument/2006/relationships" ref="E74" r:id="R64667bf1eba24f83"/>
    <x:hyperlink xmlns:r="http://schemas.openxmlformats.org/officeDocument/2006/relationships" ref="S74" r:id="Rb8819f43b0314181"/>
    <x:hyperlink xmlns:r="http://schemas.openxmlformats.org/officeDocument/2006/relationships" ref="E79" r:id="Re4988c1f033d45c1"/>
    <x:hyperlink xmlns:r="http://schemas.openxmlformats.org/officeDocument/2006/relationships" ref="E87" r:id="Rdb87117be0354724"/>
    <x:hyperlink xmlns:r="http://schemas.openxmlformats.org/officeDocument/2006/relationships" ref="S87" r:id="R1efa6ede3fcd48f8"/>
    <x:hyperlink xmlns:r="http://schemas.openxmlformats.org/officeDocument/2006/relationships" ref="E89" r:id="Rc7fec17be0364c99"/>
    <x:hyperlink xmlns:r="http://schemas.openxmlformats.org/officeDocument/2006/relationships" ref="S89" r:id="R5ac70aaf3b8b4610"/>
    <x:hyperlink xmlns:r="http://schemas.openxmlformats.org/officeDocument/2006/relationships" ref="E91" r:id="Reb6365e4f9da4258"/>
    <x:hyperlink xmlns:r="http://schemas.openxmlformats.org/officeDocument/2006/relationships" ref="S91" r:id="Reb8233a3241147d5"/>
    <x:hyperlink xmlns:r="http://schemas.openxmlformats.org/officeDocument/2006/relationships" ref="E95" r:id="R445d1887f1c148a2"/>
    <x:hyperlink xmlns:r="http://schemas.openxmlformats.org/officeDocument/2006/relationships" ref="S95" r:id="Rc8552c193f5b4df5"/>
    <x:hyperlink xmlns:r="http://schemas.openxmlformats.org/officeDocument/2006/relationships" ref="S97" r:id="Rfeca7739ad3e43ca"/>
    <x:hyperlink xmlns:r="http://schemas.openxmlformats.org/officeDocument/2006/relationships" ref="R100" r:id="R86c4a8220d824246"/>
    <x:hyperlink xmlns:r="http://schemas.openxmlformats.org/officeDocument/2006/relationships" ref="E102" r:id="R779a8ae0f0bd407e"/>
    <x:hyperlink xmlns:r="http://schemas.openxmlformats.org/officeDocument/2006/relationships" ref="S102" r:id="R65dc7dea36dd4198"/>
    <x:hyperlink xmlns:r="http://schemas.openxmlformats.org/officeDocument/2006/relationships" ref="E105" r:id="R55cba56a883a46d4"/>
    <x:hyperlink xmlns:r="http://schemas.openxmlformats.org/officeDocument/2006/relationships" ref="E107" r:id="Rd183c299d7c24a2d"/>
    <x:hyperlink xmlns:r="http://schemas.openxmlformats.org/officeDocument/2006/relationships" ref="S107" r:id="R535b7f0045c54f58"/>
    <x:hyperlink xmlns:r="http://schemas.openxmlformats.org/officeDocument/2006/relationships" ref="S108" r:id="R7e0448403726435b"/>
    <x:hyperlink xmlns:r="http://schemas.openxmlformats.org/officeDocument/2006/relationships" ref="S109" r:id="R508a9c31e8d9462e"/>
    <x:hyperlink xmlns:r="http://schemas.openxmlformats.org/officeDocument/2006/relationships" ref="E110" r:id="R27d080a030a549fc"/>
    <x:hyperlink xmlns:r="http://schemas.openxmlformats.org/officeDocument/2006/relationships" ref="S110" r:id="Rf07d4c454823437c"/>
    <x:hyperlink xmlns:r="http://schemas.openxmlformats.org/officeDocument/2006/relationships" ref="S112" r:id="R203432222f6b4def"/>
    <x:hyperlink xmlns:r="http://schemas.openxmlformats.org/officeDocument/2006/relationships" ref="S114" r:id="R4214e1a7a0434828"/>
    <x:hyperlink xmlns:r="http://schemas.openxmlformats.org/officeDocument/2006/relationships" ref="E115" r:id="Rf0e6298265604f95"/>
    <x:hyperlink xmlns:r="http://schemas.openxmlformats.org/officeDocument/2006/relationships" ref="S115" r:id="R3fc240826c4f4507"/>
    <x:hyperlink xmlns:r="http://schemas.openxmlformats.org/officeDocument/2006/relationships" ref="E117" r:id="R164b5f24e772435f"/>
    <x:hyperlink xmlns:r="http://schemas.openxmlformats.org/officeDocument/2006/relationships" ref="S117" r:id="Re4381932f3584e98"/>
  </x:hyperlinks>
  <x:pageMargins left="0.7" right="0.7" top="0.75" bottom="0.75" header="0.3" footer="0.3"/>
</x:worksheet>
</file>

<file path=xl/worksheets/sheet4.xml><?xml version="1.0" encoding="utf-8"?>
<x:worksheet xmlns:x="http://schemas.openxmlformats.org/spreadsheetml/2006/main">
  <x:sheetFormatPr defaultRowHeight="15"/>
  <x:cols>
    <x:col min="1" max="1" width="40" hidden="0" customWidth="1"/>
    <x:col min="2" max="2" width="30" hidden="0" customWidth="1"/>
    <x:col min="3" max="3" width="52" hidden="0" customWidth="1"/>
    <x:col min="4" max="4" width="25" hidden="0" customWidth="1"/>
    <x:col min="5" max="5" width="48" hidden="0" customWidth="1"/>
    <x:col min="6" max="6" width="48" hidden="0" customWidth="1"/>
  </x:cols>
  <x:sheetData>
    <x:row r="1">
      <x:c r="A1" s="472" t="str">
        <x:v>Conciliação minuciosa — Novo Mapa de Emendas x fontes públicas anexas</x:v>
      </x:c>
      <x:c r="B1" s="472"/>
      <x:c r="C1" s="472"/>
      <x:c r="D1" s="472"/>
      <x:c r="E1" s="472"/>
      <x:c r="F1" s="472"/>
    </x:row>
    <x:row r="2" ht="34" customHeight="1">
      <x:c r="A2" s="476" t="str">
        <x:v>O mapa manual foi auditado como referência de trabalho, não como verdade. A conciliação separa: existência da emenda, vínculo do destinatário, valor comparável e estágio de execução.</x:v>
      </x:c>
      <x:c r="B2" s="476"/>
      <x:c r="C2" s="476"/>
      <x:c r="D2" s="476"/>
      <x:c r="E2" s="476"/>
      <x:c r="F2" s="476"/>
    </x:row>
    <x:row r="4">
      <x:c r="A4" s="482" t="str">
        <x:v>Indicador</x:v>
      </x:c>
      <x:c r="B4" s="482" t="str">
        <x:v>Resultado</x:v>
      </x:c>
      <x:c r="D4" s="482" t="str">
        <x:v>Achado principal</x:v>
      </x:c>
      <x:c r="E4" s="482" t="str">
        <x:v>Interpretação</x:v>
      </x:c>
      <x:c r="F4" s="482" t="str">
        <x:v>Ação sugerida</x:v>
      </x:c>
    </x:row>
    <x:row r="5">
      <x:c r="A5" s="476" t="str">
        <x:v>Linhas do novo mapa analisadas</x:v>
      </x:c>
      <x:c r="B5" t="n">
        <x:f>COUNTA('Conciliação'!A2:A765)</x:f>
        <x:v>764</x:v>
      </x:c>
      <x:c r="D5" s="489" t="str">
        <x:v>Erro crítico 2021</x:v>
      </x:c>
      <x:c r="E5" s="489" t="str">
        <x:v>Linha 737: 411660007 / R$ 15.299.294,00 é incompatível com a dotação pública. A chave compatível é 41160007-2021, autorizado em R$ 364.993,00.</x:v>
      </x:c>
      <x:c r="F5" s="489" t="str">
        <x:v>Revisar o nº para 41160007 e o valor para provável R$ 152.992,94; com R$ 212.000,06 da outra linha fecha exatamente o SIGA.</x:v>
      </x:c>
    </x:row>
    <x:row r="6">
      <x:c r="A6" s="476" t="str">
        <x:v>Confirmadas no nível município/beneficiário</x:v>
      </x:c>
      <x:c r="B6" t="n">
        <x:f>COUNTIF('Conciliação'!T2:T765,"CONFIRMADO")</x:f>
        <x:v>244</x:v>
      </x:c>
      <x:c r="D6" s="489" t="str">
        <x:v>Tapejara 2020</x:v>
      </x:c>
      <x:c r="E6" s="489" t="str">
        <x:v>Linha 119 traz '41160009 / 41160001'. O SIGA favorecido registra R$ 100.000 para Tapejara em 41160001-2020.</x:v>
      </x:c>
      <x:c r="F6" s="489" t="str">
        <x:v>Usar 41160001 e manter a correção documentada.</x:v>
      </x:c>
    </x:row>
    <x:row r="7">
      <x:c r="A7" s="476" t="str">
        <x:v>Valor divergente / cobertura diferente</x:v>
      </x:c>
      <x:c r="B7" t="n">
        <x:f>COUNTIF('Conciliação'!T2:T765,"VALOR DIVERGENTE / COBERTURA DIFERENTE")</x:f>
        <x:v>159</x:v>
      </x:c>
      <x:c r="D7" s="489" t="str">
        <x:v>Nº ausentes — forte</x:v>
      </x:c>
      <x:c r="E7" s="489" t="str">
        <x:v>26 linhas têm coincidência exata de ano + município + valor em SIGA favorecido e/ou PIX.</x:v>
      </x:c>
      <x:c r="F7" s="489" t="str">
        <x:v>Podem ser preenchidas como inferência forte, sem ocultar que o nº original estava vazio.</x:v>
      </x:c>
    </x:row>
    <x:row r="8">
      <x:c r="A8" s="476" t="str">
        <x:v>Destino/instrumento confirmado; valor não comparável</x:v>
      </x:c>
      <x:c r="B8" t="n">
        <x:f>COUNTIF('Conciliação'!T2:T765,"DESTINO/INSTRUMENTO CONFIRMADO; VALOR NÃO COMPARÁVEL")</x:f>
        <x:v>67</x:v>
      </x:c>
      <x:c r="D8" s="489" t="str">
        <x:v>Nº ausentes — candidato</x:v>
      </x:c>
      <x:c r="E8" s="489" t="str">
        <x:v>15 linhas apontam para uma emenda por vínculo no Transferegov.</x:v>
      </x:c>
      <x:c r="F8" s="489" t="str">
        <x:v>Validar manualmente: o valor do instrumento pode incluir cofinanciamento e não deve ser somado como se fosse a parcela da emenda.</x:v>
      </x:c>
    </x:row>
    <x:row r="9">
      <x:c r="A9" s="476" t="str">
        <x:v>Emenda confirmada; destino não confirmado</x:v>
      </x:c>
      <x:c r="B9" t="n">
        <x:f>COUNTIF('Conciliação'!T2:T765,"EMENDA CONFIRMADA; DESTINO NÃO CONFIRMADO")</x:f>
        <x:v>128</x:v>
      </x:c>
      <x:c r="D9" s="489" t="str">
        <x:v>PIX 2025/2026</x:v>
      </x:c>
      <x:c r="E9" s="489" t="str">
        <x:v>Há padrão de ajuste entre valor redondo do mapa e plano atual (ex.: R$ 200 mil→R$ 198 mil; R$ 400 mil→R$ 398 mil).</x:v>
      </x:c>
      <x:c r="F9" s="489" t="str">
        <x:v>Separar no mapa 'valor originalmente destinado' de 'valor vigente/aceito no plano'.</x:v>
      </x:c>
    </x:row>
    <x:row r="10">
      <x:c r="A10" s="476" t="str">
        <x:v>Sem nº / não conciliadas</x:v>
      </x:c>
      <x:c r="B10" t="n">
        <x:f>COUNTIF('Conciliação'!T2:T765,"SEM Nº / NÃO CONCILIADO")</x:f>
        <x:v>104</x:v>
      </x:c>
      <x:c r="D10" s="489" t="str">
        <x:v>PIX impedido/substituído</x:v>
      </x:c>
      <x:c r="E10" s="489" t="str">
        <x:v>Em alguns municípios há plano IMPEDIDO e posterior CIENTE pelo mesmo valor. Somar os dois duplica a destinação.</x:v>
      </x:c>
      <x:c r="F10" s="489" t="str">
        <x:v>CIENTE foi usado como referência atual quando existe; IMPEDIDO ficou separado como histórico.</x:v>
      </x:c>
    </x:row>
    <x:row r="11">
      <x:c r="A11" s="476" t="str">
        <x:v>Nº de emenda não localizado</x:v>
      </x:c>
      <x:c r="B11" t="n">
        <x:f>COUNTIF('Conciliação'!T2:T765,"Nº NÃO LOCALIZADO")</x:f>
        <x:v>62</x:v>
      </x:c>
    </x:row>
    <x:row r="12">
      <x:c r="A12" s="476" t="str">
        <x:v>Inferências fortes de nº (SIGA/PIX)</x:v>
      </x:c>
      <x:c r="B12" t="n">
        <x:f>COUNTIF('Conciliação'!H2:H765,"Inferido forte (SIGA/PIX)")</x:f>
        <x:v>26</x:v>
      </x:c>
    </x:row>
    <x:row r="13">
      <x:c r="A13" s="476" t="str">
        <x:v>Candidatos de nº via Transferegov</x:v>
      </x:c>
      <x:c r="B13" t="n">
        <x:f>COUNTIF('Conciliação'!H2:H765,"Candidato — revisar (Transferegov)")</x:f>
        <x:v>15</x:v>
      </x:c>
    </x:row>
    <x:row r="14">
      <x:c r="A14" s="476" t="str">
        <x:v>Prioridade CRÍTICA</x:v>
      </x:c>
      <x:c r="B14" t="n">
        <x:f>COUNTIF('Conciliação'!U2:U765,"CRÍTICA")</x:f>
        <x:v>1</x:v>
      </x:c>
    </x:row>
    <x:row r="15">
      <x:c r="A15" s="476" t="str">
        <x:v>Prioridade Alta</x:v>
      </x:c>
      <x:c r="B15" t="n">
        <x:f>COUNTIF('Conciliação'!U2:U765,"Alta")</x:f>
        <x:v>70</x:v>
      </x:c>
    </x:row>
    <x:row r="16">
      <x:c r="A16" s="476" t="str">
        <x:v>Prioridade Média</x:v>
      </x:c>
      <x:c r="B16" t="n">
        <x:f>COUNTIF('Conciliação'!U2:U765,"Média")</x:f>
        <x:v>450</x:v>
      </x:c>
    </x:row>
    <x:row r="19">
      <x:c r="A19" s="493" t="str">
        <x:v>Leitura correta das fontes</x:v>
      </x:c>
      <x:c r="B19" s="493"/>
      <x:c r="C19" s="493"/>
      <x:c r="D19" s="493"/>
      <x:c r="E19" s="493"/>
      <x:c r="F19" s="493"/>
    </x:row>
    <x:row r="20">
      <x:c r="A20" s="489" t="str">
        <x:v>SIGA GND</x:v>
      </x:c>
      <x:c r="B20" s="489" t="str">
        <x:v>Orçamento por emenda/ação/GND: autorizado, empenhado, executado, RP e pago.</x:v>
      </x:c>
      <x:c r="C20" s="489" t="str">
        <x:v>Serve para limites e execução agregada; não prova sozinho uma linha específica do mapa.</x:v>
      </x:c>
    </x:row>
    <x:row r="21">
      <x:c r="A21" s="489" t="str">
        <x:v>SIGA favorecido</x:v>
      </x:c>
      <x:c r="B21" s="489" t="str">
        <x:v>Pagamento por favorecido/CNPJ associado à emenda.</x:v>
      </x:c>
      <x:c r="C21" s="489" t="str">
        <x:v>Evidência direta de pagamento para confirmar município/beneficiário e, às vezes, CNPJ.</x:v>
      </x:c>
    </x:row>
    <x:row r="22">
      <x:c r="A22" s="489" t="str">
        <x:v>Transferegov</x:v>
      </x:c>
      <x:c r="B22" s="489" t="str">
        <x:v>Instrumento, proponente, objeto, situação, empenho e desembolso.</x:v>
      </x:c>
      <x:c r="C22" s="489" t="str">
        <x:v>O valor exibido pode ser do instrumento inteiro/cofinanciado. Usei para vínculo e objeto; não usei soma de valores como prova da parcela da emenda.</x:v>
      </x:c>
    </x:row>
    <x:row r="23">
      <x:c r="A23" s="489" t="str">
        <x:v>CSV governamental</x:v>
      </x:c>
      <x:c r="B23" s="489" t="str">
        <x:v>Execução orçamentária por emenda, regionalização e função.</x:v>
      </x:c>
      <x:c r="C23" s="489" t="str">
        <x:v>Útil quando a regionalização é municipal; 'MÚLTIPLO', região ou Nacional não identificam uma linha individual.</x:v>
      </x:c>
    </x:row>
    <x:row r="24">
      <x:c r="A24" s="489" t="str">
        <x:v>PIX / Transferências Especiais</x:v>
      </x:c>
      <x:c r="B24" s="489" t="str">
        <x:v>Plano de ação, beneficiário, valor e situação CIENTE/IMPEDIDO.</x:v>
      </x:c>
      <x:c r="C24" s="489" t="str">
        <x:v>CIENTE é status do plano, não sinônimo de pagamento. IMPEDIDO histórico foi mantido separado para evitar dupla contagem.</x:v>
      </x:c>
    </x:row>
  </x:sheetData>
  <x:mergeCells>
    <x:mergeCell ref="A1:F1"/>
    <x:mergeCell ref="A2:F2"/>
    <x:mergeCell ref="A19:F19"/>
  </x:mergeCells>
  <x:pageMargins left="0.7" right="0.7" top="0.75" bottom="0.75" header="0.3" footer="0.3"/>
</x:worksheet>
</file>

<file path=xl/worksheets/sheet5.xml><?xml version="1.0" encoding="utf-8"?>
<x:worksheet xmlns:x="http://schemas.openxmlformats.org/spreadsheetml/2006/main">
  <x:sheetFormatPr defaultRowHeight="15"/>
  <x:cols>
    <x:col min="1" max="1" width="10" hidden="0" customWidth="1"/>
    <x:col min="2" max="2" width="8" hidden="0" customWidth="1"/>
    <x:col min="3" max="3" width="20" hidden="0" customWidth="1"/>
    <x:col min="4" max="4" width="30" hidden="0" customWidth="1"/>
    <x:col min="5" max="5" width="30" hidden="0" customWidth="1"/>
    <x:col min="6" max="6" width="22" hidden="0" customWidth="1"/>
    <x:col min="7" max="7" width="23" hidden="0" customWidth="1"/>
    <x:col min="8" max="8" width="30" hidden="0" customWidth="1"/>
    <x:col min="9" max="9" width="16" hidden="0" customWidth="1"/>
    <x:col min="10" max="10" width="18" hidden="0" customWidth="1"/>
    <x:col min="11" max="11" width="24" hidden="0" customWidth="1"/>
    <x:col min="12" max="12" width="28" hidden="0" customWidth="1"/>
    <x:col min="13" max="13" width="18" hidden="0" customWidth="1"/>
    <x:col min="14" max="14" width="22" hidden="0" customWidth="1"/>
    <x:col min="15" max="15" width="22" hidden="0" customWidth="1"/>
    <x:col min="16" max="16" width="17" hidden="0" customWidth="1"/>
    <x:col min="17" max="17" width="18" hidden="0" customWidth="1"/>
    <x:col min="18" max="18" width="20" hidden="0" customWidth="1"/>
    <x:col min="19" max="19" width="22" hidden="0" customWidth="1"/>
    <x:col min="20" max="20" width="42" hidden="0" customWidth="1"/>
    <x:col min="21" max="21" width="12" hidden="0" customWidth="1"/>
    <x:col min="22" max="22" width="62" hidden="0" customWidth="1"/>
    <x:col min="23" max="23" width="62" hidden="0" customWidth="1"/>
    <x:col min="24" max="24" width="60" hidden="0" customWidth="1"/>
  </x:cols>
  <x:sheetData>
    <x:row r="1">
      <x:c r="A1" s="501" t="str">
        <x:v>Linha no novo mapa</x:v>
      </x:c>
      <x:c r="B1" s="501" t="str">
        <x:v>Ano</x:v>
      </x:c>
      <x:c r="C1" s="501" t="str">
        <x:v>Município</x:v>
      </x:c>
      <x:c r="D1" s="501" t="str">
        <x:v>Beneficiário</x:v>
      </x:c>
      <x:c r="E1" s="501" t="str">
        <x:v>Instituição</x:v>
      </x:c>
      <x:c r="F1" s="501" t="str">
        <x:v>Nº emenda no mapa</x:v>
      </x:c>
      <x:c r="G1" s="501" t="str">
        <x:v>Nº emenda conciliado</x:v>
      </x:c>
      <x:c r="H1" s="501" t="str">
        <x:v>Origem do nº conciliado</x:v>
      </x:c>
      <x:c r="I1" s="501" t="str">
        <x:v>Valor no mapa</x:v>
      </x:c>
      <x:c r="J1" s="501" t="str">
        <x:v>Valor grupo município/emenda</x:v>
      </x:c>
      <x:c r="K1" s="501" t="str">
        <x:v>Tipo da emenda</x:v>
      </x:c>
      <x:c r="L1" s="501" t="str">
        <x:v>Situação no mapa</x:v>
      </x:c>
      <x:c r="M1" s="501" t="str">
        <x:v>SIGA pago ao favorecido (município)</x:v>
      </x:c>
      <x:c r="N1" s="501" t="str">
        <x:v>Transferegov empenhado bruto dos instrumentos</x:v>
      </x:c>
      <x:c r="O1" s="501" t="str">
        <x:v>Transferegov desembolsado bruto dos instrumentos</x:v>
      </x:c>
      <x:c r="P1" s="501" t="str">
        <x:v>PIX CIENTE atual (município)</x:v>
      </x:c>
      <x:c r="Q1" s="501" t="str">
        <x:v>PIX IMPEDIDO/histórico (município)</x:v>
      </x:c>
      <x:c r="R1" s="501" t="str">
        <x:v>Status PIX</x:v>
      </x:c>
      <x:c r="S1" s="501" t="str">
        <x:v>CNPJ público candidato</x:v>
      </x:c>
      <x:c r="T1" s="501" t="str">
        <x:v>Resultado da conciliação</x:v>
      </x:c>
      <x:c r="U1" s="501" t="str">
        <x:v>Prioridade</x:v>
      </x:c>
      <x:c r="V1" s="501" t="str">
        <x:v>Correção/atualização sugerida</x:v>
      </x:c>
      <x:c r="W1" s="501" t="str">
        <x:v>Nota de evidência</x:v>
      </x:c>
      <x:c r="X1" s="501" t="str">
        <x:v>URL pública</x:v>
      </x:c>
    </x:row>
    <x:row r="2">
      <x:c r="A2" s="502" t="n">
        <x:v>2</x:v>
      </x:c>
      <x:c r="B2" s="502" t="n">
        <x:v>2024</x:v>
      </x:c>
      <x:c r="C2" s="489" t="str">
        <x:v>Gramado</x:v>
      </x:c>
      <x:c r="D2" s="489" t="str">
        <x:v>Prefeitura Municipal de Gramado</x:v>
      </x:c>
      <x:c r="E2" s="489" t="str">
        <x:v>Prefeitura Municipal</x:v>
      </x:c>
      <x:c r="F2" s="489" t="str">
        <x:v>41160005</x:v>
      </x:c>
      <x:c r="G2" s="489" t="str">
        <x:v>41160005-2024</x:v>
      </x:c>
      <x:c r="H2" s="489" t="str">
        <x:v>Informado/corrigido a partir do mapa</x:v>
      </x:c>
      <x:c r="I2" s="503" t="n">
        <x:v>0</x:v>
      </x:c>
      <x:c r="J2" s="503" t="n">
        <x:v>300000</x:v>
      </x:c>
      <x:c r="K2" s="489" t="str">
        <x:v>Emenda Individual</x:v>
      </x:c>
      <x:c r="L2" s="489"/>
      <x:c r="M2" s="503" t="n">
        <x:v>300000</x:v>
      </x:c>
      <x:c r="N2" s="503" t="n">
        <x:v>0</x:v>
      </x:c>
      <x:c r="O2" s="503" t="n">
        <x:v>0</x:v>
      </x:c>
      <x:c r="P2" s="503" t="n">
        <x:v>0</x:v>
      </x:c>
      <x:c r="Q2" s="503" t="n">
        <x:v>0</x:v>
      </x:c>
      <x:c r="R2" s="489" t="str"/>
      <x:c r="S2" s="489" t="str">
        <x:v>88847082000155</x:v>
      </x:c>
      <x:c r="T2" s="489" t="str">
        <x:v>CONFIRMADO</x:v>
      </x:c>
      <x:c r="U2" s="489" t="str">
        <x:v>Baixa</x:v>
      </x:c>
      <x:c r="V2" s="489" t="str">
        <x:v>Preencher situação: há pagamento identificado na fonte pública; CNPJ candidato na fonte SIGA: 88847082000155</x:v>
      </x:c>
      <x:c r="W2" s="489" t="str">
        <x:v>Valor do grupo fecha com: SIGA pago favorecido</x:v>
      </x:c>
      <x:c r="X2" s="489" t="str"/>
    </x:row>
    <x:row r="3">
      <x:c r="A3" s="502" t="n">
        <x:v>3</x:v>
      </x:c>
      <x:c r="B3" s="502" t="n">
        <x:v>2023</x:v>
      </x:c>
      <x:c r="C3" s="489" t="str">
        <x:v>Rio Grande</x:v>
      </x:c>
      <x:c r="D3" s="489" t="str">
        <x:v>Fundo Naval</x:v>
      </x:c>
      <x:c r="E3" s="489" t="str">
        <x:v>Fundo Naval</x:v>
      </x:c>
      <x:c r="F3" s="489" t="str">
        <x:v>41160009</x:v>
      </x:c>
      <x:c r="G3" s="489" t="str">
        <x:v>41160009-2023</x:v>
      </x:c>
      <x:c r="H3" s="489" t="str">
        <x:v>Informado/corrigido a partir do mapa</x:v>
      </x:c>
      <x:c r="I3" s="503" t="n">
        <x:v>1200</x:v>
      </x:c>
      <x:c r="J3" s="503" t="n">
        <x:v>335000</x:v>
      </x:c>
      <x:c r="K3" s="489" t="str">
        <x:v>Emenda Individual</x:v>
      </x:c>
      <x:c r="L3" s="489" t="str">
        <x:v>Recurso pago</x:v>
      </x:c>
      <x:c r="M3" s="503" t="n">
        <x:v>0</x:v>
      </x:c>
      <x:c r="N3" s="503" t="n">
        <x:v>0</x:v>
      </x:c>
      <x:c r="O3" s="503" t="n">
        <x:v>0</x:v>
      </x:c>
      <x:c r="P3" s="503" t="n">
        <x:v>0</x:v>
      </x:c>
      <x:c r="Q3" s="503" t="n">
        <x:v>0</x:v>
      </x:c>
      <x:c r="R3" s="489" t="str"/>
      <x:c r="S3" s="489" t="str"/>
      <x:c r="T3" s="489" t="str">
        <x:v>EMENDA CONFIRMADA; DESTINO NÃO CONFIRMADO</x:v>
      </x:c>
      <x:c r="U3" s="489" t="str">
        <x:v>Média</x:v>
      </x:c>
      <x:c r="V3" s="489" t="str"/>
      <x:c r="W3" s="489" t="str">
        <x:v>Nº existe no SIGA; destinatário específico não foi confirmado nas bases anexas</x:v>
      </x:c>
      <x:c r="X3" s="489" t="str"/>
    </x:row>
    <x:row r="4">
      <x:c r="A4" s="502" t="n">
        <x:v>4</x:v>
      </x:c>
      <x:c r="B4" s="502" t="n">
        <x:v>2020</x:v>
      </x:c>
      <x:c r="C4" s="489" t="str">
        <x:v>Bagé</x:v>
      </x:c>
      <x:c r="D4" s="489" t="str">
        <x:v>Polícia Civil</x:v>
      </x:c>
      <x:c r="E4" s="489" t="str">
        <x:v>9ª Delegacia de Polícia Regional – Bagé</x:v>
      </x:c>
      <x:c r="F4" s="489" t="str">
        <x:v>41160010</x:v>
      </x:c>
      <x:c r="G4" s="489" t="str">
        <x:v>41160010-2020</x:v>
      </x:c>
      <x:c r="H4" s="489" t="str">
        <x:v>Informado/corrigido a partir do mapa</x:v>
      </x:c>
      <x:c r="I4" s="503" t="n">
        <x:v>12142.85</x:v>
      </x:c>
      <x:c r="J4" s="503" t="n">
        <x:v>12142.85</x:v>
      </x:c>
      <x:c r="K4" s="489" t="str">
        <x:v>Emenda individual</x:v>
      </x:c>
      <x:c r="L4" s="489" t="str">
        <x:v>Recurso empenhado. Inexigibilidade de licitação aceita pelo Ministério. Recurso pago em 25/04/2022. De acordo com consulta feita no Transferegov, em 03/04/2024, não é possível afirmar que foi pago. Há dois convênio com o MS vinculados a essa emenda, um deles vigente até 04/2025. Será necessário consultar o órgão para verificar se o valor referente à Polícia Civil de Bagé foi recebido.</x:v>
      </x:c>
      <x:c r="M4" s="503" t="n">
        <x:v>0</x:v>
      </x:c>
      <x:c r="N4" s="503" t="n">
        <x:v>0</x:v>
      </x:c>
      <x:c r="O4" s="503" t="n">
        <x:v>0</x:v>
      </x:c>
      <x:c r="P4" s="503" t="n">
        <x:v>0</x:v>
      </x:c>
      <x:c r="Q4" s="503" t="n">
        <x:v>0</x:v>
      </x:c>
      <x:c r="R4" s="489" t="str"/>
      <x:c r="S4" s="489" t="str"/>
      <x:c r="T4" s="489" t="str">
        <x:v>EMENDA CONFIRMADA; DESTINO NÃO CONFIRMADO</x:v>
      </x:c>
      <x:c r="U4" s="489" t="str">
        <x:v>Média</x:v>
      </x:c>
      <x:c r="V4" s="489" t="str"/>
      <x:c r="W4" s="489" t="str">
        <x:v>Nº existe no SIGA; destinatário específico não foi confirmado nas bases anexas</x:v>
      </x:c>
      <x:c r="X4" s="489" t="str"/>
    </x:row>
    <x:row r="5">
      <x:c r="A5" s="502" t="n">
        <x:v>5</x:v>
      </x:c>
      <x:c r="B5" s="502" t="n">
        <x:v>2022</x:v>
      </x:c>
      <x:c r="C5" s="489" t="str">
        <x:v>Barão de Cotegipe</x:v>
      </x:c>
      <x:c r="D5" s="489" t="str">
        <x:v>Município</x:v>
      </x:c>
      <x:c r="E5" s="489" t="str">
        <x:v>Prefeitura Municipal</x:v>
      </x:c>
      <x:c r="F5" s="489" t="str">
        <x:v>41160002</x:v>
      </x:c>
      <x:c r="G5" s="489" t="str">
        <x:v>41160002-2022</x:v>
      </x:c>
      <x:c r="H5" s="489" t="str">
        <x:v>Informado/corrigido a partir do mapa</x:v>
      </x:c>
      <x:c r="I5" s="503" t="n">
        <x:v>20000</x:v>
      </x:c>
      <x:c r="J5" s="503" t="n">
        <x:v>40000</x:v>
      </x:c>
      <x:c r="K5" s="489" t="str">
        <x:v>Emenda Individual </x:v>
      </x:c>
      <x:c r="L5" s="489" t="str">
        <x:v>Recurso pago</x:v>
      </x:c>
      <x:c r="M5" s="503" t="n">
        <x:v>20000</x:v>
      </x:c>
      <x:c r="N5" s="503" t="n">
        <x:v>0</x:v>
      </x:c>
      <x:c r="O5" s="503" t="n">
        <x:v>0</x:v>
      </x:c>
      <x:c r="P5" s="503" t="n">
        <x:v>0</x:v>
      </x:c>
      <x:c r="Q5" s="503" t="n">
        <x:v>0</x:v>
      </x:c>
      <x:c r="R5" s="489" t="str"/>
      <x:c r="S5" s="489" t="str">
        <x:v>11709721000191</x:v>
      </x:c>
      <x:c r="T5" s="489" t="str">
        <x:v>VALOR DIVERGENTE / COBERTURA DIFERENTE</x:v>
      </x:c>
      <x:c r="U5" s="489" t="str">
        <x:v>Alta</x:v>
      </x:c>
      <x:c r="V5" s="489" t="str">
        <x:v>CNPJ candidato na fonte SIGA: 11709721000191</x:v>
      </x:c>
      <x:c r="W5" s="489" t="str">
        <x:v>Município/localidade encontrado em fonte comparável, mas valor não fecha exatamente</x:v>
      </x:c>
      <x:c r="X5" s="489" t="str"/>
    </x:row>
    <x:row r="6">
      <x:c r="A6" s="502" t="n">
        <x:v>6</x:v>
      </x:c>
      <x:c r="B6" s="502" t="n">
        <x:v>2022</x:v>
      </x:c>
      <x:c r="C6" s="489" t="str">
        <x:v>Barão de Cotegipe</x:v>
      </x:c>
      <x:c r="D6" s="489" t="str">
        <x:v>Prefeitura</x:v>
      </x:c>
      <x:c r="E6" s="489" t="str">
        <x:v>Prefeitura Municipal</x:v>
      </x:c>
      <x:c r="F6" s="489" t="str">
        <x:v>41160002</x:v>
      </x:c>
      <x:c r="G6" s="489" t="str">
        <x:v>41160002-2022</x:v>
      </x:c>
      <x:c r="H6" s="489" t="str">
        <x:v>Informado/corrigido a partir do mapa</x:v>
      </x:c>
      <x:c r="I6" s="503" t="n">
        <x:v>20000</x:v>
      </x:c>
      <x:c r="J6" s="503" t="n">
        <x:v>40000</x:v>
      </x:c>
      <x:c r="K6" s="489" t="str">
        <x:v>Emenda individual (processo seletivo 2021)</x:v>
      </x:c>
      <x:c r="L6" s="489" t="str">
        <x:v>Recurso pago</x:v>
      </x:c>
      <x:c r="M6" s="503" t="n">
        <x:v>20000</x:v>
      </x:c>
      <x:c r="N6" s="503" t="n">
        <x:v>0</x:v>
      </x:c>
      <x:c r="O6" s="503" t="n">
        <x:v>0</x:v>
      </x:c>
      <x:c r="P6" s="503" t="n">
        <x:v>0</x:v>
      </x:c>
      <x:c r="Q6" s="503" t="n">
        <x:v>0</x:v>
      </x:c>
      <x:c r="R6" s="489" t="str"/>
      <x:c r="S6" s="489" t="str">
        <x:v>11709721000191</x:v>
      </x:c>
      <x:c r="T6" s="489" t="str">
        <x:v>VALOR DIVERGENTE / COBERTURA DIFERENTE</x:v>
      </x:c>
      <x:c r="U6" s="489" t="str">
        <x:v>Alta</x:v>
      </x:c>
      <x:c r="V6" s="489" t="str">
        <x:v>CNPJ candidato na fonte SIGA: 11709721000191</x:v>
      </x:c>
      <x:c r="W6" s="489" t="str">
        <x:v>Município/localidade encontrado em fonte comparável, mas valor não fecha exatamente</x:v>
      </x:c>
      <x:c r="X6" s="489" t="str"/>
    </x:row>
    <x:row r="7">
      <x:c r="A7" s="502" t="n">
        <x:v>7</x:v>
      </x:c>
      <x:c r="B7" s="502" t="n">
        <x:v>2021</x:v>
      </x:c>
      <x:c r="C7" s="489" t="str">
        <x:v>Novo Hamburgo</x:v>
      </x:c>
      <x:c r="D7" s="489" t="str">
        <x:v> Polícia Civil </x:v>
      </x:c>
      <x:c r="E7" s="489" t="str">
        <x:v>2ª Delegacia de Polícia de Novo Hamburgo</x:v>
      </x:c>
      <x:c r="F7" s="489" t="str">
        <x:v>41160001</x:v>
      </x:c>
      <x:c r="G7" s="489" t="str">
        <x:v>41160001-2021</x:v>
      </x:c>
      <x:c r="H7" s="489" t="str">
        <x:v>Informado/corrigido a partir do mapa</x:v>
      </x:c>
      <x:c r="I7" s="503" t="n">
        <x:v>26383.34</x:v>
      </x:c>
      <x:c r="J7" s="503" t="n">
        <x:v>26383.34</x:v>
      </x:c>
      <x:c r="K7" s="489" t="str">
        <x:v>Emenda individual</x:v>
      </x:c>
      <x:c r="L7" s="489" t="str">
        <x:v>Empenhado</x:v>
      </x:c>
      <x:c r="M7" s="503" t="n">
        <x:v>0</x:v>
      </x:c>
      <x:c r="N7" s="503" t="n">
        <x:v>0</x:v>
      </x:c>
      <x:c r="O7" s="503" t="n">
        <x:v>0</x:v>
      </x:c>
      <x:c r="P7" s="503" t="n">
        <x:v>0</x:v>
      </x:c>
      <x:c r="Q7" s="503" t="n">
        <x:v>0</x:v>
      </x:c>
      <x:c r="R7" s="489" t="str"/>
      <x:c r="S7" s="489" t="str"/>
      <x:c r="T7" s="489" t="str">
        <x:v>EMENDA CONFIRMADA; DESTINO NÃO CONFIRMADO</x:v>
      </x:c>
      <x:c r="U7" s="489" t="str">
        <x:v>Média</x:v>
      </x:c>
      <x:c r="V7" s="489" t="str"/>
      <x:c r="W7" s="489" t="str">
        <x:v>Nº existe no SIGA; destinatário específico não foi confirmado nas bases anexas</x:v>
      </x:c>
      <x:c r="X7" s="489" t="str"/>
    </x:row>
    <x:row r="8">
      <x:c r="A8" s="502" t="n">
        <x:v>8</x:v>
      </x:c>
      <x:c r="B8" s="502" t="n">
        <x:v>2020</x:v>
      </x:c>
      <x:c r="C8" s="489" t="str">
        <x:v>Porto Alegre</x:v>
      </x:c>
      <x:c r="D8" s="489" t="str">
        <x:v>Instituto Geral de Perícias</x:v>
      </x:c>
      <x:c r="E8" s="489" t="str">
        <x:v>Instituto Geral de Perícias</x:v>
      </x:c>
      <x:c r="F8" s="489" t="str">
        <x:v>41160008</x:v>
      </x:c>
      <x:c r="G8" s="489" t="str">
        <x:v>41160008-2020</x:v>
      </x:c>
      <x:c r="H8" s="489" t="str">
        <x:v>Informado/corrigido a partir do mapa</x:v>
      </x:c>
      <x:c r="I8" s="503" t="n">
        <x:v>26706.33</x:v>
      </x:c>
      <x:c r="J8" s="503" t="n">
        <x:v>497251.73</x:v>
      </x:c>
      <x:c r="K8" s="489" t="str">
        <x:v>Emenda individual</x:v>
      </x:c>
      <x:c r="L8" s="489" t="str">
        <x:v>Pregão eletrônio concluído.</x:v>
      </x:c>
      <x:c r="M8" s="503" t="n">
        <x:v>439028</x:v>
      </x:c>
      <x:c r="N8" s="503" t="n">
        <x:v>855337.73</x:v>
      </x:c>
      <x:c r="O8" s="503" t="n">
        <x:v>439028</x:v>
      </x:c>
      <x:c r="P8" s="503" t="n">
        <x:v>0</x:v>
      </x:c>
      <x:c r="Q8" s="503" t="n">
        <x:v>0</x:v>
      </x:c>
      <x:c r="R8" s="489" t="str"/>
      <x:c r="S8" s="489" t="str">
        <x:v>87958583000146</x:v>
      </x:c>
      <x:c r="T8" s="489" t="str">
        <x:v>VALOR DIVERGENTE / COBERTURA DIFERENTE</x:v>
      </x:c>
      <x:c r="U8" s="489" t="str">
        <x:v>Alta</x:v>
      </x:c>
      <x:c r="V8" s="489" t="str">
        <x:v>CNPJ candidato na fonte SIGA: 87958583000146</x:v>
      </x:c>
      <x:c r="W8" s="489" t="str">
        <x:v>Município/localidade encontrado em fonte comparável, mas valor não fecha exatamente</x:v>
      </x:c>
      <x:c r="X8" s="489" t="str">
        <x:v>https://discricionarias.transferegov.sistema.gov.br/voluntarias/ConsultarProposta/ResultadoDaConsultaDeConvenioSelecionarConvenio.do?sequencialConvenio=905738&amp;Usr=guest&amp;Pwd=guest</x:v>
      </x:c>
    </x:row>
    <x:row r="9">
      <x:c r="A9" s="502" t="n">
        <x:v>9</x:v>
      </x:c>
      <x:c r="B9" s="502" t="n">
        <x:v>2024</x:v>
      </x:c>
      <x:c r="C9" s="489" t="str">
        <x:v>Cerro Branco</x:v>
      </x:c>
      <x:c r="D9" s="489" t="str">
        <x:v>Prefeitura Municipal de Cerro Branco</x:v>
      </x:c>
      <x:c r="E9" s="489" t="str">
        <x:v>Prefeitura Municipal</x:v>
      </x:c>
      <x:c r="F9" s="489" t="str">
        <x:v>41160001</x:v>
      </x:c>
      <x:c r="G9" s="489" t="str">
        <x:v>41160001-2024</x:v>
      </x:c>
      <x:c r="H9" s="489" t="str">
        <x:v>Informado/corrigido a partir do mapa</x:v>
      </x:c>
      <x:c r="I9" s="503" t="n">
        <x:v>30000</x:v>
      </x:c>
      <x:c r="J9" s="503" t="n">
        <x:v>30000</x:v>
      </x:c>
      <x:c r="K9" s="489" t="str">
        <x:v>Emenda Individual</x:v>
      </x:c>
      <x:c r="L9" s="489"/>
      <x:c r="M9" s="503" t="n">
        <x:v>30000</x:v>
      </x:c>
      <x:c r="N9" s="503" t="n">
        <x:v>0</x:v>
      </x:c>
      <x:c r="O9" s="503" t="n">
        <x:v>0</x:v>
      </x:c>
      <x:c r="P9" s="503" t="n">
        <x:v>0</x:v>
      </x:c>
      <x:c r="Q9" s="503" t="n">
        <x:v>0</x:v>
      </x:c>
      <x:c r="R9" s="489" t="str"/>
      <x:c r="S9" s="489" t="str">
        <x:v>12137715000170</x:v>
      </x:c>
      <x:c r="T9" s="489" t="str">
        <x:v>CONFIRMADO</x:v>
      </x:c>
      <x:c r="U9" s="489" t="str">
        <x:v>Baixa</x:v>
      </x:c>
      <x:c r="V9" s="489" t="str">
        <x:v>Preencher situação: há pagamento identificado na fonte pública; CNPJ candidato na fonte SIGA: 12137715000170</x:v>
      </x:c>
      <x:c r="W9" s="489" t="str">
        <x:v>Valor do grupo fecha com: SIGA pago favorecido</x:v>
      </x:c>
      <x:c r="X9" s="489" t="str"/>
    </x:row>
    <x:row r="10">
      <x:c r="A10" s="502" t="n">
        <x:v>10</x:v>
      </x:c>
      <x:c r="B10" s="502" t="n">
        <x:v>2023</x:v>
      </x:c>
      <x:c r="C10" s="489" t="str">
        <x:v>Santa Vitória do Palmar</x:v>
      </x:c>
      <x:c r="D10" s="489" t="str">
        <x:v>APAE</x:v>
      </x:c>
      <x:c r="E10" s="489" t="str">
        <x:v>APAE de Santa Vitória do Palmar</x:v>
      </x:c>
      <x:c r="F10" s="489" t="str"/>
      <x:c r="G10" s="489" t="str"/>
      <x:c r="H10" s="489" t="str">
        <x:v>Sem nº conciliado</x:v>
      </x:c>
      <x:c r="I10" s="503" t="n">
        <x:v>30514.31</x:v>
      </x:c>
      <x:c r="J10" s="503" t="n">
        <x:v>30514.31</x:v>
      </x:c>
      <x:c r="K10" s="489" t="str">
        <x:v>Emenda de Bancada</x:v>
      </x:c>
      <x:c r="L10" s="489" t="str">
        <x:v>Recurso pago</x:v>
      </x:c>
      <x:c r="M10" s="503" t="n">
        <x:v>0</x:v>
      </x:c>
      <x:c r="N10" s="503" t="n">
        <x:v>0</x:v>
      </x:c>
      <x:c r="O10" s="503" t="n">
        <x:v>0</x:v>
      </x:c>
      <x:c r="P10" s="503" t="n">
        <x:v>0</x:v>
      </x:c>
      <x:c r="Q10" s="503" t="n">
        <x:v>0</x:v>
      </x:c>
      <x:c r="R10" s="489" t="str"/>
      <x:c r="S10" s="489" t="str"/>
      <x:c r="T10" s="489" t="str">
        <x:v>SEM Nº / NÃO CONCILIADO</x:v>
      </x:c>
      <x:c r="U10" s="489" t="str">
        <x:v>Média</x:v>
      </x:c>
      <x:c r="V10" s="489" t="str"/>
      <x:c r="W10" s="489" t="str"/>
      <x:c r="X10" s="489" t="str"/>
    </x:row>
    <x:row r="11">
      <x:c r="A11" s="502" t="n">
        <x:v>11</x:v>
      </x:c>
      <x:c r="B11" s="502" t="n">
        <x:v>2020</x:v>
      </x:c>
      <x:c r="C11" s="489" t="str">
        <x:v>Porto Alegre</x:v>
      </x:c>
      <x:c r="D11" s="489" t="str">
        <x:v>Polícia Civil</x:v>
      </x:c>
      <x:c r="E11" s="489" t="str">
        <x:v>Divisão Estadual de Combate à Corrupção e à Lavagem de Dinheiro</x:v>
      </x:c>
      <x:c r="F11" s="489" t="str">
        <x:v>41160010</x:v>
      </x:c>
      <x:c r="G11" s="489" t="str">
        <x:v>41160010-2020</x:v>
      </x:c>
      <x:c r="H11" s="489" t="str">
        <x:v>Informado/corrigido a partir do mapa</x:v>
      </x:c>
      <x:c r="I11" s="503" t="n">
        <x:v>31428.6</x:v>
      </x:c>
      <x:c r="J11" s="503" t="n">
        <x:v>554830.11</x:v>
      </x:c>
      <x:c r="K11" s="489" t="str">
        <x:v>Emenda individual</x:v>
      </x:c>
      <x:c r="L11" s="489" t="str">
        <x:v>Recurso empenhado. Inexigibilidade de licitação aceita pelo Ministério. </x:v>
      </x:c>
      <x:c r="M11" s="503" t="n">
        <x:v>622294.89</x:v>
      </x:c>
      <x:c r="N11" s="503" t="n">
        <x:v>3614493.94</x:v>
      </x:c>
      <x:c r="O11" s="503" t="n">
        <x:v>3290479.1</x:v>
      </x:c>
      <x:c r="P11" s="503" t="n">
        <x:v>0</x:v>
      </x:c>
      <x:c r="Q11" s="503" t="n">
        <x:v>0</x:v>
      </x:c>
      <x:c r="R11" s="489" t="str"/>
      <x:c r="S11" s="489" t="str">
        <x:v>87958583000146</x:v>
      </x:c>
      <x:c r="T11" s="489" t="str">
        <x:v>VALOR DIVERGENTE / COBERTURA DIFERENTE</x:v>
      </x:c>
      <x:c r="U11" s="489" t="str">
        <x:v>Alta</x:v>
      </x:c>
      <x:c r="V11" s="489" t="str">
        <x:v>Situação possivelmente desatualizada: SIGA/execução regionalizada mostra pagamento; CNPJ candidato na fonte SIGA: 87958583000146</x:v>
      </x:c>
      <x:c r="W11" s="489" t="str">
        <x:v>Município/localidade encontrado em fonte comparável, mas valor não fecha exatamente</x:v>
      </x:c>
      <x:c r="X11" s="489" t="str">
        <x:v>https://discricionarias.transferegov.sistema.gov.br/voluntarias/ConsultarProposta/ResultadoDaConsultaDeConvenioSelecionarConvenio.do?sequencialConvenio=905242&amp;Usr=guest&amp;Pwd=guest | https://discricionarias.transferegov.sistema.gov.br/voluntarias/ConsultarProposta/ResultadoDaConsultaDeConvenioSelecionarConvenio.do?sequencialConvenio=905738&amp;Usr=guest&amp;Pwd=guest</x:v>
      </x:c>
    </x:row>
    <x:row r="12">
      <x:c r="A12" s="502" t="n">
        <x:v>12</x:v>
      </x:c>
      <x:c r="B12" s="502" t="n">
        <x:v>2020</x:v>
      </x:c>
      <x:c r="C12" s="489" t="str">
        <x:v>Porto Alegre</x:v>
      </x:c>
      <x:c r="D12" s="489" t="str">
        <x:v>Instituto Geral de Perícias</x:v>
      </x:c>
      <x:c r="E12" s="489" t="str">
        <x:v>Instituto Geral de Perícias</x:v>
      </x:c>
      <x:c r="F12" s="489" t="str">
        <x:v>41160008</x:v>
      </x:c>
      <x:c r="G12" s="489" t="str">
        <x:v>41160008-2020</x:v>
      </x:c>
      <x:c r="H12" s="489" t="str">
        <x:v>Informado/corrigido a partir do mapa</x:v>
      </x:c>
      <x:c r="I12" s="503" t="n">
        <x:v>31616.04</x:v>
      </x:c>
      <x:c r="J12" s="503" t="n">
        <x:v>497251.73</x:v>
      </x:c>
      <x:c r="K12" s="489" t="str">
        <x:v>Emenda individual</x:v>
      </x:c>
      <x:c r="L12" s="489" t="str">
        <x:v>Pregão eletrônio concluído.</x:v>
      </x:c>
      <x:c r="M12" s="503" t="n">
        <x:v>439028</x:v>
      </x:c>
      <x:c r="N12" s="503" t="n">
        <x:v>855337.73</x:v>
      </x:c>
      <x:c r="O12" s="503" t="n">
        <x:v>439028</x:v>
      </x:c>
      <x:c r="P12" s="503" t="n">
        <x:v>0</x:v>
      </x:c>
      <x:c r="Q12" s="503" t="n">
        <x:v>0</x:v>
      </x:c>
      <x:c r="R12" s="489" t="str"/>
      <x:c r="S12" s="489" t="str">
        <x:v>87958583000146</x:v>
      </x:c>
      <x:c r="T12" s="489" t="str">
        <x:v>VALOR DIVERGENTE / COBERTURA DIFERENTE</x:v>
      </x:c>
      <x:c r="U12" s="489" t="str">
        <x:v>Alta</x:v>
      </x:c>
      <x:c r="V12" s="489" t="str">
        <x:v>CNPJ candidato na fonte SIGA: 87958583000146</x:v>
      </x:c>
      <x:c r="W12" s="489" t="str">
        <x:v>Município/localidade encontrado em fonte comparável, mas valor não fecha exatamente</x:v>
      </x:c>
      <x:c r="X12" s="489" t="str">
        <x:v>https://discricionarias.transferegov.sistema.gov.br/voluntarias/ConsultarProposta/ResultadoDaConsultaDeConvenioSelecionarConvenio.do?sequencialConvenio=905738&amp;Usr=guest&amp;Pwd=guest</x:v>
      </x:c>
    </x:row>
    <x:row r="13">
      <x:c r="A13" s="502" t="n">
        <x:v>13</x:v>
      </x:c>
      <x:c r="B13" s="502" t="n">
        <x:v>2022</x:v>
      </x:c>
      <x:c r="C13" s="489" t="str">
        <x:v>Campos Borges</x:v>
      </x:c>
      <x:c r="D13" s="489" t="str">
        <x:v>Prefeitura</x:v>
      </x:c>
      <x:c r="E13" s="489" t="str">
        <x:v>Prefeitura Municipal</x:v>
      </x:c>
      <x:c r="F13" s="489" t="str">
        <x:v>41160002</x:v>
      </x:c>
      <x:c r="G13" s="489" t="str">
        <x:v>41160002-2022</x:v>
      </x:c>
      <x:c r="H13" s="489" t="str">
        <x:v>Informado/corrigido a partir do mapa</x:v>
      </x:c>
      <x:c r="I13" s="503" t="n">
        <x:v>35000</x:v>
      </x:c>
      <x:c r="J13" s="503" t="n">
        <x:v>35000</x:v>
      </x:c>
      <x:c r="K13" s="489" t="str">
        <x:v>Emenda individual (processo seletivo 2021)</x:v>
      </x:c>
      <x:c r="L13" s="489" t="str">
        <x:v>Recurso pago</x:v>
      </x:c>
      <x:c r="M13" s="503" t="n">
        <x:v>35000</x:v>
      </x:c>
      <x:c r="N13" s="503" t="n">
        <x:v>0</x:v>
      </x:c>
      <x:c r="O13" s="503" t="n">
        <x:v>0</x:v>
      </x:c>
      <x:c r="P13" s="503" t="n">
        <x:v>0</x:v>
      </x:c>
      <x:c r="Q13" s="503" t="n">
        <x:v>0</x:v>
      </x:c>
      <x:c r="R13" s="489" t="str"/>
      <x:c r="S13" s="489" t="str">
        <x:v>11700631000130</x:v>
      </x:c>
      <x:c r="T13" s="489" t="str">
        <x:v>CONFIRMADO</x:v>
      </x:c>
      <x:c r="U13" s="489" t="str">
        <x:v>Baixa</x:v>
      </x:c>
      <x:c r="V13" s="489" t="str">
        <x:v>CNPJ candidato na fonte SIGA: 11700631000130</x:v>
      </x:c>
      <x:c r="W13" s="489" t="str">
        <x:v>Valor do grupo fecha com: SIGA pago favorecido</x:v>
      </x:c>
      <x:c r="X13" s="489" t="str"/>
    </x:row>
    <x:row r="14">
      <x:c r="A14" s="502" t="n">
        <x:v>14</x:v>
      </x:c>
      <x:c r="B14" s="502" t="n">
        <x:v>2023</x:v>
      </x:c>
      <x:c r="C14" s="489" t="str">
        <x:v>Espumoso</x:v>
      </x:c>
      <x:c r="D14" s="489" t="str">
        <x:v>APAE</x:v>
      </x:c>
      <x:c r="E14" s="489" t="str">
        <x:v>APAE de Espumoso</x:v>
      </x:c>
      <x:c r="F14" s="489" t="str"/>
      <x:c r="G14" s="489" t="str"/>
      <x:c r="H14" s="489" t="str">
        <x:v>Sem nº conciliado</x:v>
      </x:c>
      <x:c r="I14" s="503" t="n">
        <x:v>35000</x:v>
      </x:c>
      <x:c r="J14" s="503" t="n">
        <x:v>35000</x:v>
      </x:c>
      <x:c r="K14" s="489" t="str">
        <x:v>Emenda de Bancada</x:v>
      </x:c>
      <x:c r="L14" s="489" t="str">
        <x:v>Recursos pago.</x:v>
      </x:c>
      <x:c r="M14" s="503" t="n">
        <x:v>0</x:v>
      </x:c>
      <x:c r="N14" s="503" t="n">
        <x:v>0</x:v>
      </x:c>
      <x:c r="O14" s="503" t="n">
        <x:v>0</x:v>
      </x:c>
      <x:c r="P14" s="503" t="n">
        <x:v>0</x:v>
      </x:c>
      <x:c r="Q14" s="503" t="n">
        <x:v>0</x:v>
      </x:c>
      <x:c r="R14" s="489" t="str"/>
      <x:c r="S14" s="489" t="str"/>
      <x:c r="T14" s="489" t="str">
        <x:v>SEM Nº / NÃO CONCILIADO</x:v>
      </x:c>
      <x:c r="U14" s="489" t="str">
        <x:v>Média</x:v>
      </x:c>
      <x:c r="V14" s="489" t="str"/>
      <x:c r="W14" s="489" t="str"/>
      <x:c r="X14" s="489" t="str"/>
    </x:row>
    <x:row r="15">
      <x:c r="A15" s="502" t="n">
        <x:v>15</x:v>
      </x:c>
      <x:c r="B15" s="502" t="n">
        <x:v>2023</x:v>
      </x:c>
      <x:c r="C15" s="489" t="str">
        <x:v>Aratiba</x:v>
      </x:c>
      <x:c r="D15" s="489" t="str">
        <x:v>APAE</x:v>
      </x:c>
      <x:c r="E15" s="489" t="str">
        <x:v>APAE de Aratiba</x:v>
      </x:c>
      <x:c r="F15" s="489" t="str"/>
      <x:c r="G15" s="489" t="str"/>
      <x:c r="H15" s="489" t="str">
        <x:v>Sem nº conciliado</x:v>
      </x:c>
      <x:c r="I15" s="503" t="n">
        <x:v>37480</x:v>
      </x:c>
      <x:c r="J15" s="503" t="n">
        <x:v>37480</x:v>
      </x:c>
      <x:c r="K15" s="489" t="str">
        <x:v>Emenda de Bancada</x:v>
      </x:c>
      <x:c r="L15" s="489" t="str">
        <x:v>Recurso pago</x:v>
      </x:c>
      <x:c r="M15" s="503" t="n">
        <x:v>0</x:v>
      </x:c>
      <x:c r="N15" s="503" t="n">
        <x:v>0</x:v>
      </x:c>
      <x:c r="O15" s="503" t="n">
        <x:v>0</x:v>
      </x:c>
      <x:c r="P15" s="503" t="n">
        <x:v>0</x:v>
      </x:c>
      <x:c r="Q15" s="503" t="n">
        <x:v>0</x:v>
      </x:c>
      <x:c r="R15" s="489" t="str"/>
      <x:c r="S15" s="489" t="str"/>
      <x:c r="T15" s="489" t="str">
        <x:v>SEM Nº / NÃO CONCILIADO</x:v>
      </x:c>
      <x:c r="U15" s="489" t="str">
        <x:v>Média</x:v>
      </x:c>
      <x:c r="V15" s="489" t="str"/>
      <x:c r="W15" s="489" t="str"/>
      <x:c r="X15" s="489" t="str"/>
    </x:row>
    <x:row r="16">
      <x:c r="A16" s="502" t="n">
        <x:v>16</x:v>
      </x:c>
      <x:c r="B16" s="502" t="n">
        <x:v>2021</x:v>
      </x:c>
      <x:c r="C16" s="489" t="str">
        <x:v>Santa Maria</x:v>
      </x:c>
      <x:c r="D16" s="489" t="str">
        <x:v>Secretaria de Administração Penitenciária </x:v>
      </x:c>
      <x:c r="E16" s="489" t="str">
        <x:v>2ª Delegacia Penitenciária Regional - Santa Maria</x:v>
      </x:c>
      <x:c r="F16" s="489" t="str">
        <x:v>41160005</x:v>
      </x:c>
      <x:c r="G16" s="489" t="str">
        <x:v>41160005-2021</x:v>
      </x:c>
      <x:c r="H16" s="489" t="str">
        <x:v>Informado/corrigido a partir do mapa</x:v>
      </x:c>
      <x:c r="I16" s="503" t="n">
        <x:v>38354.48</x:v>
      </x:c>
      <x:c r="J16" s="503" t="n">
        <x:v>38354.48</x:v>
      </x:c>
      <x:c r="K16" s="489" t="str">
        <x:v>Emenda individual</x:v>
      </x:c>
      <x:c r="L16" s="489" t="str">
        <x:v>Recurso pago</x:v>
      </x:c>
      <x:c r="M16" s="503" t="n">
        <x:v>0</x:v>
      </x:c>
      <x:c r="N16" s="503" t="n">
        <x:v>0</x:v>
      </x:c>
      <x:c r="O16" s="503" t="n">
        <x:v>0</x:v>
      </x:c>
      <x:c r="P16" s="503" t="n">
        <x:v>0</x:v>
      </x:c>
      <x:c r="Q16" s="503" t="n">
        <x:v>0</x:v>
      </x:c>
      <x:c r="R16" s="489" t="str"/>
      <x:c r="S16" s="489" t="str"/>
      <x:c r="T16" s="489" t="str">
        <x:v>EMENDA CONFIRMADA; DESTINO NÃO CONFIRMADO</x:v>
      </x:c>
      <x:c r="U16" s="489" t="str">
        <x:v>Média</x:v>
      </x:c>
      <x:c r="V16" s="489" t="str"/>
      <x:c r="W16" s="489" t="str">
        <x:v>Nº existe no SIGA; destinatário específico não foi confirmado nas bases anexas</x:v>
      </x:c>
      <x:c r="X16" s="489" t="str"/>
    </x:row>
    <x:row r="17">
      <x:c r="A17" s="502" t="n">
        <x:v>17</x:v>
      </x:c>
      <x:c r="B17" s="502" t="n">
        <x:v>2023</x:v>
      </x:c>
      <x:c r="C17" s="489" t="str">
        <x:v>Bossoroca</x:v>
      </x:c>
      <x:c r="D17" s="489" t="str">
        <x:v>APAE</x:v>
      </x:c>
      <x:c r="E17" s="489" t="str">
        <x:v>APAE de Bossoroca</x:v>
      </x:c>
      <x:c r="F17" s="489" t="str"/>
      <x:c r="G17" s="489" t="str"/>
      <x:c r="H17" s="489" t="str">
        <x:v>Sem nº conciliado</x:v>
      </x:c>
      <x:c r="I17" s="503" t="n">
        <x:v>39600</x:v>
      </x:c>
      <x:c r="J17" s="503" t="n">
        <x:v>39600</x:v>
      </x:c>
      <x:c r="K17" s="489" t="str">
        <x:v>Emenda de Bancada</x:v>
      </x:c>
      <x:c r="L17" s="489" t="str">
        <x:v>Recurso pago</x:v>
      </x:c>
      <x:c r="M17" s="503" t="n">
        <x:v>0</x:v>
      </x:c>
      <x:c r="N17" s="503" t="n">
        <x:v>0</x:v>
      </x:c>
      <x:c r="O17" s="503" t="n">
        <x:v>0</x:v>
      </x:c>
      <x:c r="P17" s="503" t="n">
        <x:v>0</x:v>
      </x:c>
      <x:c r="Q17" s="503" t="n">
        <x:v>0</x:v>
      </x:c>
      <x:c r="R17" s="489" t="str"/>
      <x:c r="S17" s="489" t="str"/>
      <x:c r="T17" s="489" t="str">
        <x:v>SEM Nº / NÃO CONCILIADO</x:v>
      </x:c>
      <x:c r="U17" s="489" t="str">
        <x:v>Média</x:v>
      </x:c>
      <x:c r="V17" s="489" t="str"/>
      <x:c r="W17" s="489" t="str"/>
      <x:c r="X17" s="489" t="str"/>
    </x:row>
    <x:row r="18">
      <x:c r="A18" s="502" t="n">
        <x:v>18</x:v>
      </x:c>
      <x:c r="B18" s="502" t="n">
        <x:v>2020</x:v>
      </x:c>
      <x:c r="C18" s="489" t="str">
        <x:v>Porto Alegre</x:v>
      </x:c>
      <x:c r="D18" s="489" t="str">
        <x:v>Hospital</x:v>
      </x:c>
      <x:c r="E18" s="489" t="str">
        <x:v>Rede de Saúde Div. Prov.- Hosp. Independência</x:v>
      </x:c>
      <x:c r="F18" s="489" t="str">
        <x:v>41160005</x:v>
      </x:c>
      <x:c r="G18" s="489" t="str">
        <x:v>41160005-2020</x:v>
      </x:c>
      <x:c r="H18" s="489" t="str">
        <x:v>Informado/corrigido a partir do mapa</x:v>
      </x:c>
      <x:c r="I18" s="503" t="n">
        <x:v>40000</x:v>
      </x:c>
      <x:c r="J18" s="503" t="n">
        <x:v>1000000</x:v>
      </x:c>
      <x:c r="K18" s="489" t="str">
        <x:v>Emenda Individual (processo seletivo)</x:v>
      </x:c>
      <x:c r="L18" s="489" t="str">
        <x:v>Recurso pago</x:v>
      </x:c>
      <x:c r="M18" s="503" t="n">
        <x:v>2600000</x:v>
      </x:c>
      <x:c r="N18" s="503" t="n">
        <x:v>0</x:v>
      </x:c>
      <x:c r="O18" s="503" t="n">
        <x:v>0</x:v>
      </x:c>
      <x:c r="P18" s="503" t="n">
        <x:v>0</x:v>
      </x:c>
      <x:c r="Q18" s="503" t="n">
        <x:v>0</x:v>
      </x:c>
      <x:c r="R18" s="489" t="str"/>
      <x:c r="S18" s="489" t="str">
        <x:v>11358235000176, 87182846000178</x:v>
      </x:c>
      <x:c r="T18" s="489" t="str">
        <x:v>VALOR DIVERGENTE / COBERTURA DIFERENTE</x:v>
      </x:c>
      <x:c r="U18" s="489" t="str">
        <x:v>Alta</x:v>
      </x:c>
      <x:c r="V18" s="489" t="str"/>
      <x:c r="W18" s="489" t="str">
        <x:v>Município/localidade encontrado em fonte comparável, mas valor não fecha exatamente</x:v>
      </x:c>
      <x:c r="X18" s="489" t="str"/>
    </x:row>
    <x:row r="19">
      <x:c r="A19" s="502" t="n">
        <x:v>19</x:v>
      </x:c>
      <x:c r="B19" s="502" t="n">
        <x:v>2023</x:v>
      </x:c>
      <x:c r="C19" s="489" t="str">
        <x:v>Santo Augusto</x:v>
      </x:c>
      <x:c r="D19" s="489" t="str">
        <x:v>APAE</x:v>
      </x:c>
      <x:c r="E19" s="489" t="str">
        <x:v>APAE de Santo Augusto</x:v>
      </x:c>
      <x:c r="F19" s="489" t="str"/>
      <x:c r="G19" s="489" t="str"/>
      <x:c r="H19" s="489" t="str">
        <x:v>Sem nº conciliado</x:v>
      </x:c>
      <x:c r="I19" s="503" t="n">
        <x:v>40200</x:v>
      </x:c>
      <x:c r="J19" s="503" t="n">
        <x:v>40200</x:v>
      </x:c>
      <x:c r="K19" s="489" t="str">
        <x:v>Emenda de Bancada</x:v>
      </x:c>
      <x:c r="L19" s="489" t="str">
        <x:v>Recurso pago</x:v>
      </x:c>
      <x:c r="M19" s="503" t="n">
        <x:v>0</x:v>
      </x:c>
      <x:c r="N19" s="503" t="n">
        <x:v>0</x:v>
      </x:c>
      <x:c r="O19" s="503" t="n">
        <x:v>0</x:v>
      </x:c>
      <x:c r="P19" s="503" t="n">
        <x:v>0</x:v>
      </x:c>
      <x:c r="Q19" s="503" t="n">
        <x:v>0</x:v>
      </x:c>
      <x:c r="R19" s="489" t="str"/>
      <x:c r="S19" s="489" t="str"/>
      <x:c r="T19" s="489" t="str">
        <x:v>SEM Nº / NÃO CONCILIADO</x:v>
      </x:c>
      <x:c r="U19" s="489" t="str">
        <x:v>Média</x:v>
      </x:c>
      <x:c r="V19" s="489" t="str"/>
      <x:c r="W19" s="489" t="str"/>
      <x:c r="X19" s="489" t="str"/>
    </x:row>
    <x:row r="20">
      <x:c r="A20" s="502" t="n">
        <x:v>20</x:v>
      </x:c>
      <x:c r="B20" s="502" t="n">
        <x:v>2025</x:v>
      </x:c>
      <x:c r="C20" s="489" t="str">
        <x:v>Campestre da Serra</x:v>
      </x:c>
      <x:c r="D20" s="489" t="str">
        <x:v>Fundo Municipal De Saude De Campestre Da Serra - Rs Campestre Da Serra - Rs</x:v>
      </x:c>
      <x:c r="E20" s="489" t="str">
        <x:v>Prefeitura Municipal</x:v>
      </x:c>
      <x:c r="F20" s="489" t="str">
        <x:v>41160001</x:v>
      </x:c>
      <x:c r="G20" s="489" t="str">
        <x:v>41160001-2025</x:v>
      </x:c>
      <x:c r="H20" s="489" t="str">
        <x:v>Informado/corrigido a partir do mapa</x:v>
      </x:c>
      <x:c r="I20" s="503" t="n">
        <x:v>40925</x:v>
      </x:c>
      <x:c r="J20" s="503" t="n">
        <x:v>40925</x:v>
      </x:c>
      <x:c r="K20" s="489" t="str">
        <x:v>Emenda Individual</x:v>
      </x:c>
      <x:c r="L20" s="489"/>
      <x:c r="M20" s="503" t="n">
        <x:v>154340</x:v>
      </x:c>
      <x:c r="N20" s="503" t="n">
        <x:v>0</x:v>
      </x:c>
      <x:c r="O20" s="503" t="n">
        <x:v>0</x:v>
      </x:c>
      <x:c r="P20" s="503" t="n">
        <x:v>0</x:v>
      </x:c>
      <x:c r="Q20" s="503" t="n">
        <x:v>0</x:v>
      </x:c>
      <x:c r="R20" s="489" t="str"/>
      <x:c r="S20" s="489" t="str">
        <x:v>12452816000135</x:v>
      </x:c>
      <x:c r="T20" s="489" t="str">
        <x:v>VALOR DIVERGENTE / COBERTURA DIFERENTE</x:v>
      </x:c>
      <x:c r="U20" s="489" t="str">
        <x:v>Alta</x:v>
      </x:c>
      <x:c r="V20" s="489" t="str">
        <x:v>Preencher situação: há pagamento identificado na fonte pública</x:v>
      </x:c>
      <x:c r="W20" s="489" t="str">
        <x:v>Município/localidade encontrado em fonte comparável, mas valor não fecha exatamente</x:v>
      </x:c>
      <x:c r="X20" s="489" t="str"/>
    </x:row>
    <x:row r="21">
      <x:c r="A21" s="502" t="n">
        <x:v>21</x:v>
      </x:c>
      <x:c r="B21" s="502" t="n">
        <x:v>2020</x:v>
      </x:c>
      <x:c r="C21" s="489" t="str">
        <x:v>Porto Alegre</x:v>
      </x:c>
      <x:c r="D21" s="489" t="str">
        <x:v>Instituto Geral de Perícias</x:v>
      </x:c>
      <x:c r="E21" s="489" t="str">
        <x:v>Instituto Geral de Perícias</x:v>
      </x:c>
      <x:c r="F21" s="489" t="str">
        <x:v>41160008</x:v>
      </x:c>
      <x:c r="G21" s="489" t="str">
        <x:v>41160008-2020</x:v>
      </x:c>
      <x:c r="H21" s="489" t="str">
        <x:v>Informado/corrigido a partir do mapa</x:v>
      </x:c>
      <x:c r="I21" s="503" t="n">
        <x:v>41388.5</x:v>
      </x:c>
      <x:c r="J21" s="503" t="n">
        <x:v>497251.73</x:v>
      </x:c>
      <x:c r="K21" s="489" t="str">
        <x:v>Emenda individual</x:v>
      </x:c>
      <x:c r="L21" s="489" t="str">
        <x:v>Pregão eletrônio concluído. Pagamento no valor de  27.999,00 realizado em 25/10/2021. O valor unitário das mesas ginecológicas da proposta vencedora ficou em  1.866,00, economizando recursos públicos, já que o valor empenhado era de  2,759,23 por mesa (total de  41.388,50 conforme o Plano de Trabalho) </x:v>
      </x:c>
      <x:c r="M21" s="503" t="n">
        <x:v>439028</x:v>
      </x:c>
      <x:c r="N21" s="503" t="n">
        <x:v>855337.73</x:v>
      </x:c>
      <x:c r="O21" s="503" t="n">
        <x:v>439028</x:v>
      </x:c>
      <x:c r="P21" s="503" t="n">
        <x:v>0</x:v>
      </x:c>
      <x:c r="Q21" s="503" t="n">
        <x:v>0</x:v>
      </x:c>
      <x:c r="R21" s="489" t="str"/>
      <x:c r="S21" s="489" t="str">
        <x:v>87958583000146</x:v>
      </x:c>
      <x:c r="T21" s="489" t="str">
        <x:v>VALOR DIVERGENTE / COBERTURA DIFERENTE</x:v>
      </x:c>
      <x:c r="U21" s="489" t="str">
        <x:v>Alta</x:v>
      </x:c>
      <x:c r="V21" s="489" t="str">
        <x:v>Situação possivelmente desatualizada: SIGA/execução regionalizada mostra pagamento; CNPJ candidato na fonte SIGA: 87958583000146</x:v>
      </x:c>
      <x:c r="W21" s="489" t="str">
        <x:v>Município/localidade encontrado em fonte comparável, mas valor não fecha exatamente</x:v>
      </x:c>
      <x:c r="X21" s="489" t="str">
        <x:v>https://discricionarias.transferegov.sistema.gov.br/voluntarias/ConsultarProposta/ResultadoDaConsultaDeConvenioSelecionarConvenio.do?sequencialConvenio=905738&amp;Usr=guest&amp;Pwd=guest</x:v>
      </x:c>
    </x:row>
    <x:row r="22">
      <x:c r="A22" s="502" t="n">
        <x:v>22</x:v>
      </x:c>
      <x:c r="B22" s="502" t="n">
        <x:v>2020</x:v>
      </x:c>
      <x:c r="C22" s="489" t="str">
        <x:v>Porto Alegre</x:v>
      </x:c>
      <x:c r="D22" s="489" t="str">
        <x:v>Instituto Geral de Perícias</x:v>
      </x:c>
      <x:c r="E22" s="489" t="str">
        <x:v>Instituto Geral de Perícias</x:v>
      </x:c>
      <x:c r="F22" s="489" t="str">
        <x:v>41160008</x:v>
      </x:c>
      <x:c r="G22" s="489" t="str">
        <x:v>41160008-2020</x:v>
      </x:c>
      <x:c r="H22" s="489" t="str">
        <x:v>Informado/corrigido a partir do mapa</x:v>
      </x:c>
      <x:c r="I22" s="503" t="n">
        <x:v>41565.73</x:v>
      </x:c>
      <x:c r="J22" s="503" t="n">
        <x:v>497251.73</x:v>
      </x:c>
      <x:c r="K22" s="489" t="str">
        <x:v>Emenda individual</x:v>
      </x:c>
      <x:c r="L22" s="489" t="str">
        <x:v>Pregão eletrônio concluído.</x:v>
      </x:c>
      <x:c r="M22" s="503" t="n">
        <x:v>439028</x:v>
      </x:c>
      <x:c r="N22" s="503" t="n">
        <x:v>855337.73</x:v>
      </x:c>
      <x:c r="O22" s="503" t="n">
        <x:v>439028</x:v>
      </x:c>
      <x:c r="P22" s="503" t="n">
        <x:v>0</x:v>
      </x:c>
      <x:c r="Q22" s="503" t="n">
        <x:v>0</x:v>
      </x:c>
      <x:c r="R22" s="489" t="str"/>
      <x:c r="S22" s="489" t="str">
        <x:v>87958583000146</x:v>
      </x:c>
      <x:c r="T22" s="489" t="str">
        <x:v>VALOR DIVERGENTE / COBERTURA DIFERENTE</x:v>
      </x:c>
      <x:c r="U22" s="489" t="str">
        <x:v>Alta</x:v>
      </x:c>
      <x:c r="V22" s="489" t="str">
        <x:v>CNPJ candidato na fonte SIGA: 87958583000146</x:v>
      </x:c>
      <x:c r="W22" s="489" t="str">
        <x:v>Município/localidade encontrado em fonte comparável, mas valor não fecha exatamente</x:v>
      </x:c>
      <x:c r="X22" s="489" t="str">
        <x:v>https://discricionarias.transferegov.sistema.gov.br/voluntarias/ConsultarProposta/ResultadoDaConsultaDeConvenioSelecionarConvenio.do?sequencialConvenio=905738&amp;Usr=guest&amp;Pwd=guest</x:v>
      </x:c>
    </x:row>
    <x:row r="23">
      <x:c r="A23" s="502" t="n">
        <x:v>23</x:v>
      </x:c>
      <x:c r="B23" s="502" t="n">
        <x:v>2023</x:v>
      </x:c>
      <x:c r="C23" s="489" t="str">
        <x:v>Rosário do Sul</x:v>
      </x:c>
      <x:c r="D23" s="489" t="str">
        <x:v>APAE</x:v>
      </x:c>
      <x:c r="E23" s="489" t="str">
        <x:v>APAE de Rosário do Sul</x:v>
      </x:c>
      <x:c r="F23" s="489" t="str"/>
      <x:c r="G23" s="489" t="str"/>
      <x:c r="H23" s="489" t="str">
        <x:v>Sem nº conciliado</x:v>
      </x:c>
      <x:c r="I23" s="503" t="n">
        <x:v>44950</x:v>
      </x:c>
      <x:c r="J23" s="503" t="n">
        <x:v>44950</x:v>
      </x:c>
      <x:c r="K23" s="489" t="str">
        <x:v>Emenda de Bancada</x:v>
      </x:c>
      <x:c r="L23" s="489" t="str">
        <x:v>Recurso pago</x:v>
      </x:c>
      <x:c r="M23" s="503" t="n">
        <x:v>0</x:v>
      </x:c>
      <x:c r="N23" s="503" t="n">
        <x:v>0</x:v>
      </x:c>
      <x:c r="O23" s="503" t="n">
        <x:v>0</x:v>
      </x:c>
      <x:c r="P23" s="503" t="n">
        <x:v>0</x:v>
      </x:c>
      <x:c r="Q23" s="503" t="n">
        <x:v>0</x:v>
      </x:c>
      <x:c r="R23" s="489" t="str"/>
      <x:c r="S23" s="489" t="str"/>
      <x:c r="T23" s="489" t="str">
        <x:v>SEM Nº / NÃO CONCILIADO</x:v>
      </x:c>
      <x:c r="U23" s="489" t="str">
        <x:v>Média</x:v>
      </x:c>
      <x:c r="V23" s="489" t="str"/>
      <x:c r="W23" s="489" t="str"/>
      <x:c r="X23" s="489" t="str"/>
    </x:row>
    <x:row r="24">
      <x:c r="A24" s="502" t="n">
        <x:v>24</x:v>
      </x:c>
      <x:c r="B24" s="502" t="n">
        <x:v>2023</x:v>
      </x:c>
      <x:c r="C24" s="489" t="str">
        <x:v>Bom Retiro do Sul</x:v>
      </x:c>
      <x:c r="D24" s="489" t="str">
        <x:v>APAE</x:v>
      </x:c>
      <x:c r="E24" s="489" t="str">
        <x:v>APAE de Bom Retiro do Sul</x:v>
      </x:c>
      <x:c r="F24" s="489" t="str"/>
      <x:c r="G24" s="489" t="str"/>
      <x:c r="H24" s="489" t="str">
        <x:v>Sem nº conciliado</x:v>
      </x:c>
      <x:c r="I24" s="503" t="n">
        <x:v>49379.28</x:v>
      </x:c>
      <x:c r="J24" s="503" t="n">
        <x:v>49379.28</x:v>
      </x:c>
      <x:c r="K24" s="489" t="str">
        <x:v>Emenda de Bancada</x:v>
      </x:c>
      <x:c r="L24" s="489" t="str">
        <x:v>Recurso pago</x:v>
      </x:c>
      <x:c r="M24" s="503" t="n">
        <x:v>0</x:v>
      </x:c>
      <x:c r="N24" s="503" t="n">
        <x:v>0</x:v>
      </x:c>
      <x:c r="O24" s="503" t="n">
        <x:v>0</x:v>
      </x:c>
      <x:c r="P24" s="503" t="n">
        <x:v>0</x:v>
      </x:c>
      <x:c r="Q24" s="503" t="n">
        <x:v>0</x:v>
      </x:c>
      <x:c r="R24" s="489" t="str"/>
      <x:c r="S24" s="489" t="str"/>
      <x:c r="T24" s="489" t="str">
        <x:v>SEM Nº / NÃO CONCILIADO</x:v>
      </x:c>
      <x:c r="U24" s="489" t="str">
        <x:v>Média</x:v>
      </x:c>
      <x:c r="V24" s="489" t="str"/>
      <x:c r="W24" s="489" t="str"/>
      <x:c r="X24" s="489" t="str"/>
    </x:row>
    <x:row r="25">
      <x:c r="A25" s="502" t="n">
        <x:v>25</x:v>
      </x:c>
      <x:c r="B25" s="502" t="n">
        <x:v>2023</x:v>
      </x:c>
      <x:c r="C25" s="489" t="str">
        <x:v>Campo Novo</x:v>
      </x:c>
      <x:c r="D25" s="489" t="str">
        <x:v>APAE</x:v>
      </x:c>
      <x:c r="E25" s="489" t="str">
        <x:v>APAE de Campo Novo</x:v>
      </x:c>
      <x:c r="F25" s="489" t="str"/>
      <x:c r="G25" s="489" t="str"/>
      <x:c r="H25" s="489" t="str">
        <x:v>Sem nº conciliado</x:v>
      </x:c>
      <x:c r="I25" s="503" t="n">
        <x:v>49379.28</x:v>
      </x:c>
      <x:c r="J25" s="503" t="n">
        <x:v>49379.28</x:v>
      </x:c>
      <x:c r="K25" s="489" t="str">
        <x:v>Emenda de Bancada</x:v>
      </x:c>
      <x:c r="L25" s="489" t="str">
        <x:v>Recurso pago</x:v>
      </x:c>
      <x:c r="M25" s="503" t="n">
        <x:v>0</x:v>
      </x:c>
      <x:c r="N25" s="503" t="n">
        <x:v>0</x:v>
      </x:c>
      <x:c r="O25" s="503" t="n">
        <x:v>0</x:v>
      </x:c>
      <x:c r="P25" s="503" t="n">
        <x:v>0</x:v>
      </x:c>
      <x:c r="Q25" s="503" t="n">
        <x:v>0</x:v>
      </x:c>
      <x:c r="R25" s="489" t="str"/>
      <x:c r="S25" s="489" t="str"/>
      <x:c r="T25" s="489" t="str">
        <x:v>SEM Nº / NÃO CONCILIADO</x:v>
      </x:c>
      <x:c r="U25" s="489" t="str">
        <x:v>Média</x:v>
      </x:c>
      <x:c r="V25" s="489" t="str"/>
      <x:c r="W25" s="489" t="str"/>
      <x:c r="X25" s="489" t="str"/>
    </x:row>
    <x:row r="26">
      <x:c r="A26" s="502" t="n">
        <x:v>26</x:v>
      </x:c>
      <x:c r="B26" s="502" t="n">
        <x:v>2019</x:v>
      </x:c>
      <x:c r="C26" s="489" t="str">
        <x:v>Guaporé</x:v>
      </x:c>
      <x:c r="D26" s="489" t="str">
        <x:v>Escola Agrotécnica</x:v>
      </x:c>
      <x:c r="E26" s="489" t="str">
        <x:v>Escola Estadual Técnica Agrícola Guaporé</x:v>
      </x:c>
      <x:c r="F26" s="489" t="str">
        <x:v>71220005</x:v>
      </x:c>
      <x:c r="G26" s="489" t="str">
        <x:v>71220005-2019</x:v>
      </x:c>
      <x:c r="H26" s="489" t="str">
        <x:v>Informado/corrigido a partir do mapa</x:v>
      </x:c>
      <x:c r="I26" s="503" t="n">
        <x:v>50000</x:v>
      </x:c>
      <x:c r="J26" s="503" t="n">
        <x:v>50000</x:v>
      </x:c>
      <x:c r="K26" s="489" t="str">
        <x:v>Emenda de Bancada (processo seletivo)</x:v>
      </x:c>
      <x:c r="L26" s="489" t="str">
        <x:v>Recurso pago</x:v>
      </x:c>
      <x:c r="M26" s="503" t="n">
        <x:v>0</x:v>
      </x:c>
      <x:c r="N26" s="503" t="n">
        <x:v>0</x:v>
      </x:c>
      <x:c r="O26" s="503" t="n">
        <x:v>0</x:v>
      </x:c>
      <x:c r="P26" s="503" t="n">
        <x:v>0</x:v>
      </x:c>
      <x:c r="Q26" s="503" t="n">
        <x:v>0</x:v>
      </x:c>
      <x:c r="R26" s="489" t="str"/>
      <x:c r="S26" s="489" t="str"/>
      <x:c r="T26" s="489" t="str">
        <x:v>Nº NÃO LOCALIZADO</x:v>
      </x:c>
      <x:c r="U26" s="489" t="str">
        <x:v>Média</x:v>
      </x:c>
      <x:c r="V26" s="489" t="str"/>
      <x:c r="W26" s="489" t="str"/>
      <x:c r="X26" s="489" t="str"/>
    </x:row>
    <x:row r="27">
      <x:c r="A27" s="502" t="n">
        <x:v>27</x:v>
      </x:c>
      <x:c r="B27" s="502" t="n">
        <x:v>2020</x:v>
      </x:c>
      <x:c r="C27" s="489" t="str">
        <x:v>Araricá</x:v>
      </x:c>
      <x:c r="D27" s="489" t="str">
        <x:v>Município/hospital mais próximo</x:v>
      </x:c>
      <x:c r="E27" s="489" t="str">
        <x:v>Prefeitura/Hospital Sapiranga</x:v>
      </x:c>
      <x:c r="F27" s="489" t="str"/>
      <x:c r="G27" s="489" t="str"/>
      <x:c r="H27" s="489" t="str">
        <x:v>Sem nº conciliado</x:v>
      </x:c>
      <x:c r="I27" s="503" t="n">
        <x:v>50000</x:v>
      </x:c>
      <x:c r="J27" s="503" t="n">
        <x:v>50000</x:v>
      </x:c>
      <x:c r="K27" s="489" t="str">
        <x:v>Emenda de bancada</x:v>
      </x:c>
      <x:c r="L27" s="489" t="str">
        <x:v>Recurso pago</x:v>
      </x:c>
      <x:c r="M27" s="503" t="n">
        <x:v>0</x:v>
      </x:c>
      <x:c r="N27" s="503" t="n">
        <x:v>0</x:v>
      </x:c>
      <x:c r="O27" s="503" t="n">
        <x:v>0</x:v>
      </x:c>
      <x:c r="P27" s="503" t="n">
        <x:v>0</x:v>
      </x:c>
      <x:c r="Q27" s="503" t="n">
        <x:v>0</x:v>
      </x:c>
      <x:c r="R27" s="489" t="str"/>
      <x:c r="S27" s="489" t="str"/>
      <x:c r="T27" s="489" t="str">
        <x:v>SEM Nº / NÃO CONCILIADO</x:v>
      </x:c>
      <x:c r="U27" s="489" t="str">
        <x:v>Média</x:v>
      </x:c>
      <x:c r="V27" s="489" t="str"/>
      <x:c r="W27" s="489" t="str"/>
      <x:c r="X27" s="489" t="str"/>
    </x:row>
    <x:row r="28">
      <x:c r="A28" s="502" t="n">
        <x:v>28</x:v>
      </x:c>
      <x:c r="B28" s="502" t="n">
        <x:v>2020</x:v>
      </x:c>
      <x:c r="C28" s="489" t="str">
        <x:v>Canela</x:v>
      </x:c>
      <x:c r="D28" s="489" t="str">
        <x:v>Hospital</x:v>
      </x:c>
      <x:c r="E28" s="489" t="str">
        <x:v>Hospital de Caridade de Canela</x:v>
      </x:c>
      <x:c r="F28" s="489" t="str">
        <x:v>7122 0006</x:v>
      </x:c>
      <x:c r="G28" s="489" t="str">
        <x:v>71220006-2020</x:v>
      </x:c>
      <x:c r="H28" s="489" t="str">
        <x:v>Informado/corrigido a partir do mapa</x:v>
      </x:c>
      <x:c r="I28" s="503" t="n">
        <x:v>50000</x:v>
      </x:c>
      <x:c r="J28" s="503" t="n">
        <x:v>50000</x:v>
      </x:c>
      <x:c r="K28" s="489" t="str">
        <x:v>Emenda de Bancada</x:v>
      </x:c>
      <x:c r="L28" s="489" t="str">
        <x:v>Recurso pago</x:v>
      </x:c>
      <x:c r="M28" s="503" t="n">
        <x:v>0</x:v>
      </x:c>
      <x:c r="N28" s="503" t="n">
        <x:v>0</x:v>
      </x:c>
      <x:c r="O28" s="503" t="n">
        <x:v>0</x:v>
      </x:c>
      <x:c r="P28" s="503" t="n">
        <x:v>0</x:v>
      </x:c>
      <x:c r="Q28" s="503" t="n">
        <x:v>0</x:v>
      </x:c>
      <x:c r="R28" s="489" t="str"/>
      <x:c r="S28" s="489" t="str"/>
      <x:c r="T28" s="489" t="str">
        <x:v>Nº NÃO LOCALIZADO</x:v>
      </x:c>
      <x:c r="U28" s="489" t="str">
        <x:v>Média</x:v>
      </x:c>
      <x:c r="V28" s="489" t="str"/>
      <x:c r="W28" s="489" t="str"/>
      <x:c r="X28" s="489" t="str"/>
    </x:row>
    <x:row r="29">
      <x:c r="A29" s="502" t="n">
        <x:v>29</x:v>
      </x:c>
      <x:c r="B29" s="502" t="n">
        <x:v>2020</x:v>
      </x:c>
      <x:c r="C29" s="489" t="str">
        <x:v>Carazinho</x:v>
      </x:c>
      <x:c r="D29" s="489" t="str">
        <x:v>Hospital</x:v>
      </x:c>
      <x:c r="E29" s="489" t="str">
        <x:v>Hospital Comunitário de Carazinho</x:v>
      </x:c>
      <x:c r="F29" s="489" t="str">
        <x:v>7122 0006</x:v>
      </x:c>
      <x:c r="G29" s="489" t="str">
        <x:v>71220006-2020</x:v>
      </x:c>
      <x:c r="H29" s="489" t="str">
        <x:v>Informado/corrigido a partir do mapa</x:v>
      </x:c>
      <x:c r="I29" s="503" t="n">
        <x:v>50000</x:v>
      </x:c>
      <x:c r="J29" s="503" t="n">
        <x:v>50000</x:v>
      </x:c>
      <x:c r="K29" s="489" t="str">
        <x:v>Emenda de Bancada</x:v>
      </x:c>
      <x:c r="L29" s="489" t="str">
        <x:v>Recurso pago</x:v>
      </x:c>
      <x:c r="M29" s="503" t="n">
        <x:v>0</x:v>
      </x:c>
      <x:c r="N29" s="503" t="n">
        <x:v>0</x:v>
      </x:c>
      <x:c r="O29" s="503" t="n">
        <x:v>0</x:v>
      </x:c>
      <x:c r="P29" s="503" t="n">
        <x:v>0</x:v>
      </x:c>
      <x:c r="Q29" s="503" t="n">
        <x:v>0</x:v>
      </x:c>
      <x:c r="R29" s="489" t="str"/>
      <x:c r="S29" s="489" t="str"/>
      <x:c r="T29" s="489" t="str">
        <x:v>Nº NÃO LOCALIZADO</x:v>
      </x:c>
      <x:c r="U29" s="489" t="str">
        <x:v>Média</x:v>
      </x:c>
      <x:c r="V29" s="489" t="str"/>
      <x:c r="W29" s="489" t="str"/>
      <x:c r="X29" s="489" t="str"/>
    </x:row>
    <x:row r="30">
      <x:c r="A30" s="502" t="n">
        <x:v>30</x:v>
      </x:c>
      <x:c r="B30" s="502" t="n">
        <x:v>2020</x:v>
      </x:c>
      <x:c r="C30" s="489" t="str">
        <x:v>Gramado</x:v>
      </x:c>
      <x:c r="D30" s="489" t="str">
        <x:v>Hospital</x:v>
      </x:c>
      <x:c r="E30" s="489" t="str">
        <x:v>Hospital Arcanjo São Miguel</x:v>
      </x:c>
      <x:c r="F30" s="489" t="str">
        <x:v>7122 0006</x:v>
      </x:c>
      <x:c r="G30" s="489" t="str">
        <x:v>71220006-2020</x:v>
      </x:c>
      <x:c r="H30" s="489" t="str">
        <x:v>Informado/corrigido a partir do mapa</x:v>
      </x:c>
      <x:c r="I30" s="503" t="n">
        <x:v>50000</x:v>
      </x:c>
      <x:c r="J30" s="503" t="n">
        <x:v>50000</x:v>
      </x:c>
      <x:c r="K30" s="489" t="str">
        <x:v>Emenda de Bancada</x:v>
      </x:c>
      <x:c r="L30" s="489" t="str">
        <x:v>Recurso pago</x:v>
      </x:c>
      <x:c r="M30" s="503" t="n">
        <x:v>0</x:v>
      </x:c>
      <x:c r="N30" s="503" t="n">
        <x:v>0</x:v>
      </x:c>
      <x:c r="O30" s="503" t="n">
        <x:v>0</x:v>
      </x:c>
      <x:c r="P30" s="503" t="n">
        <x:v>0</x:v>
      </x:c>
      <x:c r="Q30" s="503" t="n">
        <x:v>0</x:v>
      </x:c>
      <x:c r="R30" s="489" t="str"/>
      <x:c r="S30" s="489" t="str"/>
      <x:c r="T30" s="489" t="str">
        <x:v>Nº NÃO LOCALIZADO</x:v>
      </x:c>
      <x:c r="U30" s="489" t="str">
        <x:v>Média</x:v>
      </x:c>
      <x:c r="V30" s="489" t="str"/>
      <x:c r="W30" s="489" t="str"/>
      <x:c r="X30" s="489" t="str"/>
    </x:row>
    <x:row r="31">
      <x:c r="A31" s="502" t="n">
        <x:v>31</x:v>
      </x:c>
      <x:c r="B31" s="502" t="n">
        <x:v>2020</x:v>
      </x:c>
      <x:c r="C31" s="489" t="str">
        <x:v>Igrejinha</x:v>
      </x:c>
      <x:c r="D31" s="489" t="str">
        <x:v>Hospital</x:v>
      </x:c>
      <x:c r="E31" s="489" t="str">
        <x:v>Hospital Bom Pastor</x:v>
      </x:c>
      <x:c r="F31" s="489" t="str">
        <x:v>7122 0006</x:v>
      </x:c>
      <x:c r="G31" s="489" t="str">
        <x:v>71220006-2020</x:v>
      </x:c>
      <x:c r="H31" s="489" t="str">
        <x:v>Informado/corrigido a partir do mapa</x:v>
      </x:c>
      <x:c r="I31" s="503" t="n">
        <x:v>50000</x:v>
      </x:c>
      <x:c r="J31" s="503" t="n">
        <x:v>50000</x:v>
      </x:c>
      <x:c r="K31" s="489" t="str">
        <x:v>Emenda de Bancada</x:v>
      </x:c>
      <x:c r="L31" s="489" t="str">
        <x:v>Recurso pago</x:v>
      </x:c>
      <x:c r="M31" s="503" t="n">
        <x:v>0</x:v>
      </x:c>
      <x:c r="N31" s="503" t="n">
        <x:v>0</x:v>
      </x:c>
      <x:c r="O31" s="503" t="n">
        <x:v>0</x:v>
      </x:c>
      <x:c r="P31" s="503" t="n">
        <x:v>0</x:v>
      </x:c>
      <x:c r="Q31" s="503" t="n">
        <x:v>0</x:v>
      </x:c>
      <x:c r="R31" s="489" t="str"/>
      <x:c r="S31" s="489" t="str"/>
      <x:c r="T31" s="489" t="str">
        <x:v>Nº NÃO LOCALIZADO</x:v>
      </x:c>
      <x:c r="U31" s="489" t="str">
        <x:v>Média</x:v>
      </x:c>
      <x:c r="V31" s="489" t="str"/>
      <x:c r="W31" s="489" t="str"/>
      <x:c r="X31" s="489" t="str"/>
    </x:row>
    <x:row r="32">
      <x:c r="A32" s="502" t="n">
        <x:v>32</x:v>
      </x:c>
      <x:c r="B32" s="502" t="n">
        <x:v>2020</x:v>
      </x:c>
      <x:c r="C32" s="489" t="str">
        <x:v>Ivoti</x:v>
      </x:c>
      <x:c r="D32" s="489" t="str">
        <x:v>Hospital</x:v>
      </x:c>
      <x:c r="E32" s="489" t="str">
        <x:v>Hospital São José de Ivoti</x:v>
      </x:c>
      <x:c r="F32" s="489" t="str">
        <x:v>7122 0006</x:v>
      </x:c>
      <x:c r="G32" s="489" t="str">
        <x:v>71220006-2020</x:v>
      </x:c>
      <x:c r="H32" s="489" t="str">
        <x:v>Informado/corrigido a partir do mapa</x:v>
      </x:c>
      <x:c r="I32" s="503" t="n">
        <x:v>50000</x:v>
      </x:c>
      <x:c r="J32" s="503" t="n">
        <x:v>50000</x:v>
      </x:c>
      <x:c r="K32" s="489" t="str">
        <x:v>Emenda de Bancada</x:v>
      </x:c>
      <x:c r="L32" s="489" t="str">
        <x:v>Recurso pago</x:v>
      </x:c>
      <x:c r="M32" s="503" t="n">
        <x:v>0</x:v>
      </x:c>
      <x:c r="N32" s="503" t="n">
        <x:v>0</x:v>
      </x:c>
      <x:c r="O32" s="503" t="n">
        <x:v>0</x:v>
      </x:c>
      <x:c r="P32" s="503" t="n">
        <x:v>0</x:v>
      </x:c>
      <x:c r="Q32" s="503" t="n">
        <x:v>0</x:v>
      </x:c>
      <x:c r="R32" s="489" t="str"/>
      <x:c r="S32" s="489" t="str"/>
      <x:c r="T32" s="489" t="str">
        <x:v>Nº NÃO LOCALIZADO</x:v>
      </x:c>
      <x:c r="U32" s="489" t="str">
        <x:v>Média</x:v>
      </x:c>
      <x:c r="V32" s="489" t="str"/>
      <x:c r="W32" s="489" t="str"/>
      <x:c r="X32" s="489" t="str"/>
    </x:row>
    <x:row r="33">
      <x:c r="A33" s="502" t="n">
        <x:v>33</x:v>
      </x:c>
      <x:c r="B33" s="502" t="n">
        <x:v>2020</x:v>
      </x:c>
      <x:c r="C33" s="489" t="str">
        <x:v>Marau</x:v>
      </x:c>
      <x:c r="D33" s="489" t="str">
        <x:v>Hospital</x:v>
      </x:c>
      <x:c r="E33" s="489" t="str">
        <x:v>Hospital Cristo Redentor Marau</x:v>
      </x:c>
      <x:c r="F33" s="489" t="str">
        <x:v>7122 0006</x:v>
      </x:c>
      <x:c r="G33" s="489" t="str">
        <x:v>71220006-2020</x:v>
      </x:c>
      <x:c r="H33" s="489" t="str">
        <x:v>Informado/corrigido a partir do mapa</x:v>
      </x:c>
      <x:c r="I33" s="503" t="n">
        <x:v>50000</x:v>
      </x:c>
      <x:c r="J33" s="503" t="n">
        <x:v>50000</x:v>
      </x:c>
      <x:c r="K33" s="489" t="str">
        <x:v>Emenda de Bancada</x:v>
      </x:c>
      <x:c r="L33" s="489" t="str">
        <x:v>Recurso pago</x:v>
      </x:c>
      <x:c r="M33" s="503" t="n">
        <x:v>0</x:v>
      </x:c>
      <x:c r="N33" s="503" t="n">
        <x:v>0</x:v>
      </x:c>
      <x:c r="O33" s="503" t="n">
        <x:v>0</x:v>
      </x:c>
      <x:c r="P33" s="503" t="n">
        <x:v>0</x:v>
      </x:c>
      <x:c r="Q33" s="503" t="n">
        <x:v>0</x:v>
      </x:c>
      <x:c r="R33" s="489" t="str"/>
      <x:c r="S33" s="489" t="str"/>
      <x:c r="T33" s="489" t="str">
        <x:v>Nº NÃO LOCALIZADO</x:v>
      </x:c>
      <x:c r="U33" s="489" t="str">
        <x:v>Média</x:v>
      </x:c>
      <x:c r="V33" s="489" t="str"/>
      <x:c r="W33" s="489" t="str"/>
      <x:c r="X33" s="489" t="str"/>
    </x:row>
    <x:row r="34">
      <x:c r="A34" s="502" t="n">
        <x:v>34</x:v>
      </x:c>
      <x:c r="B34" s="502" t="n">
        <x:v>2020</x:v>
      </x:c>
      <x:c r="C34" s="489" t="str">
        <x:v>Nova Petrópolis</x:v>
      </x:c>
      <x:c r="D34" s="489" t="str">
        <x:v>Hospital</x:v>
      </x:c>
      <x:c r="E34" s="489" t="str">
        <x:v>Hospital Nova Petrópolis</x:v>
      </x:c>
      <x:c r="F34" s="489" t="str">
        <x:v>7122 0006</x:v>
      </x:c>
      <x:c r="G34" s="489" t="str">
        <x:v>71220006-2020</x:v>
      </x:c>
      <x:c r="H34" s="489" t="str">
        <x:v>Informado/corrigido a partir do mapa</x:v>
      </x:c>
      <x:c r="I34" s="503" t="n">
        <x:v>50000</x:v>
      </x:c>
      <x:c r="J34" s="503" t="n">
        <x:v>50000</x:v>
      </x:c>
      <x:c r="K34" s="489" t="str">
        <x:v>Emenda de Bancada</x:v>
      </x:c>
      <x:c r="L34" s="489" t="str">
        <x:v>Recurso pago</x:v>
      </x:c>
      <x:c r="M34" s="503" t="n">
        <x:v>0</x:v>
      </x:c>
      <x:c r="N34" s="503" t="n">
        <x:v>0</x:v>
      </x:c>
      <x:c r="O34" s="503" t="n">
        <x:v>0</x:v>
      </x:c>
      <x:c r="P34" s="503" t="n">
        <x:v>0</x:v>
      </x:c>
      <x:c r="Q34" s="503" t="n">
        <x:v>0</x:v>
      </x:c>
      <x:c r="R34" s="489" t="str"/>
      <x:c r="S34" s="489" t="str"/>
      <x:c r="T34" s="489" t="str">
        <x:v>Nº NÃO LOCALIZADO</x:v>
      </x:c>
      <x:c r="U34" s="489" t="str">
        <x:v>Média</x:v>
      </x:c>
      <x:c r="V34" s="489" t="str"/>
      <x:c r="W34" s="489" t="str"/>
      <x:c r="X34" s="489" t="str"/>
    </x:row>
    <x:row r="35">
      <x:c r="A35" s="502" t="n">
        <x:v>35</x:v>
      </x:c>
      <x:c r="B35" s="502" t="n">
        <x:v>2020</x:v>
      </x:c>
      <x:c r="C35" s="489" t="str">
        <x:v>Portão</x:v>
      </x:c>
      <x:c r="D35" s="489" t="str">
        <x:v>Hospital</x:v>
      </x:c>
      <x:c r="E35" s="489" t="str">
        <x:v>Hospital de Portão</x:v>
      </x:c>
      <x:c r="F35" s="489" t="str">
        <x:v>7122 0006</x:v>
      </x:c>
      <x:c r="G35" s="489" t="str">
        <x:v>71220006-2020</x:v>
      </x:c>
      <x:c r="H35" s="489" t="str">
        <x:v>Informado/corrigido a partir do mapa</x:v>
      </x:c>
      <x:c r="I35" s="503" t="n">
        <x:v>50000</x:v>
      </x:c>
      <x:c r="J35" s="503" t="n">
        <x:v>50000</x:v>
      </x:c>
      <x:c r="K35" s="489" t="str">
        <x:v>Emenda de Bancada</x:v>
      </x:c>
      <x:c r="L35" s="489" t="str">
        <x:v>Recurso pago</x:v>
      </x:c>
      <x:c r="M35" s="503" t="n">
        <x:v>0</x:v>
      </x:c>
      <x:c r="N35" s="503" t="n">
        <x:v>0</x:v>
      </x:c>
      <x:c r="O35" s="503" t="n">
        <x:v>0</x:v>
      </x:c>
      <x:c r="P35" s="503" t="n">
        <x:v>0</x:v>
      </x:c>
      <x:c r="Q35" s="503" t="n">
        <x:v>0</x:v>
      </x:c>
      <x:c r="R35" s="489" t="str"/>
      <x:c r="S35" s="489" t="str"/>
      <x:c r="T35" s="489" t="str">
        <x:v>Nº NÃO LOCALIZADO</x:v>
      </x:c>
      <x:c r="U35" s="489" t="str">
        <x:v>Média</x:v>
      </x:c>
      <x:c r="V35" s="489" t="str"/>
      <x:c r="W35" s="489" t="str"/>
      <x:c r="X35" s="489" t="str"/>
    </x:row>
    <x:row r="36">
      <x:c r="A36" s="502" t="n">
        <x:v>36</x:v>
      </x:c>
      <x:c r="B36" s="502" t="n">
        <x:v>2020</x:v>
      </x:c>
      <x:c r="C36" s="489" t="str">
        <x:v>Riozinho</x:v>
      </x:c>
      <x:c r="D36" s="489" t="str">
        <x:v>Hospital</x:v>
      </x:c>
      <x:c r="E36" s="489" t="str">
        <x:v>Hospital Nossa Senhora do Rosário de Riozinho</x:v>
      </x:c>
      <x:c r="F36" s="489" t="str">
        <x:v>7122 0006</x:v>
      </x:c>
      <x:c r="G36" s="489" t="str">
        <x:v>71220006-2020</x:v>
      </x:c>
      <x:c r="H36" s="489" t="str">
        <x:v>Informado/corrigido a partir do mapa</x:v>
      </x:c>
      <x:c r="I36" s="503" t="n">
        <x:v>50000</x:v>
      </x:c>
      <x:c r="J36" s="503" t="n">
        <x:v>50000</x:v>
      </x:c>
      <x:c r="K36" s="489" t="str">
        <x:v>Emenda de Bancada</x:v>
      </x:c>
      <x:c r="L36" s="489" t="str">
        <x:v>Recurso pago</x:v>
      </x:c>
      <x:c r="M36" s="503" t="n">
        <x:v>0</x:v>
      </x:c>
      <x:c r="N36" s="503" t="n">
        <x:v>0</x:v>
      </x:c>
      <x:c r="O36" s="503" t="n">
        <x:v>0</x:v>
      </x:c>
      <x:c r="P36" s="503" t="n">
        <x:v>0</x:v>
      </x:c>
      <x:c r="Q36" s="503" t="n">
        <x:v>0</x:v>
      </x:c>
      <x:c r="R36" s="489" t="str"/>
      <x:c r="S36" s="489" t="str"/>
      <x:c r="T36" s="489" t="str">
        <x:v>Nº NÃO LOCALIZADO</x:v>
      </x:c>
      <x:c r="U36" s="489" t="str">
        <x:v>Média</x:v>
      </x:c>
      <x:c r="V36" s="489" t="str"/>
      <x:c r="W36" s="489" t="str"/>
      <x:c r="X36" s="489" t="str"/>
    </x:row>
    <x:row r="37">
      <x:c r="A37" s="502" t="n">
        <x:v>37</x:v>
      </x:c>
      <x:c r="B37" s="502" t="n">
        <x:v>2020</x:v>
      </x:c>
      <x:c r="C37" s="489" t="str">
        <x:v>Rolante</x:v>
      </x:c>
      <x:c r="D37" s="489" t="str">
        <x:v>Hospital</x:v>
      </x:c>
      <x:c r="E37" s="489" t="str">
        <x:v>Fundação Hospitalar de Rolante</x:v>
      </x:c>
      <x:c r="F37" s="489" t="str">
        <x:v>7122 0006</x:v>
      </x:c>
      <x:c r="G37" s="489" t="str">
        <x:v>71220006-2020</x:v>
      </x:c>
      <x:c r="H37" s="489" t="str">
        <x:v>Informado/corrigido a partir do mapa</x:v>
      </x:c>
      <x:c r="I37" s="503" t="n">
        <x:v>50000</x:v>
      </x:c>
      <x:c r="J37" s="503" t="n">
        <x:v>50000</x:v>
      </x:c>
      <x:c r="K37" s="489" t="str">
        <x:v>Emenda de Bancada</x:v>
      </x:c>
      <x:c r="L37" s="489" t="str">
        <x:v>Recurso pago</x:v>
      </x:c>
      <x:c r="M37" s="503" t="n">
        <x:v>0</x:v>
      </x:c>
      <x:c r="N37" s="503" t="n">
        <x:v>0</x:v>
      </x:c>
      <x:c r="O37" s="503" t="n">
        <x:v>0</x:v>
      </x:c>
      <x:c r="P37" s="503" t="n">
        <x:v>0</x:v>
      </x:c>
      <x:c r="Q37" s="503" t="n">
        <x:v>0</x:v>
      </x:c>
      <x:c r="R37" s="489" t="str"/>
      <x:c r="S37" s="489" t="str"/>
      <x:c r="T37" s="489" t="str">
        <x:v>Nº NÃO LOCALIZADO</x:v>
      </x:c>
      <x:c r="U37" s="489" t="str">
        <x:v>Média</x:v>
      </x:c>
      <x:c r="V37" s="489" t="str"/>
      <x:c r="W37" s="489" t="str"/>
      <x:c r="X37" s="489" t="str"/>
    </x:row>
    <x:row r="38">
      <x:c r="A38" s="502" t="n">
        <x:v>38</x:v>
      </x:c>
      <x:c r="B38" s="502" t="n">
        <x:v>2020</x:v>
      </x:c>
      <x:c r="C38" s="489" t="str">
        <x:v>Canoas</x:v>
      </x:c>
      <x:c r="D38" s="489" t="str">
        <x:v>Hospital</x:v>
      </x:c>
      <x:c r="E38" s="489" t="str">
        <x:v>Hospital Nossa Senhora das Graças</x:v>
      </x:c>
      <x:c r="F38" s="489" t="str">
        <x:v>41160005</x:v>
      </x:c>
      <x:c r="G38" s="489" t="str">
        <x:v>41160005-2020</x:v>
      </x:c>
      <x:c r="H38" s="489" t="str">
        <x:v>Informado/corrigido a partir do mapa</x:v>
      </x:c>
      <x:c r="I38" s="503" t="n">
        <x:v>50000</x:v>
      </x:c>
      <x:c r="J38" s="503" t="n">
        <x:v>50000</x:v>
      </x:c>
      <x:c r="K38" s="489" t="str">
        <x:v>Emenda Individual</x:v>
      </x:c>
      <x:c r="L38" s="489" t="str">
        <x:v>Recurso pago</x:v>
      </x:c>
      <x:c r="M38" s="503" t="n">
        <x:v>200000</x:v>
      </x:c>
      <x:c r="N38" s="503" t="n">
        <x:v>0</x:v>
      </x:c>
      <x:c r="O38" s="503" t="n">
        <x:v>0</x:v>
      </x:c>
      <x:c r="P38" s="503" t="n">
        <x:v>0</x:v>
      </x:c>
      <x:c r="Q38" s="503" t="n">
        <x:v>0</x:v>
      </x:c>
      <x:c r="R38" s="489" t="str"/>
      <x:c r="S38" s="489" t="str">
        <x:v>11413650000185</x:v>
      </x:c>
      <x:c r="T38" s="489" t="str">
        <x:v>VALOR DIVERGENTE / COBERTURA DIFERENTE</x:v>
      </x:c>
      <x:c r="U38" s="489" t="str">
        <x:v>Alta</x:v>
      </x:c>
      <x:c r="V38" s="489" t="str">
        <x:v>CNPJ candidato na fonte SIGA: 11413650000185</x:v>
      </x:c>
      <x:c r="W38" s="489" t="str">
        <x:v>Município/localidade encontrado em fonte comparável, mas valor não fecha exatamente</x:v>
      </x:c>
      <x:c r="X38" s="489" t="str"/>
    </x:row>
    <x:row r="39">
      <x:c r="A39" s="502" t="n">
        <x:v>39</x:v>
      </x:c>
      <x:c r="B39" s="502" t="n">
        <x:v>2020</x:v>
      </x:c>
      <x:c r="C39" s="489" t="str">
        <x:v>Capão Bonito do Sul</x:v>
      </x:c>
      <x:c r="D39" s="489" t="str">
        <x:v>Município/hospital mais próximo</x:v>
      </x:c>
      <x:c r="E39" s="489" t="str">
        <x:v>Prefeitura/Hospital São Paulo de Lagoa Vermelha</x:v>
      </x:c>
      <x:c r="F39" s="489" t="str">
        <x:v>7122 0006</x:v>
      </x:c>
      <x:c r="G39" s="489" t="str">
        <x:v>71220006-2020</x:v>
      </x:c>
      <x:c r="H39" s="489" t="str">
        <x:v>Informado/corrigido a partir do mapa</x:v>
      </x:c>
      <x:c r="I39" s="503" t="n">
        <x:v>50000</x:v>
      </x:c>
      <x:c r="J39" s="503" t="n">
        <x:v>50000</x:v>
      </x:c>
      <x:c r="K39" s="489" t="str">
        <x:v>Emenda de bancada OGU 2020</x:v>
      </x:c>
      <x:c r="L39" s="489" t="str">
        <x:v>Recurso pago</x:v>
      </x:c>
      <x:c r="M39" s="503" t="n">
        <x:v>0</x:v>
      </x:c>
      <x:c r="N39" s="503" t="n">
        <x:v>0</x:v>
      </x:c>
      <x:c r="O39" s="503" t="n">
        <x:v>0</x:v>
      </x:c>
      <x:c r="P39" s="503" t="n">
        <x:v>0</x:v>
      </x:c>
      <x:c r="Q39" s="503" t="n">
        <x:v>0</x:v>
      </x:c>
      <x:c r="R39" s="489" t="str"/>
      <x:c r="S39" s="489" t="str"/>
      <x:c r="T39" s="489" t="str">
        <x:v>Nº NÃO LOCALIZADO</x:v>
      </x:c>
      <x:c r="U39" s="489" t="str">
        <x:v>Média</x:v>
      </x:c>
      <x:c r="V39" s="489" t="str"/>
      <x:c r="W39" s="489" t="str"/>
      <x:c r="X39" s="489" t="str"/>
    </x:row>
    <x:row r="40">
      <x:c r="A40" s="502" t="n">
        <x:v>40</x:v>
      </x:c>
      <x:c r="B40" s="502" t="n">
        <x:v>2020</x:v>
      </x:c>
      <x:c r="C40" s="489" t="str">
        <x:v>Lindolfo Collor</x:v>
      </x:c>
      <x:c r="D40" s="489" t="str">
        <x:v>Município/hospital mais próximo</x:v>
      </x:c>
      <x:c r="E40" s="489" t="str">
        <x:v>Prefeitura/Hospital São José Ivoti</x:v>
      </x:c>
      <x:c r="F40" s="489" t="str">
        <x:v>7122 0006</x:v>
      </x:c>
      <x:c r="G40" s="489" t="str">
        <x:v>71220006-2020</x:v>
      </x:c>
      <x:c r="H40" s="489" t="str">
        <x:v>Informado/corrigido a partir do mapa</x:v>
      </x:c>
      <x:c r="I40" s="503" t="n">
        <x:v>50000</x:v>
      </x:c>
      <x:c r="J40" s="503" t="n">
        <x:v>50000</x:v>
      </x:c>
      <x:c r="K40" s="489" t="str">
        <x:v>Emenda de bancada OGU 2020</x:v>
      </x:c>
      <x:c r="L40" s="489" t="str">
        <x:v>Recurso pago</x:v>
      </x:c>
      <x:c r="M40" s="503" t="n">
        <x:v>0</x:v>
      </x:c>
      <x:c r="N40" s="503" t="n">
        <x:v>0</x:v>
      </x:c>
      <x:c r="O40" s="503" t="n">
        <x:v>0</x:v>
      </x:c>
      <x:c r="P40" s="503" t="n">
        <x:v>0</x:v>
      </x:c>
      <x:c r="Q40" s="503" t="n">
        <x:v>0</x:v>
      </x:c>
      <x:c r="R40" s="489" t="str"/>
      <x:c r="S40" s="489" t="str"/>
      <x:c r="T40" s="489" t="str">
        <x:v>Nº NÃO LOCALIZADO</x:v>
      </x:c>
      <x:c r="U40" s="489" t="str">
        <x:v>Média</x:v>
      </x:c>
      <x:c r="V40" s="489" t="str"/>
      <x:c r="W40" s="489" t="str"/>
      <x:c r="X40" s="489" t="str"/>
    </x:row>
    <x:row r="41">
      <x:c r="A41" s="502" t="n">
        <x:v>41</x:v>
      </x:c>
      <x:c r="B41" s="502" t="n">
        <x:v>2020</x:v>
      </x:c>
      <x:c r="C41" s="489" t="str">
        <x:v>Morro Reuter</x:v>
      </x:c>
      <x:c r="D41" s="489" t="str">
        <x:v>Município/hospital mais próximo</x:v>
      </x:c>
      <x:c r="E41" s="489" t="str">
        <x:v>Prefeitura/Hospital São José de Dois Irmãos</x:v>
      </x:c>
      <x:c r="F41" s="489" t="str">
        <x:v>7122 0006</x:v>
      </x:c>
      <x:c r="G41" s="489" t="str">
        <x:v>71220006-2020</x:v>
      </x:c>
      <x:c r="H41" s="489" t="str">
        <x:v>Informado/corrigido a partir do mapa</x:v>
      </x:c>
      <x:c r="I41" s="503" t="n">
        <x:v>50000</x:v>
      </x:c>
      <x:c r="J41" s="503" t="n">
        <x:v>50000</x:v>
      </x:c>
      <x:c r="K41" s="489" t="str">
        <x:v>Emenda de bancada OGU 2020</x:v>
      </x:c>
      <x:c r="L41" s="489" t="str">
        <x:v>Recurso pago</x:v>
      </x:c>
      <x:c r="M41" s="503" t="n">
        <x:v>0</x:v>
      </x:c>
      <x:c r="N41" s="503" t="n">
        <x:v>0</x:v>
      </x:c>
      <x:c r="O41" s="503" t="n">
        <x:v>0</x:v>
      </x:c>
      <x:c r="P41" s="503" t="n">
        <x:v>0</x:v>
      </x:c>
      <x:c r="Q41" s="503" t="n">
        <x:v>0</x:v>
      </x:c>
      <x:c r="R41" s="489" t="str"/>
      <x:c r="S41" s="489" t="str"/>
      <x:c r="T41" s="489" t="str">
        <x:v>Nº NÃO LOCALIZADO</x:v>
      </x:c>
      <x:c r="U41" s="489" t="str">
        <x:v>Média</x:v>
      </x:c>
      <x:c r="V41" s="489" t="str"/>
      <x:c r="W41" s="489" t="str"/>
      <x:c r="X41" s="489" t="str"/>
    </x:row>
    <x:row r="42">
      <x:c r="A42" s="502" t="n">
        <x:v>42</x:v>
      </x:c>
      <x:c r="B42" s="502" t="n">
        <x:v>2020</x:v>
      </x:c>
      <x:c r="C42" s="489" t="str">
        <x:v>São Francisco de Paula</x:v>
      </x:c>
      <x:c r="D42" s="489" t="str">
        <x:v>Hospital</x:v>
      </x:c>
      <x:c r="E42" s="489" t="str">
        <x:v>Hospital São Francisco de Paula</x:v>
      </x:c>
      <x:c r="F42" s="489" t="str">
        <x:v>7122 0006</x:v>
      </x:c>
      <x:c r="G42" s="489" t="str">
        <x:v>71220006-2020</x:v>
      </x:c>
      <x:c r="H42" s="489" t="str">
        <x:v>Informado/corrigido a partir do mapa</x:v>
      </x:c>
      <x:c r="I42" s="503" t="n">
        <x:v>50000</x:v>
      </x:c>
      <x:c r="J42" s="503" t="n">
        <x:v>50000</x:v>
      </x:c>
      <x:c r="K42" s="489" t="str">
        <x:v>Emenda de Bancada</x:v>
      </x:c>
      <x:c r="L42" s="489" t="str">
        <x:v>Recurso pago</x:v>
      </x:c>
      <x:c r="M42" s="503" t="n">
        <x:v>0</x:v>
      </x:c>
      <x:c r="N42" s="503" t="n">
        <x:v>0</x:v>
      </x:c>
      <x:c r="O42" s="503" t="n">
        <x:v>0</x:v>
      </x:c>
      <x:c r="P42" s="503" t="n">
        <x:v>0</x:v>
      </x:c>
      <x:c r="Q42" s="503" t="n">
        <x:v>0</x:v>
      </x:c>
      <x:c r="R42" s="489" t="str"/>
      <x:c r="S42" s="489" t="str"/>
      <x:c r="T42" s="489" t="str">
        <x:v>Nº NÃO LOCALIZADO</x:v>
      </x:c>
      <x:c r="U42" s="489" t="str">
        <x:v>Média</x:v>
      </x:c>
      <x:c r="V42" s="489" t="str"/>
      <x:c r="W42" s="489" t="str"/>
      <x:c r="X42" s="489" t="str"/>
    </x:row>
    <x:row r="43">
      <x:c r="A43" s="502" t="n">
        <x:v>43</x:v>
      </x:c>
      <x:c r="B43" s="502" t="n">
        <x:v>2020</x:v>
      </x:c>
      <x:c r="C43" s="489" t="str">
        <x:v>Nova Hartz</x:v>
      </x:c>
      <x:c r="D43" s="489" t="str">
        <x:v>Município/hospital mais próximo</x:v>
      </x:c>
      <x:c r="E43" s="489" t="str">
        <x:v>Prefeitura/Hospital Sapiranga</x:v>
      </x:c>
      <x:c r="F43" s="489" t="str">
        <x:v>7122 0006</x:v>
      </x:c>
      <x:c r="G43" s="489" t="str">
        <x:v>71220006-2020</x:v>
      </x:c>
      <x:c r="H43" s="489" t="str">
        <x:v>Informado/corrigido a partir do mapa</x:v>
      </x:c>
      <x:c r="I43" s="503" t="n">
        <x:v>50000</x:v>
      </x:c>
      <x:c r="J43" s="503" t="n">
        <x:v>50000</x:v>
      </x:c>
      <x:c r="K43" s="489" t="str">
        <x:v>Emenda de bancada OGU 2020</x:v>
      </x:c>
      <x:c r="L43" s="489" t="str">
        <x:v>Recurso pago</x:v>
      </x:c>
      <x:c r="M43" s="503" t="n">
        <x:v>0</x:v>
      </x:c>
      <x:c r="N43" s="503" t="n">
        <x:v>0</x:v>
      </x:c>
      <x:c r="O43" s="503" t="n">
        <x:v>0</x:v>
      </x:c>
      <x:c r="P43" s="503" t="n">
        <x:v>0</x:v>
      </x:c>
      <x:c r="Q43" s="503" t="n">
        <x:v>0</x:v>
      </x:c>
      <x:c r="R43" s="489" t="str"/>
      <x:c r="S43" s="489" t="str"/>
      <x:c r="T43" s="489" t="str">
        <x:v>Nº NÃO LOCALIZADO</x:v>
      </x:c>
      <x:c r="U43" s="489" t="str">
        <x:v>Média</x:v>
      </x:c>
      <x:c r="V43" s="489" t="str"/>
      <x:c r="W43" s="489" t="str"/>
      <x:c r="X43" s="489" t="str"/>
    </x:row>
    <x:row r="44">
      <x:c r="A44" s="502" t="n">
        <x:v>44</x:v>
      </x:c>
      <x:c r="B44" s="502" t="n">
        <x:v>2020</x:v>
      </x:c>
      <x:c r="C44" s="489" t="str">
        <x:v>São Luiz Gonzaga</x:v>
      </x:c>
      <x:c r="D44" s="489" t="str">
        <x:v>Hospital</x:v>
      </x:c>
      <x:c r="E44" s="489" t="str">
        <x:v>Hospital São Luiz Gonzaga</x:v>
      </x:c>
      <x:c r="F44" s="489" t="str">
        <x:v>7122 0006</x:v>
      </x:c>
      <x:c r="G44" s="489" t="str">
        <x:v>71220006-2020</x:v>
      </x:c>
      <x:c r="H44" s="489" t="str">
        <x:v>Informado/corrigido a partir do mapa</x:v>
      </x:c>
      <x:c r="I44" s="503" t="n">
        <x:v>50000</x:v>
      </x:c>
      <x:c r="J44" s="503" t="n">
        <x:v>50000</x:v>
      </x:c>
      <x:c r="K44" s="489" t="str">
        <x:v>Emenda de Bancada</x:v>
      </x:c>
      <x:c r="L44" s="489" t="str">
        <x:v>Recurso pago</x:v>
      </x:c>
      <x:c r="M44" s="503" t="n">
        <x:v>0</x:v>
      </x:c>
      <x:c r="N44" s="503" t="n">
        <x:v>0</x:v>
      </x:c>
      <x:c r="O44" s="503" t="n">
        <x:v>0</x:v>
      </x:c>
      <x:c r="P44" s="503" t="n">
        <x:v>0</x:v>
      </x:c>
      <x:c r="Q44" s="503" t="n">
        <x:v>0</x:v>
      </x:c>
      <x:c r="R44" s="489" t="str"/>
      <x:c r="S44" s="489" t="str"/>
      <x:c r="T44" s="489" t="str">
        <x:v>Nº NÃO LOCALIZADO</x:v>
      </x:c>
      <x:c r="U44" s="489" t="str">
        <x:v>Média</x:v>
      </x:c>
      <x:c r="V44" s="489" t="str"/>
      <x:c r="W44" s="489" t="str"/>
      <x:c r="X44" s="489" t="str"/>
    </x:row>
    <x:row r="45">
      <x:c r="A45" s="502" t="n">
        <x:v>45</x:v>
      </x:c>
      <x:c r="B45" s="502" t="n">
        <x:v>2020</x:v>
      </x:c>
      <x:c r="C45" s="489" t="str">
        <x:v>Picada Café</x:v>
      </x:c>
      <x:c r="D45" s="489" t="str">
        <x:v>Município/hospital mais próximo</x:v>
      </x:c>
      <x:c r="E45" s="489" t="str">
        <x:v>Prefeitura/Hospital Nova Petrópolis</x:v>
      </x:c>
      <x:c r="F45" s="489" t="str">
        <x:v>7122 0006</x:v>
      </x:c>
      <x:c r="G45" s="489" t="str">
        <x:v>71220006-2020</x:v>
      </x:c>
      <x:c r="H45" s="489" t="str">
        <x:v>Informado/corrigido a partir do mapa</x:v>
      </x:c>
      <x:c r="I45" s="503" t="n">
        <x:v>50000</x:v>
      </x:c>
      <x:c r="J45" s="503" t="n">
        <x:v>50000</x:v>
      </x:c>
      <x:c r="K45" s="489" t="str">
        <x:v>Emenda de bancada OGU 2020</x:v>
      </x:c>
      <x:c r="L45" s="489" t="str">
        <x:v>Recurso pago</x:v>
      </x:c>
      <x:c r="M45" s="503" t="n">
        <x:v>0</x:v>
      </x:c>
      <x:c r="N45" s="503" t="n">
        <x:v>0</x:v>
      </x:c>
      <x:c r="O45" s="503" t="n">
        <x:v>0</x:v>
      </x:c>
      <x:c r="P45" s="503" t="n">
        <x:v>0</x:v>
      </x:c>
      <x:c r="Q45" s="503" t="n">
        <x:v>0</x:v>
      </x:c>
      <x:c r="R45" s="489" t="str"/>
      <x:c r="S45" s="489" t="str"/>
      <x:c r="T45" s="489" t="str">
        <x:v>Nº NÃO LOCALIZADO</x:v>
      </x:c>
      <x:c r="U45" s="489" t="str">
        <x:v>Média</x:v>
      </x:c>
      <x:c r="V45" s="489" t="str"/>
      <x:c r="W45" s="489" t="str"/>
      <x:c r="X45" s="489" t="str"/>
    </x:row>
    <x:row r="46">
      <x:c r="A46" s="502" t="n">
        <x:v>46</x:v>
      </x:c>
      <x:c r="B46" s="502" t="n">
        <x:v>2020</x:v>
      </x:c>
      <x:c r="C46" s="489" t="str">
        <x:v>Presidente Lucena</x:v>
      </x:c>
      <x:c r="D46" s="489" t="str">
        <x:v>Município/hospital mais próximo</x:v>
      </x:c>
      <x:c r="E46" s="489" t="str">
        <x:v>Prefeitura/Hospital São José Ivoti</x:v>
      </x:c>
      <x:c r="F46" s="489" t="str">
        <x:v>7122 0006</x:v>
      </x:c>
      <x:c r="G46" s="489" t="str">
        <x:v>71220006-2020</x:v>
      </x:c>
      <x:c r="H46" s="489" t="str">
        <x:v>Informado/corrigido a partir do mapa</x:v>
      </x:c>
      <x:c r="I46" s="503" t="n">
        <x:v>50000</x:v>
      </x:c>
      <x:c r="J46" s="503" t="n">
        <x:v>50000</x:v>
      </x:c>
      <x:c r="K46" s="489" t="str">
        <x:v>Emenda de bancada OGU 2020</x:v>
      </x:c>
      <x:c r="L46" s="489" t="str">
        <x:v>Recurso pago</x:v>
      </x:c>
      <x:c r="M46" s="503" t="n">
        <x:v>0</x:v>
      </x:c>
      <x:c r="N46" s="503" t="n">
        <x:v>0</x:v>
      </x:c>
      <x:c r="O46" s="503" t="n">
        <x:v>0</x:v>
      </x:c>
      <x:c r="P46" s="503" t="n">
        <x:v>0</x:v>
      </x:c>
      <x:c r="Q46" s="503" t="n">
        <x:v>0</x:v>
      </x:c>
      <x:c r="R46" s="489" t="str"/>
      <x:c r="S46" s="489" t="str"/>
      <x:c r="T46" s="489" t="str">
        <x:v>Nº NÃO LOCALIZADO</x:v>
      </x:c>
      <x:c r="U46" s="489" t="str">
        <x:v>Média</x:v>
      </x:c>
      <x:c r="V46" s="489" t="str"/>
      <x:c r="W46" s="489" t="str"/>
      <x:c r="X46" s="489" t="str"/>
    </x:row>
    <x:row r="47">
      <x:c r="A47" s="502" t="n">
        <x:v>47</x:v>
      </x:c>
      <x:c r="B47" s="502" t="n">
        <x:v>2020</x:v>
      </x:c>
      <x:c r="C47" s="489" t="str">
        <x:v>Santa Maria do Herval</x:v>
      </x:c>
      <x:c r="D47" s="489" t="str">
        <x:v>Município/hospital mais próximo</x:v>
      </x:c>
      <x:c r="E47" s="489" t="str">
        <x:v>Prefeitura/Hospital São José de Dois Irmãos</x:v>
      </x:c>
      <x:c r="F47" s="489" t="str">
        <x:v>7122 0006</x:v>
      </x:c>
      <x:c r="G47" s="489" t="str">
        <x:v>71220006-2020</x:v>
      </x:c>
      <x:c r="H47" s="489" t="str">
        <x:v>Informado/corrigido a partir do mapa</x:v>
      </x:c>
      <x:c r="I47" s="503" t="n">
        <x:v>50000</x:v>
      </x:c>
      <x:c r="J47" s="503" t="n">
        <x:v>50000</x:v>
      </x:c>
      <x:c r="K47" s="489" t="str">
        <x:v>Emenda de bancada OGU 2020</x:v>
      </x:c>
      <x:c r="L47" s="489" t="str">
        <x:v>Recurso pago</x:v>
      </x:c>
      <x:c r="M47" s="503" t="n">
        <x:v>0</x:v>
      </x:c>
      <x:c r="N47" s="503" t="n">
        <x:v>0</x:v>
      </x:c>
      <x:c r="O47" s="503" t="n">
        <x:v>0</x:v>
      </x:c>
      <x:c r="P47" s="503" t="n">
        <x:v>0</x:v>
      </x:c>
      <x:c r="Q47" s="503" t="n">
        <x:v>0</x:v>
      </x:c>
      <x:c r="R47" s="489" t="str"/>
      <x:c r="S47" s="489" t="str"/>
      <x:c r="T47" s="489" t="str">
        <x:v>Nº NÃO LOCALIZADO</x:v>
      </x:c>
      <x:c r="U47" s="489" t="str">
        <x:v>Média</x:v>
      </x:c>
      <x:c r="V47" s="489" t="str"/>
      <x:c r="W47" s="489" t="str"/>
      <x:c r="X47" s="489" t="str"/>
    </x:row>
    <x:row r="48">
      <x:c r="A48" s="502" t="n">
        <x:v>48</x:v>
      </x:c>
      <x:c r="B48" s="502" t="n">
        <x:v>2020</x:v>
      </x:c>
      <x:c r="C48" s="489" t="str">
        <x:v>Três Coroas</x:v>
      </x:c>
      <x:c r="D48" s="489" t="str">
        <x:v>Hospital</x:v>
      </x:c>
      <x:c r="E48" s="489" t="str">
        <x:v>Hospital Dr Oswaldo Diesel</x:v>
      </x:c>
      <x:c r="F48" s="489" t="str">
        <x:v>7122 0006</x:v>
      </x:c>
      <x:c r="G48" s="489" t="str">
        <x:v>71220006-2020</x:v>
      </x:c>
      <x:c r="H48" s="489" t="str">
        <x:v>Informado/corrigido a partir do mapa</x:v>
      </x:c>
      <x:c r="I48" s="503" t="n">
        <x:v>50000</x:v>
      </x:c>
      <x:c r="J48" s="503" t="n">
        <x:v>50000</x:v>
      </x:c>
      <x:c r="K48" s="489" t="str">
        <x:v>Emenda de Bancada</x:v>
      </x:c>
      <x:c r="L48" s="489" t="str">
        <x:v>Recurso pago</x:v>
      </x:c>
      <x:c r="M48" s="503" t="n">
        <x:v>0</x:v>
      </x:c>
      <x:c r="N48" s="503" t="n">
        <x:v>0</x:v>
      </x:c>
      <x:c r="O48" s="503" t="n">
        <x:v>0</x:v>
      </x:c>
      <x:c r="P48" s="503" t="n">
        <x:v>0</x:v>
      </x:c>
      <x:c r="Q48" s="503" t="n">
        <x:v>0</x:v>
      </x:c>
      <x:c r="R48" s="489" t="str"/>
      <x:c r="S48" s="489" t="str"/>
      <x:c r="T48" s="489" t="str">
        <x:v>Nº NÃO LOCALIZADO</x:v>
      </x:c>
      <x:c r="U48" s="489" t="str">
        <x:v>Média</x:v>
      </x:c>
      <x:c r="V48" s="489" t="str"/>
      <x:c r="W48" s="489" t="str"/>
      <x:c r="X48" s="489" t="str"/>
    </x:row>
    <x:row r="49">
      <x:c r="A49" s="502" t="n">
        <x:v>49</x:v>
      </x:c>
      <x:c r="B49" s="502" t="n">
        <x:v>2021</x:v>
      </x:c>
      <x:c r="C49" s="489" t="str">
        <x:v>Tapera</x:v>
      </x:c>
      <x:c r="D49" s="489" t="str">
        <x:v>Prefeitura</x:v>
      </x:c>
      <x:c r="E49" s="489" t="str">
        <x:v>Prefeitura Municipal</x:v>
      </x:c>
      <x:c r="F49" s="489" t="str">
        <x:v>41160002</x:v>
      </x:c>
      <x:c r="G49" s="489" t="str">
        <x:v>41160002-2021</x:v>
      </x:c>
      <x:c r="H49" s="489" t="str">
        <x:v>Informado/corrigido a partir do mapa</x:v>
      </x:c>
      <x:c r="I49" s="503" t="n">
        <x:v>50000</x:v>
      </x:c>
      <x:c r="J49" s="503" t="n">
        <x:v>50000</x:v>
      </x:c>
      <x:c r="K49" s="489" t="str">
        <x:v>Emenda individual (processo seletivo 2021)</x:v>
      </x:c>
      <x:c r="L49" s="489" t="str">
        <x:v>Prefeitura submeteu proposta ao Ministério da Saúde (Em 02/05/2024 consultei o SIOP, para verificar a situação da emenda e não localizei o beneficiário FMS-Tapera. A emenda 41160002, referenciada na planilha, não é de Custeio-PAB; é de Investimento-MAC. Em 2021 não foram indicados recursos de emendas individuais para custeio-PAB. Também não localizei o beneficiário na emenda de Custeio-MAC.</x:v>
      </x:c>
      <x:c r="M49" s="503" t="n">
        <x:v>0</x:v>
      </x:c>
      <x:c r="N49" s="503" t="n">
        <x:v>0</x:v>
      </x:c>
      <x:c r="O49" s="503" t="n">
        <x:v>0</x:v>
      </x:c>
      <x:c r="P49" s="503" t="n">
        <x:v>0</x:v>
      </x:c>
      <x:c r="Q49" s="503" t="n">
        <x:v>0</x:v>
      </x:c>
      <x:c r="R49" s="489" t="str"/>
      <x:c r="S49" s="489" t="str"/>
      <x:c r="T49" s="489" t="str">
        <x:v>EMENDA CONFIRMADA; DESTINO NÃO CONFIRMADO</x:v>
      </x:c>
      <x:c r="U49" s="489" t="str">
        <x:v>Média</x:v>
      </x:c>
      <x:c r="V49" s="489" t="str"/>
      <x:c r="W49" s="489" t="str">
        <x:v>Nº existe no SIGA; destinatário específico não foi confirmado nas bases anexas</x:v>
      </x:c>
      <x:c r="X49" s="489" t="str"/>
    </x:row>
    <x:row r="50">
      <x:c r="A50" s="502" t="n">
        <x:v>50</x:v>
      </x:c>
      <x:c r="B50" s="502" t="n">
        <x:v>2022</x:v>
      </x:c>
      <x:c r="C50" s="489" t="str">
        <x:v>Tapera</x:v>
      </x:c>
      <x:c r="D50" s="489" t="str">
        <x:v>Município</x:v>
      </x:c>
      <x:c r="E50" s="489" t="str">
        <x:v>Prefeitura Municipal</x:v>
      </x:c>
      <x:c r="F50" s="489" t="str">
        <x:v>41160002</x:v>
      </x:c>
      <x:c r="G50" s="489" t="str">
        <x:v>41160002-2022</x:v>
      </x:c>
      <x:c r="H50" s="489" t="str">
        <x:v>Informado/corrigido a partir do mapa</x:v>
      </x:c>
      <x:c r="I50" s="503" t="n">
        <x:v>50000</x:v>
      </x:c>
      <x:c r="J50" s="503" t="n">
        <x:v>50000</x:v>
      </x:c>
      <x:c r="K50" s="489" t="str">
        <x:v>Emenda Individual </x:v>
      </x:c>
      <x:c r="L50" s="489" t="str">
        <x:v>Recurso pago</x:v>
      </x:c>
      <x:c r="M50" s="503" t="n">
        <x:v>50000</x:v>
      </x:c>
      <x:c r="N50" s="503" t="n">
        <x:v>0</x:v>
      </x:c>
      <x:c r="O50" s="503" t="n">
        <x:v>0</x:v>
      </x:c>
      <x:c r="P50" s="503" t="n">
        <x:v>0</x:v>
      </x:c>
      <x:c r="Q50" s="503" t="n">
        <x:v>0</x:v>
      </x:c>
      <x:c r="R50" s="489" t="str"/>
      <x:c r="S50" s="489" t="str">
        <x:v>11715379000132</x:v>
      </x:c>
      <x:c r="T50" s="489" t="str">
        <x:v>CONFIRMADO</x:v>
      </x:c>
      <x:c r="U50" s="489" t="str">
        <x:v>Baixa</x:v>
      </x:c>
      <x:c r="V50" s="489" t="str">
        <x:v>CNPJ candidato na fonte SIGA: 11715379000132</x:v>
      </x:c>
      <x:c r="W50" s="489" t="str">
        <x:v>Valor do grupo fecha com: SIGA pago favorecido</x:v>
      </x:c>
      <x:c r="X50" s="489" t="str"/>
    </x:row>
    <x:row r="51">
      <x:c r="A51" s="502" t="n">
        <x:v>51</x:v>
      </x:c>
      <x:c r="B51" s="502" t="n">
        <x:v>2023</x:v>
      </x:c>
      <x:c r="C51" s="489" t="str">
        <x:v>Boa Vista do Buricá</x:v>
      </x:c>
      <x:c r="D51" s="489" t="str">
        <x:v>APAE</x:v>
      </x:c>
      <x:c r="E51" s="489" t="str">
        <x:v>APAE de Boa Vista do Buricá</x:v>
      </x:c>
      <x:c r="F51" s="489" t="str"/>
      <x:c r="G51" s="489" t="str"/>
      <x:c r="H51" s="489" t="str">
        <x:v>Sem nº conciliado</x:v>
      </x:c>
      <x:c r="I51" s="503" t="n">
        <x:v>50000</x:v>
      </x:c>
      <x:c r="J51" s="503" t="n">
        <x:v>50000</x:v>
      </x:c>
      <x:c r="K51" s="489" t="str">
        <x:v>Emenda de Bancada</x:v>
      </x:c>
      <x:c r="L51" s="489" t="str">
        <x:v>Recurso pago</x:v>
      </x:c>
      <x:c r="M51" s="503" t="n">
        <x:v>0</x:v>
      </x:c>
      <x:c r="N51" s="503" t="n">
        <x:v>0</x:v>
      </x:c>
      <x:c r="O51" s="503" t="n">
        <x:v>0</x:v>
      </x:c>
      <x:c r="P51" s="503" t="n">
        <x:v>0</x:v>
      </x:c>
      <x:c r="Q51" s="503" t="n">
        <x:v>0</x:v>
      </x:c>
      <x:c r="R51" s="489" t="str"/>
      <x:c r="S51" s="489" t="str"/>
      <x:c r="T51" s="489" t="str">
        <x:v>SEM Nº / NÃO CONCILIADO</x:v>
      </x:c>
      <x:c r="U51" s="489" t="str">
        <x:v>Média</x:v>
      </x:c>
      <x:c r="V51" s="489" t="str"/>
      <x:c r="W51" s="489" t="str"/>
      <x:c r="X51" s="489" t="str"/>
    </x:row>
    <x:row r="52">
      <x:c r="A52" s="502" t="n">
        <x:v>52</x:v>
      </x:c>
      <x:c r="B52" s="502" t="n">
        <x:v>2023</x:v>
      </x:c>
      <x:c r="C52" s="489" t="str">
        <x:v>Feliz</x:v>
      </x:c>
      <x:c r="D52" s="489" t="str">
        <x:v>APAE</x:v>
      </x:c>
      <x:c r="E52" s="489" t="str">
        <x:v>APAE de Feliz</x:v>
      </x:c>
      <x:c r="F52" s="489" t="str"/>
      <x:c r="G52" s="489" t="str"/>
      <x:c r="H52" s="489" t="str">
        <x:v>Sem nº conciliado</x:v>
      </x:c>
      <x:c r="I52" s="503" t="n">
        <x:v>50000</x:v>
      </x:c>
      <x:c r="J52" s="503" t="n">
        <x:v>50000</x:v>
      </x:c>
      <x:c r="K52" s="489" t="str">
        <x:v>Emenda de Bancada</x:v>
      </x:c>
      <x:c r="L52" s="489" t="str">
        <x:v>Recurso pago</x:v>
      </x:c>
      <x:c r="M52" s="503" t="n">
        <x:v>0</x:v>
      </x:c>
      <x:c r="N52" s="503" t="n">
        <x:v>0</x:v>
      </x:c>
      <x:c r="O52" s="503" t="n">
        <x:v>0</x:v>
      </x:c>
      <x:c r="P52" s="503" t="n">
        <x:v>0</x:v>
      </x:c>
      <x:c r="Q52" s="503" t="n">
        <x:v>0</x:v>
      </x:c>
      <x:c r="R52" s="489" t="str"/>
      <x:c r="S52" s="489" t="str"/>
      <x:c r="T52" s="489" t="str">
        <x:v>SEM Nº / NÃO CONCILIADO</x:v>
      </x:c>
      <x:c r="U52" s="489" t="str">
        <x:v>Média</x:v>
      </x:c>
      <x:c r="V52" s="489" t="str"/>
      <x:c r="W52" s="489" t="str"/>
      <x:c r="X52" s="489" t="str"/>
    </x:row>
    <x:row r="53">
      <x:c r="A53" s="502" t="n">
        <x:v>53</x:v>
      </x:c>
      <x:c r="B53" s="502" t="n">
        <x:v>2023</x:v>
      </x:c>
      <x:c r="C53" s="489" t="str">
        <x:v>São Martinho</x:v>
      </x:c>
      <x:c r="D53" s="489" t="str">
        <x:v>APAE</x:v>
      </x:c>
      <x:c r="E53" s="489" t="str">
        <x:v>APAE de São Martinho</x:v>
      </x:c>
      <x:c r="F53" s="489" t="str"/>
      <x:c r="G53" s="489" t="str"/>
      <x:c r="H53" s="489" t="str">
        <x:v>Sem nº conciliado</x:v>
      </x:c>
      <x:c r="I53" s="503" t="n">
        <x:v>50000</x:v>
      </x:c>
      <x:c r="J53" s="503" t="n">
        <x:v>50000</x:v>
      </x:c>
      <x:c r="K53" s="489" t="str">
        <x:v>Emenda de Bancada</x:v>
      </x:c>
      <x:c r="L53" s="489" t="str">
        <x:v>Recurso pago</x:v>
      </x:c>
      <x:c r="M53" s="503" t="n">
        <x:v>0</x:v>
      </x:c>
      <x:c r="N53" s="503" t="n">
        <x:v>0</x:v>
      </x:c>
      <x:c r="O53" s="503" t="n">
        <x:v>0</x:v>
      </x:c>
      <x:c r="P53" s="503" t="n">
        <x:v>0</x:v>
      </x:c>
      <x:c r="Q53" s="503" t="n">
        <x:v>0</x:v>
      </x:c>
      <x:c r="R53" s="489" t="str"/>
      <x:c r="S53" s="489" t="str"/>
      <x:c r="T53" s="489" t="str">
        <x:v>SEM Nº / NÃO CONCILIADO</x:v>
      </x:c>
      <x:c r="U53" s="489" t="str">
        <x:v>Média</x:v>
      </x:c>
      <x:c r="V53" s="489" t="str"/>
      <x:c r="W53" s="489" t="str"/>
      <x:c r="X53" s="489" t="str"/>
    </x:row>
    <x:row r="54">
      <x:c r="A54" s="502" t="n">
        <x:v>54</x:v>
      </x:c>
      <x:c r="B54" s="502" t="n">
        <x:v>2024</x:v>
      </x:c>
      <x:c r="C54" s="489" t="str">
        <x:v>Forquetinha</x:v>
      </x:c>
      <x:c r="D54" s="489" t="str">
        <x:v>Prefeitura Municipal de Forquetinha</x:v>
      </x:c>
      <x:c r="E54" s="489" t="str">
        <x:v>Prefeitura Municipal</x:v>
      </x:c>
      <x:c r="F54" s="489" t="str">
        <x:v>41160002</x:v>
      </x:c>
      <x:c r="G54" s="489" t="str">
        <x:v>41160002-2024</x:v>
      </x:c>
      <x:c r="H54" s="489" t="str">
        <x:v>Informado/corrigido a partir do mapa</x:v>
      </x:c>
      <x:c r="I54" s="503" t="n">
        <x:v>50000</x:v>
      </x:c>
      <x:c r="J54" s="503" t="n">
        <x:v>50000</x:v>
      </x:c>
      <x:c r="K54" s="489" t="str">
        <x:v>Emenda Individual</x:v>
      </x:c>
      <x:c r="L54" s="489"/>
      <x:c r="M54" s="503" t="n">
        <x:v>50000</x:v>
      </x:c>
      <x:c r="N54" s="503" t="n">
        <x:v>0</x:v>
      </x:c>
      <x:c r="O54" s="503" t="n">
        <x:v>0</x:v>
      </x:c>
      <x:c r="P54" s="503" t="n">
        <x:v>0</x:v>
      </x:c>
      <x:c r="Q54" s="503" t="n">
        <x:v>0</x:v>
      </x:c>
      <x:c r="R54" s="489" t="str"/>
      <x:c r="S54" s="489" t="str">
        <x:v>12163437000125</x:v>
      </x:c>
      <x:c r="T54" s="489" t="str">
        <x:v>CONFIRMADO</x:v>
      </x:c>
      <x:c r="U54" s="489" t="str">
        <x:v>Baixa</x:v>
      </x:c>
      <x:c r="V54" s="489" t="str">
        <x:v>Preencher situação: há pagamento identificado na fonte pública; CNPJ candidato na fonte SIGA: 12163437000125</x:v>
      </x:c>
      <x:c r="W54" s="489" t="str">
        <x:v>Valor do grupo fecha com: SIGA pago favorecido</x:v>
      </x:c>
      <x:c r="X54" s="489" t="str"/>
    </x:row>
    <x:row r="55">
      <x:c r="A55" s="502" t="n">
        <x:v>55</x:v>
      </x:c>
      <x:c r="B55" s="502" t="n">
        <x:v>2024</x:v>
      </x:c>
      <x:c r="C55" s="489" t="str">
        <x:v>Imigrante</x:v>
      </x:c>
      <x:c r="D55" s="489" t="str">
        <x:v>Prefeitura Municipal de Imigrante</x:v>
      </x:c>
      <x:c r="E55" s="489" t="str">
        <x:v>Prefeitura Municipal</x:v>
      </x:c>
      <x:c r="F55" s="489" t="str">
        <x:v>41160002</x:v>
      </x:c>
      <x:c r="G55" s="489" t="str">
        <x:v>41160002-2024</x:v>
      </x:c>
      <x:c r="H55" s="489" t="str">
        <x:v>Informado/corrigido a partir do mapa</x:v>
      </x:c>
      <x:c r="I55" s="503" t="n">
        <x:v>50000</x:v>
      </x:c>
      <x:c r="J55" s="503" t="n">
        <x:v>50000</x:v>
      </x:c>
      <x:c r="K55" s="489" t="str">
        <x:v>Emenda Individual</x:v>
      </x:c>
      <x:c r="L55" s="489"/>
      <x:c r="M55" s="503" t="n">
        <x:v>50000</x:v>
      </x:c>
      <x:c r="N55" s="503" t="n">
        <x:v>0</x:v>
      </x:c>
      <x:c r="O55" s="503" t="n">
        <x:v>0</x:v>
      </x:c>
      <x:c r="P55" s="503" t="n">
        <x:v>0</x:v>
      </x:c>
      <x:c r="Q55" s="503" t="n">
        <x:v>0</x:v>
      </x:c>
      <x:c r="R55" s="489" t="str"/>
      <x:c r="S55" s="489" t="str">
        <x:v>11749956000107</x:v>
      </x:c>
      <x:c r="T55" s="489" t="str">
        <x:v>CONFIRMADO</x:v>
      </x:c>
      <x:c r="U55" s="489" t="str">
        <x:v>Baixa</x:v>
      </x:c>
      <x:c r="V55" s="489" t="str">
        <x:v>Preencher situação: há pagamento identificado na fonte pública; CNPJ candidato na fonte SIGA: 11749956000107</x:v>
      </x:c>
      <x:c r="W55" s="489" t="str">
        <x:v>Valor do grupo fecha com: SIGA pago favorecido</x:v>
      </x:c>
      <x:c r="X55" s="489" t="str"/>
    </x:row>
    <x:row r="56">
      <x:c r="A56" s="502" t="n">
        <x:v>56</x:v>
      </x:c>
      <x:c r="B56" s="502" t="n">
        <x:v>2019</x:v>
      </x:c>
      <x:c r="C56" s="489" t="str">
        <x:v>Santo Antônio das Missões</x:v>
      </x:c>
      <x:c r="D56" s="489" t="str">
        <x:v>Escola Agrotécnica</x:v>
      </x:c>
      <x:c r="E56" s="489" t="str">
        <x:v>E.T.E. Achilino de Santis</x:v>
      </x:c>
      <x:c r="F56" s="489" t="str">
        <x:v>71220005</x:v>
      </x:c>
      <x:c r="G56" s="489" t="str">
        <x:v>71220005-2019</x:v>
      </x:c>
      <x:c r="H56" s="489" t="str">
        <x:v>Informado/corrigido a partir do mapa</x:v>
      </x:c>
      <x:c r="I56" s="503" t="n">
        <x:v>54000</x:v>
      </x:c>
      <x:c r="J56" s="503" t="n">
        <x:v>54000</x:v>
      </x:c>
      <x:c r="K56" s="489" t="str">
        <x:v>Emenda de Bancada</x:v>
      </x:c>
      <x:c r="L56" s="489" t="str">
        <x:v>Recurso pago</x:v>
      </x:c>
      <x:c r="M56" s="503" t="n">
        <x:v>0</x:v>
      </x:c>
      <x:c r="N56" s="503" t="n">
        <x:v>0</x:v>
      </x:c>
      <x:c r="O56" s="503" t="n">
        <x:v>0</x:v>
      </x:c>
      <x:c r="P56" s="503" t="n">
        <x:v>0</x:v>
      </x:c>
      <x:c r="Q56" s="503" t="n">
        <x:v>0</x:v>
      </x:c>
      <x:c r="R56" s="489" t="str"/>
      <x:c r="S56" s="489" t="str"/>
      <x:c r="T56" s="489" t="str">
        <x:v>Nº NÃO LOCALIZADO</x:v>
      </x:c>
      <x:c r="U56" s="489" t="str">
        <x:v>Média</x:v>
      </x:c>
      <x:c r="V56" s="489" t="str"/>
      <x:c r="W56" s="489" t="str"/>
      <x:c r="X56" s="489" t="str"/>
    </x:row>
    <x:row r="57">
      <x:c r="A57" s="502" t="n">
        <x:v>57</x:v>
      </x:c>
      <x:c r="B57" s="502" t="n">
        <x:v>2019</x:v>
      </x:c>
      <x:c r="C57" s="489" t="str">
        <x:v>Lagoa Vermelha</x:v>
      </x:c>
      <x:c r="D57" s="489" t="str">
        <x:v>Escola Agrotécnica</x:v>
      </x:c>
      <x:c r="E57" s="489" t="str">
        <x:v>E.E.T.A Desidério Finamor</x:v>
      </x:c>
      <x:c r="F57" s="489" t="str">
        <x:v>71220005</x:v>
      </x:c>
      <x:c r="G57" s="489" t="str">
        <x:v>71220005-2019</x:v>
      </x:c>
      <x:c r="H57" s="489" t="str">
        <x:v>Informado/corrigido a partir do mapa</x:v>
      </x:c>
      <x:c r="I57" s="503" t="n">
        <x:v>54000</x:v>
      </x:c>
      <x:c r="J57" s="503" t="n">
        <x:v>54000</x:v>
      </x:c>
      <x:c r="K57" s="489" t="str">
        <x:v>Emenda de Bancada (processo seletivo)</x:v>
      </x:c>
      <x:c r="L57" s="489" t="str">
        <x:v>Recurso pago</x:v>
      </x:c>
      <x:c r="M57" s="503" t="n">
        <x:v>0</x:v>
      </x:c>
      <x:c r="N57" s="503" t="n">
        <x:v>0</x:v>
      </x:c>
      <x:c r="O57" s="503" t="n">
        <x:v>0</x:v>
      </x:c>
      <x:c r="P57" s="503" t="n">
        <x:v>0</x:v>
      </x:c>
      <x:c r="Q57" s="503" t="n">
        <x:v>0</x:v>
      </x:c>
      <x:c r="R57" s="489" t="str"/>
      <x:c r="S57" s="489" t="str"/>
      <x:c r="T57" s="489" t="str">
        <x:v>Nº NÃO LOCALIZADO</x:v>
      </x:c>
      <x:c r="U57" s="489" t="str">
        <x:v>Média</x:v>
      </x:c>
      <x:c r="V57" s="489" t="str"/>
      <x:c r="W57" s="489" t="str"/>
      <x:c r="X57" s="489" t="str"/>
    </x:row>
    <x:row r="58">
      <x:c r="A58" s="502" t="n">
        <x:v>58</x:v>
      </x:c>
      <x:c r="B58" s="502" t="n">
        <x:v>2019</x:v>
      </x:c>
      <x:c r="C58" s="489" t="str">
        <x:v>São Lourenço do Sul</x:v>
      </x:c>
      <x:c r="D58" s="489" t="str">
        <x:v>Escola Agrotécnica</x:v>
      </x:c>
      <x:c r="E58" s="489" t="str">
        <x:v>Escola Técnica Estadual Santa Isabel</x:v>
      </x:c>
      <x:c r="F58" s="489" t="str">
        <x:v>71220005</x:v>
      </x:c>
      <x:c r="G58" s="489" t="str">
        <x:v>71220005-2019</x:v>
      </x:c>
      <x:c r="H58" s="489" t="str">
        <x:v>Informado/corrigido a partir do mapa</x:v>
      </x:c>
      <x:c r="I58" s="503" t="n">
        <x:v>55000</x:v>
      </x:c>
      <x:c r="J58" s="503" t="n">
        <x:v>55000</x:v>
      </x:c>
      <x:c r="K58" s="489" t="str">
        <x:v>Emenda de Bancada (processo seletivo)</x:v>
      </x:c>
      <x:c r="L58" s="489" t="str">
        <x:v>Recurso pago</x:v>
      </x:c>
      <x:c r="M58" s="503" t="n">
        <x:v>0</x:v>
      </x:c>
      <x:c r="N58" s="503" t="n">
        <x:v>0</x:v>
      </x:c>
      <x:c r="O58" s="503" t="n">
        <x:v>0</x:v>
      </x:c>
      <x:c r="P58" s="503" t="n">
        <x:v>0</x:v>
      </x:c>
      <x:c r="Q58" s="503" t="n">
        <x:v>0</x:v>
      </x:c>
      <x:c r="R58" s="489" t="str"/>
      <x:c r="S58" s="489" t="str"/>
      <x:c r="T58" s="489" t="str">
        <x:v>Nº NÃO LOCALIZADO</x:v>
      </x:c>
      <x:c r="U58" s="489" t="str">
        <x:v>Média</x:v>
      </x:c>
      <x:c r="V58" s="489" t="str"/>
      <x:c r="W58" s="489" t="str"/>
      <x:c r="X58" s="489" t="str"/>
    </x:row>
    <x:row r="59">
      <x:c r="A59" s="502" t="n">
        <x:v>59</x:v>
      </x:c>
      <x:c r="B59" s="502" t="n">
        <x:v>2023</x:v>
      </x:c>
      <x:c r="C59" s="489" t="str">
        <x:v>Formigueiro</x:v>
      </x:c>
      <x:c r="D59" s="489" t="str">
        <x:v>Prefeitura</x:v>
      </x:c>
      <x:c r="E59" s="489" t="str">
        <x:v>Prefeitura de Formigueiro</x:v>
      </x:c>
      <x:c r="F59" s="489" t="str"/>
      <x:c r="G59" s="489" t="str">
        <x:v>41160001-2023</x:v>
      </x:c>
      <x:c r="H59" s="489" t="str">
        <x:v>Inferido forte (SIGA/PIX)</x:v>
      </x:c>
      <x:c r="I59" s="503" t="n">
        <x:v>56000</x:v>
      </x:c>
      <x:c r="J59" s="503" t="n">
        <x:v>56000</x:v>
      </x:c>
      <x:c r="K59" s="489" t="str">
        <x:v>Emenda Individual</x:v>
      </x:c>
      <x:c r="L59" s="489" t="str">
        <x:v>Recurso Pago</x:v>
      </x:c>
      <x:c r="M59" s="503" t="n">
        <x:v>56000</x:v>
      </x:c>
      <x:c r="N59" s="503" t="n">
        <x:v>0</x:v>
      </x:c>
      <x:c r="O59" s="503" t="n">
        <x:v>0</x:v>
      </x:c>
      <x:c r="P59" s="503" t="n">
        <x:v>56000</x:v>
      </x:c>
      <x:c r="Q59" s="503" t="n">
        <x:v>0</x:v>
      </x:c>
      <x:c r="R59" s="489" t="str">
        <x:v>CIENTE</x:v>
      </x:c>
      <x:c r="S59" s="489" t="str">
        <x:v>97228126000150</x:v>
      </x:c>
      <x:c r="T59" s="489" t="str">
        <x:v>CONFIRMADO</x:v>
      </x:c>
      <x:c r="U59" s="489" t="str">
        <x:v>Baixa</x:v>
      </x:c>
      <x:c r="V59" s="489" t="str">
        <x:v>Preencher nº como 41160001 com marcação de inferência (ano+município+valor exatos em SIGA/PIX); CNPJ candidato na fonte SIGA: 97228126000150</x:v>
      </x:c>
      <x:c r="W59" s="489" t="str">
        <x:v>nº ausente; inferido por coincidência exata de cidade e valor em SIGA favorecido, PIX; Valor do grupo fecha com: SIGA pago favorecido, PIX atual</x:v>
      </x:c>
      <x:c r="X59" s="489" t="str">
        <x:v>https://especiais.transferegov.sistema.gov.br/transferencia-especial/plano-acao/detalhe/38366/dados-basicos</x:v>
      </x:c>
    </x:row>
    <x:row r="60">
      <x:c r="A60" s="502" t="n">
        <x:v>60</x:v>
      </x:c>
      <x:c r="B60" s="502" t="n">
        <x:v>2023</x:v>
      </x:c>
      <x:c r="C60" s="489" t="str">
        <x:v>Formigueiro</x:v>
      </x:c>
      <x:c r="D60" s="489" t="str">
        <x:v>APAE</x:v>
      </x:c>
      <x:c r="E60" s="489" t="str">
        <x:v>APAE de Formigueiro</x:v>
      </x:c>
      <x:c r="F60" s="489" t="str"/>
      <x:c r="G60" s="489" t="str"/>
      <x:c r="H60" s="489" t="str">
        <x:v>Sem nº conciliado</x:v>
      </x:c>
      <x:c r="I60" s="503" t="n">
        <x:v>58000</x:v>
      </x:c>
      <x:c r="J60" s="503" t="n">
        <x:v>58000</x:v>
      </x:c>
      <x:c r="K60" s="489" t="str">
        <x:v>Emenda de Bancada</x:v>
      </x:c>
      <x:c r="L60" s="489" t="str">
        <x:v>Recurso Pago</x:v>
      </x:c>
      <x:c r="M60" s="503" t="n">
        <x:v>0</x:v>
      </x:c>
      <x:c r="N60" s="503" t="n">
        <x:v>0</x:v>
      </x:c>
      <x:c r="O60" s="503" t="n">
        <x:v>0</x:v>
      </x:c>
      <x:c r="P60" s="503" t="n">
        <x:v>0</x:v>
      </x:c>
      <x:c r="Q60" s="503" t="n">
        <x:v>0</x:v>
      </x:c>
      <x:c r="R60" s="489" t="str"/>
      <x:c r="S60" s="489" t="str"/>
      <x:c r="T60" s="489" t="str">
        <x:v>SEM Nº / NÃO CONCILIADO</x:v>
      </x:c>
      <x:c r="U60" s="489" t="str">
        <x:v>Média</x:v>
      </x:c>
      <x:c r="V60" s="489" t="str"/>
      <x:c r="W60" s="489" t="str"/>
      <x:c r="X60" s="489" t="str"/>
    </x:row>
    <x:row r="61">
      <x:c r="A61" s="502" t="n">
        <x:v>61</x:v>
      </x:c>
      <x:c r="B61" s="502" t="n">
        <x:v>2019</x:v>
      </x:c>
      <x:c r="C61" s="489" t="str">
        <x:v>Carazinho</x:v>
      </x:c>
      <x:c r="D61" s="489" t="str">
        <x:v>Escola Agrotécnica</x:v>
      </x:c>
      <x:c r="E61" s="489" t="str">
        <x:v>E.E.E.P. de Carazinho</x:v>
      </x:c>
      <x:c r="F61" s="489" t="str">
        <x:v>71220005</x:v>
      </x:c>
      <x:c r="G61" s="489" t="str">
        <x:v>71220005-2019</x:v>
      </x:c>
      <x:c r="H61" s="489" t="str">
        <x:v>Informado/corrigido a partir do mapa</x:v>
      </x:c>
      <x:c r="I61" s="503" t="n">
        <x:v>59000</x:v>
      </x:c>
      <x:c r="J61" s="503" t="n">
        <x:v>59000</x:v>
      </x:c>
      <x:c r="K61" s="489" t="str">
        <x:v>Emenda de Bancada (processo seletivo)</x:v>
      </x:c>
      <x:c r="L61" s="489" t="str">
        <x:v>Recurso pago</x:v>
      </x:c>
      <x:c r="M61" s="503" t="n">
        <x:v>0</x:v>
      </x:c>
      <x:c r="N61" s="503" t="n">
        <x:v>0</x:v>
      </x:c>
      <x:c r="O61" s="503" t="n">
        <x:v>0</x:v>
      </x:c>
      <x:c r="P61" s="503" t="n">
        <x:v>0</x:v>
      </x:c>
      <x:c r="Q61" s="503" t="n">
        <x:v>0</x:v>
      </x:c>
      <x:c r="R61" s="489" t="str"/>
      <x:c r="S61" s="489" t="str"/>
      <x:c r="T61" s="489" t="str">
        <x:v>Nº NÃO LOCALIZADO</x:v>
      </x:c>
      <x:c r="U61" s="489" t="str">
        <x:v>Média</x:v>
      </x:c>
      <x:c r="V61" s="489" t="str"/>
      <x:c r="W61" s="489" t="str"/>
      <x:c r="X61" s="489" t="str"/>
    </x:row>
    <x:row r="62">
      <x:c r="A62" s="502" t="n">
        <x:v>62</x:v>
      </x:c>
      <x:c r="B62" s="502" t="n">
        <x:v>2020</x:v>
      </x:c>
      <x:c r="C62" s="489" t="str">
        <x:v>Estância Velha</x:v>
      </x:c>
      <x:c r="D62" s="489" t="str">
        <x:v>Hospital</x:v>
      </x:c>
      <x:c r="E62" s="489" t="str">
        <x:v>Hospital Municipal Getúlio Vargas</x:v>
      </x:c>
      <x:c r="F62" s="489" t="str">
        <x:v>7122 0006</x:v>
      </x:c>
      <x:c r="G62" s="489" t="str">
        <x:v>71220006-2020</x:v>
      </x:c>
      <x:c r="H62" s="489" t="str">
        <x:v>Informado/corrigido a partir do mapa</x:v>
      </x:c>
      <x:c r="I62" s="503" t="n">
        <x:v>60000</x:v>
      </x:c>
      <x:c r="J62" s="503" t="n">
        <x:v>60000</x:v>
      </x:c>
      <x:c r="K62" s="489" t="str">
        <x:v>Emenda de Bancada</x:v>
      </x:c>
      <x:c r="L62" s="489" t="str">
        <x:v>Recurso pago</x:v>
      </x:c>
      <x:c r="M62" s="503" t="n">
        <x:v>0</x:v>
      </x:c>
      <x:c r="N62" s="503" t="n">
        <x:v>0</x:v>
      </x:c>
      <x:c r="O62" s="503" t="n">
        <x:v>0</x:v>
      </x:c>
      <x:c r="P62" s="503" t="n">
        <x:v>0</x:v>
      </x:c>
      <x:c r="Q62" s="503" t="n">
        <x:v>0</x:v>
      </x:c>
      <x:c r="R62" s="489" t="str"/>
      <x:c r="S62" s="489" t="str"/>
      <x:c r="T62" s="489" t="str">
        <x:v>Nº NÃO LOCALIZADO</x:v>
      </x:c>
      <x:c r="U62" s="489" t="str">
        <x:v>Média</x:v>
      </x:c>
      <x:c r="V62" s="489" t="str"/>
      <x:c r="W62" s="489" t="str"/>
      <x:c r="X62" s="489" t="str"/>
    </x:row>
    <x:row r="63">
      <x:c r="A63" s="502" t="n">
        <x:v>63</x:v>
      </x:c>
      <x:c r="B63" s="502" t="n">
        <x:v>2023</x:v>
      </x:c>
      <x:c r="C63" s="489" t="str">
        <x:v>Tupandi</x:v>
      </x:c>
      <x:c r="D63" s="489" t="str">
        <x:v>Prefeitura</x:v>
      </x:c>
      <x:c r="E63" s="489" t="str">
        <x:v>Prefeitura de Tupandi</x:v>
      </x:c>
      <x:c r="F63" s="489" t="str"/>
      <x:c r="G63" s="489" t="str">
        <x:v>41160001-2023</x:v>
      </x:c>
      <x:c r="H63" s="489" t="str">
        <x:v>Inferido forte (SIGA/PIX)</x:v>
      </x:c>
      <x:c r="I63" s="503" t="n">
        <x:v>60000</x:v>
      </x:c>
      <x:c r="J63" s="503" t="n">
        <x:v>60000</x:v>
      </x:c>
      <x:c r="K63" s="489" t="str">
        <x:v>Emenda Individual</x:v>
      </x:c>
      <x:c r="L63" s="489" t="str">
        <x:v>Empenhado</x:v>
      </x:c>
      <x:c r="M63" s="503" t="n">
        <x:v>60000</x:v>
      </x:c>
      <x:c r="N63" s="503" t="n">
        <x:v>0</x:v>
      </x:c>
      <x:c r="O63" s="503" t="n">
        <x:v>0</x:v>
      </x:c>
      <x:c r="P63" s="503" t="n">
        <x:v>60000</x:v>
      </x:c>
      <x:c r="Q63" s="503" t="n">
        <x:v>0</x:v>
      </x:c>
      <x:c r="R63" s="489" t="str">
        <x:v>CIENTE</x:v>
      </x:c>
      <x:c r="S63" s="489" t="str">
        <x:v>92122712000100</x:v>
      </x:c>
      <x:c r="T63" s="489" t="str">
        <x:v>CONFIRMADO</x:v>
      </x:c>
      <x:c r="U63" s="489" t="str">
        <x:v>Baixa</x:v>
      </x:c>
      <x:c r="V63" s="489" t="str">
        <x:v>Preencher nº como 41160001 com marcação de inferência (ano+município+valor exatos em SIGA/PIX); Situação possivelmente desatualizada: SIGA/execução regionalizada mostra pagamento; CNPJ candidato na fonte SIGA: 92122712000100</x:v>
      </x:c>
      <x:c r="W63" s="489" t="str">
        <x:v>nº ausente; inferido por coincidência exata de cidade e valor em SIGA favorecido, PIX; Valor do grupo fecha com: SIGA pago favorecido, PIX atual</x:v>
      </x:c>
      <x:c r="X63" s="489" t="str">
        <x:v>https://especiais.transferegov.sistema.gov.br/transferencia-especial/plano-acao/detalhe/38363/dados-basicos</x:v>
      </x:c>
    </x:row>
    <x:row r="64">
      <x:c r="A64" s="502" t="n">
        <x:v>64</x:v>
      </x:c>
      <x:c r="B64" s="502" t="n">
        <x:v>2024</x:v>
      </x:c>
      <x:c r="C64" s="489" t="str">
        <x:v>Bom Princípio</x:v>
      </x:c>
      <x:c r="D64" s="489" t="str">
        <x:v>Prefeitura Municipal de Bom Princípio</x:v>
      </x:c>
      <x:c r="E64" s="489" t="str">
        <x:v>Prefeitura Municipal</x:v>
      </x:c>
      <x:c r="F64" s="489" t="str">
        <x:v>41160002</x:v>
      </x:c>
      <x:c r="G64" s="489" t="str">
        <x:v>41160002-2024</x:v>
      </x:c>
      <x:c r="H64" s="489" t="str">
        <x:v>Informado/corrigido a partir do mapa</x:v>
      </x:c>
      <x:c r="I64" s="503" t="n">
        <x:v>60000</x:v>
      </x:c>
      <x:c r="J64" s="503" t="n">
        <x:v>60000</x:v>
      </x:c>
      <x:c r="K64" s="489" t="str">
        <x:v>Emenda Individual</x:v>
      </x:c>
      <x:c r="L64" s="489"/>
      <x:c r="M64" s="503" t="n">
        <x:v>60000</x:v>
      </x:c>
      <x:c r="N64" s="503" t="n">
        <x:v>0</x:v>
      </x:c>
      <x:c r="O64" s="503" t="n">
        <x:v>0</x:v>
      </x:c>
      <x:c r="P64" s="503" t="n">
        <x:v>0</x:v>
      </x:c>
      <x:c r="Q64" s="503" t="n">
        <x:v>0</x:v>
      </x:c>
      <x:c r="R64" s="489" t="str"/>
      <x:c r="S64" s="489" t="str">
        <x:v>11389385000147</x:v>
      </x:c>
      <x:c r="T64" s="489" t="str">
        <x:v>CONFIRMADO</x:v>
      </x:c>
      <x:c r="U64" s="489" t="str">
        <x:v>Baixa</x:v>
      </x:c>
      <x:c r="V64" s="489" t="str">
        <x:v>Preencher situação: há pagamento identificado na fonte pública; CNPJ candidato na fonte SIGA: 11389385000147</x:v>
      </x:c>
      <x:c r="W64" s="489" t="str">
        <x:v>Valor do grupo fecha com: SIGA pago favorecido</x:v>
      </x:c>
      <x:c r="X64" s="489" t="str"/>
    </x:row>
    <x:row r="65">
      <x:c r="A65" s="502" t="n">
        <x:v>65</x:v>
      </x:c>
      <x:c r="B65" s="502" t="n">
        <x:v>2019</x:v>
      </x:c>
      <x:c r="C65" s="489" t="str">
        <x:v>Bom Progresso</x:v>
      </x:c>
      <x:c r="D65" s="489" t="str">
        <x:v>Escola Agrotécnica</x:v>
      </x:c>
      <x:c r="E65" s="489" t="str">
        <x:v>E.T.E. Celeiro</x:v>
      </x:c>
      <x:c r="F65" s="489" t="str">
        <x:v>71220005</x:v>
      </x:c>
      <x:c r="G65" s="489" t="str">
        <x:v>71220005-2019</x:v>
      </x:c>
      <x:c r="H65" s="489" t="str">
        <x:v>Informado/corrigido a partir do mapa</x:v>
      </x:c>
      <x:c r="I65" s="503" t="n">
        <x:v>63000</x:v>
      </x:c>
      <x:c r="J65" s="503" t="n">
        <x:v>63000</x:v>
      </x:c>
      <x:c r="K65" s="489" t="str">
        <x:v>Emenda de Bancada (processo seletivo)</x:v>
      </x:c>
      <x:c r="L65" s="489" t="str">
        <x:v>Recurso pago</x:v>
      </x:c>
      <x:c r="M65" s="503" t="n">
        <x:v>0</x:v>
      </x:c>
      <x:c r="N65" s="503" t="n">
        <x:v>0</x:v>
      </x:c>
      <x:c r="O65" s="503" t="n">
        <x:v>0</x:v>
      </x:c>
      <x:c r="P65" s="503" t="n">
        <x:v>0</x:v>
      </x:c>
      <x:c r="Q65" s="503" t="n">
        <x:v>0</x:v>
      </x:c>
      <x:c r="R65" s="489" t="str"/>
      <x:c r="S65" s="489" t="str"/>
      <x:c r="T65" s="489" t="str">
        <x:v>Nº NÃO LOCALIZADO</x:v>
      </x:c>
      <x:c r="U65" s="489" t="str">
        <x:v>Média</x:v>
      </x:c>
      <x:c r="V65" s="489" t="str"/>
      <x:c r="W65" s="489" t="str"/>
      <x:c r="X65" s="489" t="str"/>
    </x:row>
    <x:row r="66">
      <x:c r="A66" s="502" t="n">
        <x:v>66</x:v>
      </x:c>
      <x:c r="B66" s="502" t="n">
        <x:v>2019</x:v>
      </x:c>
      <x:c r="C66" s="489" t="str">
        <x:v>Erechim</x:v>
      </x:c>
      <x:c r="D66" s="489" t="str">
        <x:v>Escola Agrotécnica</x:v>
      </x:c>
      <x:c r="E66" s="489" t="str">
        <x:v>C.A.E. Ângelo Emílio Grando</x:v>
      </x:c>
      <x:c r="F66" s="489" t="str">
        <x:v>71220005</x:v>
      </x:c>
      <x:c r="G66" s="489" t="str">
        <x:v>71220005-2019</x:v>
      </x:c>
      <x:c r="H66" s="489" t="str">
        <x:v>Informado/corrigido a partir do mapa</x:v>
      </x:c>
      <x:c r="I66" s="503" t="n">
        <x:v>63000</x:v>
      </x:c>
      <x:c r="J66" s="503" t="n">
        <x:v>63000</x:v>
      </x:c>
      <x:c r="K66" s="489" t="str">
        <x:v>Emenda de Bancada (processo seletivo)</x:v>
      </x:c>
      <x:c r="L66" s="489" t="str">
        <x:v>Recurso pago</x:v>
      </x:c>
      <x:c r="M66" s="503" t="n">
        <x:v>0</x:v>
      </x:c>
      <x:c r="N66" s="503" t="n">
        <x:v>0</x:v>
      </x:c>
      <x:c r="O66" s="503" t="n">
        <x:v>0</x:v>
      </x:c>
      <x:c r="P66" s="503" t="n">
        <x:v>0</x:v>
      </x:c>
      <x:c r="Q66" s="503" t="n">
        <x:v>0</x:v>
      </x:c>
      <x:c r="R66" s="489" t="str"/>
      <x:c r="S66" s="489" t="str"/>
      <x:c r="T66" s="489" t="str">
        <x:v>Nº NÃO LOCALIZADO</x:v>
      </x:c>
      <x:c r="U66" s="489" t="str">
        <x:v>Média</x:v>
      </x:c>
      <x:c r="V66" s="489" t="str"/>
      <x:c r="W66" s="489" t="str"/>
      <x:c r="X66" s="489" t="str"/>
    </x:row>
    <x:row r="67">
      <x:c r="A67" s="502" t="n">
        <x:v>67</x:v>
      </x:c>
      <x:c r="B67" s="502" t="n">
        <x:v>2019</x:v>
      </x:c>
      <x:c r="C67" s="489" t="str">
        <x:v>Dom Pedrito</x:v>
      </x:c>
      <x:c r="D67" s="489" t="str">
        <x:v>Escola Agrotécnica</x:v>
      </x:c>
      <x:c r="E67" s="489" t="str">
        <x:v>E.E.E.P. Dom Pedrito</x:v>
      </x:c>
      <x:c r="F67" s="489" t="str">
        <x:v>71220005</x:v>
      </x:c>
      <x:c r="G67" s="489" t="str">
        <x:v>71220005-2019</x:v>
      </x:c>
      <x:c r="H67" s="489" t="str">
        <x:v>Informado/corrigido a partir do mapa</x:v>
      </x:c>
      <x:c r="I67" s="503" t="n">
        <x:v>64000</x:v>
      </x:c>
      <x:c r="J67" s="503" t="n">
        <x:v>64000</x:v>
      </x:c>
      <x:c r="K67" s="489" t="str">
        <x:v>Emenda de Bancada (processo seletivo)</x:v>
      </x:c>
      <x:c r="L67" s="489" t="str">
        <x:v>Recurso pago</x:v>
      </x:c>
      <x:c r="M67" s="503" t="n">
        <x:v>0</x:v>
      </x:c>
      <x:c r="N67" s="503" t="n">
        <x:v>0</x:v>
      </x:c>
      <x:c r="O67" s="503" t="n">
        <x:v>0</x:v>
      </x:c>
      <x:c r="P67" s="503" t="n">
        <x:v>0</x:v>
      </x:c>
      <x:c r="Q67" s="503" t="n">
        <x:v>0</x:v>
      </x:c>
      <x:c r="R67" s="489" t="str"/>
      <x:c r="S67" s="489" t="str"/>
      <x:c r="T67" s="489" t="str">
        <x:v>Nº NÃO LOCALIZADO</x:v>
      </x:c>
      <x:c r="U67" s="489" t="str">
        <x:v>Média</x:v>
      </x:c>
      <x:c r="V67" s="489" t="str"/>
      <x:c r="W67" s="489" t="str"/>
      <x:c r="X67" s="489" t="str"/>
    </x:row>
    <x:row r="68">
      <x:c r="A68" s="502" t="n">
        <x:v>68</x:v>
      </x:c>
      <x:c r="B68" s="502" t="n">
        <x:v>2019</x:v>
      </x:c>
      <x:c r="C68" s="489" t="str">
        <x:v>Palmeira das Missões</x:v>
      </x:c>
      <x:c r="D68" s="489" t="str">
        <x:v>Escola Agrotécnica</x:v>
      </x:c>
      <x:c r="E68" s="489" t="str">
        <x:v>E.E.T. Celeste Gobbato</x:v>
      </x:c>
      <x:c r="F68" s="489" t="str">
        <x:v>71220005</x:v>
      </x:c>
      <x:c r="G68" s="489" t="str">
        <x:v>71220005-2019</x:v>
      </x:c>
      <x:c r="H68" s="489" t="str">
        <x:v>Informado/corrigido a partir do mapa</x:v>
      </x:c>
      <x:c r="I68" s="503" t="n">
        <x:v>66000</x:v>
      </x:c>
      <x:c r="J68" s="503" t="n">
        <x:v>66000</x:v>
      </x:c>
      <x:c r="K68" s="489" t="str">
        <x:v>Emenda de Bancada (processo seletivo)</x:v>
      </x:c>
      <x:c r="L68" s="489" t="str">
        <x:v>Recurso pago</x:v>
      </x:c>
      <x:c r="M68" s="503" t="n">
        <x:v>0</x:v>
      </x:c>
      <x:c r="N68" s="503" t="n">
        <x:v>0</x:v>
      </x:c>
      <x:c r="O68" s="503" t="n">
        <x:v>0</x:v>
      </x:c>
      <x:c r="P68" s="503" t="n">
        <x:v>0</x:v>
      </x:c>
      <x:c r="Q68" s="503" t="n">
        <x:v>0</x:v>
      </x:c>
      <x:c r="R68" s="489" t="str"/>
      <x:c r="S68" s="489" t="str"/>
      <x:c r="T68" s="489" t="str">
        <x:v>Nº NÃO LOCALIZADO</x:v>
      </x:c>
      <x:c r="U68" s="489" t="str">
        <x:v>Média</x:v>
      </x:c>
      <x:c r="V68" s="489" t="str"/>
      <x:c r="W68" s="489" t="str"/>
      <x:c r="X68" s="489" t="str"/>
    </x:row>
    <x:row r="69">
      <x:c r="A69" s="502" t="n">
        <x:v>69</x:v>
      </x:c>
      <x:c r="B69" s="502" t="n">
        <x:v>2023</x:v>
      </x:c>
      <x:c r="C69" s="489" t="str">
        <x:v>São Sepé</x:v>
      </x:c>
      <x:c r="D69" s="489" t="str">
        <x:v>APAE</x:v>
      </x:c>
      <x:c r="E69" s="489" t="str">
        <x:v>APAE de São Sepé</x:v>
      </x:c>
      <x:c r="F69" s="489" t="str"/>
      <x:c r="G69" s="489" t="str"/>
      <x:c r="H69" s="489" t="str">
        <x:v>Sem nº conciliado</x:v>
      </x:c>
      <x:c r="I69" s="503" t="n">
        <x:v>66576.11</x:v>
      </x:c>
      <x:c r="J69" s="503" t="n">
        <x:v>66576.11</x:v>
      </x:c>
      <x:c r="K69" s="489" t="str">
        <x:v>Emenda de Bancada</x:v>
      </x:c>
      <x:c r="L69" s="489" t="str">
        <x:v>Recurso Pago</x:v>
      </x:c>
      <x:c r="M69" s="503" t="n">
        <x:v>0</x:v>
      </x:c>
      <x:c r="N69" s="503" t="n">
        <x:v>0</x:v>
      </x:c>
      <x:c r="O69" s="503" t="n">
        <x:v>0</x:v>
      </x:c>
      <x:c r="P69" s="503" t="n">
        <x:v>0</x:v>
      </x:c>
      <x:c r="Q69" s="503" t="n">
        <x:v>0</x:v>
      </x:c>
      <x:c r="R69" s="489" t="str"/>
      <x:c r="S69" s="489" t="str"/>
      <x:c r="T69" s="489" t="str">
        <x:v>SEM Nº / NÃO CONCILIADO</x:v>
      </x:c>
      <x:c r="U69" s="489" t="str">
        <x:v>Média</x:v>
      </x:c>
      <x:c r="V69" s="489" t="str"/>
      <x:c r="W69" s="489" t="str"/>
      <x:c r="X69" s="489" t="str"/>
    </x:row>
    <x:row r="70">
      <x:c r="A70" s="502" t="n">
        <x:v>70</x:v>
      </x:c>
      <x:c r="B70" s="502" t="n">
        <x:v>2020</x:v>
      </x:c>
      <x:c r="C70" s="489" t="str">
        <x:v>Boqueirão do Leão</x:v>
      </x:c>
      <x:c r="D70" s="489" t="str">
        <x:v>Município</x:v>
      </x:c>
      <x:c r="E70" s="489" t="str">
        <x:v>Prefeitura Municipal</x:v>
      </x:c>
      <x:c r="F70" s="489" t="str">
        <x:v>41160001</x:v>
      </x:c>
      <x:c r="G70" s="489" t="str">
        <x:v>41160001-2020</x:v>
      </x:c>
      <x:c r="H70" s="489" t="str">
        <x:v>Informado/corrigido a partir do mapa</x:v>
      </x:c>
      <x:c r="I70" s="503" t="n">
        <x:v>67500</x:v>
      </x:c>
      <x:c r="J70" s="503" t="n">
        <x:v>67500</x:v>
      </x:c>
      <x:c r="K70" s="489" t="str">
        <x:v>Emenda Individual (processo seletivo)</x:v>
      </x:c>
      <x:c r="L70" s="489" t="str">
        <x:v>Recurso pago</x:v>
      </x:c>
      <x:c r="M70" s="503" t="n">
        <x:v>67500</x:v>
      </x:c>
      <x:c r="N70" s="503" t="n">
        <x:v>0</x:v>
      </x:c>
      <x:c r="O70" s="503" t="n">
        <x:v>0</x:v>
      </x:c>
      <x:c r="P70" s="503" t="n">
        <x:v>0</x:v>
      </x:c>
      <x:c r="Q70" s="503" t="n">
        <x:v>0</x:v>
      </x:c>
      <x:c r="R70" s="489" t="str"/>
      <x:c r="S70" s="489" t="str">
        <x:v>10819930000125</x:v>
      </x:c>
      <x:c r="T70" s="489" t="str">
        <x:v>CONFIRMADO</x:v>
      </x:c>
      <x:c r="U70" s="489" t="str">
        <x:v>Baixa</x:v>
      </x:c>
      <x:c r="V70" s="489" t="str">
        <x:v>CNPJ candidato na fonte SIGA: 10819930000125</x:v>
      </x:c>
      <x:c r="W70" s="489" t="str">
        <x:v>Valor do grupo fecha com: SIGA pago favorecido</x:v>
      </x:c>
      <x:c r="X70" s="489" t="str"/>
    </x:row>
    <x:row r="71">
      <x:c r="A71" s="502" t="n">
        <x:v>71</x:v>
      </x:c>
      <x:c r="B71" s="502" t="n">
        <x:v>2020</x:v>
      </x:c>
      <x:c r="C71" s="489" t="str">
        <x:v>Canela</x:v>
      </x:c>
      <x:c r="D71" s="489" t="str">
        <x:v>Município</x:v>
      </x:c>
      <x:c r="E71" s="489" t="str">
        <x:v>Prefeitura Municipal</x:v>
      </x:c>
      <x:c r="F71" s="489" t="str">
        <x:v>41160001</x:v>
      </x:c>
      <x:c r="G71" s="489" t="str">
        <x:v>41160001-2020</x:v>
      </x:c>
      <x:c r="H71" s="489" t="str">
        <x:v>Informado/corrigido a partir do mapa</x:v>
      </x:c>
      <x:c r="I71" s="503" t="n">
        <x:v>67500</x:v>
      </x:c>
      <x:c r="J71" s="503" t="n">
        <x:v>67500</x:v>
      </x:c>
      <x:c r="K71" s="489" t="str">
        <x:v>Emenda Individual (processo seletivo)</x:v>
      </x:c>
      <x:c r="L71" s="489" t="str">
        <x:v>Recurso pago</x:v>
      </x:c>
      <x:c r="M71" s="503" t="n">
        <x:v>67500</x:v>
      </x:c>
      <x:c r="N71" s="503" t="n">
        <x:v>0</x:v>
      </x:c>
      <x:c r="O71" s="503" t="n">
        <x:v>0</x:v>
      </x:c>
      <x:c r="P71" s="503" t="n">
        <x:v>0</x:v>
      </x:c>
      <x:c r="Q71" s="503" t="n">
        <x:v>0</x:v>
      </x:c>
      <x:c r="R71" s="489" t="str"/>
      <x:c r="S71" s="489" t="str">
        <x:v>12013178000156</x:v>
      </x:c>
      <x:c r="T71" s="489" t="str">
        <x:v>CONFIRMADO</x:v>
      </x:c>
      <x:c r="U71" s="489" t="str">
        <x:v>Baixa</x:v>
      </x:c>
      <x:c r="V71" s="489" t="str">
        <x:v>CNPJ candidato na fonte SIGA: 12013178000156</x:v>
      </x:c>
      <x:c r="W71" s="489" t="str">
        <x:v>Valor do grupo fecha com: SIGA pago favorecido</x:v>
      </x:c>
      <x:c r="X71" s="489" t="str"/>
    </x:row>
    <x:row r="72">
      <x:c r="A72" s="502" t="n">
        <x:v>72</x:v>
      </x:c>
      <x:c r="B72" s="502" t="n">
        <x:v>2020</x:v>
      </x:c>
      <x:c r="C72" s="489" t="str">
        <x:v>Serafina Corrêa</x:v>
      </x:c>
      <x:c r="D72" s="489" t="str">
        <x:v>Município</x:v>
      </x:c>
      <x:c r="E72" s="489" t="str">
        <x:v>Prefeitura Municipal</x:v>
      </x:c>
      <x:c r="F72" s="489" t="str">
        <x:v>41160001</x:v>
      </x:c>
      <x:c r="G72" s="489" t="str">
        <x:v>41160001-2020</x:v>
      </x:c>
      <x:c r="H72" s="489" t="str">
        <x:v>Informado/corrigido a partir do mapa</x:v>
      </x:c>
      <x:c r="I72" s="503" t="n">
        <x:v>67500</x:v>
      </x:c>
      <x:c r="J72" s="503" t="n">
        <x:v>67500</x:v>
      </x:c>
      <x:c r="K72" s="489" t="str">
        <x:v>Emenda Individual (processo seletivo)</x:v>
      </x:c>
      <x:c r="L72" s="489" t="str">
        <x:v>Recurso pago</x:v>
      </x:c>
      <x:c r="M72" s="503" t="n">
        <x:v>67500</x:v>
      </x:c>
      <x:c r="N72" s="503" t="n">
        <x:v>0</x:v>
      </x:c>
      <x:c r="O72" s="503" t="n">
        <x:v>0</x:v>
      </x:c>
      <x:c r="P72" s="503" t="n">
        <x:v>0</x:v>
      </x:c>
      <x:c r="Q72" s="503" t="n">
        <x:v>0</x:v>
      </x:c>
      <x:c r="R72" s="489" t="str"/>
      <x:c r="S72" s="489" t="str">
        <x:v>11726967000171</x:v>
      </x:c>
      <x:c r="T72" s="489" t="str">
        <x:v>CONFIRMADO</x:v>
      </x:c>
      <x:c r="U72" s="489" t="str">
        <x:v>Baixa</x:v>
      </x:c>
      <x:c r="V72" s="489" t="str">
        <x:v>CNPJ candidato na fonte SIGA: 11726967000171</x:v>
      </x:c>
      <x:c r="W72" s="489" t="str">
        <x:v>Valor do grupo fecha com: SIGA pago favorecido</x:v>
      </x:c>
      <x:c r="X72" s="489" t="str"/>
    </x:row>
    <x:row r="73">
      <x:c r="A73" s="502" t="n">
        <x:v>73</x:v>
      </x:c>
      <x:c r="B73" s="502" t="n">
        <x:v>2020</x:v>
      </x:c>
      <x:c r="C73" s="489" t="str">
        <x:v>Nova Hartz</x:v>
      </x:c>
      <x:c r="D73" s="489" t="str">
        <x:v>Município</x:v>
      </x:c>
      <x:c r="E73" s="489" t="str">
        <x:v>Prefeitura Municipal</x:v>
      </x:c>
      <x:c r="F73" s="489" t="str">
        <x:v>41160001</x:v>
      </x:c>
      <x:c r="G73" s="489" t="str">
        <x:v>41160001-2020</x:v>
      </x:c>
      <x:c r="H73" s="489" t="str">
        <x:v>Informado/corrigido a partir do mapa</x:v>
      </x:c>
      <x:c r="I73" s="503" t="n">
        <x:v>67727</x:v>
      </x:c>
      <x:c r="J73" s="503" t="n">
        <x:v>67727</x:v>
      </x:c>
      <x:c r="K73" s="489" t="str">
        <x:v>Emenda Individual</x:v>
      </x:c>
      <x:c r="L73" s="489" t="str">
        <x:v>Recurso pago</x:v>
      </x:c>
      <x:c r="M73" s="503" t="n">
        <x:v>67727</x:v>
      </x:c>
      <x:c r="N73" s="503" t="n">
        <x:v>0</x:v>
      </x:c>
      <x:c r="O73" s="503" t="n">
        <x:v>0</x:v>
      </x:c>
      <x:c r="P73" s="503" t="n">
        <x:v>0</x:v>
      </x:c>
      <x:c r="Q73" s="503" t="n">
        <x:v>0</x:v>
      </x:c>
      <x:c r="R73" s="489" t="str"/>
      <x:c r="S73" s="489" t="str">
        <x:v>12094862000100</x:v>
      </x:c>
      <x:c r="T73" s="489" t="str">
        <x:v>CONFIRMADO</x:v>
      </x:c>
      <x:c r="U73" s="489" t="str">
        <x:v>Baixa</x:v>
      </x:c>
      <x:c r="V73" s="489" t="str">
        <x:v>CNPJ candidato na fonte SIGA: 12094862000100</x:v>
      </x:c>
      <x:c r="W73" s="489" t="str">
        <x:v>Valor do grupo fecha com: SIGA pago favorecido</x:v>
      </x:c>
      <x:c r="X73" s="489" t="str"/>
    </x:row>
    <x:row r="74">
      <x:c r="A74" s="502" t="n">
        <x:v>74</x:v>
      </x:c>
      <x:c r="B74" s="502" t="n">
        <x:v>2024</x:v>
      </x:c>
      <x:c r="C74" s="489" t="str">
        <x:v>Putinga</x:v>
      </x:c>
      <x:c r="D74" s="489" t="str">
        <x:v>Prefeitura Municipal de Putinga</x:v>
      </x:c>
      <x:c r="E74" s="489" t="str">
        <x:v>Prefeitura Municipal</x:v>
      </x:c>
      <x:c r="F74" s="489" t="str">
        <x:v>41160001</x:v>
      </x:c>
      <x:c r="G74" s="489" t="str">
        <x:v>41160001-2024</x:v>
      </x:c>
      <x:c r="H74" s="489" t="str">
        <x:v>Informado/corrigido a partir do mapa</x:v>
      </x:c>
      <x:c r="I74" s="503" t="n">
        <x:v>68364</x:v>
      </x:c>
      <x:c r="J74" s="503" t="n">
        <x:v>68364</x:v>
      </x:c>
      <x:c r="K74" s="489" t="str">
        <x:v>Emenda Individual</x:v>
      </x:c>
      <x:c r="L74" s="489"/>
      <x:c r="M74" s="503" t="n">
        <x:v>68364</x:v>
      </x:c>
      <x:c r="N74" s="503" t="n">
        <x:v>0</x:v>
      </x:c>
      <x:c r="O74" s="503" t="n">
        <x:v>0</x:v>
      </x:c>
      <x:c r="P74" s="503" t="n">
        <x:v>0</x:v>
      </x:c>
      <x:c r="Q74" s="503" t="n">
        <x:v>0</x:v>
      </x:c>
      <x:c r="R74" s="489" t="str"/>
      <x:c r="S74" s="489" t="str">
        <x:v>12075973000179</x:v>
      </x:c>
      <x:c r="T74" s="489" t="str">
        <x:v>CONFIRMADO</x:v>
      </x:c>
      <x:c r="U74" s="489" t="str">
        <x:v>Baixa</x:v>
      </x:c>
      <x:c r="V74" s="489" t="str">
        <x:v>Preencher situação: há pagamento identificado na fonte pública; CNPJ candidato na fonte SIGA: 12075973000179</x:v>
      </x:c>
      <x:c r="W74" s="489" t="str">
        <x:v>Valor do grupo fecha com: SIGA pago favorecido</x:v>
      </x:c>
      <x:c r="X74" s="489" t="str"/>
    </x:row>
    <x:row r="75">
      <x:c r="A75" s="502" t="n">
        <x:v>75</x:v>
      </x:c>
      <x:c r="B75" s="502" t="n">
        <x:v>2020</x:v>
      </x:c>
      <x:c r="C75" s="489" t="str">
        <x:v>Imigrante</x:v>
      </x:c>
      <x:c r="D75" s="489" t="str">
        <x:v>Município</x:v>
      </x:c>
      <x:c r="E75" s="489" t="str">
        <x:v>Prefeitura Municipal</x:v>
      </x:c>
      <x:c r="F75" s="489" t="str">
        <x:v>41160009</x:v>
      </x:c>
      <x:c r="G75" s="489" t="str">
        <x:v>41160009-2020</x:v>
      </x:c>
      <x:c r="H75" s="489" t="str">
        <x:v>Informado/corrigido a partir do mapa</x:v>
      </x:c>
      <x:c r="I75" s="503" t="n">
        <x:v>68418</x:v>
      </x:c>
      <x:c r="J75" s="503" t="n">
        <x:v>68418</x:v>
      </x:c>
      <x:c r="K75" s="489" t="str">
        <x:v>Emenda Individual (processo seletivo)</x:v>
      </x:c>
      <x:c r="L75" s="489" t="str">
        <x:v>Recurso pago</x:v>
      </x:c>
      <x:c r="M75" s="503" t="n">
        <x:v>68418</x:v>
      </x:c>
      <x:c r="N75" s="503" t="n">
        <x:v>0</x:v>
      </x:c>
      <x:c r="O75" s="503" t="n">
        <x:v>0</x:v>
      </x:c>
      <x:c r="P75" s="503" t="n">
        <x:v>0</x:v>
      </x:c>
      <x:c r="Q75" s="503" t="n">
        <x:v>0</x:v>
      </x:c>
      <x:c r="R75" s="489" t="str"/>
      <x:c r="S75" s="489" t="str">
        <x:v>11749956000107</x:v>
      </x:c>
      <x:c r="T75" s="489" t="str">
        <x:v>CONFIRMADO</x:v>
      </x:c>
      <x:c r="U75" s="489" t="str">
        <x:v>Baixa</x:v>
      </x:c>
      <x:c r="V75" s="489" t="str">
        <x:v>CNPJ candidato na fonte SIGA: 11749956000107</x:v>
      </x:c>
      <x:c r="W75" s="489" t="str">
        <x:v>Valor do grupo fecha com: SIGA pago favorecido</x:v>
      </x:c>
      <x:c r="X75" s="489" t="str"/>
    </x:row>
    <x:row r="76">
      <x:c r="A76" s="502" t="n">
        <x:v>76</x:v>
      </x:c>
      <x:c r="B76" s="502" t="n">
        <x:v>2024</x:v>
      </x:c>
      <x:c r="C76" s="489" t="str">
        <x:v>Porto Alegre</x:v>
      </x:c>
      <x:c r="D76" s="489" t="str">
        <x:v>Prefeitura Municipal de Porto Alegre</x:v>
      </x:c>
      <x:c r="E76" s="489" t="str">
        <x:v>Prefeitura Municipal</x:v>
      </x:c>
      <x:c r="F76" s="489" t="str">
        <x:v>41160004</x:v>
      </x:c>
      <x:c r="G76" s="489" t="str">
        <x:v>41160004-2024</x:v>
      </x:c>
      <x:c r="H76" s="489" t="str">
        <x:v>Informado/corrigido a partir do mapa</x:v>
      </x:c>
      <x:c r="I76" s="503" t="n">
        <x:v>69646</x:v>
      </x:c>
      <x:c r="J76" s="503" t="n">
        <x:v>69646</x:v>
      </x:c>
      <x:c r="K76" s="489" t="str">
        <x:v>Emenda Individual</x:v>
      </x:c>
      <x:c r="L76" s="489"/>
      <x:c r="M76" s="503" t="n">
        <x:v>69646</x:v>
      </x:c>
      <x:c r="N76" s="503" t="n">
        <x:v>0</x:v>
      </x:c>
      <x:c r="O76" s="503" t="n">
        <x:v>0</x:v>
      </x:c>
      <x:c r="P76" s="503" t="n">
        <x:v>0</x:v>
      </x:c>
      <x:c r="Q76" s="503" t="n">
        <x:v>0</x:v>
      </x:c>
      <x:c r="R76" s="489" t="str"/>
      <x:c r="S76" s="489" t="str">
        <x:v>11358235000176</x:v>
      </x:c>
      <x:c r="T76" s="489" t="str">
        <x:v>CONFIRMADO</x:v>
      </x:c>
      <x:c r="U76" s="489" t="str">
        <x:v>Baixa</x:v>
      </x:c>
      <x:c r="V76" s="489" t="str">
        <x:v>Preencher situação: há pagamento identificado na fonte pública; CNPJ candidato na fonte SIGA: 11358235000176</x:v>
      </x:c>
      <x:c r="W76" s="489" t="str">
        <x:v>Valor do grupo fecha com: SIGA pago favorecido</x:v>
      </x:c>
      <x:c r="X76" s="489" t="str"/>
    </x:row>
    <x:row r="77">
      <x:c r="A77" s="502" t="n">
        <x:v>77</x:v>
      </x:c>
      <x:c r="B77" s="502" t="n">
        <x:v>2023</x:v>
      </x:c>
      <x:c r="C77" s="489" t="str">
        <x:v>Tapejara</x:v>
      </x:c>
      <x:c r="D77" s="489" t="str">
        <x:v>APAE</x:v>
      </x:c>
      <x:c r="E77" s="489" t="str">
        <x:v>APAE de Tapejara</x:v>
      </x:c>
      <x:c r="F77" s="489" t="str"/>
      <x:c r="G77" s="489" t="str"/>
      <x:c r="H77" s="489" t="str">
        <x:v>Sem nº conciliado</x:v>
      </x:c>
      <x:c r="I77" s="503" t="n">
        <x:v>70000</x:v>
      </x:c>
      <x:c r="J77" s="503" t="n">
        <x:v>70000</x:v>
      </x:c>
      <x:c r="K77" s="489" t="str">
        <x:v>Emenda de Bancada</x:v>
      </x:c>
      <x:c r="L77" s="489" t="str">
        <x:v>Recurso pago</x:v>
      </x:c>
      <x:c r="M77" s="503" t="n">
        <x:v>0</x:v>
      </x:c>
      <x:c r="N77" s="503" t="n">
        <x:v>0</x:v>
      </x:c>
      <x:c r="O77" s="503" t="n">
        <x:v>0</x:v>
      </x:c>
      <x:c r="P77" s="503" t="n">
        <x:v>0</x:v>
      </x:c>
      <x:c r="Q77" s="503" t="n">
        <x:v>0</x:v>
      </x:c>
      <x:c r="R77" s="489" t="str"/>
      <x:c r="S77" s="489" t="str"/>
      <x:c r="T77" s="489" t="str">
        <x:v>SEM Nº / NÃO CONCILIADO</x:v>
      </x:c>
      <x:c r="U77" s="489" t="str">
        <x:v>Média</x:v>
      </x:c>
      <x:c r="V77" s="489" t="str"/>
      <x:c r="W77" s="489" t="str"/>
      <x:c r="X77" s="489" t="str"/>
    </x:row>
    <x:row r="78">
      <x:c r="A78" s="502" t="n">
        <x:v>78</x:v>
      </x:c>
      <x:c r="B78" s="502" t="n">
        <x:v>2025</x:v>
      </x:c>
      <x:c r="C78" s="489" t="str">
        <x:v>Morro Reuter</x:v>
      </x:c>
      <x:c r="D78" s="489" t="str">
        <x:v>Morro Reuter</x:v>
      </x:c>
      <x:c r="E78" s="489"/>
      <x:c r="F78" s="489" t="str">
        <x:v>41160001</x:v>
      </x:c>
      <x:c r="G78" s="489" t="str">
        <x:v>41160001-2025</x:v>
      </x:c>
      <x:c r="H78" s="489" t="str">
        <x:v>Informado/corrigido a partir do mapa</x:v>
      </x:c>
      <x:c r="I78" s="503" t="n">
        <x:v>70000</x:v>
      </x:c>
      <x:c r="J78" s="503" t="n">
        <x:v>70000</x:v>
      </x:c>
      <x:c r="K78" s="489" t="str">
        <x:v>Emenda individual</x:v>
      </x:c>
      <x:c r="L78" s="489"/>
      <x:c r="M78" s="503" t="n">
        <x:v>70000</x:v>
      </x:c>
      <x:c r="N78" s="503" t="n">
        <x:v>0</x:v>
      </x:c>
      <x:c r="O78" s="503" t="n">
        <x:v>0</x:v>
      </x:c>
      <x:c r="P78" s="503" t="n">
        <x:v>0</x:v>
      </x:c>
      <x:c r="Q78" s="503" t="n">
        <x:v>0</x:v>
      </x:c>
      <x:c r="R78" s="489" t="str"/>
      <x:c r="S78" s="489" t="str">
        <x:v>11787446000124</x:v>
      </x:c>
      <x:c r="T78" s="489" t="str">
        <x:v>CONFIRMADO</x:v>
      </x:c>
      <x:c r="U78" s="489" t="str">
        <x:v>Baixa</x:v>
      </x:c>
      <x:c r="V78" s="489" t="str">
        <x:v>Preencher situação: há pagamento identificado na fonte pública</x:v>
      </x:c>
      <x:c r="W78" s="489" t="str">
        <x:v>Valor do grupo fecha com: SIGA pago favorecido</x:v>
      </x:c>
      <x:c r="X78" s="489" t="str"/>
    </x:row>
    <x:row r="79">
      <x:c r="A79" s="502" t="n">
        <x:v>79</x:v>
      </x:c>
      <x:c r="B79" s="502" t="n">
        <x:v>2023</x:v>
      </x:c>
      <x:c r="C79" s="489" t="str">
        <x:v>Santo Antônio da Patrulha</x:v>
      </x:c>
      <x:c r="D79" s="489" t="str">
        <x:v>APAE</x:v>
      </x:c>
      <x:c r="E79" s="489" t="str">
        <x:v>APAE de Santo Antônio da Patrulha</x:v>
      </x:c>
      <x:c r="F79" s="489" t="str"/>
      <x:c r="G79" s="489" t="str"/>
      <x:c r="H79" s="489" t="str">
        <x:v>Sem nº conciliado</x:v>
      </x:c>
      <x:c r="I79" s="503" t="n">
        <x:v>71500</x:v>
      </x:c>
      <x:c r="J79" s="503" t="n">
        <x:v>471500</x:v>
      </x:c>
      <x:c r="K79" s="489" t="str">
        <x:v>Emenda de Bancada</x:v>
      </x:c>
      <x:c r="L79" s="489" t="str">
        <x:v>Recurso pago</x:v>
      </x:c>
      <x:c r="M79" s="503" t="n">
        <x:v>0</x:v>
      </x:c>
      <x:c r="N79" s="503" t="n">
        <x:v>0</x:v>
      </x:c>
      <x:c r="O79" s="503" t="n">
        <x:v>0</x:v>
      </x:c>
      <x:c r="P79" s="503" t="n">
        <x:v>0</x:v>
      </x:c>
      <x:c r="Q79" s="503" t="n">
        <x:v>0</x:v>
      </x:c>
      <x:c r="R79" s="489" t="str"/>
      <x:c r="S79" s="489" t="str"/>
      <x:c r="T79" s="489" t="str">
        <x:v>SEM Nº / NÃO CONCILIADO</x:v>
      </x:c>
      <x:c r="U79" s="489" t="str">
        <x:v>Média</x:v>
      </x:c>
      <x:c r="V79" s="489" t="str"/>
      <x:c r="W79" s="489" t="str"/>
      <x:c r="X79" s="489" t="str"/>
    </x:row>
    <x:row r="80">
      <x:c r="A80" s="502" t="n">
        <x:v>80</x:v>
      </x:c>
      <x:c r="B80" s="502" t="n">
        <x:v>2019</x:v>
      </x:c>
      <x:c r="C80" s="489" t="str">
        <x:v>Guarani das Missões</x:v>
      </x:c>
      <x:c r="D80" s="489" t="str">
        <x:v>Escola Agrotécnica</x:v>
      </x:c>
      <x:c r="E80" s="489" t="str">
        <x:v>E.E.T. Guaramano</x:v>
      </x:c>
      <x:c r="F80" s="489" t="str">
        <x:v>71220005</x:v>
      </x:c>
      <x:c r="G80" s="489" t="str">
        <x:v>71220005-2019</x:v>
      </x:c>
      <x:c r="H80" s="489" t="str">
        <x:v>Informado/corrigido a partir do mapa</x:v>
      </x:c>
      <x:c r="I80" s="503" t="n">
        <x:v>78705.88</x:v>
      </x:c>
      <x:c r="J80" s="503" t="n">
        <x:v>78705.88</x:v>
      </x:c>
      <x:c r="K80" s="489" t="str">
        <x:v>Emenda de Bancada (processo seletivo)</x:v>
      </x:c>
      <x:c r="L80" s="489" t="str">
        <x:v>Recurso pago</x:v>
      </x:c>
      <x:c r="M80" s="503" t="n">
        <x:v>0</x:v>
      </x:c>
      <x:c r="N80" s="503" t="n">
        <x:v>0</x:v>
      </x:c>
      <x:c r="O80" s="503" t="n">
        <x:v>0</x:v>
      </x:c>
      <x:c r="P80" s="503" t="n">
        <x:v>0</x:v>
      </x:c>
      <x:c r="Q80" s="503" t="n">
        <x:v>0</x:v>
      </x:c>
      <x:c r="R80" s="489" t="str"/>
      <x:c r="S80" s="489" t="str"/>
      <x:c r="T80" s="489" t="str">
        <x:v>Nº NÃO LOCALIZADO</x:v>
      </x:c>
      <x:c r="U80" s="489" t="str">
        <x:v>Média</x:v>
      </x:c>
      <x:c r="V80" s="489" t="str"/>
      <x:c r="W80" s="489" t="str"/>
      <x:c r="X80" s="489" t="str"/>
    </x:row>
    <x:row r="81">
      <x:c r="A81" s="502" t="n">
        <x:v>81</x:v>
      </x:c>
      <x:c r="B81" s="502" t="n">
        <x:v>2020</x:v>
      </x:c>
      <x:c r="C81" s="489" t="str">
        <x:v>Passo Fundo</x:v>
      </x:c>
      <x:c r="D81" s="489" t="str">
        <x:v>Hospital</x:v>
      </x:c>
      <x:c r="E81" s="489" t="str">
        <x:v>Hospital São Vicente de Paulo</x:v>
      </x:c>
      <x:c r="F81" s="489" t="str">
        <x:v>7122 0006</x:v>
      </x:c>
      <x:c r="G81" s="489" t="str">
        <x:v>71220006-2020</x:v>
      </x:c>
      <x:c r="H81" s="489" t="str">
        <x:v>Informado/corrigido a partir do mapa</x:v>
      </x:c>
      <x:c r="I81" s="503" t="n">
        <x:v>80000</x:v>
      </x:c>
      <x:c r="J81" s="503" t="n">
        <x:v>80000</x:v>
      </x:c>
      <x:c r="K81" s="489" t="str">
        <x:v>Emenda de Bancada</x:v>
      </x:c>
      <x:c r="L81" s="489" t="str">
        <x:v>Recurso pago</x:v>
      </x:c>
      <x:c r="M81" s="503" t="n">
        <x:v>0</x:v>
      </x:c>
      <x:c r="N81" s="503" t="n">
        <x:v>0</x:v>
      </x:c>
      <x:c r="O81" s="503" t="n">
        <x:v>0</x:v>
      </x:c>
      <x:c r="P81" s="503" t="n">
        <x:v>0</x:v>
      </x:c>
      <x:c r="Q81" s="503" t="n">
        <x:v>0</x:v>
      </x:c>
      <x:c r="R81" s="489" t="str"/>
      <x:c r="S81" s="489" t="str"/>
      <x:c r="T81" s="489" t="str">
        <x:v>Nº NÃO LOCALIZADO</x:v>
      </x:c>
      <x:c r="U81" s="489" t="str">
        <x:v>Média</x:v>
      </x:c>
      <x:c r="V81" s="489" t="str"/>
      <x:c r="W81" s="489" t="str"/>
      <x:c r="X81" s="489" t="str"/>
    </x:row>
    <x:row r="82">
      <x:c r="A82" s="502" t="n">
        <x:v>82</x:v>
      </x:c>
      <x:c r="B82" s="502" t="n">
        <x:v>2021</x:v>
      </x:c>
      <x:c r="C82" s="489" t="str">
        <x:v>Picada Café</x:v>
      </x:c>
      <x:c r="D82" s="489" t="str">
        <x:v>Prefeitura</x:v>
      </x:c>
      <x:c r="E82" s="489" t="str">
        <x:v>Prefeitura Municipal</x:v>
      </x:c>
      <x:c r="F82" s="489" t="str">
        <x:v>41160003</x:v>
      </x:c>
      <x:c r="G82" s="489" t="str">
        <x:v>41160003-2021</x:v>
      </x:c>
      <x:c r="H82" s="489" t="str">
        <x:v>Informado/corrigido a partir do mapa</x:v>
      </x:c>
      <x:c r="I82" s="503" t="n">
        <x:v>80000</x:v>
      </x:c>
      <x:c r="J82" s="503" t="n">
        <x:v>80000</x:v>
      </x:c>
      <x:c r="K82" s="489" t="str">
        <x:v>Emenda individual (processo seletivo)</x:v>
      </x:c>
      <x:c r="L82" s="489" t="str">
        <x:v>Recurso pago</x:v>
      </x:c>
      <x:c r="M82" s="503" t="n">
        <x:v>79043</x:v>
      </x:c>
      <x:c r="N82" s="503" t="n">
        <x:v>0</x:v>
      </x:c>
      <x:c r="O82" s="503" t="n">
        <x:v>0</x:v>
      </x:c>
      <x:c r="P82" s="503" t="n">
        <x:v>0</x:v>
      </x:c>
      <x:c r="Q82" s="503" t="n">
        <x:v>0</x:v>
      </x:c>
      <x:c r="R82" s="489" t="str"/>
      <x:c r="S82" s="489" t="str">
        <x:v>12059843000142</x:v>
      </x:c>
      <x:c r="T82" s="489" t="str">
        <x:v>VALOR DIVERGENTE / COBERTURA DIFERENTE</x:v>
      </x:c>
      <x:c r="U82" s="489" t="str">
        <x:v>Média</x:v>
      </x:c>
      <x:c r="V82" s="489" t="str">
        <x:v>CNPJ candidato na fonte SIGA: 12059843000142</x:v>
      </x:c>
      <x:c r="W82" s="489" t="str">
        <x:v>Município/localidade encontrado em fonte comparável, mas valor não fecha exatamente</x:v>
      </x:c>
      <x:c r="X82" s="489" t="str"/>
    </x:row>
    <x:row r="83">
      <x:c r="A83" s="502" t="n">
        <x:v>83</x:v>
      </x:c>
      <x:c r="B83" s="502" t="n">
        <x:v>2020</x:v>
      </x:c>
      <x:c r="C83" s="489" t="str">
        <x:v>Camaquã</x:v>
      </x:c>
      <x:c r="D83" s="489" t="str">
        <x:v>Brigada Militar</x:v>
      </x:c>
      <x:c r="E83" s="489" t="str">
        <x:v>Brigada Militar de Camaquã</x:v>
      </x:c>
      <x:c r="F83" s="489" t="str"/>
      <x:c r="G83" s="489" t="str"/>
      <x:c r="H83" s="489" t="str">
        <x:v>Sem nº conciliado</x:v>
      </x:c>
      <x:c r="I83" s="503" t="n">
        <x:v>81280</x:v>
      </x:c>
      <x:c r="J83" s="503" t="n">
        <x:v>492060</x:v>
      </x:c>
      <x:c r="K83" s="489" t="str">
        <x:v>Emenda de Bancada</x:v>
      </x:c>
      <x:c r="L83" s="489" t="str">
        <x:v>Em licitação</x:v>
      </x:c>
      <x:c r="M83" s="503" t="n">
        <x:v>0</x:v>
      </x:c>
      <x:c r="N83" s="503" t="n">
        <x:v>0</x:v>
      </x:c>
      <x:c r="O83" s="503" t="n">
        <x:v>0</x:v>
      </x:c>
      <x:c r="P83" s="503" t="n">
        <x:v>0</x:v>
      </x:c>
      <x:c r="Q83" s="503" t="n">
        <x:v>0</x:v>
      </x:c>
      <x:c r="R83" s="489" t="str"/>
      <x:c r="S83" s="489" t="str"/>
      <x:c r="T83" s="489" t="str">
        <x:v>SEM Nº / NÃO CONCILIADO</x:v>
      </x:c>
      <x:c r="U83" s="489" t="str">
        <x:v>Média</x:v>
      </x:c>
      <x:c r="V83" s="489" t="str"/>
      <x:c r="W83" s="489" t="str"/>
      <x:c r="X83" s="489" t="str"/>
    </x:row>
    <x:row r="84">
      <x:c r="A84" s="502" t="n">
        <x:v>84</x:v>
      </x:c>
      <x:c r="B84" s="502" t="n">
        <x:v>2024</x:v>
      </x:c>
      <x:c r="C84" s="489" t="str">
        <x:v>Alvorada</x:v>
      </x:c>
      <x:c r="D84" s="489" t="str">
        <x:v>Prefeitura Municipal de Alvorada</x:v>
      </x:c>
      <x:c r="E84" s="489" t="str">
        <x:v>Prefeitura Municipal</x:v>
      </x:c>
      <x:c r="F84" s="489" t="str">
        <x:v>41160004</x:v>
      </x:c>
      <x:c r="G84" s="489" t="str">
        <x:v>41160004-2024</x:v>
      </x:c>
      <x:c r="H84" s="489" t="str">
        <x:v>Informado/corrigido a partir do mapa</x:v>
      </x:c>
      <x:c r="I84" s="503" t="n">
        <x:v>83953</x:v>
      </x:c>
      <x:c r="J84" s="503" t="n">
        <x:v>83953</x:v>
      </x:c>
      <x:c r="K84" s="489" t="str">
        <x:v>Emenda Individual</x:v>
      </x:c>
      <x:c r="L84" s="489"/>
      <x:c r="M84" s="503" t="n">
        <x:v>83953</x:v>
      </x:c>
      <x:c r="N84" s="503" t="n">
        <x:v>0</x:v>
      </x:c>
      <x:c r="O84" s="503" t="n">
        <x:v>0</x:v>
      </x:c>
      <x:c r="P84" s="503" t="n">
        <x:v>0</x:v>
      </x:c>
      <x:c r="Q84" s="503" t="n">
        <x:v>0</x:v>
      </x:c>
      <x:c r="R84" s="489" t="str"/>
      <x:c r="S84" s="489" t="str">
        <x:v>14069503000128</x:v>
      </x:c>
      <x:c r="T84" s="489" t="str">
        <x:v>CONFIRMADO</x:v>
      </x:c>
      <x:c r="U84" s="489" t="str">
        <x:v>Baixa</x:v>
      </x:c>
      <x:c r="V84" s="489" t="str">
        <x:v>Preencher situação: há pagamento identificado na fonte pública; CNPJ candidato na fonte SIGA: 14069503000128</x:v>
      </x:c>
      <x:c r="W84" s="489" t="str">
        <x:v>Valor do grupo fecha com: SIGA pago favorecido</x:v>
      </x:c>
      <x:c r="X84" s="489" t="str"/>
    </x:row>
    <x:row r="85">
      <x:c r="A85" s="502" t="n">
        <x:v>85</x:v>
      </x:c>
      <x:c r="B85" s="502" t="n">
        <x:v>2020</x:v>
      </x:c>
      <x:c r="C85" s="489" t="str">
        <x:v>Não-Me-Toque</x:v>
      </x:c>
      <x:c r="D85" s="489" t="str">
        <x:v>Hospital</x:v>
      </x:c>
      <x:c r="E85" s="489" t="str">
        <x:v>Hospital Beneficência Alto Jacuí</x:v>
      </x:c>
      <x:c r="F85" s="489" t="str">
        <x:v>41160005</x:v>
      </x:c>
      <x:c r="G85" s="489" t="str">
        <x:v>41160005-2020</x:v>
      </x:c>
      <x:c r="H85" s="489" t="str">
        <x:v>Informado/corrigido a partir do mapa</x:v>
      </x:c>
      <x:c r="I85" s="503" t="n">
        <x:v>86000</x:v>
      </x:c>
      <x:c r="J85" s="503" t="n">
        <x:v>86000</x:v>
      </x:c>
      <x:c r="K85" s="489" t="str">
        <x:v>Emenda Individual (suplente - processo seletivo)</x:v>
      </x:c>
      <x:c r="L85" s="489" t="str">
        <x:v>Recurso pago</x:v>
      </x:c>
      <x:c r="M85" s="503" t="n">
        <x:v>0</x:v>
      </x:c>
      <x:c r="N85" s="503" t="n">
        <x:v>0</x:v>
      </x:c>
      <x:c r="O85" s="503" t="n">
        <x:v>0</x:v>
      </x:c>
      <x:c r="P85" s="503" t="n">
        <x:v>0</x:v>
      </x:c>
      <x:c r="Q85" s="503" t="n">
        <x:v>0</x:v>
      </x:c>
      <x:c r="R85" s="489" t="str"/>
      <x:c r="S85" s="489" t="str"/>
      <x:c r="T85" s="489" t="str">
        <x:v>EMENDA CONFIRMADA; DESTINO NÃO CONFIRMADO</x:v>
      </x:c>
      <x:c r="U85" s="489" t="str">
        <x:v>Média</x:v>
      </x:c>
      <x:c r="V85" s="489" t="str"/>
      <x:c r="W85" s="489" t="str">
        <x:v>Nº existe no SIGA; destinatário específico não foi confirmado nas bases anexas</x:v>
      </x:c>
      <x:c r="X85" s="489" t="str"/>
    </x:row>
    <x:row r="86">
      <x:c r="A86" s="502" t="n">
        <x:v>86</x:v>
      </x:c>
      <x:c r="B86" s="502" t="n">
        <x:v>2020</x:v>
      </x:c>
      <x:c r="C86" s="489" t="str">
        <x:v>Porto Alegre</x:v>
      </x:c>
      <x:c r="D86" s="489" t="str">
        <x:v>Instituto Geral de Perícias</x:v>
      </x:c>
      <x:c r="E86" s="489" t="str">
        <x:v>Instituto Geral de Perícias</x:v>
      </x:c>
      <x:c r="F86" s="489" t="str">
        <x:v>41160010</x:v>
      </x:c>
      <x:c r="G86" s="489" t="str">
        <x:v>41160010-2020</x:v>
      </x:c>
      <x:c r="H86" s="489" t="str">
        <x:v>Informado/corrigido a partir do mapa</x:v>
      </x:c>
      <x:c r="I86" s="503" t="n">
        <x:v>88086</x:v>
      </x:c>
      <x:c r="J86" s="503" t="n">
        <x:v>554830.11</x:v>
      </x:c>
      <x:c r="K86" s="489" t="str">
        <x:v>Emenda individual</x:v>
      </x:c>
      <x:c r="L86" s="489" t="str">
        <x:v>Pregão eletrônio concluído.</x:v>
      </x:c>
      <x:c r="M86" s="503" t="n">
        <x:v>622294.89</x:v>
      </x:c>
      <x:c r="N86" s="503" t="n">
        <x:v>3614493.94</x:v>
      </x:c>
      <x:c r="O86" s="503" t="n">
        <x:v>3290479.1</x:v>
      </x:c>
      <x:c r="P86" s="503" t="n">
        <x:v>0</x:v>
      </x:c>
      <x:c r="Q86" s="503" t="n">
        <x:v>0</x:v>
      </x:c>
      <x:c r="R86" s="489" t="str"/>
      <x:c r="S86" s="489" t="str">
        <x:v>87958583000146</x:v>
      </x:c>
      <x:c r="T86" s="489" t="str">
        <x:v>VALOR DIVERGENTE / COBERTURA DIFERENTE</x:v>
      </x:c>
      <x:c r="U86" s="489" t="str">
        <x:v>Alta</x:v>
      </x:c>
      <x:c r="V86" s="489" t="str">
        <x:v>CNPJ candidato na fonte SIGA: 87958583000146</x:v>
      </x:c>
      <x:c r="W86" s="489" t="str">
        <x:v>Município/localidade encontrado em fonte comparável, mas valor não fecha exatamente</x:v>
      </x:c>
      <x:c r="X86" s="489" t="str">
        <x:v>https://discricionarias.transferegov.sistema.gov.br/voluntarias/ConsultarProposta/ResultadoDaConsultaDeConvenioSelecionarConvenio.do?sequencialConvenio=905242&amp;Usr=guest&amp;Pwd=guest | https://discricionarias.transferegov.sistema.gov.br/voluntarias/ConsultarProposta/ResultadoDaConsultaDeConvenioSelecionarConvenio.do?sequencialConvenio=905738&amp;Usr=guest&amp;Pwd=guest</x:v>
      </x:c>
    </x:row>
    <x:row r="87">
      <x:c r="A87" s="502" t="n">
        <x:v>87</x:v>
      </x:c>
      <x:c r="B87" s="502" t="n">
        <x:v>2024</x:v>
      </x:c>
      <x:c r="C87" s="489" t="str">
        <x:v>São José do Herval</x:v>
      </x:c>
      <x:c r="D87" s="489" t="str">
        <x:v>Prefeitura Municipal de São José do Herval</x:v>
      </x:c>
      <x:c r="E87" s="489" t="str">
        <x:v>Prefeitura Municipal</x:v>
      </x:c>
      <x:c r="F87" s="489" t="str">
        <x:v>41160001</x:v>
      </x:c>
      <x:c r="G87" s="489" t="str">
        <x:v>41160001-2024</x:v>
      </x:c>
      <x:c r="H87" s="489" t="str">
        <x:v>Informado/corrigido a partir do mapa</x:v>
      </x:c>
      <x:c r="I87" s="503" t="n">
        <x:v>90000</x:v>
      </x:c>
      <x:c r="J87" s="503" t="n">
        <x:v>90000</x:v>
      </x:c>
      <x:c r="K87" s="489" t="str">
        <x:v>Emenda Individual</x:v>
      </x:c>
      <x:c r="L87" s="489"/>
      <x:c r="M87" s="503" t="n">
        <x:v>90000</x:v>
      </x:c>
      <x:c r="N87" s="503" t="n">
        <x:v>0</x:v>
      </x:c>
      <x:c r="O87" s="503" t="n">
        <x:v>0</x:v>
      </x:c>
      <x:c r="P87" s="503" t="n">
        <x:v>0</x:v>
      </x:c>
      <x:c r="Q87" s="503" t="n">
        <x:v>0</x:v>
      </x:c>
      <x:c r="R87" s="489" t="str"/>
      <x:c r="S87" s="489" t="str">
        <x:v>13868425000169</x:v>
      </x:c>
      <x:c r="T87" s="489" t="str">
        <x:v>CONFIRMADO</x:v>
      </x:c>
      <x:c r="U87" s="489" t="str">
        <x:v>Baixa</x:v>
      </x:c>
      <x:c r="V87" s="489" t="str">
        <x:v>Preencher situação: há pagamento identificado na fonte pública; CNPJ candidato na fonte SIGA: 13868425000169</x:v>
      </x:c>
      <x:c r="W87" s="489" t="str">
        <x:v>Valor do grupo fecha com: SIGA pago favorecido</x:v>
      </x:c>
      <x:c r="X87" s="489" t="str"/>
    </x:row>
    <x:row r="88">
      <x:c r="A88" s="502" t="n">
        <x:v>88</x:v>
      </x:c>
      <x:c r="B88" s="502" t="n">
        <x:v>2024</x:v>
      </x:c>
      <x:c r="C88" s="489" t="str">
        <x:v>São Vendelino</x:v>
      </x:c>
      <x:c r="D88" s="489" t="str">
        <x:v>Prefeitura Municipal de São Vendelino</x:v>
      </x:c>
      <x:c r="E88" s="489" t="str">
        <x:v>Prefeitura Municipal</x:v>
      </x:c>
      <x:c r="F88" s="489" t="str">
        <x:v>41160001</x:v>
      </x:c>
      <x:c r="G88" s="489" t="str">
        <x:v>41160001-2024</x:v>
      </x:c>
      <x:c r="H88" s="489" t="str">
        <x:v>Informado/corrigido a partir do mapa</x:v>
      </x:c>
      <x:c r="I88" s="503" t="n">
        <x:v>90000</x:v>
      </x:c>
      <x:c r="J88" s="503" t="n">
        <x:v>90000</x:v>
      </x:c>
      <x:c r="K88" s="489" t="str">
        <x:v>Emenda Individual</x:v>
      </x:c>
      <x:c r="L88" s="489"/>
      <x:c r="M88" s="503" t="n">
        <x:v>90000</x:v>
      </x:c>
      <x:c r="N88" s="503" t="n">
        <x:v>0</x:v>
      </x:c>
      <x:c r="O88" s="503" t="n">
        <x:v>0</x:v>
      </x:c>
      <x:c r="P88" s="503" t="n">
        <x:v>0</x:v>
      </x:c>
      <x:c r="Q88" s="503" t="n">
        <x:v>0</x:v>
      </x:c>
      <x:c r="R88" s="489" t="str"/>
      <x:c r="S88" s="489" t="str">
        <x:v>13850694000106</x:v>
      </x:c>
      <x:c r="T88" s="489" t="str">
        <x:v>CONFIRMADO</x:v>
      </x:c>
      <x:c r="U88" s="489" t="str">
        <x:v>Baixa</x:v>
      </x:c>
      <x:c r="V88" s="489" t="str">
        <x:v>Preencher situação: há pagamento identificado na fonte pública; CNPJ candidato na fonte SIGA: 13850694000106</x:v>
      </x:c>
      <x:c r="W88" s="489" t="str">
        <x:v>Valor do grupo fecha com: SIGA pago favorecido</x:v>
      </x:c>
      <x:c r="X88" s="489" t="str"/>
    </x:row>
    <x:row r="89">
      <x:c r="A89" s="502" t="n">
        <x:v>89</x:v>
      </x:c>
      <x:c r="B89" s="502" t="n">
        <x:v>2023</x:v>
      </x:c>
      <x:c r="C89" s="489" t="str">
        <x:v>Três de Maio</x:v>
      </x:c>
      <x:c r="D89" s="489" t="str">
        <x:v>Prefeitura</x:v>
      </x:c>
      <x:c r="E89" s="489" t="str">
        <x:v>Prefeitura de Três de Maio</x:v>
      </x:c>
      <x:c r="F89" s="489" t="str"/>
      <x:c r="G89" s="489" t="str">
        <x:v>41160001-2023</x:v>
      </x:c>
      <x:c r="H89" s="489" t="str">
        <x:v>Inferido forte (SIGA/PIX)</x:v>
      </x:c>
      <x:c r="I89" s="503" t="n">
        <x:v>95000</x:v>
      </x:c>
      <x:c r="J89" s="503" t="n">
        <x:v>95000</x:v>
      </x:c>
      <x:c r="K89" s="489" t="str">
        <x:v>Emenda Individual</x:v>
      </x:c>
      <x:c r="L89" s="489" t="str">
        <x:v>Empenhado</x:v>
      </x:c>
      <x:c r="M89" s="503" t="n">
        <x:v>95000</x:v>
      </x:c>
      <x:c r="N89" s="503" t="n">
        <x:v>0</x:v>
      </x:c>
      <x:c r="O89" s="503" t="n">
        <x:v>0</x:v>
      </x:c>
      <x:c r="P89" s="503" t="n">
        <x:v>95000</x:v>
      </x:c>
      <x:c r="Q89" s="503" t="n">
        <x:v>0</x:v>
      </x:c>
      <x:c r="R89" s="489" t="str">
        <x:v>CIENTE</x:v>
      </x:c>
      <x:c r="S89" s="489" t="str">
        <x:v>87612800000141</x:v>
      </x:c>
      <x:c r="T89" s="489" t="str">
        <x:v>CONFIRMADO</x:v>
      </x:c>
      <x:c r="U89" s="489" t="str">
        <x:v>Baixa</x:v>
      </x:c>
      <x:c r="V89" s="489" t="str">
        <x:v>Preencher nº como 41160001 com marcação de inferência (ano+município+valor exatos em SIGA/PIX); Situação possivelmente desatualizada: SIGA/execução regionalizada mostra pagamento; CNPJ candidato na fonte SIGA: 87612800000141</x:v>
      </x:c>
      <x:c r="W89" s="489" t="str">
        <x:v>nº ausente; inferido por coincidência exata de cidade e valor em SIGA favorecido, PIX; Valor do grupo fecha com: SIGA pago favorecido, PIX atual</x:v>
      </x:c>
      <x:c r="X89" s="489" t="str">
        <x:v>https://especiais.transferegov.sistema.gov.br/transferencia-especial/plano-acao/detalhe/38360/dados-basicos</x:v>
      </x:c>
    </x:row>
    <x:row r="90">
      <x:c r="A90" s="502" t="n">
        <x:v>90</x:v>
      </x:c>
      <x:c r="B90" s="502" t="n">
        <x:v>2026</x:v>
      </x:c>
      <x:c r="C90" s="489" t="str">
        <x:v>Caseiros</x:v>
      </x:c>
      <x:c r="D90" s="489" t="str">
        <x:v>Fundo Municipal de Saúde de Caseiros - RS</x:v>
      </x:c>
      <x:c r="E90" s="489"/>
      <x:c r="F90" s="489" t="str">
        <x:v>41160005</x:v>
      </x:c>
      <x:c r="G90" s="489" t="str">
        <x:v>41160005-2026</x:v>
      </x:c>
      <x:c r="H90" s="489" t="str">
        <x:v>Informado/corrigido a partir do mapa</x:v>
      </x:c>
      <x:c r="I90" s="503" t="n">
        <x:v>98000</x:v>
      </x:c>
      <x:c r="J90" s="503" t="n">
        <x:v>98000</x:v>
      </x:c>
      <x:c r="K90" s="489" t="str">
        <x:v>Emenda individual</x:v>
      </x:c>
      <x:c r="L90" s="489"/>
      <x:c r="M90" s="503" t="n">
        <x:v>98000</x:v>
      </x:c>
      <x:c r="N90" s="503" t="n">
        <x:v>0</x:v>
      </x:c>
      <x:c r="O90" s="503" t="n">
        <x:v>0</x:v>
      </x:c>
      <x:c r="P90" s="503" t="n">
        <x:v>0</x:v>
      </x:c>
      <x:c r="Q90" s="503" t="n">
        <x:v>0</x:v>
      </x:c>
      <x:c r="R90" s="489" t="str"/>
      <x:c r="S90" s="489" t="str">
        <x:v>12390666000182</x:v>
      </x:c>
      <x:c r="T90" s="489" t="str">
        <x:v>CONFIRMADO</x:v>
      </x:c>
      <x:c r="U90" s="489" t="str">
        <x:v>Baixa</x:v>
      </x:c>
      <x:c r="V90" s="489" t="str">
        <x:v>Preencher situação: há pagamento identificado na fonte pública</x:v>
      </x:c>
      <x:c r="W90" s="489" t="str">
        <x:v>Valor do grupo fecha com: SIGA pago favorecido</x:v>
      </x:c>
      <x:c r="X90" s="489" t="str"/>
    </x:row>
    <x:row r="91">
      <x:c r="A91" s="502" t="n">
        <x:v>91</x:v>
      </x:c>
      <x:c r="B91" s="502" t="n">
        <x:v>2020</x:v>
      </x:c>
      <x:c r="C91" s="489" t="str">
        <x:v>Campo Bom</x:v>
      </x:c>
      <x:c r="D91" s="489" t="str">
        <x:v>Hospital</x:v>
      </x:c>
      <x:c r="E91" s="489" t="str">
        <x:v>Hospital de Campo Bom Dr. Lauro Reus</x:v>
      </x:c>
      <x:c r="F91" s="489" t="str">
        <x:v>7122 0006</x:v>
      </x:c>
      <x:c r="G91" s="489" t="str">
        <x:v>71220006-2020</x:v>
      </x:c>
      <x:c r="H91" s="489" t="str">
        <x:v>Informado/corrigido a partir do mapa</x:v>
      </x:c>
      <x:c r="I91" s="503" t="n">
        <x:v>100000</x:v>
      </x:c>
      <x:c r="J91" s="503" t="n">
        <x:v>100000</x:v>
      </x:c>
      <x:c r="K91" s="489" t="str">
        <x:v>Emenda de Bancada</x:v>
      </x:c>
      <x:c r="L91" s="489" t="str">
        <x:v>Recurso pago</x:v>
      </x:c>
      <x:c r="M91" s="503" t="n">
        <x:v>0</x:v>
      </x:c>
      <x:c r="N91" s="503" t="n">
        <x:v>0</x:v>
      </x:c>
      <x:c r="O91" s="503" t="n">
        <x:v>0</x:v>
      </x:c>
      <x:c r="P91" s="503" t="n">
        <x:v>0</x:v>
      </x:c>
      <x:c r="Q91" s="503" t="n">
        <x:v>0</x:v>
      </x:c>
      <x:c r="R91" s="489" t="str"/>
      <x:c r="S91" s="489" t="str"/>
      <x:c r="T91" s="489" t="str">
        <x:v>Nº NÃO LOCALIZADO</x:v>
      </x:c>
      <x:c r="U91" s="489" t="str">
        <x:v>Média</x:v>
      </x:c>
      <x:c r="V91" s="489" t="str"/>
      <x:c r="W91" s="489" t="str"/>
      <x:c r="X91" s="489" t="str"/>
    </x:row>
    <x:row r="92">
      <x:c r="A92" s="502" t="n">
        <x:v>92</x:v>
      </x:c>
      <x:c r="B92" s="502" t="n">
        <x:v>2020</x:v>
      </x:c>
      <x:c r="C92" s="489" t="str">
        <x:v>Parobé</x:v>
      </x:c>
      <x:c r="D92" s="489" t="str">
        <x:v>Hospital</x:v>
      </x:c>
      <x:c r="E92" s="489" t="str">
        <x:v>Hospital São Francisco de Assis</x:v>
      </x:c>
      <x:c r="F92" s="489" t="str">
        <x:v>7122 0006</x:v>
      </x:c>
      <x:c r="G92" s="489" t="str">
        <x:v>71220006-2020</x:v>
      </x:c>
      <x:c r="H92" s="489" t="str">
        <x:v>Informado/corrigido a partir do mapa</x:v>
      </x:c>
      <x:c r="I92" s="503" t="n">
        <x:v>100000</x:v>
      </x:c>
      <x:c r="J92" s="503" t="n">
        <x:v>100000</x:v>
      </x:c>
      <x:c r="K92" s="489" t="str">
        <x:v>Emenda de Bancada</x:v>
      </x:c>
      <x:c r="L92" s="489" t="str">
        <x:v>Recurso pago</x:v>
      </x:c>
      <x:c r="M92" s="503" t="n">
        <x:v>0</x:v>
      </x:c>
      <x:c r="N92" s="503" t="n">
        <x:v>0</x:v>
      </x:c>
      <x:c r="O92" s="503" t="n">
        <x:v>0</x:v>
      </x:c>
      <x:c r="P92" s="503" t="n">
        <x:v>0</x:v>
      </x:c>
      <x:c r="Q92" s="503" t="n">
        <x:v>0</x:v>
      </x:c>
      <x:c r="R92" s="489" t="str"/>
      <x:c r="S92" s="489" t="str"/>
      <x:c r="T92" s="489" t="str">
        <x:v>Nº NÃO LOCALIZADO</x:v>
      </x:c>
      <x:c r="U92" s="489" t="str">
        <x:v>Média</x:v>
      </x:c>
      <x:c r="V92" s="489" t="str"/>
      <x:c r="W92" s="489" t="str"/>
      <x:c r="X92" s="489" t="str"/>
    </x:row>
    <x:row r="93">
      <x:c r="A93" s="502" t="n">
        <x:v>93</x:v>
      </x:c>
      <x:c r="B93" s="502" t="n">
        <x:v>2020</x:v>
      </x:c>
      <x:c r="C93" s="489" t="str">
        <x:v>Arroio do Meio</x:v>
      </x:c>
      <x:c r="D93" s="489" t="str">
        <x:v>Município</x:v>
      </x:c>
      <x:c r="E93" s="489" t="str">
        <x:v>Prefeitura Municipal</x:v>
      </x:c>
      <x:c r="F93" s="489" t="str">
        <x:v>41160001</x:v>
      </x:c>
      <x:c r="G93" s="489" t="str">
        <x:v>41160001-2020</x:v>
      </x:c>
      <x:c r="H93" s="489" t="str">
        <x:v>Informado/corrigido a partir do mapa</x:v>
      </x:c>
      <x:c r="I93" s="503" t="n">
        <x:v>100000</x:v>
      </x:c>
      <x:c r="J93" s="503" t="n">
        <x:v>100000</x:v>
      </x:c>
      <x:c r="K93" s="489" t="str">
        <x:v>Emenda Individual (processo seletivo)</x:v>
      </x:c>
      <x:c r="L93" s="489" t="str">
        <x:v>Recurso pago</x:v>
      </x:c>
      <x:c r="M93" s="503" t="n">
        <x:v>100000</x:v>
      </x:c>
      <x:c r="N93" s="503" t="n">
        <x:v>0</x:v>
      </x:c>
      <x:c r="O93" s="503" t="n">
        <x:v>0</x:v>
      </x:c>
      <x:c r="P93" s="503" t="n">
        <x:v>0</x:v>
      </x:c>
      <x:c r="Q93" s="503" t="n">
        <x:v>0</x:v>
      </x:c>
      <x:c r="R93" s="489" t="str"/>
      <x:c r="S93" s="489" t="str">
        <x:v>12126869000166</x:v>
      </x:c>
      <x:c r="T93" s="489" t="str">
        <x:v>CONFIRMADO</x:v>
      </x:c>
      <x:c r="U93" s="489" t="str">
        <x:v>Baixa</x:v>
      </x:c>
      <x:c r="V93" s="489" t="str">
        <x:v>CNPJ candidato na fonte SIGA: 12126869000166</x:v>
      </x:c>
      <x:c r="W93" s="489" t="str">
        <x:v>Valor do grupo fecha com: SIGA pago favorecido</x:v>
      </x:c>
      <x:c r="X93" s="489" t="str"/>
    </x:row>
    <x:row r="94">
      <x:c r="A94" s="502" t="n">
        <x:v>94</x:v>
      </x:c>
      <x:c r="B94" s="502" t="n">
        <x:v>2020</x:v>
      </x:c>
      <x:c r="C94" s="489" t="str">
        <x:v>Bagé</x:v>
      </x:c>
      <x:c r="D94" s="489" t="str">
        <x:v>Hospital</x:v>
      </x:c>
      <x:c r="E94" s="489" t="str">
        <x:v>Santa Casa de Caridade de Bagé</x:v>
      </x:c>
      <x:c r="F94" s="489" t="str">
        <x:v>41160005</x:v>
      </x:c>
      <x:c r="G94" s="489" t="str">
        <x:v>41160005-2020</x:v>
      </x:c>
      <x:c r="H94" s="489" t="str">
        <x:v>Informado/corrigido a partir do mapa</x:v>
      </x:c>
      <x:c r="I94" s="503" t="n">
        <x:v>100000</x:v>
      </x:c>
      <x:c r="J94" s="503" t="n">
        <x:v>100000</x:v>
      </x:c>
      <x:c r="K94" s="489" t="str">
        <x:v>Emenda Individual (processo seletivo)</x:v>
      </x:c>
      <x:c r="L94" s="489" t="str">
        <x:v>Recurso pago</x:v>
      </x:c>
      <x:c r="M94" s="503" t="n">
        <x:v>0</x:v>
      </x:c>
      <x:c r="N94" s="503" t="n">
        <x:v>0</x:v>
      </x:c>
      <x:c r="O94" s="503" t="n">
        <x:v>0</x:v>
      </x:c>
      <x:c r="P94" s="503" t="n">
        <x:v>0</x:v>
      </x:c>
      <x:c r="Q94" s="503" t="n">
        <x:v>0</x:v>
      </x:c>
      <x:c r="R94" s="489" t="str"/>
      <x:c r="S94" s="489" t="str"/>
      <x:c r="T94" s="489" t="str">
        <x:v>EMENDA CONFIRMADA; DESTINO NÃO CONFIRMADO</x:v>
      </x:c>
      <x:c r="U94" s="489" t="str">
        <x:v>Média</x:v>
      </x:c>
      <x:c r="V94" s="489" t="str"/>
      <x:c r="W94" s="489" t="str">
        <x:v>Nº existe no SIGA; destinatário específico não foi confirmado nas bases anexas</x:v>
      </x:c>
      <x:c r="X94" s="489" t="str"/>
    </x:row>
    <x:row r="95">
      <x:c r="A95" s="502" t="n">
        <x:v>95</x:v>
      </x:c>
      <x:c r="B95" s="502" t="n">
        <x:v>2020</x:v>
      </x:c>
      <x:c r="C95" s="489" t="str">
        <x:v>Barão</x:v>
      </x:c>
      <x:c r="D95" s="489" t="str">
        <x:v>Município</x:v>
      </x:c>
      <x:c r="E95" s="489" t="str">
        <x:v>Prefeitura Municipal</x:v>
      </x:c>
      <x:c r="F95" s="489" t="str">
        <x:v>41160001</x:v>
      </x:c>
      <x:c r="G95" s="489" t="str">
        <x:v>41160001-2020</x:v>
      </x:c>
      <x:c r="H95" s="489" t="str">
        <x:v>Informado/corrigido a partir do mapa</x:v>
      </x:c>
      <x:c r="I95" s="503" t="n">
        <x:v>100000</x:v>
      </x:c>
      <x:c r="J95" s="503" t="n">
        <x:v>100000</x:v>
      </x:c>
      <x:c r="K95" s="489" t="str">
        <x:v>Emenda Individual (processo seletivo)</x:v>
      </x:c>
      <x:c r="L95" s="489" t="str">
        <x:v>Recurso pago</x:v>
      </x:c>
      <x:c r="M95" s="503" t="n">
        <x:v>100000</x:v>
      </x:c>
      <x:c r="N95" s="503" t="n">
        <x:v>0</x:v>
      </x:c>
      <x:c r="O95" s="503" t="n">
        <x:v>0</x:v>
      </x:c>
      <x:c r="P95" s="503" t="n">
        <x:v>0</x:v>
      </x:c>
      <x:c r="Q95" s="503" t="n">
        <x:v>0</x:v>
      </x:c>
      <x:c r="R95" s="489" t="str"/>
      <x:c r="S95" s="489" t="str">
        <x:v>11232569000107</x:v>
      </x:c>
      <x:c r="T95" s="489" t="str">
        <x:v>CONFIRMADO</x:v>
      </x:c>
      <x:c r="U95" s="489" t="str">
        <x:v>Baixa</x:v>
      </x:c>
      <x:c r="V95" s="489" t="str">
        <x:v>CNPJ candidato na fonte SIGA: 11232569000107</x:v>
      </x:c>
      <x:c r="W95" s="489" t="str">
        <x:v>Valor do grupo fecha com: SIGA pago favorecido</x:v>
      </x:c>
      <x:c r="X95" s="489" t="str"/>
    </x:row>
    <x:row r="96">
      <x:c r="A96" s="502" t="n">
        <x:v>96</x:v>
      </x:c>
      <x:c r="B96" s="502" t="n">
        <x:v>2020</x:v>
      </x:c>
      <x:c r="C96" s="489" t="str">
        <x:v>Bento Gonçalves</x:v>
      </x:c>
      <x:c r="D96" s="489" t="str">
        <x:v>Hospital</x:v>
      </x:c>
      <x:c r="E96" s="489" t="str">
        <x:v>Hospital Tacchini</x:v>
      </x:c>
      <x:c r="F96" s="489" t="str">
        <x:v>41160005</x:v>
      </x:c>
      <x:c r="G96" s="489" t="str">
        <x:v>41160005-2020</x:v>
      </x:c>
      <x:c r="H96" s="489" t="str">
        <x:v>Informado/corrigido a partir do mapa</x:v>
      </x:c>
      <x:c r="I96" s="503" t="n">
        <x:v>100000</x:v>
      </x:c>
      <x:c r="J96" s="503" t="n">
        <x:v>100000</x:v>
      </x:c>
      <x:c r="K96" s="489" t="str">
        <x:v>Emenda Individual (processo seletivo)</x:v>
      </x:c>
      <x:c r="L96" s="489" t="str">
        <x:v>Recurso pago</x:v>
      </x:c>
      <x:c r="M96" s="503" t="n">
        <x:v>100000</x:v>
      </x:c>
      <x:c r="N96" s="503" t="n">
        <x:v>0</x:v>
      </x:c>
      <x:c r="O96" s="503" t="n">
        <x:v>0</x:v>
      </x:c>
      <x:c r="P96" s="503" t="n">
        <x:v>0</x:v>
      </x:c>
      <x:c r="Q96" s="503" t="n">
        <x:v>0</x:v>
      </x:c>
      <x:c r="R96" s="489" t="str"/>
      <x:c r="S96" s="489" t="str">
        <x:v>11436612000148</x:v>
      </x:c>
      <x:c r="T96" s="489" t="str">
        <x:v>CONFIRMADO</x:v>
      </x:c>
      <x:c r="U96" s="489" t="str">
        <x:v>Baixa</x:v>
      </x:c>
      <x:c r="V96" s="489" t="str">
        <x:v>CNPJ candidato na fonte SIGA: 11436612000148</x:v>
      </x:c>
      <x:c r="W96" s="489" t="str">
        <x:v>Valor do grupo fecha com: SIGA pago favorecido</x:v>
      </x:c>
      <x:c r="X96" s="489" t="str"/>
    </x:row>
    <x:row r="97">
      <x:c r="A97" s="502" t="n">
        <x:v>97</x:v>
      </x:c>
      <x:c r="B97" s="502" t="n">
        <x:v>2020</x:v>
      </x:c>
      <x:c r="C97" s="489" t="str">
        <x:v>Bom Princípio</x:v>
      </x:c>
      <x:c r="D97" s="489" t="str">
        <x:v>Município</x:v>
      </x:c>
      <x:c r="E97" s="489" t="str">
        <x:v>Prefeitura Municipal</x:v>
      </x:c>
      <x:c r="F97" s="489" t="str">
        <x:v>41160001</x:v>
      </x:c>
      <x:c r="G97" s="489" t="str">
        <x:v>41160001-2020</x:v>
      </x:c>
      <x:c r="H97" s="489" t="str">
        <x:v>Informado/corrigido a partir do mapa</x:v>
      </x:c>
      <x:c r="I97" s="503" t="n">
        <x:v>100000</x:v>
      </x:c>
      <x:c r="J97" s="503" t="n">
        <x:v>100000</x:v>
      </x:c>
      <x:c r="K97" s="489" t="str">
        <x:v>Emenda Individual (processo seletivo)</x:v>
      </x:c>
      <x:c r="L97" s="489" t="str">
        <x:v>Recurso pago</x:v>
      </x:c>
      <x:c r="M97" s="503" t="n">
        <x:v>100000</x:v>
      </x:c>
      <x:c r="N97" s="503" t="n">
        <x:v>0</x:v>
      </x:c>
      <x:c r="O97" s="503" t="n">
        <x:v>0</x:v>
      </x:c>
      <x:c r="P97" s="503" t="n">
        <x:v>0</x:v>
      </x:c>
      <x:c r="Q97" s="503" t="n">
        <x:v>0</x:v>
      </x:c>
      <x:c r="R97" s="489" t="str"/>
      <x:c r="S97" s="489" t="str">
        <x:v>11389385000147</x:v>
      </x:c>
      <x:c r="T97" s="489" t="str">
        <x:v>CONFIRMADO</x:v>
      </x:c>
      <x:c r="U97" s="489" t="str">
        <x:v>Baixa</x:v>
      </x:c>
      <x:c r="V97" s="489" t="str">
        <x:v>CNPJ candidato na fonte SIGA: 11389385000147</x:v>
      </x:c>
      <x:c r="W97" s="489" t="str">
        <x:v>Valor do grupo fecha com: SIGA pago favorecido</x:v>
      </x:c>
      <x:c r="X97" s="489" t="str"/>
    </x:row>
    <x:row r="98">
      <x:c r="A98" s="502" t="n">
        <x:v>98</x:v>
      </x:c>
      <x:c r="B98" s="502" t="n">
        <x:v>2020</x:v>
      </x:c>
      <x:c r="C98" s="489" t="str">
        <x:v>Brochier</x:v>
      </x:c>
      <x:c r="D98" s="489" t="str">
        <x:v>Município</x:v>
      </x:c>
      <x:c r="E98" s="489" t="str">
        <x:v>Prefeitura Municipal</x:v>
      </x:c>
      <x:c r="F98" s="489" t="str">
        <x:v>41160001</x:v>
      </x:c>
      <x:c r="G98" s="489" t="str">
        <x:v>41160001-2020</x:v>
      </x:c>
      <x:c r="H98" s="489" t="str">
        <x:v>Informado/corrigido a partir do mapa</x:v>
      </x:c>
      <x:c r="I98" s="503" t="n">
        <x:v>100000</x:v>
      </x:c>
      <x:c r="J98" s="503" t="n">
        <x:v>100000</x:v>
      </x:c>
      <x:c r="K98" s="489" t="str">
        <x:v>Emenda Individual (processo seletivo)</x:v>
      </x:c>
      <x:c r="L98" s="489" t="str">
        <x:v>Recurso pago</x:v>
      </x:c>
      <x:c r="M98" s="503" t="n">
        <x:v>100000</x:v>
      </x:c>
      <x:c r="N98" s="503" t="n">
        <x:v>0</x:v>
      </x:c>
      <x:c r="O98" s="503" t="n">
        <x:v>0</x:v>
      </x:c>
      <x:c r="P98" s="503" t="n">
        <x:v>0</x:v>
      </x:c>
      <x:c r="Q98" s="503" t="n">
        <x:v>0</x:v>
      </x:c>
      <x:c r="R98" s="489" t="str"/>
      <x:c r="S98" s="489" t="str">
        <x:v>10616321000179</x:v>
      </x:c>
      <x:c r="T98" s="489" t="str">
        <x:v>CONFIRMADO</x:v>
      </x:c>
      <x:c r="U98" s="489" t="str">
        <x:v>Baixa</x:v>
      </x:c>
      <x:c r="V98" s="489" t="str">
        <x:v>CNPJ candidato na fonte SIGA: 10616321000179</x:v>
      </x:c>
      <x:c r="W98" s="489" t="str">
        <x:v>Valor do grupo fecha com: SIGA pago favorecido</x:v>
      </x:c>
      <x:c r="X98" s="489" t="str"/>
    </x:row>
    <x:row r="99">
      <x:c r="A99" s="502" t="n">
        <x:v>99</x:v>
      </x:c>
      <x:c r="B99" s="502" t="n">
        <x:v>2020</x:v>
      </x:c>
      <x:c r="C99" s="489" t="str">
        <x:v>Carlos Barbosa</x:v>
      </x:c>
      <x:c r="D99" s="489" t="str">
        <x:v>Município</x:v>
      </x:c>
      <x:c r="E99" s="489" t="str">
        <x:v>Prefeitura Municipal</x:v>
      </x:c>
      <x:c r="F99" s="489" t="str">
        <x:v>41160001</x:v>
      </x:c>
      <x:c r="G99" s="489" t="str">
        <x:v>41160001-2020</x:v>
      </x:c>
      <x:c r="H99" s="489" t="str">
        <x:v>Informado/corrigido a partir do mapa</x:v>
      </x:c>
      <x:c r="I99" s="503" t="n">
        <x:v>100000</x:v>
      </x:c>
      <x:c r="J99" s="503" t="n">
        <x:v>100000</x:v>
      </x:c>
      <x:c r="K99" s="489" t="str">
        <x:v>Emenda Individual (processo seletivo)</x:v>
      </x:c>
      <x:c r="L99" s="489" t="str">
        <x:v>Recurso pago</x:v>
      </x:c>
      <x:c r="M99" s="503" t="n">
        <x:v>100000</x:v>
      </x:c>
      <x:c r="N99" s="503" t="n">
        <x:v>0</x:v>
      </x:c>
      <x:c r="O99" s="503" t="n">
        <x:v>0</x:v>
      </x:c>
      <x:c r="P99" s="503" t="n">
        <x:v>0</x:v>
      </x:c>
      <x:c r="Q99" s="503" t="n">
        <x:v>0</x:v>
      </x:c>
      <x:c r="R99" s="489" t="str"/>
      <x:c r="S99" s="489" t="str">
        <x:v>10372245000101</x:v>
      </x:c>
      <x:c r="T99" s="489" t="str">
        <x:v>CONFIRMADO</x:v>
      </x:c>
      <x:c r="U99" s="489" t="str">
        <x:v>Baixa</x:v>
      </x:c>
      <x:c r="V99" s="489" t="str">
        <x:v>CNPJ candidato na fonte SIGA: 10372245000101</x:v>
      </x:c>
      <x:c r="W99" s="489" t="str">
        <x:v>Valor do grupo fecha com: SIGA pago favorecido</x:v>
      </x:c>
      <x:c r="X99" s="489" t="str"/>
    </x:row>
    <x:row r="100">
      <x:c r="A100" s="502" t="n">
        <x:v>100</x:v>
      </x:c>
      <x:c r="B100" s="502" t="n">
        <x:v>2020</x:v>
      </x:c>
      <x:c r="C100" s="489" t="str">
        <x:v>Dois Irmãos</x:v>
      </x:c>
      <x:c r="D100" s="489" t="str">
        <x:v>Município</x:v>
      </x:c>
      <x:c r="E100" s="489" t="str">
        <x:v>Prefeitura Municipal</x:v>
      </x:c>
      <x:c r="F100" s="489" t="str">
        <x:v>41160001</x:v>
      </x:c>
      <x:c r="G100" s="489" t="str">
        <x:v>41160001-2020</x:v>
      </x:c>
      <x:c r="H100" s="489" t="str">
        <x:v>Informado/corrigido a partir do mapa</x:v>
      </x:c>
      <x:c r="I100" s="503" t="n">
        <x:v>100000</x:v>
      </x:c>
      <x:c r="J100" s="503" t="n">
        <x:v>100000</x:v>
      </x:c>
      <x:c r="K100" s="489" t="str">
        <x:v>Emenda Individual </x:v>
      </x:c>
      <x:c r="L100" s="489" t="str">
        <x:v>Recurso pago</x:v>
      </x:c>
      <x:c r="M100" s="503" t="n">
        <x:v>100000</x:v>
      </x:c>
      <x:c r="N100" s="503" t="n">
        <x:v>0</x:v>
      </x:c>
      <x:c r="O100" s="503" t="n">
        <x:v>0</x:v>
      </x:c>
      <x:c r="P100" s="503" t="n">
        <x:v>0</x:v>
      </x:c>
      <x:c r="Q100" s="503" t="n">
        <x:v>0</x:v>
      </x:c>
      <x:c r="R100" s="489" t="str"/>
      <x:c r="S100" s="489" t="str">
        <x:v>11437296000129</x:v>
      </x:c>
      <x:c r="T100" s="489" t="str">
        <x:v>CONFIRMADO</x:v>
      </x:c>
      <x:c r="U100" s="489" t="str">
        <x:v>Baixa</x:v>
      </x:c>
      <x:c r="V100" s="489" t="str">
        <x:v>CNPJ candidato na fonte SIGA: 11437296000129</x:v>
      </x:c>
      <x:c r="W100" s="489" t="str">
        <x:v>Valor do grupo fecha com: SIGA pago favorecido</x:v>
      </x:c>
      <x:c r="X100" s="489" t="str"/>
    </x:row>
    <x:row r="101">
      <x:c r="A101" s="502" t="n">
        <x:v>101</x:v>
      </x:c>
      <x:c r="B101" s="502" t="n">
        <x:v>2020</x:v>
      </x:c>
      <x:c r="C101" s="489" t="str">
        <x:v>Erechim</x:v>
      </x:c>
      <x:c r="D101" s="489" t="str">
        <x:v>Hospital</x:v>
      </x:c>
      <x:c r="E101" s="489" t="str">
        <x:v>Fundação Hospitalar Santa Terezinha</x:v>
      </x:c>
      <x:c r="F101" s="489" t="str">
        <x:v>41160005</x:v>
      </x:c>
      <x:c r="G101" s="489" t="str">
        <x:v>41160005-2020</x:v>
      </x:c>
      <x:c r="H101" s="489" t="str">
        <x:v>Informado/corrigido a partir do mapa</x:v>
      </x:c>
      <x:c r="I101" s="503" t="n">
        <x:v>100000</x:v>
      </x:c>
      <x:c r="J101" s="503" t="n">
        <x:v>100000</x:v>
      </x:c>
      <x:c r="K101" s="489" t="str">
        <x:v>Emenda Individual (processo seletivo)</x:v>
      </x:c>
      <x:c r="L101" s="489" t="str">
        <x:v>Recurso pago</x:v>
      </x:c>
      <x:c r="M101" s="503" t="n">
        <x:v>0</x:v>
      </x:c>
      <x:c r="N101" s="503" t="n">
        <x:v>0</x:v>
      </x:c>
      <x:c r="O101" s="503" t="n">
        <x:v>0</x:v>
      </x:c>
      <x:c r="P101" s="503" t="n">
        <x:v>0</x:v>
      </x:c>
      <x:c r="Q101" s="503" t="n">
        <x:v>0</x:v>
      </x:c>
      <x:c r="R101" s="489" t="str"/>
      <x:c r="S101" s="489" t="str"/>
      <x:c r="T101" s="489" t="str">
        <x:v>EMENDA CONFIRMADA; DESTINO NÃO CONFIRMADO</x:v>
      </x:c>
      <x:c r="U101" s="489" t="str">
        <x:v>Média</x:v>
      </x:c>
      <x:c r="V101" s="489" t="str"/>
      <x:c r="W101" s="489" t="str">
        <x:v>Nº existe no SIGA; destinatário específico não foi confirmado nas bases anexas</x:v>
      </x:c>
      <x:c r="X101" s="489" t="str"/>
    </x:row>
    <x:row r="102">
      <x:c r="A102" s="502" t="n">
        <x:v>102</x:v>
      </x:c>
      <x:c r="B102" s="502" t="n">
        <x:v>2020</x:v>
      </x:c>
      <x:c r="C102" s="489" t="str">
        <x:v>Esteio</x:v>
      </x:c>
      <x:c r="D102" s="489" t="str">
        <x:v>Município</x:v>
      </x:c>
      <x:c r="E102" s="489" t="str">
        <x:v>Prefeitura Municipal</x:v>
      </x:c>
      <x:c r="F102" s="489" t="str">
        <x:v>41160001</x:v>
      </x:c>
      <x:c r="G102" s="489" t="str">
        <x:v>41160001-2020</x:v>
      </x:c>
      <x:c r="H102" s="489" t="str">
        <x:v>Informado/corrigido a partir do mapa</x:v>
      </x:c>
      <x:c r="I102" s="503" t="n">
        <x:v>100000</x:v>
      </x:c>
      <x:c r="J102" s="503" t="n">
        <x:v>100000</x:v>
      </x:c>
      <x:c r="K102" s="489" t="str">
        <x:v>Emenda Individual (processo seletivo)</x:v>
      </x:c>
      <x:c r="L102" s="489" t="str">
        <x:v>Recurso pago</x:v>
      </x:c>
      <x:c r="M102" s="503" t="n">
        <x:v>100000</x:v>
      </x:c>
      <x:c r="N102" s="503" t="n">
        <x:v>0</x:v>
      </x:c>
      <x:c r="O102" s="503" t="n">
        <x:v>0</x:v>
      </x:c>
      <x:c r="P102" s="503" t="n">
        <x:v>0</x:v>
      </x:c>
      <x:c r="Q102" s="503" t="n">
        <x:v>0</x:v>
      </x:c>
      <x:c r="R102" s="489" t="str"/>
      <x:c r="S102" s="489" t="str">
        <x:v>12140369000189</x:v>
      </x:c>
      <x:c r="T102" s="489" t="str">
        <x:v>CONFIRMADO</x:v>
      </x:c>
      <x:c r="U102" s="489" t="str">
        <x:v>Baixa</x:v>
      </x:c>
      <x:c r="V102" s="489" t="str">
        <x:v>CNPJ candidato na fonte SIGA: 12140369000189</x:v>
      </x:c>
      <x:c r="W102" s="489" t="str">
        <x:v>Valor do grupo fecha com: SIGA pago favorecido</x:v>
      </x:c>
      <x:c r="X102" s="489" t="str"/>
    </x:row>
    <x:row r="103">
      <x:c r="A103" s="502" t="n">
        <x:v>103</x:v>
      </x:c>
      <x:c r="B103" s="502" t="n">
        <x:v>2020</x:v>
      </x:c>
      <x:c r="C103" s="489" t="str">
        <x:v>Feliz</x:v>
      </x:c>
      <x:c r="D103" s="489" t="str">
        <x:v>Município</x:v>
      </x:c>
      <x:c r="E103" s="489" t="str">
        <x:v>Prefeitura Municipal</x:v>
      </x:c>
      <x:c r="F103" s="489" t="str">
        <x:v>41160009</x:v>
      </x:c>
      <x:c r="G103" s="489" t="str">
        <x:v>41160009-2020</x:v>
      </x:c>
      <x:c r="H103" s="489" t="str">
        <x:v>Informado/corrigido a partir do mapa</x:v>
      </x:c>
      <x:c r="I103" s="503" t="n">
        <x:v>100000</x:v>
      </x:c>
      <x:c r="J103" s="503" t="n">
        <x:v>100000</x:v>
      </x:c>
      <x:c r="K103" s="489" t="str">
        <x:v>Emenda Individual (processo seletivo)</x:v>
      </x:c>
      <x:c r="L103" s="489" t="str">
        <x:v>Recurso pago</x:v>
      </x:c>
      <x:c r="M103" s="503" t="n">
        <x:v>100000</x:v>
      </x:c>
      <x:c r="N103" s="503" t="n">
        <x:v>0</x:v>
      </x:c>
      <x:c r="O103" s="503" t="n">
        <x:v>0</x:v>
      </x:c>
      <x:c r="P103" s="503" t="n">
        <x:v>0</x:v>
      </x:c>
      <x:c r="Q103" s="503" t="n">
        <x:v>0</x:v>
      </x:c>
      <x:c r="R103" s="489" t="str"/>
      <x:c r="S103" s="489" t="str">
        <x:v>11484627000181</x:v>
      </x:c>
      <x:c r="T103" s="489" t="str">
        <x:v>CONFIRMADO</x:v>
      </x:c>
      <x:c r="U103" s="489" t="str">
        <x:v>Baixa</x:v>
      </x:c>
      <x:c r="V103" s="489" t="str">
        <x:v>CNPJ candidato na fonte SIGA: 11484627000181</x:v>
      </x:c>
      <x:c r="W103" s="489" t="str">
        <x:v>Valor do grupo fecha com: SIGA pago favorecido</x:v>
      </x:c>
      <x:c r="X103" s="489" t="str"/>
    </x:row>
    <x:row r="104">
      <x:c r="A104" s="502" t="n">
        <x:v>104</x:v>
      </x:c>
      <x:c r="B104" s="502" t="n">
        <x:v>2020</x:v>
      </x:c>
      <x:c r="C104" s="489" t="str">
        <x:v>Harmonia</x:v>
      </x:c>
      <x:c r="D104" s="489" t="str">
        <x:v>Município</x:v>
      </x:c>
      <x:c r="E104" s="489" t="str">
        <x:v>Prefeitura Municipal</x:v>
      </x:c>
      <x:c r="F104" s="489" t="str">
        <x:v>41160001</x:v>
      </x:c>
      <x:c r="G104" s="489" t="str">
        <x:v>41160001-2020</x:v>
      </x:c>
      <x:c r="H104" s="489" t="str">
        <x:v>Informado/corrigido a partir do mapa</x:v>
      </x:c>
      <x:c r="I104" s="503" t="n">
        <x:v>100000</x:v>
      </x:c>
      <x:c r="J104" s="503" t="n">
        <x:v>100000</x:v>
      </x:c>
      <x:c r="K104" s="489" t="str">
        <x:v>Emenda Individual (processo seletivo)</x:v>
      </x:c>
      <x:c r="L104" s="489" t="str">
        <x:v>Recurso pago</x:v>
      </x:c>
      <x:c r="M104" s="503" t="n">
        <x:v>100000</x:v>
      </x:c>
      <x:c r="N104" s="503" t="n">
        <x:v>0</x:v>
      </x:c>
      <x:c r="O104" s="503" t="n">
        <x:v>0</x:v>
      </x:c>
      <x:c r="P104" s="503" t="n">
        <x:v>0</x:v>
      </x:c>
      <x:c r="Q104" s="503" t="n">
        <x:v>0</x:v>
      </x:c>
      <x:c r="R104" s="489" t="str"/>
      <x:c r="S104" s="489" t="str">
        <x:v>10624835000176</x:v>
      </x:c>
      <x:c r="T104" s="489" t="str">
        <x:v>CONFIRMADO</x:v>
      </x:c>
      <x:c r="U104" s="489" t="str">
        <x:v>Baixa</x:v>
      </x:c>
      <x:c r="V104" s="489" t="str">
        <x:v>CNPJ candidato na fonte SIGA: 10624835000176</x:v>
      </x:c>
      <x:c r="W104" s="489" t="str">
        <x:v>Valor do grupo fecha com: SIGA pago favorecido</x:v>
      </x:c>
      <x:c r="X104" s="489" t="str"/>
    </x:row>
    <x:row r="105">
      <x:c r="A105" s="502" t="n">
        <x:v>105</x:v>
      </x:c>
      <x:c r="B105" s="502" t="n">
        <x:v>2020</x:v>
      </x:c>
      <x:c r="C105" s="489" t="str">
        <x:v>Igrejinha</x:v>
      </x:c>
      <x:c r="D105" s="489" t="str">
        <x:v>Município</x:v>
      </x:c>
      <x:c r="E105" s="489" t="str">
        <x:v>Prefeitura Municipal</x:v>
      </x:c>
      <x:c r="F105" s="489" t="str">
        <x:v>41160001</x:v>
      </x:c>
      <x:c r="G105" s="489" t="str">
        <x:v>41160001-2020</x:v>
      </x:c>
      <x:c r="H105" s="489" t="str">
        <x:v>Informado/corrigido a partir do mapa</x:v>
      </x:c>
      <x:c r="I105" s="503" t="n">
        <x:v>100000</x:v>
      </x:c>
      <x:c r="J105" s="503" t="n">
        <x:v>100000</x:v>
      </x:c>
      <x:c r="K105" s="489" t="str">
        <x:v>Emenda Individual (processo seletivo)</x:v>
      </x:c>
      <x:c r="L105" s="489" t="str">
        <x:v>Recurso pago</x:v>
      </x:c>
      <x:c r="M105" s="503" t="n">
        <x:v>100000</x:v>
      </x:c>
      <x:c r="N105" s="503" t="n">
        <x:v>0</x:v>
      </x:c>
      <x:c r="O105" s="503" t="n">
        <x:v>0</x:v>
      </x:c>
      <x:c r="P105" s="503" t="n">
        <x:v>0</x:v>
      </x:c>
      <x:c r="Q105" s="503" t="n">
        <x:v>0</x:v>
      </x:c>
      <x:c r="R105" s="489" t="str"/>
      <x:c r="S105" s="489" t="str">
        <x:v>12121651000119</x:v>
      </x:c>
      <x:c r="T105" s="489" t="str">
        <x:v>CONFIRMADO</x:v>
      </x:c>
      <x:c r="U105" s="489" t="str">
        <x:v>Baixa</x:v>
      </x:c>
      <x:c r="V105" s="489" t="str">
        <x:v>CNPJ candidato na fonte SIGA: 12121651000119</x:v>
      </x:c>
      <x:c r="W105" s="489" t="str">
        <x:v>Valor do grupo fecha com: SIGA pago favorecido</x:v>
      </x:c>
      <x:c r="X105" s="489" t="str"/>
    </x:row>
    <x:row r="106">
      <x:c r="A106" s="502" t="n">
        <x:v>106</x:v>
      </x:c>
      <x:c r="B106" s="502" t="n">
        <x:v>2020</x:v>
      </x:c>
      <x:c r="C106" s="489" t="str">
        <x:v>Ijuí</x:v>
      </x:c>
      <x:c r="D106" s="489" t="str">
        <x:v>Hospital</x:v>
      </x:c>
      <x:c r="E106" s="489" t="str">
        <x:v>Associação Hospitalar de Caridade Ijuí</x:v>
      </x:c>
      <x:c r="F106" s="489" t="str">
        <x:v>41160005</x:v>
      </x:c>
      <x:c r="G106" s="489" t="str">
        <x:v>41160005-2020</x:v>
      </x:c>
      <x:c r="H106" s="489" t="str">
        <x:v>Informado/corrigido a partir do mapa</x:v>
      </x:c>
      <x:c r="I106" s="503" t="n">
        <x:v>100000</x:v>
      </x:c>
      <x:c r="J106" s="503" t="n">
        <x:v>100000</x:v>
      </x:c>
      <x:c r="K106" s="489" t="str">
        <x:v>Emenda Individual (processo seletivo)</x:v>
      </x:c>
      <x:c r="L106" s="489" t="str">
        <x:v>Recurso pago</x:v>
      </x:c>
      <x:c r="M106" s="503" t="n">
        <x:v>0</x:v>
      </x:c>
      <x:c r="N106" s="503" t="n">
        <x:v>0</x:v>
      </x:c>
      <x:c r="O106" s="503" t="n">
        <x:v>0</x:v>
      </x:c>
      <x:c r="P106" s="503" t="n">
        <x:v>0</x:v>
      </x:c>
      <x:c r="Q106" s="503" t="n">
        <x:v>0</x:v>
      </x:c>
      <x:c r="R106" s="489" t="str"/>
      <x:c r="S106" s="489" t="str"/>
      <x:c r="T106" s="489" t="str">
        <x:v>EMENDA CONFIRMADA; DESTINO NÃO CONFIRMADO</x:v>
      </x:c>
      <x:c r="U106" s="489" t="str">
        <x:v>Média</x:v>
      </x:c>
      <x:c r="V106" s="489" t="str"/>
      <x:c r="W106" s="489" t="str">
        <x:v>Nº existe no SIGA; destinatário específico não foi confirmado nas bases anexas</x:v>
      </x:c>
      <x:c r="X106" s="489" t="str"/>
    </x:row>
    <x:row r="107">
      <x:c r="A107" s="502" t="n">
        <x:v>107</x:v>
      </x:c>
      <x:c r="B107" s="502" t="n">
        <x:v>2020</x:v>
      </x:c>
      <x:c r="C107" s="489" t="str">
        <x:v>Montenegro</x:v>
      </x:c>
      <x:c r="D107" s="489" t="str">
        <x:v>Hospital</x:v>
      </x:c>
      <x:c r="E107" s="489" t="str">
        <x:v>OASE- Hospital Montenegro</x:v>
      </x:c>
      <x:c r="F107" s="489" t="str">
        <x:v>41160009</x:v>
      </x:c>
      <x:c r="G107" s="489" t="str">
        <x:v>41160009-2020</x:v>
      </x:c>
      <x:c r="H107" s="489" t="str">
        <x:v>Informado/corrigido a partir do mapa</x:v>
      </x:c>
      <x:c r="I107" s="503" t="n">
        <x:v>100000</x:v>
      </x:c>
      <x:c r="J107" s="503" t="n">
        <x:v>100000</x:v>
      </x:c>
      <x:c r="K107" s="489" t="str">
        <x:v>Emenda Individual (processo seletivo)</x:v>
      </x:c>
      <x:c r="L107" s="489" t="str">
        <x:v>Recurso pago</x:v>
      </x:c>
      <x:c r="M107" s="503" t="n">
        <x:v>0</x:v>
      </x:c>
      <x:c r="N107" s="503" t="n">
        <x:v>0</x:v>
      </x:c>
      <x:c r="O107" s="503" t="n">
        <x:v>0</x:v>
      </x:c>
      <x:c r="P107" s="503" t="n">
        <x:v>0</x:v>
      </x:c>
      <x:c r="Q107" s="503" t="n">
        <x:v>0</x:v>
      </x:c>
      <x:c r="R107" s="489" t="str"/>
      <x:c r="S107" s="489" t="str"/>
      <x:c r="T107" s="489" t="str">
        <x:v>EMENDA CONFIRMADA; DESTINO NÃO CONFIRMADO</x:v>
      </x:c>
      <x:c r="U107" s="489" t="str">
        <x:v>Média</x:v>
      </x:c>
      <x:c r="V107" s="489" t="str"/>
      <x:c r="W107" s="489" t="str">
        <x:v>Nº existe no SIGA; destinatário específico não foi confirmado nas bases anexas</x:v>
      </x:c>
      <x:c r="X107" s="489" t="str"/>
    </x:row>
    <x:row r="108">
      <x:c r="A108" s="502" t="n">
        <x:v>108</x:v>
      </x:c>
      <x:c r="B108" s="502" t="n">
        <x:v>2020</x:v>
      </x:c>
      <x:c r="C108" s="489" t="str">
        <x:v>Nova Petrópolis</x:v>
      </x:c>
      <x:c r="D108" s="489" t="str">
        <x:v>Município</x:v>
      </x:c>
      <x:c r="E108" s="489" t="str">
        <x:v>Prefeitura Municipal</x:v>
      </x:c>
      <x:c r="F108" s="489" t="str">
        <x:v>41160009</x:v>
      </x:c>
      <x:c r="G108" s="489" t="str">
        <x:v>41160009-2020</x:v>
      </x:c>
      <x:c r="H108" s="489" t="str">
        <x:v>Informado/corrigido a partir do mapa</x:v>
      </x:c>
      <x:c r="I108" s="503" t="n">
        <x:v>100000</x:v>
      </x:c>
      <x:c r="J108" s="503" t="n">
        <x:v>100000</x:v>
      </x:c>
      <x:c r="K108" s="489" t="str">
        <x:v>Emenda Individual (processo seletivo)</x:v>
      </x:c>
      <x:c r="L108" s="489" t="str">
        <x:v>Recurso pago</x:v>
      </x:c>
      <x:c r="M108" s="503" t="n">
        <x:v>100000</x:v>
      </x:c>
      <x:c r="N108" s="503" t="n">
        <x:v>0</x:v>
      </x:c>
      <x:c r="O108" s="503" t="n">
        <x:v>0</x:v>
      </x:c>
      <x:c r="P108" s="503" t="n">
        <x:v>0</x:v>
      </x:c>
      <x:c r="Q108" s="503" t="n">
        <x:v>0</x:v>
      </x:c>
      <x:c r="R108" s="489" t="str"/>
      <x:c r="S108" s="489" t="str">
        <x:v>11898805000110</x:v>
      </x:c>
      <x:c r="T108" s="489" t="str">
        <x:v>CONFIRMADO</x:v>
      </x:c>
      <x:c r="U108" s="489" t="str">
        <x:v>Baixa</x:v>
      </x:c>
      <x:c r="V108" s="489" t="str">
        <x:v>CNPJ candidato na fonte SIGA: 11898805000110</x:v>
      </x:c>
      <x:c r="W108" s="489" t="str">
        <x:v>Valor do grupo fecha com: SIGA pago favorecido</x:v>
      </x:c>
      <x:c r="X108" s="489" t="str"/>
    </x:row>
    <x:row r="109">
      <x:c r="A109" s="502" t="n">
        <x:v>109</x:v>
      </x:c>
      <x:c r="B109" s="502" t="n">
        <x:v>2020</x:v>
      </x:c>
      <x:c r="C109" s="489" t="str">
        <x:v>Novo Hamburgo</x:v>
      </x:c>
      <x:c r="D109" s="489" t="str">
        <x:v>Hospital</x:v>
      </x:c>
      <x:c r="E109" s="489" t="str">
        <x:v>Hospital Municipal de Novo Hamburgo</x:v>
      </x:c>
      <x:c r="F109" s="489" t="str">
        <x:v>41160005</x:v>
      </x:c>
      <x:c r="G109" s="489" t="str">
        <x:v>41160005-2020</x:v>
      </x:c>
      <x:c r="H109" s="489" t="str">
        <x:v>Informado/corrigido a partir do mapa</x:v>
      </x:c>
      <x:c r="I109" s="503" t="n">
        <x:v>100000</x:v>
      </x:c>
      <x:c r="J109" s="503" t="n">
        <x:v>300000</x:v>
      </x:c>
      <x:c r="K109" s="489" t="str">
        <x:v>Emenda Individual (processo seletivo)</x:v>
      </x:c>
      <x:c r="L109" s="489" t="str">
        <x:v>Recurso pago</x:v>
      </x:c>
      <x:c r="M109" s="503" t="n">
        <x:v>300000</x:v>
      </x:c>
      <x:c r="N109" s="503" t="n">
        <x:v>0</x:v>
      </x:c>
      <x:c r="O109" s="503" t="n">
        <x:v>0</x:v>
      </x:c>
      <x:c r="P109" s="503" t="n">
        <x:v>0</x:v>
      </x:c>
      <x:c r="Q109" s="503" t="n">
        <x:v>0</x:v>
      </x:c>
      <x:c r="R109" s="489" t="str"/>
      <x:c r="S109" s="489" t="str">
        <x:v>11416036000177</x:v>
      </x:c>
      <x:c r="T109" s="489" t="str">
        <x:v>CONFIRMADO</x:v>
      </x:c>
      <x:c r="U109" s="489" t="str">
        <x:v>Baixa</x:v>
      </x:c>
      <x:c r="V109" s="489" t="str">
        <x:v>CNPJ candidato na fonte SIGA: 11416036000177</x:v>
      </x:c>
      <x:c r="W109" s="489" t="str">
        <x:v>Valor do grupo fecha com: SIGA pago favorecido</x:v>
      </x:c>
      <x:c r="X109" s="489" t="str"/>
    </x:row>
    <x:row r="110">
      <x:c r="A110" s="502" t="n">
        <x:v>110</x:v>
      </x:c>
      <x:c r="B110" s="502" t="n">
        <x:v>2020</x:v>
      </x:c>
      <x:c r="C110" s="489" t="str">
        <x:v>Panambi</x:v>
      </x:c>
      <x:c r="D110" s="489" t="str">
        <x:v>Município</x:v>
      </x:c>
      <x:c r="E110" s="489" t="str">
        <x:v>Prefeitura Municipal</x:v>
      </x:c>
      <x:c r="F110" s="489" t="str">
        <x:v>41160009</x:v>
      </x:c>
      <x:c r="G110" s="489" t="str">
        <x:v>41160009-2020</x:v>
      </x:c>
      <x:c r="H110" s="489" t="str">
        <x:v>Informado/corrigido a partir do mapa</x:v>
      </x:c>
      <x:c r="I110" s="503" t="n">
        <x:v>100000</x:v>
      </x:c>
      <x:c r="J110" s="503" t="n">
        <x:v>100000</x:v>
      </x:c>
      <x:c r="K110" s="489" t="str">
        <x:v>Emenda Individual (processo seletivo)</x:v>
      </x:c>
      <x:c r="L110" s="489" t="str">
        <x:v>Recurso pago</x:v>
      </x:c>
      <x:c r="M110" s="503" t="n">
        <x:v>100000</x:v>
      </x:c>
      <x:c r="N110" s="503" t="n">
        <x:v>0</x:v>
      </x:c>
      <x:c r="O110" s="503" t="n">
        <x:v>0</x:v>
      </x:c>
      <x:c r="P110" s="503" t="n">
        <x:v>0</x:v>
      </x:c>
      <x:c r="Q110" s="503" t="n">
        <x:v>0</x:v>
      </x:c>
      <x:c r="R110" s="489" t="str"/>
      <x:c r="S110" s="489" t="str">
        <x:v>12056244000175</x:v>
      </x:c>
      <x:c r="T110" s="489" t="str">
        <x:v>CONFIRMADO</x:v>
      </x:c>
      <x:c r="U110" s="489" t="str">
        <x:v>Baixa</x:v>
      </x:c>
      <x:c r="V110" s="489" t="str">
        <x:v>CNPJ candidato na fonte SIGA: 12056244000175</x:v>
      </x:c>
      <x:c r="W110" s="489" t="str">
        <x:v>Valor do grupo fecha com: SIGA pago favorecido</x:v>
      </x:c>
      <x:c r="X110" s="489" t="str"/>
    </x:row>
    <x:row r="111">
      <x:c r="A111" s="502" t="n">
        <x:v>111</x:v>
      </x:c>
      <x:c r="B111" s="502" t="n">
        <x:v>2020</x:v>
      </x:c>
      <x:c r="C111" s="489" t="str">
        <x:v>Pelotas</x:v>
      </x:c>
      <x:c r="D111" s="489" t="str">
        <x:v>Hospital</x:v>
      </x:c>
      <x:c r="E111" s="489" t="str">
        <x:v>Santa Casa de Misericórdia de Pelotas</x:v>
      </x:c>
      <x:c r="F111" s="489" t="str">
        <x:v>41160005</x:v>
      </x:c>
      <x:c r="G111" s="489" t="str">
        <x:v>41160005-2020</x:v>
      </x:c>
      <x:c r="H111" s="489" t="str">
        <x:v>Informado/corrigido a partir do mapa</x:v>
      </x:c>
      <x:c r="I111" s="503" t="n">
        <x:v>100000</x:v>
      </x:c>
      <x:c r="J111" s="503" t="n">
        <x:v>100000</x:v>
      </x:c>
      <x:c r="K111" s="489" t="str">
        <x:v>Emenda Individual (processo seletivo)</x:v>
      </x:c>
      <x:c r="L111" s="489" t="str">
        <x:v>Recurso pago</x:v>
      </x:c>
      <x:c r="M111" s="503" t="n">
        <x:v>100000</x:v>
      </x:c>
      <x:c r="N111" s="503" t="n">
        <x:v>0</x:v>
      </x:c>
      <x:c r="O111" s="503" t="n">
        <x:v>0</x:v>
      </x:c>
      <x:c r="P111" s="503" t="n">
        <x:v>0</x:v>
      </x:c>
      <x:c r="Q111" s="503" t="n">
        <x:v>0</x:v>
      </x:c>
      <x:c r="R111" s="489" t="str"/>
      <x:c r="S111" s="489" t="str">
        <x:v>11217562000108</x:v>
      </x:c>
      <x:c r="T111" s="489" t="str">
        <x:v>CONFIRMADO</x:v>
      </x:c>
      <x:c r="U111" s="489" t="str">
        <x:v>Baixa</x:v>
      </x:c>
      <x:c r="V111" s="489" t="str">
        <x:v>CNPJ candidato na fonte SIGA: 11217562000108</x:v>
      </x:c>
      <x:c r="W111" s="489" t="str">
        <x:v>Valor do grupo fecha com: SIGA pago favorecido</x:v>
      </x:c>
      <x:c r="X111" s="489" t="str"/>
    </x:row>
    <x:row r="112">
      <x:c r="A112" s="502" t="n">
        <x:v>112</x:v>
      </x:c>
      <x:c r="B112" s="502" t="n">
        <x:v>2020</x:v>
      </x:c>
      <x:c r="C112" s="489" t="str">
        <x:v>Pinto Bandeira</x:v>
      </x:c>
      <x:c r="D112" s="489" t="str">
        <x:v>Município</x:v>
      </x:c>
      <x:c r="E112" s="489" t="str">
        <x:v>Prefeitura Municipal</x:v>
      </x:c>
      <x:c r="F112" s="489" t="str">
        <x:v>41160001</x:v>
      </x:c>
      <x:c r="G112" s="489" t="str">
        <x:v>41160001-2020</x:v>
      </x:c>
      <x:c r="H112" s="489" t="str">
        <x:v>Informado/corrigido a partir do mapa</x:v>
      </x:c>
      <x:c r="I112" s="503" t="n">
        <x:v>100000</x:v>
      </x:c>
      <x:c r="J112" s="503" t="n">
        <x:v>100000</x:v>
      </x:c>
      <x:c r="K112" s="489" t="str">
        <x:v>Emenda Individual (processo seletivo)</x:v>
      </x:c>
      <x:c r="L112" s="489" t="str">
        <x:v>Recurso pago</x:v>
      </x:c>
      <x:c r="M112" s="503" t="n">
        <x:v>100000</x:v>
      </x:c>
      <x:c r="N112" s="503" t="n">
        <x:v>0</x:v>
      </x:c>
      <x:c r="O112" s="503" t="n">
        <x:v>0</x:v>
      </x:c>
      <x:c r="P112" s="503" t="n">
        <x:v>0</x:v>
      </x:c>
      <x:c r="Q112" s="503" t="n">
        <x:v>0</x:v>
      </x:c>
      <x:c r="R112" s="489" t="str"/>
      <x:c r="S112" s="489" t="str">
        <x:v>17556083000100</x:v>
      </x:c>
      <x:c r="T112" s="489" t="str">
        <x:v>CONFIRMADO</x:v>
      </x:c>
      <x:c r="U112" s="489" t="str">
        <x:v>Baixa</x:v>
      </x:c>
      <x:c r="V112" s="489" t="str">
        <x:v>CNPJ candidato na fonte SIGA: 17556083000100</x:v>
      </x:c>
      <x:c r="W112" s="489" t="str">
        <x:v>Valor do grupo fecha com: SIGA pago favorecido</x:v>
      </x:c>
      <x:c r="X112" s="489" t="str"/>
    </x:row>
    <x:row r="113">
      <x:c r="A113" s="502" t="n">
        <x:v>113</x:v>
      </x:c>
      <x:c r="B113" s="502" t="n">
        <x:v>2020</x:v>
      </x:c>
      <x:c r="C113" s="489" t="str">
        <x:v>Sapiranga</x:v>
      </x:c>
      <x:c r="D113" s="489" t="str">
        <x:v>Hospital</x:v>
      </x:c>
      <x:c r="E113" s="489" t="str">
        <x:v>Hospital Sapiranga</x:v>
      </x:c>
      <x:c r="F113" s="489" t="str">
        <x:v>7122 0006</x:v>
      </x:c>
      <x:c r="G113" s="489" t="str">
        <x:v>71220006-2020</x:v>
      </x:c>
      <x:c r="H113" s="489" t="str">
        <x:v>Informado/corrigido a partir do mapa</x:v>
      </x:c>
      <x:c r="I113" s="503" t="n">
        <x:v>100000</x:v>
      </x:c>
      <x:c r="J113" s="503" t="n">
        <x:v>100000</x:v>
      </x:c>
      <x:c r="K113" s="489" t="str">
        <x:v>Emenda de Bancada</x:v>
      </x:c>
      <x:c r="L113" s="489" t="str">
        <x:v>Recurso pago</x:v>
      </x:c>
      <x:c r="M113" s="503" t="n">
        <x:v>0</x:v>
      </x:c>
      <x:c r="N113" s="503" t="n">
        <x:v>0</x:v>
      </x:c>
      <x:c r="O113" s="503" t="n">
        <x:v>0</x:v>
      </x:c>
      <x:c r="P113" s="503" t="n">
        <x:v>0</x:v>
      </x:c>
      <x:c r="Q113" s="503" t="n">
        <x:v>0</x:v>
      </x:c>
      <x:c r="R113" s="489" t="str"/>
      <x:c r="S113" s="489" t="str"/>
      <x:c r="T113" s="489" t="str">
        <x:v>Nº NÃO LOCALIZADO</x:v>
      </x:c>
      <x:c r="U113" s="489" t="str">
        <x:v>Média</x:v>
      </x:c>
      <x:c r="V113" s="489" t="str"/>
      <x:c r="W113" s="489" t="str"/>
      <x:c r="X113" s="489" t="str"/>
    </x:row>
    <x:row r="114">
      <x:c r="A114" s="502" t="n">
        <x:v>114</x:v>
      </x:c>
      <x:c r="B114" s="502" t="n">
        <x:v>2020</x:v>
      </x:c>
      <x:c r="C114" s="489" t="str">
        <x:v>Taquara</x:v>
      </x:c>
      <x:c r="D114" s="489" t="str">
        <x:v>Hospital</x:v>
      </x:c>
      <x:c r="E114" s="489" t="str">
        <x:v>Hospital Bom Jesus</x:v>
      </x:c>
      <x:c r="F114" s="489" t="str">
        <x:v>7122 0006</x:v>
      </x:c>
      <x:c r="G114" s="489" t="str">
        <x:v>71220006-2020</x:v>
      </x:c>
      <x:c r="H114" s="489" t="str">
        <x:v>Informado/corrigido a partir do mapa</x:v>
      </x:c>
      <x:c r="I114" s="503" t="n">
        <x:v>100000</x:v>
      </x:c>
      <x:c r="J114" s="503" t="n">
        <x:v>100000</x:v>
      </x:c>
      <x:c r="K114" s="489" t="str">
        <x:v>Emenda de Bancada</x:v>
      </x:c>
      <x:c r="L114" s="489" t="str">
        <x:v>Recurso pago</x:v>
      </x:c>
      <x:c r="M114" s="503" t="n">
        <x:v>0</x:v>
      </x:c>
      <x:c r="N114" s="503" t="n">
        <x:v>0</x:v>
      </x:c>
      <x:c r="O114" s="503" t="n">
        <x:v>0</x:v>
      </x:c>
      <x:c r="P114" s="503" t="n">
        <x:v>0</x:v>
      </x:c>
      <x:c r="Q114" s="503" t="n">
        <x:v>0</x:v>
      </x:c>
      <x:c r="R114" s="489" t="str"/>
      <x:c r="S114" s="489" t="str"/>
      <x:c r="T114" s="489" t="str">
        <x:v>Nº NÃO LOCALIZADO</x:v>
      </x:c>
      <x:c r="U114" s="489" t="str">
        <x:v>Média</x:v>
      </x:c>
      <x:c r="V114" s="489" t="str"/>
      <x:c r="W114" s="489" t="str"/>
      <x:c r="X114" s="489" t="str"/>
    </x:row>
    <x:row r="115">
      <x:c r="A115" s="502" t="n">
        <x:v>115</x:v>
      </x:c>
      <x:c r="B115" s="502" t="n">
        <x:v>2020</x:v>
      </x:c>
      <x:c r="C115" s="489" t="str">
        <x:v>Santo Ângelo</x:v>
      </x:c>
      <x:c r="D115" s="489" t="str">
        <x:v>Município </x:v>
      </x:c>
      <x:c r="E115" s="489" t="str">
        <x:v>Prefeitura Municipal</x:v>
      </x:c>
      <x:c r="F115" s="489" t="str">
        <x:v>41160005</x:v>
      </x:c>
      <x:c r="G115" s="489" t="str">
        <x:v>41160005-2020</x:v>
      </x:c>
      <x:c r="H115" s="489" t="str">
        <x:v>Informado/corrigido a partir do mapa</x:v>
      </x:c>
      <x:c r="I115" s="503" t="n">
        <x:v>100000</x:v>
      </x:c>
      <x:c r="J115" s="503" t="n">
        <x:v>100000</x:v>
      </x:c>
      <x:c r="K115" s="489" t="str">
        <x:v>Emenda Individual (processo seletivo)</x:v>
      </x:c>
      <x:c r="L115" s="489" t="str">
        <x:v>Recurso pago</x:v>
      </x:c>
      <x:c r="M115" s="503" t="n">
        <x:v>100000</x:v>
      </x:c>
      <x:c r="N115" s="503" t="n">
        <x:v>0</x:v>
      </x:c>
      <x:c r="O115" s="503" t="n">
        <x:v>0</x:v>
      </x:c>
      <x:c r="P115" s="503" t="n">
        <x:v>0</x:v>
      </x:c>
      <x:c r="Q115" s="503" t="n">
        <x:v>0</x:v>
      </x:c>
      <x:c r="R115" s="489" t="str"/>
      <x:c r="S115" s="489" t="str">
        <x:v>10836490000114</x:v>
      </x:c>
      <x:c r="T115" s="489" t="str">
        <x:v>CONFIRMADO</x:v>
      </x:c>
      <x:c r="U115" s="489" t="str">
        <x:v>Baixa</x:v>
      </x:c>
      <x:c r="V115" s="489" t="str">
        <x:v>CNPJ candidato na fonte SIGA: 10836490000114</x:v>
      </x:c>
      <x:c r="W115" s="489" t="str">
        <x:v>Valor do grupo fecha com: SIGA pago favorecido</x:v>
      </x:c>
      <x:c r="X115" s="489" t="str"/>
    </x:row>
    <x:row r="116">
      <x:c r="A116" s="502" t="n">
        <x:v>116</x:v>
      </x:c>
      <x:c r="B116" s="502" t="n">
        <x:v>2020</x:v>
      </x:c>
      <x:c r="C116" s="489" t="str">
        <x:v>São Borja</x:v>
      </x:c>
      <x:c r="D116" s="489" t="str">
        <x:v>Hospital</x:v>
      </x:c>
      <x:c r="E116" s="489" t="str">
        <x:v>Hospital Ivan Goulart</x:v>
      </x:c>
      <x:c r="F116" s="489" t="str">
        <x:v>41160005</x:v>
      </x:c>
      <x:c r="G116" s="489" t="str">
        <x:v>41160005-2020</x:v>
      </x:c>
      <x:c r="H116" s="489" t="str">
        <x:v>Informado/corrigido a partir do mapa</x:v>
      </x:c>
      <x:c r="I116" s="503" t="n">
        <x:v>100000</x:v>
      </x:c>
      <x:c r="J116" s="503" t="n">
        <x:v>100000</x:v>
      </x:c>
      <x:c r="K116" s="489" t="str">
        <x:v>Emenda Individual (processo seletivo)</x:v>
      </x:c>
      <x:c r="L116" s="489" t="str">
        <x:v>Recurso pago</x:v>
      </x:c>
      <x:c r="M116" s="503" t="n">
        <x:v>100000</x:v>
      </x:c>
      <x:c r="N116" s="503" t="n">
        <x:v>0</x:v>
      </x:c>
      <x:c r="O116" s="503" t="n">
        <x:v>0</x:v>
      </x:c>
      <x:c r="P116" s="503" t="n">
        <x:v>0</x:v>
      </x:c>
      <x:c r="Q116" s="503" t="n">
        <x:v>0</x:v>
      </x:c>
      <x:c r="R116" s="489" t="str"/>
      <x:c r="S116" s="489" t="str">
        <x:v>10610784000123</x:v>
      </x:c>
      <x:c r="T116" s="489" t="str">
        <x:v>CONFIRMADO</x:v>
      </x:c>
      <x:c r="U116" s="489" t="str">
        <x:v>Baixa</x:v>
      </x:c>
      <x:c r="V116" s="489" t="str">
        <x:v>CNPJ candidato na fonte SIGA: 10610784000123</x:v>
      </x:c>
      <x:c r="W116" s="489" t="str">
        <x:v>Valor do grupo fecha com: SIGA pago favorecido</x:v>
      </x:c>
      <x:c r="X116" s="489" t="str"/>
    </x:row>
    <x:row r="117">
      <x:c r="A117" s="502" t="n">
        <x:v>117</x:v>
      </x:c>
      <x:c r="B117" s="502" t="n">
        <x:v>2020</x:v>
      </x:c>
      <x:c r="C117" s="489" t="str">
        <x:v>Sapiranga</x:v>
      </x:c>
      <x:c r="D117" s="489" t="str">
        <x:v>Município</x:v>
      </x:c>
      <x:c r="E117" s="489" t="str">
        <x:v>Prefeitura Municipal</x:v>
      </x:c>
      <x:c r="F117" s="489" t="str">
        <x:v>41160009</x:v>
      </x:c>
      <x:c r="G117" s="489" t="str">
        <x:v>41160009-2020</x:v>
      </x:c>
      <x:c r="H117" s="489" t="str">
        <x:v>Informado/corrigido a partir do mapa</x:v>
      </x:c>
      <x:c r="I117" s="503" t="n">
        <x:v>100000</x:v>
      </x:c>
      <x:c r="J117" s="503" t="n">
        <x:v>100000</x:v>
      </x:c>
      <x:c r="K117" s="489" t="str">
        <x:v>Emenda Individual (processo seletivo)</x:v>
      </x:c>
      <x:c r="L117" s="489" t="str">
        <x:v>Recurso pago</x:v>
      </x:c>
      <x:c r="M117" s="503" t="n">
        <x:v>100000</x:v>
      </x:c>
      <x:c r="N117" s="503" t="n">
        <x:v>0</x:v>
      </x:c>
      <x:c r="O117" s="503" t="n">
        <x:v>0</x:v>
      </x:c>
      <x:c r="P117" s="503" t="n">
        <x:v>0</x:v>
      </x:c>
      <x:c r="Q117" s="503" t="n">
        <x:v>0</x:v>
      </x:c>
      <x:c r="R117" s="489" t="str"/>
      <x:c r="S117" s="489" t="str">
        <x:v>11295120000180</x:v>
      </x:c>
      <x:c r="T117" s="489" t="str">
        <x:v>CONFIRMADO</x:v>
      </x:c>
      <x:c r="U117" s="489" t="str">
        <x:v>Baixa</x:v>
      </x:c>
      <x:c r="V117" s="489" t="str">
        <x:v>CNPJ candidato na fonte SIGA: 11295120000180</x:v>
      </x:c>
      <x:c r="W117" s="489" t="str">
        <x:v>Valor do grupo fecha com: SIGA pago favorecido</x:v>
      </x:c>
      <x:c r="X117" s="489" t="str"/>
    </x:row>
    <x:row r="118">
      <x:c r="A118" s="502" t="n">
        <x:v>118</x:v>
      </x:c>
      <x:c r="B118" s="502" t="n">
        <x:v>2020</x:v>
      </x:c>
      <x:c r="C118" s="489" t="str">
        <x:v>Sapucaia do Sul</x:v>
      </x:c>
      <x:c r="D118" s="489" t="str">
        <x:v>Município</x:v>
      </x:c>
      <x:c r="E118" s="489" t="str">
        <x:v>Prefeitura Municipal</x:v>
      </x:c>
      <x:c r="F118" s="489" t="str">
        <x:v>41160001</x:v>
      </x:c>
      <x:c r="G118" s="489" t="str">
        <x:v>41160001-2020</x:v>
      </x:c>
      <x:c r="H118" s="489" t="str">
        <x:v>Informado/corrigido a partir do mapa</x:v>
      </x:c>
      <x:c r="I118" s="503" t="n">
        <x:v>100000</x:v>
      </x:c>
      <x:c r="J118" s="503" t="n">
        <x:v>100000</x:v>
      </x:c>
      <x:c r="K118" s="489" t="str">
        <x:v>Emenda Individual (processo seletivo)</x:v>
      </x:c>
      <x:c r="L118" s="489" t="str">
        <x:v>Recurso pago</x:v>
      </x:c>
      <x:c r="M118" s="503" t="n">
        <x:v>100000</x:v>
      </x:c>
      <x:c r="N118" s="503" t="n">
        <x:v>0</x:v>
      </x:c>
      <x:c r="O118" s="503" t="n">
        <x:v>0</x:v>
      </x:c>
      <x:c r="P118" s="503" t="n">
        <x:v>0</x:v>
      </x:c>
      <x:c r="Q118" s="503" t="n">
        <x:v>0</x:v>
      </x:c>
      <x:c r="R118" s="489" t="str"/>
      <x:c r="S118" s="489" t="str">
        <x:v>11413810000196</x:v>
      </x:c>
      <x:c r="T118" s="489" t="str">
        <x:v>CONFIRMADO</x:v>
      </x:c>
      <x:c r="U118" s="489" t="str">
        <x:v>Baixa</x:v>
      </x:c>
      <x:c r="V118" s="489" t="str">
        <x:v>CNPJ candidato na fonte SIGA: 11413810000196</x:v>
      </x:c>
      <x:c r="W118" s="489" t="str">
        <x:v>Valor do grupo fecha com: SIGA pago favorecido</x:v>
      </x:c>
      <x:c r="X118" s="489" t="str"/>
    </x:row>
    <x:row r="119">
      <x:c r="A119" s="502" t="n">
        <x:v>119</x:v>
      </x:c>
      <x:c r="B119" s="502" t="n">
        <x:v>2020</x:v>
      </x:c>
      <x:c r="C119" s="489" t="str">
        <x:v>Tapejara</x:v>
      </x:c>
      <x:c r="D119" s="489" t="str">
        <x:v>Município</x:v>
      </x:c>
      <x:c r="E119" s="489" t="str">
        <x:v>Prefeitura Municipal</x:v>
      </x:c>
      <x:c r="F119" s="489" t="str">
        <x:v>41160009 / 41160001</x:v>
      </x:c>
      <x:c r="G119" s="489" t="str">
        <x:v>41160001-2020</x:v>
      </x:c>
      <x:c r="H119" s="489" t="str">
        <x:v>Informado/corrigido a partir do mapa</x:v>
      </x:c>
      <x:c r="I119" s="503" t="n">
        <x:v>100000</x:v>
      </x:c>
      <x:c r="J119" s="503" t="n">
        <x:v>100000</x:v>
      </x:c>
      <x:c r="K119" s="489" t="str">
        <x:v>Emenda Individual (processo seletivo)</x:v>
      </x:c>
      <x:c r="L119" s="489" t="str">
        <x:v>Recurso pago</x:v>
      </x:c>
      <x:c r="M119" s="503" t="n">
        <x:v>100000</x:v>
      </x:c>
      <x:c r="N119" s="503" t="n">
        <x:v>0</x:v>
      </x:c>
      <x:c r="O119" s="503" t="n">
        <x:v>0</x:v>
      </x:c>
      <x:c r="P119" s="503" t="n">
        <x:v>0</x:v>
      </x:c>
      <x:c r="Q119" s="503" t="n">
        <x:v>0</x:v>
      </x:c>
      <x:c r="R119" s="489" t="str"/>
      <x:c r="S119" s="489" t="str">
        <x:v>12877385000159</x:v>
      </x:c>
      <x:c r="T119" s="489" t="str">
        <x:v>CONFIRMADO</x:v>
      </x:c>
      <x:c r="U119" s="489" t="str">
        <x:v>Baixa</x:v>
      </x:c>
      <x:c r="V119" s="489" t="str">
        <x:v>Para Tapejara, usar 41160001; o SIGA favorecido confirma R$ 100.000 nessa emenda; CNPJ candidato na fonte SIGA: 12877385000159</x:v>
      </x:c>
      <x:c r="W119" s="489" t="str">
        <x:v>Valor do grupo fecha com: SIGA pago favorecido</x:v>
      </x:c>
      <x:c r="X119" s="489" t="str"/>
    </x:row>
    <x:row r="120">
      <x:c r="A120" s="502" t="n">
        <x:v>120</x:v>
      </x:c>
      <x:c r="B120" s="502" t="n">
        <x:v>2020</x:v>
      </x:c>
      <x:c r="C120" s="489" t="str">
        <x:v>Três Palmeiras</x:v>
      </x:c>
      <x:c r="D120" s="489" t="str">
        <x:v>Município</x:v>
      </x:c>
      <x:c r="E120" s="489" t="str">
        <x:v>Prefeitura Municipal</x:v>
      </x:c>
      <x:c r="F120" s="489" t="str">
        <x:v>41160001</x:v>
      </x:c>
      <x:c r="G120" s="489" t="str">
        <x:v>41160001-2020</x:v>
      </x:c>
      <x:c r="H120" s="489" t="str">
        <x:v>Informado/corrigido a partir do mapa</x:v>
      </x:c>
      <x:c r="I120" s="503" t="n">
        <x:v>100000</x:v>
      </x:c>
      <x:c r="J120" s="503" t="n">
        <x:v>100000</x:v>
      </x:c>
      <x:c r="K120" s="489" t="str">
        <x:v>Emenda Individual (processo seletivo)</x:v>
      </x:c>
      <x:c r="L120" s="489" t="str">
        <x:v>Recurso pago</x:v>
      </x:c>
      <x:c r="M120" s="503" t="n">
        <x:v>100000</x:v>
      </x:c>
      <x:c r="N120" s="503" t="n">
        <x:v>0</x:v>
      </x:c>
      <x:c r="O120" s="503" t="n">
        <x:v>0</x:v>
      </x:c>
      <x:c r="P120" s="503" t="n">
        <x:v>0</x:v>
      </x:c>
      <x:c r="Q120" s="503" t="n">
        <x:v>0</x:v>
      </x:c>
      <x:c r="R120" s="489" t="str"/>
      <x:c r="S120" s="489" t="str">
        <x:v>11916215000173</x:v>
      </x:c>
      <x:c r="T120" s="489" t="str">
        <x:v>CONFIRMADO</x:v>
      </x:c>
      <x:c r="U120" s="489" t="str">
        <x:v>Baixa</x:v>
      </x:c>
      <x:c r="V120" s="489" t="str">
        <x:v>CNPJ candidato na fonte SIGA: 11916215000173</x:v>
      </x:c>
      <x:c r="W120" s="489" t="str">
        <x:v>Valor do grupo fecha com: SIGA pago favorecido</x:v>
      </x:c>
      <x:c r="X120" s="489" t="str"/>
    </x:row>
    <x:row r="121">
      <x:c r="A121" s="502" t="n">
        <x:v>121</x:v>
      </x:c>
      <x:c r="B121" s="502" t="n">
        <x:v>2020</x:v>
      </x:c>
      <x:c r="C121" s="489" t="str">
        <x:v>Uruguaiana</x:v>
      </x:c>
      <x:c r="D121" s="489" t="str">
        <x:v>Hospital</x:v>
      </x:c>
      <x:c r="E121" s="489" t="str">
        <x:v>Hospital Santa Casa de Uruguaiana</x:v>
      </x:c>
      <x:c r="F121" s="489" t="str">
        <x:v>41160005</x:v>
      </x:c>
      <x:c r="G121" s="489" t="str">
        <x:v>41160005-2020</x:v>
      </x:c>
      <x:c r="H121" s="489" t="str">
        <x:v>Informado/corrigido a partir do mapa</x:v>
      </x:c>
      <x:c r="I121" s="503" t="n">
        <x:v>100000</x:v>
      </x:c>
      <x:c r="J121" s="503" t="n">
        <x:v>100000</x:v>
      </x:c>
      <x:c r="K121" s="489" t="str">
        <x:v>Emenda Individual (processo seletivo)</x:v>
      </x:c>
      <x:c r="L121" s="489" t="str">
        <x:v>Recurso pago</x:v>
      </x:c>
      <x:c r="M121" s="503" t="n">
        <x:v>0</x:v>
      </x:c>
      <x:c r="N121" s="503" t="n">
        <x:v>0</x:v>
      </x:c>
      <x:c r="O121" s="503" t="n">
        <x:v>0</x:v>
      </x:c>
      <x:c r="P121" s="503" t="n">
        <x:v>0</x:v>
      </x:c>
      <x:c r="Q121" s="503" t="n">
        <x:v>0</x:v>
      </x:c>
      <x:c r="R121" s="489" t="str"/>
      <x:c r="S121" s="489" t="str"/>
      <x:c r="T121" s="489" t="str">
        <x:v>EMENDA CONFIRMADA; DESTINO NÃO CONFIRMADO</x:v>
      </x:c>
      <x:c r="U121" s="489" t="str">
        <x:v>Média</x:v>
      </x:c>
      <x:c r="V121" s="489" t="str"/>
      <x:c r="W121" s="489" t="str">
        <x:v>Nº existe no SIGA; destinatário específico não foi confirmado nas bases anexas</x:v>
      </x:c>
      <x:c r="X121" s="489" t="str"/>
    </x:row>
    <x:row r="122">
      <x:c r="A122" s="502" t="n">
        <x:v>122</x:v>
      </x:c>
      <x:c r="B122" s="502" t="n">
        <x:v>2021</x:v>
      </x:c>
      <x:c r="C122" s="489" t="str">
        <x:v>Ajuricaba</x:v>
      </x:c>
      <x:c r="D122" s="489" t="str">
        <x:v>Hospital</x:v>
      </x:c>
      <x:c r="E122" s="489" t="str">
        <x:v>Associação Hospitalar Beneficente Ajuricaba</x:v>
      </x:c>
      <x:c r="F122" s="489" t="str">
        <x:v>41160002</x:v>
      </x:c>
      <x:c r="G122" s="489" t="str">
        <x:v>41160002-2021</x:v>
      </x:c>
      <x:c r="H122" s="489" t="str">
        <x:v>Informado/corrigido a partir do mapa</x:v>
      </x:c>
      <x:c r="I122" s="503" t="n">
        <x:v>100000</x:v>
      </x:c>
      <x:c r="J122" s="503" t="n">
        <x:v>100000</x:v>
      </x:c>
      <x:c r="K122" s="489" t="str">
        <x:v>Emenda individual (processo seletivo)</x:v>
      </x:c>
      <x:c r="L122" s="489" t="str">
        <x:v>Recurso pago em 21/07/2023.</x:v>
      </x:c>
      <x:c r="M122" s="503" t="n">
        <x:v>100000</x:v>
      </x:c>
      <x:c r="N122" s="503" t="n">
        <x:v>100000</x:v>
      </x:c>
      <x:c r="O122" s="503" t="n">
        <x:v>100000</x:v>
      </x:c>
      <x:c r="P122" s="503" t="n">
        <x:v>0</x:v>
      </x:c>
      <x:c r="Q122" s="503" t="n">
        <x:v>0</x:v>
      </x:c>
      <x:c r="R122" s="489" t="str"/>
      <x:c r="S122" s="489" t="str">
        <x:v>90164377000179</x:v>
      </x:c>
      <x:c r="T122" s="489" t="str">
        <x:v>CONFIRMADO</x:v>
      </x:c>
      <x:c r="U122" s="489" t="str">
        <x:v>Baixa</x:v>
      </x:c>
      <x:c r="V122" s="489" t="str">
        <x:v>CNPJ candidato na fonte SIGA: 90164377000179</x:v>
      </x:c>
      <x:c r="W122" s="489" t="str">
        <x:v>Valor do grupo fecha com: SIGA pago favorecido</x:v>
      </x:c>
      <x:c r="X122" s="489" t="str">
        <x:v>https://discricionarias.transferegov.sistema.gov.br/voluntarias/ConsultarProposta/ResultadoDaConsultaDeConvenioSelecionarConvenio.do?sequencialConvenio=914617&amp;Usr=guest&amp;Pwd=guest</x:v>
      </x:c>
    </x:row>
    <x:row r="123">
      <x:c r="A123" s="502" t="n">
        <x:v>123</x:v>
      </x:c>
      <x:c r="B123" s="502" t="n">
        <x:v>2021</x:v>
      </x:c>
      <x:c r="C123" s="489" t="str">
        <x:v>Porto Alegre</x:v>
      </x:c>
      <x:c r="D123" s="489" t="str">
        <x:v>Hospital</x:v>
      </x:c>
      <x:c r="E123" s="489" t="str">
        <x:v>Irmandade Santa Casa de Misericórdia de Porto Alegre</x:v>
      </x:c>
      <x:c r="F123" s="489" t="str">
        <x:v>41160002</x:v>
      </x:c>
      <x:c r="G123" s="489" t="str">
        <x:v>41160002-2021</x:v>
      </x:c>
      <x:c r="H123" s="489" t="str">
        <x:v>Informado/corrigido a partir do mapa</x:v>
      </x:c>
      <x:c r="I123" s="503" t="n">
        <x:v>100000</x:v>
      </x:c>
      <x:c r="J123" s="503" t="n">
        <x:v>1087650</x:v>
      </x:c>
      <x:c r="K123" s="489" t="str">
        <x:v>Emenda individual (processo seletivo)</x:v>
      </x:c>
      <x:c r="L123" s="489" t="str">
        <x:v>Recurso pago</x:v>
      </x:c>
      <x:c r="M123" s="503" t="n">
        <x:v>189677.18</x:v>
      </x:c>
      <x:c r="N123" s="503" t="n">
        <x:v>0</x:v>
      </x:c>
      <x:c r="O123" s="503" t="n">
        <x:v>189677.18</x:v>
      </x:c>
      <x:c r="P123" s="503" t="n">
        <x:v>0</x:v>
      </x:c>
      <x:c r="Q123" s="503" t="n">
        <x:v>0</x:v>
      </x:c>
      <x:c r="R123" s="489" t="str"/>
      <x:c r="S123" s="489" t="str">
        <x:v>04994418000112, 92815000000168</x:v>
      </x:c>
      <x:c r="T123" s="489" t="str">
        <x:v>VALOR DIVERGENTE / COBERTURA DIFERENTE</x:v>
      </x:c>
      <x:c r="U123" s="489" t="str">
        <x:v>Alta</x:v>
      </x:c>
      <x:c r="V123" s="489" t="str"/>
      <x:c r="W123" s="489" t="str">
        <x:v>Município/localidade encontrado em fonte comparável, mas valor não fecha exatamente</x:v>
      </x:c>
      <x:c r="X123" s="489" t="str">
        <x:v>https://discricionarias.transferegov.sistema.gov.br/voluntarias/ConsultarProposta/ResultadoDaConsultaDeConvenioSelecionarConvenio.do?sequencialConvenio=915623&amp;Usr=guest&amp;Pwd=guest | https://discricionarias.transferegov.sistema.gov.br/voluntarias/ConsultarProposta/ResultadoDaConsultaDeConvenioSelecionarConvenio.do?sequencialConvenio=914635&amp;Usr=guest&amp;Pwd=guest</x:v>
      </x:c>
    </x:row>
    <x:row r="124">
      <x:c r="A124" s="502" t="n">
        <x:v>124</x:v>
      </x:c>
      <x:c r="B124" s="502" t="n">
        <x:v>2021</x:v>
      </x:c>
      <x:c r="C124" s="489" t="str">
        <x:v>Três Coroas</x:v>
      </x:c>
      <x:c r="D124" s="489" t="str">
        <x:v>Hospital</x:v>
      </x:c>
      <x:c r="E124" s="489" t="str">
        <x:v>Fundação Hospitalar Dr. Oswaldo Diesel</x:v>
      </x:c>
      <x:c r="F124" s="489" t="str">
        <x:v>41160002</x:v>
      </x:c>
      <x:c r="G124" s="489" t="str">
        <x:v>41160002-2021</x:v>
      </x:c>
      <x:c r="H124" s="489" t="str">
        <x:v>Informado/corrigido a partir do mapa</x:v>
      </x:c>
      <x:c r="I124" s="503" t="n">
        <x:v>100000</x:v>
      </x:c>
      <x:c r="J124" s="503" t="n">
        <x:v>100000</x:v>
      </x:c>
      <x:c r="K124" s="489" t="str">
        <x:v>Emenda individual (processo seletivo)</x:v>
      </x:c>
      <x:c r="L124" s="489" t="str">
        <x:v>Empenhado</x:v>
      </x:c>
      <x:c r="M124" s="503" t="n">
        <x:v>71664.74</x:v>
      </x:c>
      <x:c r="N124" s="503" t="n">
        <x:v>0</x:v>
      </x:c>
      <x:c r="O124" s="503" t="n">
        <x:v>71664.74</x:v>
      </x:c>
      <x:c r="P124" s="503" t="n">
        <x:v>0</x:v>
      </x:c>
      <x:c r="Q124" s="503" t="n">
        <x:v>0</x:v>
      </x:c>
      <x:c r="R124" s="489" t="str"/>
      <x:c r="S124" s="489" t="str">
        <x:v>90936774000111</x:v>
      </x:c>
      <x:c r="T124" s="489" t="str">
        <x:v>VALOR DIVERGENTE / COBERTURA DIFERENTE</x:v>
      </x:c>
      <x:c r="U124" s="489" t="str">
        <x:v>Alta</x:v>
      </x:c>
      <x:c r="V124" s="489" t="str">
        <x:v>Situação possivelmente desatualizada: SIGA/execução regionalizada mostra pagamento; CNPJ candidato na fonte SIGA: 90936774000111</x:v>
      </x:c>
      <x:c r="W124" s="489" t="str">
        <x:v>Município/localidade encontrado em fonte comparável, mas valor não fecha exatamente</x:v>
      </x:c>
      <x:c r="X124" s="489" t="str">
        <x:v>https://discricionarias.transferegov.sistema.gov.br/voluntarias/ConsultarProposta/ResultadoDaConsultaDeConvenioSelecionarConvenio.do?sequencialConvenio=913344&amp;Usr=guest&amp;Pwd=guest</x:v>
      </x:c>
    </x:row>
    <x:row r="125">
      <x:c r="A125" s="502" t="n">
        <x:v>125</x:v>
      </x:c>
      <x:c r="B125" s="502" t="n">
        <x:v>2022</x:v>
      </x:c>
      <x:c r="C125" s="489" t="str">
        <x:v>Morro Redondo</x:v>
      </x:c>
      <x:c r="D125" s="489" t="str">
        <x:v>Hospital</x:v>
      </x:c>
      <x:c r="E125" s="489" t="str">
        <x:v>Hospital Dr Ernesto Mauricio Arndt</x:v>
      </x:c>
      <x:c r="F125" s="489" t="str">
        <x:v>41160003</x:v>
      </x:c>
      <x:c r="G125" s="489" t="str">
        <x:v>41160003-2022</x:v>
      </x:c>
      <x:c r="H125" s="489" t="str">
        <x:v>Informado/corrigido a partir do mapa</x:v>
      </x:c>
      <x:c r="I125" s="503" t="n">
        <x:v>100000</x:v>
      </x:c>
      <x:c r="J125" s="503" t="n">
        <x:v>100000</x:v>
      </x:c>
      <x:c r="K125" s="489" t="str">
        <x:v>Emenda Individual </x:v>
      </x:c>
      <x:c r="L125" s="489" t="str">
        <x:v>Indicado (Recurso perdido. Consultas realizadas SIOP e Ambiente Parlamentar em 16/04/2024).</x:v>
      </x:c>
      <x:c r="M125" s="503" t="n">
        <x:v>0</x:v>
      </x:c>
      <x:c r="N125" s="503" t="n">
        <x:v>0</x:v>
      </x:c>
      <x:c r="O125" s="503" t="n">
        <x:v>0</x:v>
      </x:c>
      <x:c r="P125" s="503" t="n">
        <x:v>0</x:v>
      </x:c>
      <x:c r="Q125" s="503" t="n">
        <x:v>0</x:v>
      </x:c>
      <x:c r="R125" s="489" t="str"/>
      <x:c r="S125" s="489" t="str"/>
      <x:c r="T125" s="489" t="str">
        <x:v>EMENDA CONFIRMADA; DESTINO NÃO CONFIRMADO</x:v>
      </x:c>
      <x:c r="U125" s="489" t="str">
        <x:v>Média</x:v>
      </x:c>
      <x:c r="V125" s="489" t="str"/>
      <x:c r="W125" s="489" t="str">
        <x:v>Nº existe no SIGA; destinatário específico não foi confirmado nas bases anexas</x:v>
      </x:c>
      <x:c r="X125" s="489" t="str"/>
    </x:row>
    <x:row r="126">
      <x:c r="A126" s="502" t="n">
        <x:v>126</x:v>
      </x:c>
      <x:c r="B126" s="502" t="n">
        <x:v>2022</x:v>
      </x:c>
      <x:c r="C126" s="489" t="str">
        <x:v>Rosário do Sul</x:v>
      </x:c>
      <x:c r="D126" s="489" t="str">
        <x:v>Hospital</x:v>
      </x:c>
      <x:c r="E126" s="489" t="str">
        <x:v>Hospital Auxiliadora</x:v>
      </x:c>
      <x:c r="F126" s="489" t="str">
        <x:v>7120004</x:v>
      </x:c>
      <x:c r="G126" s="489" t="str">
        <x:v>7120004-2022</x:v>
      </x:c>
      <x:c r="H126" s="489" t="str">
        <x:v>Informado/corrigido a partir do mapa</x:v>
      </x:c>
      <x:c r="I126" s="503" t="n">
        <x:v>100000</x:v>
      </x:c>
      <x:c r="J126" s="503" t="n">
        <x:v>100000</x:v>
      </x:c>
      <x:c r="K126" s="489" t="str">
        <x:v>Emenda de bancada (processo seletivo)</x:v>
      </x:c>
      <x:c r="L126" s="489" t="str">
        <x:v>Recurso pago</x:v>
      </x:c>
      <x:c r="M126" s="503" t="n">
        <x:v>0</x:v>
      </x:c>
      <x:c r="N126" s="503" t="n">
        <x:v>0</x:v>
      </x:c>
      <x:c r="O126" s="503" t="n">
        <x:v>0</x:v>
      </x:c>
      <x:c r="P126" s="503" t="n">
        <x:v>0</x:v>
      </x:c>
      <x:c r="Q126" s="503" t="n">
        <x:v>0</x:v>
      </x:c>
      <x:c r="R126" s="489" t="str"/>
      <x:c r="S126" s="489" t="str"/>
      <x:c r="T126" s="489" t="str">
        <x:v>Nº NÃO LOCALIZADO</x:v>
      </x:c>
      <x:c r="U126" s="489" t="str">
        <x:v>Média</x:v>
      </x:c>
      <x:c r="V126" s="489" t="str"/>
      <x:c r="W126" s="489" t="str"/>
      <x:c r="X126" s="489" t="str"/>
    </x:row>
    <x:row r="127">
      <x:c r="A127" s="502" t="n">
        <x:v>127</x:v>
      </x:c>
      <x:c r="B127" s="502" t="n">
        <x:v>2022</x:v>
      </x:c>
      <x:c r="C127" s="489" t="str">
        <x:v>Sinimbu</x:v>
      </x:c>
      <x:c r="D127" s="489" t="str">
        <x:v>Hospital</x:v>
      </x:c>
      <x:c r="E127" s="489" t="str">
        <x:v>Hospital Beneficente Sinimbu</x:v>
      </x:c>
      <x:c r="F127" s="489" t="str">
        <x:v>41160003</x:v>
      </x:c>
      <x:c r="G127" s="489" t="str">
        <x:v>41160003-2022</x:v>
      </x:c>
      <x:c r="H127" s="489" t="str">
        <x:v>Informado/corrigido a partir do mapa</x:v>
      </x:c>
      <x:c r="I127" s="503" t="n">
        <x:v>100000</x:v>
      </x:c>
      <x:c r="J127" s="503" t="n">
        <x:v>100000</x:v>
      </x:c>
      <x:c r="K127" s="489" t="str">
        <x:v>Emenda Individual </x:v>
      </x:c>
      <x:c r="L127" s="489" t="str">
        <x:v>Recurso pago</x:v>
      </x:c>
      <x:c r="M127" s="503" t="n">
        <x:v>80272.65</x:v>
      </x:c>
      <x:c r="N127" s="503" t="n">
        <x:v>100000</x:v>
      </x:c>
      <x:c r="O127" s="503" t="n">
        <x:v>80272.65</x:v>
      </x:c>
      <x:c r="P127" s="503" t="n">
        <x:v>0</x:v>
      </x:c>
      <x:c r="Q127" s="503" t="n">
        <x:v>0</x:v>
      </x:c>
      <x:c r="R127" s="489" t="str"/>
      <x:c r="S127" s="489" t="str">
        <x:v>95433744000106</x:v>
      </x:c>
      <x:c r="T127" s="489" t="str">
        <x:v>VALOR DIVERGENTE / COBERTURA DIFERENTE</x:v>
      </x:c>
      <x:c r="U127" s="489" t="str">
        <x:v>Alta</x:v>
      </x:c>
      <x:c r="V127" s="489" t="str">
        <x:v>CNPJ candidato na fonte SIGA: 95433744000106</x:v>
      </x:c>
      <x:c r="W127" s="489" t="str">
        <x:v>Município/localidade encontrado em fonte comparável, mas valor não fecha exatamente</x:v>
      </x:c>
      <x:c r="X127" s="489" t="str">
        <x:v>https://discricionarias.transferegov.sistema.gov.br/voluntarias/ConsultarProposta/ResultadoDaConsultaDeConvenioSelecionarConvenio.do?sequencialConvenio=936048&amp;Usr=guest&amp;Pwd=guest</x:v>
      </x:c>
    </x:row>
    <x:row r="128">
      <x:c r="A128" s="502" t="n">
        <x:v>128</x:v>
      </x:c>
      <x:c r="B128" s="502" t="n">
        <x:v>2023</x:v>
      </x:c>
      <x:c r="C128" s="489" t="str">
        <x:v>Alegria</x:v>
      </x:c>
      <x:c r="D128" s="489" t="str">
        <x:v>APAE</x:v>
      </x:c>
      <x:c r="E128" s="489" t="str">
        <x:v>APAE de Alegria</x:v>
      </x:c>
      <x:c r="F128" s="489" t="str"/>
      <x:c r="G128" s="489" t="str"/>
      <x:c r="H128" s="489" t="str">
        <x:v>Sem nº conciliado</x:v>
      </x:c>
      <x:c r="I128" s="503" t="n">
        <x:v>100000</x:v>
      </x:c>
      <x:c r="J128" s="503" t="n">
        <x:v>100000</x:v>
      </x:c>
      <x:c r="K128" s="489" t="str">
        <x:v>Emenda de Bancada</x:v>
      </x:c>
      <x:c r="L128" s="489" t="str">
        <x:v>Recurso pago</x:v>
      </x:c>
      <x:c r="M128" s="503" t="n">
        <x:v>0</x:v>
      </x:c>
      <x:c r="N128" s="503" t="n">
        <x:v>0</x:v>
      </x:c>
      <x:c r="O128" s="503" t="n">
        <x:v>0</x:v>
      </x:c>
      <x:c r="P128" s="503" t="n">
        <x:v>0</x:v>
      </x:c>
      <x:c r="Q128" s="503" t="n">
        <x:v>0</x:v>
      </x:c>
      <x:c r="R128" s="489" t="str"/>
      <x:c r="S128" s="489" t="str"/>
      <x:c r="T128" s="489" t="str">
        <x:v>SEM Nº / NÃO CONCILIADO</x:v>
      </x:c>
      <x:c r="U128" s="489" t="str">
        <x:v>Média</x:v>
      </x:c>
      <x:c r="V128" s="489" t="str"/>
      <x:c r="W128" s="489" t="str"/>
      <x:c r="X128" s="489" t="str"/>
    </x:row>
    <x:row r="129">
      <x:c r="A129" s="502" t="n">
        <x:v>129</x:v>
      </x:c>
      <x:c r="B129" s="502" t="n">
        <x:v>2023</x:v>
      </x:c>
      <x:c r="C129" s="489" t="str">
        <x:v>Nova Roma Do Sul</x:v>
      </x:c>
      <x:c r="D129" s="489" t="str">
        <x:v>Prefeitura</x:v>
      </x:c>
      <x:c r="E129" s="489" t="str">
        <x:v>Prefeitura de Nova Roma Do Sul</x:v>
      </x:c>
      <x:c r="F129" s="489" t="str"/>
      <x:c r="G129" s="489" t="str"/>
      <x:c r="H129" s="489" t="str">
        <x:v>Sem nº conciliado</x:v>
      </x:c>
      <x:c r="I129" s="503" t="n">
        <x:v>100000</x:v>
      </x:c>
      <x:c r="J129" s="503" t="n">
        <x:v>100000</x:v>
      </x:c>
      <x:c r="K129" s="489" t="str">
        <x:v>Emenda Individual</x:v>
      </x:c>
      <x:c r="L129" s="489" t="str">
        <x:v>Recurso pago</x:v>
      </x:c>
      <x:c r="M129" s="503" t="n">
        <x:v>0</x:v>
      </x:c>
      <x:c r="N129" s="503" t="n">
        <x:v>0</x:v>
      </x:c>
      <x:c r="O129" s="503" t="n">
        <x:v>0</x:v>
      </x:c>
      <x:c r="P129" s="503" t="n">
        <x:v>0</x:v>
      </x:c>
      <x:c r="Q129" s="503" t="n">
        <x:v>0</x:v>
      </x:c>
      <x:c r="R129" s="489" t="str"/>
      <x:c r="S129" s="489" t="str"/>
      <x:c r="T129" s="489" t="str">
        <x:v>SEM Nº / NÃO CONCILIADO</x:v>
      </x:c>
      <x:c r="U129" s="489" t="str">
        <x:v>Média</x:v>
      </x:c>
      <x:c r="V129" s="489" t="str"/>
      <x:c r="W129" s="489" t="str"/>
      <x:c r="X129" s="489" t="str"/>
    </x:row>
    <x:row r="130">
      <x:c r="A130" s="502" t="n">
        <x:v>130</x:v>
      </x:c>
      <x:c r="B130" s="502" t="n">
        <x:v>2023</x:v>
      </x:c>
      <x:c r="C130" s="489" t="str">
        <x:v>Dois Irmãos</x:v>
      </x:c>
      <x:c r="D130" s="489" t="str">
        <x:v>APAE</x:v>
      </x:c>
      <x:c r="E130" s="489" t="str">
        <x:v>APAE de Dois Irmãos</x:v>
      </x:c>
      <x:c r="F130" s="489" t="str"/>
      <x:c r="G130" s="489" t="str"/>
      <x:c r="H130" s="489" t="str">
        <x:v>Sem nº conciliado</x:v>
      </x:c>
      <x:c r="I130" s="503" t="n">
        <x:v>100000</x:v>
      </x:c>
      <x:c r="J130" s="503" t="n">
        <x:v>1309500</x:v>
      </x:c>
      <x:c r="K130" s="489" t="str">
        <x:v>Emenda de Bancada</x:v>
      </x:c>
      <x:c r="L130" s="489" t="str">
        <x:v>Recurso pago</x:v>
      </x:c>
      <x:c r="M130" s="503" t="n">
        <x:v>0</x:v>
      </x:c>
      <x:c r="N130" s="503" t="n">
        <x:v>0</x:v>
      </x:c>
      <x:c r="O130" s="503" t="n">
        <x:v>0</x:v>
      </x:c>
      <x:c r="P130" s="503" t="n">
        <x:v>0</x:v>
      </x:c>
      <x:c r="Q130" s="503" t="n">
        <x:v>0</x:v>
      </x:c>
      <x:c r="R130" s="489" t="str"/>
      <x:c r="S130" s="489" t="str"/>
      <x:c r="T130" s="489" t="str">
        <x:v>SEM Nº / NÃO CONCILIADO</x:v>
      </x:c>
      <x:c r="U130" s="489" t="str">
        <x:v>Média</x:v>
      </x:c>
      <x:c r="V130" s="489" t="str"/>
      <x:c r="W130" s="489" t="str"/>
      <x:c r="X130" s="489" t="str"/>
    </x:row>
    <x:row r="131">
      <x:c r="A131" s="502" t="n">
        <x:v>131</x:v>
      </x:c>
      <x:c r="B131" s="502" t="n">
        <x:v>2024</x:v>
      </x:c>
      <x:c r="C131" s="489" t="str">
        <x:v>Nova Palma</x:v>
      </x:c>
      <x:c r="D131" s="489" t="str">
        <x:v>Prefeitura Municipal de Nova Palma</x:v>
      </x:c>
      <x:c r="E131" s="489" t="str">
        <x:v>Prefeitura Municipal</x:v>
      </x:c>
      <x:c r="F131" s="489" t="str">
        <x:v>41160001</x:v>
      </x:c>
      <x:c r="G131" s="489" t="str">
        <x:v>41160001-2024</x:v>
      </x:c>
      <x:c r="H131" s="489" t="str">
        <x:v>Informado/corrigido a partir do mapa</x:v>
      </x:c>
      <x:c r="I131" s="503" t="n">
        <x:v>100000</x:v>
      </x:c>
      <x:c r="J131" s="503" t="n">
        <x:v>100000</x:v>
      </x:c>
      <x:c r="K131" s="489" t="str">
        <x:v>Emenda Individual</x:v>
      </x:c>
      <x:c r="L131" s="489"/>
      <x:c r="M131" s="503" t="n">
        <x:v>100000</x:v>
      </x:c>
      <x:c r="N131" s="503" t="n">
        <x:v>0</x:v>
      </x:c>
      <x:c r="O131" s="503" t="n">
        <x:v>0</x:v>
      </x:c>
      <x:c r="P131" s="503" t="n">
        <x:v>0</x:v>
      </x:c>
      <x:c r="Q131" s="503" t="n">
        <x:v>0</x:v>
      </x:c>
      <x:c r="R131" s="489" t="str"/>
      <x:c r="S131" s="489" t="str">
        <x:v>12240183000100</x:v>
      </x:c>
      <x:c r="T131" s="489" t="str">
        <x:v>CONFIRMADO</x:v>
      </x:c>
      <x:c r="U131" s="489" t="str">
        <x:v>Baixa</x:v>
      </x:c>
      <x:c r="V131" s="489" t="str">
        <x:v>Preencher situação: há pagamento identificado na fonte pública; CNPJ candidato na fonte SIGA: 12240183000100</x:v>
      </x:c>
      <x:c r="W131" s="489" t="str">
        <x:v>Valor do grupo fecha com: SIGA pago favorecido</x:v>
      </x:c>
      <x:c r="X131" s="489" t="str"/>
    </x:row>
    <x:row r="132">
      <x:c r="A132" s="502" t="n">
        <x:v>132</x:v>
      </x:c>
      <x:c r="B132" s="502" t="n">
        <x:v>2024</x:v>
      </x:c>
      <x:c r="C132" s="489" t="str">
        <x:v>Presidente Lucena</x:v>
      </x:c>
      <x:c r="D132" s="489" t="str">
        <x:v>Prefeitura Municipal de Presidente Lucena</x:v>
      </x:c>
      <x:c r="E132" s="489" t="str">
        <x:v>Prefeitura Municipal</x:v>
      </x:c>
      <x:c r="F132" s="489" t="str">
        <x:v>41160001</x:v>
      </x:c>
      <x:c r="G132" s="489" t="str">
        <x:v>41160001-2024</x:v>
      </x:c>
      <x:c r="H132" s="489" t="str">
        <x:v>Informado/corrigido a partir do mapa</x:v>
      </x:c>
      <x:c r="I132" s="503" t="n">
        <x:v>100000</x:v>
      </x:c>
      <x:c r="J132" s="503" t="n">
        <x:v>100000</x:v>
      </x:c>
      <x:c r="K132" s="489" t="str">
        <x:v>Emenda Individual</x:v>
      </x:c>
      <x:c r="L132" s="489"/>
      <x:c r="M132" s="503" t="n">
        <x:v>100000</x:v>
      </x:c>
      <x:c r="N132" s="503" t="n">
        <x:v>0</x:v>
      </x:c>
      <x:c r="O132" s="503" t="n">
        <x:v>0</x:v>
      </x:c>
      <x:c r="P132" s="503" t="n">
        <x:v>0</x:v>
      </x:c>
      <x:c r="Q132" s="503" t="n">
        <x:v>0</x:v>
      </x:c>
      <x:c r="R132" s="489" t="str"/>
      <x:c r="S132" s="489" t="str">
        <x:v>12077214000145</x:v>
      </x:c>
      <x:c r="T132" s="489" t="str">
        <x:v>CONFIRMADO</x:v>
      </x:c>
      <x:c r="U132" s="489" t="str">
        <x:v>Baixa</x:v>
      </x:c>
      <x:c r="V132" s="489" t="str">
        <x:v>Preencher situação: há pagamento identificado na fonte pública; CNPJ candidato na fonte SIGA: 12077214000145</x:v>
      </x:c>
      <x:c r="W132" s="489" t="str">
        <x:v>Valor do grupo fecha com: SIGA pago favorecido</x:v>
      </x:c>
      <x:c r="X132" s="489" t="str"/>
    </x:row>
    <x:row r="133">
      <x:c r="A133" s="502" t="n">
        <x:v>133</x:v>
      </x:c>
      <x:c r="B133" s="502" t="n">
        <x:v>2024</x:v>
      </x:c>
      <x:c r="C133" s="489" t="str">
        <x:v>Gramado</x:v>
      </x:c>
      <x:c r="D133" s="489" t="str">
        <x:v>Prefeitura Municipal de Gramado</x:v>
      </x:c>
      <x:c r="E133" s="489" t="str">
        <x:v>Prefeitura Municipal</x:v>
      </x:c>
      <x:c r="F133" s="489" t="str">
        <x:v>41160002</x:v>
      </x:c>
      <x:c r="G133" s="489" t="str">
        <x:v>41160002-2024</x:v>
      </x:c>
      <x:c r="H133" s="489" t="str">
        <x:v>Informado/corrigido a partir do mapa</x:v>
      </x:c>
      <x:c r="I133" s="503" t="n">
        <x:v>100000</x:v>
      </x:c>
      <x:c r="J133" s="503" t="n">
        <x:v>100000</x:v>
      </x:c>
      <x:c r="K133" s="489" t="str">
        <x:v>Emenda Individual</x:v>
      </x:c>
      <x:c r="L133" s="489"/>
      <x:c r="M133" s="503" t="n">
        <x:v>100000</x:v>
      </x:c>
      <x:c r="N133" s="503" t="n">
        <x:v>0</x:v>
      </x:c>
      <x:c r="O133" s="503" t="n">
        <x:v>0</x:v>
      </x:c>
      <x:c r="P133" s="503" t="n">
        <x:v>0</x:v>
      </x:c>
      <x:c r="Q133" s="503" t="n">
        <x:v>0</x:v>
      </x:c>
      <x:c r="R133" s="489" t="str"/>
      <x:c r="S133" s="489" t="str">
        <x:v>11796566000198</x:v>
      </x:c>
      <x:c r="T133" s="489" t="str">
        <x:v>CONFIRMADO</x:v>
      </x:c>
      <x:c r="U133" s="489" t="str">
        <x:v>Baixa</x:v>
      </x:c>
      <x:c r="V133" s="489" t="str">
        <x:v>Preencher situação: há pagamento identificado na fonte pública; CNPJ candidato na fonte SIGA: 11796566000198</x:v>
      </x:c>
      <x:c r="W133" s="489" t="str">
        <x:v>Valor do grupo fecha com: SIGA pago favorecido</x:v>
      </x:c>
      <x:c r="X133" s="489" t="str"/>
    </x:row>
    <x:row r="134">
      <x:c r="A134" s="502" t="n">
        <x:v>134</x:v>
      </x:c>
      <x:c r="B134" s="502" t="n">
        <x:v>2024</x:v>
      </x:c>
      <x:c r="C134" s="489" t="str">
        <x:v>Santa Cruz do Sul</x:v>
      </x:c>
      <x:c r="D134" s="489" t="str">
        <x:v>Prefeitura Municipal de Santa Cruz do Sul</x:v>
      </x:c>
      <x:c r="E134" s="489" t="str">
        <x:v>Prefeitura Municipal</x:v>
      </x:c>
      <x:c r="F134" s="489" t="str">
        <x:v>41160002</x:v>
      </x:c>
      <x:c r="G134" s="489" t="str">
        <x:v>41160002-2024</x:v>
      </x:c>
      <x:c r="H134" s="489" t="str">
        <x:v>Informado/corrigido a partir do mapa</x:v>
      </x:c>
      <x:c r="I134" s="503" t="n">
        <x:v>100000</x:v>
      </x:c>
      <x:c r="J134" s="503" t="n">
        <x:v>100000</x:v>
      </x:c>
      <x:c r="K134" s="489" t="str">
        <x:v>Emenda Individual</x:v>
      </x:c>
      <x:c r="L134" s="489"/>
      <x:c r="M134" s="503" t="n">
        <x:v>100000</x:v>
      </x:c>
      <x:c r="N134" s="503" t="n">
        <x:v>0</x:v>
      </x:c>
      <x:c r="O134" s="503" t="n">
        <x:v>0</x:v>
      </x:c>
      <x:c r="P134" s="503" t="n">
        <x:v>0</x:v>
      </x:c>
      <x:c r="Q134" s="503" t="n">
        <x:v>0</x:v>
      </x:c>
      <x:c r="R134" s="489" t="str"/>
      <x:c r="S134" s="489" t="str">
        <x:v>11776182000103</x:v>
      </x:c>
      <x:c r="T134" s="489" t="str">
        <x:v>CONFIRMADO</x:v>
      </x:c>
      <x:c r="U134" s="489" t="str">
        <x:v>Baixa</x:v>
      </x:c>
      <x:c r="V134" s="489" t="str">
        <x:v>Preencher situação: há pagamento identificado na fonte pública; CNPJ candidato na fonte SIGA: 11776182000103</x:v>
      </x:c>
      <x:c r="W134" s="489" t="str">
        <x:v>Valor do grupo fecha com: SIGA pago favorecido</x:v>
      </x:c>
      <x:c r="X134" s="489" t="str"/>
    </x:row>
    <x:row r="135">
      <x:c r="A135" s="502" t="n">
        <x:v>135</x:v>
      </x:c>
      <x:c r="B135" s="502" t="n">
        <x:v>2024</x:v>
      </x:c>
      <x:c r="C135" s="489" t="str">
        <x:v>Venâncio Aires</x:v>
      </x:c>
      <x:c r="D135" s="489" t="str">
        <x:v>Prefeitura Municipal de Venâncio Aires</x:v>
      </x:c>
      <x:c r="E135" s="489" t="str">
        <x:v>Prefeitura Municipal</x:v>
      </x:c>
      <x:c r="F135" s="489" t="str">
        <x:v>41160002</x:v>
      </x:c>
      <x:c r="G135" s="489" t="str">
        <x:v>41160002-2024</x:v>
      </x:c>
      <x:c r="H135" s="489" t="str">
        <x:v>Informado/corrigido a partir do mapa</x:v>
      </x:c>
      <x:c r="I135" s="503" t="n">
        <x:v>100000</x:v>
      </x:c>
      <x:c r="J135" s="503" t="n">
        <x:v>100000</x:v>
      </x:c>
      <x:c r="K135" s="489" t="str">
        <x:v>Emenda Individual</x:v>
      </x:c>
      <x:c r="L135" s="489"/>
      <x:c r="M135" s="503" t="n">
        <x:v>100000</x:v>
      </x:c>
      <x:c r="N135" s="503" t="n">
        <x:v>0</x:v>
      </x:c>
      <x:c r="O135" s="503" t="n">
        <x:v>0</x:v>
      </x:c>
      <x:c r="P135" s="503" t="n">
        <x:v>0</x:v>
      </x:c>
      <x:c r="Q135" s="503" t="n">
        <x:v>0</x:v>
      </x:c>
      <x:c r="R135" s="489" t="str"/>
      <x:c r="S135" s="489" t="str">
        <x:v>11094183000178</x:v>
      </x:c>
      <x:c r="T135" s="489" t="str">
        <x:v>CONFIRMADO</x:v>
      </x:c>
      <x:c r="U135" s="489" t="str">
        <x:v>Baixa</x:v>
      </x:c>
      <x:c r="V135" s="489" t="str">
        <x:v>Preencher situação: há pagamento identificado na fonte pública; CNPJ candidato na fonte SIGA: 11094183000178</x:v>
      </x:c>
      <x:c r="W135" s="489" t="str">
        <x:v>Valor do grupo fecha com: SIGA pago favorecido</x:v>
      </x:c>
      <x:c r="X135" s="489" t="str"/>
    </x:row>
    <x:row r="136">
      <x:c r="A136" s="502" t="n">
        <x:v>136</x:v>
      </x:c>
      <x:c r="B136" s="502" t="n">
        <x:v>2024</x:v>
      </x:c>
      <x:c r="C136" s="489" t="str">
        <x:v>Guaíba</x:v>
      </x:c>
      <x:c r="D136" s="489" t="str">
        <x:v>Prefeitura Municipal de Guaíba</x:v>
      </x:c>
      <x:c r="E136" s="489" t="str">
        <x:v>Prefeitura Municipal</x:v>
      </x:c>
      <x:c r="F136" s="489" t="str">
        <x:v>41160002</x:v>
      </x:c>
      <x:c r="G136" s="489" t="str">
        <x:v>41160002-2024</x:v>
      </x:c>
      <x:c r="H136" s="489" t="str">
        <x:v>Informado/corrigido a partir do mapa</x:v>
      </x:c>
      <x:c r="I136" s="503" t="n">
        <x:v>100000</x:v>
      </x:c>
      <x:c r="J136" s="503" t="n">
        <x:v>100000</x:v>
      </x:c>
      <x:c r="K136" s="489" t="str">
        <x:v>Emenda Individual</x:v>
      </x:c>
      <x:c r="L136" s="489"/>
      <x:c r="M136" s="503" t="n">
        <x:v>100000</x:v>
      </x:c>
      <x:c r="N136" s="503" t="n">
        <x:v>0</x:v>
      </x:c>
      <x:c r="O136" s="503" t="n">
        <x:v>0</x:v>
      </x:c>
      <x:c r="P136" s="503" t="n">
        <x:v>0</x:v>
      </x:c>
      <x:c r="Q136" s="503" t="n">
        <x:v>0</x:v>
      </x:c>
      <x:c r="R136" s="489" t="str"/>
      <x:c r="S136" s="489" t="str">
        <x:v>12391928000123</x:v>
      </x:c>
      <x:c r="T136" s="489" t="str">
        <x:v>CONFIRMADO</x:v>
      </x:c>
      <x:c r="U136" s="489" t="str">
        <x:v>Baixa</x:v>
      </x:c>
      <x:c r="V136" s="489" t="str">
        <x:v>Preencher situação: há pagamento identificado na fonte pública; CNPJ candidato na fonte SIGA: 12391928000123</x:v>
      </x:c>
      <x:c r="W136" s="489" t="str">
        <x:v>Valor do grupo fecha com: SIGA pago favorecido</x:v>
      </x:c>
      <x:c r="X136" s="489" t="str"/>
    </x:row>
    <x:row r="137">
      <x:c r="A137" s="502" t="n">
        <x:v>137</x:v>
      </x:c>
      <x:c r="B137" s="502" t="n">
        <x:v>2024</x:v>
      </x:c>
      <x:c r="C137" s="489" t="str">
        <x:v>Parobé</x:v>
      </x:c>
      <x:c r="D137" s="489" t="str">
        <x:v>Prefeitura Municipal de Parobé</x:v>
      </x:c>
      <x:c r="E137" s="489" t="str">
        <x:v>Prefeitura Municipal</x:v>
      </x:c>
      <x:c r="F137" s="489" t="str">
        <x:v>41160002</x:v>
      </x:c>
      <x:c r="G137" s="489" t="str">
        <x:v>41160002-2024</x:v>
      </x:c>
      <x:c r="H137" s="489" t="str">
        <x:v>Informado/corrigido a partir do mapa</x:v>
      </x:c>
      <x:c r="I137" s="503" t="n">
        <x:v>100000</x:v>
      </x:c>
      <x:c r="J137" s="503" t="n">
        <x:v>100000</x:v>
      </x:c>
      <x:c r="K137" s="489" t="str">
        <x:v>Emenda Individual</x:v>
      </x:c>
      <x:c r="L137" s="489"/>
      <x:c r="M137" s="503" t="n">
        <x:v>100000</x:v>
      </x:c>
      <x:c r="N137" s="503" t="n">
        <x:v>0</x:v>
      </x:c>
      <x:c r="O137" s="503" t="n">
        <x:v>0</x:v>
      </x:c>
      <x:c r="P137" s="503" t="n">
        <x:v>0</x:v>
      </x:c>
      <x:c r="Q137" s="503" t="n">
        <x:v>0</x:v>
      </x:c>
      <x:c r="R137" s="489" t="str"/>
      <x:c r="S137" s="489" t="str">
        <x:v>11706451000165</x:v>
      </x:c>
      <x:c r="T137" s="489" t="str">
        <x:v>CONFIRMADO</x:v>
      </x:c>
      <x:c r="U137" s="489" t="str">
        <x:v>Baixa</x:v>
      </x:c>
      <x:c r="V137" s="489" t="str">
        <x:v>Preencher situação: há pagamento identificado na fonte pública; CNPJ candidato na fonte SIGA: 11706451000165</x:v>
      </x:c>
      <x:c r="W137" s="489" t="str">
        <x:v>Valor do grupo fecha com: SIGA pago favorecido</x:v>
      </x:c>
      <x:c r="X137" s="489" t="str"/>
    </x:row>
    <x:row r="138">
      <x:c r="A138" s="502" t="n">
        <x:v>138</x:v>
      </x:c>
      <x:c r="B138" s="502" t="n">
        <x:v>2024</x:v>
      </x:c>
      <x:c r="C138" s="489" t="str">
        <x:v>Igrejinha</x:v>
      </x:c>
      <x:c r="D138" s="489" t="str">
        <x:v>Prefeitura Municipal de Igrejinha</x:v>
      </x:c>
      <x:c r="E138" s="489" t="str">
        <x:v>Prefeitura Municipal</x:v>
      </x:c>
      <x:c r="F138" s="489" t="str">
        <x:v>41160005</x:v>
      </x:c>
      <x:c r="G138" s="489" t="str">
        <x:v>41160005-2024</x:v>
      </x:c>
      <x:c r="H138" s="489" t="str">
        <x:v>Informado/corrigido a partir do mapa</x:v>
      </x:c>
      <x:c r="I138" s="503" t="n">
        <x:v>100000</x:v>
      </x:c>
      <x:c r="J138" s="503" t="n">
        <x:v>100000</x:v>
      </x:c>
      <x:c r="K138" s="489" t="str">
        <x:v>Emenda Individual</x:v>
      </x:c>
      <x:c r="L138" s="489"/>
      <x:c r="M138" s="503" t="n">
        <x:v>100000</x:v>
      </x:c>
      <x:c r="N138" s="503" t="n">
        <x:v>0</x:v>
      </x:c>
      <x:c r="O138" s="503" t="n">
        <x:v>0</x:v>
      </x:c>
      <x:c r="P138" s="503" t="n">
        <x:v>0</x:v>
      </x:c>
      <x:c r="Q138" s="503" t="n">
        <x:v>0</x:v>
      </x:c>
      <x:c r="R138" s="489" t="str"/>
      <x:c r="S138" s="489" t="str">
        <x:v>88379763000136</x:v>
      </x:c>
      <x:c r="T138" s="489" t="str">
        <x:v>CONFIRMADO</x:v>
      </x:c>
      <x:c r="U138" s="489" t="str">
        <x:v>Baixa</x:v>
      </x:c>
      <x:c r="V138" s="489" t="str">
        <x:v>Preencher situação: há pagamento identificado na fonte pública; CNPJ candidato na fonte SIGA: 88379763000136</x:v>
      </x:c>
      <x:c r="W138" s="489" t="str">
        <x:v>Valor do grupo fecha com: SIGA pago favorecido</x:v>
      </x:c>
      <x:c r="X138" s="489" t="str"/>
    </x:row>
    <x:row r="139">
      <x:c r="A139" s="502" t="n">
        <x:v>139</x:v>
      </x:c>
      <x:c r="B139" s="502" t="n">
        <x:v>2025</x:v>
      </x:c>
      <x:c r="C139" s="489" t="str">
        <x:v>Barra do Rio Azul</x:v>
      </x:c>
      <x:c r="D139" s="489" t="str">
        <x:v>Fundo Municipal De Saude De Barra Do Rio Azul Barra Do Rio Azul - Rs</x:v>
      </x:c>
      <x:c r="E139" s="489" t="str">
        <x:v>Prefeitura Municipal</x:v>
      </x:c>
      <x:c r="F139" s="489" t="str">
        <x:v>41160003</x:v>
      </x:c>
      <x:c r="G139" s="489" t="str">
        <x:v>41160003-2025</x:v>
      </x:c>
      <x:c r="H139" s="489" t="str">
        <x:v>Informado/corrigido a partir do mapa</x:v>
      </x:c>
      <x:c r="I139" s="503" t="n">
        <x:v>100000</x:v>
      </x:c>
      <x:c r="J139" s="503" t="n">
        <x:v>100000</x:v>
      </x:c>
      <x:c r="K139" s="489" t="str">
        <x:v>Emenda Individual</x:v>
      </x:c>
      <x:c r="L139" s="489"/>
      <x:c r="M139" s="503" t="n">
        <x:v>99651</x:v>
      </x:c>
      <x:c r="N139" s="503" t="n">
        <x:v>0</x:v>
      </x:c>
      <x:c r="O139" s="503" t="n">
        <x:v>0</x:v>
      </x:c>
      <x:c r="P139" s="503" t="n">
        <x:v>0</x:v>
      </x:c>
      <x:c r="Q139" s="503" t="n">
        <x:v>0</x:v>
      </x:c>
      <x:c r="R139" s="489" t="str"/>
      <x:c r="S139" s="489" t="str">
        <x:v>12123735000191</x:v>
      </x:c>
      <x:c r="T139" s="489" t="str">
        <x:v>VALOR DIVERGENTE / COBERTURA DIFERENTE</x:v>
      </x:c>
      <x:c r="U139" s="489" t="str">
        <x:v>Média</x:v>
      </x:c>
      <x:c r="V139" s="489" t="str">
        <x:v>Preencher situação: há pagamento identificado na fonte pública</x:v>
      </x:c>
      <x:c r="W139" s="489" t="str">
        <x:v>Município/localidade encontrado em fonte comparável, mas valor não fecha exatamente</x:v>
      </x:c>
      <x:c r="X139" s="489" t="str"/>
    </x:row>
    <x:row r="140">
      <x:c r="A140" s="502" t="n">
        <x:v>140</x:v>
      </x:c>
      <x:c r="B140" s="502" t="n">
        <x:v>2025</x:v>
      </x:c>
      <x:c r="C140" s="489" t="str">
        <x:v>Barra do Rio Azul</x:v>
      </x:c>
      <x:c r="D140" s="489" t="str">
        <x:v>Fundo Municipal De Saude De Barra Do Rio Azul Barra Do Rio Azul - Rs</x:v>
      </x:c>
      <x:c r="E140" s="489" t="str">
        <x:v>Prefeitura Municipal</x:v>
      </x:c>
      <x:c r="F140" s="489" t="str">
        <x:v>41160001</x:v>
      </x:c>
      <x:c r="G140" s="489" t="str">
        <x:v>41160001-2025</x:v>
      </x:c>
      <x:c r="H140" s="489" t="str">
        <x:v>Informado/corrigido a partir do mapa</x:v>
      </x:c>
      <x:c r="I140" s="503" t="n">
        <x:v>100000</x:v>
      </x:c>
      <x:c r="J140" s="503" t="n">
        <x:v>100000</x:v>
      </x:c>
      <x:c r="K140" s="489" t="str">
        <x:v>Emenda Individual</x:v>
      </x:c>
      <x:c r="L140" s="489"/>
      <x:c r="M140" s="503" t="n">
        <x:v>100000</x:v>
      </x:c>
      <x:c r="N140" s="503" t="n">
        <x:v>0</x:v>
      </x:c>
      <x:c r="O140" s="503" t="n">
        <x:v>0</x:v>
      </x:c>
      <x:c r="P140" s="503" t="n">
        <x:v>0</x:v>
      </x:c>
      <x:c r="Q140" s="503" t="n">
        <x:v>0</x:v>
      </x:c>
      <x:c r="R140" s="489" t="str"/>
      <x:c r="S140" s="489" t="str">
        <x:v>12123735000191</x:v>
      </x:c>
      <x:c r="T140" s="489" t="str">
        <x:v>CONFIRMADO</x:v>
      </x:c>
      <x:c r="U140" s="489" t="str">
        <x:v>Baixa</x:v>
      </x:c>
      <x:c r="V140" s="489" t="str">
        <x:v>Preencher situação: há pagamento identificado na fonte pública</x:v>
      </x:c>
      <x:c r="W140" s="489" t="str">
        <x:v>Valor do grupo fecha com: SIGA pago favorecido</x:v>
      </x:c>
      <x:c r="X140" s="489" t="str"/>
    </x:row>
    <x:row r="141">
      <x:c r="A141" s="502" t="n">
        <x:v>141</x:v>
      </x:c>
      <x:c r="B141" s="502" t="n">
        <x:v>2025</x:v>
      </x:c>
      <x:c r="C141" s="489" t="str">
        <x:v>Balneário Pinhal</x:v>
      </x:c>
      <x:c r="D141" s="489" t="str">
        <x:v>Fundo Municipal De Saude Do Balneario Pinhal Balneário Pinhal - Rs</x:v>
      </x:c>
      <x:c r="E141" s="489" t="str">
        <x:v>Prefeitura Municipal</x:v>
      </x:c>
      <x:c r="F141" s="489" t="str">
        <x:v>41160002</x:v>
      </x:c>
      <x:c r="G141" s="489" t="str">
        <x:v>41160002-2025</x:v>
      </x:c>
      <x:c r="H141" s="489" t="str">
        <x:v>Informado/corrigido a partir do mapa</x:v>
      </x:c>
      <x:c r="I141" s="503" t="n">
        <x:v>100000</x:v>
      </x:c>
      <x:c r="J141" s="503" t="n">
        <x:v>100000</x:v>
      </x:c>
      <x:c r="K141" s="489" t="str">
        <x:v>Emenda Individual</x:v>
      </x:c>
      <x:c r="L141" s="489"/>
      <x:c r="M141" s="503" t="n">
        <x:v>100000</x:v>
      </x:c>
      <x:c r="N141" s="503" t="n">
        <x:v>0</x:v>
      </x:c>
      <x:c r="O141" s="503" t="n">
        <x:v>0</x:v>
      </x:c>
      <x:c r="P141" s="503" t="n">
        <x:v>0</x:v>
      </x:c>
      <x:c r="Q141" s="503" t="n">
        <x:v>0</x:v>
      </x:c>
      <x:c r="R141" s="489" t="str"/>
      <x:c r="S141" s="489" t="str">
        <x:v>11468991000158</x:v>
      </x:c>
      <x:c r="T141" s="489" t="str">
        <x:v>CONFIRMADO</x:v>
      </x:c>
      <x:c r="U141" s="489" t="str">
        <x:v>Baixa</x:v>
      </x:c>
      <x:c r="V141" s="489" t="str">
        <x:v>Preencher situação: há pagamento identificado na fonte pública</x:v>
      </x:c>
      <x:c r="W141" s="489" t="str">
        <x:v>Valor do grupo fecha com: SIGA pago favorecido</x:v>
      </x:c>
      <x:c r="X141" s="489" t="str"/>
    </x:row>
    <x:row r="142">
      <x:c r="A142" s="502" t="n">
        <x:v>142</x:v>
      </x:c>
      <x:c r="B142" s="502" t="n">
        <x:v>2025</x:v>
      </x:c>
      <x:c r="C142" s="489" t="str">
        <x:v>Frederico Westphalen</x:v>
      </x:c>
      <x:c r="D142" s="489" t="str">
        <x:v>Fundo Municipal De Saude Frederico Westphalen - Rs</x:v>
      </x:c>
      <x:c r="E142" s="489" t="str">
        <x:v>Prefeitura Municipal</x:v>
      </x:c>
      <x:c r="F142" s="489" t="str">
        <x:v>41160002</x:v>
      </x:c>
      <x:c r="G142" s="489" t="str">
        <x:v>41160002-2025</x:v>
      </x:c>
      <x:c r="H142" s="489" t="str">
        <x:v>Informado/corrigido a partir do mapa</x:v>
      </x:c>
      <x:c r="I142" s="503" t="n">
        <x:v>100000</x:v>
      </x:c>
      <x:c r="J142" s="503" t="n">
        <x:v>200000</x:v>
      </x:c>
      <x:c r="K142" s="489" t="str">
        <x:v>Emenda Individual</x:v>
      </x:c>
      <x:c r="L142" s="489"/>
      <x:c r="M142" s="503" t="n">
        <x:v>100000</x:v>
      </x:c>
      <x:c r="N142" s="503" t="n">
        <x:v>0</x:v>
      </x:c>
      <x:c r="O142" s="503" t="n">
        <x:v>0</x:v>
      </x:c>
      <x:c r="P142" s="503" t="n">
        <x:v>0</x:v>
      </x:c>
      <x:c r="Q142" s="503" t="n">
        <x:v>0</x:v>
      </x:c>
      <x:c r="R142" s="489" t="str"/>
      <x:c r="S142" s="489" t="str">
        <x:v>11708221000135</x:v>
      </x:c>
      <x:c r="T142" s="489" t="str">
        <x:v>VALOR DIVERGENTE / COBERTURA DIFERENTE</x:v>
      </x:c>
      <x:c r="U142" s="489" t="str">
        <x:v>Alta</x:v>
      </x:c>
      <x:c r="V142" s="489" t="str">
        <x:v>Preencher situação: há pagamento identificado na fonte pública</x:v>
      </x:c>
      <x:c r="W142" s="489" t="str">
        <x:v>Município/localidade encontrado em fonte comparável, mas valor não fecha exatamente</x:v>
      </x:c>
      <x:c r="X142" s="489" t="str"/>
    </x:row>
    <x:row r="143">
      <x:c r="A143" s="502" t="n">
        <x:v>143</x:v>
      </x:c>
      <x:c r="B143" s="502" t="n">
        <x:v>2025</x:v>
      </x:c>
      <x:c r="C143" s="489" t="str">
        <x:v>Frederico Westphalen</x:v>
      </x:c>
      <x:c r="D143" s="489" t="str">
        <x:v>Fundo Municipal De Saude Frederico Westphalen - Rs</x:v>
      </x:c>
      <x:c r="E143" s="489" t="str">
        <x:v>Prefeitura Municipal</x:v>
      </x:c>
      <x:c r="F143" s="489" t="str">
        <x:v>41160002</x:v>
      </x:c>
      <x:c r="G143" s="489" t="str">
        <x:v>41160002-2025</x:v>
      </x:c>
      <x:c r="H143" s="489" t="str">
        <x:v>Informado/corrigido a partir do mapa</x:v>
      </x:c>
      <x:c r="I143" s="503" t="n">
        <x:v>100000</x:v>
      </x:c>
      <x:c r="J143" s="503" t="n">
        <x:v>200000</x:v>
      </x:c>
      <x:c r="K143" s="489" t="str">
        <x:v>Emenda Individual</x:v>
      </x:c>
      <x:c r="L143" s="489"/>
      <x:c r="M143" s="503" t="n">
        <x:v>100000</x:v>
      </x:c>
      <x:c r="N143" s="503" t="n">
        <x:v>0</x:v>
      </x:c>
      <x:c r="O143" s="503" t="n">
        <x:v>0</x:v>
      </x:c>
      <x:c r="P143" s="503" t="n">
        <x:v>0</x:v>
      </x:c>
      <x:c r="Q143" s="503" t="n">
        <x:v>0</x:v>
      </x:c>
      <x:c r="R143" s="489" t="str"/>
      <x:c r="S143" s="489" t="str">
        <x:v>11708221000135</x:v>
      </x:c>
      <x:c r="T143" s="489" t="str">
        <x:v>VALOR DIVERGENTE / COBERTURA DIFERENTE</x:v>
      </x:c>
      <x:c r="U143" s="489" t="str">
        <x:v>Alta</x:v>
      </x:c>
      <x:c r="V143" s="489" t="str">
        <x:v>Preencher situação: há pagamento identificado na fonte pública</x:v>
      </x:c>
      <x:c r="W143" s="489" t="str">
        <x:v>Município/localidade encontrado em fonte comparável, mas valor não fecha exatamente</x:v>
      </x:c>
      <x:c r="X143" s="489" t="str"/>
    </x:row>
    <x:row r="144">
      <x:c r="A144" s="502" t="n">
        <x:v>144</x:v>
      </x:c>
      <x:c r="B144" s="502" t="n">
        <x:v>2026</x:v>
      </x:c>
      <x:c r="C144" s="489" t="str">
        <x:v>Muitos Capões</x:v>
      </x:c>
      <x:c r="D144" s="489" t="str">
        <x:v>Fundo Municipal de Saúde de Muitos Capões - RS</x:v>
      </x:c>
      <x:c r="E144" s="489" t="str">
        <x:v>Município de Muitos Capões</x:v>
      </x:c>
      <x:c r="F144" s="489" t="str">
        <x:v>41160005</x:v>
      </x:c>
      <x:c r="G144" s="489" t="str">
        <x:v>41160005-2026</x:v>
      </x:c>
      <x:c r="H144" s="489" t="str">
        <x:v>Informado/corrigido a partir do mapa</x:v>
      </x:c>
      <x:c r="I144" s="503" t="n">
        <x:v>100000</x:v>
      </x:c>
      <x:c r="J144" s="503" t="n">
        <x:v>100000</x:v>
      </x:c>
      <x:c r="K144" s="489" t="str">
        <x:v>Emenda individual</x:v>
      </x:c>
      <x:c r="L144" s="489"/>
      <x:c r="M144" s="503" t="n">
        <x:v>100000</x:v>
      </x:c>
      <x:c r="N144" s="503" t="n">
        <x:v>0</x:v>
      </x:c>
      <x:c r="O144" s="503" t="n">
        <x:v>0</x:v>
      </x:c>
      <x:c r="P144" s="503" t="n">
        <x:v>0</x:v>
      </x:c>
      <x:c r="Q144" s="503" t="n">
        <x:v>0</x:v>
      </x:c>
      <x:c r="R144" s="489" t="str"/>
      <x:c r="S144" s="489" t="str">
        <x:v>12128072000106</x:v>
      </x:c>
      <x:c r="T144" s="489" t="str">
        <x:v>CONFIRMADO</x:v>
      </x:c>
      <x:c r="U144" s="489" t="str">
        <x:v>Baixa</x:v>
      </x:c>
      <x:c r="V144" s="489" t="str">
        <x:v>Preencher situação: há pagamento identificado na fonte pública</x:v>
      </x:c>
      <x:c r="W144" s="489" t="str">
        <x:v>Valor do grupo fecha com: SIGA pago favorecido</x:v>
      </x:c>
      <x:c r="X144" s="489" t="str"/>
    </x:row>
    <x:row r="145">
      <x:c r="A145" s="502" t="n">
        <x:v>145</x:v>
      </x:c>
      <x:c r="B145" s="502" t="n">
        <x:v>2026</x:v>
      </x:c>
      <x:c r="C145" s="489" t="str">
        <x:v>Sete de Setembro</x:v>
      </x:c>
      <x:c r="D145" s="489" t="str">
        <x:v>Fundo Municipal de Saúde de Sete de Setembro - RS</x:v>
      </x:c>
      <x:c r="E145" s="489" t="str">
        <x:v>Município de Sete de Setembro</x:v>
      </x:c>
      <x:c r="F145" s="489" t="str">
        <x:v>41160005</x:v>
      </x:c>
      <x:c r="G145" s="489" t="str">
        <x:v>41160005-2026</x:v>
      </x:c>
      <x:c r="H145" s="489" t="str">
        <x:v>Informado/corrigido a partir do mapa</x:v>
      </x:c>
      <x:c r="I145" s="503" t="n">
        <x:v>100000</x:v>
      </x:c>
      <x:c r="J145" s="503" t="n">
        <x:v>100000</x:v>
      </x:c>
      <x:c r="K145" s="489" t="str">
        <x:v>Emenda individual</x:v>
      </x:c>
      <x:c r="L145" s="489"/>
      <x:c r="M145" s="503" t="n">
        <x:v>100000</x:v>
      </x:c>
      <x:c r="N145" s="503" t="n">
        <x:v>0</x:v>
      </x:c>
      <x:c r="O145" s="503" t="n">
        <x:v>0</x:v>
      </x:c>
      <x:c r="P145" s="503" t="n">
        <x:v>0</x:v>
      </x:c>
      <x:c r="Q145" s="503" t="n">
        <x:v>0</x:v>
      </x:c>
      <x:c r="R145" s="489" t="str"/>
      <x:c r="S145" s="489" t="str">
        <x:v>12102427000180</x:v>
      </x:c>
      <x:c r="T145" s="489" t="str">
        <x:v>CONFIRMADO</x:v>
      </x:c>
      <x:c r="U145" s="489" t="str">
        <x:v>Baixa</x:v>
      </x:c>
      <x:c r="V145" s="489" t="str">
        <x:v>Preencher situação: há pagamento identificado na fonte pública</x:v>
      </x:c>
      <x:c r="W145" s="489" t="str">
        <x:v>Valor do grupo fecha com: SIGA pago favorecido</x:v>
      </x:c>
      <x:c r="X145" s="489" t="str"/>
    </x:row>
    <x:row r="146">
      <x:c r="A146" s="502" t="n">
        <x:v>146</x:v>
      </x:c>
      <x:c r="B146" s="502" t="n">
        <x:v>2026</x:v>
      </x:c>
      <x:c r="C146" s="489" t="str">
        <x:v>Arvorezinha</x:v>
      </x:c>
      <x:c r="D146" s="489" t="str">
        <x:v>Fundo Municipal de Saúde de Arvorezinha - RS</x:v>
      </x:c>
      <x:c r="E146" s="489"/>
      <x:c r="F146" s="489" t="str">
        <x:v>41160005</x:v>
      </x:c>
      <x:c r="G146" s="489" t="str">
        <x:v>41160005-2026</x:v>
      </x:c>
      <x:c r="H146" s="489" t="str">
        <x:v>Informado/corrigido a partir do mapa</x:v>
      </x:c>
      <x:c r="I146" s="503" t="n">
        <x:v>100000</x:v>
      </x:c>
      <x:c r="J146" s="503" t="n">
        <x:v>100000</x:v>
      </x:c>
      <x:c r="K146" s="489" t="str">
        <x:v>Emenda individual</x:v>
      </x:c>
      <x:c r="L146" s="489"/>
      <x:c r="M146" s="503" t="n">
        <x:v>100000</x:v>
      </x:c>
      <x:c r="N146" s="503" t="n">
        <x:v>0</x:v>
      </x:c>
      <x:c r="O146" s="503" t="n">
        <x:v>0</x:v>
      </x:c>
      <x:c r="P146" s="503" t="n">
        <x:v>0</x:v>
      </x:c>
      <x:c r="Q146" s="503" t="n">
        <x:v>0</x:v>
      </x:c>
      <x:c r="R146" s="489" t="str"/>
      <x:c r="S146" s="489" t="str">
        <x:v>11636789000198</x:v>
      </x:c>
      <x:c r="T146" s="489" t="str">
        <x:v>CONFIRMADO</x:v>
      </x:c>
      <x:c r="U146" s="489" t="str">
        <x:v>Baixa</x:v>
      </x:c>
      <x:c r="V146" s="489" t="str">
        <x:v>Preencher situação: há pagamento identificado na fonte pública</x:v>
      </x:c>
      <x:c r="W146" s="489" t="str">
        <x:v>Valor do grupo fecha com: SIGA pago favorecido</x:v>
      </x:c>
      <x:c r="X146" s="489" t="str"/>
    </x:row>
    <x:row r="147">
      <x:c r="A147" s="502" t="n">
        <x:v>147</x:v>
      </x:c>
      <x:c r="B147" s="502" t="n">
        <x:v>2026</x:v>
      </x:c>
      <x:c r="C147" s="489" t="str">
        <x:v>Itati</x:v>
      </x:c>
      <x:c r="D147" s="489" t="str">
        <x:v>Fundo Municipal de Saúde de Itati - RS</x:v>
      </x:c>
      <x:c r="E147" s="489"/>
      <x:c r="F147" s="489" t="str">
        <x:v>41160005</x:v>
      </x:c>
      <x:c r="G147" s="489" t="str">
        <x:v>41160005-2026</x:v>
      </x:c>
      <x:c r="H147" s="489" t="str">
        <x:v>Informado/corrigido a partir do mapa</x:v>
      </x:c>
      <x:c r="I147" s="503" t="n">
        <x:v>100000</x:v>
      </x:c>
      <x:c r="J147" s="503" t="n">
        <x:v>100000</x:v>
      </x:c>
      <x:c r="K147" s="489" t="str">
        <x:v>Emenda individual</x:v>
      </x:c>
      <x:c r="L147" s="489"/>
      <x:c r="M147" s="503" t="n">
        <x:v>100000</x:v>
      </x:c>
      <x:c r="N147" s="503" t="n">
        <x:v>0</x:v>
      </x:c>
      <x:c r="O147" s="503" t="n">
        <x:v>0</x:v>
      </x:c>
      <x:c r="P147" s="503" t="n">
        <x:v>0</x:v>
      </x:c>
      <x:c r="Q147" s="503" t="n">
        <x:v>0</x:v>
      </x:c>
      <x:c r="R147" s="489" t="str"/>
      <x:c r="S147" s="489" t="str">
        <x:v>12012797000126</x:v>
      </x:c>
      <x:c r="T147" s="489" t="str">
        <x:v>CONFIRMADO</x:v>
      </x:c>
      <x:c r="U147" s="489" t="str">
        <x:v>Baixa</x:v>
      </x:c>
      <x:c r="V147" s="489" t="str">
        <x:v>Preencher situação: há pagamento identificado na fonte pública</x:v>
      </x:c>
      <x:c r="W147" s="489" t="str">
        <x:v>Valor do grupo fecha com: SIGA pago favorecido</x:v>
      </x:c>
      <x:c r="X147" s="489" t="str"/>
    </x:row>
    <x:row r="148">
      <x:c r="A148" s="502" t="n">
        <x:v>148</x:v>
      </x:c>
      <x:c r="B148" s="502" t="n">
        <x:v>2026</x:v>
      </x:c>
      <x:c r="C148" s="489" t="str">
        <x:v>Mato Castelhano</x:v>
      </x:c>
      <x:c r="D148" s="489" t="str">
        <x:v>Fundo Municipal de Saúde de Mato Castelhano - RS</x:v>
      </x:c>
      <x:c r="E148" s="489"/>
      <x:c r="F148" s="489" t="str">
        <x:v>41160005</x:v>
      </x:c>
      <x:c r="G148" s="489" t="str">
        <x:v>41160005-2026</x:v>
      </x:c>
      <x:c r="H148" s="489" t="str">
        <x:v>Informado/corrigido a partir do mapa</x:v>
      </x:c>
      <x:c r="I148" s="503" t="n">
        <x:v>100000</x:v>
      </x:c>
      <x:c r="J148" s="503" t="n">
        <x:v>100000</x:v>
      </x:c>
      <x:c r="K148" s="489" t="str">
        <x:v>Emenda individual</x:v>
      </x:c>
      <x:c r="L148" s="489"/>
      <x:c r="M148" s="503" t="n">
        <x:v>100000</x:v>
      </x:c>
      <x:c r="N148" s="503" t="n">
        <x:v>0</x:v>
      </x:c>
      <x:c r="O148" s="503" t="n">
        <x:v>0</x:v>
      </x:c>
      <x:c r="P148" s="503" t="n">
        <x:v>0</x:v>
      </x:c>
      <x:c r="Q148" s="503" t="n">
        <x:v>0</x:v>
      </x:c>
      <x:c r="R148" s="489" t="str"/>
      <x:c r="S148" s="489" t="str">
        <x:v>11951484000170</x:v>
      </x:c>
      <x:c r="T148" s="489" t="str">
        <x:v>CONFIRMADO</x:v>
      </x:c>
      <x:c r="U148" s="489" t="str">
        <x:v>Baixa</x:v>
      </x:c>
      <x:c r="V148" s="489" t="str">
        <x:v>Preencher situação: há pagamento identificado na fonte pública</x:v>
      </x:c>
      <x:c r="W148" s="489" t="str">
        <x:v>Valor do grupo fecha com: SIGA pago favorecido</x:v>
      </x:c>
      <x:c r="X148" s="489" t="str"/>
    </x:row>
    <x:row r="149">
      <x:c r="A149" s="502" t="n">
        <x:v>149</x:v>
      </x:c>
      <x:c r="B149" s="502" t="n">
        <x:v>2022</x:v>
      </x:c>
      <x:c r="C149" s="489" t="str">
        <x:v>Terra de Areia</x:v>
      </x:c>
      <x:c r="D149" s="489" t="str">
        <x:v>Município</x:v>
      </x:c>
      <x:c r="E149" s="489" t="str">
        <x:v>Prefeitura Municipal</x:v>
      </x:c>
      <x:c r="F149" s="489" t="str">
        <x:v>41160002</x:v>
      </x:c>
      <x:c r="G149" s="489" t="str">
        <x:v>41160002-2022</x:v>
      </x:c>
      <x:c r="H149" s="489" t="str">
        <x:v>Informado/corrigido a partir do mapa</x:v>
      </x:c>
      <x:c r="I149" s="503" t="n">
        <x:v>100139</x:v>
      </x:c>
      <x:c r="J149" s="503" t="n">
        <x:v>100139</x:v>
      </x:c>
      <x:c r="K149" s="489" t="str">
        <x:v>Emenda Individual </x:v>
      </x:c>
      <x:c r="L149" s="489" t="str">
        <x:v>Recurso pago</x:v>
      </x:c>
      <x:c r="M149" s="503" t="n">
        <x:v>100139</x:v>
      </x:c>
      <x:c r="N149" s="503" t="n">
        <x:v>0</x:v>
      </x:c>
      <x:c r="O149" s="503" t="n">
        <x:v>0</x:v>
      </x:c>
      <x:c r="P149" s="503" t="n">
        <x:v>0</x:v>
      </x:c>
      <x:c r="Q149" s="503" t="n">
        <x:v>0</x:v>
      </x:c>
      <x:c r="R149" s="489" t="str"/>
      <x:c r="S149" s="489" t="str">
        <x:v>12195568000194</x:v>
      </x:c>
      <x:c r="T149" s="489" t="str">
        <x:v>CONFIRMADO</x:v>
      </x:c>
      <x:c r="U149" s="489" t="str">
        <x:v>Baixa</x:v>
      </x:c>
      <x:c r="V149" s="489" t="str">
        <x:v>CNPJ candidato na fonte SIGA: 12195568000194</x:v>
      </x:c>
      <x:c r="W149" s="489" t="str">
        <x:v>Valor do grupo fecha com: SIGA pago favorecido</x:v>
      </x:c>
      <x:c r="X149" s="489" t="str"/>
    </x:row>
    <x:row r="150">
      <x:c r="A150" s="502" t="n">
        <x:v>150</x:v>
      </x:c>
      <x:c r="B150" s="502" t="n">
        <x:v>2023</x:v>
      </x:c>
      <x:c r="C150" s="489" t="str">
        <x:v>São Francisco De Assis</x:v>
      </x:c>
      <x:c r="D150" s="489" t="str">
        <x:v>Hospital</x:v>
      </x:c>
      <x:c r="E150" s="489" t="str">
        <x:v>Hospital Santo Antonio</x:v>
      </x:c>
      <x:c r="F150" s="489" t="str"/>
      <x:c r="G150" s="489" t="str"/>
      <x:c r="H150" s="489" t="str">
        <x:v>Sem nº conciliado</x:v>
      </x:c>
      <x:c r="I150" s="503" t="n">
        <x:v>100308</x:v>
      </x:c>
      <x:c r="J150" s="503" t="n">
        <x:v>100308</x:v>
      </x:c>
      <x:c r="K150" s="489" t="str">
        <x:v>Emenda Individual</x:v>
      </x:c>
      <x:c r="L150" s="489" t="str">
        <x:v>Empenhado</x:v>
      </x:c>
      <x:c r="M150" s="503" t="n">
        <x:v>0</x:v>
      </x:c>
      <x:c r="N150" s="503" t="n">
        <x:v>0</x:v>
      </x:c>
      <x:c r="O150" s="503" t="n">
        <x:v>0</x:v>
      </x:c>
      <x:c r="P150" s="503" t="n">
        <x:v>0</x:v>
      </x:c>
      <x:c r="Q150" s="503" t="n">
        <x:v>0</x:v>
      </x:c>
      <x:c r="R150" s="489" t="str"/>
      <x:c r="S150" s="489" t="str"/>
      <x:c r="T150" s="489" t="str">
        <x:v>SEM Nº / NÃO CONCILIADO</x:v>
      </x:c>
      <x:c r="U150" s="489" t="str">
        <x:v>Média</x:v>
      </x:c>
      <x:c r="V150" s="489" t="str"/>
      <x:c r="W150" s="489" t="str"/>
      <x:c r="X150" s="489" t="str"/>
    </x:row>
    <x:row r="151">
      <x:c r="A151" s="502" t="n">
        <x:v>151</x:v>
      </x:c>
      <x:c r="B151" s="502" t="n">
        <x:v>2021</x:v>
      </x:c>
      <x:c r="C151" s="489" t="str">
        <x:v>Agudo</x:v>
      </x:c>
      <x:c r="D151" s="489" t="str">
        <x:v>Hospital</x:v>
      </x:c>
      <x:c r="E151" s="489" t="str">
        <x:v>Hospital Agudo</x:v>
      </x:c>
      <x:c r="F151" s="489" t="str">
        <x:v>41160003</x:v>
      </x:c>
      <x:c r="G151" s="489" t="str">
        <x:v>41160003-2021</x:v>
      </x:c>
      <x:c r="H151" s="489" t="str">
        <x:v>Informado/corrigido a partir do mapa</x:v>
      </x:c>
      <x:c r="I151" s="503" t="n">
        <x:v>102000</x:v>
      </x:c>
      <x:c r="J151" s="503" t="n">
        <x:v>102000</x:v>
      </x:c>
      <x:c r="K151" s="489" t="str">
        <x:v>Emenda individual (processo seletivo)</x:v>
      </x:c>
      <x:c r="L151" s="489" t="str">
        <x:v>Recurso indicado via Fundo Estadual de Saúde. Emenda paga, falttando o Fundo transferir os recursos para os hospitais.</x:v>
      </x:c>
      <x:c r="M151" s="503" t="n">
        <x:v>0</x:v>
      </x:c>
      <x:c r="N151" s="503" t="n">
        <x:v>0</x:v>
      </x:c>
      <x:c r="O151" s="503" t="n">
        <x:v>0</x:v>
      </x:c>
      <x:c r="P151" s="503" t="n">
        <x:v>0</x:v>
      </x:c>
      <x:c r="Q151" s="503" t="n">
        <x:v>0</x:v>
      </x:c>
      <x:c r="R151" s="489" t="str"/>
      <x:c r="S151" s="489" t="str"/>
      <x:c r="T151" s="489" t="str">
        <x:v>EMENDA CONFIRMADA; DESTINO NÃO CONFIRMADO</x:v>
      </x:c>
      <x:c r="U151" s="489" t="str">
        <x:v>Média</x:v>
      </x:c>
      <x:c r="V151" s="489" t="str"/>
      <x:c r="W151" s="489" t="str">
        <x:v>Nº existe no SIGA; destinatário específico não foi confirmado nas bases anexas</x:v>
      </x:c>
      <x:c r="X151" s="489" t="str"/>
    </x:row>
    <x:row r="152">
      <x:c r="A152" s="502" t="n">
        <x:v>152</x:v>
      </x:c>
      <x:c r="B152" s="502" t="n">
        <x:v>2025</x:v>
      </x:c>
      <x:c r="C152" s="489" t="str">
        <x:v>Montenegro</x:v>
      </x:c>
      <x:c r="D152" s="489" t="str">
        <x:v>Associacao Hospitalar Hm Regional - Em Recuperacao Judicial Montenegro - Rs</x:v>
      </x:c>
      <x:c r="E152" s="489" t="str">
        <x:v>Associacao Hospitalar Hm Regional - Em Recuperacao Judicial Montenegro - Rs</x:v>
      </x:c>
      <x:c r="F152" s="489" t="str">
        <x:v>41160004</x:v>
      </x:c>
      <x:c r="G152" s="489" t="str">
        <x:v>41160004-2025</x:v>
      </x:c>
      <x:c r="H152" s="489" t="str">
        <x:v>Informado/corrigido a partir do mapa</x:v>
      </x:c>
      <x:c r="I152" s="503" t="n">
        <x:v>102000</x:v>
      </x:c>
      <x:c r="J152" s="503" t="n">
        <x:v>102000</x:v>
      </x:c>
      <x:c r="K152" s="489" t="str">
        <x:v>Emenda Individual</x:v>
      </x:c>
      <x:c r="L152" s="489"/>
      <x:c r="M152" s="503" t="n">
        <x:v>0</x:v>
      </x:c>
      <x:c r="N152" s="503" t="n">
        <x:v>0</x:v>
      </x:c>
      <x:c r="O152" s="503" t="n">
        <x:v>0</x:v>
      </x:c>
      <x:c r="P152" s="503" t="n">
        <x:v>0</x:v>
      </x:c>
      <x:c r="Q152" s="503" t="n">
        <x:v>0</x:v>
      </x:c>
      <x:c r="R152" s="489" t="str"/>
      <x:c r="S152" s="489" t="str"/>
      <x:c r="T152" s="489" t="str">
        <x:v>EMENDA CONFIRMADA; DESTINO NÃO CONFIRMADO</x:v>
      </x:c>
      <x:c r="U152" s="489" t="str">
        <x:v>Média</x:v>
      </x:c>
      <x:c r="V152" s="489" t="str"/>
      <x:c r="W152" s="489" t="str">
        <x:v>Nº existe no SIGA; destinatário específico não foi confirmado nas bases anexas</x:v>
      </x:c>
      <x:c r="X152" s="489" t="str"/>
    </x:row>
    <x:row r="153">
      <x:c r="A153" s="502" t="n">
        <x:v>153</x:v>
      </x:c>
      <x:c r="B153" s="502" t="n">
        <x:v>2021</x:v>
      </x:c>
      <x:c r="C153" s="489" t="str">
        <x:v>Paraí</x:v>
      </x:c>
      <x:c r="D153" s="489"/>
      <x:c r="E153" s="489" t="str">
        <x:v>Hospital Beneficente Nossa Senhora Aparecida</x:v>
      </x:c>
      <x:c r="F153" s="489" t="str">
        <x:v>41160002</x:v>
      </x:c>
      <x:c r="G153" s="489" t="str">
        <x:v>41160002-2021</x:v>
      </x:c>
      <x:c r="H153" s="489" t="str">
        <x:v>Informado/corrigido a partir do mapa</x:v>
      </x:c>
      <x:c r="I153" s="503" t="n">
        <x:v>105000</x:v>
      </x:c>
      <x:c r="J153" s="503" t="n">
        <x:v>105000</x:v>
      </x:c>
      <x:c r="K153" s="489" t="str">
        <x:v>Emenda individual (processo seletivo)</x:v>
      </x:c>
      <x:c r="L153" s="489" t="str">
        <x:v>Recurso empenhado.</x:v>
      </x:c>
      <x:c r="M153" s="503" t="n">
        <x:v>90406.34</x:v>
      </x:c>
      <x:c r="N153" s="503" t="n">
        <x:v>0</x:v>
      </x:c>
      <x:c r="O153" s="503" t="n">
        <x:v>90406.34</x:v>
      </x:c>
      <x:c r="P153" s="503" t="n">
        <x:v>0</x:v>
      </x:c>
      <x:c r="Q153" s="503" t="n">
        <x:v>0</x:v>
      </x:c>
      <x:c r="R153" s="489" t="str"/>
      <x:c r="S153" s="489" t="str">
        <x:v>91617407000118</x:v>
      </x:c>
      <x:c r="T153" s="489" t="str">
        <x:v>VALOR DIVERGENTE / COBERTURA DIFERENTE</x:v>
      </x:c>
      <x:c r="U153" s="489" t="str">
        <x:v>Alta</x:v>
      </x:c>
      <x:c r="V153" s="489" t="str">
        <x:v>Situação possivelmente desatualizada: SIGA/execução regionalizada mostra pagamento; CNPJ candidato na fonte SIGA: 91617407000118</x:v>
      </x:c>
      <x:c r="W153" s="489" t="str">
        <x:v>Município/localidade encontrado em fonte comparável, mas valor não fecha exatamente</x:v>
      </x:c>
      <x:c r="X153" s="489" t="str">
        <x:v>https://discricionarias.transferegov.sistema.gov.br/voluntarias/ConsultarProposta/ResultadoDaConsultaDeConvenioSelecionarConvenio.do?sequencialConvenio=916196&amp;Usr=guest&amp;Pwd=guest</x:v>
      </x:c>
    </x:row>
    <x:row r="154">
      <x:c r="A154" s="502" t="n">
        <x:v>154</x:v>
      </x:c>
      <x:c r="B154" s="502" t="n">
        <x:v>2023</x:v>
      </x:c>
      <x:c r="C154" s="489" t="str">
        <x:v>Amaral Ferrador</x:v>
      </x:c>
      <x:c r="D154" s="489" t="str">
        <x:v>Hospital</x:v>
      </x:c>
      <x:c r="E154" s="489" t="str">
        <x:v>Sociedade Hospitalar São José</x:v>
      </x:c>
      <x:c r="F154" s="489" t="str"/>
      <x:c r="G154" s="489" t="str"/>
      <x:c r="H154" s="489" t="str">
        <x:v>Sem nº conciliado</x:v>
      </x:c>
      <x:c r="I154" s="503" t="n">
        <x:v>105000</x:v>
      </x:c>
      <x:c r="J154" s="503" t="n">
        <x:v>105000</x:v>
      </x:c>
      <x:c r="K154" s="489" t="str">
        <x:v>Emenda Individual</x:v>
      </x:c>
      <x:c r="L154" s="489" t="str">
        <x:v>Empenhado</x:v>
      </x:c>
      <x:c r="M154" s="503" t="n">
        <x:v>0</x:v>
      </x:c>
      <x:c r="N154" s="503" t="n">
        <x:v>0</x:v>
      </x:c>
      <x:c r="O154" s="503" t="n">
        <x:v>0</x:v>
      </x:c>
      <x:c r="P154" s="503" t="n">
        <x:v>0</x:v>
      </x:c>
      <x:c r="Q154" s="503" t="n">
        <x:v>0</x:v>
      </x:c>
      <x:c r="R154" s="489" t="str"/>
      <x:c r="S154" s="489" t="str"/>
      <x:c r="T154" s="489" t="str">
        <x:v>SEM Nº / NÃO CONCILIADO</x:v>
      </x:c>
      <x:c r="U154" s="489" t="str">
        <x:v>Média</x:v>
      </x:c>
      <x:c r="V154" s="489" t="str"/>
      <x:c r="W154" s="489" t="str"/>
      <x:c r="X154" s="489" t="str"/>
    </x:row>
    <x:row r="155">
      <x:c r="A155" s="502" t="n">
        <x:v>155</x:v>
      </x:c>
      <x:c r="B155" s="502" t="n">
        <x:v>2022</x:v>
      </x:c>
      <x:c r="C155" s="489" t="str">
        <x:v>Dois Irmãos</x:v>
      </x:c>
      <x:c r="D155" s="489" t="str">
        <x:v>Hospital</x:v>
      </x:c>
      <x:c r="E155" s="489" t="str">
        <x:v>Hospital São José de Dois Irmãos</x:v>
      </x:c>
      <x:c r="F155" s="489" t="str">
        <x:v>7120004</x:v>
      </x:c>
      <x:c r="G155" s="489" t="str">
        <x:v>7120004-2022</x:v>
      </x:c>
      <x:c r="H155" s="489" t="str">
        <x:v>Informado/corrigido a partir do mapa</x:v>
      </x:c>
      <x:c r="I155" s="503" t="n">
        <x:v>106674.25</x:v>
      </x:c>
      <x:c r="J155" s="503" t="n">
        <x:v>106674.25</x:v>
      </x:c>
      <x:c r="K155" s="489" t="str">
        <x:v>Emenda de bancada </x:v>
      </x:c>
      <x:c r="L155" s="489" t="str">
        <x:v>Recurso pago</x:v>
      </x:c>
      <x:c r="M155" s="503" t="n">
        <x:v>0</x:v>
      </x:c>
      <x:c r="N155" s="503" t="n">
        <x:v>0</x:v>
      </x:c>
      <x:c r="O155" s="503" t="n">
        <x:v>0</x:v>
      </x:c>
      <x:c r="P155" s="503" t="n">
        <x:v>0</x:v>
      </x:c>
      <x:c r="Q155" s="503" t="n">
        <x:v>0</x:v>
      </x:c>
      <x:c r="R155" s="489" t="str"/>
      <x:c r="S155" s="489" t="str"/>
      <x:c r="T155" s="489" t="str">
        <x:v>Nº NÃO LOCALIZADO</x:v>
      </x:c>
      <x:c r="U155" s="489" t="str">
        <x:v>Média</x:v>
      </x:c>
      <x:c r="V155" s="489" t="str"/>
      <x:c r="W155" s="489" t="str"/>
      <x:c r="X155" s="489" t="str"/>
    </x:row>
    <x:row r="156">
      <x:c r="A156" s="502" t="n">
        <x:v>156</x:v>
      </x:c>
      <x:c r="B156" s="502" t="n">
        <x:v>2023</x:v>
      </x:c>
      <x:c r="C156" s="489" t="str">
        <x:v>Paraí</x:v>
      </x:c>
      <x:c r="D156" s="489" t="str">
        <x:v>Hospital</x:v>
      </x:c>
      <x:c r="E156" s="489" t="str">
        <x:v>Hospital Beneficente Nossa Senhora Aparecida</x:v>
      </x:c>
      <x:c r="F156" s="489" t="str"/>
      <x:c r="G156" s="489" t="str">
        <x:v>41160007-2023</x:v>
      </x:c>
      <x:c r="H156" s="489" t="str">
        <x:v>Candidato — revisar (Transferegov)</x:v>
      </x:c>
      <x:c r="I156" s="503" t="n">
        <x:v>107438</x:v>
      </x:c>
      <x:c r="J156" s="503" t="n">
        <x:v>107438</x:v>
      </x:c>
      <x:c r="K156" s="489" t="str">
        <x:v>Emenda Individual</x:v>
      </x:c>
      <x:c r="L156" s="489" t="str">
        <x:v>Empenhado</x:v>
      </x:c>
      <x:c r="M156" s="503" t="n">
        <x:v>85711.1</x:v>
      </x:c>
      <x:c r="N156" s="503" t="n">
        <x:v>107438</x:v>
      </x:c>
      <x:c r="O156" s="503" t="n">
        <x:v>85711.1</x:v>
      </x:c>
      <x:c r="P156" s="503" t="n">
        <x:v>0</x:v>
      </x:c>
      <x:c r="Q156" s="503" t="n">
        <x:v>0</x:v>
      </x:c>
      <x:c r="R156" s="489" t="str"/>
      <x:c r="S156" s="489" t="str">
        <x:v>91617407000118</x:v>
      </x:c>
      <x:c r="T156" s="489" t="str">
        <x:v>VALOR DIVERGENTE / COBERTURA DIFERENTE</x:v>
      </x:c>
      <x:c r="U156" s="489" t="str">
        <x:v>Média</x:v>
      </x:c>
      <x:c r="V156" s="489" t="str">
        <x:v>Candidato de nº: 41160007; validar antes de preencher (Transferegov pode trazer valor total do instrumento); Situação possivelmente desatualizada: SIGA/execução regionalizada mostra pagamento; CNPJ candidato na fonte SIGA: 91617407000118</x:v>
      </x:c>
      <x:c r="W156" s="489" t="str">
        <x:v>nº ausente; inferido por coincidência exata de cidade e valor em Transferegov; Município/localidade encontrado em fonte comparável, mas valor não fecha exatamente</x:v>
      </x:c>
      <x:c r="X156" s="489" t="str">
        <x:v>https://discricionarias.transferegov.sistema.gov.br/voluntarias/ConsultarProposta/ResultadoDaConsultaDeConvenioSelecionarConvenio.do?sequencialConvenio=944055&amp;Usr=guest&amp;Pwd=guest</x:v>
      </x:c>
    </x:row>
    <x:row r="157">
      <x:c r="A157" s="502" t="n">
        <x:v>157</x:v>
      </x:c>
      <x:c r="B157" s="502" t="n">
        <x:v>2025</x:v>
      </x:c>
      <x:c r="C157" s="489" t="str">
        <x:v>São Vendelino</x:v>
      </x:c>
      <x:c r="D157" s="489" t="str">
        <x:v>Fundo Municipal De Saude - Sao Vendelino/Rs São Vendelino - Rs</x:v>
      </x:c>
      <x:c r="E157" s="489" t="str">
        <x:v>Prefeitura Municipal</x:v>
      </x:c>
      <x:c r="F157" s="489" t="str">
        <x:v>41160003</x:v>
      </x:c>
      <x:c r="G157" s="489" t="str">
        <x:v>41160003-2025</x:v>
      </x:c>
      <x:c r="H157" s="489" t="str">
        <x:v>Informado/corrigido a partir do mapa</x:v>
      </x:c>
      <x:c r="I157" s="503" t="n">
        <x:v>110000</x:v>
      </x:c>
      <x:c r="J157" s="503" t="n">
        <x:v>110000</x:v>
      </x:c>
      <x:c r="K157" s="489" t="str">
        <x:v>Emenda Individual</x:v>
      </x:c>
      <x:c r="L157" s="489"/>
      <x:c r="M157" s="503" t="n">
        <x:v>109974</x:v>
      </x:c>
      <x:c r="N157" s="503" t="n">
        <x:v>0</x:v>
      </x:c>
      <x:c r="O157" s="503" t="n">
        <x:v>0</x:v>
      </x:c>
      <x:c r="P157" s="503" t="n">
        <x:v>0</x:v>
      </x:c>
      <x:c r="Q157" s="503" t="n">
        <x:v>0</x:v>
      </x:c>
      <x:c r="R157" s="489" t="str"/>
      <x:c r="S157" s="489" t="str">
        <x:v>13850694000106</x:v>
      </x:c>
      <x:c r="T157" s="489" t="str">
        <x:v>CONFIRMADO</x:v>
      </x:c>
      <x:c r="U157" s="489" t="str">
        <x:v>Baixa</x:v>
      </x:c>
      <x:c r="V157" s="489" t="str">
        <x:v>Preencher situação: há pagamento identificado na fonte pública</x:v>
      </x:c>
      <x:c r="W157" s="489" t="str">
        <x:v>Valor do grupo fecha com: SIGA pago favorecido</x:v>
      </x:c>
      <x:c r="X157" s="489" t="str"/>
    </x:row>
    <x:row r="158">
      <x:c r="A158" s="502" t="n">
        <x:v>158</x:v>
      </x:c>
      <x:c r="B158" s="502" t="n">
        <x:v>2020</x:v>
      </x:c>
      <x:c r="C158" s="489" t="str">
        <x:v>Porto Alegre</x:v>
      </x:c>
      <x:c r="D158" s="489" t="str">
        <x:v>Polícia Civil</x:v>
      </x:c>
      <x:c r="E158" s="489" t="str">
        <x:v>Gabinete de Inteligência e Assuntos Estratégicos da Polícia Civil</x:v>
      </x:c>
      <x:c r="F158" s="489" t="str">
        <x:v>41160010</x:v>
      </x:c>
      <x:c r="G158" s="489" t="str">
        <x:v>41160010-2020</x:v>
      </x:c>
      <x:c r="H158" s="489" t="str">
        <x:v>Informado/corrigido a partir do mapa</x:v>
      </x:c>
      <x:c r="I158" s="503" t="n">
        <x:v>111914</x:v>
      </x:c>
      <x:c r="J158" s="503" t="n">
        <x:v>554830.11</x:v>
      </x:c>
      <x:c r="K158" s="489" t="str">
        <x:v>Emenda individual</x:v>
      </x:c>
      <x:c r="L158" s="489" t="str">
        <x:v>Recurso empenhado. Inexigibilidade de licitação aceita pelo Ministério.</x:v>
      </x:c>
      <x:c r="M158" s="503" t="n">
        <x:v>622294.89</x:v>
      </x:c>
      <x:c r="N158" s="503" t="n">
        <x:v>3614493.94</x:v>
      </x:c>
      <x:c r="O158" s="503" t="n">
        <x:v>3290479.1</x:v>
      </x:c>
      <x:c r="P158" s="503" t="n">
        <x:v>0</x:v>
      </x:c>
      <x:c r="Q158" s="503" t="n">
        <x:v>0</x:v>
      </x:c>
      <x:c r="R158" s="489" t="str"/>
      <x:c r="S158" s="489" t="str">
        <x:v>87958583000146</x:v>
      </x:c>
      <x:c r="T158" s="489" t="str">
        <x:v>VALOR DIVERGENTE / COBERTURA DIFERENTE</x:v>
      </x:c>
      <x:c r="U158" s="489" t="str">
        <x:v>Alta</x:v>
      </x:c>
      <x:c r="V158" s="489" t="str">
        <x:v>Situação possivelmente desatualizada: SIGA/execução regionalizada mostra pagamento; CNPJ candidato na fonte SIGA: 87958583000146</x:v>
      </x:c>
      <x:c r="W158" s="489" t="str">
        <x:v>Município/localidade encontrado em fonte comparável, mas valor não fecha exatamente</x:v>
      </x:c>
      <x:c r="X158" s="489" t="str">
        <x:v>https://discricionarias.transferegov.sistema.gov.br/voluntarias/ConsultarProposta/ResultadoDaConsultaDeConvenioSelecionarConvenio.do?sequencialConvenio=905242&amp;Usr=guest&amp;Pwd=guest | https://discricionarias.transferegov.sistema.gov.br/voluntarias/ConsultarProposta/ResultadoDaConsultaDeConvenioSelecionarConvenio.do?sequencialConvenio=905738&amp;Usr=guest&amp;Pwd=guest</x:v>
      </x:c>
    </x:row>
    <x:row r="159">
      <x:c r="A159" s="502" t="n">
        <x:v>159</x:v>
      </x:c>
      <x:c r="B159" s="502" t="n">
        <x:v>2021</x:v>
      </x:c>
      <x:c r="C159" s="489" t="str">
        <x:v>Taquara</x:v>
      </x:c>
      <x:c r="D159" s="489" t="str">
        <x:v>Hospital</x:v>
      </x:c>
      <x:c r="E159" s="489" t="str">
        <x:v>Hospital Bom Jesus de Taquara (matriz: Associação Hospitalar Vila Nova)</x:v>
      </x:c>
      <x:c r="F159" s="489" t="str">
        <x:v>41160002</x:v>
      </x:c>
      <x:c r="G159" s="489" t="str">
        <x:v>41160002-2021</x:v>
      </x:c>
      <x:c r="H159" s="489" t="str">
        <x:v>Informado/corrigido a partir do mapa</x:v>
      </x:c>
      <x:c r="I159" s="503" t="n">
        <x:v>112000</x:v>
      </x:c>
      <x:c r="J159" s="503" t="n">
        <x:v>112000</x:v>
      </x:c>
      <x:c r="K159" s="489" t="str">
        <x:v>Emenda individual (processo seletivo)</x:v>
      </x:c>
      <x:c r="L159" s="489" t="str">
        <x:v>Recurso pago</x:v>
      </x:c>
      <x:c r="M159" s="503" t="n">
        <x:v>0</x:v>
      </x:c>
      <x:c r="N159" s="503" t="n">
        <x:v>0</x:v>
      </x:c>
      <x:c r="O159" s="503" t="n">
        <x:v>0</x:v>
      </x:c>
      <x:c r="P159" s="503" t="n">
        <x:v>0</x:v>
      </x:c>
      <x:c r="Q159" s="503" t="n">
        <x:v>0</x:v>
      </x:c>
      <x:c r="R159" s="489" t="str"/>
      <x:c r="S159" s="489" t="str"/>
      <x:c r="T159" s="489" t="str">
        <x:v>EMENDA CONFIRMADA; DESTINO NÃO CONFIRMADO</x:v>
      </x:c>
      <x:c r="U159" s="489" t="str">
        <x:v>Média</x:v>
      </x:c>
      <x:c r="V159" s="489" t="str"/>
      <x:c r="W159" s="489" t="str">
        <x:v>Nº existe no SIGA; destinatário específico não foi confirmado nas bases anexas</x:v>
      </x:c>
      <x:c r="X159" s="489" t="str"/>
    </x:row>
    <x:row r="160">
      <x:c r="A160" s="502" t="n">
        <x:v>160</x:v>
      </x:c>
      <x:c r="B160" s="502" t="n">
        <x:v>2020</x:v>
      </x:c>
      <x:c r="C160" s="489" t="str">
        <x:v>Quinze de Novembro</x:v>
      </x:c>
      <x:c r="D160" s="489" t="str">
        <x:v>Hospital</x:v>
      </x:c>
      <x:c r="E160" s="489" t="str">
        <x:v>Associação Hospitalar 15 de Novembro</x:v>
      </x:c>
      <x:c r="F160" s="489" t="str">
        <x:v>41160005</x:v>
      </x:c>
      <x:c r="G160" s="489" t="str">
        <x:v>41160005-2020</x:v>
      </x:c>
      <x:c r="H160" s="489" t="str">
        <x:v>Informado/corrigido a partir do mapa</x:v>
      </x:c>
      <x:c r="I160" s="503" t="n">
        <x:v>114000</x:v>
      </x:c>
      <x:c r="J160" s="503" t="n">
        <x:v>114000</x:v>
      </x:c>
      <x:c r="K160" s="489" t="str">
        <x:v>Emenda Individual</x:v>
      </x:c>
      <x:c r="L160" s="489" t="str">
        <x:v>Recurso pago</x:v>
      </x:c>
      <x:c r="M160" s="503" t="n">
        <x:v>0</x:v>
      </x:c>
      <x:c r="N160" s="503" t="n">
        <x:v>0</x:v>
      </x:c>
      <x:c r="O160" s="503" t="n">
        <x:v>0</x:v>
      </x:c>
      <x:c r="P160" s="503" t="n">
        <x:v>0</x:v>
      </x:c>
      <x:c r="Q160" s="503" t="n">
        <x:v>0</x:v>
      </x:c>
      <x:c r="R160" s="489" t="str"/>
      <x:c r="S160" s="489" t="str"/>
      <x:c r="T160" s="489" t="str">
        <x:v>EMENDA CONFIRMADA; DESTINO NÃO CONFIRMADO</x:v>
      </x:c>
      <x:c r="U160" s="489" t="str">
        <x:v>Média</x:v>
      </x:c>
      <x:c r="V160" s="489" t="str"/>
      <x:c r="W160" s="489" t="str">
        <x:v>Nº existe no SIGA; destinatário específico não foi confirmado nas bases anexas</x:v>
      </x:c>
      <x:c r="X160" s="489" t="str"/>
    </x:row>
    <x:row r="161">
      <x:c r="A161" s="502" t="n">
        <x:v>161</x:v>
      </x:c>
      <x:c r="B161" s="502" t="n">
        <x:v>2021</x:v>
      </x:c>
      <x:c r="C161" s="489" t="str">
        <x:v>Bom Retiro do Sul</x:v>
      </x:c>
      <x:c r="D161" s="489" t="str">
        <x:v>Hospital</x:v>
      </x:c>
      <x:c r="E161" s="489" t="str">
        <x:v>Hospital de Caridade Santana</x:v>
      </x:c>
      <x:c r="F161" s="489" t="str">
        <x:v>41160003</x:v>
      </x:c>
      <x:c r="G161" s="489" t="str">
        <x:v>41160003-2021</x:v>
      </x:c>
      <x:c r="H161" s="489" t="str">
        <x:v>Informado/corrigido a partir do mapa</x:v>
      </x:c>
      <x:c r="I161" s="503" t="n">
        <x:v>114409</x:v>
      </x:c>
      <x:c r="J161" s="503" t="n">
        <x:v>114409</x:v>
      </x:c>
      <x:c r="K161" s="489" t="str">
        <x:v>Emenda individual (processo seletivo)</x:v>
      </x:c>
      <x:c r="L161" s="489" t="str">
        <x:v>Recurso indicado via Fundo Estadual de Saúde. Emenda paga, falttando o Fundo transferir os recursos para os hospitais.</x:v>
      </x:c>
      <x:c r="M161" s="503" t="n">
        <x:v>10592</x:v>
      </x:c>
      <x:c r="N161" s="503" t="n">
        <x:v>0</x:v>
      </x:c>
      <x:c r="O161" s="503" t="n">
        <x:v>0</x:v>
      </x:c>
      <x:c r="P161" s="503" t="n">
        <x:v>0</x:v>
      </x:c>
      <x:c r="Q161" s="503" t="n">
        <x:v>0</x:v>
      </x:c>
      <x:c r="R161" s="489" t="str"/>
      <x:c r="S161" s="489" t="str">
        <x:v>12218782000119</x:v>
      </x:c>
      <x:c r="T161" s="489" t="str">
        <x:v>VALOR DIVERGENTE / COBERTURA DIFERENTE</x:v>
      </x:c>
      <x:c r="U161" s="489" t="str">
        <x:v>Alta</x:v>
      </x:c>
      <x:c r="V161" s="489" t="str">
        <x:v>CNPJ candidato na fonte SIGA: 12218782000119</x:v>
      </x:c>
      <x:c r="W161" s="489" t="str">
        <x:v>Município/localidade encontrado em fonte comparável, mas valor não fecha exatamente</x:v>
      </x:c>
      <x:c r="X161" s="489" t="str"/>
    </x:row>
    <x:row r="162">
      <x:c r="A162" s="502" t="n">
        <x:v>162</x:v>
      </x:c>
      <x:c r="B162" s="502" t="n">
        <x:v>2022</x:v>
      </x:c>
      <x:c r="C162" s="489" t="str">
        <x:v>Quaraí</x:v>
      </x:c>
      <x:c r="D162" s="489" t="str">
        <x:v>Hospital</x:v>
      </x:c>
      <x:c r="E162" s="489" t="str">
        <x:v>Fundação Hospital de Caridade de Quarai</x:v>
      </x:c>
      <x:c r="F162" s="489" t="str">
        <x:v>41160003</x:v>
      </x:c>
      <x:c r="G162" s="489" t="str">
        <x:v>41160003-2022</x:v>
      </x:c>
      <x:c r="H162" s="489" t="str">
        <x:v>Informado/corrigido a partir do mapa</x:v>
      </x:c>
      <x:c r="I162" s="503" t="n">
        <x:v>117000</x:v>
      </x:c>
      <x:c r="J162" s="503" t="n">
        <x:v>117000</x:v>
      </x:c>
      <x:c r="K162" s="489" t="str">
        <x:v>Emenda Individual </x:v>
      </x:c>
      <x:c r="L162" s="489" t="str">
        <x:v>Indicado</x:v>
      </x:c>
      <x:c r="M162" s="503" t="n">
        <x:v>0</x:v>
      </x:c>
      <x:c r="N162" s="503" t="n">
        <x:v>0</x:v>
      </x:c>
      <x:c r="O162" s="503" t="n">
        <x:v>0</x:v>
      </x:c>
      <x:c r="P162" s="503" t="n">
        <x:v>0</x:v>
      </x:c>
      <x:c r="Q162" s="503" t="n">
        <x:v>0</x:v>
      </x:c>
      <x:c r="R162" s="489" t="str"/>
      <x:c r="S162" s="489" t="str"/>
      <x:c r="T162" s="489" t="str">
        <x:v>EMENDA CONFIRMADA; DESTINO NÃO CONFIRMADO</x:v>
      </x:c>
      <x:c r="U162" s="489" t="str">
        <x:v>Média</x:v>
      </x:c>
      <x:c r="V162" s="489" t="str"/>
      <x:c r="W162" s="489" t="str">
        <x:v>Nº existe no SIGA; destinatário específico não foi confirmado nas bases anexas</x:v>
      </x:c>
      <x:c r="X162" s="489" t="str"/>
    </x:row>
    <x:row r="163">
      <x:c r="A163" s="502" t="n">
        <x:v>163</x:v>
      </x:c>
      <x:c r="B163" s="502" t="n">
        <x:v>2023</x:v>
      </x:c>
      <x:c r="C163" s="489" t="str">
        <x:v>Caxias do Sul</x:v>
      </x:c>
      <x:c r="D163" s="489" t="str">
        <x:v>APAE</x:v>
      </x:c>
      <x:c r="E163" s="489" t="str">
        <x:v>APAE de Caxias do Sul</x:v>
      </x:c>
      <x:c r="F163" s="489" t="str"/>
      <x:c r="G163" s="489" t="str"/>
      <x:c r="H163" s="489" t="str">
        <x:v>Sem nº conciliado</x:v>
      </x:c>
      <x:c r="I163" s="503" t="n">
        <x:v>119941.01</x:v>
      </x:c>
      <x:c r="J163" s="503" t="n">
        <x:v>1669941.01</x:v>
      </x:c>
      <x:c r="K163" s="489" t="str">
        <x:v>Emenda de Bancada</x:v>
      </x:c>
      <x:c r="L163" s="489" t="str">
        <x:v>Recurso pago</x:v>
      </x:c>
      <x:c r="M163" s="503" t="n">
        <x:v>0</x:v>
      </x:c>
      <x:c r="N163" s="503" t="n">
        <x:v>0</x:v>
      </x:c>
      <x:c r="O163" s="503" t="n">
        <x:v>0</x:v>
      </x:c>
      <x:c r="P163" s="503" t="n">
        <x:v>0</x:v>
      </x:c>
      <x:c r="Q163" s="503" t="n">
        <x:v>0</x:v>
      </x:c>
      <x:c r="R163" s="489" t="str"/>
      <x:c r="S163" s="489" t="str"/>
      <x:c r="T163" s="489" t="str">
        <x:v>SEM Nº / NÃO CONCILIADO</x:v>
      </x:c>
      <x:c r="U163" s="489" t="str">
        <x:v>Média</x:v>
      </x:c>
      <x:c r="V163" s="489" t="str"/>
      <x:c r="W163" s="489" t="str"/>
      <x:c r="X163" s="489" t="str"/>
    </x:row>
    <x:row r="164">
      <x:c r="A164" s="502" t="n">
        <x:v>164</x:v>
      </x:c>
      <x:c r="B164" s="502" t="n">
        <x:v>2022</x:v>
      </x:c>
      <x:c r="C164" s="489" t="str">
        <x:v>Arroio do Tigre</x:v>
      </x:c>
      <x:c r="D164" s="489" t="str">
        <x:v>Hospital</x:v>
      </x:c>
      <x:c r="E164" s="489" t="str">
        <x:v>Associação Beneficente Santa Rosa De Lima</x:v>
      </x:c>
      <x:c r="F164" s="489" t="str">
        <x:v>41160003</x:v>
      </x:c>
      <x:c r="G164" s="489" t="str">
        <x:v>41160003-2022</x:v>
      </x:c>
      <x:c r="H164" s="489" t="str">
        <x:v>Informado/corrigido a partir do mapa</x:v>
      </x:c>
      <x:c r="I164" s="503" t="n">
        <x:v>120000</x:v>
      </x:c>
      <x:c r="J164" s="503" t="n">
        <x:v>120000</x:v>
      </x:c>
      <x:c r="K164" s="489" t="str">
        <x:v>Emenda Individual </x:v>
      </x:c>
      <x:c r="L164" s="489" t="str">
        <x:v>Recurso pago parcialmente: R$ 94.500,00, em 28/11/2023. Saldo a receber: R$ 25.500,00.</x:v>
      </x:c>
      <x:c r="M164" s="503" t="n">
        <x:v>94500</x:v>
      </x:c>
      <x:c r="N164" s="503" t="n">
        <x:v>120000</x:v>
      </x:c>
      <x:c r="O164" s="503" t="n">
        <x:v>94500</x:v>
      </x:c>
      <x:c r="P164" s="503" t="n">
        <x:v>0</x:v>
      </x:c>
      <x:c r="Q164" s="503" t="n">
        <x:v>0</x:v>
      </x:c>
      <x:c r="R164" s="489" t="str"/>
      <x:c r="S164" s="489" t="str">
        <x:v>97448294000150</x:v>
      </x:c>
      <x:c r="T164" s="489" t="str">
        <x:v>VALOR DIVERGENTE / COBERTURA DIFERENTE</x:v>
      </x:c>
      <x:c r="U164" s="489" t="str">
        <x:v>Alta</x:v>
      </x:c>
      <x:c r="V164" s="489" t="str">
        <x:v>CNPJ candidato na fonte SIGA: 97448294000150</x:v>
      </x:c>
      <x:c r="W164" s="489" t="str">
        <x:v>Município/localidade encontrado em fonte comparável, mas valor não fecha exatamente</x:v>
      </x:c>
      <x:c r="X164" s="489" t="str">
        <x:v>https://discricionarias.transferegov.sistema.gov.br/voluntarias/ConsultarProposta/ResultadoDaConsultaDeConvenioSelecionarConvenio.do?sequencialConvenio=936461&amp;Usr=guest&amp;Pwd=guest</x:v>
      </x:c>
    </x:row>
    <x:row r="165">
      <x:c r="A165" s="502" t="n">
        <x:v>165</x:v>
      </x:c>
      <x:c r="B165" s="502" t="n">
        <x:v>2023</x:v>
      </x:c>
      <x:c r="C165" s="489" t="str">
        <x:v>Porto Alegre</x:v>
      </x:c>
      <x:c r="D165" s="489" t="str">
        <x:v>Hospital</x:v>
      </x:c>
      <x:c r="E165" s="489" t="str">
        <x:v>Casa Do Menino Jesus De Praga</x:v>
      </x:c>
      <x:c r="F165" s="489" t="str"/>
      <x:c r="G165" s="489" t="str">
        <x:v>41160002-2023</x:v>
      </x:c>
      <x:c r="H165" s="489" t="str">
        <x:v>Inferido forte (SIGA/PIX)</x:v>
      </x:c>
      <x:c r="I165" s="503" t="n">
        <x:v>120000</x:v>
      </x:c>
      <x:c r="J165" s="503" t="n">
        <x:v>120000</x:v>
      </x:c>
      <x:c r="K165" s="489" t="str">
        <x:v>Emenda Individual</x:v>
      </x:c>
      <x:c r="L165" s="489" t="str">
        <x:v>Recurso pago (quem recebeu o recurso foi o FMS de Porto Alegre. Encaminhei e-mail ao FMS pedindo posicionamento sobre o repasse à instituição beneficiária, em 27/02/2024. Aguardando resposta. Cobrei algumas vezes, sem sucesso.</x:v>
      </x:c>
      <x:c r="M165" s="503" t="n">
        <x:v>869692</x:v>
      </x:c>
      <x:c r="N165" s="503" t="n">
        <x:v>0</x:v>
      </x:c>
      <x:c r="O165" s="503" t="n">
        <x:v>0</x:v>
      </x:c>
      <x:c r="P165" s="503" t="n">
        <x:v>0</x:v>
      </x:c>
      <x:c r="Q165" s="503" t="n">
        <x:v>0</x:v>
      </x:c>
      <x:c r="R165" s="489" t="str"/>
      <x:c r="S165" s="489" t="str">
        <x:v>11358235000176, 87182846000178</x:v>
      </x:c>
      <x:c r="T165" s="489" t="str">
        <x:v>VALOR DIVERGENTE / COBERTURA DIFERENTE</x:v>
      </x:c>
      <x:c r="U165" s="489" t="str">
        <x:v>Alta</x:v>
      </x:c>
      <x:c r="V165" s="489" t="str">
        <x:v>Preencher nº como 41160002 com marcação de inferência (ano+município+valor exatos em SIGA/PIX)</x:v>
      </x:c>
      <x:c r="W165" s="489" t="str">
        <x:v>nº ausente; inferido por coincidência exata de cidade e valor em SIGA favorecido; Município/localidade encontrado em fonte comparável, mas valor não fecha exatamente</x:v>
      </x:c>
      <x:c r="X165" s="489" t="str"/>
    </x:row>
    <x:row r="166">
      <x:c r="A166" s="502" t="n">
        <x:v>166</x:v>
      </x:c>
      <x:c r="B166" s="502" t="n">
        <x:v>2025</x:v>
      </x:c>
      <x:c r="C166" s="489" t="str">
        <x:v>Serafina Corrêa</x:v>
      </x:c>
      <x:c r="D166" s="489" t="str">
        <x:v>Hospital Nossa Senhora Do Rosario Serafina Corrêa - Rs</x:v>
      </x:c>
      <x:c r="E166" s="489" t="str">
        <x:v>Hospital Nossa Senhora Do Rosario Serafina Corrêa - Rs</x:v>
      </x:c>
      <x:c r="F166" s="489" t="str">
        <x:v>41160004</x:v>
      </x:c>
      <x:c r="G166" s="489" t="str">
        <x:v>41160004-2025</x:v>
      </x:c>
      <x:c r="H166" s="489" t="str">
        <x:v>Informado/corrigido a partir do mapa</x:v>
      </x:c>
      <x:c r="I166" s="503" t="n">
        <x:v>120000</x:v>
      </x:c>
      <x:c r="J166" s="503" t="n">
        <x:v>120000</x:v>
      </x:c>
      <x:c r="K166" s="489" t="str">
        <x:v>Emenda Individual</x:v>
      </x:c>
      <x:c r="L166" s="489"/>
      <x:c r="M166" s="503" t="n">
        <x:v>0</x:v>
      </x:c>
      <x:c r="N166" s="503" t="n">
        <x:v>0</x:v>
      </x:c>
      <x:c r="O166" s="503" t="n">
        <x:v>0</x:v>
      </x:c>
      <x:c r="P166" s="503" t="n">
        <x:v>0</x:v>
      </x:c>
      <x:c r="Q166" s="503" t="n">
        <x:v>0</x:v>
      </x:c>
      <x:c r="R166" s="489" t="str"/>
      <x:c r="S166" s="489" t="str"/>
      <x:c r="T166" s="489" t="str">
        <x:v>EMENDA CONFIRMADA; DESTINO NÃO CONFIRMADO</x:v>
      </x:c>
      <x:c r="U166" s="489" t="str">
        <x:v>Média</x:v>
      </x:c>
      <x:c r="V166" s="489" t="str"/>
      <x:c r="W166" s="489" t="str">
        <x:v>Nº existe no SIGA; destinatário específico não foi confirmado nas bases anexas</x:v>
      </x:c>
      <x:c r="X166" s="489" t="str"/>
    </x:row>
    <x:row r="167">
      <x:c r="A167" s="502" t="n">
        <x:v>167</x:v>
      </x:c>
      <x:c r="B167" s="502" t="n">
        <x:v>2020</x:v>
      </x:c>
      <x:c r="C167" s="489" t="str">
        <x:v>Porto Alegre</x:v>
      </x:c>
      <x:c r="D167" s="489" t="str">
        <x:v>Instituto Geral de Perícias</x:v>
      </x:c>
      <x:c r="E167" s="489" t="str">
        <x:v>Instituto Geral de Perícias</x:v>
      </x:c>
      <x:c r="F167" s="489" t="str">
        <x:v>41160010</x:v>
      </x:c>
      <x:c r="G167" s="489" t="str">
        <x:v>41160010-2020</x:v>
      </x:c>
      <x:c r="H167" s="489" t="str">
        <x:v>Informado/corrigido a partir do mapa</x:v>
      </x:c>
      <x:c r="I167" s="503" t="n">
        <x:v>122560.34</x:v>
      </x:c>
      <x:c r="J167" s="503" t="n">
        <x:v>554830.11</x:v>
      </x:c>
      <x:c r="K167" s="489" t="str">
        <x:v>Emenda individual</x:v>
      </x:c>
      <x:c r="L167" s="489" t="str">
        <x:v>Pregão eletrônio concluído.</x:v>
      </x:c>
      <x:c r="M167" s="503" t="n">
        <x:v>622294.89</x:v>
      </x:c>
      <x:c r="N167" s="503" t="n">
        <x:v>3614493.94</x:v>
      </x:c>
      <x:c r="O167" s="503" t="n">
        <x:v>3290479.1</x:v>
      </x:c>
      <x:c r="P167" s="503" t="n">
        <x:v>0</x:v>
      </x:c>
      <x:c r="Q167" s="503" t="n">
        <x:v>0</x:v>
      </x:c>
      <x:c r="R167" s="489" t="str"/>
      <x:c r="S167" s="489" t="str">
        <x:v>87958583000146</x:v>
      </x:c>
      <x:c r="T167" s="489" t="str">
        <x:v>VALOR DIVERGENTE / COBERTURA DIFERENTE</x:v>
      </x:c>
      <x:c r="U167" s="489" t="str">
        <x:v>Alta</x:v>
      </x:c>
      <x:c r="V167" s="489" t="str">
        <x:v>CNPJ candidato na fonte SIGA: 87958583000146</x:v>
      </x:c>
      <x:c r="W167" s="489" t="str">
        <x:v>Município/localidade encontrado em fonte comparável, mas valor não fecha exatamente</x:v>
      </x:c>
      <x:c r="X167" s="489" t="str">
        <x:v>https://discricionarias.transferegov.sistema.gov.br/voluntarias/ConsultarProposta/ResultadoDaConsultaDeConvenioSelecionarConvenio.do?sequencialConvenio=905242&amp;Usr=guest&amp;Pwd=guest | https://discricionarias.transferegov.sistema.gov.br/voluntarias/ConsultarProposta/ResultadoDaConsultaDeConvenioSelecionarConvenio.do?sequencialConvenio=905738&amp;Usr=guest&amp;Pwd=guest</x:v>
      </x:c>
    </x:row>
    <x:row r="168">
      <x:c r="A168" s="502" t="n">
        <x:v>168</x:v>
      </x:c>
      <x:c r="B168" s="502" t="n">
        <x:v>2023</x:v>
      </x:c>
      <x:c r="C168" s="489" t="str">
        <x:v>Flores Da Cunha</x:v>
      </x:c>
      <x:c r="D168" s="489" t="str">
        <x:v>Prefeitura</x:v>
      </x:c>
      <x:c r="E168" s="489" t="str">
        <x:v>Prefeitura de Flores Da Cunha</x:v>
      </x:c>
      <x:c r="F168" s="489" t="str"/>
      <x:c r="G168" s="489" t="str">
        <x:v>41160007-2023</x:v>
      </x:c>
      <x:c r="H168" s="489" t="str">
        <x:v>Inferido forte (SIGA/PIX)</x:v>
      </x:c>
      <x:c r="I168" s="503" t="n">
        <x:v>130000</x:v>
      </x:c>
      <x:c r="J168" s="503" t="n">
        <x:v>130000</x:v>
      </x:c>
      <x:c r="K168" s="489" t="str">
        <x:v>Emenda Individual</x:v>
      </x:c>
      <x:c r="L168" s="489" t="str">
        <x:v>Empenhado</x:v>
      </x:c>
      <x:c r="M168" s="503" t="n">
        <x:v>130000</x:v>
      </x:c>
      <x:c r="N168" s="503" t="n">
        <x:v>0</x:v>
      </x:c>
      <x:c r="O168" s="503" t="n">
        <x:v>0</x:v>
      </x:c>
      <x:c r="P168" s="503" t="n">
        <x:v>0</x:v>
      </x:c>
      <x:c r="Q168" s="503" t="n">
        <x:v>0</x:v>
      </x:c>
      <x:c r="R168" s="489" t="str"/>
      <x:c r="S168" s="489" t="str">
        <x:v>10443938000130</x:v>
      </x:c>
      <x:c r="T168" s="489" t="str">
        <x:v>CONFIRMADO</x:v>
      </x:c>
      <x:c r="U168" s="489" t="str">
        <x:v>Baixa</x:v>
      </x:c>
      <x:c r="V168" s="489" t="str">
        <x:v>Preencher nº como 41160007 com marcação de inferência (ano+município+valor exatos em SIGA/PIX); Situação possivelmente desatualizada: SIGA/execução regionalizada mostra pagamento; CNPJ candidato na fonte SIGA: 10443938000130</x:v>
      </x:c>
      <x:c r="W168" s="489" t="str">
        <x:v>nº ausente; inferido por coincidência exata de cidade e valor em SIGA favorecido; Valor do grupo fecha com: SIGA pago favorecido</x:v>
      </x:c>
      <x:c r="X168" s="489" t="str"/>
    </x:row>
    <x:row r="169">
      <x:c r="A169" s="502" t="n">
        <x:v>169</x:v>
      </x:c>
      <x:c r="B169" s="502" t="n">
        <x:v>2025</x:v>
      </x:c>
      <x:c r="C169" s="489" t="str">
        <x:v>Campo Bom</x:v>
      </x:c>
      <x:c r="D169" s="489" t="str">
        <x:v>Associacao Hospitalar Vila Nova Campo Bom - Rs</x:v>
      </x:c>
      <x:c r="E169" s="489" t="str">
        <x:v>Associacao Hospitalar Vila Nova Campo Bom - Rs</x:v>
      </x:c>
      <x:c r="F169" s="489" t="str">
        <x:v>41160004</x:v>
      </x:c>
      <x:c r="G169" s="489" t="str">
        <x:v>41160004-2025</x:v>
      </x:c>
      <x:c r="H169" s="489" t="str">
        <x:v>Informado/corrigido a partir do mapa</x:v>
      </x:c>
      <x:c r="I169" s="503" t="n">
        <x:v>133252</x:v>
      </x:c>
      <x:c r="J169" s="503" t="n">
        <x:v>133252</x:v>
      </x:c>
      <x:c r="K169" s="489" t="str">
        <x:v>Emenda Individual</x:v>
      </x:c>
      <x:c r="L169" s="489"/>
      <x:c r="M169" s="503" t="n">
        <x:v>0</x:v>
      </x:c>
      <x:c r="N169" s="503" t="n">
        <x:v>0</x:v>
      </x:c>
      <x:c r="O169" s="503" t="n">
        <x:v>0</x:v>
      </x:c>
      <x:c r="P169" s="503" t="n">
        <x:v>0</x:v>
      </x:c>
      <x:c r="Q169" s="503" t="n">
        <x:v>0</x:v>
      </x:c>
      <x:c r="R169" s="489" t="str"/>
      <x:c r="S169" s="489" t="str"/>
      <x:c r="T169" s="489" t="str">
        <x:v>EMENDA CONFIRMADA; DESTINO NÃO CONFIRMADO</x:v>
      </x:c>
      <x:c r="U169" s="489" t="str">
        <x:v>Média</x:v>
      </x:c>
      <x:c r="V169" s="489" t="str"/>
      <x:c r="W169" s="489" t="str">
        <x:v>Nº existe no SIGA; destinatário específico não foi confirmado nas bases anexas</x:v>
      </x:c>
      <x:c r="X169" s="489" t="str"/>
    </x:row>
    <x:row r="170">
      <x:c r="A170" s="502" t="n">
        <x:v>170</x:v>
      </x:c>
      <x:c r="B170" s="502" t="n">
        <x:v>2025</x:v>
      </x:c>
      <x:c r="C170" s="489" t="str">
        <x:v>Campo Bom</x:v>
      </x:c>
      <x:c r="D170" s="489" t="str">
        <x:v>Fundo Municipal De Saude De Campo Bom Campo Bom - Rs</x:v>
      </x:c>
      <x:c r="E170" s="489" t="str">
        <x:v>Prefeitura Municipal</x:v>
      </x:c>
      <x:c r="F170" s="489" t="str">
        <x:v>41160002</x:v>
      </x:c>
      <x:c r="G170" s="489" t="str">
        <x:v>41160002-2025</x:v>
      </x:c>
      <x:c r="H170" s="489" t="str">
        <x:v>Informado/corrigido a partir do mapa</x:v>
      </x:c>
      <x:c r="I170" s="503" t="n">
        <x:v>133252</x:v>
      </x:c>
      <x:c r="J170" s="503" t="n">
        <x:v>133252</x:v>
      </x:c>
      <x:c r="K170" s="489" t="str">
        <x:v>Emenda Individual</x:v>
      </x:c>
      <x:c r="L170" s="489"/>
      <x:c r="M170" s="503" t="n">
        <x:v>133252</x:v>
      </x:c>
      <x:c r="N170" s="503" t="n">
        <x:v>0</x:v>
      </x:c>
      <x:c r="O170" s="503" t="n">
        <x:v>0</x:v>
      </x:c>
      <x:c r="P170" s="503" t="n">
        <x:v>0</x:v>
      </x:c>
      <x:c r="Q170" s="503" t="n">
        <x:v>0</x:v>
      </x:c>
      <x:c r="R170" s="489" t="str"/>
      <x:c r="S170" s="489" t="str">
        <x:v>11310266000157</x:v>
      </x:c>
      <x:c r="T170" s="489" t="str">
        <x:v>CONFIRMADO</x:v>
      </x:c>
      <x:c r="U170" s="489" t="str">
        <x:v>Baixa</x:v>
      </x:c>
      <x:c r="V170" s="489" t="str">
        <x:v>Preencher situação: há pagamento identificado na fonte pública</x:v>
      </x:c>
      <x:c r="W170" s="489" t="str">
        <x:v>Valor do grupo fecha com: SIGA pago favorecido</x:v>
      </x:c>
      <x:c r="X170" s="489" t="str"/>
    </x:row>
    <x:row r="171">
      <x:c r="A171" s="502" t="n">
        <x:v>171</x:v>
      </x:c>
      <x:c r="B171" s="502" t="n">
        <x:v>2020</x:v>
      </x:c>
      <x:c r="C171" s="489" t="str">
        <x:v>Vários municípios</x:v>
      </x:c>
      <x:c r="D171" s="489" t="str">
        <x:v>Corpo de Bombeiros</x:v>
      </x:c>
      <x:c r="E171" s="489" t="str">
        <x:v>2º Batalhão de Bombeiros Militar nas seguintes cidades: Campo Bom, Dois Irmãos, Estância Velha, Ivoti, Montenegro, Novo Hamburgo, Parobé, Portão , Sapiranga, Sapucaia do Sul, Taquara e Taquari</x:v>
      </x:c>
      <x:c r="F171" s="489" t="str">
        <x:v>41160012</x:v>
      </x:c>
      <x:c r="G171" s="489" t="str">
        <x:v>41160012-2020</x:v>
      </x:c>
      <x:c r="H171" s="489" t="str">
        <x:v>Informado/corrigido a partir do mapa</x:v>
      </x:c>
      <x:c r="I171" s="503" t="n">
        <x:v>134550</x:v>
      </x:c>
      <x:c r="J171" s="503" t="n">
        <x:v>134550</x:v>
      </x:c>
      <x:c r="K171" s="489" t="str">
        <x:v>Emenda individual</x:v>
      </x:c>
      <x:c r="L171" s="489" t="str">
        <x:v>Pago. Equipamentos recebidos em 12/08/2022.
As roupas de proteção irão para o 2o Batalhão de Bombeiro Militar, com sede em São Leopoldo, e assim assim distribuídas: Campo Bom (2 unidades), Estância Velha (2), Dois Irmãos (2), Ivoti (2), Montenegro (2), Parobé (2), Portão (2), Sapiranga (2), Sapucaia do Sul (2), Taquara (2), Taquari (2), Novo Hamburgo (1).
O valor unitário das roupas de combate a incêndio ficou em  4.321,20, totalizando  99.387.60. Houve economia de recursos públicos porque o valor unitário empenhado para as roubas era de  5.850,00 (totalizando  134.550,00, já com a contrapartida do governo do RS). No total o valor das roupas ficou em  99.387,060, sendo  73.864,86 da emenda do deputado e  25.522,74 do governo do RS como contrapartida.</x:v>
      </x:c>
      <x:c r="M171" s="503" t="n">
        <x:v>0</x:v>
      </x:c>
      <x:c r="N171" s="503" t="n">
        <x:v>0</x:v>
      </x:c>
      <x:c r="O171" s="503" t="n">
        <x:v>0</x:v>
      </x:c>
      <x:c r="P171" s="503" t="n">
        <x:v>0</x:v>
      </x:c>
      <x:c r="Q171" s="503" t="n">
        <x:v>0</x:v>
      </x:c>
      <x:c r="R171" s="489" t="str"/>
      <x:c r="S171" s="489" t="str"/>
      <x:c r="T171" s="489" t="str">
        <x:v>EMENDA CONFIRMADA; DESTINO NÃO CONFIRMADO</x:v>
      </x:c>
      <x:c r="U171" s="489" t="str">
        <x:v>Média</x:v>
      </x:c>
      <x:c r="V171" s="489" t="str"/>
      <x:c r="W171" s="489" t="str">
        <x:v>Nº existe no SIGA; destinatário específico não foi confirmado nas bases anexas</x:v>
      </x:c>
      <x:c r="X171" s="489" t="str"/>
    </x:row>
    <x:row r="172">
      <x:c r="A172" s="502" t="n">
        <x:v>172</x:v>
      </x:c>
      <x:c r="B172" s="502" t="n">
        <x:v>2022</x:v>
      </x:c>
      <x:c r="C172" s="489" t="str">
        <x:v>Passo Fundo</x:v>
      </x:c>
      <x:c r="D172" s="489"/>
      <x:c r="E172" s="489" t="str">
        <x:v>Fundo Municipal de Saúde Passo</x:v>
      </x:c>
      <x:c r="F172" s="489" t="str">
        <x:v>41160003</x:v>
      </x:c>
      <x:c r="G172" s="489" t="str">
        <x:v>41160003-2022</x:v>
      </x:c>
      <x:c r="H172" s="489" t="str">
        <x:v>Informado/corrigido a partir do mapa</x:v>
      </x:c>
      <x:c r="I172" s="503" t="n">
        <x:v>135000</x:v>
      </x:c>
      <x:c r="J172" s="503" t="n">
        <x:v>855000</x:v>
      </x:c>
      <x:c r="K172" s="489" t="str">
        <x:v>Emenda Individual </x:v>
      </x:c>
      <x:c r="L172" s="489" t="str">
        <x:v>Recurso pago</x:v>
      </x:c>
      <x:c r="M172" s="503" t="n">
        <x:v>478339.05</x:v>
      </x:c>
      <x:c r="N172" s="503" t="n">
        <x:v>720000</x:v>
      </x:c>
      <x:c r="O172" s="503" t="n">
        <x:v>478339.05</x:v>
      </x:c>
      <x:c r="P172" s="503" t="n">
        <x:v>0</x:v>
      </x:c>
      <x:c r="Q172" s="503" t="n">
        <x:v>0</x:v>
      </x:c>
      <x:c r="R172" s="489" t="str"/>
      <x:c r="S172" s="489" t="str">
        <x:v>00765384000133</x:v>
      </x:c>
      <x:c r="T172" s="489" t="str">
        <x:v>VALOR DIVERGENTE / COBERTURA DIFERENTE</x:v>
      </x:c>
      <x:c r="U172" s="489" t="str">
        <x:v>Alta</x:v>
      </x:c>
      <x:c r="V172" s="489" t="str">
        <x:v>CNPJ candidato na fonte SIGA: 00765384000133</x:v>
      </x:c>
      <x:c r="W172" s="489" t="str">
        <x:v>Município/localidade encontrado em fonte comparável, mas valor não fecha exatamente</x:v>
      </x:c>
      <x:c r="X172" s="489" t="str">
        <x:v>https://discricionarias.transferegov.sistema.gov.br/voluntarias/ConsultarProposta/ResultadoDaConsultaDeConvenioSelecionarConvenio.do?sequencialConvenio=935706&amp;Usr=guest&amp;Pwd=guest</x:v>
      </x:c>
    </x:row>
    <x:row r="173">
      <x:c r="A173" s="502" t="n">
        <x:v>173</x:v>
      </x:c>
      <x:c r="B173" s="502" t="n">
        <x:v>2021</x:v>
      </x:c>
      <x:c r="C173" s="489" t="str">
        <x:v>Santiago</x:v>
      </x:c>
      <x:c r="D173" s="489" t="str">
        <x:v>Hospital</x:v>
      </x:c>
      <x:c r="E173" s="489" t="str">
        <x:v>Hospital de Caridade de Santiago</x:v>
      </x:c>
      <x:c r="F173" s="489" t="str">
        <x:v>41160003</x:v>
      </x:c>
      <x:c r="G173" s="489" t="str">
        <x:v>41160003-2021</x:v>
      </x:c>
      <x:c r="H173" s="489" t="str">
        <x:v>Informado/corrigido a partir do mapa</x:v>
      </x:c>
      <x:c r="I173" s="503" t="n">
        <x:v>136540</x:v>
      </x:c>
      <x:c r="J173" s="503" t="n">
        <x:v>136540</x:v>
      </x:c>
      <x:c r="K173" s="489" t="str">
        <x:v>Emenda individual (processo seletivo)</x:v>
      </x:c>
      <x:c r="L173" s="489" t="str">
        <x:v>Recurso indicado via Fundo Estadual de Saúde. Emenda paga, falttando o Fundo transferir os recursos para os hospitais.</x:v>
      </x:c>
      <x:c r="M173" s="503" t="n">
        <x:v>0</x:v>
      </x:c>
      <x:c r="N173" s="503" t="n">
        <x:v>0</x:v>
      </x:c>
      <x:c r="O173" s="503" t="n">
        <x:v>0</x:v>
      </x:c>
      <x:c r="P173" s="503" t="n">
        <x:v>0</x:v>
      </x:c>
      <x:c r="Q173" s="503" t="n">
        <x:v>0</x:v>
      </x:c>
      <x:c r="R173" s="489" t="str"/>
      <x:c r="S173" s="489" t="str"/>
      <x:c r="T173" s="489" t="str">
        <x:v>EMENDA CONFIRMADA; DESTINO NÃO CONFIRMADO</x:v>
      </x:c>
      <x:c r="U173" s="489" t="str">
        <x:v>Média</x:v>
      </x:c>
      <x:c r="V173" s="489" t="str"/>
      <x:c r="W173" s="489" t="str">
        <x:v>Nº existe no SIGA; destinatário específico não foi confirmado nas bases anexas</x:v>
      </x:c>
      <x:c r="X173" s="489" t="str"/>
    </x:row>
    <x:row r="174">
      <x:c r="A174" s="502" t="n">
        <x:v>174</x:v>
      </x:c>
      <x:c r="B174" s="502" t="n">
        <x:v>2021</x:v>
      </x:c>
      <x:c r="C174" s="489" t="str">
        <x:v>São Sebastião do Caí</x:v>
      </x:c>
      <x:c r="D174" s="489" t="str">
        <x:v>Hospital</x:v>
      </x:c>
      <x:c r="E174" s="489" t="str">
        <x:v>Hospital Sagrada Família (Assoc. Congregação de Santa Catarina)</x:v>
      </x:c>
      <x:c r="F174" s="489" t="str">
        <x:v>41160003</x:v>
      </x:c>
      <x:c r="G174" s="489" t="str">
        <x:v>41160003-2021</x:v>
      </x:c>
      <x:c r="H174" s="489" t="str">
        <x:v>Informado/corrigido a partir do mapa</x:v>
      </x:c>
      <x:c r="I174" s="503" t="n">
        <x:v>136540</x:v>
      </x:c>
      <x:c r="J174" s="503" t="n">
        <x:v>136540</x:v>
      </x:c>
      <x:c r="K174" s="489" t="str">
        <x:v>Emenda individual (processo seletivo)</x:v>
      </x:c>
      <x:c r="L174" s="489" t="str">
        <x:v>Recurso indicado via Fundo Estadual de Saúde. Emenda paga, falttando o Fundo transferir os recursos para os hospitais.</x:v>
      </x:c>
      <x:c r="M174" s="503" t="n">
        <x:v>0</x:v>
      </x:c>
      <x:c r="N174" s="503" t="n">
        <x:v>0</x:v>
      </x:c>
      <x:c r="O174" s="503" t="n">
        <x:v>0</x:v>
      </x:c>
      <x:c r="P174" s="503" t="n">
        <x:v>0</x:v>
      </x:c>
      <x:c r="Q174" s="503" t="n">
        <x:v>0</x:v>
      </x:c>
      <x:c r="R174" s="489" t="str"/>
      <x:c r="S174" s="489" t="str"/>
      <x:c r="T174" s="489" t="str">
        <x:v>EMENDA CONFIRMADA; DESTINO NÃO CONFIRMADO</x:v>
      </x:c>
      <x:c r="U174" s="489" t="str">
        <x:v>Média</x:v>
      </x:c>
      <x:c r="V174" s="489" t="str"/>
      <x:c r="W174" s="489" t="str">
        <x:v>Nº existe no SIGA; destinatário específico não foi confirmado nas bases anexas</x:v>
      </x:c>
      <x:c r="X174" s="489" t="str"/>
    </x:row>
    <x:row r="175">
      <x:c r="A175" s="502" t="n">
        <x:v>175</x:v>
      </x:c>
      <x:c r="B175" s="502" t="n">
        <x:v>2020</x:v>
      </x:c>
      <x:c r="C175" s="489" t="str">
        <x:v>Nova Pádua</x:v>
      </x:c>
      <x:c r="D175" s="489" t="str">
        <x:v>Brigada Militar</x:v>
      </x:c>
      <x:c r="E175" s="489" t="str">
        <x:v>Brigada Militar de Nova Pádua</x:v>
      </x:c>
      <x:c r="F175" s="489" t="str">
        <x:v>71220004</x:v>
      </x:c>
      <x:c r="G175" s="489" t="str">
        <x:v>71220004-2020</x:v>
      </x:c>
      <x:c r="H175" s="489" t="str">
        <x:v>Informado/corrigido a partir do mapa</x:v>
      </x:c>
      <x:c r="I175" s="503" t="n">
        <x:v>137569</x:v>
      </x:c>
      <x:c r="J175" s="503" t="n">
        <x:v>137569</x:v>
      </x:c>
      <x:c r="K175" s="489" t="str">
        <x:v>Emenda de Bancada</x:v>
      </x:c>
      <x:c r="L175" s="489" t="str">
        <x:v>Recurso pago</x:v>
      </x:c>
      <x:c r="M175" s="503" t="n">
        <x:v>0</x:v>
      </x:c>
      <x:c r="N175" s="503" t="n">
        <x:v>0</x:v>
      </x:c>
      <x:c r="O175" s="503" t="n">
        <x:v>0</x:v>
      </x:c>
      <x:c r="P175" s="503" t="n">
        <x:v>0</x:v>
      </x:c>
      <x:c r="Q175" s="503" t="n">
        <x:v>0</x:v>
      </x:c>
      <x:c r="R175" s="489" t="str"/>
      <x:c r="S175" s="489" t="str"/>
      <x:c r="T175" s="489" t="str">
        <x:v>EMENDA CONFIRMADA; DESTINO NÃO CONFIRMADO</x:v>
      </x:c>
      <x:c r="U175" s="489" t="str">
        <x:v>Média</x:v>
      </x:c>
      <x:c r="V175" s="489" t="str"/>
      <x:c r="W175" s="489" t="str"/>
      <x:c r="X175" s="489" t="str"/>
    </x:row>
    <x:row r="176">
      <x:c r="A176" s="502" t="n">
        <x:v>176</x:v>
      </x:c>
      <x:c r="B176" s="502" t="n">
        <x:v>2024</x:v>
      </x:c>
      <x:c r="C176" s="489" t="str">
        <x:v>Santa Maria</x:v>
      </x:c>
      <x:c r="D176" s="489" t="str">
        <x:v>Prefeitura Municipal de Santa Maria</x:v>
      </x:c>
      <x:c r="E176" s="489" t="str">
        <x:v>Prefeitura Municipal</x:v>
      </x:c>
      <x:c r="F176" s="489" t="str">
        <x:v>41160002</x:v>
      </x:c>
      <x:c r="G176" s="489" t="str">
        <x:v>41160002-2024</x:v>
      </x:c>
      <x:c r="H176" s="489" t="str">
        <x:v>Informado/corrigido a partir do mapa</x:v>
      </x:c>
      <x:c r="I176" s="503" t="n">
        <x:v>139187</x:v>
      </x:c>
      <x:c r="J176" s="503" t="n">
        <x:v>139187</x:v>
      </x:c>
      <x:c r="K176" s="489" t="str">
        <x:v>Emenda Individual</x:v>
      </x:c>
      <x:c r="L176" s="489"/>
      <x:c r="M176" s="503" t="n">
        <x:v>139187</x:v>
      </x:c>
      <x:c r="N176" s="503" t="n">
        <x:v>0</x:v>
      </x:c>
      <x:c r="O176" s="503" t="n">
        <x:v>0</x:v>
      </x:c>
      <x:c r="P176" s="503" t="n">
        <x:v>0</x:v>
      </x:c>
      <x:c r="Q176" s="503" t="n">
        <x:v>0</x:v>
      </x:c>
      <x:c r="R176" s="489" t="str"/>
      <x:c r="S176" s="489" t="str">
        <x:v>12964512000157</x:v>
      </x:c>
      <x:c r="T176" s="489" t="str">
        <x:v>CONFIRMADO</x:v>
      </x:c>
      <x:c r="U176" s="489" t="str">
        <x:v>Baixa</x:v>
      </x:c>
      <x:c r="V176" s="489" t="str">
        <x:v>Preencher situação: há pagamento identificado na fonte pública; CNPJ candidato na fonte SIGA: 12964512000157</x:v>
      </x:c>
      <x:c r="W176" s="489" t="str">
        <x:v>Valor do grupo fecha com: SIGA pago favorecido</x:v>
      </x:c>
      <x:c r="X176" s="489" t="str"/>
    </x:row>
    <x:row r="177">
      <x:c r="A177" s="502" t="n">
        <x:v>177</x:v>
      </x:c>
      <x:c r="B177" s="502" t="n">
        <x:v>2019</x:v>
      </x:c>
      <x:c r="C177" s="489" t="str">
        <x:v>Dilermando de Aguiar</x:v>
      </x:c>
      <x:c r="D177" s="489" t="str">
        <x:v>Brigada Militar</x:v>
      </x:c>
      <x:c r="E177" s="489" t="str">
        <x:v>Brigada Militar de Dilermando de Aguiar</x:v>
      </x:c>
      <x:c r="F177" s="489" t="str"/>
      <x:c r="G177" s="489" t="str"/>
      <x:c r="H177" s="489" t="str">
        <x:v>Sem nº conciliado</x:v>
      </x:c>
      <x:c r="I177" s="503" t="n">
        <x:v>140000</x:v>
      </x:c>
      <x:c r="J177" s="503" t="n">
        <x:v>140000</x:v>
      </x:c>
      <x:c r="K177" s="489" t="str">
        <x:v>Emenda de Bancada (processo seletivo)</x:v>
      </x:c>
      <x:c r="L177" s="489" t="str">
        <x:v>Recurso pago</x:v>
      </x:c>
      <x:c r="M177" s="503" t="n">
        <x:v>0</x:v>
      </x:c>
      <x:c r="N177" s="503" t="n">
        <x:v>0</x:v>
      </x:c>
      <x:c r="O177" s="503" t="n">
        <x:v>0</x:v>
      </x:c>
      <x:c r="P177" s="503" t="n">
        <x:v>0</x:v>
      </x:c>
      <x:c r="Q177" s="503" t="n">
        <x:v>0</x:v>
      </x:c>
      <x:c r="R177" s="489" t="str"/>
      <x:c r="S177" s="489" t="str"/>
      <x:c r="T177" s="489" t="str">
        <x:v>SEM Nº / NÃO CONCILIADO</x:v>
      </x:c>
      <x:c r="U177" s="489" t="str">
        <x:v>Média</x:v>
      </x:c>
      <x:c r="V177" s="489" t="str"/>
      <x:c r="W177" s="489" t="str"/>
      <x:c r="X177" s="489" t="str"/>
    </x:row>
    <x:row r="178">
      <x:c r="A178" s="502" t="n">
        <x:v>178</x:v>
      </x:c>
      <x:c r="B178" s="502" t="n">
        <x:v>2019</x:v>
      </x:c>
      <x:c r="C178" s="489" t="str">
        <x:v>Santa Maria do Herval</x:v>
      </x:c>
      <x:c r="D178" s="489" t="str">
        <x:v>Brigada Militar</x:v>
      </x:c>
      <x:c r="E178" s="489" t="str">
        <x:v>Brigada Militar de Santa Maria do Herval</x:v>
      </x:c>
      <x:c r="F178" s="489" t="str"/>
      <x:c r="G178" s="489" t="str"/>
      <x:c r="H178" s="489" t="str">
        <x:v>Sem nº conciliado</x:v>
      </x:c>
      <x:c r="I178" s="503" t="n">
        <x:v>140000</x:v>
      </x:c>
      <x:c r="J178" s="503" t="n">
        <x:v>140000</x:v>
      </x:c>
      <x:c r="K178" s="489" t="str">
        <x:v>Emenda de Bancada (processo seletivo)</x:v>
      </x:c>
      <x:c r="L178" s="489" t="str">
        <x:v>Recurso pago</x:v>
      </x:c>
      <x:c r="M178" s="503" t="n">
        <x:v>0</x:v>
      </x:c>
      <x:c r="N178" s="503" t="n">
        <x:v>0</x:v>
      </x:c>
      <x:c r="O178" s="503" t="n">
        <x:v>0</x:v>
      </x:c>
      <x:c r="P178" s="503" t="n">
        <x:v>0</x:v>
      </x:c>
      <x:c r="Q178" s="503" t="n">
        <x:v>0</x:v>
      </x:c>
      <x:c r="R178" s="489" t="str"/>
      <x:c r="S178" s="489" t="str"/>
      <x:c r="T178" s="489" t="str">
        <x:v>SEM Nº / NÃO CONCILIADO</x:v>
      </x:c>
      <x:c r="U178" s="489" t="str">
        <x:v>Média</x:v>
      </x:c>
      <x:c r="V178" s="489" t="str"/>
      <x:c r="W178" s="489" t="str"/>
      <x:c r="X178" s="489" t="str"/>
    </x:row>
    <x:row r="179">
      <x:c r="A179" s="502" t="n">
        <x:v>179</x:v>
      </x:c>
      <x:c r="B179" s="502" t="n">
        <x:v>2019</x:v>
      </x:c>
      <x:c r="C179" s="489" t="str">
        <x:v>São José do Hortêncio</x:v>
      </x:c>
      <x:c r="D179" s="489" t="str">
        <x:v>Polícia Civil</x:v>
      </x:c>
      <x:c r="E179" s="489" t="str">
        <x:v>Polícia Civil de São José do Hortêncio</x:v>
      </x:c>
      <x:c r="F179" s="489" t="str">
        <x:v>Conv: 894721</x:v>
      </x:c>
      <x:c r="G179" s="489" t="str"/>
      <x:c r="H179" s="489" t="str">
        <x:v>Sem nº conciliado</x:v>
      </x:c>
      <x:c r="I179" s="503" t="n">
        <x:v>140000</x:v>
      </x:c>
      <x:c r="J179" s="503" t="n">
        <x:v>140000</x:v>
      </x:c>
      <x:c r="K179" s="489" t="str">
        <x:v>Emenda de Bancada (processo seletivo)</x:v>
      </x:c>
      <x:c r="L179" s="489" t="str">
        <x:v>Recurso pago</x:v>
      </x:c>
      <x:c r="M179" s="503" t="n">
        <x:v>0</x:v>
      </x:c>
      <x:c r="N179" s="503" t="n">
        <x:v>0</x:v>
      </x:c>
      <x:c r="O179" s="503" t="n">
        <x:v>0</x:v>
      </x:c>
      <x:c r="P179" s="503" t="n">
        <x:v>0</x:v>
      </x:c>
      <x:c r="Q179" s="503" t="n">
        <x:v>0</x:v>
      </x:c>
      <x:c r="R179" s="489" t="str"/>
      <x:c r="S179" s="489" t="str"/>
      <x:c r="T179" s="489" t="str">
        <x:v>SEM Nº / NÃO CONCILIADO</x:v>
      </x:c>
      <x:c r="U179" s="489" t="str">
        <x:v>Média</x:v>
      </x:c>
      <x:c r="V179" s="489" t="str"/>
      <x:c r="W179" s="489" t="str">
        <x:v>campo contém nº de convênio, não nº de emenda</x:v>
      </x:c>
      <x:c r="X179" s="489" t="str"/>
    </x:row>
    <x:row r="180">
      <x:c r="A180" s="502" t="n">
        <x:v>180</x:v>
      </x:c>
      <x:c r="B180" s="502" t="n">
        <x:v>2019</x:v>
      </x:c>
      <x:c r="C180" s="489" t="str">
        <x:v>Tupanci do Sul</x:v>
      </x:c>
      <x:c r="D180" s="489" t="str">
        <x:v>Brigada Militar</x:v>
      </x:c>
      <x:c r="E180" s="489" t="str">
        <x:v>Brigada Militar de Tupanci do Sul</x:v>
      </x:c>
      <x:c r="F180" s="489" t="str"/>
      <x:c r="G180" s="489" t="str"/>
      <x:c r="H180" s="489" t="str">
        <x:v>Sem nº conciliado</x:v>
      </x:c>
      <x:c r="I180" s="503" t="n">
        <x:v>140000</x:v>
      </x:c>
      <x:c r="J180" s="503" t="n">
        <x:v>140000</x:v>
      </x:c>
      <x:c r="K180" s="489" t="str">
        <x:v>Emenda de Bancada (processo seletivo)</x:v>
      </x:c>
      <x:c r="L180" s="489" t="str">
        <x:v>Recurso pago</x:v>
      </x:c>
      <x:c r="M180" s="503" t="n">
        <x:v>0</x:v>
      </x:c>
      <x:c r="N180" s="503" t="n">
        <x:v>0</x:v>
      </x:c>
      <x:c r="O180" s="503" t="n">
        <x:v>0</x:v>
      </x:c>
      <x:c r="P180" s="503" t="n">
        <x:v>0</x:v>
      </x:c>
      <x:c r="Q180" s="503" t="n">
        <x:v>0</x:v>
      </x:c>
      <x:c r="R180" s="489" t="str"/>
      <x:c r="S180" s="489" t="str"/>
      <x:c r="T180" s="489" t="str">
        <x:v>SEM Nº / NÃO CONCILIADO</x:v>
      </x:c>
      <x:c r="U180" s="489" t="str">
        <x:v>Média</x:v>
      </x:c>
      <x:c r="V180" s="489" t="str"/>
      <x:c r="W180" s="489" t="str"/>
      <x:c r="X180" s="489" t="str"/>
    </x:row>
    <x:row r="181">
      <x:c r="A181" s="502" t="n">
        <x:v>181</x:v>
      </x:c>
      <x:c r="B181" s="502" t="n">
        <x:v>2021</x:v>
      </x:c>
      <x:c r="C181" s="489" t="str">
        <x:v>Bento Gonçalves</x:v>
      </x:c>
      <x:c r="D181" s="489" t="str">
        <x:v>Hospital</x:v>
      </x:c>
      <x:c r="E181" s="489" t="str">
        <x:v>Associação Dr. Bartholomeu Tacchini - Hospital Tacchini</x:v>
      </x:c>
      <x:c r="F181" s="489" t="str">
        <x:v>41160002</x:v>
      </x:c>
      <x:c r="G181" s="489" t="str">
        <x:v>41160002-2021</x:v>
      </x:c>
      <x:c r="H181" s="489" t="str">
        <x:v>Informado/corrigido a partir do mapa</x:v>
      </x:c>
      <x:c r="I181" s="503" t="n">
        <x:v>140000</x:v>
      </x:c>
      <x:c r="J181" s="503" t="n">
        <x:v>140000</x:v>
      </x:c>
      <x:c r="K181" s="489" t="str">
        <x:v>Emenda individual (processo seletivo)</x:v>
      </x:c>
      <x:c r="L181" s="489" t="str">
        <x:v>Recurso pago</x:v>
      </x:c>
      <x:c r="M181" s="503" t="n">
        <x:v>119800</x:v>
      </x:c>
      <x:c r="N181" s="503" t="n">
        <x:v>0</x:v>
      </x:c>
      <x:c r="O181" s="503" t="n">
        <x:v>119800</x:v>
      </x:c>
      <x:c r="P181" s="503" t="n">
        <x:v>0</x:v>
      </x:c>
      <x:c r="Q181" s="503" t="n">
        <x:v>0</x:v>
      </x:c>
      <x:c r="R181" s="489" t="str"/>
      <x:c r="S181" s="489" t="str">
        <x:v>87547444000120</x:v>
      </x:c>
      <x:c r="T181" s="489" t="str">
        <x:v>VALOR DIVERGENTE / COBERTURA DIFERENTE</x:v>
      </x:c>
      <x:c r="U181" s="489" t="str">
        <x:v>Alta</x:v>
      </x:c>
      <x:c r="V181" s="489" t="str">
        <x:v>CNPJ candidato na fonte SIGA: 87547444000120</x:v>
      </x:c>
      <x:c r="W181" s="489" t="str">
        <x:v>Município/localidade encontrado em fonte comparável, mas valor não fecha exatamente</x:v>
      </x:c>
      <x:c r="X181" s="489" t="str">
        <x:v>https://discricionarias.transferegov.sistema.gov.br/voluntarias/ConsultarProposta/ResultadoDaConsultaDeConvenioSelecionarConvenio.do?sequencialConvenio=916133&amp;Usr=guest&amp;Pwd=guest</x:v>
      </x:c>
    </x:row>
    <x:row r="182">
      <x:c r="A182" s="502" t="n">
        <x:v>182</x:v>
      </x:c>
      <x:c r="B182" s="502" t="n">
        <x:v>2021</x:v>
      </x:c>
      <x:c r="C182" s="489" t="str">
        <x:v>Vacaria</x:v>
      </x:c>
      <x:c r="D182" s="489" t="str">
        <x:v>Hospital</x:v>
      </x:c>
      <x:c r="E182" s="489" t="str">
        <x:v>Hospital Nossa Senhora da Oliveira</x:v>
      </x:c>
      <x:c r="F182" s="489" t="str">
        <x:v>41160002</x:v>
      </x:c>
      <x:c r="G182" s="489" t="str">
        <x:v>41160002-2021</x:v>
      </x:c>
      <x:c r="H182" s="489" t="str">
        <x:v>Informado/corrigido a partir do mapa</x:v>
      </x:c>
      <x:c r="I182" s="503" t="n">
        <x:v>140000</x:v>
      </x:c>
      <x:c r="J182" s="503" t="n">
        <x:v>140000</x:v>
      </x:c>
      <x:c r="K182" s="489" t="str">
        <x:v>Emenda individual (processo seletivo)</x:v>
      </x:c>
      <x:c r="L182" s="489" t="str">
        <x:v>Recurso pago</x:v>
      </x:c>
      <x:c r="M182" s="503" t="n">
        <x:v>112042</x:v>
      </x:c>
      <x:c r="N182" s="503" t="n">
        <x:v>0</x:v>
      </x:c>
      <x:c r="O182" s="503" t="n">
        <x:v>112042</x:v>
      </x:c>
      <x:c r="P182" s="503" t="n">
        <x:v>0</x:v>
      </x:c>
      <x:c r="Q182" s="503" t="n">
        <x:v>0</x:v>
      </x:c>
      <x:c r="R182" s="489" t="str"/>
      <x:c r="S182" s="489" t="str">
        <x:v>15415694000103</x:v>
      </x:c>
      <x:c r="T182" s="489" t="str">
        <x:v>VALOR DIVERGENTE / COBERTURA DIFERENTE</x:v>
      </x:c>
      <x:c r="U182" s="489" t="str">
        <x:v>Alta</x:v>
      </x:c>
      <x:c r="V182" s="489" t="str">
        <x:v>CNPJ candidato na fonte SIGA: 15415694000103</x:v>
      </x:c>
      <x:c r="W182" s="489" t="str">
        <x:v>Município/localidade encontrado em fonte comparável, mas valor não fecha exatamente</x:v>
      </x:c>
      <x:c r="X182" s="489" t="str">
        <x:v>https://discricionarias.transferegov.sistema.gov.br/voluntarias/ConsultarProposta/ResultadoDaConsultaDeConvenioSelecionarConvenio.do?sequencialConvenio=918965&amp;Usr=guest&amp;Pwd=guest</x:v>
      </x:c>
    </x:row>
    <x:row r="183">
      <x:c r="A183" s="502" t="n">
        <x:v>183</x:v>
      </x:c>
      <x:c r="B183" s="502" t="n">
        <x:v>2023</x:v>
      </x:c>
      <x:c r="C183" s="489" t="str">
        <x:v>Montenegro</x:v>
      </x:c>
      <x:c r="D183" s="489" t="str">
        <x:v>Prefeitura</x:v>
      </x:c>
      <x:c r="E183" s="489" t="str">
        <x:v>Prefeitura de Montenegro</x:v>
      </x:c>
      <x:c r="F183" s="489" t="str"/>
      <x:c r="G183" s="489" t="str">
        <x:v>41160001-2023</x:v>
      </x:c>
      <x:c r="H183" s="489" t="str">
        <x:v>Inferido forte (SIGA/PIX)</x:v>
      </x:c>
      <x:c r="I183" s="503" t="n">
        <x:v>140000</x:v>
      </x:c>
      <x:c r="J183" s="503" t="n">
        <x:v>140000</x:v>
      </x:c>
      <x:c r="K183" s="489" t="str">
        <x:v>Emenda Individual</x:v>
      </x:c>
      <x:c r="L183" s="489" t="str">
        <x:v>Recurso pago</x:v>
      </x:c>
      <x:c r="M183" s="503" t="n">
        <x:v>140000</x:v>
      </x:c>
      <x:c r="N183" s="503" t="n">
        <x:v>0</x:v>
      </x:c>
      <x:c r="O183" s="503" t="n">
        <x:v>0</x:v>
      </x:c>
      <x:c r="P183" s="503" t="n">
        <x:v>140000</x:v>
      </x:c>
      <x:c r="Q183" s="503" t="n">
        <x:v>0</x:v>
      </x:c>
      <x:c r="R183" s="489" t="str">
        <x:v>CIENTE</x:v>
      </x:c>
      <x:c r="S183" s="489" t="str">
        <x:v>90895905000160</x:v>
      </x:c>
      <x:c r="T183" s="489" t="str">
        <x:v>CONFIRMADO</x:v>
      </x:c>
      <x:c r="U183" s="489" t="str">
        <x:v>Baixa</x:v>
      </x:c>
      <x:c r="V183" s="489" t="str">
        <x:v>Preencher nº como 41160001 com marcação de inferência (ano+município+valor exatos em SIGA/PIX); CNPJ candidato na fonte SIGA: 90895905000160</x:v>
      </x:c>
      <x:c r="W183" s="489" t="str">
        <x:v>nº ausente; inferido por coincidência exata de cidade e valor em SIGA favorecido, PIX; Valor do grupo fecha com: SIGA pago favorecido, PIX atual</x:v>
      </x:c>
      <x:c r="X183" s="489" t="str">
        <x:v>https://especiais.transferegov.sistema.gov.br/transferencia-especial/plano-acao/detalhe/38351/dados-basicos</x:v>
      </x:c>
    </x:row>
    <x:row r="184">
      <x:c r="A184" s="502" t="n">
        <x:v>184</x:v>
      </x:c>
      <x:c r="B184" s="502" t="n">
        <x:v>2023</x:v>
      </x:c>
      <x:c r="C184" s="489" t="str">
        <x:v>Santa Rosa</x:v>
      </x:c>
      <x:c r="D184" s="489" t="str">
        <x:v>APAE</x:v>
      </x:c>
      <x:c r="E184" s="489" t="str">
        <x:v>APAE de Santa Rosa</x:v>
      </x:c>
      <x:c r="F184" s="489" t="str"/>
      <x:c r="G184" s="489" t="str"/>
      <x:c r="H184" s="489" t="str">
        <x:v>Sem nº conciliado</x:v>
      </x:c>
      <x:c r="I184" s="503" t="n">
        <x:v>140000</x:v>
      </x:c>
      <x:c r="J184" s="503" t="n">
        <x:v>640000</x:v>
      </x:c>
      <x:c r="K184" s="489" t="str">
        <x:v>Emenda de Bancada</x:v>
      </x:c>
      <x:c r="L184" s="489" t="str">
        <x:v>Recurso pago</x:v>
      </x:c>
      <x:c r="M184" s="503" t="n">
        <x:v>0</x:v>
      </x:c>
      <x:c r="N184" s="503" t="n">
        <x:v>0</x:v>
      </x:c>
      <x:c r="O184" s="503" t="n">
        <x:v>0</x:v>
      </x:c>
      <x:c r="P184" s="503" t="n">
        <x:v>0</x:v>
      </x:c>
      <x:c r="Q184" s="503" t="n">
        <x:v>0</x:v>
      </x:c>
      <x:c r="R184" s="489" t="str"/>
      <x:c r="S184" s="489" t="str"/>
      <x:c r="T184" s="489" t="str">
        <x:v>SEM Nº / NÃO CONCILIADO</x:v>
      </x:c>
      <x:c r="U184" s="489" t="str">
        <x:v>Média</x:v>
      </x:c>
      <x:c r="V184" s="489" t="str"/>
      <x:c r="W184" s="489" t="str"/>
      <x:c r="X184" s="489" t="str"/>
    </x:row>
    <x:row r="185">
      <x:c r="A185" s="502" t="n">
        <x:v>185</x:v>
      </x:c>
      <x:c r="B185" s="502" t="n">
        <x:v>2023</x:v>
      </x:c>
      <x:c r="C185" s="489" t="str">
        <x:v>Veranópolis</x:v>
      </x:c>
      <x:c r="D185" s="489" t="str">
        <x:v>APAE</x:v>
      </x:c>
      <x:c r="E185" s="489" t="str">
        <x:v>APAE de Veranópolis</x:v>
      </x:c>
      <x:c r="F185" s="489" t="str"/>
      <x:c r="G185" s="489" t="str"/>
      <x:c r="H185" s="489" t="str">
        <x:v>Sem nº conciliado</x:v>
      </x:c>
      <x:c r="I185" s="503" t="n">
        <x:v>140000</x:v>
      </x:c>
      <x:c r="J185" s="503" t="n">
        <x:v>140000</x:v>
      </x:c>
      <x:c r="K185" s="489" t="str">
        <x:v>Emenda de Bancada</x:v>
      </x:c>
      <x:c r="L185" s="489" t="str">
        <x:v>Recurso pago</x:v>
      </x:c>
      <x:c r="M185" s="503" t="n">
        <x:v>0</x:v>
      </x:c>
      <x:c r="N185" s="503" t="n">
        <x:v>0</x:v>
      </x:c>
      <x:c r="O185" s="503" t="n">
        <x:v>0</x:v>
      </x:c>
      <x:c r="P185" s="503" t="n">
        <x:v>0</x:v>
      </x:c>
      <x:c r="Q185" s="503" t="n">
        <x:v>0</x:v>
      </x:c>
      <x:c r="R185" s="489" t="str"/>
      <x:c r="S185" s="489" t="str"/>
      <x:c r="T185" s="489" t="str">
        <x:v>SEM Nº / NÃO CONCILIADO</x:v>
      </x:c>
      <x:c r="U185" s="489" t="str">
        <x:v>Média</x:v>
      </x:c>
      <x:c r="V185" s="489" t="str"/>
      <x:c r="W185" s="489" t="str"/>
      <x:c r="X185" s="489" t="str"/>
    </x:row>
    <x:row r="186">
      <x:c r="A186" s="502" t="n">
        <x:v>186</x:v>
      </x:c>
      <x:c r="B186" s="502" t="n">
        <x:v>2023</x:v>
      </x:c>
      <x:c r="C186" s="489" t="str">
        <x:v>Arroio Grande</x:v>
      </x:c>
      <x:c r="D186" s="489" t="str">
        <x:v>Hospital</x:v>
      </x:c>
      <x:c r="E186" s="489" t="str">
        <x:v>Santa Casa De Misericórdia De Arroio Grande</x:v>
      </x:c>
      <x:c r="F186" s="489" t="str"/>
      <x:c r="G186" s="489" t="str">
        <x:v>41160002-2023</x:v>
      </x:c>
      <x:c r="H186" s="489" t="str">
        <x:v>Inferido forte (SIGA/PIX)</x:v>
      </x:c>
      <x:c r="I186" s="503" t="n">
        <x:v>140300</x:v>
      </x:c>
      <x:c r="J186" s="503" t="n">
        <x:v>140300</x:v>
      </x:c>
      <x:c r="K186" s="489" t="str">
        <x:v>Emenda Individual</x:v>
      </x:c>
      <x:c r="L186" s="489" t="str">
        <x:v>Recurso pago</x:v>
      </x:c>
      <x:c r="M186" s="503" t="n">
        <x:v>140300</x:v>
      </x:c>
      <x:c r="N186" s="503" t="n">
        <x:v>0</x:v>
      </x:c>
      <x:c r="O186" s="503" t="n">
        <x:v>0</x:v>
      </x:c>
      <x:c r="P186" s="503" t="n">
        <x:v>0</x:v>
      </x:c>
      <x:c r="Q186" s="503" t="n">
        <x:v>0</x:v>
      </x:c>
      <x:c r="R186" s="489" t="str"/>
      <x:c r="S186" s="489" t="str">
        <x:v>13901138000103</x:v>
      </x:c>
      <x:c r="T186" s="489" t="str">
        <x:v>CONFIRMADO</x:v>
      </x:c>
      <x:c r="U186" s="489" t="str">
        <x:v>Baixa</x:v>
      </x:c>
      <x:c r="V186" s="489" t="str">
        <x:v>Preencher nº como 41160002 com marcação de inferência (ano+município+valor exatos em SIGA/PIX); CNPJ candidato na fonte SIGA: 13901138000103</x:v>
      </x:c>
      <x:c r="W186" s="489" t="str">
        <x:v>nº ausente; inferido por coincidência exata de cidade e valor em SIGA favorecido; Valor do grupo fecha com: SIGA pago favorecido</x:v>
      </x:c>
      <x:c r="X186" s="489" t="str"/>
    </x:row>
    <x:row r="187">
      <x:c r="A187" s="502" t="n">
        <x:v>187</x:v>
      </x:c>
      <x:c r="B187" s="502" t="n">
        <x:v>2021</x:v>
      </x:c>
      <x:c r="C187" s="489" t="str">
        <x:v>Cruz Alta</x:v>
      </x:c>
      <x:c r="D187" s="489" t="str">
        <x:v>Hospital</x:v>
      </x:c>
      <x:c r="E187" s="489" t="str">
        <x:v>Hospital São Vicente de Paulo (Associação das Damas de Caridade)</x:v>
      </x:c>
      <x:c r="F187" s="489" t="str">
        <x:v>41160002</x:v>
      </x:c>
      <x:c r="G187" s="489" t="str">
        <x:v>41160002-2021</x:v>
      </x:c>
      <x:c r="H187" s="489" t="str">
        <x:v>Informado/corrigido a partir do mapa</x:v>
      </x:c>
      <x:c r="I187" s="503" t="n">
        <x:v>141478.98</x:v>
      </x:c>
      <x:c r="J187" s="503" t="n">
        <x:v>141478.98</x:v>
      </x:c>
      <x:c r="K187" s="489" t="str">
        <x:v>Emenda individual (processo seletivo)</x:v>
      </x:c>
      <x:c r="L187" s="489" t="str">
        <x:v>Recurso pago. Foram recebidos R$ 115.600,00. (Consulta realizada no Transferegov em 09/04/2024).</x:v>
      </x:c>
      <x:c r="M187" s="503" t="n">
        <x:v>115600</x:v>
      </x:c>
      <x:c r="N187" s="503" t="n">
        <x:v>0</x:v>
      </x:c>
      <x:c r="O187" s="503" t="n">
        <x:v>115600</x:v>
      </x:c>
      <x:c r="P187" s="503" t="n">
        <x:v>0</x:v>
      </x:c>
      <x:c r="Q187" s="503" t="n">
        <x:v>0</x:v>
      </x:c>
      <x:c r="R187" s="489" t="str"/>
      <x:c r="S187" s="489" t="str">
        <x:v>89124630000181</x:v>
      </x:c>
      <x:c r="T187" s="489" t="str">
        <x:v>VALOR DIVERGENTE / COBERTURA DIFERENTE</x:v>
      </x:c>
      <x:c r="U187" s="489" t="str">
        <x:v>Alta</x:v>
      </x:c>
      <x:c r="V187" s="489" t="str">
        <x:v>CNPJ candidato na fonte SIGA: 89124630000181</x:v>
      </x:c>
      <x:c r="W187" s="489" t="str">
        <x:v>Município/localidade encontrado em fonte comparável, mas valor não fecha exatamente</x:v>
      </x:c>
      <x:c r="X187" s="489" t="str">
        <x:v>https://discricionarias.transferegov.sistema.gov.br/voluntarias/ConsultarProposta/ResultadoDaConsultaDeConvenioSelecionarConvenio.do?sequencialConvenio=917379&amp;Usr=guest&amp;Pwd=guest</x:v>
      </x:c>
    </x:row>
    <x:row r="188">
      <x:c r="A188" s="502" t="n">
        <x:v>188</x:v>
      </x:c>
      <x:c r="B188" s="502" t="n">
        <x:v>2025</x:v>
      </x:c>
      <x:c r="C188" s="489" t="str">
        <x:v>Parobé</x:v>
      </x:c>
      <x:c r="D188" s="489" t="str">
        <x:v>Associacao Beneficente De Parobe Parobé - Rs</x:v>
      </x:c>
      <x:c r="E188" s="489" t="str">
        <x:v>Associacao Beneficente De Parobe Parobé - Rs</x:v>
      </x:c>
      <x:c r="F188" s="489" t="str">
        <x:v>41160004</x:v>
      </x:c>
      <x:c r="G188" s="489" t="str">
        <x:v>41160004-2025</x:v>
      </x:c>
      <x:c r="H188" s="489" t="str">
        <x:v>Informado/corrigido a partir do mapa</x:v>
      </x:c>
      <x:c r="I188" s="503" t="n">
        <x:v>141800</x:v>
      </x:c>
      <x:c r="J188" s="503" t="n">
        <x:v>141800</x:v>
      </x:c>
      <x:c r="K188" s="489" t="str">
        <x:v>Emenda Individual</x:v>
      </x:c>
      <x:c r="L188" s="489"/>
      <x:c r="M188" s="503" t="n">
        <x:v>0</x:v>
      </x:c>
      <x:c r="N188" s="503" t="n">
        <x:v>0</x:v>
      </x:c>
      <x:c r="O188" s="503" t="n">
        <x:v>0</x:v>
      </x:c>
      <x:c r="P188" s="503" t="n">
        <x:v>0</x:v>
      </x:c>
      <x:c r="Q188" s="503" t="n">
        <x:v>0</x:v>
      </x:c>
      <x:c r="R188" s="489" t="str"/>
      <x:c r="S188" s="489" t="str"/>
      <x:c r="T188" s="489" t="str">
        <x:v>EMENDA CONFIRMADA; DESTINO NÃO CONFIRMADO</x:v>
      </x:c>
      <x:c r="U188" s="489" t="str">
        <x:v>Média</x:v>
      </x:c>
      <x:c r="V188" s="489" t="str"/>
      <x:c r="W188" s="489" t="str">
        <x:v>Nº existe no SIGA; destinatário específico não foi confirmado nas bases anexas</x:v>
      </x:c>
      <x:c r="X188" s="489" t="str"/>
    </x:row>
    <x:row r="189">
      <x:c r="A189" s="502" t="n">
        <x:v>189</x:v>
      </x:c>
      <x:c r="B189" s="502" t="n">
        <x:v>2021</x:v>
      </x:c>
      <x:c r="C189" s="489" t="str">
        <x:v>Lajeado</x:v>
      </x:c>
      <x:c r="D189" s="489" t="str">
        <x:v>Prefeitura</x:v>
      </x:c>
      <x:c r="E189" s="489" t="str">
        <x:v>Prefeitura Municipal</x:v>
      </x:c>
      <x:c r="F189" s="489" t="str">
        <x:v>41160002</x:v>
      </x:c>
      <x:c r="G189" s="489" t="str">
        <x:v>41160002-2021</x:v>
      </x:c>
      <x:c r="H189" s="489" t="str">
        <x:v>Informado/corrigido a partir do mapa</x:v>
      </x:c>
      <x:c r="I189" s="503" t="n">
        <x:v>146165</x:v>
      </x:c>
      <x:c r="J189" s="503" t="n">
        <x:v>146165</x:v>
      </x:c>
      <x:c r="K189" s="489" t="str">
        <x:v>Emenda individual (processo seletivo)</x:v>
      </x:c>
      <x:c r="L189" s="489" t="str">
        <x:v>Recurso pago</x:v>
      </x:c>
      <x:c r="M189" s="503" t="n">
        <x:v>146165</x:v>
      </x:c>
      <x:c r="N189" s="503" t="n">
        <x:v>0</x:v>
      </x:c>
      <x:c r="O189" s="503" t="n">
        <x:v>0</x:v>
      </x:c>
      <x:c r="P189" s="503" t="n">
        <x:v>0</x:v>
      </x:c>
      <x:c r="Q189" s="503" t="n">
        <x:v>0</x:v>
      </x:c>
      <x:c r="R189" s="489" t="str"/>
      <x:c r="S189" s="489" t="str">
        <x:v>10502833000104</x:v>
      </x:c>
      <x:c r="T189" s="489" t="str">
        <x:v>CONFIRMADO</x:v>
      </x:c>
      <x:c r="U189" s="489" t="str">
        <x:v>Baixa</x:v>
      </x:c>
      <x:c r="V189" s="489" t="str">
        <x:v>CNPJ candidato na fonte SIGA: 10502833000104</x:v>
      </x:c>
      <x:c r="W189" s="489" t="str">
        <x:v>Valor do grupo fecha com: SIGA pago favorecido</x:v>
      </x:c>
      <x:c r="X189" s="489" t="str"/>
    </x:row>
    <x:row r="190">
      <x:c r="A190" s="502" t="n">
        <x:v>190</x:v>
      </x:c>
      <x:c r="B190" s="502" t="n">
        <x:v>2024</x:v>
      </x:c>
      <x:c r="C190" s="489" t="str">
        <x:v>Novo Hamburgo</x:v>
      </x:c>
      <x:c r="D190" s="489" t="str">
        <x:v>Prefeitura Municipal de Novo Hamburgo</x:v>
      </x:c>
      <x:c r="E190" s="489" t="str">
        <x:v>Prefeitura Municipal</x:v>
      </x:c>
      <x:c r="F190" s="489" t="str">
        <x:v>41160003</x:v>
      </x:c>
      <x:c r="G190" s="489" t="str">
        <x:v>41160003-2024</x:v>
      </x:c>
      <x:c r="H190" s="489" t="str">
        <x:v>Informado/corrigido a partir do mapa</x:v>
      </x:c>
      <x:c r="I190" s="503" t="n">
        <x:v>149552</x:v>
      </x:c>
      <x:c r="J190" s="503" t="n">
        <x:v>149552</x:v>
      </x:c>
      <x:c r="K190" s="489" t="str">
        <x:v>Emenda Individual</x:v>
      </x:c>
      <x:c r="L190" s="489"/>
      <x:c r="M190" s="503" t="n">
        <x:v>149552</x:v>
      </x:c>
      <x:c r="N190" s="503" t="n">
        <x:v>0</x:v>
      </x:c>
      <x:c r="O190" s="503" t="n">
        <x:v>0</x:v>
      </x:c>
      <x:c r="P190" s="503" t="n">
        <x:v>0</x:v>
      </x:c>
      <x:c r="Q190" s="503" t="n">
        <x:v>0</x:v>
      </x:c>
      <x:c r="R190" s="489" t="str"/>
      <x:c r="S190" s="489" t="str">
        <x:v>11416036000177</x:v>
      </x:c>
      <x:c r="T190" s="489" t="str">
        <x:v>CONFIRMADO</x:v>
      </x:c>
      <x:c r="U190" s="489" t="str">
        <x:v>Baixa</x:v>
      </x:c>
      <x:c r="V190" s="489" t="str">
        <x:v>Preencher situação: há pagamento identificado na fonte pública; CNPJ candidato na fonte SIGA: 11416036000177</x:v>
      </x:c>
      <x:c r="W190" s="489" t="str">
        <x:v>Valor do grupo fecha com: SIGA pago favorecido</x:v>
      </x:c>
      <x:c r="X190" s="489" t="str"/>
    </x:row>
    <x:row r="191">
      <x:c r="A191" s="502" t="n">
        <x:v>191</x:v>
      </x:c>
      <x:c r="B191" s="502" t="n">
        <x:v>2020</x:v>
      </x:c>
      <x:c r="C191" s="489" t="str">
        <x:v>Vários municípios</x:v>
      </x:c>
      <x:c r="D191" s="489" t="str">
        <x:v>Brigada Militar</x:v>
      </x:c>
      <x:c r="E191" s="489" t="str">
        <x:v>Unidades da Brigada Militar em Porto Alegre e Região Metropolitana.</x:v>
      </x:c>
      <x:c r="F191" s="489" t="str">
        <x:v>41160011</x:v>
      </x:c>
      <x:c r="G191" s="489" t="str">
        <x:v>41160011-2020</x:v>
      </x:c>
      <x:c r="H191" s="489" t="str">
        <x:v>Informado/corrigido a partir do mapa</x:v>
      </x:c>
      <x:c r="I191" s="503" t="n">
        <x:v>149872</x:v>
      </x:c>
      <x:c r="J191" s="503" t="n">
        <x:v>530717.3200000001</x:v>
      </x:c>
      <x:c r="K191" s="489" t="str">
        <x:v>Emenda individual</x:v>
      </x:c>
      <x:c r="L191" s="489" t="str">
        <x:v>Indicado</x:v>
      </x:c>
      <x:c r="M191" s="503" t="n">
        <x:v>0</x:v>
      </x:c>
      <x:c r="N191" s="503" t="n">
        <x:v>0</x:v>
      </x:c>
      <x:c r="O191" s="503" t="n">
        <x:v>0</x:v>
      </x:c>
      <x:c r="P191" s="503" t="n">
        <x:v>0</x:v>
      </x:c>
      <x:c r="Q191" s="503" t="n">
        <x:v>0</x:v>
      </x:c>
      <x:c r="R191" s="489" t="str"/>
      <x:c r="S191" s="489" t="str"/>
      <x:c r="T191" s="489" t="str">
        <x:v>EMENDA CONFIRMADA; DESTINO NÃO CONFIRMADO</x:v>
      </x:c>
      <x:c r="U191" s="489" t="str">
        <x:v>Média</x:v>
      </x:c>
      <x:c r="V191" s="489" t="str"/>
      <x:c r="W191" s="489" t="str">
        <x:v>Nº existe no SIGA; destinatário específico não foi confirmado nas bases anexas</x:v>
      </x:c>
      <x:c r="X191" s="489" t="str"/>
    </x:row>
    <x:row r="192">
      <x:c r="A192" s="502" t="n">
        <x:v>192</x:v>
      </x:c>
      <x:c r="B192" s="502" t="n">
        <x:v>2020</x:v>
      </x:c>
      <x:c r="C192" s="489" t="str">
        <x:v>Encantado</x:v>
      </x:c>
      <x:c r="D192" s="489" t="str">
        <x:v>Município</x:v>
      </x:c>
      <x:c r="E192" s="489" t="str">
        <x:v>Prefeitura Municipal</x:v>
      </x:c>
      <x:c r="F192" s="489" t="str">
        <x:v>41160009</x:v>
      </x:c>
      <x:c r="G192" s="489" t="str">
        <x:v>41160009-2020</x:v>
      </x:c>
      <x:c r="H192" s="489" t="str">
        <x:v>Informado/corrigido a partir do mapa</x:v>
      </x:c>
      <x:c r="I192" s="503" t="n">
        <x:v>150000</x:v>
      </x:c>
      <x:c r="J192" s="503" t="n">
        <x:v>150000</x:v>
      </x:c>
      <x:c r="K192" s="489" t="str">
        <x:v>Emenda Individual (processo seletivo)</x:v>
      </x:c>
      <x:c r="L192" s="489" t="str">
        <x:v>Recurso pago</x:v>
      </x:c>
      <x:c r="M192" s="503" t="n">
        <x:v>150000</x:v>
      </x:c>
      <x:c r="N192" s="503" t="n">
        <x:v>0</x:v>
      </x:c>
      <x:c r="O192" s="503" t="n">
        <x:v>0</x:v>
      </x:c>
      <x:c r="P192" s="503" t="n">
        <x:v>0</x:v>
      </x:c>
      <x:c r="Q192" s="503" t="n">
        <x:v>0</x:v>
      </x:c>
      <x:c r="R192" s="489" t="str"/>
      <x:c r="S192" s="489" t="str">
        <x:v>12149722000191</x:v>
      </x:c>
      <x:c r="T192" s="489" t="str">
        <x:v>CONFIRMADO</x:v>
      </x:c>
      <x:c r="U192" s="489" t="str">
        <x:v>Baixa</x:v>
      </x:c>
      <x:c r="V192" s="489" t="str">
        <x:v>CNPJ candidato na fonte SIGA: 12149722000191</x:v>
      </x:c>
      <x:c r="W192" s="489" t="str">
        <x:v>Valor do grupo fecha com: SIGA pago favorecido</x:v>
      </x:c>
      <x:c r="X192" s="489" t="str"/>
    </x:row>
    <x:row r="193">
      <x:c r="A193" s="502" t="n">
        <x:v>193</x:v>
      </x:c>
      <x:c r="B193" s="502" t="n">
        <x:v>2020</x:v>
      </x:c>
      <x:c r="C193" s="489" t="str">
        <x:v>Garibaldi</x:v>
      </x:c>
      <x:c r="D193" s="489" t="str">
        <x:v>Município</x:v>
      </x:c>
      <x:c r="E193" s="489" t="str">
        <x:v>Prefeitura Municipal</x:v>
      </x:c>
      <x:c r="F193" s="489" t="str">
        <x:v>41160009</x:v>
      </x:c>
      <x:c r="G193" s="489" t="str">
        <x:v>41160009-2020</x:v>
      </x:c>
      <x:c r="H193" s="489" t="str">
        <x:v>Informado/corrigido a partir do mapa</x:v>
      </x:c>
      <x:c r="I193" s="503" t="n">
        <x:v>150000</x:v>
      </x:c>
      <x:c r="J193" s="503" t="n">
        <x:v>150000</x:v>
      </x:c>
      <x:c r="K193" s="489" t="str">
        <x:v>Emenda Individual (processo seletivo)</x:v>
      </x:c>
      <x:c r="L193" s="489" t="str">
        <x:v>Recurso pago</x:v>
      </x:c>
      <x:c r="M193" s="503" t="n">
        <x:v>150000</x:v>
      </x:c>
      <x:c r="N193" s="503" t="n">
        <x:v>0</x:v>
      </x:c>
      <x:c r="O193" s="503" t="n">
        <x:v>0</x:v>
      </x:c>
      <x:c r="P193" s="503" t="n">
        <x:v>0</x:v>
      </x:c>
      <x:c r="Q193" s="503" t="n">
        <x:v>0</x:v>
      </x:c>
      <x:c r="R193" s="489" t="str"/>
      <x:c r="S193" s="489" t="str">
        <x:v>11427873000100</x:v>
      </x:c>
      <x:c r="T193" s="489" t="str">
        <x:v>CONFIRMADO</x:v>
      </x:c>
      <x:c r="U193" s="489" t="str">
        <x:v>Baixa</x:v>
      </x:c>
      <x:c r="V193" s="489" t="str">
        <x:v>CNPJ candidato na fonte SIGA: 11427873000100</x:v>
      </x:c>
      <x:c r="W193" s="489" t="str">
        <x:v>Valor do grupo fecha com: SIGA pago favorecido</x:v>
      </x:c>
      <x:c r="X193" s="489" t="str"/>
    </x:row>
    <x:row r="194">
      <x:c r="A194" s="502" t="n">
        <x:v>194</x:v>
      </x:c>
      <x:c r="B194" s="502" t="n">
        <x:v>2020</x:v>
      </x:c>
      <x:c r="C194" s="489" t="str">
        <x:v>Guaíba</x:v>
      </x:c>
      <x:c r="D194" s="489" t="str">
        <x:v>Município</x:v>
      </x:c>
      <x:c r="E194" s="489" t="str">
        <x:v>Prefeitura Municipal</x:v>
      </x:c>
      <x:c r="F194" s="489" t="str">
        <x:v>41160009</x:v>
      </x:c>
      <x:c r="G194" s="489" t="str">
        <x:v>41160009-2020</x:v>
      </x:c>
      <x:c r="H194" s="489" t="str">
        <x:v>Informado/corrigido a partir do mapa</x:v>
      </x:c>
      <x:c r="I194" s="503" t="n">
        <x:v>150000</x:v>
      </x:c>
      <x:c r="J194" s="503" t="n">
        <x:v>150000</x:v>
      </x:c>
      <x:c r="K194" s="489" t="str">
        <x:v>Emenda Individual (processo seletivo)</x:v>
      </x:c>
      <x:c r="L194" s="489" t="str">
        <x:v>Recurso pago</x:v>
      </x:c>
      <x:c r="M194" s="503" t="n">
        <x:v>0</x:v>
      </x:c>
      <x:c r="N194" s="503" t="n">
        <x:v>0</x:v>
      </x:c>
      <x:c r="O194" s="503" t="n">
        <x:v>0</x:v>
      </x:c>
      <x:c r="P194" s="503" t="n">
        <x:v>0</x:v>
      </x:c>
      <x:c r="Q194" s="503" t="n">
        <x:v>0</x:v>
      </x:c>
      <x:c r="R194" s="489" t="str"/>
      <x:c r="S194" s="489" t="str"/>
      <x:c r="T194" s="489" t="str">
        <x:v>EMENDA CONFIRMADA; DESTINO NÃO CONFIRMADO</x:v>
      </x:c>
      <x:c r="U194" s="489" t="str">
        <x:v>Média</x:v>
      </x:c>
      <x:c r="V194" s="489" t="str"/>
      <x:c r="W194" s="489" t="str">
        <x:v>Nº existe no SIGA; destinatário específico não foi confirmado nas bases anexas</x:v>
      </x:c>
      <x:c r="X194" s="489" t="str"/>
    </x:row>
    <x:row r="195">
      <x:c r="A195" s="502" t="n">
        <x:v>195</x:v>
      </x:c>
      <x:c r="B195" s="502" t="n">
        <x:v>2020</x:v>
      </x:c>
      <x:c r="C195" s="489" t="str">
        <x:v>Lagoa Vermelha</x:v>
      </x:c>
      <x:c r="D195" s="489" t="str">
        <x:v>Hospital</x:v>
      </x:c>
      <x:c r="E195" s="489" t="str">
        <x:v>Hospital São Paulo de Lagoa Vermelha</x:v>
      </x:c>
      <x:c r="F195" s="489" t="str">
        <x:v>41160009</x:v>
      </x:c>
      <x:c r="G195" s="489" t="str">
        <x:v>41160009-2020</x:v>
      </x:c>
      <x:c r="H195" s="489" t="str">
        <x:v>Informado/corrigido a partir do mapa</x:v>
      </x:c>
      <x:c r="I195" s="503" t="n">
        <x:v>150000</x:v>
      </x:c>
      <x:c r="J195" s="503" t="n">
        <x:v>150000</x:v>
      </x:c>
      <x:c r="K195" s="489" t="str">
        <x:v>Emenda Individual (processo seletivo)</x:v>
      </x:c>
      <x:c r="L195" s="489" t="str">
        <x:v>Recurso pago</x:v>
      </x:c>
      <x:c r="M195" s="503" t="n">
        <x:v>0</x:v>
      </x:c>
      <x:c r="N195" s="503" t="n">
        <x:v>0</x:v>
      </x:c>
      <x:c r="O195" s="503" t="n">
        <x:v>0</x:v>
      </x:c>
      <x:c r="P195" s="503" t="n">
        <x:v>0</x:v>
      </x:c>
      <x:c r="Q195" s="503" t="n">
        <x:v>0</x:v>
      </x:c>
      <x:c r="R195" s="489" t="str"/>
      <x:c r="S195" s="489" t="str"/>
      <x:c r="T195" s="489" t="str">
        <x:v>EMENDA CONFIRMADA; DESTINO NÃO CONFIRMADO</x:v>
      </x:c>
      <x:c r="U195" s="489" t="str">
        <x:v>Média</x:v>
      </x:c>
      <x:c r="V195" s="489" t="str"/>
      <x:c r="W195" s="489" t="str">
        <x:v>Nº existe no SIGA; destinatário específico não foi confirmado nas bases anexas</x:v>
      </x:c>
      <x:c r="X195" s="489" t="str"/>
    </x:row>
    <x:row r="196">
      <x:c r="A196" s="502" t="n">
        <x:v>196</x:v>
      </x:c>
      <x:c r="B196" s="502" t="n">
        <x:v>2020</x:v>
      </x:c>
      <x:c r="C196" s="489" t="str">
        <x:v>Santa Rosa</x:v>
      </x:c>
      <x:c r="D196" s="489" t="str">
        <x:v>Município</x:v>
      </x:c>
      <x:c r="E196" s="489" t="str">
        <x:v>Prefeitura Municipal</x:v>
      </x:c>
      <x:c r="F196" s="489" t="str">
        <x:v>41160009</x:v>
      </x:c>
      <x:c r="G196" s="489" t="str">
        <x:v>41160009-2020</x:v>
      </x:c>
      <x:c r="H196" s="489" t="str">
        <x:v>Informado/corrigido a partir do mapa</x:v>
      </x:c>
      <x:c r="I196" s="503" t="n">
        <x:v>150000</x:v>
      </x:c>
      <x:c r="J196" s="503" t="n">
        <x:v>150000</x:v>
      </x:c>
      <x:c r="K196" s="489" t="str">
        <x:v>Emenda Individual (processo seletivo)</x:v>
      </x:c>
      <x:c r="L196" s="489" t="str">
        <x:v>Recurso pago</x:v>
      </x:c>
      <x:c r="M196" s="503" t="n">
        <x:v>150000</x:v>
      </x:c>
      <x:c r="N196" s="503" t="n">
        <x:v>0</x:v>
      </x:c>
      <x:c r="O196" s="503" t="n">
        <x:v>0</x:v>
      </x:c>
      <x:c r="P196" s="503" t="n">
        <x:v>0</x:v>
      </x:c>
      <x:c r="Q196" s="503" t="n">
        <x:v>0</x:v>
      </x:c>
      <x:c r="R196" s="489" t="str"/>
      <x:c r="S196" s="489" t="str">
        <x:v>11861362000193</x:v>
      </x:c>
      <x:c r="T196" s="489" t="str">
        <x:v>CONFIRMADO</x:v>
      </x:c>
      <x:c r="U196" s="489" t="str">
        <x:v>Baixa</x:v>
      </x:c>
      <x:c r="V196" s="489" t="str">
        <x:v>CNPJ candidato na fonte SIGA: 11861362000193</x:v>
      </x:c>
      <x:c r="W196" s="489" t="str">
        <x:v>Valor do grupo fecha com: SIGA pago favorecido</x:v>
      </x:c>
      <x:c r="X196" s="489" t="str"/>
    </x:row>
    <x:row r="197">
      <x:c r="A197" s="502" t="n">
        <x:v>197</x:v>
      </x:c>
      <x:c r="B197" s="502" t="n">
        <x:v>2022</x:v>
      </x:c>
      <x:c r="C197" s="489" t="str">
        <x:v>Pelotas</x:v>
      </x:c>
      <x:c r="D197" s="489" t="str">
        <x:v>Hospital</x:v>
      </x:c>
      <x:c r="E197" s="489" t="str">
        <x:v>Santa Casa De Misericórdia de Pelotas</x:v>
      </x:c>
      <x:c r="F197" s="489" t="str">
        <x:v>41160003</x:v>
      </x:c>
      <x:c r="G197" s="489" t="str">
        <x:v>41160003-2022</x:v>
      </x:c>
      <x:c r="H197" s="489" t="str">
        <x:v>Informado/corrigido a partir do mapa</x:v>
      </x:c>
      <x:c r="I197" s="503" t="n">
        <x:v>150000</x:v>
      </x:c>
      <x:c r="J197" s="503" t="n">
        <x:v>150000</x:v>
      </x:c>
      <x:c r="K197" s="489" t="str">
        <x:v>Emenda Individual </x:v>
      </x:c>
      <x:c r="L197" s="489" t="str">
        <x:v>Recurso pago</x:v>
      </x:c>
      <x:c r="M197" s="503" t="n">
        <x:v>81920.2</x:v>
      </x:c>
      <x:c r="N197" s="503" t="n">
        <x:v>149430</x:v>
      </x:c>
      <x:c r="O197" s="503" t="n">
        <x:v>81920.2</x:v>
      </x:c>
      <x:c r="P197" s="503" t="n">
        <x:v>0</x:v>
      </x:c>
      <x:c r="Q197" s="503" t="n">
        <x:v>0</x:v>
      </x:c>
      <x:c r="R197" s="489" t="str"/>
      <x:c r="S197" s="489" t="str">
        <x:v>92219559000125</x:v>
      </x:c>
      <x:c r="T197" s="489" t="str">
        <x:v>VALOR DIVERGENTE / COBERTURA DIFERENTE</x:v>
      </x:c>
      <x:c r="U197" s="489" t="str">
        <x:v>Alta</x:v>
      </x:c>
      <x:c r="V197" s="489" t="str">
        <x:v>CNPJ candidato na fonte SIGA: 92219559000125</x:v>
      </x:c>
      <x:c r="W197" s="489" t="str">
        <x:v>Município/localidade encontrado em fonte comparável, mas valor não fecha exatamente</x:v>
      </x:c>
      <x:c r="X197" s="489" t="str">
        <x:v>https://discricionarias.transferegov.sistema.gov.br/voluntarias/ConsultarProposta/ResultadoDaConsultaDeConvenioSelecionarConvenio.do?sequencialConvenio=935298&amp;Usr=guest&amp;Pwd=guest</x:v>
      </x:c>
    </x:row>
    <x:row r="198">
      <x:c r="A198" s="502" t="n">
        <x:v>198</x:v>
      </x:c>
      <x:c r="B198" s="502" t="n">
        <x:v>2022</x:v>
      </x:c>
      <x:c r="C198" s="489" t="str">
        <x:v>Portão</x:v>
      </x:c>
      <x:c r="D198" s="489" t="str">
        <x:v>Hospital</x:v>
      </x:c>
      <x:c r="E198" s="489" t="str">
        <x:v>Hospital de Portão</x:v>
      </x:c>
      <x:c r="F198" s="489" t="str">
        <x:v>7120004</x:v>
      </x:c>
      <x:c r="G198" s="489" t="str">
        <x:v>7120004-2022</x:v>
      </x:c>
      <x:c r="H198" s="489" t="str">
        <x:v>Informado/corrigido a partir do mapa</x:v>
      </x:c>
      <x:c r="I198" s="503" t="n">
        <x:v>150000</x:v>
      </x:c>
      <x:c r="J198" s="503" t="n">
        <x:v>150000</x:v>
      </x:c>
      <x:c r="K198" s="489" t="str">
        <x:v>Emenda de bancada (processo seletivo)</x:v>
      </x:c>
      <x:c r="L198" s="489" t="str">
        <x:v>Recurso pago</x:v>
      </x:c>
      <x:c r="M198" s="503" t="n">
        <x:v>0</x:v>
      </x:c>
      <x:c r="N198" s="503" t="n">
        <x:v>0</x:v>
      </x:c>
      <x:c r="O198" s="503" t="n">
        <x:v>0</x:v>
      </x:c>
      <x:c r="P198" s="503" t="n">
        <x:v>0</x:v>
      </x:c>
      <x:c r="Q198" s="503" t="n">
        <x:v>0</x:v>
      </x:c>
      <x:c r="R198" s="489" t="str"/>
      <x:c r="S198" s="489" t="str"/>
      <x:c r="T198" s="489" t="str">
        <x:v>Nº NÃO LOCALIZADO</x:v>
      </x:c>
      <x:c r="U198" s="489" t="str">
        <x:v>Média</x:v>
      </x:c>
      <x:c r="V198" s="489" t="str"/>
      <x:c r="W198" s="489" t="str"/>
      <x:c r="X198" s="489" t="str"/>
    </x:row>
    <x:row r="199">
      <x:c r="A199" s="502" t="n">
        <x:v>199</x:v>
      </x:c>
      <x:c r="B199" s="502" t="n">
        <x:v>2023</x:v>
      </x:c>
      <x:c r="C199" s="489" t="str">
        <x:v>Morro Redondo</x:v>
      </x:c>
      <x:c r="D199" s="489" t="str">
        <x:v>Hospital</x:v>
      </x:c>
      <x:c r="E199" s="489" t="str">
        <x:v>Hospital Dr. Ernesto Maurício Arndt (Recurso transferido via FMS Morro Redondo - Ação 8581)</x:v>
      </x:c>
      <x:c r="F199" s="489" t="str"/>
      <x:c r="G199" s="489" t="str">
        <x:v>41160007-2023</x:v>
      </x:c>
      <x:c r="H199" s="489" t="str">
        <x:v>Inferido forte (SIGA/PIX)</x:v>
      </x:c>
      <x:c r="I199" s="503" t="n">
        <x:v>150000</x:v>
      </x:c>
      <x:c r="J199" s="503" t="n">
        <x:v>150000</x:v>
      </x:c>
      <x:c r="K199" s="489" t="str">
        <x:v>Emenda Individual</x:v>
      </x:c>
      <x:c r="L199" s="489" t="str">
        <x:v>Recurso pago</x:v>
      </x:c>
      <x:c r="M199" s="503" t="n">
        <x:v>150000</x:v>
      </x:c>
      <x:c r="N199" s="503" t="n">
        <x:v>0</x:v>
      </x:c>
      <x:c r="O199" s="503" t="n">
        <x:v>0</x:v>
      </x:c>
      <x:c r="P199" s="503" t="n">
        <x:v>0</x:v>
      </x:c>
      <x:c r="Q199" s="503" t="n">
        <x:v>0</x:v>
      </x:c>
      <x:c r="R199" s="489" t="str"/>
      <x:c r="S199" s="489" t="str">
        <x:v>12306016000106</x:v>
      </x:c>
      <x:c r="T199" s="489" t="str">
        <x:v>CONFIRMADO</x:v>
      </x:c>
      <x:c r="U199" s="489" t="str">
        <x:v>Baixa</x:v>
      </x:c>
      <x:c r="V199" s="489" t="str">
        <x:v>Preencher nº como 41160007 com marcação de inferência (ano+município+valor exatos em SIGA/PIX); CNPJ candidato na fonte SIGA: 12306016000106</x:v>
      </x:c>
      <x:c r="W199" s="489" t="str">
        <x:v>nº ausente; inferido por coincidência exata de cidade e valor em SIGA favorecido; Valor do grupo fecha com: SIGA pago favorecido</x:v>
      </x:c>
      <x:c r="X199" s="489" t="str"/>
    </x:row>
    <x:row r="200">
      <x:c r="A200" s="502" t="n">
        <x:v>200</x:v>
      </x:c>
      <x:c r="B200" s="502" t="n">
        <x:v>2023</x:v>
      </x:c>
      <x:c r="C200" s="489" t="str">
        <x:v>Teutônia</x:v>
      </x:c>
      <x:c r="D200" s="489" t="str">
        <x:v>Hospital</x:v>
      </x:c>
      <x:c r="E200" s="489" t="str">
        <x:v>Hospital Ouro Branco</x:v>
      </x:c>
      <x:c r="F200" s="489" t="str"/>
      <x:c r="G200" s="489" t="str">
        <x:v>41160002-2023</x:v>
      </x:c>
      <x:c r="H200" s="489" t="str">
        <x:v>Inferido forte (SIGA/PIX)</x:v>
      </x:c>
      <x:c r="I200" s="503" t="n">
        <x:v>150000</x:v>
      </x:c>
      <x:c r="J200" s="503" t="n">
        <x:v>150000</x:v>
      </x:c>
      <x:c r="K200" s="489" t="str">
        <x:v>Emenda Individual</x:v>
      </x:c>
      <x:c r="L200" s="489" t="str">
        <x:v>Recurso pago (via FMS de Teutönia, que repassou ao hospital)</x:v>
      </x:c>
      <x:c r="M200" s="503" t="n">
        <x:v>150000</x:v>
      </x:c>
      <x:c r="N200" s="503" t="n">
        <x:v>0</x:v>
      </x:c>
      <x:c r="O200" s="503" t="n">
        <x:v>0</x:v>
      </x:c>
      <x:c r="P200" s="503" t="n">
        <x:v>0</x:v>
      </x:c>
      <x:c r="Q200" s="503" t="n">
        <x:v>0</x:v>
      </x:c>
      <x:c r="R200" s="489" t="str"/>
      <x:c r="S200" s="489" t="str">
        <x:v>12124074000119</x:v>
      </x:c>
      <x:c r="T200" s="489" t="str">
        <x:v>CONFIRMADO</x:v>
      </x:c>
      <x:c r="U200" s="489" t="str">
        <x:v>Baixa</x:v>
      </x:c>
      <x:c r="V200" s="489" t="str">
        <x:v>Preencher nº como 41160002 com marcação de inferência (ano+município+valor exatos em SIGA/PIX); CNPJ candidato na fonte SIGA: 12124074000119</x:v>
      </x:c>
      <x:c r="W200" s="489" t="str">
        <x:v>nº ausente; inferido por coincidência exata de cidade e valor em SIGA favorecido; Valor do grupo fecha com: SIGA pago favorecido</x:v>
      </x:c>
      <x:c r="X200" s="489" t="str"/>
    </x:row>
    <x:row r="201">
      <x:c r="A201" s="502" t="n">
        <x:v>201</x:v>
      </x:c>
      <x:c r="B201" s="502" t="n">
        <x:v>2023</x:v>
      </x:c>
      <x:c r="C201" s="489" t="str">
        <x:v>Feliz</x:v>
      </x:c>
      <x:c r="D201" s="489" t="str">
        <x:v>Prefeitura</x:v>
      </x:c>
      <x:c r="E201" s="489" t="str">
        <x:v>Prefeitura de Feliz</x:v>
      </x:c>
      <x:c r="F201" s="489" t="str"/>
      <x:c r="G201" s="489" t="str">
        <x:v>41160001-2023</x:v>
      </x:c>
      <x:c r="H201" s="489" t="str">
        <x:v>Inferido forte (SIGA/PIX)</x:v>
      </x:c>
      <x:c r="I201" s="503" t="n">
        <x:v>150000</x:v>
      </x:c>
      <x:c r="J201" s="503" t="n">
        <x:v>150000</x:v>
      </x:c>
      <x:c r="K201" s="489" t="str">
        <x:v>Emenda Individual</x:v>
      </x:c>
      <x:c r="L201" s="489" t="str">
        <x:v>Recurso Pago</x:v>
      </x:c>
      <x:c r="M201" s="503" t="n">
        <x:v>150000</x:v>
      </x:c>
      <x:c r="N201" s="503" t="n">
        <x:v>0</x:v>
      </x:c>
      <x:c r="O201" s="503" t="n">
        <x:v>0</x:v>
      </x:c>
      <x:c r="P201" s="503" t="n">
        <x:v>150000</x:v>
      </x:c>
      <x:c r="Q201" s="503" t="n">
        <x:v>0</x:v>
      </x:c>
      <x:c r="R201" s="489" t="str">
        <x:v>CIENTE</x:v>
      </x:c>
      <x:c r="S201" s="489" t="str">
        <x:v>87838330000139</x:v>
      </x:c>
      <x:c r="T201" s="489" t="str">
        <x:v>CONFIRMADO</x:v>
      </x:c>
      <x:c r="U201" s="489" t="str">
        <x:v>Baixa</x:v>
      </x:c>
      <x:c r="V201" s="489" t="str">
        <x:v>Preencher nº como 41160001 com marcação de inferência (ano+município+valor exatos em SIGA/PIX); CNPJ candidato na fonte SIGA: 87838330000139</x:v>
      </x:c>
      <x:c r="W201" s="489" t="str">
        <x:v>nº ausente; inferido por coincidência exata de cidade e valor em SIGA favorecido, PIX; Valor do grupo fecha com: SIGA pago favorecido, PIX atual</x:v>
      </x:c>
      <x:c r="X201" s="489" t="str">
        <x:v>https://especiais.transferegov.sistema.gov.br/transferencia-especial/plano-acao/detalhe/38361/dados-basicos</x:v>
      </x:c>
    </x:row>
    <x:row r="202">
      <x:c r="A202" s="502" t="n">
        <x:v>202</x:v>
      </x:c>
      <x:c r="B202" s="502" t="n">
        <x:v>2023</x:v>
      </x:c>
      <x:c r="C202" s="489" t="str">
        <x:v>Santa Maria</x:v>
      </x:c>
      <x:c r="D202" s="489" t="str">
        <x:v>APAE</x:v>
      </x:c>
      <x:c r="E202" s="489" t="str">
        <x:v>APAE de Santa Maria</x:v>
      </x:c>
      <x:c r="F202" s="489" t="str"/>
      <x:c r="G202" s="489" t="str"/>
      <x:c r="H202" s="489" t="str">
        <x:v>Sem nº conciliado</x:v>
      </x:c>
      <x:c r="I202" s="503" t="n">
        <x:v>150000</x:v>
      </x:c>
      <x:c r="J202" s="503" t="n">
        <x:v>650000</x:v>
      </x:c>
      <x:c r="K202" s="489" t="str">
        <x:v>Emenda de Bancada</x:v>
      </x:c>
      <x:c r="L202" s="489" t="str">
        <x:v>Recurso pago</x:v>
      </x:c>
      <x:c r="M202" s="503" t="n">
        <x:v>0</x:v>
      </x:c>
      <x:c r="N202" s="503" t="n">
        <x:v>0</x:v>
      </x:c>
      <x:c r="O202" s="503" t="n">
        <x:v>0</x:v>
      </x:c>
      <x:c r="P202" s="503" t="n">
        <x:v>0</x:v>
      </x:c>
      <x:c r="Q202" s="503" t="n">
        <x:v>0</x:v>
      </x:c>
      <x:c r="R202" s="489" t="str"/>
      <x:c r="S202" s="489" t="str"/>
      <x:c r="T202" s="489" t="str">
        <x:v>SEM Nº / NÃO CONCILIADO</x:v>
      </x:c>
      <x:c r="U202" s="489" t="str">
        <x:v>Média</x:v>
      </x:c>
      <x:c r="V202" s="489" t="str"/>
      <x:c r="W202" s="489" t="str"/>
      <x:c r="X202" s="489" t="str"/>
    </x:row>
    <x:row r="203">
      <x:c r="A203" s="502" t="n">
        <x:v>203</x:v>
      </x:c>
      <x:c r="B203" s="502" t="n">
        <x:v>2025</x:v>
      </x:c>
      <x:c r="C203" s="489" t="str">
        <x:v>Nova Prata</x:v>
      </x:c>
      <x:c r="D203" s="489" t="str">
        <x:v>Hospital Sao Joao Batista Nova Prata - Rs</x:v>
      </x:c>
      <x:c r="E203" s="489" t="str">
        <x:v>Hospital Sao Joao Batista Nova Prata - Rs</x:v>
      </x:c>
      <x:c r="F203" s="489" t="str">
        <x:v>41160004</x:v>
      </x:c>
      <x:c r="G203" s="489" t="str">
        <x:v>41160004-2025</x:v>
      </x:c>
      <x:c r="H203" s="489" t="str">
        <x:v>Informado/corrigido a partir do mapa</x:v>
      </x:c>
      <x:c r="I203" s="503" t="n">
        <x:v>150000</x:v>
      </x:c>
      <x:c r="J203" s="503" t="n">
        <x:v>150000</x:v>
      </x:c>
      <x:c r="K203" s="489" t="str">
        <x:v>Emenda Individual</x:v>
      </x:c>
      <x:c r="L203" s="489"/>
      <x:c r="M203" s="503" t="n">
        <x:v>0</x:v>
      </x:c>
      <x:c r="N203" s="503" t="n">
        <x:v>0</x:v>
      </x:c>
      <x:c r="O203" s="503" t="n">
        <x:v>0</x:v>
      </x:c>
      <x:c r="P203" s="503" t="n">
        <x:v>0</x:v>
      </x:c>
      <x:c r="Q203" s="503" t="n">
        <x:v>0</x:v>
      </x:c>
      <x:c r="R203" s="489" t="str"/>
      <x:c r="S203" s="489" t="str"/>
      <x:c r="T203" s="489" t="str">
        <x:v>EMENDA CONFIRMADA; DESTINO NÃO CONFIRMADO</x:v>
      </x:c>
      <x:c r="U203" s="489" t="str">
        <x:v>Média</x:v>
      </x:c>
      <x:c r="V203" s="489" t="str"/>
      <x:c r="W203" s="489" t="str">
        <x:v>Nº existe no SIGA; destinatário específico não foi confirmado nas bases anexas</x:v>
      </x:c>
      <x:c r="X203" s="489" t="str"/>
    </x:row>
    <x:row r="204">
      <x:c r="A204" s="502" t="n">
        <x:v>204</x:v>
      </x:c>
      <x:c r="B204" s="502" t="n">
        <x:v>2025</x:v>
      </x:c>
      <x:c r="C204" s="489" t="str">
        <x:v>Bento Gonçalves</x:v>
      </x:c>
      <x:c r="D204" s="489" t="str">
        <x:v>Fundo Municipal De Saude Bento Gonçalves - Rs</x:v>
      </x:c>
      <x:c r="E204" s="489" t="str">
        <x:v>Prefeitura Municipal</x:v>
      </x:c>
      <x:c r="F204" s="489" t="str">
        <x:v>41160002</x:v>
      </x:c>
      <x:c r="G204" s="489" t="str">
        <x:v>41160002-2025</x:v>
      </x:c>
      <x:c r="H204" s="489" t="str">
        <x:v>Informado/corrigido a partir do mapa</x:v>
      </x:c>
      <x:c r="I204" s="503" t="n">
        <x:v>150000</x:v>
      </x:c>
      <x:c r="J204" s="503" t="n">
        <x:v>858199</x:v>
      </x:c>
      <x:c r="K204" s="489" t="str">
        <x:v>Emenda Individual</x:v>
      </x:c>
      <x:c r="L204" s="489"/>
      <x:c r="M204" s="503" t="n">
        <x:v>150000</x:v>
      </x:c>
      <x:c r="N204" s="503" t="n">
        <x:v>0</x:v>
      </x:c>
      <x:c r="O204" s="503" t="n">
        <x:v>0</x:v>
      </x:c>
      <x:c r="P204" s="503" t="n">
        <x:v>0</x:v>
      </x:c>
      <x:c r="Q204" s="503" t="n">
        <x:v>0</x:v>
      </x:c>
      <x:c r="R204" s="489" t="str"/>
      <x:c r="S204" s="489" t="str">
        <x:v>11436612000148</x:v>
      </x:c>
      <x:c r="T204" s="489" t="str">
        <x:v>VALOR DIVERGENTE / COBERTURA DIFERENTE</x:v>
      </x:c>
      <x:c r="U204" s="489" t="str">
        <x:v>Alta</x:v>
      </x:c>
      <x:c r="V204" s="489" t="str">
        <x:v>Preencher situação: há pagamento identificado na fonte pública</x:v>
      </x:c>
      <x:c r="W204" s="489" t="str">
        <x:v>Município/localidade encontrado em fonte comparável, mas valor não fecha exatamente</x:v>
      </x:c>
      <x:c r="X204" s="489" t="str"/>
    </x:row>
    <x:row r="205">
      <x:c r="A205" s="502" t="n">
        <x:v>205</x:v>
      </x:c>
      <x:c r="B205" s="502" t="n">
        <x:v>2025</x:v>
      </x:c>
      <x:c r="C205" s="489" t="str">
        <x:v>Bagé</x:v>
      </x:c>
      <x:c r="D205" s="489" t="str">
        <x:v>Fundo Municipal De Saude Bagé - Rs</x:v>
      </x:c>
      <x:c r="E205" s="489" t="str">
        <x:v>Prefeitura Municipal</x:v>
      </x:c>
      <x:c r="F205" s="489" t="str">
        <x:v>41160002</x:v>
      </x:c>
      <x:c r="G205" s="489" t="str">
        <x:v>41160002-2025</x:v>
      </x:c>
      <x:c r="H205" s="489" t="str">
        <x:v>Informado/corrigido a partir do mapa</x:v>
      </x:c>
      <x:c r="I205" s="503" t="n">
        <x:v>150000</x:v>
      </x:c>
      <x:c r="J205" s="503" t="n">
        <x:v>150000</x:v>
      </x:c>
      <x:c r="K205" s="489" t="str">
        <x:v>Emenda Individual</x:v>
      </x:c>
      <x:c r="L205" s="489"/>
      <x:c r="M205" s="503" t="n">
        <x:v>150000</x:v>
      </x:c>
      <x:c r="N205" s="503" t="n">
        <x:v>0</x:v>
      </x:c>
      <x:c r="O205" s="503" t="n">
        <x:v>0</x:v>
      </x:c>
      <x:c r="P205" s="503" t="n">
        <x:v>0</x:v>
      </x:c>
      <x:c r="Q205" s="503" t="n">
        <x:v>0</x:v>
      </x:c>
      <x:c r="R205" s="489" t="str"/>
      <x:c r="S205" s="489" t="str">
        <x:v>11821226000170</x:v>
      </x:c>
      <x:c r="T205" s="489" t="str">
        <x:v>CONFIRMADO</x:v>
      </x:c>
      <x:c r="U205" s="489" t="str">
        <x:v>Baixa</x:v>
      </x:c>
      <x:c r="V205" s="489" t="str">
        <x:v>Preencher situação: há pagamento identificado na fonte pública</x:v>
      </x:c>
      <x:c r="W205" s="489" t="str">
        <x:v>Valor do grupo fecha com: SIGA pago favorecido</x:v>
      </x:c>
      <x:c r="X205" s="489" t="str"/>
    </x:row>
    <x:row r="206">
      <x:c r="A206" s="502" t="n">
        <x:v>206</x:v>
      </x:c>
      <x:c r="B206" s="502" t="n">
        <x:v>2025</x:v>
      </x:c>
      <x:c r="C206" s="489" t="str">
        <x:v>Nova Prata</x:v>
      </x:c>
      <x:c r="D206" s="489" t="str">
        <x:v>Fundo Municipal Da Saude Nova Prata - Rs</x:v>
      </x:c>
      <x:c r="E206" s="489" t="str">
        <x:v>Prefeitura Municipal</x:v>
      </x:c>
      <x:c r="F206" s="489" t="str">
        <x:v>41160002</x:v>
      </x:c>
      <x:c r="G206" s="489" t="str">
        <x:v>41160002-2025</x:v>
      </x:c>
      <x:c r="H206" s="489" t="str">
        <x:v>Informado/corrigido a partir do mapa</x:v>
      </x:c>
      <x:c r="I206" s="503" t="n">
        <x:v>150000</x:v>
      </x:c>
      <x:c r="J206" s="503" t="n">
        <x:v>150000</x:v>
      </x:c>
      <x:c r="K206" s="489" t="str">
        <x:v>Emenda Individual</x:v>
      </x:c>
      <x:c r="L206" s="489"/>
      <x:c r="M206" s="503" t="n">
        <x:v>150000</x:v>
      </x:c>
      <x:c r="N206" s="503" t="n">
        <x:v>0</x:v>
      </x:c>
      <x:c r="O206" s="503" t="n">
        <x:v>0</x:v>
      </x:c>
      <x:c r="P206" s="503" t="n">
        <x:v>0</x:v>
      </x:c>
      <x:c r="Q206" s="503" t="n">
        <x:v>0</x:v>
      </x:c>
      <x:c r="R206" s="489" t="str"/>
      <x:c r="S206" s="489" t="str">
        <x:v>11840490000150</x:v>
      </x:c>
      <x:c r="T206" s="489" t="str">
        <x:v>CONFIRMADO</x:v>
      </x:c>
      <x:c r="U206" s="489" t="str">
        <x:v>Baixa</x:v>
      </x:c>
      <x:c r="V206" s="489" t="str">
        <x:v>Preencher situação: há pagamento identificado na fonte pública</x:v>
      </x:c>
      <x:c r="W206" s="489" t="str">
        <x:v>Valor do grupo fecha com: SIGA pago favorecido</x:v>
      </x:c>
      <x:c r="X206" s="489" t="str"/>
    </x:row>
    <x:row r="207">
      <x:c r="A207" s="502" t="n">
        <x:v>207</x:v>
      </x:c>
      <x:c r="B207" s="502" t="n">
        <x:v>2026</x:v>
      </x:c>
      <x:c r="C207" s="489" t="str">
        <x:v>Ubiretama</x:v>
      </x:c>
      <x:c r="D207" s="489" t="str">
        <x:v>Município de Ubiretama - RS</x:v>
      </x:c>
      <x:c r="E207" s="489" t="str">
        <x:v>Município de Ubiretama</x:v>
      </x:c>
      <x:c r="F207" s="489" t="str">
        <x:v>41160005</x:v>
      </x:c>
      <x:c r="G207" s="489" t="str">
        <x:v>41160005-2026</x:v>
      </x:c>
      <x:c r="H207" s="489" t="str">
        <x:v>Informado/corrigido a partir do mapa</x:v>
      </x:c>
      <x:c r="I207" s="503" t="n">
        <x:v>150000</x:v>
      </x:c>
      <x:c r="J207" s="503" t="n">
        <x:v>150000</x:v>
      </x:c>
      <x:c r="K207" s="489" t="str">
        <x:v>Emenda individual</x:v>
      </x:c>
      <x:c r="L207" s="489"/>
      <x:c r="M207" s="503" t="n">
        <x:v>0</x:v>
      </x:c>
      <x:c r="N207" s="503" t="n">
        <x:v>0</x:v>
      </x:c>
      <x:c r="O207" s="503" t="n">
        <x:v>0</x:v>
      </x:c>
      <x:c r="P207" s="503" t="n">
        <x:v>0</x:v>
      </x:c>
      <x:c r="Q207" s="503" t="n">
        <x:v>0</x:v>
      </x:c>
      <x:c r="R207" s="489" t="str"/>
      <x:c r="S207" s="489" t="str"/>
      <x:c r="T207" s="489" t="str">
        <x:v>EMENDA CONFIRMADA; DESTINO NÃO CONFIRMADO</x:v>
      </x:c>
      <x:c r="U207" s="489" t="str">
        <x:v>Média</x:v>
      </x:c>
      <x:c r="V207" s="489" t="str"/>
      <x:c r="W207" s="489" t="str">
        <x:v>Nº existe no SIGA; destinatário específico não foi confirmado nas bases anexas</x:v>
      </x:c>
      <x:c r="X207" s="489" t="str"/>
    </x:row>
    <x:row r="208">
      <x:c r="A208" s="502" t="n">
        <x:v>208</x:v>
      </x:c>
      <x:c r="B208" s="502" t="n">
        <x:v>2026</x:v>
      </x:c>
      <x:c r="C208" s="489" t="str">
        <x:v>Porto Mauá</x:v>
      </x:c>
      <x:c r="D208" s="489" t="str">
        <x:v>Fundo Municipal de Saúde de Porto Mauá - RS</x:v>
      </x:c>
      <x:c r="E208" s="489" t="str">
        <x:v>Município de Porto Mauá</x:v>
      </x:c>
      <x:c r="F208" s="489" t="str">
        <x:v>41160005</x:v>
      </x:c>
      <x:c r="G208" s="489" t="str">
        <x:v>41160005-2026</x:v>
      </x:c>
      <x:c r="H208" s="489" t="str">
        <x:v>Informado/corrigido a partir do mapa</x:v>
      </x:c>
      <x:c r="I208" s="503" t="n">
        <x:v>150000</x:v>
      </x:c>
      <x:c r="J208" s="503" t="n">
        <x:v>150000</x:v>
      </x:c>
      <x:c r="K208" s="489" t="str">
        <x:v>Emenda individual</x:v>
      </x:c>
      <x:c r="L208" s="489"/>
      <x:c r="M208" s="503" t="n">
        <x:v>0</x:v>
      </x:c>
      <x:c r="N208" s="503" t="n">
        <x:v>0</x:v>
      </x:c>
      <x:c r="O208" s="503" t="n">
        <x:v>0</x:v>
      </x:c>
      <x:c r="P208" s="503" t="n">
        <x:v>0</x:v>
      </x:c>
      <x:c r="Q208" s="503" t="n">
        <x:v>0</x:v>
      </x:c>
      <x:c r="R208" s="489" t="str"/>
      <x:c r="S208" s="489" t="str"/>
      <x:c r="T208" s="489" t="str">
        <x:v>EMENDA CONFIRMADA; DESTINO NÃO CONFIRMADO</x:v>
      </x:c>
      <x:c r="U208" s="489" t="str">
        <x:v>Média</x:v>
      </x:c>
      <x:c r="V208" s="489" t="str"/>
      <x:c r="W208" s="489" t="str">
        <x:v>Nº existe no SIGA; destinatário específico não foi confirmado nas bases anexas</x:v>
      </x:c>
      <x:c r="X208" s="489" t="str"/>
    </x:row>
    <x:row r="209">
      <x:c r="A209" s="502" t="n">
        <x:v>209</x:v>
      </x:c>
      <x:c r="B209" s="502" t="n">
        <x:v>2026</x:v>
      </x:c>
      <x:c r="C209" s="489" t="str">
        <x:v>Três Forquilhas</x:v>
      </x:c>
      <x:c r="D209" s="489" t="str">
        <x:v>Fundo Municipal de Saúde de Três Forquilhas - RS</x:v>
      </x:c>
      <x:c r="E209" s="489" t="str">
        <x:v>Município de Três Forquilhas</x:v>
      </x:c>
      <x:c r="F209" s="489" t="str">
        <x:v>41160005</x:v>
      </x:c>
      <x:c r="G209" s="489" t="str">
        <x:v>41160005-2026</x:v>
      </x:c>
      <x:c r="H209" s="489" t="str">
        <x:v>Informado/corrigido a partir do mapa</x:v>
      </x:c>
      <x:c r="I209" s="503" t="n">
        <x:v>150000</x:v>
      </x:c>
      <x:c r="J209" s="503" t="n">
        <x:v>150000</x:v>
      </x:c>
      <x:c r="K209" s="489" t="str">
        <x:v>Emenda individual</x:v>
      </x:c>
      <x:c r="L209" s="489"/>
      <x:c r="M209" s="503" t="n">
        <x:v>150000</x:v>
      </x:c>
      <x:c r="N209" s="503" t="n">
        <x:v>0</x:v>
      </x:c>
      <x:c r="O209" s="503" t="n">
        <x:v>0</x:v>
      </x:c>
      <x:c r="P209" s="503" t="n">
        <x:v>0</x:v>
      </x:c>
      <x:c r="Q209" s="503" t="n">
        <x:v>0</x:v>
      </x:c>
      <x:c r="R209" s="489" t="str"/>
      <x:c r="S209" s="489" t="str">
        <x:v>11943264000103</x:v>
      </x:c>
      <x:c r="T209" s="489" t="str">
        <x:v>CONFIRMADO</x:v>
      </x:c>
      <x:c r="U209" s="489" t="str">
        <x:v>Baixa</x:v>
      </x:c>
      <x:c r="V209" s="489" t="str">
        <x:v>Preencher situação: há pagamento identificado na fonte pública</x:v>
      </x:c>
      <x:c r="W209" s="489" t="str">
        <x:v>Valor do grupo fecha com: SIGA pago favorecido</x:v>
      </x:c>
      <x:c r="X209" s="489" t="str"/>
    </x:row>
    <x:row r="210">
      <x:c r="A210" s="502" t="n">
        <x:v>210</x:v>
      </x:c>
      <x:c r="B210" s="502" t="n">
        <x:v>2026</x:v>
      </x:c>
      <x:c r="C210" s="489" t="str">
        <x:v>Entre-Ijuís</x:v>
      </x:c>
      <x:c r="D210" s="489" t="str">
        <x:v>Fundo Municipal de Saúde de Entre-Ijuís - RS</x:v>
      </x:c>
      <x:c r="E210" s="489" t="str">
        <x:v>Município de Entre-Ijuís</x:v>
      </x:c>
      <x:c r="F210" s="489" t="str">
        <x:v>41160005</x:v>
      </x:c>
      <x:c r="G210" s="489" t="str">
        <x:v>41160005-2026</x:v>
      </x:c>
      <x:c r="H210" s="489" t="str">
        <x:v>Informado/corrigido a partir do mapa</x:v>
      </x:c>
      <x:c r="I210" s="503" t="n">
        <x:v>150000</x:v>
      </x:c>
      <x:c r="J210" s="503" t="n">
        <x:v>150000</x:v>
      </x:c>
      <x:c r="K210" s="489" t="str">
        <x:v>Emenda individual</x:v>
      </x:c>
      <x:c r="L210" s="489"/>
      <x:c r="M210" s="503" t="n">
        <x:v>150000</x:v>
      </x:c>
      <x:c r="N210" s="503" t="n">
        <x:v>0</x:v>
      </x:c>
      <x:c r="O210" s="503" t="n">
        <x:v>0</x:v>
      </x:c>
      <x:c r="P210" s="503" t="n">
        <x:v>0</x:v>
      </x:c>
      <x:c r="Q210" s="503" t="n">
        <x:v>0</x:v>
      </x:c>
      <x:c r="R210" s="489" t="str"/>
      <x:c r="S210" s="489" t="str">
        <x:v>10456115000149</x:v>
      </x:c>
      <x:c r="T210" s="489" t="str">
        <x:v>CONFIRMADO</x:v>
      </x:c>
      <x:c r="U210" s="489" t="str">
        <x:v>Baixa</x:v>
      </x:c>
      <x:c r="V210" s="489" t="str">
        <x:v>Preencher situação: há pagamento identificado na fonte pública</x:v>
      </x:c>
      <x:c r="W210" s="489" t="str">
        <x:v>Valor do grupo fecha com: SIGA pago favorecido</x:v>
      </x:c>
      <x:c r="X210" s="489" t="str"/>
    </x:row>
    <x:row r="211">
      <x:c r="A211" s="502" t="n">
        <x:v>211</x:v>
      </x:c>
      <x:c r="B211" s="502" t="n">
        <x:v>2026</x:v>
      </x:c>
      <x:c r="C211" s="489" t="str">
        <x:v>Alegria</x:v>
      </x:c>
      <x:c r="D211" s="489" t="str">
        <x:v>Fundo Municipal de Saúde de Alegria - RS</x:v>
      </x:c>
      <x:c r="E211" s="489"/>
      <x:c r="F211" s="489" t="str">
        <x:v>41160005</x:v>
      </x:c>
      <x:c r="G211" s="489" t="str">
        <x:v>41160005-2026</x:v>
      </x:c>
      <x:c r="H211" s="489" t="str">
        <x:v>Informado/corrigido a partir do mapa</x:v>
      </x:c>
      <x:c r="I211" s="503" t="n">
        <x:v>150000</x:v>
      </x:c>
      <x:c r="J211" s="503" t="n">
        <x:v>150000</x:v>
      </x:c>
      <x:c r="K211" s="489" t="str">
        <x:v>Emenda individual</x:v>
      </x:c>
      <x:c r="L211" s="489"/>
      <x:c r="M211" s="503" t="n">
        <x:v>150000</x:v>
      </x:c>
      <x:c r="N211" s="503" t="n">
        <x:v>0</x:v>
      </x:c>
      <x:c r="O211" s="503" t="n">
        <x:v>0</x:v>
      </x:c>
      <x:c r="P211" s="503" t="n">
        <x:v>0</x:v>
      </x:c>
      <x:c r="Q211" s="503" t="n">
        <x:v>0</x:v>
      </x:c>
      <x:c r="R211" s="489" t="str"/>
      <x:c r="S211" s="489" t="str">
        <x:v>11734587000189</x:v>
      </x:c>
      <x:c r="T211" s="489" t="str">
        <x:v>CONFIRMADO</x:v>
      </x:c>
      <x:c r="U211" s="489" t="str">
        <x:v>Baixa</x:v>
      </x:c>
      <x:c r="V211" s="489" t="str">
        <x:v>Preencher situação: há pagamento identificado na fonte pública</x:v>
      </x:c>
      <x:c r="W211" s="489" t="str">
        <x:v>Valor do grupo fecha com: SIGA pago favorecido</x:v>
      </x:c>
      <x:c r="X211" s="489" t="str"/>
    </x:row>
    <x:row r="212">
      <x:c r="A212" s="502" t="n">
        <x:v>212</x:v>
      </x:c>
      <x:c r="B212" s="502" t="n">
        <x:v>2026</x:v>
      </x:c>
      <x:c r="C212" s="489" t="str">
        <x:v>Nova Bassano</x:v>
      </x:c>
      <x:c r="D212" s="489" t="str">
        <x:v>Município de Nova Bassano - RS</x:v>
      </x:c>
      <x:c r="E212" s="489"/>
      <x:c r="F212" s="489" t="str">
        <x:v>41160005</x:v>
      </x:c>
      <x:c r="G212" s="489" t="str">
        <x:v>41160005-2026</x:v>
      </x:c>
      <x:c r="H212" s="489" t="str">
        <x:v>Informado/corrigido a partir do mapa</x:v>
      </x:c>
      <x:c r="I212" s="503" t="n">
        <x:v>150000</x:v>
      </x:c>
      <x:c r="J212" s="503" t="n">
        <x:v>150000</x:v>
      </x:c>
      <x:c r="K212" s="489" t="str">
        <x:v>Emenda individual</x:v>
      </x:c>
      <x:c r="L212" s="489"/>
      <x:c r="M212" s="503" t="n">
        <x:v>0</x:v>
      </x:c>
      <x:c r="N212" s="503" t="n">
        <x:v>0</x:v>
      </x:c>
      <x:c r="O212" s="503" t="n">
        <x:v>0</x:v>
      </x:c>
      <x:c r="P212" s="503" t="n">
        <x:v>0</x:v>
      </x:c>
      <x:c r="Q212" s="503" t="n">
        <x:v>0</x:v>
      </x:c>
      <x:c r="R212" s="489" t="str"/>
      <x:c r="S212" s="489" t="str"/>
      <x:c r="T212" s="489" t="str">
        <x:v>EMENDA CONFIRMADA; DESTINO NÃO CONFIRMADO</x:v>
      </x:c>
      <x:c r="U212" s="489" t="str">
        <x:v>Média</x:v>
      </x:c>
      <x:c r="V212" s="489" t="str"/>
      <x:c r="W212" s="489" t="str">
        <x:v>Nº existe no SIGA; destinatário específico não foi confirmado nas bases anexas</x:v>
      </x:c>
      <x:c r="X212" s="489" t="str"/>
    </x:row>
    <x:row r="213">
      <x:c r="A213" s="502" t="n">
        <x:v>213</x:v>
      </x:c>
      <x:c r="B213" s="502" t="n">
        <x:v>2026</x:v>
      </x:c>
      <x:c r="C213" s="489" t="str">
        <x:v>Quinze de Novembro</x:v>
      </x:c>
      <x:c r="D213" s="489" t="str">
        <x:v>Município de Quinze de Novembro - RS</x:v>
      </x:c>
      <x:c r="E213" s="489"/>
      <x:c r="F213" s="489" t="str">
        <x:v>41160005</x:v>
      </x:c>
      <x:c r="G213" s="489" t="str">
        <x:v>41160005-2026</x:v>
      </x:c>
      <x:c r="H213" s="489" t="str">
        <x:v>Informado/corrigido a partir do mapa</x:v>
      </x:c>
      <x:c r="I213" s="503" t="n">
        <x:v>150000</x:v>
      </x:c>
      <x:c r="J213" s="503" t="n">
        <x:v>150000</x:v>
      </x:c>
      <x:c r="K213" s="489" t="str">
        <x:v>Emenda individual</x:v>
      </x:c>
      <x:c r="L213" s="489"/>
      <x:c r="M213" s="503" t="n">
        <x:v>0</x:v>
      </x:c>
      <x:c r="N213" s="503" t="n">
        <x:v>0</x:v>
      </x:c>
      <x:c r="O213" s="503" t="n">
        <x:v>0</x:v>
      </x:c>
      <x:c r="P213" s="503" t="n">
        <x:v>0</x:v>
      </x:c>
      <x:c r="Q213" s="503" t="n">
        <x:v>0</x:v>
      </x:c>
      <x:c r="R213" s="489" t="str"/>
      <x:c r="S213" s="489" t="str"/>
      <x:c r="T213" s="489" t="str">
        <x:v>EMENDA CONFIRMADA; DESTINO NÃO CONFIRMADO</x:v>
      </x:c>
      <x:c r="U213" s="489" t="str">
        <x:v>Média</x:v>
      </x:c>
      <x:c r="V213" s="489" t="str"/>
      <x:c r="W213" s="489" t="str">
        <x:v>Nº existe no SIGA; destinatário específico não foi confirmado nas bases anexas</x:v>
      </x:c>
      <x:c r="X213" s="489" t="str"/>
    </x:row>
    <x:row r="214">
      <x:c r="A214" s="502" t="n">
        <x:v>214</x:v>
      </x:c>
      <x:c r="B214" s="502" t="n">
        <x:v>2026</x:v>
      </x:c>
      <x:c r="C214" s="489" t="str">
        <x:v>Vale Real</x:v>
      </x:c>
      <x:c r="D214" s="489" t="str">
        <x:v>Fundo Municipal de Saúde de Vale Real - RS</x:v>
      </x:c>
      <x:c r="E214" s="489"/>
      <x:c r="F214" s="489" t="str">
        <x:v>41160005</x:v>
      </x:c>
      <x:c r="G214" s="489" t="str">
        <x:v>41160005-2026</x:v>
      </x:c>
      <x:c r="H214" s="489" t="str">
        <x:v>Informado/corrigido a partir do mapa</x:v>
      </x:c>
      <x:c r="I214" s="503" t="n">
        <x:v>150000</x:v>
      </x:c>
      <x:c r="J214" s="503" t="n">
        <x:v>150000</x:v>
      </x:c>
      <x:c r="K214" s="489" t="str">
        <x:v>Emenda individual</x:v>
      </x:c>
      <x:c r="L214" s="489"/>
      <x:c r="M214" s="503" t="n">
        <x:v>150000</x:v>
      </x:c>
      <x:c r="N214" s="503" t="n">
        <x:v>0</x:v>
      </x:c>
      <x:c r="O214" s="503" t="n">
        <x:v>0</x:v>
      </x:c>
      <x:c r="P214" s="503" t="n">
        <x:v>0</x:v>
      </x:c>
      <x:c r="Q214" s="503" t="n">
        <x:v>0</x:v>
      </x:c>
      <x:c r="R214" s="489" t="str"/>
      <x:c r="S214" s="489" t="str">
        <x:v>13245103000163</x:v>
      </x:c>
      <x:c r="T214" s="489" t="str">
        <x:v>CONFIRMADO</x:v>
      </x:c>
      <x:c r="U214" s="489" t="str">
        <x:v>Baixa</x:v>
      </x:c>
      <x:c r="V214" s="489" t="str">
        <x:v>Preencher situação: há pagamento identificado na fonte pública</x:v>
      </x:c>
      <x:c r="W214" s="489" t="str">
        <x:v>Valor do grupo fecha com: SIGA pago favorecido</x:v>
      </x:c>
      <x:c r="X214" s="489" t="str"/>
    </x:row>
    <x:row r="215">
      <x:c r="A215" s="502" t="n">
        <x:v>215</x:v>
      </x:c>
      <x:c r="B215" s="502" t="n">
        <x:v>2025</x:v>
      </x:c>
      <x:c r="C215" s="489" t="str">
        <x:v>Senador Salgado Filho</x:v>
      </x:c>
      <x:c r="D215" s="489" t="str">
        <x:v>Fundo Municipal De Saude De Senador Salgado Filho Senador Salgado Filho - Rs</x:v>
      </x:c>
      <x:c r="E215" s="489" t="str">
        <x:v>Prefeitura Municipal</x:v>
      </x:c>
      <x:c r="F215" s="489" t="str">
        <x:v>41160001</x:v>
      </x:c>
      <x:c r="G215" s="489" t="str">
        <x:v>41160001-2025</x:v>
      </x:c>
      <x:c r="H215" s="489" t="str">
        <x:v>Informado/corrigido a partir do mapa</x:v>
      </x:c>
      <x:c r="I215" s="503" t="n">
        <x:v>151050</x:v>
      </x:c>
      <x:c r="J215" s="503" t="n">
        <x:v>151050</x:v>
      </x:c>
      <x:c r="K215" s="489" t="str">
        <x:v>Emenda Individual</x:v>
      </x:c>
      <x:c r="L215" s="489"/>
      <x:c r="M215" s="503" t="n">
        <x:v>154339</x:v>
      </x:c>
      <x:c r="N215" s="503" t="n">
        <x:v>0</x:v>
      </x:c>
      <x:c r="O215" s="503" t="n">
        <x:v>0</x:v>
      </x:c>
      <x:c r="P215" s="503" t="n">
        <x:v>0</x:v>
      </x:c>
      <x:c r="Q215" s="503" t="n">
        <x:v>0</x:v>
      </x:c>
      <x:c r="R215" s="489" t="str"/>
      <x:c r="S215" s="489" t="str">
        <x:v>11880389000123</x:v>
      </x:c>
      <x:c r="T215" s="489" t="str">
        <x:v>VALOR DIVERGENTE / COBERTURA DIFERENTE</x:v>
      </x:c>
      <x:c r="U215" s="489" t="str">
        <x:v>Média</x:v>
      </x:c>
      <x:c r="V215" s="489" t="str">
        <x:v>Preencher situação: há pagamento identificado na fonte pública</x:v>
      </x:c>
      <x:c r="W215" s="489" t="str">
        <x:v>Município/localidade encontrado em fonte comparável, mas valor não fecha exatamente</x:v>
      </x:c>
      <x:c r="X215" s="489" t="str"/>
    </x:row>
    <x:row r="216">
      <x:c r="A216" s="502" t="n">
        <x:v>216</x:v>
      </x:c>
      <x:c r="B216" s="502" t="n">
        <x:v>2023</x:v>
      </x:c>
      <x:c r="C216" s="489" t="str">
        <x:v>Riozinho</x:v>
      </x:c>
      <x:c r="D216" s="489" t="str">
        <x:v>Prefeitura</x:v>
      </x:c>
      <x:c r="E216" s="489" t="str">
        <x:v>Prefeitura de Riozinho</x:v>
      </x:c>
      <x:c r="F216" s="489" t="str"/>
      <x:c r="G216" s="489" t="str">
        <x:v>41160007-2023</x:v>
      </x:c>
      <x:c r="H216" s="489" t="str">
        <x:v>Inferido forte (SIGA/PIX)</x:v>
      </x:c>
      <x:c r="I216" s="503" t="n">
        <x:v>152600</x:v>
      </x:c>
      <x:c r="J216" s="503" t="n">
        <x:v>152600</x:v>
      </x:c>
      <x:c r="K216" s="489" t="str">
        <x:v>Emenda Individual</x:v>
      </x:c>
      <x:c r="L216" s="489" t="str">
        <x:v>Empenhado</x:v>
      </x:c>
      <x:c r="M216" s="503" t="n">
        <x:v>152600</x:v>
      </x:c>
      <x:c r="N216" s="503" t="n">
        <x:v>0</x:v>
      </x:c>
      <x:c r="O216" s="503" t="n">
        <x:v>0</x:v>
      </x:c>
      <x:c r="P216" s="503" t="n">
        <x:v>0</x:v>
      </x:c>
      <x:c r="Q216" s="503" t="n">
        <x:v>0</x:v>
      </x:c>
      <x:c r="R216" s="489" t="str"/>
      <x:c r="S216" s="489" t="str">
        <x:v>11868258000120</x:v>
      </x:c>
      <x:c r="T216" s="489" t="str">
        <x:v>CONFIRMADO</x:v>
      </x:c>
      <x:c r="U216" s="489" t="str">
        <x:v>Baixa</x:v>
      </x:c>
      <x:c r="V216" s="489" t="str">
        <x:v>Preencher nº como 41160007 com marcação de inferência (ano+município+valor exatos em SIGA/PIX); Situação possivelmente desatualizada: SIGA/execução regionalizada mostra pagamento; CNPJ candidato na fonte SIGA: 11868258000120</x:v>
      </x:c>
      <x:c r="W216" s="489" t="str">
        <x:v>nº ausente; inferido por coincidência exata de cidade e valor em SIGA favorecido; Valor do grupo fecha com: SIGA pago favorecido</x:v>
      </x:c>
      <x:c r="X216" s="489" t="str"/>
    </x:row>
    <x:row r="217">
      <x:c r="A217" s="502" t="n">
        <x:v>217</x:v>
      </x:c>
      <x:c r="B217" s="502" t="n">
        <x:v>2025</x:v>
      </x:c>
      <x:c r="C217" s="489" t="str">
        <x:v>São Valentim</x:v>
      </x:c>
      <x:c r="D217" s="489" t="str">
        <x:v>Fundo Municipal De Saude - Sao Valentim São Valentim - Rs</x:v>
      </x:c>
      <x:c r="E217" s="489" t="str">
        <x:v>Prefeitura Municipal</x:v>
      </x:c>
      <x:c r="F217" s="489" t="str">
        <x:v>41160001</x:v>
      </x:c>
      <x:c r="G217" s="489" t="str">
        <x:v>41160001-2025</x:v>
      </x:c>
      <x:c r="H217" s="489" t="str">
        <x:v>Informado/corrigido a partir do mapa</x:v>
      </x:c>
      <x:c r="I217" s="503" t="n">
        <x:v>154340</x:v>
      </x:c>
      <x:c r="J217" s="503" t="n">
        <x:v>154340</x:v>
      </x:c>
      <x:c r="K217" s="489" t="str">
        <x:v>Emenda Individual</x:v>
      </x:c>
      <x:c r="L217" s="489"/>
      <x:c r="M217" s="503" t="n">
        <x:v>154340</x:v>
      </x:c>
      <x:c r="N217" s="503" t="n">
        <x:v>0</x:v>
      </x:c>
      <x:c r="O217" s="503" t="n">
        <x:v>0</x:v>
      </x:c>
      <x:c r="P217" s="503" t="n">
        <x:v>0</x:v>
      </x:c>
      <x:c r="Q217" s="503" t="n">
        <x:v>0</x:v>
      </x:c>
      <x:c r="R217" s="489" t="str"/>
      <x:c r="S217" s="489" t="str">
        <x:v>12006440000135</x:v>
      </x:c>
      <x:c r="T217" s="489" t="str">
        <x:v>CONFIRMADO</x:v>
      </x:c>
      <x:c r="U217" s="489" t="str">
        <x:v>Baixa</x:v>
      </x:c>
      <x:c r="V217" s="489" t="str">
        <x:v>Preencher situação: há pagamento identificado na fonte pública</x:v>
      </x:c>
      <x:c r="W217" s="489" t="str">
        <x:v>Valor do grupo fecha com: SIGA pago favorecido</x:v>
      </x:c>
      <x:c r="X217" s="489" t="str"/>
    </x:row>
    <x:row r="218">
      <x:c r="A218" s="502" t="n">
        <x:v>218</x:v>
      </x:c>
      <x:c r="B218" s="502" t="n">
        <x:v>2025</x:v>
      </x:c>
      <x:c r="C218" s="489" t="str">
        <x:v>São João do Polêsine</x:v>
      </x:c>
      <x:c r="D218" s="489" t="str">
        <x:v>Fundo Municipal Da Saude São João Do Polêsine - Rs</x:v>
      </x:c>
      <x:c r="E218" s="489" t="str">
        <x:v>Prefeitura Municipal</x:v>
      </x:c>
      <x:c r="F218" s="489" t="str">
        <x:v>41160001</x:v>
      </x:c>
      <x:c r="G218" s="489" t="str">
        <x:v>41160001-2025</x:v>
      </x:c>
      <x:c r="H218" s="489" t="str">
        <x:v>Informado/corrigido a partir do mapa</x:v>
      </x:c>
      <x:c r="I218" s="503" t="n">
        <x:v>154340</x:v>
      </x:c>
      <x:c r="J218" s="503" t="n">
        <x:v>154340</x:v>
      </x:c>
      <x:c r="K218" s="489" t="str">
        <x:v>Emenda Individual</x:v>
      </x:c>
      <x:c r="L218" s="489"/>
      <x:c r="M218" s="503" t="n">
        <x:v>154340</x:v>
      </x:c>
      <x:c r="N218" s="503" t="n">
        <x:v>0</x:v>
      </x:c>
      <x:c r="O218" s="503" t="n">
        <x:v>0</x:v>
      </x:c>
      <x:c r="P218" s="503" t="n">
        <x:v>0</x:v>
      </x:c>
      <x:c r="Q218" s="503" t="n">
        <x:v>0</x:v>
      </x:c>
      <x:c r="R218" s="489" t="str"/>
      <x:c r="S218" s="489" t="str">
        <x:v>13845853000176</x:v>
      </x:c>
      <x:c r="T218" s="489" t="str">
        <x:v>CONFIRMADO</x:v>
      </x:c>
      <x:c r="U218" s="489" t="str">
        <x:v>Baixa</x:v>
      </x:c>
      <x:c r="V218" s="489" t="str">
        <x:v>Preencher situação: há pagamento identificado na fonte pública</x:v>
      </x:c>
      <x:c r="W218" s="489" t="str">
        <x:v>Valor do grupo fecha com: SIGA pago favorecido</x:v>
      </x:c>
      <x:c r="X218" s="489" t="str"/>
    </x:row>
    <x:row r="219">
      <x:c r="A219" s="502" t="n">
        <x:v>219</x:v>
      </x:c>
      <x:c r="B219" s="502" t="n">
        <x:v>2020</x:v>
      </x:c>
      <x:c r="C219" s="489" t="str">
        <x:v>Vários municípios</x:v>
      </x:c>
      <x:c r="D219" s="489" t="str">
        <x:v>Brigada Militar</x:v>
      </x:c>
      <x:c r="E219" s="489" t="str">
        <x:v>Unidades da Brigada Militar em Porto Alegre e Região Metropolitana.</x:v>
      </x:c>
      <x:c r="F219" s="489" t="str">
        <x:v>41160011</x:v>
      </x:c>
      <x:c r="G219" s="489" t="str">
        <x:v>41160011-2020</x:v>
      </x:c>
      <x:c r="H219" s="489" t="str">
        <x:v>Informado/corrigido a partir do mapa</x:v>
      </x:c>
      <x:c r="I219" s="503" t="n">
        <x:v>156000</x:v>
      </x:c>
      <x:c r="J219" s="503" t="n">
        <x:v>530717.3200000001</x:v>
      </x:c>
      <x:c r="K219" s="489" t="str">
        <x:v>Emenda individual</x:v>
      </x:c>
      <x:c r="L219" s="489" t="str">
        <x:v>Indicado</x:v>
      </x:c>
      <x:c r="M219" s="503" t="n">
        <x:v>0</x:v>
      </x:c>
      <x:c r="N219" s="503" t="n">
        <x:v>0</x:v>
      </x:c>
      <x:c r="O219" s="503" t="n">
        <x:v>0</x:v>
      </x:c>
      <x:c r="P219" s="503" t="n">
        <x:v>0</x:v>
      </x:c>
      <x:c r="Q219" s="503" t="n">
        <x:v>0</x:v>
      </x:c>
      <x:c r="R219" s="489" t="str"/>
      <x:c r="S219" s="489" t="str"/>
      <x:c r="T219" s="489" t="str">
        <x:v>EMENDA CONFIRMADA; DESTINO NÃO CONFIRMADO</x:v>
      </x:c>
      <x:c r="U219" s="489" t="str">
        <x:v>Média</x:v>
      </x:c>
      <x:c r="V219" s="489" t="str"/>
      <x:c r="W219" s="489" t="str">
        <x:v>Nº existe no SIGA; destinatário específico não foi confirmado nas bases anexas</x:v>
      </x:c>
      <x:c r="X219" s="489" t="str"/>
    </x:row>
    <x:row r="220">
      <x:c r="A220" s="502" t="n">
        <x:v>220</x:v>
      </x:c>
      <x:c r="B220" s="502" t="n">
        <x:v>2023</x:v>
      </x:c>
      <x:c r="C220" s="489" t="str">
        <x:v>Sananduva</x:v>
      </x:c>
      <x:c r="D220" s="489" t="str">
        <x:v>APAE</x:v>
      </x:c>
      <x:c r="E220" s="489" t="str">
        <x:v>APAE de Sananduva</x:v>
      </x:c>
      <x:c r="F220" s="489" t="str"/>
      <x:c r="G220" s="489" t="str"/>
      <x:c r="H220" s="489" t="str">
        <x:v>Sem nº conciliado</x:v>
      </x:c>
      <x:c r="I220" s="503" t="n">
        <x:v>160000</x:v>
      </x:c>
      <x:c r="J220" s="503" t="n">
        <x:v>160000</x:v>
      </x:c>
      <x:c r="K220" s="489" t="str">
        <x:v>Emenda de Bancada</x:v>
      </x:c>
      <x:c r="L220" s="489" t="str">
        <x:v>Recurso pago</x:v>
      </x:c>
      <x:c r="M220" s="503" t="n">
        <x:v>0</x:v>
      </x:c>
      <x:c r="N220" s="503" t="n">
        <x:v>0</x:v>
      </x:c>
      <x:c r="O220" s="503" t="n">
        <x:v>0</x:v>
      </x:c>
      <x:c r="P220" s="503" t="n">
        <x:v>0</x:v>
      </x:c>
      <x:c r="Q220" s="503" t="n">
        <x:v>0</x:v>
      </x:c>
      <x:c r="R220" s="489" t="str"/>
      <x:c r="S220" s="489" t="str"/>
      <x:c r="T220" s="489" t="str">
        <x:v>SEM Nº / NÃO CONCILIADO</x:v>
      </x:c>
      <x:c r="U220" s="489" t="str">
        <x:v>Média</x:v>
      </x:c>
      <x:c r="V220" s="489" t="str"/>
      <x:c r="W220" s="489" t="str"/>
      <x:c r="X220" s="489" t="str"/>
    </x:row>
    <x:row r="221">
      <x:c r="A221" s="502" t="n">
        <x:v>221</x:v>
      </x:c>
      <x:c r="B221" s="502" t="n">
        <x:v>2023</x:v>
      </x:c>
      <x:c r="C221" s="489" t="str">
        <x:v>Três Coroas</x:v>
      </x:c>
      <x:c r="D221" s="489" t="str">
        <x:v>APAE</x:v>
      </x:c>
      <x:c r="E221" s="489" t="str">
        <x:v>APAE de Três Coroas</x:v>
      </x:c>
      <x:c r="F221" s="489" t="str"/>
      <x:c r="G221" s="489" t="str"/>
      <x:c r="H221" s="489" t="str">
        <x:v>Sem nº conciliado</x:v>
      </x:c>
      <x:c r="I221" s="503" t="n">
        <x:v>160000</x:v>
      </x:c>
      <x:c r="J221" s="503" t="n">
        <x:v>160000</x:v>
      </x:c>
      <x:c r="K221" s="489" t="str">
        <x:v>Emenda de Bancada</x:v>
      </x:c>
      <x:c r="L221" s="489" t="str">
        <x:v>Recurso pago</x:v>
      </x:c>
      <x:c r="M221" s="503" t="n">
        <x:v>0</x:v>
      </x:c>
      <x:c r="N221" s="503" t="n">
        <x:v>0</x:v>
      </x:c>
      <x:c r="O221" s="503" t="n">
        <x:v>0</x:v>
      </x:c>
      <x:c r="P221" s="503" t="n">
        <x:v>0</x:v>
      </x:c>
      <x:c r="Q221" s="503" t="n">
        <x:v>0</x:v>
      </x:c>
      <x:c r="R221" s="489" t="str"/>
      <x:c r="S221" s="489" t="str"/>
      <x:c r="T221" s="489" t="str">
        <x:v>SEM Nº / NÃO CONCILIADO</x:v>
      </x:c>
      <x:c r="U221" s="489" t="str">
        <x:v>Média</x:v>
      </x:c>
      <x:c r="V221" s="489" t="str"/>
      <x:c r="W221" s="489" t="str"/>
      <x:c r="X221" s="489" t="str"/>
    </x:row>
    <x:row r="222">
      <x:c r="A222" s="502" t="n">
        <x:v>222</x:v>
      </x:c>
      <x:c r="B222" s="502" t="n">
        <x:v>2020</x:v>
      </x:c>
      <x:c r="C222" s="489" t="str">
        <x:v>Dois Irmãos</x:v>
      </x:c>
      <x:c r="D222" s="489" t="str">
        <x:v>Corpo de Bombeiros</x:v>
      </x:c>
      <x:c r="E222" s="489" t="str">
        <x:v>Corpo de Bombeiros de Dois Irmãos</x:v>
      </x:c>
      <x:c r="F222" s="489" t="str">
        <x:v>41160012</x:v>
      </x:c>
      <x:c r="G222" s="489" t="str">
        <x:v>41160012-2020</x:v>
      </x:c>
      <x:c r="H222" s="489" t="str">
        <x:v>Informado/corrigido a partir do mapa</x:v>
      </x:c>
      <x:c r="I222" s="503" t="n">
        <x:v>162125</x:v>
      </x:c>
      <x:c r="J222" s="503" t="n">
        <x:v>162125</x:v>
      </x:c>
      <x:c r="K222" s="489" t="str">
        <x:v>Emenda individual</x:v>
      </x:c>
      <x:c r="L222" s="489" t="str">
        <x:v>Recurso pago</x:v>
      </x:c>
      <x:c r="M222" s="503" t="n">
        <x:v>0</x:v>
      </x:c>
      <x:c r="N222" s="503" t="n">
        <x:v>0</x:v>
      </x:c>
      <x:c r="O222" s="503" t="n">
        <x:v>0</x:v>
      </x:c>
      <x:c r="P222" s="503" t="n">
        <x:v>0</x:v>
      </x:c>
      <x:c r="Q222" s="503" t="n">
        <x:v>0</x:v>
      </x:c>
      <x:c r="R222" s="489" t="str"/>
      <x:c r="S222" s="489" t="str"/>
      <x:c r="T222" s="489" t="str">
        <x:v>EMENDA CONFIRMADA; DESTINO NÃO CONFIRMADO</x:v>
      </x:c>
      <x:c r="U222" s="489" t="str">
        <x:v>Média</x:v>
      </x:c>
      <x:c r="V222" s="489" t="str"/>
      <x:c r="W222" s="489" t="str">
        <x:v>Nº existe no SIGA; destinatário específico não foi confirmado nas bases anexas</x:v>
      </x:c>
      <x:c r="X222" s="489" t="str"/>
    </x:row>
    <x:row r="223">
      <x:c r="A223" s="502" t="n">
        <x:v>223</x:v>
      </x:c>
      <x:c r="B223" s="502" t="n">
        <x:v>2020</x:v>
      </x:c>
      <x:c r="C223" s="489" t="str">
        <x:v>Estância Velha</x:v>
      </x:c>
      <x:c r="D223" s="489" t="str">
        <x:v>Corpo de Bombeiros</x:v>
      </x:c>
      <x:c r="E223" s="489" t="str">
        <x:v>Corpo de Bombeiros de Estância Velha</x:v>
      </x:c>
      <x:c r="F223" s="489" t="str">
        <x:v>41160012</x:v>
      </x:c>
      <x:c r="G223" s="489" t="str">
        <x:v>41160012-2020</x:v>
      </x:c>
      <x:c r="H223" s="489" t="str">
        <x:v>Informado/corrigido a partir do mapa</x:v>
      </x:c>
      <x:c r="I223" s="503" t="n">
        <x:v>162125</x:v>
      </x:c>
      <x:c r="J223" s="503" t="n">
        <x:v>162125</x:v>
      </x:c>
      <x:c r="K223" s="489" t="str">
        <x:v>Emenda individual</x:v>
      </x:c>
      <x:c r="L223" s="489" t="str">
        <x:v>Recurso pago</x:v>
      </x:c>
      <x:c r="M223" s="503" t="n">
        <x:v>0</x:v>
      </x:c>
      <x:c r="N223" s="503" t="n">
        <x:v>0</x:v>
      </x:c>
      <x:c r="O223" s="503" t="n">
        <x:v>0</x:v>
      </x:c>
      <x:c r="P223" s="503" t="n">
        <x:v>0</x:v>
      </x:c>
      <x:c r="Q223" s="503" t="n">
        <x:v>0</x:v>
      </x:c>
      <x:c r="R223" s="489" t="str"/>
      <x:c r="S223" s="489" t="str"/>
      <x:c r="T223" s="489" t="str">
        <x:v>EMENDA CONFIRMADA; DESTINO NÃO CONFIRMADO</x:v>
      </x:c>
      <x:c r="U223" s="489" t="str">
        <x:v>Média</x:v>
      </x:c>
      <x:c r="V223" s="489" t="str"/>
      <x:c r="W223" s="489" t="str">
        <x:v>Nº existe no SIGA; destinatário específico não foi confirmado nas bases anexas</x:v>
      </x:c>
      <x:c r="X223" s="489" t="str"/>
    </x:row>
    <x:row r="224">
      <x:c r="A224" s="502" t="n">
        <x:v>224</x:v>
      </x:c>
      <x:c r="B224" s="502" t="n">
        <x:v>2020</x:v>
      </x:c>
      <x:c r="C224" s="489" t="str">
        <x:v>Erechim</x:v>
      </x:c>
      <x:c r="D224" s="489" t="str">
        <x:v>Polícia Civil</x:v>
      </x:c>
      <x:c r="E224" s="489" t="str">
        <x:v>11ª Delegacia de Polícia Regional – Erechim</x:v>
      </x:c>
      <x:c r="F224" s="489" t="str">
        <x:v>41160010</x:v>
      </x:c>
      <x:c r="G224" s="489" t="str">
        <x:v>41160010-2020</x:v>
      </x:c>
      <x:c r="H224" s="489" t="str">
        <x:v>Informado/corrigido a partir do mapa</x:v>
      </x:c>
      <x:c r="I224" s="503" t="n">
        <x:v>162142.85</x:v>
      </x:c>
      <x:c r="J224" s="503" t="n">
        <x:v>162142.85</x:v>
      </x:c>
      <x:c r="K224" s="489" t="str">
        <x:v>Emenda individual</x:v>
      </x:c>
      <x:c r="L224" s="489" t="str">
        <x:v>Recurso pago</x:v>
      </x:c>
      <x:c r="M224" s="503" t="n">
        <x:v>0</x:v>
      </x:c>
      <x:c r="N224" s="503" t="n">
        <x:v>0</x:v>
      </x:c>
      <x:c r="O224" s="503" t="n">
        <x:v>0</x:v>
      </x:c>
      <x:c r="P224" s="503" t="n">
        <x:v>0</x:v>
      </x:c>
      <x:c r="Q224" s="503" t="n">
        <x:v>0</x:v>
      </x:c>
      <x:c r="R224" s="489" t="str"/>
      <x:c r="S224" s="489" t="str"/>
      <x:c r="T224" s="489" t="str">
        <x:v>EMENDA CONFIRMADA; DESTINO NÃO CONFIRMADO</x:v>
      </x:c>
      <x:c r="U224" s="489" t="str">
        <x:v>Média</x:v>
      </x:c>
      <x:c r="V224" s="489" t="str"/>
      <x:c r="W224" s="489" t="str">
        <x:v>Nº existe no SIGA; destinatário específico não foi confirmado nas bases anexas</x:v>
      </x:c>
      <x:c r="X224" s="489" t="str"/>
    </x:row>
    <x:row r="225">
      <x:c r="A225" s="502" t="n">
        <x:v>225</x:v>
      </x:c>
      <x:c r="B225" s="502" t="n">
        <x:v>2020</x:v>
      </x:c>
      <x:c r="C225" s="489" t="str">
        <x:v>Passo Fundo</x:v>
      </x:c>
      <x:c r="D225" s="489" t="str">
        <x:v>Polícia Civil</x:v>
      </x:c>
      <x:c r="E225" s="489" t="str">
        <x:v>6ª Delegacia de Polícia Regional – Passo Fundo</x:v>
      </x:c>
      <x:c r="F225" s="489" t="str">
        <x:v>41160010</x:v>
      </x:c>
      <x:c r="G225" s="489" t="str">
        <x:v>41160010-2020</x:v>
      </x:c>
      <x:c r="H225" s="489" t="str">
        <x:v>Informado/corrigido a partir do mapa</x:v>
      </x:c>
      <x:c r="I225" s="503" t="n">
        <x:v>162142.85</x:v>
      </x:c>
      <x:c r="J225" s="503" t="n">
        <x:v>162142.85</x:v>
      </x:c>
      <x:c r="K225" s="489" t="str">
        <x:v>Emenda individual</x:v>
      </x:c>
      <x:c r="L225" s="489" t="str">
        <x:v>Recurso pago em 25/04/2022.</x:v>
      </x:c>
      <x:c r="M225" s="503" t="n">
        <x:v>0</x:v>
      </x:c>
      <x:c r="N225" s="503" t="n">
        <x:v>0</x:v>
      </x:c>
      <x:c r="O225" s="503" t="n">
        <x:v>0</x:v>
      </x:c>
      <x:c r="P225" s="503" t="n">
        <x:v>0</x:v>
      </x:c>
      <x:c r="Q225" s="503" t="n">
        <x:v>0</x:v>
      </x:c>
      <x:c r="R225" s="489" t="str"/>
      <x:c r="S225" s="489" t="str"/>
      <x:c r="T225" s="489" t="str">
        <x:v>EMENDA CONFIRMADA; DESTINO NÃO CONFIRMADO</x:v>
      </x:c>
      <x:c r="U225" s="489" t="str">
        <x:v>Média</x:v>
      </x:c>
      <x:c r="V225" s="489" t="str"/>
      <x:c r="W225" s="489" t="str">
        <x:v>Nº existe no SIGA; destinatário específico não foi confirmado nas bases anexas</x:v>
      </x:c>
      <x:c r="X225" s="489" t="str"/>
    </x:row>
    <x:row r="226">
      <x:c r="A226" s="502" t="n">
        <x:v>226</x:v>
      </x:c>
      <x:c r="B226" s="502" t="n">
        <x:v>2020</x:v>
      </x:c>
      <x:c r="C226" s="489" t="str">
        <x:v>Santa Maria</x:v>
      </x:c>
      <x:c r="D226" s="489" t="str">
        <x:v>Polícia Civil</x:v>
      </x:c>
      <x:c r="E226" s="489" t="str">
        <x:v>3ª Delegacia de Polícia Regional – Santa Maria</x:v>
      </x:c>
      <x:c r="F226" s="489" t="str">
        <x:v>41160010</x:v>
      </x:c>
      <x:c r="G226" s="489" t="str">
        <x:v>41160010-2020</x:v>
      </x:c>
      <x:c r="H226" s="489" t="str">
        <x:v>Informado/corrigido a partir do mapa</x:v>
      </x:c>
      <x:c r="I226" s="503" t="n">
        <x:v>162142.85</x:v>
      </x:c>
      <x:c r="J226" s="503" t="n">
        <x:v>162142.85</x:v>
      </x:c>
      <x:c r="K226" s="489" t="str">
        <x:v>Emenda individual</x:v>
      </x:c>
      <x:c r="L226" s="489" t="str">
        <x:v>Inexigibilidade de licitação aceita pelo Ministério. Recurso pago em 25/04/2022.</x:v>
      </x:c>
      <x:c r="M226" s="503" t="n">
        <x:v>0</x:v>
      </x:c>
      <x:c r="N226" s="503" t="n">
        <x:v>0</x:v>
      </x:c>
      <x:c r="O226" s="503" t="n">
        <x:v>0</x:v>
      </x:c>
      <x:c r="P226" s="503" t="n">
        <x:v>0</x:v>
      </x:c>
      <x:c r="Q226" s="503" t="n">
        <x:v>0</x:v>
      </x:c>
      <x:c r="R226" s="489" t="str"/>
      <x:c r="S226" s="489" t="str"/>
      <x:c r="T226" s="489" t="str">
        <x:v>EMENDA CONFIRMADA; DESTINO NÃO CONFIRMADO</x:v>
      </x:c>
      <x:c r="U226" s="489" t="str">
        <x:v>Média</x:v>
      </x:c>
      <x:c r="V226" s="489" t="str"/>
      <x:c r="W226" s="489" t="str">
        <x:v>Nº existe no SIGA; destinatário específico não foi confirmado nas bases anexas</x:v>
      </x:c>
      <x:c r="X226" s="489" t="str"/>
    </x:row>
    <x:row r="227">
      <x:c r="A227" s="502" t="n">
        <x:v>227</x:v>
      </x:c>
      <x:c r="B227" s="502" t="n">
        <x:v>2021</x:v>
      </x:c>
      <x:c r="C227" s="489" t="str">
        <x:v>Veranópolis</x:v>
      </x:c>
      <x:c r="D227" s="489" t="str">
        <x:v>Hospital</x:v>
      </x:c>
      <x:c r="E227" s="489" t="str">
        <x:v>Associação Veranense de Assistência em Saúde - Hospital Comunitário São Peregrino Lazziozi</x:v>
      </x:c>
      <x:c r="F227" s="489" t="str">
        <x:v>41160002</x:v>
      </x:c>
      <x:c r="G227" s="489" t="str">
        <x:v>41160002-2021</x:v>
      </x:c>
      <x:c r="H227" s="489" t="str">
        <x:v>Informado/corrigido a partir do mapa</x:v>
      </x:c>
      <x:c r="I227" s="503" t="n">
        <x:v>162480</x:v>
      </x:c>
      <x:c r="J227" s="503" t="n">
        <x:v>162480</x:v>
      </x:c>
      <x:c r="K227" s="489" t="str">
        <x:v>Emenda individual (processo seletivo)</x:v>
      </x:c>
      <x:c r="L227" s="489" t="str">
        <x:v>Convênio nº 914265 segue em execução. Já foram pagos R$ 125.745,00, com último desembolso em 03/07/2023. Saldo a desembolsar: R$ 36.735,00.</x:v>
      </x:c>
      <x:c r="M227" s="503" t="n">
        <x:v>125745</x:v>
      </x:c>
      <x:c r="N227" s="503" t="n">
        <x:v>162480</x:v>
      </x:c>
      <x:c r="O227" s="503" t="n">
        <x:v>125745</x:v>
      </x:c>
      <x:c r="P227" s="503" t="n">
        <x:v>0</x:v>
      </x:c>
      <x:c r="Q227" s="503" t="n">
        <x:v>0</x:v>
      </x:c>
      <x:c r="R227" s="489" t="str"/>
      <x:c r="S227" s="489" t="str">
        <x:v>87873279000104</x:v>
      </x:c>
      <x:c r="T227" s="489" t="str">
        <x:v>VALOR DIVERGENTE / COBERTURA DIFERENTE</x:v>
      </x:c>
      <x:c r="U227" s="489" t="str">
        <x:v>Alta</x:v>
      </x:c>
      <x:c r="V227" s="489" t="str">
        <x:v>CNPJ candidato na fonte SIGA: 87873279000104</x:v>
      </x:c>
      <x:c r="W227" s="489" t="str">
        <x:v>Município/localidade encontrado em fonte comparável, mas valor não fecha exatamente</x:v>
      </x:c>
      <x:c r="X227" s="489" t="str">
        <x:v>https://discricionarias.transferegov.sistema.gov.br/voluntarias/ConsultarProposta/ResultadoDaConsultaDeConvenioSelecionarConvenio.do?sequencialConvenio=914265&amp;Usr=guest&amp;Pwd=guest</x:v>
      </x:c>
    </x:row>
    <x:row r="228">
      <x:c r="A228" s="502" t="n">
        <x:v>228</x:v>
      </x:c>
      <x:c r="B228" s="502" t="n">
        <x:v>2023</x:v>
      </x:c>
      <x:c r="C228" s="489" t="str">
        <x:v>Lajeado</x:v>
      </x:c>
      <x:c r="D228" s="489" t="str">
        <x:v>Prefeitura</x:v>
      </x:c>
      <x:c r="E228" s="489" t="str">
        <x:v>Prefeitura de Lajeado</x:v>
      </x:c>
      <x:c r="F228" s="489" t="str"/>
      <x:c r="G228" s="489" t="str">
        <x:v>41160001-2023</x:v>
      </x:c>
      <x:c r="H228" s="489" t="str">
        <x:v>Inferido forte (SIGA/PIX)</x:v>
      </x:c>
      <x:c r="I228" s="503" t="n">
        <x:v>165000</x:v>
      </x:c>
      <x:c r="J228" s="503" t="n">
        <x:v>165000</x:v>
      </x:c>
      <x:c r="K228" s="489" t="str">
        <x:v>Emenda Individual</x:v>
      </x:c>
      <x:c r="L228" s="489" t="str">
        <x:v>Recurso Pago</x:v>
      </x:c>
      <x:c r="M228" s="503" t="n">
        <x:v>165000</x:v>
      </x:c>
      <x:c r="N228" s="503" t="n">
        <x:v>0</x:v>
      </x:c>
      <x:c r="O228" s="503" t="n">
        <x:v>0</x:v>
      </x:c>
      <x:c r="P228" s="503" t="n">
        <x:v>165000</x:v>
      </x:c>
      <x:c r="Q228" s="503" t="n">
        <x:v>0</x:v>
      </x:c>
      <x:c r="R228" s="489" t="str">
        <x:v>CIENTE</x:v>
      </x:c>
      <x:c r="S228" s="489" t="str">
        <x:v>87297982000103</x:v>
      </x:c>
      <x:c r="T228" s="489" t="str">
        <x:v>CONFIRMADO</x:v>
      </x:c>
      <x:c r="U228" s="489" t="str">
        <x:v>Baixa</x:v>
      </x:c>
      <x:c r="V228" s="489" t="str">
        <x:v>Preencher nº como 41160001 com marcação de inferência (ano+município+valor exatos em SIGA/PIX); CNPJ candidato na fonte SIGA: 87297982000103</x:v>
      </x:c>
      <x:c r="W228" s="489" t="str">
        <x:v>nº ausente; inferido por coincidência exata de cidade e valor em SIGA favorecido, PIX; Valor do grupo fecha com: SIGA pago favorecido, PIX atual</x:v>
      </x:c>
      <x:c r="X228" s="489" t="str">
        <x:v>https://especiais.transferegov.sistema.gov.br/transferencia-especial/plano-acao/detalhe/38355/dados-basicos</x:v>
      </x:c>
    </x:row>
    <x:row r="229">
      <x:c r="A229" s="502" t="n">
        <x:v>229</x:v>
      </x:c>
      <x:c r="B229" s="502" t="n">
        <x:v>2021</x:v>
      </x:c>
      <x:c r="C229" s="489" t="str">
        <x:v>Caxias do sul</x:v>
      </x:c>
      <x:c r="D229" s="489" t="str">
        <x:v>Hospital</x:v>
      </x:c>
      <x:c r="E229" s="489" t="str">
        <x:v>Hospital Pompeia (indicado através do Fundo Municipal de Saúde)</x:v>
      </x:c>
      <x:c r="F229" s="489" t="str">
        <x:v>41160003</x:v>
      </x:c>
      <x:c r="G229" s="489" t="str">
        <x:v>41160003-2021</x:v>
      </x:c>
      <x:c r="H229" s="489" t="str">
        <x:v>Informado/corrigido a partir do mapa</x:v>
      </x:c>
      <x:c r="I229" s="503" t="n">
        <x:v>170000</x:v>
      </x:c>
      <x:c r="J229" s="503" t="n">
        <x:v>170000</x:v>
      </x:c>
      <x:c r="K229" s="489" t="str">
        <x:v>Emenda individual (processo seletivo)</x:v>
      </x:c>
      <x:c r="L229" s="489" t="str">
        <x:v>Recurso pago</x:v>
      </x:c>
      <x:c r="M229" s="503" t="n">
        <x:v>170000</x:v>
      </x:c>
      <x:c r="N229" s="503" t="n">
        <x:v>0</x:v>
      </x:c>
      <x:c r="O229" s="503" t="n">
        <x:v>0</x:v>
      </x:c>
      <x:c r="P229" s="503" t="n">
        <x:v>0</x:v>
      </x:c>
      <x:c r="Q229" s="503" t="n">
        <x:v>0</x:v>
      </x:c>
      <x:c r="R229" s="489" t="str"/>
      <x:c r="S229" s="489" t="str">
        <x:v>10546325000128</x:v>
      </x:c>
      <x:c r="T229" s="489" t="str">
        <x:v>CONFIRMADO</x:v>
      </x:c>
      <x:c r="U229" s="489" t="str">
        <x:v>Baixa</x:v>
      </x:c>
      <x:c r="V229" s="489" t="str">
        <x:v>CNPJ candidato na fonte SIGA: 10546325000128</x:v>
      </x:c>
      <x:c r="W229" s="489" t="str">
        <x:v>Valor do grupo fecha com: SIGA pago favorecido</x:v>
      </x:c>
      <x:c r="X229" s="489" t="str"/>
    </x:row>
    <x:row r="230">
      <x:c r="A230" s="502" t="n">
        <x:v>230</x:v>
      </x:c>
      <x:c r="B230" s="502" t="n">
        <x:v>2020</x:v>
      </x:c>
      <x:c r="C230" s="489" t="str">
        <x:v>Cambará do Sul</x:v>
      </x:c>
      <x:c r="D230" s="489" t="str">
        <x:v>Hospital</x:v>
      </x:c>
      <x:c r="E230" s="489" t="str">
        <x:v>Fundação Hospitalar São José de Cambará do Sul</x:v>
      </x:c>
      <x:c r="F230" s="489" t="str">
        <x:v>7122 0006</x:v>
      </x:c>
      <x:c r="G230" s="489" t="str">
        <x:v>71220006-2020</x:v>
      </x:c>
      <x:c r="H230" s="489" t="str">
        <x:v>Informado/corrigido a partir do mapa</x:v>
      </x:c>
      <x:c r="I230" s="503" t="n">
        <x:v>174741</x:v>
      </x:c>
      <x:c r="J230" s="503" t="n">
        <x:v>174741</x:v>
      </x:c>
      <x:c r="K230" s="489" t="str">
        <x:v>Emenda de Bancada</x:v>
      </x:c>
      <x:c r="L230" s="489" t="str">
        <x:v>Recurso pago</x:v>
      </x:c>
      <x:c r="M230" s="503" t="n">
        <x:v>0</x:v>
      </x:c>
      <x:c r="N230" s="503" t="n">
        <x:v>0</x:v>
      </x:c>
      <x:c r="O230" s="503" t="n">
        <x:v>0</x:v>
      </x:c>
      <x:c r="P230" s="503" t="n">
        <x:v>0</x:v>
      </x:c>
      <x:c r="Q230" s="503" t="n">
        <x:v>0</x:v>
      </x:c>
      <x:c r="R230" s="489" t="str"/>
      <x:c r="S230" s="489" t="str"/>
      <x:c r="T230" s="489" t="str">
        <x:v>Nº NÃO LOCALIZADO</x:v>
      </x:c>
      <x:c r="U230" s="489" t="str">
        <x:v>Média</x:v>
      </x:c>
      <x:c r="V230" s="489" t="str"/>
      <x:c r="W230" s="489" t="str"/>
      <x:c r="X230" s="489" t="str"/>
    </x:row>
    <x:row r="231">
      <x:c r="A231" s="502" t="n">
        <x:v>231</x:v>
      </x:c>
      <x:c r="B231" s="502" t="n">
        <x:v>2022</x:v>
      </x:c>
      <x:c r="C231" s="489" t="str">
        <x:v>Santo Antônio da Patrulha</x:v>
      </x:c>
      <x:c r="D231" s="489" t="str">
        <x:v>Município</x:v>
      </x:c>
      <x:c r="E231" s="489" t="str">
        <x:v>Prefeitura Municipal</x:v>
      </x:c>
      <x:c r="F231" s="489" t="str">
        <x:v>41160002</x:v>
      </x:c>
      <x:c r="G231" s="489" t="str">
        <x:v>41160002-2022</x:v>
      </x:c>
      <x:c r="H231" s="489" t="str">
        <x:v>Informado/corrigido a partir do mapa</x:v>
      </x:c>
      <x:c r="I231" s="503" t="n">
        <x:v>175000</x:v>
      </x:c>
      <x:c r="J231" s="503" t="n">
        <x:v>175000</x:v>
      </x:c>
      <x:c r="K231" s="489" t="str">
        <x:v>Emenda Individual </x:v>
      </x:c>
      <x:c r="L231" s="489" t="str">
        <x:v>Recurso pago</x:v>
      </x:c>
      <x:c r="M231" s="503" t="n">
        <x:v>175000</x:v>
      </x:c>
      <x:c r="N231" s="503" t="n">
        <x:v>0</x:v>
      </x:c>
      <x:c r="O231" s="503" t="n">
        <x:v>0</x:v>
      </x:c>
      <x:c r="P231" s="503" t="n">
        <x:v>0</x:v>
      </x:c>
      <x:c r="Q231" s="503" t="n">
        <x:v>0</x:v>
      </x:c>
      <x:c r="R231" s="489" t="str"/>
      <x:c r="S231" s="489" t="str">
        <x:v>11232497000190</x:v>
      </x:c>
      <x:c r="T231" s="489" t="str">
        <x:v>CONFIRMADO</x:v>
      </x:c>
      <x:c r="U231" s="489" t="str">
        <x:v>Baixa</x:v>
      </x:c>
      <x:c r="V231" s="489" t="str">
        <x:v>CNPJ candidato na fonte SIGA: 11232497000190</x:v>
      </x:c>
      <x:c r="W231" s="489" t="str">
        <x:v>Valor do grupo fecha com: SIGA pago favorecido</x:v>
      </x:c>
      <x:c r="X231" s="489" t="str"/>
    </x:row>
    <x:row r="232">
      <x:c r="A232" s="502" t="n">
        <x:v>232</x:v>
      </x:c>
      <x:c r="B232" s="502" t="n">
        <x:v>2021</x:v>
      </x:c>
      <x:c r="C232" s="489" t="str">
        <x:v>Pelotas</x:v>
      </x:c>
      <x:c r="D232" s="489" t="str">
        <x:v>Secretaria de Administração Penitenciária </x:v>
      </x:c>
      <x:c r="E232" s="489" t="str">
        <x:v>5ª Delegacia Penitenciária Regional - Pelotas</x:v>
      </x:c>
      <x:c r="F232" s="489" t="str">
        <x:v>41160005</x:v>
      </x:c>
      <x:c r="G232" s="489" t="str">
        <x:v>41160005-2021</x:v>
      </x:c>
      <x:c r="H232" s="489" t="str">
        <x:v>Informado/corrigido a partir do mapa</x:v>
      </x:c>
      <x:c r="I232" s="503" t="n">
        <x:v>180837.86</x:v>
      </x:c>
      <x:c r="J232" s="503" t="n">
        <x:v>180837.86</x:v>
      </x:c>
      <x:c r="K232" s="489" t="str">
        <x:v>Emenda individual</x:v>
      </x:c>
      <x:c r="L232" s="489" t="str">
        <x:v>Recurso pago</x:v>
      </x:c>
      <x:c r="M232" s="503" t="n">
        <x:v>0</x:v>
      </x:c>
      <x:c r="N232" s="503" t="n">
        <x:v>0</x:v>
      </x:c>
      <x:c r="O232" s="503" t="n">
        <x:v>0</x:v>
      </x:c>
      <x:c r="P232" s="503" t="n">
        <x:v>0</x:v>
      </x:c>
      <x:c r="Q232" s="503" t="n">
        <x:v>0</x:v>
      </x:c>
      <x:c r="R232" s="489" t="str"/>
      <x:c r="S232" s="489" t="str"/>
      <x:c r="T232" s="489" t="str">
        <x:v>EMENDA CONFIRMADA; DESTINO NÃO CONFIRMADO</x:v>
      </x:c>
      <x:c r="U232" s="489" t="str">
        <x:v>Média</x:v>
      </x:c>
      <x:c r="V232" s="489" t="str"/>
      <x:c r="W232" s="489" t="str">
        <x:v>Nº existe no SIGA; destinatário específico não foi confirmado nas bases anexas</x:v>
      </x:c>
      <x:c r="X232" s="489" t="str"/>
    </x:row>
    <x:row r="233">
      <x:c r="A233" s="502" t="n">
        <x:v>233</x:v>
      </x:c>
      <x:c r="B233" s="502" t="n">
        <x:v>2021</x:v>
      </x:c>
      <x:c r="C233" s="489" t="str">
        <x:v>Santa Cruz do Sul</x:v>
      </x:c>
      <x:c r="D233" s="489" t="str">
        <x:v>Secretaria de Administração Penitenciária </x:v>
      </x:c>
      <x:c r="E233" s="489" t="str">
        <x:v>8ª Delegacia Penitenciária Regional - Santa Cruz do Sul</x:v>
      </x:c>
      <x:c r="F233" s="489" t="str">
        <x:v>41160005</x:v>
      </x:c>
      <x:c r="G233" s="489" t="str">
        <x:v>41160005-2021</x:v>
      </x:c>
      <x:c r="H233" s="489" t="str">
        <x:v>Informado/corrigido a partir do mapa</x:v>
      </x:c>
      <x:c r="I233" s="503" t="n">
        <x:v>180837.86</x:v>
      </x:c>
      <x:c r="J233" s="503" t="n">
        <x:v>180837.86</x:v>
      </x:c>
      <x:c r="K233" s="489" t="str">
        <x:v>Emenda individual</x:v>
      </x:c>
      <x:c r="L233" s="489" t="str">
        <x:v>Recurso pago</x:v>
      </x:c>
      <x:c r="M233" s="503" t="n">
        <x:v>0</x:v>
      </x:c>
      <x:c r="N233" s="503" t="n">
        <x:v>0</x:v>
      </x:c>
      <x:c r="O233" s="503" t="n">
        <x:v>0</x:v>
      </x:c>
      <x:c r="P233" s="503" t="n">
        <x:v>0</x:v>
      </x:c>
      <x:c r="Q233" s="503" t="n">
        <x:v>0</x:v>
      </x:c>
      <x:c r="R233" s="489" t="str"/>
      <x:c r="S233" s="489" t="str"/>
      <x:c r="T233" s="489" t="str">
        <x:v>EMENDA CONFIRMADA; DESTINO NÃO CONFIRMADO</x:v>
      </x:c>
      <x:c r="U233" s="489" t="str">
        <x:v>Média</x:v>
      </x:c>
      <x:c r="V233" s="489" t="str"/>
      <x:c r="W233" s="489" t="str">
        <x:v>Nº existe no SIGA; destinatário específico não foi confirmado nas bases anexas</x:v>
      </x:c>
      <x:c r="X233" s="489" t="str"/>
    </x:row>
    <x:row r="234">
      <x:c r="A234" s="502" t="n">
        <x:v>234</x:v>
      </x:c>
      <x:c r="B234" s="502" t="n">
        <x:v>2021</x:v>
      </x:c>
      <x:c r="C234" s="489" t="str">
        <x:v>Caxias do sul</x:v>
      </x:c>
      <x:c r="D234" s="489" t="str">
        <x:v> Polícia Civil </x:v>
      </x:c>
      <x:c r="E234" s="489" t="str">
        <x:v>8ª Delegacia de Polícia Regional - Caxias do Sul</x:v>
      </x:c>
      <x:c r="F234" s="489" t="str">
        <x:v>41160001</x:v>
      </x:c>
      <x:c r="G234" s="489" t="str">
        <x:v>41160001-2021</x:v>
      </x:c>
      <x:c r="H234" s="489" t="str">
        <x:v>Informado/corrigido a partir do mapa</x:v>
      </x:c>
      <x:c r="I234" s="503" t="n">
        <x:v>186808.33</x:v>
      </x:c>
      <x:c r="J234" s="503" t="n">
        <x:v>186808.33</x:v>
      </x:c>
      <x:c r="K234" s="489" t="str">
        <x:v>Emenda individual</x:v>
      </x:c>
      <x:c r="L234" s="489" t="str">
        <x:v>Empenhado</x:v>
      </x:c>
      <x:c r="M234" s="503" t="n">
        <x:v>0</x:v>
      </x:c>
      <x:c r="N234" s="503" t="n">
        <x:v>0</x:v>
      </x:c>
      <x:c r="O234" s="503" t="n">
        <x:v>0</x:v>
      </x:c>
      <x:c r="P234" s="503" t="n">
        <x:v>0</x:v>
      </x:c>
      <x:c r="Q234" s="503" t="n">
        <x:v>0</x:v>
      </x:c>
      <x:c r="R234" s="489" t="str"/>
      <x:c r="S234" s="489" t="str"/>
      <x:c r="T234" s="489" t="str">
        <x:v>EMENDA CONFIRMADA; DESTINO NÃO CONFIRMADO</x:v>
      </x:c>
      <x:c r="U234" s="489" t="str">
        <x:v>Média</x:v>
      </x:c>
      <x:c r="V234" s="489" t="str"/>
      <x:c r="W234" s="489" t="str">
        <x:v>Nº existe no SIGA; destinatário específico não foi confirmado nas bases anexas</x:v>
      </x:c>
      <x:c r="X234" s="489" t="str"/>
    </x:row>
    <x:row r="235">
      <x:c r="A235" s="502" t="n">
        <x:v>235</x:v>
      </x:c>
      <x:c r="B235" s="502" t="n">
        <x:v>2021</x:v>
      </x:c>
      <x:c r="C235" s="489" t="str">
        <x:v>Porto Alegre</x:v>
      </x:c>
      <x:c r="D235" s="489" t="str">
        <x:v> Polícia Civil </x:v>
      </x:c>
      <x:c r="E235" s="489" t="str">
        <x:v>Departamento Estadual de Investigações do Narcotráfico (DENARC)</x:v>
      </x:c>
      <x:c r="F235" s="489" t="str">
        <x:v>41160001</x:v>
      </x:c>
      <x:c r="G235" s="489" t="str">
        <x:v>41160001-2021</x:v>
      </x:c>
      <x:c r="H235" s="489" t="str">
        <x:v>Informado/corrigido a partir do mapa</x:v>
      </x:c>
      <x:c r="I235" s="503" t="n">
        <x:v>186808.33</x:v>
      </x:c>
      <x:c r="J235" s="503" t="n">
        <x:v>586808.33</x:v>
      </x:c>
      <x:c r="K235" s="489" t="str">
        <x:v>Emenda individual</x:v>
      </x:c>
      <x:c r="L235" s="489" t="str">
        <x:v>Empenhado</x:v>
      </x:c>
      <x:c r="M235" s="503" t="n">
        <x:v>2687975.82</x:v>
      </x:c>
      <x:c r="N235" s="503" t="n">
        <x:v>3655159.25</x:v>
      </x:c>
      <x:c r="O235" s="503" t="n">
        <x:v>7175228.54</x:v>
      </x:c>
      <x:c r="P235" s="503" t="n">
        <x:v>0</x:v>
      </x:c>
      <x:c r="Q235" s="503" t="n">
        <x:v>0</x:v>
      </x:c>
      <x:c r="R235" s="489" t="str"/>
      <x:c r="S235" s="489" t="str">
        <x:v>87958583000146</x:v>
      </x:c>
      <x:c r="T235" s="489" t="str">
        <x:v>VALOR DIVERGENTE / COBERTURA DIFERENTE</x:v>
      </x:c>
      <x:c r="U235" s="489" t="str">
        <x:v>Alta</x:v>
      </x:c>
      <x:c r="V235" s="489" t="str">
        <x:v>Situação possivelmente desatualizada: SIGA/execução regionalizada mostra pagamento; CNPJ candidato na fonte SIGA: 87958583000146</x:v>
      </x:c>
      <x:c r="W235" s="489" t="str">
        <x:v>Município/localidade encontrado em fonte comparável, mas valor não fecha exatamente</x:v>
      </x:c>
      <x:c r="X235" s="489" t="str">
        <x:v>https://discricionarias.transferegov.sistema.gov.br/voluntarias/ConsultarProposta/ResultadoDaConsultaDeConvenioSelecionarConvenio.do?sequencialConvenio=916864&amp;Usr=guest&amp;Pwd=guest | https://discricionarias.transferegov.sistema.gov.br/voluntarias/ConsultarProposta/ResultadoDaConsultaDeConvenioSelecionarConvenio.do?sequencialConvenio=920455&amp;Usr=guest&amp;Pwd=guest</x:v>
      </x:c>
    </x:row>
    <x:row r="236">
      <x:c r="A236" s="502" t="n">
        <x:v>236</x:v>
      </x:c>
      <x:c r="B236" s="502" t="n">
        <x:v>2022</x:v>
      </x:c>
      <x:c r="C236" s="489" t="str">
        <x:v>Pejuçara</x:v>
      </x:c>
      <x:c r="D236" s="489" t="str">
        <x:v>Hospital</x:v>
      </x:c>
      <x:c r="E236" s="489" t="str">
        <x:v>Associação Hospitalar Rio Branco De Pejuçara</x:v>
      </x:c>
      <x:c r="F236" s="489" t="str">
        <x:v>41160003</x:v>
      </x:c>
      <x:c r="G236" s="489" t="str">
        <x:v>41160003-2022</x:v>
      </x:c>
      <x:c r="H236" s="489" t="str">
        <x:v>Informado/corrigido a partir do mapa</x:v>
      </x:c>
      <x:c r="I236" s="503" t="n">
        <x:v>187000</x:v>
      </x:c>
      <x:c r="J236" s="503" t="n">
        <x:v>187000</x:v>
      </x:c>
      <x:c r="K236" s="489" t="str">
        <x:v>Emenda Individual </x:v>
      </x:c>
      <x:c r="L236" s="489" t="str">
        <x:v>Recurso pago</x:v>
      </x:c>
      <x:c r="M236" s="503" t="n">
        <x:v>0</x:v>
      </x:c>
      <x:c r="N236" s="503" t="n">
        <x:v>0</x:v>
      </x:c>
      <x:c r="O236" s="503" t="n">
        <x:v>0</x:v>
      </x:c>
      <x:c r="P236" s="503" t="n">
        <x:v>0</x:v>
      </x:c>
      <x:c r="Q236" s="503" t="n">
        <x:v>0</x:v>
      </x:c>
      <x:c r="R236" s="489" t="str"/>
      <x:c r="S236" s="489" t="str"/>
      <x:c r="T236" s="489" t="str">
        <x:v>EMENDA CONFIRMADA; DESTINO NÃO CONFIRMADO</x:v>
      </x:c>
      <x:c r="U236" s="489" t="str">
        <x:v>Média</x:v>
      </x:c>
      <x:c r="V236" s="489" t="str"/>
      <x:c r="W236" s="489" t="str">
        <x:v>Nº existe no SIGA; destinatário específico não foi confirmado nas bases anexas</x:v>
      </x:c>
      <x:c r="X236" s="489" t="str"/>
    </x:row>
    <x:row r="237">
      <x:c r="A237" s="502" t="n">
        <x:v>237</x:v>
      </x:c>
      <x:c r="B237" s="502" t="n">
        <x:v>2023</x:v>
      </x:c>
      <x:c r="C237" s="489" t="str">
        <x:v>Novo Hamburgo</x:v>
      </x:c>
      <x:c r="D237" s="489" t="str">
        <x:v>APAE</x:v>
      </x:c>
      <x:c r="E237" s="489" t="str">
        <x:v>APAE de Novo Hamburgo</x:v>
      </x:c>
      <x:c r="F237" s="489" t="str"/>
      <x:c r="G237" s="489" t="str"/>
      <x:c r="H237" s="489" t="str">
        <x:v>Sem nº conciliado</x:v>
      </x:c>
      <x:c r="I237" s="503" t="n">
        <x:v>187480</x:v>
      </x:c>
      <x:c r="J237" s="503" t="n">
        <x:v>438282.2</x:v>
      </x:c>
      <x:c r="K237" s="489" t="str">
        <x:v>Emenda de Bancada</x:v>
      </x:c>
      <x:c r="L237" s="489" t="str">
        <x:v>Recurso pago</x:v>
      </x:c>
      <x:c r="M237" s="503" t="n">
        <x:v>0</x:v>
      </x:c>
      <x:c r="N237" s="503" t="n">
        <x:v>0</x:v>
      </x:c>
      <x:c r="O237" s="503" t="n">
        <x:v>0</x:v>
      </x:c>
      <x:c r="P237" s="503" t="n">
        <x:v>0</x:v>
      </x:c>
      <x:c r="Q237" s="503" t="n">
        <x:v>0</x:v>
      </x:c>
      <x:c r="R237" s="489" t="str"/>
      <x:c r="S237" s="489" t="str"/>
      <x:c r="T237" s="489" t="str">
        <x:v>SEM Nº / NÃO CONCILIADO</x:v>
      </x:c>
      <x:c r="U237" s="489" t="str">
        <x:v>Média</x:v>
      </x:c>
      <x:c r="V237" s="489" t="str"/>
      <x:c r="W237" s="489" t="str"/>
      <x:c r="X237" s="489" t="str"/>
    </x:row>
    <x:row r="238">
      <x:c r="A238" s="502" t="n">
        <x:v>238</x:v>
      </x:c>
      <x:c r="B238" s="502" t="n">
        <x:v>2023</x:v>
      </x:c>
      <x:c r="C238" s="489" t="str">
        <x:v>Encantado</x:v>
      </x:c>
      <x:c r="D238" s="489" t="str">
        <x:v>Prefeitura</x:v>
      </x:c>
      <x:c r="E238" s="489" t="str">
        <x:v>Prefeitura de Encantado</x:v>
      </x:c>
      <x:c r="F238" s="489" t="str"/>
      <x:c r="G238" s="489" t="str"/>
      <x:c r="H238" s="489" t="str">
        <x:v>Sem nº conciliado</x:v>
      </x:c>
      <x:c r="I238" s="503" t="n">
        <x:v>192000</x:v>
      </x:c>
      <x:c r="J238" s="503" t="n">
        <x:v>1192000</x:v>
      </x:c>
      <x:c r="K238" s="489" t="str">
        <x:v>Emenda Individual</x:v>
      </x:c>
      <x:c r="L238" s="489" t="str">
        <x:v>Empenhado</x:v>
      </x:c>
      <x:c r="M238" s="503" t="n">
        <x:v>0</x:v>
      </x:c>
      <x:c r="N238" s="503" t="n">
        <x:v>0</x:v>
      </x:c>
      <x:c r="O238" s="503" t="n">
        <x:v>0</x:v>
      </x:c>
      <x:c r="P238" s="503" t="n">
        <x:v>0</x:v>
      </x:c>
      <x:c r="Q238" s="503" t="n">
        <x:v>0</x:v>
      </x:c>
      <x:c r="R238" s="489" t="str"/>
      <x:c r="S238" s="489" t="str"/>
      <x:c r="T238" s="489" t="str">
        <x:v>SEM Nº / NÃO CONCILIADO</x:v>
      </x:c>
      <x:c r="U238" s="489" t="str">
        <x:v>Média</x:v>
      </x:c>
      <x:c r="V238" s="489" t="str"/>
      <x:c r="W238" s="489" t="str"/>
      <x:c r="X238" s="489" t="str"/>
    </x:row>
    <x:row r="239">
      <x:c r="A239" s="502" t="n">
        <x:v>239</x:v>
      </x:c>
      <x:c r="B239" s="502" t="n">
        <x:v>2024</x:v>
      </x:c>
      <x:c r="C239" s="489" t="str">
        <x:v>Guaporé</x:v>
      </x:c>
      <x:c r="D239" s="489" t="str">
        <x:v>Prefeitura Municipal de Guaporé</x:v>
      </x:c>
      <x:c r="E239" s="489" t="str">
        <x:v>Prefeitura Municipal</x:v>
      </x:c>
      <x:c r="F239" s="489" t="str">
        <x:v>41160003</x:v>
      </x:c>
      <x:c r="G239" s="489" t="str">
        <x:v>41160003-2024</x:v>
      </x:c>
      <x:c r="H239" s="489" t="str">
        <x:v>Informado/corrigido a partir do mapa</x:v>
      </x:c>
      <x:c r="I239" s="503" t="n">
        <x:v>194967</x:v>
      </x:c>
      <x:c r="J239" s="503" t="n">
        <x:v>194967</x:v>
      </x:c>
      <x:c r="K239" s="489" t="str">
        <x:v>Emenda Individual</x:v>
      </x:c>
      <x:c r="L239" s="489"/>
      <x:c r="M239" s="503" t="n">
        <x:v>194967</x:v>
      </x:c>
      <x:c r="N239" s="503" t="n">
        <x:v>0</x:v>
      </x:c>
      <x:c r="O239" s="503" t="n">
        <x:v>0</x:v>
      </x:c>
      <x:c r="P239" s="503" t="n">
        <x:v>0</x:v>
      </x:c>
      <x:c r="Q239" s="503" t="n">
        <x:v>0</x:v>
      </x:c>
      <x:c r="R239" s="489" t="str"/>
      <x:c r="S239" s="489" t="str">
        <x:v>11614175000105</x:v>
      </x:c>
      <x:c r="T239" s="489" t="str">
        <x:v>CONFIRMADO</x:v>
      </x:c>
      <x:c r="U239" s="489" t="str">
        <x:v>Baixa</x:v>
      </x:c>
      <x:c r="V239" s="489" t="str">
        <x:v>Preencher situação: há pagamento identificado na fonte pública; CNPJ candidato na fonte SIGA: 11614175000105</x:v>
      </x:c>
      <x:c r="W239" s="489" t="str">
        <x:v>Valor do grupo fecha com: SIGA pago favorecido</x:v>
      </x:c>
      <x:c r="X239" s="489" t="str"/>
    </x:row>
    <x:row r="240">
      <x:c r="A240" s="502" t="n">
        <x:v>240</x:v>
      </x:c>
      <x:c r="B240" s="502" t="n">
        <x:v>2024</x:v>
      </x:c>
      <x:c r="C240" s="489" t="str">
        <x:v>Silveira Martins</x:v>
      </x:c>
      <x:c r="D240" s="489" t="str">
        <x:v>Prefeitura Municipal de Silveira Martins</x:v>
      </x:c>
      <x:c r="E240" s="489" t="str">
        <x:v>Prefeitura Municipal</x:v>
      </x:c>
      <x:c r="F240" s="489" t="str">
        <x:v>41160003</x:v>
      </x:c>
      <x:c r="G240" s="489" t="str">
        <x:v>41160003-2024</x:v>
      </x:c>
      <x:c r="H240" s="489" t="str">
        <x:v>Informado/corrigido a partir do mapa</x:v>
      </x:c>
      <x:c r="I240" s="503" t="n">
        <x:v>195414</x:v>
      </x:c>
      <x:c r="J240" s="503" t="n">
        <x:v>195414</x:v>
      </x:c>
      <x:c r="K240" s="489" t="str">
        <x:v>Emenda Individual</x:v>
      </x:c>
      <x:c r="L240" s="489"/>
      <x:c r="M240" s="503" t="n">
        <x:v>195414</x:v>
      </x:c>
      <x:c r="N240" s="503" t="n">
        <x:v>0</x:v>
      </x:c>
      <x:c r="O240" s="503" t="n">
        <x:v>0</x:v>
      </x:c>
      <x:c r="P240" s="503" t="n">
        <x:v>0</x:v>
      </x:c>
      <x:c r="Q240" s="503" t="n">
        <x:v>0</x:v>
      </x:c>
      <x:c r="R240" s="489" t="str"/>
      <x:c r="S240" s="489" t="str">
        <x:v>12987397000136</x:v>
      </x:c>
      <x:c r="T240" s="489" t="str">
        <x:v>CONFIRMADO</x:v>
      </x:c>
      <x:c r="U240" s="489" t="str">
        <x:v>Baixa</x:v>
      </x:c>
      <x:c r="V240" s="489" t="str">
        <x:v>Preencher situação: há pagamento identificado na fonte pública; CNPJ candidato na fonte SIGA: 12987397000136</x:v>
      </x:c>
      <x:c r="W240" s="489" t="str">
        <x:v>Valor do grupo fecha com: SIGA pago favorecido</x:v>
      </x:c>
      <x:c r="X240" s="489" t="str"/>
    </x:row>
    <x:row r="241">
      <x:c r="A241" s="502" t="n">
        <x:v>241</x:v>
      </x:c>
      <x:c r="B241" s="502" t="n">
        <x:v>2024</x:v>
      </x:c>
      <x:c r="C241" s="489" t="str">
        <x:v>Rio Pardo</x:v>
      </x:c>
      <x:c r="D241" s="489" t="str">
        <x:v>Prefeitura Municipal de Rio Pardo</x:v>
      </x:c>
      <x:c r="E241" s="489" t="str">
        <x:v>Prefeitura Municipal</x:v>
      </x:c>
      <x:c r="F241" s="489" t="str">
        <x:v>41160004</x:v>
      </x:c>
      <x:c r="G241" s="489" t="str">
        <x:v>41160004-2024</x:v>
      </x:c>
      <x:c r="H241" s="489" t="str">
        <x:v>Informado/corrigido a partir do mapa</x:v>
      </x:c>
      <x:c r="I241" s="503" t="n">
        <x:v>196282</x:v>
      </x:c>
      <x:c r="J241" s="503" t="n">
        <x:v>196282</x:v>
      </x:c>
      <x:c r="K241" s="489" t="str">
        <x:v>Emenda Individual</x:v>
      </x:c>
      <x:c r="L241" s="489"/>
      <x:c r="M241" s="503" t="n">
        <x:v>196282</x:v>
      </x:c>
      <x:c r="N241" s="503" t="n">
        <x:v>0</x:v>
      </x:c>
      <x:c r="O241" s="503" t="n">
        <x:v>0</x:v>
      </x:c>
      <x:c r="P241" s="503" t="n">
        <x:v>0</x:v>
      </x:c>
      <x:c r="Q241" s="503" t="n">
        <x:v>0</x:v>
      </x:c>
      <x:c r="R241" s="489" t="str"/>
      <x:c r="S241" s="489" t="str">
        <x:v>12389111000110</x:v>
      </x:c>
      <x:c r="T241" s="489" t="str">
        <x:v>CONFIRMADO</x:v>
      </x:c>
      <x:c r="U241" s="489" t="str">
        <x:v>Baixa</x:v>
      </x:c>
      <x:c r="V241" s="489" t="str">
        <x:v>Preencher situação: há pagamento identificado na fonte pública; CNPJ candidato na fonte SIGA: 12389111000110</x:v>
      </x:c>
      <x:c r="W241" s="489" t="str">
        <x:v>Valor do grupo fecha com: SIGA pago favorecido</x:v>
      </x:c>
      <x:c r="X241" s="489" t="str"/>
    </x:row>
    <x:row r="242">
      <x:c r="A242" s="502" t="n">
        <x:v>242</x:v>
      </x:c>
      <x:c r="B242" s="502" t="n">
        <x:v>2024</x:v>
      </x:c>
      <x:c r="C242" s="489" t="str">
        <x:v>Ibarama</x:v>
      </x:c>
      <x:c r="D242" s="489" t="str">
        <x:v>Prefeitura Municipal de Ibarama</x:v>
      </x:c>
      <x:c r="E242" s="489" t="str">
        <x:v>Prefeitura Municipal</x:v>
      </x:c>
      <x:c r="F242" s="489" t="str">
        <x:v>41160003</x:v>
      </x:c>
      <x:c r="G242" s="489" t="str">
        <x:v>41160003-2024</x:v>
      </x:c>
      <x:c r="H242" s="489" t="str">
        <x:v>Informado/corrigido a partir do mapa</x:v>
      </x:c>
      <x:c r="I242" s="503" t="n">
        <x:v>197187</x:v>
      </x:c>
      <x:c r="J242" s="503" t="n">
        <x:v>197187</x:v>
      </x:c>
      <x:c r="K242" s="489" t="str">
        <x:v>Emenda Individual</x:v>
      </x:c>
      <x:c r="L242" s="489"/>
      <x:c r="M242" s="503" t="n">
        <x:v>197187</x:v>
      </x:c>
      <x:c r="N242" s="503" t="n">
        <x:v>0</x:v>
      </x:c>
      <x:c r="O242" s="503" t="n">
        <x:v>0</x:v>
      </x:c>
      <x:c r="P242" s="503" t="n">
        <x:v>0</x:v>
      </x:c>
      <x:c r="Q242" s="503" t="n">
        <x:v>0</x:v>
      </x:c>
      <x:c r="R242" s="489" t="str"/>
      <x:c r="S242" s="489" t="str">
        <x:v>13698132000180</x:v>
      </x:c>
      <x:c r="T242" s="489" t="str">
        <x:v>CONFIRMADO</x:v>
      </x:c>
      <x:c r="U242" s="489" t="str">
        <x:v>Baixa</x:v>
      </x:c>
      <x:c r="V242" s="489" t="str">
        <x:v>Preencher situação: há pagamento identificado na fonte pública; CNPJ candidato na fonte SIGA: 13698132000180</x:v>
      </x:c>
      <x:c r="W242" s="489" t="str">
        <x:v>Valor do grupo fecha com: SIGA pago favorecido</x:v>
      </x:c>
      <x:c r="X242" s="489" t="str"/>
    </x:row>
    <x:row r="243">
      <x:c r="A243" s="502" t="n">
        <x:v>243</x:v>
      </x:c>
      <x:c r="B243" s="502" t="n">
        <x:v>2024</x:v>
      </x:c>
      <x:c r="C243" s="489" t="str">
        <x:v>Campo Bom</x:v>
      </x:c>
      <x:c r="D243" s="489" t="str">
        <x:v>Prefeitura Municipal de Campo Bom</x:v>
      </x:c>
      <x:c r="E243" s="489" t="str">
        <x:v>Prefeitura Municipal</x:v>
      </x:c>
      <x:c r="F243" s="489" t="str">
        <x:v>41160004</x:v>
      </x:c>
      <x:c r="G243" s="489" t="str">
        <x:v>41160004-2024</x:v>
      </x:c>
      <x:c r="H243" s="489" t="str">
        <x:v>Informado/corrigido a partir do mapa</x:v>
      </x:c>
      <x:c r="I243" s="503" t="n">
        <x:v>197918</x:v>
      </x:c>
      <x:c r="J243" s="503" t="n">
        <x:v>197918</x:v>
      </x:c>
      <x:c r="K243" s="489" t="str">
        <x:v>Emenda Individual</x:v>
      </x:c>
      <x:c r="L243" s="489"/>
      <x:c r="M243" s="503" t="n">
        <x:v>197918</x:v>
      </x:c>
      <x:c r="N243" s="503" t="n">
        <x:v>0</x:v>
      </x:c>
      <x:c r="O243" s="503" t="n">
        <x:v>0</x:v>
      </x:c>
      <x:c r="P243" s="503" t="n">
        <x:v>0</x:v>
      </x:c>
      <x:c r="Q243" s="503" t="n">
        <x:v>0</x:v>
      </x:c>
      <x:c r="R243" s="489" t="str"/>
      <x:c r="S243" s="489" t="str">
        <x:v>11310266000157</x:v>
      </x:c>
      <x:c r="T243" s="489" t="str">
        <x:v>CONFIRMADO</x:v>
      </x:c>
      <x:c r="U243" s="489" t="str">
        <x:v>Baixa</x:v>
      </x:c>
      <x:c r="V243" s="489" t="str">
        <x:v>Preencher situação: há pagamento identificado na fonte pública; CNPJ candidato na fonte SIGA: 11310266000157</x:v>
      </x:c>
      <x:c r="W243" s="489" t="str">
        <x:v>Valor do grupo fecha com: SIGA pago favorecido</x:v>
      </x:c>
      <x:c r="X243" s="489" t="str"/>
    </x:row>
    <x:row r="244">
      <x:c r="A244" s="502" t="n">
        <x:v>244</x:v>
      </x:c>
      <x:c r="B244" s="502" t="n">
        <x:v>2024</x:v>
      </x:c>
      <x:c r="C244" s="489" t="str">
        <x:v>Charqueadas</x:v>
      </x:c>
      <x:c r="D244" s="489" t="str">
        <x:v>Prefeitura Municipal de Charqueadas</x:v>
      </x:c>
      <x:c r="E244" s="489" t="str">
        <x:v>Prefeitura Municipal</x:v>
      </x:c>
      <x:c r="F244" s="489" t="str">
        <x:v>41160004</x:v>
      </x:c>
      <x:c r="G244" s="489" t="str">
        <x:v>41160004-2024</x:v>
      </x:c>
      <x:c r="H244" s="489" t="str">
        <x:v>Informado/corrigido a partir do mapa</x:v>
      </x:c>
      <x:c r="I244" s="503" t="n">
        <x:v>199531</x:v>
      </x:c>
      <x:c r="J244" s="503" t="n">
        <x:v>199531</x:v>
      </x:c>
      <x:c r="K244" s="489" t="str">
        <x:v>Emenda Individual</x:v>
      </x:c>
      <x:c r="L244" s="489"/>
      <x:c r="M244" s="503" t="n">
        <x:v>199531</x:v>
      </x:c>
      <x:c r="N244" s="503" t="n">
        <x:v>0</x:v>
      </x:c>
      <x:c r="O244" s="503" t="n">
        <x:v>0</x:v>
      </x:c>
      <x:c r="P244" s="503" t="n">
        <x:v>0</x:v>
      </x:c>
      <x:c r="Q244" s="503" t="n">
        <x:v>0</x:v>
      </x:c>
      <x:c r="R244" s="489" t="str"/>
      <x:c r="S244" s="489" t="str">
        <x:v>12717209000150</x:v>
      </x:c>
      <x:c r="T244" s="489" t="str">
        <x:v>CONFIRMADO</x:v>
      </x:c>
      <x:c r="U244" s="489" t="str">
        <x:v>Baixa</x:v>
      </x:c>
      <x:c r="V244" s="489" t="str">
        <x:v>Preencher situação: há pagamento identificado na fonte pública; CNPJ candidato na fonte SIGA: 12717209000150</x:v>
      </x:c>
      <x:c r="W244" s="489" t="str">
        <x:v>Valor do grupo fecha com: SIGA pago favorecido</x:v>
      </x:c>
      <x:c r="X244" s="489" t="str"/>
    </x:row>
    <x:row r="245">
      <x:c r="A245" s="502" t="n">
        <x:v>245</x:v>
      </x:c>
      <x:c r="B245" s="502" t="n">
        <x:v>2024</x:v>
      </x:c>
      <x:c r="C245" s="489" t="str">
        <x:v>General Câmara</x:v>
      </x:c>
      <x:c r="D245" s="489" t="str">
        <x:v>Prefeitura Municipal de General Câmara</x:v>
      </x:c>
      <x:c r="E245" s="489" t="str">
        <x:v>Prefeitura Municipal</x:v>
      </x:c>
      <x:c r="F245" s="489" t="str">
        <x:v>41160003</x:v>
      </x:c>
      <x:c r="G245" s="489" t="str">
        <x:v>41160003-2024</x:v>
      </x:c>
      <x:c r="H245" s="489" t="str">
        <x:v>Informado/corrigido a partir do mapa</x:v>
      </x:c>
      <x:c r="I245" s="503" t="n">
        <x:v>199773</x:v>
      </x:c>
      <x:c r="J245" s="503" t="n">
        <x:v>199773</x:v>
      </x:c>
      <x:c r="K245" s="489" t="str">
        <x:v>Emenda Individual</x:v>
      </x:c>
      <x:c r="L245" s="489"/>
      <x:c r="M245" s="503" t="n">
        <x:v>199773</x:v>
      </x:c>
      <x:c r="N245" s="503" t="n">
        <x:v>0</x:v>
      </x:c>
      <x:c r="O245" s="503" t="n">
        <x:v>0</x:v>
      </x:c>
      <x:c r="P245" s="503" t="n">
        <x:v>0</x:v>
      </x:c>
      <x:c r="Q245" s="503" t="n">
        <x:v>0</x:v>
      </x:c>
      <x:c r="R245" s="489" t="str"/>
      <x:c r="S245" s="489" t="str">
        <x:v>11980648000198</x:v>
      </x:c>
      <x:c r="T245" s="489" t="str">
        <x:v>CONFIRMADO</x:v>
      </x:c>
      <x:c r="U245" s="489" t="str">
        <x:v>Baixa</x:v>
      </x:c>
      <x:c r="V245" s="489" t="str">
        <x:v>Preencher situação: há pagamento identificado na fonte pública; CNPJ candidato na fonte SIGA: 11980648000198</x:v>
      </x:c>
      <x:c r="W245" s="489" t="str">
        <x:v>Valor do grupo fecha com: SIGA pago favorecido</x:v>
      </x:c>
      <x:c r="X245" s="489" t="str"/>
    </x:row>
    <x:row r="246">
      <x:c r="A246" s="502" t="n">
        <x:v>246</x:v>
      </x:c>
      <x:c r="B246" s="502" t="n">
        <x:v>2024</x:v>
      </x:c>
      <x:c r="C246" s="489" t="str">
        <x:v>São José do Norte</x:v>
      </x:c>
      <x:c r="D246" s="489" t="str">
        <x:v>Prefeitura Municipal de São José do Norte</x:v>
      </x:c>
      <x:c r="E246" s="489" t="str">
        <x:v>Prefeitura Municipal</x:v>
      </x:c>
      <x:c r="F246" s="489" t="str">
        <x:v>41160004</x:v>
      </x:c>
      <x:c r="G246" s="489" t="str">
        <x:v>41160004-2024</x:v>
      </x:c>
      <x:c r="H246" s="489" t="str">
        <x:v>Informado/corrigido a partir do mapa</x:v>
      </x:c>
      <x:c r="I246" s="503" t="n">
        <x:v>199871</x:v>
      </x:c>
      <x:c r="J246" s="503" t="n">
        <x:v>199871</x:v>
      </x:c>
      <x:c r="K246" s="489" t="str">
        <x:v>Emenda Individual</x:v>
      </x:c>
      <x:c r="L246" s="489"/>
      <x:c r="M246" s="503" t="n">
        <x:v>199871</x:v>
      </x:c>
      <x:c r="N246" s="503" t="n">
        <x:v>0</x:v>
      </x:c>
      <x:c r="O246" s="503" t="n">
        <x:v>0</x:v>
      </x:c>
      <x:c r="P246" s="503" t="n">
        <x:v>0</x:v>
      </x:c>
      <x:c r="Q246" s="503" t="n">
        <x:v>0</x:v>
      </x:c>
      <x:c r="R246" s="489" t="str"/>
      <x:c r="S246" s="489" t="str">
        <x:v>12071532000107</x:v>
      </x:c>
      <x:c r="T246" s="489" t="str">
        <x:v>CONFIRMADO</x:v>
      </x:c>
      <x:c r="U246" s="489" t="str">
        <x:v>Baixa</x:v>
      </x:c>
      <x:c r="V246" s="489" t="str">
        <x:v>Preencher situação: há pagamento identificado na fonte pública; CNPJ candidato na fonte SIGA: 12071532000107</x:v>
      </x:c>
      <x:c r="W246" s="489" t="str">
        <x:v>Valor do grupo fecha com: SIGA pago favorecido</x:v>
      </x:c>
      <x:c r="X246" s="489" t="str"/>
    </x:row>
    <x:row r="247">
      <x:c r="A247" s="502" t="n">
        <x:v>247</x:v>
      </x:c>
      <x:c r="B247" s="502" t="n">
        <x:v>2024</x:v>
      </x:c>
      <x:c r="C247" s="489" t="str">
        <x:v>Arroio do Tigre</x:v>
      </x:c>
      <x:c r="D247" s="489" t="str">
        <x:v>Prefeitura Municipal de Arroio do Tigre</x:v>
      </x:c>
      <x:c r="E247" s="489" t="str">
        <x:v>Prefeitura Municipal</x:v>
      </x:c>
      <x:c r="F247" s="489" t="str">
        <x:v>41160003</x:v>
      </x:c>
      <x:c r="G247" s="489" t="str">
        <x:v>41160003-2024</x:v>
      </x:c>
      <x:c r="H247" s="489" t="str">
        <x:v>Informado/corrigido a partir do mapa</x:v>
      </x:c>
      <x:c r="I247" s="503" t="n">
        <x:v>199918</x:v>
      </x:c>
      <x:c r="J247" s="503" t="n">
        <x:v>199918</x:v>
      </x:c>
      <x:c r="K247" s="489" t="str">
        <x:v>Emenda Individual</x:v>
      </x:c>
      <x:c r="L247" s="489"/>
      <x:c r="M247" s="503" t="n">
        <x:v>199918</x:v>
      </x:c>
      <x:c r="N247" s="503" t="n">
        <x:v>0</x:v>
      </x:c>
      <x:c r="O247" s="503" t="n">
        <x:v>0</x:v>
      </x:c>
      <x:c r="P247" s="503" t="n">
        <x:v>0</x:v>
      </x:c>
      <x:c r="Q247" s="503" t="n">
        <x:v>0</x:v>
      </x:c>
      <x:c r="R247" s="489" t="str"/>
      <x:c r="S247" s="489" t="str">
        <x:v>11997264000188</x:v>
      </x:c>
      <x:c r="T247" s="489" t="str">
        <x:v>CONFIRMADO</x:v>
      </x:c>
      <x:c r="U247" s="489" t="str">
        <x:v>Baixa</x:v>
      </x:c>
      <x:c r="V247" s="489" t="str">
        <x:v>Preencher situação: há pagamento identificado na fonte pública; CNPJ candidato na fonte SIGA: 11997264000188</x:v>
      </x:c>
      <x:c r="W247" s="489" t="str">
        <x:v>Valor do grupo fecha com: SIGA pago favorecido</x:v>
      </x:c>
      <x:c r="X247" s="489" t="str"/>
    </x:row>
    <x:row r="248">
      <x:c r="A248" s="502" t="n">
        <x:v>248</x:v>
      </x:c>
      <x:c r="B248" s="502" t="n">
        <x:v>2024</x:v>
      </x:c>
      <x:c r="C248" s="489" t="str">
        <x:v>Encantado</x:v>
      </x:c>
      <x:c r="D248" s="489" t="str">
        <x:v>Prefeitura Municipal de Encantado</x:v>
      </x:c>
      <x:c r="E248" s="489" t="str">
        <x:v>Prefeitura Municipal</x:v>
      </x:c>
      <x:c r="F248" s="489" t="str">
        <x:v>41160003</x:v>
      </x:c>
      <x:c r="G248" s="489" t="str">
        <x:v>41160003-2024</x:v>
      </x:c>
      <x:c r="H248" s="489" t="str">
        <x:v>Informado/corrigido a partir do mapa</x:v>
      </x:c>
      <x:c r="I248" s="503" t="n">
        <x:v>199986</x:v>
      </x:c>
      <x:c r="J248" s="503" t="n">
        <x:v>199986</x:v>
      </x:c>
      <x:c r="K248" s="489" t="str">
        <x:v>Emenda Individual</x:v>
      </x:c>
      <x:c r="L248" s="489"/>
      <x:c r="M248" s="503" t="n">
        <x:v>199986</x:v>
      </x:c>
      <x:c r="N248" s="503" t="n">
        <x:v>0</x:v>
      </x:c>
      <x:c r="O248" s="503" t="n">
        <x:v>0</x:v>
      </x:c>
      <x:c r="P248" s="503" t="n">
        <x:v>0</x:v>
      </x:c>
      <x:c r="Q248" s="503" t="n">
        <x:v>0</x:v>
      </x:c>
      <x:c r="R248" s="489" t="str"/>
      <x:c r="S248" s="489" t="str">
        <x:v>12149722000191</x:v>
      </x:c>
      <x:c r="T248" s="489" t="str">
        <x:v>CONFIRMADO</x:v>
      </x:c>
      <x:c r="U248" s="489" t="str">
        <x:v>Baixa</x:v>
      </x:c>
      <x:c r="V248" s="489" t="str">
        <x:v>Preencher situação: há pagamento identificado na fonte pública; CNPJ candidato na fonte SIGA: 12149722000191</x:v>
      </x:c>
      <x:c r="W248" s="489" t="str">
        <x:v>Valor do grupo fecha com: SIGA pago favorecido</x:v>
      </x:c>
      <x:c r="X248" s="489" t="str"/>
    </x:row>
    <x:row r="249">
      <x:c r="A249" s="502" t="n">
        <x:v>249</x:v>
      </x:c>
      <x:c r="B249" s="502" t="n">
        <x:v>2024</x:v>
      </x:c>
      <x:c r="C249" s="489" t="str">
        <x:v>Santa Maria</x:v>
      </x:c>
      <x:c r="D249" s="489" t="str">
        <x:v>Prefeitura Municipal de Santa Maria</x:v>
      </x:c>
      <x:c r="E249" s="489" t="str">
        <x:v>Prefeitura Municipal</x:v>
      </x:c>
      <x:c r="F249" s="489" t="str">
        <x:v>41160003</x:v>
      </x:c>
      <x:c r="G249" s="489" t="str">
        <x:v>41160003-2024</x:v>
      </x:c>
      <x:c r="H249" s="489" t="str">
        <x:v>Informado/corrigido a partir do mapa</x:v>
      </x:c>
      <x:c r="I249" s="503" t="n">
        <x:v>199989</x:v>
      </x:c>
      <x:c r="J249" s="503" t="n">
        <x:v>199989</x:v>
      </x:c>
      <x:c r="K249" s="489" t="str">
        <x:v>Emenda Individual</x:v>
      </x:c>
      <x:c r="L249" s="489"/>
      <x:c r="M249" s="503" t="n">
        <x:v>199989</x:v>
      </x:c>
      <x:c r="N249" s="503" t="n">
        <x:v>0</x:v>
      </x:c>
      <x:c r="O249" s="503" t="n">
        <x:v>0</x:v>
      </x:c>
      <x:c r="P249" s="503" t="n">
        <x:v>0</x:v>
      </x:c>
      <x:c r="Q249" s="503" t="n">
        <x:v>0</x:v>
      </x:c>
      <x:c r="R249" s="489" t="str"/>
      <x:c r="S249" s="489" t="str">
        <x:v>12964512000157</x:v>
      </x:c>
      <x:c r="T249" s="489" t="str">
        <x:v>CONFIRMADO</x:v>
      </x:c>
      <x:c r="U249" s="489" t="str">
        <x:v>Baixa</x:v>
      </x:c>
      <x:c r="V249" s="489" t="str">
        <x:v>Preencher situação: há pagamento identificado na fonte pública; CNPJ candidato na fonte SIGA: 12964512000157</x:v>
      </x:c>
      <x:c r="W249" s="489" t="str">
        <x:v>Valor do grupo fecha com: SIGA pago favorecido</x:v>
      </x:c>
      <x:c r="X249" s="489" t="str"/>
    </x:row>
    <x:row r="250">
      <x:c r="A250" s="502" t="n">
        <x:v>250</x:v>
      </x:c>
      <x:c r="B250" s="502" t="n">
        <x:v>2024</x:v>
      </x:c>
      <x:c r="C250" s="489" t="str">
        <x:v>Nova Santa Rita</x:v>
      </x:c>
      <x:c r="D250" s="489" t="str">
        <x:v>Prefeitura Municipal de Nova Santa Rita</x:v>
      </x:c>
      <x:c r="E250" s="489" t="str">
        <x:v>Prefeitura Municipal</x:v>
      </x:c>
      <x:c r="F250" s="489" t="str">
        <x:v>41160004</x:v>
      </x:c>
      <x:c r="G250" s="489" t="str">
        <x:v>41160004-2024</x:v>
      </x:c>
      <x:c r="H250" s="489" t="str">
        <x:v>Informado/corrigido a partir do mapa</x:v>
      </x:c>
      <x:c r="I250" s="503" t="n">
        <x:v>199999</x:v>
      </x:c>
      <x:c r="J250" s="503" t="n">
        <x:v>199999</x:v>
      </x:c>
      <x:c r="K250" s="489" t="str">
        <x:v>Emenda Individual</x:v>
      </x:c>
      <x:c r="L250" s="489"/>
      <x:c r="M250" s="503" t="n">
        <x:v>199999</x:v>
      </x:c>
      <x:c r="N250" s="503" t="n">
        <x:v>0</x:v>
      </x:c>
      <x:c r="O250" s="503" t="n">
        <x:v>0</x:v>
      </x:c>
      <x:c r="P250" s="503" t="n">
        <x:v>0</x:v>
      </x:c>
      <x:c r="Q250" s="503" t="n">
        <x:v>0</x:v>
      </x:c>
      <x:c r="R250" s="489" t="str"/>
      <x:c r="S250" s="489" t="str">
        <x:v>11922360000167</x:v>
      </x:c>
      <x:c r="T250" s="489" t="str">
        <x:v>CONFIRMADO</x:v>
      </x:c>
      <x:c r="U250" s="489" t="str">
        <x:v>Baixa</x:v>
      </x:c>
      <x:c r="V250" s="489" t="str">
        <x:v>Preencher situação: há pagamento identificado na fonte pública; CNPJ candidato na fonte SIGA: 11922360000167</x:v>
      </x:c>
      <x:c r="W250" s="489" t="str">
        <x:v>Valor do grupo fecha com: SIGA pago favorecido</x:v>
      </x:c>
      <x:c r="X250" s="489" t="str"/>
    </x:row>
    <x:row r="251">
      <x:c r="A251" s="502" t="n">
        <x:v>251</x:v>
      </x:c>
      <x:c r="B251" s="502" t="n">
        <x:v>2020</x:v>
      </x:c>
      <x:c r="C251" s="489" t="str">
        <x:v>Caxias do sul</x:v>
      </x:c>
      <x:c r="D251" s="489" t="str">
        <x:v>Hospital</x:v>
      </x:c>
      <x:c r="E251" s="489" t="str">
        <x:v>Hospital Geral de Caxias do Sul</x:v>
      </x:c>
      <x:c r="F251" s="489" t="str">
        <x:v>41160005</x:v>
      </x:c>
      <x:c r="G251" s="489" t="str">
        <x:v>41160005-2020</x:v>
      </x:c>
      <x:c r="H251" s="489" t="str">
        <x:v>Informado/corrigido a partir do mapa</x:v>
      </x:c>
      <x:c r="I251" s="503" t="n">
        <x:v>200000</x:v>
      </x:c>
      <x:c r="J251" s="503" t="n">
        <x:v>500000</x:v>
      </x:c>
      <x:c r="K251" s="489" t="str">
        <x:v>Emenda Individual (processo seletivo)</x:v>
      </x:c>
      <x:c r="L251" s="489" t="str">
        <x:v>Recurso pago</x:v>
      </x:c>
      <x:c r="M251" s="503" t="n">
        <x:v>500000</x:v>
      </x:c>
      <x:c r="N251" s="503" t="n">
        <x:v>0</x:v>
      </x:c>
      <x:c r="O251" s="503" t="n">
        <x:v>0</x:v>
      </x:c>
      <x:c r="P251" s="503" t="n">
        <x:v>0</x:v>
      </x:c>
      <x:c r="Q251" s="503" t="n">
        <x:v>0</x:v>
      </x:c>
      <x:c r="R251" s="489" t="str"/>
      <x:c r="S251" s="489" t="str">
        <x:v>10546325000128</x:v>
      </x:c>
      <x:c r="T251" s="489" t="str">
        <x:v>CONFIRMADO</x:v>
      </x:c>
      <x:c r="U251" s="489" t="str">
        <x:v>Baixa</x:v>
      </x:c>
      <x:c r="V251" s="489" t="str">
        <x:v>CNPJ candidato na fonte SIGA: 10546325000128</x:v>
      </x:c>
      <x:c r="W251" s="489" t="str">
        <x:v>Valor do grupo fecha com: SIGA pago favorecido</x:v>
      </x:c>
      <x:c r="X251" s="489" t="str"/>
    </x:row>
    <x:row r="252">
      <x:c r="A252" s="502" t="n">
        <x:v>252</x:v>
      </x:c>
      <x:c r="B252" s="502" t="n">
        <x:v>2020</x:v>
      </x:c>
      <x:c r="C252" s="489" t="str">
        <x:v>Farroupilha</x:v>
      </x:c>
      <x:c r="D252" s="489" t="str">
        <x:v>Hospital</x:v>
      </x:c>
      <x:c r="E252" s="489" t="str">
        <x:v>Hospital Beneficente São Carlos</x:v>
      </x:c>
      <x:c r="F252" s="489" t="str">
        <x:v>41160005</x:v>
      </x:c>
      <x:c r="G252" s="489" t="str">
        <x:v>41160005-2020</x:v>
      </x:c>
      <x:c r="H252" s="489" t="str">
        <x:v>Informado/corrigido a partir do mapa</x:v>
      </x:c>
      <x:c r="I252" s="503" t="n">
        <x:v>200000</x:v>
      </x:c>
      <x:c r="J252" s="503" t="n">
        <x:v>200000</x:v>
      </x:c>
      <x:c r="K252" s="489" t="str">
        <x:v>Emenda Individual (processo seletivo)</x:v>
      </x:c>
      <x:c r="L252" s="489" t="str">
        <x:v>Recurso pago</x:v>
      </x:c>
      <x:c r="M252" s="503" t="n">
        <x:v>200000</x:v>
      </x:c>
      <x:c r="N252" s="503" t="n">
        <x:v>0</x:v>
      </x:c>
      <x:c r="O252" s="503" t="n">
        <x:v>0</x:v>
      </x:c>
      <x:c r="P252" s="503" t="n">
        <x:v>0</x:v>
      </x:c>
      <x:c r="Q252" s="503" t="n">
        <x:v>0</x:v>
      </x:c>
      <x:c r="R252" s="489" t="str"/>
      <x:c r="S252" s="489" t="str">
        <x:v>14296302000163</x:v>
      </x:c>
      <x:c r="T252" s="489" t="str">
        <x:v>CONFIRMADO</x:v>
      </x:c>
      <x:c r="U252" s="489" t="str">
        <x:v>Baixa</x:v>
      </x:c>
      <x:c r="V252" s="489" t="str">
        <x:v>CNPJ candidato na fonte SIGA: 14296302000163</x:v>
      </x:c>
      <x:c r="W252" s="489" t="str">
        <x:v>Valor do grupo fecha com: SIGA pago favorecido</x:v>
      </x:c>
      <x:c r="X252" s="489" t="str"/>
    </x:row>
    <x:row r="253">
      <x:c r="A253" s="502" t="n">
        <x:v>253</x:v>
      </x:c>
      <x:c r="B253" s="502" t="n">
        <x:v>2020</x:v>
      </x:c>
      <x:c r="C253" s="489" t="str">
        <x:v>Júlio de Castilhos</x:v>
      </x:c>
      <x:c r="D253" s="489" t="str">
        <x:v>Hospital</x:v>
      </x:c>
      <x:c r="E253" s="489" t="str">
        <x:v>Hospital Bernardina Salles de Barros</x:v>
      </x:c>
      <x:c r="F253" s="489" t="str">
        <x:v>41160005</x:v>
      </x:c>
      <x:c r="G253" s="489" t="str">
        <x:v>41160005-2020</x:v>
      </x:c>
      <x:c r="H253" s="489" t="str">
        <x:v>Informado/corrigido a partir do mapa</x:v>
      </x:c>
      <x:c r="I253" s="503" t="n">
        <x:v>200000</x:v>
      </x:c>
      <x:c r="J253" s="503" t="n">
        <x:v>200000</x:v>
      </x:c>
      <x:c r="K253" s="489" t="str">
        <x:v>Emenda Individual (processo seletivo)</x:v>
      </x:c>
      <x:c r="L253" s="489" t="str">
        <x:v>Recurso pago</x:v>
      </x:c>
      <x:c r="M253" s="503" t="n">
        <x:v>0</x:v>
      </x:c>
      <x:c r="N253" s="503" t="n">
        <x:v>0</x:v>
      </x:c>
      <x:c r="O253" s="503" t="n">
        <x:v>0</x:v>
      </x:c>
      <x:c r="P253" s="503" t="n">
        <x:v>0</x:v>
      </x:c>
      <x:c r="Q253" s="503" t="n">
        <x:v>0</x:v>
      </x:c>
      <x:c r="R253" s="489" t="str"/>
      <x:c r="S253" s="489" t="str"/>
      <x:c r="T253" s="489" t="str">
        <x:v>EMENDA CONFIRMADA; DESTINO NÃO CONFIRMADO</x:v>
      </x:c>
      <x:c r="U253" s="489" t="str">
        <x:v>Média</x:v>
      </x:c>
      <x:c r="V253" s="489" t="str"/>
      <x:c r="W253" s="489" t="str">
        <x:v>Nº existe no SIGA; destinatário específico não foi confirmado nas bases anexas</x:v>
      </x:c>
      <x:c r="X253" s="489" t="str"/>
    </x:row>
    <x:row r="254">
      <x:c r="A254" s="502" t="n">
        <x:v>254</x:v>
      </x:c>
      <x:c r="B254" s="502" t="n">
        <x:v>2020</x:v>
      </x:c>
      <x:c r="C254" s="489" t="str">
        <x:v>Lajeado</x:v>
      </x:c>
      <x:c r="D254" s="489" t="str">
        <x:v>Hospital</x:v>
      </x:c>
      <x:c r="E254" s="489" t="str">
        <x:v>Soc. Beneficência e Caridade de Lajeado (Hosp. Bruno Born)</x:v>
      </x:c>
      <x:c r="F254" s="489" t="str">
        <x:v>41160005</x:v>
      </x:c>
      <x:c r="G254" s="489" t="str">
        <x:v>41160005-2020</x:v>
      </x:c>
      <x:c r="H254" s="489" t="str">
        <x:v>Informado/corrigido a partir do mapa</x:v>
      </x:c>
      <x:c r="I254" s="503" t="n">
        <x:v>200000</x:v>
      </x:c>
      <x:c r="J254" s="503" t="n">
        <x:v>200000</x:v>
      </x:c>
      <x:c r="K254" s="489" t="str">
        <x:v>Emenda Individual (processo seletivo)</x:v>
      </x:c>
      <x:c r="L254" s="489" t="str">
        <x:v>Recurso pago</x:v>
      </x:c>
      <x:c r="M254" s="503" t="n">
        <x:v>200000</x:v>
      </x:c>
      <x:c r="N254" s="503" t="n">
        <x:v>0</x:v>
      </x:c>
      <x:c r="O254" s="503" t="n">
        <x:v>0</x:v>
      </x:c>
      <x:c r="P254" s="503" t="n">
        <x:v>0</x:v>
      </x:c>
      <x:c r="Q254" s="503" t="n">
        <x:v>0</x:v>
      </x:c>
      <x:c r="R254" s="489" t="str"/>
      <x:c r="S254" s="489" t="str">
        <x:v>10502833000104</x:v>
      </x:c>
      <x:c r="T254" s="489" t="str">
        <x:v>CONFIRMADO</x:v>
      </x:c>
      <x:c r="U254" s="489" t="str">
        <x:v>Baixa</x:v>
      </x:c>
      <x:c r="V254" s="489" t="str">
        <x:v>CNPJ candidato na fonte SIGA: 10502833000104</x:v>
      </x:c>
      <x:c r="W254" s="489" t="str">
        <x:v>Valor do grupo fecha com: SIGA pago favorecido</x:v>
      </x:c>
      <x:c r="X254" s="489" t="str"/>
    </x:row>
    <x:row r="255">
      <x:c r="A255" s="502" t="n">
        <x:v>255</x:v>
      </x:c>
      <x:c r="B255" s="502" t="n">
        <x:v>2020</x:v>
      </x:c>
      <x:c r="C255" s="489" t="str">
        <x:v>Novo Hamburgo</x:v>
      </x:c>
      <x:c r="D255" s="489" t="str">
        <x:v>Hospital</x:v>
      </x:c>
      <x:c r="E255" s="489" t="str">
        <x:v>ACSC - Hospital Regina</x:v>
      </x:c>
      <x:c r="F255" s="489" t="str">
        <x:v>41160005</x:v>
      </x:c>
      <x:c r="G255" s="489" t="str">
        <x:v>41160005-2020</x:v>
      </x:c>
      <x:c r="H255" s="489" t="str">
        <x:v>Informado/corrigido a partir do mapa</x:v>
      </x:c>
      <x:c r="I255" s="503" t="n">
        <x:v>200000</x:v>
      </x:c>
      <x:c r="J255" s="503" t="n">
        <x:v>300000</x:v>
      </x:c>
      <x:c r="K255" s="489" t="str">
        <x:v>Emenda Individual (processo seletivo)</x:v>
      </x:c>
      <x:c r="L255" s="489" t="str">
        <x:v>Recurso pago</x:v>
      </x:c>
      <x:c r="M255" s="503" t="n">
        <x:v>300000</x:v>
      </x:c>
      <x:c r="N255" s="503" t="n">
        <x:v>0</x:v>
      </x:c>
      <x:c r="O255" s="503" t="n">
        <x:v>0</x:v>
      </x:c>
      <x:c r="P255" s="503" t="n">
        <x:v>0</x:v>
      </x:c>
      <x:c r="Q255" s="503" t="n">
        <x:v>0</x:v>
      </x:c>
      <x:c r="R255" s="489" t="str"/>
      <x:c r="S255" s="489" t="str">
        <x:v>11416036000177</x:v>
      </x:c>
      <x:c r="T255" s="489" t="str">
        <x:v>CONFIRMADO</x:v>
      </x:c>
      <x:c r="U255" s="489" t="str">
        <x:v>Baixa</x:v>
      </x:c>
      <x:c r="V255" s="489" t="str">
        <x:v>CNPJ candidato na fonte SIGA: 11416036000177</x:v>
      </x:c>
      <x:c r="W255" s="489" t="str">
        <x:v>Valor do grupo fecha com: SIGA pago favorecido</x:v>
      </x:c>
      <x:c r="X255" s="489" t="str"/>
    </x:row>
    <x:row r="256">
      <x:c r="A256" s="502" t="n">
        <x:v>256</x:v>
      </x:c>
      <x:c r="B256" s="502" t="n">
        <x:v>2020</x:v>
      </x:c>
      <x:c r="C256" s="489" t="str">
        <x:v>Santa Bárbara do Sul</x:v>
      </x:c>
      <x:c r="D256" s="489" t="str">
        <x:v>Hospital</x:v>
      </x:c>
      <x:c r="E256" s="489" t="str">
        <x:v>Hospital Santa Bárbara Beneficente</x:v>
      </x:c>
      <x:c r="F256" s="489" t="str">
        <x:v>41160005</x:v>
      </x:c>
      <x:c r="G256" s="489" t="str">
        <x:v>41160005-2020</x:v>
      </x:c>
      <x:c r="H256" s="489" t="str">
        <x:v>Informado/corrigido a partir do mapa</x:v>
      </x:c>
      <x:c r="I256" s="503" t="n">
        <x:v>200000</x:v>
      </x:c>
      <x:c r="J256" s="503" t="n">
        <x:v>200000</x:v>
      </x:c>
      <x:c r="K256" s="489" t="str">
        <x:v>Emenda Individual</x:v>
      </x:c>
      <x:c r="L256" s="489" t="str">
        <x:v>Recurso pago</x:v>
      </x:c>
      <x:c r="M256" s="503" t="n">
        <x:v>0</x:v>
      </x:c>
      <x:c r="N256" s="503" t="n">
        <x:v>0</x:v>
      </x:c>
      <x:c r="O256" s="503" t="n">
        <x:v>0</x:v>
      </x:c>
      <x:c r="P256" s="503" t="n">
        <x:v>0</x:v>
      </x:c>
      <x:c r="Q256" s="503" t="n">
        <x:v>0</x:v>
      </x:c>
      <x:c r="R256" s="489" t="str"/>
      <x:c r="S256" s="489" t="str"/>
      <x:c r="T256" s="489" t="str">
        <x:v>EMENDA CONFIRMADA; DESTINO NÃO CONFIRMADO</x:v>
      </x:c>
      <x:c r="U256" s="489" t="str">
        <x:v>Média</x:v>
      </x:c>
      <x:c r="V256" s="489" t="str"/>
      <x:c r="W256" s="489" t="str">
        <x:v>Nº existe no SIGA; destinatário específico não foi confirmado nas bases anexas</x:v>
      </x:c>
      <x:c r="X256" s="489" t="str"/>
    </x:row>
    <x:row r="257">
      <x:c r="A257" s="502" t="n">
        <x:v>257</x:v>
      </x:c>
      <x:c r="B257" s="502" t="n">
        <x:v>2020</x:v>
      </x:c>
      <x:c r="C257" s="489" t="str">
        <x:v>Santa Cruz do Sul</x:v>
      </x:c>
      <x:c r="D257" s="489" t="str">
        <x:v>Hospital</x:v>
      </x:c>
      <x:c r="E257" s="489" t="str">
        <x:v>Hospital Ana Nery</x:v>
      </x:c>
      <x:c r="F257" s="489" t="str">
        <x:v>41160005</x:v>
      </x:c>
      <x:c r="G257" s="489" t="str">
        <x:v>41160005-2020</x:v>
      </x:c>
      <x:c r="H257" s="489" t="str">
        <x:v>Informado/corrigido a partir do mapa</x:v>
      </x:c>
      <x:c r="I257" s="503" t="n">
        <x:v>200000</x:v>
      </x:c>
      <x:c r="J257" s="503" t="n">
        <x:v>200000</x:v>
      </x:c>
      <x:c r="K257" s="489" t="str">
        <x:v>Emenda Individual (processo seletivo)</x:v>
      </x:c>
      <x:c r="L257" s="489" t="str">
        <x:v>Recurso pago</x:v>
      </x:c>
      <x:c r="M257" s="503" t="n">
        <x:v>200000</x:v>
      </x:c>
      <x:c r="N257" s="503" t="n">
        <x:v>0</x:v>
      </x:c>
      <x:c r="O257" s="503" t="n">
        <x:v>0</x:v>
      </x:c>
      <x:c r="P257" s="503" t="n">
        <x:v>0</x:v>
      </x:c>
      <x:c r="Q257" s="503" t="n">
        <x:v>0</x:v>
      </x:c>
      <x:c r="R257" s="489" t="str"/>
      <x:c r="S257" s="489" t="str">
        <x:v>11776182000103</x:v>
      </x:c>
      <x:c r="T257" s="489" t="str">
        <x:v>CONFIRMADO</x:v>
      </x:c>
      <x:c r="U257" s="489" t="str">
        <x:v>Baixa</x:v>
      </x:c>
      <x:c r="V257" s="489" t="str">
        <x:v>CNPJ candidato na fonte SIGA: 11776182000103</x:v>
      </x:c>
      <x:c r="W257" s="489" t="str">
        <x:v>Valor do grupo fecha com: SIGA pago favorecido</x:v>
      </x:c>
      <x:c r="X257" s="489" t="str"/>
    </x:row>
    <x:row r="258">
      <x:c r="A258" s="502" t="n">
        <x:v>258</x:v>
      </x:c>
      <x:c r="B258" s="502" t="n">
        <x:v>2020</x:v>
      </x:c>
      <x:c r="C258" s="489" t="str">
        <x:v>São Leopoldo</x:v>
      </x:c>
      <x:c r="D258" s="489" t="str">
        <x:v>Hospital</x:v>
      </x:c>
      <x:c r="E258" s="489" t="str">
        <x:v>Fundação Hospital Centenário</x:v>
      </x:c>
      <x:c r="F258" s="489" t="str">
        <x:v>41160005</x:v>
      </x:c>
      <x:c r="G258" s="489" t="str">
        <x:v>41160005-2020</x:v>
      </x:c>
      <x:c r="H258" s="489" t="str">
        <x:v>Informado/corrigido a partir do mapa</x:v>
      </x:c>
      <x:c r="I258" s="503" t="n">
        <x:v>200000</x:v>
      </x:c>
      <x:c r="J258" s="503" t="n">
        <x:v>200000</x:v>
      </x:c>
      <x:c r="K258" s="489" t="str">
        <x:v>Emenda Individual (processo seletivo)</x:v>
      </x:c>
      <x:c r="L258" s="489" t="str">
        <x:v>Recurso pago</x:v>
      </x:c>
      <x:c r="M258" s="503" t="n">
        <x:v>200000</x:v>
      </x:c>
      <x:c r="N258" s="503" t="n">
        <x:v>0</x:v>
      </x:c>
      <x:c r="O258" s="503" t="n">
        <x:v>0</x:v>
      </x:c>
      <x:c r="P258" s="503" t="n">
        <x:v>0</x:v>
      </x:c>
      <x:c r="Q258" s="503" t="n">
        <x:v>0</x:v>
      </x:c>
      <x:c r="R258" s="489" t="str"/>
      <x:c r="S258" s="489" t="str">
        <x:v>12625868000166</x:v>
      </x:c>
      <x:c r="T258" s="489" t="str">
        <x:v>CONFIRMADO</x:v>
      </x:c>
      <x:c r="U258" s="489" t="str">
        <x:v>Baixa</x:v>
      </x:c>
      <x:c r="V258" s="489" t="str">
        <x:v>CNPJ candidato na fonte SIGA: 12625868000166</x:v>
      </x:c>
      <x:c r="W258" s="489" t="str">
        <x:v>Valor do grupo fecha com: SIGA pago favorecido</x:v>
      </x:c>
      <x:c r="X258" s="489" t="str"/>
    </x:row>
    <x:row r="259">
      <x:c r="A259" s="502" t="n">
        <x:v>259</x:v>
      </x:c>
      <x:c r="B259" s="502" t="n">
        <x:v>2021</x:v>
      </x:c>
      <x:c r="C259" s="489" t="str">
        <x:v>Passo Fundo</x:v>
      </x:c>
      <x:c r="D259" s="489" t="str">
        <x:v>Hospital</x:v>
      </x:c>
      <x:c r="E259" s="489" t="str">
        <x:v>
Hospital Beneficente Dr. Cesar Santos</x:v>
      </x:c>
      <x:c r="F259" s="489" t="str">
        <x:v>41160002</x:v>
      </x:c>
      <x:c r="G259" s="489" t="str">
        <x:v>41160002-2021</x:v>
      </x:c>
      <x:c r="H259" s="489" t="str">
        <x:v>Informado/corrigido a partir do mapa</x:v>
      </x:c>
      <x:c r="I259" s="503" t="n">
        <x:v>200000</x:v>
      </x:c>
      <x:c r="J259" s="503" t="n">
        <x:v>200000</x:v>
      </x:c>
      <x:c r="K259" s="489" t="str">
        <x:v>Emenda individual</x:v>
      </x:c>
      <x:c r="L259" s="489" t="str">
        <x:v>Recurso pago</x:v>
      </x:c>
      <x:c r="M259" s="503" t="n">
        <x:v>98169</x:v>
      </x:c>
      <x:c r="N259" s="503" t="n">
        <x:v>0</x:v>
      </x:c>
      <x:c r="O259" s="503" t="n">
        <x:v>307389</x:v>
      </x:c>
      <x:c r="P259" s="503" t="n">
        <x:v>0</x:v>
      </x:c>
      <x:c r="Q259" s="503" t="n">
        <x:v>0</x:v>
      </x:c>
      <x:c r="R259" s="489" t="str"/>
      <x:c r="S259" s="489" t="str">
        <x:v>92032226000192</x:v>
      </x:c>
      <x:c r="T259" s="489" t="str">
        <x:v>VALOR DIVERGENTE / COBERTURA DIFERENTE</x:v>
      </x:c>
      <x:c r="U259" s="489" t="str">
        <x:v>Alta</x:v>
      </x:c>
      <x:c r="V259" s="489" t="str">
        <x:v>CNPJ candidato na fonte SIGA: 92032226000192</x:v>
      </x:c>
      <x:c r="W259" s="489" t="str">
        <x:v>Município/localidade encontrado em fonte comparável, mas valor não fecha exatamente</x:v>
      </x:c>
      <x:c r="X259" s="489" t="str">
        <x:v>https://discricionarias.transferegov.sistema.gov.br/voluntarias/ConsultarProposta/ResultadoDaConsultaDeConvenioSelecionarConvenio.do?sequencialConvenio=922005&amp;Usr=guest&amp;Pwd=guest | https://discricionarias.transferegov.sistema.gov.br/voluntarias/ConsultarProposta/ResultadoDaConsultaDeConvenioSelecionarConvenio.do?sequencialConvenio=925467&amp;Usr=guest&amp;Pwd=guest</x:v>
      </x:c>
    </x:row>
    <x:row r="260">
      <x:c r="A260" s="502" t="n">
        <x:v>260</x:v>
      </x:c>
      <x:c r="B260" s="502" t="n">
        <x:v>2021</x:v>
      </x:c>
      <x:c r="C260" s="489" t="str">
        <x:v>Porto Lucena</x:v>
      </x:c>
      <x:c r="D260" s="489"/>
      <x:c r="E260" s="489"/>
      <x:c r="F260" s="489" t="str"/>
      <x:c r="G260" s="489" t="str"/>
      <x:c r="H260" s="489" t="str">
        <x:v>Sem nº conciliado</x:v>
      </x:c>
      <x:c r="I260" s="503" t="n">
        <x:v>200000</x:v>
      </x:c>
      <x:c r="J260" s="503" t="n">
        <x:v>200000</x:v>
      </x:c>
      <x:c r="K260" s="489" t="str">
        <x:v>Emenda individual (processo seletivo)</x:v>
      </x:c>
      <x:c r="L260" s="489" t="str">
        <x:v>Indicado</x:v>
      </x:c>
      <x:c r="M260" s="503" t="n">
        <x:v>0</x:v>
      </x:c>
      <x:c r="N260" s="503" t="n">
        <x:v>0</x:v>
      </x:c>
      <x:c r="O260" s="503" t="n">
        <x:v>0</x:v>
      </x:c>
      <x:c r="P260" s="503" t="n">
        <x:v>0</x:v>
      </x:c>
      <x:c r="Q260" s="503" t="n">
        <x:v>0</x:v>
      </x:c>
      <x:c r="R260" s="489" t="str"/>
      <x:c r="S260" s="489" t="str"/>
      <x:c r="T260" s="489" t="str">
        <x:v>SEM Nº / NÃO CONCILIADO</x:v>
      </x:c>
      <x:c r="U260" s="489" t="str">
        <x:v>Média</x:v>
      </x:c>
      <x:c r="V260" s="489" t="str"/>
      <x:c r="W260" s="489" t="str"/>
      <x:c r="X260" s="489" t="str"/>
    </x:row>
    <x:row r="261">
      <x:c r="A261" s="502" t="n">
        <x:v>261</x:v>
      </x:c>
      <x:c r="B261" s="502" t="n">
        <x:v>2021</x:v>
      </x:c>
      <x:c r="C261" s="489" t="str">
        <x:v>São Borja</x:v>
      </x:c>
      <x:c r="D261" s="489" t="str">
        <x:v>Prefeitura</x:v>
      </x:c>
      <x:c r="E261" s="489" t="str">
        <x:v>Prefeitura Municipal</x:v>
      </x:c>
      <x:c r="F261" s="489" t="str">
        <x:v>41160002</x:v>
      </x:c>
      <x:c r="G261" s="489" t="str">
        <x:v>41160002-2021</x:v>
      </x:c>
      <x:c r="H261" s="489" t="str">
        <x:v>Informado/corrigido a partir do mapa</x:v>
      </x:c>
      <x:c r="I261" s="503" t="n">
        <x:v>200000</x:v>
      </x:c>
      <x:c r="J261" s="503" t="n">
        <x:v>200000</x:v>
      </x:c>
      <x:c r="K261" s="489" t="str">
        <x:v>Emenda individual (processo seletivo)</x:v>
      </x:c>
      <x:c r="L261" s="489" t="str">
        <x:v>Recurso pago</x:v>
      </x:c>
      <x:c r="M261" s="503" t="n">
        <x:v>198224</x:v>
      </x:c>
      <x:c r="N261" s="503" t="n">
        <x:v>0</x:v>
      </x:c>
      <x:c r="O261" s="503" t="n">
        <x:v>0</x:v>
      </x:c>
      <x:c r="P261" s="503" t="n">
        <x:v>0</x:v>
      </x:c>
      <x:c r="Q261" s="503" t="n">
        <x:v>0</x:v>
      </x:c>
      <x:c r="R261" s="489" t="str"/>
      <x:c r="S261" s="489" t="str">
        <x:v>10610784000123</x:v>
      </x:c>
      <x:c r="T261" s="489" t="str">
        <x:v>VALOR DIVERGENTE / COBERTURA DIFERENTE</x:v>
      </x:c>
      <x:c r="U261" s="489" t="str">
        <x:v>Média</x:v>
      </x:c>
      <x:c r="V261" s="489" t="str">
        <x:v>CNPJ candidato na fonte SIGA: 10610784000123</x:v>
      </x:c>
      <x:c r="W261" s="489" t="str">
        <x:v>Município/localidade encontrado em fonte comparável, mas valor não fecha exatamente</x:v>
      </x:c>
      <x:c r="X261" s="489" t="str"/>
    </x:row>
    <x:row r="262">
      <x:c r="A262" s="502" t="n">
        <x:v>262</x:v>
      </x:c>
      <x:c r="B262" s="502" t="n">
        <x:v>2022</x:v>
      </x:c>
      <x:c r="C262" s="489" t="str">
        <x:v>Cachoeira do Sul</x:v>
      </x:c>
      <x:c r="D262" s="489" t="str">
        <x:v>Hospital</x:v>
      </x:c>
      <x:c r="E262" s="489" t="str">
        <x:v>Hospital de Caridade e Beneficência de Cachoeira do Sul</x:v>
      </x:c>
      <x:c r="F262" s="489" t="str">
        <x:v>7120004</x:v>
      </x:c>
      <x:c r="G262" s="489" t="str">
        <x:v>7120004-2022</x:v>
      </x:c>
      <x:c r="H262" s="489" t="str">
        <x:v>Informado/corrigido a partir do mapa</x:v>
      </x:c>
      <x:c r="I262" s="503" t="n">
        <x:v>200000</x:v>
      </x:c>
      <x:c r="J262" s="503" t="n">
        <x:v>200000</x:v>
      </x:c>
      <x:c r="K262" s="489" t="str">
        <x:v>Emenda de bancada (processo seletivo)</x:v>
      </x:c>
      <x:c r="L262" s="489" t="str">
        <x:v>Recurso pago</x:v>
      </x:c>
      <x:c r="M262" s="503" t="n">
        <x:v>0</x:v>
      </x:c>
      <x:c r="N262" s="503" t="n">
        <x:v>0</x:v>
      </x:c>
      <x:c r="O262" s="503" t="n">
        <x:v>0</x:v>
      </x:c>
      <x:c r="P262" s="503" t="n">
        <x:v>0</x:v>
      </x:c>
      <x:c r="Q262" s="503" t="n">
        <x:v>0</x:v>
      </x:c>
      <x:c r="R262" s="489" t="str"/>
      <x:c r="S262" s="489" t="str"/>
      <x:c r="T262" s="489" t="str">
        <x:v>Nº NÃO LOCALIZADO</x:v>
      </x:c>
      <x:c r="U262" s="489" t="str">
        <x:v>Média</x:v>
      </x:c>
      <x:c r="V262" s="489" t="str"/>
      <x:c r="W262" s="489" t="str"/>
      <x:c r="X262" s="489" t="str"/>
    </x:row>
    <x:row r="263">
      <x:c r="A263" s="502" t="n">
        <x:v>263</x:v>
      </x:c>
      <x:c r="B263" s="502" t="n">
        <x:v>2022</x:v>
      </x:c>
      <x:c r="C263" s="489" t="str">
        <x:v>Não-Me-Toque</x:v>
      </x:c>
      <x:c r="D263" s="489" t="str">
        <x:v>Hospital</x:v>
      </x:c>
      <x:c r="E263" s="489" t="str">
        <x:v>Hospital Beneficente Alto Jacuí</x:v>
      </x:c>
      <x:c r="F263" s="489" t="str">
        <x:v>7120004</x:v>
      </x:c>
      <x:c r="G263" s="489" t="str">
        <x:v>7120004-2022</x:v>
      </x:c>
      <x:c r="H263" s="489" t="str">
        <x:v>Informado/corrigido a partir do mapa</x:v>
      </x:c>
      <x:c r="I263" s="503" t="n">
        <x:v>200000</x:v>
      </x:c>
      <x:c r="J263" s="503" t="n">
        <x:v>200000</x:v>
      </x:c>
      <x:c r="K263" s="489" t="str">
        <x:v>Emenda de bancada (processo seletivo)</x:v>
      </x:c>
      <x:c r="L263" s="489" t="str">
        <x:v>Recurso pago</x:v>
      </x:c>
      <x:c r="M263" s="503" t="n">
        <x:v>0</x:v>
      </x:c>
      <x:c r="N263" s="503" t="n">
        <x:v>0</x:v>
      </x:c>
      <x:c r="O263" s="503" t="n">
        <x:v>0</x:v>
      </x:c>
      <x:c r="P263" s="503" t="n">
        <x:v>0</x:v>
      </x:c>
      <x:c r="Q263" s="503" t="n">
        <x:v>0</x:v>
      </x:c>
      <x:c r="R263" s="489" t="str"/>
      <x:c r="S263" s="489" t="str"/>
      <x:c r="T263" s="489" t="str">
        <x:v>Nº NÃO LOCALIZADO</x:v>
      </x:c>
      <x:c r="U263" s="489" t="str">
        <x:v>Média</x:v>
      </x:c>
      <x:c r="V263" s="489" t="str"/>
      <x:c r="W263" s="489" t="str"/>
      <x:c r="X263" s="489" t="str"/>
    </x:row>
    <x:row r="264">
      <x:c r="A264" s="502" t="n">
        <x:v>264</x:v>
      </x:c>
      <x:c r="B264" s="502" t="n">
        <x:v>2022</x:v>
      </x:c>
      <x:c r="C264" s="489" t="str">
        <x:v>Santa Bárbara do Sul</x:v>
      </x:c>
      <x:c r="D264" s="489" t="str">
        <x:v>Hospital</x:v>
      </x:c>
      <x:c r="E264" s="489" t="str">
        <x:v>Hospital Santa Barbara Beneficente</x:v>
      </x:c>
      <x:c r="F264" s="489" t="str">
        <x:v>41160003</x:v>
      </x:c>
      <x:c r="G264" s="489" t="str">
        <x:v>41160003-2022</x:v>
      </x:c>
      <x:c r="H264" s="489" t="str">
        <x:v>Informado/corrigido a partir do mapa</x:v>
      </x:c>
      <x:c r="I264" s="503" t="n">
        <x:v>200000</x:v>
      </x:c>
      <x:c r="J264" s="503" t="n">
        <x:v>200000</x:v>
      </x:c>
      <x:c r="K264" s="489" t="str">
        <x:v>Emenda Individual </x:v>
      </x:c>
      <x:c r="L264" s="489" t="str">
        <x:v>Recurso pago</x:v>
      </x:c>
      <x:c r="M264" s="503" t="n">
        <x:v>198000</x:v>
      </x:c>
      <x:c r="N264" s="503" t="n">
        <x:v>200000</x:v>
      </x:c>
      <x:c r="O264" s="503" t="n">
        <x:v>198000</x:v>
      </x:c>
      <x:c r="P264" s="503" t="n">
        <x:v>0</x:v>
      </x:c>
      <x:c r="Q264" s="503" t="n">
        <x:v>0</x:v>
      </x:c>
      <x:c r="R264" s="489" t="str"/>
      <x:c r="S264" s="489" t="str">
        <x:v>95356473000132</x:v>
      </x:c>
      <x:c r="T264" s="489" t="str">
        <x:v>VALOR DIVERGENTE / COBERTURA DIFERENTE</x:v>
      </x:c>
      <x:c r="U264" s="489" t="str">
        <x:v>Média</x:v>
      </x:c>
      <x:c r="V264" s="489" t="str">
        <x:v>CNPJ candidato na fonte SIGA: 95356473000132</x:v>
      </x:c>
      <x:c r="W264" s="489" t="str">
        <x:v>Município/localidade encontrado em fonte comparável, mas valor não fecha exatamente</x:v>
      </x:c>
      <x:c r="X264" s="489" t="str">
        <x:v>https://discricionarias.transferegov.sistema.gov.br/voluntarias/ConsultarProposta/ResultadoDaConsultaDeConvenioSelecionarConvenio.do?sequencialConvenio=935293&amp;Usr=guest&amp;Pwd=guest</x:v>
      </x:c>
    </x:row>
    <x:row r="265">
      <x:c r="A265" s="502" t="n">
        <x:v>265</x:v>
      </x:c>
      <x:c r="B265" s="502" t="n">
        <x:v>2022</x:v>
      </x:c>
      <x:c r="C265" s="489" t="str">
        <x:v>São Luiz Gonzaga</x:v>
      </x:c>
      <x:c r="D265" s="489" t="str">
        <x:v>Hospital</x:v>
      </x:c>
      <x:c r="E265" s="489" t="str">
        <x:v>Hospital São Luiz Gonzaga</x:v>
      </x:c>
      <x:c r="F265" s="489" t="str">
        <x:v>7120004</x:v>
      </x:c>
      <x:c r="G265" s="489" t="str">
        <x:v>7120004-2022</x:v>
      </x:c>
      <x:c r="H265" s="489" t="str">
        <x:v>Informado/corrigido a partir do mapa</x:v>
      </x:c>
      <x:c r="I265" s="503" t="n">
        <x:v>200000</x:v>
      </x:c>
      <x:c r="J265" s="503" t="n">
        <x:v>200000</x:v>
      </x:c>
      <x:c r="K265" s="489" t="str">
        <x:v>Emenda de bancada (processo seletivo)</x:v>
      </x:c>
      <x:c r="L265" s="489" t="str">
        <x:v>Recurso pago</x:v>
      </x:c>
      <x:c r="M265" s="503" t="n">
        <x:v>0</x:v>
      </x:c>
      <x:c r="N265" s="503" t="n">
        <x:v>0</x:v>
      </x:c>
      <x:c r="O265" s="503" t="n">
        <x:v>0</x:v>
      </x:c>
      <x:c r="P265" s="503" t="n">
        <x:v>0</x:v>
      </x:c>
      <x:c r="Q265" s="503" t="n">
        <x:v>0</x:v>
      </x:c>
      <x:c r="R265" s="489" t="str"/>
      <x:c r="S265" s="489" t="str"/>
      <x:c r="T265" s="489" t="str">
        <x:v>Nº NÃO LOCALIZADO</x:v>
      </x:c>
      <x:c r="U265" s="489" t="str">
        <x:v>Média</x:v>
      </x:c>
      <x:c r="V265" s="489" t="str"/>
      <x:c r="W265" s="489" t="str"/>
      <x:c r="X265" s="489" t="str"/>
    </x:row>
    <x:row r="266">
      <x:c r="A266" s="502" t="n">
        <x:v>266</x:v>
      </x:c>
      <x:c r="B266" s="502" t="n">
        <x:v>2023</x:v>
      </x:c>
      <x:c r="C266" s="489" t="str">
        <x:v>Ivoti</x:v>
      </x:c>
      <x:c r="D266" s="489" t="str">
        <x:v>Prefeitura</x:v>
      </x:c>
      <x:c r="E266" s="489" t="str">
        <x:v>Prefeitura de Ivoti</x:v>
      </x:c>
      <x:c r="F266" s="489" t="str"/>
      <x:c r="G266" s="489" t="str"/>
      <x:c r="H266" s="489" t="str">
        <x:v>Sem nº conciliado</x:v>
      </x:c>
      <x:c r="I266" s="503" t="n">
        <x:v>200000</x:v>
      </x:c>
      <x:c r="J266" s="503" t="n">
        <x:v>540000</x:v>
      </x:c>
      <x:c r="K266" s="489" t="str">
        <x:v>Emenda Individual</x:v>
      </x:c>
      <x:c r="L266" s="489" t="str">
        <x:v>Empenhado</x:v>
      </x:c>
      <x:c r="M266" s="503" t="n">
        <x:v>0</x:v>
      </x:c>
      <x:c r="N266" s="503" t="n">
        <x:v>0</x:v>
      </x:c>
      <x:c r="O266" s="503" t="n">
        <x:v>0</x:v>
      </x:c>
      <x:c r="P266" s="503" t="n">
        <x:v>0</x:v>
      </x:c>
      <x:c r="Q266" s="503" t="n">
        <x:v>0</x:v>
      </x:c>
      <x:c r="R266" s="489" t="str"/>
      <x:c r="S266" s="489" t="str"/>
      <x:c r="T266" s="489" t="str">
        <x:v>SEM Nº / NÃO CONCILIADO</x:v>
      </x:c>
      <x:c r="U266" s="489" t="str">
        <x:v>Média</x:v>
      </x:c>
      <x:c r="V266" s="489" t="str"/>
      <x:c r="W266" s="489" t="str"/>
      <x:c r="X266" s="489" t="str"/>
    </x:row>
    <x:row r="267">
      <x:c r="A267" s="502" t="n">
        <x:v>267</x:v>
      </x:c>
      <x:c r="B267" s="502" t="n">
        <x:v>2023</x:v>
      </x:c>
      <x:c r="C267" s="489" t="str">
        <x:v>Marau</x:v>
      </x:c>
      <x:c r="D267" s="489" t="str">
        <x:v>Hospital</x:v>
      </x:c>
      <x:c r="E267" s="489" t="str">
        <x:v>Associação Hospitalar Beneficente De Marau</x:v>
      </x:c>
      <x:c r="F267" s="489" t="str">
        <x:v>41160007</x:v>
      </x:c>
      <x:c r="G267" s="489" t="str">
        <x:v>41160007-2023</x:v>
      </x:c>
      <x:c r="H267" s="489" t="str">
        <x:v>Informado/corrigido a partir do mapa</x:v>
      </x:c>
      <x:c r="I267" s="503" t="n">
        <x:v>200000</x:v>
      </x:c>
      <x:c r="J267" s="503" t="n">
        <x:v>200000</x:v>
      </x:c>
      <x:c r="K267" s="489" t="str">
        <x:v>Emenda Individual</x:v>
      </x:c>
      <x:c r="L267" s="489" t="str">
        <x:v>Empenhado</x:v>
      </x:c>
      <x:c r="M267" s="503" t="n">
        <x:v>41512.04</x:v>
      </x:c>
      <x:c r="N267" s="503" t="n">
        <x:v>200000</x:v>
      </x:c>
      <x:c r="O267" s="503" t="n">
        <x:v>41512.04</x:v>
      </x:c>
      <x:c r="P267" s="503" t="n">
        <x:v>0</x:v>
      </x:c>
      <x:c r="Q267" s="503" t="n">
        <x:v>0</x:v>
      </x:c>
      <x:c r="R267" s="489" t="str"/>
      <x:c r="S267" s="489" t="str">
        <x:v>88417787000132</x:v>
      </x:c>
      <x:c r="T267" s="489" t="str">
        <x:v>VALOR DIVERGENTE / COBERTURA DIFERENTE</x:v>
      </x:c>
      <x:c r="U267" s="489" t="str">
        <x:v>Alta</x:v>
      </x:c>
      <x:c r="V267" s="489" t="str">
        <x:v>Situação possivelmente desatualizada: SIGA/execução regionalizada mostra pagamento; CNPJ candidato na fonte SIGA: 88417787000132</x:v>
      </x:c>
      <x:c r="W267" s="489" t="str">
        <x:v>Município/localidade encontrado em fonte comparável, mas valor não fecha exatamente</x:v>
      </x:c>
      <x:c r="X267" s="489" t="str">
        <x:v>https://discricionarias.transferegov.sistema.gov.br/voluntarias/ConsultarProposta/ResultadoDaConsultaDeConvenioSelecionarConvenio.do?sequencialConvenio=943945&amp;Usr=guest&amp;Pwd=guest</x:v>
      </x:c>
    </x:row>
    <x:row r="268">
      <x:c r="A268" s="502" t="n">
        <x:v>268</x:v>
      </x:c>
      <x:c r="B268" s="502" t="n">
        <x:v>2023</x:v>
      </x:c>
      <x:c r="C268" s="489" t="str">
        <x:v>Nova Petrópolis</x:v>
      </x:c>
      <x:c r="D268" s="489" t="str">
        <x:v>Hospital</x:v>
      </x:c>
      <x:c r="E268" s="489" t="str">
        <x:v>Hospital Nova Petrópolis</x:v>
      </x:c>
      <x:c r="F268" s="489" t="str"/>
      <x:c r="G268" s="489" t="str">
        <x:v>41160007-2023</x:v>
      </x:c>
      <x:c r="H268" s="489" t="str">
        <x:v>Candidato — revisar (Transferegov)</x:v>
      </x:c>
      <x:c r="I268" s="503" t="n">
        <x:v>200000</x:v>
      </x:c>
      <x:c r="J268" s="503" t="n">
        <x:v>200000</x:v>
      </x:c>
      <x:c r="K268" s="489" t="str">
        <x:v>Emenda Individual</x:v>
      </x:c>
      <x:c r="L268" s="489" t="str">
        <x:v>Empenhado</x:v>
      </x:c>
      <x:c r="M268" s="503" t="n">
        <x:v>181073.76</x:v>
      </x:c>
      <x:c r="N268" s="503" t="n">
        <x:v>200000</x:v>
      </x:c>
      <x:c r="O268" s="503" t="n">
        <x:v>181073.76</x:v>
      </x:c>
      <x:c r="P268" s="503" t="n">
        <x:v>0</x:v>
      </x:c>
      <x:c r="Q268" s="503" t="n">
        <x:v>0</x:v>
      </x:c>
      <x:c r="R268" s="489" t="str"/>
      <x:c r="S268" s="489" t="str">
        <x:v>91588731000155</x:v>
      </x:c>
      <x:c r="T268" s="489" t="str">
        <x:v>VALOR DIVERGENTE / COBERTURA DIFERENTE</x:v>
      </x:c>
      <x:c r="U268" s="489" t="str">
        <x:v>Média</x:v>
      </x:c>
      <x:c r="V268" s="489" t="str">
        <x:v>Candidato de nº: 41160007; validar antes de preencher (Transferegov pode trazer valor total do instrumento); Situação possivelmente desatualizada: SIGA/execução regionalizada mostra pagamento; CNPJ candidato na fonte SIGA: 91588731000155</x:v>
      </x:c>
      <x:c r="W268" s="489" t="str">
        <x:v>nº ausente; inferido por coincidência exata de cidade e valor em Transferegov; Município/localidade encontrado em fonte comparável, mas valor não fecha exatamente</x:v>
      </x:c>
      <x:c r="X268" s="489" t="str">
        <x:v>https://discricionarias.transferegov.sistema.gov.br/voluntarias/ConsultarProposta/ResultadoDaConsultaDeConvenioSelecionarConvenio.do?sequencialConvenio=944074&amp;Usr=guest&amp;Pwd=guest</x:v>
      </x:c>
    </x:row>
    <x:row r="269">
      <x:c r="A269" s="502" t="n">
        <x:v>269</x:v>
      </x:c>
      <x:c r="B269" s="502" t="n">
        <x:v>2023</x:v>
      </x:c>
      <x:c r="C269" s="489" t="str">
        <x:v>Portão</x:v>
      </x:c>
      <x:c r="D269" s="489" t="str">
        <x:v>Hospital</x:v>
      </x:c>
      <x:c r="E269" s="489" t="str">
        <x:v>Fundação Hospitalar Educacional E Social De Portão</x:v>
      </x:c>
      <x:c r="F269" s="489" t="str"/>
      <x:c r="G269" s="489" t="str"/>
      <x:c r="H269" s="489" t="str">
        <x:v>Sem nº conciliado</x:v>
      </x:c>
      <x:c r="I269" s="503" t="n">
        <x:v>200000</x:v>
      </x:c>
      <x:c r="J269" s="503" t="n">
        <x:v>200000</x:v>
      </x:c>
      <x:c r="K269" s="489" t="str">
        <x:v>Emenda Individual</x:v>
      </x:c>
      <x:c r="L269" s="489" t="str">
        <x:v>Recurso Pago</x:v>
      </x:c>
      <x:c r="M269" s="503" t="n">
        <x:v>0</x:v>
      </x:c>
      <x:c r="N269" s="503" t="n">
        <x:v>0</x:v>
      </x:c>
      <x:c r="O269" s="503" t="n">
        <x:v>0</x:v>
      </x:c>
      <x:c r="P269" s="503" t="n">
        <x:v>0</x:v>
      </x:c>
      <x:c r="Q269" s="503" t="n">
        <x:v>0</x:v>
      </x:c>
      <x:c r="R269" s="489" t="str"/>
      <x:c r="S269" s="489" t="str"/>
      <x:c r="T269" s="489" t="str">
        <x:v>SEM Nº / NÃO CONCILIADO</x:v>
      </x:c>
      <x:c r="U269" s="489" t="str">
        <x:v>Média</x:v>
      </x:c>
      <x:c r="V269" s="489" t="str"/>
      <x:c r="W269" s="489" t="str"/>
      <x:c r="X269" s="489" t="str"/>
    </x:row>
    <x:row r="270">
      <x:c r="A270" s="502" t="n">
        <x:v>270</x:v>
      </x:c>
      <x:c r="B270" s="502" t="n">
        <x:v>2023</x:v>
      </x:c>
      <x:c r="C270" s="489" t="str">
        <x:v>Porto Alegre</x:v>
      </x:c>
      <x:c r="D270" s="489" t="str">
        <x:v>Hospital</x:v>
      </x:c>
      <x:c r="E270" s="489" t="str">
        <x:v>Hospital Da Criança Santo Antonio- Complexo Hospitalar Santa Casa De Misericordia De Porto Alegre</x:v>
      </x:c>
      <x:c r="F270" s="489" t="str"/>
      <x:c r="G270" s="489" t="str">
        <x:v>41160007-2023</x:v>
      </x:c>
      <x:c r="H270" s="489" t="str">
        <x:v>Candidato — revisar (Transferegov)</x:v>
      </x:c>
      <x:c r="I270" s="503" t="n">
        <x:v>200000</x:v>
      </x:c>
      <x:c r="J270" s="503" t="n">
        <x:v>811805</x:v>
      </x:c>
      <x:c r="K270" s="489" t="str">
        <x:v>Emenda Individual</x:v>
      </x:c>
      <x:c r="L270" s="489" t="str">
        <x:v>Empenhado</x:v>
      </x:c>
      <x:c r="M270" s="503" t="n">
        <x:v>2195350.67</x:v>
      </x:c>
      <x:c r="N270" s="503" t="n">
        <x:v>1696205</x:v>
      </x:c>
      <x:c r="O270" s="503" t="n">
        <x:v>1462066.67</x:v>
      </x:c>
      <x:c r="P270" s="503" t="n">
        <x:v>0</x:v>
      </x:c>
      <x:c r="Q270" s="503" t="n">
        <x:v>0</x:v>
      </x:c>
      <x:c r="R270" s="489" t="str"/>
      <x:c r="S270" s="489" t="str">
        <x:v>4 CNPJs na fonte</x:v>
      </x:c>
      <x:c r="T270" s="489" t="str">
        <x:v>VALOR DIVERGENTE / COBERTURA DIFERENTE</x:v>
      </x:c>
      <x:c r="U270" s="489" t="str">
        <x:v>Média</x:v>
      </x:c>
      <x:c r="V270" s="489" t="str">
        <x:v>Candidato de nº: 41160007; validar antes de preencher (Transferegov pode trazer valor total do instrumento); Situação possivelmente desatualizada: SIGA/execução regionalizada mostra pagamento</x:v>
      </x:c>
      <x:c r="W270" s="489" t="str">
        <x:v>nº ausente; inferido por coincidência exata de cidade e valor em Transferegov; Município/localidade encontrado em fonte comparável, mas valor não fecha exatamente</x:v>
      </x:c>
      <x:c r="X270" s="489" t="str">
        <x:v>https://discricionarias.transferegov.sistema.gov.br/voluntarias/ConsultarProposta/ResultadoDaConsultaDeConvenioSelecionarConvenio.do?sequencialConvenio=943964&amp;Usr=guest&amp;Pwd=guest | https://discricionarias.transferegov.sistema.gov.br/voluntarias/ConsultarProposta/ResultadoDaConsultaDeConvenioSelecionarConvenio.do?sequencialConvenio=943965&amp;Usr=guest&amp;Pwd=guest</x:v>
      </x:c>
    </x:row>
    <x:row r="271">
      <x:c r="A271" s="502" t="n">
        <x:v>271</x:v>
      </x:c>
      <x:c r="B271" s="502" t="n">
        <x:v>2023</x:v>
      </x:c>
      <x:c r="C271" s="489" t="str">
        <x:v>Maximiliano de Almeida</x:v>
      </x:c>
      <x:c r="D271" s="489" t="str">
        <x:v>Prefeitura</x:v>
      </x:c>
      <x:c r="E271" s="489" t="str">
        <x:v>Prefeitura de Maximiliano de Almeida</x:v>
      </x:c>
      <x:c r="F271" s="489" t="str"/>
      <x:c r="G271" s="489" t="str">
        <x:v>41160001-2023</x:v>
      </x:c>
      <x:c r="H271" s="489" t="str">
        <x:v>Inferido forte (SIGA/PIX)</x:v>
      </x:c>
      <x:c r="I271" s="503" t="n">
        <x:v>200000</x:v>
      </x:c>
      <x:c r="J271" s="503" t="n">
        <x:v>200000</x:v>
      </x:c>
      <x:c r="K271" s="489" t="str">
        <x:v>Emenda Individual</x:v>
      </x:c>
      <x:c r="L271" s="489" t="str">
        <x:v>Empenhado</x:v>
      </x:c>
      <x:c r="M271" s="503" t="n">
        <x:v>200000</x:v>
      </x:c>
      <x:c r="N271" s="503" t="n">
        <x:v>0</x:v>
      </x:c>
      <x:c r="O271" s="503" t="n">
        <x:v>0</x:v>
      </x:c>
      <x:c r="P271" s="503" t="n">
        <x:v>200000</x:v>
      </x:c>
      <x:c r="Q271" s="503" t="n">
        <x:v>0</x:v>
      </x:c>
      <x:c r="R271" s="489" t="str">
        <x:v>CIENTE</x:v>
      </x:c>
      <x:c r="S271" s="489" t="str">
        <x:v>87613279000167</x:v>
      </x:c>
      <x:c r="T271" s="489" t="str">
        <x:v>CONFIRMADO</x:v>
      </x:c>
      <x:c r="U271" s="489" t="str">
        <x:v>Baixa</x:v>
      </x:c>
      <x:c r="V271" s="489" t="str">
        <x:v>Preencher nº como 41160001 com marcação de inferência (ano+município+valor exatos em SIGA/PIX); Situação possivelmente desatualizada: SIGA/execução regionalizada mostra pagamento; CNPJ candidato na fonte SIGA: 87613279000167</x:v>
      </x:c>
      <x:c r="W271" s="489" t="str">
        <x:v>nº ausente; inferido por coincidência exata de cidade e valor em SIGA favorecido, PIX; Valor do grupo fecha com: SIGA pago favorecido, PIX atual</x:v>
      </x:c>
      <x:c r="X271" s="489" t="str">
        <x:v>https://especiais.transferegov.sistema.gov.br/transferencia-especial/plano-acao/detalhe/38367/dados-basicos</x:v>
      </x:c>
    </x:row>
    <x:row r="272">
      <x:c r="A272" s="502" t="n">
        <x:v>272</x:v>
      </x:c>
      <x:c r="B272" s="502" t="n">
        <x:v>2024</x:v>
      </x:c>
      <x:c r="C272" s="489" t="str">
        <x:v>São Sebastião do Caí</x:v>
      </x:c>
      <x:c r="D272" s="489" t="str">
        <x:v>Prefeitura Municipal de São Sebastião do Caí</x:v>
      </x:c>
      <x:c r="E272" s="489" t="str">
        <x:v>Prefeitura Municipal</x:v>
      </x:c>
      <x:c r="F272" s="489" t="str">
        <x:v>41160001</x:v>
      </x:c>
      <x:c r="G272" s="489" t="str">
        <x:v>41160001-2024</x:v>
      </x:c>
      <x:c r="H272" s="489" t="str">
        <x:v>Informado/corrigido a partir do mapa</x:v>
      </x:c>
      <x:c r="I272" s="503" t="n">
        <x:v>200000</x:v>
      </x:c>
      <x:c r="J272" s="503" t="n">
        <x:v>200000</x:v>
      </x:c>
      <x:c r="K272" s="489" t="str">
        <x:v>Emenda Individual</x:v>
      </x:c>
      <x:c r="L272" s="489"/>
      <x:c r="M272" s="503" t="n">
        <x:v>200000</x:v>
      </x:c>
      <x:c r="N272" s="503" t="n">
        <x:v>0</x:v>
      </x:c>
      <x:c r="O272" s="503" t="n">
        <x:v>0</x:v>
      </x:c>
      <x:c r="P272" s="503" t="n">
        <x:v>0</x:v>
      </x:c>
      <x:c r="Q272" s="503" t="n">
        <x:v>0</x:v>
      </x:c>
      <x:c r="R272" s="489" t="str"/>
      <x:c r="S272" s="489" t="str">
        <x:v>12010453000188</x:v>
      </x:c>
      <x:c r="T272" s="489" t="str">
        <x:v>CONFIRMADO</x:v>
      </x:c>
      <x:c r="U272" s="489" t="str">
        <x:v>Baixa</x:v>
      </x:c>
      <x:c r="V272" s="489" t="str">
        <x:v>Preencher situação: há pagamento identificado na fonte pública; CNPJ candidato na fonte SIGA: 12010453000188</x:v>
      </x:c>
      <x:c r="W272" s="489" t="str">
        <x:v>Valor do grupo fecha com: SIGA pago favorecido</x:v>
      </x:c>
      <x:c r="X272" s="489" t="str"/>
    </x:row>
    <x:row r="273">
      <x:c r="A273" s="502" t="n">
        <x:v>273</x:v>
      </x:c>
      <x:c r="B273" s="502" t="n">
        <x:v>2024</x:v>
      </x:c>
      <x:c r="C273" s="489" t="str">
        <x:v>Cachoeira do Sul</x:v>
      </x:c>
      <x:c r="D273" s="489" t="str">
        <x:v>Prefeitura Municipal de Cachoeira do Sul</x:v>
      </x:c>
      <x:c r="E273" s="489" t="str">
        <x:v>Prefeitura Municipal</x:v>
      </x:c>
      <x:c r="F273" s="489" t="str">
        <x:v>41160001</x:v>
      </x:c>
      <x:c r="G273" s="489" t="str">
        <x:v>41160001-2024</x:v>
      </x:c>
      <x:c r="H273" s="489" t="str">
        <x:v>Informado/corrigido a partir do mapa</x:v>
      </x:c>
      <x:c r="I273" s="503" t="n">
        <x:v>200000</x:v>
      </x:c>
      <x:c r="J273" s="503" t="n">
        <x:v>200000</x:v>
      </x:c>
      <x:c r="K273" s="489" t="str">
        <x:v>Emenda Individual</x:v>
      </x:c>
      <x:c r="L273" s="489"/>
      <x:c r="M273" s="503" t="n">
        <x:v>200000</x:v>
      </x:c>
      <x:c r="N273" s="503" t="n">
        <x:v>0</x:v>
      </x:c>
      <x:c r="O273" s="503" t="n">
        <x:v>0</x:v>
      </x:c>
      <x:c r="P273" s="503" t="n">
        <x:v>0</x:v>
      </x:c>
      <x:c r="Q273" s="503" t="n">
        <x:v>0</x:v>
      </x:c>
      <x:c r="R273" s="489" t="str"/>
      <x:c r="S273" s="489" t="str">
        <x:v>11965721000152</x:v>
      </x:c>
      <x:c r="T273" s="489" t="str">
        <x:v>CONFIRMADO</x:v>
      </x:c>
      <x:c r="U273" s="489" t="str">
        <x:v>Baixa</x:v>
      </x:c>
      <x:c r="V273" s="489" t="str">
        <x:v>Preencher situação: há pagamento identificado na fonte pública; CNPJ candidato na fonte SIGA: 11965721000152</x:v>
      </x:c>
      <x:c r="W273" s="489" t="str">
        <x:v>Valor do grupo fecha com: SIGA pago favorecido</x:v>
      </x:c>
      <x:c r="X273" s="489" t="str"/>
    </x:row>
    <x:row r="274">
      <x:c r="A274" s="502" t="n">
        <x:v>274</x:v>
      </x:c>
      <x:c r="B274" s="502" t="n">
        <x:v>2024</x:v>
      </x:c>
      <x:c r="C274" s="489" t="str">
        <x:v>Candelária</x:v>
      </x:c>
      <x:c r="D274" s="489" t="str">
        <x:v>Prefeitura Municipal de Candelária</x:v>
      </x:c>
      <x:c r="E274" s="489" t="str">
        <x:v>Prefeitura Municipal</x:v>
      </x:c>
      <x:c r="F274" s="489" t="str">
        <x:v>41160001</x:v>
      </x:c>
      <x:c r="G274" s="489" t="str">
        <x:v>41160001-2024</x:v>
      </x:c>
      <x:c r="H274" s="489" t="str">
        <x:v>Informado/corrigido a partir do mapa</x:v>
      </x:c>
      <x:c r="I274" s="503" t="n">
        <x:v>200000</x:v>
      </x:c>
      <x:c r="J274" s="503" t="n">
        <x:v>200000</x:v>
      </x:c>
      <x:c r="K274" s="489" t="str">
        <x:v>Emenda Individual</x:v>
      </x:c>
      <x:c r="L274" s="489"/>
      <x:c r="M274" s="503" t="n">
        <x:v>200000</x:v>
      </x:c>
      <x:c r="N274" s="503" t="n">
        <x:v>0</x:v>
      </x:c>
      <x:c r="O274" s="503" t="n">
        <x:v>0</x:v>
      </x:c>
      <x:c r="P274" s="503" t="n">
        <x:v>0</x:v>
      </x:c>
      <x:c r="Q274" s="503" t="n">
        <x:v>0</x:v>
      </x:c>
      <x:c r="R274" s="489" t="str"/>
      <x:c r="S274" s="489" t="str">
        <x:v>12052931000112</x:v>
      </x:c>
      <x:c r="T274" s="489" t="str">
        <x:v>CONFIRMADO</x:v>
      </x:c>
      <x:c r="U274" s="489" t="str">
        <x:v>Baixa</x:v>
      </x:c>
      <x:c r="V274" s="489" t="str">
        <x:v>Preencher situação: há pagamento identificado na fonte pública; CNPJ candidato na fonte SIGA: 12052931000112</x:v>
      </x:c>
      <x:c r="W274" s="489" t="str">
        <x:v>Valor do grupo fecha com: SIGA pago favorecido</x:v>
      </x:c>
      <x:c r="X274" s="489" t="str"/>
    </x:row>
    <x:row r="275">
      <x:c r="A275" s="502" t="n">
        <x:v>275</x:v>
      </x:c>
      <x:c r="B275" s="502" t="n">
        <x:v>2024</x:v>
      </x:c>
      <x:c r="C275" s="489" t="str">
        <x:v>Lindolfo Collor</x:v>
      </x:c>
      <x:c r="D275" s="489" t="str">
        <x:v>Prefeitura Municipal de Lindolfo Collor</x:v>
      </x:c>
      <x:c r="E275" s="489" t="str">
        <x:v>Prefeitura Municipal</x:v>
      </x:c>
      <x:c r="F275" s="489" t="str">
        <x:v>41160001</x:v>
      </x:c>
      <x:c r="G275" s="489" t="str">
        <x:v>41160001-2024</x:v>
      </x:c>
      <x:c r="H275" s="489" t="str">
        <x:v>Informado/corrigido a partir do mapa</x:v>
      </x:c>
      <x:c r="I275" s="503" t="n">
        <x:v>200000</x:v>
      </x:c>
      <x:c r="J275" s="503" t="n">
        <x:v>200000</x:v>
      </x:c>
      <x:c r="K275" s="489" t="str">
        <x:v>Emenda Individual</x:v>
      </x:c>
      <x:c r="L275" s="489"/>
      <x:c r="M275" s="503" t="n">
        <x:v>200000</x:v>
      </x:c>
      <x:c r="N275" s="503" t="n">
        <x:v>0</x:v>
      </x:c>
      <x:c r="O275" s="503" t="n">
        <x:v>0</x:v>
      </x:c>
      <x:c r="P275" s="503" t="n">
        <x:v>0</x:v>
      </x:c>
      <x:c r="Q275" s="503" t="n">
        <x:v>0</x:v>
      </x:c>
      <x:c r="R275" s="489" t="str"/>
      <x:c r="S275" s="489" t="str">
        <x:v>11142855000173</x:v>
      </x:c>
      <x:c r="T275" s="489" t="str">
        <x:v>CONFIRMADO</x:v>
      </x:c>
      <x:c r="U275" s="489" t="str">
        <x:v>Baixa</x:v>
      </x:c>
      <x:c r="V275" s="489" t="str">
        <x:v>Preencher situação: há pagamento identificado na fonte pública; CNPJ candidato na fonte SIGA: 11142855000173</x:v>
      </x:c>
      <x:c r="W275" s="489" t="str">
        <x:v>Valor do grupo fecha com: SIGA pago favorecido</x:v>
      </x:c>
      <x:c r="X275" s="489" t="str"/>
    </x:row>
    <x:row r="276">
      <x:c r="A276" s="502" t="n">
        <x:v>276</x:v>
      </x:c>
      <x:c r="B276" s="502" t="n">
        <x:v>2024</x:v>
      </x:c>
      <x:c r="C276" s="489" t="str">
        <x:v>Cachoeira do Sul</x:v>
      </x:c>
      <x:c r="D276" s="489" t="str">
        <x:v>Prefeitura Municipal de Cachoeira do Sul</x:v>
      </x:c>
      <x:c r="E276" s="489" t="str">
        <x:v>Prefeitura Municipal</x:v>
      </x:c>
      <x:c r="F276" s="489" t="str">
        <x:v>41160002</x:v>
      </x:c>
      <x:c r="G276" s="489" t="str">
        <x:v>41160002-2024</x:v>
      </x:c>
      <x:c r="H276" s="489" t="str">
        <x:v>Informado/corrigido a partir do mapa</x:v>
      </x:c>
      <x:c r="I276" s="503" t="n">
        <x:v>200000</x:v>
      </x:c>
      <x:c r="J276" s="503" t="n">
        <x:v>200000</x:v>
      </x:c>
      <x:c r="K276" s="489" t="str">
        <x:v>Emenda Individual</x:v>
      </x:c>
      <x:c r="L276" s="489"/>
      <x:c r="M276" s="503" t="n">
        <x:v>200000</x:v>
      </x:c>
      <x:c r="N276" s="503" t="n">
        <x:v>0</x:v>
      </x:c>
      <x:c r="O276" s="503" t="n">
        <x:v>0</x:v>
      </x:c>
      <x:c r="P276" s="503" t="n">
        <x:v>0</x:v>
      </x:c>
      <x:c r="Q276" s="503" t="n">
        <x:v>0</x:v>
      </x:c>
      <x:c r="R276" s="489" t="str"/>
      <x:c r="S276" s="489" t="str">
        <x:v>11965721000152</x:v>
      </x:c>
      <x:c r="T276" s="489" t="str">
        <x:v>CONFIRMADO</x:v>
      </x:c>
      <x:c r="U276" s="489" t="str">
        <x:v>Baixa</x:v>
      </x:c>
      <x:c r="V276" s="489" t="str">
        <x:v>Preencher situação: há pagamento identificado na fonte pública; CNPJ candidato na fonte SIGA: 11965721000152</x:v>
      </x:c>
      <x:c r="W276" s="489" t="str">
        <x:v>Valor do grupo fecha com: SIGA pago favorecido</x:v>
      </x:c>
      <x:c r="X276" s="489" t="str"/>
    </x:row>
    <x:row r="277">
      <x:c r="A277" s="502" t="n">
        <x:v>277</x:v>
      </x:c>
      <x:c r="B277" s="502" t="n">
        <x:v>2024</x:v>
      </x:c>
      <x:c r="C277" s="489" t="str">
        <x:v>Campo Bom</x:v>
      </x:c>
      <x:c r="D277" s="489" t="str">
        <x:v>Prefeitura Municipal de Campo Bom</x:v>
      </x:c>
      <x:c r="E277" s="489" t="str">
        <x:v>Prefeitura Municipal</x:v>
      </x:c>
      <x:c r="F277" s="489" t="str">
        <x:v>41160002</x:v>
      </x:c>
      <x:c r="G277" s="489" t="str">
        <x:v>41160002-2024</x:v>
      </x:c>
      <x:c r="H277" s="489" t="str">
        <x:v>Informado/corrigido a partir do mapa</x:v>
      </x:c>
      <x:c r="I277" s="503" t="n">
        <x:v>200000</x:v>
      </x:c>
      <x:c r="J277" s="503" t="n">
        <x:v>200000</x:v>
      </x:c>
      <x:c r="K277" s="489" t="str">
        <x:v>Emenda Individual</x:v>
      </x:c>
      <x:c r="L277" s="489"/>
      <x:c r="M277" s="503" t="n">
        <x:v>200000</x:v>
      </x:c>
      <x:c r="N277" s="503" t="n">
        <x:v>0</x:v>
      </x:c>
      <x:c r="O277" s="503" t="n">
        <x:v>0</x:v>
      </x:c>
      <x:c r="P277" s="503" t="n">
        <x:v>0</x:v>
      </x:c>
      <x:c r="Q277" s="503" t="n">
        <x:v>0</x:v>
      </x:c>
      <x:c r="R277" s="489" t="str"/>
      <x:c r="S277" s="489" t="str">
        <x:v>11310266000157</x:v>
      </x:c>
      <x:c r="T277" s="489" t="str">
        <x:v>CONFIRMADO</x:v>
      </x:c>
      <x:c r="U277" s="489" t="str">
        <x:v>Baixa</x:v>
      </x:c>
      <x:c r="V277" s="489" t="str">
        <x:v>Preencher situação: há pagamento identificado na fonte pública; CNPJ candidato na fonte SIGA: 11310266000157</x:v>
      </x:c>
      <x:c r="W277" s="489" t="str">
        <x:v>Valor do grupo fecha com: SIGA pago favorecido</x:v>
      </x:c>
      <x:c r="X277" s="489" t="str"/>
    </x:row>
    <x:row r="278">
      <x:c r="A278" s="502" t="n">
        <x:v>278</x:v>
      </x:c>
      <x:c r="B278" s="502" t="n">
        <x:v>2024</x:v>
      </x:c>
      <x:c r="C278" s="489" t="str">
        <x:v>Esteio</x:v>
      </x:c>
      <x:c r="D278" s="489" t="str">
        <x:v>Prefeitura Municipal de Esteio</x:v>
      </x:c>
      <x:c r="E278" s="489" t="str">
        <x:v>Prefeitura Municipal</x:v>
      </x:c>
      <x:c r="F278" s="489" t="str">
        <x:v>41160002</x:v>
      </x:c>
      <x:c r="G278" s="489" t="str">
        <x:v>41160002-2024</x:v>
      </x:c>
      <x:c r="H278" s="489" t="str">
        <x:v>Informado/corrigido a partir do mapa</x:v>
      </x:c>
      <x:c r="I278" s="503" t="n">
        <x:v>200000</x:v>
      </x:c>
      <x:c r="J278" s="503" t="n">
        <x:v>200000</x:v>
      </x:c>
      <x:c r="K278" s="489" t="str">
        <x:v>Emenda Individual</x:v>
      </x:c>
      <x:c r="L278" s="489"/>
      <x:c r="M278" s="503" t="n">
        <x:v>200000</x:v>
      </x:c>
      <x:c r="N278" s="503" t="n">
        <x:v>0</x:v>
      </x:c>
      <x:c r="O278" s="503" t="n">
        <x:v>0</x:v>
      </x:c>
      <x:c r="P278" s="503" t="n">
        <x:v>0</x:v>
      </x:c>
      <x:c r="Q278" s="503" t="n">
        <x:v>0</x:v>
      </x:c>
      <x:c r="R278" s="489" t="str"/>
      <x:c r="S278" s="489" t="str">
        <x:v>12140369000189</x:v>
      </x:c>
      <x:c r="T278" s="489" t="str">
        <x:v>CONFIRMADO</x:v>
      </x:c>
      <x:c r="U278" s="489" t="str">
        <x:v>Baixa</x:v>
      </x:c>
      <x:c r="V278" s="489" t="str">
        <x:v>Preencher situação: há pagamento identificado na fonte pública; CNPJ candidato na fonte SIGA: 12140369000189</x:v>
      </x:c>
      <x:c r="W278" s="489" t="str">
        <x:v>Valor do grupo fecha com: SIGA pago favorecido</x:v>
      </x:c>
      <x:c r="X278" s="489" t="str"/>
    </x:row>
    <x:row r="279">
      <x:c r="A279" s="502" t="n">
        <x:v>279</x:v>
      </x:c>
      <x:c r="B279" s="502" t="n">
        <x:v>2024</x:v>
      </x:c>
      <x:c r="C279" s="489" t="str">
        <x:v>Restinga Sêca</x:v>
      </x:c>
      <x:c r="D279" s="489" t="str">
        <x:v>Prefeitura Municipal de Restinga Sêca</x:v>
      </x:c>
      <x:c r="E279" s="489" t="str">
        <x:v>Prefeitura Municipal</x:v>
      </x:c>
      <x:c r="F279" s="489" t="str">
        <x:v>41160002</x:v>
      </x:c>
      <x:c r="G279" s="489" t="str">
        <x:v>41160002-2024</x:v>
      </x:c>
      <x:c r="H279" s="489" t="str">
        <x:v>Informado/corrigido a partir do mapa</x:v>
      </x:c>
      <x:c r="I279" s="503" t="n">
        <x:v>200000</x:v>
      </x:c>
      <x:c r="J279" s="503" t="n">
        <x:v>200000</x:v>
      </x:c>
      <x:c r="K279" s="489" t="str">
        <x:v>Emenda Individual</x:v>
      </x:c>
      <x:c r="L279" s="489"/>
      <x:c r="M279" s="503" t="n">
        <x:v>200000</x:v>
      </x:c>
      <x:c r="N279" s="503" t="n">
        <x:v>0</x:v>
      </x:c>
      <x:c r="O279" s="503" t="n">
        <x:v>0</x:v>
      </x:c>
      <x:c r="P279" s="503" t="n">
        <x:v>0</x:v>
      </x:c>
      <x:c r="Q279" s="503" t="n">
        <x:v>0</x:v>
      </x:c>
      <x:c r="R279" s="489" t="str"/>
      <x:c r="S279" s="489" t="str">
        <x:v>12250708000180</x:v>
      </x:c>
      <x:c r="T279" s="489" t="str">
        <x:v>CONFIRMADO</x:v>
      </x:c>
      <x:c r="U279" s="489" t="str">
        <x:v>Baixa</x:v>
      </x:c>
      <x:c r="V279" s="489" t="str">
        <x:v>Preencher situação: há pagamento identificado na fonte pública; CNPJ candidato na fonte SIGA: 12250708000180</x:v>
      </x:c>
      <x:c r="W279" s="489" t="str">
        <x:v>Valor do grupo fecha com: SIGA pago favorecido</x:v>
      </x:c>
      <x:c r="X279" s="489" t="str"/>
    </x:row>
    <x:row r="280">
      <x:c r="A280" s="502" t="n">
        <x:v>280</x:v>
      </x:c>
      <x:c r="B280" s="502" t="n">
        <x:v>2024</x:v>
      </x:c>
      <x:c r="C280" s="489" t="str">
        <x:v>São Sebastião do Caí</x:v>
      </x:c>
      <x:c r="D280" s="489" t="str">
        <x:v>Prefeitura Municipal de São Sebastião do Caí</x:v>
      </x:c>
      <x:c r="E280" s="489" t="str">
        <x:v>Prefeitura Municipal</x:v>
      </x:c>
      <x:c r="F280" s="489" t="str">
        <x:v>41160003</x:v>
      </x:c>
      <x:c r="G280" s="489" t="str">
        <x:v>41160003-2024</x:v>
      </x:c>
      <x:c r="H280" s="489" t="str">
        <x:v>Informado/corrigido a partir do mapa</x:v>
      </x:c>
      <x:c r="I280" s="503" t="n">
        <x:v>200000</x:v>
      </x:c>
      <x:c r="J280" s="503" t="n">
        <x:v>200000</x:v>
      </x:c>
      <x:c r="K280" s="489" t="str">
        <x:v>Emenda Individual</x:v>
      </x:c>
      <x:c r="L280" s="489"/>
      <x:c r="M280" s="503" t="n">
        <x:v>200000</x:v>
      </x:c>
      <x:c r="N280" s="503" t="n">
        <x:v>0</x:v>
      </x:c>
      <x:c r="O280" s="503" t="n">
        <x:v>0</x:v>
      </x:c>
      <x:c r="P280" s="503" t="n">
        <x:v>0</x:v>
      </x:c>
      <x:c r="Q280" s="503" t="n">
        <x:v>0</x:v>
      </x:c>
      <x:c r="R280" s="489" t="str"/>
      <x:c r="S280" s="489" t="str">
        <x:v>12010453000188</x:v>
      </x:c>
      <x:c r="T280" s="489" t="str">
        <x:v>CONFIRMADO</x:v>
      </x:c>
      <x:c r="U280" s="489" t="str">
        <x:v>Baixa</x:v>
      </x:c>
      <x:c r="V280" s="489" t="str">
        <x:v>Preencher situação: há pagamento identificado na fonte pública; CNPJ candidato na fonte SIGA: 12010453000188</x:v>
      </x:c>
      <x:c r="W280" s="489" t="str">
        <x:v>Valor do grupo fecha com: SIGA pago favorecido</x:v>
      </x:c>
      <x:c r="X280" s="489" t="str"/>
    </x:row>
    <x:row r="281">
      <x:c r="A281" s="502" t="n">
        <x:v>281</x:v>
      </x:c>
      <x:c r="B281" s="502" t="n">
        <x:v>2024</x:v>
      </x:c>
      <x:c r="C281" s="489" t="str">
        <x:v>São Martinho da Serra</x:v>
      </x:c>
      <x:c r="D281" s="489" t="str">
        <x:v>Prefeitura Municipal de São Martinho da Serra</x:v>
      </x:c>
      <x:c r="E281" s="489" t="str">
        <x:v>Prefeitura Municipal</x:v>
      </x:c>
      <x:c r="F281" s="489" t="str">
        <x:v>41160003</x:v>
      </x:c>
      <x:c r="G281" s="489" t="str">
        <x:v>41160003-2024</x:v>
      </x:c>
      <x:c r="H281" s="489" t="str">
        <x:v>Informado/corrigido a partir do mapa</x:v>
      </x:c>
      <x:c r="I281" s="503" t="n">
        <x:v>200000</x:v>
      </x:c>
      <x:c r="J281" s="503" t="n">
        <x:v>200000</x:v>
      </x:c>
      <x:c r="K281" s="489" t="str">
        <x:v>Emenda Individual</x:v>
      </x:c>
      <x:c r="L281" s="489"/>
      <x:c r="M281" s="503" t="n">
        <x:v>200000</x:v>
      </x:c>
      <x:c r="N281" s="503" t="n">
        <x:v>0</x:v>
      </x:c>
      <x:c r="O281" s="503" t="n">
        <x:v>0</x:v>
      </x:c>
      <x:c r="P281" s="503" t="n">
        <x:v>0</x:v>
      </x:c>
      <x:c r="Q281" s="503" t="n">
        <x:v>0</x:v>
      </x:c>
      <x:c r="R281" s="489" t="str"/>
      <x:c r="S281" s="489" t="str">
        <x:v>11988520000170</x:v>
      </x:c>
      <x:c r="T281" s="489" t="str">
        <x:v>CONFIRMADO</x:v>
      </x:c>
      <x:c r="U281" s="489" t="str">
        <x:v>Baixa</x:v>
      </x:c>
      <x:c r="V281" s="489" t="str">
        <x:v>Preencher situação: há pagamento identificado na fonte pública; CNPJ candidato na fonte SIGA: 11988520000170</x:v>
      </x:c>
      <x:c r="W281" s="489" t="str">
        <x:v>Valor do grupo fecha com: SIGA pago favorecido</x:v>
      </x:c>
      <x:c r="X281" s="489" t="str"/>
    </x:row>
    <x:row r="282">
      <x:c r="A282" s="502" t="n">
        <x:v>282</x:v>
      </x:c>
      <x:c r="B282" s="502" t="n">
        <x:v>2024</x:v>
      </x:c>
      <x:c r="C282" s="489" t="str">
        <x:v>São Valentim do Sul</x:v>
      </x:c>
      <x:c r="D282" s="489" t="str">
        <x:v>Prefeitura Municipal de São Valentim do Sul</x:v>
      </x:c>
      <x:c r="E282" s="489" t="str">
        <x:v>Prefeitura Municipal</x:v>
      </x:c>
      <x:c r="F282" s="489" t="str">
        <x:v>41160003</x:v>
      </x:c>
      <x:c r="G282" s="489" t="str">
        <x:v>41160003-2024</x:v>
      </x:c>
      <x:c r="H282" s="489" t="str">
        <x:v>Informado/corrigido a partir do mapa</x:v>
      </x:c>
      <x:c r="I282" s="503" t="n">
        <x:v>200000</x:v>
      </x:c>
      <x:c r="J282" s="503" t="n">
        <x:v>200000</x:v>
      </x:c>
      <x:c r="K282" s="489" t="str">
        <x:v>Emenda Individual</x:v>
      </x:c>
      <x:c r="L282" s="489"/>
      <x:c r="M282" s="503" t="n">
        <x:v>200000</x:v>
      </x:c>
      <x:c r="N282" s="503" t="n">
        <x:v>0</x:v>
      </x:c>
      <x:c r="O282" s="503" t="n">
        <x:v>0</x:v>
      </x:c>
      <x:c r="P282" s="503" t="n">
        <x:v>0</x:v>
      </x:c>
      <x:c r="Q282" s="503" t="n">
        <x:v>0</x:v>
      </x:c>
      <x:c r="R282" s="489" t="str"/>
      <x:c r="S282" s="489" t="str">
        <x:v>12153509000153</x:v>
      </x:c>
      <x:c r="T282" s="489" t="str">
        <x:v>CONFIRMADO</x:v>
      </x:c>
      <x:c r="U282" s="489" t="str">
        <x:v>Baixa</x:v>
      </x:c>
      <x:c r="V282" s="489" t="str">
        <x:v>Preencher situação: há pagamento identificado na fonte pública; CNPJ candidato na fonte SIGA: 12153509000153</x:v>
      </x:c>
      <x:c r="W282" s="489" t="str">
        <x:v>Valor do grupo fecha com: SIGA pago favorecido</x:v>
      </x:c>
      <x:c r="X282" s="489" t="str"/>
    </x:row>
    <x:row r="283">
      <x:c r="A283" s="502" t="n">
        <x:v>283</x:v>
      </x:c>
      <x:c r="B283" s="502" t="n">
        <x:v>2024</x:v>
      </x:c>
      <x:c r="C283" s="489" t="str">
        <x:v>Igrejinha</x:v>
      </x:c>
      <x:c r="D283" s="489" t="str">
        <x:v>Prefeitura Municipal de Igrejinha</x:v>
      </x:c>
      <x:c r="E283" s="489" t="str">
        <x:v>Prefeitura Municipal</x:v>
      </x:c>
      <x:c r="F283" s="489" t="str">
        <x:v>41160003</x:v>
      </x:c>
      <x:c r="G283" s="489" t="str">
        <x:v>41160003-2024</x:v>
      </x:c>
      <x:c r="H283" s="489" t="str">
        <x:v>Informado/corrigido a partir do mapa</x:v>
      </x:c>
      <x:c r="I283" s="503" t="n">
        <x:v>200000</x:v>
      </x:c>
      <x:c r="J283" s="503" t="n">
        <x:v>200000</x:v>
      </x:c>
      <x:c r="K283" s="489" t="str">
        <x:v>Emenda Individual</x:v>
      </x:c>
      <x:c r="L283" s="489"/>
      <x:c r="M283" s="503" t="n">
        <x:v>200000</x:v>
      </x:c>
      <x:c r="N283" s="503" t="n">
        <x:v>0</x:v>
      </x:c>
      <x:c r="O283" s="503" t="n">
        <x:v>0</x:v>
      </x:c>
      <x:c r="P283" s="503" t="n">
        <x:v>0</x:v>
      </x:c>
      <x:c r="Q283" s="503" t="n">
        <x:v>0</x:v>
      </x:c>
      <x:c r="R283" s="489" t="str"/>
      <x:c r="S283" s="489" t="str">
        <x:v>12121651000119</x:v>
      </x:c>
      <x:c r="T283" s="489" t="str">
        <x:v>CONFIRMADO</x:v>
      </x:c>
      <x:c r="U283" s="489" t="str">
        <x:v>Baixa</x:v>
      </x:c>
      <x:c r="V283" s="489" t="str">
        <x:v>Preencher situação: há pagamento identificado na fonte pública; CNPJ candidato na fonte SIGA: 12121651000119</x:v>
      </x:c>
      <x:c r="W283" s="489" t="str">
        <x:v>Valor do grupo fecha com: SIGA pago favorecido</x:v>
      </x:c>
      <x:c r="X283" s="489" t="str"/>
    </x:row>
    <x:row r="284">
      <x:c r="A284" s="502" t="n">
        <x:v>284</x:v>
      </x:c>
      <x:c r="B284" s="502" t="n">
        <x:v>2024</x:v>
      </x:c>
      <x:c r="C284" s="489" t="str">
        <x:v>Pareci Novo</x:v>
      </x:c>
      <x:c r="D284" s="489" t="str">
        <x:v>Prefeitura Municipal de Pareci Novo</x:v>
      </x:c>
      <x:c r="E284" s="489" t="str">
        <x:v>Prefeitura Municipal</x:v>
      </x:c>
      <x:c r="F284" s="489" t="str">
        <x:v>41160003</x:v>
      </x:c>
      <x:c r="G284" s="489" t="str">
        <x:v>41160003-2024</x:v>
      </x:c>
      <x:c r="H284" s="489" t="str">
        <x:v>Informado/corrigido a partir do mapa</x:v>
      </x:c>
      <x:c r="I284" s="503" t="n">
        <x:v>200000</x:v>
      </x:c>
      <x:c r="J284" s="503" t="n">
        <x:v>200000</x:v>
      </x:c>
      <x:c r="K284" s="489" t="str">
        <x:v>Emenda Individual</x:v>
      </x:c>
      <x:c r="L284" s="489"/>
      <x:c r="M284" s="503" t="n">
        <x:v>200000</x:v>
      </x:c>
      <x:c r="N284" s="503" t="n">
        <x:v>0</x:v>
      </x:c>
      <x:c r="O284" s="503" t="n">
        <x:v>0</x:v>
      </x:c>
      <x:c r="P284" s="503" t="n">
        <x:v>0</x:v>
      </x:c>
      <x:c r="Q284" s="503" t="n">
        <x:v>0</x:v>
      </x:c>
      <x:c r="R284" s="489" t="str"/>
      <x:c r="S284" s="489" t="str">
        <x:v>10543099000121</x:v>
      </x:c>
      <x:c r="T284" s="489" t="str">
        <x:v>CONFIRMADO</x:v>
      </x:c>
      <x:c r="U284" s="489" t="str">
        <x:v>Baixa</x:v>
      </x:c>
      <x:c r="V284" s="489" t="str">
        <x:v>Preencher situação: há pagamento identificado na fonte pública; CNPJ candidato na fonte SIGA: 10543099000121</x:v>
      </x:c>
      <x:c r="W284" s="489" t="str">
        <x:v>Valor do grupo fecha com: SIGA pago favorecido</x:v>
      </x:c>
      <x:c r="X284" s="489" t="str"/>
    </x:row>
    <x:row r="285">
      <x:c r="A285" s="502" t="n">
        <x:v>285</x:v>
      </x:c>
      <x:c r="B285" s="502" t="n">
        <x:v>2024</x:v>
      </x:c>
      <x:c r="C285" s="489" t="str">
        <x:v>Triunfo</x:v>
      </x:c>
      <x:c r="D285" s="489" t="str">
        <x:v>Prefeitura Municipal de Triunfo</x:v>
      </x:c>
      <x:c r="E285" s="489" t="str">
        <x:v>Prefeitura Municipal</x:v>
      </x:c>
      <x:c r="F285" s="489" t="str">
        <x:v>41160004</x:v>
      </x:c>
      <x:c r="G285" s="489" t="str">
        <x:v>41160004-2024</x:v>
      </x:c>
      <x:c r="H285" s="489" t="str">
        <x:v>Informado/corrigido a partir do mapa</x:v>
      </x:c>
      <x:c r="I285" s="503" t="n">
        <x:v>200000</x:v>
      </x:c>
      <x:c r="J285" s="503" t="n">
        <x:v>200000</x:v>
      </x:c>
      <x:c r="K285" s="489" t="str">
        <x:v>Emenda Individual</x:v>
      </x:c>
      <x:c r="L285" s="489"/>
      <x:c r="M285" s="503" t="n">
        <x:v>200000</x:v>
      </x:c>
      <x:c r="N285" s="503" t="n">
        <x:v>0</x:v>
      </x:c>
      <x:c r="O285" s="503" t="n">
        <x:v>0</x:v>
      </x:c>
      <x:c r="P285" s="503" t="n">
        <x:v>0</x:v>
      </x:c>
      <x:c r="Q285" s="503" t="n">
        <x:v>0</x:v>
      </x:c>
      <x:c r="R285" s="489" t="str"/>
      <x:c r="S285" s="489" t="str">
        <x:v>12764895000110</x:v>
      </x:c>
      <x:c r="T285" s="489" t="str">
        <x:v>CONFIRMADO</x:v>
      </x:c>
      <x:c r="U285" s="489" t="str">
        <x:v>Baixa</x:v>
      </x:c>
      <x:c r="V285" s="489" t="str">
        <x:v>Preencher situação: há pagamento identificado na fonte pública; CNPJ candidato na fonte SIGA: 12764895000110</x:v>
      </x:c>
      <x:c r="W285" s="489" t="str">
        <x:v>Valor do grupo fecha com: SIGA pago favorecido</x:v>
      </x:c>
      <x:c r="X285" s="489" t="str"/>
    </x:row>
    <x:row r="286">
      <x:c r="A286" s="502" t="n">
        <x:v>286</x:v>
      </x:c>
      <x:c r="B286" s="502" t="n">
        <x:v>2024</x:v>
      </x:c>
      <x:c r="C286" s="489" t="str">
        <x:v>Veranópolis</x:v>
      </x:c>
      <x:c r="D286" s="489" t="str">
        <x:v>Fundo Municipal de saúde de Veranópolis de Veranópolis</x:v>
      </x:c>
      <x:c r="E286" s="489" t="str">
        <x:v>Fundo Municipal de saúde de Veranópolis</x:v>
      </x:c>
      <x:c r="F286" s="489" t="str">
        <x:v>41160004</x:v>
      </x:c>
      <x:c r="G286" s="489" t="str">
        <x:v>41160004-2024</x:v>
      </x:c>
      <x:c r="H286" s="489" t="str">
        <x:v>Informado/corrigido a partir do mapa</x:v>
      </x:c>
      <x:c r="I286" s="503" t="n">
        <x:v>200000</x:v>
      </x:c>
      <x:c r="J286" s="503" t="n">
        <x:v>200000</x:v>
      </x:c>
      <x:c r="K286" s="489" t="str">
        <x:v>Emenda Individual</x:v>
      </x:c>
      <x:c r="L286" s="489"/>
      <x:c r="M286" s="503" t="n">
        <x:v>200000</x:v>
      </x:c>
      <x:c r="N286" s="503" t="n">
        <x:v>0</x:v>
      </x:c>
      <x:c r="O286" s="503" t="n">
        <x:v>0</x:v>
      </x:c>
      <x:c r="P286" s="503" t="n">
        <x:v>0</x:v>
      </x:c>
      <x:c r="Q286" s="503" t="n">
        <x:v>0</x:v>
      </x:c>
      <x:c r="R286" s="489" t="str"/>
      <x:c r="S286" s="489" t="str">
        <x:v>11839813000196</x:v>
      </x:c>
      <x:c r="T286" s="489" t="str">
        <x:v>CONFIRMADO</x:v>
      </x:c>
      <x:c r="U286" s="489" t="str">
        <x:v>Baixa</x:v>
      </x:c>
      <x:c r="V286" s="489" t="str">
        <x:v>Preencher situação: há pagamento identificado na fonte pública; CNPJ candidato na fonte SIGA: 11839813000196</x:v>
      </x:c>
      <x:c r="W286" s="489" t="str">
        <x:v>Valor do grupo fecha com: SIGA pago favorecido</x:v>
      </x:c>
      <x:c r="X286" s="489" t="str"/>
    </x:row>
    <x:row r="287">
      <x:c r="A287" s="502" t="n">
        <x:v>287</x:v>
      </x:c>
      <x:c r="B287" s="502" t="n">
        <x:v>2025</x:v>
      </x:c>
      <x:c r="C287" s="489" t="str">
        <x:v>Doutor Ricardo</x:v>
      </x:c>
      <x:c r="D287" s="489" t="str">
        <x:v>Fundo Municipal De Saude De Doutor Ricardo Doutor Ricardo - Rs</x:v>
      </x:c>
      <x:c r="E287" s="489" t="str">
        <x:v>Prefeitura Municipal</x:v>
      </x:c>
      <x:c r="F287" s="489" t="str">
        <x:v>41160003</x:v>
      </x:c>
      <x:c r="G287" s="489" t="str">
        <x:v>41160003-2025</x:v>
      </x:c>
      <x:c r="H287" s="489" t="str">
        <x:v>Informado/corrigido a partir do mapa</x:v>
      </x:c>
      <x:c r="I287" s="503" t="n">
        <x:v>200000</x:v>
      </x:c>
      <x:c r="J287" s="503" t="n">
        <x:v>200000</x:v>
      </x:c>
      <x:c r="K287" s="489" t="str">
        <x:v>Emenda Individual</x:v>
      </x:c>
      <x:c r="L287" s="489"/>
      <x:c r="M287" s="503" t="n">
        <x:v>200000</x:v>
      </x:c>
      <x:c r="N287" s="503" t="n">
        <x:v>0</x:v>
      </x:c>
      <x:c r="O287" s="503" t="n">
        <x:v>0</x:v>
      </x:c>
      <x:c r="P287" s="503" t="n">
        <x:v>0</x:v>
      </x:c>
      <x:c r="Q287" s="503" t="n">
        <x:v>0</x:v>
      </x:c>
      <x:c r="R287" s="489" t="str"/>
      <x:c r="S287" s="489" t="str">
        <x:v>12253356000116</x:v>
      </x:c>
      <x:c r="T287" s="489" t="str">
        <x:v>CONFIRMADO</x:v>
      </x:c>
      <x:c r="U287" s="489" t="str">
        <x:v>Baixa</x:v>
      </x:c>
      <x:c r="V287" s="489" t="str">
        <x:v>Preencher situação: há pagamento identificado na fonte pública</x:v>
      </x:c>
      <x:c r="W287" s="489" t="str">
        <x:v>Valor do grupo fecha com: SIGA pago favorecido</x:v>
      </x:c>
      <x:c r="X287" s="489" t="str"/>
    </x:row>
    <x:row r="288">
      <x:c r="A288" s="502" t="n">
        <x:v>288</x:v>
      </x:c>
      <x:c r="B288" s="502" t="n">
        <x:v>2025</x:v>
      </x:c>
      <x:c r="C288" s="489" t="str">
        <x:v>Fontoura Xavier</x:v>
      </x:c>
      <x:c r="D288" s="489" t="str">
        <x:v>Fundo Municipal De Saude Fontoura Xavier - Rs</x:v>
      </x:c>
      <x:c r="E288" s="489" t="str">
        <x:v>Prefeitura Municipal</x:v>
      </x:c>
      <x:c r="F288" s="489" t="str">
        <x:v>41160003</x:v>
      </x:c>
      <x:c r="G288" s="489" t="str">
        <x:v>41160003-2025</x:v>
      </x:c>
      <x:c r="H288" s="489" t="str">
        <x:v>Informado/corrigido a partir do mapa</x:v>
      </x:c>
      <x:c r="I288" s="503" t="n">
        <x:v>200000</x:v>
      </x:c>
      <x:c r="J288" s="503" t="n">
        <x:v>200000</x:v>
      </x:c>
      <x:c r="K288" s="489" t="str">
        <x:v>Emenda Individual</x:v>
      </x:c>
      <x:c r="L288" s="489"/>
      <x:c r="M288" s="503" t="n">
        <x:v>200000</x:v>
      </x:c>
      <x:c r="N288" s="503" t="n">
        <x:v>0</x:v>
      </x:c>
      <x:c r="O288" s="503" t="n">
        <x:v>0</x:v>
      </x:c>
      <x:c r="P288" s="503" t="n">
        <x:v>0</x:v>
      </x:c>
      <x:c r="Q288" s="503" t="n">
        <x:v>0</x:v>
      </x:c>
      <x:c r="R288" s="489" t="str"/>
      <x:c r="S288" s="489" t="str">
        <x:v>12100530000190</x:v>
      </x:c>
      <x:c r="T288" s="489" t="str">
        <x:v>CONFIRMADO</x:v>
      </x:c>
      <x:c r="U288" s="489" t="str">
        <x:v>Baixa</x:v>
      </x:c>
      <x:c r="V288" s="489" t="str">
        <x:v>Preencher situação: há pagamento identificado na fonte pública</x:v>
      </x:c>
      <x:c r="W288" s="489" t="str">
        <x:v>Valor do grupo fecha com: SIGA pago favorecido</x:v>
      </x:c>
      <x:c r="X288" s="489" t="str"/>
    </x:row>
    <x:row r="289">
      <x:c r="A289" s="502" t="n">
        <x:v>289</x:v>
      </x:c>
      <x:c r="B289" s="502" t="n">
        <x:v>2025</x:v>
      </x:c>
      <x:c r="C289" s="489" t="str">
        <x:v>Passa Sete</x:v>
      </x:c>
      <x:c r="D289" s="489" t="str">
        <x:v>Fundo Municipal De Saude De Passa Sete Rs Passa Sete - Rs</x:v>
      </x:c>
      <x:c r="E289" s="489" t="str">
        <x:v>Prefeitura Municipal</x:v>
      </x:c>
      <x:c r="F289" s="489" t="str">
        <x:v>41160003</x:v>
      </x:c>
      <x:c r="G289" s="489" t="str">
        <x:v>41160003-2025</x:v>
      </x:c>
      <x:c r="H289" s="489" t="str">
        <x:v>Informado/corrigido a partir do mapa</x:v>
      </x:c>
      <x:c r="I289" s="503" t="n">
        <x:v>200000</x:v>
      </x:c>
      <x:c r="J289" s="503" t="n">
        <x:v>200000</x:v>
      </x:c>
      <x:c r="K289" s="489" t="str">
        <x:v>Emenda Individual</x:v>
      </x:c>
      <x:c r="L289" s="489"/>
      <x:c r="M289" s="503" t="n">
        <x:v>199935</x:v>
      </x:c>
      <x:c r="N289" s="503" t="n">
        <x:v>0</x:v>
      </x:c>
      <x:c r="O289" s="503" t="n">
        <x:v>0</x:v>
      </x:c>
      <x:c r="P289" s="503" t="n">
        <x:v>0</x:v>
      </x:c>
      <x:c r="Q289" s="503" t="n">
        <x:v>0</x:v>
      </x:c>
      <x:c r="R289" s="489" t="str"/>
      <x:c r="S289" s="489" t="str">
        <x:v>11991195000103</x:v>
      </x:c>
      <x:c r="T289" s="489" t="str">
        <x:v>CONFIRMADO</x:v>
      </x:c>
      <x:c r="U289" s="489" t="str">
        <x:v>Baixa</x:v>
      </x:c>
      <x:c r="V289" s="489" t="str">
        <x:v>Preencher situação: há pagamento identificado na fonte pública</x:v>
      </x:c>
      <x:c r="W289" s="489" t="str">
        <x:v>Valor do grupo fecha com: SIGA pago favorecido</x:v>
      </x:c>
      <x:c r="X289" s="489" t="str"/>
    </x:row>
    <x:row r="290">
      <x:c r="A290" s="502" t="n">
        <x:v>290</x:v>
      </x:c>
      <x:c r="B290" s="502" t="n">
        <x:v>2025</x:v>
      </x:c>
      <x:c r="C290" s="489" t="str">
        <x:v>Pinhal Grande</x:v>
      </x:c>
      <x:c r="D290" s="489" t="str">
        <x:v>Fundo Municipal De Saude Pinhal Grande - Rs</x:v>
      </x:c>
      <x:c r="E290" s="489" t="str">
        <x:v>Prefeitura Municipal</x:v>
      </x:c>
      <x:c r="F290" s="489" t="str">
        <x:v>41160003</x:v>
      </x:c>
      <x:c r="G290" s="489" t="str">
        <x:v>41160003-2025</x:v>
      </x:c>
      <x:c r="H290" s="489" t="str">
        <x:v>Informado/corrigido a partir do mapa</x:v>
      </x:c>
      <x:c r="I290" s="503" t="n">
        <x:v>200000</x:v>
      </x:c>
      <x:c r="J290" s="503" t="n">
        <x:v>200000</x:v>
      </x:c>
      <x:c r="K290" s="489" t="str">
        <x:v>Emenda Individual</x:v>
      </x:c>
      <x:c r="L290" s="489"/>
      <x:c r="M290" s="503" t="n">
        <x:v>199945</x:v>
      </x:c>
      <x:c r="N290" s="503" t="n">
        <x:v>0</x:v>
      </x:c>
      <x:c r="O290" s="503" t="n">
        <x:v>0</x:v>
      </x:c>
      <x:c r="P290" s="503" t="n">
        <x:v>0</x:v>
      </x:c>
      <x:c r="Q290" s="503" t="n">
        <x:v>0</x:v>
      </x:c>
      <x:c r="R290" s="489" t="str"/>
      <x:c r="S290" s="489" t="str">
        <x:v>13094599000111</x:v>
      </x:c>
      <x:c r="T290" s="489" t="str">
        <x:v>CONFIRMADO</x:v>
      </x:c>
      <x:c r="U290" s="489" t="str">
        <x:v>Baixa</x:v>
      </x:c>
      <x:c r="V290" s="489" t="str">
        <x:v>Preencher situação: há pagamento identificado na fonte pública</x:v>
      </x:c>
      <x:c r="W290" s="489" t="str">
        <x:v>Valor do grupo fecha com: SIGA pago favorecido</x:v>
      </x:c>
      <x:c r="X290" s="489" t="str"/>
    </x:row>
    <x:row r="291">
      <x:c r="A291" s="502" t="n">
        <x:v>291</x:v>
      </x:c>
      <x:c r="B291" s="502" t="n">
        <x:v>2025</x:v>
      </x:c>
      <x:c r="C291" s="489" t="str">
        <x:v>Vale Verde</x:v>
      </x:c>
      <x:c r="D291" s="489" t="str">
        <x:v>Fundo Municipal De Saude De Vale Verde - Rs Vale Verde - Rs</x:v>
      </x:c>
      <x:c r="E291" s="489" t="str">
        <x:v>Prefeitura Municipal</x:v>
      </x:c>
      <x:c r="F291" s="489" t="str">
        <x:v>41160003</x:v>
      </x:c>
      <x:c r="G291" s="489" t="str">
        <x:v>41160003-2025</x:v>
      </x:c>
      <x:c r="H291" s="489" t="str">
        <x:v>Informado/corrigido a partir do mapa</x:v>
      </x:c>
      <x:c r="I291" s="503" t="n">
        <x:v>200000</x:v>
      </x:c>
      <x:c r="J291" s="503" t="n">
        <x:v>200000</x:v>
      </x:c>
      <x:c r="K291" s="489" t="str">
        <x:v>Emenda Individual</x:v>
      </x:c>
      <x:c r="L291" s="489"/>
      <x:c r="M291" s="503" t="n">
        <x:v>199937</x:v>
      </x:c>
      <x:c r="N291" s="503" t="n">
        <x:v>0</x:v>
      </x:c>
      <x:c r="O291" s="503" t="n">
        <x:v>0</x:v>
      </x:c>
      <x:c r="P291" s="503" t="n">
        <x:v>0</x:v>
      </x:c>
      <x:c r="Q291" s="503" t="n">
        <x:v>0</x:v>
      </x:c>
      <x:c r="R291" s="489" t="str"/>
      <x:c r="S291" s="489" t="str">
        <x:v>12361661000121</x:v>
      </x:c>
      <x:c r="T291" s="489" t="str">
        <x:v>CONFIRMADO</x:v>
      </x:c>
      <x:c r="U291" s="489" t="str">
        <x:v>Baixa</x:v>
      </x:c>
      <x:c r="V291" s="489" t="str">
        <x:v>Preencher situação: há pagamento identificado na fonte pública</x:v>
      </x:c>
      <x:c r="W291" s="489" t="str">
        <x:v>Valor do grupo fecha com: SIGA pago favorecido</x:v>
      </x:c>
      <x:c r="X291" s="489" t="str"/>
    </x:row>
    <x:row r="292">
      <x:c r="A292" s="502" t="n">
        <x:v>292</x:v>
      </x:c>
      <x:c r="B292" s="502" t="n">
        <x:v>2025</x:v>
      </x:c>
      <x:c r="C292" s="489" t="str">
        <x:v>Bozano</x:v>
      </x:c>
      <x:c r="D292" s="489" t="str">
        <x:v>Municipio De Bozano Bozano - Rs</x:v>
      </x:c>
      <x:c r="E292" s="489" t="str">
        <x:v>Prefeitura Municipal</x:v>
      </x:c>
      <x:c r="F292" s="489" t="str">
        <x:v>41160008</x:v>
      </x:c>
      <x:c r="G292" s="489" t="str">
        <x:v>41160008-2025</x:v>
      </x:c>
      <x:c r="H292" s="489" t="str">
        <x:v>Informado/corrigido a partir do mapa</x:v>
      </x:c>
      <x:c r="I292" s="503" t="n">
        <x:v>200000</x:v>
      </x:c>
      <x:c r="J292" s="503" t="n">
        <x:v>200000</x:v>
      </x:c>
      <x:c r="K292" s="489" t="str">
        <x:v>Emenda Individual</x:v>
      </x:c>
      <x:c r="L292" s="489"/>
      <x:c r="M292" s="503" t="n">
        <x:v>198000</x:v>
      </x:c>
      <x:c r="N292" s="503" t="n">
        <x:v>0</x:v>
      </x:c>
      <x:c r="O292" s="503" t="n">
        <x:v>0</x:v>
      </x:c>
      <x:c r="P292" s="503" t="n">
        <x:v>198000</x:v>
      </x:c>
      <x:c r="Q292" s="503" t="n">
        <x:v>0</x:v>
      </x:c>
      <x:c r="R292" s="489" t="str">
        <x:v>CIENTE</x:v>
      </x:c>
      <x:c r="S292" s="489" t="str">
        <x:v>04216419000136</x:v>
      </x:c>
      <x:c r="T292" s="489" t="str">
        <x:v>VALOR DIVERGENTE / COBERTURA DIFERENTE</x:v>
      </x:c>
      <x:c r="U292" s="489" t="str">
        <x:v>Média</x:v>
      </x:c>
      <x:c r="V292" s="489" t="str">
        <x:v>Revisar valor do grupo: PIX atual registra R$ 198,000.00; Atualizar situação com status do plano PIX: CIENTE (não equivale a pagamento)</x:v>
      </x:c>
      <x:c r="W292" s="489" t="str">
        <x:v>Município/localidade encontrado em fonte comparável, mas valor não fecha exatamente</x:v>
      </x:c>
      <x:c r="X292" s="489" t="str">
        <x:v>https://especiais.transferegov.sistema.gov.br/transferencia-especial/plano-acao/detalhe/83988/dados-basicos</x:v>
      </x:c>
    </x:row>
    <x:row r="293">
      <x:c r="A293" s="502" t="n">
        <x:v>293</x:v>
      </x:c>
      <x:c r="B293" s="502" t="n">
        <x:v>2025</x:v>
      </x:c>
      <x:c r="C293" s="489" t="str">
        <x:v>Barra do Ribeiro</x:v>
      </x:c>
      <x:c r="D293" s="489" t="str">
        <x:v>Fundo Municipal De Saude-Fms Barra Do Ribeiro Rs Barra Do Ribeiro - Rs</x:v>
      </x:c>
      <x:c r="E293" s="489" t="str">
        <x:v>Prefeitura Municipal</x:v>
      </x:c>
      <x:c r="F293" s="489" t="str">
        <x:v>41160004</x:v>
      </x:c>
      <x:c r="G293" s="489" t="str">
        <x:v>41160004-2025</x:v>
      </x:c>
      <x:c r="H293" s="489" t="str">
        <x:v>Informado/corrigido a partir do mapa</x:v>
      </x:c>
      <x:c r="I293" s="503" t="n">
        <x:v>200000</x:v>
      </x:c>
      <x:c r="J293" s="503" t="n">
        <x:v>200000</x:v>
      </x:c>
      <x:c r="K293" s="489" t="str">
        <x:v>Emenda Individual</x:v>
      </x:c>
      <x:c r="L293" s="489"/>
      <x:c r="M293" s="503" t="n">
        <x:v>199932</x:v>
      </x:c>
      <x:c r="N293" s="503" t="n">
        <x:v>0</x:v>
      </x:c>
      <x:c r="O293" s="503" t="n">
        <x:v>0</x:v>
      </x:c>
      <x:c r="P293" s="503" t="n">
        <x:v>0</x:v>
      </x:c>
      <x:c r="Q293" s="503" t="n">
        <x:v>0</x:v>
      </x:c>
      <x:c r="R293" s="489" t="str"/>
      <x:c r="S293" s="489" t="str">
        <x:v>13852788000106</x:v>
      </x:c>
      <x:c r="T293" s="489" t="str">
        <x:v>CONFIRMADO</x:v>
      </x:c>
      <x:c r="U293" s="489" t="str">
        <x:v>Baixa</x:v>
      </x:c>
      <x:c r="V293" s="489" t="str">
        <x:v>Preencher situação: há pagamento identificado na fonte pública</x:v>
      </x:c>
      <x:c r="W293" s="489" t="str">
        <x:v>Valor do grupo fecha com: SIGA pago favorecido</x:v>
      </x:c>
      <x:c r="X293" s="489" t="str"/>
    </x:row>
    <x:row r="294">
      <x:c r="A294" s="502" t="n">
        <x:v>294</x:v>
      </x:c>
      <x:c r="B294" s="502" t="n">
        <x:v>2025</x:v>
      </x:c>
      <x:c r="C294" s="489" t="str">
        <x:v>São Lourenço do Sul</x:v>
      </x:c>
      <x:c r="D294" s="489" t="str">
        <x:v>Fundo Municipal De Saude De Sao Lourenco Do Sul São Lourenço Do Sul - Rs</x:v>
      </x:c>
      <x:c r="E294" s="489" t="str">
        <x:v>Prefeitura Municipal</x:v>
      </x:c>
      <x:c r="F294" s="489" t="str">
        <x:v>41160004</x:v>
      </x:c>
      <x:c r="G294" s="489" t="str">
        <x:v>41160004-2025</x:v>
      </x:c>
      <x:c r="H294" s="489" t="str">
        <x:v>Informado/corrigido a partir do mapa</x:v>
      </x:c>
      <x:c r="I294" s="503" t="n">
        <x:v>200000</x:v>
      </x:c>
      <x:c r="J294" s="503" t="n">
        <x:v>200000</x:v>
      </x:c>
      <x:c r="K294" s="489" t="str">
        <x:v>Emenda Individual</x:v>
      </x:c>
      <x:c r="L294" s="489"/>
      <x:c r="M294" s="503" t="n">
        <x:v>197915</x:v>
      </x:c>
      <x:c r="N294" s="503" t="n">
        <x:v>0</x:v>
      </x:c>
      <x:c r="O294" s="503" t="n">
        <x:v>0</x:v>
      </x:c>
      <x:c r="P294" s="503" t="n">
        <x:v>0</x:v>
      </x:c>
      <x:c r="Q294" s="503" t="n">
        <x:v>0</x:v>
      </x:c>
      <x:c r="R294" s="489" t="str"/>
      <x:c r="S294" s="489" t="str">
        <x:v>13931745000116</x:v>
      </x:c>
      <x:c r="T294" s="489" t="str">
        <x:v>VALOR DIVERGENTE / COBERTURA DIFERENTE</x:v>
      </x:c>
      <x:c r="U294" s="489" t="str">
        <x:v>Média</x:v>
      </x:c>
      <x:c r="V294" s="489" t="str">
        <x:v>Preencher situação: há pagamento identificado na fonte pública</x:v>
      </x:c>
      <x:c r="W294" s="489" t="str">
        <x:v>Município/localidade encontrado em fonte comparável, mas valor não fecha exatamente</x:v>
      </x:c>
      <x:c r="X294" s="489" t="str"/>
    </x:row>
    <x:row r="295">
      <x:c r="A295" s="502" t="n">
        <x:v>295</x:v>
      </x:c>
      <x:c r="B295" s="502" t="n">
        <x:v>2025</x:v>
      </x:c>
      <x:c r="C295" s="489" t="str">
        <x:v>Taquari</x:v>
      </x:c>
      <x:c r="D295" s="489" t="str">
        <x:v>Fundo Municipal De Saude - Taquari Taquari - Rs</x:v>
      </x:c>
      <x:c r="E295" s="489" t="str">
        <x:v>Prefeitura Municipal</x:v>
      </x:c>
      <x:c r="F295" s="489" t="str">
        <x:v>41160004</x:v>
      </x:c>
      <x:c r="G295" s="489" t="str">
        <x:v>41160004-2025</x:v>
      </x:c>
      <x:c r="H295" s="489" t="str">
        <x:v>Informado/corrigido a partir do mapa</x:v>
      </x:c>
      <x:c r="I295" s="503" t="n">
        <x:v>200000</x:v>
      </x:c>
      <x:c r="J295" s="503" t="n">
        <x:v>200000</x:v>
      </x:c>
      <x:c r="K295" s="489" t="str">
        <x:v>Emenda Individual</x:v>
      </x:c>
      <x:c r="L295" s="489"/>
      <x:c r="M295" s="503" t="n">
        <x:v>0</x:v>
      </x:c>
      <x:c r="N295" s="503" t="n">
        <x:v>200000</x:v>
      </x:c>
      <x:c r="O295" s="503" t="n">
        <x:v>0</x:v>
      </x:c>
      <x:c r="P295" s="503" t="n">
        <x:v>0</x:v>
      </x:c>
      <x:c r="Q295" s="503" t="n">
        <x:v>0</x:v>
      </x:c>
      <x:c r="R295" s="489" t="str"/>
      <x:c r="S295" s="489" t="str"/>
      <x:c r="T295" s="489" t="str">
        <x:v>DESTINO/INSTRUMENTO CONFIRMADO; VALOR NÃO COMPARÁVEL</x:v>
      </x:c>
      <x:c r="U295" s="489" t="str">
        <x:v>Média</x:v>
      </x:c>
      <x:c r="V295" s="489" t="str"/>
      <x:c r="W295" s="489" t="str">
        <x:v>Há instrumento do Transferegov para a emenda/município; valores do instrumento não foram usados como prova do valor da emenda</x:v>
      </x:c>
      <x:c r="X295" s="489" t="str">
        <x:v>https://discricionarias.transferegov.sistema.gov.br/voluntarias/ConsultarProposta/ResultadoDaConsultaDeConvenioSelecionarConvenio.do?sequencialConvenio=978966&amp;Usr=guest&amp;Pwd=guest</x:v>
      </x:c>
    </x:row>
    <x:row r="296">
      <x:c r="A296" s="502" t="n">
        <x:v>296</x:v>
      </x:c>
      <x:c r="B296" s="502" t="n">
        <x:v>2025</x:v>
      </x:c>
      <x:c r="C296" s="489" t="str">
        <x:v>São Jerônimo</x:v>
      </x:c>
      <x:c r="D296" s="489" t="str">
        <x:v>Fundo Municipal De Saude De Sao Jeronimo Rs São Jerônimo - Rs</x:v>
      </x:c>
      <x:c r="E296" s="489" t="str">
        <x:v>Prefeitura Municipal</x:v>
      </x:c>
      <x:c r="F296" s="489" t="str">
        <x:v>41160004</x:v>
      </x:c>
      <x:c r="G296" s="489" t="str">
        <x:v>41160004-2025</x:v>
      </x:c>
      <x:c r="H296" s="489" t="str">
        <x:v>Informado/corrigido a partir do mapa</x:v>
      </x:c>
      <x:c r="I296" s="503" t="n">
        <x:v>200000</x:v>
      </x:c>
      <x:c r="J296" s="503" t="n">
        <x:v>400000</x:v>
      </x:c>
      <x:c r="K296" s="489" t="str">
        <x:v>Emenda Individual</x:v>
      </x:c>
      <x:c r="L296" s="489"/>
      <x:c r="M296" s="503" t="n">
        <x:v>199000</x:v>
      </x:c>
      <x:c r="N296" s="503" t="n">
        <x:v>200000</x:v>
      </x:c>
      <x:c r="O296" s="503" t="n">
        <x:v>199000</x:v>
      </x:c>
      <x:c r="P296" s="503" t="n">
        <x:v>0</x:v>
      </x:c>
      <x:c r="Q296" s="503" t="n">
        <x:v>0</x:v>
      </x:c>
      <x:c r="R296" s="489" t="str"/>
      <x:c r="S296" s="489" t="str">
        <x:v>92741016000416</x:v>
      </x:c>
      <x:c r="T296" s="489" t="str">
        <x:v>VALOR DIVERGENTE / COBERTURA DIFERENTE</x:v>
      </x:c>
      <x:c r="U296" s="489" t="str">
        <x:v>Alta</x:v>
      </x:c>
      <x:c r="V296" s="489" t="str">
        <x:v>Preencher situação: há pagamento identificado na fonte pública</x:v>
      </x:c>
      <x:c r="W296" s="489" t="str">
        <x:v>Município/localidade encontrado em fonte comparável, mas valor não fecha exatamente</x:v>
      </x:c>
      <x:c r="X296" s="489" t="str">
        <x:v>https://discricionarias.transferegov.sistema.gov.br/voluntarias/ConsultarProposta/ResultadoDaConsultaDeConvenioSelecionarConvenio.do?sequencialConvenio=978856&amp;Usr=guest&amp;Pwd=guest</x:v>
      </x:c>
    </x:row>
    <x:row r="297">
      <x:c r="A297" s="502" t="n">
        <x:v>297</x:v>
      </x:c>
      <x:c r="B297" s="502" t="n">
        <x:v>2025</x:v>
      </x:c>
      <x:c r="C297" s="489" t="str">
        <x:v>Porto Xavier</x:v>
      </x:c>
      <x:c r="D297" s="489" t="str">
        <x:v>Associacao Hospital De Caridade Nossa Senhora Dos Navegantes Porto Xavier - Rs</x:v>
      </x:c>
      <x:c r="E297" s="489" t="str">
        <x:v>Associacao Hospital De Caridade Nossa Senhora Dos Navegantes Porto Xavier - Rs</x:v>
      </x:c>
      <x:c r="F297" s="489" t="str">
        <x:v>41160004</x:v>
      </x:c>
      <x:c r="G297" s="489" t="str">
        <x:v>41160004-2025</x:v>
      </x:c>
      <x:c r="H297" s="489" t="str">
        <x:v>Informado/corrigido a partir do mapa</x:v>
      </x:c>
      <x:c r="I297" s="503" t="n">
        <x:v>200000</x:v>
      </x:c>
      <x:c r="J297" s="503" t="n">
        <x:v>200000</x:v>
      </x:c>
      <x:c r="K297" s="489" t="str">
        <x:v>Emenda Individual</x:v>
      </x:c>
      <x:c r="L297" s="489"/>
      <x:c r="M297" s="503" t="n">
        <x:v>0</x:v>
      </x:c>
      <x:c r="N297" s="503" t="n">
        <x:v>0</x:v>
      </x:c>
      <x:c r="O297" s="503" t="n">
        <x:v>0</x:v>
      </x:c>
      <x:c r="P297" s="503" t="n">
        <x:v>0</x:v>
      </x:c>
      <x:c r="Q297" s="503" t="n">
        <x:v>0</x:v>
      </x:c>
      <x:c r="R297" s="489" t="str"/>
      <x:c r="S297" s="489" t="str"/>
      <x:c r="T297" s="489" t="str">
        <x:v>EMENDA CONFIRMADA; DESTINO NÃO CONFIRMADO</x:v>
      </x:c>
      <x:c r="U297" s="489" t="str">
        <x:v>Média</x:v>
      </x:c>
      <x:c r="V297" s="489" t="str"/>
      <x:c r="W297" s="489" t="str">
        <x:v>Nº existe no SIGA; destinatário específico não foi confirmado nas bases anexas</x:v>
      </x:c>
      <x:c r="X297" s="489" t="str"/>
    </x:row>
    <x:row r="298">
      <x:c r="A298" s="502" t="n">
        <x:v>298</x:v>
      </x:c>
      <x:c r="B298" s="502" t="n">
        <x:v>2025</x:v>
      </x:c>
      <x:c r="C298" s="489" t="str">
        <x:v>Progresso</x:v>
      </x:c>
      <x:c r="D298" s="489" t="str">
        <x:v>Sociedade Sulina Divina Providencia Progresso - Rs</x:v>
      </x:c>
      <x:c r="E298" s="489" t="str">
        <x:v>Sociedade Sulina Divina Providencia Progresso - Rs</x:v>
      </x:c>
      <x:c r="F298" s="489" t="str">
        <x:v>41160004</x:v>
      </x:c>
      <x:c r="G298" s="489" t="str">
        <x:v>41160004-2025</x:v>
      </x:c>
      <x:c r="H298" s="489" t="str">
        <x:v>Informado/corrigido a partir do mapa</x:v>
      </x:c>
      <x:c r="I298" s="503" t="n">
        <x:v>200000</x:v>
      </x:c>
      <x:c r="J298" s="503" t="n">
        <x:v>200000</x:v>
      </x:c>
      <x:c r="K298" s="489" t="str">
        <x:v>Emenda Individual</x:v>
      </x:c>
      <x:c r="L298" s="489"/>
      <x:c r="M298" s="503" t="n">
        <x:v>184207.14</x:v>
      </x:c>
      <x:c r="N298" s="503" t="n">
        <x:v>200000</x:v>
      </x:c>
      <x:c r="O298" s="503" t="n">
        <x:v>184207.14</x:v>
      </x:c>
      <x:c r="P298" s="503" t="n">
        <x:v>0</x:v>
      </x:c>
      <x:c r="Q298" s="503" t="n">
        <x:v>0</x:v>
      </x:c>
      <x:c r="R298" s="489" t="str"/>
      <x:c r="S298" s="489" t="str">
        <x:v>87317764000789</x:v>
      </x:c>
      <x:c r="T298" s="489" t="str">
        <x:v>VALOR DIVERGENTE / COBERTURA DIFERENTE</x:v>
      </x:c>
      <x:c r="U298" s="489" t="str">
        <x:v>Média</x:v>
      </x:c>
      <x:c r="V298" s="489" t="str">
        <x:v>Preencher situação: há pagamento identificado na fonte pública</x:v>
      </x:c>
      <x:c r="W298" s="489" t="str">
        <x:v>Município/localidade encontrado em fonte comparável, mas valor não fecha exatamente</x:v>
      </x:c>
      <x:c r="X298" s="489" t="str">
        <x:v>https://discricionarias.transferegov.sistema.gov.br/voluntarias/ConsultarProposta/ResultadoDaConsultaDeConvenioSelecionarConvenio.do?sequencialConvenio=978992&amp;Usr=guest&amp;Pwd=guest</x:v>
      </x:c>
    </x:row>
    <x:row r="299">
      <x:c r="A299" s="502" t="n">
        <x:v>299</x:v>
      </x:c>
      <x:c r="B299" s="502" t="n">
        <x:v>2025</x:v>
      </x:c>
      <x:c r="C299" s="489" t="str">
        <x:v>Seberi</x:v>
      </x:c>
      <x:c r="D299" s="489" t="str">
        <x:v>Fundacao Hospitalar Pio Xii Seberi - Rs</x:v>
      </x:c>
      <x:c r="E299" s="489" t="str">
        <x:v>Fundacao Hospitalar Pio Xii Seberi - Rs</x:v>
      </x:c>
      <x:c r="F299" s="489" t="str">
        <x:v>41160004</x:v>
      </x:c>
      <x:c r="G299" s="489" t="str">
        <x:v>41160004-2025</x:v>
      </x:c>
      <x:c r="H299" s="489" t="str">
        <x:v>Informado/corrigido a partir do mapa</x:v>
      </x:c>
      <x:c r="I299" s="503" t="n">
        <x:v>200000</x:v>
      </x:c>
      <x:c r="J299" s="503" t="n">
        <x:v>200000</x:v>
      </x:c>
      <x:c r="K299" s="489" t="str">
        <x:v>Emenda Individual</x:v>
      </x:c>
      <x:c r="L299" s="489"/>
      <x:c r="M299" s="503" t="n">
        <x:v>158330.08</x:v>
      </x:c>
      <x:c r="N299" s="503" t="n">
        <x:v>200000</x:v>
      </x:c>
      <x:c r="O299" s="503" t="n">
        <x:v>158330.08</x:v>
      </x:c>
      <x:c r="P299" s="503" t="n">
        <x:v>0</x:v>
      </x:c>
      <x:c r="Q299" s="503" t="n">
        <x:v>0</x:v>
      </x:c>
      <x:c r="R299" s="489" t="str"/>
      <x:c r="S299" s="489" t="str">
        <x:v>89286249000119</x:v>
      </x:c>
      <x:c r="T299" s="489" t="str">
        <x:v>VALOR DIVERGENTE / COBERTURA DIFERENTE</x:v>
      </x:c>
      <x:c r="U299" s="489" t="str">
        <x:v>Alta</x:v>
      </x:c>
      <x:c r="V299" s="489" t="str">
        <x:v>Preencher situação: há pagamento identificado na fonte pública</x:v>
      </x:c>
      <x:c r="W299" s="489" t="str">
        <x:v>Município/localidade encontrado em fonte comparável, mas valor não fecha exatamente</x:v>
      </x:c>
      <x:c r="X299" s="489" t="str">
        <x:v>https://discricionarias.transferegov.sistema.gov.br/voluntarias/ConsultarProposta/ResultadoDaConsultaDeConvenioSelecionarConvenio.do?sequencialConvenio=978973&amp;Usr=guest&amp;Pwd=guest</x:v>
      </x:c>
    </x:row>
    <x:row r="300">
      <x:c r="A300" s="502" t="n">
        <x:v>300</x:v>
      </x:c>
      <x:c r="B300" s="502" t="n">
        <x:v>2025</x:v>
      </x:c>
      <x:c r="C300" s="489" t="str">
        <x:v>Canudos do Vale</x:v>
      </x:c>
      <x:c r="D300" s="489" t="str">
        <x:v>Fundo Municipal Da Saude - Canudos Do Vale Canudos Do Vale - Rs</x:v>
      </x:c>
      <x:c r="E300" s="489" t="str">
        <x:v>Prefeitura Municipal</x:v>
      </x:c>
      <x:c r="F300" s="489" t="str">
        <x:v>41160003</x:v>
      </x:c>
      <x:c r="G300" s="489" t="str">
        <x:v>41160003-2025</x:v>
      </x:c>
      <x:c r="H300" s="489" t="str">
        <x:v>Informado/corrigido a partir do mapa</x:v>
      </x:c>
      <x:c r="I300" s="503" t="n">
        <x:v>200000</x:v>
      </x:c>
      <x:c r="J300" s="503" t="n">
        <x:v>200000</x:v>
      </x:c>
      <x:c r="K300" s="489" t="str">
        <x:v>Emenda Individual</x:v>
      </x:c>
      <x:c r="L300" s="489"/>
      <x:c r="M300" s="503" t="n">
        <x:v>200000</x:v>
      </x:c>
      <x:c r="N300" s="503" t="n">
        <x:v>0</x:v>
      </x:c>
      <x:c r="O300" s="503" t="n">
        <x:v>0</x:v>
      </x:c>
      <x:c r="P300" s="503" t="n">
        <x:v>0</x:v>
      </x:c>
      <x:c r="Q300" s="503" t="n">
        <x:v>0</x:v>
      </x:c>
      <x:c r="R300" s="489" t="str"/>
      <x:c r="S300" s="489" t="str">
        <x:v>11963245000130</x:v>
      </x:c>
      <x:c r="T300" s="489" t="str">
        <x:v>CONFIRMADO</x:v>
      </x:c>
      <x:c r="U300" s="489" t="str">
        <x:v>Baixa</x:v>
      </x:c>
      <x:c r="V300" s="489" t="str">
        <x:v>Preencher situação: há pagamento identificado na fonte pública</x:v>
      </x:c>
      <x:c r="W300" s="489" t="str">
        <x:v>Valor do grupo fecha com: SIGA pago favorecido</x:v>
      </x:c>
      <x:c r="X300" s="489" t="str"/>
    </x:row>
    <x:row r="301">
      <x:c r="A301" s="502" t="n">
        <x:v>301</x:v>
      </x:c>
      <x:c r="B301" s="502" t="n">
        <x:v>2025</x:v>
      </x:c>
      <x:c r="C301" s="489" t="str">
        <x:v>Colinas</x:v>
      </x:c>
      <x:c r="D301" s="489" t="str">
        <x:v>Fundo Municipal De Saude Colinas - Rs</x:v>
      </x:c>
      <x:c r="E301" s="489" t="str">
        <x:v>Prefeitura Municipal</x:v>
      </x:c>
      <x:c r="F301" s="489" t="str">
        <x:v>41160003</x:v>
      </x:c>
      <x:c r="G301" s="489" t="str">
        <x:v>41160003-2025</x:v>
      </x:c>
      <x:c r="H301" s="489" t="str">
        <x:v>Informado/corrigido a partir do mapa</x:v>
      </x:c>
      <x:c r="I301" s="503" t="n">
        <x:v>200000</x:v>
      </x:c>
      <x:c r="J301" s="503" t="n">
        <x:v>200000</x:v>
      </x:c>
      <x:c r="K301" s="489" t="str">
        <x:v>Emenda Individual</x:v>
      </x:c>
      <x:c r="L301" s="489"/>
      <x:c r="M301" s="503" t="n">
        <x:v>200000</x:v>
      </x:c>
      <x:c r="N301" s="503" t="n">
        <x:v>0</x:v>
      </x:c>
      <x:c r="O301" s="503" t="n">
        <x:v>0</x:v>
      </x:c>
      <x:c r="P301" s="503" t="n">
        <x:v>0</x:v>
      </x:c>
      <x:c r="Q301" s="503" t="n">
        <x:v>0</x:v>
      </x:c>
      <x:c r="R301" s="489" t="str"/>
      <x:c r="S301" s="489" t="str">
        <x:v>12018688000116</x:v>
      </x:c>
      <x:c r="T301" s="489" t="str">
        <x:v>CONFIRMADO</x:v>
      </x:c>
      <x:c r="U301" s="489" t="str">
        <x:v>Baixa</x:v>
      </x:c>
      <x:c r="V301" s="489" t="str">
        <x:v>Preencher situação: há pagamento identificado na fonte pública</x:v>
      </x:c>
      <x:c r="W301" s="489" t="str">
        <x:v>Valor do grupo fecha com: SIGA pago favorecido</x:v>
      </x:c>
      <x:c r="X301" s="489" t="str"/>
    </x:row>
    <x:row r="302">
      <x:c r="A302" s="502" t="n">
        <x:v>302</x:v>
      </x:c>
      <x:c r="B302" s="502" t="n">
        <x:v>2025</x:v>
      </x:c>
      <x:c r="C302" s="489" t="str">
        <x:v>Coqueiro Baixo</x:v>
      </x:c>
      <x:c r="D302" s="489" t="str">
        <x:v>Coqueiro Baixo - Fundo Municipal De Saude Coqueiro Baixo - Rs</x:v>
      </x:c>
      <x:c r="E302" s="489" t="str">
        <x:v>Coqueiro Baixo - Fundo Municipal De Saude Coqueiro Baixo - Rs</x:v>
      </x:c>
      <x:c r="F302" s="489" t="str">
        <x:v>41160003</x:v>
      </x:c>
      <x:c r="G302" s="489" t="str">
        <x:v>41160003-2025</x:v>
      </x:c>
      <x:c r="H302" s="489" t="str">
        <x:v>Informado/corrigido a partir do mapa</x:v>
      </x:c>
      <x:c r="I302" s="503" t="n">
        <x:v>200000</x:v>
      </x:c>
      <x:c r="J302" s="503" t="n">
        <x:v>200000</x:v>
      </x:c>
      <x:c r="K302" s="489" t="str">
        <x:v>Emenda Individual</x:v>
      </x:c>
      <x:c r="L302" s="489"/>
      <x:c r="M302" s="503" t="n">
        <x:v>0</x:v>
      </x:c>
      <x:c r="N302" s="503" t="n">
        <x:v>0</x:v>
      </x:c>
      <x:c r="O302" s="503" t="n">
        <x:v>0</x:v>
      </x:c>
      <x:c r="P302" s="503" t="n">
        <x:v>0</x:v>
      </x:c>
      <x:c r="Q302" s="503" t="n">
        <x:v>0</x:v>
      </x:c>
      <x:c r="R302" s="489" t="str"/>
      <x:c r="S302" s="489" t="str"/>
      <x:c r="T302" s="489" t="str">
        <x:v>EMENDA CONFIRMADA; DESTINO NÃO CONFIRMADO</x:v>
      </x:c>
      <x:c r="U302" s="489" t="str">
        <x:v>Média</x:v>
      </x:c>
      <x:c r="V302" s="489" t="str"/>
      <x:c r="W302" s="489" t="str">
        <x:v>Nº existe no SIGA; destinatário específico não foi confirmado nas bases anexas</x:v>
      </x:c>
      <x:c r="X302" s="489" t="str"/>
    </x:row>
    <x:row r="303">
      <x:c r="A303" s="502" t="n">
        <x:v>303</x:v>
      </x:c>
      <x:c r="B303" s="502" t="n">
        <x:v>2025</x:v>
      </x:c>
      <x:c r="C303" s="489" t="str">
        <x:v>São Jerônimo</x:v>
      </x:c>
      <x:c r="D303" s="489" t="str">
        <x:v>Associacao Dos Funcionarios Publicos Do Estado Do Rio Grande Do Sul São Jerônimo - Rs</x:v>
      </x:c>
      <x:c r="E303" s="489" t="str">
        <x:v>Associacao Dos Funcionarios Publicos Do Estado Do Rio Grande Do Sul São Jerônimo - Rs</x:v>
      </x:c>
      <x:c r="F303" s="489" t="str">
        <x:v>41160004</x:v>
      </x:c>
      <x:c r="G303" s="489" t="str">
        <x:v>41160004-2025</x:v>
      </x:c>
      <x:c r="H303" s="489" t="str">
        <x:v>Informado/corrigido a partir do mapa</x:v>
      </x:c>
      <x:c r="I303" s="503" t="n">
        <x:v>200000</x:v>
      </x:c>
      <x:c r="J303" s="503" t="n">
        <x:v>400000</x:v>
      </x:c>
      <x:c r="K303" s="489" t="str">
        <x:v>Emenda Individual</x:v>
      </x:c>
      <x:c r="L303" s="489"/>
      <x:c r="M303" s="503" t="n">
        <x:v>199000</x:v>
      </x:c>
      <x:c r="N303" s="503" t="n">
        <x:v>200000</x:v>
      </x:c>
      <x:c r="O303" s="503" t="n">
        <x:v>199000</x:v>
      </x:c>
      <x:c r="P303" s="503" t="n">
        <x:v>0</x:v>
      </x:c>
      <x:c r="Q303" s="503" t="n">
        <x:v>0</x:v>
      </x:c>
      <x:c r="R303" s="489" t="str"/>
      <x:c r="S303" s="489" t="str">
        <x:v>92741016000416</x:v>
      </x:c>
      <x:c r="T303" s="489" t="str">
        <x:v>VALOR DIVERGENTE / COBERTURA DIFERENTE</x:v>
      </x:c>
      <x:c r="U303" s="489" t="str">
        <x:v>Alta</x:v>
      </x:c>
      <x:c r="V303" s="489" t="str">
        <x:v>Preencher situação: há pagamento identificado na fonte pública</x:v>
      </x:c>
      <x:c r="W303" s="489" t="str">
        <x:v>Município/localidade encontrado em fonte comparável, mas valor não fecha exatamente</x:v>
      </x:c>
      <x:c r="X303" s="489" t="str">
        <x:v>https://discricionarias.transferegov.sistema.gov.br/voluntarias/ConsultarProposta/ResultadoDaConsultaDeConvenioSelecionarConvenio.do?sequencialConvenio=978856&amp;Usr=guest&amp;Pwd=guest</x:v>
      </x:c>
    </x:row>
    <x:row r="304">
      <x:c r="A304" s="502" t="n">
        <x:v>304</x:v>
      </x:c>
      <x:c r="B304" s="502" t="n">
        <x:v>2025</x:v>
      </x:c>
      <x:c r="C304" s="489" t="str">
        <x:v>Severiano de Almeida</x:v>
      </x:c>
      <x:c r="D304" s="489" t="str">
        <x:v>Municipio De Severiano De Almeida Severiano De Almeida - Rs</x:v>
      </x:c>
      <x:c r="E304" s="489" t="str">
        <x:v>Prefeitura Municipal</x:v>
      </x:c>
      <x:c r="F304" s="489" t="str">
        <x:v>41160008</x:v>
      </x:c>
      <x:c r="G304" s="489" t="str">
        <x:v>41160008-2025</x:v>
      </x:c>
      <x:c r="H304" s="489" t="str">
        <x:v>Informado/corrigido a partir do mapa</x:v>
      </x:c>
      <x:c r="I304" s="503" t="n">
        <x:v>200000</x:v>
      </x:c>
      <x:c r="J304" s="503" t="n">
        <x:v>200000</x:v>
      </x:c>
      <x:c r="K304" s="489" t="str">
        <x:v>Emenda Individual</x:v>
      </x:c>
      <x:c r="L304" s="489"/>
      <x:c r="M304" s="503" t="n">
        <x:v>198000</x:v>
      </x:c>
      <x:c r="N304" s="503" t="n">
        <x:v>0</x:v>
      </x:c>
      <x:c r="O304" s="503" t="n">
        <x:v>0</x:v>
      </x:c>
      <x:c r="P304" s="503" t="n">
        <x:v>198000</x:v>
      </x:c>
      <x:c r="Q304" s="503" t="n">
        <x:v>0</x:v>
      </x:c>
      <x:c r="R304" s="489" t="str">
        <x:v>CIENTE</x:v>
      </x:c>
      <x:c r="S304" s="489" t="str">
        <x:v>87613360000147</x:v>
      </x:c>
      <x:c r="T304" s="489" t="str">
        <x:v>VALOR DIVERGENTE / COBERTURA DIFERENTE</x:v>
      </x:c>
      <x:c r="U304" s="489" t="str">
        <x:v>Média</x:v>
      </x:c>
      <x:c r="V304" s="489" t="str">
        <x:v>Revisar valor do grupo: PIX atual registra R$ 198,000.00; Atualizar situação com status do plano PIX: CIENTE (não equivale a pagamento)</x:v>
      </x:c>
      <x:c r="W304" s="489" t="str">
        <x:v>Município/localidade encontrado em fonte comparável, mas valor não fecha exatamente</x:v>
      </x:c>
      <x:c r="X304" s="489" t="str">
        <x:v>https://especiais.transferegov.sistema.gov.br/transferencia-especial/plano-acao/detalhe/84005/dados-basicos</x:v>
      </x:c>
    </x:row>
    <x:row r="305">
      <x:c r="A305" s="502" t="n">
        <x:v>305</x:v>
      </x:c>
      <x:c r="B305" s="502" t="n">
        <x:v>2025</x:v>
      </x:c>
      <x:c r="C305" s="489" t="str">
        <x:v>Ponte Preta</x:v>
      </x:c>
      <x:c r="D305" s="489" t="str">
        <x:v>Municipio De Ponte Preta Ponte Preta - Rs</x:v>
      </x:c>
      <x:c r="E305" s="489" t="str">
        <x:v>Prefeitura Municipal</x:v>
      </x:c>
      <x:c r="F305" s="489" t="str">
        <x:v>41160008</x:v>
      </x:c>
      <x:c r="G305" s="489" t="str">
        <x:v>41160008-2025</x:v>
      </x:c>
      <x:c r="H305" s="489" t="str">
        <x:v>Informado/corrigido a partir do mapa</x:v>
      </x:c>
      <x:c r="I305" s="503" t="n">
        <x:v>200000</x:v>
      </x:c>
      <x:c r="J305" s="503" t="n">
        <x:v>200000</x:v>
      </x:c>
      <x:c r="K305" s="489" t="str">
        <x:v>Emenda Individual</x:v>
      </x:c>
      <x:c r="L305" s="489"/>
      <x:c r="M305" s="503" t="n">
        <x:v>198000</x:v>
      </x:c>
      <x:c r="N305" s="503" t="n">
        <x:v>0</x:v>
      </x:c>
      <x:c r="O305" s="503" t="n">
        <x:v>0</x:v>
      </x:c>
      <x:c r="P305" s="503" t="n">
        <x:v>198000</x:v>
      </x:c>
      <x:c r="Q305" s="503" t="n">
        <x:v>0</x:v>
      </x:c>
      <x:c r="R305" s="489" t="str">
        <x:v>CIENTE</x:v>
      </x:c>
      <x:c r="S305" s="489" t="str">
        <x:v>93539161000139</x:v>
      </x:c>
      <x:c r="T305" s="489" t="str">
        <x:v>VALOR DIVERGENTE / COBERTURA DIFERENTE</x:v>
      </x:c>
      <x:c r="U305" s="489" t="str">
        <x:v>Média</x:v>
      </x:c>
      <x:c r="V305" s="489" t="str">
        <x:v>Revisar valor do grupo: PIX atual registra R$ 198,000.00; Atualizar situação com status do plano PIX: CIENTE (não equivale a pagamento)</x:v>
      </x:c>
      <x:c r="W305" s="489" t="str">
        <x:v>Município/localidade encontrado em fonte comparável, mas valor não fecha exatamente</x:v>
      </x:c>
      <x:c r="X305" s="489" t="str">
        <x:v>https://especiais.transferegov.sistema.gov.br/transferencia-especial/plano-acao/detalhe/83991/dados-basicos</x:v>
      </x:c>
    </x:row>
    <x:row r="306">
      <x:c r="A306" s="502" t="n">
        <x:v>306</x:v>
      </x:c>
      <x:c r="B306" s="502" t="n">
        <x:v>2025</x:v>
      </x:c>
      <x:c r="C306" s="489" t="str">
        <x:v>Ivorá</x:v>
      </x:c>
      <x:c r="D306" s="489" t="str">
        <x:v>Municipio De Ivora Ivorá - Rs</x:v>
      </x:c>
      <x:c r="E306" s="489" t="str">
        <x:v>Prefeitura Municipal</x:v>
      </x:c>
      <x:c r="F306" s="489" t="str">
        <x:v>41160008</x:v>
      </x:c>
      <x:c r="G306" s="489" t="str">
        <x:v>41160008-2025</x:v>
      </x:c>
      <x:c r="H306" s="489" t="str">
        <x:v>Informado/corrigido a partir do mapa</x:v>
      </x:c>
      <x:c r="I306" s="503" t="n">
        <x:v>200000</x:v>
      </x:c>
      <x:c r="J306" s="503" t="n">
        <x:v>200000</x:v>
      </x:c>
      <x:c r="K306" s="489" t="str">
        <x:v>Emenda Individual</x:v>
      </x:c>
      <x:c r="L306" s="489"/>
      <x:c r="M306" s="503" t="n">
        <x:v>198000</x:v>
      </x:c>
      <x:c r="N306" s="503" t="n">
        <x:v>0</x:v>
      </x:c>
      <x:c r="O306" s="503" t="n">
        <x:v>0</x:v>
      </x:c>
      <x:c r="P306" s="503" t="n">
        <x:v>198000</x:v>
      </x:c>
      <x:c r="Q306" s="503" t="n">
        <x:v>198000</x:v>
      </x:c>
      <x:c r="R306" s="489" t="str">
        <x:v>CIENTE, IMPEDIDO</x:v>
      </x:c>
      <x:c r="S306" s="489" t="str">
        <x:v>92457175000140</x:v>
      </x:c>
      <x:c r="T306" s="489" t="str">
        <x:v>VALOR DIVERGENTE / COBERTURA DIFERENTE</x:v>
      </x:c>
      <x:c r="U306" s="489" t="str">
        <x:v>Média</x:v>
      </x:c>
      <x:c r="V306" s="489" t="str">
        <x:v>Revisar valor do grupo: PIX atual registra R$ 198,000.00; Atualizar situação com status do plano PIX: CIENTE, IMPEDIDO (não equivale a pagamento)</x:v>
      </x:c>
      <x:c r="W306" s="489" t="str">
        <x:v>Município/localidade encontrado em fonte comparável, mas valor não fecha exatamente</x:v>
      </x:c>
      <x:c r="X306" s="489" t="str">
        <x:v>https://especiais.transferegov.sistema.gov.br/transferencia-especial/plano-acao/detalhe/88188/dados-basicos | https://especiais.transferegov.sistema.gov.br/transferencia-especial/plano-acao/detalhe/83992/dados-basicos</x:v>
      </x:c>
    </x:row>
    <x:row r="307">
      <x:c r="A307" s="502" t="n">
        <x:v>307</x:v>
      </x:c>
      <x:c r="B307" s="502" t="n">
        <x:v>2025</x:v>
      </x:c>
      <x:c r="C307" s="489" t="str">
        <x:v>Dona Francisca</x:v>
      </x:c>
      <x:c r="D307" s="489" t="str">
        <x:v>Municipio De Dona Francisca Dona Francisca - Rs</x:v>
      </x:c>
      <x:c r="E307" s="489" t="str">
        <x:v>Prefeitura Municipal</x:v>
      </x:c>
      <x:c r="F307" s="489" t="str">
        <x:v>41160008</x:v>
      </x:c>
      <x:c r="G307" s="489" t="str">
        <x:v>41160008-2025</x:v>
      </x:c>
      <x:c r="H307" s="489" t="str">
        <x:v>Informado/corrigido a partir do mapa</x:v>
      </x:c>
      <x:c r="I307" s="503" t="n">
        <x:v>200000</x:v>
      </x:c>
      <x:c r="J307" s="503" t="n">
        <x:v>200000</x:v>
      </x:c>
      <x:c r="K307" s="489" t="str">
        <x:v>Emenda Individual</x:v>
      </x:c>
      <x:c r="L307" s="489"/>
      <x:c r="M307" s="503" t="n">
        <x:v>198000</x:v>
      </x:c>
      <x:c r="N307" s="503" t="n">
        <x:v>0</x:v>
      </x:c>
      <x:c r="O307" s="503" t="n">
        <x:v>0</x:v>
      </x:c>
      <x:c r="P307" s="503" t="n">
        <x:v>198000</x:v>
      </x:c>
      <x:c r="Q307" s="503" t="n">
        <x:v>198000</x:v>
      </x:c>
      <x:c r="R307" s="489" t="str">
        <x:v>CIENTE, IMPEDIDO</x:v>
      </x:c>
      <x:c r="S307" s="489" t="str">
        <x:v>87488938000180</x:v>
      </x:c>
      <x:c r="T307" s="489" t="str">
        <x:v>VALOR DIVERGENTE / COBERTURA DIFERENTE</x:v>
      </x:c>
      <x:c r="U307" s="489" t="str">
        <x:v>Média</x:v>
      </x:c>
      <x:c r="V307" s="489" t="str">
        <x:v>Revisar valor do grupo: PIX atual registra R$ 198,000.00; Atualizar situação com status do plano PIX: CIENTE, IMPEDIDO (não equivale a pagamento)</x:v>
      </x:c>
      <x:c r="W307" s="489" t="str">
        <x:v>Município/localidade encontrado em fonte comparável, mas valor não fecha exatamente</x:v>
      </x:c>
      <x:c r="X307" s="489" t="str">
        <x:v>https://especiais.transferegov.sistema.gov.br/transferencia-especial/plano-acao/detalhe/84006/dados-basicos | https://especiais.transferegov.sistema.gov.br/transferencia-especial/plano-acao/detalhe/88189/dados-basicos</x:v>
      </x:c>
    </x:row>
    <x:row r="308">
      <x:c r="A308" s="502" t="n">
        <x:v>308</x:v>
      </x:c>
      <x:c r="B308" s="502" t="n">
        <x:v>2025</x:v>
      </x:c>
      <x:c r="C308" s="489" t="str">
        <x:v>Piratini</x:v>
      </x:c>
      <x:c r="D308" s="489" t="str">
        <x:v>Hospital De Caridade Nossa Senhora Da Conceicao De Pira Piratini - Rs</x:v>
      </x:c>
      <x:c r="E308" s="489" t="str">
        <x:v>Hospital De Caridade Nossa Senhora Da Conceicao De Pira Piratini - Rs</x:v>
      </x:c>
      <x:c r="F308" s="489" t="str">
        <x:v>41160004</x:v>
      </x:c>
      <x:c r="G308" s="489" t="str">
        <x:v>41160004-2025</x:v>
      </x:c>
      <x:c r="H308" s="489" t="str">
        <x:v>Informado/corrigido a partir do mapa</x:v>
      </x:c>
      <x:c r="I308" s="503" t="n">
        <x:v>200000</x:v>
      </x:c>
      <x:c r="J308" s="503" t="n">
        <x:v>200000</x:v>
      </x:c>
      <x:c r="K308" s="489" t="str">
        <x:v>Emenda Individual</x:v>
      </x:c>
      <x:c r="L308" s="489"/>
      <x:c r="M308" s="503" t="n">
        <x:v>168800</x:v>
      </x:c>
      <x:c r="N308" s="503" t="n">
        <x:v>200000</x:v>
      </x:c>
      <x:c r="O308" s="503" t="n">
        <x:v>168800</x:v>
      </x:c>
      <x:c r="P308" s="503" t="n">
        <x:v>0</x:v>
      </x:c>
      <x:c r="Q308" s="503" t="n">
        <x:v>0</x:v>
      </x:c>
      <x:c r="R308" s="489" t="str"/>
      <x:c r="S308" s="489" t="str">
        <x:v>92637792000128</x:v>
      </x:c>
      <x:c r="T308" s="489" t="str">
        <x:v>VALOR DIVERGENTE / COBERTURA DIFERENTE</x:v>
      </x:c>
      <x:c r="U308" s="489" t="str">
        <x:v>Alta</x:v>
      </x:c>
      <x:c r="V308" s="489" t="str">
        <x:v>Preencher situação: há pagamento identificado na fonte pública</x:v>
      </x:c>
      <x:c r="W308" s="489" t="str">
        <x:v>Município/localidade encontrado em fonte comparável, mas valor não fecha exatamente</x:v>
      </x:c>
      <x:c r="X308" s="489" t="str">
        <x:v>https://discricionarias.transferegov.sistema.gov.br/voluntarias/ConsultarProposta/ResultadoDaConsultaDeConvenioSelecionarConvenio.do?sequencialConvenio=978977&amp;Usr=guest&amp;Pwd=guest</x:v>
      </x:c>
    </x:row>
    <x:row r="309">
      <x:c r="A309" s="502" t="n">
        <x:v>309</x:v>
      </x:c>
      <x:c r="B309" s="502" t="n">
        <x:v>2025</x:v>
      </x:c>
      <x:c r="C309" s="489" t="str">
        <x:v>Ibiaçá</x:v>
      </x:c>
      <x:c r="D309" s="489" t="str">
        <x:v>Fundo Municipal De Saude De Ibiaca Rs Ibiaçá - Rs</x:v>
      </x:c>
      <x:c r="E309" s="489" t="str">
        <x:v>Prefeitura Municipal</x:v>
      </x:c>
      <x:c r="F309" s="489" t="str">
        <x:v>41160001</x:v>
      </x:c>
      <x:c r="G309" s="489" t="str">
        <x:v>41160001-2025</x:v>
      </x:c>
      <x:c r="H309" s="489" t="str">
        <x:v>Informado/corrigido a partir do mapa</x:v>
      </x:c>
      <x:c r="I309" s="503" t="n">
        <x:v>200000</x:v>
      </x:c>
      <x:c r="J309" s="503" t="n">
        <x:v>400000</x:v>
      </x:c>
      <x:c r="K309" s="489" t="str">
        <x:v>Emenda Individual</x:v>
      </x:c>
      <x:c r="L309" s="489"/>
      <x:c r="M309" s="503" t="n">
        <x:v>200000</x:v>
      </x:c>
      <x:c r="N309" s="503" t="n">
        <x:v>0</x:v>
      </x:c>
      <x:c r="O309" s="503" t="n">
        <x:v>0</x:v>
      </x:c>
      <x:c r="P309" s="503" t="n">
        <x:v>0</x:v>
      </x:c>
      <x:c r="Q309" s="503" t="n">
        <x:v>0</x:v>
      </x:c>
      <x:c r="R309" s="489" t="str"/>
      <x:c r="S309" s="489" t="str">
        <x:v>12053497000195</x:v>
      </x:c>
      <x:c r="T309" s="489" t="str">
        <x:v>VALOR DIVERGENTE / COBERTURA DIFERENTE</x:v>
      </x:c>
      <x:c r="U309" s="489" t="str">
        <x:v>Alta</x:v>
      </x:c>
      <x:c r="V309" s="489" t="str">
        <x:v>Preencher situação: há pagamento identificado na fonte pública</x:v>
      </x:c>
      <x:c r="W309" s="489" t="str">
        <x:v>Município/localidade encontrado em fonte comparável, mas valor não fecha exatamente</x:v>
      </x:c>
      <x:c r="X309" s="489" t="str"/>
    </x:row>
    <x:row r="310">
      <x:c r="A310" s="502" t="n">
        <x:v>310</x:v>
      </x:c>
      <x:c r="B310" s="502" t="n">
        <x:v>2025</x:v>
      </x:c>
      <x:c r="C310" s="489" t="str">
        <x:v>Arroio dos Ratos</x:v>
      </x:c>
      <x:c r="D310" s="489" t="str">
        <x:v>Fundo Municipal De Saude - Arroio Dos Ratos Arroio Dos Ratos - Rs</x:v>
      </x:c>
      <x:c r="E310" s="489" t="str">
        <x:v>Prefeitura Municipal</x:v>
      </x:c>
      <x:c r="F310" s="489" t="str">
        <x:v>41160001</x:v>
      </x:c>
      <x:c r="G310" s="489" t="str">
        <x:v>41160001-2025</x:v>
      </x:c>
      <x:c r="H310" s="489" t="str">
        <x:v>Informado/corrigido a partir do mapa</x:v>
      </x:c>
      <x:c r="I310" s="503" t="n">
        <x:v>200000</x:v>
      </x:c>
      <x:c r="J310" s="503" t="n">
        <x:v>200000</x:v>
      </x:c>
      <x:c r="K310" s="489" t="str">
        <x:v>Emenda Individual</x:v>
      </x:c>
      <x:c r="L310" s="489"/>
      <x:c r="M310" s="503" t="n">
        <x:v>200000</x:v>
      </x:c>
      <x:c r="N310" s="503" t="n">
        <x:v>0</x:v>
      </x:c>
      <x:c r="O310" s="503" t="n">
        <x:v>0</x:v>
      </x:c>
      <x:c r="P310" s="503" t="n">
        <x:v>0</x:v>
      </x:c>
      <x:c r="Q310" s="503" t="n">
        <x:v>0</x:v>
      </x:c>
      <x:c r="R310" s="489" t="str"/>
      <x:c r="S310" s="489" t="str">
        <x:v>12220162000114</x:v>
      </x:c>
      <x:c r="T310" s="489" t="str">
        <x:v>CONFIRMADO</x:v>
      </x:c>
      <x:c r="U310" s="489" t="str">
        <x:v>Baixa</x:v>
      </x:c>
      <x:c r="V310" s="489" t="str">
        <x:v>Preencher situação: há pagamento identificado na fonte pública</x:v>
      </x:c>
      <x:c r="W310" s="489" t="str">
        <x:v>Valor do grupo fecha com: SIGA pago favorecido</x:v>
      </x:c>
      <x:c r="X310" s="489" t="str"/>
    </x:row>
    <x:row r="311">
      <x:c r="A311" s="502" t="n">
        <x:v>311</x:v>
      </x:c>
      <x:c r="B311" s="502" t="n">
        <x:v>2025</x:v>
      </x:c>
      <x:c r="C311" s="489" t="str">
        <x:v>Alvorada</x:v>
      </x:c>
      <x:c r="D311" s="489" t="str">
        <x:v>Fundo Municipal De Saude De Alvorada Alvorada - Rs</x:v>
      </x:c>
      <x:c r="E311" s="489" t="str">
        <x:v>Prefeitura Municipal</x:v>
      </x:c>
      <x:c r="F311" s="489" t="str">
        <x:v>41160002</x:v>
      </x:c>
      <x:c r="G311" s="489" t="str">
        <x:v>41160002-2025</x:v>
      </x:c>
      <x:c r="H311" s="489" t="str">
        <x:v>Informado/corrigido a partir do mapa</x:v>
      </x:c>
      <x:c r="I311" s="503" t="n">
        <x:v>200000</x:v>
      </x:c>
      <x:c r="J311" s="503" t="n">
        <x:v>400000</x:v>
      </x:c>
      <x:c r="K311" s="489" t="str">
        <x:v>Emenda Individual</x:v>
      </x:c>
      <x:c r="L311" s="489"/>
      <x:c r="M311" s="503" t="n">
        <x:v>200000</x:v>
      </x:c>
      <x:c r="N311" s="503" t="n">
        <x:v>0</x:v>
      </x:c>
      <x:c r="O311" s="503" t="n">
        <x:v>0</x:v>
      </x:c>
      <x:c r="P311" s="503" t="n">
        <x:v>0</x:v>
      </x:c>
      <x:c r="Q311" s="503" t="n">
        <x:v>0</x:v>
      </x:c>
      <x:c r="R311" s="489" t="str"/>
      <x:c r="S311" s="489" t="str">
        <x:v>14069503000128</x:v>
      </x:c>
      <x:c r="T311" s="489" t="str">
        <x:v>VALOR DIVERGENTE / COBERTURA DIFERENTE</x:v>
      </x:c>
      <x:c r="U311" s="489" t="str">
        <x:v>Alta</x:v>
      </x:c>
      <x:c r="V311" s="489" t="str">
        <x:v>Preencher situação: há pagamento identificado na fonte pública</x:v>
      </x:c>
      <x:c r="W311" s="489" t="str">
        <x:v>Município/localidade encontrado em fonte comparável, mas valor não fecha exatamente</x:v>
      </x:c>
      <x:c r="X311" s="489" t="str"/>
    </x:row>
    <x:row r="312">
      <x:c r="A312" s="502" t="n">
        <x:v>312</x:v>
      </x:c>
      <x:c r="B312" s="502" t="n">
        <x:v>2025</x:v>
      </x:c>
      <x:c r="C312" s="489" t="str">
        <x:v>Crissiumal</x:v>
      </x:c>
      <x:c r="D312" s="489" t="str">
        <x:v>Fundo Municipal Da Saude Crissiumal - Rs</x:v>
      </x:c>
      <x:c r="E312" s="489" t="str">
        <x:v>Prefeitura Municipal</x:v>
      </x:c>
      <x:c r="F312" s="489" t="str">
        <x:v>41160002</x:v>
      </x:c>
      <x:c r="G312" s="489" t="str">
        <x:v>41160002-2025</x:v>
      </x:c>
      <x:c r="H312" s="489" t="str">
        <x:v>Informado/corrigido a partir do mapa</x:v>
      </x:c>
      <x:c r="I312" s="503" t="n">
        <x:v>200000</x:v>
      </x:c>
      <x:c r="J312" s="503" t="n">
        <x:v>200000</x:v>
      </x:c>
      <x:c r="K312" s="489" t="str">
        <x:v>Emenda Individual</x:v>
      </x:c>
      <x:c r="L312" s="489"/>
      <x:c r="M312" s="503" t="n">
        <x:v>200000</x:v>
      </x:c>
      <x:c r="N312" s="503" t="n">
        <x:v>0</x:v>
      </x:c>
      <x:c r="O312" s="503" t="n">
        <x:v>0</x:v>
      </x:c>
      <x:c r="P312" s="503" t="n">
        <x:v>0</x:v>
      </x:c>
      <x:c r="Q312" s="503" t="n">
        <x:v>0</x:v>
      </x:c>
      <x:c r="R312" s="489" t="str"/>
      <x:c r="S312" s="489" t="str">
        <x:v>12007174000165</x:v>
      </x:c>
      <x:c r="T312" s="489" t="str">
        <x:v>CONFIRMADO</x:v>
      </x:c>
      <x:c r="U312" s="489" t="str">
        <x:v>Baixa</x:v>
      </x:c>
      <x:c r="V312" s="489" t="str">
        <x:v>Preencher situação: há pagamento identificado na fonte pública</x:v>
      </x:c>
      <x:c r="W312" s="489" t="str">
        <x:v>Valor do grupo fecha com: SIGA pago favorecido</x:v>
      </x:c>
      <x:c r="X312" s="489" t="str"/>
    </x:row>
    <x:row r="313">
      <x:c r="A313" s="502" t="n">
        <x:v>313</x:v>
      </x:c>
      <x:c r="B313" s="502" t="n">
        <x:v>2025</x:v>
      </x:c>
      <x:c r="C313" s="489" t="str">
        <x:v>São Marcos</x:v>
      </x:c>
      <x:c r="D313" s="489" t="str">
        <x:v>Fundo Municipal De Saude De Sao Marcos - Rs São Marcos - Rs</x:v>
      </x:c>
      <x:c r="E313" s="489" t="str">
        <x:v>Prefeitura Municipal</x:v>
      </x:c>
      <x:c r="F313" s="489" t="str">
        <x:v>41160002</x:v>
      </x:c>
      <x:c r="G313" s="489" t="str">
        <x:v>41160002-2025</x:v>
      </x:c>
      <x:c r="H313" s="489" t="str">
        <x:v>Informado/corrigido a partir do mapa</x:v>
      </x:c>
      <x:c r="I313" s="503" t="n">
        <x:v>200000</x:v>
      </x:c>
      <x:c r="J313" s="503" t="n">
        <x:v>200000</x:v>
      </x:c>
      <x:c r="K313" s="489" t="str">
        <x:v>Emenda Individual</x:v>
      </x:c>
      <x:c r="L313" s="489"/>
      <x:c r="M313" s="503" t="n">
        <x:v>200000</x:v>
      </x:c>
      <x:c r="N313" s="503" t="n">
        <x:v>0</x:v>
      </x:c>
      <x:c r="O313" s="503" t="n">
        <x:v>0</x:v>
      </x:c>
      <x:c r="P313" s="503" t="n">
        <x:v>0</x:v>
      </x:c>
      <x:c r="Q313" s="503" t="n">
        <x:v>0</x:v>
      </x:c>
      <x:c r="R313" s="489" t="str"/>
      <x:c r="S313" s="489" t="str">
        <x:v>12117217000165</x:v>
      </x:c>
      <x:c r="T313" s="489" t="str">
        <x:v>CONFIRMADO</x:v>
      </x:c>
      <x:c r="U313" s="489" t="str">
        <x:v>Baixa</x:v>
      </x:c>
      <x:c r="V313" s="489" t="str">
        <x:v>Preencher situação: há pagamento identificado na fonte pública</x:v>
      </x:c>
      <x:c r="W313" s="489" t="str">
        <x:v>Valor do grupo fecha com: SIGA pago favorecido</x:v>
      </x:c>
      <x:c r="X313" s="489" t="str"/>
    </x:row>
    <x:row r="314">
      <x:c r="A314" s="502" t="n">
        <x:v>314</x:v>
      </x:c>
      <x:c r="B314" s="502" t="n">
        <x:v>2025</x:v>
      </x:c>
      <x:c r="C314" s="489" t="str">
        <x:v>Getúlio Vargas</x:v>
      </x:c>
      <x:c r="D314" s="489" t="str">
        <x:v>Fundo Municipal De Saude Getúlio Vargas - Rs</x:v>
      </x:c>
      <x:c r="E314" s="489" t="str">
        <x:v>Prefeitura Municipal</x:v>
      </x:c>
      <x:c r="F314" s="489" t="str">
        <x:v>41160002</x:v>
      </x:c>
      <x:c r="G314" s="489" t="str">
        <x:v>41160002-2025</x:v>
      </x:c>
      <x:c r="H314" s="489" t="str">
        <x:v>Informado/corrigido a partir do mapa</x:v>
      </x:c>
      <x:c r="I314" s="503" t="n">
        <x:v>200000</x:v>
      </x:c>
      <x:c r="J314" s="503" t="n">
        <x:v>200000</x:v>
      </x:c>
      <x:c r="K314" s="489" t="str">
        <x:v>Emenda Individual</x:v>
      </x:c>
      <x:c r="L314" s="489"/>
      <x:c r="M314" s="503" t="n">
        <x:v>200000</x:v>
      </x:c>
      <x:c r="N314" s="503" t="n">
        <x:v>0</x:v>
      </x:c>
      <x:c r="O314" s="503" t="n">
        <x:v>0</x:v>
      </x:c>
      <x:c r="P314" s="503" t="n">
        <x:v>0</x:v>
      </x:c>
      <x:c r="Q314" s="503" t="n">
        <x:v>0</x:v>
      </x:c>
      <x:c r="R314" s="489" t="str"/>
      <x:c r="S314" s="489" t="str">
        <x:v>12149128000109</x:v>
      </x:c>
      <x:c r="T314" s="489" t="str">
        <x:v>CONFIRMADO</x:v>
      </x:c>
      <x:c r="U314" s="489" t="str">
        <x:v>Baixa</x:v>
      </x:c>
      <x:c r="V314" s="489" t="str">
        <x:v>Preencher situação: há pagamento identificado na fonte pública</x:v>
      </x:c>
      <x:c r="W314" s="489" t="str">
        <x:v>Valor do grupo fecha com: SIGA pago favorecido</x:v>
      </x:c>
      <x:c r="X314" s="489" t="str"/>
    </x:row>
    <x:row r="315">
      <x:c r="A315" s="502" t="n">
        <x:v>315</x:v>
      </x:c>
      <x:c r="B315" s="502" t="n">
        <x:v>2025</x:v>
      </x:c>
      <x:c r="C315" s="489" t="str">
        <x:v>Camaquã</x:v>
      </x:c>
      <x:c r="D315" s="489" t="str">
        <x:v>Fundo Municipal De Saude De Camaqua - Rs Camaquã - Rs</x:v>
      </x:c>
      <x:c r="E315" s="489" t="str">
        <x:v>Prefeitura Municipal</x:v>
      </x:c>
      <x:c r="F315" s="489" t="str">
        <x:v>41160002</x:v>
      </x:c>
      <x:c r="G315" s="489" t="str">
        <x:v>41160002-2025</x:v>
      </x:c>
      <x:c r="H315" s="489" t="str">
        <x:v>Informado/corrigido a partir do mapa</x:v>
      </x:c>
      <x:c r="I315" s="503" t="n">
        <x:v>200000</x:v>
      </x:c>
      <x:c r="J315" s="503" t="n">
        <x:v>200000</x:v>
      </x:c>
      <x:c r="K315" s="489" t="str">
        <x:v>Emenda Individual</x:v>
      </x:c>
      <x:c r="L315" s="489"/>
      <x:c r="M315" s="503" t="n">
        <x:v>200000</x:v>
      </x:c>
      <x:c r="N315" s="503" t="n">
        <x:v>0</x:v>
      </x:c>
      <x:c r="O315" s="503" t="n">
        <x:v>0</x:v>
      </x:c>
      <x:c r="P315" s="503" t="n">
        <x:v>0</x:v>
      </x:c>
      <x:c r="Q315" s="503" t="n">
        <x:v>0</x:v>
      </x:c>
      <x:c r="R315" s="489" t="str"/>
      <x:c r="S315" s="489" t="str">
        <x:v>12623171000156</x:v>
      </x:c>
      <x:c r="T315" s="489" t="str">
        <x:v>CONFIRMADO</x:v>
      </x:c>
      <x:c r="U315" s="489" t="str">
        <x:v>Baixa</x:v>
      </x:c>
      <x:c r="V315" s="489" t="str">
        <x:v>Preencher situação: há pagamento identificado na fonte pública</x:v>
      </x:c>
      <x:c r="W315" s="489" t="str">
        <x:v>Valor do grupo fecha com: SIGA pago favorecido</x:v>
      </x:c>
      <x:c r="X315" s="489" t="str"/>
    </x:row>
    <x:row r="316">
      <x:c r="A316" s="502" t="n">
        <x:v>316</x:v>
      </x:c>
      <x:c r="B316" s="502" t="n">
        <x:v>2025</x:v>
      </x:c>
      <x:c r="C316" s="489" t="str">
        <x:v>Alvorada</x:v>
      </x:c>
      <x:c r="D316" s="489" t="str">
        <x:v>Fundo Municipal De Saude De Alvorada Alvorada - Rs</x:v>
      </x:c>
      <x:c r="E316" s="489" t="str">
        <x:v>Prefeitura Municipal</x:v>
      </x:c>
      <x:c r="F316" s="489" t="str">
        <x:v>41160002</x:v>
      </x:c>
      <x:c r="G316" s="489" t="str">
        <x:v>41160002-2025</x:v>
      </x:c>
      <x:c r="H316" s="489" t="str">
        <x:v>Informado/corrigido a partir do mapa</x:v>
      </x:c>
      <x:c r="I316" s="503" t="n">
        <x:v>200000</x:v>
      </x:c>
      <x:c r="J316" s="503" t="n">
        <x:v>400000</x:v>
      </x:c>
      <x:c r="K316" s="489" t="str">
        <x:v>Emenda Individual</x:v>
      </x:c>
      <x:c r="L316" s="489"/>
      <x:c r="M316" s="503" t="n">
        <x:v>200000</x:v>
      </x:c>
      <x:c r="N316" s="503" t="n">
        <x:v>0</x:v>
      </x:c>
      <x:c r="O316" s="503" t="n">
        <x:v>0</x:v>
      </x:c>
      <x:c r="P316" s="503" t="n">
        <x:v>0</x:v>
      </x:c>
      <x:c r="Q316" s="503" t="n">
        <x:v>0</x:v>
      </x:c>
      <x:c r="R316" s="489" t="str"/>
      <x:c r="S316" s="489" t="str">
        <x:v>14069503000128</x:v>
      </x:c>
      <x:c r="T316" s="489" t="str">
        <x:v>VALOR DIVERGENTE / COBERTURA DIFERENTE</x:v>
      </x:c>
      <x:c r="U316" s="489" t="str">
        <x:v>Alta</x:v>
      </x:c>
      <x:c r="V316" s="489" t="str">
        <x:v>Preencher situação: há pagamento identificado na fonte pública</x:v>
      </x:c>
      <x:c r="W316" s="489" t="str">
        <x:v>Município/localidade encontrado em fonte comparável, mas valor não fecha exatamente</x:v>
      </x:c>
      <x:c r="X316" s="489" t="str"/>
    </x:row>
    <x:row r="317">
      <x:c r="A317" s="502" t="n">
        <x:v>317</x:v>
      </x:c>
      <x:c r="B317" s="502" t="n">
        <x:v>2025</x:v>
      </x:c>
      <x:c r="C317" s="489" t="str">
        <x:v>Ibiaçá</x:v>
      </x:c>
      <x:c r="D317" s="489" t="str">
        <x:v>Fundo Municipal De Saude De Ibiaca Rs Ibiaçá - Rs</x:v>
      </x:c>
      <x:c r="E317" s="489" t="str">
        <x:v>Prefeitura Municipal</x:v>
      </x:c>
      <x:c r="F317" s="489" t="str">
        <x:v>41160001</x:v>
      </x:c>
      <x:c r="G317" s="489" t="str">
        <x:v>41160001-2025</x:v>
      </x:c>
      <x:c r="H317" s="489" t="str">
        <x:v>Informado/corrigido a partir do mapa</x:v>
      </x:c>
      <x:c r="I317" s="503" t="n">
        <x:v>200000</x:v>
      </x:c>
      <x:c r="J317" s="503" t="n">
        <x:v>400000</x:v>
      </x:c>
      <x:c r="K317" s="489" t="str">
        <x:v>Emenda Individual</x:v>
      </x:c>
      <x:c r="L317" s="489"/>
      <x:c r="M317" s="503" t="n">
        <x:v>200000</x:v>
      </x:c>
      <x:c r="N317" s="503" t="n">
        <x:v>0</x:v>
      </x:c>
      <x:c r="O317" s="503" t="n">
        <x:v>0</x:v>
      </x:c>
      <x:c r="P317" s="503" t="n">
        <x:v>0</x:v>
      </x:c>
      <x:c r="Q317" s="503" t="n">
        <x:v>0</x:v>
      </x:c>
      <x:c r="R317" s="489" t="str"/>
      <x:c r="S317" s="489" t="str">
        <x:v>12053497000195</x:v>
      </x:c>
      <x:c r="T317" s="489" t="str">
        <x:v>VALOR DIVERGENTE / COBERTURA DIFERENTE</x:v>
      </x:c>
      <x:c r="U317" s="489" t="str">
        <x:v>Alta</x:v>
      </x:c>
      <x:c r="V317" s="489" t="str">
        <x:v>Preencher situação: há pagamento identificado na fonte pública</x:v>
      </x:c>
      <x:c r="W317" s="489" t="str">
        <x:v>Município/localidade encontrado em fonte comparável, mas valor não fecha exatamente</x:v>
      </x:c>
      <x:c r="X317" s="489" t="str"/>
    </x:row>
    <x:row r="318">
      <x:c r="A318" s="502" t="n">
        <x:v>318</x:v>
      </x:c>
      <x:c r="B318" s="502" t="n">
        <x:v>2025</x:v>
      </x:c>
      <x:c r="C318" s="489" t="str">
        <x:v>Piratini</x:v>
      </x:c>
      <x:c r="D318" s="489" t="str">
        <x:v>Hospital De Caridade Nossa Senhora Da Conceicao De Pira Piratini - Rs</x:v>
      </x:c>
      <x:c r="E318" s="489" t="str">
        <x:v>Hospital De Caridade Nossa Senhora Da Conceicao De Pira Piratini - Rs</x:v>
      </x:c>
      <x:c r="F318" s="489" t="str">
        <x:v>41160002</x:v>
      </x:c>
      <x:c r="G318" s="489" t="str">
        <x:v>41160002-2025</x:v>
      </x:c>
      <x:c r="H318" s="489" t="str">
        <x:v>Informado/corrigido a partir do mapa</x:v>
      </x:c>
      <x:c r="I318" s="503" t="n">
        <x:v>200000</x:v>
      </x:c>
      <x:c r="J318" s="503" t="n">
        <x:v>200000</x:v>
      </x:c>
      <x:c r="K318" s="489" t="str">
        <x:v>Emenda Individual</x:v>
      </x:c>
      <x:c r="L318" s="489"/>
      <x:c r="M318" s="503" t="n">
        <x:v>0</x:v>
      </x:c>
      <x:c r="N318" s="503" t="n">
        <x:v>0</x:v>
      </x:c>
      <x:c r="O318" s="503" t="n">
        <x:v>0</x:v>
      </x:c>
      <x:c r="P318" s="503" t="n">
        <x:v>0</x:v>
      </x:c>
      <x:c r="Q318" s="503" t="n">
        <x:v>0</x:v>
      </x:c>
      <x:c r="R318" s="489" t="str"/>
      <x:c r="S318" s="489" t="str"/>
      <x:c r="T318" s="489" t="str">
        <x:v>EMENDA CONFIRMADA; DESTINO NÃO CONFIRMADO</x:v>
      </x:c>
      <x:c r="U318" s="489" t="str">
        <x:v>Média</x:v>
      </x:c>
      <x:c r="V318" s="489" t="str"/>
      <x:c r="W318" s="489" t="str">
        <x:v>Nº existe no SIGA; destinatário específico não foi confirmado nas bases anexas</x:v>
      </x:c>
      <x:c r="X318" s="489" t="str"/>
    </x:row>
    <x:row r="319">
      <x:c r="A319" s="502" t="n">
        <x:v>319</x:v>
      </x:c>
      <x:c r="B319" s="502" t="n">
        <x:v>2025</x:v>
      </x:c>
      <x:c r="C319" s="489" t="str">
        <x:v>Nova Alvorada</x:v>
      </x:c>
      <x:c r="D319" s="489" t="str">
        <x:v>Nova Alvorada</x:v>
      </x:c>
      <x:c r="E319" s="489"/>
      <x:c r="F319" s="489" t="str">
        <x:v>41160001</x:v>
      </x:c>
      <x:c r="G319" s="489" t="str">
        <x:v>41160001-2025</x:v>
      </x:c>
      <x:c r="H319" s="489" t="str">
        <x:v>Informado/corrigido a partir do mapa</x:v>
      </x:c>
      <x:c r="I319" s="503" t="n">
        <x:v>200000</x:v>
      </x:c>
      <x:c r="J319" s="503" t="n">
        <x:v>200000</x:v>
      </x:c>
      <x:c r="K319" s="489" t="str">
        <x:v>Emenda individual</x:v>
      </x:c>
      <x:c r="L319" s="489"/>
      <x:c r="M319" s="503" t="n">
        <x:v>200000</x:v>
      </x:c>
      <x:c r="N319" s="503" t="n">
        <x:v>0</x:v>
      </x:c>
      <x:c r="O319" s="503" t="n">
        <x:v>0</x:v>
      </x:c>
      <x:c r="P319" s="503" t="n">
        <x:v>0</x:v>
      </x:c>
      <x:c r="Q319" s="503" t="n">
        <x:v>0</x:v>
      </x:c>
      <x:c r="R319" s="489" t="str"/>
      <x:c r="S319" s="489" t="str">
        <x:v>12238870000182</x:v>
      </x:c>
      <x:c r="T319" s="489" t="str">
        <x:v>CONFIRMADO</x:v>
      </x:c>
      <x:c r="U319" s="489" t="str">
        <x:v>Baixa</x:v>
      </x:c>
      <x:c r="V319" s="489" t="str">
        <x:v>Preencher situação: há pagamento identificado na fonte pública</x:v>
      </x:c>
      <x:c r="W319" s="489" t="str">
        <x:v>Valor do grupo fecha com: SIGA pago favorecido</x:v>
      </x:c>
      <x:c r="X319" s="489" t="str"/>
    </x:row>
    <x:row r="320">
      <x:c r="A320" s="502" t="n">
        <x:v>320</x:v>
      </x:c>
      <x:c r="B320" s="502" t="n">
        <x:v>2025</x:v>
      </x:c>
      <x:c r="C320" s="489" t="str">
        <x:v>Coxilha</x:v>
      </x:c>
      <x:c r="D320" s="489" t="str">
        <x:v>Coxilha</x:v>
      </x:c>
      <x:c r="E320" s="489"/>
      <x:c r="F320" s="489" t="str">
        <x:v>41160001</x:v>
      </x:c>
      <x:c r="G320" s="489" t="str">
        <x:v>41160001-2025</x:v>
      </x:c>
      <x:c r="H320" s="489" t="str">
        <x:v>Informado/corrigido a partir do mapa</x:v>
      </x:c>
      <x:c r="I320" s="503" t="n">
        <x:v>200000</x:v>
      </x:c>
      <x:c r="J320" s="503" t="n">
        <x:v>200000</x:v>
      </x:c>
      <x:c r="K320" s="489" t="str">
        <x:v>Emenda individual</x:v>
      </x:c>
      <x:c r="L320" s="489"/>
      <x:c r="M320" s="503" t="n">
        <x:v>200000</x:v>
      </x:c>
      <x:c r="N320" s="503" t="n">
        <x:v>0</x:v>
      </x:c>
      <x:c r="O320" s="503" t="n">
        <x:v>0</x:v>
      </x:c>
      <x:c r="P320" s="503" t="n">
        <x:v>0</x:v>
      </x:c>
      <x:c r="Q320" s="503" t="n">
        <x:v>0</x:v>
      </x:c>
      <x:c r="R320" s="489" t="str"/>
      <x:c r="S320" s="489" t="str">
        <x:v>12360135000147</x:v>
      </x:c>
      <x:c r="T320" s="489" t="str">
        <x:v>CONFIRMADO</x:v>
      </x:c>
      <x:c r="U320" s="489" t="str">
        <x:v>Baixa</x:v>
      </x:c>
      <x:c r="V320" s="489" t="str">
        <x:v>Preencher situação: há pagamento identificado na fonte pública</x:v>
      </x:c>
      <x:c r="W320" s="489" t="str">
        <x:v>Valor do grupo fecha com: SIGA pago favorecido</x:v>
      </x:c>
      <x:c r="X320" s="489" t="str"/>
    </x:row>
    <x:row r="321">
      <x:c r="A321" s="502" t="n">
        <x:v>321</x:v>
      </x:c>
      <x:c r="B321" s="502" t="n">
        <x:v>2025</x:v>
      </x:c>
      <x:c r="C321" s="489" t="str">
        <x:v>Cacequi</x:v>
      </x:c>
      <x:c r="D321" s="489" t="str">
        <x:v>Cacequi</x:v>
      </x:c>
      <x:c r="E321" s="489"/>
      <x:c r="F321" s="489" t="str">
        <x:v>41160002</x:v>
      </x:c>
      <x:c r="G321" s="489" t="str">
        <x:v>41160002-2025</x:v>
      </x:c>
      <x:c r="H321" s="489" t="str">
        <x:v>Informado/corrigido a partir do mapa</x:v>
      </x:c>
      <x:c r="I321" s="503" t="n">
        <x:v>200000</x:v>
      </x:c>
      <x:c r="J321" s="503" t="n">
        <x:v>200000</x:v>
      </x:c>
      <x:c r="K321" s="489" t="str">
        <x:v>Emenda individual</x:v>
      </x:c>
      <x:c r="L321" s="489"/>
      <x:c r="M321" s="503" t="n">
        <x:v>200000</x:v>
      </x:c>
      <x:c r="N321" s="503" t="n">
        <x:v>0</x:v>
      </x:c>
      <x:c r="O321" s="503" t="n">
        <x:v>0</x:v>
      </x:c>
      <x:c r="P321" s="503" t="n">
        <x:v>0</x:v>
      </x:c>
      <x:c r="Q321" s="503" t="n">
        <x:v>0</x:v>
      </x:c>
      <x:c r="R321" s="489" t="str"/>
      <x:c r="S321" s="489" t="str">
        <x:v>13893378000103</x:v>
      </x:c>
      <x:c r="T321" s="489" t="str">
        <x:v>CONFIRMADO</x:v>
      </x:c>
      <x:c r="U321" s="489" t="str">
        <x:v>Baixa</x:v>
      </x:c>
      <x:c r="V321" s="489" t="str">
        <x:v>Preencher situação: há pagamento identificado na fonte pública</x:v>
      </x:c>
      <x:c r="W321" s="489" t="str">
        <x:v>Valor do grupo fecha com: SIGA pago favorecido</x:v>
      </x:c>
      <x:c r="X321" s="489" t="str"/>
    </x:row>
    <x:row r="322">
      <x:c r="A322" s="502" t="n">
        <x:v>322</x:v>
      </x:c>
      <x:c r="B322" s="502" t="n">
        <x:v>2026</x:v>
      </x:c>
      <x:c r="C322" s="489" t="str">
        <x:v>Frederico Westphalen</x:v>
      </x:c>
      <x:c r="D322" s="489" t="str">
        <x:v>Liga Assistencia Social Hospital Nossa Senhora Gloria</x:v>
      </x:c>
      <x:c r="E322" s="489" t="str">
        <x:v>Sociedade Beneficente Do Hospital de Caridade</x:v>
      </x:c>
      <x:c r="F322" s="489" t="str">
        <x:v>41160003</x:v>
      </x:c>
      <x:c r="G322" s="489" t="str">
        <x:v>41160003-2026</x:v>
      </x:c>
      <x:c r="H322" s="489" t="str">
        <x:v>Informado/corrigido a partir do mapa</x:v>
      </x:c>
      <x:c r="I322" s="503" t="n">
        <x:v>200000</x:v>
      </x:c>
      <x:c r="J322" s="503" t="n">
        <x:v>200000</x:v>
      </x:c>
      <x:c r="K322" s="489" t="str">
        <x:v>Emenda individual</x:v>
      </x:c>
      <x:c r="L322" s="489"/>
      <x:c r="M322" s="503" t="n">
        <x:v>0</x:v>
      </x:c>
      <x:c r="N322" s="503" t="n">
        <x:v>0</x:v>
      </x:c>
      <x:c r="O322" s="503" t="n">
        <x:v>0</x:v>
      </x:c>
      <x:c r="P322" s="503" t="n">
        <x:v>0</x:v>
      </x:c>
      <x:c r="Q322" s="503" t="n">
        <x:v>0</x:v>
      </x:c>
      <x:c r="R322" s="489" t="str"/>
      <x:c r="S322" s="489" t="str"/>
      <x:c r="T322" s="489" t="str">
        <x:v>EMENDA CONFIRMADA; DESTINO NÃO CONFIRMADO</x:v>
      </x:c>
      <x:c r="U322" s="489" t="str">
        <x:v>Média</x:v>
      </x:c>
      <x:c r="V322" s="489" t="str"/>
      <x:c r="W322" s="489" t="str">
        <x:v>Nº existe no SIGA; destinatário específico não foi confirmado nas bases anexas</x:v>
      </x:c>
      <x:c r="X322" s="489" t="str"/>
    </x:row>
    <x:row r="323">
      <x:c r="A323" s="502" t="n">
        <x:v>323</x:v>
      </x:c>
      <x:c r="B323" s="502" t="n">
        <x:v>2026</x:v>
      </x:c>
      <x:c r="C323" s="489" t="str">
        <x:v>Horizontina</x:v>
      </x:c>
      <x:c r="D323" s="489" t="str">
        <x:v>Horizontina</x:v>
      </x:c>
      <x:c r="E323" s="489" t="str">
        <x:v>Associacao Beneficente Oswaldo Cruz de Horizontina</x:v>
      </x:c>
      <x:c r="F323" s="489" t="str">
        <x:v>41160003</x:v>
      </x:c>
      <x:c r="G323" s="489" t="str">
        <x:v>41160003-2026</x:v>
      </x:c>
      <x:c r="H323" s="489" t="str">
        <x:v>Informado/corrigido a partir do mapa</x:v>
      </x:c>
      <x:c r="I323" s="503" t="n">
        <x:v>200000</x:v>
      </x:c>
      <x:c r="J323" s="503" t="n">
        <x:v>200000</x:v>
      </x:c>
      <x:c r="K323" s="489" t="str">
        <x:v>Emenda individual</x:v>
      </x:c>
      <x:c r="L323" s="489"/>
      <x:c r="M323" s="503" t="n">
        <x:v>0</x:v>
      </x:c>
      <x:c r="N323" s="503" t="n">
        <x:v>0</x:v>
      </x:c>
      <x:c r="O323" s="503" t="n">
        <x:v>0</x:v>
      </x:c>
      <x:c r="P323" s="503" t="n">
        <x:v>0</x:v>
      </x:c>
      <x:c r="Q323" s="503" t="n">
        <x:v>0</x:v>
      </x:c>
      <x:c r="R323" s="489" t="str"/>
      <x:c r="S323" s="489" t="str"/>
      <x:c r="T323" s="489" t="str">
        <x:v>EMENDA CONFIRMADA; DESTINO NÃO CONFIRMADO</x:v>
      </x:c>
      <x:c r="U323" s="489" t="str">
        <x:v>Média</x:v>
      </x:c>
      <x:c r="V323" s="489" t="str"/>
      <x:c r="W323" s="489" t="str">
        <x:v>Nº existe no SIGA; destinatário específico não foi confirmado nas bases anexas</x:v>
      </x:c>
      <x:c r="X323" s="489" t="str"/>
    </x:row>
    <x:row r="324">
      <x:c r="A324" s="502" t="n">
        <x:v>324</x:v>
      </x:c>
      <x:c r="B324" s="502" t="n">
        <x:v>2026</x:v>
      </x:c>
      <x:c r="C324" s="489" t="str">
        <x:v>Ivoti</x:v>
      </x:c>
      <x:c r="D324" s="489" t="str">
        <x:v>Associacao Hospitalar Sao Joao Batista</x:v>
      </x:c>
      <x:c r="E324" s="489" t="str">
        <x:v>Fundo Municipal de Saude de Ivoti</x:v>
      </x:c>
      <x:c r="F324" s="489" t="str">
        <x:v>41160003</x:v>
      </x:c>
      <x:c r="G324" s="489" t="str">
        <x:v>41160003-2026</x:v>
      </x:c>
      <x:c r="H324" s="489" t="str">
        <x:v>Informado/corrigido a partir do mapa</x:v>
      </x:c>
      <x:c r="I324" s="503" t="n">
        <x:v>200000</x:v>
      </x:c>
      <x:c r="J324" s="503" t="n">
        <x:v>200000</x:v>
      </x:c>
      <x:c r="K324" s="489" t="str">
        <x:v>Emenda individual</x:v>
      </x:c>
      <x:c r="L324" s="489"/>
      <x:c r="M324" s="503" t="n">
        <x:v>0</x:v>
      </x:c>
      <x:c r="N324" s="503" t="n">
        <x:v>0</x:v>
      </x:c>
      <x:c r="O324" s="503" t="n">
        <x:v>0</x:v>
      </x:c>
      <x:c r="P324" s="503" t="n">
        <x:v>0</x:v>
      </x:c>
      <x:c r="Q324" s="503" t="n">
        <x:v>0</x:v>
      </x:c>
      <x:c r="R324" s="489" t="str"/>
      <x:c r="S324" s="489" t="str"/>
      <x:c r="T324" s="489" t="str">
        <x:v>EMENDA CONFIRMADA; DESTINO NÃO CONFIRMADO</x:v>
      </x:c>
      <x:c r="U324" s="489" t="str">
        <x:v>Média</x:v>
      </x:c>
      <x:c r="V324" s="489" t="str"/>
      <x:c r="W324" s="489" t="str">
        <x:v>Nº existe no SIGA; destinatário específico não foi confirmado nas bases anexas</x:v>
      </x:c>
      <x:c r="X324" s="489" t="str"/>
    </x:row>
    <x:row r="325">
      <x:c r="A325" s="502" t="n">
        <x:v>325</x:v>
      </x:c>
      <x:c r="B325" s="502" t="n">
        <x:v>2026</x:v>
      </x:c>
      <x:c r="C325" s="489" t="str">
        <x:v>Nova Bréscia</x:v>
      </x:c>
      <x:c r="D325" s="489" t="str">
        <x:v>Hospital Santa Terezinha</x:v>
      </x:c>
      <x:c r="E325" s="489" t="str">
        <x:v>Associacao Hospitalar Sao Joao Batista</x:v>
      </x:c>
      <x:c r="F325" s="489" t="str">
        <x:v>41160003</x:v>
      </x:c>
      <x:c r="G325" s="489" t="str">
        <x:v>41160003-2026</x:v>
      </x:c>
      <x:c r="H325" s="489" t="str">
        <x:v>Informado/corrigido a partir do mapa</x:v>
      </x:c>
      <x:c r="I325" s="503" t="n">
        <x:v>200000</x:v>
      </x:c>
      <x:c r="J325" s="503" t="n">
        <x:v>200000</x:v>
      </x:c>
      <x:c r="K325" s="489" t="str">
        <x:v>Emenda individual</x:v>
      </x:c>
      <x:c r="L325" s="489"/>
      <x:c r="M325" s="503" t="n">
        <x:v>0</x:v>
      </x:c>
      <x:c r="N325" s="503" t="n">
        <x:v>0</x:v>
      </x:c>
      <x:c r="O325" s="503" t="n">
        <x:v>0</x:v>
      </x:c>
      <x:c r="P325" s="503" t="n">
        <x:v>0</x:v>
      </x:c>
      <x:c r="Q325" s="503" t="n">
        <x:v>0</x:v>
      </x:c>
      <x:c r="R325" s="489" t="str"/>
      <x:c r="S325" s="489" t="str"/>
      <x:c r="T325" s="489" t="str">
        <x:v>EMENDA CONFIRMADA; DESTINO NÃO CONFIRMADO</x:v>
      </x:c>
      <x:c r="U325" s="489" t="str">
        <x:v>Média</x:v>
      </x:c>
      <x:c r="V325" s="489" t="str"/>
      <x:c r="W325" s="489" t="str">
        <x:v>Nº existe no SIGA; destinatário específico não foi confirmado nas bases anexas</x:v>
      </x:c>
      <x:c r="X325" s="489" t="str"/>
    </x:row>
    <x:row r="326">
      <x:c r="A326" s="502" t="n">
        <x:v>326</x:v>
      </x:c>
      <x:c r="B326" s="502" t="n">
        <x:v>2026</x:v>
      </x:c>
      <x:c r="C326" s="489" t="str">
        <x:v>Paim Filho</x:v>
      </x:c>
      <x:c r="D326" s="489" t="str">
        <x:v>Fundo Municipal de Saude de Panambi</x:v>
      </x:c>
      <x:c r="E326" s="489" t="str">
        <x:v>Hospital Santa Terezinha</x:v>
      </x:c>
      <x:c r="F326" s="489" t="str">
        <x:v>41160003</x:v>
      </x:c>
      <x:c r="G326" s="489" t="str">
        <x:v>41160003-2026</x:v>
      </x:c>
      <x:c r="H326" s="489" t="str">
        <x:v>Informado/corrigido a partir do mapa</x:v>
      </x:c>
      <x:c r="I326" s="503" t="n">
        <x:v>200000</x:v>
      </x:c>
      <x:c r="J326" s="503" t="n">
        <x:v>200000</x:v>
      </x:c>
      <x:c r="K326" s="489" t="str">
        <x:v>Emenda individual</x:v>
      </x:c>
      <x:c r="L326" s="489"/>
      <x:c r="M326" s="503" t="n">
        <x:v>0</x:v>
      </x:c>
      <x:c r="N326" s="503" t="n">
        <x:v>200000</x:v>
      </x:c>
      <x:c r="O326" s="503" t="n">
        <x:v>0</x:v>
      </x:c>
      <x:c r="P326" s="503" t="n">
        <x:v>0</x:v>
      </x:c>
      <x:c r="Q326" s="503" t="n">
        <x:v>0</x:v>
      </x:c>
      <x:c r="R326" s="489" t="str"/>
      <x:c r="S326" s="489" t="str"/>
      <x:c r="T326" s="489" t="str">
        <x:v>DESTINO/INSTRUMENTO CONFIRMADO; VALOR NÃO COMPARÁVEL</x:v>
      </x:c>
      <x:c r="U326" s="489" t="str">
        <x:v>Média</x:v>
      </x:c>
      <x:c r="V326" s="489" t="str"/>
      <x:c r="W326" s="489" t="str">
        <x:v>Há instrumento do Transferegov para a emenda/município; valores do instrumento não foram usados como prova do valor da emenda</x:v>
      </x:c>
      <x:c r="X326" s="489" t="str">
        <x:v>https://discricionarias.transferegov.sistema.gov.br/voluntarias/ConsultarProposta/ResultadoDaConsultaDeConvenioSelecionarConvenio.do?sequencialConvenio=995377&amp;Usr=guest&amp;Pwd=guest</x:v>
      </x:c>
    </x:row>
    <x:row r="327">
      <x:c r="A327" s="502" t="n">
        <x:v>327</x:v>
      </x:c>
      <x:c r="B327" s="502" t="n">
        <x:v>2026</x:v>
      </x:c>
      <x:c r="C327" s="489" t="str">
        <x:v>Sertão</x:v>
      </x:c>
      <x:c r="D327" s="489" t="str">
        <x:v>Sertão</x:v>
      </x:c>
      <x:c r="E327" s="489" t="str">
        <x:v>Hospital Sao Jose</x:v>
      </x:c>
      <x:c r="F327" s="489" t="str">
        <x:v>41160003</x:v>
      </x:c>
      <x:c r="G327" s="489" t="str">
        <x:v>41160003-2026</x:v>
      </x:c>
      <x:c r="H327" s="489" t="str">
        <x:v>Informado/corrigido a partir do mapa</x:v>
      </x:c>
      <x:c r="I327" s="503" t="n">
        <x:v>200000</x:v>
      </x:c>
      <x:c r="J327" s="503" t="n">
        <x:v>200000</x:v>
      </x:c>
      <x:c r="K327" s="489" t="str">
        <x:v>Emenda individual</x:v>
      </x:c>
      <x:c r="L327" s="489"/>
      <x:c r="M327" s="503" t="n">
        <x:v>0</x:v>
      </x:c>
      <x:c r="N327" s="503" t="n">
        <x:v>200000</x:v>
      </x:c>
      <x:c r="O327" s="503" t="n">
        <x:v>0</x:v>
      </x:c>
      <x:c r="P327" s="503" t="n">
        <x:v>0</x:v>
      </x:c>
      <x:c r="Q327" s="503" t="n">
        <x:v>0</x:v>
      </x:c>
      <x:c r="R327" s="489" t="str"/>
      <x:c r="S327" s="489" t="str"/>
      <x:c r="T327" s="489" t="str">
        <x:v>DESTINO/INSTRUMENTO CONFIRMADO; VALOR NÃO COMPARÁVEL</x:v>
      </x:c>
      <x:c r="U327" s="489" t="str">
        <x:v>Média</x:v>
      </x:c>
      <x:c r="V327" s="489" t="str"/>
      <x:c r="W327" s="489" t="str">
        <x:v>Há instrumento do Transferegov para a emenda/município; valores do instrumento não foram usados como prova do valor da emenda</x:v>
      </x:c>
      <x:c r="X327" s="489" t="str">
        <x:v>https://discricionarias.transferegov.sistema.gov.br/voluntarias/ConsultarProposta/ResultadoDaConsultaDeConvenioSelecionarConvenio.do?sequencialConvenio=995390&amp;Usr=guest&amp;Pwd=guest</x:v>
      </x:c>
    </x:row>
    <x:row r="328">
      <x:c r="A328" s="502" t="n">
        <x:v>328</x:v>
      </x:c>
      <x:c r="B328" s="502" t="n">
        <x:v>2026</x:v>
      </x:c>
      <x:c r="C328" s="489" t="str">
        <x:v>Tapejara</x:v>
      </x:c>
      <x:c r="D328" s="489" t="str">
        <x:v>Associacao Hospitalar Beneficente Santo Antonio</x:v>
      </x:c>
      <x:c r="E328" s="489" t="str">
        <x:v>Fundo Municipal de Saude - Fms</x:v>
      </x:c>
      <x:c r="F328" s="489" t="str">
        <x:v>41160003</x:v>
      </x:c>
      <x:c r="G328" s="489" t="str">
        <x:v>41160003-2026</x:v>
      </x:c>
      <x:c r="H328" s="489" t="str">
        <x:v>Informado/corrigido a partir do mapa</x:v>
      </x:c>
      <x:c r="I328" s="503" t="n">
        <x:v>200000</x:v>
      </x:c>
      <x:c r="J328" s="503" t="n">
        <x:v>200000</x:v>
      </x:c>
      <x:c r="K328" s="489" t="str">
        <x:v>Emenda individual</x:v>
      </x:c>
      <x:c r="L328" s="489"/>
      <x:c r="M328" s="503" t="n">
        <x:v>0</x:v>
      </x:c>
      <x:c r="N328" s="503" t="n">
        <x:v>0</x:v>
      </x:c>
      <x:c r="O328" s="503" t="n">
        <x:v>0</x:v>
      </x:c>
      <x:c r="P328" s="503" t="n">
        <x:v>0</x:v>
      </x:c>
      <x:c r="Q328" s="503" t="n">
        <x:v>0</x:v>
      </x:c>
      <x:c r="R328" s="489" t="str"/>
      <x:c r="S328" s="489" t="str"/>
      <x:c r="T328" s="489" t="str">
        <x:v>EMENDA CONFIRMADA; DESTINO NÃO CONFIRMADO</x:v>
      </x:c>
      <x:c r="U328" s="489" t="str">
        <x:v>Média</x:v>
      </x:c>
      <x:c r="V328" s="489" t="str"/>
      <x:c r="W328" s="489" t="str">
        <x:v>Nº existe no SIGA; destinatário específico não foi confirmado nas bases anexas</x:v>
      </x:c>
      <x:c r="X328" s="489" t="str"/>
    </x:row>
    <x:row r="329">
      <x:c r="A329" s="502" t="n">
        <x:v>329</x:v>
      </x:c>
      <x:c r="B329" s="502" t="n">
        <x:v>2026</x:v>
      </x:c>
      <x:c r="C329" s="489" t="str">
        <x:v>Tenente Portela</x:v>
      </x:c>
      <x:c r="D329" s="489" t="str">
        <x:v>Associacao Beneficente Ouro Branco</x:v>
      </x:c>
      <x:c r="E329" s="489" t="str">
        <x:v>Associacao Hospitalar Beneficente Santo Antonio</x:v>
      </x:c>
      <x:c r="F329" s="489" t="str">
        <x:v>41160003</x:v>
      </x:c>
      <x:c r="G329" s="489" t="str">
        <x:v>41160003-2026</x:v>
      </x:c>
      <x:c r="H329" s="489" t="str">
        <x:v>Informado/corrigido a partir do mapa</x:v>
      </x:c>
      <x:c r="I329" s="503" t="n">
        <x:v>200000</x:v>
      </x:c>
      <x:c r="J329" s="503" t="n">
        <x:v>200000</x:v>
      </x:c>
      <x:c r="K329" s="489" t="str">
        <x:v>Emenda individual</x:v>
      </x:c>
      <x:c r="L329" s="489"/>
      <x:c r="M329" s="503" t="n">
        <x:v>0</x:v>
      </x:c>
      <x:c r="N329" s="503" t="n">
        <x:v>200000</x:v>
      </x:c>
      <x:c r="O329" s="503" t="n">
        <x:v>0</x:v>
      </x:c>
      <x:c r="P329" s="503" t="n">
        <x:v>0</x:v>
      </x:c>
      <x:c r="Q329" s="503" t="n">
        <x:v>0</x:v>
      </x:c>
      <x:c r="R329" s="489" t="str"/>
      <x:c r="S329" s="489" t="str"/>
      <x:c r="T329" s="489" t="str">
        <x:v>DESTINO/INSTRUMENTO CONFIRMADO; VALOR NÃO COMPARÁVEL</x:v>
      </x:c>
      <x:c r="U329" s="489" t="str">
        <x:v>Média</x:v>
      </x:c>
      <x:c r="V329" s="489" t="str"/>
      <x:c r="W329" s="489" t="str">
        <x:v>Há instrumento do Transferegov para a emenda/município; valores do instrumento não foram usados como prova do valor da emenda</x:v>
      </x:c>
      <x:c r="X329" s="489" t="str">
        <x:v>https://discricionarias.transferegov.sistema.gov.br/voluntarias/ConsultarProposta/ResultadoDaConsultaDeConvenioSelecionarConvenio.do?sequencialConvenio=995400&amp;Usr=guest&amp;Pwd=guest</x:v>
      </x:c>
    </x:row>
    <x:row r="330">
      <x:c r="A330" s="502" t="n">
        <x:v>330</x:v>
      </x:c>
      <x:c r="B330" s="502" t="n">
        <x:v>2026</x:v>
      </x:c>
      <x:c r="C330" s="489" t="str">
        <x:v>Tucunduva</x:v>
      </x:c>
      <x:c r="D330" s="489" t="str">
        <x:v>Tucunduva</x:v>
      </x:c>
      <x:c r="E330" s="489" t="str">
        <x:v>Associacao Hospitalar Tucunduva E Novo Machado</x:v>
      </x:c>
      <x:c r="F330" s="489" t="str">
        <x:v>41160003</x:v>
      </x:c>
      <x:c r="G330" s="489" t="str">
        <x:v>41160003-2026</x:v>
      </x:c>
      <x:c r="H330" s="489" t="str">
        <x:v>Informado/corrigido a partir do mapa</x:v>
      </x:c>
      <x:c r="I330" s="503" t="n">
        <x:v>200000</x:v>
      </x:c>
      <x:c r="J330" s="503" t="n">
        <x:v>200000</x:v>
      </x:c>
      <x:c r="K330" s="489" t="str">
        <x:v>Emenda individual</x:v>
      </x:c>
      <x:c r="L330" s="489"/>
      <x:c r="M330" s="503" t="n">
        <x:v>0</x:v>
      </x:c>
      <x:c r="N330" s="503" t="n">
        <x:v>0</x:v>
      </x:c>
      <x:c r="O330" s="503" t="n">
        <x:v>0</x:v>
      </x:c>
      <x:c r="P330" s="503" t="n">
        <x:v>0</x:v>
      </x:c>
      <x:c r="Q330" s="503" t="n">
        <x:v>0</x:v>
      </x:c>
      <x:c r="R330" s="489" t="str"/>
      <x:c r="S330" s="489" t="str"/>
      <x:c r="T330" s="489" t="str">
        <x:v>EMENDA CONFIRMADA; DESTINO NÃO CONFIRMADO</x:v>
      </x:c>
      <x:c r="U330" s="489" t="str">
        <x:v>Média</x:v>
      </x:c>
      <x:c r="V330" s="489" t="str"/>
      <x:c r="W330" s="489" t="str">
        <x:v>Nº existe no SIGA; destinatário específico não foi confirmado nas bases anexas</x:v>
      </x:c>
      <x:c r="X330" s="489" t="str"/>
    </x:row>
    <x:row r="331">
      <x:c r="A331" s="502" t="n">
        <x:v>331</x:v>
      </x:c>
      <x:c r="B331" s="502" t="n">
        <x:v>2026</x:v>
      </x:c>
      <x:c r="C331" s="489" t="str">
        <x:v>Dom Pedrito</x:v>
      </x:c>
      <x:c r="D331" s="489" t="str">
        <x:v>Dom Pedrito</x:v>
      </x:c>
      <x:c r="E331" s="489" t="str">
        <x:v>Fundo Municipal de Saude</x:v>
      </x:c>
      <x:c r="F331" s="489" t="str">
        <x:v>41160013</x:v>
      </x:c>
      <x:c r="G331" s="489" t="str">
        <x:v>41160013-2026</x:v>
      </x:c>
      <x:c r="H331" s="489" t="str">
        <x:v>Informado/corrigido a partir do mapa</x:v>
      </x:c>
      <x:c r="I331" s="503" t="n">
        <x:v>200000</x:v>
      </x:c>
      <x:c r="J331" s="503" t="n">
        <x:v>200000</x:v>
      </x:c>
      <x:c r="K331" s="489" t="str">
        <x:v>Emenda individual</x:v>
      </x:c>
      <x:c r="L331" s="489"/>
      <x:c r="M331" s="503" t="n">
        <x:v>0</x:v>
      </x:c>
      <x:c r="N331" s="503" t="n">
        <x:v>0</x:v>
      </x:c>
      <x:c r="O331" s="503" t="n">
        <x:v>0</x:v>
      </x:c>
      <x:c r="P331" s="503" t="n">
        <x:v>0</x:v>
      </x:c>
      <x:c r="Q331" s="503" t="n">
        <x:v>0</x:v>
      </x:c>
      <x:c r="R331" s="489" t="str"/>
      <x:c r="S331" s="489" t="str"/>
      <x:c r="T331" s="489" t="str">
        <x:v>EMENDA CONFIRMADA; DESTINO NÃO CONFIRMADO</x:v>
      </x:c>
      <x:c r="U331" s="489" t="str">
        <x:v>Média</x:v>
      </x:c>
      <x:c r="V331" s="489" t="str"/>
      <x:c r="W331" s="489" t="str">
        <x:v>Nº existe no SIGA; destinatário específico não foi confirmado nas bases anexas</x:v>
      </x:c>
      <x:c r="X331" s="489" t="str"/>
    </x:row>
    <x:row r="332">
      <x:c r="A332" s="502" t="n">
        <x:v>332</x:v>
      </x:c>
      <x:c r="B332" s="502" t="n">
        <x:v>2026</x:v>
      </x:c>
      <x:c r="C332" s="489" t="str">
        <x:v>Estação</x:v>
      </x:c>
      <x:c r="D332" s="489" t="str">
        <x:v>Estação</x:v>
      </x:c>
      <x:c r="E332" s="489" t="str">
        <x:v>Fundo Municipal de Saude - Fms</x:v>
      </x:c>
      <x:c r="F332" s="489" t="str">
        <x:v>41160013</x:v>
      </x:c>
      <x:c r="G332" s="489" t="str">
        <x:v>41160013-2026</x:v>
      </x:c>
      <x:c r="H332" s="489" t="str">
        <x:v>Informado/corrigido a partir do mapa</x:v>
      </x:c>
      <x:c r="I332" s="503" t="n">
        <x:v>200000</x:v>
      </x:c>
      <x:c r="J332" s="503" t="n">
        <x:v>200000</x:v>
      </x:c>
      <x:c r="K332" s="489" t="str">
        <x:v>Emenda individual</x:v>
      </x:c>
      <x:c r="L332" s="489"/>
      <x:c r="M332" s="503" t="n">
        <x:v>199890</x:v>
      </x:c>
      <x:c r="N332" s="503" t="n">
        <x:v>0</x:v>
      </x:c>
      <x:c r="O332" s="503" t="n">
        <x:v>0</x:v>
      </x:c>
      <x:c r="P332" s="503" t="n">
        <x:v>0</x:v>
      </x:c>
      <x:c r="Q332" s="503" t="n">
        <x:v>0</x:v>
      </x:c>
      <x:c r="R332" s="489" t="str"/>
      <x:c r="S332" s="489" t="str">
        <x:v>11259700000111</x:v>
      </x:c>
      <x:c r="T332" s="489" t="str">
        <x:v>CONFIRMADO</x:v>
      </x:c>
      <x:c r="U332" s="489" t="str">
        <x:v>Baixa</x:v>
      </x:c>
      <x:c r="V332" s="489" t="str">
        <x:v>Preencher situação: há pagamento identificado na fonte pública</x:v>
      </x:c>
      <x:c r="W332" s="489" t="str">
        <x:v>Valor do grupo fecha com: SIGA pago favorecido</x:v>
      </x:c>
      <x:c r="X332" s="489" t="str"/>
    </x:row>
    <x:row r="333">
      <x:c r="A333" s="502" t="n">
        <x:v>333</x:v>
      </x:c>
      <x:c r="B333" s="502" t="n">
        <x:v>2026</x:v>
      </x:c>
      <x:c r="C333" s="489" t="str">
        <x:v>Gramado dos Loureiros</x:v>
      </x:c>
      <x:c r="D333" s="489" t="str">
        <x:v>Gramado dos Loureiros</x:v>
      </x:c>
      <x:c r="E333" s="489" t="str">
        <x:v>Fundo Municipal de Saude de Gramado Dos Loureiros</x:v>
      </x:c>
      <x:c r="F333" s="489" t="str">
        <x:v>41160013</x:v>
      </x:c>
      <x:c r="G333" s="489" t="str">
        <x:v>41160013-2026</x:v>
      </x:c>
      <x:c r="H333" s="489" t="str">
        <x:v>Informado/corrigido a partir do mapa</x:v>
      </x:c>
      <x:c r="I333" s="503" t="n">
        <x:v>200000</x:v>
      </x:c>
      <x:c r="J333" s="503" t="n">
        <x:v>200000</x:v>
      </x:c>
      <x:c r="K333" s="489" t="str">
        <x:v>Emenda individual</x:v>
      </x:c>
      <x:c r="L333" s="489"/>
      <x:c r="M333" s="503" t="n">
        <x:v>0</x:v>
      </x:c>
      <x:c r="N333" s="503" t="n">
        <x:v>0</x:v>
      </x:c>
      <x:c r="O333" s="503" t="n">
        <x:v>0</x:v>
      </x:c>
      <x:c r="P333" s="503" t="n">
        <x:v>0</x:v>
      </x:c>
      <x:c r="Q333" s="503" t="n">
        <x:v>0</x:v>
      </x:c>
      <x:c r="R333" s="489" t="str"/>
      <x:c r="S333" s="489" t="str"/>
      <x:c r="T333" s="489" t="str">
        <x:v>EMENDA CONFIRMADA; DESTINO NÃO CONFIRMADO</x:v>
      </x:c>
      <x:c r="U333" s="489" t="str">
        <x:v>Média</x:v>
      </x:c>
      <x:c r="V333" s="489" t="str"/>
      <x:c r="W333" s="489" t="str">
        <x:v>Nº existe no SIGA; destinatário específico não foi confirmado nas bases anexas</x:v>
      </x:c>
      <x:c r="X333" s="489" t="str"/>
    </x:row>
    <x:row r="334">
      <x:c r="A334" s="502" t="n">
        <x:v>334</x:v>
      </x:c>
      <x:c r="B334" s="502" t="n">
        <x:v>2026</x:v>
      </x:c>
      <x:c r="C334" s="489" t="str">
        <x:v>Nova Boa Vista</x:v>
      </x:c>
      <x:c r="D334" s="489" t="str">
        <x:v>Nova Boa Vista</x:v>
      </x:c>
      <x:c r="E334" s="489" t="str">
        <x:v>Fundo Municipal de Saude de Nova Boa Vista</x:v>
      </x:c>
      <x:c r="F334" s="489" t="str">
        <x:v>41160013</x:v>
      </x:c>
      <x:c r="G334" s="489" t="str">
        <x:v>41160013-2026</x:v>
      </x:c>
      <x:c r="H334" s="489" t="str">
        <x:v>Informado/corrigido a partir do mapa</x:v>
      </x:c>
      <x:c r="I334" s="503" t="n">
        <x:v>200000</x:v>
      </x:c>
      <x:c r="J334" s="503" t="n">
        <x:v>200000</x:v>
      </x:c>
      <x:c r="K334" s="489" t="str">
        <x:v>Emenda individual</x:v>
      </x:c>
      <x:c r="L334" s="489"/>
      <x:c r="M334" s="503" t="n">
        <x:v>199935</x:v>
      </x:c>
      <x:c r="N334" s="503" t="n">
        <x:v>0</x:v>
      </x:c>
      <x:c r="O334" s="503" t="n">
        <x:v>0</x:v>
      </x:c>
      <x:c r="P334" s="503" t="n">
        <x:v>0</x:v>
      </x:c>
      <x:c r="Q334" s="503" t="n">
        <x:v>0</x:v>
      </x:c>
      <x:c r="R334" s="489" t="str"/>
      <x:c r="S334" s="489" t="str">
        <x:v>11826945000183</x:v>
      </x:c>
      <x:c r="T334" s="489" t="str">
        <x:v>CONFIRMADO</x:v>
      </x:c>
      <x:c r="U334" s="489" t="str">
        <x:v>Baixa</x:v>
      </x:c>
      <x:c r="V334" s="489" t="str">
        <x:v>Preencher situação: há pagamento identificado na fonte pública</x:v>
      </x:c>
      <x:c r="W334" s="489" t="str">
        <x:v>Valor do grupo fecha com: SIGA pago favorecido</x:v>
      </x:c>
      <x:c r="X334" s="489" t="str"/>
    </x:row>
    <x:row r="335">
      <x:c r="A335" s="502" t="n">
        <x:v>335</x:v>
      </x:c>
      <x:c r="B335" s="502" t="n">
        <x:v>2026</x:v>
      </x:c>
      <x:c r="C335" s="489" t="str">
        <x:v>Nova Prata</x:v>
      </x:c>
      <x:c r="D335" s="489" t="str">
        <x:v>Nova Prata</x:v>
      </x:c>
      <x:c r="E335" s="489" t="str">
        <x:v>Fundo Municipal Da Saude</x:v>
      </x:c>
      <x:c r="F335" s="489" t="str">
        <x:v>41160013</x:v>
      </x:c>
      <x:c r="G335" s="489" t="str">
        <x:v>41160013-2026</x:v>
      </x:c>
      <x:c r="H335" s="489" t="str">
        <x:v>Informado/corrigido a partir do mapa</x:v>
      </x:c>
      <x:c r="I335" s="503" t="n">
        <x:v>200000</x:v>
      </x:c>
      <x:c r="J335" s="503" t="n">
        <x:v>200000</x:v>
      </x:c>
      <x:c r="K335" s="489" t="str">
        <x:v>Emenda individual</x:v>
      </x:c>
      <x:c r="L335" s="489"/>
      <x:c r="M335" s="503" t="n">
        <x:v>199983</x:v>
      </x:c>
      <x:c r="N335" s="503" t="n">
        <x:v>0</x:v>
      </x:c>
      <x:c r="O335" s="503" t="n">
        <x:v>0</x:v>
      </x:c>
      <x:c r="P335" s="503" t="n">
        <x:v>0</x:v>
      </x:c>
      <x:c r="Q335" s="503" t="n">
        <x:v>0</x:v>
      </x:c>
      <x:c r="R335" s="489" t="str"/>
      <x:c r="S335" s="489" t="str">
        <x:v>11840490000150</x:v>
      </x:c>
      <x:c r="T335" s="489" t="str">
        <x:v>CONFIRMADO</x:v>
      </x:c>
      <x:c r="U335" s="489" t="str">
        <x:v>Baixa</x:v>
      </x:c>
      <x:c r="V335" s="489" t="str">
        <x:v>Preencher situação: há pagamento identificado na fonte pública</x:v>
      </x:c>
      <x:c r="W335" s="489" t="str">
        <x:v>Valor do grupo fecha com: SIGA pago favorecido</x:v>
      </x:c>
      <x:c r="X335" s="489" t="str"/>
    </x:row>
    <x:row r="336">
      <x:c r="A336" s="502" t="n">
        <x:v>336</x:v>
      </x:c>
      <x:c r="B336" s="502" t="n">
        <x:v>2026</x:v>
      </x:c>
      <x:c r="C336" s="489" t="str">
        <x:v>Palmitinho</x:v>
      </x:c>
      <x:c r="D336" s="489" t="str">
        <x:v>Palmitinho</x:v>
      </x:c>
      <x:c r="E336" s="489" t="str">
        <x:v>Fundo Municipal de Saude de Palmitinho</x:v>
      </x:c>
      <x:c r="F336" s="489" t="str">
        <x:v>41160013</x:v>
      </x:c>
      <x:c r="G336" s="489" t="str">
        <x:v>41160013-2026</x:v>
      </x:c>
      <x:c r="H336" s="489" t="str">
        <x:v>Informado/corrigido a partir do mapa</x:v>
      </x:c>
      <x:c r="I336" s="503" t="n">
        <x:v>200000</x:v>
      </x:c>
      <x:c r="J336" s="503" t="n">
        <x:v>200000</x:v>
      </x:c>
      <x:c r="K336" s="489" t="str">
        <x:v>Emenda individual</x:v>
      </x:c>
      <x:c r="L336" s="489"/>
      <x:c r="M336" s="503" t="n">
        <x:v>0</x:v>
      </x:c>
      <x:c r="N336" s="503" t="n">
        <x:v>0</x:v>
      </x:c>
      <x:c r="O336" s="503" t="n">
        <x:v>0</x:v>
      </x:c>
      <x:c r="P336" s="503" t="n">
        <x:v>0</x:v>
      </x:c>
      <x:c r="Q336" s="503" t="n">
        <x:v>0</x:v>
      </x:c>
      <x:c r="R336" s="489" t="str"/>
      <x:c r="S336" s="489" t="str"/>
      <x:c r="T336" s="489" t="str">
        <x:v>EMENDA CONFIRMADA; DESTINO NÃO CONFIRMADO</x:v>
      </x:c>
      <x:c r="U336" s="489" t="str">
        <x:v>Média</x:v>
      </x:c>
      <x:c r="V336" s="489" t="str"/>
      <x:c r="W336" s="489" t="str">
        <x:v>Nº existe no SIGA; destinatário específico não foi confirmado nas bases anexas</x:v>
      </x:c>
      <x:c r="X336" s="489" t="str"/>
    </x:row>
    <x:row r="337">
      <x:c r="A337" s="502" t="n">
        <x:v>337</x:v>
      </x:c>
      <x:c r="B337" s="502" t="n">
        <x:v>2026</x:v>
      </x:c>
      <x:c r="C337" s="489" t="str">
        <x:v>Pinheiro Machado</x:v>
      </x:c>
      <x:c r="D337" s="489" t="str">
        <x:v>Pinheiro Machado</x:v>
      </x:c>
      <x:c r="E337" s="489" t="str">
        <x:v>Fundo Municipal de Saude de Pinheiro Machado</x:v>
      </x:c>
      <x:c r="F337" s="489" t="str">
        <x:v>41160013</x:v>
      </x:c>
      <x:c r="G337" s="489" t="str">
        <x:v>41160013-2026</x:v>
      </x:c>
      <x:c r="H337" s="489" t="str">
        <x:v>Informado/corrigido a partir do mapa</x:v>
      </x:c>
      <x:c r="I337" s="503" t="n">
        <x:v>200000</x:v>
      </x:c>
      <x:c r="J337" s="503" t="n">
        <x:v>200000</x:v>
      </x:c>
      <x:c r="K337" s="489" t="str">
        <x:v>Emenda individual</x:v>
      </x:c>
      <x:c r="L337" s="489"/>
      <x:c r="M337" s="503" t="n">
        <x:v>199279</x:v>
      </x:c>
      <x:c r="N337" s="503" t="n">
        <x:v>0</x:v>
      </x:c>
      <x:c r="O337" s="503" t="n">
        <x:v>0</x:v>
      </x:c>
      <x:c r="P337" s="503" t="n">
        <x:v>0</x:v>
      </x:c>
      <x:c r="Q337" s="503" t="n">
        <x:v>0</x:v>
      </x:c>
      <x:c r="R337" s="489" t="str"/>
      <x:c r="S337" s="489" t="str">
        <x:v>12062786000150</x:v>
      </x:c>
      <x:c r="T337" s="489" t="str">
        <x:v>VALOR DIVERGENTE / COBERTURA DIFERENTE</x:v>
      </x:c>
      <x:c r="U337" s="489" t="str">
        <x:v>Média</x:v>
      </x:c>
      <x:c r="V337" s="489" t="str">
        <x:v>Preencher situação: há pagamento identificado na fonte pública</x:v>
      </x:c>
      <x:c r="W337" s="489" t="str">
        <x:v>Município/localidade encontrado em fonte comparável, mas valor não fecha exatamente</x:v>
      </x:c>
      <x:c r="X337" s="489" t="str"/>
    </x:row>
    <x:row r="338">
      <x:c r="A338" s="502" t="n">
        <x:v>338</x:v>
      </x:c>
      <x:c r="B338" s="502" t="n">
        <x:v>2026</x:v>
      </x:c>
      <x:c r="C338" s="489" t="str">
        <x:v>Salvador das MIssões</x:v>
      </x:c>
      <x:c r="D338" s="489" t="str">
        <x:v>Salvador das MIssões</x:v>
      </x:c>
      <x:c r="E338" s="489" t="str">
        <x:v>Fundo Municipal de Saude de Salvador Das Missoes</x:v>
      </x:c>
      <x:c r="F338" s="489" t="str">
        <x:v>41160013</x:v>
      </x:c>
      <x:c r="G338" s="489" t="str">
        <x:v>41160013-2026</x:v>
      </x:c>
      <x:c r="H338" s="489" t="str">
        <x:v>Informado/corrigido a partir do mapa</x:v>
      </x:c>
      <x:c r="I338" s="503" t="n">
        <x:v>200000</x:v>
      </x:c>
      <x:c r="J338" s="503" t="n">
        <x:v>200000</x:v>
      </x:c>
      <x:c r="K338" s="489" t="str">
        <x:v>Emenda individual</x:v>
      </x:c>
      <x:c r="L338" s="489"/>
      <x:c r="M338" s="503" t="n">
        <x:v>35160</x:v>
      </x:c>
      <x:c r="N338" s="503" t="n">
        <x:v>0</x:v>
      </x:c>
      <x:c r="O338" s="503" t="n">
        <x:v>0</x:v>
      </x:c>
      <x:c r="P338" s="503" t="n">
        <x:v>0</x:v>
      </x:c>
      <x:c r="Q338" s="503" t="n">
        <x:v>0</x:v>
      </x:c>
      <x:c r="R338" s="489" t="str"/>
      <x:c r="S338" s="489" t="str">
        <x:v>12137437000150</x:v>
      </x:c>
      <x:c r="T338" s="489" t="str">
        <x:v>VALOR DIVERGENTE / COBERTURA DIFERENTE</x:v>
      </x:c>
      <x:c r="U338" s="489" t="str">
        <x:v>Alta</x:v>
      </x:c>
      <x:c r="V338" s="489" t="str">
        <x:v>Preencher situação: há pagamento identificado na fonte pública</x:v>
      </x:c>
      <x:c r="W338" s="489" t="str">
        <x:v>Município/localidade encontrado em fonte comparável, mas valor não fecha exatamente</x:v>
      </x:c>
      <x:c r="X338" s="489" t="str"/>
    </x:row>
    <x:row r="339">
      <x:c r="A339" s="502" t="n">
        <x:v>339</x:v>
      </x:c>
      <x:c r="B339" s="502" t="n">
        <x:v>2026</x:v>
      </x:c>
      <x:c r="C339" s="489" t="str">
        <x:v>São Paulo das Missões</x:v>
      </x:c>
      <x:c r="D339" s="489" t="str">
        <x:v>São Paulo das Missões</x:v>
      </x:c>
      <x:c r="E339" s="489" t="str">
        <x:v>Fundo Municipal de Saude de Sao Paulo Das Missoes</x:v>
      </x:c>
      <x:c r="F339" s="489" t="str">
        <x:v>41160013</x:v>
      </x:c>
      <x:c r="G339" s="489" t="str">
        <x:v>41160013-2026</x:v>
      </x:c>
      <x:c r="H339" s="489" t="str">
        <x:v>Informado/corrigido a partir do mapa</x:v>
      </x:c>
      <x:c r="I339" s="503" t="n">
        <x:v>200000</x:v>
      </x:c>
      <x:c r="J339" s="503" t="n">
        <x:v>200000</x:v>
      </x:c>
      <x:c r="K339" s="489" t="str">
        <x:v>Emenda individual</x:v>
      </x:c>
      <x:c r="L339" s="489"/>
      <x:c r="M339" s="503" t="n">
        <x:v>4920</x:v>
      </x:c>
      <x:c r="N339" s="503" t="n">
        <x:v>0</x:v>
      </x:c>
      <x:c r="O339" s="503" t="n">
        <x:v>0</x:v>
      </x:c>
      <x:c r="P339" s="503" t="n">
        <x:v>0</x:v>
      </x:c>
      <x:c r="Q339" s="503" t="n">
        <x:v>0</x:v>
      </x:c>
      <x:c r="R339" s="489" t="str"/>
      <x:c r="S339" s="489" t="str">
        <x:v>12202854000130</x:v>
      </x:c>
      <x:c r="T339" s="489" t="str">
        <x:v>VALOR DIVERGENTE / COBERTURA DIFERENTE</x:v>
      </x:c>
      <x:c r="U339" s="489" t="str">
        <x:v>Alta</x:v>
      </x:c>
      <x:c r="V339" s="489" t="str">
        <x:v>Preencher situação: há pagamento identificado na fonte pública</x:v>
      </x:c>
      <x:c r="W339" s="489" t="str">
        <x:v>Município/localidade encontrado em fonte comparável, mas valor não fecha exatamente</x:v>
      </x:c>
      <x:c r="X339" s="489" t="str"/>
    </x:row>
    <x:row r="340">
      <x:c r="A340" s="502" t="n">
        <x:v>340</x:v>
      </x:c>
      <x:c r="B340" s="502" t="n">
        <x:v>2026</x:v>
      </x:c>
      <x:c r="C340" s="489" t="str">
        <x:v>Tuparendi</x:v>
      </x:c>
      <x:c r="D340" s="489" t="str">
        <x:v>Tuparendi</x:v>
      </x:c>
      <x:c r="E340" s="489" t="str">
        <x:v>Fundo Municipal de Saude</x:v>
      </x:c>
      <x:c r="F340" s="489" t="str">
        <x:v>41160013</x:v>
      </x:c>
      <x:c r="G340" s="489" t="str">
        <x:v>41160013-2026</x:v>
      </x:c>
      <x:c r="H340" s="489" t="str">
        <x:v>Informado/corrigido a partir do mapa</x:v>
      </x:c>
      <x:c r="I340" s="503" t="n">
        <x:v>200000</x:v>
      </x:c>
      <x:c r="J340" s="503" t="n">
        <x:v>200000</x:v>
      </x:c>
      <x:c r="K340" s="489" t="str">
        <x:v>Emenda individual</x:v>
      </x:c>
      <x:c r="L340" s="489"/>
      <x:c r="M340" s="503" t="n">
        <x:v>199804</x:v>
      </x:c>
      <x:c r="N340" s="503" t="n">
        <x:v>0</x:v>
      </x:c>
      <x:c r="O340" s="503" t="n">
        <x:v>0</x:v>
      </x:c>
      <x:c r="P340" s="503" t="n">
        <x:v>0</x:v>
      </x:c>
      <x:c r="Q340" s="503" t="n">
        <x:v>0</x:v>
      </x:c>
      <x:c r="R340" s="489" t="str"/>
      <x:c r="S340" s="489" t="str">
        <x:v>11828168000106</x:v>
      </x:c>
      <x:c r="T340" s="489" t="str">
        <x:v>CONFIRMADO</x:v>
      </x:c>
      <x:c r="U340" s="489" t="str">
        <x:v>Baixa</x:v>
      </x:c>
      <x:c r="V340" s="489" t="str">
        <x:v>Preencher situação: há pagamento identificado na fonte pública</x:v>
      </x:c>
      <x:c r="W340" s="489" t="str">
        <x:v>Valor do grupo fecha com: SIGA pago favorecido</x:v>
      </x:c>
      <x:c r="X340" s="489" t="str"/>
    </x:row>
    <x:row r="341">
      <x:c r="A341" s="502" t="n">
        <x:v>341</x:v>
      </x:c>
      <x:c r="B341" s="502" t="n">
        <x:v>2026</x:v>
      </x:c>
      <x:c r="C341" s="489" t="str">
        <x:v>Brochier</x:v>
      </x:c>
      <x:c r="D341" s="489" t="str">
        <x:v>Fundo Municipal de Saúde de Brochier - RS</x:v>
      </x:c>
      <x:c r="E341" s="489" t="str">
        <x:v>Município de Brochier</x:v>
      </x:c>
      <x:c r="F341" s="489" t="str">
        <x:v>41160013</x:v>
      </x:c>
      <x:c r="G341" s="489" t="str">
        <x:v>41160013-2026</x:v>
      </x:c>
      <x:c r="H341" s="489" t="str">
        <x:v>Informado/corrigido a partir do mapa</x:v>
      </x:c>
      <x:c r="I341" s="503" t="n">
        <x:v>200000</x:v>
      </x:c>
      <x:c r="J341" s="503" t="n">
        <x:v>200000</x:v>
      </x:c>
      <x:c r="K341" s="489" t="str">
        <x:v>Emenda individual</x:v>
      </x:c>
      <x:c r="L341" s="489"/>
      <x:c r="M341" s="503" t="n">
        <x:v>0</x:v>
      </x:c>
      <x:c r="N341" s="503" t="n">
        <x:v>0</x:v>
      </x:c>
      <x:c r="O341" s="503" t="n">
        <x:v>0</x:v>
      </x:c>
      <x:c r="P341" s="503" t="n">
        <x:v>0</x:v>
      </x:c>
      <x:c r="Q341" s="503" t="n">
        <x:v>0</x:v>
      </x:c>
      <x:c r="R341" s="489" t="str"/>
      <x:c r="S341" s="489" t="str"/>
      <x:c r="T341" s="489" t="str">
        <x:v>EMENDA CONFIRMADA; DESTINO NÃO CONFIRMADO</x:v>
      </x:c>
      <x:c r="U341" s="489" t="str">
        <x:v>Média</x:v>
      </x:c>
      <x:c r="V341" s="489" t="str"/>
      <x:c r="W341" s="489" t="str">
        <x:v>Nº existe no SIGA; destinatário específico não foi confirmado nas bases anexas</x:v>
      </x:c>
      <x:c r="X341" s="489" t="str"/>
    </x:row>
    <x:row r="342">
      <x:c r="A342" s="502" t="n">
        <x:v>342</x:v>
      </x:c>
      <x:c r="B342" s="502" t="n">
        <x:v>2026</x:v>
      </x:c>
      <x:c r="C342" s="489" t="str">
        <x:v>Caxias do Sul</x:v>
      </x:c>
      <x:c r="D342" s="489" t="str">
        <x:v>Fundo Municipal de Saúde de Caxias do Sul - RS</x:v>
      </x:c>
      <x:c r="E342" s="489" t="str">
        <x:v>Município de Caxias do Sul</x:v>
      </x:c>
      <x:c r="F342" s="489" t="str">
        <x:v>41160013</x:v>
      </x:c>
      <x:c r="G342" s="489" t="str">
        <x:v>41160013-2026</x:v>
      </x:c>
      <x:c r="H342" s="489" t="str">
        <x:v>Informado/corrigido a partir do mapa</x:v>
      </x:c>
      <x:c r="I342" s="503" t="n">
        <x:v>200000</x:v>
      </x:c>
      <x:c r="J342" s="503" t="n">
        <x:v>200000</x:v>
      </x:c>
      <x:c r="K342" s="489" t="str">
        <x:v>Emenda individual</x:v>
      </x:c>
      <x:c r="L342" s="489"/>
      <x:c r="M342" s="503" t="n">
        <x:v>200000</x:v>
      </x:c>
      <x:c r="N342" s="503" t="n">
        <x:v>0</x:v>
      </x:c>
      <x:c r="O342" s="503" t="n">
        <x:v>0</x:v>
      </x:c>
      <x:c r="P342" s="503" t="n">
        <x:v>0</x:v>
      </x:c>
      <x:c r="Q342" s="503" t="n">
        <x:v>0</x:v>
      </x:c>
      <x:c r="R342" s="489" t="str"/>
      <x:c r="S342" s="489" t="str">
        <x:v>10546325000128</x:v>
      </x:c>
      <x:c r="T342" s="489" t="str">
        <x:v>CONFIRMADO</x:v>
      </x:c>
      <x:c r="U342" s="489" t="str">
        <x:v>Baixa</x:v>
      </x:c>
      <x:c r="V342" s="489" t="str">
        <x:v>Preencher situação: há pagamento identificado na fonte pública</x:v>
      </x:c>
      <x:c r="W342" s="489" t="str">
        <x:v>Valor do grupo fecha com: SIGA pago favorecido</x:v>
      </x:c>
      <x:c r="X342" s="489" t="str"/>
    </x:row>
    <x:row r="343">
      <x:c r="A343" s="502" t="n">
        <x:v>343</x:v>
      </x:c>
      <x:c r="B343" s="502" t="n">
        <x:v>2026</x:v>
      </x:c>
      <x:c r="C343" s="489" t="str">
        <x:v>Putinga</x:v>
      </x:c>
      <x:c r="D343" s="489" t="str">
        <x:v>Fundo Municipal de Saúde de Putinga - RS</x:v>
      </x:c>
      <x:c r="E343" s="489" t="str">
        <x:v>Município de Putinga</x:v>
      </x:c>
      <x:c r="F343" s="489" t="str">
        <x:v>41160013</x:v>
      </x:c>
      <x:c r="G343" s="489" t="str">
        <x:v>41160013-2026</x:v>
      </x:c>
      <x:c r="H343" s="489" t="str">
        <x:v>Informado/corrigido a partir do mapa</x:v>
      </x:c>
      <x:c r="I343" s="503" t="n">
        <x:v>200000</x:v>
      </x:c>
      <x:c r="J343" s="503" t="n">
        <x:v>200000</x:v>
      </x:c>
      <x:c r="K343" s="489" t="str">
        <x:v>Emenda individual</x:v>
      </x:c>
      <x:c r="L343" s="489"/>
      <x:c r="M343" s="503" t="n">
        <x:v>0</x:v>
      </x:c>
      <x:c r="N343" s="503" t="n">
        <x:v>0</x:v>
      </x:c>
      <x:c r="O343" s="503" t="n">
        <x:v>0</x:v>
      </x:c>
      <x:c r="P343" s="503" t="n">
        <x:v>0</x:v>
      </x:c>
      <x:c r="Q343" s="503" t="n">
        <x:v>0</x:v>
      </x:c>
      <x:c r="R343" s="489" t="str"/>
      <x:c r="S343" s="489" t="str"/>
      <x:c r="T343" s="489" t="str">
        <x:v>EMENDA CONFIRMADA; DESTINO NÃO CONFIRMADO</x:v>
      </x:c>
      <x:c r="U343" s="489" t="str">
        <x:v>Média</x:v>
      </x:c>
      <x:c r="V343" s="489" t="str"/>
      <x:c r="W343" s="489" t="str">
        <x:v>Nº existe no SIGA; destinatário específico não foi confirmado nas bases anexas</x:v>
      </x:c>
      <x:c r="X343" s="489" t="str"/>
    </x:row>
    <x:row r="344">
      <x:c r="A344" s="502" t="n">
        <x:v>344</x:v>
      </x:c>
      <x:c r="B344" s="502" t="n">
        <x:v>2026</x:v>
      </x:c>
      <x:c r="C344" s="489" t="str">
        <x:v>Marau</x:v>
      </x:c>
      <x:c r="D344" s="489" t="str">
        <x:v>Associação Hospitalar Beneficente de Marau - Marau - RS</x:v>
      </x:c>
      <x:c r="E344" s="489" t="str">
        <x:v>Associação Hospitalar Beneficente de Marau - Marau - RS</x:v>
      </x:c>
      <x:c r="F344" s="489" t="str">
        <x:v>41160003</x:v>
      </x:c>
      <x:c r="G344" s="489" t="str">
        <x:v>41160003-2026</x:v>
      </x:c>
      <x:c r="H344" s="489" t="str">
        <x:v>Informado/corrigido a partir do mapa</x:v>
      </x:c>
      <x:c r="I344" s="503" t="n">
        <x:v>200000</x:v>
      </x:c>
      <x:c r="J344" s="503" t="n">
        <x:v>200000</x:v>
      </x:c>
      <x:c r="K344" s="489" t="str">
        <x:v>Emenda individual</x:v>
      </x:c>
      <x:c r="L344" s="489"/>
      <x:c r="M344" s="503" t="n">
        <x:v>0</x:v>
      </x:c>
      <x:c r="N344" s="503" t="n">
        <x:v>0</x:v>
      </x:c>
      <x:c r="O344" s="503" t="n">
        <x:v>0</x:v>
      </x:c>
      <x:c r="P344" s="503" t="n">
        <x:v>0</x:v>
      </x:c>
      <x:c r="Q344" s="503" t="n">
        <x:v>0</x:v>
      </x:c>
      <x:c r="R344" s="489" t="str"/>
      <x:c r="S344" s="489" t="str"/>
      <x:c r="T344" s="489" t="str">
        <x:v>EMENDA CONFIRMADA; DESTINO NÃO CONFIRMADO</x:v>
      </x:c>
      <x:c r="U344" s="489" t="str">
        <x:v>Média</x:v>
      </x:c>
      <x:c r="V344" s="489" t="str"/>
      <x:c r="W344" s="489" t="str">
        <x:v>Nº existe no SIGA; destinatário específico não foi confirmado nas bases anexas</x:v>
      </x:c>
      <x:c r="X344" s="489" t="str"/>
    </x:row>
    <x:row r="345">
      <x:c r="A345" s="502" t="n">
        <x:v>345</x:v>
      </x:c>
      <x:c r="B345" s="502" t="n">
        <x:v>2026</x:v>
      </x:c>
      <x:c r="C345" s="489" t="str">
        <x:v>Encantado</x:v>
      </x:c>
      <x:c r="D345" s="489" t="str">
        <x:v>Fundo Municipal de Saúde de Encantado - RS</x:v>
      </x:c>
      <x:c r="E345" s="489" t="str">
        <x:v>Município de Encantado</x:v>
      </x:c>
      <x:c r="F345" s="489" t="str">
        <x:v>41160013</x:v>
      </x:c>
      <x:c r="G345" s="489" t="str">
        <x:v>41160013-2026</x:v>
      </x:c>
      <x:c r="H345" s="489" t="str">
        <x:v>Informado/corrigido a partir do mapa</x:v>
      </x:c>
      <x:c r="I345" s="503" t="n">
        <x:v>200000</x:v>
      </x:c>
      <x:c r="J345" s="503" t="n">
        <x:v>200000</x:v>
      </x:c>
      <x:c r="K345" s="489" t="str">
        <x:v>Emenda individual</x:v>
      </x:c>
      <x:c r="L345" s="489"/>
      <x:c r="M345" s="503" t="n">
        <x:v>199957</x:v>
      </x:c>
      <x:c r="N345" s="503" t="n">
        <x:v>0</x:v>
      </x:c>
      <x:c r="O345" s="503" t="n">
        <x:v>0</x:v>
      </x:c>
      <x:c r="P345" s="503" t="n">
        <x:v>0</x:v>
      </x:c>
      <x:c r="Q345" s="503" t="n">
        <x:v>0</x:v>
      </x:c>
      <x:c r="R345" s="489" t="str"/>
      <x:c r="S345" s="489" t="str">
        <x:v>12149722000191</x:v>
      </x:c>
      <x:c r="T345" s="489" t="str">
        <x:v>CONFIRMADO</x:v>
      </x:c>
      <x:c r="U345" s="489" t="str">
        <x:v>Baixa</x:v>
      </x:c>
      <x:c r="V345" s="489" t="str">
        <x:v>Preencher situação: há pagamento identificado na fonte pública</x:v>
      </x:c>
      <x:c r="W345" s="489" t="str">
        <x:v>Valor do grupo fecha com: SIGA pago favorecido</x:v>
      </x:c>
      <x:c r="X345" s="489" t="str"/>
    </x:row>
    <x:row r="346">
      <x:c r="A346" s="502" t="n">
        <x:v>346</x:v>
      </x:c>
      <x:c r="B346" s="502" t="n">
        <x:v>2026</x:v>
      </x:c>
      <x:c r="C346" s="489" t="str">
        <x:v>Campestre da Serra</x:v>
      </x:c>
      <x:c r="D346" s="489" t="str">
        <x:v>Fundo Municipal de Saúde de Campestre da Serra - RS</x:v>
      </x:c>
      <x:c r="E346" s="489"/>
      <x:c r="F346" s="489" t="str">
        <x:v>41160013</x:v>
      </x:c>
      <x:c r="G346" s="489" t="str">
        <x:v>41160013-2026</x:v>
      </x:c>
      <x:c r="H346" s="489" t="str">
        <x:v>Informado/corrigido a partir do mapa</x:v>
      </x:c>
      <x:c r="I346" s="503" t="n">
        <x:v>200000</x:v>
      </x:c>
      <x:c r="J346" s="503" t="n">
        <x:v>200000</x:v>
      </x:c>
      <x:c r="K346" s="489" t="str">
        <x:v>Emenda individual</x:v>
      </x:c>
      <x:c r="L346" s="489"/>
      <x:c r="M346" s="503" t="n">
        <x:v>199999</x:v>
      </x:c>
      <x:c r="N346" s="503" t="n">
        <x:v>0</x:v>
      </x:c>
      <x:c r="O346" s="503" t="n">
        <x:v>0</x:v>
      </x:c>
      <x:c r="P346" s="503" t="n">
        <x:v>0</x:v>
      </x:c>
      <x:c r="Q346" s="503" t="n">
        <x:v>0</x:v>
      </x:c>
      <x:c r="R346" s="489" t="str"/>
      <x:c r="S346" s="489" t="str">
        <x:v>12452816000135</x:v>
      </x:c>
      <x:c r="T346" s="489" t="str">
        <x:v>CONFIRMADO</x:v>
      </x:c>
      <x:c r="U346" s="489" t="str">
        <x:v>Baixa</x:v>
      </x:c>
      <x:c r="V346" s="489" t="str">
        <x:v>Preencher situação: há pagamento identificado na fonte pública</x:v>
      </x:c>
      <x:c r="W346" s="489" t="str">
        <x:v>Valor do grupo fecha com: SIGA pago favorecido</x:v>
      </x:c>
      <x:c r="X346" s="489" t="str"/>
    </x:row>
    <x:row r="347">
      <x:c r="A347" s="502" t="n">
        <x:v>347</x:v>
      </x:c>
      <x:c r="B347" s="502" t="n">
        <x:v>2020</x:v>
      </x:c>
      <x:c r="C347" s="489" t="str">
        <x:v>Porto Alegre</x:v>
      </x:c>
      <x:c r="D347" s="489" t="str">
        <x:v>Instituto Geral de Perícias</x:v>
      </x:c>
      <x:c r="E347" s="489" t="str">
        <x:v>Instituto Geral de Perícias</x:v>
      </x:c>
      <x:c r="F347" s="489" t="str">
        <x:v>41160010</x:v>
      </x:c>
      <x:c r="G347" s="489" t="str">
        <x:v>41160010-2020</x:v>
      </x:c>
      <x:c r="H347" s="489" t="str">
        <x:v>Informado/corrigido a partir do mapa</x:v>
      </x:c>
      <x:c r="I347" s="503" t="n">
        <x:v>200841.17</x:v>
      </x:c>
      <x:c r="J347" s="503" t="n">
        <x:v>554830.11</x:v>
      </x:c>
      <x:c r="K347" s="489" t="str">
        <x:v>Emenda individual</x:v>
      </x:c>
      <x:c r="L347" s="489" t="str">
        <x:v>Pregão eletrônio concluído.</x:v>
      </x:c>
      <x:c r="M347" s="503" t="n">
        <x:v>622294.89</x:v>
      </x:c>
      <x:c r="N347" s="503" t="n">
        <x:v>3614493.94</x:v>
      </x:c>
      <x:c r="O347" s="503" t="n">
        <x:v>3290479.1</x:v>
      </x:c>
      <x:c r="P347" s="503" t="n">
        <x:v>0</x:v>
      </x:c>
      <x:c r="Q347" s="503" t="n">
        <x:v>0</x:v>
      </x:c>
      <x:c r="R347" s="489" t="str"/>
      <x:c r="S347" s="489" t="str">
        <x:v>87958583000146</x:v>
      </x:c>
      <x:c r="T347" s="489" t="str">
        <x:v>VALOR DIVERGENTE / COBERTURA DIFERENTE</x:v>
      </x:c>
      <x:c r="U347" s="489" t="str">
        <x:v>Alta</x:v>
      </x:c>
      <x:c r="V347" s="489" t="str">
        <x:v>CNPJ candidato na fonte SIGA: 87958583000146</x:v>
      </x:c>
      <x:c r="W347" s="489" t="str">
        <x:v>Município/localidade encontrado em fonte comparável, mas valor não fecha exatamente</x:v>
      </x:c>
      <x:c r="X347" s="489" t="str">
        <x:v>https://discricionarias.transferegov.sistema.gov.br/voluntarias/ConsultarProposta/ResultadoDaConsultaDeConvenioSelecionarConvenio.do?sequencialConvenio=905242&amp;Usr=guest&amp;Pwd=guest | https://discricionarias.transferegov.sistema.gov.br/voluntarias/ConsultarProposta/ResultadoDaConsultaDeConvenioSelecionarConvenio.do?sequencialConvenio=905738&amp;Usr=guest&amp;Pwd=guest</x:v>
      </x:c>
    </x:row>
    <x:row r="348">
      <x:c r="A348" s="502" t="n">
        <x:v>348</x:v>
      </x:c>
      <x:c r="B348" s="502" t="n">
        <x:v>2020</x:v>
      </x:c>
      <x:c r="C348" s="489" t="str">
        <x:v>Vários municípios</x:v>
      </x:c>
      <x:c r="D348" s="489" t="str">
        <x:v>Brigada Militar</x:v>
      </x:c>
      <x:c r="E348" s="489" t="str">
        <x:v>Unidades da Brigada Militar em Porto Alegre, Canoas, Cruz Alta, Santa Maria, Guaíba, Santa Rosa, Osório, Santo Ângelo, Passo Fundo, Caxias do Sul, Pelotas, Montenegro, Santa Cruz do Sul, Novo Hamburgo e Lajeado.</x:v>
      </x:c>
      <x:c r="F348" s="489" t="str">
        <x:v>41160002</x:v>
      </x:c>
      <x:c r="G348" s="489" t="str">
        <x:v>41160002-2020</x:v>
      </x:c>
      <x:c r="H348" s="489" t="str">
        <x:v>Informado/corrigido a partir do mapa</x:v>
      </x:c>
      <x:c r="I348" s="503" t="n">
        <x:v>201110.34</x:v>
      </x:c>
      <x:c r="J348" s="503" t="n">
        <x:v>519035.33999999997</x:v>
      </x:c>
      <x:c r="K348" s="489" t="str">
        <x:v>Emenda individual</x:v>
      </x:c>
      <x:c r="L348" s="489" t="str">
        <x:v>Pagamento da emenda realizado em 25/06/2021. 102 Coletes Balísticos IIIA Masculino M, totalizando  91.292,31. Valor unitário mais baixo do que aquele previsto no Plano de Trabalho. Os 102 coletes foram direcionados para o Comando de Policiamento da Capital.   </x:v>
      </x:c>
      <x:c r="M348" s="503" t="n">
        <x:v>0</x:v>
      </x:c>
      <x:c r="N348" s="503" t="n">
        <x:v>0</x:v>
      </x:c>
      <x:c r="O348" s="503" t="n">
        <x:v>0</x:v>
      </x:c>
      <x:c r="P348" s="503" t="n">
        <x:v>0</x:v>
      </x:c>
      <x:c r="Q348" s="503" t="n">
        <x:v>0</x:v>
      </x:c>
      <x:c r="R348" s="489" t="str"/>
      <x:c r="S348" s="489" t="str"/>
      <x:c r="T348" s="489" t="str">
        <x:v>EMENDA CONFIRMADA; DESTINO NÃO CONFIRMADO</x:v>
      </x:c>
      <x:c r="U348" s="489" t="str">
        <x:v>Média</x:v>
      </x:c>
      <x:c r="V348" s="489" t="str"/>
      <x:c r="W348" s="489" t="str">
        <x:v>Nº existe no SIGA; destinatário específico não foi confirmado nas bases anexas</x:v>
      </x:c>
      <x:c r="X348" s="489" t="str"/>
    </x:row>
    <x:row r="349">
      <x:c r="A349" s="502" t="n">
        <x:v>349</x:v>
      </x:c>
      <x:c r="B349" s="502" t="n">
        <x:v>2025</x:v>
      </x:c>
      <x:c r="C349" s="489" t="str">
        <x:v>Santo Ângelo</x:v>
      </x:c>
      <x:c r="D349" s="489" t="str">
        <x:v>Associacao Hospital De Caridade De Santo Angelo Santo Ângelo - Rs</x:v>
      </x:c>
      <x:c r="E349" s="489" t="str">
        <x:v>Associacao Hospital De Caridade De Santo Angelo Santo Ângelo - Rs</x:v>
      </x:c>
      <x:c r="F349" s="489" t="str">
        <x:v>41160004</x:v>
      </x:c>
      <x:c r="G349" s="489" t="str">
        <x:v>41160004-2025</x:v>
      </x:c>
      <x:c r="H349" s="489" t="str">
        <x:v>Informado/corrigido a partir do mapa</x:v>
      </x:c>
      <x:c r="I349" s="503" t="n">
        <x:v>202000</x:v>
      </x:c>
      <x:c r="J349" s="503" t="n">
        <x:v>202000</x:v>
      </x:c>
      <x:c r="K349" s="489" t="str">
        <x:v>Emenda Individual</x:v>
      </x:c>
      <x:c r="L349" s="489"/>
      <x:c r="M349" s="503" t="n">
        <x:v>0</x:v>
      </x:c>
      <x:c r="N349" s="503" t="n">
        <x:v>201225</x:v>
      </x:c>
      <x:c r="O349" s="503" t="n">
        <x:v>0</x:v>
      </x:c>
      <x:c r="P349" s="503" t="n">
        <x:v>0</x:v>
      </x:c>
      <x:c r="Q349" s="503" t="n">
        <x:v>0</x:v>
      </x:c>
      <x:c r="R349" s="489" t="str"/>
      <x:c r="S349" s="489" t="str"/>
      <x:c r="T349" s="489" t="str">
        <x:v>DESTINO/INSTRUMENTO CONFIRMADO; VALOR NÃO COMPARÁVEL</x:v>
      </x:c>
      <x:c r="U349" s="489" t="str">
        <x:v>Média</x:v>
      </x:c>
      <x:c r="V349" s="489" t="str"/>
      <x:c r="W349" s="489" t="str">
        <x:v>Há instrumento do Transferegov para a emenda/município; valores do instrumento não foram usados como prova do valor da emenda</x:v>
      </x:c>
      <x:c r="X349" s="489" t="str">
        <x:v>https://discricionarias.transferegov.sistema.gov.br/voluntarias/ConsultarProposta/ResultadoDaConsultaDeConvenioSelecionarConvenio.do?sequencialConvenio=988625&amp;Usr=guest&amp;Pwd=guest</x:v>
      </x:c>
    </x:row>
    <x:row r="350">
      <x:c r="A350" s="502" t="n">
        <x:v>350</x:v>
      </x:c>
      <x:c r="B350" s="502" t="n">
        <x:v>2025</x:v>
      </x:c>
      <x:c r="C350" s="489" t="str">
        <x:v>Sapiranga</x:v>
      </x:c>
      <x:c r="D350" s="489" t="str">
        <x:v>Hospital Sapiranga - Sociedade Beneficente Sapiranga - Rs</x:v>
      </x:c>
      <x:c r="E350" s="489" t="str">
        <x:v>Hospital Sapiranga - Sociedade Beneficente Sapiranga - Rs</x:v>
      </x:c>
      <x:c r="F350" s="489" t="str">
        <x:v>41160004</x:v>
      </x:c>
      <x:c r="G350" s="489" t="str">
        <x:v>41160004-2025</x:v>
      </x:c>
      <x:c r="H350" s="489" t="str">
        <x:v>Informado/corrigido a partir do mapa</x:v>
      </x:c>
      <x:c r="I350" s="503" t="n">
        <x:v>204000</x:v>
      </x:c>
      <x:c r="J350" s="503" t="n">
        <x:v>204000</x:v>
      </x:c>
      <x:c r="K350" s="489" t="str">
        <x:v>Emenda Individual</x:v>
      </x:c>
      <x:c r="L350" s="489"/>
      <x:c r="M350" s="503" t="n">
        <x:v>0</x:v>
      </x:c>
      <x:c r="N350" s="503" t="n">
        <x:v>204000</x:v>
      </x:c>
      <x:c r="O350" s="503" t="n">
        <x:v>0</x:v>
      </x:c>
      <x:c r="P350" s="503" t="n">
        <x:v>0</x:v>
      </x:c>
      <x:c r="Q350" s="503" t="n">
        <x:v>0</x:v>
      </x:c>
      <x:c r="R350" s="489" t="str"/>
      <x:c r="S350" s="489" t="str"/>
      <x:c r="T350" s="489" t="str">
        <x:v>DESTINO/INSTRUMENTO CONFIRMADO; VALOR NÃO COMPARÁVEL</x:v>
      </x:c>
      <x:c r="U350" s="489" t="str">
        <x:v>Média</x:v>
      </x:c>
      <x:c r="V350" s="489" t="str"/>
      <x:c r="W350" s="489" t="str">
        <x:v>Há instrumento do Transferegov para a emenda/município; valores do instrumento não foram usados como prova do valor da emenda</x:v>
      </x:c>
      <x:c r="X350" s="489" t="str">
        <x:v>https://discricionarias.transferegov.sistema.gov.br/voluntarias/ConsultarProposta/ResultadoDaConsultaDeConvenioSelecionarConvenio.do?sequencialConvenio=988647&amp;Usr=guest&amp;Pwd=guest</x:v>
      </x:c>
    </x:row>
    <x:row r="351">
      <x:c r="A351" s="502" t="n">
        <x:v>351</x:v>
      </x:c>
      <x:c r="B351" s="502" t="n">
        <x:v>2020</x:v>
      </x:c>
      <x:c r="C351" s="489" t="str">
        <x:v>Dois Irmãos</x:v>
      </x:c>
      <x:c r="D351" s="489" t="str">
        <x:v>Brigada Militar</x:v>
      </x:c>
      <x:c r="E351" s="489" t="str">
        <x:v>Brigada Militar de Dois Irmãos</x:v>
      </x:c>
      <x:c r="F351" s="489" t="str"/>
      <x:c r="G351" s="489" t="str"/>
      <x:c r="H351" s="489" t="str">
        <x:v>Sem nº conciliado</x:v>
      </x:c>
      <x:c r="I351" s="503" t="n">
        <x:v>209500</x:v>
      </x:c>
      <x:c r="J351" s="503" t="n">
        <x:v>1309500</x:v>
      </x:c>
      <x:c r="K351" s="489" t="str">
        <x:v>Emenda de Bancada</x:v>
      </x:c>
      <x:c r="L351" s="489" t="str">
        <x:v>Em licitação</x:v>
      </x:c>
      <x:c r="M351" s="503" t="n">
        <x:v>0</x:v>
      </x:c>
      <x:c r="N351" s="503" t="n">
        <x:v>0</x:v>
      </x:c>
      <x:c r="O351" s="503" t="n">
        <x:v>0</x:v>
      </x:c>
      <x:c r="P351" s="503" t="n">
        <x:v>0</x:v>
      </x:c>
      <x:c r="Q351" s="503" t="n">
        <x:v>0</x:v>
      </x:c>
      <x:c r="R351" s="489" t="str"/>
      <x:c r="S351" s="489" t="str"/>
      <x:c r="T351" s="489" t="str">
        <x:v>SEM Nº / NÃO CONCILIADO</x:v>
      </x:c>
      <x:c r="U351" s="489" t="str">
        <x:v>Média</x:v>
      </x:c>
      <x:c r="V351" s="489" t="str"/>
      <x:c r="W351" s="489" t="str"/>
      <x:c r="X351" s="489" t="str"/>
    </x:row>
    <x:row r="352">
      <x:c r="A352" s="502" t="n">
        <x:v>352</x:v>
      </x:c>
      <x:c r="B352" s="502" t="n">
        <x:v>2021</x:v>
      </x:c>
      <x:c r="C352" s="489" t="str">
        <x:v>Estância Velha</x:v>
      </x:c>
      <x:c r="D352" s="489" t="str">
        <x:v>Hospital</x:v>
      </x:c>
      <x:c r="E352" s="489" t="str">
        <x:v>Hospital Municipal Getúlio Vargas</x:v>
      </x:c>
      <x:c r="F352" s="489" t="str">
        <x:v>41160003</x:v>
      </x:c>
      <x:c r="G352" s="489" t="str">
        <x:v>41160003-2021</x:v>
      </x:c>
      <x:c r="H352" s="489" t="str">
        <x:v>Informado/corrigido a partir do mapa</x:v>
      </x:c>
      <x:c r="I352" s="503" t="n">
        <x:v>210000</x:v>
      </x:c>
      <x:c r="J352" s="503" t="n">
        <x:v>210000</x:v>
      </x:c>
      <x:c r="K352" s="489" t="str">
        <x:v>Emenda individual (processo seletivo)</x:v>
      </x:c>
      <x:c r="L352" s="489" t="str">
        <x:v>Recurso pago</x:v>
      </x:c>
      <x:c r="M352" s="503" t="n">
        <x:v>0</x:v>
      </x:c>
      <x:c r="N352" s="503" t="n">
        <x:v>0</x:v>
      </x:c>
      <x:c r="O352" s="503" t="n">
        <x:v>0</x:v>
      </x:c>
      <x:c r="P352" s="503" t="n">
        <x:v>0</x:v>
      </x:c>
      <x:c r="Q352" s="503" t="n">
        <x:v>0</x:v>
      </x:c>
      <x:c r="R352" s="489" t="str"/>
      <x:c r="S352" s="489" t="str"/>
      <x:c r="T352" s="489" t="str">
        <x:v>EMENDA CONFIRMADA; DESTINO NÃO CONFIRMADO</x:v>
      </x:c>
      <x:c r="U352" s="489" t="str">
        <x:v>Média</x:v>
      </x:c>
      <x:c r="V352" s="489" t="str"/>
      <x:c r="W352" s="489" t="str">
        <x:v>Nº existe no SIGA; destinatário específico não foi confirmado nas bases anexas</x:v>
      </x:c>
      <x:c r="X352" s="489" t="str"/>
    </x:row>
    <x:row r="353">
      <x:c r="A353" s="502" t="n">
        <x:v>353</x:v>
      </x:c>
      <x:c r="B353" s="502" t="n">
        <x:v>2022</x:v>
      </x:c>
      <x:c r="C353" s="489" t="str">
        <x:v>Marau</x:v>
      </x:c>
      <x:c r="D353" s="489"/>
      <x:c r="E353" s="489" t="str">
        <x:v>Associação Hospitalar Beneficente de Marau</x:v>
      </x:c>
      <x:c r="F353" s="489" t="str">
        <x:v>41160003</x:v>
      </x:c>
      <x:c r="G353" s="489" t="str">
        <x:v>41160003-2022</x:v>
      </x:c>
      <x:c r="H353" s="489" t="str">
        <x:v>Informado/corrigido a partir do mapa</x:v>
      </x:c>
      <x:c r="I353" s="503" t="n">
        <x:v>210000</x:v>
      </x:c>
      <x:c r="J353" s="503" t="n">
        <x:v>210000</x:v>
      </x:c>
      <x:c r="K353" s="489" t="str">
        <x:v>Emenda Individual </x:v>
      </x:c>
      <x:c r="L353" s="489" t="str">
        <x:v>Emenda não localizada. (Consultado SIOP em 16/04/2024).</x:v>
      </x:c>
      <x:c r="M353" s="503" t="n">
        <x:v>0</x:v>
      </x:c>
      <x:c r="N353" s="503" t="n">
        <x:v>0</x:v>
      </x:c>
      <x:c r="O353" s="503" t="n">
        <x:v>0</x:v>
      </x:c>
      <x:c r="P353" s="503" t="n">
        <x:v>0</x:v>
      </x:c>
      <x:c r="Q353" s="503" t="n">
        <x:v>0</x:v>
      </x:c>
      <x:c r="R353" s="489" t="str"/>
      <x:c r="S353" s="489" t="str"/>
      <x:c r="T353" s="489" t="str">
        <x:v>EMENDA CONFIRMADA; DESTINO NÃO CONFIRMADO</x:v>
      </x:c>
      <x:c r="U353" s="489" t="str">
        <x:v>Média</x:v>
      </x:c>
      <x:c r="V353" s="489" t="str"/>
      <x:c r="W353" s="489" t="str">
        <x:v>Nº existe no SIGA; destinatário específico não foi confirmado nas bases anexas</x:v>
      </x:c>
      <x:c r="X353" s="489" t="str"/>
    </x:row>
    <x:row r="354">
      <x:c r="A354" s="502" t="n">
        <x:v>354</x:v>
      </x:c>
      <x:c r="B354" s="502" t="n">
        <x:v>2024</x:v>
      </x:c>
      <x:c r="C354" s="489" t="str">
        <x:v>Novo Hamburgo</x:v>
      </x:c>
      <x:c r="D354" s="489" t="str">
        <x:v>Prefeitura Municipal de Novo Hamburgo</x:v>
      </x:c>
      <x:c r="E354" s="489" t="str">
        <x:v>Prefeitura Municipal</x:v>
      </x:c>
      <x:c r="F354" s="489" t="str">
        <x:v>41160002</x:v>
      </x:c>
      <x:c r="G354" s="489" t="str">
        <x:v>41160002-2024</x:v>
      </x:c>
      <x:c r="H354" s="489" t="str">
        <x:v>Informado/corrigido a partir do mapa</x:v>
      </x:c>
      <x:c r="I354" s="503" t="n">
        <x:v>210000</x:v>
      </x:c>
      <x:c r="J354" s="503" t="n">
        <x:v>210000</x:v>
      </x:c>
      <x:c r="K354" s="489" t="str">
        <x:v>Emenda Individual</x:v>
      </x:c>
      <x:c r="L354" s="489"/>
      <x:c r="M354" s="503" t="n">
        <x:v>210000</x:v>
      </x:c>
      <x:c r="N354" s="503" t="n">
        <x:v>0</x:v>
      </x:c>
      <x:c r="O354" s="503" t="n">
        <x:v>0</x:v>
      </x:c>
      <x:c r="P354" s="503" t="n">
        <x:v>0</x:v>
      </x:c>
      <x:c r="Q354" s="503" t="n">
        <x:v>0</x:v>
      </x:c>
      <x:c r="R354" s="489" t="str"/>
      <x:c r="S354" s="489" t="str">
        <x:v>11416036000177</x:v>
      </x:c>
      <x:c r="T354" s="489" t="str">
        <x:v>CONFIRMADO</x:v>
      </x:c>
      <x:c r="U354" s="489" t="str">
        <x:v>Baixa</x:v>
      </x:c>
      <x:c r="V354" s="489" t="str">
        <x:v>Preencher situação: há pagamento identificado na fonte pública; CNPJ candidato na fonte SIGA: 11416036000177</x:v>
      </x:c>
      <x:c r="W354" s="489" t="str">
        <x:v>Valor do grupo fecha com: SIGA pago favorecido</x:v>
      </x:c>
      <x:c r="X354" s="489" t="str"/>
    </x:row>
    <x:row r="355">
      <x:c r="A355" s="502" t="n">
        <x:v>355</x:v>
      </x:c>
      <x:c r="B355" s="502" t="n">
        <x:v>2021</x:v>
      </x:c>
      <x:c r="C355" s="489" t="str">
        <x:v>Passo Fundo</x:v>
      </x:c>
      <x:c r="D355" s="489" t="str">
        <x:v>Polícia Rodoviária Federal</x:v>
      </x:c>
      <x:c r="E355" s="489" t="str">
        <x:v>Polícia Rodoviária Federal</x:v>
      </x:c>
      <x:c r="F355" s="489" t="str">
        <x:v>411660007</x:v>
      </x:c>
      <x:c r="G355" s="489" t="str">
        <x:v>41160007-2021</x:v>
      </x:c>
      <x:c r="H355" s="489" t="str">
        <x:v>Informado/corrigido a partir do mapa</x:v>
      </x:c>
      <x:c r="I355" s="503" t="n">
        <x:v>212000.06</x:v>
      </x:c>
      <x:c r="J355" s="503" t="n">
        <x:v>212000.06</x:v>
      </x:c>
      <x:c r="K355" s="489" t="str">
        <x:v>Emenda individual</x:v>
      </x:c>
      <x:c r="L355" s="489" t="str">
        <x:v>Recurso pago (consultado Transferegov e Portal da Transparência em 12/03/2024)</x:v>
      </x:c>
      <x:c r="M355" s="503" t="n">
        <x:v>0</x:v>
      </x:c>
      <x:c r="N355" s="503" t="n">
        <x:v>0</x:v>
      </x:c>
      <x:c r="O355" s="503" t="n">
        <x:v>0</x:v>
      </x:c>
      <x:c r="P355" s="503" t="n">
        <x:v>0</x:v>
      </x:c>
      <x:c r="Q355" s="503" t="n">
        <x:v>0</x:v>
      </x:c>
      <x:c r="R355" s="489" t="str"/>
      <x:c r="S355" s="489" t="str"/>
      <x:c r="T355" s="489" t="str">
        <x:v>EMENDA CONFIRMADA; DESTINO NÃO CONFIRMADO</x:v>
      </x:c>
      <x:c r="U355" s="489" t="str">
        <x:v>Alta</x:v>
      </x:c>
      <x:c r="V355" s="489" t="str">
        <x:v>Corrigir o número da emenda para 41160007</x:v>
      </x:c>
      <x:c r="W355" s="489" t="str">
        <x:v>nº no mapa parece digitado como 411660007; candidato 41160007; Nº existe no SIGA; destinatário específico não foi confirmado nas bases anexas</x:v>
      </x:c>
      <x:c r="X355" s="489" t="str"/>
    </x:row>
    <x:row r="356">
      <x:c r="A356" s="502" t="n">
        <x:v>356</x:v>
      </x:c>
      <x:c r="B356" s="502" t="n">
        <x:v>2026</x:v>
      </x:c>
      <x:c r="C356" s="489" t="str">
        <x:v>Protásio Alves</x:v>
      </x:c>
      <x:c r="D356" s="489" t="str">
        <x:v>Protásio Alves</x:v>
      </x:c>
      <x:c r="E356" s="489" t="str">
        <x:v>Fundo Municipal de Saude de Protasio Alves</x:v>
      </x:c>
      <x:c r="F356" s="489" t="str">
        <x:v>41160013</x:v>
      </x:c>
      <x:c r="G356" s="489" t="str">
        <x:v>41160013-2026</x:v>
      </x:c>
      <x:c r="H356" s="489" t="str">
        <x:v>Informado/corrigido a partir do mapa</x:v>
      </x:c>
      <x:c r="I356" s="503" t="n">
        <x:v>213000</x:v>
      </x:c>
      <x:c r="J356" s="503" t="n">
        <x:v>213000</x:v>
      </x:c>
      <x:c r="K356" s="489" t="str">
        <x:v>Emenda individual</x:v>
      </x:c>
      <x:c r="L356" s="489"/>
      <x:c r="M356" s="503" t="n">
        <x:v>0</x:v>
      </x:c>
      <x:c r="N356" s="503" t="n">
        <x:v>0</x:v>
      </x:c>
      <x:c r="O356" s="503" t="n">
        <x:v>0</x:v>
      </x:c>
      <x:c r="P356" s="503" t="n">
        <x:v>0</x:v>
      </x:c>
      <x:c r="Q356" s="503" t="n">
        <x:v>0</x:v>
      </x:c>
      <x:c r="R356" s="489" t="str"/>
      <x:c r="S356" s="489" t="str"/>
      <x:c r="T356" s="489" t="str">
        <x:v>EMENDA CONFIRMADA; DESTINO NÃO CONFIRMADO</x:v>
      </x:c>
      <x:c r="U356" s="489" t="str">
        <x:v>Média</x:v>
      </x:c>
      <x:c r="V356" s="489" t="str"/>
      <x:c r="W356" s="489" t="str">
        <x:v>Nº existe no SIGA; destinatário específico não foi confirmado nas bases anexas</x:v>
      </x:c>
      <x:c r="X356" s="489" t="str"/>
    </x:row>
    <x:row r="357">
      <x:c r="A357" s="502" t="n">
        <x:v>357</x:v>
      </x:c>
      <x:c r="B357" s="502" t="n">
        <x:v>2025</x:v>
      </x:c>
      <x:c r="C357" s="489" t="str">
        <x:v>Vale do Sol</x:v>
      </x:c>
      <x:c r="D357" s="489" t="str">
        <x:v>Hospital Beneficente Vale Do Sol - Hbvs Vale Do Sol - Rs</x:v>
      </x:c>
      <x:c r="E357" s="489" t="str">
        <x:v>Hospital Beneficente Vale Do Sol - Hbvs Vale Do Sol - Rs</x:v>
      </x:c>
      <x:c r="F357" s="489" t="str">
        <x:v>41160004</x:v>
      </x:c>
      <x:c r="G357" s="489" t="str">
        <x:v>41160004-2025</x:v>
      </x:c>
      <x:c r="H357" s="489" t="str">
        <x:v>Informado/corrigido a partir do mapa</x:v>
      </x:c>
      <x:c r="I357" s="503" t="n">
        <x:v>216400</x:v>
      </x:c>
      <x:c r="J357" s="503" t="n">
        <x:v>216400</x:v>
      </x:c>
      <x:c r="K357" s="489" t="str">
        <x:v>Emenda Individual</x:v>
      </x:c>
      <x:c r="L357" s="489"/>
      <x:c r="M357" s="503" t="n">
        <x:v>0</x:v>
      </x:c>
      <x:c r="N357" s="503" t="n">
        <x:v>0</x:v>
      </x:c>
      <x:c r="O357" s="503" t="n">
        <x:v>0</x:v>
      </x:c>
      <x:c r="P357" s="503" t="n">
        <x:v>0</x:v>
      </x:c>
      <x:c r="Q357" s="503" t="n">
        <x:v>0</x:v>
      </x:c>
      <x:c r="R357" s="489" t="str"/>
      <x:c r="S357" s="489" t="str"/>
      <x:c r="T357" s="489" t="str">
        <x:v>EMENDA CONFIRMADA; DESTINO NÃO CONFIRMADO</x:v>
      </x:c>
      <x:c r="U357" s="489" t="str">
        <x:v>Média</x:v>
      </x:c>
      <x:c r="V357" s="489" t="str"/>
      <x:c r="W357" s="489" t="str">
        <x:v>Nº existe no SIGA; destinatário específico não foi confirmado nas bases anexas</x:v>
      </x:c>
      <x:c r="X357" s="489" t="str"/>
    </x:row>
    <x:row r="358">
      <x:c r="A358" s="502" t="n">
        <x:v>358</x:v>
      </x:c>
      <x:c r="B358" s="502" t="n">
        <x:v>2021</x:v>
      </x:c>
      <x:c r="C358" s="489" t="str">
        <x:v>São Francisco de Paula</x:v>
      </x:c>
      <x:c r="D358" s="489" t="str">
        <x:v>Hospital</x:v>
      </x:c>
      <x:c r="E358" s="489" t="str">
        <x:v>Hospital São Francisco de Paula</x:v>
      </x:c>
      <x:c r="F358" s="489" t="str">
        <x:v>41160002</x:v>
      </x:c>
      <x:c r="G358" s="489" t="str">
        <x:v>41160002-2021</x:v>
      </x:c>
      <x:c r="H358" s="489" t="str">
        <x:v>Informado/corrigido a partir do mapa</x:v>
      </x:c>
      <x:c r="I358" s="503" t="n">
        <x:v>218250</x:v>
      </x:c>
      <x:c r="J358" s="503" t="n">
        <x:v>218250</x:v>
      </x:c>
      <x:c r="K358" s="489" t="str">
        <x:v>Emenda individual (processo seletivo)</x:v>
      </x:c>
      <x:c r="L358" s="489" t="str">
        <x:v>Recurso pago</x:v>
      </x:c>
      <x:c r="M358" s="503" t="n">
        <x:v>179858.49</x:v>
      </x:c>
      <x:c r="N358" s="503" t="n">
        <x:v>468250</x:v>
      </x:c>
      <x:c r="O358" s="503" t="n">
        <x:v>385881.96</x:v>
      </x:c>
      <x:c r="P358" s="503" t="n">
        <x:v>0</x:v>
      </x:c>
      <x:c r="Q358" s="503" t="n">
        <x:v>0</x:v>
      </x:c>
      <x:c r="R358" s="489" t="str"/>
      <x:c r="S358" s="489" t="str">
        <x:v>96554829000105</x:v>
      </x:c>
      <x:c r="T358" s="489" t="str">
        <x:v>VALOR DIVERGENTE / COBERTURA DIFERENTE</x:v>
      </x:c>
      <x:c r="U358" s="489" t="str">
        <x:v>Alta</x:v>
      </x:c>
      <x:c r="V358" s="489" t="str">
        <x:v>CNPJ candidato na fonte SIGA: 96554829000105</x:v>
      </x:c>
      <x:c r="W358" s="489" t="str">
        <x:v>Município/localidade encontrado em fonte comparável, mas valor não fecha exatamente</x:v>
      </x:c>
      <x:c r="X358" s="489" t="str">
        <x:v>https://discricionarias.transferegov.sistema.gov.br/voluntarias/ConsultarProposta/ResultadoDaConsultaDeConvenioSelecionarConvenio.do?sequencialConvenio=917382&amp;Usr=guest&amp;Pwd=guest</x:v>
      </x:c>
    </x:row>
    <x:row r="359">
      <x:c r="A359" s="502" t="n">
        <x:v>359</x:v>
      </x:c>
      <x:c r="B359" s="502" t="n">
        <x:v>2021</x:v>
      </x:c>
      <x:c r="C359" s="489" t="str">
        <x:v>Santo Augusto</x:v>
      </x:c>
      <x:c r="D359" s="489" t="str">
        <x:v>Hospital</x:v>
      </x:c>
      <x:c r="E359" s="489" t="str">
        <x:v>Associação Hospitalar Bom Pastor</x:v>
      </x:c>
      <x:c r="F359" s="489" t="str">
        <x:v>41160002</x:v>
      </x:c>
      <x:c r="G359" s="489" t="str">
        <x:v>41160002-2021</x:v>
      </x:c>
      <x:c r="H359" s="489" t="str">
        <x:v>Informado/corrigido a partir do mapa</x:v>
      </x:c>
      <x:c r="I359" s="503" t="n">
        <x:v>219347</x:v>
      </x:c>
      <x:c r="J359" s="503" t="n">
        <x:v>219347</x:v>
      </x:c>
      <x:c r="K359" s="489" t="str">
        <x:v>Emenda individual (processo seletivo)</x:v>
      </x:c>
      <x:c r="L359" s="489" t="str">
        <x:v>Recurso pago</x:v>
      </x:c>
      <x:c r="M359" s="503" t="n">
        <x:v>219347</x:v>
      </x:c>
      <x:c r="N359" s="503" t="n">
        <x:v>219347</x:v>
      </x:c>
      <x:c r="O359" s="503" t="n">
        <x:v>219347</x:v>
      </x:c>
      <x:c r="P359" s="503" t="n">
        <x:v>0</x:v>
      </x:c>
      <x:c r="Q359" s="503" t="n">
        <x:v>0</x:v>
      </x:c>
      <x:c r="R359" s="489" t="str"/>
      <x:c r="S359" s="489" t="str">
        <x:v>90167289000120</x:v>
      </x:c>
      <x:c r="T359" s="489" t="str">
        <x:v>CONFIRMADO</x:v>
      </x:c>
      <x:c r="U359" s="489" t="str">
        <x:v>Baixa</x:v>
      </x:c>
      <x:c r="V359" s="489" t="str">
        <x:v>CNPJ candidato na fonte SIGA: 90167289000120</x:v>
      </x:c>
      <x:c r="W359" s="489" t="str">
        <x:v>Valor do grupo fecha com: SIGA pago favorecido</x:v>
      </x:c>
      <x:c r="X359" s="489" t="str">
        <x:v>https://discricionarias.transferegov.sistema.gov.br/voluntarias/ConsultarProposta/ResultadoDaConsultaDeConvenioSelecionarConvenio.do?sequencialConvenio=914619&amp;Usr=guest&amp;Pwd=guest</x:v>
      </x:c>
    </x:row>
    <x:row r="360">
      <x:c r="A360" s="502" t="n">
        <x:v>360</x:v>
      </x:c>
      <x:c r="B360" s="502" t="n">
        <x:v>2023</x:v>
      </x:c>
      <x:c r="C360" s="489" t="str">
        <x:v>Campo Bom</x:v>
      </x:c>
      <x:c r="D360" s="489" t="str">
        <x:v>Prefeitura</x:v>
      </x:c>
      <x:c r="E360" s="489" t="str">
        <x:v>Prefeitura de Campo Bom</x:v>
      </x:c>
      <x:c r="F360" s="489" t="str"/>
      <x:c r="G360" s="489" t="str"/>
      <x:c r="H360" s="489" t="str">
        <x:v>Sem nº conciliado</x:v>
      </x:c>
      <x:c r="I360" s="503" t="n">
        <x:v>220400</x:v>
      </x:c>
      <x:c r="J360" s="503" t="n">
        <x:v>220400</x:v>
      </x:c>
      <x:c r="K360" s="489" t="str">
        <x:v>Emenda Individual</x:v>
      </x:c>
      <x:c r="L360" s="489" t="str">
        <x:v>Empenhado</x:v>
      </x:c>
      <x:c r="M360" s="503" t="n">
        <x:v>0</x:v>
      </x:c>
      <x:c r="N360" s="503" t="n">
        <x:v>0</x:v>
      </x:c>
      <x:c r="O360" s="503" t="n">
        <x:v>0</x:v>
      </x:c>
      <x:c r="P360" s="503" t="n">
        <x:v>0</x:v>
      </x:c>
      <x:c r="Q360" s="503" t="n">
        <x:v>0</x:v>
      </x:c>
      <x:c r="R360" s="489" t="str"/>
      <x:c r="S360" s="489" t="str"/>
      <x:c r="T360" s="489" t="str">
        <x:v>SEM Nº / NÃO CONCILIADO</x:v>
      </x:c>
      <x:c r="U360" s="489" t="str">
        <x:v>Média</x:v>
      </x:c>
      <x:c r="V360" s="489" t="str"/>
      <x:c r="W360" s="489" t="str"/>
      <x:c r="X360" s="489" t="str"/>
    </x:row>
    <x:row r="361">
      <x:c r="A361" s="502" t="n">
        <x:v>361</x:v>
      </x:c>
      <x:c r="B361" s="502" t="n">
        <x:v>2020</x:v>
      </x:c>
      <x:c r="C361" s="489" t="str">
        <x:v>Vários municípios</x:v>
      </x:c>
      <x:c r="D361" s="489" t="str">
        <x:v>Brigada Militar</x:v>
      </x:c>
      <x:c r="E361" s="489" t="str">
        <x:v>Unidades da Brigada Militar em Porto Alegre e Região Metropolitana.</x:v>
      </x:c>
      <x:c r="F361" s="489" t="str">
        <x:v>41160011</x:v>
      </x:c>
      <x:c r="G361" s="489" t="str">
        <x:v>41160011-2020</x:v>
      </x:c>
      <x:c r="H361" s="489" t="str">
        <x:v>Informado/corrigido a partir do mapa</x:v>
      </x:c>
      <x:c r="I361" s="503" t="n">
        <x:v>224845.32</x:v>
      </x:c>
      <x:c r="J361" s="503" t="n">
        <x:v>530717.3200000001</x:v>
      </x:c>
      <x:c r="K361" s="489" t="str">
        <x:v>Emenda individual</x:v>
      </x:c>
      <x:c r="L361" s="489" t="str">
        <x:v>Pagamento realizado em 25/08/2021. Dos 42 dispositivos elétricos incapacitantes, 23 foram para o Comando de Policiamento Metropolitano e 19 para o Comando de Policiamento da Capital. O valor final da licitação foi de  200.000,00, abaixo dos  224.845,32 reservado pela emenda para a compra dos equipamentos</x:v>
      </x:c>
      <x:c r="M361" s="503" t="n">
        <x:v>0</x:v>
      </x:c>
      <x:c r="N361" s="503" t="n">
        <x:v>0</x:v>
      </x:c>
      <x:c r="O361" s="503" t="n">
        <x:v>0</x:v>
      </x:c>
      <x:c r="P361" s="503" t="n">
        <x:v>0</x:v>
      </x:c>
      <x:c r="Q361" s="503" t="n">
        <x:v>0</x:v>
      </x:c>
      <x:c r="R361" s="489" t="str"/>
      <x:c r="S361" s="489" t="str"/>
      <x:c r="T361" s="489" t="str">
        <x:v>EMENDA CONFIRMADA; DESTINO NÃO CONFIRMADO</x:v>
      </x:c>
      <x:c r="U361" s="489" t="str">
        <x:v>Média</x:v>
      </x:c>
      <x:c r="V361" s="489" t="str"/>
      <x:c r="W361" s="489" t="str">
        <x:v>Nº existe no SIGA; destinatário específico não foi confirmado nas bases anexas</x:v>
      </x:c>
      <x:c r="X361" s="489" t="str"/>
    </x:row>
    <x:row r="362">
      <x:c r="A362" s="502" t="n">
        <x:v>362</x:v>
      </x:c>
      <x:c r="B362" s="502" t="n">
        <x:v>2025</x:v>
      </x:c>
      <x:c r="C362" s="489" t="str">
        <x:v>Santo Cristo</x:v>
      </x:c>
      <x:c r="D362" s="489" t="str">
        <x:v>Associacao Hospital De Caridade De Santo Cristo Santo Cristo - Rs</x:v>
      </x:c>
      <x:c r="E362" s="489" t="str">
        <x:v>Associacao Hospital De Caridade De Santo Cristo Santo Cristo - Rs</x:v>
      </x:c>
      <x:c r="F362" s="489" t="str">
        <x:v>41160004</x:v>
      </x:c>
      <x:c r="G362" s="489" t="str">
        <x:v>41160004-2025</x:v>
      </x:c>
      <x:c r="H362" s="489" t="str">
        <x:v>Informado/corrigido a partir do mapa</x:v>
      </x:c>
      <x:c r="I362" s="503" t="n">
        <x:v>225000</x:v>
      </x:c>
      <x:c r="J362" s="503" t="n">
        <x:v>225000</x:v>
      </x:c>
      <x:c r="K362" s="489" t="str">
        <x:v>Emenda Individual</x:v>
      </x:c>
      <x:c r="L362" s="489"/>
      <x:c r="M362" s="503" t="n">
        <x:v>0</x:v>
      </x:c>
      <x:c r="N362" s="503" t="n">
        <x:v>225000</x:v>
      </x:c>
      <x:c r="O362" s="503" t="n">
        <x:v>0</x:v>
      </x:c>
      <x:c r="P362" s="503" t="n">
        <x:v>0</x:v>
      </x:c>
      <x:c r="Q362" s="503" t="n">
        <x:v>0</x:v>
      </x:c>
      <x:c r="R362" s="489" t="str"/>
      <x:c r="S362" s="489" t="str"/>
      <x:c r="T362" s="489" t="str">
        <x:v>DESTINO/INSTRUMENTO CONFIRMADO; VALOR NÃO COMPARÁVEL</x:v>
      </x:c>
      <x:c r="U362" s="489" t="str">
        <x:v>Média</x:v>
      </x:c>
      <x:c r="V362" s="489" t="str"/>
      <x:c r="W362" s="489" t="str">
        <x:v>Há instrumento do Transferegov para a emenda/município; valores do instrumento não foram usados como prova do valor da emenda</x:v>
      </x:c>
      <x:c r="X362" s="489" t="str">
        <x:v>https://discricionarias.transferegov.sistema.gov.br/voluntarias/ConsultarProposta/ResultadoDaConsultaDeConvenioSelecionarConvenio.do?sequencialConvenio=988645&amp;Usr=guest&amp;Pwd=guest</x:v>
      </x:c>
    </x:row>
    <x:row r="363">
      <x:c r="A363" s="502" t="n">
        <x:v>363</x:v>
      </x:c>
      <x:c r="B363" s="502" t="n">
        <x:v>2025</x:v>
      </x:c>
      <x:c r="C363" s="489" t="str">
        <x:v>Cerro Branco</x:v>
      </x:c>
      <x:c r="D363" s="489" t="str">
        <x:v>Cerro Branco Fundo Municipal De Saude Cerro Branco - Rs</x:v>
      </x:c>
      <x:c r="E363" s="489" t="str">
        <x:v>Prefeitura Municipal</x:v>
      </x:c>
      <x:c r="F363" s="489" t="str">
        <x:v>41160003</x:v>
      </x:c>
      <x:c r="G363" s="489" t="str">
        <x:v>41160003-2025</x:v>
      </x:c>
      <x:c r="H363" s="489" t="str">
        <x:v>Informado/corrigido a partir do mapa</x:v>
      </x:c>
      <x:c r="I363" s="503" t="n">
        <x:v>226169</x:v>
      </x:c>
      <x:c r="J363" s="503" t="n">
        <x:v>226169</x:v>
      </x:c>
      <x:c r="K363" s="489" t="str">
        <x:v>Emenda Individual</x:v>
      </x:c>
      <x:c r="L363" s="489"/>
      <x:c r="M363" s="503" t="n">
        <x:v>225992</x:v>
      </x:c>
      <x:c r="N363" s="503" t="n">
        <x:v>0</x:v>
      </x:c>
      <x:c r="O363" s="503" t="n">
        <x:v>0</x:v>
      </x:c>
      <x:c r="P363" s="503" t="n">
        <x:v>0</x:v>
      </x:c>
      <x:c r="Q363" s="503" t="n">
        <x:v>0</x:v>
      </x:c>
      <x:c r="R363" s="489" t="str"/>
      <x:c r="S363" s="489" t="str">
        <x:v>12137715000170</x:v>
      </x:c>
      <x:c r="T363" s="489" t="str">
        <x:v>CONFIRMADO</x:v>
      </x:c>
      <x:c r="U363" s="489" t="str">
        <x:v>Baixa</x:v>
      </x:c>
      <x:c r="V363" s="489" t="str">
        <x:v>Preencher situação: há pagamento identificado na fonte pública</x:v>
      </x:c>
      <x:c r="W363" s="489" t="str">
        <x:v>Valor do grupo fecha com: SIGA pago favorecido</x:v>
      </x:c>
      <x:c r="X363" s="489" t="str"/>
    </x:row>
    <x:row r="364">
      <x:c r="A364" s="502" t="n">
        <x:v>364</x:v>
      </x:c>
      <x:c r="B364" s="502" t="n">
        <x:v>2024</x:v>
      </x:c>
      <x:c r="C364" s="489" t="str">
        <x:v>Cotiporã</x:v>
      </x:c>
      <x:c r="D364" s="489" t="str">
        <x:v>Prefeitura Municipal de Cotiporã</x:v>
      </x:c>
      <x:c r="E364" s="489" t="str">
        <x:v>Prefeitura Municipal</x:v>
      </x:c>
      <x:c r="F364" s="489" t="str">
        <x:v>41160001</x:v>
      </x:c>
      <x:c r="G364" s="489" t="str">
        <x:v>41160001-2024</x:v>
      </x:c>
      <x:c r="H364" s="489" t="str">
        <x:v>Informado/corrigido a partir do mapa</x:v>
      </x:c>
      <x:c r="I364" s="503" t="n">
        <x:v>226199</x:v>
      </x:c>
      <x:c r="J364" s="503" t="n">
        <x:v>226199</x:v>
      </x:c>
      <x:c r="K364" s="489" t="str">
        <x:v>Emenda Individual</x:v>
      </x:c>
      <x:c r="L364" s="489"/>
      <x:c r="M364" s="503" t="n">
        <x:v>226199</x:v>
      </x:c>
      <x:c r="N364" s="503" t="n">
        <x:v>0</x:v>
      </x:c>
      <x:c r="O364" s="503" t="n">
        <x:v>0</x:v>
      </x:c>
      <x:c r="P364" s="503" t="n">
        <x:v>0</x:v>
      </x:c>
      <x:c r="Q364" s="503" t="n">
        <x:v>0</x:v>
      </x:c>
      <x:c r="R364" s="489" t="str"/>
      <x:c r="S364" s="489" t="str">
        <x:v>11763357000148</x:v>
      </x:c>
      <x:c r="T364" s="489" t="str">
        <x:v>CONFIRMADO</x:v>
      </x:c>
      <x:c r="U364" s="489" t="str">
        <x:v>Baixa</x:v>
      </x:c>
      <x:c r="V364" s="489" t="str">
        <x:v>Preencher situação: há pagamento identificado na fonte pública; CNPJ candidato na fonte SIGA: 11763357000148</x:v>
      </x:c>
      <x:c r="W364" s="489" t="str">
        <x:v>Valor do grupo fecha com: SIGA pago favorecido</x:v>
      </x:c>
      <x:c r="X364" s="489" t="str"/>
    </x:row>
    <x:row r="365">
      <x:c r="A365" s="502" t="n">
        <x:v>365</x:v>
      </x:c>
      <x:c r="B365" s="502" t="n">
        <x:v>2025</x:v>
      </x:c>
      <x:c r="C365" s="489" t="str">
        <x:v>Sapucaia do Sul</x:v>
      </x:c>
      <x:c r="D365" s="489" t="str">
        <x:v>Fundo Municipal De Saude Sapucaia Do Sul - Rs</x:v>
      </x:c>
      <x:c r="E365" s="489" t="str">
        <x:v>Prefeitura Municipal</x:v>
      </x:c>
      <x:c r="F365" s="489" t="str">
        <x:v>41160004</x:v>
      </x:c>
      <x:c r="G365" s="489" t="str">
        <x:v>41160004-2025</x:v>
      </x:c>
      <x:c r="H365" s="489" t="str">
        <x:v>Informado/corrigido a partir do mapa</x:v>
      </x:c>
      <x:c r="I365" s="503" t="n">
        <x:v>230000</x:v>
      </x:c>
      <x:c r="J365" s="503" t="n">
        <x:v>230000</x:v>
      </x:c>
      <x:c r="K365" s="489" t="str">
        <x:v>Emenda Individual</x:v>
      </x:c>
      <x:c r="L365" s="489"/>
      <x:c r="M365" s="503" t="n">
        <x:v>229996</x:v>
      </x:c>
      <x:c r="N365" s="503" t="n">
        <x:v>0</x:v>
      </x:c>
      <x:c r="O365" s="503" t="n">
        <x:v>0</x:v>
      </x:c>
      <x:c r="P365" s="503" t="n">
        <x:v>0</x:v>
      </x:c>
      <x:c r="Q365" s="503" t="n">
        <x:v>0</x:v>
      </x:c>
      <x:c r="R365" s="489" t="str"/>
      <x:c r="S365" s="489" t="str">
        <x:v>11413810000196</x:v>
      </x:c>
      <x:c r="T365" s="489" t="str">
        <x:v>CONFIRMADO</x:v>
      </x:c>
      <x:c r="U365" s="489" t="str">
        <x:v>Baixa</x:v>
      </x:c>
      <x:c r="V365" s="489" t="str">
        <x:v>Preencher situação: há pagamento identificado na fonte pública</x:v>
      </x:c>
      <x:c r="W365" s="489" t="str">
        <x:v>Valor do grupo fecha com: SIGA pago favorecido</x:v>
      </x:c>
      <x:c r="X365" s="489" t="str"/>
    </x:row>
    <x:row r="366">
      <x:c r="A366" s="502" t="n">
        <x:v>366</x:v>
      </x:c>
      <x:c r="B366" s="502" t="n">
        <x:v>2022</x:v>
      </x:c>
      <x:c r="C366" s="489" t="str">
        <x:v>Alvorada</x:v>
      </x:c>
      <x:c r="D366" s="489" t="str">
        <x:v>Secretaria de Segurança Pública</x:v>
      </x:c>
      <x:c r="E366" s="489" t="str">
        <x:v>Brigada Militar</x:v>
      </x:c>
      <x:c r="F366" s="489" t="str">
        <x:v>41160001</x:v>
      </x:c>
      <x:c r="G366" s="489" t="str">
        <x:v>41160001-2022</x:v>
      </x:c>
      <x:c r="H366" s="489" t="str">
        <x:v>Informado/corrigido a partir do mapa</x:v>
      </x:c>
      <x:c r="I366" s="503" t="n">
        <x:v>234954.25</x:v>
      </x:c>
      <x:c r="J366" s="503" t="n">
        <x:v>234954.25</x:v>
      </x:c>
      <x:c r="K366" s="489" t="str">
        <x:v>Emenda Individual </x:v>
      </x:c>
      <x:c r="L366" s="489" t="str">
        <x:v>Empenhado</x:v>
      </x:c>
      <x:c r="M366" s="503" t="n">
        <x:v>0</x:v>
      </x:c>
      <x:c r="N366" s="503" t="n">
        <x:v>0</x:v>
      </x:c>
      <x:c r="O366" s="503" t="n">
        <x:v>0</x:v>
      </x:c>
      <x:c r="P366" s="503" t="n">
        <x:v>0</x:v>
      </x:c>
      <x:c r="Q366" s="503" t="n">
        <x:v>0</x:v>
      </x:c>
      <x:c r="R366" s="489" t="str"/>
      <x:c r="S366" s="489" t="str"/>
      <x:c r="T366" s="489" t="str">
        <x:v>EMENDA CONFIRMADA; DESTINO NÃO CONFIRMADO</x:v>
      </x:c>
      <x:c r="U366" s="489" t="str">
        <x:v>Média</x:v>
      </x:c>
      <x:c r="V366" s="489" t="str"/>
      <x:c r="W366" s="489" t="str">
        <x:v>Nº existe no SIGA; destinatário específico não foi confirmado nas bases anexas</x:v>
      </x:c>
      <x:c r="X366" s="489" t="str"/>
    </x:row>
    <x:row r="367">
      <x:c r="A367" s="502" t="n">
        <x:v>367</x:v>
      </x:c>
      <x:c r="B367" s="502" t="n">
        <x:v>2022</x:v>
      </x:c>
      <x:c r="C367" s="489" t="str">
        <x:v>Canoas</x:v>
      </x:c>
      <x:c r="D367" s="489" t="str">
        <x:v>Secretaria de Segurança Pública</x:v>
      </x:c>
      <x:c r="E367" s="489" t="str">
        <x:v>8º Batalhão de Bombeiro Militar</x:v>
      </x:c>
      <x:c r="F367" s="489" t="str">
        <x:v>41160001</x:v>
      </x:c>
      <x:c r="G367" s="489" t="str">
        <x:v>41160001-2022</x:v>
      </x:c>
      <x:c r="H367" s="489" t="str">
        <x:v>Informado/corrigido a partir do mapa</x:v>
      </x:c>
      <x:c r="I367" s="503" t="n">
        <x:v>234954.25</x:v>
      </x:c>
      <x:c r="J367" s="503" t="n">
        <x:v>234954.25</x:v>
      </x:c>
      <x:c r="K367" s="489" t="str">
        <x:v>Emenda Individual </x:v>
      </x:c>
      <x:c r="L367" s="489" t="str">
        <x:v>Recurso pago</x:v>
      </x:c>
      <x:c r="M367" s="503" t="n">
        <x:v>0</x:v>
      </x:c>
      <x:c r="N367" s="503" t="n">
        <x:v>0</x:v>
      </x:c>
      <x:c r="O367" s="503" t="n">
        <x:v>0</x:v>
      </x:c>
      <x:c r="P367" s="503" t="n">
        <x:v>0</x:v>
      </x:c>
      <x:c r="Q367" s="503" t="n">
        <x:v>0</x:v>
      </x:c>
      <x:c r="R367" s="489" t="str"/>
      <x:c r="S367" s="489" t="str"/>
      <x:c r="T367" s="489" t="str">
        <x:v>EMENDA CONFIRMADA; DESTINO NÃO CONFIRMADO</x:v>
      </x:c>
      <x:c r="U367" s="489" t="str">
        <x:v>Média</x:v>
      </x:c>
      <x:c r="V367" s="489" t="str"/>
      <x:c r="W367" s="489" t="str">
        <x:v>Nº existe no SIGA; destinatário específico não foi confirmado nas bases anexas</x:v>
      </x:c>
      <x:c r="X367" s="489" t="str"/>
    </x:row>
    <x:row r="368">
      <x:c r="A368" s="502" t="n">
        <x:v>368</x:v>
      </x:c>
      <x:c r="B368" s="502" t="n">
        <x:v>2022</x:v>
      </x:c>
      <x:c r="C368" s="489" t="str">
        <x:v>Gravataí</x:v>
      </x:c>
      <x:c r="D368" s="489" t="str">
        <x:v>Secretaria de Segurança Pública</x:v>
      </x:c>
      <x:c r="E368" s="489" t="str">
        <x:v>Polícia Civil</x:v>
      </x:c>
      <x:c r="F368" s="489" t="str">
        <x:v>41160001</x:v>
      </x:c>
      <x:c r="G368" s="489" t="str">
        <x:v>41160001-2022</x:v>
      </x:c>
      <x:c r="H368" s="489" t="str">
        <x:v>Informado/corrigido a partir do mapa</x:v>
      </x:c>
      <x:c r="I368" s="503" t="n">
        <x:v>234954.25</x:v>
      </x:c>
      <x:c r="J368" s="503" t="n">
        <x:v>234954.25</x:v>
      </x:c>
      <x:c r="K368" s="489" t="str">
        <x:v>Emenda Individual </x:v>
      </x:c>
      <x:c r="L368" s="489" t="str">
        <x:v>Recurso pago</x:v>
      </x:c>
      <x:c r="M368" s="503" t="n">
        <x:v>0</x:v>
      </x:c>
      <x:c r="N368" s="503" t="n">
        <x:v>0</x:v>
      </x:c>
      <x:c r="O368" s="503" t="n">
        <x:v>0</x:v>
      </x:c>
      <x:c r="P368" s="503" t="n">
        <x:v>0</x:v>
      </x:c>
      <x:c r="Q368" s="503" t="n">
        <x:v>0</x:v>
      </x:c>
      <x:c r="R368" s="489" t="str"/>
      <x:c r="S368" s="489" t="str"/>
      <x:c r="T368" s="489" t="str">
        <x:v>EMENDA CONFIRMADA; DESTINO NÃO CONFIRMADO</x:v>
      </x:c>
      <x:c r="U368" s="489" t="str">
        <x:v>Média</x:v>
      </x:c>
      <x:c r="V368" s="489" t="str"/>
      <x:c r="W368" s="489" t="str">
        <x:v>Nº existe no SIGA; destinatário específico não foi confirmado nas bases anexas</x:v>
      </x:c>
      <x:c r="X368" s="489" t="str"/>
    </x:row>
    <x:row r="369">
      <x:c r="A369" s="502" t="n">
        <x:v>369</x:v>
      </x:c>
      <x:c r="B369" s="502" t="n">
        <x:v>2022</x:v>
      </x:c>
      <x:c r="C369" s="489" t="str">
        <x:v>Porto Alegre</x:v>
      </x:c>
      <x:c r="D369" s="489" t="str">
        <x:v>Secretaria de Segurança Pública</x:v>
      </x:c>
      <x:c r="E369" s="489" t="str">
        <x:v>Polícia Civil</x:v>
      </x:c>
      <x:c r="F369" s="489" t="str">
        <x:v>41160001</x:v>
      </x:c>
      <x:c r="G369" s="489" t="str">
        <x:v>41160001-2022</x:v>
      </x:c>
      <x:c r="H369" s="489" t="str">
        <x:v>Informado/corrigido a partir do mapa</x:v>
      </x:c>
      <x:c r="I369" s="503" t="n">
        <x:v>234954.25</x:v>
      </x:c>
      <x:c r="J369" s="503" t="n">
        <x:v>469908.5</x:v>
      </x:c>
      <x:c r="K369" s="489" t="str">
        <x:v>Emenda Individual </x:v>
      </x:c>
      <x:c r="L369" s="489" t="str">
        <x:v>Empenhado</x:v>
      </x:c>
      <x:c r="M369" s="503" t="n">
        <x:v>3029397.78</x:v>
      </x:c>
      <x:c r="N369" s="503" t="n">
        <x:v>2409622.7</x:v>
      </x:c>
      <x:c r="O369" s="503" t="n">
        <x:v>3029397.7800000003</x:v>
      </x:c>
      <x:c r="P369" s="503" t="n">
        <x:v>0</x:v>
      </x:c>
      <x:c r="Q369" s="503" t="n">
        <x:v>0</x:v>
      </x:c>
      <x:c r="R369" s="489" t="str"/>
      <x:c r="S369" s="489" t="str">
        <x:v>87958583000146</x:v>
      </x:c>
      <x:c r="T369" s="489" t="str">
        <x:v>VALOR DIVERGENTE / COBERTURA DIFERENTE</x:v>
      </x:c>
      <x:c r="U369" s="489" t="str">
        <x:v>Alta</x:v>
      </x:c>
      <x:c r="V369" s="489" t="str">
        <x:v>Situação possivelmente desatualizada: SIGA/execução regionalizada mostra pagamento; CNPJ candidato na fonte SIGA: 87958583000146</x:v>
      </x:c>
      <x:c r="W369" s="489" t="str">
        <x:v>Município/localidade encontrado em fonte comparável, mas valor não fecha exatamente</x:v>
      </x:c>
      <x:c r="X369" s="489" t="str">
        <x:v>https://discricionarias.transferegov.sistema.gov.br/voluntarias/ConsultarProposta/ResultadoDaConsultaDeConvenioSelecionarConvenio.do?sequencialConvenio=935332&amp;Usr=guest&amp;Pwd=guest | https://discricionarias.transferegov.sistema.gov.br/voluntarias/ConsultarProposta/ResultadoDaConsultaDeConvenioSelecionarConvenio.do?sequencialConvenio=935331&amp;Usr=guest&amp;Pwd=guest</x:v>
      </x:c>
    </x:row>
    <x:row r="370">
      <x:c r="A370" s="502" t="n">
        <x:v>370</x:v>
      </x:c>
      <x:c r="B370" s="502" t="n">
        <x:v>2022</x:v>
      </x:c>
      <x:c r="C370" s="489" t="str">
        <x:v>Porto Alegre</x:v>
      </x:c>
      <x:c r="D370" s="489" t="str">
        <x:v>Secretaria de Segurança Pública</x:v>
      </x:c>
      <x:c r="E370" s="489" t="str">
        <x:v>1º Batalhão de Bombeiro Militar</x:v>
      </x:c>
      <x:c r="F370" s="489" t="str">
        <x:v>41160001</x:v>
      </x:c>
      <x:c r="G370" s="489" t="str">
        <x:v>41160001-2022</x:v>
      </x:c>
      <x:c r="H370" s="489" t="str">
        <x:v>Informado/corrigido a partir do mapa</x:v>
      </x:c>
      <x:c r="I370" s="503" t="n">
        <x:v>234954.25</x:v>
      </x:c>
      <x:c r="J370" s="503" t="n">
        <x:v>469908.5</x:v>
      </x:c>
      <x:c r="K370" s="489" t="str">
        <x:v>Emenda Individual </x:v>
      </x:c>
      <x:c r="L370" s="489" t="str">
        <x:v>Empenhado</x:v>
      </x:c>
      <x:c r="M370" s="503" t="n">
        <x:v>3029397.78</x:v>
      </x:c>
      <x:c r="N370" s="503" t="n">
        <x:v>2409622.7</x:v>
      </x:c>
      <x:c r="O370" s="503" t="n">
        <x:v>3029397.7800000003</x:v>
      </x:c>
      <x:c r="P370" s="503" t="n">
        <x:v>0</x:v>
      </x:c>
      <x:c r="Q370" s="503" t="n">
        <x:v>0</x:v>
      </x:c>
      <x:c r="R370" s="489" t="str"/>
      <x:c r="S370" s="489" t="str">
        <x:v>87958583000146</x:v>
      </x:c>
      <x:c r="T370" s="489" t="str">
        <x:v>VALOR DIVERGENTE / COBERTURA DIFERENTE</x:v>
      </x:c>
      <x:c r="U370" s="489" t="str">
        <x:v>Alta</x:v>
      </x:c>
      <x:c r="V370" s="489" t="str">
        <x:v>Situação possivelmente desatualizada: SIGA/execução regionalizada mostra pagamento; CNPJ candidato na fonte SIGA: 87958583000146</x:v>
      </x:c>
      <x:c r="W370" s="489" t="str">
        <x:v>Município/localidade encontrado em fonte comparável, mas valor não fecha exatamente</x:v>
      </x:c>
      <x:c r="X370" s="489" t="str">
        <x:v>https://discricionarias.transferegov.sistema.gov.br/voluntarias/ConsultarProposta/ResultadoDaConsultaDeConvenioSelecionarConvenio.do?sequencialConvenio=935332&amp;Usr=guest&amp;Pwd=guest | https://discricionarias.transferegov.sistema.gov.br/voluntarias/ConsultarProposta/ResultadoDaConsultaDeConvenioSelecionarConvenio.do?sequencialConvenio=935331&amp;Usr=guest&amp;Pwd=guest</x:v>
      </x:c>
    </x:row>
    <x:row r="371">
      <x:c r="A371" s="502" t="n">
        <x:v>371</x:v>
      </x:c>
      <x:c r="B371" s="502" t="n">
        <x:v>2022</x:v>
      </x:c>
      <x:c r="C371" s="489" t="str">
        <x:v>São Leopoldo</x:v>
      </x:c>
      <x:c r="D371" s="489" t="str">
        <x:v>Secretaria de Segurança Pública</x:v>
      </x:c>
      <x:c r="E371" s="489" t="str">
        <x:v>2º Batalhão de Bombeiro Militar</x:v>
      </x:c>
      <x:c r="F371" s="489" t="str">
        <x:v>41160001</x:v>
      </x:c>
      <x:c r="G371" s="489" t="str">
        <x:v>41160001-2022</x:v>
      </x:c>
      <x:c r="H371" s="489" t="str">
        <x:v>Informado/corrigido a partir do mapa</x:v>
      </x:c>
      <x:c r="I371" s="503" t="n">
        <x:v>234954.25</x:v>
      </x:c>
      <x:c r="J371" s="503" t="n">
        <x:v>234954.25</x:v>
      </x:c>
      <x:c r="K371" s="489" t="str">
        <x:v>Emenda Individual </x:v>
      </x:c>
      <x:c r="L371" s="489" t="str">
        <x:v>Recurso pago</x:v>
      </x:c>
      <x:c r="M371" s="503" t="n">
        <x:v>0</x:v>
      </x:c>
      <x:c r="N371" s="503" t="n">
        <x:v>0</x:v>
      </x:c>
      <x:c r="O371" s="503" t="n">
        <x:v>0</x:v>
      </x:c>
      <x:c r="P371" s="503" t="n">
        <x:v>0</x:v>
      </x:c>
      <x:c r="Q371" s="503" t="n">
        <x:v>0</x:v>
      </x:c>
      <x:c r="R371" s="489" t="str"/>
      <x:c r="S371" s="489" t="str"/>
      <x:c r="T371" s="489" t="str">
        <x:v>EMENDA CONFIRMADA; DESTINO NÃO CONFIRMADO</x:v>
      </x:c>
      <x:c r="U371" s="489" t="str">
        <x:v>Média</x:v>
      </x:c>
      <x:c r="V371" s="489" t="str"/>
      <x:c r="W371" s="489" t="str">
        <x:v>Nº existe no SIGA; destinatário específico não foi confirmado nas bases anexas</x:v>
      </x:c>
      <x:c r="X371" s="489" t="str"/>
    </x:row>
    <x:row r="372">
      <x:c r="A372" s="502" t="n">
        <x:v>372</x:v>
      </x:c>
      <x:c r="B372" s="502" t="n">
        <x:v>2022</x:v>
      </x:c>
      <x:c r="C372" s="489" t="str">
        <x:v>Viamão</x:v>
      </x:c>
      <x:c r="D372" s="489" t="str">
        <x:v>Brigada Militar</x:v>
      </x:c>
      <x:c r="E372" s="489" t="str">
        <x:v>Secretaria de Segurança Pública</x:v>
      </x:c>
      <x:c r="F372" s="489" t="str">
        <x:v>41160001</x:v>
      </x:c>
      <x:c r="G372" s="489" t="str">
        <x:v>41160001-2022</x:v>
      </x:c>
      <x:c r="H372" s="489" t="str">
        <x:v>Informado/corrigido a partir do mapa</x:v>
      </x:c>
      <x:c r="I372" s="503" t="n">
        <x:v>234954.25</x:v>
      </x:c>
      <x:c r="J372" s="503" t="n">
        <x:v>234954.25</x:v>
      </x:c>
      <x:c r="K372" s="489" t="str">
        <x:v>Emenda individual </x:v>
      </x:c>
      <x:c r="L372" s="489" t="str">
        <x:v>Indicado</x:v>
      </x:c>
      <x:c r="M372" s="503" t="n">
        <x:v>0</x:v>
      </x:c>
      <x:c r="N372" s="503" t="n">
        <x:v>0</x:v>
      </x:c>
      <x:c r="O372" s="503" t="n">
        <x:v>0</x:v>
      </x:c>
      <x:c r="P372" s="503" t="n">
        <x:v>0</x:v>
      </x:c>
      <x:c r="Q372" s="503" t="n">
        <x:v>0</x:v>
      </x:c>
      <x:c r="R372" s="489" t="str"/>
      <x:c r="S372" s="489" t="str"/>
      <x:c r="T372" s="489" t="str">
        <x:v>EMENDA CONFIRMADA; DESTINO NÃO CONFIRMADO</x:v>
      </x:c>
      <x:c r="U372" s="489" t="str">
        <x:v>Média</x:v>
      </x:c>
      <x:c r="V372" s="489" t="str"/>
      <x:c r="W372" s="489" t="str">
        <x:v>Nº existe no SIGA; destinatário específico não foi confirmado nas bases anexas</x:v>
      </x:c>
      <x:c r="X372" s="489" t="str"/>
    </x:row>
    <x:row r="373">
      <x:c r="A373" s="502" t="n">
        <x:v>373</x:v>
      </x:c>
      <x:c r="B373" s="502" t="n">
        <x:v>2023</x:v>
      </x:c>
      <x:c r="C373" s="489" t="str">
        <x:v>Santa Maria do Herval</x:v>
      </x:c>
      <x:c r="D373" s="489" t="str">
        <x:v>Prefeitura</x:v>
      </x:c>
      <x:c r="E373" s="489" t="str">
        <x:v>Prefeitura de Santa Maria do Herval</x:v>
      </x:c>
      <x:c r="F373" s="489" t="str">
        <x:v>41160001</x:v>
      </x:c>
      <x:c r="G373" s="489" t="str">
        <x:v>41160001-2023</x:v>
      </x:c>
      <x:c r="H373" s="489" t="str">
        <x:v>Informado/corrigido a partir do mapa</x:v>
      </x:c>
      <x:c r="I373" s="503" t="n">
        <x:v>235000</x:v>
      </x:c>
      <x:c r="J373" s="503" t="n">
        <x:v>235000</x:v>
      </x:c>
      <x:c r="K373" s="489" t="str">
        <x:v>Emenda Individual</x:v>
      </x:c>
      <x:c r="L373" s="489" t="str">
        <x:v>Empenhado</x:v>
      </x:c>
      <x:c r="M373" s="503" t="n">
        <x:v>235000</x:v>
      </x:c>
      <x:c r="N373" s="503" t="n">
        <x:v>0</x:v>
      </x:c>
      <x:c r="O373" s="503" t="n">
        <x:v>0</x:v>
      </x:c>
      <x:c r="P373" s="503" t="n">
        <x:v>235000</x:v>
      </x:c>
      <x:c r="Q373" s="503" t="n">
        <x:v>0</x:v>
      </x:c>
      <x:c r="R373" s="489" t="str">
        <x:v>CIENTE</x:v>
      </x:c>
      <x:c r="S373" s="489" t="str">
        <x:v>91995373000103</x:v>
      </x:c>
      <x:c r="T373" s="489" t="str">
        <x:v>CONFIRMADO</x:v>
      </x:c>
      <x:c r="U373" s="489" t="str">
        <x:v>Baixa</x:v>
      </x:c>
      <x:c r="V373" s="489" t="str">
        <x:v>Situação possivelmente desatualizada: SIGA/execução regionalizada mostra pagamento; CNPJ candidato na fonte SIGA: 91995373000103</x:v>
      </x:c>
      <x:c r="W373" s="489" t="str">
        <x:v>Valor do grupo fecha com: SIGA pago favorecido, PIX atual</x:v>
      </x:c>
      <x:c r="X373" s="489" t="str">
        <x:v>https://especiais.transferegov.sistema.gov.br/transferencia-especial/plano-acao/detalhe/38362/dados-basicos</x:v>
      </x:c>
    </x:row>
    <x:row r="374">
      <x:c r="A374" s="502" t="n">
        <x:v>374</x:v>
      </x:c>
      <x:c r="B374" s="502" t="n">
        <x:v>2021</x:v>
      </x:c>
      <x:c r="C374" s="489" t="str">
        <x:v>Nova Pádua</x:v>
      </x:c>
      <x:c r="D374" s="489" t="str">
        <x:v>Município</x:v>
      </x:c>
      <x:c r="E374" s="489" t="str">
        <x:v>Prefeitura Municipal</x:v>
      </x:c>
      <x:c r="F374" s="489" t="str">
        <x:v>41160004</x:v>
      </x:c>
      <x:c r="G374" s="489" t="str">
        <x:v>41160004-2021</x:v>
      </x:c>
      <x:c r="H374" s="489" t="str">
        <x:v>Informado/corrigido a partir do mapa</x:v>
      </x:c>
      <x:c r="I374" s="503" t="n">
        <x:v>238856</x:v>
      </x:c>
      <x:c r="J374" s="503" t="n">
        <x:v>238856</x:v>
      </x:c>
      <x:c r="K374" s="489" t="str">
        <x:v>Emenda Individual (processo seletivo)</x:v>
      </x:c>
      <x:c r="L374" s="489" t="str">
        <x:v>Recurso pago</x:v>
      </x:c>
      <x:c r="M374" s="503" t="n">
        <x:v>238856</x:v>
      </x:c>
      <x:c r="N374" s="503" t="n">
        <x:v>238856</x:v>
      </x:c>
      <x:c r="O374" s="503" t="n">
        <x:v>238856</x:v>
      </x:c>
      <x:c r="P374" s="503" t="n">
        <x:v>0</x:v>
      </x:c>
      <x:c r="Q374" s="503" t="n">
        <x:v>0</x:v>
      </x:c>
      <x:c r="R374" s="489" t="str"/>
      <x:c r="S374" s="489" t="str">
        <x:v>92871532000112</x:v>
      </x:c>
      <x:c r="T374" s="489" t="str">
        <x:v>CONFIRMADO</x:v>
      </x:c>
      <x:c r="U374" s="489" t="str">
        <x:v>Baixa</x:v>
      </x:c>
      <x:c r="V374" s="489" t="str">
        <x:v>CNPJ candidato na fonte SIGA: 92871532000112</x:v>
      </x:c>
      <x:c r="W374" s="489" t="str">
        <x:v>Valor do grupo fecha com: SIGA pago favorecido</x:v>
      </x:c>
      <x:c r="X374" s="489" t="str">
        <x:v>https://discricionarias.transferegov.sistema.gov.br/voluntarias/ConsultarProposta/ResultadoDaConsultaDeConvenioSelecionarConvenio.do?sequencialConvenio=917430&amp;Usr=guest&amp;Pwd=guest</x:v>
      </x:c>
    </x:row>
    <x:row r="375">
      <x:c r="A375" s="502" t="n">
        <x:v>375</x:v>
      </x:c>
      <x:c r="B375" s="502" t="n">
        <x:v>2023</x:v>
      </x:c>
      <x:c r="C375" s="489" t="str">
        <x:v>Três Coroas</x:v>
      </x:c>
      <x:c r="D375" s="489" t="str">
        <x:v>Hospital</x:v>
      </x:c>
      <x:c r="E375" s="489" t="str">
        <x:v>Hospital Dr. Oswaldo Diesel</x:v>
      </x:c>
      <x:c r="F375" s="489" t="str"/>
      <x:c r="G375" s="489" t="str">
        <x:v>41160007-2023</x:v>
      </x:c>
      <x:c r="H375" s="489" t="str">
        <x:v>Candidato — revisar (Transferegov)</x:v>
      </x:c>
      <x:c r="I375" s="503" t="n">
        <x:v>240000</x:v>
      </x:c>
      <x:c r="J375" s="503" t="n">
        <x:v>240000</x:v>
      </x:c>
      <x:c r="K375" s="489" t="str">
        <x:v>Emenda Individual</x:v>
      </x:c>
      <x:c r="L375" s="489" t="str">
        <x:v>Empenhado</x:v>
      </x:c>
      <x:c r="M375" s="503" t="n">
        <x:v>228000</x:v>
      </x:c>
      <x:c r="N375" s="503" t="n">
        <x:v>240000</x:v>
      </x:c>
      <x:c r="O375" s="503" t="n">
        <x:v>228000</x:v>
      </x:c>
      <x:c r="P375" s="503" t="n">
        <x:v>0</x:v>
      </x:c>
      <x:c r="Q375" s="503" t="n">
        <x:v>0</x:v>
      </x:c>
      <x:c r="R375" s="489" t="str"/>
      <x:c r="S375" s="489" t="str">
        <x:v>90936774000111</x:v>
      </x:c>
      <x:c r="T375" s="489" t="str">
        <x:v>VALOR DIVERGENTE / COBERTURA DIFERENTE</x:v>
      </x:c>
      <x:c r="U375" s="489" t="str">
        <x:v>Média</x:v>
      </x:c>
      <x:c r="V375" s="489" t="str">
        <x:v>Candidato de nº: 41160007; validar antes de preencher (Transferegov pode trazer valor total do instrumento); Situação possivelmente desatualizada: SIGA/execução regionalizada mostra pagamento; CNPJ candidato na fonte SIGA: 90936774000111</x:v>
      </x:c>
      <x:c r="W375" s="489" t="str">
        <x:v>nº ausente; inferido por coincidência exata de cidade e valor em Transferegov; Município/localidade encontrado em fonte comparável, mas valor não fecha exatamente</x:v>
      </x:c>
      <x:c r="X375" s="489" t="str">
        <x:v>https://discricionarias.transferegov.sistema.gov.br/voluntarias/ConsultarProposta/ResultadoDaConsultaDeConvenioSelecionarConvenio.do?sequencialConvenio=944028&amp;Usr=guest&amp;Pwd=guest</x:v>
      </x:c>
    </x:row>
    <x:row r="376">
      <x:c r="A376" s="502" t="n">
        <x:v>376</x:v>
      </x:c>
      <x:c r="B376" s="502" t="n">
        <x:v>2024</x:v>
      </x:c>
      <x:c r="C376" s="489" t="str">
        <x:v>Candelária</x:v>
      </x:c>
      <x:c r="D376" s="489" t="str">
        <x:v>Prefeitura Municipal de Candelária</x:v>
      </x:c>
      <x:c r="E376" s="489" t="str">
        <x:v>Prefeitura Municipal</x:v>
      </x:c>
      <x:c r="F376" s="489" t="str">
        <x:v>41160002</x:v>
      </x:c>
      <x:c r="G376" s="489" t="str">
        <x:v>41160002-2024</x:v>
      </x:c>
      <x:c r="H376" s="489" t="str">
        <x:v>Informado/corrigido a partir do mapa</x:v>
      </x:c>
      <x:c r="I376" s="503" t="n">
        <x:v>240000</x:v>
      </x:c>
      <x:c r="J376" s="503" t="n">
        <x:v>240000</x:v>
      </x:c>
      <x:c r="K376" s="489" t="str">
        <x:v>Emenda Individual</x:v>
      </x:c>
      <x:c r="L376" s="489"/>
      <x:c r="M376" s="503" t="n">
        <x:v>240000</x:v>
      </x:c>
      <x:c r="N376" s="503" t="n">
        <x:v>0</x:v>
      </x:c>
      <x:c r="O376" s="503" t="n">
        <x:v>0</x:v>
      </x:c>
      <x:c r="P376" s="503" t="n">
        <x:v>0</x:v>
      </x:c>
      <x:c r="Q376" s="503" t="n">
        <x:v>0</x:v>
      </x:c>
      <x:c r="R376" s="489" t="str"/>
      <x:c r="S376" s="489" t="str">
        <x:v>12052931000112</x:v>
      </x:c>
      <x:c r="T376" s="489" t="str">
        <x:v>CONFIRMADO</x:v>
      </x:c>
      <x:c r="U376" s="489" t="str">
        <x:v>Baixa</x:v>
      </x:c>
      <x:c r="V376" s="489" t="str">
        <x:v>Preencher situação: há pagamento identificado na fonte pública; CNPJ candidato na fonte SIGA: 12052931000112</x:v>
      </x:c>
      <x:c r="W376" s="489" t="str">
        <x:v>Valor do grupo fecha com: SIGA pago favorecido</x:v>
      </x:c>
      <x:c r="X376" s="489" t="str"/>
    </x:row>
    <x:row r="377">
      <x:c r="A377" s="502" t="n">
        <x:v>377</x:v>
      </x:c>
      <x:c r="B377" s="502" t="n">
        <x:v>2025</x:v>
      </x:c>
      <x:c r="C377" s="489" t="str">
        <x:v>Pouso Novo</x:v>
      </x:c>
      <x:c r="D377" s="489" t="str">
        <x:v>Fundo Municipal Da Saude Pouso Novo Pouso Novo - Rs</x:v>
      </x:c>
      <x:c r="E377" s="489" t="str">
        <x:v>Prefeitura Municipal</x:v>
      </x:c>
      <x:c r="F377" s="489" t="str">
        <x:v>41160003</x:v>
      </x:c>
      <x:c r="G377" s="489" t="str">
        <x:v>41160003-2025</x:v>
      </x:c>
      <x:c r="H377" s="489" t="str">
        <x:v>Informado/corrigido a partir do mapa</x:v>
      </x:c>
      <x:c r="I377" s="503" t="n">
        <x:v>240000</x:v>
      </x:c>
      <x:c r="J377" s="503" t="n">
        <x:v>240000</x:v>
      </x:c>
      <x:c r="K377" s="489" t="str">
        <x:v>Emenda Individual</x:v>
      </x:c>
      <x:c r="L377" s="489"/>
      <x:c r="M377" s="503" t="n">
        <x:v>240000</x:v>
      </x:c>
      <x:c r="N377" s="503" t="n">
        <x:v>0</x:v>
      </x:c>
      <x:c r="O377" s="503" t="n">
        <x:v>0</x:v>
      </x:c>
      <x:c r="P377" s="503" t="n">
        <x:v>0</x:v>
      </x:c>
      <x:c r="Q377" s="503" t="n">
        <x:v>0</x:v>
      </x:c>
      <x:c r="R377" s="489" t="str"/>
      <x:c r="S377" s="489" t="str">
        <x:v>11649013000102</x:v>
      </x:c>
      <x:c r="T377" s="489" t="str">
        <x:v>CONFIRMADO</x:v>
      </x:c>
      <x:c r="U377" s="489" t="str">
        <x:v>Baixa</x:v>
      </x:c>
      <x:c r="V377" s="489" t="str">
        <x:v>Preencher situação: há pagamento identificado na fonte pública</x:v>
      </x:c>
      <x:c r="W377" s="489" t="str">
        <x:v>Valor do grupo fecha com: SIGA pago favorecido</x:v>
      </x:c>
      <x:c r="X377" s="489" t="str"/>
    </x:row>
    <x:row r="378">
      <x:c r="A378" s="502" t="n">
        <x:v>378</x:v>
      </x:c>
      <x:c r="B378" s="502" t="n">
        <x:v>2025</x:v>
      </x:c>
      <x:c r="C378" s="489" t="str">
        <x:v>Pouso Novo</x:v>
      </x:c>
      <x:c r="D378" s="489" t="str">
        <x:v>Fundo Municipal Da Saude Pouso Novo Pouso Novo - Rs</x:v>
      </x:c>
      <x:c r="E378" s="489" t="str">
        <x:v>Prefeitura Municipal</x:v>
      </x:c>
      <x:c r="F378" s="489" t="str">
        <x:v>41160002</x:v>
      </x:c>
      <x:c r="G378" s="489" t="str">
        <x:v>41160002-2025</x:v>
      </x:c>
      <x:c r="H378" s="489" t="str">
        <x:v>Informado/corrigido a partir do mapa</x:v>
      </x:c>
      <x:c r="I378" s="503" t="n">
        <x:v>240000</x:v>
      </x:c>
      <x:c r="J378" s="503" t="n">
        <x:v>240000</x:v>
      </x:c>
      <x:c r="K378" s="489" t="str">
        <x:v>Emenda Individual</x:v>
      </x:c>
      <x:c r="L378" s="489"/>
      <x:c r="M378" s="503" t="n">
        <x:v>0</x:v>
      </x:c>
      <x:c r="N378" s="503" t="n">
        <x:v>0</x:v>
      </x:c>
      <x:c r="O378" s="503" t="n">
        <x:v>0</x:v>
      </x:c>
      <x:c r="P378" s="503" t="n">
        <x:v>0</x:v>
      </x:c>
      <x:c r="Q378" s="503" t="n">
        <x:v>0</x:v>
      </x:c>
      <x:c r="R378" s="489" t="str"/>
      <x:c r="S378" s="489" t="str"/>
      <x:c r="T378" s="489" t="str">
        <x:v>EMENDA CONFIRMADA; DESTINO NÃO CONFIRMADO</x:v>
      </x:c>
      <x:c r="U378" s="489" t="str">
        <x:v>Média</x:v>
      </x:c>
      <x:c r="V378" s="489" t="str"/>
      <x:c r="W378" s="489" t="str">
        <x:v>Nº existe no SIGA; destinatário específico não foi confirmado nas bases anexas</x:v>
      </x:c>
      <x:c r="X378" s="489" t="str"/>
    </x:row>
    <x:row r="379">
      <x:c r="A379" s="502" t="n">
        <x:v>379</x:v>
      </x:c>
      <x:c r="B379" s="502" t="n">
        <x:v>2025</x:v>
      </x:c>
      <x:c r="C379" s="489" t="str">
        <x:v>Porto Alegre</x:v>
      </x:c>
      <x:c r="D379" s="489" t="str">
        <x:v>Fundo Estadual De Saude Porto Alegre - Rs</x:v>
      </x:c>
      <x:c r="E379" s="489" t="str">
        <x:v>Prefeitura Municipal</x:v>
      </x:c>
      <x:c r="F379" s="489" t="str">
        <x:v>41160002</x:v>
      </x:c>
      <x:c r="G379" s="489" t="str">
        <x:v>41160002-2025</x:v>
      </x:c>
      <x:c r="H379" s="489" t="str">
        <x:v>Informado/corrigido a partir do mapa</x:v>
      </x:c>
      <x:c r="I379" s="503" t="n">
        <x:v>241800</x:v>
      </x:c>
      <x:c r="J379" s="503" t="n">
        <x:v>515611</x:v>
      </x:c>
      <x:c r="K379" s="489" t="str">
        <x:v>Emenda Individual</x:v>
      </x:c>
      <x:c r="L379" s="489"/>
      <x:c r="M379" s="503" t="n">
        <x:v>915611</x:v>
      </x:c>
      <x:c r="N379" s="503" t="n">
        <x:v>0</x:v>
      </x:c>
      <x:c r="O379" s="503" t="n">
        <x:v>0</x:v>
      </x:c>
      <x:c r="P379" s="503" t="n">
        <x:v>0</x:v>
      </x:c>
      <x:c r="Q379" s="503" t="n">
        <x:v>0</x:v>
      </x:c>
      <x:c r="R379" s="489" t="str"/>
      <x:c r="S379" s="489" t="str">
        <x:v>87182846000178</x:v>
      </x:c>
      <x:c r="T379" s="489" t="str">
        <x:v>VALOR DIVERGENTE / COBERTURA DIFERENTE</x:v>
      </x:c>
      <x:c r="U379" s="489" t="str">
        <x:v>Alta</x:v>
      </x:c>
      <x:c r="V379" s="489" t="str">
        <x:v>Preencher situação: há pagamento identificado na fonte pública</x:v>
      </x:c>
      <x:c r="W379" s="489" t="str">
        <x:v>Município/localidade encontrado em fonte comparável, mas valor não fecha exatamente</x:v>
      </x:c>
      <x:c r="X379" s="489" t="str"/>
    </x:row>
    <x:row r="380">
      <x:c r="A380" s="502" t="n">
        <x:v>380</x:v>
      </x:c>
      <x:c r="B380" s="502" t="n">
        <x:v>2026</x:v>
      </x:c>
      <x:c r="C380" s="489" t="str">
        <x:v>Barracão</x:v>
      </x:c>
      <x:c r="D380" s="489" t="str">
        <x:v>Hospital de Caridade de Cangucu</x:v>
      </x:c>
      <x:c r="E380" s="489" t="str">
        <x:v>Hospital Sao Valentim</x:v>
      </x:c>
      <x:c r="F380" s="489" t="str">
        <x:v>41160003</x:v>
      </x:c>
      <x:c r="G380" s="489" t="str">
        <x:v>41160003-2026</x:v>
      </x:c>
      <x:c r="H380" s="489" t="str">
        <x:v>Informado/corrigido a partir do mapa</x:v>
      </x:c>
      <x:c r="I380" s="503" t="n">
        <x:v>242671</x:v>
      </x:c>
      <x:c r="J380" s="503" t="n">
        <x:v>242671</x:v>
      </x:c>
      <x:c r="K380" s="489" t="str">
        <x:v>Emenda individual</x:v>
      </x:c>
      <x:c r="L380" s="489"/>
      <x:c r="M380" s="503" t="n">
        <x:v>0</x:v>
      </x:c>
      <x:c r="N380" s="503" t="n">
        <x:v>242565</x:v>
      </x:c>
      <x:c r="O380" s="503" t="n">
        <x:v>0</x:v>
      </x:c>
      <x:c r="P380" s="503" t="n">
        <x:v>0</x:v>
      </x:c>
      <x:c r="Q380" s="503" t="n">
        <x:v>0</x:v>
      </x:c>
      <x:c r="R380" s="489" t="str"/>
      <x:c r="S380" s="489" t="str"/>
      <x:c r="T380" s="489" t="str">
        <x:v>DESTINO/INSTRUMENTO CONFIRMADO; VALOR NÃO COMPARÁVEL</x:v>
      </x:c>
      <x:c r="U380" s="489" t="str">
        <x:v>Média</x:v>
      </x:c>
      <x:c r="V380" s="489" t="str"/>
      <x:c r="W380" s="489" t="str">
        <x:v>Há instrumento do Transferegov para a emenda/município; valores do instrumento não foram usados como prova do valor da emenda</x:v>
      </x:c>
      <x:c r="X380" s="489" t="str">
        <x:v>https://discricionarias.transferegov.sistema.gov.br/voluntarias/ConsultarProposta/ResultadoDaConsultaDeConvenioSelecionarConvenio.do?sequencialConvenio=998463&amp;Usr=guest&amp;Pwd=guest</x:v>
      </x:c>
    </x:row>
    <x:row r="381">
      <x:c r="A381" s="502" t="n">
        <x:v>381</x:v>
      </x:c>
      <x:c r="B381" s="502" t="n">
        <x:v>2021</x:v>
      </x:c>
      <x:c r="C381" s="489" t="str">
        <x:v>Barros Cassal</x:v>
      </x:c>
      <x:c r="D381" s="489" t="str">
        <x:v>Município</x:v>
      </x:c>
      <x:c r="E381" s="489" t="str">
        <x:v>Prefeitura Municipal</x:v>
      </x:c>
      <x:c r="F381" s="489" t="str">
        <x:v>41160002</x:v>
      </x:c>
      <x:c r="G381" s="489" t="str">
        <x:v>41160002-2021</x:v>
      </x:c>
      <x:c r="H381" s="489" t="str">
        <x:v>Informado/corrigido a partir do mapa</x:v>
      </x:c>
      <x:c r="I381" s="503" t="n">
        <x:v>245000</x:v>
      </x:c>
      <x:c r="J381" s="503" t="n">
        <x:v>245000</x:v>
      </x:c>
      <x:c r="K381" s="489" t="str">
        <x:v>Emenda individual (processo seletivo)</x:v>
      </x:c>
      <x:c r="L381" s="489" t="str">
        <x:v>Recurso pago. (Foram pagos R$ 235.000,00, porque o saldo restante não teve a proposta aprovada pelo FNS)</x:v>
      </x:c>
      <x:c r="M381" s="503" t="n">
        <x:v>235000</x:v>
      </x:c>
      <x:c r="N381" s="503" t="n">
        <x:v>0</x:v>
      </x:c>
      <x:c r="O381" s="503" t="n">
        <x:v>0</x:v>
      </x:c>
      <x:c r="P381" s="503" t="n">
        <x:v>0</x:v>
      </x:c>
      <x:c r="Q381" s="503" t="n">
        <x:v>0</x:v>
      </x:c>
      <x:c r="R381" s="489" t="str"/>
      <x:c r="S381" s="489" t="str">
        <x:v>12063448000133</x:v>
      </x:c>
      <x:c r="T381" s="489" t="str">
        <x:v>VALOR DIVERGENTE / COBERTURA DIFERENTE</x:v>
      </x:c>
      <x:c r="U381" s="489" t="str">
        <x:v>Média</x:v>
      </x:c>
      <x:c r="V381" s="489" t="str">
        <x:v>CNPJ candidato na fonte SIGA: 12063448000133</x:v>
      </x:c>
      <x:c r="W381" s="489" t="str">
        <x:v>Município/localidade encontrado em fonte comparável, mas valor não fecha exatamente</x:v>
      </x:c>
      <x:c r="X381" s="489" t="str"/>
    </x:row>
    <x:row r="382">
      <x:c r="A382" s="502" t="n">
        <x:v>382</x:v>
      </x:c>
      <x:c r="B382" s="502" t="n">
        <x:v>2022</x:v>
      </x:c>
      <x:c r="C382" s="489" t="str">
        <x:v>Santa Maria</x:v>
      </x:c>
      <x:c r="D382" s="489" t="str">
        <x:v>Hospital</x:v>
      </x:c>
      <x:c r="E382" s="489" t="str">
        <x:v>Associação Amparo Providencia - Lar Das Vovozinhas</x:v>
      </x:c>
      <x:c r="F382" s="489" t="str">
        <x:v>41160003</x:v>
      </x:c>
      <x:c r="G382" s="489" t="str">
        <x:v>41160003-2022</x:v>
      </x:c>
      <x:c r="H382" s="489" t="str">
        <x:v>Informado/corrigido a partir do mapa</x:v>
      </x:c>
      <x:c r="I382" s="503" t="n">
        <x:v>249303</x:v>
      </x:c>
      <x:c r="J382" s="503" t="n">
        <x:v>249303</x:v>
      </x:c>
      <x:c r="K382" s="489" t="str">
        <x:v>Emenda Individual </x:v>
      </x:c>
      <x:c r="L382" s="489" t="str">
        <x:v>Proposta foi cadastrada pelo beneficiário, mas caiu em diligëncia pelo Ministério da Saúde, a qual não foi atendida. RECURSO DA EMENDA FOI PERDIDO.</x:v>
      </x:c>
      <x:c r="M382" s="503" t="n">
        <x:v>0</x:v>
      </x:c>
      <x:c r="N382" s="503" t="n">
        <x:v>0</x:v>
      </x:c>
      <x:c r="O382" s="503" t="n">
        <x:v>0</x:v>
      </x:c>
      <x:c r="P382" s="503" t="n">
        <x:v>0</x:v>
      </x:c>
      <x:c r="Q382" s="503" t="n">
        <x:v>0</x:v>
      </x:c>
      <x:c r="R382" s="489" t="str"/>
      <x:c r="S382" s="489" t="str"/>
      <x:c r="T382" s="489" t="str">
        <x:v>EMENDA CONFIRMADA; DESTINO NÃO CONFIRMADO</x:v>
      </x:c>
      <x:c r="U382" s="489" t="str">
        <x:v>Média</x:v>
      </x:c>
      <x:c r="V382" s="489" t="str"/>
      <x:c r="W382" s="489" t="str">
        <x:v>Nº existe no SIGA; destinatário específico não foi confirmado nas bases anexas</x:v>
      </x:c>
      <x:c r="X382" s="489" t="str"/>
    </x:row>
    <x:row r="383">
      <x:c r="A383" s="502" t="n">
        <x:v>383</x:v>
      </x:c>
      <x:c r="B383" s="502" t="n">
        <x:v>2023</x:v>
      </x:c>
      <x:c r="C383" s="489" t="str">
        <x:v>São Marcos</x:v>
      </x:c>
      <x:c r="D383" s="489" t="str">
        <x:v>Prefeitura</x:v>
      </x:c>
      <x:c r="E383" s="489" t="str">
        <x:v>Prefeitura de São Marcos</x:v>
      </x:c>
      <x:c r="F383" s="489" t="str"/>
      <x:c r="G383" s="489" t="str">
        <x:v>41160007-2023</x:v>
      </x:c>
      <x:c r="H383" s="489" t="str">
        <x:v>Inferido forte (SIGA/PIX)</x:v>
      </x:c>
      <x:c r="I383" s="503" t="n">
        <x:v>249320</x:v>
      </x:c>
      <x:c r="J383" s="503" t="n">
        <x:v>249320</x:v>
      </x:c>
      <x:c r="K383" s="489" t="str">
        <x:v>Emenda Individual</x:v>
      </x:c>
      <x:c r="L383" s="489" t="str">
        <x:v>Empenhado</x:v>
      </x:c>
      <x:c r="M383" s="503" t="n">
        <x:v>249320</x:v>
      </x:c>
      <x:c r="N383" s="503" t="n">
        <x:v>0</x:v>
      </x:c>
      <x:c r="O383" s="503" t="n">
        <x:v>0</x:v>
      </x:c>
      <x:c r="P383" s="503" t="n">
        <x:v>0</x:v>
      </x:c>
      <x:c r="Q383" s="503" t="n">
        <x:v>0</x:v>
      </x:c>
      <x:c r="R383" s="489" t="str"/>
      <x:c r="S383" s="489" t="str">
        <x:v>12117217000165</x:v>
      </x:c>
      <x:c r="T383" s="489" t="str">
        <x:v>CONFIRMADO</x:v>
      </x:c>
      <x:c r="U383" s="489" t="str">
        <x:v>Baixa</x:v>
      </x:c>
      <x:c r="V383" s="489" t="str">
        <x:v>Preencher nº como 41160007 com marcação de inferência (ano+município+valor exatos em SIGA/PIX); Situação possivelmente desatualizada: SIGA/execução regionalizada mostra pagamento; CNPJ candidato na fonte SIGA: 12117217000165</x:v>
      </x:c>
      <x:c r="W383" s="489" t="str">
        <x:v>nº ausente; inferido por coincidência exata de cidade e valor em SIGA favorecido; Valor do grupo fecha com: SIGA pago favorecido</x:v>
      </x:c>
      <x:c r="X383" s="489" t="str"/>
    </x:row>
    <x:row r="384">
      <x:c r="A384" s="502" t="n">
        <x:v>384</x:v>
      </x:c>
      <x:c r="B384" s="502" t="n">
        <x:v>2024</x:v>
      </x:c>
      <x:c r="C384" s="489" t="str">
        <x:v>Eldorado do Sul</x:v>
      </x:c>
      <x:c r="D384" s="489" t="str">
        <x:v>Prefeitura Municipal de Eldorado do Sul</x:v>
      </x:c>
      <x:c r="E384" s="489" t="str">
        <x:v>Prefeitura Municipal</x:v>
      </x:c>
      <x:c r="F384" s="489" t="str">
        <x:v>41160003</x:v>
      </x:c>
      <x:c r="G384" s="489" t="str">
        <x:v>41160003-2024</x:v>
      </x:c>
      <x:c r="H384" s="489" t="str">
        <x:v>Informado/corrigido a partir do mapa</x:v>
      </x:c>
      <x:c r="I384" s="503" t="n">
        <x:v>249828</x:v>
      </x:c>
      <x:c r="J384" s="503" t="n">
        <x:v>249828</x:v>
      </x:c>
      <x:c r="K384" s="489" t="str">
        <x:v>Emenda Individual</x:v>
      </x:c>
      <x:c r="L384" s="489"/>
      <x:c r="M384" s="503" t="n">
        <x:v>249828</x:v>
      </x:c>
      <x:c r="N384" s="503" t="n">
        <x:v>0</x:v>
      </x:c>
      <x:c r="O384" s="503" t="n">
        <x:v>0</x:v>
      </x:c>
      <x:c r="P384" s="503" t="n">
        <x:v>0</x:v>
      </x:c>
      <x:c r="Q384" s="503" t="n">
        <x:v>0</x:v>
      </x:c>
      <x:c r="R384" s="489" t="str"/>
      <x:c r="S384" s="489" t="str">
        <x:v>10401625000119</x:v>
      </x:c>
      <x:c r="T384" s="489" t="str">
        <x:v>CONFIRMADO</x:v>
      </x:c>
      <x:c r="U384" s="489" t="str">
        <x:v>Baixa</x:v>
      </x:c>
      <x:c r="V384" s="489" t="str">
        <x:v>Preencher situação: há pagamento identificado na fonte pública; CNPJ candidato na fonte SIGA: 10401625000119</x:v>
      </x:c>
      <x:c r="W384" s="489" t="str">
        <x:v>Valor do grupo fecha com: SIGA pago favorecido</x:v>
      </x:c>
      <x:c r="X384" s="489" t="str"/>
    </x:row>
    <x:row r="385">
      <x:c r="A385" s="502" t="n">
        <x:v>385</x:v>
      </x:c>
      <x:c r="B385" s="502" t="n">
        <x:v>2019</x:v>
      </x:c>
      <x:c r="C385" s="489" t="str">
        <x:v>Igrejinha</x:v>
      </x:c>
      <x:c r="D385" s="489" t="str">
        <x:v>Hospital</x:v>
      </x:c>
      <x:c r="E385" s="489" t="str">
        <x:v>Hospital Bom Pastor</x:v>
      </x:c>
      <x:c r="F385" s="489" t="str">
        <x:v>71220009</x:v>
      </x:c>
      <x:c r="G385" s="489" t="str">
        <x:v>71220009-2019</x:v>
      </x:c>
      <x:c r="H385" s="489" t="str">
        <x:v>Informado/corrigido a partir do mapa</x:v>
      </x:c>
      <x:c r="I385" s="503" t="n">
        <x:v>250000</x:v>
      </x:c>
      <x:c r="J385" s="503" t="n">
        <x:v>250000</x:v>
      </x:c>
      <x:c r="K385" s="489" t="str">
        <x:v>Emenda de Bancada</x:v>
      </x:c>
      <x:c r="L385" s="489" t="str">
        <x:v>Recurso pago</x:v>
      </x:c>
      <x:c r="M385" s="503" t="n">
        <x:v>0</x:v>
      </x:c>
      <x:c r="N385" s="503" t="n">
        <x:v>0</x:v>
      </x:c>
      <x:c r="O385" s="503" t="n">
        <x:v>0</x:v>
      </x:c>
      <x:c r="P385" s="503" t="n">
        <x:v>0</x:v>
      </x:c>
      <x:c r="Q385" s="503" t="n">
        <x:v>0</x:v>
      </x:c>
      <x:c r="R385" s="489" t="str"/>
      <x:c r="S385" s="489" t="str"/>
      <x:c r="T385" s="489" t="str">
        <x:v>Nº NÃO LOCALIZADO</x:v>
      </x:c>
      <x:c r="U385" s="489" t="str">
        <x:v>Média</x:v>
      </x:c>
      <x:c r="V385" s="489" t="str"/>
      <x:c r="W385" s="489" t="str"/>
      <x:c r="X385" s="489" t="str"/>
    </x:row>
    <x:row r="386">
      <x:c r="A386" s="502" t="n">
        <x:v>386</x:v>
      </x:c>
      <x:c r="B386" s="502" t="n">
        <x:v>2019</x:v>
      </x:c>
      <x:c r="C386" s="489" t="str">
        <x:v>Ivoti</x:v>
      </x:c>
      <x:c r="D386" s="489" t="str">
        <x:v>Hospital</x:v>
      </x:c>
      <x:c r="E386" s="489" t="str">
        <x:v>Hospital São Jose de Ivoti</x:v>
      </x:c>
      <x:c r="F386" s="489" t="str">
        <x:v>71220009</x:v>
      </x:c>
      <x:c r="G386" s="489" t="str">
        <x:v>71220009-2019</x:v>
      </x:c>
      <x:c r="H386" s="489" t="str">
        <x:v>Informado/corrigido a partir do mapa</x:v>
      </x:c>
      <x:c r="I386" s="503" t="n">
        <x:v>250000</x:v>
      </x:c>
      <x:c r="J386" s="503" t="n">
        <x:v>250000</x:v>
      </x:c>
      <x:c r="K386" s="489" t="str">
        <x:v>Emenda de Bancada</x:v>
      </x:c>
      <x:c r="L386" s="489" t="str">
        <x:v>Recurso pago</x:v>
      </x:c>
      <x:c r="M386" s="503" t="n">
        <x:v>0</x:v>
      </x:c>
      <x:c r="N386" s="503" t="n">
        <x:v>0</x:v>
      </x:c>
      <x:c r="O386" s="503" t="n">
        <x:v>0</x:v>
      </x:c>
      <x:c r="P386" s="503" t="n">
        <x:v>0</x:v>
      </x:c>
      <x:c r="Q386" s="503" t="n">
        <x:v>0</x:v>
      </x:c>
      <x:c r="R386" s="489" t="str"/>
      <x:c r="S386" s="489" t="str"/>
      <x:c r="T386" s="489" t="str">
        <x:v>Nº NÃO LOCALIZADO</x:v>
      </x:c>
      <x:c r="U386" s="489" t="str">
        <x:v>Média</x:v>
      </x:c>
      <x:c r="V386" s="489" t="str"/>
      <x:c r="W386" s="489" t="str"/>
      <x:c r="X386" s="489" t="str"/>
    </x:row>
    <x:row r="387">
      <x:c r="A387" s="502" t="n">
        <x:v>387</x:v>
      </x:c>
      <x:c r="B387" s="502" t="n">
        <x:v>2019</x:v>
      </x:c>
      <x:c r="C387" s="489" t="str">
        <x:v>Parobé</x:v>
      </x:c>
      <x:c r="D387" s="489" t="str">
        <x:v>Hospital</x:v>
      </x:c>
      <x:c r="E387" s="489" t="str">
        <x:v>Hospital São Francisco de Assis</x:v>
      </x:c>
      <x:c r="F387" s="489" t="str">
        <x:v>71220009</x:v>
      </x:c>
      <x:c r="G387" s="489" t="str">
        <x:v>71220009-2019</x:v>
      </x:c>
      <x:c r="H387" s="489" t="str">
        <x:v>Informado/corrigido a partir do mapa</x:v>
      </x:c>
      <x:c r="I387" s="503" t="n">
        <x:v>250000</x:v>
      </x:c>
      <x:c r="J387" s="503" t="n">
        <x:v>250000</x:v>
      </x:c>
      <x:c r="K387" s="489" t="str">
        <x:v>Emenda de Bancada</x:v>
      </x:c>
      <x:c r="L387" s="489" t="str">
        <x:v>Recurso pago</x:v>
      </x:c>
      <x:c r="M387" s="503" t="n">
        <x:v>0</x:v>
      </x:c>
      <x:c r="N387" s="503" t="n">
        <x:v>0</x:v>
      </x:c>
      <x:c r="O387" s="503" t="n">
        <x:v>0</x:v>
      </x:c>
      <x:c r="P387" s="503" t="n">
        <x:v>0</x:v>
      </x:c>
      <x:c r="Q387" s="503" t="n">
        <x:v>0</x:v>
      </x:c>
      <x:c r="R387" s="489" t="str"/>
      <x:c r="S387" s="489" t="str"/>
      <x:c r="T387" s="489" t="str">
        <x:v>Nº NÃO LOCALIZADO</x:v>
      </x:c>
      <x:c r="U387" s="489" t="str">
        <x:v>Média</x:v>
      </x:c>
      <x:c r="V387" s="489" t="str"/>
      <x:c r="W387" s="489" t="str"/>
      <x:c r="X387" s="489" t="str"/>
    </x:row>
    <x:row r="388">
      <x:c r="A388" s="502" t="n">
        <x:v>388</x:v>
      </x:c>
      <x:c r="B388" s="502" t="n">
        <x:v>2019</x:v>
      </x:c>
      <x:c r="C388" s="489" t="str">
        <x:v>Portão</x:v>
      </x:c>
      <x:c r="D388" s="489" t="str">
        <x:v>Hospital</x:v>
      </x:c>
      <x:c r="E388" s="489" t="str">
        <x:v>Hospital de Portão</x:v>
      </x:c>
      <x:c r="F388" s="489" t="str">
        <x:v>71220009</x:v>
      </x:c>
      <x:c r="G388" s="489" t="str">
        <x:v>71220009-2019</x:v>
      </x:c>
      <x:c r="H388" s="489" t="str">
        <x:v>Informado/corrigido a partir do mapa</x:v>
      </x:c>
      <x:c r="I388" s="503" t="n">
        <x:v>250000</x:v>
      </x:c>
      <x:c r="J388" s="503" t="n">
        <x:v>250000</x:v>
      </x:c>
      <x:c r="K388" s="489" t="str">
        <x:v>Emenda de Bancada</x:v>
      </x:c>
      <x:c r="L388" s="489" t="str">
        <x:v>Recurso pago</x:v>
      </x:c>
      <x:c r="M388" s="503" t="n">
        <x:v>0</x:v>
      </x:c>
      <x:c r="N388" s="503" t="n">
        <x:v>0</x:v>
      </x:c>
      <x:c r="O388" s="503" t="n">
        <x:v>0</x:v>
      </x:c>
      <x:c r="P388" s="503" t="n">
        <x:v>0</x:v>
      </x:c>
      <x:c r="Q388" s="503" t="n">
        <x:v>0</x:v>
      </x:c>
      <x:c r="R388" s="489" t="str"/>
      <x:c r="S388" s="489" t="str"/>
      <x:c r="T388" s="489" t="str">
        <x:v>Nº NÃO LOCALIZADO</x:v>
      </x:c>
      <x:c r="U388" s="489" t="str">
        <x:v>Média</x:v>
      </x:c>
      <x:c r="V388" s="489" t="str"/>
      <x:c r="W388" s="489" t="str"/>
      <x:c r="X388" s="489" t="str"/>
    </x:row>
    <x:row r="389">
      <x:c r="A389" s="502" t="n">
        <x:v>389</x:v>
      </x:c>
      <x:c r="B389" s="502" t="n">
        <x:v>2019</x:v>
      </x:c>
      <x:c r="C389" s="489" t="str">
        <x:v>Rolante</x:v>
      </x:c>
      <x:c r="D389" s="489" t="str">
        <x:v>Hospital</x:v>
      </x:c>
      <x:c r="E389" s="489" t="str">
        <x:v>Fundação Hospitalar de Rolante</x:v>
      </x:c>
      <x:c r="F389" s="489" t="str">
        <x:v>71220009</x:v>
      </x:c>
      <x:c r="G389" s="489" t="str">
        <x:v>71220009-2019</x:v>
      </x:c>
      <x:c r="H389" s="489" t="str">
        <x:v>Informado/corrigido a partir do mapa</x:v>
      </x:c>
      <x:c r="I389" s="503" t="n">
        <x:v>250000</x:v>
      </x:c>
      <x:c r="J389" s="503" t="n">
        <x:v>250000</x:v>
      </x:c>
      <x:c r="K389" s="489" t="str">
        <x:v>Emenda de Bancada</x:v>
      </x:c>
      <x:c r="L389" s="489" t="str">
        <x:v>Recurso pago</x:v>
      </x:c>
      <x:c r="M389" s="503" t="n">
        <x:v>0</x:v>
      </x:c>
      <x:c r="N389" s="503" t="n">
        <x:v>0</x:v>
      </x:c>
      <x:c r="O389" s="503" t="n">
        <x:v>0</x:v>
      </x:c>
      <x:c r="P389" s="503" t="n">
        <x:v>0</x:v>
      </x:c>
      <x:c r="Q389" s="503" t="n">
        <x:v>0</x:v>
      </x:c>
      <x:c r="R389" s="489" t="str"/>
      <x:c r="S389" s="489" t="str"/>
      <x:c r="T389" s="489" t="str">
        <x:v>Nº NÃO LOCALIZADO</x:v>
      </x:c>
      <x:c r="U389" s="489" t="str">
        <x:v>Média</x:v>
      </x:c>
      <x:c r="V389" s="489" t="str"/>
      <x:c r="W389" s="489" t="str"/>
      <x:c r="X389" s="489" t="str"/>
    </x:row>
    <x:row r="390">
      <x:c r="A390" s="502" t="n">
        <x:v>390</x:v>
      </x:c>
      <x:c r="B390" s="502" t="n">
        <x:v>2019</x:v>
      </x:c>
      <x:c r="C390" s="489" t="str">
        <x:v>Santo Antônio da Patrulha</x:v>
      </x:c>
      <x:c r="D390" s="489" t="str">
        <x:v>Hospital</x:v>
      </x:c>
      <x:c r="E390" s="489" t="str">
        <x:v>Hospital Santo Antonio da Patrulha</x:v>
      </x:c>
      <x:c r="F390" s="489" t="str">
        <x:v>71220009</x:v>
      </x:c>
      <x:c r="G390" s="489" t="str">
        <x:v>71220009-2019</x:v>
      </x:c>
      <x:c r="H390" s="489" t="str">
        <x:v>Informado/corrigido a partir do mapa</x:v>
      </x:c>
      <x:c r="I390" s="503" t="n">
        <x:v>250000</x:v>
      </x:c>
      <x:c r="J390" s="503" t="n">
        <x:v>250000</x:v>
      </x:c>
      <x:c r="K390" s="489" t="str">
        <x:v>Emenda de Bancada</x:v>
      </x:c>
      <x:c r="L390" s="489" t="str">
        <x:v>Recurso pago</x:v>
      </x:c>
      <x:c r="M390" s="503" t="n">
        <x:v>0</x:v>
      </x:c>
      <x:c r="N390" s="503" t="n">
        <x:v>0</x:v>
      </x:c>
      <x:c r="O390" s="503" t="n">
        <x:v>0</x:v>
      </x:c>
      <x:c r="P390" s="503" t="n">
        <x:v>0</x:v>
      </x:c>
      <x:c r="Q390" s="503" t="n">
        <x:v>0</x:v>
      </x:c>
      <x:c r="R390" s="489" t="str"/>
      <x:c r="S390" s="489" t="str"/>
      <x:c r="T390" s="489" t="str">
        <x:v>Nº NÃO LOCALIZADO</x:v>
      </x:c>
      <x:c r="U390" s="489" t="str">
        <x:v>Média</x:v>
      </x:c>
      <x:c r="V390" s="489" t="str"/>
      <x:c r="W390" s="489" t="str"/>
      <x:c r="X390" s="489" t="str"/>
    </x:row>
    <x:row r="391">
      <x:c r="A391" s="502" t="n">
        <x:v>391</x:v>
      </x:c>
      <x:c r="B391" s="502" t="n">
        <x:v>2019</x:v>
      </x:c>
      <x:c r="C391" s="489" t="str">
        <x:v>Sapiranga</x:v>
      </x:c>
      <x:c r="D391" s="489" t="str">
        <x:v>Hospital</x:v>
      </x:c>
      <x:c r="E391" s="489" t="str">
        <x:v>Sociedade Beneficente Sapiranguese</x:v>
      </x:c>
      <x:c r="F391" s="489" t="str">
        <x:v>71220009</x:v>
      </x:c>
      <x:c r="G391" s="489" t="str">
        <x:v>71220009-2019</x:v>
      </x:c>
      <x:c r="H391" s="489" t="str">
        <x:v>Informado/corrigido a partir do mapa</x:v>
      </x:c>
      <x:c r="I391" s="503" t="n">
        <x:v>250000</x:v>
      </x:c>
      <x:c r="J391" s="503" t="n">
        <x:v>250000</x:v>
      </x:c>
      <x:c r="K391" s="489" t="str">
        <x:v>Emenda de Bancada</x:v>
      </x:c>
      <x:c r="L391" s="489" t="str">
        <x:v>Recurso pago</x:v>
      </x:c>
      <x:c r="M391" s="503" t="n">
        <x:v>0</x:v>
      </x:c>
      <x:c r="N391" s="503" t="n">
        <x:v>0</x:v>
      </x:c>
      <x:c r="O391" s="503" t="n">
        <x:v>0</x:v>
      </x:c>
      <x:c r="P391" s="503" t="n">
        <x:v>0</x:v>
      </x:c>
      <x:c r="Q391" s="503" t="n">
        <x:v>0</x:v>
      </x:c>
      <x:c r="R391" s="489" t="str"/>
      <x:c r="S391" s="489" t="str"/>
      <x:c r="T391" s="489" t="str">
        <x:v>Nº NÃO LOCALIZADO</x:v>
      </x:c>
      <x:c r="U391" s="489" t="str">
        <x:v>Média</x:v>
      </x:c>
      <x:c r="V391" s="489" t="str"/>
      <x:c r="W391" s="489" t="str"/>
      <x:c r="X391" s="489" t="str"/>
    </x:row>
    <x:row r="392">
      <x:c r="A392" s="502" t="n">
        <x:v>392</x:v>
      </x:c>
      <x:c r="B392" s="502" t="n">
        <x:v>2019</x:v>
      </x:c>
      <x:c r="C392" s="489" t="str">
        <x:v>Três Coroas</x:v>
      </x:c>
      <x:c r="D392" s="489" t="str">
        <x:v>Hospital</x:v>
      </x:c>
      <x:c r="E392" s="489" t="str">
        <x:v>Hospital Dr Oswaldo Diesel</x:v>
      </x:c>
      <x:c r="F392" s="489" t="str">
        <x:v>71220009</x:v>
      </x:c>
      <x:c r="G392" s="489" t="str">
        <x:v>71220009-2019</x:v>
      </x:c>
      <x:c r="H392" s="489" t="str">
        <x:v>Informado/corrigido a partir do mapa</x:v>
      </x:c>
      <x:c r="I392" s="503" t="n">
        <x:v>250000</x:v>
      </x:c>
      <x:c r="J392" s="503" t="n">
        <x:v>250000</x:v>
      </x:c>
      <x:c r="K392" s="489" t="str">
        <x:v>Emenda de Bancada</x:v>
      </x:c>
      <x:c r="L392" s="489" t="str">
        <x:v>Recurso pago</x:v>
      </x:c>
      <x:c r="M392" s="503" t="n">
        <x:v>0</x:v>
      </x:c>
      <x:c r="N392" s="503" t="n">
        <x:v>0</x:v>
      </x:c>
      <x:c r="O392" s="503" t="n">
        <x:v>0</x:v>
      </x:c>
      <x:c r="P392" s="503" t="n">
        <x:v>0</x:v>
      </x:c>
      <x:c r="Q392" s="503" t="n">
        <x:v>0</x:v>
      </x:c>
      <x:c r="R392" s="489" t="str"/>
      <x:c r="S392" s="489" t="str"/>
      <x:c r="T392" s="489" t="str">
        <x:v>Nº NÃO LOCALIZADO</x:v>
      </x:c>
      <x:c r="U392" s="489" t="str">
        <x:v>Média</x:v>
      </x:c>
      <x:c r="V392" s="489" t="str"/>
      <x:c r="W392" s="489" t="str"/>
      <x:c r="X392" s="489" t="str"/>
    </x:row>
    <x:row r="393">
      <x:c r="A393" s="502" t="n">
        <x:v>393</x:v>
      </x:c>
      <x:c r="B393" s="502" t="n">
        <x:v>2020</x:v>
      </x:c>
      <x:c r="C393" s="489" t="str">
        <x:v>Novo Hamburgo</x:v>
      </x:c>
      <x:c r="D393" s="489" t="str">
        <x:v>Hospital</x:v>
      </x:c>
      <x:c r="E393" s="489" t="str">
        <x:v>Hospital Municipal de Novo Hamburgo</x:v>
      </x:c>
      <x:c r="F393" s="489" t="str">
        <x:v>7122 0006</x:v>
      </x:c>
      <x:c r="G393" s="489" t="str">
        <x:v>71220006-2020</x:v>
      </x:c>
      <x:c r="H393" s="489" t="str">
        <x:v>Informado/corrigido a partir do mapa</x:v>
      </x:c>
      <x:c r="I393" s="503" t="n">
        <x:v>250000</x:v>
      </x:c>
      <x:c r="J393" s="503" t="n">
        <x:v>250000</x:v>
      </x:c>
      <x:c r="K393" s="489" t="str">
        <x:v>Emenda de Bancada</x:v>
      </x:c>
      <x:c r="L393" s="489" t="str">
        <x:v>Recurso pago</x:v>
      </x:c>
      <x:c r="M393" s="503" t="n">
        <x:v>0</x:v>
      </x:c>
      <x:c r="N393" s="503" t="n">
        <x:v>0</x:v>
      </x:c>
      <x:c r="O393" s="503" t="n">
        <x:v>0</x:v>
      </x:c>
      <x:c r="P393" s="503" t="n">
        <x:v>0</x:v>
      </x:c>
      <x:c r="Q393" s="503" t="n">
        <x:v>0</x:v>
      </x:c>
      <x:c r="R393" s="489" t="str"/>
      <x:c r="S393" s="489" t="str"/>
      <x:c r="T393" s="489" t="str">
        <x:v>Nº NÃO LOCALIZADO</x:v>
      </x:c>
      <x:c r="U393" s="489" t="str">
        <x:v>Média</x:v>
      </x:c>
      <x:c r="V393" s="489" t="str"/>
      <x:c r="W393" s="489" t="str"/>
      <x:c r="X393" s="489" t="str"/>
    </x:row>
    <x:row r="394">
      <x:c r="A394" s="502" t="n">
        <x:v>394</x:v>
      </x:c>
      <x:c r="B394" s="502" t="n">
        <x:v>2020</x:v>
      </x:c>
      <x:c r="C394" s="489" t="str">
        <x:v>São Leopoldo</x:v>
      </x:c>
      <x:c r="D394" s="489" t="str">
        <x:v>Hospital</x:v>
      </x:c>
      <x:c r="E394" s="489" t="str">
        <x:v>Fundação Hospital Centenário</x:v>
      </x:c>
      <x:c r="F394" s="489" t="str">
        <x:v>7122 0006</x:v>
      </x:c>
      <x:c r="G394" s="489" t="str">
        <x:v>71220006-2020</x:v>
      </x:c>
      <x:c r="H394" s="489" t="str">
        <x:v>Informado/corrigido a partir do mapa</x:v>
      </x:c>
      <x:c r="I394" s="503" t="n">
        <x:v>250000</x:v>
      </x:c>
      <x:c r="J394" s="503" t="n">
        <x:v>250000</x:v>
      </x:c>
      <x:c r="K394" s="489" t="str">
        <x:v>Emenda de Bancada</x:v>
      </x:c>
      <x:c r="L394" s="489" t="str">
        <x:v>Recurso pago</x:v>
      </x:c>
      <x:c r="M394" s="503" t="n">
        <x:v>0</x:v>
      </x:c>
      <x:c r="N394" s="503" t="n">
        <x:v>0</x:v>
      </x:c>
      <x:c r="O394" s="503" t="n">
        <x:v>0</x:v>
      </x:c>
      <x:c r="P394" s="503" t="n">
        <x:v>0</x:v>
      </x:c>
      <x:c r="Q394" s="503" t="n">
        <x:v>0</x:v>
      </x:c>
      <x:c r="R394" s="489" t="str"/>
      <x:c r="S394" s="489" t="str"/>
      <x:c r="T394" s="489" t="str">
        <x:v>Nº NÃO LOCALIZADO</x:v>
      </x:c>
      <x:c r="U394" s="489" t="str">
        <x:v>Média</x:v>
      </x:c>
      <x:c r="V394" s="489" t="str"/>
      <x:c r="W394" s="489" t="str"/>
      <x:c r="X394" s="489" t="str"/>
    </x:row>
    <x:row r="395">
      <x:c r="A395" s="502" t="n">
        <x:v>395</x:v>
      </x:c>
      <x:c r="B395" s="502" t="n">
        <x:v>2020</x:v>
      </x:c>
      <x:c r="C395" s="489" t="str">
        <x:v>Passo Fundo</x:v>
      </x:c>
      <x:c r="D395" s="489" t="str">
        <x:v>Hospital</x:v>
      </x:c>
      <x:c r="E395" s="489" t="str">
        <x:v>Hospital de Clínicas de Passo Fundo</x:v>
      </x:c>
      <x:c r="F395" s="489" t="str">
        <x:v>41160005</x:v>
      </x:c>
      <x:c r="G395" s="489" t="str">
        <x:v>41160005-2020</x:v>
      </x:c>
      <x:c r="H395" s="489" t="str">
        <x:v>Informado/corrigido a partir do mapa</x:v>
      </x:c>
      <x:c r="I395" s="503" t="n">
        <x:v>250000</x:v>
      </x:c>
      <x:c r="J395" s="503" t="n">
        <x:v>250000</x:v>
      </x:c>
      <x:c r="K395" s="489" t="str">
        <x:v>Emenda Individual (processo seletivo)</x:v>
      </x:c>
      <x:c r="L395" s="489" t="str">
        <x:v>Recurso pago</x:v>
      </x:c>
      <x:c r="M395" s="503" t="n">
        <x:v>0</x:v>
      </x:c>
      <x:c r="N395" s="503" t="n">
        <x:v>0</x:v>
      </x:c>
      <x:c r="O395" s="503" t="n">
        <x:v>0</x:v>
      </x:c>
      <x:c r="P395" s="503" t="n">
        <x:v>0</x:v>
      </x:c>
      <x:c r="Q395" s="503" t="n">
        <x:v>0</x:v>
      </x:c>
      <x:c r="R395" s="489" t="str"/>
      <x:c r="S395" s="489" t="str"/>
      <x:c r="T395" s="489" t="str">
        <x:v>EMENDA CONFIRMADA; DESTINO NÃO CONFIRMADO</x:v>
      </x:c>
      <x:c r="U395" s="489" t="str">
        <x:v>Média</x:v>
      </x:c>
      <x:c r="V395" s="489" t="str"/>
      <x:c r="W395" s="489" t="str">
        <x:v>Nº existe no SIGA; destinatário específico não foi confirmado nas bases anexas</x:v>
      </x:c>
      <x:c r="X395" s="489" t="str"/>
    </x:row>
    <x:row r="396">
      <x:c r="A396" s="502" t="n">
        <x:v>396</x:v>
      </x:c>
      <x:c r="B396" s="502" t="n">
        <x:v>2020</x:v>
      </x:c>
      <x:c r="C396" s="489" t="str">
        <x:v>Santa Maria</x:v>
      </x:c>
      <x:c r="D396" s="489" t="str">
        <x:v>Hospital</x:v>
      </x:c>
      <x:c r="E396" s="489" t="str">
        <x:v>Casa de Saúde</x:v>
      </x:c>
      <x:c r="F396" s="489" t="str">
        <x:v>41160005</x:v>
      </x:c>
      <x:c r="G396" s="489" t="str">
        <x:v>41160005-2020</x:v>
      </x:c>
      <x:c r="H396" s="489" t="str">
        <x:v>Informado/corrigido a partir do mapa</x:v>
      </x:c>
      <x:c r="I396" s="503" t="n">
        <x:v>250000</x:v>
      </x:c>
      <x:c r="J396" s="503" t="n">
        <x:v>250000</x:v>
      </x:c>
      <x:c r="K396" s="489" t="str">
        <x:v>Emenda Individual (processo seletivo)</x:v>
      </x:c>
      <x:c r="L396" s="489" t="str">
        <x:v>Recurso pago</x:v>
      </x:c>
      <x:c r="M396" s="503" t="n">
        <x:v>0</x:v>
      </x:c>
      <x:c r="N396" s="503" t="n">
        <x:v>0</x:v>
      </x:c>
      <x:c r="O396" s="503" t="n">
        <x:v>0</x:v>
      </x:c>
      <x:c r="P396" s="503" t="n">
        <x:v>0</x:v>
      </x:c>
      <x:c r="Q396" s="503" t="n">
        <x:v>0</x:v>
      </x:c>
      <x:c r="R396" s="489" t="str"/>
      <x:c r="S396" s="489" t="str"/>
      <x:c r="T396" s="489" t="str">
        <x:v>EMENDA CONFIRMADA; DESTINO NÃO CONFIRMADO</x:v>
      </x:c>
      <x:c r="U396" s="489" t="str">
        <x:v>Média</x:v>
      </x:c>
      <x:c r="V396" s="489" t="str"/>
      <x:c r="W396" s="489" t="str">
        <x:v>Nº existe no SIGA; destinatário específico não foi confirmado nas bases anexas</x:v>
      </x:c>
      <x:c r="X396" s="489" t="str"/>
    </x:row>
    <x:row r="397">
      <x:c r="A397" s="502" t="n">
        <x:v>397</x:v>
      </x:c>
      <x:c r="B397" s="502" t="n">
        <x:v>2021</x:v>
      </x:c>
      <x:c r="C397" s="489" t="str">
        <x:v>Arambaré</x:v>
      </x:c>
      <x:c r="D397" s="489" t="str">
        <x:v>Município</x:v>
      </x:c>
      <x:c r="E397" s="489" t="str">
        <x:v>Prefeitura Municipal</x:v>
      </x:c>
      <x:c r="F397" s="489" t="str">
        <x:v>41160004</x:v>
      </x:c>
      <x:c r="G397" s="489" t="str">
        <x:v>41160004-2021</x:v>
      </x:c>
      <x:c r="H397" s="489" t="str">
        <x:v>Informado/corrigido a partir do mapa</x:v>
      </x:c>
      <x:c r="I397" s="503" t="n">
        <x:v>250000</x:v>
      </x:c>
      <x:c r="J397" s="503" t="n">
        <x:v>250000</x:v>
      </x:c>
      <x:c r="K397" s="489" t="str">
        <x:v>Emenda Individual (processo seletivo)</x:v>
      </x:c>
      <x:c r="L397" s="489" t="str">
        <x:v>Recurso pago</x:v>
      </x:c>
      <x:c r="M397" s="503" t="n">
        <x:v>238856</x:v>
      </x:c>
      <x:c r="N397" s="503" t="n">
        <x:v>238856</x:v>
      </x:c>
      <x:c r="O397" s="503" t="n">
        <x:v>238856</x:v>
      </x:c>
      <x:c r="P397" s="503" t="n">
        <x:v>0</x:v>
      </x:c>
      <x:c r="Q397" s="503" t="n">
        <x:v>0</x:v>
      </x:c>
      <x:c r="R397" s="489" t="str"/>
      <x:c r="S397" s="489" t="str">
        <x:v>90152950000124</x:v>
      </x:c>
      <x:c r="T397" s="489" t="str">
        <x:v>VALOR DIVERGENTE / COBERTURA DIFERENTE</x:v>
      </x:c>
      <x:c r="U397" s="489" t="str">
        <x:v>Média</x:v>
      </x:c>
      <x:c r="V397" s="489" t="str">
        <x:v>CNPJ candidato na fonte SIGA: 90152950000124</x:v>
      </x:c>
      <x:c r="W397" s="489" t="str">
        <x:v>Município/localidade encontrado em fonte comparável, mas valor não fecha exatamente</x:v>
      </x:c>
      <x:c r="X397" s="489" t="str">
        <x:v>https://discricionarias.transferegov.sistema.gov.br/voluntarias/ConsultarProposta/ResultadoDaConsultaDeConvenioSelecionarConvenio.do?sequencialConvenio=917427&amp;Usr=guest&amp;Pwd=guest</x:v>
      </x:c>
    </x:row>
    <x:row r="398">
      <x:c r="A398" s="502" t="n">
        <x:v>398</x:v>
      </x:c>
      <x:c r="B398" s="502" t="n">
        <x:v>2021</x:v>
      </x:c>
      <x:c r="C398" s="489" t="str">
        <x:v>Casca</x:v>
      </x:c>
      <x:c r="D398" s="489" t="str">
        <x:v>Hospital</x:v>
      </x:c>
      <x:c r="E398" s="489" t="str">
        <x:v>Hospital Beneficente Santa Lucia</x:v>
      </x:c>
      <x:c r="F398" s="489" t="str">
        <x:v>41160002</x:v>
      </x:c>
      <x:c r="G398" s="489" t="str">
        <x:v>41160002-2021</x:v>
      </x:c>
      <x:c r="H398" s="489" t="str">
        <x:v>Informado/corrigido a partir do mapa</x:v>
      </x:c>
      <x:c r="I398" s="503" t="n">
        <x:v>250000</x:v>
      </x:c>
      <x:c r="J398" s="503" t="n">
        <x:v>250000</x:v>
      </x:c>
      <x:c r="K398" s="489" t="str">
        <x:v>Emenda individual (processo seletivo)</x:v>
      </x:c>
      <x:c r="L398" s="489" t="str">
        <x:v>Recurso pago. Valor recebido: R$ 216.807,80. (Consultado Transferegov em 09/04/2024)</x:v>
      </x:c>
      <x:c r="M398" s="503" t="n">
        <x:v>216807.8</x:v>
      </x:c>
      <x:c r="N398" s="503" t="n">
        <x:v>0</x:v>
      </x:c>
      <x:c r="O398" s="503" t="n">
        <x:v>216807.8</x:v>
      </x:c>
      <x:c r="P398" s="503" t="n">
        <x:v>0</x:v>
      </x:c>
      <x:c r="Q398" s="503" t="n">
        <x:v>0</x:v>
      </x:c>
      <x:c r="R398" s="489" t="str"/>
      <x:c r="S398" s="489" t="str">
        <x:v>88590369000142</x:v>
      </x:c>
      <x:c r="T398" s="489" t="str">
        <x:v>VALOR DIVERGENTE / COBERTURA DIFERENTE</x:v>
      </x:c>
      <x:c r="U398" s="489" t="str">
        <x:v>Alta</x:v>
      </x:c>
      <x:c r="V398" s="489" t="str">
        <x:v>CNPJ candidato na fonte SIGA: 88590369000142</x:v>
      </x:c>
      <x:c r="W398" s="489" t="str">
        <x:v>Município/localidade encontrado em fonte comparável, mas valor não fecha exatamente</x:v>
      </x:c>
      <x:c r="X398" s="489" t="str">
        <x:v>https://discricionarias.transferegov.sistema.gov.br/voluntarias/ConsultarProposta/ResultadoDaConsultaDeConvenioSelecionarConvenio.do?sequencialConvenio=921225&amp;Usr=guest&amp;Pwd=guest</x:v>
      </x:c>
    </x:row>
    <x:row r="399">
      <x:c r="A399" s="502" t="n">
        <x:v>399</x:v>
      </x:c>
      <x:c r="B399" s="502" t="n">
        <x:v>2021</x:v>
      </x:c>
      <x:c r="C399" s="489" t="str">
        <x:v>Feliz</x:v>
      </x:c>
      <x:c r="D399" s="489" t="str">
        <x:v>Município</x:v>
      </x:c>
      <x:c r="E399" s="489" t="str">
        <x:v>Prefeitura Municipal</x:v>
      </x:c>
      <x:c r="F399" s="489" t="str">
        <x:v>41160004</x:v>
      </x:c>
      <x:c r="G399" s="489" t="str">
        <x:v>41160004-2021</x:v>
      </x:c>
      <x:c r="H399" s="489" t="str">
        <x:v>Informado/corrigido a partir do mapa</x:v>
      </x:c>
      <x:c r="I399" s="503" t="n">
        <x:v>250000</x:v>
      </x:c>
      <x:c r="J399" s="503" t="n">
        <x:v>250000</x:v>
      </x:c>
      <x:c r="K399" s="489" t="str">
        <x:v>Emenda Individual (processo seletivo)</x:v>
      </x:c>
      <x:c r="L399" s="489" t="str">
        <x:v>Recurso pago</x:v>
      </x:c>
      <x:c r="M399" s="503" t="n">
        <x:v>238856</x:v>
      </x:c>
      <x:c r="N399" s="503" t="n">
        <x:v>238856</x:v>
      </x:c>
      <x:c r="O399" s="503" t="n">
        <x:v>238856</x:v>
      </x:c>
      <x:c r="P399" s="503" t="n">
        <x:v>0</x:v>
      </x:c>
      <x:c r="Q399" s="503" t="n">
        <x:v>0</x:v>
      </x:c>
      <x:c r="R399" s="489" t="str"/>
      <x:c r="S399" s="489" t="str">
        <x:v>87838330000139</x:v>
      </x:c>
      <x:c r="T399" s="489" t="str">
        <x:v>VALOR DIVERGENTE / COBERTURA DIFERENTE</x:v>
      </x:c>
      <x:c r="U399" s="489" t="str">
        <x:v>Média</x:v>
      </x:c>
      <x:c r="V399" s="489" t="str">
        <x:v>CNPJ candidato na fonte SIGA: 87838330000139</x:v>
      </x:c>
      <x:c r="W399" s="489" t="str">
        <x:v>Município/localidade encontrado em fonte comparável, mas valor não fecha exatamente</x:v>
      </x:c>
      <x:c r="X399" s="489" t="str">
        <x:v>https://discricionarias.transferegov.sistema.gov.br/voluntarias/ConsultarProposta/ResultadoDaConsultaDeConvenioSelecionarConvenio.do?sequencialConvenio=917429&amp;Usr=guest&amp;Pwd=guest</x:v>
      </x:c>
    </x:row>
    <x:row r="400">
      <x:c r="A400" s="502" t="n">
        <x:v>400</x:v>
      </x:c>
      <x:c r="B400" s="502" t="n">
        <x:v>2021</x:v>
      </x:c>
      <x:c r="C400" s="489" t="str">
        <x:v>Pelotas</x:v>
      </x:c>
      <x:c r="D400" s="489" t="str">
        <x:v>Município</x:v>
      </x:c>
      <x:c r="E400" s="489" t="str">
        <x:v>Prefeitura Municipal</x:v>
      </x:c>
      <x:c r="F400" s="489" t="str">
        <x:v>41160004</x:v>
      </x:c>
      <x:c r="G400" s="489" t="str">
        <x:v>41160004-2021</x:v>
      </x:c>
      <x:c r="H400" s="489" t="str">
        <x:v>Informado/corrigido a partir do mapa</x:v>
      </x:c>
      <x:c r="I400" s="503" t="n">
        <x:v>250000</x:v>
      </x:c>
      <x:c r="J400" s="503" t="n">
        <x:v>250000</x:v>
      </x:c>
      <x:c r="K400" s="489" t="str">
        <x:v>Emenda Individual (processo seletivo)</x:v>
      </x:c>
      <x:c r="L400" s="489" t="str">
        <x:v>Empenhado. Recurso ainda não pago. Consultado Transferegov em 12/04/2024.</x:v>
      </x:c>
      <x:c r="M400" s="503" t="n">
        <x:v>238856</x:v>
      </x:c>
      <x:c r="N400" s="503" t="n">
        <x:v>238856</x:v>
      </x:c>
      <x:c r="O400" s="503" t="n">
        <x:v>238856</x:v>
      </x:c>
      <x:c r="P400" s="503" t="n">
        <x:v>0</x:v>
      </x:c>
      <x:c r="Q400" s="503" t="n">
        <x:v>0</x:v>
      </x:c>
      <x:c r="R400" s="489" t="str"/>
      <x:c r="S400" s="489" t="str">
        <x:v>87455531000157</x:v>
      </x:c>
      <x:c r="T400" s="489" t="str">
        <x:v>VALOR DIVERGENTE / COBERTURA DIFERENTE</x:v>
      </x:c>
      <x:c r="U400" s="489" t="str">
        <x:v>Média</x:v>
      </x:c>
      <x:c r="V400" s="489" t="str">
        <x:v>Situação possivelmente desatualizada: SIGA/execução regionalizada mostra pagamento; CNPJ candidato na fonte SIGA: 87455531000157</x:v>
      </x:c>
      <x:c r="W400" s="489" t="str">
        <x:v>Município/localidade encontrado em fonte comparável, mas valor não fecha exatamente</x:v>
      </x:c>
      <x:c r="X400" s="489" t="str">
        <x:v>https://discricionarias.transferegov.sistema.gov.br/voluntarias/ConsultarProposta/ResultadoDaConsultaDeConvenioSelecionarConvenio.do?sequencialConvenio=917428&amp;Usr=guest&amp;Pwd=guest</x:v>
      </x:c>
    </x:row>
    <x:row r="401">
      <x:c r="A401" s="502" t="n">
        <x:v>401</x:v>
      </x:c>
      <x:c r="B401" s="502" t="n">
        <x:v>2021</x:v>
      </x:c>
      <x:c r="C401" s="489" t="str">
        <x:v>Santa Cruz do Sul</x:v>
      </x:c>
      <x:c r="D401" s="489" t="str">
        <x:v>Hospital</x:v>
      </x:c>
      <x:c r="E401" s="489" t="str">
        <x:v>Hospital Ana Nery</x:v>
      </x:c>
      <x:c r="F401" s="489" t="str">
        <x:v>41160002</x:v>
      </x:c>
      <x:c r="G401" s="489" t="str">
        <x:v>41160002-2021</x:v>
      </x:c>
      <x:c r="H401" s="489" t="str">
        <x:v>Informado/corrigido a partir do mapa</x:v>
      </x:c>
      <x:c r="I401" s="503" t="n">
        <x:v>250000</x:v>
      </x:c>
      <x:c r="J401" s="503" t="n">
        <x:v>250000</x:v>
      </x:c>
      <x:c r="K401" s="489" t="str">
        <x:v>Emenda individual (processo seletivo)</x:v>
      </x:c>
      <x:c r="L401" s="489" t="str">
        <x:v>Recurso pago</x:v>
      </x:c>
      <x:c r="M401" s="503" t="n">
        <x:v>241674.58</x:v>
      </x:c>
      <x:c r="N401" s="503" t="n">
        <x:v>0</x:v>
      </x:c>
      <x:c r="O401" s="503" t="n">
        <x:v>241674.58</x:v>
      </x:c>
      <x:c r="P401" s="503" t="n">
        <x:v>0</x:v>
      </x:c>
      <x:c r="Q401" s="503" t="n">
        <x:v>0</x:v>
      </x:c>
      <x:c r="R401" s="489" t="str"/>
      <x:c r="S401" s="489" t="str">
        <x:v>95422358000119</x:v>
      </x:c>
      <x:c r="T401" s="489" t="str">
        <x:v>VALOR DIVERGENTE / COBERTURA DIFERENTE</x:v>
      </x:c>
      <x:c r="U401" s="489" t="str">
        <x:v>Média</x:v>
      </x:c>
      <x:c r="V401" s="489" t="str">
        <x:v>CNPJ candidato na fonte SIGA: 95422358000119</x:v>
      </x:c>
      <x:c r="W401" s="489" t="str">
        <x:v>Município/localidade encontrado em fonte comparável, mas valor não fecha exatamente</x:v>
      </x:c>
      <x:c r="X401" s="489" t="str">
        <x:v>https://discricionarias.transferegov.sistema.gov.br/voluntarias/ConsultarProposta/ResultadoDaConsultaDeConvenioSelecionarConvenio.do?sequencialConvenio=914855&amp;Usr=guest&amp;Pwd=guest</x:v>
      </x:c>
    </x:row>
    <x:row r="402">
      <x:c r="A402" s="502" t="n">
        <x:v>402</x:v>
      </x:c>
      <x:c r="B402" s="502" t="n">
        <x:v>2021</x:v>
      </x:c>
      <x:c r="C402" s="489" t="str">
        <x:v>São Francisco de Assis</x:v>
      </x:c>
      <x:c r="D402" s="489" t="str">
        <x:v>Prefeitura</x:v>
      </x:c>
      <x:c r="E402" s="489" t="str">
        <x:v>Prefeitura Municipal</x:v>
      </x:c>
      <x:c r="F402" s="489" t="str">
        <x:v>41160002</x:v>
      </x:c>
      <x:c r="G402" s="489" t="str">
        <x:v>41160002-2021</x:v>
      </x:c>
      <x:c r="H402" s="489" t="str">
        <x:v>Informado/corrigido a partir do mapa</x:v>
      </x:c>
      <x:c r="I402" s="503" t="n">
        <x:v>250000</x:v>
      </x:c>
      <x:c r="J402" s="503" t="n">
        <x:v>250000</x:v>
      </x:c>
      <x:c r="K402" s="489" t="str">
        <x:v>Emenda individual (processo seletivo)</x:v>
      </x:c>
      <x:c r="L402" s="489" t="str">
        <x:v>Recurso pago</x:v>
      </x:c>
      <x:c r="M402" s="503" t="n">
        <x:v>249321</x:v>
      </x:c>
      <x:c r="N402" s="503" t="n">
        <x:v>0</x:v>
      </x:c>
      <x:c r="O402" s="503" t="n">
        <x:v>0</x:v>
      </x:c>
      <x:c r="P402" s="503" t="n">
        <x:v>0</x:v>
      </x:c>
      <x:c r="Q402" s="503" t="n">
        <x:v>0</x:v>
      </x:c>
      <x:c r="R402" s="489" t="str"/>
      <x:c r="S402" s="489" t="str">
        <x:v>12094096000183</x:v>
      </x:c>
      <x:c r="T402" s="489" t="str">
        <x:v>VALOR DIVERGENTE / COBERTURA DIFERENTE</x:v>
      </x:c>
      <x:c r="U402" s="489" t="str">
        <x:v>Média</x:v>
      </x:c>
      <x:c r="V402" s="489" t="str">
        <x:v>CNPJ candidato na fonte SIGA: 12094096000183</x:v>
      </x:c>
      <x:c r="W402" s="489" t="str">
        <x:v>Município/localidade encontrado em fonte comparável, mas valor não fecha exatamente</x:v>
      </x:c>
      <x:c r="X402" s="489" t="str"/>
    </x:row>
    <x:row r="403">
      <x:c r="A403" s="502" t="n">
        <x:v>403</x:v>
      </x:c>
      <x:c r="B403" s="502" t="n">
        <x:v>2022</x:v>
      </x:c>
      <x:c r="C403" s="489" t="str">
        <x:v>Agudo</x:v>
      </x:c>
      <x:c r="D403" s="489" t="str">
        <x:v>Município</x:v>
      </x:c>
      <x:c r="E403" s="489" t="str">
        <x:v>Prefeitura Municipal</x:v>
      </x:c>
      <x:c r="F403" s="489" t="str">
        <x:v>41160005</x:v>
      </x:c>
      <x:c r="G403" s="489" t="str">
        <x:v>41160005-2022</x:v>
      </x:c>
      <x:c r="H403" s="489" t="str">
        <x:v>Informado/corrigido a partir do mapa</x:v>
      </x:c>
      <x:c r="I403" s="503" t="n">
        <x:v>250000</x:v>
      </x:c>
      <x:c r="J403" s="503" t="n">
        <x:v>250000</x:v>
      </x:c>
      <x:c r="K403" s="489" t="str">
        <x:v>Emenda Individual (processo seletivo)</x:v>
      </x:c>
      <x:c r="L403" s="489" t="str">
        <x:v>Empenhado (Consultado Transferegov em 16/04/2024)</x:v>
      </x:c>
      <x:c r="M403" s="503" t="n">
        <x:v>238856</x:v>
      </x:c>
      <x:c r="N403" s="503" t="n">
        <x:v>238856</x:v>
      </x:c>
      <x:c r="O403" s="503" t="n">
        <x:v>238856</x:v>
      </x:c>
      <x:c r="P403" s="503" t="n">
        <x:v>0</x:v>
      </x:c>
      <x:c r="Q403" s="503" t="n">
        <x:v>0</x:v>
      </x:c>
      <x:c r="R403" s="489" t="str"/>
      <x:c r="S403" s="489" t="str">
        <x:v>87531976000179</x:v>
      </x:c>
      <x:c r="T403" s="489" t="str">
        <x:v>VALOR DIVERGENTE / COBERTURA DIFERENTE</x:v>
      </x:c>
      <x:c r="U403" s="489" t="str">
        <x:v>Média</x:v>
      </x:c>
      <x:c r="V403" s="489" t="str">
        <x:v>Situação possivelmente desatualizada: SIGA/execução regionalizada mostra pagamento; CNPJ candidato na fonte SIGA: 87531976000179</x:v>
      </x:c>
      <x:c r="W403" s="489" t="str">
        <x:v>Município/localidade encontrado em fonte comparável, mas valor não fecha exatamente</x:v>
      </x:c>
      <x:c r="X403" s="489" t="str">
        <x:v>https://discricionarias.transferegov.sistema.gov.br/voluntarias/ConsultarProposta/ResultadoDaConsultaDeConvenioSelecionarConvenio.do?sequencialConvenio=934320&amp;Usr=guest&amp;Pwd=guest</x:v>
      </x:c>
    </x:row>
    <x:row r="404">
      <x:c r="A404" s="502" t="n">
        <x:v>404</x:v>
      </x:c>
      <x:c r="B404" s="502" t="n">
        <x:v>2022</x:v>
      </x:c>
      <x:c r="C404" s="489" t="str">
        <x:v>Campo Bom</x:v>
      </x:c>
      <x:c r="D404" s="489" t="str">
        <x:v>Município</x:v>
      </x:c>
      <x:c r="E404" s="489" t="str">
        <x:v>Fundo Municipal de Saúde</x:v>
      </x:c>
      <x:c r="F404" s="489" t="str">
        <x:v>41160003</x:v>
      </x:c>
      <x:c r="G404" s="489" t="str">
        <x:v>41160003-2022</x:v>
      </x:c>
      <x:c r="H404" s="489" t="str">
        <x:v>Informado/corrigido a partir do mapa</x:v>
      </x:c>
      <x:c r="I404" s="503" t="n">
        <x:v>250000</x:v>
      </x:c>
      <x:c r="J404" s="503" t="n">
        <x:v>250000</x:v>
      </x:c>
      <x:c r="K404" s="489" t="str">
        <x:v>Emenda Individual </x:v>
      </x:c>
      <x:c r="L404" s="489" t="str">
        <x:v>Indicação não localizada no SIOP (08/04/2024)</x:v>
      </x:c>
      <x:c r="M404" s="503" t="n">
        <x:v>0</x:v>
      </x:c>
      <x:c r="N404" s="503" t="n">
        <x:v>0</x:v>
      </x:c>
      <x:c r="O404" s="503" t="n">
        <x:v>0</x:v>
      </x:c>
      <x:c r="P404" s="503" t="n">
        <x:v>0</x:v>
      </x:c>
      <x:c r="Q404" s="503" t="n">
        <x:v>0</x:v>
      </x:c>
      <x:c r="R404" s="489" t="str"/>
      <x:c r="S404" s="489" t="str"/>
      <x:c r="T404" s="489" t="str">
        <x:v>EMENDA CONFIRMADA; DESTINO NÃO CONFIRMADO</x:v>
      </x:c>
      <x:c r="U404" s="489" t="str">
        <x:v>Média</x:v>
      </x:c>
      <x:c r="V404" s="489" t="str"/>
      <x:c r="W404" s="489" t="str">
        <x:v>Nº existe no SIGA; destinatário específico não foi confirmado nas bases anexas</x:v>
      </x:c>
      <x:c r="X404" s="489" t="str"/>
    </x:row>
    <x:row r="405">
      <x:c r="A405" s="502" t="n">
        <x:v>405</x:v>
      </x:c>
      <x:c r="B405" s="502" t="n">
        <x:v>2022</x:v>
      </x:c>
      <x:c r="C405" s="489" t="str">
        <x:v>Candelária</x:v>
      </x:c>
      <x:c r="D405" s="489" t="str">
        <x:v>Município</x:v>
      </x:c>
      <x:c r="E405" s="489" t="str">
        <x:v>Prefeitura Municipal</x:v>
      </x:c>
      <x:c r="F405" s="489" t="str">
        <x:v>41160005</x:v>
      </x:c>
      <x:c r="G405" s="489" t="str">
        <x:v>41160005-2022</x:v>
      </x:c>
      <x:c r="H405" s="489" t="str">
        <x:v>Informado/corrigido a partir do mapa</x:v>
      </x:c>
      <x:c r="I405" s="503" t="n">
        <x:v>250000</x:v>
      </x:c>
      <x:c r="J405" s="503" t="n">
        <x:v>250000</x:v>
      </x:c>
      <x:c r="K405" s="489" t="str">
        <x:v>Emenda Individual (processo seletivo)</x:v>
      </x:c>
      <x:c r="L405" s="489" t="str">
        <x:v>Empenhado (Consultado Transferegov em 16/04/2024)</x:v>
      </x:c>
      <x:c r="M405" s="503" t="n">
        <x:v>238856</x:v>
      </x:c>
      <x:c r="N405" s="503" t="n">
        <x:v>238856</x:v>
      </x:c>
      <x:c r="O405" s="503" t="n">
        <x:v>238856</x:v>
      </x:c>
      <x:c r="P405" s="503" t="n">
        <x:v>0</x:v>
      </x:c>
      <x:c r="Q405" s="503" t="n">
        <x:v>0</x:v>
      </x:c>
      <x:c r="R405" s="489" t="str"/>
      <x:c r="S405" s="489" t="str">
        <x:v>87568911000106</x:v>
      </x:c>
      <x:c r="T405" s="489" t="str">
        <x:v>VALOR DIVERGENTE / COBERTURA DIFERENTE</x:v>
      </x:c>
      <x:c r="U405" s="489" t="str">
        <x:v>Média</x:v>
      </x:c>
      <x:c r="V405" s="489" t="str">
        <x:v>Situação possivelmente desatualizada: SIGA/execução regionalizada mostra pagamento; CNPJ candidato na fonte SIGA: 87568911000106</x:v>
      </x:c>
      <x:c r="W405" s="489" t="str">
        <x:v>Município/localidade encontrado em fonte comparável, mas valor não fecha exatamente</x:v>
      </x:c>
      <x:c r="X405" s="489" t="str">
        <x:v>https://discricionarias.transferegov.sistema.gov.br/voluntarias/ConsultarProposta/ResultadoDaConsultaDeConvenioSelecionarConvenio.do?sequencialConvenio=934326&amp;Usr=guest&amp;Pwd=guest</x:v>
      </x:c>
    </x:row>
    <x:row r="406">
      <x:c r="A406" s="502" t="n">
        <x:v>406</x:v>
      </x:c>
      <x:c r="B406" s="502" t="n">
        <x:v>2022</x:v>
      </x:c>
      <x:c r="C406" s="489" t="str">
        <x:v>Derrubadas</x:v>
      </x:c>
      <x:c r="D406" s="489" t="str">
        <x:v>Município</x:v>
      </x:c>
      <x:c r="E406" s="489" t="str">
        <x:v>Prefeitura Municipal</x:v>
      </x:c>
      <x:c r="F406" s="489" t="str">
        <x:v>41160005</x:v>
      </x:c>
      <x:c r="G406" s="489" t="str">
        <x:v>41160005-2022</x:v>
      </x:c>
      <x:c r="H406" s="489" t="str">
        <x:v>Informado/corrigido a partir do mapa</x:v>
      </x:c>
      <x:c r="I406" s="503" t="n">
        <x:v>250000</x:v>
      </x:c>
      <x:c r="J406" s="503" t="n">
        <x:v>250000</x:v>
      </x:c>
      <x:c r="K406" s="489" t="str">
        <x:v>Emenda Individual (processo seletivo)</x:v>
      </x:c>
      <x:c r="L406" s="489" t="str">
        <x:v>Empenhado</x:v>
      </x:c>
      <x:c r="M406" s="503" t="n">
        <x:v>238856</x:v>
      </x:c>
      <x:c r="N406" s="503" t="n">
        <x:v>238856</x:v>
      </x:c>
      <x:c r="O406" s="503" t="n">
        <x:v>238856</x:v>
      </x:c>
      <x:c r="P406" s="503" t="n">
        <x:v>0</x:v>
      </x:c>
      <x:c r="Q406" s="503" t="n">
        <x:v>0</x:v>
      </x:c>
      <x:c r="R406" s="489" t="str"/>
      <x:c r="S406" s="489" t="str">
        <x:v>94442282000120</x:v>
      </x:c>
      <x:c r="T406" s="489" t="str">
        <x:v>VALOR DIVERGENTE / COBERTURA DIFERENTE</x:v>
      </x:c>
      <x:c r="U406" s="489" t="str">
        <x:v>Média</x:v>
      </x:c>
      <x:c r="V406" s="489" t="str">
        <x:v>Situação possivelmente desatualizada: SIGA/execução regionalizada mostra pagamento; CNPJ candidato na fonte SIGA: 94442282000120</x:v>
      </x:c>
      <x:c r="W406" s="489" t="str">
        <x:v>Município/localidade encontrado em fonte comparável, mas valor não fecha exatamente</x:v>
      </x:c>
      <x:c r="X406" s="489" t="str">
        <x:v>https://discricionarias.transferegov.sistema.gov.br/voluntarias/ConsultarProposta/ResultadoDaConsultaDeConvenioSelecionarConvenio.do?sequencialConvenio=934331&amp;Usr=guest&amp;Pwd=guest</x:v>
      </x:c>
    </x:row>
    <x:row r="407">
      <x:c r="A407" s="502" t="n">
        <x:v>407</x:v>
      </x:c>
      <x:c r="B407" s="502" t="n">
        <x:v>2022</x:v>
      </x:c>
      <x:c r="C407" s="489" t="str">
        <x:v>Farroupilha</x:v>
      </x:c>
      <x:c r="D407" s="489" t="str">
        <x:v>Hospital</x:v>
      </x:c>
      <x:c r="E407" s="489" t="str">
        <x:v>Hospital São Carlos</x:v>
      </x:c>
      <x:c r="F407" s="489" t="str">
        <x:v>7120004</x:v>
      </x:c>
      <x:c r="G407" s="489" t="str">
        <x:v>7120004-2022</x:v>
      </x:c>
      <x:c r="H407" s="489" t="str">
        <x:v>Informado/corrigido a partir do mapa</x:v>
      </x:c>
      <x:c r="I407" s="503" t="n">
        <x:v>250000</x:v>
      </x:c>
      <x:c r="J407" s="503" t="n">
        <x:v>250000</x:v>
      </x:c>
      <x:c r="K407" s="489" t="str">
        <x:v>Emenda de bancada (processo seletivo)</x:v>
      </x:c>
      <x:c r="L407" s="489" t="str">
        <x:v>Recurso pago</x:v>
      </x:c>
      <x:c r="M407" s="503" t="n">
        <x:v>0</x:v>
      </x:c>
      <x:c r="N407" s="503" t="n">
        <x:v>0</x:v>
      </x:c>
      <x:c r="O407" s="503" t="n">
        <x:v>0</x:v>
      </x:c>
      <x:c r="P407" s="503" t="n">
        <x:v>0</x:v>
      </x:c>
      <x:c r="Q407" s="503" t="n">
        <x:v>0</x:v>
      </x:c>
      <x:c r="R407" s="489" t="str"/>
      <x:c r="S407" s="489" t="str"/>
      <x:c r="T407" s="489" t="str">
        <x:v>Nº NÃO LOCALIZADO</x:v>
      </x:c>
      <x:c r="U407" s="489" t="str">
        <x:v>Média</x:v>
      </x:c>
      <x:c r="V407" s="489" t="str"/>
      <x:c r="W407" s="489" t="str"/>
      <x:c r="X407" s="489" t="str"/>
    </x:row>
    <x:row r="408">
      <x:c r="A408" s="502" t="n">
        <x:v>408</x:v>
      </x:c>
      <x:c r="B408" s="502" t="n">
        <x:v>2022</x:v>
      </x:c>
      <x:c r="C408" s="489" t="str">
        <x:v>Maratá</x:v>
      </x:c>
      <x:c r="D408" s="489" t="str">
        <x:v>Município</x:v>
      </x:c>
      <x:c r="E408" s="489" t="str">
        <x:v>Prefeitura Municipal</x:v>
      </x:c>
      <x:c r="F408" s="489" t="str">
        <x:v>41160005</x:v>
      </x:c>
      <x:c r="G408" s="489" t="str">
        <x:v>41160005-2022</x:v>
      </x:c>
      <x:c r="H408" s="489" t="str">
        <x:v>Informado/corrigido a partir do mapa</x:v>
      </x:c>
      <x:c r="I408" s="503" t="n">
        <x:v>250000</x:v>
      </x:c>
      <x:c r="J408" s="503" t="n">
        <x:v>250000</x:v>
      </x:c>
      <x:c r="K408" s="489" t="str">
        <x:v>Emenda Individual (processo seletivo)</x:v>
      </x:c>
      <x:c r="L408" s="489" t="str">
        <x:v>Recurso pago. (Foram pagos R$ 238,856, consultado no Transferegov em 16/04/2024). O saldo restante não foi empenhado.</x:v>
      </x:c>
      <x:c r="M408" s="503" t="n">
        <x:v>238856</x:v>
      </x:c>
      <x:c r="N408" s="503" t="n">
        <x:v>238856</x:v>
      </x:c>
      <x:c r="O408" s="503" t="n">
        <x:v>238856</x:v>
      </x:c>
      <x:c r="P408" s="503" t="n">
        <x:v>0</x:v>
      </x:c>
      <x:c r="Q408" s="503" t="n">
        <x:v>0</x:v>
      </x:c>
      <x:c r="R408" s="489" t="str"/>
      <x:c r="S408" s="489" t="str">
        <x:v>93235943000184</x:v>
      </x:c>
      <x:c r="T408" s="489" t="str">
        <x:v>VALOR DIVERGENTE / COBERTURA DIFERENTE</x:v>
      </x:c>
      <x:c r="U408" s="489" t="str">
        <x:v>Média</x:v>
      </x:c>
      <x:c r="V408" s="489" t="str">
        <x:v>Situação possivelmente desatualizada: SIGA/execução regionalizada mostra pagamento; CNPJ candidato na fonte SIGA: 93235943000184</x:v>
      </x:c>
      <x:c r="W408" s="489" t="str">
        <x:v>Município/localidade encontrado em fonte comparável, mas valor não fecha exatamente</x:v>
      </x:c>
      <x:c r="X408" s="489" t="str">
        <x:v>https://discricionarias.transferegov.sistema.gov.br/voluntarias/ConsultarProposta/ResultadoDaConsultaDeConvenioSelecionarConvenio.do?sequencialConvenio=934328&amp;Usr=guest&amp;Pwd=guest</x:v>
      </x:c>
    </x:row>
    <x:row r="409">
      <x:c r="A409" s="502" t="n">
        <x:v>409</x:v>
      </x:c>
      <x:c r="B409" s="502" t="n">
        <x:v>2022</x:v>
      </x:c>
      <x:c r="C409" s="489" t="str">
        <x:v>Morro Reuter</x:v>
      </x:c>
      <x:c r="D409" s="489" t="str">
        <x:v>Município</x:v>
      </x:c>
      <x:c r="E409" s="489" t="str">
        <x:v>Prefeitura Municipal</x:v>
      </x:c>
      <x:c r="F409" s="489" t="str">
        <x:v>41160005</x:v>
      </x:c>
      <x:c r="G409" s="489" t="str">
        <x:v>41160005-2022</x:v>
      </x:c>
      <x:c r="H409" s="489" t="str">
        <x:v>Informado/corrigido a partir do mapa</x:v>
      </x:c>
      <x:c r="I409" s="503" t="n">
        <x:v>250000</x:v>
      </x:c>
      <x:c r="J409" s="503" t="n">
        <x:v>250000</x:v>
      </x:c>
      <x:c r="K409" s="489" t="str">
        <x:v>Emenda Individual (processo seletivo)</x:v>
      </x:c>
      <x:c r="L409" s="489" t="str">
        <x:v>Recurso pago. (Foram pagos R$ 238.856,00, conforme consulta no Transferegov em 16/04/2024. O saldo remanescente não foi empenhado).</x:v>
      </x:c>
      <x:c r="M409" s="503" t="n">
        <x:v>238856</x:v>
      </x:c>
      <x:c r="N409" s="503" t="n">
        <x:v>238856</x:v>
      </x:c>
      <x:c r="O409" s="503" t="n">
        <x:v>238856</x:v>
      </x:c>
      <x:c r="P409" s="503" t="n">
        <x:v>0</x:v>
      </x:c>
      <x:c r="Q409" s="503" t="n">
        <x:v>0</x:v>
      </x:c>
      <x:c r="R409" s="489" t="str"/>
      <x:c r="S409" s="489" t="str">
        <x:v>94707627000120</x:v>
      </x:c>
      <x:c r="T409" s="489" t="str">
        <x:v>VALOR DIVERGENTE / COBERTURA DIFERENTE</x:v>
      </x:c>
      <x:c r="U409" s="489" t="str">
        <x:v>Média</x:v>
      </x:c>
      <x:c r="V409" s="489" t="str">
        <x:v>Situação possivelmente desatualizada: SIGA/execução regionalizada mostra pagamento; CNPJ candidato na fonte SIGA: 94707627000120</x:v>
      </x:c>
      <x:c r="W409" s="489" t="str">
        <x:v>Município/localidade encontrado em fonte comparável, mas valor não fecha exatamente</x:v>
      </x:c>
      <x:c r="X409" s="489" t="str">
        <x:v>https://discricionarias.transferegov.sistema.gov.br/voluntarias/ConsultarProposta/ResultadoDaConsultaDeConvenioSelecionarConvenio.do?sequencialConvenio=934329&amp;Usr=guest&amp;Pwd=guest</x:v>
      </x:c>
    </x:row>
    <x:row r="410">
      <x:c r="A410" s="502" t="n">
        <x:v>410</x:v>
      </x:c>
      <x:c r="B410" s="502" t="n">
        <x:v>2022</x:v>
      </x:c>
      <x:c r="C410" s="489" t="str">
        <x:v>Rodeio Bonito</x:v>
      </x:c>
      <x:c r="D410" s="489" t="str">
        <x:v>Hospital</x:v>
      </x:c>
      <x:c r="E410" s="489" t="str">
        <x:v>Associação Hospitalar São Jose</x:v>
      </x:c>
      <x:c r="F410" s="489" t="str">
        <x:v>41160003</x:v>
      </x:c>
      <x:c r="G410" s="489" t="str">
        <x:v>41160003-2022</x:v>
      </x:c>
      <x:c r="H410" s="489" t="str">
        <x:v>Informado/corrigido a partir do mapa</x:v>
      </x:c>
      <x:c r="I410" s="503" t="n">
        <x:v>250000</x:v>
      </x:c>
      <x:c r="J410" s="503" t="n">
        <x:v>250000</x:v>
      </x:c>
      <x:c r="K410" s="489" t="str">
        <x:v>Emenda Individual </x:v>
      </x:c>
      <x:c r="L410" s="489" t="str">
        <x:v>Recurso pago</x:v>
      </x:c>
      <x:c r="M410" s="503" t="n">
        <x:v>245000</x:v>
      </x:c>
      <x:c r="N410" s="503" t="n">
        <x:v>250000</x:v>
      </x:c>
      <x:c r="O410" s="503" t="n">
        <x:v>245000</x:v>
      </x:c>
      <x:c r="P410" s="503" t="n">
        <x:v>0</x:v>
      </x:c>
      <x:c r="Q410" s="503" t="n">
        <x:v>0</x:v>
      </x:c>
      <x:c r="R410" s="489" t="str"/>
      <x:c r="S410" s="489" t="str">
        <x:v>01884775000130</x:v>
      </x:c>
      <x:c r="T410" s="489" t="str">
        <x:v>VALOR DIVERGENTE / COBERTURA DIFERENTE</x:v>
      </x:c>
      <x:c r="U410" s="489" t="str">
        <x:v>Média</x:v>
      </x:c>
      <x:c r="V410" s="489" t="str">
        <x:v>CNPJ candidato na fonte SIGA: 01884775000130</x:v>
      </x:c>
      <x:c r="W410" s="489" t="str">
        <x:v>Município/localidade encontrado em fonte comparável, mas valor não fecha exatamente</x:v>
      </x:c>
      <x:c r="X410" s="489" t="str">
        <x:v>https://discricionarias.transferegov.sistema.gov.br/voluntarias/ConsultarProposta/ResultadoDaConsultaDeConvenioSelecionarConvenio.do?sequencialConvenio=935712&amp;Usr=guest&amp;Pwd=guest</x:v>
      </x:c>
    </x:row>
    <x:row r="411">
      <x:c r="A411" s="502" t="n">
        <x:v>411</x:v>
      </x:c>
      <x:c r="B411" s="502" t="n">
        <x:v>2022</x:v>
      </x:c>
      <x:c r="C411" s="489" t="str">
        <x:v>São Sebastião do Caí</x:v>
      </x:c>
      <x:c r="D411" s="489" t="str">
        <x:v>Município</x:v>
      </x:c>
      <x:c r="E411" s="489" t="str">
        <x:v>Prefeitura Municipal</x:v>
      </x:c>
      <x:c r="F411" s="489" t="str">
        <x:v>41160005</x:v>
      </x:c>
      <x:c r="G411" s="489" t="str">
        <x:v>41160005-2022</x:v>
      </x:c>
      <x:c r="H411" s="489" t="str">
        <x:v>Informado/corrigido a partir do mapa</x:v>
      </x:c>
      <x:c r="I411" s="503" t="n">
        <x:v>250000</x:v>
      </x:c>
      <x:c r="J411" s="503" t="n">
        <x:v>250000</x:v>
      </x:c>
      <x:c r="K411" s="489" t="str">
        <x:v>Emenda Individual (processo seletivo)</x:v>
      </x:c>
      <x:c r="L411" s="489" t="str">
        <x:v>Empenhado (Consultado Transferegov em 16/04/2024)</x:v>
      </x:c>
      <x:c r="M411" s="503" t="n">
        <x:v>238856</x:v>
      </x:c>
      <x:c r="N411" s="503" t="n">
        <x:v>238856</x:v>
      </x:c>
      <x:c r="O411" s="503" t="n">
        <x:v>238856</x:v>
      </x:c>
      <x:c r="P411" s="503" t="n">
        <x:v>0</x:v>
      </x:c>
      <x:c r="Q411" s="503" t="n">
        <x:v>0</x:v>
      </x:c>
      <x:c r="R411" s="489" t="str"/>
      <x:c r="S411" s="489" t="str">
        <x:v>88370879000104</x:v>
      </x:c>
      <x:c r="T411" s="489" t="str">
        <x:v>VALOR DIVERGENTE / COBERTURA DIFERENTE</x:v>
      </x:c>
      <x:c r="U411" s="489" t="str">
        <x:v>Média</x:v>
      </x:c>
      <x:c r="V411" s="489" t="str">
        <x:v>Situação possivelmente desatualizada: SIGA/execução regionalizada mostra pagamento; CNPJ candidato na fonte SIGA: 88370879000104</x:v>
      </x:c>
      <x:c r="W411" s="489" t="str">
        <x:v>Município/localidade encontrado em fonte comparável, mas valor não fecha exatamente</x:v>
      </x:c>
      <x:c r="X411" s="489" t="str">
        <x:v>https://discricionarias.transferegov.sistema.gov.br/voluntarias/ConsultarProposta/ResultadoDaConsultaDeConvenioSelecionarConvenio.do?sequencialConvenio=934324&amp;Usr=guest&amp;Pwd=guest</x:v>
      </x:c>
    </x:row>
    <x:row r="412">
      <x:c r="A412" s="502" t="n">
        <x:v>412</x:v>
      </x:c>
      <x:c r="B412" s="502" t="n">
        <x:v>2022</x:v>
      </x:c>
      <x:c r="C412" s="489" t="str">
        <x:v>Porto Alegre</x:v>
      </x:c>
      <x:c r="D412" s="489" t="str">
        <x:v>Município</x:v>
      </x:c>
      <x:c r="E412" s="489" t="str">
        <x:v>Posto de Saúde na Vila Mário Quintana (com Lasier Martins)</x:v>
      </x:c>
      <x:c r="F412" s="489" t="str"/>
      <x:c r="G412" s="489" t="str"/>
      <x:c r="H412" s="489" t="str">
        <x:v>Sem nº conciliado</x:v>
      </x:c>
      <x:c r="I412" s="503" t="n">
        <x:v>250000</x:v>
      </x:c>
      <x:c r="J412" s="503" t="n">
        <x:v>1250000</x:v>
      </x:c>
      <x:c r="K412" s="489" t="str">
        <x:v>Emenda de bancada</x:v>
      </x:c>
      <x:c r="L412" s="489" t="str">
        <x:v>Indicado. </x:v>
      </x:c>
      <x:c r="M412" s="503" t="n">
        <x:v>0</x:v>
      </x:c>
      <x:c r="N412" s="503" t="n">
        <x:v>0</x:v>
      </x:c>
      <x:c r="O412" s="503" t="n">
        <x:v>0</x:v>
      </x:c>
      <x:c r="P412" s="503" t="n">
        <x:v>0</x:v>
      </x:c>
      <x:c r="Q412" s="503" t="n">
        <x:v>0</x:v>
      </x:c>
      <x:c r="R412" s="489" t="str"/>
      <x:c r="S412" s="489" t="str"/>
      <x:c r="T412" s="489" t="str">
        <x:v>SEM Nº / NÃO CONCILIADO</x:v>
      </x:c>
      <x:c r="U412" s="489" t="str">
        <x:v>Média</x:v>
      </x:c>
      <x:c r="V412" s="489" t="str"/>
      <x:c r="W412" s="489" t="str"/>
      <x:c r="X412" s="489" t="str"/>
    </x:row>
    <x:row r="413">
      <x:c r="A413" s="502" t="n">
        <x:v>413</x:v>
      </x:c>
      <x:c r="B413" s="502" t="n">
        <x:v>2023</x:v>
      </x:c>
      <x:c r="C413" s="489" t="str">
        <x:v>Caxias do Sul</x:v>
      </x:c>
      <x:c r="D413" s="489" t="str">
        <x:v>Prefeitura</x:v>
      </x:c>
      <x:c r="E413" s="489" t="str">
        <x:v>Prefeitura de Caxias do Sul</x:v>
      </x:c>
      <x:c r="F413" s="489" t="str"/>
      <x:c r="G413" s="489" t="str"/>
      <x:c r="H413" s="489" t="str">
        <x:v>Sem nº conciliado</x:v>
      </x:c>
      <x:c r="I413" s="503" t="n">
        <x:v>250000</x:v>
      </x:c>
      <x:c r="J413" s="503" t="n">
        <x:v>1669941.01</x:v>
      </x:c>
      <x:c r="K413" s="489" t="str">
        <x:v>Emenda Individual</x:v>
      </x:c>
      <x:c r="L413" s="489" t="str">
        <x:v>Empenhado</x:v>
      </x:c>
      <x:c r="M413" s="503" t="n">
        <x:v>0</x:v>
      </x:c>
      <x:c r="N413" s="503" t="n">
        <x:v>0</x:v>
      </x:c>
      <x:c r="O413" s="503" t="n">
        <x:v>0</x:v>
      </x:c>
      <x:c r="P413" s="503" t="n">
        <x:v>0</x:v>
      </x:c>
      <x:c r="Q413" s="503" t="n">
        <x:v>0</x:v>
      </x:c>
      <x:c r="R413" s="489" t="str"/>
      <x:c r="S413" s="489" t="str"/>
      <x:c r="T413" s="489" t="str">
        <x:v>SEM Nº / NÃO CONCILIADO</x:v>
      </x:c>
      <x:c r="U413" s="489" t="str">
        <x:v>Média</x:v>
      </x:c>
      <x:c r="V413" s="489" t="str"/>
      <x:c r="W413" s="489" t="str"/>
      <x:c r="X413" s="489" t="str"/>
    </x:row>
    <x:row r="414">
      <x:c r="A414" s="502" t="n">
        <x:v>414</x:v>
      </x:c>
      <x:c r="B414" s="502" t="n">
        <x:v>2023</x:v>
      </x:c>
      <x:c r="C414" s="489" t="str">
        <x:v>Harmonia</x:v>
      </x:c>
      <x:c r="D414" s="489" t="str">
        <x:v>Prefeitura</x:v>
      </x:c>
      <x:c r="E414" s="489" t="str">
        <x:v>Prefeitura de Harmonia</x:v>
      </x:c>
      <x:c r="F414" s="489" t="str"/>
      <x:c r="G414" s="489" t="str"/>
      <x:c r="H414" s="489" t="str">
        <x:v>Sem nº conciliado</x:v>
      </x:c>
      <x:c r="I414" s="503" t="n">
        <x:v>250000</x:v>
      </x:c>
      <x:c r="J414" s="503" t="n">
        <x:v>250000</x:v>
      </x:c>
      <x:c r="K414" s="489" t="str">
        <x:v>Emenda Individual</x:v>
      </x:c>
      <x:c r="L414" s="489" t="str">
        <x:v>Recurso empenhado</x:v>
      </x:c>
      <x:c r="M414" s="503" t="n">
        <x:v>0</x:v>
      </x:c>
      <x:c r="N414" s="503" t="n">
        <x:v>0</x:v>
      </x:c>
      <x:c r="O414" s="503" t="n">
        <x:v>0</x:v>
      </x:c>
      <x:c r="P414" s="503" t="n">
        <x:v>0</x:v>
      </x:c>
      <x:c r="Q414" s="503" t="n">
        <x:v>0</x:v>
      </x:c>
      <x:c r="R414" s="489" t="str"/>
      <x:c r="S414" s="489" t="str"/>
      <x:c r="T414" s="489" t="str">
        <x:v>SEM Nº / NÃO CONCILIADO</x:v>
      </x:c>
      <x:c r="U414" s="489" t="str">
        <x:v>Média</x:v>
      </x:c>
      <x:c r="V414" s="489" t="str"/>
      <x:c r="W414" s="489" t="str"/>
      <x:c r="X414" s="489" t="str"/>
    </x:row>
    <x:row r="415">
      <x:c r="A415" s="502" t="n">
        <x:v>415</x:v>
      </x:c>
      <x:c r="B415" s="502" t="n">
        <x:v>2023</x:v>
      </x:c>
      <x:c r="C415" s="489" t="str">
        <x:v>São Miguel das Missões</x:v>
      </x:c>
      <x:c r="D415" s="489" t="str">
        <x:v>Prefeitura</x:v>
      </x:c>
      <x:c r="E415" s="489" t="str">
        <x:v>Prefeitura de São Miguel das Missões</x:v>
      </x:c>
      <x:c r="F415" s="489" t="str"/>
      <x:c r="G415" s="489" t="str"/>
      <x:c r="H415" s="489" t="str">
        <x:v>Sem nº conciliado</x:v>
      </x:c>
      <x:c r="I415" s="503" t="n">
        <x:v>250000</x:v>
      </x:c>
      <x:c r="J415" s="503" t="n">
        <x:v>250000</x:v>
      </x:c>
      <x:c r="K415" s="489" t="str">
        <x:v>Emenda Individual</x:v>
      </x:c>
      <x:c r="L415" s="489" t="str">
        <x:v>Empenhado</x:v>
      </x:c>
      <x:c r="M415" s="503" t="n">
        <x:v>0</x:v>
      </x:c>
      <x:c r="N415" s="503" t="n">
        <x:v>0</x:v>
      </x:c>
      <x:c r="O415" s="503" t="n">
        <x:v>0</x:v>
      </x:c>
      <x:c r="P415" s="503" t="n">
        <x:v>0</x:v>
      </x:c>
      <x:c r="Q415" s="503" t="n">
        <x:v>0</x:v>
      </x:c>
      <x:c r="R415" s="489" t="str"/>
      <x:c r="S415" s="489" t="str"/>
      <x:c r="T415" s="489" t="str">
        <x:v>SEM Nº / NÃO CONCILIADO</x:v>
      </x:c>
      <x:c r="U415" s="489" t="str">
        <x:v>Média</x:v>
      </x:c>
      <x:c r="V415" s="489" t="str"/>
      <x:c r="W415" s="489" t="str"/>
      <x:c r="X415" s="489" t="str"/>
    </x:row>
    <x:row r="416">
      <x:c r="A416" s="502" t="n">
        <x:v>416</x:v>
      </x:c>
      <x:c r="B416" s="502" t="n">
        <x:v>2023</x:v>
      </x:c>
      <x:c r="C416" s="489" t="str">
        <x:v>Campina das Missões</x:v>
      </x:c>
      <x:c r="D416" s="489" t="str">
        <x:v>Hospital</x:v>
      </x:c>
      <x:c r="E416" s="489" t="str">
        <x:v>Associação Assistencial Cultural E Hospitalar Pe. Benedito Meister</x:v>
      </x:c>
      <x:c r="F416" s="489" t="str"/>
      <x:c r="G416" s="489" t="str"/>
      <x:c r="H416" s="489" t="str">
        <x:v>Sem nº conciliado</x:v>
      </x:c>
      <x:c r="I416" s="503" t="n">
        <x:v>250000</x:v>
      </x:c>
      <x:c r="J416" s="503" t="n">
        <x:v>250000</x:v>
      </x:c>
      <x:c r="K416" s="489" t="str">
        <x:v>Emenda Individual</x:v>
      </x:c>
      <x:c r="L416" s="489" t="str">
        <x:v>Empenhado</x:v>
      </x:c>
      <x:c r="M416" s="503" t="n">
        <x:v>0</x:v>
      </x:c>
      <x:c r="N416" s="503" t="n">
        <x:v>0</x:v>
      </x:c>
      <x:c r="O416" s="503" t="n">
        <x:v>0</x:v>
      </x:c>
      <x:c r="P416" s="503" t="n">
        <x:v>0</x:v>
      </x:c>
      <x:c r="Q416" s="503" t="n">
        <x:v>0</x:v>
      </x:c>
      <x:c r="R416" s="489" t="str"/>
      <x:c r="S416" s="489" t="str"/>
      <x:c r="T416" s="489" t="str">
        <x:v>SEM Nº / NÃO CONCILIADO</x:v>
      </x:c>
      <x:c r="U416" s="489" t="str">
        <x:v>Média</x:v>
      </x:c>
      <x:c r="V416" s="489" t="str"/>
      <x:c r="W416" s="489" t="str"/>
      <x:c r="X416" s="489" t="str"/>
    </x:row>
    <x:row r="417">
      <x:c r="A417" s="502" t="n">
        <x:v>417</x:v>
      </x:c>
      <x:c r="B417" s="502" t="n">
        <x:v>2023</x:v>
      </x:c>
      <x:c r="C417" s="489" t="str">
        <x:v>Capão da Canoa</x:v>
      </x:c>
      <x:c r="D417" s="489" t="str">
        <x:v>Hospital</x:v>
      </x:c>
      <x:c r="E417" s="489" t="str">
        <x:v>Hospital Santa Luzia</x:v>
      </x:c>
      <x:c r="F417" s="489" t="str"/>
      <x:c r="G417" s="489" t="str"/>
      <x:c r="H417" s="489" t="str">
        <x:v>Sem nº conciliado</x:v>
      </x:c>
      <x:c r="I417" s="503" t="n">
        <x:v>250000</x:v>
      </x:c>
      <x:c r="J417" s="503" t="n">
        <x:v>250000</x:v>
      </x:c>
      <x:c r="K417" s="489" t="str">
        <x:v>Emenda Individual</x:v>
      </x:c>
      <x:c r="L417" s="489" t="str">
        <x:v>Empenhado</x:v>
      </x:c>
      <x:c r="M417" s="503" t="n">
        <x:v>0</x:v>
      </x:c>
      <x:c r="N417" s="503" t="n">
        <x:v>0</x:v>
      </x:c>
      <x:c r="O417" s="503" t="n">
        <x:v>0</x:v>
      </x:c>
      <x:c r="P417" s="503" t="n">
        <x:v>0</x:v>
      </x:c>
      <x:c r="Q417" s="503" t="n">
        <x:v>0</x:v>
      </x:c>
      <x:c r="R417" s="489" t="str"/>
      <x:c r="S417" s="489" t="str"/>
      <x:c r="T417" s="489" t="str">
        <x:v>SEM Nº / NÃO CONCILIADO</x:v>
      </x:c>
      <x:c r="U417" s="489" t="str">
        <x:v>Média</x:v>
      </x:c>
      <x:c r="V417" s="489" t="str"/>
      <x:c r="W417" s="489" t="str"/>
      <x:c r="X417" s="489" t="str"/>
    </x:row>
    <x:row r="418">
      <x:c r="A418" s="502" t="n">
        <x:v>418</x:v>
      </x:c>
      <x:c r="B418" s="502" t="n">
        <x:v>2023</x:v>
      </x:c>
      <x:c r="C418" s="489" t="str">
        <x:v>Pelotas</x:v>
      </x:c>
      <x:c r="D418" s="489" t="str">
        <x:v>Hospital</x:v>
      </x:c>
      <x:c r="E418" s="489" t="str">
        <x:v>Santa De Misericórdia De Pelotas</x:v>
      </x:c>
      <x:c r="F418" s="489" t="str"/>
      <x:c r="G418" s="489" t="str">
        <x:v>41160007-2023</x:v>
      </x:c>
      <x:c r="H418" s="489" t="str">
        <x:v>Candidato — revisar (Transferegov)</x:v>
      </x:c>
      <x:c r="I418" s="503" t="n">
        <x:v>250000</x:v>
      </x:c>
      <x:c r="J418" s="503" t="n">
        <x:v>250000</x:v>
      </x:c>
      <x:c r="K418" s="489" t="str">
        <x:v>Emenda Individual</x:v>
      </x:c>
      <x:c r="L418" s="489" t="str">
        <x:v>Empenhado</x:v>
      </x:c>
      <x:c r="M418" s="503" t="n">
        <x:v>204000</x:v>
      </x:c>
      <x:c r="N418" s="503" t="n">
        <x:v>250000</x:v>
      </x:c>
      <x:c r="O418" s="503" t="n">
        <x:v>204000</x:v>
      </x:c>
      <x:c r="P418" s="503" t="n">
        <x:v>0</x:v>
      </x:c>
      <x:c r="Q418" s="503" t="n">
        <x:v>0</x:v>
      </x:c>
      <x:c r="R418" s="489" t="str"/>
      <x:c r="S418" s="489" t="str">
        <x:v>92219559000125</x:v>
      </x:c>
      <x:c r="T418" s="489" t="str">
        <x:v>VALOR DIVERGENTE / COBERTURA DIFERENTE</x:v>
      </x:c>
      <x:c r="U418" s="489" t="str">
        <x:v>Média</x:v>
      </x:c>
      <x:c r="V418" s="489" t="str">
        <x:v>Candidato de nº: 41160007; validar antes de preencher (Transferegov pode trazer valor total do instrumento); Situação possivelmente desatualizada: SIGA/execução regionalizada mostra pagamento; CNPJ candidato na fonte SIGA: 92219559000125</x:v>
      </x:c>
      <x:c r="W418" s="489" t="str">
        <x:v>nº ausente; inferido por coincidência exata de cidade e valor em Transferegov; Município/localidade encontrado em fonte comparável, mas valor não fecha exatamente</x:v>
      </x:c>
      <x:c r="X418" s="489" t="str">
        <x:v>https://discricionarias.transferegov.sistema.gov.br/voluntarias/ConsultarProposta/ResultadoDaConsultaDeConvenioSelecionarConvenio.do?sequencialConvenio=944094&amp;Usr=guest&amp;Pwd=guest</x:v>
      </x:c>
    </x:row>
    <x:row r="419">
      <x:c r="A419" s="502" t="n">
        <x:v>419</x:v>
      </x:c>
      <x:c r="B419" s="502" t="n">
        <x:v>2023</x:v>
      </x:c>
      <x:c r="C419" s="489" t="str">
        <x:v>Santa Cruz do Sul</x:v>
      </x:c>
      <x:c r="D419" s="489" t="str">
        <x:v>Hospital</x:v>
      </x:c>
      <x:c r="E419" s="489" t="str">
        <x:v>Hospital Beneficente Monte Alverne</x:v>
      </x:c>
      <x:c r="F419" s="489" t="str"/>
      <x:c r="G419" s="489" t="str">
        <x:v>41160007-2023</x:v>
      </x:c>
      <x:c r="H419" s="489" t="str">
        <x:v>Candidato — revisar (Transferegov)</x:v>
      </x:c>
      <x:c r="I419" s="503" t="n">
        <x:v>250000</x:v>
      </x:c>
      <x:c r="J419" s="503" t="n">
        <x:v>250000</x:v>
      </x:c>
      <x:c r="K419" s="489" t="str">
        <x:v>Emenda Individual</x:v>
      </x:c>
      <x:c r="L419" s="489" t="str">
        <x:v>Empenhado</x:v>
      </x:c>
      <x:c r="M419" s="503" t="n">
        <x:v>549104.35</x:v>
      </x:c>
      <x:c r="N419" s="503" t="n">
        <x:v>1189148</x:v>
      </x:c>
      <x:c r="O419" s="503" t="n">
        <x:v>663563.52</x:v>
      </x:c>
      <x:c r="P419" s="503" t="n">
        <x:v>0</x:v>
      </x:c>
      <x:c r="Q419" s="503" t="n">
        <x:v>0</x:v>
      </x:c>
      <x:c r="R419" s="489" t="str"/>
      <x:c r="S419" s="489" t="str">
        <x:v>3 CNPJs na fonte</x:v>
      </x:c>
      <x:c r="T419" s="489" t="str">
        <x:v>VALOR DIVERGENTE / COBERTURA DIFERENTE</x:v>
      </x:c>
      <x:c r="U419" s="489" t="str">
        <x:v>Média</x:v>
      </x:c>
      <x:c r="V419" s="489" t="str">
        <x:v>Candidato de nº: 41160007; validar antes de preencher (Transferegov pode trazer valor total do instrumento); Situação possivelmente desatualizada: SIGA/execução regionalizada mostra pagamento</x:v>
      </x:c>
      <x:c r="W419" s="489" t="str">
        <x:v>nº ausente; inferido por coincidência exata de cidade e valor em Transferegov; Município/localidade encontrado em fonte comparável, mas valor não fecha exatamente</x:v>
      </x:c>
      <x:c r="X419" s="489" t="str">
        <x:v>https://discricionarias.transferegov.sistema.gov.br/voluntarias/ConsultarProposta/ResultadoDaConsultaDeConvenioSelecionarConvenio.do?sequencialConvenio=945703&amp;Usr=guest&amp;Pwd=guest | https://discricionarias.transferegov.sistema.gov.br/voluntarias/ConsultarProposta/ResultadoDaConsultaDeConvenioSelecionarConvenio.do?sequencialConvenio=944048&amp;Usr=guest&amp;Pwd=guest</x:v>
      </x:c>
    </x:row>
    <x:row r="420">
      <x:c r="A420" s="502" t="n">
        <x:v>420</x:v>
      </x:c>
      <x:c r="B420" s="502" t="n">
        <x:v>2023</x:v>
      </x:c>
      <x:c r="C420" s="489" t="str">
        <x:v>Santo Cristo</x:v>
      </x:c>
      <x:c r="D420" s="489" t="str">
        <x:v>Hospital</x:v>
      </x:c>
      <x:c r="E420" s="489" t="str">
        <x:v>Associação Hospital De Caridade De Santo Cristo</x:v>
      </x:c>
      <x:c r="F420" s="489" t="str"/>
      <x:c r="G420" s="489" t="str">
        <x:v>41160007-2023</x:v>
      </x:c>
      <x:c r="H420" s="489" t="str">
        <x:v>Candidato — revisar (Transferegov)</x:v>
      </x:c>
      <x:c r="I420" s="503" t="n">
        <x:v>250000</x:v>
      </x:c>
      <x:c r="J420" s="503" t="n">
        <x:v>250000</x:v>
      </x:c>
      <x:c r="K420" s="489" t="str">
        <x:v>Emenda Individual</x:v>
      </x:c>
      <x:c r="L420" s="489" t="str">
        <x:v>Empenhado</x:v>
      </x:c>
      <x:c r="M420" s="503" t="n">
        <x:v>234902.31</x:v>
      </x:c>
      <x:c r="N420" s="503" t="n">
        <x:v>250000</x:v>
      </x:c>
      <x:c r="O420" s="503" t="n">
        <x:v>234902.31</x:v>
      </x:c>
      <x:c r="P420" s="503" t="n">
        <x:v>0</x:v>
      </x:c>
      <x:c r="Q420" s="503" t="n">
        <x:v>0</x:v>
      </x:c>
      <x:c r="R420" s="489" t="str"/>
      <x:c r="S420" s="489" t="str">
        <x:v>96418025000189</x:v>
      </x:c>
      <x:c r="T420" s="489" t="str">
        <x:v>VALOR DIVERGENTE / COBERTURA DIFERENTE</x:v>
      </x:c>
      <x:c r="U420" s="489" t="str">
        <x:v>Média</x:v>
      </x:c>
      <x:c r="V420" s="489" t="str">
        <x:v>Candidato de nº: 41160007; validar antes de preencher (Transferegov pode trazer valor total do instrumento); Situação possivelmente desatualizada: SIGA/execução regionalizada mostra pagamento; CNPJ candidato na fonte SIGA: 96418025000189</x:v>
      </x:c>
      <x:c r="W420" s="489" t="str">
        <x:v>nº ausente; inferido por coincidência exata de cidade e valor em Transferegov; Município/localidade encontrado em fonte comparável, mas valor não fecha exatamente</x:v>
      </x:c>
      <x:c r="X420" s="489" t="str">
        <x:v>https://discricionarias.transferegov.sistema.gov.br/voluntarias/ConsultarProposta/ResultadoDaConsultaDeConvenioSelecionarConvenio.do?sequencialConvenio=943939&amp;Usr=guest&amp;Pwd=guest</x:v>
      </x:c>
    </x:row>
    <x:row r="421">
      <x:c r="A421" s="502" t="n">
        <x:v>421</x:v>
      </x:c>
      <x:c r="B421" s="502" t="n">
        <x:v>2023</x:v>
      </x:c>
      <x:c r="C421" s="489" t="str">
        <x:v>Entre Rios do Sul</x:v>
      </x:c>
      <x:c r="D421" s="489" t="str">
        <x:v>Prefeitura</x:v>
      </x:c>
      <x:c r="E421" s="489" t="str">
        <x:v>Prefeitura de Entre Rios do Sul</x:v>
      </x:c>
      <x:c r="F421" s="489" t="str"/>
      <x:c r="G421" s="489" t="str">
        <x:v>41160001-2023</x:v>
      </x:c>
      <x:c r="H421" s="489" t="str">
        <x:v>Inferido forte (SIGA/PIX)</x:v>
      </x:c>
      <x:c r="I421" s="503" t="n">
        <x:v>250000</x:v>
      </x:c>
      <x:c r="J421" s="503" t="n">
        <x:v>250000</x:v>
      </x:c>
      <x:c r="K421" s="489" t="str">
        <x:v>Emenda Individual</x:v>
      </x:c>
      <x:c r="L421" s="489" t="str">
        <x:v>Empenhado</x:v>
      </x:c>
      <x:c r="M421" s="503" t="n">
        <x:v>250000</x:v>
      </x:c>
      <x:c r="N421" s="503" t="n">
        <x:v>0</x:v>
      </x:c>
      <x:c r="O421" s="503" t="n">
        <x:v>0</x:v>
      </x:c>
      <x:c r="P421" s="503" t="n">
        <x:v>250000</x:v>
      </x:c>
      <x:c r="Q421" s="503" t="n">
        <x:v>0</x:v>
      </x:c>
      <x:c r="R421" s="489" t="str">
        <x:v>CIENTE</x:v>
      </x:c>
      <x:c r="S421" s="489" t="str">
        <x:v>92453927000103</x:v>
      </x:c>
      <x:c r="T421" s="489" t="str">
        <x:v>CONFIRMADO</x:v>
      </x:c>
      <x:c r="U421" s="489" t="str">
        <x:v>Baixa</x:v>
      </x:c>
      <x:c r="V421" s="489" t="str">
        <x:v>Preencher nº como 41160001 com marcação de inferência (ano+município+valor exatos em SIGA/PIX); Situação possivelmente desatualizada: SIGA/execução regionalizada mostra pagamento; CNPJ candidato na fonte SIGA: 92453927000103</x:v>
      </x:c>
      <x:c r="W421" s="489" t="str">
        <x:v>nº ausente; inferido por coincidência exata de cidade e valor em SIGA favorecido, PIX; Valor do grupo fecha com: SIGA pago favorecido, PIX atual</x:v>
      </x:c>
      <x:c r="X421" s="489" t="str">
        <x:v>https://especiais.transferegov.sistema.gov.br/transferencia-especial/plano-acao/detalhe/38364/dados-basicos</x:v>
      </x:c>
    </x:row>
    <x:row r="422">
      <x:c r="A422" s="502" t="n">
        <x:v>422</x:v>
      </x:c>
      <x:c r="B422" s="502" t="n">
        <x:v>2023</x:v>
      </x:c>
      <x:c r="C422" s="489" t="str">
        <x:v>Picada Café</x:v>
      </x:c>
      <x:c r="D422" s="489" t="str">
        <x:v>Prefeitura</x:v>
      </x:c>
      <x:c r="E422" s="489" t="str">
        <x:v>Prefeitura de Picada Café</x:v>
      </x:c>
      <x:c r="F422" s="489" t="str"/>
      <x:c r="G422" s="489" t="str">
        <x:v>41160001-2023</x:v>
      </x:c>
      <x:c r="H422" s="489" t="str">
        <x:v>Inferido forte (SIGA/PIX)</x:v>
      </x:c>
      <x:c r="I422" s="503" t="n">
        <x:v>250000</x:v>
      </x:c>
      <x:c r="J422" s="503" t="n">
        <x:v>250000</x:v>
      </x:c>
      <x:c r="K422" s="489" t="str">
        <x:v>Emenda Individual</x:v>
      </x:c>
      <x:c r="L422" s="489" t="str">
        <x:v>Empenhado</x:v>
      </x:c>
      <x:c r="M422" s="503" t="n">
        <x:v>250000</x:v>
      </x:c>
      <x:c r="N422" s="503" t="n">
        <x:v>0</x:v>
      </x:c>
      <x:c r="O422" s="503" t="n">
        <x:v>0</x:v>
      </x:c>
      <x:c r="P422" s="503" t="n">
        <x:v>250000</x:v>
      </x:c>
      <x:c r="Q422" s="503" t="n">
        <x:v>0</x:v>
      </x:c>
      <x:c r="R422" s="489" t="str">
        <x:v>CIENTE</x:v>
      </x:c>
      <x:c r="S422" s="489" t="str">
        <x:v>92871466000180</x:v>
      </x:c>
      <x:c r="T422" s="489" t="str">
        <x:v>CONFIRMADO</x:v>
      </x:c>
      <x:c r="U422" s="489" t="str">
        <x:v>Baixa</x:v>
      </x:c>
      <x:c r="V422" s="489" t="str">
        <x:v>Preencher nº como 41160001 com marcação de inferência (ano+município+valor exatos em SIGA/PIX); Situação possivelmente desatualizada: SIGA/execução regionalizada mostra pagamento; CNPJ candidato na fonte SIGA: 92871466000180</x:v>
      </x:c>
      <x:c r="W422" s="489" t="str">
        <x:v>nº ausente; inferido por coincidência exata de cidade e valor em SIGA favorecido, PIX; Valor do grupo fecha com: SIGA pago favorecido, PIX atual</x:v>
      </x:c>
      <x:c r="X422" s="489" t="str">
        <x:v>https://especiais.transferegov.sistema.gov.br/transferencia-especial/plano-acao/detalhe/38365/dados-basicos</x:v>
      </x:c>
    </x:row>
    <x:row r="423">
      <x:c r="A423" s="502" t="n">
        <x:v>423</x:v>
      </x:c>
      <x:c r="B423" s="502" t="n">
        <x:v>2024</x:v>
      </x:c>
      <x:c r="C423" s="489" t="str">
        <x:v>Faxinal do Soturno</x:v>
      </x:c>
      <x:c r="D423" s="489" t="str">
        <x:v>Prefeitura Municipal de Faxinal do Soturno</x:v>
      </x:c>
      <x:c r="E423" s="489" t="str">
        <x:v>Prefeitura Municipal</x:v>
      </x:c>
      <x:c r="F423" s="489" t="str">
        <x:v>41160001</x:v>
      </x:c>
      <x:c r="G423" s="489" t="str">
        <x:v>41160001-2024</x:v>
      </x:c>
      <x:c r="H423" s="489" t="str">
        <x:v>Informado/corrigido a partir do mapa</x:v>
      </x:c>
      <x:c r="I423" s="503" t="n">
        <x:v>250000</x:v>
      </x:c>
      <x:c r="J423" s="503" t="n">
        <x:v>250000</x:v>
      </x:c>
      <x:c r="K423" s="489" t="str">
        <x:v>Emenda Individual</x:v>
      </x:c>
      <x:c r="L423" s="489"/>
      <x:c r="M423" s="503" t="n">
        <x:v>250000</x:v>
      </x:c>
      <x:c r="N423" s="503" t="n">
        <x:v>0</x:v>
      </x:c>
      <x:c r="O423" s="503" t="n">
        <x:v>0</x:v>
      </x:c>
      <x:c r="P423" s="503" t="n">
        <x:v>0</x:v>
      </x:c>
      <x:c r="Q423" s="503" t="n">
        <x:v>0</x:v>
      </x:c>
      <x:c r="R423" s="489" t="str"/>
      <x:c r="S423" s="489" t="str">
        <x:v>11731081000116</x:v>
      </x:c>
      <x:c r="T423" s="489" t="str">
        <x:v>CONFIRMADO</x:v>
      </x:c>
      <x:c r="U423" s="489" t="str">
        <x:v>Baixa</x:v>
      </x:c>
      <x:c r="V423" s="489" t="str">
        <x:v>Preencher situação: há pagamento identificado na fonte pública; CNPJ candidato na fonte SIGA: 11731081000116</x:v>
      </x:c>
      <x:c r="W423" s="489" t="str">
        <x:v>Valor do grupo fecha com: SIGA pago favorecido</x:v>
      </x:c>
      <x:c r="X423" s="489" t="str"/>
    </x:row>
    <x:row r="424">
      <x:c r="A424" s="502" t="n">
        <x:v>424</x:v>
      </x:c>
      <x:c r="B424" s="502" t="n">
        <x:v>2024</x:v>
      </x:c>
      <x:c r="C424" s="489" t="str">
        <x:v>Ivoti</x:v>
      </x:c>
      <x:c r="D424" s="489" t="str">
        <x:v>Prefeitura Municipal de Ivoti</x:v>
      </x:c>
      <x:c r="E424" s="489" t="str">
        <x:v>Prefeitura Municipal</x:v>
      </x:c>
      <x:c r="F424" s="489" t="str">
        <x:v>41160001</x:v>
      </x:c>
      <x:c r="G424" s="489" t="str">
        <x:v>41160001-2024</x:v>
      </x:c>
      <x:c r="H424" s="489" t="str">
        <x:v>Informado/corrigido a partir do mapa</x:v>
      </x:c>
      <x:c r="I424" s="503" t="n">
        <x:v>250000</x:v>
      </x:c>
      <x:c r="J424" s="503" t="n">
        <x:v>250000</x:v>
      </x:c>
      <x:c r="K424" s="489" t="str">
        <x:v>Emenda Individual</x:v>
      </x:c>
      <x:c r="L424" s="489"/>
      <x:c r="M424" s="503" t="n">
        <x:v>250000</x:v>
      </x:c>
      <x:c r="N424" s="503" t="n">
        <x:v>0</x:v>
      </x:c>
      <x:c r="O424" s="503" t="n">
        <x:v>0</x:v>
      </x:c>
      <x:c r="P424" s="503" t="n">
        <x:v>0</x:v>
      </x:c>
      <x:c r="Q424" s="503" t="n">
        <x:v>0</x:v>
      </x:c>
      <x:c r="R424" s="489" t="str"/>
      <x:c r="S424" s="489" t="str">
        <x:v>12104575000133</x:v>
      </x:c>
      <x:c r="T424" s="489" t="str">
        <x:v>CONFIRMADO</x:v>
      </x:c>
      <x:c r="U424" s="489" t="str">
        <x:v>Baixa</x:v>
      </x:c>
      <x:c r="V424" s="489" t="str">
        <x:v>Preencher situação: há pagamento identificado na fonte pública; CNPJ candidato na fonte SIGA: 12104575000133</x:v>
      </x:c>
      <x:c r="W424" s="489" t="str">
        <x:v>Valor do grupo fecha com: SIGA pago favorecido</x:v>
      </x:c>
      <x:c r="X424" s="489" t="str"/>
    </x:row>
    <x:row r="425">
      <x:c r="A425" s="502" t="n">
        <x:v>425</x:v>
      </x:c>
      <x:c r="B425" s="502" t="n">
        <x:v>2024</x:v>
      </x:c>
      <x:c r="C425" s="489" t="str">
        <x:v>Nova Petrópolis</x:v>
      </x:c>
      <x:c r="D425" s="489" t="str">
        <x:v>Prefeitura Municipal de Nova Petrópolis</x:v>
      </x:c>
      <x:c r="E425" s="489" t="str">
        <x:v>Prefeitura Municipal</x:v>
      </x:c>
      <x:c r="F425" s="489" t="str">
        <x:v>41160001</x:v>
      </x:c>
      <x:c r="G425" s="489" t="str">
        <x:v>41160001-2024</x:v>
      </x:c>
      <x:c r="H425" s="489" t="str">
        <x:v>Informado/corrigido a partir do mapa</x:v>
      </x:c>
      <x:c r="I425" s="503" t="n">
        <x:v>250000</x:v>
      </x:c>
      <x:c r="J425" s="503" t="n">
        <x:v>250000</x:v>
      </x:c>
      <x:c r="K425" s="489" t="str">
        <x:v>Emenda Individual</x:v>
      </x:c>
      <x:c r="L425" s="489"/>
      <x:c r="M425" s="503" t="n">
        <x:v>250000</x:v>
      </x:c>
      <x:c r="N425" s="503" t="n">
        <x:v>0</x:v>
      </x:c>
      <x:c r="O425" s="503" t="n">
        <x:v>0</x:v>
      </x:c>
      <x:c r="P425" s="503" t="n">
        <x:v>0</x:v>
      </x:c>
      <x:c r="Q425" s="503" t="n">
        <x:v>0</x:v>
      </x:c>
      <x:c r="R425" s="489" t="str"/>
      <x:c r="S425" s="489" t="str">
        <x:v>11898805000110</x:v>
      </x:c>
      <x:c r="T425" s="489" t="str">
        <x:v>CONFIRMADO</x:v>
      </x:c>
      <x:c r="U425" s="489" t="str">
        <x:v>Baixa</x:v>
      </x:c>
      <x:c r="V425" s="489" t="str">
        <x:v>Preencher situação: há pagamento identificado na fonte pública; CNPJ candidato na fonte SIGA: 11898805000110</x:v>
      </x:c>
      <x:c r="W425" s="489" t="str">
        <x:v>Valor do grupo fecha com: SIGA pago favorecido</x:v>
      </x:c>
      <x:c r="X425" s="489" t="str"/>
    </x:row>
    <x:row r="426">
      <x:c r="A426" s="502" t="n">
        <x:v>426</x:v>
      </x:c>
      <x:c r="B426" s="502" t="n">
        <x:v>2024</x:v>
      </x:c>
      <x:c r="C426" s="489" t="str">
        <x:v>Passo do Sobrado</x:v>
      </x:c>
      <x:c r="D426" s="489" t="str">
        <x:v>Prefeitura Municipal de Passo do Sobrado</x:v>
      </x:c>
      <x:c r="E426" s="489" t="str">
        <x:v>Prefeitura Municipal</x:v>
      </x:c>
      <x:c r="F426" s="489" t="str">
        <x:v>41160001</x:v>
      </x:c>
      <x:c r="G426" s="489" t="str">
        <x:v>41160001-2024</x:v>
      </x:c>
      <x:c r="H426" s="489" t="str">
        <x:v>Informado/corrigido a partir do mapa</x:v>
      </x:c>
      <x:c r="I426" s="503" t="n">
        <x:v>250000</x:v>
      </x:c>
      <x:c r="J426" s="503" t="n">
        <x:v>250000</x:v>
      </x:c>
      <x:c r="K426" s="489" t="str">
        <x:v>Emenda Individual</x:v>
      </x:c>
      <x:c r="L426" s="489"/>
      <x:c r="M426" s="503" t="n">
        <x:v>250000</x:v>
      </x:c>
      <x:c r="N426" s="503" t="n">
        <x:v>0</x:v>
      </x:c>
      <x:c r="O426" s="503" t="n">
        <x:v>0</x:v>
      </x:c>
      <x:c r="P426" s="503" t="n">
        <x:v>0</x:v>
      </x:c>
      <x:c r="Q426" s="503" t="n">
        <x:v>0</x:v>
      </x:c>
      <x:c r="R426" s="489" t="str"/>
      <x:c r="S426" s="489" t="str">
        <x:v>12075576000105</x:v>
      </x:c>
      <x:c r="T426" s="489" t="str">
        <x:v>CONFIRMADO</x:v>
      </x:c>
      <x:c r="U426" s="489" t="str">
        <x:v>Baixa</x:v>
      </x:c>
      <x:c r="V426" s="489" t="str">
        <x:v>Preencher situação: há pagamento identificado na fonte pública; CNPJ candidato na fonte SIGA: 12075576000105</x:v>
      </x:c>
      <x:c r="W426" s="489" t="str">
        <x:v>Valor do grupo fecha com: SIGA pago favorecido</x:v>
      </x:c>
      <x:c r="X426" s="489" t="str"/>
    </x:row>
    <x:row r="427">
      <x:c r="A427" s="502" t="n">
        <x:v>427</x:v>
      </x:c>
      <x:c r="B427" s="502" t="n">
        <x:v>2024</x:v>
      </x:c>
      <x:c r="C427" s="489" t="str">
        <x:v>Segredo</x:v>
      </x:c>
      <x:c r="D427" s="489" t="str">
        <x:v>Prefeitura Municipal de Segredo</x:v>
      </x:c>
      <x:c r="E427" s="489" t="str">
        <x:v>Prefeitura Municipal</x:v>
      </x:c>
      <x:c r="F427" s="489" t="str">
        <x:v>41160001</x:v>
      </x:c>
      <x:c r="G427" s="489" t="str">
        <x:v>41160001-2024</x:v>
      </x:c>
      <x:c r="H427" s="489" t="str">
        <x:v>Informado/corrigido a partir do mapa</x:v>
      </x:c>
      <x:c r="I427" s="503" t="n">
        <x:v>250000</x:v>
      </x:c>
      <x:c r="J427" s="503" t="n">
        <x:v>250000</x:v>
      </x:c>
      <x:c r="K427" s="489" t="str">
        <x:v>Emenda Individual</x:v>
      </x:c>
      <x:c r="L427" s="489"/>
      <x:c r="M427" s="503" t="n">
        <x:v>250000</x:v>
      </x:c>
      <x:c r="N427" s="503" t="n">
        <x:v>0</x:v>
      </x:c>
      <x:c r="O427" s="503" t="n">
        <x:v>0</x:v>
      </x:c>
      <x:c r="P427" s="503" t="n">
        <x:v>0</x:v>
      </x:c>
      <x:c r="Q427" s="503" t="n">
        <x:v>0</x:v>
      </x:c>
      <x:c r="R427" s="489" t="str"/>
      <x:c r="S427" s="489" t="str">
        <x:v>11916291000189</x:v>
      </x:c>
      <x:c r="T427" s="489" t="str">
        <x:v>CONFIRMADO</x:v>
      </x:c>
      <x:c r="U427" s="489" t="str">
        <x:v>Baixa</x:v>
      </x:c>
      <x:c r="V427" s="489" t="str">
        <x:v>Preencher situação: há pagamento identificado na fonte pública; CNPJ candidato na fonte SIGA: 11916291000189</x:v>
      </x:c>
      <x:c r="W427" s="489" t="str">
        <x:v>Valor do grupo fecha com: SIGA pago favorecido</x:v>
      </x:c>
      <x:c r="X427" s="489" t="str"/>
    </x:row>
    <x:row r="428">
      <x:c r="A428" s="502" t="n">
        <x:v>428</x:v>
      </x:c>
      <x:c r="B428" s="502" t="n">
        <x:v>2024</x:v>
      </x:c>
      <x:c r="C428" s="489" t="str">
        <x:v>Três Coroas</x:v>
      </x:c>
      <x:c r="D428" s="489" t="str">
        <x:v>Prefeitura Municipal de Três Coroas</x:v>
      </x:c>
      <x:c r="E428" s="489" t="str">
        <x:v>Prefeitura Municipal</x:v>
      </x:c>
      <x:c r="F428" s="489" t="str">
        <x:v>41160001</x:v>
      </x:c>
      <x:c r="G428" s="489" t="str">
        <x:v>41160001-2024</x:v>
      </x:c>
      <x:c r="H428" s="489" t="str">
        <x:v>Informado/corrigido a partir do mapa</x:v>
      </x:c>
      <x:c r="I428" s="503" t="n">
        <x:v>250000</x:v>
      </x:c>
      <x:c r="J428" s="503" t="n">
        <x:v>250000</x:v>
      </x:c>
      <x:c r="K428" s="489" t="str">
        <x:v>Emenda Individual</x:v>
      </x:c>
      <x:c r="L428" s="489"/>
      <x:c r="M428" s="503" t="n">
        <x:v>250000</x:v>
      </x:c>
      <x:c r="N428" s="503" t="n">
        <x:v>0</x:v>
      </x:c>
      <x:c r="O428" s="503" t="n">
        <x:v>0</x:v>
      </x:c>
      <x:c r="P428" s="503" t="n">
        <x:v>0</x:v>
      </x:c>
      <x:c r="Q428" s="503" t="n">
        <x:v>0</x:v>
      </x:c>
      <x:c r="R428" s="489" t="str"/>
      <x:c r="S428" s="489" t="str">
        <x:v>11445803000176</x:v>
      </x:c>
      <x:c r="T428" s="489" t="str">
        <x:v>CONFIRMADO</x:v>
      </x:c>
      <x:c r="U428" s="489" t="str">
        <x:v>Baixa</x:v>
      </x:c>
      <x:c r="V428" s="489" t="str">
        <x:v>Preencher situação: há pagamento identificado na fonte pública; CNPJ candidato na fonte SIGA: 11445803000176</x:v>
      </x:c>
      <x:c r="W428" s="489" t="str">
        <x:v>Valor do grupo fecha com: SIGA pago favorecido</x:v>
      </x:c>
      <x:c r="X428" s="489" t="str"/>
    </x:row>
    <x:row r="429">
      <x:c r="A429" s="502" t="n">
        <x:v>429</x:v>
      </x:c>
      <x:c r="B429" s="502" t="n">
        <x:v>2024</x:v>
      </x:c>
      <x:c r="C429" s="489" t="str">
        <x:v>Santa Maria</x:v>
      </x:c>
      <x:c r="D429" s="489" t="str">
        <x:v>Prefeitura Municipal de Santa Maria</x:v>
      </x:c>
      <x:c r="E429" s="489" t="str">
        <x:v>Prefeitura Municipal</x:v>
      </x:c>
      <x:c r="F429" s="489" t="str">
        <x:v>41160001</x:v>
      </x:c>
      <x:c r="G429" s="489" t="str">
        <x:v>41160001-2024</x:v>
      </x:c>
      <x:c r="H429" s="489" t="str">
        <x:v>Informado/corrigido a partir do mapa</x:v>
      </x:c>
      <x:c r="I429" s="503" t="n">
        <x:v>250000</x:v>
      </x:c>
      <x:c r="J429" s="503" t="n">
        <x:v>250000</x:v>
      </x:c>
      <x:c r="K429" s="489" t="str">
        <x:v>Emenda Individual</x:v>
      </x:c>
      <x:c r="L429" s="489"/>
      <x:c r="M429" s="503" t="n">
        <x:v>250000</x:v>
      </x:c>
      <x:c r="N429" s="503" t="n">
        <x:v>0</x:v>
      </x:c>
      <x:c r="O429" s="503" t="n">
        <x:v>0</x:v>
      </x:c>
      <x:c r="P429" s="503" t="n">
        <x:v>0</x:v>
      </x:c>
      <x:c r="Q429" s="503" t="n">
        <x:v>0</x:v>
      </x:c>
      <x:c r="R429" s="489" t="str"/>
      <x:c r="S429" s="489" t="str">
        <x:v>12964512000157</x:v>
      </x:c>
      <x:c r="T429" s="489" t="str">
        <x:v>CONFIRMADO</x:v>
      </x:c>
      <x:c r="U429" s="489" t="str">
        <x:v>Baixa</x:v>
      </x:c>
      <x:c r="V429" s="489" t="str">
        <x:v>Preencher situação: há pagamento identificado na fonte pública; CNPJ candidato na fonte SIGA: 12964512000157</x:v>
      </x:c>
      <x:c r="W429" s="489" t="str">
        <x:v>Valor do grupo fecha com: SIGA pago favorecido</x:v>
      </x:c>
      <x:c r="X429" s="489" t="str"/>
    </x:row>
    <x:row r="430">
      <x:c r="A430" s="502" t="n">
        <x:v>430</x:v>
      </x:c>
      <x:c r="B430" s="502" t="n">
        <x:v>2024</x:v>
      </x:c>
      <x:c r="C430" s="489" t="str">
        <x:v>São Sebastião do Caí</x:v>
      </x:c>
      <x:c r="D430" s="489" t="str">
        <x:v>Prefeitura Municipal de São Sebastião do Caí</x:v>
      </x:c>
      <x:c r="E430" s="489" t="str">
        <x:v>Prefeitura Municipal</x:v>
      </x:c>
      <x:c r="F430" s="489" t="str">
        <x:v>41160002</x:v>
      </x:c>
      <x:c r="G430" s="489" t="str">
        <x:v>41160002-2024</x:v>
      </x:c>
      <x:c r="H430" s="489" t="str">
        <x:v>Informado/corrigido a partir do mapa</x:v>
      </x:c>
      <x:c r="I430" s="503" t="n">
        <x:v>250000</x:v>
      </x:c>
      <x:c r="J430" s="503" t="n">
        <x:v>250000</x:v>
      </x:c>
      <x:c r="K430" s="489" t="str">
        <x:v>Emenda Individual</x:v>
      </x:c>
      <x:c r="L430" s="489"/>
      <x:c r="M430" s="503" t="n">
        <x:v>250000</x:v>
      </x:c>
      <x:c r="N430" s="503" t="n">
        <x:v>0</x:v>
      </x:c>
      <x:c r="O430" s="503" t="n">
        <x:v>0</x:v>
      </x:c>
      <x:c r="P430" s="503" t="n">
        <x:v>0</x:v>
      </x:c>
      <x:c r="Q430" s="503" t="n">
        <x:v>0</x:v>
      </x:c>
      <x:c r="R430" s="489" t="str"/>
      <x:c r="S430" s="489" t="str">
        <x:v>12010453000188</x:v>
      </x:c>
      <x:c r="T430" s="489" t="str">
        <x:v>CONFIRMADO</x:v>
      </x:c>
      <x:c r="U430" s="489" t="str">
        <x:v>Baixa</x:v>
      </x:c>
      <x:c r="V430" s="489" t="str">
        <x:v>Preencher situação: há pagamento identificado na fonte pública; CNPJ candidato na fonte SIGA: 12010453000188</x:v>
      </x:c>
      <x:c r="W430" s="489" t="str">
        <x:v>Valor do grupo fecha com: SIGA pago favorecido</x:v>
      </x:c>
      <x:c r="X430" s="489" t="str"/>
    </x:row>
    <x:row r="431">
      <x:c r="A431" s="502" t="n">
        <x:v>431</x:v>
      </x:c>
      <x:c r="B431" s="502" t="n">
        <x:v>2024</x:v>
      </x:c>
      <x:c r="C431" s="489" t="str">
        <x:v>Bento Gonçalves</x:v>
      </x:c>
      <x:c r="D431" s="489" t="str">
        <x:v>Prefeitura Municipal de Bento Gonçalves</x:v>
      </x:c>
      <x:c r="E431" s="489" t="str">
        <x:v>Prefeitura Municipal</x:v>
      </x:c>
      <x:c r="F431" s="489" t="str">
        <x:v>41160002</x:v>
      </x:c>
      <x:c r="G431" s="489" t="str">
        <x:v>41160002-2024</x:v>
      </x:c>
      <x:c r="H431" s="489" t="str">
        <x:v>Informado/corrigido a partir do mapa</x:v>
      </x:c>
      <x:c r="I431" s="503" t="n">
        <x:v>250000</x:v>
      </x:c>
      <x:c r="J431" s="503" t="n">
        <x:v>250000</x:v>
      </x:c>
      <x:c r="K431" s="489" t="str">
        <x:v>Emenda Individual</x:v>
      </x:c>
      <x:c r="L431" s="489"/>
      <x:c r="M431" s="503" t="n">
        <x:v>250000</x:v>
      </x:c>
      <x:c r="N431" s="503" t="n">
        <x:v>0</x:v>
      </x:c>
      <x:c r="O431" s="503" t="n">
        <x:v>0</x:v>
      </x:c>
      <x:c r="P431" s="503" t="n">
        <x:v>0</x:v>
      </x:c>
      <x:c r="Q431" s="503" t="n">
        <x:v>0</x:v>
      </x:c>
      <x:c r="R431" s="489" t="str"/>
      <x:c r="S431" s="489" t="str">
        <x:v>11436612000148</x:v>
      </x:c>
      <x:c r="T431" s="489" t="str">
        <x:v>CONFIRMADO</x:v>
      </x:c>
      <x:c r="U431" s="489" t="str">
        <x:v>Baixa</x:v>
      </x:c>
      <x:c r="V431" s="489" t="str">
        <x:v>Preencher situação: há pagamento identificado na fonte pública; CNPJ candidato na fonte SIGA: 11436612000148</x:v>
      </x:c>
      <x:c r="W431" s="489" t="str">
        <x:v>Valor do grupo fecha com: SIGA pago favorecido</x:v>
      </x:c>
      <x:c r="X431" s="489" t="str"/>
    </x:row>
    <x:row r="432">
      <x:c r="A432" s="502" t="n">
        <x:v>432</x:v>
      </x:c>
      <x:c r="B432" s="502" t="n">
        <x:v>2024</x:v>
      </x:c>
      <x:c r="C432" s="489" t="str">
        <x:v>Encantado</x:v>
      </x:c>
      <x:c r="D432" s="489" t="str">
        <x:v>Prefeitura Municipal de Encantado</x:v>
      </x:c>
      <x:c r="E432" s="489" t="str">
        <x:v>Prefeitura Municipal</x:v>
      </x:c>
      <x:c r="F432" s="489" t="str">
        <x:v>41160002</x:v>
      </x:c>
      <x:c r="G432" s="489" t="str">
        <x:v>41160002-2024</x:v>
      </x:c>
      <x:c r="H432" s="489" t="str">
        <x:v>Informado/corrigido a partir do mapa</x:v>
      </x:c>
      <x:c r="I432" s="503" t="n">
        <x:v>250000</x:v>
      </x:c>
      <x:c r="J432" s="503" t="n">
        <x:v>250000</x:v>
      </x:c>
      <x:c r="K432" s="489" t="str">
        <x:v>Emenda Individual</x:v>
      </x:c>
      <x:c r="L432" s="489"/>
      <x:c r="M432" s="503" t="n">
        <x:v>250000</x:v>
      </x:c>
      <x:c r="N432" s="503" t="n">
        <x:v>0</x:v>
      </x:c>
      <x:c r="O432" s="503" t="n">
        <x:v>0</x:v>
      </x:c>
      <x:c r="P432" s="503" t="n">
        <x:v>0</x:v>
      </x:c>
      <x:c r="Q432" s="503" t="n">
        <x:v>0</x:v>
      </x:c>
      <x:c r="R432" s="489" t="str"/>
      <x:c r="S432" s="489" t="str">
        <x:v>12149722000191</x:v>
      </x:c>
      <x:c r="T432" s="489" t="str">
        <x:v>CONFIRMADO</x:v>
      </x:c>
      <x:c r="U432" s="489" t="str">
        <x:v>Baixa</x:v>
      </x:c>
      <x:c r="V432" s="489" t="str">
        <x:v>Preencher situação: há pagamento identificado na fonte pública; CNPJ candidato na fonte SIGA: 12149722000191</x:v>
      </x:c>
      <x:c r="W432" s="489" t="str">
        <x:v>Valor do grupo fecha com: SIGA pago favorecido</x:v>
      </x:c>
      <x:c r="X432" s="489" t="str"/>
    </x:row>
    <x:row r="433">
      <x:c r="A433" s="502" t="n">
        <x:v>433</x:v>
      </x:c>
      <x:c r="B433" s="502" t="n">
        <x:v>2024</x:v>
      </x:c>
      <x:c r="C433" s="489" t="str">
        <x:v>Marques de Souza</x:v>
      </x:c>
      <x:c r="D433" s="489" t="str">
        <x:v>Prefeitura Municipal de Marques de Souza</x:v>
      </x:c>
      <x:c r="E433" s="489" t="str">
        <x:v>Prefeitura Municipal</x:v>
      </x:c>
      <x:c r="F433" s="489" t="str">
        <x:v>41160002</x:v>
      </x:c>
      <x:c r="G433" s="489" t="str">
        <x:v>41160002-2024</x:v>
      </x:c>
      <x:c r="H433" s="489" t="str">
        <x:v>Informado/corrigido a partir do mapa</x:v>
      </x:c>
      <x:c r="I433" s="503" t="n">
        <x:v>250000</x:v>
      </x:c>
      <x:c r="J433" s="503" t="n">
        <x:v>250000</x:v>
      </x:c>
      <x:c r="K433" s="489" t="str">
        <x:v>Emenda Individual</x:v>
      </x:c>
      <x:c r="L433" s="489"/>
      <x:c r="M433" s="503" t="n">
        <x:v>250000</x:v>
      </x:c>
      <x:c r="N433" s="503" t="n">
        <x:v>0</x:v>
      </x:c>
      <x:c r="O433" s="503" t="n">
        <x:v>0</x:v>
      </x:c>
      <x:c r="P433" s="503" t="n">
        <x:v>0</x:v>
      </x:c>
      <x:c r="Q433" s="503" t="n">
        <x:v>0</x:v>
      </x:c>
      <x:c r="R433" s="489" t="str"/>
      <x:c r="S433" s="489" t="str">
        <x:v>12040265000100</x:v>
      </x:c>
      <x:c r="T433" s="489" t="str">
        <x:v>CONFIRMADO</x:v>
      </x:c>
      <x:c r="U433" s="489" t="str">
        <x:v>Baixa</x:v>
      </x:c>
      <x:c r="V433" s="489" t="str">
        <x:v>Preencher situação: há pagamento identificado na fonte pública; CNPJ candidato na fonte SIGA: 12040265000100</x:v>
      </x:c>
      <x:c r="W433" s="489" t="str">
        <x:v>Valor do grupo fecha com: SIGA pago favorecido</x:v>
      </x:c>
      <x:c r="X433" s="489" t="str"/>
    </x:row>
    <x:row r="434">
      <x:c r="A434" s="502" t="n">
        <x:v>434</x:v>
      </x:c>
      <x:c r="B434" s="502" t="n">
        <x:v>2024</x:v>
      </x:c>
      <x:c r="C434" s="489" t="str">
        <x:v>Eldorado do Sul</x:v>
      </x:c>
      <x:c r="D434" s="489" t="str">
        <x:v>Prefeitura Municipal de Eldorado do Sul</x:v>
      </x:c>
      <x:c r="E434" s="489" t="str">
        <x:v>Prefeitura Municipal</x:v>
      </x:c>
      <x:c r="F434" s="489" t="str">
        <x:v>41160005</x:v>
      </x:c>
      <x:c r="G434" s="489" t="str">
        <x:v>41160005-2024</x:v>
      </x:c>
      <x:c r="H434" s="489" t="str">
        <x:v>Informado/corrigido a partir do mapa</x:v>
      </x:c>
      <x:c r="I434" s="503" t="n">
        <x:v>250000</x:v>
      </x:c>
      <x:c r="J434" s="503" t="n">
        <x:v>250000</x:v>
      </x:c>
      <x:c r="K434" s="489" t="str">
        <x:v>Emenda Individual</x:v>
      </x:c>
      <x:c r="L434" s="489"/>
      <x:c r="M434" s="503" t="n">
        <x:v>250000</x:v>
      </x:c>
      <x:c r="N434" s="503" t="n">
        <x:v>0</x:v>
      </x:c>
      <x:c r="O434" s="503" t="n">
        <x:v>0</x:v>
      </x:c>
      <x:c r="P434" s="503" t="n">
        <x:v>0</x:v>
      </x:c>
      <x:c r="Q434" s="503" t="n">
        <x:v>0</x:v>
      </x:c>
      <x:c r="R434" s="489" t="str"/>
      <x:c r="S434" s="489" t="str">
        <x:v>92324706000127</x:v>
      </x:c>
      <x:c r="T434" s="489" t="str">
        <x:v>CONFIRMADO</x:v>
      </x:c>
      <x:c r="U434" s="489" t="str">
        <x:v>Baixa</x:v>
      </x:c>
      <x:c r="V434" s="489" t="str">
        <x:v>Preencher situação: há pagamento identificado na fonte pública; CNPJ candidato na fonte SIGA: 92324706000127</x:v>
      </x:c>
      <x:c r="W434" s="489" t="str">
        <x:v>Valor do grupo fecha com: SIGA pago favorecido</x:v>
      </x:c>
      <x:c r="X434" s="489" t="str"/>
    </x:row>
    <x:row r="435">
      <x:c r="A435" s="502" t="n">
        <x:v>435</x:v>
      </x:c>
      <x:c r="B435" s="502" t="n">
        <x:v>2025</x:v>
      </x:c>
      <x:c r="C435" s="489" t="str">
        <x:v>São José do Norte</x:v>
      </x:c>
      <x:c r="D435" s="489" t="str">
        <x:v>Fundo Municipal De Saude São José Do Norte - Rs</x:v>
      </x:c>
      <x:c r="E435" s="489" t="str">
        <x:v>Prefeitura Municipal</x:v>
      </x:c>
      <x:c r="F435" s="489" t="str">
        <x:v>41160004</x:v>
      </x:c>
      <x:c r="G435" s="489" t="str">
        <x:v>41160004-2025</x:v>
      </x:c>
      <x:c r="H435" s="489" t="str">
        <x:v>Informado/corrigido a partir do mapa</x:v>
      </x:c>
      <x:c r="I435" s="503" t="n">
        <x:v>250000</x:v>
      </x:c>
      <x:c r="J435" s="503" t="n">
        <x:v>250000</x:v>
      </x:c>
      <x:c r="K435" s="489" t="str">
        <x:v>Emenda Individual</x:v>
      </x:c>
      <x:c r="L435" s="489"/>
      <x:c r="M435" s="503" t="n">
        <x:v>249906</x:v>
      </x:c>
      <x:c r="N435" s="503" t="n">
        <x:v>0</x:v>
      </x:c>
      <x:c r="O435" s="503" t="n">
        <x:v>0</x:v>
      </x:c>
      <x:c r="P435" s="503" t="n">
        <x:v>0</x:v>
      </x:c>
      <x:c r="Q435" s="503" t="n">
        <x:v>0</x:v>
      </x:c>
      <x:c r="R435" s="489" t="str"/>
      <x:c r="S435" s="489" t="str">
        <x:v>12071532000107</x:v>
      </x:c>
      <x:c r="T435" s="489" t="str">
        <x:v>CONFIRMADO</x:v>
      </x:c>
      <x:c r="U435" s="489" t="str">
        <x:v>Baixa</x:v>
      </x:c>
      <x:c r="V435" s="489" t="str">
        <x:v>Preencher situação: há pagamento identificado na fonte pública</x:v>
      </x:c>
      <x:c r="W435" s="489" t="str">
        <x:v>Valor do grupo fecha com: SIGA pago favorecido</x:v>
      </x:c>
      <x:c r="X435" s="489" t="str"/>
    </x:row>
    <x:row r="436">
      <x:c r="A436" s="502" t="n">
        <x:v>436</x:v>
      </x:c>
      <x:c r="B436" s="502" t="n">
        <x:v>2025</x:v>
      </x:c>
      <x:c r="C436" s="489" t="str">
        <x:v>Iraí</x:v>
      </x:c>
      <x:c r="D436" s="489" t="str">
        <x:v>Fundo Municipal De Saude De Irai-Rs Iraí - Rs</x:v>
      </x:c>
      <x:c r="E436" s="489" t="str">
        <x:v>Fundo Municipal De Saude De Irai-Rs Iraí - Rs</x:v>
      </x:c>
      <x:c r="F436" s="489" t="str">
        <x:v>41160003</x:v>
      </x:c>
      <x:c r="G436" s="489" t="str">
        <x:v>41160003-2025</x:v>
      </x:c>
      <x:c r="H436" s="489" t="str">
        <x:v>Informado/corrigido a partir do mapa</x:v>
      </x:c>
      <x:c r="I436" s="503" t="n">
        <x:v>250000</x:v>
      </x:c>
      <x:c r="J436" s="503" t="n">
        <x:v>250000</x:v>
      </x:c>
      <x:c r="K436" s="489" t="str">
        <x:v>Emenda Individual</x:v>
      </x:c>
      <x:c r="L436" s="489"/>
      <x:c r="M436" s="503" t="n">
        <x:v>249953</x:v>
      </x:c>
      <x:c r="N436" s="503" t="n">
        <x:v>0</x:v>
      </x:c>
      <x:c r="O436" s="503" t="n">
        <x:v>0</x:v>
      </x:c>
      <x:c r="P436" s="503" t="n">
        <x:v>0</x:v>
      </x:c>
      <x:c r="Q436" s="503" t="n">
        <x:v>0</x:v>
      </x:c>
      <x:c r="R436" s="489" t="str"/>
      <x:c r="S436" s="489" t="str">
        <x:v>12364539000109</x:v>
      </x:c>
      <x:c r="T436" s="489" t="str">
        <x:v>CONFIRMADO</x:v>
      </x:c>
      <x:c r="U436" s="489" t="str">
        <x:v>Baixa</x:v>
      </x:c>
      <x:c r="V436" s="489" t="str">
        <x:v>Preencher situação: há pagamento identificado na fonte pública</x:v>
      </x:c>
      <x:c r="W436" s="489" t="str">
        <x:v>Valor do grupo fecha com: SIGA pago favorecido</x:v>
      </x:c>
      <x:c r="X436" s="489" t="str"/>
    </x:row>
    <x:row r="437">
      <x:c r="A437" s="502" t="n">
        <x:v>437</x:v>
      </x:c>
      <x:c r="B437" s="502" t="n">
        <x:v>2025</x:v>
      </x:c>
      <x:c r="C437" s="489" t="str">
        <x:v>Rio Grande</x:v>
      </x:c>
      <x:c r="D437" s="489" t="str">
        <x:v>Associacao De Caridade Santa Casa De Rio Grande Rio Grande - Rs</x:v>
      </x:c>
      <x:c r="E437" s="489" t="str">
        <x:v>Associacao De Caridade Santa Casa De Rio Grande Rio Grande - Rs</x:v>
      </x:c>
      <x:c r="F437" s="489" t="str">
        <x:v>41160004</x:v>
      </x:c>
      <x:c r="G437" s="489" t="str">
        <x:v>41160004-2025</x:v>
      </x:c>
      <x:c r="H437" s="489" t="str">
        <x:v>Informado/corrigido a partir do mapa</x:v>
      </x:c>
      <x:c r="I437" s="503" t="n">
        <x:v>250000</x:v>
      </x:c>
      <x:c r="J437" s="503" t="n">
        <x:v>250000</x:v>
      </x:c>
      <x:c r="K437" s="489" t="str">
        <x:v>Emenda Individual</x:v>
      </x:c>
      <x:c r="L437" s="489"/>
      <x:c r="M437" s="503" t="n">
        <x:v>0</x:v>
      </x:c>
      <x:c r="N437" s="503" t="n">
        <x:v>0</x:v>
      </x:c>
      <x:c r="O437" s="503" t="n">
        <x:v>0</x:v>
      </x:c>
      <x:c r="P437" s="503" t="n">
        <x:v>0</x:v>
      </x:c>
      <x:c r="Q437" s="503" t="n">
        <x:v>0</x:v>
      </x:c>
      <x:c r="R437" s="489" t="str"/>
      <x:c r="S437" s="489" t="str"/>
      <x:c r="T437" s="489" t="str">
        <x:v>EMENDA CONFIRMADA; DESTINO NÃO CONFIRMADO</x:v>
      </x:c>
      <x:c r="U437" s="489" t="str">
        <x:v>Média</x:v>
      </x:c>
      <x:c r="V437" s="489" t="str"/>
      <x:c r="W437" s="489" t="str">
        <x:v>Nº existe no SIGA; destinatário específico não foi confirmado nas bases anexas</x:v>
      </x:c>
      <x:c r="X437" s="489" t="str"/>
    </x:row>
    <x:row r="438">
      <x:c r="A438" s="502" t="n">
        <x:v>438</x:v>
      </x:c>
      <x:c r="B438" s="502" t="n">
        <x:v>2026</x:v>
      </x:c>
      <x:c r="C438" s="489" t="str">
        <x:v>Herval</x:v>
      </x:c>
      <x:c r="D438" s="489" t="str">
        <x:v>Associacao Beneficente Oswaldo Cruz de Horizontina</x:v>
      </x:c>
      <x:c r="E438" s="489" t="str">
        <x:v>Liga Assistencia Social Hospital Nossa Senhora Gloria</x:v>
      </x:c>
      <x:c r="F438" s="489" t="str">
        <x:v>41160003</x:v>
      </x:c>
      <x:c r="G438" s="489" t="str">
        <x:v>41160003-2026</x:v>
      </x:c>
      <x:c r="H438" s="489" t="str">
        <x:v>Informado/corrigido a partir do mapa</x:v>
      </x:c>
      <x:c r="I438" s="503" t="n">
        <x:v>250000</x:v>
      </x:c>
      <x:c r="J438" s="503" t="n">
        <x:v>250000</x:v>
      </x:c>
      <x:c r="K438" s="489" t="str">
        <x:v>Emenda individual</x:v>
      </x:c>
      <x:c r="L438" s="489"/>
      <x:c r="M438" s="503" t="n">
        <x:v>0</x:v>
      </x:c>
      <x:c r="N438" s="503" t="n">
        <x:v>0</x:v>
      </x:c>
      <x:c r="O438" s="503" t="n">
        <x:v>0</x:v>
      </x:c>
      <x:c r="P438" s="503" t="n">
        <x:v>0</x:v>
      </x:c>
      <x:c r="Q438" s="503" t="n">
        <x:v>0</x:v>
      </x:c>
      <x:c r="R438" s="489" t="str"/>
      <x:c r="S438" s="489" t="str"/>
      <x:c r="T438" s="489" t="str">
        <x:v>EMENDA CONFIRMADA; DESTINO NÃO CONFIRMADO</x:v>
      </x:c>
      <x:c r="U438" s="489" t="str">
        <x:v>Média</x:v>
      </x:c>
      <x:c r="V438" s="489" t="str"/>
      <x:c r="W438" s="489" t="str">
        <x:v>Nº existe no SIGA; destinatário específico não foi confirmado nas bases anexas</x:v>
      </x:c>
      <x:c r="X438" s="489" t="str"/>
    </x:row>
    <x:row r="439">
      <x:c r="A439" s="502" t="n">
        <x:v>439</x:v>
      </x:c>
      <x:c r="B439" s="502" t="n">
        <x:v>2026</x:v>
      </x:c>
      <x:c r="C439" s="489" t="str">
        <x:v>Caçapava do Sul</x:v>
      </x:c>
      <x:c r="D439" s="489" t="str">
        <x:v>Caçapava do Sul</x:v>
      </x:c>
      <x:c r="E439" s="489" t="str">
        <x:v>Fundo Municipal de Saude</x:v>
      </x:c>
      <x:c r="F439" s="489" t="str">
        <x:v>41160013</x:v>
      </x:c>
      <x:c r="G439" s="489" t="str">
        <x:v>41160013-2026</x:v>
      </x:c>
      <x:c r="H439" s="489" t="str">
        <x:v>Informado/corrigido a partir do mapa</x:v>
      </x:c>
      <x:c r="I439" s="503" t="n">
        <x:v>250000</x:v>
      </x:c>
      <x:c r="J439" s="503" t="n">
        <x:v>250000</x:v>
      </x:c>
      <x:c r="K439" s="489" t="str">
        <x:v>Emenda individual</x:v>
      </x:c>
      <x:c r="L439" s="489"/>
      <x:c r="M439" s="503" t="n">
        <x:v>0</x:v>
      </x:c>
      <x:c r="N439" s="503" t="n">
        <x:v>0</x:v>
      </x:c>
      <x:c r="O439" s="503" t="n">
        <x:v>0</x:v>
      </x:c>
      <x:c r="P439" s="503" t="n">
        <x:v>0</x:v>
      </x:c>
      <x:c r="Q439" s="503" t="n">
        <x:v>0</x:v>
      </x:c>
      <x:c r="R439" s="489" t="str"/>
      <x:c r="S439" s="489" t="str"/>
      <x:c r="T439" s="489" t="str">
        <x:v>EMENDA CONFIRMADA; DESTINO NÃO CONFIRMADO</x:v>
      </x:c>
      <x:c r="U439" s="489" t="str">
        <x:v>Média</x:v>
      </x:c>
      <x:c r="V439" s="489" t="str"/>
      <x:c r="W439" s="489" t="str">
        <x:v>Nº existe no SIGA; destinatário específico não foi confirmado nas bases anexas</x:v>
      </x:c>
      <x:c r="X439" s="489" t="str"/>
    </x:row>
    <x:row r="440">
      <x:c r="A440" s="502" t="n">
        <x:v>440</x:v>
      </x:c>
      <x:c r="B440" s="502" t="n">
        <x:v>2026</x:v>
      </x:c>
      <x:c r="C440" s="489" t="str">
        <x:v>Lagoa dos Três Cantos</x:v>
      </x:c>
      <x:c r="D440" s="489" t="str">
        <x:v>Lagoa dos Três Cantos</x:v>
      </x:c>
      <x:c r="E440" s="489" t="str">
        <x:v>Fundo Municipal de Saude de Lagoa Dos Tres Cantos</x:v>
      </x:c>
      <x:c r="F440" s="489" t="str">
        <x:v>41160013</x:v>
      </x:c>
      <x:c r="G440" s="489" t="str">
        <x:v>41160013-2026</x:v>
      </x:c>
      <x:c r="H440" s="489" t="str">
        <x:v>Informado/corrigido a partir do mapa</x:v>
      </x:c>
      <x:c r="I440" s="503" t="n">
        <x:v>250000</x:v>
      </x:c>
      <x:c r="J440" s="503" t="n">
        <x:v>250000</x:v>
      </x:c>
      <x:c r="K440" s="489" t="str">
        <x:v>Emenda individual</x:v>
      </x:c>
      <x:c r="L440" s="489"/>
      <x:c r="M440" s="503" t="n">
        <x:v>0</x:v>
      </x:c>
      <x:c r="N440" s="503" t="n">
        <x:v>0</x:v>
      </x:c>
      <x:c r="O440" s="503" t="n">
        <x:v>0</x:v>
      </x:c>
      <x:c r="P440" s="503" t="n">
        <x:v>0</x:v>
      </x:c>
      <x:c r="Q440" s="503" t="n">
        <x:v>0</x:v>
      </x:c>
      <x:c r="R440" s="489" t="str"/>
      <x:c r="S440" s="489" t="str"/>
      <x:c r="T440" s="489" t="str">
        <x:v>EMENDA CONFIRMADA; DESTINO NÃO CONFIRMADO</x:v>
      </x:c>
      <x:c r="U440" s="489" t="str">
        <x:v>Média</x:v>
      </x:c>
      <x:c r="V440" s="489" t="str"/>
      <x:c r="W440" s="489" t="str">
        <x:v>Nº existe no SIGA; destinatário específico não foi confirmado nas bases anexas</x:v>
      </x:c>
      <x:c r="X440" s="489" t="str"/>
    </x:row>
    <x:row r="441">
      <x:c r="A441" s="502" t="n">
        <x:v>441</x:v>
      </x:c>
      <x:c r="B441" s="502" t="n">
        <x:v>2026</x:v>
      </x:c>
      <x:c r="C441" s="489" t="str">
        <x:v>São Francisco de Paula</x:v>
      </x:c>
      <x:c r="D441" s="489" t="str">
        <x:v>São Francisco de Paula</x:v>
      </x:c>
      <x:c r="E441" s="489" t="str">
        <x:v>Fundo Municipal de Saude</x:v>
      </x:c>
      <x:c r="F441" s="489" t="str">
        <x:v>41160013</x:v>
      </x:c>
      <x:c r="G441" s="489" t="str">
        <x:v>41160013-2026</x:v>
      </x:c>
      <x:c r="H441" s="489" t="str">
        <x:v>Informado/corrigido a partir do mapa</x:v>
      </x:c>
      <x:c r="I441" s="503" t="n">
        <x:v>250000</x:v>
      </x:c>
      <x:c r="J441" s="503" t="n">
        <x:v>250000</x:v>
      </x:c>
      <x:c r="K441" s="489" t="str">
        <x:v>Emenda individual</x:v>
      </x:c>
      <x:c r="L441" s="489"/>
      <x:c r="M441" s="503" t="n">
        <x:v>0</x:v>
      </x:c>
      <x:c r="N441" s="503" t="n">
        <x:v>0</x:v>
      </x:c>
      <x:c r="O441" s="503" t="n">
        <x:v>0</x:v>
      </x:c>
      <x:c r="P441" s="503" t="n">
        <x:v>0</x:v>
      </x:c>
      <x:c r="Q441" s="503" t="n">
        <x:v>0</x:v>
      </x:c>
      <x:c r="R441" s="489" t="str"/>
      <x:c r="S441" s="489" t="str"/>
      <x:c r="T441" s="489" t="str">
        <x:v>EMENDA CONFIRMADA; DESTINO NÃO CONFIRMADO</x:v>
      </x:c>
      <x:c r="U441" s="489" t="str">
        <x:v>Média</x:v>
      </x:c>
      <x:c r="V441" s="489" t="str"/>
      <x:c r="W441" s="489" t="str">
        <x:v>Nº existe no SIGA; destinatário específico não foi confirmado nas bases anexas</x:v>
      </x:c>
      <x:c r="X441" s="489" t="str"/>
    </x:row>
    <x:row r="442">
      <x:c r="A442" s="502" t="n">
        <x:v>442</x:v>
      </x:c>
      <x:c r="B442" s="502" t="n">
        <x:v>2026</x:v>
      </x:c>
      <x:c r="C442" s="489" t="str">
        <x:v>SAO LEOPOLDO</x:v>
      </x:c>
      <x:c r="D442" s="489" t="str">
        <x:v>Município de São Leopoldo - RS</x:v>
      </x:c>
      <x:c r="E442" s="489" t="str">
        <x:v>Município de SAO LEOPOLDO</x:v>
      </x:c>
      <x:c r="F442" s="489" t="str">
        <x:v>71220001</x:v>
      </x:c>
      <x:c r="G442" s="489" t="str">
        <x:v>71220001-2026</x:v>
      </x:c>
      <x:c r="H442" s="489" t="str">
        <x:v>Informado/corrigido a partir do mapa</x:v>
      </x:c>
      <x:c r="I442" s="503" t="n">
        <x:v>250000</x:v>
      </x:c>
      <x:c r="J442" s="503" t="n">
        <x:v>250000</x:v>
      </x:c>
      <x:c r="K442" s="489" t="str">
        <x:v>Bancada Gaúcha</x:v>
      </x:c>
      <x:c r="L442" s="489"/>
      <x:c r="M442" s="503" t="n">
        <x:v>0</x:v>
      </x:c>
      <x:c r="N442" s="503" t="n">
        <x:v>0</x:v>
      </x:c>
      <x:c r="O442" s="503" t="n">
        <x:v>0</x:v>
      </x:c>
      <x:c r="P442" s="503" t="n">
        <x:v>0</x:v>
      </x:c>
      <x:c r="Q442" s="503" t="n">
        <x:v>0</x:v>
      </x:c>
      <x:c r="R442" s="489" t="str"/>
      <x:c r="S442" s="489" t="str"/>
      <x:c r="T442" s="489" t="str">
        <x:v>Nº NÃO LOCALIZADO</x:v>
      </x:c>
      <x:c r="U442" s="489" t="str">
        <x:v>Média</x:v>
      </x:c>
      <x:c r="V442" s="489" t="str"/>
      <x:c r="W442" s="489" t="str"/>
      <x:c r="X442" s="489" t="str"/>
    </x:row>
    <x:row r="443">
      <x:c r="A443" s="502" t="n">
        <x:v>443</x:v>
      </x:c>
      <x:c r="B443" s="502" t="n">
        <x:v>2026</x:v>
      </x:c>
      <x:c r="C443" s="489" t="str">
        <x:v>Bento Gonçalves</x:v>
      </x:c>
      <x:c r="D443" s="489" t="str">
        <x:v>Hospital Tacchini - Bento Gonçalves - RS</x:v>
      </x:c>
      <x:c r="E443" s="489" t="str">
        <x:v>Hospital Tacchini - Bento Gonçalves - RS</x:v>
      </x:c>
      <x:c r="F443" s="489" t="str">
        <x:v>71220001</x:v>
      </x:c>
      <x:c r="G443" s="489" t="str">
        <x:v>71220001-2026</x:v>
      </x:c>
      <x:c r="H443" s="489" t="str">
        <x:v>Informado/corrigido a partir do mapa</x:v>
      </x:c>
      <x:c r="I443" s="503" t="n">
        <x:v>250000</x:v>
      </x:c>
      <x:c r="J443" s="503" t="n">
        <x:v>250000</x:v>
      </x:c>
      <x:c r="K443" s="489" t="str">
        <x:v>Bancada Gaúcha</x:v>
      </x:c>
      <x:c r="L443" s="489"/>
      <x:c r="M443" s="503" t="n">
        <x:v>0</x:v>
      </x:c>
      <x:c r="N443" s="503" t="n">
        <x:v>0</x:v>
      </x:c>
      <x:c r="O443" s="503" t="n">
        <x:v>0</x:v>
      </x:c>
      <x:c r="P443" s="503" t="n">
        <x:v>0</x:v>
      </x:c>
      <x:c r="Q443" s="503" t="n">
        <x:v>0</x:v>
      </x:c>
      <x:c r="R443" s="489" t="str"/>
      <x:c r="S443" s="489" t="str"/>
      <x:c r="T443" s="489" t="str">
        <x:v>Nº NÃO LOCALIZADO</x:v>
      </x:c>
      <x:c r="U443" s="489" t="str">
        <x:v>Média</x:v>
      </x:c>
      <x:c r="V443" s="489" t="str"/>
      <x:c r="W443" s="489" t="str"/>
      <x:c r="X443" s="489" t="str"/>
    </x:row>
    <x:row r="444">
      <x:c r="A444" s="502" t="n">
        <x:v>444</x:v>
      </x:c>
      <x:c r="B444" s="502" t="n">
        <x:v>2026</x:v>
      </x:c>
      <x:c r="C444" s="489" t="str">
        <x:v>Igrejinha</x:v>
      </x:c>
      <x:c r="D444" s="489" t="str">
        <x:v>Fundo Municipal de Saúde de Igrejinha - RS</x:v>
      </x:c>
      <x:c r="E444" s="489" t="str">
        <x:v>Município de Igrejinha</x:v>
      </x:c>
      <x:c r="F444" s="489" t="str">
        <x:v>71220002</x:v>
      </x:c>
      <x:c r="G444" s="489" t="str">
        <x:v>71220002-2026</x:v>
      </x:c>
      <x:c r="H444" s="489" t="str">
        <x:v>Informado/corrigido a partir do mapa</x:v>
      </x:c>
      <x:c r="I444" s="503" t="n">
        <x:v>250000</x:v>
      </x:c>
      <x:c r="J444" s="503" t="n">
        <x:v>250000</x:v>
      </x:c>
      <x:c r="K444" s="489" t="str">
        <x:v>Bancada Gaúcha</x:v>
      </x:c>
      <x:c r="L444" s="489"/>
      <x:c r="M444" s="503" t="n">
        <x:v>0</x:v>
      </x:c>
      <x:c r="N444" s="503" t="n">
        <x:v>200000</x:v>
      </x:c>
      <x:c r="O444" s="503" t="n">
        <x:v>0</x:v>
      </x:c>
      <x:c r="P444" s="503" t="n">
        <x:v>0</x:v>
      </x:c>
      <x:c r="Q444" s="503" t="n">
        <x:v>0</x:v>
      </x:c>
      <x:c r="R444" s="489" t="str"/>
      <x:c r="S444" s="489" t="str"/>
      <x:c r="T444" s="489" t="str">
        <x:v>DESTINO/INSTRUMENTO CONFIRMADO; VALOR NÃO COMPARÁVEL</x:v>
      </x:c>
      <x:c r="U444" s="489" t="str">
        <x:v>Média</x:v>
      </x:c>
      <x:c r="V444" s="489" t="str"/>
      <x:c r="W444" s="489" t="str">
        <x:v>Há instrumento do Transferegov para a emenda/município; valores do instrumento não foram usados como prova do valor da emenda</x:v>
      </x:c>
      <x:c r="X444" s="489" t="str">
        <x:v>https://discricionarias.transferegov.sistema.gov.br/voluntarias/ConsultarProposta/ResultadoDaConsultaDeConvenioSelecionarConvenio.do?sequencialConvenio=7AACFW&amp;Usr=guest&amp;Pwd=guest</x:v>
      </x:c>
    </x:row>
    <x:row r="445">
      <x:c r="A445" s="502" t="n">
        <x:v>445</x:v>
      </x:c>
      <x:c r="B445" s="502" t="n">
        <x:v>2026</x:v>
      </x:c>
      <x:c r="C445" s="489" t="str">
        <x:v>Porto Alegre</x:v>
      </x:c>
      <x:c r="D445" s="489" t="str">
        <x:v>Santa Casa de Misericórdia - Porto Alegre - RS</x:v>
      </x:c>
      <x:c r="E445" s="489" t="str">
        <x:v>Santa Casa de Misericórdia - Porto Alegre - RS</x:v>
      </x:c>
      <x:c r="F445" s="489" t="str">
        <x:v>71220001</x:v>
      </x:c>
      <x:c r="G445" s="489" t="str">
        <x:v>71220001-2026</x:v>
      </x:c>
      <x:c r="H445" s="489" t="str">
        <x:v>Informado/corrigido a partir do mapa</x:v>
      </x:c>
      <x:c r="I445" s="503" t="n">
        <x:v>250000</x:v>
      </x:c>
      <x:c r="J445" s="503" t="n">
        <x:v>250000</x:v>
      </x:c>
      <x:c r="K445" s="489" t="str">
        <x:v>Bancada Gaúcha</x:v>
      </x:c>
      <x:c r="L445" s="489"/>
      <x:c r="M445" s="503" t="n">
        <x:v>0</x:v>
      </x:c>
      <x:c r="N445" s="503" t="n">
        <x:v>0</x:v>
      </x:c>
      <x:c r="O445" s="503" t="n">
        <x:v>0</x:v>
      </x:c>
      <x:c r="P445" s="503" t="n">
        <x:v>0</x:v>
      </x:c>
      <x:c r="Q445" s="503" t="n">
        <x:v>0</x:v>
      </x:c>
      <x:c r="R445" s="489" t="str"/>
      <x:c r="S445" s="489" t="str"/>
      <x:c r="T445" s="489" t="str">
        <x:v>Nº NÃO LOCALIZADO</x:v>
      </x:c>
      <x:c r="U445" s="489" t="str">
        <x:v>Média</x:v>
      </x:c>
      <x:c r="V445" s="489" t="str"/>
      <x:c r="W445" s="489" t="str"/>
      <x:c r="X445" s="489" t="str"/>
    </x:row>
    <x:row r="446">
      <x:c r="A446" s="502" t="n">
        <x:v>446</x:v>
      </x:c>
      <x:c r="B446" s="502" t="n">
        <x:v>2026</x:v>
      </x:c>
      <x:c r="C446" s="489" t="str">
        <x:v>Novo Hamburgo</x:v>
      </x:c>
      <x:c r="D446" s="489" t="str">
        <x:v>Fundacao de Saude Publica de Novo Hamburgo - Fsnh</x:v>
      </x:c>
      <x:c r="E446" s="489" t="str">
        <x:v>Fundacao de Saude Publica de Novo Hamburgo - Fsnh</x:v>
      </x:c>
      <x:c r="F446" s="489" t="str">
        <x:v>71220001</x:v>
      </x:c>
      <x:c r="G446" s="489" t="str">
        <x:v>71220001-2026</x:v>
      </x:c>
      <x:c r="H446" s="489" t="str">
        <x:v>Informado/corrigido a partir do mapa</x:v>
      </x:c>
      <x:c r="I446" s="503" t="n">
        <x:v>250000</x:v>
      </x:c>
      <x:c r="J446" s="503" t="n">
        <x:v>250000</x:v>
      </x:c>
      <x:c r="K446" s="489" t="str">
        <x:v>Bancada Gaúcha</x:v>
      </x:c>
      <x:c r="L446" s="489"/>
      <x:c r="M446" s="503" t="n">
        <x:v>0</x:v>
      </x:c>
      <x:c r="N446" s="503" t="n">
        <x:v>0</x:v>
      </x:c>
      <x:c r="O446" s="503" t="n">
        <x:v>0</x:v>
      </x:c>
      <x:c r="P446" s="503" t="n">
        <x:v>0</x:v>
      </x:c>
      <x:c r="Q446" s="503" t="n">
        <x:v>0</x:v>
      </x:c>
      <x:c r="R446" s="489" t="str"/>
      <x:c r="S446" s="489" t="str"/>
      <x:c r="T446" s="489" t="str">
        <x:v>Nº NÃO LOCALIZADO</x:v>
      </x:c>
      <x:c r="U446" s="489" t="str">
        <x:v>Média</x:v>
      </x:c>
      <x:c r="V446" s="489" t="str"/>
      <x:c r="W446" s="489" t="str"/>
      <x:c r="X446" s="489" t="str"/>
    </x:row>
    <x:row r="447">
      <x:c r="A447" s="502" t="n">
        <x:v>447</x:v>
      </x:c>
      <x:c r="B447" s="502" t="n">
        <x:v>2026</x:v>
      </x:c>
      <x:c r="C447" s="489" t="str">
        <x:v>Gramado</x:v>
      </x:c>
      <x:c r="D447" s="489" t="str">
        <x:v>Fundo Municipal de Saúde de Gramado - RS</x:v>
      </x:c>
      <x:c r="E447" s="489" t="str">
        <x:v>Município de Gramado</x:v>
      </x:c>
      <x:c r="F447" s="489" t="str">
        <x:v>71220002</x:v>
      </x:c>
      <x:c r="G447" s="489" t="str">
        <x:v>71220002-2026</x:v>
      </x:c>
      <x:c r="H447" s="489" t="str">
        <x:v>Informado/corrigido a partir do mapa</x:v>
      </x:c>
      <x:c r="I447" s="503" t="n">
        <x:v>250000</x:v>
      </x:c>
      <x:c r="J447" s="503" t="n">
        <x:v>250000</x:v>
      </x:c>
      <x:c r="K447" s="489" t="str">
        <x:v>Bancada Gaúcha</x:v>
      </x:c>
      <x:c r="L447" s="489"/>
      <x:c r="M447" s="503" t="n">
        <x:v>0</x:v>
      </x:c>
      <x:c r="N447" s="503" t="n">
        <x:v>0</x:v>
      </x:c>
      <x:c r="O447" s="503" t="n">
        <x:v>0</x:v>
      </x:c>
      <x:c r="P447" s="503" t="n">
        <x:v>0</x:v>
      </x:c>
      <x:c r="Q447" s="503" t="n">
        <x:v>0</x:v>
      </x:c>
      <x:c r="R447" s="489" t="str"/>
      <x:c r="S447" s="489" t="str"/>
      <x:c r="T447" s="489" t="str">
        <x:v>EMENDA CONFIRMADA; DESTINO NÃO CONFIRMADO</x:v>
      </x:c>
      <x:c r="U447" s="489" t="str">
        <x:v>Média</x:v>
      </x:c>
      <x:c r="V447" s="489" t="str"/>
      <x:c r="W447" s="489" t="str"/>
      <x:c r="X447" s="489" t="str"/>
    </x:row>
    <x:row r="448">
      <x:c r="A448" s="502" t="n">
        <x:v>448</x:v>
      </x:c>
      <x:c r="B448" s="502" t="n">
        <x:v>2023</x:v>
      </x:c>
      <x:c r="C448" s="489" t="str">
        <x:v>Novo Hamburgo</x:v>
      </x:c>
      <x:c r="D448" s="489" t="str">
        <x:v>Prefeitura</x:v>
      </x:c>
      <x:c r="E448" s="489" t="str">
        <x:v>Prefeitura de Novo Hamburgo</x:v>
      </x:c>
      <x:c r="F448" s="489" t="str"/>
      <x:c r="G448" s="489" t="str"/>
      <x:c r="H448" s="489" t="str">
        <x:v>Sem nº conciliado</x:v>
      </x:c>
      <x:c r="I448" s="503" t="n">
        <x:v>250802.2</x:v>
      </x:c>
      <x:c r="J448" s="503" t="n">
        <x:v>438282.2</x:v>
      </x:c>
      <x:c r="K448" s="489" t="str">
        <x:v>Emenda Individual</x:v>
      </x:c>
      <x:c r="L448" s="489" t="str">
        <x:v>Empenhado</x:v>
      </x:c>
      <x:c r="M448" s="503" t="n">
        <x:v>0</x:v>
      </x:c>
      <x:c r="N448" s="503" t="n">
        <x:v>0</x:v>
      </x:c>
      <x:c r="O448" s="503" t="n">
        <x:v>0</x:v>
      </x:c>
      <x:c r="P448" s="503" t="n">
        <x:v>0</x:v>
      </x:c>
      <x:c r="Q448" s="503" t="n">
        <x:v>0</x:v>
      </x:c>
      <x:c r="R448" s="489" t="str"/>
      <x:c r="S448" s="489" t="str"/>
      <x:c r="T448" s="489" t="str">
        <x:v>SEM Nº / NÃO CONCILIADO</x:v>
      </x:c>
      <x:c r="U448" s="489" t="str">
        <x:v>Média</x:v>
      </x:c>
      <x:c r="V448" s="489" t="str"/>
      <x:c r="W448" s="489" t="str"/>
      <x:c r="X448" s="489" t="str"/>
    </x:row>
    <x:row r="449">
      <x:c r="A449" s="502" t="n">
        <x:v>449</x:v>
      </x:c>
      <x:c r="B449" s="502" t="n">
        <x:v>2023</x:v>
      </x:c>
      <x:c r="C449" s="489" t="str">
        <x:v>Barão</x:v>
      </x:c>
      <x:c r="D449" s="489" t="str">
        <x:v>Prefeitura</x:v>
      </x:c>
      <x:c r="E449" s="489" t="str">
        <x:v>Prefeitura de Barão</x:v>
      </x:c>
      <x:c r="F449" s="489" t="str"/>
      <x:c r="G449" s="489" t="str"/>
      <x:c r="H449" s="489" t="str">
        <x:v>Sem nº conciliado</x:v>
      </x:c>
      <x:c r="I449" s="503" t="n">
        <x:v>250847.5</x:v>
      </x:c>
      <x:c r="J449" s="503" t="n">
        <x:v>250847.5</x:v>
      </x:c>
      <x:c r="K449" s="489" t="str">
        <x:v>Emenda Individual</x:v>
      </x:c>
      <x:c r="L449" s="489" t="str">
        <x:v>Empenhado</x:v>
      </x:c>
      <x:c r="M449" s="503" t="n">
        <x:v>0</x:v>
      </x:c>
      <x:c r="N449" s="503" t="n">
        <x:v>0</x:v>
      </x:c>
      <x:c r="O449" s="503" t="n">
        <x:v>0</x:v>
      </x:c>
      <x:c r="P449" s="503" t="n">
        <x:v>0</x:v>
      </x:c>
      <x:c r="Q449" s="503" t="n">
        <x:v>0</x:v>
      </x:c>
      <x:c r="R449" s="489" t="str"/>
      <x:c r="S449" s="489" t="str"/>
      <x:c r="T449" s="489" t="str">
        <x:v>SEM Nº / NÃO CONCILIADO</x:v>
      </x:c>
      <x:c r="U449" s="489" t="str">
        <x:v>Média</x:v>
      </x:c>
      <x:c r="V449" s="489" t="str"/>
      <x:c r="W449" s="489" t="str"/>
      <x:c r="X449" s="489" t="str"/>
    </x:row>
    <x:row r="450">
      <x:c r="A450" s="502" t="n">
        <x:v>450</x:v>
      </x:c>
      <x:c r="B450" s="502" t="n">
        <x:v>2025</x:v>
      </x:c>
      <x:c r="C450" s="489" t="str">
        <x:v>Guaíba</x:v>
      </x:c>
      <x:c r="D450" s="489" t="str">
        <x:v>Associacao Hospitalar Vila Nova Guaíba - Rs</x:v>
      </x:c>
      <x:c r="E450" s="489" t="str">
        <x:v>Associacao Hospitalar Vila Nova Guaíba - Rs</x:v>
      </x:c>
      <x:c r="F450" s="489" t="str">
        <x:v>41160004</x:v>
      </x:c>
      <x:c r="G450" s="489" t="str">
        <x:v>41160004-2025</x:v>
      </x:c>
      <x:c r="H450" s="489" t="str">
        <x:v>Informado/corrigido a partir do mapa</x:v>
      </x:c>
      <x:c r="I450" s="503" t="n">
        <x:v>253457</x:v>
      </x:c>
      <x:c r="J450" s="503" t="n">
        <x:v>253457</x:v>
      </x:c>
      <x:c r="K450" s="489" t="str">
        <x:v>Emenda Individual</x:v>
      </x:c>
      <x:c r="L450" s="489"/>
      <x:c r="M450" s="503" t="n">
        <x:v>165000</x:v>
      </x:c>
      <x:c r="N450" s="503" t="n">
        <x:v>253457</x:v>
      </x:c>
      <x:c r="O450" s="503" t="n">
        <x:v>165000</x:v>
      </x:c>
      <x:c r="P450" s="503" t="n">
        <x:v>0</x:v>
      </x:c>
      <x:c r="Q450" s="503" t="n">
        <x:v>0</x:v>
      </x:c>
      <x:c r="R450" s="489" t="str"/>
      <x:c r="S450" s="489" t="str">
        <x:v>04994418000546</x:v>
      </x:c>
      <x:c r="T450" s="489" t="str">
        <x:v>VALOR DIVERGENTE / COBERTURA DIFERENTE</x:v>
      </x:c>
      <x:c r="U450" s="489" t="str">
        <x:v>Alta</x:v>
      </x:c>
      <x:c r="V450" s="489" t="str">
        <x:v>Preencher situação: há pagamento identificado na fonte pública</x:v>
      </x:c>
      <x:c r="W450" s="489" t="str">
        <x:v>Município/localidade encontrado em fonte comparável, mas valor não fecha exatamente</x:v>
      </x:c>
      <x:c r="X450" s="489" t="str">
        <x:v>https://discricionarias.transferegov.sistema.gov.br/voluntarias/ConsultarProposta/ResultadoDaConsultaDeConvenioSelecionarConvenio.do?sequencialConvenio=980064&amp;Usr=guest&amp;Pwd=guest</x:v>
      </x:c>
    </x:row>
    <x:row r="451">
      <x:c r="A451" s="502" t="n">
        <x:v>451</x:v>
      </x:c>
      <x:c r="B451" s="502" t="n">
        <x:v>2024</x:v>
      </x:c>
      <x:c r="C451" s="489" t="str">
        <x:v>Vera Cruz</x:v>
      </x:c>
      <x:c r="D451" s="489" t="str">
        <x:v>Prefeitura Municipal de Vera Cruz</x:v>
      </x:c>
      <x:c r="E451" s="489" t="str">
        <x:v>Prefeitura Municipal</x:v>
      </x:c>
      <x:c r="F451" s="489" t="str">
        <x:v>41160001</x:v>
      </x:c>
      <x:c r="G451" s="489" t="str">
        <x:v>41160001-2024</x:v>
      </x:c>
      <x:c r="H451" s="489" t="str">
        <x:v>Informado/corrigido a partir do mapa</x:v>
      </x:c>
      <x:c r="I451" s="503" t="n">
        <x:v>253755</x:v>
      </x:c>
      <x:c r="J451" s="503" t="n">
        <x:v>253755</x:v>
      </x:c>
      <x:c r="K451" s="489" t="str">
        <x:v>Emenda Individual</x:v>
      </x:c>
      <x:c r="L451" s="489"/>
      <x:c r="M451" s="503" t="n">
        <x:v>253755</x:v>
      </x:c>
      <x:c r="N451" s="503" t="n">
        <x:v>0</x:v>
      </x:c>
      <x:c r="O451" s="503" t="n">
        <x:v>0</x:v>
      </x:c>
      <x:c r="P451" s="503" t="n">
        <x:v>0</x:v>
      </x:c>
      <x:c r="Q451" s="503" t="n">
        <x:v>0</x:v>
      </x:c>
      <x:c r="R451" s="489" t="str"/>
      <x:c r="S451" s="489" t="str">
        <x:v>12086083000162</x:v>
      </x:c>
      <x:c r="T451" s="489" t="str">
        <x:v>CONFIRMADO</x:v>
      </x:c>
      <x:c r="U451" s="489" t="str">
        <x:v>Baixa</x:v>
      </x:c>
      <x:c r="V451" s="489" t="str">
        <x:v>Preencher situação: há pagamento identificado na fonte pública; CNPJ candidato na fonte SIGA: 12086083000162</x:v>
      </x:c>
      <x:c r="W451" s="489" t="str">
        <x:v>Valor do grupo fecha com: SIGA pago favorecido</x:v>
      </x:c>
      <x:c r="X451" s="489" t="str"/>
    </x:row>
    <x:row r="452">
      <x:c r="A452" s="502" t="n">
        <x:v>452</x:v>
      </x:c>
      <x:c r="B452" s="502" t="n">
        <x:v>2023</x:v>
      </x:c>
      <x:c r="C452" s="489" t="str">
        <x:v>Caçapava do Sul</x:v>
      </x:c>
      <x:c r="D452" s="489" t="str">
        <x:v>Hospital</x:v>
      </x:c>
      <x:c r="E452" s="489" t="str">
        <x:v>Associação Hospital De Caridade Dr Victor Lang</x:v>
      </x:c>
      <x:c r="F452" s="489" t="str"/>
      <x:c r="G452" s="489" t="str"/>
      <x:c r="H452" s="489" t="str">
        <x:v>Sem nº conciliado</x:v>
      </x:c>
      <x:c r="I452" s="503" t="n">
        <x:v>260000</x:v>
      </x:c>
      <x:c r="J452" s="503" t="n">
        <x:v>260000</x:v>
      </x:c>
      <x:c r="K452" s="489" t="str">
        <x:v>Emenda Individual</x:v>
      </x:c>
      <x:c r="L452" s="489" t="str">
        <x:v>Empenhado</x:v>
      </x:c>
      <x:c r="M452" s="503" t="n">
        <x:v>0</x:v>
      </x:c>
      <x:c r="N452" s="503" t="n">
        <x:v>0</x:v>
      </x:c>
      <x:c r="O452" s="503" t="n">
        <x:v>0</x:v>
      </x:c>
      <x:c r="P452" s="503" t="n">
        <x:v>0</x:v>
      </x:c>
      <x:c r="Q452" s="503" t="n">
        <x:v>0</x:v>
      </x:c>
      <x:c r="R452" s="489" t="str"/>
      <x:c r="S452" s="489" t="str"/>
      <x:c r="T452" s="489" t="str">
        <x:v>SEM Nº / NÃO CONCILIADO</x:v>
      </x:c>
      <x:c r="U452" s="489" t="str">
        <x:v>Média</x:v>
      </x:c>
      <x:c r="V452" s="489" t="str"/>
      <x:c r="W452" s="489" t="str"/>
      <x:c r="X452" s="489" t="str"/>
    </x:row>
    <x:row r="453">
      <x:c r="A453" s="502" t="n">
        <x:v>453</x:v>
      </x:c>
      <x:c r="B453" s="502" t="n">
        <x:v>2025</x:v>
      </x:c>
      <x:c r="C453" s="489" t="str">
        <x:v>Guarani das Missões</x:v>
      </x:c>
      <x:c r="D453" s="489" t="str">
        <x:v>Associacao Hospitalar Santa Teresa Guarani Das Missões - Rs</x:v>
      </x:c>
      <x:c r="E453" s="489" t="str">
        <x:v>Associacao Hospitalar Santa Teresa Guarani Das Missões - Rs</x:v>
      </x:c>
      <x:c r="F453" s="489" t="str">
        <x:v>41160004</x:v>
      </x:c>
      <x:c r="G453" s="489" t="str">
        <x:v>41160004-2025</x:v>
      </x:c>
      <x:c r="H453" s="489" t="str">
        <x:v>Informado/corrigido a partir do mapa</x:v>
      </x:c>
      <x:c r="I453" s="503" t="n">
        <x:v>260000</x:v>
      </x:c>
      <x:c r="J453" s="503" t="n">
        <x:v>260000</x:v>
      </x:c>
      <x:c r="K453" s="489" t="str">
        <x:v>Emenda Individual</x:v>
      </x:c>
      <x:c r="L453" s="489"/>
      <x:c r="M453" s="503" t="n">
        <x:v>0</x:v>
      </x:c>
      <x:c r="N453" s="503" t="n">
        <x:v>259947</x:v>
      </x:c>
      <x:c r="O453" s="503" t="n">
        <x:v>0</x:v>
      </x:c>
      <x:c r="P453" s="503" t="n">
        <x:v>0</x:v>
      </x:c>
      <x:c r="Q453" s="503" t="n">
        <x:v>0</x:v>
      </x:c>
      <x:c r="R453" s="489" t="str"/>
      <x:c r="S453" s="489" t="str"/>
      <x:c r="T453" s="489" t="str">
        <x:v>DESTINO/INSTRUMENTO CONFIRMADO; VALOR NÃO COMPARÁVEL</x:v>
      </x:c>
      <x:c r="U453" s="489" t="str">
        <x:v>Média</x:v>
      </x:c>
      <x:c r="V453" s="489" t="str"/>
      <x:c r="W453" s="489" t="str">
        <x:v>Há instrumento do Transferegov para a emenda/município; valores do instrumento não foram usados como prova do valor da emenda</x:v>
      </x:c>
      <x:c r="X453" s="489" t="str">
        <x:v>https://discricionarias.transferegov.sistema.gov.br/voluntarias/ConsultarProposta/ResultadoDaConsultaDeConvenioSelecionarConvenio.do?sequencialConvenio=988636&amp;Usr=guest&amp;Pwd=guest</x:v>
      </x:c>
    </x:row>
    <x:row r="454">
      <x:c r="A454" s="502" t="n">
        <x:v>454</x:v>
      </x:c>
      <x:c r="B454" s="502" t="n">
        <x:v>2022</x:v>
      </x:c>
      <x:c r="C454" s="489" t="str">
        <x:v>Erechim</x:v>
      </x:c>
      <x:c r="D454" s="489" t="str">
        <x:v>Hospital</x:v>
      </x:c>
      <x:c r="E454" s="489" t="str">
        <x:v>Fundação Hospitalar Santa Terezinha</x:v>
      </x:c>
      <x:c r="F454" s="489" t="str">
        <x:v>41160003</x:v>
      </x:c>
      <x:c r="G454" s="489" t="str">
        <x:v>41160003-2022</x:v>
      </x:c>
      <x:c r="H454" s="489" t="str">
        <x:v>Informado/corrigido a partir do mapa</x:v>
      </x:c>
      <x:c r="I454" s="503" t="n">
        <x:v>260500</x:v>
      </x:c>
      <x:c r="J454" s="503" t="n">
        <x:v>260500</x:v>
      </x:c>
      <x:c r="K454" s="489" t="str">
        <x:v>Emenda Individual </x:v>
      </x:c>
      <x:c r="L454" s="489" t="str">
        <x:v>Empenhado</x:v>
      </x:c>
      <x:c r="M454" s="503" t="n">
        <x:v>227696.34</x:v>
      </x:c>
      <x:c r="N454" s="503" t="n">
        <x:v>260500</x:v>
      </x:c>
      <x:c r="O454" s="503" t="n">
        <x:v>227696.34</x:v>
      </x:c>
      <x:c r="P454" s="503" t="n">
        <x:v>0</x:v>
      </x:c>
      <x:c r="Q454" s="503" t="n">
        <x:v>0</x:v>
      </x:c>
      <x:c r="R454" s="489" t="str"/>
      <x:c r="S454" s="489" t="str">
        <x:v>89421259000110</x:v>
      </x:c>
      <x:c r="T454" s="489" t="str">
        <x:v>VALOR DIVERGENTE / COBERTURA DIFERENTE</x:v>
      </x:c>
      <x:c r="U454" s="489" t="str">
        <x:v>Alta</x:v>
      </x:c>
      <x:c r="V454" s="489" t="str">
        <x:v>Situação possivelmente desatualizada: SIGA/execução regionalizada mostra pagamento; CNPJ candidato na fonte SIGA: 89421259000110</x:v>
      </x:c>
      <x:c r="W454" s="489" t="str">
        <x:v>Município/localidade encontrado em fonte comparável, mas valor não fecha exatamente</x:v>
      </x:c>
      <x:c r="X454" s="489" t="str">
        <x:v>https://discricionarias.transferegov.sistema.gov.br/voluntarias/ConsultarProposta/ResultadoDaConsultaDeConvenioSelecionarConvenio.do?sequencialConvenio=937197&amp;Usr=guest&amp;Pwd=guest</x:v>
      </x:c>
    </x:row>
    <x:row r="455">
      <x:c r="A455" s="502" t="n">
        <x:v>455</x:v>
      </x:c>
      <x:c r="B455" s="502" t="n">
        <x:v>2020</x:v>
      </x:c>
      <x:c r="C455" s="489" t="str">
        <x:v>Porto Alegre</x:v>
      </x:c>
      <x:c r="D455" s="489" t="str">
        <x:v>Polícia Civil</x:v>
      </x:c>
      <x:c r="E455" s="489" t="str">
        <x:v>Divisão Estadual de Combate à Corrupção e à Lavagem de Dinheiro da Polícia Civil</x:v>
      </x:c>
      <x:c r="F455" s="489" t="str">
        <x:v>41160006</x:v>
      </x:c>
      <x:c r="G455" s="489" t="str">
        <x:v>41160006-2020</x:v>
      </x:c>
      <x:c r="H455" s="489" t="str">
        <x:v>Informado/corrigido a partir do mapa</x:v>
      </x:c>
      <x:c r="I455" s="503" t="n">
        <x:v>261914</x:v>
      </x:c>
      <x:c r="J455" s="503" t="n">
        <x:v>261914</x:v>
      </x:c>
      <x:c r="K455" s="489" t="str">
        <x:v>Emenda individual</x:v>
      </x:c>
      <x:c r="L455" s="489" t="str">
        <x:v>Recurso pago.</x:v>
      </x:c>
      <x:c r="M455" s="503" t="n">
        <x:v>261914</x:v>
      </x:c>
      <x:c r="N455" s="503" t="n">
        <x:v>261914</x:v>
      </x:c>
      <x:c r="O455" s="503" t="n">
        <x:v>261914</x:v>
      </x:c>
      <x:c r="P455" s="503" t="n">
        <x:v>0</x:v>
      </x:c>
      <x:c r="Q455" s="503" t="n">
        <x:v>0</x:v>
      </x:c>
      <x:c r="R455" s="489" t="str"/>
      <x:c r="S455" s="489" t="str">
        <x:v>87958583000146</x:v>
      </x:c>
      <x:c r="T455" s="489" t="str">
        <x:v>CONFIRMADO</x:v>
      </x:c>
      <x:c r="U455" s="489" t="str">
        <x:v>Baixa</x:v>
      </x:c>
      <x:c r="V455" s="489" t="str">
        <x:v>CNPJ candidato na fonte SIGA: 87958583000146</x:v>
      </x:c>
      <x:c r="W455" s="489" t="str">
        <x:v>Valor do grupo fecha com: SIGA pago favorecido</x:v>
      </x:c>
      <x:c r="X455" s="489" t="str">
        <x:v>https://discricionarias.transferegov.sistema.gov.br/voluntarias/ConsultarProposta/ResultadoDaConsultaDeConvenioSelecionarConvenio.do?sequencialConvenio=903094&amp;Usr=guest&amp;Pwd=guest</x:v>
      </x:c>
    </x:row>
    <x:row r="456">
      <x:c r="A456" s="502" t="n">
        <x:v>456</x:v>
      </x:c>
      <x:c r="B456" s="502" t="n">
        <x:v>2023</x:v>
      </x:c>
      <x:c r="C456" s="489" t="str">
        <x:v>Montenegro</x:v>
      </x:c>
      <x:c r="D456" s="489" t="str">
        <x:v>Prefeitura</x:v>
      </x:c>
      <x:c r="E456" s="489" t="str">
        <x:v>Prefeitura de Montenegro</x:v>
      </x:c>
      <x:c r="F456" s="489" t="str"/>
      <x:c r="G456" s="489" t="str"/>
      <x:c r="H456" s="489" t="str">
        <x:v>Sem nº conciliado</x:v>
      </x:c>
      <x:c r="I456" s="503" t="n">
        <x:v>264000</x:v>
      </x:c>
      <x:c r="J456" s="503" t="n">
        <x:v>264000</x:v>
      </x:c>
      <x:c r="K456" s="489" t="str">
        <x:v>Emenda Individual</x:v>
      </x:c>
      <x:c r="L456" s="489" t="str">
        <x:v>Empenhado</x:v>
      </x:c>
      <x:c r="M456" s="503" t="n">
        <x:v>0</x:v>
      </x:c>
      <x:c r="N456" s="503" t="n">
        <x:v>0</x:v>
      </x:c>
      <x:c r="O456" s="503" t="n">
        <x:v>0</x:v>
      </x:c>
      <x:c r="P456" s="503" t="n">
        <x:v>0</x:v>
      </x:c>
      <x:c r="Q456" s="503" t="n">
        <x:v>0</x:v>
      </x:c>
      <x:c r="R456" s="489" t="str"/>
      <x:c r="S456" s="489" t="str"/>
      <x:c r="T456" s="489" t="str">
        <x:v>SEM Nº / NÃO CONCILIADO</x:v>
      </x:c>
      <x:c r="U456" s="489" t="str">
        <x:v>Média</x:v>
      </x:c>
      <x:c r="V456" s="489" t="str"/>
      <x:c r="W456" s="489" t="str"/>
      <x:c r="X456" s="489" t="str"/>
    </x:row>
    <x:row r="457">
      <x:c r="A457" s="502" t="n">
        <x:v>457</x:v>
      </x:c>
      <x:c r="B457" s="502" t="n">
        <x:v>2024</x:v>
      </x:c>
      <x:c r="C457" s="489" t="str">
        <x:v>Roca Sales</x:v>
      </x:c>
      <x:c r="D457" s="489" t="str">
        <x:v>Prefeitura Municipal de Roca Sales</x:v>
      </x:c>
      <x:c r="E457" s="489" t="str">
        <x:v>Prefeitura Municipal</x:v>
      </x:c>
      <x:c r="F457" s="489" t="str">
        <x:v>41160004</x:v>
      </x:c>
      <x:c r="G457" s="489" t="str">
        <x:v>41160004-2024</x:v>
      </x:c>
      <x:c r="H457" s="489" t="str">
        <x:v>Informado/corrigido a partir do mapa</x:v>
      </x:c>
      <x:c r="I457" s="503" t="n">
        <x:v>268358</x:v>
      </x:c>
      <x:c r="J457" s="503" t="n">
        <x:v>268358</x:v>
      </x:c>
      <x:c r="K457" s="489" t="str">
        <x:v>Emenda Individual</x:v>
      </x:c>
      <x:c r="L457" s="489"/>
      <x:c r="M457" s="503" t="n">
        <x:v>268358</x:v>
      </x:c>
      <x:c r="N457" s="503" t="n">
        <x:v>0</x:v>
      </x:c>
      <x:c r="O457" s="503" t="n">
        <x:v>0</x:v>
      </x:c>
      <x:c r="P457" s="503" t="n">
        <x:v>0</x:v>
      </x:c>
      <x:c r="Q457" s="503" t="n">
        <x:v>0</x:v>
      </x:c>
      <x:c r="R457" s="489" t="str"/>
      <x:c r="S457" s="489" t="str">
        <x:v>12497816000151</x:v>
      </x:c>
      <x:c r="T457" s="489" t="str">
        <x:v>CONFIRMADO</x:v>
      </x:c>
      <x:c r="U457" s="489" t="str">
        <x:v>Baixa</x:v>
      </x:c>
      <x:c r="V457" s="489" t="str">
        <x:v>Preencher situação: há pagamento identificado na fonte pública; CNPJ candidato na fonte SIGA: 12497816000151</x:v>
      </x:c>
      <x:c r="W457" s="489" t="str">
        <x:v>Valor do grupo fecha com: SIGA pago favorecido</x:v>
      </x:c>
      <x:c r="X457" s="489" t="str"/>
    </x:row>
    <x:row r="458">
      <x:c r="A458" s="502" t="n">
        <x:v>458</x:v>
      </x:c>
      <x:c r="B458" s="502" t="n">
        <x:v>2025</x:v>
      </x:c>
      <x:c r="C458" s="489" t="str">
        <x:v>Santa Rosa</x:v>
      </x:c>
      <x:c r="D458" s="489" t="str">
        <x:v>Associacao Hospitalar Santa Rosa Santa Rosa - Rs</x:v>
      </x:c>
      <x:c r="E458" s="489" t="str">
        <x:v>Associacao Hospitalar Santa Rosa Santa Rosa - Rs</x:v>
      </x:c>
      <x:c r="F458" s="489" t="str">
        <x:v>41160004</x:v>
      </x:c>
      <x:c r="G458" s="489" t="str">
        <x:v>41160004-2025</x:v>
      </x:c>
      <x:c r="H458" s="489" t="str">
        <x:v>Informado/corrigido a partir do mapa</x:v>
      </x:c>
      <x:c r="I458" s="503" t="n">
        <x:v>270000</x:v>
      </x:c>
      <x:c r="J458" s="503" t="n">
        <x:v>270000</x:v>
      </x:c>
      <x:c r="K458" s="489" t="str">
        <x:v>Emenda Individual</x:v>
      </x:c>
      <x:c r="L458" s="489"/>
      <x:c r="M458" s="503" t="n">
        <x:v>256752.8</x:v>
      </x:c>
      <x:c r="N458" s="503" t="n">
        <x:v>270000</x:v>
      </x:c>
      <x:c r="O458" s="503" t="n">
        <x:v>256752.8</x:v>
      </x:c>
      <x:c r="P458" s="503" t="n">
        <x:v>0</x:v>
      </x:c>
      <x:c r="Q458" s="503" t="n">
        <x:v>0</x:v>
      </x:c>
      <x:c r="R458" s="489" t="str"/>
      <x:c r="S458" s="489" t="str">
        <x:v>95815668000101</x:v>
      </x:c>
      <x:c r="T458" s="489" t="str">
        <x:v>VALOR DIVERGENTE / COBERTURA DIFERENTE</x:v>
      </x:c>
      <x:c r="U458" s="489" t="str">
        <x:v>Média</x:v>
      </x:c>
      <x:c r="V458" s="489" t="str">
        <x:v>Preencher situação: há pagamento identificado na fonte pública</x:v>
      </x:c>
      <x:c r="W458" s="489" t="str">
        <x:v>Município/localidade encontrado em fonte comparável, mas valor não fecha exatamente</x:v>
      </x:c>
      <x:c r="X458" s="489" t="str">
        <x:v>https://discricionarias.transferegov.sistema.gov.br/voluntarias/ConsultarProposta/ResultadoDaConsultaDeConvenioSelecionarConvenio.do?sequencialConvenio=984124&amp;Usr=guest&amp;Pwd=guest</x:v>
      </x:c>
    </x:row>
    <x:row r="459">
      <x:c r="A459" s="502" t="n">
        <x:v>459</x:v>
      </x:c>
      <x:c r="B459" s="502" t="n">
        <x:v>2025</x:v>
      </x:c>
      <x:c r="C459" s="489" t="str">
        <x:v>Cândido Godói</x:v>
      </x:c>
      <x:c r="D459" s="489" t="str">
        <x:v>Associacao Hospitalar Santo Afonso Cândido Godói - Rs</x:v>
      </x:c>
      <x:c r="E459" s="489" t="str">
        <x:v>Associacao Hospitalar Santo Afonso Cândido Godói - Rs</x:v>
      </x:c>
      <x:c r="F459" s="489" t="str">
        <x:v>41160004</x:v>
      </x:c>
      <x:c r="G459" s="489" t="str">
        <x:v>41160004-2025</x:v>
      </x:c>
      <x:c r="H459" s="489" t="str">
        <x:v>Informado/corrigido a partir do mapa</x:v>
      </x:c>
      <x:c r="I459" s="503" t="n">
        <x:v>272138</x:v>
      </x:c>
      <x:c r="J459" s="503" t="n">
        <x:v>272138</x:v>
      </x:c>
      <x:c r="K459" s="489" t="str">
        <x:v>Emenda Individual</x:v>
      </x:c>
      <x:c r="L459" s="489"/>
      <x:c r="M459" s="503" t="n">
        <x:v>0</x:v>
      </x:c>
      <x:c r="N459" s="503" t="n">
        <x:v>272138</x:v>
      </x:c>
      <x:c r="O459" s="503" t="n">
        <x:v>0</x:v>
      </x:c>
      <x:c r="P459" s="503" t="n">
        <x:v>0</x:v>
      </x:c>
      <x:c r="Q459" s="503" t="n">
        <x:v>0</x:v>
      </x:c>
      <x:c r="R459" s="489" t="str"/>
      <x:c r="S459" s="489" t="str"/>
      <x:c r="T459" s="489" t="str">
        <x:v>DESTINO/INSTRUMENTO CONFIRMADO; VALOR NÃO COMPARÁVEL</x:v>
      </x:c>
      <x:c r="U459" s="489" t="str">
        <x:v>Média</x:v>
      </x:c>
      <x:c r="V459" s="489" t="str"/>
      <x:c r="W459" s="489" t="str">
        <x:v>Há instrumento do Transferegov para a emenda/município; valores do instrumento não foram usados como prova do valor da emenda</x:v>
      </x:c>
      <x:c r="X459" s="489" t="str">
        <x:v>https://discricionarias.transferegov.sistema.gov.br/voluntarias/ConsultarProposta/ResultadoDaConsultaDeConvenioSelecionarConvenio.do?sequencialConvenio=979947&amp;Usr=guest&amp;Pwd=guest</x:v>
      </x:c>
    </x:row>
    <x:row r="460">
      <x:c r="A460" s="502" t="n">
        <x:v>460</x:v>
      </x:c>
      <x:c r="B460" s="502" t="n">
        <x:v>2025</x:v>
      </x:c>
      <x:c r="C460" s="489" t="str">
        <x:v>Porto Alegre</x:v>
      </x:c>
      <x:c r="D460" s="489" t="str">
        <x:v>Fundo Estadual De Saude Porto Alegre - Rs</x:v>
      </x:c>
      <x:c r="E460" s="489" t="str">
        <x:v>Prefeitura Municipal</x:v>
      </x:c>
      <x:c r="F460" s="489" t="str">
        <x:v>41160002</x:v>
      </x:c>
      <x:c r="G460" s="489" t="str">
        <x:v>41160002-2025</x:v>
      </x:c>
      <x:c r="H460" s="489" t="str">
        <x:v>Informado/corrigido a partir do mapa</x:v>
      </x:c>
      <x:c r="I460" s="503" t="n">
        <x:v>273811</x:v>
      </x:c>
      <x:c r="J460" s="503" t="n">
        <x:v>515611</x:v>
      </x:c>
      <x:c r="K460" s="489" t="str">
        <x:v>Emenda Individual</x:v>
      </x:c>
      <x:c r="L460" s="489"/>
      <x:c r="M460" s="503" t="n">
        <x:v>915611</x:v>
      </x:c>
      <x:c r="N460" s="503" t="n">
        <x:v>0</x:v>
      </x:c>
      <x:c r="O460" s="503" t="n">
        <x:v>0</x:v>
      </x:c>
      <x:c r="P460" s="503" t="n">
        <x:v>0</x:v>
      </x:c>
      <x:c r="Q460" s="503" t="n">
        <x:v>0</x:v>
      </x:c>
      <x:c r="R460" s="489" t="str"/>
      <x:c r="S460" s="489" t="str">
        <x:v>87182846000178</x:v>
      </x:c>
      <x:c r="T460" s="489" t="str">
        <x:v>VALOR DIVERGENTE / COBERTURA DIFERENTE</x:v>
      </x:c>
      <x:c r="U460" s="489" t="str">
        <x:v>Alta</x:v>
      </x:c>
      <x:c r="V460" s="489" t="str">
        <x:v>Preencher situação: há pagamento identificado na fonte pública</x:v>
      </x:c>
      <x:c r="W460" s="489" t="str">
        <x:v>Município/localidade encontrado em fonte comparável, mas valor não fecha exatamente</x:v>
      </x:c>
      <x:c r="X460" s="489" t="str"/>
    </x:row>
    <x:row r="461">
      <x:c r="A461" s="502" t="n">
        <x:v>461</x:v>
      </x:c>
      <x:c r="B461" s="502" t="n">
        <x:v>2024</x:v>
      </x:c>
      <x:c r="C461" s="489" t="str">
        <x:v>Taquara</x:v>
      </x:c>
      <x:c r="D461" s="489" t="str">
        <x:v>Prefeitura Municipal de Taquara</x:v>
      </x:c>
      <x:c r="E461" s="489" t="str">
        <x:v>Prefeitura Municipal</x:v>
      </x:c>
      <x:c r="F461" s="489" t="str">
        <x:v>41160004</x:v>
      </x:c>
      <x:c r="G461" s="489" t="str">
        <x:v>41160004-2024</x:v>
      </x:c>
      <x:c r="H461" s="489" t="str">
        <x:v>Informado/corrigido a partir do mapa</x:v>
      </x:c>
      <x:c r="I461" s="503" t="n">
        <x:v>279569</x:v>
      </x:c>
      <x:c r="J461" s="503" t="n">
        <x:v>279569</x:v>
      </x:c>
      <x:c r="K461" s="489" t="str">
        <x:v>Emenda Individual</x:v>
      </x:c>
      <x:c r="L461" s="489"/>
      <x:c r="M461" s="503" t="n">
        <x:v>279569</x:v>
      </x:c>
      <x:c r="N461" s="503" t="n">
        <x:v>0</x:v>
      </x:c>
      <x:c r="O461" s="503" t="n">
        <x:v>0</x:v>
      </x:c>
      <x:c r="P461" s="503" t="n">
        <x:v>0</x:v>
      </x:c>
      <x:c r="Q461" s="503" t="n">
        <x:v>0</x:v>
      </x:c>
      <x:c r="R461" s="489" t="str"/>
      <x:c r="S461" s="489" t="str">
        <x:v>11940346000196</x:v>
      </x:c>
      <x:c r="T461" s="489" t="str">
        <x:v>CONFIRMADO</x:v>
      </x:c>
      <x:c r="U461" s="489" t="str">
        <x:v>Baixa</x:v>
      </x:c>
      <x:c r="V461" s="489" t="str">
        <x:v>Preencher situação: há pagamento identificado na fonte pública; CNPJ candidato na fonte SIGA: 11940346000196</x:v>
      </x:c>
      <x:c r="W461" s="489" t="str">
        <x:v>Valor do grupo fecha com: SIGA pago favorecido</x:v>
      </x:c>
      <x:c r="X461" s="489" t="str"/>
    </x:row>
    <x:row r="462">
      <x:c r="A462" s="502" t="n">
        <x:v>462</x:v>
      </x:c>
      <x:c r="B462" s="502" t="n">
        <x:v>2020</x:v>
      </x:c>
      <x:c r="C462" s="489" t="str">
        <x:v>Porto Alegre</x:v>
      </x:c>
      <x:c r="D462" s="489" t="str">
        <x:v>Polícia Rodoviária Federal</x:v>
      </x:c>
      <x:c r="E462" s="489" t="str">
        <x:v>Polícia Rodoviária Federal</x:v>
      </x:c>
      <x:c r="F462" s="489" t="str">
        <x:v>41160007</x:v>
      </x:c>
      <x:c r="G462" s="489" t="str">
        <x:v>41160007-2020</x:v>
      </x:c>
      <x:c r="H462" s="489" t="str">
        <x:v>Informado/corrigido a partir do mapa</x:v>
      </x:c>
      <x:c r="I462" s="503" t="n">
        <x:v>290000</x:v>
      </x:c>
      <x:c r="J462" s="503" t="n">
        <x:v>290000</x:v>
      </x:c>
      <x:c r="K462" s="489" t="str">
        <x:v>Emenda individual</x:v>
      </x:c>
      <x:c r="L462" s="489" t="str">
        <x:v>Entregue</x:v>
      </x:c>
      <x:c r="M462" s="503" t="n">
        <x:v>0</x:v>
      </x:c>
      <x:c r="N462" s="503" t="n">
        <x:v>0</x:v>
      </x:c>
      <x:c r="O462" s="503" t="n">
        <x:v>0</x:v>
      </x:c>
      <x:c r="P462" s="503" t="n">
        <x:v>0</x:v>
      </x:c>
      <x:c r="Q462" s="503" t="n">
        <x:v>0</x:v>
      </x:c>
      <x:c r="R462" s="489" t="str"/>
      <x:c r="S462" s="489" t="str"/>
      <x:c r="T462" s="489" t="str">
        <x:v>EMENDA CONFIRMADA; DESTINO NÃO CONFIRMADO</x:v>
      </x:c>
      <x:c r="U462" s="489" t="str">
        <x:v>Média</x:v>
      </x:c>
      <x:c r="V462" s="489" t="str"/>
      <x:c r="W462" s="489" t="str">
        <x:v>Nº existe no SIGA; destinatário específico não foi confirmado nas bases anexas</x:v>
      </x:c>
      <x:c r="X462" s="489" t="str"/>
    </x:row>
    <x:row r="463">
      <x:c r="A463" s="502" t="n">
        <x:v>463</x:v>
      </x:c>
      <x:c r="B463" s="502" t="n">
        <x:v>2020</x:v>
      </x:c>
      <x:c r="C463" s="489" t="str">
        <x:v>Santa Maria</x:v>
      </x:c>
      <x:c r="D463" s="489" t="str">
        <x:v>Polícia Rodoviária Federal</x:v>
      </x:c>
      <x:c r="E463" s="489" t="str">
        <x:v>Polícia Rodoviária Federal</x:v>
      </x:c>
      <x:c r="F463" s="489" t="str">
        <x:v>41160007</x:v>
      </x:c>
      <x:c r="G463" s="489" t="str">
        <x:v>41160007-2020</x:v>
      </x:c>
      <x:c r="H463" s="489" t="str">
        <x:v>Informado/corrigido a partir do mapa</x:v>
      </x:c>
      <x:c r="I463" s="503" t="n">
        <x:v>290000</x:v>
      </x:c>
      <x:c r="J463" s="503" t="n">
        <x:v>290000</x:v>
      </x:c>
      <x:c r="K463" s="489" t="str">
        <x:v>Emenda Individual</x:v>
      </x:c>
      <x:c r="L463" s="489" t="str">
        <x:v>Recurso pago. Entregue</x:v>
      </x:c>
      <x:c r="M463" s="503" t="n">
        <x:v>0</x:v>
      </x:c>
      <x:c r="N463" s="503" t="n">
        <x:v>0</x:v>
      </x:c>
      <x:c r="O463" s="503" t="n">
        <x:v>0</x:v>
      </x:c>
      <x:c r="P463" s="503" t="n">
        <x:v>0</x:v>
      </x:c>
      <x:c r="Q463" s="503" t="n">
        <x:v>0</x:v>
      </x:c>
      <x:c r="R463" s="489" t="str"/>
      <x:c r="S463" s="489" t="str"/>
      <x:c r="T463" s="489" t="str">
        <x:v>EMENDA CONFIRMADA; DESTINO NÃO CONFIRMADO</x:v>
      </x:c>
      <x:c r="U463" s="489" t="str">
        <x:v>Média</x:v>
      </x:c>
      <x:c r="V463" s="489" t="str"/>
      <x:c r="W463" s="489" t="str">
        <x:v>Nº existe no SIGA; destinatário específico não foi confirmado nas bases anexas</x:v>
      </x:c>
      <x:c r="X463" s="489" t="str"/>
    </x:row>
    <x:row r="464">
      <x:c r="A464" s="502" t="n">
        <x:v>464</x:v>
      </x:c>
      <x:c r="B464" s="502" t="n">
        <x:v>2025</x:v>
      </x:c>
      <x:c r="C464" s="489" t="str">
        <x:v>Gravataí</x:v>
      </x:c>
      <x:c r="D464" s="489" t="str">
        <x:v>Municipio De Gravatai Gravataí - Rs</x:v>
      </x:c>
      <x:c r="E464" s="489" t="str">
        <x:v>Prefeitura Municipal</x:v>
      </x:c>
      <x:c r="F464" s="489" t="str">
        <x:v>41160008</x:v>
      </x:c>
      <x:c r="G464" s="489" t="str">
        <x:v>41160008-2025</x:v>
      </x:c>
      <x:c r="H464" s="489" t="str">
        <x:v>Informado/corrigido a partir do mapa</x:v>
      </x:c>
      <x:c r="I464" s="503" t="n">
        <x:v>291960</x:v>
      </x:c>
      <x:c r="J464" s="503" t="n">
        <x:v>291960</x:v>
      </x:c>
      <x:c r="K464" s="489" t="str">
        <x:v>Emenda Individual</x:v>
      </x:c>
      <x:c r="L464" s="489"/>
      <x:c r="M464" s="503" t="n">
        <x:v>289040.4</x:v>
      </x:c>
      <x:c r="N464" s="503" t="n">
        <x:v>0</x:v>
      </x:c>
      <x:c r="O464" s="503" t="n">
        <x:v>0</x:v>
      </x:c>
      <x:c r="P464" s="503" t="n">
        <x:v>289040.4</x:v>
      </x:c>
      <x:c r="Q464" s="503" t="n">
        <x:v>0</x:v>
      </x:c>
      <x:c r="R464" s="489" t="str">
        <x:v>CIENTE</x:v>
      </x:c>
      <x:c r="S464" s="489" t="str">
        <x:v>87890992000158</x:v>
      </x:c>
      <x:c r="T464" s="489" t="str">
        <x:v>VALOR DIVERGENTE / COBERTURA DIFERENTE</x:v>
      </x:c>
      <x:c r="U464" s="489" t="str">
        <x:v>Média</x:v>
      </x:c>
      <x:c r="V464" s="489" t="str">
        <x:v>Revisar valor do grupo: PIX atual registra R$ 289,040.40; Atualizar situação com status do plano PIX: CIENTE (não equivale a pagamento)</x:v>
      </x:c>
      <x:c r="W464" s="489" t="str">
        <x:v>Município/localidade encontrado em fonte comparável, mas valor não fecha exatamente</x:v>
      </x:c>
      <x:c r="X464" s="489" t="str">
        <x:v>https://especiais.transferegov.sistema.gov.br/transferencia-especial/plano-acao/detalhe/83995/dados-basicos</x:v>
      </x:c>
    </x:row>
    <x:row r="465">
      <x:c r="A465" s="502" t="n">
        <x:v>465</x:v>
      </x:c>
      <x:c r="B465" s="502" t="n">
        <x:v>2021</x:v>
      </x:c>
      <x:c r="C465" s="489" t="str">
        <x:v>A definir</x:v>
      </x:c>
      <x:c r="D465" s="489" t="str">
        <x:v>Brigada Militar</x:v>
      </x:c>
      <x:c r="E465" s="489" t="str">
        <x:v>Brigada Militar</x:v>
      </x:c>
      <x:c r="F465" s="489" t="str">
        <x:v>71220009</x:v>
      </x:c>
      <x:c r="G465" s="489" t="str">
        <x:v>71220009-2021</x:v>
      </x:c>
      <x:c r="H465" s="489" t="str">
        <x:v>Informado/corrigido a partir do mapa</x:v>
      </x:c>
      <x:c r="I465" s="503" t="n">
        <x:v>296745.33</x:v>
      </x:c>
      <x:c r="J465" s="503" t="n">
        <x:v>1355530.33</x:v>
      </x:c>
      <x:c r="K465" s="489" t="str">
        <x:v>Emenda de Bancada</x:v>
      </x:c>
      <x:c r="L465" s="489" t="str">
        <x:v>Indicado</x:v>
      </x:c>
      <x:c r="M465" s="503" t="n">
        <x:v>0</x:v>
      </x:c>
      <x:c r="N465" s="503" t="n">
        <x:v>0</x:v>
      </x:c>
      <x:c r="O465" s="503" t="n">
        <x:v>0</x:v>
      </x:c>
      <x:c r="P465" s="503" t="n">
        <x:v>0</x:v>
      </x:c>
      <x:c r="Q465" s="503" t="n">
        <x:v>0</x:v>
      </x:c>
      <x:c r="R465" s="489" t="str"/>
      <x:c r="S465" s="489" t="str"/>
      <x:c r="T465" s="489" t="str">
        <x:v>EMENDA CONFIRMADA; DESTINO NÃO CONFIRMADO</x:v>
      </x:c>
      <x:c r="U465" s="489" t="str">
        <x:v>Média</x:v>
      </x:c>
      <x:c r="V465" s="489" t="str"/>
      <x:c r="W465" s="489" t="str"/>
      <x:c r="X465" s="489" t="str"/>
    </x:row>
    <x:row r="466">
      <x:c r="A466" s="502" t="n">
        <x:v>466</x:v>
      </x:c>
      <x:c r="B466" s="502" t="n">
        <x:v>2020</x:v>
      </x:c>
      <x:c r="C466" s="489" t="str">
        <x:v>Caxias do sul</x:v>
      </x:c>
      <x:c r="D466" s="489" t="str">
        <x:v>Hospital</x:v>
      </x:c>
      <x:c r="E466" s="489" t="str">
        <x:v>Hospital Virvi Ramos</x:v>
      </x:c>
      <x:c r="F466" s="489" t="str">
        <x:v>41160005</x:v>
      </x:c>
      <x:c r="G466" s="489" t="str">
        <x:v>41160005-2020</x:v>
      </x:c>
      <x:c r="H466" s="489" t="str">
        <x:v>Informado/corrigido a partir do mapa</x:v>
      </x:c>
      <x:c r="I466" s="503" t="n">
        <x:v>300000</x:v>
      </x:c>
      <x:c r="J466" s="503" t="n">
        <x:v>500000</x:v>
      </x:c>
      <x:c r="K466" s="489" t="str">
        <x:v>Emenda Individual (processo seletivo)</x:v>
      </x:c>
      <x:c r="L466" s="489" t="str">
        <x:v>Recurso pago</x:v>
      </x:c>
      <x:c r="M466" s="503" t="n">
        <x:v>500000</x:v>
      </x:c>
      <x:c r="N466" s="503" t="n">
        <x:v>0</x:v>
      </x:c>
      <x:c r="O466" s="503" t="n">
        <x:v>0</x:v>
      </x:c>
      <x:c r="P466" s="503" t="n">
        <x:v>0</x:v>
      </x:c>
      <x:c r="Q466" s="503" t="n">
        <x:v>0</x:v>
      </x:c>
      <x:c r="R466" s="489" t="str"/>
      <x:c r="S466" s="489" t="str">
        <x:v>10546325000128</x:v>
      </x:c>
      <x:c r="T466" s="489" t="str">
        <x:v>CONFIRMADO</x:v>
      </x:c>
      <x:c r="U466" s="489" t="str">
        <x:v>Baixa</x:v>
      </x:c>
      <x:c r="V466" s="489" t="str">
        <x:v>CNPJ candidato na fonte SIGA: 10546325000128</x:v>
      </x:c>
      <x:c r="W466" s="489" t="str">
        <x:v>Valor do grupo fecha com: SIGA pago favorecido</x:v>
      </x:c>
      <x:c r="X466" s="489" t="str"/>
    </x:row>
    <x:row r="467">
      <x:c r="A467" s="502" t="n">
        <x:v>467</x:v>
      </x:c>
      <x:c r="B467" s="502" t="n">
        <x:v>2020</x:v>
      </x:c>
      <x:c r="C467" s="489" t="str">
        <x:v>Esteio</x:v>
      </x:c>
      <x:c r="D467" s="489" t="str">
        <x:v>Município</x:v>
      </x:c>
      <x:c r="E467" s="489" t="str">
        <x:v>Prefeitura Municipal</x:v>
      </x:c>
      <x:c r="F467" s="489" t="str">
        <x:v>41160004</x:v>
      </x:c>
      <x:c r="G467" s="489" t="str">
        <x:v>41160004-2020</x:v>
      </x:c>
      <x:c r="H467" s="489" t="str">
        <x:v>Informado/corrigido a partir do mapa</x:v>
      </x:c>
      <x:c r="I467" s="503" t="n">
        <x:v>300000</x:v>
      </x:c>
      <x:c r="J467" s="503" t="n">
        <x:v>300000</x:v>
      </x:c>
      <x:c r="K467" s="489" t="str">
        <x:v>Emenda Individual (processo seletivo)</x:v>
      </x:c>
      <x:c r="L467" s="489" t="str">
        <x:v>Recurso pago</x:v>
      </x:c>
      <x:c r="M467" s="503" t="n">
        <x:v>300000</x:v>
      </x:c>
      <x:c r="N467" s="503" t="n">
        <x:v>300000</x:v>
      </x:c>
      <x:c r="O467" s="503" t="n">
        <x:v>300000</x:v>
      </x:c>
      <x:c r="P467" s="503" t="n">
        <x:v>0</x:v>
      </x:c>
      <x:c r="Q467" s="503" t="n">
        <x:v>0</x:v>
      </x:c>
      <x:c r="R467" s="489" t="str"/>
      <x:c r="S467" s="489" t="str">
        <x:v>88150495000186</x:v>
      </x:c>
      <x:c r="T467" s="489" t="str">
        <x:v>CONFIRMADO</x:v>
      </x:c>
      <x:c r="U467" s="489" t="str">
        <x:v>Baixa</x:v>
      </x:c>
      <x:c r="V467" s="489" t="str">
        <x:v>CNPJ candidato na fonte SIGA: 88150495000186</x:v>
      </x:c>
      <x:c r="W467" s="489" t="str">
        <x:v>Valor do grupo fecha com: SIGA pago favorecido</x:v>
      </x:c>
      <x:c r="X467" s="489" t="str">
        <x:v>https://discricionarias.transferegov.sistema.gov.br/voluntarias/ConsultarProposta/ResultadoDaConsultaDeConvenioSelecionarConvenio.do?sequencialConvenio=901922&amp;Usr=guest&amp;Pwd=guest</x:v>
      </x:c>
    </x:row>
    <x:row r="468">
      <x:c r="A468" s="502" t="n">
        <x:v>468</x:v>
      </x:c>
      <x:c r="B468" s="502" t="n">
        <x:v>2020</x:v>
      </x:c>
      <x:c r="C468" s="489" t="str">
        <x:v>Lajeado</x:v>
      </x:c>
      <x:c r="D468" s="489" t="str">
        <x:v>Município</x:v>
      </x:c>
      <x:c r="E468" s="489" t="str">
        <x:v>Prefeitura Municipal</x:v>
      </x:c>
      <x:c r="F468" s="489" t="str">
        <x:v>41160004</x:v>
      </x:c>
      <x:c r="G468" s="489" t="str">
        <x:v>41160004-2020</x:v>
      </x:c>
      <x:c r="H468" s="489" t="str">
        <x:v>Informado/corrigido a partir do mapa</x:v>
      </x:c>
      <x:c r="I468" s="503" t="n">
        <x:v>300000</x:v>
      </x:c>
      <x:c r="J468" s="503" t="n">
        <x:v>300000</x:v>
      </x:c>
      <x:c r="K468" s="489" t="str">
        <x:v>Emenda Individual (processo seletivo)</x:v>
      </x:c>
      <x:c r="L468" s="489" t="str">
        <x:v>Recurso pago</x:v>
      </x:c>
      <x:c r="M468" s="503" t="n">
        <x:v>300000</x:v>
      </x:c>
      <x:c r="N468" s="503" t="n">
        <x:v>300000</x:v>
      </x:c>
      <x:c r="O468" s="503" t="n">
        <x:v>300000</x:v>
      </x:c>
      <x:c r="P468" s="503" t="n">
        <x:v>0</x:v>
      </x:c>
      <x:c r="Q468" s="503" t="n">
        <x:v>0</x:v>
      </x:c>
      <x:c r="R468" s="489" t="str"/>
      <x:c r="S468" s="489" t="str">
        <x:v>87297982000103</x:v>
      </x:c>
      <x:c r="T468" s="489" t="str">
        <x:v>CONFIRMADO</x:v>
      </x:c>
      <x:c r="U468" s="489" t="str">
        <x:v>Baixa</x:v>
      </x:c>
      <x:c r="V468" s="489" t="str">
        <x:v>CNPJ candidato na fonte SIGA: 87297982000103</x:v>
      </x:c>
      <x:c r="W468" s="489" t="str">
        <x:v>Valor do grupo fecha com: SIGA pago favorecido</x:v>
      </x:c>
      <x:c r="X468" s="489" t="str">
        <x:v>https://discricionarias.transferegov.sistema.gov.br/voluntarias/ConsultarProposta/ResultadoDaConsultaDeConvenioSelecionarConvenio.do?sequencialConvenio=903671&amp;Usr=guest&amp;Pwd=guest</x:v>
      </x:c>
    </x:row>
    <x:row r="469">
      <x:c r="A469" s="502" t="n">
        <x:v>469</x:v>
      </x:c>
      <x:c r="B469" s="502" t="n">
        <x:v>2020</x:v>
      </x:c>
      <x:c r="C469" s="489" t="str">
        <x:v>Porto Alegre</x:v>
      </x:c>
      <x:c r="D469" s="489" t="str">
        <x:v>Hospital</x:v>
      </x:c>
      <x:c r="E469" s="489" t="str">
        <x:v>Hospital de Clínicas de Porto Alegre</x:v>
      </x:c>
      <x:c r="F469" s="489" t="str">
        <x:v>41160005</x:v>
      </x:c>
      <x:c r="G469" s="489" t="str">
        <x:v>41160005-2020</x:v>
      </x:c>
      <x:c r="H469" s="489" t="str">
        <x:v>Informado/corrigido a partir do mapa</x:v>
      </x:c>
      <x:c r="I469" s="503" t="n">
        <x:v>300000</x:v>
      </x:c>
      <x:c r="J469" s="503" t="n">
        <x:v>1000000</x:v>
      </x:c>
      <x:c r="K469" s="489" t="str">
        <x:v>Emenda Individual (processo seletivo)</x:v>
      </x:c>
      <x:c r="L469" s="489" t="str">
        <x:v>Recurso pago</x:v>
      </x:c>
      <x:c r="M469" s="503" t="n">
        <x:v>2600000</x:v>
      </x:c>
      <x:c r="N469" s="503" t="n">
        <x:v>0</x:v>
      </x:c>
      <x:c r="O469" s="503" t="n">
        <x:v>0</x:v>
      </x:c>
      <x:c r="P469" s="503" t="n">
        <x:v>0</x:v>
      </x:c>
      <x:c r="Q469" s="503" t="n">
        <x:v>0</x:v>
      </x:c>
      <x:c r="R469" s="489" t="str"/>
      <x:c r="S469" s="489" t="str">
        <x:v>11358235000176, 87182846000178</x:v>
      </x:c>
      <x:c r="T469" s="489" t="str">
        <x:v>VALOR DIVERGENTE / COBERTURA DIFERENTE</x:v>
      </x:c>
      <x:c r="U469" s="489" t="str">
        <x:v>Alta</x:v>
      </x:c>
      <x:c r="V469" s="489" t="str"/>
      <x:c r="W469" s="489" t="str">
        <x:v>Município/localidade encontrado em fonte comparável, mas valor não fecha exatamente</x:v>
      </x:c>
      <x:c r="X469" s="489" t="str"/>
    </x:row>
    <x:row r="470">
      <x:c r="A470" s="502" t="n">
        <x:v>470</x:v>
      </x:c>
      <x:c r="B470" s="502" t="n">
        <x:v>2020</x:v>
      </x:c>
      <x:c r="C470" s="489" t="str">
        <x:v>Porto Alegre</x:v>
      </x:c>
      <x:c r="D470" s="489" t="str">
        <x:v>Hospital</x:v>
      </x:c>
      <x:c r="E470" s="489" t="str">
        <x:v>Santa Casa de Misericórdia de Porto Alegre</x:v>
      </x:c>
      <x:c r="F470" s="489" t="str">
        <x:v>41160005</x:v>
      </x:c>
      <x:c r="G470" s="489" t="str">
        <x:v>41160005-2020</x:v>
      </x:c>
      <x:c r="H470" s="489" t="str">
        <x:v>Informado/corrigido a partir do mapa</x:v>
      </x:c>
      <x:c r="I470" s="503" t="n">
        <x:v>300000</x:v>
      </x:c>
      <x:c r="J470" s="503" t="n">
        <x:v>1000000</x:v>
      </x:c>
      <x:c r="K470" s="489" t="str">
        <x:v>Emenda Individual (processo seletivo)</x:v>
      </x:c>
      <x:c r="L470" s="489" t="str">
        <x:v>Recurso pago</x:v>
      </x:c>
      <x:c r="M470" s="503" t="n">
        <x:v>2600000</x:v>
      </x:c>
      <x:c r="N470" s="503" t="n">
        <x:v>0</x:v>
      </x:c>
      <x:c r="O470" s="503" t="n">
        <x:v>0</x:v>
      </x:c>
      <x:c r="P470" s="503" t="n">
        <x:v>0</x:v>
      </x:c>
      <x:c r="Q470" s="503" t="n">
        <x:v>0</x:v>
      </x:c>
      <x:c r="R470" s="489" t="str"/>
      <x:c r="S470" s="489" t="str">
        <x:v>11358235000176, 87182846000178</x:v>
      </x:c>
      <x:c r="T470" s="489" t="str">
        <x:v>VALOR DIVERGENTE / COBERTURA DIFERENTE</x:v>
      </x:c>
      <x:c r="U470" s="489" t="str">
        <x:v>Alta</x:v>
      </x:c>
      <x:c r="V470" s="489" t="str"/>
      <x:c r="W470" s="489" t="str">
        <x:v>Município/localidade encontrado em fonte comparável, mas valor não fecha exatamente</x:v>
      </x:c>
      <x:c r="X470" s="489" t="str"/>
    </x:row>
    <x:row r="471">
      <x:c r="A471" s="502" t="n">
        <x:v>471</x:v>
      </x:c>
      <x:c r="B471" s="502" t="n">
        <x:v>2022</x:v>
      </x:c>
      <x:c r="C471" s="489" t="str">
        <x:v>Alegrete</x:v>
      </x:c>
      <x:c r="D471" s="489" t="str">
        <x:v>Hospital</x:v>
      </x:c>
      <x:c r="E471" s="489" t="str">
        <x:v>Santa Casa de Caridade de Alegrete</x:v>
      </x:c>
      <x:c r="F471" s="489" t="str">
        <x:v>7120004</x:v>
      </x:c>
      <x:c r="G471" s="489" t="str">
        <x:v>7120004-2022</x:v>
      </x:c>
      <x:c r="H471" s="489" t="str">
        <x:v>Informado/corrigido a partir do mapa</x:v>
      </x:c>
      <x:c r="I471" s="503" t="n">
        <x:v>300000</x:v>
      </x:c>
      <x:c r="J471" s="503" t="n">
        <x:v>300000</x:v>
      </x:c>
      <x:c r="K471" s="489" t="str">
        <x:v>Emenda de bancada (processo seletivo)</x:v>
      </x:c>
      <x:c r="L471" s="489" t="str">
        <x:v>Recurso pago</x:v>
      </x:c>
      <x:c r="M471" s="503" t="n">
        <x:v>0</x:v>
      </x:c>
      <x:c r="N471" s="503" t="n">
        <x:v>0</x:v>
      </x:c>
      <x:c r="O471" s="503" t="n">
        <x:v>0</x:v>
      </x:c>
      <x:c r="P471" s="503" t="n">
        <x:v>0</x:v>
      </x:c>
      <x:c r="Q471" s="503" t="n">
        <x:v>0</x:v>
      </x:c>
      <x:c r="R471" s="489" t="str"/>
      <x:c r="S471" s="489" t="str"/>
      <x:c r="T471" s="489" t="str">
        <x:v>Nº NÃO LOCALIZADO</x:v>
      </x:c>
      <x:c r="U471" s="489" t="str">
        <x:v>Média</x:v>
      </x:c>
      <x:c r="V471" s="489" t="str"/>
      <x:c r="W471" s="489" t="str"/>
      <x:c r="X471" s="489" t="str"/>
    </x:row>
    <x:row r="472">
      <x:c r="A472" s="502" t="n">
        <x:v>472</x:v>
      </x:c>
      <x:c r="B472" s="502" t="n">
        <x:v>2022</x:v>
      </x:c>
      <x:c r="C472" s="489" t="str">
        <x:v>Porto Alegre</x:v>
      </x:c>
      <x:c r="D472" s="489"/>
      <x:c r="E472" s="489" t="str">
        <x:v>Comando do Exército</x:v>
      </x:c>
      <x:c r="F472" s="489" t="str">
        <x:v>41160009</x:v>
      </x:c>
      <x:c r="G472" s="489" t="str">
        <x:v>41160009-2022</x:v>
      </x:c>
      <x:c r="H472" s="489" t="str">
        <x:v>Informado/corrigido a partir do mapa</x:v>
      </x:c>
      <x:c r="I472" s="503" t="n">
        <x:v>300000</x:v>
      </x:c>
      <x:c r="J472" s="503" t="n">
        <x:v>300000</x:v>
      </x:c>
      <x:c r="K472" s="489" t="str">
        <x:v>Emenda Individual </x:v>
      </x:c>
      <x:c r="L472" s="489" t="str">
        <x:v>Recurso pago</x:v>
      </x:c>
      <x:c r="M472" s="503" t="n">
        <x:v>0</x:v>
      </x:c>
      <x:c r="N472" s="503" t="n">
        <x:v>0</x:v>
      </x:c>
      <x:c r="O472" s="503" t="n">
        <x:v>0</x:v>
      </x:c>
      <x:c r="P472" s="503" t="n">
        <x:v>0</x:v>
      </x:c>
      <x:c r="Q472" s="503" t="n">
        <x:v>0</x:v>
      </x:c>
      <x:c r="R472" s="489" t="str"/>
      <x:c r="S472" s="489" t="str"/>
      <x:c r="T472" s="489" t="str">
        <x:v>EMENDA CONFIRMADA; DESTINO NÃO CONFIRMADO</x:v>
      </x:c>
      <x:c r="U472" s="489" t="str">
        <x:v>Média</x:v>
      </x:c>
      <x:c r="V472" s="489" t="str"/>
      <x:c r="W472" s="489" t="str">
        <x:v>Nº existe no SIGA; destinatário específico não foi confirmado nas bases anexas</x:v>
      </x:c>
      <x:c r="X472" s="489" t="str"/>
    </x:row>
    <x:row r="473">
      <x:c r="A473" s="502" t="n">
        <x:v>473</x:v>
      </x:c>
      <x:c r="B473" s="502" t="n">
        <x:v>2022</x:v>
      </x:c>
      <x:c r="C473" s="489" t="str">
        <x:v>Rio Grande</x:v>
      </x:c>
      <x:c r="D473" s="489" t="str">
        <x:v>Hospital</x:v>
      </x:c>
      <x:c r="E473" s="489" t="str">
        <x:v>Associação de Caridade Santa Casa de Rio Grande</x:v>
      </x:c>
      <x:c r="F473" s="489" t="str">
        <x:v>41160003</x:v>
      </x:c>
      <x:c r="G473" s="489" t="str">
        <x:v>41160003-2022</x:v>
      </x:c>
      <x:c r="H473" s="489" t="str">
        <x:v>Informado/corrigido a partir do mapa</x:v>
      </x:c>
      <x:c r="I473" s="503" t="n">
        <x:v>300000</x:v>
      </x:c>
      <x:c r="J473" s="503" t="n">
        <x:v>300000</x:v>
      </x:c>
      <x:c r="K473" s="489" t="str">
        <x:v>Emenda Individual </x:v>
      </x:c>
      <x:c r="L473" s="489" t="str">
        <x:v>Recurso empenhado</x:v>
      </x:c>
      <x:c r="M473" s="503" t="n">
        <x:v>0</x:v>
      </x:c>
      <x:c r="N473" s="503" t="n">
        <x:v>300000</x:v>
      </x:c>
      <x:c r="O473" s="503" t="n">
        <x:v>0</x:v>
      </x:c>
      <x:c r="P473" s="503" t="n">
        <x:v>0</x:v>
      </x:c>
      <x:c r="Q473" s="503" t="n">
        <x:v>0</x:v>
      </x:c>
      <x:c r="R473" s="489" t="str"/>
      <x:c r="S473" s="489" t="str"/>
      <x:c r="T473" s="489" t="str">
        <x:v>DESTINO/INSTRUMENTO CONFIRMADO; VALOR NÃO COMPARÁVEL</x:v>
      </x:c>
      <x:c r="U473" s="489" t="str">
        <x:v>Média</x:v>
      </x:c>
      <x:c r="V473" s="489" t="str"/>
      <x:c r="W473" s="489" t="str">
        <x:v>Há instrumento do Transferegov para a emenda/município; valores do instrumento não foram usados como prova do valor da emenda</x:v>
      </x:c>
      <x:c r="X473" s="489" t="str">
        <x:v>https://discricionarias.transferegov.sistema.gov.br/voluntarias/ConsultarProposta/ResultadoDaConsultaDeConvenioSelecionarConvenio.do?sequencialConvenio=935268&amp;Usr=guest&amp;Pwd=guest</x:v>
      </x:c>
    </x:row>
    <x:row r="474">
      <x:c r="A474" s="502" t="n">
        <x:v>474</x:v>
      </x:c>
      <x:c r="B474" s="502" t="n">
        <x:v>2022</x:v>
      </x:c>
      <x:c r="C474" s="489" t="str">
        <x:v>Santa Cruz do Sul</x:v>
      </x:c>
      <x:c r="D474" s="489" t="str">
        <x:v>Hospital</x:v>
      </x:c>
      <x:c r="E474" s="489" t="str">
        <x:v>Associação Pro Ensino Em Santa Cruz Do Sul</x:v>
      </x:c>
      <x:c r="F474" s="489" t="str">
        <x:v>41160003</x:v>
      </x:c>
      <x:c r="G474" s="489" t="str">
        <x:v>41160003-2022</x:v>
      </x:c>
      <x:c r="H474" s="489" t="str">
        <x:v>Informado/corrigido a partir do mapa</x:v>
      </x:c>
      <x:c r="I474" s="503" t="n">
        <x:v>300000</x:v>
      </x:c>
      <x:c r="J474" s="503" t="n">
        <x:v>300000</x:v>
      </x:c>
      <x:c r="K474" s="489" t="str">
        <x:v>Emenda Individual </x:v>
      </x:c>
      <x:c r="L474" s="489" t="str">
        <x:v>Recurso pago</x:v>
      </x:c>
      <x:c r="M474" s="503" t="n">
        <x:v>286366.12</x:v>
      </x:c>
      <x:c r="N474" s="503" t="n">
        <x:v>300000</x:v>
      </x:c>
      <x:c r="O474" s="503" t="n">
        <x:v>286366.12</x:v>
      </x:c>
      <x:c r="P474" s="503" t="n">
        <x:v>0</x:v>
      </x:c>
      <x:c r="Q474" s="503" t="n">
        <x:v>0</x:v>
      </x:c>
      <x:c r="R474" s="489" t="str"/>
      <x:c r="S474" s="489" t="str">
        <x:v>95438412000114</x:v>
      </x:c>
      <x:c r="T474" s="489" t="str">
        <x:v>VALOR DIVERGENTE / COBERTURA DIFERENTE</x:v>
      </x:c>
      <x:c r="U474" s="489" t="str">
        <x:v>Média</x:v>
      </x:c>
      <x:c r="V474" s="489" t="str">
        <x:v>CNPJ candidato na fonte SIGA: 95438412000114</x:v>
      </x:c>
      <x:c r="W474" s="489" t="str">
        <x:v>Município/localidade encontrado em fonte comparável, mas valor não fecha exatamente</x:v>
      </x:c>
      <x:c r="X474" s="489" t="str">
        <x:v>https://discricionarias.transferegov.sistema.gov.br/voluntarias/ConsultarProposta/ResultadoDaConsultaDeConvenioSelecionarConvenio.do?sequencialConvenio=935409&amp;Usr=guest&amp;Pwd=guest</x:v>
      </x:c>
    </x:row>
    <x:row r="475">
      <x:c r="A475" s="502" t="n">
        <x:v>475</x:v>
      </x:c>
      <x:c r="B475" s="502" t="n">
        <x:v>2022</x:v>
      </x:c>
      <x:c r="C475" s="489" t="str">
        <x:v>Santa Maria</x:v>
      </x:c>
      <x:c r="D475" s="489" t="str">
        <x:v>Comando da Aeronáutica Brasília</x:v>
      </x:c>
      <x:c r="E475" s="489" t="str">
        <x:v>Aeronáutica do Brasil</x:v>
      </x:c>
      <x:c r="F475" s="489" t="str">
        <x:v>41160008</x:v>
      </x:c>
      <x:c r="G475" s="489" t="str">
        <x:v>41160008-2022</x:v>
      </x:c>
      <x:c r="H475" s="489" t="str">
        <x:v>Informado/corrigido a partir do mapa</x:v>
      </x:c>
      <x:c r="I475" s="503" t="n">
        <x:v>300000</x:v>
      </x:c>
      <x:c r="J475" s="503" t="n">
        <x:v>300000</x:v>
      </x:c>
      <x:c r="K475" s="489" t="str">
        <x:v>Emenda Individual </x:v>
      </x:c>
      <x:c r="L475" s="489" t="str">
        <x:v>Recurso pago</x:v>
      </x:c>
      <x:c r="M475" s="503" t="n">
        <x:v>46649.19</x:v>
      </x:c>
      <x:c r="N475" s="503" t="n">
        <x:v>0</x:v>
      </x:c>
      <x:c r="O475" s="503" t="n">
        <x:v>0</x:v>
      </x:c>
      <x:c r="P475" s="503" t="n">
        <x:v>0</x:v>
      </x:c>
      <x:c r="Q475" s="503" t="n">
        <x:v>0</x:v>
      </x:c>
      <x:c r="R475" s="489" t="str"/>
      <x:c r="S475" s="489" t="str">
        <x:v>10495635000160, 46618459000154</x:v>
      </x:c>
      <x:c r="T475" s="489" t="str">
        <x:v>CONFIRMADO</x:v>
      </x:c>
      <x:c r="U475" s="489" t="str">
        <x:v>Baixa</x:v>
      </x:c>
      <x:c r="V475" s="489" t="str"/>
      <x:c r="W475" s="489" t="str">
        <x:v>Valor do grupo fecha com: CSV empenhado localidade, CSV pago+RP localidade</x:v>
      </x:c>
      <x:c r="X475" s="489" t="str"/>
    </x:row>
    <x:row r="476">
      <x:c r="A476" s="502" t="n">
        <x:v>476</x:v>
      </x:c>
      <x:c r="B476" s="502" t="n">
        <x:v>2022</x:v>
      </x:c>
      <x:c r="C476" s="489" t="str">
        <x:v>Serafina Corrêa</x:v>
      </x:c>
      <x:c r="D476" s="489" t="str">
        <x:v>Hospital</x:v>
      </x:c>
      <x:c r="E476" s="489" t="str">
        <x:v>Hospital Nossa Senhora do Rosário</x:v>
      </x:c>
      <x:c r="F476" s="489" t="str">
        <x:v>41160003</x:v>
      </x:c>
      <x:c r="G476" s="489" t="str">
        <x:v>41160003-2022</x:v>
      </x:c>
      <x:c r="H476" s="489" t="str">
        <x:v>Informado/corrigido a partir do mapa</x:v>
      </x:c>
      <x:c r="I476" s="503" t="n">
        <x:v>300000</x:v>
      </x:c>
      <x:c r="J476" s="503" t="n">
        <x:v>300000</x:v>
      </x:c>
      <x:c r="K476" s="489" t="str">
        <x:v>Emenda Individual </x:v>
      </x:c>
      <x:c r="L476" s="489" t="str">
        <x:v>Recurso pago</x:v>
      </x:c>
      <x:c r="M476" s="503" t="n">
        <x:v>288400</x:v>
      </x:c>
      <x:c r="N476" s="503" t="n">
        <x:v>300000</x:v>
      </x:c>
      <x:c r="O476" s="503" t="n">
        <x:v>288400</x:v>
      </x:c>
      <x:c r="P476" s="503" t="n">
        <x:v>0</x:v>
      </x:c>
      <x:c r="Q476" s="503" t="n">
        <x:v>0</x:v>
      </x:c>
      <x:c r="R476" s="489" t="str"/>
      <x:c r="S476" s="489" t="str">
        <x:v>90397167000120</x:v>
      </x:c>
      <x:c r="T476" s="489" t="str">
        <x:v>VALOR DIVERGENTE / COBERTURA DIFERENTE</x:v>
      </x:c>
      <x:c r="U476" s="489" t="str">
        <x:v>Média</x:v>
      </x:c>
      <x:c r="V476" s="489" t="str">
        <x:v>CNPJ candidato na fonte SIGA: 90397167000120</x:v>
      </x:c>
      <x:c r="W476" s="489" t="str">
        <x:v>Município/localidade encontrado em fonte comparável, mas valor não fecha exatamente</x:v>
      </x:c>
      <x:c r="X476" s="489" t="str">
        <x:v>https://discricionarias.transferegov.sistema.gov.br/voluntarias/ConsultarProposta/ResultadoDaConsultaDeConvenioSelecionarConvenio.do?sequencialConvenio=935976&amp;Usr=guest&amp;Pwd=guest</x:v>
      </x:c>
    </x:row>
    <x:row r="477">
      <x:c r="A477" s="502" t="n">
        <x:v>477</x:v>
      </x:c>
      <x:c r="B477" s="502" t="n">
        <x:v>2023</x:v>
      </x:c>
      <x:c r="C477" s="489" t="str">
        <x:v>Lindolfo Collor</x:v>
      </x:c>
      <x:c r="D477" s="489" t="str">
        <x:v>Prefeitura</x:v>
      </x:c>
      <x:c r="E477" s="489" t="str">
        <x:v>Prefeitura de Lindolfo Collor</x:v>
      </x:c>
      <x:c r="F477" s="489" t="str"/>
      <x:c r="G477" s="489" t="str"/>
      <x:c r="H477" s="489" t="str">
        <x:v>Sem nº conciliado</x:v>
      </x:c>
      <x:c r="I477" s="503" t="n">
        <x:v>300000</x:v>
      </x:c>
      <x:c r="J477" s="503" t="n">
        <x:v>300000</x:v>
      </x:c>
      <x:c r="K477" s="489" t="str">
        <x:v>Emenda Individual</x:v>
      </x:c>
      <x:c r="L477" s="489" t="str">
        <x:v>Empenhado</x:v>
      </x:c>
      <x:c r="M477" s="503" t="n">
        <x:v>0</x:v>
      </x:c>
      <x:c r="N477" s="503" t="n">
        <x:v>0</x:v>
      </x:c>
      <x:c r="O477" s="503" t="n">
        <x:v>0</x:v>
      </x:c>
      <x:c r="P477" s="503" t="n">
        <x:v>0</x:v>
      </x:c>
      <x:c r="Q477" s="503" t="n">
        <x:v>0</x:v>
      </x:c>
      <x:c r="R477" s="489" t="str"/>
      <x:c r="S477" s="489" t="str"/>
      <x:c r="T477" s="489" t="str">
        <x:v>SEM Nº / NÃO CONCILIADO</x:v>
      </x:c>
      <x:c r="U477" s="489" t="str">
        <x:v>Média</x:v>
      </x:c>
      <x:c r="V477" s="489" t="str"/>
      <x:c r="W477" s="489" t="str"/>
      <x:c r="X477" s="489" t="str"/>
    </x:row>
    <x:row r="478">
      <x:c r="A478" s="502" t="n">
        <x:v>478</x:v>
      </x:c>
      <x:c r="B478" s="502" t="n">
        <x:v>2023</x:v>
      </x:c>
      <x:c r="C478" s="489" t="str">
        <x:v>Canoas</x:v>
      </x:c>
      <x:c r="D478" s="489" t="str">
        <x:v>Hospital</x:v>
      </x:c>
      <x:c r="E478" s="489" t="str">
        <x:v>Hospital Nossa Senhora Das Graças</x:v>
      </x:c>
      <x:c r="F478" s="489" t="str"/>
      <x:c r="G478" s="489" t="str"/>
      <x:c r="H478" s="489" t="str">
        <x:v>Sem nº conciliado</x:v>
      </x:c>
      <x:c r="I478" s="503" t="n">
        <x:v>300000</x:v>
      </x:c>
      <x:c r="J478" s="503" t="n">
        <x:v>300000</x:v>
      </x:c>
      <x:c r="K478" s="489" t="str">
        <x:v>Emenda Individual</x:v>
      </x:c>
      <x:c r="L478" s="489" t="str">
        <x:v>Empenhado</x:v>
      </x:c>
      <x:c r="M478" s="503" t="n">
        <x:v>0</x:v>
      </x:c>
      <x:c r="N478" s="503" t="n">
        <x:v>0</x:v>
      </x:c>
      <x:c r="O478" s="503" t="n">
        <x:v>0</x:v>
      </x:c>
      <x:c r="P478" s="503" t="n">
        <x:v>0</x:v>
      </x:c>
      <x:c r="Q478" s="503" t="n">
        <x:v>0</x:v>
      </x:c>
      <x:c r="R478" s="489" t="str"/>
      <x:c r="S478" s="489" t="str"/>
      <x:c r="T478" s="489" t="str">
        <x:v>SEM Nº / NÃO CONCILIADO</x:v>
      </x:c>
      <x:c r="U478" s="489" t="str">
        <x:v>Média</x:v>
      </x:c>
      <x:c r="V478" s="489" t="str"/>
      <x:c r="W478" s="489" t="str"/>
      <x:c r="X478" s="489" t="str"/>
    </x:row>
    <x:row r="479">
      <x:c r="A479" s="502" t="n">
        <x:v>479</x:v>
      </x:c>
      <x:c r="B479" s="502" t="n">
        <x:v>2023</x:v>
      </x:c>
      <x:c r="C479" s="489" t="str">
        <x:v>Caxias Do Sul</x:v>
      </x:c>
      <x:c r="D479" s="489" t="str">
        <x:v>Prefeitura</x:v>
      </x:c>
      <x:c r="E479" s="489" t="str">
        <x:v>Fundo Municipal de Saúde</x:v>
      </x:c>
      <x:c r="F479" s="489" t="str"/>
      <x:c r="G479" s="489" t="str">
        <x:v>41160007-2023</x:v>
      </x:c>
      <x:c r="H479" s="489" t="str">
        <x:v>Inferido forte (SIGA/PIX)</x:v>
      </x:c>
      <x:c r="I479" s="503" t="n">
        <x:v>300000</x:v>
      </x:c>
      <x:c r="J479" s="503" t="n">
        <x:v>300000</x:v>
      </x:c>
      <x:c r="K479" s="489" t="str">
        <x:v>Emenda Individual</x:v>
      </x:c>
      <x:c r="L479" s="489" t="str">
        <x:v>Recurso pago</x:v>
      </x:c>
      <x:c r="M479" s="503" t="n">
        <x:v>300000</x:v>
      </x:c>
      <x:c r="N479" s="503" t="n">
        <x:v>0</x:v>
      </x:c>
      <x:c r="O479" s="503" t="n">
        <x:v>0</x:v>
      </x:c>
      <x:c r="P479" s="503" t="n">
        <x:v>0</x:v>
      </x:c>
      <x:c r="Q479" s="503" t="n">
        <x:v>0</x:v>
      </x:c>
      <x:c r="R479" s="489" t="str"/>
      <x:c r="S479" s="489" t="str">
        <x:v>10546325000128</x:v>
      </x:c>
      <x:c r="T479" s="489" t="str">
        <x:v>CONFIRMADO</x:v>
      </x:c>
      <x:c r="U479" s="489" t="str">
        <x:v>Baixa</x:v>
      </x:c>
      <x:c r="V479" s="489" t="str">
        <x:v>Preencher nº como 41160007 com marcação de inferência (ano+município+valor exatos em SIGA/PIX); CNPJ candidato na fonte SIGA: 10546325000128</x:v>
      </x:c>
      <x:c r="W479" s="489" t="str">
        <x:v>nº ausente; inferido por coincidência exata de cidade e valor em SIGA favorecido; Valor do grupo fecha com: SIGA pago favorecido</x:v>
      </x:c>
      <x:c r="X479" s="489" t="str"/>
    </x:row>
    <x:row r="480">
      <x:c r="A480" s="502" t="n">
        <x:v>480</x:v>
      </x:c>
      <x:c r="B480" s="502" t="n">
        <x:v>2023</x:v>
      </x:c>
      <x:c r="C480" s="489" t="str">
        <x:v>Igrejinha</x:v>
      </x:c>
      <x:c r="D480" s="489" t="str">
        <x:v>Prefeitura</x:v>
      </x:c>
      <x:c r="E480" s="489" t="str">
        <x:v>Prefeitura de Igrejinha</x:v>
      </x:c>
      <x:c r="F480" s="489" t="str"/>
      <x:c r="G480" s="489" t="str"/>
      <x:c r="H480" s="489" t="str">
        <x:v>Sem nº conciliado</x:v>
      </x:c>
      <x:c r="I480" s="503" t="n">
        <x:v>300000</x:v>
      </x:c>
      <x:c r="J480" s="503" t="n">
        <x:v>666314</x:v>
      </x:c>
      <x:c r="K480" s="489" t="str">
        <x:v>Emenda Individual</x:v>
      </x:c>
      <x:c r="L480" s="489" t="str">
        <x:v>Empenhado</x:v>
      </x:c>
      <x:c r="M480" s="503" t="n">
        <x:v>0</x:v>
      </x:c>
      <x:c r="N480" s="503" t="n">
        <x:v>0</x:v>
      </x:c>
      <x:c r="O480" s="503" t="n">
        <x:v>0</x:v>
      </x:c>
      <x:c r="P480" s="503" t="n">
        <x:v>0</x:v>
      </x:c>
      <x:c r="Q480" s="503" t="n">
        <x:v>0</x:v>
      </x:c>
      <x:c r="R480" s="489" t="str"/>
      <x:c r="S480" s="489" t="str"/>
      <x:c r="T480" s="489" t="str">
        <x:v>SEM Nº / NÃO CONCILIADO</x:v>
      </x:c>
      <x:c r="U480" s="489" t="str">
        <x:v>Média</x:v>
      </x:c>
      <x:c r="V480" s="489" t="str"/>
      <x:c r="W480" s="489" t="str"/>
      <x:c r="X480" s="489" t="str"/>
    </x:row>
    <x:row r="481">
      <x:c r="A481" s="502" t="n">
        <x:v>481</x:v>
      </x:c>
      <x:c r="B481" s="502" t="n">
        <x:v>2023</x:v>
      </x:c>
      <x:c r="C481" s="489" t="str">
        <x:v>Piratini</x:v>
      </x:c>
      <x:c r="D481" s="489" t="str">
        <x:v>Hospital</x:v>
      </x:c>
      <x:c r="E481" s="489" t="str">
        <x:v>Hospital De Caridade Nossa Senhora Da Conceição De Piratini</x:v>
      </x:c>
      <x:c r="F481" s="489" t="str"/>
      <x:c r="G481" s="489" t="str"/>
      <x:c r="H481" s="489" t="str">
        <x:v>Sem nº conciliado</x:v>
      </x:c>
      <x:c r="I481" s="503" t="n">
        <x:v>300000</x:v>
      </x:c>
      <x:c r="J481" s="503" t="n">
        <x:v>300000</x:v>
      </x:c>
      <x:c r="K481" s="489" t="str">
        <x:v>Emenda Individual</x:v>
      </x:c>
      <x:c r="L481" s="489" t="str">
        <x:v>Empenhado</x:v>
      </x:c>
      <x:c r="M481" s="503" t="n">
        <x:v>0</x:v>
      </x:c>
      <x:c r="N481" s="503" t="n">
        <x:v>0</x:v>
      </x:c>
      <x:c r="O481" s="503" t="n">
        <x:v>0</x:v>
      </x:c>
      <x:c r="P481" s="503" t="n">
        <x:v>0</x:v>
      </x:c>
      <x:c r="Q481" s="503" t="n">
        <x:v>0</x:v>
      </x:c>
      <x:c r="R481" s="489" t="str"/>
      <x:c r="S481" s="489" t="str"/>
      <x:c r="T481" s="489" t="str">
        <x:v>SEM Nº / NÃO CONCILIADO</x:v>
      </x:c>
      <x:c r="U481" s="489" t="str">
        <x:v>Média</x:v>
      </x:c>
      <x:c r="V481" s="489" t="str"/>
      <x:c r="W481" s="489" t="str"/>
      <x:c r="X481" s="489" t="str"/>
    </x:row>
    <x:row r="482">
      <x:c r="A482" s="502" t="n">
        <x:v>482</x:v>
      </x:c>
      <x:c r="B482" s="502" t="n">
        <x:v>2023</x:v>
      </x:c>
      <x:c r="C482" s="489" t="str">
        <x:v>Taquara</x:v>
      </x:c>
      <x:c r="D482" s="489" t="str">
        <x:v>Hospital</x:v>
      </x:c>
      <x:c r="E482" s="489" t="str">
        <x:v>Hospital Bom Jesus</x:v>
      </x:c>
      <x:c r="F482" s="489" t="str"/>
      <x:c r="G482" s="489" t="str"/>
      <x:c r="H482" s="489" t="str">
        <x:v>Sem nº conciliado</x:v>
      </x:c>
      <x:c r="I482" s="503" t="n">
        <x:v>300000</x:v>
      </x:c>
      <x:c r="J482" s="503" t="n">
        <x:v>620000</x:v>
      </x:c>
      <x:c r="K482" s="489" t="str">
        <x:v>Emenda Individual</x:v>
      </x:c>
      <x:c r="L482" s="489" t="str">
        <x:v>Empenhado</x:v>
      </x:c>
      <x:c r="M482" s="503" t="n">
        <x:v>0</x:v>
      </x:c>
      <x:c r="N482" s="503" t="n">
        <x:v>0</x:v>
      </x:c>
      <x:c r="O482" s="503" t="n">
        <x:v>0</x:v>
      </x:c>
      <x:c r="P482" s="503" t="n">
        <x:v>0</x:v>
      </x:c>
      <x:c r="Q482" s="503" t="n">
        <x:v>0</x:v>
      </x:c>
      <x:c r="R482" s="489" t="str"/>
      <x:c r="S482" s="489" t="str"/>
      <x:c r="T482" s="489" t="str">
        <x:v>SEM Nº / NÃO CONCILIADO</x:v>
      </x:c>
      <x:c r="U482" s="489" t="str">
        <x:v>Média</x:v>
      </x:c>
      <x:c r="V482" s="489" t="str"/>
      <x:c r="W482" s="489" t="str"/>
      <x:c r="X482" s="489" t="str"/>
    </x:row>
    <x:row r="483">
      <x:c r="A483" s="502" t="n">
        <x:v>483</x:v>
      </x:c>
      <x:c r="B483" s="502" t="n">
        <x:v>2023</x:v>
      </x:c>
      <x:c r="C483" s="489" t="str">
        <x:v>Osório</x:v>
      </x:c>
      <x:c r="D483" s="489" t="str">
        <x:v>Prefeitura</x:v>
      </x:c>
      <x:c r="E483" s="489" t="str">
        <x:v>Prefeitura de Osório</x:v>
      </x:c>
      <x:c r="F483" s="489" t="str"/>
      <x:c r="G483" s="489" t="str">
        <x:v>41160001-2023</x:v>
      </x:c>
      <x:c r="H483" s="489" t="str">
        <x:v>Inferido forte (SIGA/PIX)</x:v>
      </x:c>
      <x:c r="I483" s="503" t="n">
        <x:v>300000</x:v>
      </x:c>
      <x:c r="J483" s="503" t="n">
        <x:v>300000</x:v>
      </x:c>
      <x:c r="K483" s="489" t="str">
        <x:v>Emenda Individual</x:v>
      </x:c>
      <x:c r="L483" s="489" t="str">
        <x:v>Recurso pago</x:v>
      </x:c>
      <x:c r="M483" s="503" t="n">
        <x:v>300000</x:v>
      </x:c>
      <x:c r="N483" s="503" t="n">
        <x:v>0</x:v>
      </x:c>
      <x:c r="O483" s="503" t="n">
        <x:v>0</x:v>
      </x:c>
      <x:c r="P483" s="503" t="n">
        <x:v>300000</x:v>
      </x:c>
      <x:c r="Q483" s="503" t="n">
        <x:v>0</x:v>
      </x:c>
      <x:c r="R483" s="489" t="str">
        <x:v>CIENTE</x:v>
      </x:c>
      <x:c r="S483" s="489" t="str">
        <x:v>88814181000130</x:v>
      </x:c>
      <x:c r="T483" s="489" t="str">
        <x:v>CONFIRMADO</x:v>
      </x:c>
      <x:c r="U483" s="489" t="str">
        <x:v>Baixa</x:v>
      </x:c>
      <x:c r="V483" s="489" t="str">
        <x:v>Preencher nº como 41160001 com marcação de inferência (ano+município+valor exatos em SIGA/PIX); CNPJ candidato na fonte SIGA: 88814181000130</x:v>
      </x:c>
      <x:c r="W483" s="489" t="str">
        <x:v>nº ausente; inferido por coincidência exata de cidade e valor em SIGA favorecido, PIX; Valor do grupo fecha com: SIGA pago favorecido, PIX atual</x:v>
      </x:c>
      <x:c r="X483" s="489" t="str">
        <x:v>https://especiais.transferegov.sistema.gov.br/transferencia-especial/plano-acao/detalhe/38356/dados-basicos</x:v>
      </x:c>
    </x:row>
    <x:row r="484">
      <x:c r="A484" s="502" t="n">
        <x:v>484</x:v>
      </x:c>
      <x:c r="B484" s="502" t="n">
        <x:v>2023</x:v>
      </x:c>
      <x:c r="C484" s="489"/>
      <x:c r="D484" s="489"/>
      <x:c r="E484" s="489" t="str">
        <x:v>Exército do Brasil</x:v>
      </x:c>
      <x:c r="F484" s="489" t="str">
        <x:v>41160003</x:v>
      </x:c>
      <x:c r="G484" s="489" t="str">
        <x:v>41160003-2023</x:v>
      </x:c>
      <x:c r="H484" s="489" t="str">
        <x:v>Informado/corrigido a partir do mapa</x:v>
      </x:c>
      <x:c r="I484" s="503" t="n">
        <x:v>300000</x:v>
      </x:c>
      <x:c r="J484" s="503" t="n">
        <x:v>300000</x:v>
      </x:c>
      <x:c r="K484" s="489"/>
      <x:c r="L484" s="489"/>
      <x:c r="M484" s="503" t="n">
        <x:v>0</x:v>
      </x:c>
      <x:c r="N484" s="503" t="n">
        <x:v>0</x:v>
      </x:c>
      <x:c r="O484" s="503" t="n">
        <x:v>0</x:v>
      </x:c>
      <x:c r="P484" s="503" t="n">
        <x:v>0</x:v>
      </x:c>
      <x:c r="Q484" s="503" t="n">
        <x:v>0</x:v>
      </x:c>
      <x:c r="R484" s="489" t="str"/>
      <x:c r="S484" s="489" t="str"/>
      <x:c r="T484" s="489" t="str">
        <x:v>EMENDA CONFIRMADA; DESTINO NÃO CONFIRMADO</x:v>
      </x:c>
      <x:c r="U484" s="489" t="str">
        <x:v>Média</x:v>
      </x:c>
      <x:c r="V484" s="489" t="str"/>
      <x:c r="W484" s="489" t="str">
        <x:v>Nº existe no SIGA; destinatário específico não foi confirmado nas bases anexas</x:v>
      </x:c>
      <x:c r="X484" s="489" t="str"/>
    </x:row>
    <x:row r="485">
      <x:c r="A485" s="502" t="n">
        <x:v>485</x:v>
      </x:c>
      <x:c r="B485" s="502" t="n">
        <x:v>2023</x:v>
      </x:c>
      <x:c r="C485" s="489"/>
      <x:c r="D485" s="489"/>
      <x:c r="E485" s="489" t="str">
        <x:v>Aeronáutica do Brasil</x:v>
      </x:c>
      <x:c r="F485" s="489" t="str">
        <x:v>41160010</x:v>
      </x:c>
      <x:c r="G485" s="489" t="str">
        <x:v>41160010-2023</x:v>
      </x:c>
      <x:c r="H485" s="489" t="str">
        <x:v>Informado/corrigido a partir do mapa</x:v>
      </x:c>
      <x:c r="I485" s="503" t="n">
        <x:v>300000</x:v>
      </x:c>
      <x:c r="J485" s="503" t="n">
        <x:v>300000</x:v>
      </x:c>
      <x:c r="K485" s="489"/>
      <x:c r="L485" s="489"/>
      <x:c r="M485" s="503" t="n">
        <x:v>0</x:v>
      </x:c>
      <x:c r="N485" s="503" t="n">
        <x:v>0</x:v>
      </x:c>
      <x:c r="O485" s="503" t="n">
        <x:v>0</x:v>
      </x:c>
      <x:c r="P485" s="503" t="n">
        <x:v>0</x:v>
      </x:c>
      <x:c r="Q485" s="503" t="n">
        <x:v>0</x:v>
      </x:c>
      <x:c r="R485" s="489" t="str"/>
      <x:c r="S485" s="489" t="str"/>
      <x:c r="T485" s="489" t="str">
        <x:v>EMENDA CONFIRMADA; DESTINO NÃO CONFIRMADO</x:v>
      </x:c>
      <x:c r="U485" s="489" t="str">
        <x:v>Média</x:v>
      </x:c>
      <x:c r="V485" s="489" t="str"/>
      <x:c r="W485" s="489" t="str">
        <x:v>Nº existe no SIGA; destinatário específico não foi confirmado nas bases anexas</x:v>
      </x:c>
      <x:c r="X485" s="489" t="str"/>
    </x:row>
    <x:row r="486">
      <x:c r="A486" s="502" t="n">
        <x:v>486</x:v>
      </x:c>
      <x:c r="B486" s="502" t="n">
        <x:v>2023</x:v>
      </x:c>
      <x:c r="C486" s="489" t="str">
        <x:v>São Jerônimo</x:v>
      </x:c>
      <x:c r="D486" s="489" t="str">
        <x:v>Prefeitura de São Jernônimo</x:v>
      </x:c>
      <x:c r="E486" s="489" t="str">
        <x:v>Projeto Construção de Ponte sobre o Rio Jacuí entre São Jerônimo e Triunfo - na BR-470/RS</x:v>
      </x:c>
      <x:c r="F486" s="489" t="str"/>
      <x:c r="G486" s="489" t="str"/>
      <x:c r="H486" s="489" t="str">
        <x:v>Sem nº conciliado</x:v>
      </x:c>
      <x:c r="I486" s="503" t="n">
        <x:v>300000</x:v>
      </x:c>
      <x:c r="J486" s="503" t="n">
        <x:v>300000</x:v>
      </x:c>
      <x:c r="K486" s="489" t="str">
        <x:v>Emenda bancada</x:v>
      </x:c>
      <x:c r="L486" s="489" t="str">
        <x:v>Empenhado</x:v>
      </x:c>
      <x:c r="M486" s="503" t="n">
        <x:v>0</x:v>
      </x:c>
      <x:c r="N486" s="503" t="n">
        <x:v>0</x:v>
      </x:c>
      <x:c r="O486" s="503" t="n">
        <x:v>0</x:v>
      </x:c>
      <x:c r="P486" s="503" t="n">
        <x:v>0</x:v>
      </x:c>
      <x:c r="Q486" s="503" t="n">
        <x:v>0</x:v>
      </x:c>
      <x:c r="R486" s="489" t="str"/>
      <x:c r="S486" s="489" t="str"/>
      <x:c r="T486" s="489" t="str">
        <x:v>SEM Nº / NÃO CONCILIADO</x:v>
      </x:c>
      <x:c r="U486" s="489" t="str">
        <x:v>Média</x:v>
      </x:c>
      <x:c r="V486" s="489" t="str"/>
      <x:c r="W486" s="489" t="str"/>
      <x:c r="X486" s="489" t="str"/>
    </x:row>
    <x:row r="487">
      <x:c r="A487" s="502" t="n">
        <x:v>487</x:v>
      </x:c>
      <x:c r="B487" s="502" t="n">
        <x:v>2024</x:v>
      </x:c>
      <x:c r="C487" s="489" t="str">
        <x:v>Bom Princípio</x:v>
      </x:c>
      <x:c r="D487" s="489" t="str">
        <x:v>Prefeitura Municipal de Bom Princípio</x:v>
      </x:c>
      <x:c r="E487" s="489" t="str">
        <x:v>Prefeitura Municipal</x:v>
      </x:c>
      <x:c r="F487" s="489" t="str">
        <x:v>41160001</x:v>
      </x:c>
      <x:c r="G487" s="489" t="str">
        <x:v>41160001-2024</x:v>
      </x:c>
      <x:c r="H487" s="489" t="str">
        <x:v>Informado/corrigido a partir do mapa</x:v>
      </x:c>
      <x:c r="I487" s="503" t="n">
        <x:v>300000</x:v>
      </x:c>
      <x:c r="J487" s="503" t="n">
        <x:v>300000</x:v>
      </x:c>
      <x:c r="K487" s="489" t="str">
        <x:v>Emenda Individual</x:v>
      </x:c>
      <x:c r="L487" s="489"/>
      <x:c r="M487" s="503" t="n">
        <x:v>300000</x:v>
      </x:c>
      <x:c r="N487" s="503" t="n">
        <x:v>0</x:v>
      </x:c>
      <x:c r="O487" s="503" t="n">
        <x:v>0</x:v>
      </x:c>
      <x:c r="P487" s="503" t="n">
        <x:v>0</x:v>
      </x:c>
      <x:c r="Q487" s="503" t="n">
        <x:v>0</x:v>
      </x:c>
      <x:c r="R487" s="489" t="str"/>
      <x:c r="S487" s="489" t="str">
        <x:v>11389385000147</x:v>
      </x:c>
      <x:c r="T487" s="489" t="str">
        <x:v>CONFIRMADO</x:v>
      </x:c>
      <x:c r="U487" s="489" t="str">
        <x:v>Baixa</x:v>
      </x:c>
      <x:c r="V487" s="489" t="str">
        <x:v>Preencher situação: há pagamento identificado na fonte pública; CNPJ candidato na fonte SIGA: 11389385000147</x:v>
      </x:c>
      <x:c r="W487" s="489" t="str">
        <x:v>Valor do grupo fecha com: SIGA pago favorecido</x:v>
      </x:c>
      <x:c r="X487" s="489" t="str"/>
    </x:row>
    <x:row r="488">
      <x:c r="A488" s="502" t="n">
        <x:v>488</x:v>
      </x:c>
      <x:c r="B488" s="502" t="n">
        <x:v>2024</x:v>
      </x:c>
      <x:c r="C488" s="489" t="str">
        <x:v>Dois Irmãos</x:v>
      </x:c>
      <x:c r="D488" s="489" t="str">
        <x:v>Prefeitura Municipal de Dois Irmãos</x:v>
      </x:c>
      <x:c r="E488" s="489" t="str">
        <x:v>Prefeitura Municipal</x:v>
      </x:c>
      <x:c r="F488" s="489" t="str">
        <x:v>41160001</x:v>
      </x:c>
      <x:c r="G488" s="489" t="str">
        <x:v>41160001-2024</x:v>
      </x:c>
      <x:c r="H488" s="489" t="str">
        <x:v>Informado/corrigido a partir do mapa</x:v>
      </x:c>
      <x:c r="I488" s="503" t="n">
        <x:v>300000</x:v>
      </x:c>
      <x:c r="J488" s="503" t="n">
        <x:v>300000</x:v>
      </x:c>
      <x:c r="K488" s="489" t="str">
        <x:v>Emenda Individual</x:v>
      </x:c>
      <x:c r="L488" s="489"/>
      <x:c r="M488" s="503" t="n">
        <x:v>300000</x:v>
      </x:c>
      <x:c r="N488" s="503" t="n">
        <x:v>0</x:v>
      </x:c>
      <x:c r="O488" s="503" t="n">
        <x:v>0</x:v>
      </x:c>
      <x:c r="P488" s="503" t="n">
        <x:v>0</x:v>
      </x:c>
      <x:c r="Q488" s="503" t="n">
        <x:v>0</x:v>
      </x:c>
      <x:c r="R488" s="489" t="str"/>
      <x:c r="S488" s="489" t="str">
        <x:v>11437296000129</x:v>
      </x:c>
      <x:c r="T488" s="489" t="str">
        <x:v>CONFIRMADO</x:v>
      </x:c>
      <x:c r="U488" s="489" t="str">
        <x:v>Baixa</x:v>
      </x:c>
      <x:c r="V488" s="489" t="str">
        <x:v>Preencher situação: há pagamento identificado na fonte pública; CNPJ candidato na fonte SIGA: 11437296000129</x:v>
      </x:c>
      <x:c r="W488" s="489" t="str">
        <x:v>Valor do grupo fecha com: SIGA pago favorecido</x:v>
      </x:c>
      <x:c r="X488" s="489" t="str"/>
    </x:row>
    <x:row r="489">
      <x:c r="A489" s="502" t="n">
        <x:v>489</x:v>
      </x:c>
      <x:c r="B489" s="502" t="n">
        <x:v>2024</x:v>
      </x:c>
      <x:c r="C489" s="489" t="str">
        <x:v>Feliz</x:v>
      </x:c>
      <x:c r="D489" s="489" t="str">
        <x:v>Prefeitura Municipal de Feliz</x:v>
      </x:c>
      <x:c r="E489" s="489" t="str">
        <x:v>Prefeitura Municipal</x:v>
      </x:c>
      <x:c r="F489" s="489" t="str">
        <x:v>41160001</x:v>
      </x:c>
      <x:c r="G489" s="489" t="str">
        <x:v>41160001-2024</x:v>
      </x:c>
      <x:c r="H489" s="489" t="str">
        <x:v>Informado/corrigido a partir do mapa</x:v>
      </x:c>
      <x:c r="I489" s="503" t="n">
        <x:v>300000</x:v>
      </x:c>
      <x:c r="J489" s="503" t="n">
        <x:v>300000</x:v>
      </x:c>
      <x:c r="K489" s="489" t="str">
        <x:v>Emenda Individual</x:v>
      </x:c>
      <x:c r="L489" s="489"/>
      <x:c r="M489" s="503" t="n">
        <x:v>300000</x:v>
      </x:c>
      <x:c r="N489" s="503" t="n">
        <x:v>0</x:v>
      </x:c>
      <x:c r="O489" s="503" t="n">
        <x:v>0</x:v>
      </x:c>
      <x:c r="P489" s="503" t="n">
        <x:v>0</x:v>
      </x:c>
      <x:c r="Q489" s="503" t="n">
        <x:v>0</x:v>
      </x:c>
      <x:c r="R489" s="489" t="str"/>
      <x:c r="S489" s="489" t="str">
        <x:v>11484627000181</x:v>
      </x:c>
      <x:c r="T489" s="489" t="str">
        <x:v>CONFIRMADO</x:v>
      </x:c>
      <x:c r="U489" s="489" t="str">
        <x:v>Baixa</x:v>
      </x:c>
      <x:c r="V489" s="489" t="str">
        <x:v>Preencher situação: há pagamento identificado na fonte pública; CNPJ candidato na fonte SIGA: 11484627000181</x:v>
      </x:c>
      <x:c r="W489" s="489" t="str">
        <x:v>Valor do grupo fecha com: SIGA pago favorecido</x:v>
      </x:c>
      <x:c r="X489" s="489" t="str"/>
    </x:row>
    <x:row r="490">
      <x:c r="A490" s="502" t="n">
        <x:v>490</x:v>
      </x:c>
      <x:c r="B490" s="502" t="n">
        <x:v>2024</x:v>
      </x:c>
      <x:c r="C490" s="489" t="str">
        <x:v>Santa Cruz do Sul</x:v>
      </x:c>
      <x:c r="D490" s="489" t="str">
        <x:v>Prefeitura Municipal de Santa Cruz do Sul</x:v>
      </x:c>
      <x:c r="E490" s="489" t="str">
        <x:v>Prefeitura Municipal</x:v>
      </x:c>
      <x:c r="F490" s="489" t="str">
        <x:v>41160001</x:v>
      </x:c>
      <x:c r="G490" s="489" t="str">
        <x:v>41160001-2024</x:v>
      </x:c>
      <x:c r="H490" s="489" t="str">
        <x:v>Informado/corrigido a partir do mapa</x:v>
      </x:c>
      <x:c r="I490" s="503" t="n">
        <x:v>300000</x:v>
      </x:c>
      <x:c r="J490" s="503" t="n">
        <x:v>300000</x:v>
      </x:c>
      <x:c r="K490" s="489" t="str">
        <x:v>Emenda Individual</x:v>
      </x:c>
      <x:c r="L490" s="489"/>
      <x:c r="M490" s="503" t="n">
        <x:v>300000</x:v>
      </x:c>
      <x:c r="N490" s="503" t="n">
        <x:v>0</x:v>
      </x:c>
      <x:c r="O490" s="503" t="n">
        <x:v>0</x:v>
      </x:c>
      <x:c r="P490" s="503" t="n">
        <x:v>0</x:v>
      </x:c>
      <x:c r="Q490" s="503" t="n">
        <x:v>0</x:v>
      </x:c>
      <x:c r="R490" s="489" t="str"/>
      <x:c r="S490" s="489" t="str">
        <x:v>11776182000103</x:v>
      </x:c>
      <x:c r="T490" s="489" t="str">
        <x:v>CONFIRMADO</x:v>
      </x:c>
      <x:c r="U490" s="489" t="str">
        <x:v>Baixa</x:v>
      </x:c>
      <x:c r="V490" s="489" t="str">
        <x:v>Preencher situação: há pagamento identificado na fonte pública; CNPJ candidato na fonte SIGA: 11776182000103</x:v>
      </x:c>
      <x:c r="W490" s="489" t="str">
        <x:v>Valor do grupo fecha com: SIGA pago favorecido</x:v>
      </x:c>
      <x:c r="X490" s="489" t="str"/>
    </x:row>
    <x:row r="491">
      <x:c r="A491" s="502" t="n">
        <x:v>491</x:v>
      </x:c>
      <x:c r="B491" s="502" t="n">
        <x:v>2024</x:v>
      </x:c>
      <x:c r="C491" s="489" t="str">
        <x:v>Farroupilha</x:v>
      </x:c>
      <x:c r="D491" s="489" t="str">
        <x:v>Prefeitura Municipal de Farroupilha</x:v>
      </x:c>
      <x:c r="E491" s="489" t="str">
        <x:v>Prefeitura Municipal</x:v>
      </x:c>
      <x:c r="F491" s="489" t="str">
        <x:v>41160001</x:v>
      </x:c>
      <x:c r="G491" s="489" t="str">
        <x:v>41160001-2024</x:v>
      </x:c>
      <x:c r="H491" s="489" t="str">
        <x:v>Informado/corrigido a partir do mapa</x:v>
      </x:c>
      <x:c r="I491" s="503" t="n">
        <x:v>300000</x:v>
      </x:c>
      <x:c r="J491" s="503" t="n">
        <x:v>300000</x:v>
      </x:c>
      <x:c r="K491" s="489" t="str">
        <x:v>Emenda Individual</x:v>
      </x:c>
      <x:c r="L491" s="489"/>
      <x:c r="M491" s="503" t="n">
        <x:v>300000</x:v>
      </x:c>
      <x:c r="N491" s="503" t="n">
        <x:v>0</x:v>
      </x:c>
      <x:c r="O491" s="503" t="n">
        <x:v>0</x:v>
      </x:c>
      <x:c r="P491" s="503" t="n">
        <x:v>0</x:v>
      </x:c>
      <x:c r="Q491" s="503" t="n">
        <x:v>0</x:v>
      </x:c>
      <x:c r="R491" s="489" t="str"/>
      <x:c r="S491" s="489" t="str">
        <x:v>14296302000163</x:v>
      </x:c>
      <x:c r="T491" s="489" t="str">
        <x:v>CONFIRMADO</x:v>
      </x:c>
      <x:c r="U491" s="489" t="str">
        <x:v>Baixa</x:v>
      </x:c>
      <x:c r="V491" s="489" t="str">
        <x:v>Preencher situação: há pagamento identificado na fonte pública; CNPJ candidato na fonte SIGA: 14296302000163</x:v>
      </x:c>
      <x:c r="W491" s="489" t="str">
        <x:v>Valor do grupo fecha com: SIGA pago favorecido</x:v>
      </x:c>
      <x:c r="X491" s="489" t="str"/>
    </x:row>
    <x:row r="492">
      <x:c r="A492" s="502" t="n">
        <x:v>492</x:v>
      </x:c>
      <x:c r="B492" s="502" t="n">
        <x:v>2024</x:v>
      </x:c>
      <x:c r="C492" s="489" t="str">
        <x:v>Jaguari</x:v>
      </x:c>
      <x:c r="D492" s="489" t="str">
        <x:v>Prefeitura Municipal de Jaguari</x:v>
      </x:c>
      <x:c r="E492" s="489" t="str">
        <x:v>Prefeitura Municipal</x:v>
      </x:c>
      <x:c r="F492" s="489" t="str">
        <x:v>41160001</x:v>
      </x:c>
      <x:c r="G492" s="489" t="str">
        <x:v>41160001-2024</x:v>
      </x:c>
      <x:c r="H492" s="489" t="str">
        <x:v>Informado/corrigido a partir do mapa</x:v>
      </x:c>
      <x:c r="I492" s="503" t="n">
        <x:v>300000</x:v>
      </x:c>
      <x:c r="J492" s="503" t="n">
        <x:v>300000</x:v>
      </x:c>
      <x:c r="K492" s="489" t="str">
        <x:v>Emenda Individual</x:v>
      </x:c>
      <x:c r="L492" s="489"/>
      <x:c r="M492" s="503" t="n">
        <x:v>300000</x:v>
      </x:c>
      <x:c r="N492" s="503" t="n">
        <x:v>0</x:v>
      </x:c>
      <x:c r="O492" s="503" t="n">
        <x:v>0</x:v>
      </x:c>
      <x:c r="P492" s="503" t="n">
        <x:v>0</x:v>
      </x:c>
      <x:c r="Q492" s="503" t="n">
        <x:v>0</x:v>
      </x:c>
      <x:c r="R492" s="489" t="str"/>
      <x:c r="S492" s="489" t="str">
        <x:v>12200972000109</x:v>
      </x:c>
      <x:c r="T492" s="489" t="str">
        <x:v>CONFIRMADO</x:v>
      </x:c>
      <x:c r="U492" s="489" t="str">
        <x:v>Baixa</x:v>
      </x:c>
      <x:c r="V492" s="489" t="str">
        <x:v>Preencher situação: há pagamento identificado na fonte pública; CNPJ candidato na fonte SIGA: 12200972000109</x:v>
      </x:c>
      <x:c r="W492" s="489" t="str">
        <x:v>Valor do grupo fecha com: SIGA pago favorecido</x:v>
      </x:c>
      <x:c r="X492" s="489" t="str"/>
    </x:row>
    <x:row r="493">
      <x:c r="A493" s="502" t="n">
        <x:v>493</x:v>
      </x:c>
      <x:c r="B493" s="502" t="n">
        <x:v>2024</x:v>
      </x:c>
      <x:c r="C493" s="489" t="str">
        <x:v>Picada Café</x:v>
      </x:c>
      <x:c r="D493" s="489" t="str">
        <x:v>Prefeitura Municipal de Picada Café</x:v>
      </x:c>
      <x:c r="E493" s="489" t="str">
        <x:v>Prefeitura Municipal</x:v>
      </x:c>
      <x:c r="F493" s="489" t="str">
        <x:v>41160001</x:v>
      </x:c>
      <x:c r="G493" s="489" t="str">
        <x:v>41160001-2024</x:v>
      </x:c>
      <x:c r="H493" s="489" t="str">
        <x:v>Informado/corrigido a partir do mapa</x:v>
      </x:c>
      <x:c r="I493" s="503" t="n">
        <x:v>300000</x:v>
      </x:c>
      <x:c r="J493" s="503" t="n">
        <x:v>300000</x:v>
      </x:c>
      <x:c r="K493" s="489" t="str">
        <x:v>Emenda Individual</x:v>
      </x:c>
      <x:c r="L493" s="489"/>
      <x:c r="M493" s="503" t="n">
        <x:v>300000</x:v>
      </x:c>
      <x:c r="N493" s="503" t="n">
        <x:v>0</x:v>
      </x:c>
      <x:c r="O493" s="503" t="n">
        <x:v>0</x:v>
      </x:c>
      <x:c r="P493" s="503" t="n">
        <x:v>0</x:v>
      </x:c>
      <x:c r="Q493" s="503" t="n">
        <x:v>0</x:v>
      </x:c>
      <x:c r="R493" s="489" t="str"/>
      <x:c r="S493" s="489" t="str">
        <x:v>12059843000142</x:v>
      </x:c>
      <x:c r="T493" s="489" t="str">
        <x:v>CONFIRMADO</x:v>
      </x:c>
      <x:c r="U493" s="489" t="str">
        <x:v>Baixa</x:v>
      </x:c>
      <x:c r="V493" s="489" t="str">
        <x:v>Preencher situação: há pagamento identificado na fonte pública; CNPJ candidato na fonte SIGA: 12059843000142</x:v>
      </x:c>
      <x:c r="W493" s="489" t="str">
        <x:v>Valor do grupo fecha com: SIGA pago favorecido</x:v>
      </x:c>
      <x:c r="X493" s="489" t="str"/>
    </x:row>
    <x:row r="494">
      <x:c r="A494" s="502" t="n">
        <x:v>494</x:v>
      </x:c>
      <x:c r="B494" s="502" t="n">
        <x:v>2024</x:v>
      </x:c>
      <x:c r="C494" s="489" t="str">
        <x:v>Estância Velha</x:v>
      </x:c>
      <x:c r="D494" s="489" t="str">
        <x:v>Prefeitura Municipal de Estância Velha</x:v>
      </x:c>
      <x:c r="E494" s="489" t="str">
        <x:v>Prefeitura Municipal</x:v>
      </x:c>
      <x:c r="F494" s="489" t="str">
        <x:v>41160001</x:v>
      </x:c>
      <x:c r="G494" s="489" t="str">
        <x:v>41160001-2024</x:v>
      </x:c>
      <x:c r="H494" s="489" t="str">
        <x:v>Informado/corrigido a partir do mapa</x:v>
      </x:c>
      <x:c r="I494" s="503" t="n">
        <x:v>300000</x:v>
      </x:c>
      <x:c r="J494" s="503" t="n">
        <x:v>300000</x:v>
      </x:c>
      <x:c r="K494" s="489" t="str">
        <x:v>Emenda Individual</x:v>
      </x:c>
      <x:c r="L494" s="489"/>
      <x:c r="M494" s="503" t="n">
        <x:v>300000</x:v>
      </x:c>
      <x:c r="N494" s="503" t="n">
        <x:v>0</x:v>
      </x:c>
      <x:c r="O494" s="503" t="n">
        <x:v>0</x:v>
      </x:c>
      <x:c r="P494" s="503" t="n">
        <x:v>0</x:v>
      </x:c>
      <x:c r="Q494" s="503" t="n">
        <x:v>0</x:v>
      </x:c>
      <x:c r="R494" s="489" t="str"/>
      <x:c r="S494" s="489" t="str">
        <x:v>11287173000159</x:v>
      </x:c>
      <x:c r="T494" s="489" t="str">
        <x:v>CONFIRMADO</x:v>
      </x:c>
      <x:c r="U494" s="489" t="str">
        <x:v>Baixa</x:v>
      </x:c>
      <x:c r="V494" s="489" t="str">
        <x:v>Preencher situação: há pagamento identificado na fonte pública; CNPJ candidato na fonte SIGA: 11287173000159</x:v>
      </x:c>
      <x:c r="W494" s="489" t="str">
        <x:v>Valor do grupo fecha com: SIGA pago favorecido</x:v>
      </x:c>
      <x:c r="X494" s="489" t="str"/>
    </x:row>
    <x:row r="495">
      <x:c r="A495" s="502" t="n">
        <x:v>495</x:v>
      </x:c>
      <x:c r="B495" s="502" t="n">
        <x:v>2024</x:v>
      </x:c>
      <x:c r="C495" s="489" t="str">
        <x:v>Sapiranga</x:v>
      </x:c>
      <x:c r="D495" s="489" t="str">
        <x:v>Prefeitura Municipal de Sapiranga</x:v>
      </x:c>
      <x:c r="E495" s="489" t="str">
        <x:v>Prefeitura Municipal</x:v>
      </x:c>
      <x:c r="F495" s="489" t="str">
        <x:v>41160001</x:v>
      </x:c>
      <x:c r="G495" s="489" t="str">
        <x:v>41160001-2024</x:v>
      </x:c>
      <x:c r="H495" s="489" t="str">
        <x:v>Informado/corrigido a partir do mapa</x:v>
      </x:c>
      <x:c r="I495" s="503" t="n">
        <x:v>300000</x:v>
      </x:c>
      <x:c r="J495" s="503" t="n">
        <x:v>300000</x:v>
      </x:c>
      <x:c r="K495" s="489" t="str">
        <x:v>Emenda Individual</x:v>
      </x:c>
      <x:c r="L495" s="489"/>
      <x:c r="M495" s="503" t="n">
        <x:v>300000</x:v>
      </x:c>
      <x:c r="N495" s="503" t="n">
        <x:v>0</x:v>
      </x:c>
      <x:c r="O495" s="503" t="n">
        <x:v>0</x:v>
      </x:c>
      <x:c r="P495" s="503" t="n">
        <x:v>0</x:v>
      </x:c>
      <x:c r="Q495" s="503" t="n">
        <x:v>0</x:v>
      </x:c>
      <x:c r="R495" s="489" t="str"/>
      <x:c r="S495" s="489" t="str">
        <x:v>11295120000180</x:v>
      </x:c>
      <x:c r="T495" s="489" t="str">
        <x:v>CONFIRMADO</x:v>
      </x:c>
      <x:c r="U495" s="489" t="str">
        <x:v>Baixa</x:v>
      </x:c>
      <x:c r="V495" s="489" t="str">
        <x:v>Preencher situação: há pagamento identificado na fonte pública; CNPJ candidato na fonte SIGA: 11295120000180</x:v>
      </x:c>
      <x:c r="W495" s="489" t="str">
        <x:v>Valor do grupo fecha com: SIGA pago favorecido</x:v>
      </x:c>
      <x:c r="X495" s="489" t="str"/>
    </x:row>
    <x:row r="496">
      <x:c r="A496" s="502" t="n">
        <x:v>496</x:v>
      </x:c>
      <x:c r="B496" s="502" t="n">
        <x:v>2024</x:v>
      </x:c>
      <x:c r="C496" s="489" t="str">
        <x:v>Sapucaia do Sul</x:v>
      </x:c>
      <x:c r="D496" s="489" t="str">
        <x:v>Prefeitura Municipal de Sapucaia do Sul</x:v>
      </x:c>
      <x:c r="E496" s="489" t="str">
        <x:v>Prefeitura Municipal</x:v>
      </x:c>
      <x:c r="F496" s="489" t="str">
        <x:v>41160002</x:v>
      </x:c>
      <x:c r="G496" s="489" t="str">
        <x:v>41160002-2024</x:v>
      </x:c>
      <x:c r="H496" s="489" t="str">
        <x:v>Informado/corrigido a partir do mapa</x:v>
      </x:c>
      <x:c r="I496" s="503" t="n">
        <x:v>300000</x:v>
      </x:c>
      <x:c r="J496" s="503" t="n">
        <x:v>300000</x:v>
      </x:c>
      <x:c r="K496" s="489" t="str">
        <x:v>Emenda Individual</x:v>
      </x:c>
      <x:c r="L496" s="489"/>
      <x:c r="M496" s="503" t="n">
        <x:v>300000</x:v>
      </x:c>
      <x:c r="N496" s="503" t="n">
        <x:v>0</x:v>
      </x:c>
      <x:c r="O496" s="503" t="n">
        <x:v>0</x:v>
      </x:c>
      <x:c r="P496" s="503" t="n">
        <x:v>0</x:v>
      </x:c>
      <x:c r="Q496" s="503" t="n">
        <x:v>0</x:v>
      </x:c>
      <x:c r="R496" s="489" t="str"/>
      <x:c r="S496" s="489" t="str">
        <x:v>11413810000196</x:v>
      </x:c>
      <x:c r="T496" s="489" t="str">
        <x:v>CONFIRMADO</x:v>
      </x:c>
      <x:c r="U496" s="489" t="str">
        <x:v>Baixa</x:v>
      </x:c>
      <x:c r="V496" s="489" t="str">
        <x:v>Preencher situação: há pagamento identificado na fonte pública; CNPJ candidato na fonte SIGA: 11413810000196</x:v>
      </x:c>
      <x:c r="W496" s="489" t="str">
        <x:v>Valor do grupo fecha com: SIGA pago favorecido</x:v>
      </x:c>
      <x:c r="X496" s="489" t="str"/>
    </x:row>
    <x:row r="497">
      <x:c r="A497" s="502" t="n">
        <x:v>497</x:v>
      </x:c>
      <x:c r="B497" s="502" t="n">
        <x:v>2024</x:v>
      </x:c>
      <x:c r="C497" s="489" t="str">
        <x:v>Gramado</x:v>
      </x:c>
      <x:c r="D497" s="489" t="str">
        <x:v>Prefeitura Municipal de Gramado</x:v>
      </x:c>
      <x:c r="E497" s="489" t="str">
        <x:v>Prefeitura Municipal</x:v>
      </x:c>
      <x:c r="F497" s="489" t="str">
        <x:v>41160005</x:v>
      </x:c>
      <x:c r="G497" s="489" t="str">
        <x:v>41160005-2024</x:v>
      </x:c>
      <x:c r="H497" s="489" t="str">
        <x:v>Informado/corrigido a partir do mapa</x:v>
      </x:c>
      <x:c r="I497" s="503" t="n">
        <x:v>300000</x:v>
      </x:c>
      <x:c r="J497" s="503" t="n">
        <x:v>300000</x:v>
      </x:c>
      <x:c r="K497" s="489" t="str">
        <x:v>Emenda Individual</x:v>
      </x:c>
      <x:c r="L497" s="489"/>
      <x:c r="M497" s="503" t="n">
        <x:v>300000</x:v>
      </x:c>
      <x:c r="N497" s="503" t="n">
        <x:v>0</x:v>
      </x:c>
      <x:c r="O497" s="503" t="n">
        <x:v>0</x:v>
      </x:c>
      <x:c r="P497" s="503" t="n">
        <x:v>0</x:v>
      </x:c>
      <x:c r="Q497" s="503" t="n">
        <x:v>0</x:v>
      </x:c>
      <x:c r="R497" s="489" t="str"/>
      <x:c r="S497" s="489" t="str">
        <x:v>88847082000155</x:v>
      </x:c>
      <x:c r="T497" s="489" t="str">
        <x:v>CONFIRMADO</x:v>
      </x:c>
      <x:c r="U497" s="489" t="str">
        <x:v>Baixa</x:v>
      </x:c>
      <x:c r="V497" s="489" t="str">
        <x:v>Preencher situação: há pagamento identificado na fonte pública; CNPJ candidato na fonte SIGA: 88847082000155</x:v>
      </x:c>
      <x:c r="W497" s="489" t="str">
        <x:v>Valor do grupo fecha com: SIGA pago favorecido</x:v>
      </x:c>
      <x:c r="X497" s="489" t="str"/>
    </x:row>
    <x:row r="498">
      <x:c r="A498" s="502" t="n">
        <x:v>498</x:v>
      </x:c>
      <x:c r="B498" s="502" t="n">
        <x:v>2025</x:v>
      </x:c>
      <x:c r="C498" s="489" t="str">
        <x:v>Sarandi</x:v>
      </x:c>
      <x:c r="D498" s="489" t="str">
        <x:v>Fundo Municipal De Saude De Sarandi-Rs Sarandi - Rs</x:v>
      </x:c>
      <x:c r="E498" s="489" t="str">
        <x:v>Prefeitura Municipal</x:v>
      </x:c>
      <x:c r="F498" s="489" t="str">
        <x:v>41160004</x:v>
      </x:c>
      <x:c r="G498" s="489" t="str">
        <x:v>41160004-2025</x:v>
      </x:c>
      <x:c r="H498" s="489" t="str">
        <x:v>Informado/corrigido a partir do mapa</x:v>
      </x:c>
      <x:c r="I498" s="503" t="n">
        <x:v>300000</x:v>
      </x:c>
      <x:c r="J498" s="503" t="n">
        <x:v>300000</x:v>
      </x:c>
      <x:c r="K498" s="489" t="str">
        <x:v>Emenda Individual</x:v>
      </x:c>
      <x:c r="L498" s="489"/>
      <x:c r="M498" s="503" t="n">
        <x:v>299676</x:v>
      </x:c>
      <x:c r="N498" s="503" t="n">
        <x:v>0</x:v>
      </x:c>
      <x:c r="O498" s="503" t="n">
        <x:v>0</x:v>
      </x:c>
      <x:c r="P498" s="503" t="n">
        <x:v>0</x:v>
      </x:c>
      <x:c r="Q498" s="503" t="n">
        <x:v>0</x:v>
      </x:c>
      <x:c r="R498" s="489" t="str"/>
      <x:c r="S498" s="489" t="str">
        <x:v>12123475000154</x:v>
      </x:c>
      <x:c r="T498" s="489" t="str">
        <x:v>VALOR DIVERGENTE / COBERTURA DIFERENTE</x:v>
      </x:c>
      <x:c r="U498" s="489" t="str">
        <x:v>Média</x:v>
      </x:c>
      <x:c r="V498" s="489" t="str">
        <x:v>Preencher situação: há pagamento identificado na fonte pública</x:v>
      </x:c>
      <x:c r="W498" s="489" t="str">
        <x:v>Município/localidade encontrado em fonte comparável, mas valor não fecha exatamente</x:v>
      </x:c>
      <x:c r="X498" s="489" t="str"/>
    </x:row>
    <x:row r="499">
      <x:c r="A499" s="502" t="n">
        <x:v>499</x:v>
      </x:c>
      <x:c r="B499" s="502" t="n">
        <x:v>2025</x:v>
      </x:c>
      <x:c r="C499" s="489" t="str">
        <x:v>Riozinho</x:v>
      </x:c>
      <x:c r="D499" s="489" t="str">
        <x:v>Associacao Filhas De Sao Camilo Riozinho - Rs</x:v>
      </x:c>
      <x:c r="E499" s="489" t="str">
        <x:v>Associacao Filhas De Sao Camilo Riozinho - Rs</x:v>
      </x:c>
      <x:c r="F499" s="489" t="str">
        <x:v>41160004</x:v>
      </x:c>
      <x:c r="G499" s="489" t="str">
        <x:v>41160004-2025</x:v>
      </x:c>
      <x:c r="H499" s="489" t="str">
        <x:v>Informado/corrigido a partir do mapa</x:v>
      </x:c>
      <x:c r="I499" s="503" t="n">
        <x:v>300000</x:v>
      </x:c>
      <x:c r="J499" s="503" t="n">
        <x:v>300000</x:v>
      </x:c>
      <x:c r="K499" s="489" t="str">
        <x:v>Emenda Individual</x:v>
      </x:c>
      <x:c r="L499" s="489"/>
      <x:c r="M499" s="503" t="n">
        <x:v>0</x:v>
      </x:c>
      <x:c r="N499" s="503" t="n">
        <x:v>300000</x:v>
      </x:c>
      <x:c r="O499" s="503" t="n">
        <x:v>0</x:v>
      </x:c>
      <x:c r="P499" s="503" t="n">
        <x:v>0</x:v>
      </x:c>
      <x:c r="Q499" s="503" t="n">
        <x:v>0</x:v>
      </x:c>
      <x:c r="R499" s="489" t="str"/>
      <x:c r="S499" s="489" t="str"/>
      <x:c r="T499" s="489" t="str">
        <x:v>DESTINO/INSTRUMENTO CONFIRMADO; VALOR NÃO COMPARÁVEL</x:v>
      </x:c>
      <x:c r="U499" s="489" t="str">
        <x:v>Média</x:v>
      </x:c>
      <x:c r="V499" s="489" t="str"/>
      <x:c r="W499" s="489" t="str">
        <x:v>Há instrumento do Transferegov para a emenda/município; valores do instrumento não foram usados como prova do valor da emenda</x:v>
      </x:c>
      <x:c r="X499" s="489" t="str">
        <x:v>https://discricionarias.transferegov.sistema.gov.br/voluntarias/ConsultarProposta/ResultadoDaConsultaDeConvenioSelecionarConvenio.do?sequencialConvenio=978857&amp;Usr=guest&amp;Pwd=guest</x:v>
      </x:c>
    </x:row>
    <x:row r="500">
      <x:c r="A500" s="502" t="n">
        <x:v>500</x:v>
      </x:c>
      <x:c r="B500" s="502" t="n">
        <x:v>2025</x:v>
      </x:c>
      <x:c r="C500" s="489" t="str">
        <x:v>Ronda Alta</x:v>
      </x:c>
      <x:c r="D500" s="489" t="str">
        <x:v>Associacao Hospitalar De Ronda Alta Ronda Alta - Rs</x:v>
      </x:c>
      <x:c r="E500" s="489" t="str">
        <x:v>Associacao Hospitalar De Ronda Alta Ronda Alta - Rs</x:v>
      </x:c>
      <x:c r="F500" s="489" t="str">
        <x:v>41160004</x:v>
      </x:c>
      <x:c r="G500" s="489" t="str">
        <x:v>41160004-2025</x:v>
      </x:c>
      <x:c r="H500" s="489" t="str">
        <x:v>Informado/corrigido a partir do mapa</x:v>
      </x:c>
      <x:c r="I500" s="503" t="n">
        <x:v>300000</x:v>
      </x:c>
      <x:c r="J500" s="503" t="n">
        <x:v>300000</x:v>
      </x:c>
      <x:c r="K500" s="489" t="str">
        <x:v>Emenda Individual</x:v>
      </x:c>
      <x:c r="L500" s="489"/>
      <x:c r="M500" s="503" t="n">
        <x:v>0</x:v>
      </x:c>
      <x:c r="N500" s="503" t="n">
        <x:v>300000</x:v>
      </x:c>
      <x:c r="O500" s="503" t="n">
        <x:v>0</x:v>
      </x:c>
      <x:c r="P500" s="503" t="n">
        <x:v>0</x:v>
      </x:c>
      <x:c r="Q500" s="503" t="n">
        <x:v>0</x:v>
      </x:c>
      <x:c r="R500" s="489" t="str"/>
      <x:c r="S500" s="489" t="str"/>
      <x:c r="T500" s="489" t="str">
        <x:v>DESTINO/INSTRUMENTO CONFIRMADO; VALOR NÃO COMPARÁVEL</x:v>
      </x:c>
      <x:c r="U500" s="489" t="str">
        <x:v>Média</x:v>
      </x:c>
      <x:c r="V500" s="489" t="str"/>
      <x:c r="W500" s="489" t="str">
        <x:v>Há instrumento do Transferegov para a emenda/município; valores do instrumento não foram usados como prova do valor da emenda</x:v>
      </x:c>
      <x:c r="X500" s="489" t="str">
        <x:v>https://discricionarias.transferegov.sistema.gov.br/voluntarias/ConsultarProposta/ResultadoDaConsultaDeConvenioSelecionarConvenio.do?sequencialConvenio=978960&amp;Usr=guest&amp;Pwd=guest</x:v>
      </x:c>
    </x:row>
    <x:row r="501">
      <x:c r="A501" s="502" t="n">
        <x:v>501</x:v>
      </x:c>
      <x:c r="B501" s="502" t="n">
        <x:v>2025</x:v>
      </x:c>
      <x:c r="C501" s="489" t="str">
        <x:v>São Borja</x:v>
      </x:c>
      <x:c r="D501" s="489" t="str">
        <x:v>Fundacao Ivan Goulart São Borja - Rs</x:v>
      </x:c>
      <x:c r="E501" s="489" t="str">
        <x:v>Fundacao Ivan Goulart São Borja - Rs</x:v>
      </x:c>
      <x:c r="F501" s="489" t="str">
        <x:v>41160004</x:v>
      </x:c>
      <x:c r="G501" s="489" t="str">
        <x:v>41160004-2025</x:v>
      </x:c>
      <x:c r="H501" s="489" t="str">
        <x:v>Informado/corrigido a partir do mapa</x:v>
      </x:c>
      <x:c r="I501" s="503" t="n">
        <x:v>300000</x:v>
      </x:c>
      <x:c r="J501" s="503" t="n">
        <x:v>300000</x:v>
      </x:c>
      <x:c r="K501" s="489" t="str">
        <x:v>Emenda Individual</x:v>
      </x:c>
      <x:c r="L501" s="489"/>
      <x:c r="M501" s="503" t="n">
        <x:v>0</x:v>
      </x:c>
      <x:c r="N501" s="503" t="n">
        <x:v>300000</x:v>
      </x:c>
      <x:c r="O501" s="503" t="n">
        <x:v>0</x:v>
      </x:c>
      <x:c r="P501" s="503" t="n">
        <x:v>0</x:v>
      </x:c>
      <x:c r="Q501" s="503" t="n">
        <x:v>0</x:v>
      </x:c>
      <x:c r="R501" s="489" t="str"/>
      <x:c r="S501" s="489" t="str"/>
      <x:c r="T501" s="489" t="str">
        <x:v>DESTINO/INSTRUMENTO CONFIRMADO; VALOR NÃO COMPARÁVEL</x:v>
      </x:c>
      <x:c r="U501" s="489" t="str">
        <x:v>Média</x:v>
      </x:c>
      <x:c r="V501" s="489" t="str"/>
      <x:c r="W501" s="489" t="str">
        <x:v>Há instrumento do Transferegov para a emenda/município; valores do instrumento não foram usados como prova do valor da emenda</x:v>
      </x:c>
      <x:c r="X501" s="489" t="str">
        <x:v>https://discricionarias.transferegov.sistema.gov.br/voluntarias/ConsultarProposta/ResultadoDaConsultaDeConvenioSelecionarConvenio.do?sequencialConvenio=988225&amp;Usr=guest&amp;Pwd=guest</x:v>
      </x:c>
    </x:row>
    <x:row r="502">
      <x:c r="A502" s="502" t="n">
        <x:v>502</x:v>
      </x:c>
      <x:c r="B502" s="502" t="n">
        <x:v>2025</x:v>
      </x:c>
      <x:c r="C502" s="489" t="str">
        <x:v>Pelotas</x:v>
      </x:c>
      <x:c r="D502" s="489" t="str">
        <x:v>Sociedade Portuguesa De Beneficencia Pelotas - Rs</x:v>
      </x:c>
      <x:c r="E502" s="489" t="str">
        <x:v>Sociedade Portuguesa De Beneficencia Pelotas - Rs</x:v>
      </x:c>
      <x:c r="F502" s="489" t="str">
        <x:v>41160004</x:v>
      </x:c>
      <x:c r="G502" s="489" t="str">
        <x:v>41160004-2025</x:v>
      </x:c>
      <x:c r="H502" s="489" t="str">
        <x:v>Informado/corrigido a partir do mapa</x:v>
      </x:c>
      <x:c r="I502" s="503" t="n">
        <x:v>300000</x:v>
      </x:c>
      <x:c r="J502" s="503" t="n">
        <x:v>751752</x:v>
      </x:c>
      <x:c r="K502" s="489" t="str">
        <x:v>Emenda Individual</x:v>
      </x:c>
      <x:c r="L502" s="489"/>
      <x:c r="M502" s="503" t="n">
        <x:v>0</x:v>
      </x:c>
      <x:c r="N502" s="503" t="n">
        <x:v>750020</x:v>
      </x:c>
      <x:c r="O502" s="503" t="n">
        <x:v>0</x:v>
      </x:c>
      <x:c r="P502" s="503" t="n">
        <x:v>0</x:v>
      </x:c>
      <x:c r="Q502" s="503" t="n">
        <x:v>0</x:v>
      </x:c>
      <x:c r="R502" s="489" t="str"/>
      <x:c r="S502" s="489" t="str"/>
      <x:c r="T502" s="489" t="str">
        <x:v>DESTINO/INSTRUMENTO CONFIRMADO; VALOR NÃO COMPARÁVEL</x:v>
      </x:c>
      <x:c r="U502" s="489" t="str">
        <x:v>Média</x:v>
      </x:c>
      <x:c r="V502" s="489" t="str"/>
      <x:c r="W502" s="489" t="str">
        <x:v>Há instrumento do Transferegov para a emenda/município; valores do instrumento não foram usados como prova do valor da emenda</x:v>
      </x:c>
      <x:c r="X502" s="489" t="str">
        <x:v>https://discricionarias.transferegov.sistema.gov.br/voluntarias/ConsultarProposta/ResultadoDaConsultaDeConvenioSelecionarConvenio.do?sequencialConvenio=979950&amp;Usr=guest&amp;Pwd=guest | https://discricionarias.transferegov.sistema.gov.br/voluntarias/ConsultarProposta/ResultadoDaConsultaDeConvenioSelecionarConvenio.do?sequencialConvenio=988639&amp;Usr=guest&amp;Pwd=guest</x:v>
      </x:c>
    </x:row>
    <x:row r="503">
      <x:c r="A503" s="502" t="n">
        <x:v>503</x:v>
      </x:c>
      <x:c r="B503" s="502" t="n">
        <x:v>2025</x:v>
      </x:c>
      <x:c r="C503" s="489" t="str">
        <x:v>São Gabriel</x:v>
      </x:c>
      <x:c r="D503" s="489" t="str">
        <x:v>Municipio De Sao Gabriel São Gabriel - Rs</x:v>
      </x:c>
      <x:c r="E503" s="489" t="str">
        <x:v>Prefeitura Municipal</x:v>
      </x:c>
      <x:c r="F503" s="489" t="str">
        <x:v>41160008</x:v>
      </x:c>
      <x:c r="G503" s="489" t="str">
        <x:v>41160008-2025</x:v>
      </x:c>
      <x:c r="H503" s="489" t="str">
        <x:v>Informado/corrigido a partir do mapa</x:v>
      </x:c>
      <x:c r="I503" s="503" t="n">
        <x:v>300000</x:v>
      </x:c>
      <x:c r="J503" s="503" t="n">
        <x:v>300000</x:v>
      </x:c>
      <x:c r="K503" s="489" t="str">
        <x:v>Emenda Individual</x:v>
      </x:c>
      <x:c r="L503" s="489"/>
      <x:c r="M503" s="503" t="n">
        <x:v>297000</x:v>
      </x:c>
      <x:c r="N503" s="503" t="n">
        <x:v>0</x:v>
      </x:c>
      <x:c r="O503" s="503" t="n">
        <x:v>0</x:v>
      </x:c>
      <x:c r="P503" s="503" t="n">
        <x:v>297000</x:v>
      </x:c>
      <x:c r="Q503" s="503" t="n">
        <x:v>0</x:v>
      </x:c>
      <x:c r="R503" s="489" t="str">
        <x:v>CIENTE</x:v>
      </x:c>
      <x:c r="S503" s="489" t="str">
        <x:v>88768080000170</x:v>
      </x:c>
      <x:c r="T503" s="489" t="str">
        <x:v>VALOR DIVERGENTE / COBERTURA DIFERENTE</x:v>
      </x:c>
      <x:c r="U503" s="489" t="str">
        <x:v>Média</x:v>
      </x:c>
      <x:c r="V503" s="489" t="str">
        <x:v>Revisar valor do grupo: PIX atual registra R$ 297,000.00; Atualizar situação com status do plano PIX: CIENTE (não equivale a pagamento)</x:v>
      </x:c>
      <x:c r="W503" s="489" t="str">
        <x:v>Município/localidade encontrado em fonte comparável, mas valor não fecha exatamente</x:v>
      </x:c>
      <x:c r="X503" s="489" t="str">
        <x:v>https://especiais.transferegov.sistema.gov.br/transferencia-especial/plano-acao/detalhe/84000/dados-basicos</x:v>
      </x:c>
    </x:row>
    <x:row r="504">
      <x:c r="A504" s="502" t="n">
        <x:v>504</x:v>
      </x:c>
      <x:c r="B504" s="502" t="n">
        <x:v>2025</x:v>
      </x:c>
      <x:c r="C504" s="489" t="str">
        <x:v>Riozinho</x:v>
      </x:c>
      <x:c r="D504" s="489" t="str">
        <x:v>Associacao Filhas De Sao Camilo Riozinho - Rs</x:v>
      </x:c>
      <x:c r="E504" s="489" t="str">
        <x:v>Associacao Filhas De Sao Camilo Riozinho - Rs</x:v>
      </x:c>
      <x:c r="F504" s="489" t="str">
        <x:v>41160002</x:v>
      </x:c>
      <x:c r="G504" s="489" t="str">
        <x:v>41160002-2025</x:v>
      </x:c>
      <x:c r="H504" s="489" t="str">
        <x:v>Informado/corrigido a partir do mapa</x:v>
      </x:c>
      <x:c r="I504" s="503" t="n">
        <x:v>300000</x:v>
      </x:c>
      <x:c r="J504" s="503" t="n">
        <x:v>300000</x:v>
      </x:c>
      <x:c r="K504" s="489" t="str">
        <x:v>Emenda Individual</x:v>
      </x:c>
      <x:c r="L504" s="489"/>
      <x:c r="M504" s="503" t="n">
        <x:v>0</x:v>
      </x:c>
      <x:c r="N504" s="503" t="n">
        <x:v>0</x:v>
      </x:c>
      <x:c r="O504" s="503" t="n">
        <x:v>0</x:v>
      </x:c>
      <x:c r="P504" s="503" t="n">
        <x:v>0</x:v>
      </x:c>
      <x:c r="Q504" s="503" t="n">
        <x:v>0</x:v>
      </x:c>
      <x:c r="R504" s="489" t="str"/>
      <x:c r="S504" s="489" t="str"/>
      <x:c r="T504" s="489" t="str">
        <x:v>EMENDA CONFIRMADA; DESTINO NÃO CONFIRMADO</x:v>
      </x:c>
      <x:c r="U504" s="489" t="str">
        <x:v>Média</x:v>
      </x:c>
      <x:c r="V504" s="489" t="str"/>
      <x:c r="W504" s="489" t="str">
        <x:v>Nº existe no SIGA; destinatário específico não foi confirmado nas bases anexas</x:v>
      </x:c>
      <x:c r="X504" s="489" t="str"/>
    </x:row>
    <x:row r="505">
      <x:c r="A505" s="502" t="n">
        <x:v>505</x:v>
      </x:c>
      <x:c r="B505" s="502" t="n">
        <x:v>2026</x:v>
      </x:c>
      <x:c r="C505" s="489" t="str">
        <x:v>Santa Cruz do Sul</x:v>
      </x:c>
      <x:c r="D505" s="489" t="str">
        <x:v>Associacao Hospitalar Santa Rosa</x:v>
      </x:c>
      <x:c r="E505" s="489" t="str">
        <x:v>Associacao Pro-Ensino Em Santa Cruz Do Sul - Apesc</x:v>
      </x:c>
      <x:c r="F505" s="489" t="str">
        <x:v>41160003</x:v>
      </x:c>
      <x:c r="G505" s="489" t="str">
        <x:v>41160003-2026</x:v>
      </x:c>
      <x:c r="H505" s="489" t="str">
        <x:v>Informado/corrigido a partir do mapa</x:v>
      </x:c>
      <x:c r="I505" s="503" t="n">
        <x:v>300000</x:v>
      </x:c>
      <x:c r="J505" s="503" t="n">
        <x:v>300000</x:v>
      </x:c>
      <x:c r="K505" s="489" t="str">
        <x:v>Emenda individual</x:v>
      </x:c>
      <x:c r="L505" s="489"/>
      <x:c r="M505" s="503" t="n">
        <x:v>0</x:v>
      </x:c>
      <x:c r="N505" s="503" t="n">
        <x:v>300000</x:v>
      </x:c>
      <x:c r="O505" s="503" t="n">
        <x:v>0</x:v>
      </x:c>
      <x:c r="P505" s="503" t="n">
        <x:v>0</x:v>
      </x:c>
      <x:c r="Q505" s="503" t="n">
        <x:v>0</x:v>
      </x:c>
      <x:c r="R505" s="489" t="str"/>
      <x:c r="S505" s="489" t="str"/>
      <x:c r="T505" s="489" t="str">
        <x:v>DESTINO/INSTRUMENTO CONFIRMADO; VALOR NÃO COMPARÁVEL</x:v>
      </x:c>
      <x:c r="U505" s="489" t="str">
        <x:v>Média</x:v>
      </x:c>
      <x:c r="V505" s="489" t="str"/>
      <x:c r="W505" s="489" t="str">
        <x:v>Há instrumento do Transferegov para a emenda/município; valores do instrumento não foram usados como prova do valor da emenda</x:v>
      </x:c>
      <x:c r="X505" s="489" t="str">
        <x:v>https://discricionarias.transferegov.sistema.gov.br/voluntarias/ConsultarProposta/ResultadoDaConsultaDeConvenioSelecionarConvenio.do?sequencialConvenio=995405&amp;Usr=guest&amp;Pwd=guest</x:v>
      </x:c>
    </x:row>
    <x:row r="506">
      <x:c r="A506" s="502" t="n">
        <x:v>506</x:v>
      </x:c>
      <x:c r="B506" s="502" t="n">
        <x:v>2026</x:v>
      </x:c>
      <x:c r="C506" s="489" t="str">
        <x:v>Três Passos</x:v>
      </x:c>
      <x:c r="D506" s="489" t="str">
        <x:v>Associacao Hospitalar Tucunduva E Novo Machado</x:v>
      </x:c>
      <x:c r="E506" s="489" t="str">
        <x:v>Associacao Hospital de Caridade Tres Passos</x:v>
      </x:c>
      <x:c r="F506" s="489" t="str">
        <x:v>41160003</x:v>
      </x:c>
      <x:c r="G506" s="489" t="str">
        <x:v>41160003-2026</x:v>
      </x:c>
      <x:c r="H506" s="489" t="str">
        <x:v>Informado/corrigido a partir do mapa</x:v>
      </x:c>
      <x:c r="I506" s="503" t="n">
        <x:v>300000</x:v>
      </x:c>
      <x:c r="J506" s="503" t="n">
        <x:v>300000</x:v>
      </x:c>
      <x:c r="K506" s="489" t="str">
        <x:v>Emenda individual</x:v>
      </x:c>
      <x:c r="L506" s="489"/>
      <x:c r="M506" s="503" t="n">
        <x:v>0</x:v>
      </x:c>
      <x:c r="N506" s="503" t="n">
        <x:v>300000</x:v>
      </x:c>
      <x:c r="O506" s="503" t="n">
        <x:v>0</x:v>
      </x:c>
      <x:c r="P506" s="503" t="n">
        <x:v>0</x:v>
      </x:c>
      <x:c r="Q506" s="503" t="n">
        <x:v>0</x:v>
      </x:c>
      <x:c r="R506" s="489" t="str"/>
      <x:c r="S506" s="489" t="str"/>
      <x:c r="T506" s="489" t="str">
        <x:v>DESTINO/INSTRUMENTO CONFIRMADO; VALOR NÃO COMPARÁVEL</x:v>
      </x:c>
      <x:c r="U506" s="489" t="str">
        <x:v>Média</x:v>
      </x:c>
      <x:c r="V506" s="489" t="str"/>
      <x:c r="W506" s="489" t="str">
        <x:v>Há instrumento do Transferegov para a emenda/município; valores do instrumento não foram usados como prova do valor da emenda</x:v>
      </x:c>
      <x:c r="X506" s="489" t="str">
        <x:v>https://discricionarias.transferegov.sistema.gov.br/voluntarias/ConsultarProposta/ResultadoDaConsultaDeConvenioSelecionarConvenio.do?sequencialConvenio=995399&amp;Usr=guest&amp;Pwd=guest</x:v>
      </x:c>
    </x:row>
    <x:row r="507">
      <x:c r="A507" s="502" t="n">
        <x:v>507</x:v>
      </x:c>
      <x:c r="B507" s="502" t="n">
        <x:v>2026</x:v>
      </x:c>
      <x:c r="C507" s="489" t="str">
        <x:v>Nova Araçá</x:v>
      </x:c>
      <x:c r="D507" s="489" t="str">
        <x:v>Nova Araça</x:v>
      </x:c>
      <x:c r="E507" s="489" t="str">
        <x:v>Fundo Municipal Da Saude</x:v>
      </x:c>
      <x:c r="F507" s="489" t="str">
        <x:v>41160013</x:v>
      </x:c>
      <x:c r="G507" s="489" t="str">
        <x:v>41160013-2026</x:v>
      </x:c>
      <x:c r="H507" s="489" t="str">
        <x:v>Informado/corrigido a partir do mapa</x:v>
      </x:c>
      <x:c r="I507" s="503" t="n">
        <x:v>300000</x:v>
      </x:c>
      <x:c r="J507" s="503" t="n">
        <x:v>300000</x:v>
      </x:c>
      <x:c r="K507" s="489" t="str">
        <x:v>Emenda individual</x:v>
      </x:c>
      <x:c r="L507" s="489"/>
      <x:c r="M507" s="503" t="n">
        <x:v>0</x:v>
      </x:c>
      <x:c r="N507" s="503" t="n">
        <x:v>0</x:v>
      </x:c>
      <x:c r="O507" s="503" t="n">
        <x:v>0</x:v>
      </x:c>
      <x:c r="P507" s="503" t="n">
        <x:v>0</x:v>
      </x:c>
      <x:c r="Q507" s="503" t="n">
        <x:v>0</x:v>
      </x:c>
      <x:c r="R507" s="489" t="str"/>
      <x:c r="S507" s="489" t="str"/>
      <x:c r="T507" s="489" t="str">
        <x:v>EMENDA CONFIRMADA; DESTINO NÃO CONFIRMADO</x:v>
      </x:c>
      <x:c r="U507" s="489" t="str">
        <x:v>Média</x:v>
      </x:c>
      <x:c r="V507" s="489" t="str"/>
      <x:c r="W507" s="489" t="str">
        <x:v>Nº existe no SIGA; destinatário específico não foi confirmado nas bases anexas</x:v>
      </x:c>
      <x:c r="X507" s="489" t="str"/>
    </x:row>
    <x:row r="508">
      <x:c r="A508" s="502" t="n">
        <x:v>508</x:v>
      </x:c>
      <x:c r="B508" s="502" t="n">
        <x:v>2025</x:v>
      </x:c>
      <x:c r="C508" s="489" t="str">
        <x:v>São Sepé</x:v>
      </x:c>
      <x:c r="D508" s="489" t="str">
        <x:v>Municipio De Sao Sepe São Sepé - Rs</x:v>
      </x:c>
      <x:c r="E508" s="489" t="str">
        <x:v>Prefeitura Municipal</x:v>
      </x:c>
      <x:c r="F508" s="489" t="str">
        <x:v>41160008</x:v>
      </x:c>
      <x:c r="G508" s="489" t="str">
        <x:v>41160008-2025</x:v>
      </x:c>
      <x:c r="H508" s="489" t="str">
        <x:v>Informado/corrigido a partir do mapa</x:v>
      </x:c>
      <x:c r="I508" s="503" t="n">
        <x:v>301774</x:v>
      </x:c>
      <x:c r="J508" s="503" t="n">
        <x:v>301774</x:v>
      </x:c>
      <x:c r="K508" s="489" t="str">
        <x:v>Emenda Individual</x:v>
      </x:c>
      <x:c r="L508" s="489"/>
      <x:c r="M508" s="503" t="n">
        <x:v>298756.26</x:v>
      </x:c>
      <x:c r="N508" s="503" t="n">
        <x:v>0</x:v>
      </x:c>
      <x:c r="O508" s="503" t="n">
        <x:v>0</x:v>
      </x:c>
      <x:c r="P508" s="503" t="n">
        <x:v>298756.26</x:v>
      </x:c>
      <x:c r="Q508" s="503" t="n">
        <x:v>0</x:v>
      </x:c>
      <x:c r="R508" s="489" t="str">
        <x:v>CIENTE</x:v>
      </x:c>
      <x:c r="S508" s="489" t="str">
        <x:v>97229181000164</x:v>
      </x:c>
      <x:c r="T508" s="489" t="str">
        <x:v>VALOR DIVERGENTE / COBERTURA DIFERENTE</x:v>
      </x:c>
      <x:c r="U508" s="489" t="str">
        <x:v>Média</x:v>
      </x:c>
      <x:c r="V508" s="489" t="str">
        <x:v>Revisar valor do grupo: PIX atual registra R$ 298,756.26; Atualizar situação com status do plano PIX: CIENTE (não equivale a pagamento)</x:v>
      </x:c>
      <x:c r="W508" s="489" t="str">
        <x:v>Município/localidade encontrado em fonte comparável, mas valor não fecha exatamente</x:v>
      </x:c>
      <x:c r="X508" s="489" t="str">
        <x:v>https://especiais.transferegov.sistema.gov.br/transferencia-especial/plano-acao/detalhe/84001/dados-basicos</x:v>
      </x:c>
    </x:row>
    <x:row r="509">
      <x:c r="A509" s="502" t="n">
        <x:v>509</x:v>
      </x:c>
      <x:c r="B509" s="502" t="n">
        <x:v>2023</x:v>
      </x:c>
      <x:c r="C509" s="489" t="str">
        <x:v>Mata</x:v>
      </x:c>
      <x:c r="D509" s="489" t="str">
        <x:v>Prefeitura</x:v>
      </x:c>
      <x:c r="E509" s="489" t="str">
        <x:v>Prefeitura de Mata</x:v>
      </x:c>
      <x:c r="F509" s="489" t="str"/>
      <x:c r="G509" s="489" t="str"/>
      <x:c r="H509" s="489" t="str">
        <x:v>Sem nº conciliado</x:v>
      </x:c>
      <x:c r="I509" s="503" t="n">
        <x:v>308000</x:v>
      </x:c>
      <x:c r="J509" s="503" t="n">
        <x:v>308000</x:v>
      </x:c>
      <x:c r="K509" s="489" t="str">
        <x:v>Emenda Individual</x:v>
      </x:c>
      <x:c r="L509" s="489" t="str">
        <x:v>Empenhado</x:v>
      </x:c>
      <x:c r="M509" s="503" t="n">
        <x:v>0</x:v>
      </x:c>
      <x:c r="N509" s="503" t="n">
        <x:v>0</x:v>
      </x:c>
      <x:c r="O509" s="503" t="n">
        <x:v>0</x:v>
      </x:c>
      <x:c r="P509" s="503" t="n">
        <x:v>0</x:v>
      </x:c>
      <x:c r="Q509" s="503" t="n">
        <x:v>0</x:v>
      </x:c>
      <x:c r="R509" s="489" t="str"/>
      <x:c r="S509" s="489" t="str"/>
      <x:c r="T509" s="489" t="str">
        <x:v>SEM Nº / NÃO CONCILIADO</x:v>
      </x:c>
      <x:c r="U509" s="489" t="str">
        <x:v>Média</x:v>
      </x:c>
      <x:c r="V509" s="489" t="str"/>
      <x:c r="W509" s="489" t="str"/>
      <x:c r="X509" s="489" t="str"/>
    </x:row>
    <x:row r="510">
      <x:c r="A510" s="502" t="n">
        <x:v>510</x:v>
      </x:c>
      <x:c r="B510" s="502" t="n">
        <x:v>2023</x:v>
      </x:c>
      <x:c r="C510" s="489" t="str">
        <x:v>Veranópolis</x:v>
      </x:c>
      <x:c r="D510" s="489" t="str">
        <x:v>Hospital</x:v>
      </x:c>
      <x:c r="E510" s="489" t="str">
        <x:v>Associação Veranense De Assistência Em Saúde - Hospital Comunitário São Peregrino Lazziozi</x:v>
      </x:c>
      <x:c r="F510" s="489" t="str">
        <x:v>41160007</x:v>
      </x:c>
      <x:c r="G510" s="489" t="str">
        <x:v>41160007-2023</x:v>
      </x:c>
      <x:c r="H510" s="489" t="str">
        <x:v>Informado/corrigido a partir do mapa</x:v>
      </x:c>
      <x:c r="I510" s="503" t="n">
        <x:v>309316</x:v>
      </x:c>
      <x:c r="J510" s="503" t="n">
        <x:v>309316</x:v>
      </x:c>
      <x:c r="K510" s="489" t="str">
        <x:v>Emenda Individual</x:v>
      </x:c>
      <x:c r="L510" s="489" t="str">
        <x:v>Recurso pago</x:v>
      </x:c>
      <x:c r="M510" s="503" t="n">
        <x:v>251300</x:v>
      </x:c>
      <x:c r="N510" s="503" t="n">
        <x:v>309316</x:v>
      </x:c>
      <x:c r="O510" s="503" t="n">
        <x:v>251300</x:v>
      </x:c>
      <x:c r="P510" s="503" t="n">
        <x:v>0</x:v>
      </x:c>
      <x:c r="Q510" s="503" t="n">
        <x:v>0</x:v>
      </x:c>
      <x:c r="R510" s="489" t="str"/>
      <x:c r="S510" s="489" t="str">
        <x:v>87873279000104</x:v>
      </x:c>
      <x:c r="T510" s="489" t="str">
        <x:v>VALOR DIVERGENTE / COBERTURA DIFERENTE</x:v>
      </x:c>
      <x:c r="U510" s="489" t="str">
        <x:v>Alta</x:v>
      </x:c>
      <x:c r="V510" s="489" t="str">
        <x:v>CNPJ candidato na fonte SIGA: 87873279000104</x:v>
      </x:c>
      <x:c r="W510" s="489" t="str">
        <x:v>Município/localidade encontrado em fonte comparável, mas valor não fecha exatamente</x:v>
      </x:c>
      <x:c r="X510" s="489" t="str">
        <x:v>https://discricionarias.transferegov.sistema.gov.br/voluntarias/ConsultarProposta/ResultadoDaConsultaDeConvenioSelecionarConvenio.do?sequencialConvenio=944026&amp;Usr=guest&amp;Pwd=guest</x:v>
      </x:c>
    </x:row>
    <x:row r="511">
      <x:c r="A511" s="502" t="n">
        <x:v>511</x:v>
      </x:c>
      <x:c r="B511" s="502" t="n">
        <x:v>2024</x:v>
      </x:c>
      <x:c r="C511" s="489" t="str">
        <x:v>Farroupilha</x:v>
      </x:c>
      <x:c r="D511" s="489" t="str">
        <x:v>Prefeitura Municipal de Farroupilha</x:v>
      </x:c>
      <x:c r="E511" s="489" t="str">
        <x:v>Prefeitura Municipal</x:v>
      </x:c>
      <x:c r="F511" s="489" t="str">
        <x:v>41160002</x:v>
      </x:c>
      <x:c r="G511" s="489" t="str">
        <x:v>41160002-2024</x:v>
      </x:c>
      <x:c r="H511" s="489" t="str">
        <x:v>Informado/corrigido a partir do mapa</x:v>
      </x:c>
      <x:c r="I511" s="503" t="n">
        <x:v>310184</x:v>
      </x:c>
      <x:c r="J511" s="503" t="n">
        <x:v>310184</x:v>
      </x:c>
      <x:c r="K511" s="489" t="str">
        <x:v>Emenda Individual</x:v>
      </x:c>
      <x:c r="L511" s="489"/>
      <x:c r="M511" s="503" t="n">
        <x:v>310184</x:v>
      </x:c>
      <x:c r="N511" s="503" t="n">
        <x:v>0</x:v>
      </x:c>
      <x:c r="O511" s="503" t="n">
        <x:v>0</x:v>
      </x:c>
      <x:c r="P511" s="503" t="n">
        <x:v>0</x:v>
      </x:c>
      <x:c r="Q511" s="503" t="n">
        <x:v>0</x:v>
      </x:c>
      <x:c r="R511" s="489" t="str"/>
      <x:c r="S511" s="489" t="str">
        <x:v>14296302000163</x:v>
      </x:c>
      <x:c r="T511" s="489" t="str">
        <x:v>CONFIRMADO</x:v>
      </x:c>
      <x:c r="U511" s="489" t="str">
        <x:v>Baixa</x:v>
      </x:c>
      <x:c r="V511" s="489" t="str">
        <x:v>Preencher situação: há pagamento identificado na fonte pública; CNPJ candidato na fonte SIGA: 14296302000163</x:v>
      </x:c>
      <x:c r="W511" s="489" t="str">
        <x:v>Valor do grupo fecha com: SIGA pago favorecido</x:v>
      </x:c>
      <x:c r="X511" s="489" t="str"/>
    </x:row>
    <x:row r="512">
      <x:c r="A512" s="502" t="n">
        <x:v>512</x:v>
      </x:c>
      <x:c r="B512" s="502" t="n">
        <x:v>2025</x:v>
      </x:c>
      <x:c r="C512" s="489" t="str">
        <x:v>Santa Tereza</x:v>
      </x:c>
      <x:c r="D512" s="489" t="str">
        <x:v>Fundo Municipal De Saude De Santa Tereza Santa Tereza - Rs</x:v>
      </x:c>
      <x:c r="E512" s="489" t="str">
        <x:v>Prefeitura Municipal</x:v>
      </x:c>
      <x:c r="F512" s="489" t="str">
        <x:v>41160003</x:v>
      </x:c>
      <x:c r="G512" s="489" t="str">
        <x:v>41160003-2025</x:v>
      </x:c>
      <x:c r="H512" s="489" t="str">
        <x:v>Informado/corrigido a partir do mapa</x:v>
      </x:c>
      <x:c r="I512" s="503" t="n">
        <x:v>314200</x:v>
      </x:c>
      <x:c r="J512" s="503" t="n">
        <x:v>314200</x:v>
      </x:c>
      <x:c r="K512" s="489" t="str">
        <x:v>Emenda Individual</x:v>
      </x:c>
      <x:c r="L512" s="489"/>
      <x:c r="M512" s="503" t="n">
        <x:v>314200</x:v>
      </x:c>
      <x:c r="N512" s="503" t="n">
        <x:v>0</x:v>
      </x:c>
      <x:c r="O512" s="503" t="n">
        <x:v>0</x:v>
      </x:c>
      <x:c r="P512" s="503" t="n">
        <x:v>0</x:v>
      </x:c>
      <x:c r="Q512" s="503" t="n">
        <x:v>0</x:v>
      </x:c>
      <x:c r="R512" s="489" t="str"/>
      <x:c r="S512" s="489" t="str">
        <x:v>12112955000110</x:v>
      </x:c>
      <x:c r="T512" s="489" t="str">
        <x:v>CONFIRMADO</x:v>
      </x:c>
      <x:c r="U512" s="489" t="str">
        <x:v>Baixa</x:v>
      </x:c>
      <x:c r="V512" s="489" t="str">
        <x:v>Preencher situação: há pagamento identificado na fonte pública</x:v>
      </x:c>
      <x:c r="W512" s="489" t="str">
        <x:v>Valor do grupo fecha com: SIGA pago favorecido</x:v>
      </x:c>
      <x:c r="X512" s="489" t="str"/>
    </x:row>
    <x:row r="513">
      <x:c r="A513" s="502" t="n">
        <x:v>513</x:v>
      </x:c>
      <x:c r="B513" s="502" t="n">
        <x:v>2026</x:v>
      </x:c>
      <x:c r="C513" s="489" t="str">
        <x:v>Tupanciretã</x:v>
      </x:c>
      <x:c r="D513" s="489" t="str">
        <x:v>Tupanciretã</x:v>
      </x:c>
      <x:c r="E513" s="489" t="str">
        <x:v>Fundo Municipal de Saude de Tupancireta</x:v>
      </x:c>
      <x:c r="F513" s="489" t="str">
        <x:v>41160003</x:v>
      </x:c>
      <x:c r="G513" s="489" t="str">
        <x:v>41160003-2026</x:v>
      </x:c>
      <x:c r="H513" s="489" t="str">
        <x:v>Informado/corrigido a partir do mapa</x:v>
      </x:c>
      <x:c r="I513" s="503" t="n">
        <x:v>314200</x:v>
      </x:c>
      <x:c r="J513" s="503" t="n">
        <x:v>314200</x:v>
      </x:c>
      <x:c r="K513" s="489" t="str">
        <x:v>Emenda individual</x:v>
      </x:c>
      <x:c r="L513" s="489"/>
      <x:c r="M513" s="503" t="n">
        <x:v>0</x:v>
      </x:c>
      <x:c r="N513" s="503" t="n">
        <x:v>0</x:v>
      </x:c>
      <x:c r="O513" s="503" t="n">
        <x:v>0</x:v>
      </x:c>
      <x:c r="P513" s="503" t="n">
        <x:v>0</x:v>
      </x:c>
      <x:c r="Q513" s="503" t="n">
        <x:v>0</x:v>
      </x:c>
      <x:c r="R513" s="489" t="str"/>
      <x:c r="S513" s="489" t="str"/>
      <x:c r="T513" s="489" t="str">
        <x:v>EMENDA CONFIRMADA; DESTINO NÃO CONFIRMADO</x:v>
      </x:c>
      <x:c r="U513" s="489" t="str">
        <x:v>Média</x:v>
      </x:c>
      <x:c r="V513" s="489" t="str"/>
      <x:c r="W513" s="489" t="str">
        <x:v>Nº existe no SIGA; destinatário específico não foi confirmado nas bases anexas</x:v>
      </x:c>
      <x:c r="X513" s="489" t="str"/>
    </x:row>
    <x:row r="514">
      <x:c r="A514" s="502" t="n">
        <x:v>514</x:v>
      </x:c>
      <x:c r="B514" s="502" t="n">
        <x:v>2026</x:v>
      </x:c>
      <x:c r="C514" s="489" t="str">
        <x:v>Tapera</x:v>
      </x:c>
      <x:c r="D514" s="489" t="str">
        <x:v>Tapera</x:v>
      </x:c>
      <x:c r="E514" s="489" t="str">
        <x:v>Fundo Municipal de Saude</x:v>
      </x:c>
      <x:c r="F514" s="489" t="str">
        <x:v>41160013</x:v>
      </x:c>
      <x:c r="G514" s="489" t="str">
        <x:v>41160013-2026</x:v>
      </x:c>
      <x:c r="H514" s="489" t="str">
        <x:v>Informado/corrigido a partir do mapa</x:v>
      </x:c>
      <x:c r="I514" s="503" t="n">
        <x:v>314200</x:v>
      </x:c>
      <x:c r="J514" s="503" t="n">
        <x:v>314200</x:v>
      </x:c>
      <x:c r="K514" s="489" t="str">
        <x:v>Emenda individual</x:v>
      </x:c>
      <x:c r="L514" s="489"/>
      <x:c r="M514" s="503" t="n">
        <x:v>0</x:v>
      </x:c>
      <x:c r="N514" s="503" t="n">
        <x:v>0</x:v>
      </x:c>
      <x:c r="O514" s="503" t="n">
        <x:v>0</x:v>
      </x:c>
      <x:c r="P514" s="503" t="n">
        <x:v>0</x:v>
      </x:c>
      <x:c r="Q514" s="503" t="n">
        <x:v>0</x:v>
      </x:c>
      <x:c r="R514" s="489" t="str"/>
      <x:c r="S514" s="489" t="str"/>
      <x:c r="T514" s="489" t="str">
        <x:v>EMENDA CONFIRMADA; DESTINO NÃO CONFIRMADO</x:v>
      </x:c>
      <x:c r="U514" s="489" t="str">
        <x:v>Média</x:v>
      </x:c>
      <x:c r="V514" s="489" t="str"/>
      <x:c r="W514" s="489" t="str">
        <x:v>Nº existe no SIGA; destinatário específico não foi confirmado nas bases anexas</x:v>
      </x:c>
      <x:c r="X514" s="489" t="str"/>
    </x:row>
    <x:row r="515">
      <x:c r="A515" s="502" t="n">
        <x:v>515</x:v>
      </x:c>
      <x:c r="B515" s="502" t="n">
        <x:v>2026</x:v>
      </x:c>
      <x:c r="C515" s="489" t="str">
        <x:v>Panambi</x:v>
      </x:c>
      <x:c r="D515" s="489" t="str">
        <x:v>Empresa Brasileira de Servicos Hospitalares - Ebserh</x:v>
      </x:c>
      <x:c r="E515" s="489" t="str">
        <x:v>Fundo Municipal de Saude de Panambi</x:v>
      </x:c>
      <x:c r="F515" s="489" t="str">
        <x:v>41160003</x:v>
      </x:c>
      <x:c r="G515" s="489" t="str">
        <x:v>41160003-2026</x:v>
      </x:c>
      <x:c r="H515" s="489" t="str">
        <x:v>Informado/corrigido a partir do mapa</x:v>
      </x:c>
      <x:c r="I515" s="503" t="n">
        <x:v>317000</x:v>
      </x:c>
      <x:c r="J515" s="503" t="n">
        <x:v>317000</x:v>
      </x:c>
      <x:c r="K515" s="489" t="str">
        <x:v>Emenda individual</x:v>
      </x:c>
      <x:c r="L515" s="489"/>
      <x:c r="M515" s="503" t="n">
        <x:v>0</x:v>
      </x:c>
      <x:c r="N515" s="503" t="n">
        <x:v>0</x:v>
      </x:c>
      <x:c r="O515" s="503" t="n">
        <x:v>0</x:v>
      </x:c>
      <x:c r="P515" s="503" t="n">
        <x:v>0</x:v>
      </x:c>
      <x:c r="Q515" s="503" t="n">
        <x:v>0</x:v>
      </x:c>
      <x:c r="R515" s="489" t="str"/>
      <x:c r="S515" s="489" t="str"/>
      <x:c r="T515" s="489" t="str">
        <x:v>EMENDA CONFIRMADA; DESTINO NÃO CONFIRMADO</x:v>
      </x:c>
      <x:c r="U515" s="489" t="str">
        <x:v>Média</x:v>
      </x:c>
      <x:c r="V515" s="489" t="str"/>
      <x:c r="W515" s="489" t="str">
        <x:v>Nº existe no SIGA; destinatário específico não foi confirmado nas bases anexas</x:v>
      </x:c>
      <x:c r="X515" s="489" t="str"/>
    </x:row>
    <x:row r="516">
      <x:c r="A516" s="502" t="n">
        <x:v>516</x:v>
      </x:c>
      <x:c r="B516" s="502" t="n">
        <x:v>2020</x:v>
      </x:c>
      <x:c r="C516" s="489" t="str">
        <x:v>Vários municípios</x:v>
      </x:c>
      <x:c r="D516" s="489" t="str">
        <x:v>Brigada Militar</x:v>
      </x:c>
      <x:c r="E516" s="489" t="str">
        <x:v>Unidades da Brigada Militar em Porto Alegre, Canoas, Cruz Alta, Santa Maria, Guaíba, Santa Rosa, Osório, Santo Ângelo, Passo Fundo, Caxias do Sul, Pelotas, Montenegro, Santa Cruz do Sul, Novo Hamburgo e Lajeado.</x:v>
      </x:c>
      <x:c r="F516" s="489" t="str">
        <x:v>41160002</x:v>
      </x:c>
      <x:c r="G516" s="489" t="str">
        <x:v>41160002-2020</x:v>
      </x:c>
      <x:c r="H516" s="489" t="str">
        <x:v>Informado/corrigido a partir do mapa</x:v>
      </x:c>
      <x:c r="I516" s="503" t="n">
        <x:v>317925</x:v>
      </x:c>
      <x:c r="J516" s="503" t="n">
        <x:v>519035.33999999997</x:v>
      </x:c>
      <x:c r="K516" s="489" t="str">
        <x:v>Emenda individual</x:v>
      </x:c>
      <x:c r="L516" s="489" t="str">
        <x:v>Convênio 905241/2020 (23/12/2020).</x:v>
      </x:c>
      <x:c r="M516" s="503" t="n">
        <x:v>0</x:v>
      </x:c>
      <x:c r="N516" s="503" t="n">
        <x:v>0</x:v>
      </x:c>
      <x:c r="O516" s="503" t="n">
        <x:v>0</x:v>
      </x:c>
      <x:c r="P516" s="503" t="n">
        <x:v>0</x:v>
      </x:c>
      <x:c r="Q516" s="503" t="n">
        <x:v>0</x:v>
      </x:c>
      <x:c r="R516" s="489" t="str"/>
      <x:c r="S516" s="489" t="str"/>
      <x:c r="T516" s="489" t="str">
        <x:v>EMENDA CONFIRMADA; DESTINO NÃO CONFIRMADO</x:v>
      </x:c>
      <x:c r="U516" s="489" t="str">
        <x:v>Média</x:v>
      </x:c>
      <x:c r="V516" s="489" t="str"/>
      <x:c r="W516" s="489" t="str">
        <x:v>Nº existe no SIGA; destinatário específico não foi confirmado nas bases anexas</x:v>
      </x:c>
      <x:c r="X516" s="489" t="str"/>
    </x:row>
    <x:row r="517">
      <x:c r="A517" s="502" t="n">
        <x:v>517</x:v>
      </x:c>
      <x:c r="B517" s="502" t="n">
        <x:v>2023</x:v>
      </x:c>
      <x:c r="C517" s="489" t="str">
        <x:v>São Sepé</x:v>
      </x:c>
      <x:c r="D517" s="489" t="str">
        <x:v>Hospital</x:v>
      </x:c>
      <x:c r="E517" s="489" t="str">
        <x:v>Associação Beneficente Hospital Santo Antonio</x:v>
      </x:c>
      <x:c r="F517" s="489" t="str"/>
      <x:c r="G517" s="489" t="str">
        <x:v>41160007-2023</x:v>
      </x:c>
      <x:c r="H517" s="489" t="str">
        <x:v>Candidato — revisar (Transferegov)</x:v>
      </x:c>
      <x:c r="I517" s="503" t="n">
        <x:v>320000</x:v>
      </x:c>
      <x:c r="J517" s="503" t="n">
        <x:v>320000</x:v>
      </x:c>
      <x:c r="K517" s="489" t="str">
        <x:v>Emenda Individual</x:v>
      </x:c>
      <x:c r="L517" s="489" t="str">
        <x:v>Empenhado</x:v>
      </x:c>
      <x:c r="M517" s="503" t="n">
        <x:v>317236.18</x:v>
      </x:c>
      <x:c r="N517" s="503" t="n">
        <x:v>320000</x:v>
      </x:c>
      <x:c r="O517" s="503" t="n">
        <x:v>317236.18</x:v>
      </x:c>
      <x:c r="P517" s="503" t="n">
        <x:v>0</x:v>
      </x:c>
      <x:c r="Q517" s="503" t="n">
        <x:v>0</x:v>
      </x:c>
      <x:c r="R517" s="489" t="str"/>
      <x:c r="S517" s="489" t="str">
        <x:v>97227383000177</x:v>
      </x:c>
      <x:c r="T517" s="489" t="str">
        <x:v>VALOR DIVERGENTE / COBERTURA DIFERENTE</x:v>
      </x:c>
      <x:c r="U517" s="489" t="str">
        <x:v>Média</x:v>
      </x:c>
      <x:c r="V517" s="489" t="str">
        <x:v>Candidato de nº: 41160007; validar antes de preencher (Transferegov pode trazer valor total do instrumento); Situação possivelmente desatualizada: SIGA/execução regionalizada mostra pagamento; CNPJ candidato na fonte SIGA: 97227383000177</x:v>
      </x:c>
      <x:c r="W517" s="489" t="str">
        <x:v>nº ausente; inferido por coincidência exata de cidade e valor em Transferegov; Município/localidade encontrado em fonte comparável, mas valor não fecha exatamente</x:v>
      </x:c>
      <x:c r="X517" s="489" t="str">
        <x:v>https://discricionarias.transferegov.sistema.gov.br/voluntarias/ConsultarProposta/ResultadoDaConsultaDeConvenioSelecionarConvenio.do?sequencialConvenio=947298&amp;Usr=guest&amp;Pwd=guest</x:v>
      </x:c>
    </x:row>
    <x:row r="518">
      <x:c r="A518" s="502" t="n">
        <x:v>518</x:v>
      </x:c>
      <x:c r="B518" s="502" t="n">
        <x:v>2023</x:v>
      </x:c>
      <x:c r="C518" s="489" t="str">
        <x:v>Taquara</x:v>
      </x:c>
      <x:c r="D518" s="489" t="str">
        <x:v>Prefeitura</x:v>
      </x:c>
      <x:c r="E518" s="489" t="str">
        <x:v>Prefeitura de Taquara</x:v>
      </x:c>
      <x:c r="F518" s="489" t="str"/>
      <x:c r="G518" s="489" t="str"/>
      <x:c r="H518" s="489" t="str">
        <x:v>Sem nº conciliado</x:v>
      </x:c>
      <x:c r="I518" s="503" t="n">
        <x:v>320000</x:v>
      </x:c>
      <x:c r="J518" s="503" t="n">
        <x:v>620000</x:v>
      </x:c>
      <x:c r="K518" s="489" t="str">
        <x:v>Emenda Individual</x:v>
      </x:c>
      <x:c r="L518" s="489" t="str">
        <x:v>Empenhado</x:v>
      </x:c>
      <x:c r="M518" s="503" t="n">
        <x:v>0</x:v>
      </x:c>
      <x:c r="N518" s="503" t="n">
        <x:v>0</x:v>
      </x:c>
      <x:c r="O518" s="503" t="n">
        <x:v>0</x:v>
      </x:c>
      <x:c r="P518" s="503" t="n">
        <x:v>0</x:v>
      </x:c>
      <x:c r="Q518" s="503" t="n">
        <x:v>0</x:v>
      </x:c>
      <x:c r="R518" s="489" t="str"/>
      <x:c r="S518" s="489" t="str"/>
      <x:c r="T518" s="489" t="str">
        <x:v>SEM Nº / NÃO CONCILIADO</x:v>
      </x:c>
      <x:c r="U518" s="489" t="str">
        <x:v>Média</x:v>
      </x:c>
      <x:c r="V518" s="489" t="str"/>
      <x:c r="W518" s="489" t="str"/>
      <x:c r="X518" s="489" t="str"/>
    </x:row>
    <x:row r="519">
      <x:c r="A519" s="502" t="n">
        <x:v>519</x:v>
      </x:c>
      <x:c r="B519" s="502" t="n">
        <x:v>2025</x:v>
      </x:c>
      <x:c r="C519" s="489" t="str">
        <x:v>Lajeado</x:v>
      </x:c>
      <x:c r="D519" s="489" t="str">
        <x:v>Municipio De Lajeado Lajeado - Rs</x:v>
      </x:c>
      <x:c r="E519" s="489" t="str">
        <x:v>Prefeitura Municipal</x:v>
      </x:c>
      <x:c r="F519" s="489" t="str">
        <x:v>41160008</x:v>
      </x:c>
      <x:c r="G519" s="489" t="str">
        <x:v>41160008-2025</x:v>
      </x:c>
      <x:c r="H519" s="489" t="str">
        <x:v>Informado/corrigido a partir do mapa</x:v>
      </x:c>
      <x:c r="I519" s="503" t="n">
        <x:v>323039</x:v>
      </x:c>
      <x:c r="J519" s="503" t="n">
        <x:v>323039</x:v>
      </x:c>
      <x:c r="K519" s="489" t="str">
        <x:v>Emenda Individual</x:v>
      </x:c>
      <x:c r="L519" s="489"/>
      <x:c r="M519" s="503" t="n">
        <x:v>319808.61</x:v>
      </x:c>
      <x:c r="N519" s="503" t="n">
        <x:v>0</x:v>
      </x:c>
      <x:c r="O519" s="503" t="n">
        <x:v>0</x:v>
      </x:c>
      <x:c r="P519" s="503" t="n">
        <x:v>319808.61</x:v>
      </x:c>
      <x:c r="Q519" s="503" t="n">
        <x:v>0</x:v>
      </x:c>
      <x:c r="R519" s="489" t="str">
        <x:v>CIENTE</x:v>
      </x:c>
      <x:c r="S519" s="489" t="str">
        <x:v>87297982000103</x:v>
      </x:c>
      <x:c r="T519" s="489" t="str">
        <x:v>VALOR DIVERGENTE / COBERTURA DIFERENTE</x:v>
      </x:c>
      <x:c r="U519" s="489" t="str">
        <x:v>Média</x:v>
      </x:c>
      <x:c r="V519" s="489" t="str">
        <x:v>Revisar valor do grupo: PIX atual registra R$ 319,808.61; Atualizar situação com status do plano PIX: CIENTE (não equivale a pagamento)</x:v>
      </x:c>
      <x:c r="W519" s="489" t="str">
        <x:v>Município/localidade encontrado em fonte comparável, mas valor não fecha exatamente</x:v>
      </x:c>
      <x:c r="X519" s="489" t="str">
        <x:v>https://especiais.transferegov.sistema.gov.br/transferencia-especial/plano-acao/detalhe/83996/dados-basicos</x:v>
      </x:c>
    </x:row>
    <x:row r="520">
      <x:c r="A520" s="502" t="n">
        <x:v>520</x:v>
      </x:c>
      <x:c r="B520" s="502" t="n">
        <x:v>2026</x:v>
      </x:c>
      <x:c r="C520" s="489" t="str">
        <x:v>Sant'Ana do Livramento</x:v>
      </x:c>
      <x:c r="D520" s="489" t="str">
        <x:v>Associacao Hospital de Caridade de Santo Angelo</x:v>
      </x:c>
      <x:c r="E520" s="489" t="str">
        <x:v>Santa Casa de Misericordia</x:v>
      </x:c>
      <x:c r="F520" s="489" t="str">
        <x:v>41160003</x:v>
      </x:c>
      <x:c r="G520" s="489" t="str">
        <x:v>41160003-2026</x:v>
      </x:c>
      <x:c r="H520" s="489" t="str">
        <x:v>Informado/corrigido a partir do mapa</x:v>
      </x:c>
      <x:c r="I520" s="503" t="n">
        <x:v>323043</x:v>
      </x:c>
      <x:c r="J520" s="503" t="n">
        <x:v>323043</x:v>
      </x:c>
      <x:c r="K520" s="489" t="str">
        <x:v>Emenda individual</x:v>
      </x:c>
      <x:c r="L520" s="489"/>
      <x:c r="M520" s="503" t="n">
        <x:v>0</x:v>
      </x:c>
      <x:c r="N520" s="503" t="n">
        <x:v>323043</x:v>
      </x:c>
      <x:c r="O520" s="503" t="n">
        <x:v>0</x:v>
      </x:c>
      <x:c r="P520" s="503" t="n">
        <x:v>0</x:v>
      </x:c>
      <x:c r="Q520" s="503" t="n">
        <x:v>0</x:v>
      </x:c>
      <x:c r="R520" s="489" t="str"/>
      <x:c r="S520" s="489" t="str"/>
      <x:c r="T520" s="489" t="str">
        <x:v>DESTINO/INSTRUMENTO CONFIRMADO; VALOR NÃO COMPARÁVEL</x:v>
      </x:c>
      <x:c r="U520" s="489" t="str">
        <x:v>Média</x:v>
      </x:c>
      <x:c r="V520" s="489" t="str"/>
      <x:c r="W520" s="489" t="str">
        <x:v>Há instrumento do Transferegov para a emenda/município; valores do instrumento não foram usados como prova do valor da emenda</x:v>
      </x:c>
      <x:c r="X520" s="489" t="str">
        <x:v>https://discricionarias.transferegov.sistema.gov.br/voluntarias/ConsultarProposta/ResultadoDaConsultaDeConvenioSelecionarConvenio.do?sequencialConvenio=998244&amp;Usr=guest&amp;Pwd=guest</x:v>
      </x:c>
    </x:row>
    <x:row r="521">
      <x:c r="A521" s="502" t="n">
        <x:v>521</x:v>
      </x:c>
      <x:c r="B521" s="502" t="n">
        <x:v>2024</x:v>
      </x:c>
      <x:c r="C521" s="489" t="str">
        <x:v>Arambaré</x:v>
      </x:c>
      <x:c r="D521" s="489" t="str">
        <x:v>Prefeitura Municipal de Arambaré</x:v>
      </x:c>
      <x:c r="E521" s="489" t="str">
        <x:v>Prefeitura Municipal</x:v>
      </x:c>
      <x:c r="F521" s="489" t="str">
        <x:v>41160004</x:v>
      </x:c>
      <x:c r="G521" s="489" t="str">
        <x:v>41160004-2024</x:v>
      </x:c>
      <x:c r="H521" s="489" t="str">
        <x:v>Informado/corrigido a partir do mapa</x:v>
      </x:c>
      <x:c r="I521" s="503" t="n">
        <x:v>323812</x:v>
      </x:c>
      <x:c r="J521" s="503" t="n">
        <x:v>323812</x:v>
      </x:c>
      <x:c r="K521" s="489" t="str">
        <x:v>Emenda Individual</x:v>
      </x:c>
      <x:c r="L521" s="489"/>
      <x:c r="M521" s="503" t="n">
        <x:v>323812</x:v>
      </x:c>
      <x:c r="N521" s="503" t="n">
        <x:v>0</x:v>
      </x:c>
      <x:c r="O521" s="503" t="n">
        <x:v>0</x:v>
      </x:c>
      <x:c r="P521" s="503" t="n">
        <x:v>0</x:v>
      </x:c>
      <x:c r="Q521" s="503" t="n">
        <x:v>0</x:v>
      </x:c>
      <x:c r="R521" s="489" t="str"/>
      <x:c r="S521" s="489" t="str">
        <x:v>12433016000177</x:v>
      </x:c>
      <x:c r="T521" s="489" t="str">
        <x:v>CONFIRMADO</x:v>
      </x:c>
      <x:c r="U521" s="489" t="str">
        <x:v>Baixa</x:v>
      </x:c>
      <x:c r="V521" s="489" t="str">
        <x:v>Preencher situação: há pagamento identificado na fonte pública; CNPJ candidato na fonte SIGA: 12433016000177</x:v>
      </x:c>
      <x:c r="W521" s="489" t="str">
        <x:v>Valor do grupo fecha com: SIGA pago favorecido</x:v>
      </x:c>
      <x:c r="X521" s="489" t="str"/>
    </x:row>
    <x:row r="522">
      <x:c r="A522" s="502" t="n">
        <x:v>522</x:v>
      </x:c>
      <x:c r="B522" s="502" t="n">
        <x:v>2026</x:v>
      </x:c>
      <x:c r="C522" s="489" t="str">
        <x:v>Alvorada</x:v>
      </x:c>
      <x:c r="D522" s="489" t="str">
        <x:v>Hospital Sao Valentim</x:v>
      </x:c>
      <x:c r="E522" s="489" t="str">
        <x:v>Fundo Municipal de Saude de Alvorada</x:v>
      </x:c>
      <x:c r="F522" s="489" t="str">
        <x:v>41160003</x:v>
      </x:c>
      <x:c r="G522" s="489" t="str">
        <x:v>41160003-2026</x:v>
      </x:c>
      <x:c r="H522" s="489" t="str">
        <x:v>Informado/corrigido a partir do mapa</x:v>
      </x:c>
      <x:c r="I522" s="503" t="n">
        <x:v>325116</x:v>
      </x:c>
      <x:c r="J522" s="503" t="n">
        <x:v>325116</x:v>
      </x:c>
      <x:c r="K522" s="489" t="str">
        <x:v>Emenda individual</x:v>
      </x:c>
      <x:c r="L522" s="489"/>
      <x:c r="M522" s="503" t="n">
        <x:v>0</x:v>
      </x:c>
      <x:c r="N522" s="503" t="n">
        <x:v>0</x:v>
      </x:c>
      <x:c r="O522" s="503" t="n">
        <x:v>0</x:v>
      </x:c>
      <x:c r="P522" s="503" t="n">
        <x:v>0</x:v>
      </x:c>
      <x:c r="Q522" s="503" t="n">
        <x:v>0</x:v>
      </x:c>
      <x:c r="R522" s="489" t="str"/>
      <x:c r="S522" s="489" t="str"/>
      <x:c r="T522" s="489" t="str">
        <x:v>EMENDA CONFIRMADA; DESTINO NÃO CONFIRMADO</x:v>
      </x:c>
      <x:c r="U522" s="489" t="str">
        <x:v>Média</x:v>
      </x:c>
      <x:c r="V522" s="489" t="str"/>
      <x:c r="W522" s="489" t="str">
        <x:v>Nº existe no SIGA; destinatário específico não foi confirmado nas bases anexas</x:v>
      </x:c>
      <x:c r="X522" s="489" t="str"/>
    </x:row>
    <x:row r="523">
      <x:c r="A523" s="502" t="n">
        <x:v>523</x:v>
      </x:c>
      <x:c r="B523" s="502" t="n">
        <x:v>2021</x:v>
      </x:c>
      <x:c r="C523" s="489" t="str">
        <x:v>Rio Pardo</x:v>
      </x:c>
      <x:c r="D523" s="489" t="str">
        <x:v>Corpo de Bombeiros</x:v>
      </x:c>
      <x:c r="E523" s="489" t="str">
        <x:v>Corpo de Bombeiros</x:v>
      </x:c>
      <x:c r="F523" s="489" t="str">
        <x:v>71220009</x:v>
      </x:c>
      <x:c r="G523" s="489" t="str">
        <x:v>71220009-2021</x:v>
      </x:c>
      <x:c r="H523" s="489" t="str">
        <x:v>Informado/corrigido a partir do mapa</x:v>
      </x:c>
      <x:c r="I523" s="503" t="n">
        <x:v>330000</x:v>
      </x:c>
      <x:c r="J523" s="503" t="n">
        <x:v>330000</x:v>
      </x:c>
      <x:c r="K523" s="489" t="str">
        <x:v>Emenda de Bancada</x:v>
      </x:c>
      <x:c r="L523" s="489" t="str">
        <x:v>Recurso pago</x:v>
      </x:c>
      <x:c r="M523" s="503" t="n">
        <x:v>0</x:v>
      </x:c>
      <x:c r="N523" s="503" t="n">
        <x:v>0</x:v>
      </x:c>
      <x:c r="O523" s="503" t="n">
        <x:v>0</x:v>
      </x:c>
      <x:c r="P523" s="503" t="n">
        <x:v>0</x:v>
      </x:c>
      <x:c r="Q523" s="503" t="n">
        <x:v>0</x:v>
      </x:c>
      <x:c r="R523" s="489" t="str"/>
      <x:c r="S523" s="489" t="str"/>
      <x:c r="T523" s="489" t="str">
        <x:v>EMENDA CONFIRMADA; DESTINO NÃO CONFIRMADO</x:v>
      </x:c>
      <x:c r="U523" s="489" t="str">
        <x:v>Média</x:v>
      </x:c>
      <x:c r="V523" s="489" t="str"/>
      <x:c r="W523" s="489" t="str"/>
      <x:c r="X523" s="489" t="str"/>
    </x:row>
    <x:row r="524">
      <x:c r="A524" s="502" t="n">
        <x:v>524</x:v>
      </x:c>
      <x:c r="B524" s="502" t="n">
        <x:v>2023</x:v>
      </x:c>
      <x:c r="C524" s="489" t="str">
        <x:v>Erechim</x:v>
      </x:c>
      <x:c r="D524" s="489" t="str">
        <x:v>Hospital</x:v>
      </x:c>
      <x:c r="E524" s="489" t="str">
        <x:v>Fundação Hospitalar Santa Terezinha De Erechim</x:v>
      </x:c>
      <x:c r="F524" s="489" t="str"/>
      <x:c r="G524" s="489" t="str">
        <x:v>41160007-2023</x:v>
      </x:c>
      <x:c r="H524" s="489" t="str">
        <x:v>Candidato — revisar (Transferegov)</x:v>
      </x:c>
      <x:c r="I524" s="503" t="n">
        <x:v>330000</x:v>
      </x:c>
      <x:c r="J524" s="503" t="n">
        <x:v>330000</x:v>
      </x:c>
      <x:c r="K524" s="489" t="str">
        <x:v>Emenda Individual</x:v>
      </x:c>
      <x:c r="L524" s="489" t="str">
        <x:v>Empenhado</x:v>
      </x:c>
      <x:c r="M524" s="503" t="n">
        <x:v>0</x:v>
      </x:c>
      <x:c r="N524" s="503" t="n">
        <x:v>330000</x:v>
      </x:c>
      <x:c r="O524" s="503" t="n">
        <x:v>0</x:v>
      </x:c>
      <x:c r="P524" s="503" t="n">
        <x:v>0</x:v>
      </x:c>
      <x:c r="Q524" s="503" t="n">
        <x:v>0</x:v>
      </x:c>
      <x:c r="R524" s="489" t="str"/>
      <x:c r="S524" s="489" t="str"/>
      <x:c r="T524" s="489" t="str">
        <x:v>DESTINO/INSTRUMENTO CONFIRMADO; VALOR NÃO COMPARÁVEL</x:v>
      </x:c>
      <x:c r="U524" s="489" t="str">
        <x:v>Média</x:v>
      </x:c>
      <x:c r="V524" s="489" t="str">
        <x:v>Candidato de nº: 41160007; validar antes de preencher (Transferegov pode trazer valor total do instrumento)</x:v>
      </x:c>
      <x:c r="W524" s="489" t="str">
        <x:v>nº ausente; inferido por coincidência exata de cidade e valor em Transferegov; Há instrumento do Transferegov para a emenda/município; valores do instrumento não foram usados como prova do valor da emenda</x:v>
      </x:c>
      <x:c r="X524" s="489" t="str">
        <x:v>https://discricionarias.transferegov.sistema.gov.br/voluntarias/ConsultarProposta/ResultadoDaConsultaDeConvenioSelecionarConvenio.do?sequencialConvenio=944030&amp;Usr=guest&amp;Pwd=guest</x:v>
      </x:c>
    </x:row>
    <x:row r="525">
      <x:c r="A525" s="502" t="n">
        <x:v>525</x:v>
      </x:c>
      <x:c r="B525" s="502" t="n">
        <x:v>2023</x:v>
      </x:c>
      <x:c r="C525" s="489" t="str">
        <x:v>Faxinal do Soturno</x:v>
      </x:c>
      <x:c r="D525" s="489" t="str">
        <x:v>Hospital</x:v>
      </x:c>
      <x:c r="E525" s="489" t="str">
        <x:v>Hospital De Caridade São Roque</x:v>
      </x:c>
      <x:c r="F525" s="489" t="str"/>
      <x:c r="G525" s="489" t="str">
        <x:v>41160007-2023</x:v>
      </x:c>
      <x:c r="H525" s="489" t="str">
        <x:v>Candidato — revisar (Transferegov)</x:v>
      </x:c>
      <x:c r="I525" s="503" t="n">
        <x:v>330000</x:v>
      </x:c>
      <x:c r="J525" s="503" t="n">
        <x:v>330000</x:v>
      </x:c>
      <x:c r="K525" s="489" t="str">
        <x:v>Emenda Individual</x:v>
      </x:c>
      <x:c r="L525" s="489" t="str">
        <x:v>Empenhado</x:v>
      </x:c>
      <x:c r="M525" s="503" t="n">
        <x:v>254100</x:v>
      </x:c>
      <x:c r="N525" s="503" t="n">
        <x:v>330000</x:v>
      </x:c>
      <x:c r="O525" s="503" t="n">
        <x:v>254100</x:v>
      </x:c>
      <x:c r="P525" s="503" t="n">
        <x:v>0</x:v>
      </x:c>
      <x:c r="Q525" s="503" t="n">
        <x:v>0</x:v>
      </x:c>
      <x:c r="R525" s="489" t="str"/>
      <x:c r="S525" s="489" t="str">
        <x:v>89891337000140</x:v>
      </x:c>
      <x:c r="T525" s="489" t="str">
        <x:v>VALOR DIVERGENTE / COBERTURA DIFERENTE</x:v>
      </x:c>
      <x:c r="U525" s="489" t="str">
        <x:v>Média</x:v>
      </x:c>
      <x:c r="V525" s="489" t="str">
        <x:v>Candidato de nº: 41160007; validar antes de preencher (Transferegov pode trazer valor total do instrumento); Situação possivelmente desatualizada: SIGA/execução regionalizada mostra pagamento; CNPJ candidato na fonte SIGA: 89891337000140</x:v>
      </x:c>
      <x:c r="W525" s="489" t="str">
        <x:v>nº ausente; inferido por coincidência exata de cidade e valor em Transferegov; Município/localidade encontrado em fonte comparável, mas valor não fecha exatamente</x:v>
      </x:c>
      <x:c r="X525" s="489" t="str">
        <x:v>https://discricionarias.transferegov.sistema.gov.br/voluntarias/ConsultarProposta/ResultadoDaConsultaDeConvenioSelecionarConvenio.do?sequencialConvenio=947111&amp;Usr=guest&amp;Pwd=guest</x:v>
      </x:c>
    </x:row>
    <x:row r="526">
      <x:c r="A526" s="502" t="n">
        <x:v>526</x:v>
      </x:c>
      <x:c r="B526" s="502" t="n">
        <x:v>2021</x:v>
      </x:c>
      <x:c r="C526" s="489" t="str">
        <x:v>Flores da Cunha</x:v>
      </x:c>
      <x:c r="D526" s="489" t="str">
        <x:v>Corpo de Bombeiros</x:v>
      </x:c>
      <x:c r="E526" s="489" t="str">
        <x:v>Corpo de Bombeiros de Flores da Cunha</x:v>
      </x:c>
      <x:c r="F526" s="489" t="str">
        <x:v>41160001</x:v>
      </x:c>
      <x:c r="G526" s="489" t="str">
        <x:v>41160001-2021</x:v>
      </x:c>
      <x:c r="H526" s="489" t="str">
        <x:v>Informado/corrigido a partir do mapa</x:v>
      </x:c>
      <x:c r="I526" s="503" t="n">
        <x:v>333333</x:v>
      </x:c>
      <x:c r="J526" s="503" t="n">
        <x:v>333333</x:v>
      </x:c>
      <x:c r="K526" s="489" t="str">
        <x:v>Emenda individual</x:v>
      </x:c>
      <x:c r="L526" s="489" t="str">
        <x:v>Recurso pago</x:v>
      </x:c>
      <x:c r="M526" s="503" t="n">
        <x:v>0</x:v>
      </x:c>
      <x:c r="N526" s="503" t="n">
        <x:v>0</x:v>
      </x:c>
      <x:c r="O526" s="503" t="n">
        <x:v>0</x:v>
      </x:c>
      <x:c r="P526" s="503" t="n">
        <x:v>0</x:v>
      </x:c>
      <x:c r="Q526" s="503" t="n">
        <x:v>0</x:v>
      </x:c>
      <x:c r="R526" s="489" t="str"/>
      <x:c r="S526" s="489" t="str"/>
      <x:c r="T526" s="489" t="str">
        <x:v>EMENDA CONFIRMADA; DESTINO NÃO CONFIRMADO</x:v>
      </x:c>
      <x:c r="U526" s="489" t="str">
        <x:v>Média</x:v>
      </x:c>
      <x:c r="V526" s="489" t="str"/>
      <x:c r="W526" s="489" t="str">
        <x:v>Nº existe no SIGA; destinatário específico não foi confirmado nas bases anexas</x:v>
      </x:c>
      <x:c r="X526" s="489" t="str"/>
    </x:row>
    <x:row r="527">
      <x:c r="A527" s="502" t="n">
        <x:v>527</x:v>
      </x:c>
      <x:c r="B527" s="502" t="n">
        <x:v>2021</x:v>
      </x:c>
      <x:c r="C527" s="489" t="str">
        <x:v>Giruá</x:v>
      </x:c>
      <x:c r="D527" s="489" t="str">
        <x:v>Corpo de Bombeiros</x:v>
      </x:c>
      <x:c r="E527" s="489" t="str">
        <x:v>Corpo de Bombeiros de Giruá</x:v>
      </x:c>
      <x:c r="F527" s="489" t="str">
        <x:v>41160001</x:v>
      </x:c>
      <x:c r="G527" s="489" t="str">
        <x:v>41160001-2021</x:v>
      </x:c>
      <x:c r="H527" s="489" t="str">
        <x:v>Informado/corrigido a partir do mapa</x:v>
      </x:c>
      <x:c r="I527" s="503" t="n">
        <x:v>333333</x:v>
      </x:c>
      <x:c r="J527" s="503" t="n">
        <x:v>333333</x:v>
      </x:c>
      <x:c r="K527" s="489" t="str">
        <x:v>Emenda individual</x:v>
      </x:c>
      <x:c r="L527" s="489" t="str">
        <x:v>Recurso pago</x:v>
      </x:c>
      <x:c r="M527" s="503" t="n">
        <x:v>0</x:v>
      </x:c>
      <x:c r="N527" s="503" t="n">
        <x:v>0</x:v>
      </x:c>
      <x:c r="O527" s="503" t="n">
        <x:v>0</x:v>
      </x:c>
      <x:c r="P527" s="503" t="n">
        <x:v>0</x:v>
      </x:c>
      <x:c r="Q527" s="503" t="n">
        <x:v>0</x:v>
      </x:c>
      <x:c r="R527" s="489" t="str"/>
      <x:c r="S527" s="489" t="str"/>
      <x:c r="T527" s="489" t="str">
        <x:v>EMENDA CONFIRMADA; DESTINO NÃO CONFIRMADO</x:v>
      </x:c>
      <x:c r="U527" s="489" t="str">
        <x:v>Média</x:v>
      </x:c>
      <x:c r="V527" s="489" t="str"/>
      <x:c r="W527" s="489" t="str">
        <x:v>Nº existe no SIGA; destinatário específico não foi confirmado nas bases anexas</x:v>
      </x:c>
      <x:c r="X527" s="489" t="str"/>
    </x:row>
    <x:row r="528">
      <x:c r="A528" s="502" t="n">
        <x:v>528</x:v>
      </x:c>
      <x:c r="B528" s="502" t="n">
        <x:v>2021</x:v>
      </x:c>
      <x:c r="C528" s="489" t="str">
        <x:v>Ivoti</x:v>
      </x:c>
      <x:c r="D528" s="489" t="str">
        <x:v>Corpo de Bombeiros</x:v>
      </x:c>
      <x:c r="E528" s="489" t="str">
        <x:v>Corpo de Bombeiros de Ivoti</x:v>
      </x:c>
      <x:c r="F528" s="489" t="str">
        <x:v>41160001</x:v>
      </x:c>
      <x:c r="G528" s="489" t="str">
        <x:v>41160001-2021</x:v>
      </x:c>
      <x:c r="H528" s="489" t="str">
        <x:v>Informado/corrigido a partir do mapa</x:v>
      </x:c>
      <x:c r="I528" s="503" t="n">
        <x:v>333333</x:v>
      </x:c>
      <x:c r="J528" s="503" t="n">
        <x:v>333333</x:v>
      </x:c>
      <x:c r="K528" s="489" t="str">
        <x:v>Emenda individual</x:v>
      </x:c>
      <x:c r="L528" s="489" t="str">
        <x:v>Recurso pago</x:v>
      </x:c>
      <x:c r="M528" s="503" t="n">
        <x:v>0</x:v>
      </x:c>
      <x:c r="N528" s="503" t="n">
        <x:v>0</x:v>
      </x:c>
      <x:c r="O528" s="503" t="n">
        <x:v>0</x:v>
      </x:c>
      <x:c r="P528" s="503" t="n">
        <x:v>0</x:v>
      </x:c>
      <x:c r="Q528" s="503" t="n">
        <x:v>0</x:v>
      </x:c>
      <x:c r="R528" s="489" t="str"/>
      <x:c r="S528" s="489" t="str"/>
      <x:c r="T528" s="489" t="str">
        <x:v>EMENDA CONFIRMADA; DESTINO NÃO CONFIRMADO</x:v>
      </x:c>
      <x:c r="U528" s="489" t="str">
        <x:v>Média</x:v>
      </x:c>
      <x:c r="V528" s="489" t="str"/>
      <x:c r="W528" s="489" t="str">
        <x:v>Nº existe no SIGA; destinatário específico não foi confirmado nas bases anexas</x:v>
      </x:c>
      <x:c r="X528" s="489" t="str"/>
    </x:row>
    <x:row r="529">
      <x:c r="A529" s="502" t="n">
        <x:v>529</x:v>
      </x:c>
      <x:c r="B529" s="502" t="n">
        <x:v>2023</x:v>
      </x:c>
      <x:c r="C529" s="489" t="str">
        <x:v>Rio Grande</x:v>
      </x:c>
      <x:c r="D529" s="489" t="str">
        <x:v>Fundo Naval</x:v>
      </x:c>
      <x:c r="E529" s="489" t="str">
        <x:v>Fundo Naval</x:v>
      </x:c>
      <x:c r="F529" s="489" t="str">
        <x:v>41160009</x:v>
      </x:c>
      <x:c r="G529" s="489" t="str">
        <x:v>41160009-2023</x:v>
      </x:c>
      <x:c r="H529" s="489" t="str">
        <x:v>Informado/corrigido a partir do mapa</x:v>
      </x:c>
      <x:c r="I529" s="503" t="n">
        <x:v>333800</x:v>
      </x:c>
      <x:c r="J529" s="503" t="n">
        <x:v>335000</x:v>
      </x:c>
      <x:c r="K529" s="489" t="str">
        <x:v>Emenda Individual</x:v>
      </x:c>
      <x:c r="L529" s="489" t="str">
        <x:v>Recurso pago</x:v>
      </x:c>
      <x:c r="M529" s="503" t="n">
        <x:v>0</x:v>
      </x:c>
      <x:c r="N529" s="503" t="n">
        <x:v>0</x:v>
      </x:c>
      <x:c r="O529" s="503" t="n">
        <x:v>0</x:v>
      </x:c>
      <x:c r="P529" s="503" t="n">
        <x:v>0</x:v>
      </x:c>
      <x:c r="Q529" s="503" t="n">
        <x:v>0</x:v>
      </x:c>
      <x:c r="R529" s="489" t="str"/>
      <x:c r="S529" s="489" t="str"/>
      <x:c r="T529" s="489" t="str">
        <x:v>EMENDA CONFIRMADA; DESTINO NÃO CONFIRMADO</x:v>
      </x:c>
      <x:c r="U529" s="489" t="str">
        <x:v>Média</x:v>
      </x:c>
      <x:c r="V529" s="489" t="str"/>
      <x:c r="W529" s="489" t="str">
        <x:v>Nº existe no SIGA; destinatário específico não foi confirmado nas bases anexas</x:v>
      </x:c>
      <x:c r="X529" s="489" t="str"/>
    </x:row>
    <x:row r="530">
      <x:c r="A530" s="502" t="n">
        <x:v>530</x:v>
      </x:c>
      <x:c r="B530" s="502" t="n">
        <x:v>2023</x:v>
      </x:c>
      <x:c r="C530" s="489"/>
      <x:c r="D530" s="489"/>
      <x:c r="E530" s="489" t="str">
        <x:v>Marinha do Brasil</x:v>
      </x:c>
      <x:c r="F530" s="489" t="str">
        <x:v>41160009</x:v>
      </x:c>
      <x:c r="G530" s="489" t="str">
        <x:v>41160009-2023</x:v>
      </x:c>
      <x:c r="H530" s="489" t="str">
        <x:v>Informado/corrigido a partir do mapa</x:v>
      </x:c>
      <x:c r="I530" s="503" t="n">
        <x:v>335000</x:v>
      </x:c>
      <x:c r="J530" s="503" t="n">
        <x:v>335000</x:v>
      </x:c>
      <x:c r="K530" s="489"/>
      <x:c r="L530" s="489" t="str">
        <x:v>PAGO</x:v>
      </x:c>
      <x:c r="M530" s="503" t="n">
        <x:v>0</x:v>
      </x:c>
      <x:c r="N530" s="503" t="n">
        <x:v>0</x:v>
      </x:c>
      <x:c r="O530" s="503" t="n">
        <x:v>0</x:v>
      </x:c>
      <x:c r="P530" s="503" t="n">
        <x:v>0</x:v>
      </x:c>
      <x:c r="Q530" s="503" t="n">
        <x:v>0</x:v>
      </x:c>
      <x:c r="R530" s="489" t="str"/>
      <x:c r="S530" s="489" t="str"/>
      <x:c r="T530" s="489" t="str">
        <x:v>EMENDA CONFIRMADA; DESTINO NÃO CONFIRMADO</x:v>
      </x:c>
      <x:c r="U530" s="489" t="str">
        <x:v>Média</x:v>
      </x:c>
      <x:c r="V530" s="489" t="str"/>
      <x:c r="W530" s="489" t="str">
        <x:v>Nº existe no SIGA; destinatário específico não foi confirmado nas bases anexas</x:v>
      </x:c>
      <x:c r="X530" s="489" t="str"/>
    </x:row>
    <x:row r="531">
      <x:c r="A531" s="502" t="n">
        <x:v>531</x:v>
      </x:c>
      <x:c r="B531" s="502" t="n">
        <x:v>2023</x:v>
      </x:c>
      <x:c r="C531" s="489" t="str">
        <x:v>Ivoti</x:v>
      </x:c>
      <x:c r="D531" s="489" t="str">
        <x:v>Hospital</x:v>
      </x:c>
      <x:c r="E531" s="489" t="str">
        <x:v>Hospital Sao Jose De Ivoti</x:v>
      </x:c>
      <x:c r="F531" s="489" t="str"/>
      <x:c r="G531" s="489" t="str"/>
      <x:c r="H531" s="489" t="str">
        <x:v>Sem nº conciliado</x:v>
      </x:c>
      <x:c r="I531" s="503" t="n">
        <x:v>340000</x:v>
      </x:c>
      <x:c r="J531" s="503" t="n">
        <x:v>540000</x:v>
      </x:c>
      <x:c r="K531" s="489" t="str">
        <x:v>Emenda Individual</x:v>
      </x:c>
      <x:c r="L531" s="489" t="str">
        <x:v>Empenhado</x:v>
      </x:c>
      <x:c r="M531" s="503" t="n">
        <x:v>0</x:v>
      </x:c>
      <x:c r="N531" s="503" t="n">
        <x:v>0</x:v>
      </x:c>
      <x:c r="O531" s="503" t="n">
        <x:v>0</x:v>
      </x:c>
      <x:c r="P531" s="503" t="n">
        <x:v>0</x:v>
      </x:c>
      <x:c r="Q531" s="503" t="n">
        <x:v>0</x:v>
      </x:c>
      <x:c r="R531" s="489" t="str"/>
      <x:c r="S531" s="489" t="str"/>
      <x:c r="T531" s="489" t="str">
        <x:v>SEM Nº / NÃO CONCILIADO</x:v>
      </x:c>
      <x:c r="U531" s="489" t="str">
        <x:v>Média</x:v>
      </x:c>
      <x:c r="V531" s="489" t="str"/>
      <x:c r="W531" s="489" t="str"/>
      <x:c r="X531" s="489" t="str"/>
    </x:row>
    <x:row r="532">
      <x:c r="A532" s="502" t="n">
        <x:v>532</x:v>
      </x:c>
      <x:c r="B532" s="502" t="n">
        <x:v>2025</x:v>
      </x:c>
      <x:c r="C532" s="489" t="str">
        <x:v>Paraíso do Sul</x:v>
      </x:c>
      <x:c r="D532" s="489" t="str">
        <x:v>Fundo Municipal De Saude Paraíso Do Sul - Rs</x:v>
      </x:c>
      <x:c r="E532" s="489" t="str">
        <x:v>Prefeitura Municipal</x:v>
      </x:c>
      <x:c r="F532" s="489" t="str">
        <x:v>41160004</x:v>
      </x:c>
      <x:c r="G532" s="489" t="str">
        <x:v>41160004-2025</x:v>
      </x:c>
      <x:c r="H532" s="489" t="str">
        <x:v>Informado/corrigido a partir do mapa</x:v>
      </x:c>
      <x:c r="I532" s="503" t="n">
        <x:v>340000</x:v>
      </x:c>
      <x:c r="J532" s="503" t="n">
        <x:v>340000</x:v>
      </x:c>
      <x:c r="K532" s="489" t="str">
        <x:v>Emenda Individual</x:v>
      </x:c>
      <x:c r="L532" s="489"/>
      <x:c r="M532" s="503" t="n">
        <x:v>314200</x:v>
      </x:c>
      <x:c r="N532" s="503" t="n">
        <x:v>0</x:v>
      </x:c>
      <x:c r="O532" s="503" t="n">
        <x:v>0</x:v>
      </x:c>
      <x:c r="P532" s="503" t="n">
        <x:v>0</x:v>
      </x:c>
      <x:c r="Q532" s="503" t="n">
        <x:v>0</x:v>
      </x:c>
      <x:c r="R532" s="489" t="str"/>
      <x:c r="S532" s="489" t="str">
        <x:v>12991728000101</x:v>
      </x:c>
      <x:c r="T532" s="489" t="str">
        <x:v>VALOR DIVERGENTE / COBERTURA DIFERENTE</x:v>
      </x:c>
      <x:c r="U532" s="489" t="str">
        <x:v>Média</x:v>
      </x:c>
      <x:c r="V532" s="489" t="str">
        <x:v>Preencher situação: há pagamento identificado na fonte pública</x:v>
      </x:c>
      <x:c r="W532" s="489" t="str">
        <x:v>Município/localidade encontrado em fonte comparável, mas valor não fecha exatamente</x:v>
      </x:c>
      <x:c r="X532" s="489" t="str"/>
    </x:row>
    <x:row r="533">
      <x:c r="A533" s="502" t="n">
        <x:v>533</x:v>
      </x:c>
      <x:c r="B533" s="502" t="n">
        <x:v>2021</x:v>
      </x:c>
      <x:c r="C533" s="489" t="str">
        <x:v>Nova Prata</x:v>
      </x:c>
      <x:c r="D533" s="489" t="str">
        <x:v>Prefeitura</x:v>
      </x:c>
      <x:c r="E533" s="489" t="str">
        <x:v>Prefeitura Municipal</x:v>
      </x:c>
      <x:c r="F533" s="489" t="str">
        <x:v>41160003</x:v>
      </x:c>
      <x:c r="G533" s="489" t="str">
        <x:v>41160003-2021</x:v>
      </x:c>
      <x:c r="H533" s="489" t="str">
        <x:v>Informado/corrigido a partir do mapa</x:v>
      </x:c>
      <x:c r="I533" s="503" t="n">
        <x:v>350000</x:v>
      </x:c>
      <x:c r="J533" s="503" t="n">
        <x:v>350000</x:v>
      </x:c>
      <x:c r="K533" s="489" t="str">
        <x:v>Emenda individual (processo seletivo)</x:v>
      </x:c>
      <x:c r="L533" s="489" t="str">
        <x:v>Recurso pago</x:v>
      </x:c>
      <x:c r="M533" s="503" t="n">
        <x:v>350000</x:v>
      </x:c>
      <x:c r="N533" s="503" t="n">
        <x:v>0</x:v>
      </x:c>
      <x:c r="O533" s="503" t="n">
        <x:v>0</x:v>
      </x:c>
      <x:c r="P533" s="503" t="n">
        <x:v>0</x:v>
      </x:c>
      <x:c r="Q533" s="503" t="n">
        <x:v>0</x:v>
      </x:c>
      <x:c r="R533" s="489" t="str"/>
      <x:c r="S533" s="489" t="str">
        <x:v>11840490000150</x:v>
      </x:c>
      <x:c r="T533" s="489" t="str">
        <x:v>CONFIRMADO</x:v>
      </x:c>
      <x:c r="U533" s="489" t="str">
        <x:v>Baixa</x:v>
      </x:c>
      <x:c r="V533" s="489" t="str">
        <x:v>CNPJ candidato na fonte SIGA: 11840490000150</x:v>
      </x:c>
      <x:c r="W533" s="489" t="str">
        <x:v>Valor do grupo fecha com: SIGA pago favorecido</x:v>
      </x:c>
      <x:c r="X533" s="489" t="str"/>
    </x:row>
    <x:row r="534">
      <x:c r="A534" s="502" t="n">
        <x:v>534</x:v>
      </x:c>
      <x:c r="B534" s="502" t="n">
        <x:v>2022</x:v>
      </x:c>
      <x:c r="C534" s="489" t="str">
        <x:v>Bagé</x:v>
      </x:c>
      <x:c r="D534" s="489" t="str">
        <x:v>Fundação Universidade Federal do Pampa</x:v>
      </x:c>
      <x:c r="E534" s="489" t="str">
        <x:v>Fundação Universidade Federal do Pampa</x:v>
      </x:c>
      <x:c r="F534" s="489" t="str">
        <x:v>41160004</x:v>
      </x:c>
      <x:c r="G534" s="489" t="str">
        <x:v>41160004-2022</x:v>
      </x:c>
      <x:c r="H534" s="489" t="str">
        <x:v>Informado/corrigido a partir do mapa</x:v>
      </x:c>
      <x:c r="I534" s="503" t="n">
        <x:v>350000</x:v>
      </x:c>
      <x:c r="J534" s="503" t="n">
        <x:v>350000</x:v>
      </x:c>
      <x:c r="K534" s="489" t="str">
        <x:v>Emenda Individual </x:v>
      </x:c>
      <x:c r="L534" s="489" t="str">
        <x:v>Recurso pago parcialmente: R$ 228.332,35.</x:v>
      </x:c>
      <x:c r="M534" s="503" t="n">
        <x:v>0</x:v>
      </x:c>
      <x:c r="N534" s="503" t="n">
        <x:v>0</x:v>
      </x:c>
      <x:c r="O534" s="503" t="n">
        <x:v>0</x:v>
      </x:c>
      <x:c r="P534" s="503" t="n">
        <x:v>0</x:v>
      </x:c>
      <x:c r="Q534" s="503" t="n">
        <x:v>0</x:v>
      </x:c>
      <x:c r="R534" s="489" t="str"/>
      <x:c r="S534" s="489" t="str"/>
      <x:c r="T534" s="489" t="str">
        <x:v>EMENDA CONFIRMADA; DESTINO NÃO CONFIRMADO</x:v>
      </x:c>
      <x:c r="U534" s="489" t="str">
        <x:v>Média</x:v>
      </x:c>
      <x:c r="V534" s="489" t="str"/>
      <x:c r="W534" s="489" t="str">
        <x:v>Nº existe no SIGA; destinatário específico não foi confirmado nas bases anexas</x:v>
      </x:c>
      <x:c r="X534" s="489" t="str"/>
    </x:row>
    <x:row r="535">
      <x:c r="A535" s="502" t="n">
        <x:v>535</x:v>
      </x:c>
      <x:c r="B535" s="502" t="n">
        <x:v>2022</x:v>
      </x:c>
      <x:c r="C535" s="489" t="str">
        <x:v>Caxias do sul</x:v>
      </x:c>
      <x:c r="D535" s="489" t="str">
        <x:v>Hospital</x:v>
      </x:c>
      <x:c r="E535" s="489" t="str">
        <x:v>Hospital Geral de Caxias do Sul</x:v>
      </x:c>
      <x:c r="F535" s="489" t="str">
        <x:v>7120004</x:v>
      </x:c>
      <x:c r="G535" s="489" t="str">
        <x:v>7120004-2022</x:v>
      </x:c>
      <x:c r="H535" s="489" t="str">
        <x:v>Informado/corrigido a partir do mapa</x:v>
      </x:c>
      <x:c r="I535" s="503" t="n">
        <x:v>350000</x:v>
      </x:c>
      <x:c r="J535" s="503" t="n">
        <x:v>350000</x:v>
      </x:c>
      <x:c r="K535" s="489" t="str">
        <x:v>Emenda de bancada (processo seletivo)</x:v>
      </x:c>
      <x:c r="L535" s="489" t="str">
        <x:v>Recurso pago</x:v>
      </x:c>
      <x:c r="M535" s="503" t="n">
        <x:v>0</x:v>
      </x:c>
      <x:c r="N535" s="503" t="n">
        <x:v>0</x:v>
      </x:c>
      <x:c r="O535" s="503" t="n">
        <x:v>0</x:v>
      </x:c>
      <x:c r="P535" s="503" t="n">
        <x:v>0</x:v>
      </x:c>
      <x:c r="Q535" s="503" t="n">
        <x:v>0</x:v>
      </x:c>
      <x:c r="R535" s="489" t="str"/>
      <x:c r="S535" s="489" t="str"/>
      <x:c r="T535" s="489" t="str">
        <x:v>Nº NÃO LOCALIZADO</x:v>
      </x:c>
      <x:c r="U535" s="489" t="str">
        <x:v>Média</x:v>
      </x:c>
      <x:c r="V535" s="489" t="str"/>
      <x:c r="W535" s="489" t="str"/>
      <x:c r="X535" s="489" t="str"/>
    </x:row>
    <x:row r="536">
      <x:c r="A536" s="502" t="n">
        <x:v>536</x:v>
      </x:c>
      <x:c r="B536" s="502" t="n">
        <x:v>2022</x:v>
      </x:c>
      <x:c r="C536" s="489" t="str">
        <x:v>Porto Alegre</x:v>
      </x:c>
      <x:c r="D536" s="489" t="str">
        <x:v>Universidade Federal do Rio Grande Do Sul</x:v>
      </x:c>
      <x:c r="E536" s="489" t="str">
        <x:v>Universidade Federal do Rio Grande Do Sul</x:v>
      </x:c>
      <x:c r="F536" s="489" t="str">
        <x:v>41160006</x:v>
      </x:c>
      <x:c r="G536" s="489" t="str">
        <x:v>41160006-2022</x:v>
      </x:c>
      <x:c r="H536" s="489" t="str">
        <x:v>Informado/corrigido a partir do mapa</x:v>
      </x:c>
      <x:c r="I536" s="503" t="n">
        <x:v>350000</x:v>
      </x:c>
      <x:c r="J536" s="503" t="n">
        <x:v>350000</x:v>
      </x:c>
      <x:c r="K536" s="489" t="str">
        <x:v>Emenda Individual </x:v>
      </x:c>
      <x:c r="L536" s="489" t="str">
        <x:v>Recurso pago</x:v>
      </x:c>
      <x:c r="M536" s="503" t="n">
        <x:v>0</x:v>
      </x:c>
      <x:c r="N536" s="503" t="n">
        <x:v>0</x:v>
      </x:c>
      <x:c r="O536" s="503" t="n">
        <x:v>0</x:v>
      </x:c>
      <x:c r="P536" s="503" t="n">
        <x:v>0</x:v>
      </x:c>
      <x:c r="Q536" s="503" t="n">
        <x:v>0</x:v>
      </x:c>
      <x:c r="R536" s="489" t="str"/>
      <x:c r="S536" s="489" t="str"/>
      <x:c r="T536" s="489" t="str">
        <x:v>EMENDA CONFIRMADA; DESTINO NÃO CONFIRMADO</x:v>
      </x:c>
      <x:c r="U536" s="489" t="str">
        <x:v>Média</x:v>
      </x:c>
      <x:c r="V536" s="489" t="str"/>
      <x:c r="W536" s="489" t="str">
        <x:v>Nº existe no SIGA; destinatário específico não foi confirmado nas bases anexas</x:v>
      </x:c>
      <x:c r="X536" s="489" t="str"/>
    </x:row>
    <x:row r="537">
      <x:c r="A537" s="502" t="n">
        <x:v>537</x:v>
      </x:c>
      <x:c r="B537" s="502" t="n">
        <x:v>2022</x:v>
      </x:c>
      <x:c r="C537" s="489" t="str">
        <x:v>Rio Grande</x:v>
      </x:c>
      <x:c r="D537" s="489" t="str">
        <x:v>Comando da Marinha Rio Grande</x:v>
      </x:c>
      <x:c r="E537" s="489" t="str">
        <x:v>Marinha do Brasil</x:v>
      </x:c>
      <x:c r="F537" s="489" t="str">
        <x:v>41160010</x:v>
      </x:c>
      <x:c r="G537" s="489" t="str">
        <x:v>41160010-2022</x:v>
      </x:c>
      <x:c r="H537" s="489" t="str">
        <x:v>Informado/corrigido a partir do mapa</x:v>
      </x:c>
      <x:c r="I537" s="503" t="n">
        <x:v>350000</x:v>
      </x:c>
      <x:c r="J537" s="503" t="n">
        <x:v>350000</x:v>
      </x:c>
      <x:c r="K537" s="489" t="str">
        <x:v>Emenda Individual </x:v>
      </x:c>
      <x:c r="L537" s="489" t="str">
        <x:v>Recurso pago</x:v>
      </x:c>
      <x:c r="M537" s="503" t="n">
        <x:v>0</x:v>
      </x:c>
      <x:c r="N537" s="503" t="n">
        <x:v>0</x:v>
      </x:c>
      <x:c r="O537" s="503" t="n">
        <x:v>0</x:v>
      </x:c>
      <x:c r="P537" s="503" t="n">
        <x:v>0</x:v>
      </x:c>
      <x:c r="Q537" s="503" t="n">
        <x:v>0</x:v>
      </x:c>
      <x:c r="R537" s="489" t="str"/>
      <x:c r="S537" s="489" t="str"/>
      <x:c r="T537" s="489" t="str">
        <x:v>EMENDA CONFIRMADA; DESTINO NÃO CONFIRMADO</x:v>
      </x:c>
      <x:c r="U537" s="489" t="str">
        <x:v>Média</x:v>
      </x:c>
      <x:c r="V537" s="489" t="str"/>
      <x:c r="W537" s="489" t="str">
        <x:v>Nº existe no SIGA; destinatário específico não foi confirmado nas bases anexas</x:v>
      </x:c>
      <x:c r="X537" s="489" t="str"/>
    </x:row>
    <x:row r="538">
      <x:c r="A538" s="502" t="n">
        <x:v>538</x:v>
      </x:c>
      <x:c r="B538" s="502" t="n">
        <x:v>2023</x:v>
      </x:c>
      <x:c r="C538" s="489" t="str">
        <x:v>Santo Antônio da Patrulha</x:v>
      </x:c>
      <x:c r="D538" s="489" t="str">
        <x:v>Prefeitura</x:v>
      </x:c>
      <x:c r="E538" s="489" t="str">
        <x:v>Prefeitura de Santo Antônio da Patrulha</x:v>
      </x:c>
      <x:c r="F538" s="489" t="str"/>
      <x:c r="G538" s="489" t="str">
        <x:v>41160001-2023</x:v>
      </x:c>
      <x:c r="H538" s="489" t="str">
        <x:v>Inferido forte (SIGA/PIX)</x:v>
      </x:c>
      <x:c r="I538" s="503" t="n">
        <x:v>350000</x:v>
      </x:c>
      <x:c r="J538" s="503" t="n">
        <x:v>350000</x:v>
      </x:c>
      <x:c r="K538" s="489" t="str">
        <x:v>Emenda Individual</x:v>
      </x:c>
      <x:c r="L538" s="489" t="str">
        <x:v>Empenhado</x:v>
      </x:c>
      <x:c r="M538" s="503" t="n">
        <x:v>350000</x:v>
      </x:c>
      <x:c r="N538" s="503" t="n">
        <x:v>0</x:v>
      </x:c>
      <x:c r="O538" s="503" t="n">
        <x:v>0</x:v>
      </x:c>
      <x:c r="P538" s="503" t="n">
        <x:v>350000</x:v>
      </x:c>
      <x:c r="Q538" s="503" t="n">
        <x:v>0</x:v>
      </x:c>
      <x:c r="R538" s="489" t="str">
        <x:v>CIENTE</x:v>
      </x:c>
      <x:c r="S538" s="489" t="str">
        <x:v>88814199000132</x:v>
      </x:c>
      <x:c r="T538" s="489" t="str">
        <x:v>CONFIRMADO</x:v>
      </x:c>
      <x:c r="U538" s="489" t="str">
        <x:v>Baixa</x:v>
      </x:c>
      <x:c r="V538" s="489" t="str">
        <x:v>Preencher nº como 41160001 com marcação de inferência (ano+município+valor exatos em SIGA/PIX); Situação possivelmente desatualizada: SIGA/execução regionalizada mostra pagamento; CNPJ candidato na fonte SIGA: 88814199000132</x:v>
      </x:c>
      <x:c r="W538" s="489" t="str">
        <x:v>nº ausente; inferido por coincidência exata de cidade e valor em SIGA favorecido, PIX; Valor do grupo fecha com: SIGA pago favorecido, PIX atual</x:v>
      </x:c>
      <x:c r="X538" s="489" t="str">
        <x:v>https://especiais.transferegov.sistema.gov.br/transferencia-especial/plano-acao/detalhe/38357/dados-basicos</x:v>
      </x:c>
    </x:row>
    <x:row r="539">
      <x:c r="A539" s="502" t="n">
        <x:v>539</x:v>
      </x:c>
      <x:c r="B539" s="502" t="n">
        <x:v>2024</x:v>
      </x:c>
      <x:c r="C539" s="489" t="str">
        <x:v>Caxias do Sul</x:v>
      </x:c>
      <x:c r="D539" s="489" t="str">
        <x:v>Prefeitura Municipal de Caxias do Sul</x:v>
      </x:c>
      <x:c r="E539" s="489" t="str">
        <x:v>Prefeitura Municipal</x:v>
      </x:c>
      <x:c r="F539" s="489" t="str">
        <x:v>41160004</x:v>
      </x:c>
      <x:c r="G539" s="489" t="str">
        <x:v>41160004-2024</x:v>
      </x:c>
      <x:c r="H539" s="489" t="str">
        <x:v>Informado/corrigido a partir do mapa</x:v>
      </x:c>
      <x:c r="I539" s="503" t="n">
        <x:v>350000</x:v>
      </x:c>
      <x:c r="J539" s="503" t="n">
        <x:v>980000</x:v>
      </x:c>
      <x:c r="K539" s="489" t="str">
        <x:v>Emenda Individual</x:v>
      </x:c>
      <x:c r="L539" s="489"/>
      <x:c r="M539" s="503" t="n">
        <x:v>863274.46</x:v>
      </x:c>
      <x:c r="N539" s="503" t="n">
        <x:v>630000</x:v>
      </x:c>
      <x:c r="O539" s="503" t="n">
        <x:v>513274.46</x:v>
      </x:c>
      <x:c r="P539" s="503" t="n">
        <x:v>0</x:v>
      </x:c>
      <x:c r="Q539" s="503" t="n">
        <x:v>0</x:v>
      </x:c>
      <x:c r="R539" s="489" t="str"/>
      <x:c r="S539" s="489" t="str">
        <x:v>10546325000128, 88665914000112</x:v>
      </x:c>
      <x:c r="T539" s="489" t="str">
        <x:v>VALOR DIVERGENTE / COBERTURA DIFERENTE</x:v>
      </x:c>
      <x:c r="U539" s="489" t="str">
        <x:v>Alta</x:v>
      </x:c>
      <x:c r="V539" s="489" t="str">
        <x:v>Preencher situação: há pagamento identificado na fonte pública</x:v>
      </x:c>
      <x:c r="W539" s="489" t="str">
        <x:v>Município/localidade encontrado em fonte comparável, mas valor não fecha exatamente</x:v>
      </x:c>
      <x:c r="X539" s="489" t="str">
        <x:v>https://discricionarias.transferegov.sistema.gov.br/voluntarias/ConsultarProposta/ResultadoDaConsultaDeConvenioSelecionarConvenio.do?sequencialConvenio=970376&amp;Usr=guest&amp;Pwd=guest</x:v>
      </x:c>
    </x:row>
    <x:row r="540">
      <x:c r="A540" s="502" t="n">
        <x:v>540</x:v>
      </x:c>
      <x:c r="B540" s="502" t="n">
        <x:v>2023</x:v>
      </x:c>
      <x:c r="C540" s="489" t="str">
        <x:v>Dom Pedrito</x:v>
      </x:c>
      <x:c r="D540" s="489" t="str">
        <x:v>Prefeitura</x:v>
      </x:c>
      <x:c r="E540" s="489" t="str">
        <x:v>Prefeitura de Dom Pedrito</x:v>
      </x:c>
      <x:c r="F540" s="489" t="str"/>
      <x:c r="G540" s="489" t="str"/>
      <x:c r="H540" s="489" t="str">
        <x:v>Sem nº conciliado</x:v>
      </x:c>
      <x:c r="I540" s="503" t="n">
        <x:v>352000</x:v>
      </x:c>
      <x:c r="J540" s="503" t="n">
        <x:v>352000</x:v>
      </x:c>
      <x:c r="K540" s="489" t="str">
        <x:v>Emenda Individual</x:v>
      </x:c>
      <x:c r="L540" s="489" t="str">
        <x:v>Empenhado</x:v>
      </x:c>
      <x:c r="M540" s="503" t="n">
        <x:v>0</x:v>
      </x:c>
      <x:c r="N540" s="503" t="n">
        <x:v>0</x:v>
      </x:c>
      <x:c r="O540" s="503" t="n">
        <x:v>0</x:v>
      </x:c>
      <x:c r="P540" s="503" t="n">
        <x:v>0</x:v>
      </x:c>
      <x:c r="Q540" s="503" t="n">
        <x:v>0</x:v>
      </x:c>
      <x:c r="R540" s="489" t="str"/>
      <x:c r="S540" s="489" t="str"/>
      <x:c r="T540" s="489" t="str">
        <x:v>SEM Nº / NÃO CONCILIADO</x:v>
      </x:c>
      <x:c r="U540" s="489" t="str">
        <x:v>Média</x:v>
      </x:c>
      <x:c r="V540" s="489" t="str"/>
      <x:c r="W540" s="489" t="str"/>
      <x:c r="X540" s="489" t="str"/>
    </x:row>
    <x:row r="541">
      <x:c r="A541" s="502" t="n">
        <x:v>541</x:v>
      </x:c>
      <x:c r="B541" s="502" t="n">
        <x:v>2023</x:v>
      </x:c>
      <x:c r="C541" s="489" t="str">
        <x:v>Pareci Novo</x:v>
      </x:c>
      <x:c r="D541" s="489" t="str">
        <x:v>Prefeitura</x:v>
      </x:c>
      <x:c r="E541" s="489" t="str">
        <x:v>Prefeitura de Pareci Novo</x:v>
      </x:c>
      <x:c r="F541" s="489" t="str"/>
      <x:c r="G541" s="489" t="str"/>
      <x:c r="H541" s="489" t="str">
        <x:v>Sem nº conciliado</x:v>
      </x:c>
      <x:c r="I541" s="503" t="n">
        <x:v>352000</x:v>
      </x:c>
      <x:c r="J541" s="503" t="n">
        <x:v>352000</x:v>
      </x:c>
      <x:c r="K541" s="489" t="str">
        <x:v>Emenda Individual</x:v>
      </x:c>
      <x:c r="L541" s="489" t="str">
        <x:v>Empenhado</x:v>
      </x:c>
      <x:c r="M541" s="503" t="n">
        <x:v>0</x:v>
      </x:c>
      <x:c r="N541" s="503" t="n">
        <x:v>0</x:v>
      </x:c>
      <x:c r="O541" s="503" t="n">
        <x:v>0</x:v>
      </x:c>
      <x:c r="P541" s="503" t="n">
        <x:v>0</x:v>
      </x:c>
      <x:c r="Q541" s="503" t="n">
        <x:v>0</x:v>
      </x:c>
      <x:c r="R541" s="489" t="str"/>
      <x:c r="S541" s="489" t="str"/>
      <x:c r="T541" s="489" t="str">
        <x:v>SEM Nº / NÃO CONCILIADO</x:v>
      </x:c>
      <x:c r="U541" s="489" t="str">
        <x:v>Média</x:v>
      </x:c>
      <x:c r="V541" s="489" t="str"/>
      <x:c r="W541" s="489" t="str"/>
      <x:c r="X541" s="489" t="str"/>
    </x:row>
    <x:row r="542">
      <x:c r="A542" s="502" t="n">
        <x:v>542</x:v>
      </x:c>
      <x:c r="B542" s="502" t="n">
        <x:v>2025</x:v>
      </x:c>
      <x:c r="C542" s="489" t="str">
        <x:v>Alegrete</x:v>
      </x:c>
      <x:c r="D542" s="489" t="str">
        <x:v>Irmandade Da Santa Casa De Caridade De Alegrete Alegrete - Rs</x:v>
      </x:c>
      <x:c r="E542" s="489" t="str">
        <x:v>Irmandade Da Santa Casa De Caridade De Alegrete Alegrete - Rs</x:v>
      </x:c>
      <x:c r="F542" s="489" t="str">
        <x:v>41160004</x:v>
      </x:c>
      <x:c r="G542" s="489" t="str">
        <x:v>41160004-2025</x:v>
      </x:c>
      <x:c r="H542" s="489" t="str">
        <x:v>Informado/corrigido a partir do mapa</x:v>
      </x:c>
      <x:c r="I542" s="503" t="n">
        <x:v>355411</x:v>
      </x:c>
      <x:c r="J542" s="503" t="n">
        <x:v>355411</x:v>
      </x:c>
      <x:c r="K542" s="489" t="str">
        <x:v>Emenda Individual</x:v>
      </x:c>
      <x:c r="L542" s="489"/>
      <x:c r="M542" s="503" t="n">
        <x:v>0</x:v>
      </x:c>
      <x:c r="N542" s="503" t="n">
        <x:v>0</x:v>
      </x:c>
      <x:c r="O542" s="503" t="n">
        <x:v>0</x:v>
      </x:c>
      <x:c r="P542" s="503" t="n">
        <x:v>0</x:v>
      </x:c>
      <x:c r="Q542" s="503" t="n">
        <x:v>0</x:v>
      </x:c>
      <x:c r="R542" s="489" t="str"/>
      <x:c r="S542" s="489" t="str"/>
      <x:c r="T542" s="489" t="str">
        <x:v>EMENDA CONFIRMADA; DESTINO NÃO CONFIRMADO</x:v>
      </x:c>
      <x:c r="U542" s="489" t="str">
        <x:v>Média</x:v>
      </x:c>
      <x:c r="V542" s="489" t="str"/>
      <x:c r="W542" s="489" t="str">
        <x:v>Nº existe no SIGA; destinatário específico não foi confirmado nas bases anexas</x:v>
      </x:c>
      <x:c r="X542" s="489" t="str"/>
    </x:row>
    <x:row r="543">
      <x:c r="A543" s="502" t="n">
        <x:v>543</x:v>
      </x:c>
      <x:c r="B543" s="502" t="n">
        <x:v>2020</x:v>
      </x:c>
      <x:c r="C543" s="489" t="str">
        <x:v>Porto Alegre</x:v>
      </x:c>
      <x:c r="D543" s="489" t="str">
        <x:v>Instituto Geral de Perícias</x:v>
      </x:c>
      <x:c r="E543" s="489" t="str">
        <x:v>Instituto Geral de Perícias</x:v>
      </x:c>
      <x:c r="F543" s="489" t="str">
        <x:v>41160008</x:v>
      </x:c>
      <x:c r="G543" s="489" t="str">
        <x:v>41160008-2020</x:v>
      </x:c>
      <x:c r="H543" s="489" t="str">
        <x:v>Informado/corrigido a partir do mapa</x:v>
      </x:c>
      <x:c r="I543" s="503" t="n">
        <x:v>355975.13</x:v>
      </x:c>
      <x:c r="J543" s="503" t="n">
        <x:v>497251.73</x:v>
      </x:c>
      <x:c r="K543" s="489" t="str">
        <x:v>Emenda individual</x:v>
      </x:c>
      <x:c r="L543" s="489" t="str">
        <x:v>Pregão eletrônio concluído. 
Pagamento no valor de  330.000,00 realizado em 25/04/2022. O valor unitário do espectrômetro da proposta vencedora ficou em  330.000,00 economizando recursos públicos, já que o valor empenhado era de  355.975,13 pelo aparelho.
</x:v>
      </x:c>
      <x:c r="M543" s="503" t="n">
        <x:v>439028</x:v>
      </x:c>
      <x:c r="N543" s="503" t="n">
        <x:v>855337.73</x:v>
      </x:c>
      <x:c r="O543" s="503" t="n">
        <x:v>439028</x:v>
      </x:c>
      <x:c r="P543" s="503" t="n">
        <x:v>0</x:v>
      </x:c>
      <x:c r="Q543" s="503" t="n">
        <x:v>0</x:v>
      </x:c>
      <x:c r="R543" s="489" t="str"/>
      <x:c r="S543" s="489" t="str">
        <x:v>87958583000146</x:v>
      </x:c>
      <x:c r="T543" s="489" t="str">
        <x:v>VALOR DIVERGENTE / COBERTURA DIFERENTE</x:v>
      </x:c>
      <x:c r="U543" s="489" t="str">
        <x:v>Alta</x:v>
      </x:c>
      <x:c r="V543" s="489" t="str">
        <x:v>Situação possivelmente desatualizada: SIGA/execução regionalizada mostra pagamento; CNPJ candidato na fonte SIGA: 87958583000146</x:v>
      </x:c>
      <x:c r="W543" s="489" t="str">
        <x:v>Município/localidade encontrado em fonte comparável, mas valor não fecha exatamente</x:v>
      </x:c>
      <x:c r="X543" s="489" t="str">
        <x:v>https://discricionarias.transferegov.sistema.gov.br/voluntarias/ConsultarProposta/ResultadoDaConsultaDeConvenioSelecionarConvenio.do?sequencialConvenio=905738&amp;Usr=guest&amp;Pwd=guest</x:v>
      </x:c>
    </x:row>
    <x:row r="544">
      <x:c r="A544" s="502" t="n">
        <x:v>544</x:v>
      </x:c>
      <x:c r="B544" s="502" t="n">
        <x:v>2026</x:v>
      </x:c>
      <x:c r="C544" s="489" t="str">
        <x:v>Santa Rosa</x:v>
      </x:c>
      <x:c r="D544" s="489" t="str">
        <x:v>Santa Casa de Misericordia</x:v>
      </x:c>
      <x:c r="E544" s="489" t="str">
        <x:v>Associacao Hospitalar Santa Rosa</x:v>
      </x:c>
      <x:c r="F544" s="489" t="str">
        <x:v>41160003</x:v>
      </x:c>
      <x:c r="G544" s="489" t="str">
        <x:v>41160003-2026</x:v>
      </x:c>
      <x:c r="H544" s="489" t="str">
        <x:v>Informado/corrigido a partir do mapa</x:v>
      </x:c>
      <x:c r="I544" s="503" t="n">
        <x:v>356219</x:v>
      </x:c>
      <x:c r="J544" s="503" t="n">
        <x:v>356219</x:v>
      </x:c>
      <x:c r="K544" s="489" t="str">
        <x:v>Emenda individual</x:v>
      </x:c>
      <x:c r="L544" s="489"/>
      <x:c r="M544" s="503" t="n">
        <x:v>0</x:v>
      </x:c>
      <x:c r="N544" s="503" t="n">
        <x:v>356219</x:v>
      </x:c>
      <x:c r="O544" s="503" t="n">
        <x:v>0</x:v>
      </x:c>
      <x:c r="P544" s="503" t="n">
        <x:v>0</x:v>
      </x:c>
      <x:c r="Q544" s="503" t="n">
        <x:v>0</x:v>
      </x:c>
      <x:c r="R544" s="489" t="str"/>
      <x:c r="S544" s="489" t="str"/>
      <x:c r="T544" s="489" t="str">
        <x:v>DESTINO/INSTRUMENTO CONFIRMADO; VALOR NÃO COMPARÁVEL</x:v>
      </x:c>
      <x:c r="U544" s="489" t="str">
        <x:v>Média</x:v>
      </x:c>
      <x:c r="V544" s="489" t="str"/>
      <x:c r="W544" s="489" t="str">
        <x:v>Há instrumento do Transferegov para a emenda/município; valores do instrumento não foram usados como prova do valor da emenda</x:v>
      </x:c>
      <x:c r="X544" s="489" t="str">
        <x:v>https://discricionarias.transferegov.sistema.gov.br/voluntarias/ConsultarProposta/ResultadoDaConsultaDeConvenioSelecionarConvenio.do?sequencialConvenio=998459&amp;Usr=guest&amp;Pwd=guest</x:v>
      </x:c>
    </x:row>
    <x:row r="545">
      <x:c r="A545" s="502" t="n">
        <x:v>545</x:v>
      </x:c>
      <x:c r="B545" s="502" t="n">
        <x:v>2021</x:v>
      </x:c>
      <x:c r="C545" s="489" t="str">
        <x:v>A definir</x:v>
      </x:c>
      <x:c r="D545" s="489" t="str">
        <x:v>Brigada Militar</x:v>
      </x:c>
      <x:c r="E545" s="489" t="str">
        <x:v>Brigada Militar</x:v>
      </x:c>
      <x:c r="F545" s="489" t="str">
        <x:v>71220009</x:v>
      </x:c>
      <x:c r="G545" s="489" t="str">
        <x:v>71220009-2021</x:v>
      </x:c>
      <x:c r="H545" s="489" t="str">
        <x:v>Informado/corrigido a partir do mapa</x:v>
      </x:c>
      <x:c r="I545" s="503" t="n">
        <x:v>358785</x:v>
      </x:c>
      <x:c r="J545" s="503" t="n">
        <x:v>1355530.33</x:v>
      </x:c>
      <x:c r="K545" s="489" t="str">
        <x:v>Emenda de Bancada</x:v>
      </x:c>
      <x:c r="L545" s="489" t="str">
        <x:v>Indicado</x:v>
      </x:c>
      <x:c r="M545" s="503" t="n">
        <x:v>0</x:v>
      </x:c>
      <x:c r="N545" s="503" t="n">
        <x:v>0</x:v>
      </x:c>
      <x:c r="O545" s="503" t="n">
        <x:v>0</x:v>
      </x:c>
      <x:c r="P545" s="503" t="n">
        <x:v>0</x:v>
      </x:c>
      <x:c r="Q545" s="503" t="n">
        <x:v>0</x:v>
      </x:c>
      <x:c r="R545" s="489" t="str"/>
      <x:c r="S545" s="489" t="str"/>
      <x:c r="T545" s="489" t="str">
        <x:v>EMENDA CONFIRMADA; DESTINO NÃO CONFIRMADO</x:v>
      </x:c>
      <x:c r="U545" s="489" t="str">
        <x:v>Média</x:v>
      </x:c>
      <x:c r="V545" s="489" t="str"/>
      <x:c r="W545" s="489" t="str"/>
      <x:c r="X545" s="489" t="str"/>
    </x:row>
    <x:row r="546">
      <x:c r="A546" s="502" t="n">
        <x:v>546</x:v>
      </x:c>
      <x:c r="B546" s="502" t="n">
        <x:v>2023</x:v>
      </x:c>
      <x:c r="C546" s="489" t="str">
        <x:v>Guaporé</x:v>
      </x:c>
      <x:c r="D546" s="489" t="str">
        <x:v>Hospital</x:v>
      </x:c>
      <x:c r="E546" s="489" t="str">
        <x:v>Associação Hospitalar Manoel Francisco Guerreiro - Hospital De Guaporé</x:v>
      </x:c>
      <x:c r="F546" s="489" t="str"/>
      <x:c r="G546" s="489" t="str">
        <x:v>41160007-2023</x:v>
      </x:c>
      <x:c r="H546" s="489" t="str">
        <x:v>Candidato — revisar (Transferegov)</x:v>
      </x:c>
      <x:c r="I546" s="503" t="n">
        <x:v>359148</x:v>
      </x:c>
      <x:c r="J546" s="503" t="n">
        <x:v>359148</x:v>
      </x:c>
      <x:c r="K546" s="489" t="str">
        <x:v>Emenda Individual</x:v>
      </x:c>
      <x:c r="L546" s="489" t="str">
        <x:v>Empenhado</x:v>
      </x:c>
      <x:c r="M546" s="503" t="n">
        <x:v>359000</x:v>
      </x:c>
      <x:c r="N546" s="503" t="n">
        <x:v>359148</x:v>
      </x:c>
      <x:c r="O546" s="503" t="n">
        <x:v>359000</x:v>
      </x:c>
      <x:c r="P546" s="503" t="n">
        <x:v>0</x:v>
      </x:c>
      <x:c r="Q546" s="503" t="n">
        <x:v>0</x:v>
      </x:c>
      <x:c r="R546" s="489" t="str"/>
      <x:c r="S546" s="489" t="str">
        <x:v>03184906000100</x:v>
      </x:c>
      <x:c r="T546" s="489" t="str">
        <x:v>CONFIRMADO</x:v>
      </x:c>
      <x:c r="U546" s="489" t="str">
        <x:v>Média</x:v>
      </x:c>
      <x:c r="V546" s="489" t="str">
        <x:v>Candidato de nº: 41160007; validar antes de preencher (Transferegov pode trazer valor total do instrumento); Situação possivelmente desatualizada: SIGA/execução regionalizada mostra pagamento; CNPJ candidato na fonte SIGA: 03184906000100</x:v>
      </x:c>
      <x:c r="W546" s="489" t="str">
        <x:v>nº ausente; inferido por coincidência exata de cidade e valor em Transferegov; Valor do grupo fecha com: SIGA pago favorecido</x:v>
      </x:c>
      <x:c r="X546" s="489" t="str">
        <x:v>https://discricionarias.transferegov.sistema.gov.br/voluntarias/ConsultarProposta/ResultadoDaConsultaDeConvenioSelecionarConvenio.do?sequencialConvenio=943955&amp;Usr=guest&amp;Pwd=guest</x:v>
      </x:c>
    </x:row>
    <x:row r="547">
      <x:c r="A547" s="502" t="n">
        <x:v>547</x:v>
      </x:c>
      <x:c r="B547" s="502" t="n">
        <x:v>2023</x:v>
      </x:c>
      <x:c r="C547" s="489" t="str">
        <x:v>Santa Cruz do Sul</x:v>
      </x:c>
      <x:c r="D547" s="489" t="str">
        <x:v>Hospital</x:v>
      </x:c>
      <x:c r="E547" s="489" t="str">
        <x:v>Hospital Santa Cruz</x:v>
      </x:c>
      <x:c r="F547" s="489" t="str"/>
      <x:c r="G547" s="489" t="str"/>
      <x:c r="H547" s="489" t="str">
        <x:v>Sem nº conciliado</x:v>
      </x:c>
      <x:c r="I547" s="503" t="n">
        <x:v>359148</x:v>
      </x:c>
      <x:c r="J547" s="503" t="n">
        <x:v>359148</x:v>
      </x:c>
      <x:c r="K547" s="489" t="str">
        <x:v>Emenda Individual</x:v>
      </x:c>
      <x:c r="L547" s="489" t="str">
        <x:v>Empenhado</x:v>
      </x:c>
      <x:c r="M547" s="503" t="n">
        <x:v>0</x:v>
      </x:c>
      <x:c r="N547" s="503" t="n">
        <x:v>0</x:v>
      </x:c>
      <x:c r="O547" s="503" t="n">
        <x:v>0</x:v>
      </x:c>
      <x:c r="P547" s="503" t="n">
        <x:v>0</x:v>
      </x:c>
      <x:c r="Q547" s="503" t="n">
        <x:v>0</x:v>
      </x:c>
      <x:c r="R547" s="489" t="str"/>
      <x:c r="S547" s="489" t="str"/>
      <x:c r="T547" s="489" t="str">
        <x:v>SEM Nº / NÃO CONCILIADO</x:v>
      </x:c>
      <x:c r="U547" s="489" t="str">
        <x:v>Média</x:v>
      </x:c>
      <x:c r="V547" s="489" t="str"/>
      <x:c r="W547" s="489" t="str"/>
      <x:c r="X547" s="489" t="str"/>
    </x:row>
    <x:row r="548">
      <x:c r="A548" s="502" t="n">
        <x:v>548</x:v>
      </x:c>
      <x:c r="B548" s="502" t="n">
        <x:v>2020</x:v>
      </x:c>
      <x:c r="C548" s="489" t="str">
        <x:v>Porto Alegre</x:v>
      </x:c>
      <x:c r="D548" s="489" t="str">
        <x:v>Hospital</x:v>
      </x:c>
      <x:c r="E548" s="489" t="str">
        <x:v>Hospital São Lucas da PUCRS</x:v>
      </x:c>
      <x:c r="F548" s="489" t="str">
        <x:v>41160005</x:v>
      </x:c>
      <x:c r="G548" s="489" t="str">
        <x:v>41160005-2020</x:v>
      </x:c>
      <x:c r="H548" s="489" t="str">
        <x:v>Informado/corrigido a partir do mapa</x:v>
      </x:c>
      <x:c r="I548" s="503" t="n">
        <x:v>360000</x:v>
      </x:c>
      <x:c r="J548" s="503" t="n">
        <x:v>1000000</x:v>
      </x:c>
      <x:c r="K548" s="489" t="str">
        <x:v>Emenda Individual (processo seletivo)</x:v>
      </x:c>
      <x:c r="L548" s="489" t="str">
        <x:v>Recurso pago</x:v>
      </x:c>
      <x:c r="M548" s="503" t="n">
        <x:v>2600000</x:v>
      </x:c>
      <x:c r="N548" s="503" t="n">
        <x:v>0</x:v>
      </x:c>
      <x:c r="O548" s="503" t="n">
        <x:v>0</x:v>
      </x:c>
      <x:c r="P548" s="503" t="n">
        <x:v>0</x:v>
      </x:c>
      <x:c r="Q548" s="503" t="n">
        <x:v>0</x:v>
      </x:c>
      <x:c r="R548" s="489" t="str"/>
      <x:c r="S548" s="489" t="str">
        <x:v>11358235000176, 87182846000178</x:v>
      </x:c>
      <x:c r="T548" s="489" t="str">
        <x:v>VALOR DIVERGENTE / COBERTURA DIFERENTE</x:v>
      </x:c>
      <x:c r="U548" s="489" t="str">
        <x:v>Alta</x:v>
      </x:c>
      <x:c r="V548" s="489" t="str"/>
      <x:c r="W548" s="489" t="str">
        <x:v>Município/localidade encontrado em fonte comparável, mas valor não fecha exatamente</x:v>
      </x:c>
      <x:c r="X548" s="489" t="str"/>
    </x:row>
    <x:row r="549">
      <x:c r="A549" s="502" t="n">
        <x:v>549</x:v>
      </x:c>
      <x:c r="B549" s="502" t="n">
        <x:v>2022</x:v>
      </x:c>
      <x:c r="C549" s="489" t="str">
        <x:v>Sapiranga</x:v>
      </x:c>
      <x:c r="D549" s="489" t="str">
        <x:v>Hospital</x:v>
      </x:c>
      <x:c r="E549" s="489" t="str">
        <x:v>Sociedade Beneficente Sa Piranguense</x:v>
      </x:c>
      <x:c r="F549" s="489" t="str">
        <x:v>41160003</x:v>
      </x:c>
      <x:c r="G549" s="489" t="str">
        <x:v>41160003-2022</x:v>
      </x:c>
      <x:c r="H549" s="489" t="str">
        <x:v>Informado/corrigido a partir do mapa</x:v>
      </x:c>
      <x:c r="I549" s="503" t="n">
        <x:v>360000</x:v>
      </x:c>
      <x:c r="J549" s="503" t="n">
        <x:v>1010000</x:v>
      </x:c>
      <x:c r="K549" s="489" t="str">
        <x:v>Emenda Individual </x:v>
      </x:c>
      <x:c r="L549" s="489" t="str">
        <x:v>Recurso pago</x:v>
      </x:c>
      <x:c r="M549" s="503" t="n">
        <x:v>1009201.13</x:v>
      </x:c>
      <x:c r="N549" s="503" t="n">
        <x:v>360000</x:v>
      </x:c>
      <x:c r="O549" s="503" t="n">
        <x:v>359201.13</x:v>
      </x:c>
      <x:c r="P549" s="503" t="n">
        <x:v>0</x:v>
      </x:c>
      <x:c r="Q549" s="503" t="n">
        <x:v>0</x:v>
      </x:c>
      <x:c r="R549" s="489" t="str"/>
      <x:c r="S549" s="489" t="str">
        <x:v>11295120000180, 97279350000170</x:v>
      </x:c>
      <x:c r="T549" s="489" t="str">
        <x:v>CONFIRMADO</x:v>
      </x:c>
      <x:c r="U549" s="489" t="str">
        <x:v>Baixa</x:v>
      </x:c>
      <x:c r="V549" s="489" t="str"/>
      <x:c r="W549" s="489" t="str">
        <x:v>Valor do grupo fecha com: SIGA pago favorecido</x:v>
      </x:c>
      <x:c r="X549" s="489" t="str">
        <x:v>https://discricionarias.transferegov.sistema.gov.br/voluntarias/ConsultarProposta/ResultadoDaConsultaDeConvenioSelecionarConvenio.do?sequencialConvenio=935451&amp;Usr=guest&amp;Pwd=guest</x:v>
      </x:c>
    </x:row>
    <x:row r="550">
      <x:c r="A550" s="502" t="n">
        <x:v>550</x:v>
      </x:c>
      <x:c r="B550" s="502" t="n">
        <x:v>2025</x:v>
      </x:c>
      <x:c r="C550" s="489" t="str">
        <x:v>Capão da Canoa</x:v>
      </x:c>
      <x:c r="D550" s="489" t="str">
        <x:v>Associacao Educadora Sao Carlos - Aesc Capão Da Canoa - Rs</x:v>
      </x:c>
      <x:c r="E550" s="489" t="str">
        <x:v>Associacao Educadora Sao Carlos - Aesc Capão Da Canoa - Rs</x:v>
      </x:c>
      <x:c r="F550" s="489" t="str">
        <x:v>41160004</x:v>
      </x:c>
      <x:c r="G550" s="489" t="str">
        <x:v>41160004-2025</x:v>
      </x:c>
      <x:c r="H550" s="489" t="str">
        <x:v>Informado/corrigido a partir do mapa</x:v>
      </x:c>
      <x:c r="I550" s="503" t="n">
        <x:v>360000</x:v>
      </x:c>
      <x:c r="J550" s="503" t="n">
        <x:v>360000</x:v>
      </x:c>
      <x:c r="K550" s="489" t="str">
        <x:v>Emenda Individual</x:v>
      </x:c>
      <x:c r="L550" s="489"/>
      <x:c r="M550" s="503" t="n">
        <x:v>56794.23</x:v>
      </x:c>
      <x:c r="N550" s="503" t="n">
        <x:v>360000</x:v>
      </x:c>
      <x:c r="O550" s="503" t="n">
        <x:v>56794.23</x:v>
      </x:c>
      <x:c r="P550" s="503" t="n">
        <x:v>0</x:v>
      </x:c>
      <x:c r="Q550" s="503" t="n">
        <x:v>0</x:v>
      </x:c>
      <x:c r="R550" s="489" t="str"/>
      <x:c r="S550" s="489" t="str">
        <x:v>88625686003768</x:v>
      </x:c>
      <x:c r="T550" s="489" t="str">
        <x:v>VALOR DIVERGENTE / COBERTURA DIFERENTE</x:v>
      </x:c>
      <x:c r="U550" s="489" t="str">
        <x:v>Alta</x:v>
      </x:c>
      <x:c r="V550" s="489" t="str">
        <x:v>Preencher situação: há pagamento identificado na fonte pública</x:v>
      </x:c>
      <x:c r="W550" s="489" t="str">
        <x:v>Município/localidade encontrado em fonte comparável, mas valor não fecha exatamente</x:v>
      </x:c>
      <x:c r="X550" s="489" t="str">
        <x:v>https://discricionarias.transferegov.sistema.gov.br/voluntarias/ConsultarProposta/ResultadoDaConsultaDeConvenioSelecionarConvenio.do?sequencialConvenio=987988&amp;Usr=guest&amp;Pwd=guest</x:v>
      </x:c>
    </x:row>
    <x:row r="551">
      <x:c r="A551" s="502" t="n">
        <x:v>551</x:v>
      </x:c>
      <x:c r="B551" s="502" t="n">
        <x:v>2025</x:v>
      </x:c>
      <x:c r="C551" s="489" t="str">
        <x:v>Canguçu</x:v>
      </x:c>
      <x:c r="D551" s="489" t="str">
        <x:v>Fundo Municipal De Saude - Cangucu Canguçu - Rs</x:v>
      </x:c>
      <x:c r="E551" s="489" t="str">
        <x:v>Prefeitura Municipal</x:v>
      </x:c>
      <x:c r="F551" s="489" t="str">
        <x:v>41160004</x:v>
      </x:c>
      <x:c r="G551" s="489" t="str">
        <x:v>41160004-2025</x:v>
      </x:c>
      <x:c r="H551" s="489" t="str">
        <x:v>Informado/corrigido a partir do mapa</x:v>
      </x:c>
      <x:c r="I551" s="503" t="n">
        <x:v>361500</x:v>
      </x:c>
      <x:c r="J551" s="503" t="n">
        <x:v>361500</x:v>
      </x:c>
      <x:c r="K551" s="489" t="str">
        <x:v>Emenda Individual</x:v>
      </x:c>
      <x:c r="L551" s="489"/>
      <x:c r="M551" s="503" t="n">
        <x:v>361453</x:v>
      </x:c>
      <x:c r="N551" s="503" t="n">
        <x:v>0</x:v>
      </x:c>
      <x:c r="O551" s="503" t="n">
        <x:v>0</x:v>
      </x:c>
      <x:c r="P551" s="503" t="n">
        <x:v>0</x:v>
      </x:c>
      <x:c r="Q551" s="503" t="n">
        <x:v>0</x:v>
      </x:c>
      <x:c r="R551" s="489" t="str"/>
      <x:c r="S551" s="489" t="str">
        <x:v>12268064000157</x:v>
      </x:c>
      <x:c r="T551" s="489" t="str">
        <x:v>CONFIRMADO</x:v>
      </x:c>
      <x:c r="U551" s="489" t="str">
        <x:v>Baixa</x:v>
      </x:c>
      <x:c r="V551" s="489" t="str">
        <x:v>Preencher situação: há pagamento identificado na fonte pública</x:v>
      </x:c>
      <x:c r="W551" s="489" t="str">
        <x:v>Valor do grupo fecha com: SIGA pago favorecido</x:v>
      </x:c>
      <x:c r="X551" s="489" t="str"/>
    </x:row>
    <x:row r="552">
      <x:c r="A552" s="502" t="n">
        <x:v>552</x:v>
      </x:c>
      <x:c r="B552" s="502" t="n">
        <x:v>2023</x:v>
      </x:c>
      <x:c r="C552" s="489" t="str">
        <x:v>Guaíba</x:v>
      </x:c>
      <x:c r="D552" s="489" t="str">
        <x:v>Hospital</x:v>
      </x:c>
      <x:c r="E552" s="489" t="str">
        <x:v>Hospital Regional Nelson Cornetet</x:v>
      </x:c>
      <x:c r="F552" s="489" t="str"/>
      <x:c r="G552" s="489" t="str"/>
      <x:c r="H552" s="489" t="str">
        <x:v>Sem nº conciliado</x:v>
      </x:c>
      <x:c r="I552" s="503" t="n">
        <x:v>364000</x:v>
      </x:c>
      <x:c r="J552" s="503" t="n">
        <x:v>364000</x:v>
      </x:c>
      <x:c r="K552" s="489" t="str">
        <x:v>Emenda Individual</x:v>
      </x:c>
      <x:c r="L552" s="489" t="str">
        <x:v>Empenhado</x:v>
      </x:c>
      <x:c r="M552" s="503" t="n">
        <x:v>0</x:v>
      </x:c>
      <x:c r="N552" s="503" t="n">
        <x:v>0</x:v>
      </x:c>
      <x:c r="O552" s="503" t="n">
        <x:v>0</x:v>
      </x:c>
      <x:c r="P552" s="503" t="n">
        <x:v>0</x:v>
      </x:c>
      <x:c r="Q552" s="503" t="n">
        <x:v>0</x:v>
      </x:c>
      <x:c r="R552" s="489" t="str"/>
      <x:c r="S552" s="489" t="str"/>
      <x:c r="T552" s="489" t="str">
        <x:v>SEM Nº / NÃO CONCILIADO</x:v>
      </x:c>
      <x:c r="U552" s="489" t="str">
        <x:v>Média</x:v>
      </x:c>
      <x:c r="V552" s="489" t="str"/>
      <x:c r="W552" s="489" t="str"/>
      <x:c r="X552" s="489" t="str"/>
    </x:row>
    <x:row r="553">
      <x:c r="A553" s="502" t="n">
        <x:v>553</x:v>
      </x:c>
      <x:c r="B553" s="502" t="n">
        <x:v>2023</x:v>
      </x:c>
      <x:c r="C553" s="489" t="str">
        <x:v>Igrejinha</x:v>
      </x:c>
      <x:c r="D553" s="489" t="str">
        <x:v>Prefeitura</x:v>
      </x:c>
      <x:c r="E553" s="489" t="str">
        <x:v>Prefeitura de Igrejinha</x:v>
      </x:c>
      <x:c r="F553" s="489" t="str"/>
      <x:c r="G553" s="489" t="str"/>
      <x:c r="H553" s="489" t="str">
        <x:v>Sem nº conciliado</x:v>
      </x:c>
      <x:c r="I553" s="503" t="n">
        <x:v>366314</x:v>
      </x:c>
      <x:c r="J553" s="503" t="n">
        <x:v>666314</x:v>
      </x:c>
      <x:c r="K553" s="489" t="str">
        <x:v>Emenda Individual</x:v>
      </x:c>
      <x:c r="L553" s="489" t="str">
        <x:v>Empenhado</x:v>
      </x:c>
      <x:c r="M553" s="503" t="n">
        <x:v>0</x:v>
      </x:c>
      <x:c r="N553" s="503" t="n">
        <x:v>0</x:v>
      </x:c>
      <x:c r="O553" s="503" t="n">
        <x:v>0</x:v>
      </x:c>
      <x:c r="P553" s="503" t="n">
        <x:v>0</x:v>
      </x:c>
      <x:c r="Q553" s="503" t="n">
        <x:v>0</x:v>
      </x:c>
      <x:c r="R553" s="489" t="str"/>
      <x:c r="S553" s="489" t="str"/>
      <x:c r="T553" s="489" t="str">
        <x:v>SEM Nº / NÃO CONCILIADO</x:v>
      </x:c>
      <x:c r="U553" s="489" t="str">
        <x:v>Média</x:v>
      </x:c>
      <x:c r="V553" s="489" t="str"/>
      <x:c r="W553" s="489" t="str"/>
      <x:c r="X553" s="489" t="str"/>
    </x:row>
    <x:row r="554">
      <x:c r="A554" s="502" t="n">
        <x:v>554</x:v>
      </x:c>
      <x:c r="B554" s="502" t="n">
        <x:v>2022</x:v>
      </x:c>
      <x:c r="C554" s="489" t="str">
        <x:v>Três Coroas</x:v>
      </x:c>
      <x:c r="D554" s="489" t="str">
        <x:v>Hospital</x:v>
      </x:c>
      <x:c r="E554" s="489" t="str">
        <x:v>Fundação Hospitalar Dr Oswaldo Diesel</x:v>
      </x:c>
      <x:c r="F554" s="489" t="str">
        <x:v>41160003</x:v>
      </x:c>
      <x:c r="G554" s="489" t="str">
        <x:v>41160003-2022</x:v>
      </x:c>
      <x:c r="H554" s="489" t="str">
        <x:v>Informado/corrigido a partir do mapa</x:v>
      </x:c>
      <x:c r="I554" s="503" t="n">
        <x:v>367500</x:v>
      </x:c>
      <x:c r="J554" s="503" t="n">
        <x:v>367500</x:v>
      </x:c>
      <x:c r="K554" s="489" t="str">
        <x:v>Emenda Individual </x:v>
      </x:c>
      <x:c r="L554" s="489" t="str">
        <x:v>Empenhado</x:v>
      </x:c>
      <x:c r="M554" s="503" t="n">
        <x:v>206158.2</x:v>
      </x:c>
      <x:c r="N554" s="503" t="n">
        <x:v>367500</x:v>
      </x:c>
      <x:c r="O554" s="503" t="n">
        <x:v>206158.2</x:v>
      </x:c>
      <x:c r="P554" s="503" t="n">
        <x:v>0</x:v>
      </x:c>
      <x:c r="Q554" s="503" t="n">
        <x:v>0</x:v>
      </x:c>
      <x:c r="R554" s="489" t="str"/>
      <x:c r="S554" s="489" t="str">
        <x:v>90936774000111</x:v>
      </x:c>
      <x:c r="T554" s="489" t="str">
        <x:v>VALOR DIVERGENTE / COBERTURA DIFERENTE</x:v>
      </x:c>
      <x:c r="U554" s="489" t="str">
        <x:v>Alta</x:v>
      </x:c>
      <x:c r="V554" s="489" t="str">
        <x:v>Situação possivelmente desatualizada: SIGA/execução regionalizada mostra pagamento; CNPJ candidato na fonte SIGA: 90936774000111</x:v>
      </x:c>
      <x:c r="W554" s="489" t="str">
        <x:v>Município/localidade encontrado em fonte comparável, mas valor não fecha exatamente</x:v>
      </x:c>
      <x:c r="X554" s="489" t="str">
        <x:v>https://discricionarias.transferegov.sistema.gov.br/voluntarias/ConsultarProposta/ResultadoDaConsultaDeConvenioSelecionarConvenio.do?sequencialConvenio=935425&amp;Usr=guest&amp;Pwd=guest</x:v>
      </x:c>
    </x:row>
    <x:row r="555">
      <x:c r="A555" s="502" t="n">
        <x:v>555</x:v>
      </x:c>
      <x:c r="B555" s="502" t="n">
        <x:v>2025</x:v>
      </x:c>
      <x:c r="C555" s="489" t="str">
        <x:v>Santa Cruz do Sul</x:v>
      </x:c>
      <x:c r="D555" s="489" t="str">
        <x:v>Fundo Municipal De Saude Santa Cruz Do Sul - Rs</x:v>
      </x:c>
      <x:c r="E555" s="489" t="str">
        <x:v>Prefeitura Municipal</x:v>
      </x:c>
      <x:c r="F555" s="489" t="str">
        <x:v>41160004</x:v>
      </x:c>
      <x:c r="G555" s="489" t="str">
        <x:v>41160004-2025</x:v>
      </x:c>
      <x:c r="H555" s="489" t="str">
        <x:v>Informado/corrigido a partir do mapa</x:v>
      </x:c>
      <x:c r="I555" s="503" t="n">
        <x:v>372527</x:v>
      </x:c>
      <x:c r="J555" s="503" t="n">
        <x:v>372527</x:v>
      </x:c>
      <x:c r="K555" s="489" t="str">
        <x:v>Emenda Individual</x:v>
      </x:c>
      <x:c r="L555" s="489"/>
      <x:c r="M555" s="503" t="n">
        <x:v>372527</x:v>
      </x:c>
      <x:c r="N555" s="503" t="n">
        <x:v>0</x:v>
      </x:c>
      <x:c r="O555" s="503" t="n">
        <x:v>0</x:v>
      </x:c>
      <x:c r="P555" s="503" t="n">
        <x:v>0</x:v>
      </x:c>
      <x:c r="Q555" s="503" t="n">
        <x:v>0</x:v>
      </x:c>
      <x:c r="R555" s="489" t="str"/>
      <x:c r="S555" s="489" t="str">
        <x:v>11776182000103</x:v>
      </x:c>
      <x:c r="T555" s="489" t="str">
        <x:v>CONFIRMADO</x:v>
      </x:c>
      <x:c r="U555" s="489" t="str">
        <x:v>Baixa</x:v>
      </x:c>
      <x:c r="V555" s="489" t="str">
        <x:v>Preencher situação: há pagamento identificado na fonte pública</x:v>
      </x:c>
      <x:c r="W555" s="489" t="str">
        <x:v>Valor do grupo fecha com: SIGA pago favorecido</x:v>
      </x:c>
      <x:c r="X555" s="489" t="str"/>
    </x:row>
    <x:row r="556">
      <x:c r="A556" s="502" t="n">
        <x:v>556</x:v>
      </x:c>
      <x:c r="B556" s="502" t="n">
        <x:v>2024</x:v>
      </x:c>
      <x:c r="C556" s="489" t="str">
        <x:v>Flores da Cunha</x:v>
      </x:c>
      <x:c r="D556" s="489" t="str">
        <x:v>Prefeitura Municipal de Flores da Cunha</x:v>
      </x:c>
      <x:c r="E556" s="489" t="str">
        <x:v>Prefeitura Municipal</x:v>
      </x:c>
      <x:c r="F556" s="489" t="str">
        <x:v>41160005</x:v>
      </x:c>
      <x:c r="G556" s="489" t="str">
        <x:v>41160005-2024</x:v>
      </x:c>
      <x:c r="H556" s="489" t="str">
        <x:v>Informado/corrigido a partir do mapa</x:v>
      </x:c>
      <x:c r="I556" s="503" t="n">
        <x:v>384205</x:v>
      </x:c>
      <x:c r="J556" s="503" t="n">
        <x:v>384205</x:v>
      </x:c>
      <x:c r="K556" s="489" t="str">
        <x:v>Emenda Individual</x:v>
      </x:c>
      <x:c r="L556" s="489"/>
      <x:c r="M556" s="503" t="n">
        <x:v>384205</x:v>
      </x:c>
      <x:c r="N556" s="503" t="n">
        <x:v>384205</x:v>
      </x:c>
      <x:c r="O556" s="503" t="n">
        <x:v>384205</x:v>
      </x:c>
      <x:c r="P556" s="503" t="n">
        <x:v>0</x:v>
      </x:c>
      <x:c r="Q556" s="503" t="n">
        <x:v>0</x:v>
      </x:c>
      <x:c r="R556" s="489" t="str"/>
      <x:c r="S556" s="489" t="str">
        <x:v>87843819000107</x:v>
      </x:c>
      <x:c r="T556" s="489" t="str">
        <x:v>CONFIRMADO</x:v>
      </x:c>
      <x:c r="U556" s="489" t="str">
        <x:v>Baixa</x:v>
      </x:c>
      <x:c r="V556" s="489" t="str">
        <x:v>Preencher situação: há pagamento identificado na fonte pública; CNPJ candidato na fonte SIGA: 87843819000107</x:v>
      </x:c>
      <x:c r="W556" s="489" t="str">
        <x:v>Valor do grupo fecha com: SIGA pago favorecido</x:v>
      </x:c>
      <x:c r="X556" s="489" t="str">
        <x:v>https://discricionarias.transferegov.sistema.gov.br/voluntarias/ConsultarProposta/ResultadoDaConsultaDeConvenioSelecionarConvenio.do?sequencialConvenio=973537&amp;Usr=guest&amp;Pwd=guest</x:v>
      </x:c>
    </x:row>
    <x:row r="557">
      <x:c r="A557" s="502" t="n">
        <x:v>557</x:v>
      </x:c>
      <x:c r="B557" s="502" t="n">
        <x:v>2024</x:v>
      </x:c>
      <x:c r="C557" s="489" t="str">
        <x:v>Imigrante</x:v>
      </x:c>
      <x:c r="D557" s="489" t="str">
        <x:v>Prefeitura Municipal de Imigrante</x:v>
      </x:c>
      <x:c r="E557" s="489" t="str">
        <x:v>Prefeitura Municipal</x:v>
      </x:c>
      <x:c r="F557" s="489" t="str">
        <x:v>41160005</x:v>
      </x:c>
      <x:c r="G557" s="489" t="str">
        <x:v>41160005-2024</x:v>
      </x:c>
      <x:c r="H557" s="489" t="str">
        <x:v>Informado/corrigido a partir do mapa</x:v>
      </x:c>
      <x:c r="I557" s="503" t="n">
        <x:v>384205</x:v>
      </x:c>
      <x:c r="J557" s="503" t="n">
        <x:v>384205</x:v>
      </x:c>
      <x:c r="K557" s="489" t="str">
        <x:v>Emenda Individual</x:v>
      </x:c>
      <x:c r="L557" s="489"/>
      <x:c r="M557" s="503" t="n">
        <x:v>0</x:v>
      </x:c>
      <x:c r="N557" s="503" t="n">
        <x:v>384205</x:v>
      </x:c>
      <x:c r="O557" s="503" t="n">
        <x:v>0</x:v>
      </x:c>
      <x:c r="P557" s="503" t="n">
        <x:v>0</x:v>
      </x:c>
      <x:c r="Q557" s="503" t="n">
        <x:v>0</x:v>
      </x:c>
      <x:c r="R557" s="489" t="str"/>
      <x:c r="S557" s="489" t="str"/>
      <x:c r="T557" s="489" t="str">
        <x:v>DESTINO/INSTRUMENTO CONFIRMADO; VALOR NÃO COMPARÁVEL</x:v>
      </x:c>
      <x:c r="U557" s="489" t="str">
        <x:v>Média</x:v>
      </x:c>
      <x:c r="V557" s="489" t="str"/>
      <x:c r="W557" s="489" t="str">
        <x:v>Há instrumento do Transferegov para a emenda/município; valores do instrumento não foram usados como prova do valor da emenda</x:v>
      </x:c>
      <x:c r="X557" s="489" t="str">
        <x:v>https://discricionarias.transferegov.sistema.gov.br/voluntarias/ConsultarProposta/ResultadoDaConsultaDeConvenioSelecionarConvenio.do?sequencialConvenio=973397&amp;Usr=guest&amp;Pwd=guest</x:v>
      </x:c>
    </x:row>
    <x:row r="558">
      <x:c r="A558" s="502" t="n">
        <x:v>558</x:v>
      </x:c>
      <x:c r="B558" s="502" t="n">
        <x:v>2024</x:v>
      </x:c>
      <x:c r="C558" s="489" t="str">
        <x:v>Maquiné</x:v>
      </x:c>
      <x:c r="D558" s="489" t="str">
        <x:v>Prefeitura Municipal de Maquiné</x:v>
      </x:c>
      <x:c r="E558" s="489" t="str">
        <x:v>Prefeitura Municipal</x:v>
      </x:c>
      <x:c r="F558" s="489" t="str">
        <x:v>41160005</x:v>
      </x:c>
      <x:c r="G558" s="489" t="str">
        <x:v>41160005-2024</x:v>
      </x:c>
      <x:c r="H558" s="489" t="str">
        <x:v>Informado/corrigido a partir do mapa</x:v>
      </x:c>
      <x:c r="I558" s="503" t="n">
        <x:v>384205</x:v>
      </x:c>
      <x:c r="J558" s="503" t="n">
        <x:v>384205</x:v>
      </x:c>
      <x:c r="K558" s="489" t="str">
        <x:v>Emenda Individual</x:v>
      </x:c>
      <x:c r="L558" s="489"/>
      <x:c r="M558" s="503" t="n">
        <x:v>384205</x:v>
      </x:c>
      <x:c r="N558" s="503" t="n">
        <x:v>384205</x:v>
      </x:c>
      <x:c r="O558" s="503" t="n">
        <x:v>384205</x:v>
      </x:c>
      <x:c r="P558" s="503" t="n">
        <x:v>0</x:v>
      </x:c>
      <x:c r="Q558" s="503" t="n">
        <x:v>0</x:v>
      </x:c>
      <x:c r="R558" s="489" t="str"/>
      <x:c r="S558" s="489" t="str">
        <x:v>94436342000100</x:v>
      </x:c>
      <x:c r="T558" s="489" t="str">
        <x:v>CONFIRMADO</x:v>
      </x:c>
      <x:c r="U558" s="489" t="str">
        <x:v>Baixa</x:v>
      </x:c>
      <x:c r="V558" s="489" t="str">
        <x:v>Preencher situação: há pagamento identificado na fonte pública; CNPJ candidato na fonte SIGA: 94436342000100</x:v>
      </x:c>
      <x:c r="W558" s="489" t="str">
        <x:v>Valor do grupo fecha com: SIGA pago favorecido</x:v>
      </x:c>
      <x:c r="X558" s="489" t="str">
        <x:v>https://discricionarias.transferegov.sistema.gov.br/voluntarias/ConsultarProposta/ResultadoDaConsultaDeConvenioSelecionarConvenio.do?sequencialConvenio=973394&amp;Usr=guest&amp;Pwd=guest</x:v>
      </x:c>
    </x:row>
    <x:row r="559">
      <x:c r="A559" s="502" t="n">
        <x:v>559</x:v>
      </x:c>
      <x:c r="B559" s="502" t="n">
        <x:v>2024</x:v>
      </x:c>
      <x:c r="C559" s="489" t="str">
        <x:v>Relvado</x:v>
      </x:c>
      <x:c r="D559" s="489" t="str">
        <x:v>Prefeitura Municipal de Relvado</x:v>
      </x:c>
      <x:c r="E559" s="489" t="str">
        <x:v>Prefeitura Municipal</x:v>
      </x:c>
      <x:c r="F559" s="489" t="str">
        <x:v>41160005</x:v>
      </x:c>
      <x:c r="G559" s="489" t="str">
        <x:v>41160005-2024</x:v>
      </x:c>
      <x:c r="H559" s="489" t="str">
        <x:v>Informado/corrigido a partir do mapa</x:v>
      </x:c>
      <x:c r="I559" s="503" t="n">
        <x:v>384205</x:v>
      </x:c>
      <x:c r="J559" s="503" t="n">
        <x:v>384205</x:v>
      </x:c>
      <x:c r="K559" s="489" t="str">
        <x:v>Emenda Individual</x:v>
      </x:c>
      <x:c r="L559" s="489"/>
      <x:c r="M559" s="503" t="n">
        <x:v>384205</x:v>
      </x:c>
      <x:c r="N559" s="503" t="n">
        <x:v>384205</x:v>
      </x:c>
      <x:c r="O559" s="503" t="n">
        <x:v>384205</x:v>
      </x:c>
      <x:c r="P559" s="503" t="n">
        <x:v>0</x:v>
      </x:c>
      <x:c r="Q559" s="503" t="n">
        <x:v>0</x:v>
      </x:c>
      <x:c r="R559" s="489" t="str"/>
      <x:c r="S559" s="489" t="str">
        <x:v>92402510000103</x:v>
      </x:c>
      <x:c r="T559" s="489" t="str">
        <x:v>CONFIRMADO</x:v>
      </x:c>
      <x:c r="U559" s="489" t="str">
        <x:v>Baixa</x:v>
      </x:c>
      <x:c r="V559" s="489" t="str">
        <x:v>Preencher situação: há pagamento identificado na fonte pública; CNPJ candidato na fonte SIGA: 92402510000103</x:v>
      </x:c>
      <x:c r="W559" s="489" t="str">
        <x:v>Valor do grupo fecha com: SIGA pago favorecido</x:v>
      </x:c>
      <x:c r="X559" s="489" t="str">
        <x:v>https://discricionarias.transferegov.sistema.gov.br/voluntarias/ConsultarProposta/ResultadoDaConsultaDeConvenioSelecionarConvenio.do?sequencialConvenio=973402&amp;Usr=guest&amp;Pwd=guest</x:v>
      </x:c>
    </x:row>
    <x:row r="560">
      <x:c r="A560" s="502" t="n">
        <x:v>560</x:v>
      </x:c>
      <x:c r="B560" s="502" t="n">
        <x:v>2024</x:v>
      </x:c>
      <x:c r="C560" s="489" t="str">
        <x:v>São Martinho da Serra</x:v>
      </x:c>
      <x:c r="D560" s="489" t="str">
        <x:v>Prefeitura Municipal de São Martinho da Serra</x:v>
      </x:c>
      <x:c r="E560" s="489" t="str">
        <x:v>Prefeitura Municipal</x:v>
      </x:c>
      <x:c r="F560" s="489" t="str">
        <x:v>41160005</x:v>
      </x:c>
      <x:c r="G560" s="489" t="str">
        <x:v>41160005-2024</x:v>
      </x:c>
      <x:c r="H560" s="489" t="str">
        <x:v>Informado/corrigido a partir do mapa</x:v>
      </x:c>
      <x:c r="I560" s="503" t="n">
        <x:v>384205</x:v>
      </x:c>
      <x:c r="J560" s="503" t="n">
        <x:v>384205</x:v>
      </x:c>
      <x:c r="K560" s="489" t="str">
        <x:v>Emenda Individual</x:v>
      </x:c>
      <x:c r="L560" s="489"/>
      <x:c r="M560" s="503" t="n">
        <x:v>0</x:v>
      </x:c>
      <x:c r="N560" s="503" t="n">
        <x:v>384205</x:v>
      </x:c>
      <x:c r="O560" s="503" t="n">
        <x:v>0</x:v>
      </x:c>
      <x:c r="P560" s="503" t="n">
        <x:v>0</x:v>
      </x:c>
      <x:c r="Q560" s="503" t="n">
        <x:v>0</x:v>
      </x:c>
      <x:c r="R560" s="489" t="str"/>
      <x:c r="S560" s="489" t="str"/>
      <x:c r="T560" s="489" t="str">
        <x:v>DESTINO/INSTRUMENTO CONFIRMADO; VALOR NÃO COMPARÁVEL</x:v>
      </x:c>
      <x:c r="U560" s="489" t="str">
        <x:v>Média</x:v>
      </x:c>
      <x:c r="V560" s="489" t="str"/>
      <x:c r="W560" s="489" t="str">
        <x:v>Há instrumento do Transferegov para a emenda/município; valores do instrumento não foram usados como prova do valor da emenda</x:v>
      </x:c>
      <x:c r="X560" s="489" t="str">
        <x:v>https://discricionarias.transferegov.sistema.gov.br/voluntarias/ConsultarProposta/ResultadoDaConsultaDeConvenioSelecionarConvenio.do?sequencialConvenio=973124&amp;Usr=guest&amp;Pwd=guest</x:v>
      </x:c>
    </x:row>
    <x:row r="561">
      <x:c r="A561" s="502" t="n">
        <x:v>561</x:v>
      </x:c>
      <x:c r="B561" s="502" t="n">
        <x:v>2024</x:v>
      </x:c>
      <x:c r="C561" s="489" t="str">
        <x:v>Sobradinho</x:v>
      </x:c>
      <x:c r="D561" s="489" t="str">
        <x:v>Prefeitura Municipal de Sobradinho</x:v>
      </x:c>
      <x:c r="E561" s="489" t="str">
        <x:v>Prefeitura Municipal</x:v>
      </x:c>
      <x:c r="F561" s="489" t="str">
        <x:v>41160005</x:v>
      </x:c>
      <x:c r="G561" s="489" t="str">
        <x:v>41160005-2024</x:v>
      </x:c>
      <x:c r="H561" s="489" t="str">
        <x:v>Informado/corrigido a partir do mapa</x:v>
      </x:c>
      <x:c r="I561" s="503" t="n">
        <x:v>384205</x:v>
      </x:c>
      <x:c r="J561" s="503" t="n">
        <x:v>384205</x:v>
      </x:c>
      <x:c r="K561" s="489" t="str">
        <x:v>Emenda Individual</x:v>
      </x:c>
      <x:c r="L561" s="489"/>
      <x:c r="M561" s="503" t="n">
        <x:v>0</x:v>
      </x:c>
      <x:c r="N561" s="503" t="n">
        <x:v>384205</x:v>
      </x:c>
      <x:c r="O561" s="503" t="n">
        <x:v>0</x:v>
      </x:c>
      <x:c r="P561" s="503" t="n">
        <x:v>0</x:v>
      </x:c>
      <x:c r="Q561" s="503" t="n">
        <x:v>0</x:v>
      </x:c>
      <x:c r="R561" s="489" t="str"/>
      <x:c r="S561" s="489" t="str"/>
      <x:c r="T561" s="489" t="str">
        <x:v>DESTINO/INSTRUMENTO CONFIRMADO; VALOR NÃO COMPARÁVEL</x:v>
      </x:c>
      <x:c r="U561" s="489" t="str">
        <x:v>Média</x:v>
      </x:c>
      <x:c r="V561" s="489" t="str"/>
      <x:c r="W561" s="489" t="str">
        <x:v>Há instrumento do Transferegov para a emenda/município; valores do instrumento não foram usados como prova do valor da emenda</x:v>
      </x:c>
      <x:c r="X561" s="489" t="str">
        <x:v>https://discricionarias.transferegov.sistema.gov.br/voluntarias/ConsultarProposta/ResultadoDaConsultaDeConvenioSelecionarConvenio.do?sequencialConvenio=973541&amp;Usr=guest&amp;Pwd=guest</x:v>
      </x:c>
    </x:row>
    <x:row r="562">
      <x:c r="A562" s="502" t="n">
        <x:v>562</x:v>
      </x:c>
      <x:c r="B562" s="502" t="n">
        <x:v>2022</x:v>
      </x:c>
      <x:c r="C562" s="489" t="str">
        <x:v>Dois Irmãos</x:v>
      </x:c>
      <x:c r="D562" s="489" t="str">
        <x:v>Secretaria de Segurança Pública</x:v>
      </x:c>
      <x:c r="E562" s="489" t="str">
        <x:v>Polícia Civil</x:v>
      </x:c>
      <x:c r="F562" s="489" t="str">
        <x:v>41160001</x:v>
      </x:c>
      <x:c r="G562" s="489" t="str">
        <x:v>41160001-2022</x:v>
      </x:c>
      <x:c r="H562" s="489" t="str">
        <x:v>Informado/corrigido a partir do mapa</x:v>
      </x:c>
      <x:c r="I562" s="503" t="n">
        <x:v>384370.17</x:v>
      </x:c>
      <x:c r="J562" s="503" t="n">
        <x:v>384370.17</x:v>
      </x:c>
      <x:c r="K562" s="489" t="str">
        <x:v>Emenda de Bancada</x:v>
      </x:c>
      <x:c r="L562" s="489" t="str">
        <x:v>Aguarda aprovação de licitação e liberação de recurso</x:v>
      </x:c>
      <x:c r="M562" s="503" t="n">
        <x:v>0</x:v>
      </x:c>
      <x:c r="N562" s="503" t="n">
        <x:v>0</x:v>
      </x:c>
      <x:c r="O562" s="503" t="n">
        <x:v>0</x:v>
      </x:c>
      <x:c r="P562" s="503" t="n">
        <x:v>0</x:v>
      </x:c>
      <x:c r="Q562" s="503" t="n">
        <x:v>0</x:v>
      </x:c>
      <x:c r="R562" s="489" t="str"/>
      <x:c r="S562" s="489" t="str"/>
      <x:c r="T562" s="489" t="str">
        <x:v>EMENDA CONFIRMADA; DESTINO NÃO CONFIRMADO</x:v>
      </x:c>
      <x:c r="U562" s="489" t="str">
        <x:v>Média</x:v>
      </x:c>
      <x:c r="V562" s="489" t="str"/>
      <x:c r="W562" s="489" t="str">
        <x:v>Nº existe no SIGA; destinatário específico não foi confirmado nas bases anexas</x:v>
      </x:c>
      <x:c r="X562" s="489" t="str"/>
    </x:row>
    <x:row r="563">
      <x:c r="A563" s="502" t="n">
        <x:v>563</x:v>
      </x:c>
      <x:c r="B563" s="502" t="n">
        <x:v>2022</x:v>
      </x:c>
      <x:c r="C563" s="489" t="str">
        <x:v>Cachoeirinha</x:v>
      </x:c>
      <x:c r="D563" s="489" t="str">
        <x:v>Secretaria de Segurança Pública</x:v>
      </x:c>
      <x:c r="E563" s="489" t="str">
        <x:v>Brigada Militar</x:v>
      </x:c>
      <x:c r="F563" s="489" t="str">
        <x:v>41160001</x:v>
      </x:c>
      <x:c r="G563" s="489" t="str">
        <x:v>41160001-2022</x:v>
      </x:c>
      <x:c r="H563" s="489" t="str">
        <x:v>Informado/corrigido a partir do mapa</x:v>
      </x:c>
      <x:c r="I563" s="503" t="n">
        <x:v>384370.17</x:v>
      </x:c>
      <x:c r="J563" s="503" t="n">
        <x:v>384370.17</x:v>
      </x:c>
      <x:c r="K563" s="489" t="str">
        <x:v>Emenda Individual </x:v>
      </x:c>
      <x:c r="L563" s="489" t="str">
        <x:v>Enpenhado</x:v>
      </x:c>
      <x:c r="M563" s="503" t="n">
        <x:v>0</x:v>
      </x:c>
      <x:c r="N563" s="503" t="n">
        <x:v>0</x:v>
      </x:c>
      <x:c r="O563" s="503" t="n">
        <x:v>0</x:v>
      </x:c>
      <x:c r="P563" s="503" t="n">
        <x:v>0</x:v>
      </x:c>
      <x:c r="Q563" s="503" t="n">
        <x:v>0</x:v>
      </x:c>
      <x:c r="R563" s="489" t="str"/>
      <x:c r="S563" s="489" t="str"/>
      <x:c r="T563" s="489" t="str">
        <x:v>EMENDA CONFIRMADA; DESTINO NÃO CONFIRMADO</x:v>
      </x:c>
      <x:c r="U563" s="489" t="str">
        <x:v>Média</x:v>
      </x:c>
      <x:c r="V563" s="489" t="str"/>
      <x:c r="W563" s="489" t="str">
        <x:v>Nº existe no SIGA; destinatário específico não foi confirmado nas bases anexas</x:v>
      </x:c>
      <x:c r="X563" s="489" t="str"/>
    </x:row>
    <x:row r="564">
      <x:c r="A564" s="502" t="n">
        <x:v>564</x:v>
      </x:c>
      <x:c r="B564" s="502" t="n">
        <x:v>2022</x:v>
      </x:c>
      <x:c r="C564" s="489" t="str">
        <x:v>Frederico Westphalen</x:v>
      </x:c>
      <x:c r="D564" s="489" t="str">
        <x:v>Secretaria de Segurança Pública</x:v>
      </x:c>
      <x:c r="E564" s="489" t="str">
        <x:v>Brigada Militar</x:v>
      </x:c>
      <x:c r="F564" s="489" t="str">
        <x:v>41160001</x:v>
      </x:c>
      <x:c r="G564" s="489" t="str">
        <x:v>41160001-2022</x:v>
      </x:c>
      <x:c r="H564" s="489" t="str">
        <x:v>Informado/corrigido a partir do mapa</x:v>
      </x:c>
      <x:c r="I564" s="503" t="n">
        <x:v>384370.17</x:v>
      </x:c>
      <x:c r="J564" s="503" t="n">
        <x:v>384370.17</x:v>
      </x:c>
      <x:c r="K564" s="489" t="str">
        <x:v>Individual</x:v>
      </x:c>
      <x:c r="L564" s="489" t="str">
        <x:v>Empenhado</x:v>
      </x:c>
      <x:c r="M564" s="503" t="n">
        <x:v>0</x:v>
      </x:c>
      <x:c r="N564" s="503" t="n">
        <x:v>0</x:v>
      </x:c>
      <x:c r="O564" s="503" t="n">
        <x:v>0</x:v>
      </x:c>
      <x:c r="P564" s="503" t="n">
        <x:v>0</x:v>
      </x:c>
      <x:c r="Q564" s="503" t="n">
        <x:v>0</x:v>
      </x:c>
      <x:c r="R564" s="489" t="str"/>
      <x:c r="S564" s="489" t="str"/>
      <x:c r="T564" s="489" t="str">
        <x:v>EMENDA CONFIRMADA; DESTINO NÃO CONFIRMADO</x:v>
      </x:c>
      <x:c r="U564" s="489" t="str">
        <x:v>Média</x:v>
      </x:c>
      <x:c r="V564" s="489" t="str"/>
      <x:c r="W564" s="489" t="str">
        <x:v>Nº existe no SIGA; destinatário específico não foi confirmado nas bases anexas</x:v>
      </x:c>
      <x:c r="X564" s="489" t="str"/>
    </x:row>
    <x:row r="565">
      <x:c r="A565" s="502" t="n">
        <x:v>565</x:v>
      </x:c>
      <x:c r="B565" s="502" t="n">
        <x:v>2022</x:v>
      </x:c>
      <x:c r="C565" s="489" t="str">
        <x:v>Sapiranga</x:v>
      </x:c>
      <x:c r="D565" s="489" t="str">
        <x:v>Secretaria de Segurança Pública</x:v>
      </x:c>
      <x:c r="E565" s="489" t="str">
        <x:v>Polícia Civil</x:v>
      </x:c>
      <x:c r="F565" s="489" t="str">
        <x:v>41160001</x:v>
      </x:c>
      <x:c r="G565" s="489" t="str">
        <x:v>41160001-2022</x:v>
      </x:c>
      <x:c r="H565" s="489" t="str">
        <x:v>Informado/corrigido a partir do mapa</x:v>
      </x:c>
      <x:c r="I565" s="503" t="n">
        <x:v>384370.17</x:v>
      </x:c>
      <x:c r="J565" s="503" t="n">
        <x:v>384370.17</x:v>
      </x:c>
      <x:c r="K565" s="489" t="str">
        <x:v>Emenda Individual </x:v>
      </x:c>
      <x:c r="L565" s="489" t="str">
        <x:v>Recurso pago</x:v>
      </x:c>
      <x:c r="M565" s="503" t="n">
        <x:v>0</x:v>
      </x:c>
      <x:c r="N565" s="503" t="n">
        <x:v>0</x:v>
      </x:c>
      <x:c r="O565" s="503" t="n">
        <x:v>0</x:v>
      </x:c>
      <x:c r="P565" s="503" t="n">
        <x:v>0</x:v>
      </x:c>
      <x:c r="Q565" s="503" t="n">
        <x:v>0</x:v>
      </x:c>
      <x:c r="R565" s="489" t="str"/>
      <x:c r="S565" s="489" t="str"/>
      <x:c r="T565" s="489" t="str">
        <x:v>EMENDA CONFIRMADA; DESTINO NÃO CONFIRMADO</x:v>
      </x:c>
      <x:c r="U565" s="489" t="str">
        <x:v>Média</x:v>
      </x:c>
      <x:c r="V565" s="489" t="str"/>
      <x:c r="W565" s="489" t="str">
        <x:v>Nº existe no SIGA; destinatário específico não foi confirmado nas bases anexas</x:v>
      </x:c>
      <x:c r="X565" s="489" t="str"/>
    </x:row>
    <x:row r="566">
      <x:c r="A566" s="502" t="n">
        <x:v>566</x:v>
      </x:c>
      <x:c r="B566" s="502" t="n">
        <x:v>2022</x:v>
      </x:c>
      <x:c r="C566" s="489" t="str">
        <x:v>Tramandaí</x:v>
      </x:c>
      <x:c r="D566" s="489" t="str">
        <x:v>Secretaria de Segurança Pública</x:v>
      </x:c>
      <x:c r="E566" s="489" t="str">
        <x:v>9º Batalhão de Bombeiro Militar</x:v>
      </x:c>
      <x:c r="F566" s="489" t="str">
        <x:v>41160001</x:v>
      </x:c>
      <x:c r="G566" s="489" t="str">
        <x:v>41160001-2022</x:v>
      </x:c>
      <x:c r="H566" s="489" t="str">
        <x:v>Informado/corrigido a partir do mapa</x:v>
      </x:c>
      <x:c r="I566" s="503" t="n">
        <x:v>384370.17</x:v>
      </x:c>
      <x:c r="J566" s="503" t="n">
        <x:v>384370.17</x:v>
      </x:c>
      <x:c r="K566" s="489" t="str">
        <x:v>Emenda Individual </x:v>
      </x:c>
      <x:c r="L566" s="489" t="str">
        <x:v>Empenhado</x:v>
      </x:c>
      <x:c r="M566" s="503" t="n">
        <x:v>0</x:v>
      </x:c>
      <x:c r="N566" s="503" t="n">
        <x:v>0</x:v>
      </x:c>
      <x:c r="O566" s="503" t="n">
        <x:v>0</x:v>
      </x:c>
      <x:c r="P566" s="503" t="n">
        <x:v>0</x:v>
      </x:c>
      <x:c r="Q566" s="503" t="n">
        <x:v>0</x:v>
      </x:c>
      <x:c r="R566" s="489" t="str"/>
      <x:c r="S566" s="489" t="str"/>
      <x:c r="T566" s="489" t="str">
        <x:v>EMENDA CONFIRMADA; DESTINO NÃO CONFIRMADO</x:v>
      </x:c>
      <x:c r="U566" s="489" t="str">
        <x:v>Média</x:v>
      </x:c>
      <x:c r="V566" s="489" t="str"/>
      <x:c r="W566" s="489" t="str">
        <x:v>Nº existe no SIGA; destinatário específico não foi confirmado nas bases anexas</x:v>
      </x:c>
      <x:c r="X566" s="489" t="str"/>
    </x:row>
    <x:row r="567">
      <x:c r="A567" s="502" t="n">
        <x:v>567</x:v>
      </x:c>
      <x:c r="B567" s="502" t="n">
        <x:v>2026</x:v>
      </x:c>
      <x:c r="C567" s="489" t="str">
        <x:v>Carlos Gomes</x:v>
      </x:c>
      <x:c r="D567" s="489" t="str">
        <x:v>Fundo Municipal de Saúde de Carlos Gomes - RS</x:v>
      </x:c>
      <x:c r="E567" s="489" t="str">
        <x:v>Município de Carlos Gomes</x:v>
      </x:c>
      <x:c r="F567" s="489" t="str">
        <x:v>41160013</x:v>
      </x:c>
      <x:c r="G567" s="489" t="str">
        <x:v>41160013-2026</x:v>
      </x:c>
      <x:c r="H567" s="489" t="str">
        <x:v>Informado/corrigido a partir do mapa</x:v>
      </x:c>
      <x:c r="I567" s="503" t="n">
        <x:v>390000</x:v>
      </x:c>
      <x:c r="J567" s="503" t="n">
        <x:v>390000</x:v>
      </x:c>
      <x:c r="K567" s="489" t="str">
        <x:v>Emenda individual</x:v>
      </x:c>
      <x:c r="L567" s="489"/>
      <x:c r="M567" s="503" t="n">
        <x:v>35160</x:v>
      </x:c>
      <x:c r="N567" s="503" t="n">
        <x:v>0</x:v>
      </x:c>
      <x:c r="O567" s="503" t="n">
        <x:v>0</x:v>
      </x:c>
      <x:c r="P567" s="503" t="n">
        <x:v>0</x:v>
      </x:c>
      <x:c r="Q567" s="503" t="n">
        <x:v>0</x:v>
      </x:c>
      <x:c r="R567" s="489" t="str"/>
      <x:c r="S567" s="489" t="str">
        <x:v>12014000000120</x:v>
      </x:c>
      <x:c r="T567" s="489" t="str">
        <x:v>VALOR DIVERGENTE / COBERTURA DIFERENTE</x:v>
      </x:c>
      <x:c r="U567" s="489" t="str">
        <x:v>Alta</x:v>
      </x:c>
      <x:c r="V567" s="489" t="str">
        <x:v>Preencher situação: há pagamento identificado na fonte pública</x:v>
      </x:c>
      <x:c r="W567" s="489" t="str">
        <x:v>Município/localidade encontrado em fonte comparável, mas valor não fecha exatamente</x:v>
      </x:c>
      <x:c r="X567" s="489" t="str"/>
    </x:row>
    <x:row r="568">
      <x:c r="A568" s="502" t="n">
        <x:v>568</x:v>
      </x:c>
      <x:c r="B568" s="502" t="n">
        <x:v>2026</x:v>
      </x:c>
      <x:c r="C568" s="489" t="str">
        <x:v>Três de Maio</x:v>
      </x:c>
      <x:c r="D568" s="489" t="str">
        <x:v>Associacao Hospital de Caridade Tres Passos</x:v>
      </x:c>
      <x:c r="E568" s="489" t="str">
        <x:v>Associacao de Literatura E Beneficencia</x:v>
      </x:c>
      <x:c r="F568" s="489" t="str">
        <x:v>41160003</x:v>
      </x:c>
      <x:c r="G568" s="489" t="str">
        <x:v>41160003-2026</x:v>
      </x:c>
      <x:c r="H568" s="489" t="str">
        <x:v>Informado/corrigido a partir do mapa</x:v>
      </x:c>
      <x:c r="I568" s="503" t="n">
        <x:v>393334</x:v>
      </x:c>
      <x:c r="J568" s="503" t="n">
        <x:v>393334</x:v>
      </x:c>
      <x:c r="K568" s="489" t="str">
        <x:v>Emenda individual</x:v>
      </x:c>
      <x:c r="L568" s="489"/>
      <x:c r="M568" s="503" t="n">
        <x:v>0</x:v>
      </x:c>
      <x:c r="N568" s="503" t="n">
        <x:v>393334</x:v>
      </x:c>
      <x:c r="O568" s="503" t="n">
        <x:v>0</x:v>
      </x:c>
      <x:c r="P568" s="503" t="n">
        <x:v>0</x:v>
      </x:c>
      <x:c r="Q568" s="503" t="n">
        <x:v>0</x:v>
      </x:c>
      <x:c r="R568" s="489" t="str"/>
      <x:c r="S568" s="489" t="str"/>
      <x:c r="T568" s="489" t="str">
        <x:v>DESTINO/INSTRUMENTO CONFIRMADO; VALOR NÃO COMPARÁVEL</x:v>
      </x:c>
      <x:c r="U568" s="489" t="str">
        <x:v>Média</x:v>
      </x:c>
      <x:c r="V568" s="489" t="str"/>
      <x:c r="W568" s="489" t="str">
        <x:v>Há instrumento do Transferegov para a emenda/município; valores do instrumento não foram usados como prova do valor da emenda</x:v>
      </x:c>
      <x:c r="X568" s="489" t="str">
        <x:v>https://discricionarias.transferegov.sistema.gov.br/voluntarias/ConsultarProposta/ResultadoDaConsultaDeConvenioSelecionarConvenio.do?sequencialConvenio=995395&amp;Usr=guest&amp;Pwd=guest</x:v>
      </x:c>
    </x:row>
    <x:row r="569">
      <x:c r="A569" s="502" t="n">
        <x:v>569</x:v>
      </x:c>
      <x:c r="B569" s="502" t="n">
        <x:v>2024</x:v>
      </x:c>
      <x:c r="C569" s="489" t="str">
        <x:v>Cachoeirinha</x:v>
      </x:c>
      <x:c r="D569" s="489" t="str">
        <x:v>Prefeitura Municipal de Cachoeirinha</x:v>
      </x:c>
      <x:c r="E569" s="489" t="str">
        <x:v>Prefeitura Municipal</x:v>
      </x:c>
      <x:c r="F569" s="489" t="str">
        <x:v>41160004</x:v>
      </x:c>
      <x:c r="G569" s="489" t="str">
        <x:v>41160004-2024</x:v>
      </x:c>
      <x:c r="H569" s="489" t="str">
        <x:v>Informado/corrigido a partir do mapa</x:v>
      </x:c>
      <x:c r="I569" s="503" t="n">
        <x:v>398907</x:v>
      </x:c>
      <x:c r="J569" s="503" t="n">
        <x:v>398907</x:v>
      </x:c>
      <x:c r="K569" s="489" t="str">
        <x:v>Emenda Individual</x:v>
      </x:c>
      <x:c r="L569" s="489"/>
      <x:c r="M569" s="503" t="n">
        <x:v>398907</x:v>
      </x:c>
      <x:c r="N569" s="503" t="n">
        <x:v>0</x:v>
      </x:c>
      <x:c r="O569" s="503" t="n">
        <x:v>0</x:v>
      </x:c>
      <x:c r="P569" s="503" t="n">
        <x:v>0</x:v>
      </x:c>
      <x:c r="Q569" s="503" t="n">
        <x:v>0</x:v>
      </x:c>
      <x:c r="R569" s="489" t="str"/>
      <x:c r="S569" s="489" t="str">
        <x:v>11686923000165</x:v>
      </x:c>
      <x:c r="T569" s="489" t="str">
        <x:v>CONFIRMADO</x:v>
      </x:c>
      <x:c r="U569" s="489" t="str">
        <x:v>Baixa</x:v>
      </x:c>
      <x:c r="V569" s="489" t="str">
        <x:v>Preencher situação: há pagamento identificado na fonte pública; CNPJ candidato na fonte SIGA: 11686923000165</x:v>
      </x:c>
      <x:c r="W569" s="489" t="str">
        <x:v>Valor do grupo fecha com: SIGA pago favorecido</x:v>
      </x:c>
      <x:c r="X569" s="489" t="str"/>
    </x:row>
    <x:row r="570">
      <x:c r="A570" s="502" t="n">
        <x:v>570</x:v>
      </x:c>
      <x:c r="B570" s="502" t="n">
        <x:v>2024</x:v>
      </x:c>
      <x:c r="C570" s="489" t="str">
        <x:v>Santa Cruz do Sul</x:v>
      </x:c>
      <x:c r="D570" s="489" t="str">
        <x:v>Prefeitura Municipal de Santa Cruz do Sul</x:v>
      </x:c>
      <x:c r="E570" s="489" t="str">
        <x:v>Prefeitura Municipal</x:v>
      </x:c>
      <x:c r="F570" s="489" t="str">
        <x:v>41160004</x:v>
      </x:c>
      <x:c r="G570" s="489" t="str">
        <x:v>41160004-2024</x:v>
      </x:c>
      <x:c r="H570" s="489" t="str">
        <x:v>Informado/corrigido a partir do mapa</x:v>
      </x:c>
      <x:c r="I570" s="503" t="n">
        <x:v>399815</x:v>
      </x:c>
      <x:c r="J570" s="503" t="n">
        <x:v>399815</x:v>
      </x:c>
      <x:c r="K570" s="489" t="str">
        <x:v>Emenda Individual</x:v>
      </x:c>
      <x:c r="L570" s="489"/>
      <x:c r="M570" s="503" t="n">
        <x:v>399815</x:v>
      </x:c>
      <x:c r="N570" s="503" t="n">
        <x:v>0</x:v>
      </x:c>
      <x:c r="O570" s="503" t="n">
        <x:v>0</x:v>
      </x:c>
      <x:c r="P570" s="503" t="n">
        <x:v>0</x:v>
      </x:c>
      <x:c r="Q570" s="503" t="n">
        <x:v>0</x:v>
      </x:c>
      <x:c r="R570" s="489" t="str"/>
      <x:c r="S570" s="489" t="str">
        <x:v>11776182000103</x:v>
      </x:c>
      <x:c r="T570" s="489" t="str">
        <x:v>CONFIRMADO</x:v>
      </x:c>
      <x:c r="U570" s="489" t="str">
        <x:v>Baixa</x:v>
      </x:c>
      <x:c r="V570" s="489" t="str">
        <x:v>Preencher situação: há pagamento identificado na fonte pública; CNPJ candidato na fonte SIGA: 11776182000103</x:v>
      </x:c>
      <x:c r="W570" s="489" t="str">
        <x:v>Valor do grupo fecha com: SIGA pago favorecido</x:v>
      </x:c>
      <x:c r="X570" s="489" t="str"/>
    </x:row>
    <x:row r="571">
      <x:c r="A571" s="502" t="n">
        <x:v>571</x:v>
      </x:c>
      <x:c r="B571" s="502" t="n">
        <x:v>2024</x:v>
      </x:c>
      <x:c r="C571" s="489" t="str">
        <x:v>Guaíba</x:v>
      </x:c>
      <x:c r="D571" s="489" t="str">
        <x:v>Prefeitura Municipal de Guaíba</x:v>
      </x:c>
      <x:c r="E571" s="489" t="str">
        <x:v>Prefeitura Municipal</x:v>
      </x:c>
      <x:c r="F571" s="489" t="str">
        <x:v>41160004</x:v>
      </x:c>
      <x:c r="G571" s="489" t="str">
        <x:v>41160004-2024</x:v>
      </x:c>
      <x:c r="H571" s="489" t="str">
        <x:v>Informado/corrigido a partir do mapa</x:v>
      </x:c>
      <x:c r="I571" s="503" t="n">
        <x:v>399839</x:v>
      </x:c>
      <x:c r="J571" s="503" t="n">
        <x:v>399839</x:v>
      </x:c>
      <x:c r="K571" s="489" t="str">
        <x:v>Emenda Individual</x:v>
      </x:c>
      <x:c r="L571" s="489"/>
      <x:c r="M571" s="503" t="n">
        <x:v>399839</x:v>
      </x:c>
      <x:c r="N571" s="503" t="n">
        <x:v>0</x:v>
      </x:c>
      <x:c r="O571" s="503" t="n">
        <x:v>0</x:v>
      </x:c>
      <x:c r="P571" s="503" t="n">
        <x:v>0</x:v>
      </x:c>
      <x:c r="Q571" s="503" t="n">
        <x:v>0</x:v>
      </x:c>
      <x:c r="R571" s="489" t="str"/>
      <x:c r="S571" s="489" t="str">
        <x:v>12391928000123</x:v>
      </x:c>
      <x:c r="T571" s="489" t="str">
        <x:v>CONFIRMADO</x:v>
      </x:c>
      <x:c r="U571" s="489" t="str">
        <x:v>Baixa</x:v>
      </x:c>
      <x:c r="V571" s="489" t="str">
        <x:v>Preencher situação: há pagamento identificado na fonte pública; CNPJ candidato na fonte SIGA: 12391928000123</x:v>
      </x:c>
      <x:c r="W571" s="489" t="str">
        <x:v>Valor do grupo fecha com: SIGA pago favorecido</x:v>
      </x:c>
      <x:c r="X571" s="489" t="str"/>
    </x:row>
    <x:row r="572">
      <x:c r="A572" s="502" t="n">
        <x:v>572</x:v>
      </x:c>
      <x:c r="B572" s="502" t="n">
        <x:v>2024</x:v>
      </x:c>
      <x:c r="C572" s="489" t="str">
        <x:v>Rio Grande</x:v>
      </x:c>
      <x:c r="D572" s="489" t="str">
        <x:v>Prefeitura Municipal de Rio Grande</x:v>
      </x:c>
      <x:c r="E572" s="489" t="str">
        <x:v>Prefeitura Municipal</x:v>
      </x:c>
      <x:c r="F572" s="489" t="str">
        <x:v>41160004</x:v>
      </x:c>
      <x:c r="G572" s="489" t="str">
        <x:v>41160004-2024</x:v>
      </x:c>
      <x:c r="H572" s="489" t="str">
        <x:v>Informado/corrigido a partir do mapa</x:v>
      </x:c>
      <x:c r="I572" s="503" t="n">
        <x:v>399989</x:v>
      </x:c>
      <x:c r="J572" s="503" t="n">
        <x:v>399989</x:v>
      </x:c>
      <x:c r="K572" s="489" t="str">
        <x:v>Emenda Individual</x:v>
      </x:c>
      <x:c r="L572" s="489"/>
      <x:c r="M572" s="503" t="n">
        <x:v>399989</x:v>
      </x:c>
      <x:c r="N572" s="503" t="n">
        <x:v>0</x:v>
      </x:c>
      <x:c r="O572" s="503" t="n">
        <x:v>0</x:v>
      </x:c>
      <x:c r="P572" s="503" t="n">
        <x:v>0</x:v>
      </x:c>
      <x:c r="Q572" s="503" t="n">
        <x:v>0</x:v>
      </x:c>
      <x:c r="R572" s="489" t="str"/>
      <x:c r="S572" s="489" t="str">
        <x:v>12094476000118</x:v>
      </x:c>
      <x:c r="T572" s="489" t="str">
        <x:v>CONFIRMADO</x:v>
      </x:c>
      <x:c r="U572" s="489" t="str">
        <x:v>Baixa</x:v>
      </x:c>
      <x:c r="V572" s="489" t="str">
        <x:v>Preencher situação: há pagamento identificado na fonte pública; CNPJ candidato na fonte SIGA: 12094476000118</x:v>
      </x:c>
      <x:c r="W572" s="489" t="str">
        <x:v>Valor do grupo fecha com: SIGA pago favorecido</x:v>
      </x:c>
      <x:c r="X572" s="489" t="str"/>
    </x:row>
    <x:row r="573">
      <x:c r="A573" s="502" t="n">
        <x:v>573</x:v>
      </x:c>
      <x:c r="B573" s="502" t="n">
        <x:v>2021</x:v>
      </x:c>
      <x:c r="C573" s="489" t="str">
        <x:v>Carlos Barbosa</x:v>
      </x:c>
      <x:c r="D573" s="489" t="str">
        <x:v>Hospital</x:v>
      </x:c>
      <x:c r="E573" s="489" t="str">
        <x:v>Hospital São Roque</x:v>
      </x:c>
      <x:c r="F573" s="489" t="str">
        <x:v>41160003</x:v>
      </x:c>
      <x:c r="G573" s="489" t="str">
        <x:v>41160003-2021</x:v>
      </x:c>
      <x:c r="H573" s="489" t="str">
        <x:v>Informado/corrigido a partir do mapa</x:v>
      </x:c>
      <x:c r="I573" s="503" t="n">
        <x:v>400000</x:v>
      </x:c>
      <x:c r="J573" s="503" t="n">
        <x:v>400000</x:v>
      </x:c>
      <x:c r="K573" s="489" t="str">
        <x:v>Emenda individual (processo seletivo)</x:v>
      </x:c>
      <x:c r="L573" s="489" t="str">
        <x:v>Recurso pago.</x:v>
      </x:c>
      <x:c r="M573" s="503" t="n">
        <x:v>400000</x:v>
      </x:c>
      <x:c r="N573" s="503" t="n">
        <x:v>0</x:v>
      </x:c>
      <x:c r="O573" s="503" t="n">
        <x:v>0</x:v>
      </x:c>
      <x:c r="P573" s="503" t="n">
        <x:v>0</x:v>
      </x:c>
      <x:c r="Q573" s="503" t="n">
        <x:v>0</x:v>
      </x:c>
      <x:c r="R573" s="489" t="str"/>
      <x:c r="S573" s="489" t="str">
        <x:v>10372245000101</x:v>
      </x:c>
      <x:c r="T573" s="489" t="str">
        <x:v>CONFIRMADO</x:v>
      </x:c>
      <x:c r="U573" s="489" t="str">
        <x:v>Baixa</x:v>
      </x:c>
      <x:c r="V573" s="489" t="str">
        <x:v>CNPJ candidato na fonte SIGA: 10372245000101</x:v>
      </x:c>
      <x:c r="W573" s="489" t="str">
        <x:v>Valor do grupo fecha com: SIGA pago favorecido</x:v>
      </x:c>
      <x:c r="X573" s="489" t="str"/>
    </x:row>
    <x:row r="574">
      <x:c r="A574" s="502" t="n">
        <x:v>574</x:v>
      </x:c>
      <x:c r="B574" s="502" t="n">
        <x:v>2021</x:v>
      </x:c>
      <x:c r="C574" s="489" t="str">
        <x:v>Muçum</x:v>
      </x:c>
      <x:c r="D574" s="489"/>
      <x:c r="E574" s="489" t="str">
        <x:v>Hospital Beneficente Nossa Senhora Aparecida</x:v>
      </x:c>
      <x:c r="F574" s="489" t="str"/>
      <x:c r="G574" s="489" t="str"/>
      <x:c r="H574" s="489" t="str">
        <x:v>Sem nº conciliado</x:v>
      </x:c>
      <x:c r="I574" s="503" t="n">
        <x:v>400000</x:v>
      </x:c>
      <x:c r="J574" s="503" t="n">
        <x:v>400000</x:v>
      </x:c>
      <x:c r="K574" s="489" t="str">
        <x:v>Emenda individual (processo seletivo)</x:v>
      </x:c>
      <x:c r="L574" s="489" t="str">
        <x:v>Recurso pago</x:v>
      </x:c>
      <x:c r="M574" s="503" t="n">
        <x:v>0</x:v>
      </x:c>
      <x:c r="N574" s="503" t="n">
        <x:v>0</x:v>
      </x:c>
      <x:c r="O574" s="503" t="n">
        <x:v>0</x:v>
      </x:c>
      <x:c r="P574" s="503" t="n">
        <x:v>0</x:v>
      </x:c>
      <x:c r="Q574" s="503" t="n">
        <x:v>0</x:v>
      </x:c>
      <x:c r="R574" s="489" t="str"/>
      <x:c r="S574" s="489" t="str"/>
      <x:c r="T574" s="489" t="str">
        <x:v>SEM Nº / NÃO CONCILIADO</x:v>
      </x:c>
      <x:c r="U574" s="489" t="str">
        <x:v>Média</x:v>
      </x:c>
      <x:c r="V574" s="489" t="str"/>
      <x:c r="W574" s="489" t="str"/>
      <x:c r="X574" s="489" t="str"/>
    </x:row>
    <x:row r="575">
      <x:c r="A575" s="502" t="n">
        <x:v>575</x:v>
      </x:c>
      <x:c r="B575" s="502" t="n">
        <x:v>2021</x:v>
      </x:c>
      <x:c r="C575" s="489" t="str">
        <x:v>Porto Alegre</x:v>
      </x:c>
      <x:c r="D575" s="489" t="str">
        <x:v>Instituto Geral de Perícias</x:v>
      </x:c>
      <x:c r="E575" s="489" t="str">
        <x:v>Instituto Geral de Perícias</x:v>
      </x:c>
      <x:c r="F575" s="489" t="str">
        <x:v>41160001</x:v>
      </x:c>
      <x:c r="G575" s="489" t="str">
        <x:v>41160001-2021</x:v>
      </x:c>
      <x:c r="H575" s="489" t="str">
        <x:v>Informado/corrigido a partir do mapa</x:v>
      </x:c>
      <x:c r="I575" s="503" t="n">
        <x:v>400000</x:v>
      </x:c>
      <x:c r="J575" s="503" t="n">
        <x:v>586808.33</x:v>
      </x:c>
      <x:c r="K575" s="489" t="str">
        <x:v>Emenda individual</x:v>
      </x:c>
      <x:c r="L575" s="489" t="str">
        <x:v>Empenhado</x:v>
      </x:c>
      <x:c r="M575" s="503" t="n">
        <x:v>2687975.82</x:v>
      </x:c>
      <x:c r="N575" s="503" t="n">
        <x:v>3655159.25</x:v>
      </x:c>
      <x:c r="O575" s="503" t="n">
        <x:v>7175228.54</x:v>
      </x:c>
      <x:c r="P575" s="503" t="n">
        <x:v>0</x:v>
      </x:c>
      <x:c r="Q575" s="503" t="n">
        <x:v>0</x:v>
      </x:c>
      <x:c r="R575" s="489" t="str"/>
      <x:c r="S575" s="489" t="str">
        <x:v>87958583000146</x:v>
      </x:c>
      <x:c r="T575" s="489" t="str">
        <x:v>VALOR DIVERGENTE / COBERTURA DIFERENTE</x:v>
      </x:c>
      <x:c r="U575" s="489" t="str">
        <x:v>Alta</x:v>
      </x:c>
      <x:c r="V575" s="489" t="str">
        <x:v>Situação possivelmente desatualizada: SIGA/execução regionalizada mostra pagamento; CNPJ candidato na fonte SIGA: 87958583000146</x:v>
      </x:c>
      <x:c r="W575" s="489" t="str">
        <x:v>Município/localidade encontrado em fonte comparável, mas valor não fecha exatamente</x:v>
      </x:c>
      <x:c r="X575" s="489" t="str">
        <x:v>https://discricionarias.transferegov.sistema.gov.br/voluntarias/ConsultarProposta/ResultadoDaConsultaDeConvenioSelecionarConvenio.do?sequencialConvenio=916864&amp;Usr=guest&amp;Pwd=guest | https://discricionarias.transferegov.sistema.gov.br/voluntarias/ConsultarProposta/ResultadoDaConsultaDeConvenioSelecionarConvenio.do?sequencialConvenio=920455&amp;Usr=guest&amp;Pwd=guest</x:v>
      </x:c>
    </x:row>
    <x:row r="576">
      <x:c r="A576" s="502" t="n">
        <x:v>576</x:v>
      </x:c>
      <x:c r="B576" s="502" t="n">
        <x:v>2023</x:v>
      </x:c>
      <x:c r="C576" s="489" t="str">
        <x:v>Santo Antônio da Patrulha</x:v>
      </x:c>
      <x:c r="D576" s="489" t="str">
        <x:v>Prefeitura</x:v>
      </x:c>
      <x:c r="E576" s="489" t="str">
        <x:v>Prefeitura de Santo Antônio da Patrulha</x:v>
      </x:c>
      <x:c r="F576" s="489" t="str"/>
      <x:c r="G576" s="489" t="str"/>
      <x:c r="H576" s="489" t="str">
        <x:v>Sem nº conciliado</x:v>
      </x:c>
      <x:c r="I576" s="503" t="n">
        <x:v>400000</x:v>
      </x:c>
      <x:c r="J576" s="503" t="n">
        <x:v>471500</x:v>
      </x:c>
      <x:c r="K576" s="489" t="str">
        <x:v>Emenda Individual</x:v>
      </x:c>
      <x:c r="L576" s="489" t="str">
        <x:v>Empenhado</x:v>
      </x:c>
      <x:c r="M576" s="503" t="n">
        <x:v>0</x:v>
      </x:c>
      <x:c r="N576" s="503" t="n">
        <x:v>0</x:v>
      </x:c>
      <x:c r="O576" s="503" t="n">
        <x:v>0</x:v>
      </x:c>
      <x:c r="P576" s="503" t="n">
        <x:v>0</x:v>
      </x:c>
      <x:c r="Q576" s="503" t="n">
        <x:v>0</x:v>
      </x:c>
      <x:c r="R576" s="489" t="str"/>
      <x:c r="S576" s="489" t="str"/>
      <x:c r="T576" s="489" t="str">
        <x:v>SEM Nº / NÃO CONCILIADO</x:v>
      </x:c>
      <x:c r="U576" s="489" t="str">
        <x:v>Média</x:v>
      </x:c>
      <x:c r="V576" s="489" t="str"/>
      <x:c r="W576" s="489" t="str"/>
      <x:c r="X576" s="489" t="str"/>
    </x:row>
    <x:row r="577">
      <x:c r="A577" s="502" t="n">
        <x:v>577</x:v>
      </x:c>
      <x:c r="B577" s="502" t="n">
        <x:v>2023</x:v>
      </x:c>
      <x:c r="C577" s="489" t="str">
        <x:v>Presidente Lucena</x:v>
      </x:c>
      <x:c r="D577" s="489" t="str">
        <x:v>Prefeitura</x:v>
      </x:c>
      <x:c r="E577" s="489" t="str">
        <x:v>Prefeitura de Presidente Lucena</x:v>
      </x:c>
      <x:c r="F577" s="489" t="str"/>
      <x:c r="G577" s="489" t="str"/>
      <x:c r="H577" s="489" t="str">
        <x:v>Sem nº conciliado</x:v>
      </x:c>
      <x:c r="I577" s="503" t="n">
        <x:v>400000</x:v>
      </x:c>
      <x:c r="J577" s="503" t="n">
        <x:v>400000</x:v>
      </x:c>
      <x:c r="K577" s="489" t="str">
        <x:v>Emenda Individual</x:v>
      </x:c>
      <x:c r="L577" s="489" t="str">
        <x:v>Empenhado</x:v>
      </x:c>
      <x:c r="M577" s="503" t="n">
        <x:v>0</x:v>
      </x:c>
      <x:c r="N577" s="503" t="n">
        <x:v>0</x:v>
      </x:c>
      <x:c r="O577" s="503" t="n">
        <x:v>0</x:v>
      </x:c>
      <x:c r="P577" s="503" t="n">
        <x:v>0</x:v>
      </x:c>
      <x:c r="Q577" s="503" t="n">
        <x:v>0</x:v>
      </x:c>
      <x:c r="R577" s="489" t="str"/>
      <x:c r="S577" s="489" t="str"/>
      <x:c r="T577" s="489" t="str">
        <x:v>SEM Nº / NÃO CONCILIADO</x:v>
      </x:c>
      <x:c r="U577" s="489" t="str">
        <x:v>Média</x:v>
      </x:c>
      <x:c r="V577" s="489" t="str"/>
      <x:c r="W577" s="489" t="str"/>
      <x:c r="X577" s="489" t="str"/>
    </x:row>
    <x:row r="578">
      <x:c r="A578" s="502" t="n">
        <x:v>578</x:v>
      </x:c>
      <x:c r="B578" s="502" t="n">
        <x:v>2023</x:v>
      </x:c>
      <x:c r="C578" s="489" t="str">
        <x:v>Tapejara</x:v>
      </x:c>
      <x:c r="D578" s="489" t="str">
        <x:v>Prefeitura</x:v>
      </x:c>
      <x:c r="E578" s="489" t="str">
        <x:v>Prefeitura de Tapejara</x:v>
      </x:c>
      <x:c r="F578" s="489" t="str"/>
      <x:c r="G578" s="489" t="str">
        <x:v>41160001-2023</x:v>
      </x:c>
      <x:c r="H578" s="489" t="str">
        <x:v>Inferido forte (SIGA/PIX)</x:v>
      </x:c>
      <x:c r="I578" s="503" t="n">
        <x:v>400000</x:v>
      </x:c>
      <x:c r="J578" s="503" t="n">
        <x:v>400000</x:v>
      </x:c>
      <x:c r="K578" s="489" t="str">
        <x:v>Emenda Individual</x:v>
      </x:c>
      <x:c r="L578" s="489" t="str">
        <x:v>Recurso pago</x:v>
      </x:c>
      <x:c r="M578" s="503" t="n">
        <x:v>400000</x:v>
      </x:c>
      <x:c r="N578" s="503" t="n">
        <x:v>0</x:v>
      </x:c>
      <x:c r="O578" s="503" t="n">
        <x:v>0</x:v>
      </x:c>
      <x:c r="P578" s="503" t="n">
        <x:v>400000</x:v>
      </x:c>
      <x:c r="Q578" s="503" t="n">
        <x:v>0</x:v>
      </x:c>
      <x:c r="R578" s="489" t="str">
        <x:v>CIENTE</x:v>
      </x:c>
      <x:c r="S578" s="489" t="str">
        <x:v>87615449000142</x:v>
      </x:c>
      <x:c r="T578" s="489" t="str">
        <x:v>CONFIRMADO</x:v>
      </x:c>
      <x:c r="U578" s="489" t="str">
        <x:v>Baixa</x:v>
      </x:c>
      <x:c r="V578" s="489" t="str">
        <x:v>Preencher nº como 41160001 com marcação de inferência (ano+município+valor exatos em SIGA/PIX); CNPJ candidato na fonte SIGA: 87615449000142</x:v>
      </x:c>
      <x:c r="W578" s="489" t="str">
        <x:v>nº ausente; inferido por coincidência exata de cidade e valor em SIGA favorecido, PIX; Valor do grupo fecha com: SIGA pago favorecido, PIX atual</x:v>
      </x:c>
      <x:c r="X578" s="489" t="str">
        <x:v>https://especiais.transferegov.sistema.gov.br/transferencia-especial/plano-acao/detalhe/38353/dados-basicos</x:v>
      </x:c>
    </x:row>
    <x:row r="579">
      <x:c r="A579" s="502" t="n">
        <x:v>579</x:v>
      </x:c>
      <x:c r="B579" s="502" t="n">
        <x:v>2024</x:v>
      </x:c>
      <x:c r="C579" s="489" t="str">
        <x:v>Alvorada</x:v>
      </x:c>
      <x:c r="D579" s="489" t="str">
        <x:v>Prefeitura Municipal de Alvorada</x:v>
      </x:c>
      <x:c r="E579" s="489" t="str">
        <x:v>Prefeitura Municipal</x:v>
      </x:c>
      <x:c r="F579" s="489" t="str">
        <x:v>41160001</x:v>
      </x:c>
      <x:c r="G579" s="489" t="str">
        <x:v>41160001-2024</x:v>
      </x:c>
      <x:c r="H579" s="489" t="str">
        <x:v>Informado/corrigido a partir do mapa</x:v>
      </x:c>
      <x:c r="I579" s="503" t="n">
        <x:v>400000</x:v>
      </x:c>
      <x:c r="J579" s="503" t="n">
        <x:v>400000</x:v>
      </x:c>
      <x:c r="K579" s="489" t="str">
        <x:v>Emenda Individual</x:v>
      </x:c>
      <x:c r="L579" s="489"/>
      <x:c r="M579" s="503" t="n">
        <x:v>400000</x:v>
      </x:c>
      <x:c r="N579" s="503" t="n">
        <x:v>0</x:v>
      </x:c>
      <x:c r="O579" s="503" t="n">
        <x:v>0</x:v>
      </x:c>
      <x:c r="P579" s="503" t="n">
        <x:v>0</x:v>
      </x:c>
      <x:c r="Q579" s="503" t="n">
        <x:v>0</x:v>
      </x:c>
      <x:c r="R579" s="489" t="str"/>
      <x:c r="S579" s="489" t="str">
        <x:v>14069503000128</x:v>
      </x:c>
      <x:c r="T579" s="489" t="str">
        <x:v>CONFIRMADO</x:v>
      </x:c>
      <x:c r="U579" s="489" t="str">
        <x:v>Baixa</x:v>
      </x:c>
      <x:c r="V579" s="489" t="str">
        <x:v>Preencher situação: há pagamento identificado na fonte pública; CNPJ candidato na fonte SIGA: 14069503000128</x:v>
      </x:c>
      <x:c r="W579" s="489" t="str">
        <x:v>Valor do grupo fecha com: SIGA pago favorecido</x:v>
      </x:c>
      <x:c r="X579" s="489" t="str"/>
    </x:row>
    <x:row r="580">
      <x:c r="A580" s="502" t="n">
        <x:v>580</x:v>
      </x:c>
      <x:c r="B580" s="502" t="n">
        <x:v>2024</x:v>
      </x:c>
      <x:c r="C580" s="489" t="str">
        <x:v>Igrejinha</x:v>
      </x:c>
      <x:c r="D580" s="489" t="str">
        <x:v>Prefeitura Municipal de Igrejinha</x:v>
      </x:c>
      <x:c r="E580" s="489" t="str">
        <x:v>Prefeitura Municipal</x:v>
      </x:c>
      <x:c r="F580" s="489" t="str">
        <x:v>41160001</x:v>
      </x:c>
      <x:c r="G580" s="489" t="str">
        <x:v>41160001-2024</x:v>
      </x:c>
      <x:c r="H580" s="489" t="str">
        <x:v>Informado/corrigido a partir do mapa</x:v>
      </x:c>
      <x:c r="I580" s="503" t="n">
        <x:v>400000</x:v>
      </x:c>
      <x:c r="J580" s="503" t="n">
        <x:v>400000</x:v>
      </x:c>
      <x:c r="K580" s="489" t="str">
        <x:v>Emenda Individual</x:v>
      </x:c>
      <x:c r="L580" s="489"/>
      <x:c r="M580" s="503" t="n">
        <x:v>400000</x:v>
      </x:c>
      <x:c r="N580" s="503" t="n">
        <x:v>0</x:v>
      </x:c>
      <x:c r="O580" s="503" t="n">
        <x:v>0</x:v>
      </x:c>
      <x:c r="P580" s="503" t="n">
        <x:v>0</x:v>
      </x:c>
      <x:c r="Q580" s="503" t="n">
        <x:v>0</x:v>
      </x:c>
      <x:c r="R580" s="489" t="str"/>
      <x:c r="S580" s="489" t="str">
        <x:v>12121651000119</x:v>
      </x:c>
      <x:c r="T580" s="489" t="str">
        <x:v>CONFIRMADO</x:v>
      </x:c>
      <x:c r="U580" s="489" t="str">
        <x:v>Baixa</x:v>
      </x:c>
      <x:c r="V580" s="489" t="str">
        <x:v>Preencher situação: há pagamento identificado na fonte pública; CNPJ candidato na fonte SIGA: 12121651000119</x:v>
      </x:c>
      <x:c r="W580" s="489" t="str">
        <x:v>Valor do grupo fecha com: SIGA pago favorecido</x:v>
      </x:c>
      <x:c r="X580" s="489" t="str"/>
    </x:row>
    <x:row r="581">
      <x:c r="A581" s="502" t="n">
        <x:v>581</x:v>
      </x:c>
      <x:c r="B581" s="502" t="n">
        <x:v>2024</x:v>
      </x:c>
      <x:c r="C581" s="489" t="str">
        <x:v>São Luiz Gonzaga</x:v>
      </x:c>
      <x:c r="D581" s="489" t="str">
        <x:v>Prefeitura Municipal de São Luiz Gonzaga</x:v>
      </x:c>
      <x:c r="E581" s="489" t="str">
        <x:v>Prefeitura Municipal</x:v>
      </x:c>
      <x:c r="F581" s="489" t="str">
        <x:v>41160001</x:v>
      </x:c>
      <x:c r="G581" s="489" t="str">
        <x:v>41160001-2024</x:v>
      </x:c>
      <x:c r="H581" s="489" t="str">
        <x:v>Informado/corrigido a partir do mapa</x:v>
      </x:c>
      <x:c r="I581" s="503" t="n">
        <x:v>400000</x:v>
      </x:c>
      <x:c r="J581" s="503" t="n">
        <x:v>400000</x:v>
      </x:c>
      <x:c r="K581" s="489" t="str">
        <x:v>Emenda Individual</x:v>
      </x:c>
      <x:c r="L581" s="489"/>
      <x:c r="M581" s="503" t="n">
        <x:v>400000</x:v>
      </x:c>
      <x:c r="N581" s="503" t="n">
        <x:v>0</x:v>
      </x:c>
      <x:c r="O581" s="503" t="n">
        <x:v>0</x:v>
      </x:c>
      <x:c r="P581" s="503" t="n">
        <x:v>0</x:v>
      </x:c>
      <x:c r="Q581" s="503" t="n">
        <x:v>0</x:v>
      </x:c>
      <x:c r="R581" s="489" t="str"/>
      <x:c r="S581" s="489" t="str">
        <x:v>12118280000116</x:v>
      </x:c>
      <x:c r="T581" s="489" t="str">
        <x:v>CONFIRMADO</x:v>
      </x:c>
      <x:c r="U581" s="489" t="str">
        <x:v>Baixa</x:v>
      </x:c>
      <x:c r="V581" s="489" t="str">
        <x:v>Preencher situação: há pagamento identificado na fonte pública; CNPJ candidato na fonte SIGA: 12118280000116</x:v>
      </x:c>
      <x:c r="W581" s="489" t="str">
        <x:v>Valor do grupo fecha com: SIGA pago favorecido</x:v>
      </x:c>
      <x:c r="X581" s="489" t="str"/>
    </x:row>
    <x:row r="582">
      <x:c r="A582" s="502" t="n">
        <x:v>582</x:v>
      </x:c>
      <x:c r="B582" s="502" t="n">
        <x:v>2025</x:v>
      </x:c>
      <x:c r="C582" s="489" t="str">
        <x:v>Sinimbu</x:v>
      </x:c>
      <x:c r="D582" s="489" t="str">
        <x:v>Municipio De Sinimbu Sinimbu - Rs</x:v>
      </x:c>
      <x:c r="E582" s="489" t="str">
        <x:v>Prefeitura Municipal</x:v>
      </x:c>
      <x:c r="F582" s="489" t="str">
        <x:v>41160005</x:v>
      </x:c>
      <x:c r="G582" s="489" t="str">
        <x:v>41160005-2025</x:v>
      </x:c>
      <x:c r="H582" s="489" t="str">
        <x:v>Informado/corrigido a partir do mapa</x:v>
      </x:c>
      <x:c r="I582" s="503" t="n">
        <x:v>400000</x:v>
      </x:c>
      <x:c r="J582" s="503" t="n">
        <x:v>400000</x:v>
      </x:c>
      <x:c r="K582" s="489" t="str">
        <x:v>Emenda Individual</x:v>
      </x:c>
      <x:c r="L582" s="489"/>
      <x:c r="M582" s="503" t="n">
        <x:v>384205</x:v>
      </x:c>
      <x:c r="N582" s="503" t="n">
        <x:v>384205</x:v>
      </x:c>
      <x:c r="O582" s="503" t="n">
        <x:v>384205</x:v>
      </x:c>
      <x:c r="P582" s="503" t="n">
        <x:v>0</x:v>
      </x:c>
      <x:c r="Q582" s="503" t="n">
        <x:v>0</x:v>
      </x:c>
      <x:c r="R582" s="489" t="str"/>
      <x:c r="S582" s="489" t="str">
        <x:v>94577632000166</x:v>
      </x:c>
      <x:c r="T582" s="489" t="str">
        <x:v>VALOR DIVERGENTE / COBERTURA DIFERENTE</x:v>
      </x:c>
      <x:c r="U582" s="489" t="str">
        <x:v>Média</x:v>
      </x:c>
      <x:c r="V582" s="489" t="str">
        <x:v>Preencher situação: há pagamento identificado na fonte pública</x:v>
      </x:c>
      <x:c r="W582" s="489" t="str">
        <x:v>Município/localidade encontrado em fonte comparável, mas valor não fecha exatamente</x:v>
      </x:c>
      <x:c r="X582" s="489" t="str">
        <x:v>https://discricionarias.transferegov.sistema.gov.br/voluntarias/ConsultarProposta/ResultadoDaConsultaDeConvenioSelecionarConvenio.do?sequencialConvenio=975906&amp;Usr=guest&amp;Pwd=guest</x:v>
      </x:c>
    </x:row>
    <x:row r="583">
      <x:c r="A583" s="502" t="n">
        <x:v>583</x:v>
      </x:c>
      <x:c r="B583" s="502" t="n">
        <x:v>2025</x:v>
      </x:c>
      <x:c r="C583" s="489" t="str">
        <x:v>Erechim</x:v>
      </x:c>
      <x:c r="D583" s="489" t="str">
        <x:v>Municipio De Erechim Erechim - Rs</x:v>
      </x:c>
      <x:c r="E583" s="489" t="str">
        <x:v>Prefeitura Municipal</x:v>
      </x:c>
      <x:c r="F583" s="489" t="str">
        <x:v>41160005</x:v>
      </x:c>
      <x:c r="G583" s="489" t="str">
        <x:v>41160005-2025</x:v>
      </x:c>
      <x:c r="H583" s="489" t="str">
        <x:v>Informado/corrigido a partir do mapa</x:v>
      </x:c>
      <x:c r="I583" s="503" t="n">
        <x:v>400000</x:v>
      </x:c>
      <x:c r="J583" s="503" t="n">
        <x:v>400000</x:v>
      </x:c>
      <x:c r="K583" s="489" t="str">
        <x:v>Emenda Individual</x:v>
      </x:c>
      <x:c r="L583" s="489"/>
      <x:c r="M583" s="503" t="n">
        <x:v>384205</x:v>
      </x:c>
      <x:c r="N583" s="503" t="n">
        <x:v>384205</x:v>
      </x:c>
      <x:c r="O583" s="503" t="n">
        <x:v>384205</x:v>
      </x:c>
      <x:c r="P583" s="503" t="n">
        <x:v>0</x:v>
      </x:c>
      <x:c r="Q583" s="503" t="n">
        <x:v>0</x:v>
      </x:c>
      <x:c r="R583" s="489" t="str"/>
      <x:c r="S583" s="489" t="str">
        <x:v>87613477000120</x:v>
      </x:c>
      <x:c r="T583" s="489" t="str">
        <x:v>VALOR DIVERGENTE / COBERTURA DIFERENTE</x:v>
      </x:c>
      <x:c r="U583" s="489" t="str">
        <x:v>Média</x:v>
      </x:c>
      <x:c r="V583" s="489" t="str">
        <x:v>Preencher situação: há pagamento identificado na fonte pública</x:v>
      </x:c>
      <x:c r="W583" s="489" t="str">
        <x:v>Município/localidade encontrado em fonte comparável, mas valor não fecha exatamente</x:v>
      </x:c>
      <x:c r="X583" s="489" t="str">
        <x:v>https://discricionarias.transferegov.sistema.gov.br/voluntarias/ConsultarProposta/ResultadoDaConsultaDeConvenioSelecionarConvenio.do?sequencialConvenio=976252&amp;Usr=guest&amp;Pwd=guest</x:v>
      </x:c>
    </x:row>
    <x:row r="584">
      <x:c r="A584" s="502" t="n">
        <x:v>584</x:v>
      </x:c>
      <x:c r="B584" s="502" t="n">
        <x:v>2025</x:v>
      </x:c>
      <x:c r="C584" s="489" t="str">
        <x:v>Espumoso</x:v>
      </x:c>
      <x:c r="D584" s="489" t="str">
        <x:v>Municipio De Espumoso Espumoso - Rs</x:v>
      </x:c>
      <x:c r="E584" s="489" t="str">
        <x:v>Prefeitura Municipal</x:v>
      </x:c>
      <x:c r="F584" s="489" t="str">
        <x:v>41160005</x:v>
      </x:c>
      <x:c r="G584" s="489" t="str">
        <x:v>41160005-2025</x:v>
      </x:c>
      <x:c r="H584" s="489" t="str">
        <x:v>Informado/corrigido a partir do mapa</x:v>
      </x:c>
      <x:c r="I584" s="503" t="n">
        <x:v>400000</x:v>
      </x:c>
      <x:c r="J584" s="503" t="n">
        <x:v>400000</x:v>
      </x:c>
      <x:c r="K584" s="489" t="str">
        <x:v>Emenda Individual</x:v>
      </x:c>
      <x:c r="L584" s="489"/>
      <x:c r="M584" s="503" t="n">
        <x:v>384205</x:v>
      </x:c>
      <x:c r="N584" s="503" t="n">
        <x:v>384205</x:v>
      </x:c>
      <x:c r="O584" s="503" t="n">
        <x:v>384205</x:v>
      </x:c>
      <x:c r="P584" s="503" t="n">
        <x:v>0</x:v>
      </x:c>
      <x:c r="Q584" s="503" t="n">
        <x:v>0</x:v>
      </x:c>
      <x:c r="R584" s="489" t="str"/>
      <x:c r="S584" s="489" t="str">
        <x:v>87612743000109</x:v>
      </x:c>
      <x:c r="T584" s="489" t="str">
        <x:v>VALOR DIVERGENTE / COBERTURA DIFERENTE</x:v>
      </x:c>
      <x:c r="U584" s="489" t="str">
        <x:v>Média</x:v>
      </x:c>
      <x:c r="V584" s="489" t="str">
        <x:v>Preencher situação: há pagamento identificado na fonte pública</x:v>
      </x:c>
      <x:c r="W584" s="489" t="str">
        <x:v>Município/localidade encontrado em fonte comparável, mas valor não fecha exatamente</x:v>
      </x:c>
      <x:c r="X584" s="489" t="str">
        <x:v>https://discricionarias.transferegov.sistema.gov.br/voluntarias/ConsultarProposta/ResultadoDaConsultaDeConvenioSelecionarConvenio.do?sequencialConvenio=976029&amp;Usr=guest&amp;Pwd=guest</x:v>
      </x:c>
    </x:row>
    <x:row r="585">
      <x:c r="A585" s="502" t="n">
        <x:v>585</x:v>
      </x:c>
      <x:c r="B585" s="502" t="n">
        <x:v>2025</x:v>
      </x:c>
      <x:c r="C585" s="489" t="str">
        <x:v>Porto Mauá</x:v>
      </x:c>
      <x:c r="D585" s="489" t="str">
        <x:v>Municipio De Porto Maua Porto Mauá - Rs</x:v>
      </x:c>
      <x:c r="E585" s="489" t="str">
        <x:v>Prefeitura Municipal</x:v>
      </x:c>
      <x:c r="F585" s="489" t="str">
        <x:v>41160005</x:v>
      </x:c>
      <x:c r="G585" s="489" t="str">
        <x:v>41160005-2025</x:v>
      </x:c>
      <x:c r="H585" s="489" t="str">
        <x:v>Informado/corrigido a partir do mapa</x:v>
      </x:c>
      <x:c r="I585" s="503" t="n">
        <x:v>400000</x:v>
      </x:c>
      <x:c r="J585" s="503" t="n">
        <x:v>400000</x:v>
      </x:c>
      <x:c r="K585" s="489" t="str">
        <x:v>Emenda Individual</x:v>
      </x:c>
      <x:c r="L585" s="489"/>
      <x:c r="M585" s="503" t="n">
        <x:v>0</x:v>
      </x:c>
      <x:c r="N585" s="503" t="n">
        <x:v>384205</x:v>
      </x:c>
      <x:c r="O585" s="503" t="n">
        <x:v>0</x:v>
      </x:c>
      <x:c r="P585" s="503" t="n">
        <x:v>0</x:v>
      </x:c>
      <x:c r="Q585" s="503" t="n">
        <x:v>0</x:v>
      </x:c>
      <x:c r="R585" s="489" t="str"/>
      <x:c r="S585" s="489" t="str"/>
      <x:c r="T585" s="489" t="str">
        <x:v>DESTINO/INSTRUMENTO CONFIRMADO; VALOR NÃO COMPARÁVEL</x:v>
      </x:c>
      <x:c r="U585" s="489" t="str">
        <x:v>Média</x:v>
      </x:c>
      <x:c r="V585" s="489" t="str"/>
      <x:c r="W585" s="489" t="str">
        <x:v>Há instrumento do Transferegov para a emenda/município; valores do instrumento não foram usados como prova do valor da emenda</x:v>
      </x:c>
      <x:c r="X585" s="489" t="str">
        <x:v>https://discricionarias.transferegov.sistema.gov.br/voluntarias/ConsultarProposta/ResultadoDaConsultaDeConvenioSelecionarConvenio.do?sequencialConvenio=976025&amp;Usr=guest&amp;Pwd=guest</x:v>
      </x:c>
    </x:row>
    <x:row r="586">
      <x:c r="A586" s="502" t="n">
        <x:v>586</x:v>
      </x:c>
      <x:c r="B586" s="502" t="n">
        <x:v>2025</x:v>
      </x:c>
      <x:c r="C586" s="489" t="str">
        <x:v>Santiago</x:v>
      </x:c>
      <x:c r="D586" s="489" t="str">
        <x:v>Municipio De Santiago Santiago - Rs</x:v>
      </x:c>
      <x:c r="E586" s="489" t="str">
        <x:v>Prefeitura Municipal</x:v>
      </x:c>
      <x:c r="F586" s="489" t="str">
        <x:v>41160005</x:v>
      </x:c>
      <x:c r="G586" s="489" t="str">
        <x:v>41160005-2025</x:v>
      </x:c>
      <x:c r="H586" s="489" t="str">
        <x:v>Informado/corrigido a partir do mapa</x:v>
      </x:c>
      <x:c r="I586" s="503" t="n">
        <x:v>400000</x:v>
      </x:c>
      <x:c r="J586" s="503" t="n">
        <x:v>400000</x:v>
      </x:c>
      <x:c r="K586" s="489" t="str">
        <x:v>Emenda Individual</x:v>
      </x:c>
      <x:c r="L586" s="489"/>
      <x:c r="M586" s="503" t="n">
        <x:v>0</x:v>
      </x:c>
      <x:c r="N586" s="503" t="n">
        <x:v>384205</x:v>
      </x:c>
      <x:c r="O586" s="503" t="n">
        <x:v>0</x:v>
      </x:c>
      <x:c r="P586" s="503" t="n">
        <x:v>0</x:v>
      </x:c>
      <x:c r="Q586" s="503" t="n">
        <x:v>0</x:v>
      </x:c>
      <x:c r="R586" s="489" t="str"/>
      <x:c r="S586" s="489" t="str"/>
      <x:c r="T586" s="489" t="str">
        <x:v>DESTINO/INSTRUMENTO CONFIRMADO; VALOR NÃO COMPARÁVEL</x:v>
      </x:c>
      <x:c r="U586" s="489" t="str">
        <x:v>Média</x:v>
      </x:c>
      <x:c r="V586" s="489" t="str"/>
      <x:c r="W586" s="489" t="str">
        <x:v>Há instrumento do Transferegov para a emenda/município; valores do instrumento não foram usados como prova do valor da emenda</x:v>
      </x:c>
      <x:c r="X586" s="489" t="str">
        <x:v>https://discricionarias.transferegov.sistema.gov.br/voluntarias/ConsultarProposta/ResultadoDaConsultaDeConvenioSelecionarConvenio.do?sequencialConvenio=976205&amp;Usr=guest&amp;Pwd=guest</x:v>
      </x:c>
    </x:row>
    <x:row r="587">
      <x:c r="A587" s="502" t="n">
        <x:v>587</x:v>
      </x:c>
      <x:c r="B587" s="502" t="n">
        <x:v>2025</x:v>
      </x:c>
      <x:c r="C587" s="489" t="str">
        <x:v>Taquara</x:v>
      </x:c>
      <x:c r="D587" s="489" t="str">
        <x:v>Municipio De Taquara Taquara - Rs</x:v>
      </x:c>
      <x:c r="E587" s="489" t="str">
        <x:v>Prefeitura Municipal</x:v>
      </x:c>
      <x:c r="F587" s="489" t="str">
        <x:v>41160005</x:v>
      </x:c>
      <x:c r="G587" s="489" t="str">
        <x:v>41160005-2025</x:v>
      </x:c>
      <x:c r="H587" s="489" t="str">
        <x:v>Informado/corrigido a partir do mapa</x:v>
      </x:c>
      <x:c r="I587" s="503" t="n">
        <x:v>400000</x:v>
      </x:c>
      <x:c r="J587" s="503" t="n">
        <x:v>400000</x:v>
      </x:c>
      <x:c r="K587" s="489" t="str">
        <x:v>Emenda Individual</x:v>
      </x:c>
      <x:c r="L587" s="489"/>
      <x:c r="M587" s="503" t="n">
        <x:v>0</x:v>
      </x:c>
      <x:c r="N587" s="503" t="n">
        <x:v>384205</x:v>
      </x:c>
      <x:c r="O587" s="503" t="n">
        <x:v>0</x:v>
      </x:c>
      <x:c r="P587" s="503" t="n">
        <x:v>0</x:v>
      </x:c>
      <x:c r="Q587" s="503" t="n">
        <x:v>0</x:v>
      </x:c>
      <x:c r="R587" s="489" t="str"/>
      <x:c r="S587" s="489" t="str"/>
      <x:c r="T587" s="489" t="str">
        <x:v>DESTINO/INSTRUMENTO CONFIRMADO; VALOR NÃO COMPARÁVEL</x:v>
      </x:c>
      <x:c r="U587" s="489" t="str">
        <x:v>Média</x:v>
      </x:c>
      <x:c r="V587" s="489" t="str"/>
      <x:c r="W587" s="489" t="str">
        <x:v>Há instrumento do Transferegov para a emenda/município; valores do instrumento não foram usados como prova do valor da emenda</x:v>
      </x:c>
      <x:c r="X587" s="489" t="str">
        <x:v>https://discricionarias.transferegov.sistema.gov.br/voluntarias/ConsultarProposta/ResultadoDaConsultaDeConvenioSelecionarConvenio.do?sequencialConvenio=976027&amp;Usr=guest&amp;Pwd=guest</x:v>
      </x:c>
    </x:row>
    <x:row r="588">
      <x:c r="A588" s="502" t="n">
        <x:v>588</x:v>
      </x:c>
      <x:c r="B588" s="502" t="n">
        <x:v>2025</x:v>
      </x:c>
      <x:c r="C588" s="489" t="str">
        <x:v>Santa Maria</x:v>
      </x:c>
      <x:c r="D588" s="489" t="str">
        <x:v>Municipio De Santa Maria Santa Maria - Rs</x:v>
      </x:c>
      <x:c r="E588" s="489" t="str">
        <x:v>Prefeitura Municipal</x:v>
      </x:c>
      <x:c r="F588" s="489" t="str">
        <x:v>41160008</x:v>
      </x:c>
      <x:c r="G588" s="489" t="str">
        <x:v>41160008-2025</x:v>
      </x:c>
      <x:c r="H588" s="489" t="str">
        <x:v>Informado/corrigido a partir do mapa</x:v>
      </x:c>
      <x:c r="I588" s="503" t="n">
        <x:v>400000</x:v>
      </x:c>
      <x:c r="J588" s="503" t="n">
        <x:v>400000</x:v>
      </x:c>
      <x:c r="K588" s="489" t="str">
        <x:v>Emenda Individual</x:v>
      </x:c>
      <x:c r="L588" s="489"/>
      <x:c r="M588" s="503" t="n">
        <x:v>396000</x:v>
      </x:c>
      <x:c r="N588" s="503" t="n">
        <x:v>0</x:v>
      </x:c>
      <x:c r="O588" s="503" t="n">
        <x:v>0</x:v>
      </x:c>
      <x:c r="P588" s="503" t="n">
        <x:v>396000</x:v>
      </x:c>
      <x:c r="Q588" s="503" t="n">
        <x:v>0</x:v>
      </x:c>
      <x:c r="R588" s="489" t="str">
        <x:v>CIENTE</x:v>
      </x:c>
      <x:c r="S588" s="489" t="str">
        <x:v>88488366000100</x:v>
      </x:c>
      <x:c r="T588" s="489" t="str">
        <x:v>VALOR DIVERGENTE / COBERTURA DIFERENTE</x:v>
      </x:c>
      <x:c r="U588" s="489" t="str">
        <x:v>Média</x:v>
      </x:c>
      <x:c r="V588" s="489" t="str">
        <x:v>Revisar valor do grupo: PIX atual registra R$ 396,000.00; Atualizar situação com status do plano PIX: CIENTE (não equivale a pagamento)</x:v>
      </x:c>
      <x:c r="W588" s="489" t="str">
        <x:v>Município/localidade encontrado em fonte comparável, mas valor não fecha exatamente</x:v>
      </x:c>
      <x:c r="X588" s="489" t="str">
        <x:v>https://especiais.transferegov.sistema.gov.br/transferencia-especial/plano-acao/detalhe/83999/dados-basicos</x:v>
      </x:c>
    </x:row>
    <x:row r="589">
      <x:c r="A589" s="502" t="n">
        <x:v>589</x:v>
      </x:c>
      <x:c r="B589" s="502" t="n">
        <x:v>2025</x:v>
      </x:c>
      <x:c r="C589" s="489" t="str">
        <x:v>Santo Ângelo</x:v>
      </x:c>
      <x:c r="D589" s="489" t="str">
        <x:v>Municipio De Santo Angelo Santo Ângelo - Rs</x:v>
      </x:c>
      <x:c r="E589" s="489" t="str">
        <x:v>Prefeitura Municipal</x:v>
      </x:c>
      <x:c r="F589" s="489" t="str">
        <x:v>41160008</x:v>
      </x:c>
      <x:c r="G589" s="489" t="str">
        <x:v>41160008-2025</x:v>
      </x:c>
      <x:c r="H589" s="489" t="str">
        <x:v>Informado/corrigido a partir do mapa</x:v>
      </x:c>
      <x:c r="I589" s="503" t="n">
        <x:v>400000</x:v>
      </x:c>
      <x:c r="J589" s="503" t="n">
        <x:v>400000</x:v>
      </x:c>
      <x:c r="K589" s="489" t="str">
        <x:v>Emenda Individual</x:v>
      </x:c>
      <x:c r="L589" s="489"/>
      <x:c r="M589" s="503" t="n">
        <x:v>396000</x:v>
      </x:c>
      <x:c r="N589" s="503" t="n">
        <x:v>0</x:v>
      </x:c>
      <x:c r="O589" s="503" t="n">
        <x:v>0</x:v>
      </x:c>
      <x:c r="P589" s="503" t="n">
        <x:v>396000</x:v>
      </x:c>
      <x:c r="Q589" s="503" t="n">
        <x:v>0</x:v>
      </x:c>
      <x:c r="R589" s="489" t="str">
        <x:v>CIENTE</x:v>
      </x:c>
      <x:c r="S589" s="489" t="str">
        <x:v>87613071000148</x:v>
      </x:c>
      <x:c r="T589" s="489" t="str">
        <x:v>VALOR DIVERGENTE / COBERTURA DIFERENTE</x:v>
      </x:c>
      <x:c r="U589" s="489" t="str">
        <x:v>Média</x:v>
      </x:c>
      <x:c r="V589" s="489" t="str">
        <x:v>Revisar valor do grupo: PIX atual registra R$ 396,000.00; Atualizar situação com status do plano PIX: CIENTE (não equivale a pagamento)</x:v>
      </x:c>
      <x:c r="W589" s="489" t="str">
        <x:v>Município/localidade encontrado em fonte comparável, mas valor não fecha exatamente</x:v>
      </x:c>
      <x:c r="X589" s="489" t="str">
        <x:v>https://especiais.transferegov.sistema.gov.br/transferencia-especial/plano-acao/detalhe/83989/dados-basicos</x:v>
      </x:c>
    </x:row>
    <x:row r="590">
      <x:c r="A590" s="502" t="n">
        <x:v>590</x:v>
      </x:c>
      <x:c r="B590" s="502" t="n">
        <x:v>2025</x:v>
      </x:c>
      <x:c r="C590" s="489" t="str">
        <x:v>Uruguaiana</x:v>
      </x:c>
      <x:c r="D590" s="489" t="str">
        <x:v>Municipio De Uruguaiana Uruguaiana - Rs</x:v>
      </x:c>
      <x:c r="E590" s="489" t="str">
        <x:v>Prefeitura Municipal</x:v>
      </x:c>
      <x:c r="F590" s="489" t="str">
        <x:v>41160008</x:v>
      </x:c>
      <x:c r="G590" s="489" t="str">
        <x:v>41160008-2025</x:v>
      </x:c>
      <x:c r="H590" s="489" t="str">
        <x:v>Informado/corrigido a partir do mapa</x:v>
      </x:c>
      <x:c r="I590" s="503" t="n">
        <x:v>400000</x:v>
      </x:c>
      <x:c r="J590" s="503" t="n">
        <x:v>400000</x:v>
      </x:c>
      <x:c r="K590" s="489" t="str">
        <x:v>Emenda Individual</x:v>
      </x:c>
      <x:c r="L590" s="489"/>
      <x:c r="M590" s="503" t="n">
        <x:v>396000</x:v>
      </x:c>
      <x:c r="N590" s="503" t="n">
        <x:v>0</x:v>
      </x:c>
      <x:c r="O590" s="503" t="n">
        <x:v>0</x:v>
      </x:c>
      <x:c r="P590" s="503" t="n">
        <x:v>396000</x:v>
      </x:c>
      <x:c r="Q590" s="503" t="n">
        <x:v>0</x:v>
      </x:c>
      <x:c r="R590" s="489" t="str">
        <x:v>CIENTE</x:v>
      </x:c>
      <x:c r="S590" s="489" t="str">
        <x:v>88131164000107</x:v>
      </x:c>
      <x:c r="T590" s="489" t="str">
        <x:v>VALOR DIVERGENTE / COBERTURA DIFERENTE</x:v>
      </x:c>
      <x:c r="U590" s="489" t="str">
        <x:v>Média</x:v>
      </x:c>
      <x:c r="V590" s="489" t="str">
        <x:v>Revisar valor do grupo: PIX atual registra R$ 396,000.00; Atualizar situação com status do plano PIX: CIENTE (não equivale a pagamento)</x:v>
      </x:c>
      <x:c r="W590" s="489" t="str">
        <x:v>Município/localidade encontrado em fonte comparável, mas valor não fecha exatamente</x:v>
      </x:c>
      <x:c r="X590" s="489" t="str">
        <x:v>https://especiais.transferegov.sistema.gov.br/transferencia-especial/plano-acao/detalhe/84002/dados-basicos</x:v>
      </x:c>
    </x:row>
    <x:row r="591">
      <x:c r="A591" s="502" t="n">
        <x:v>591</x:v>
      </x:c>
      <x:c r="B591" s="502" t="n">
        <x:v>2025</x:v>
      </x:c>
      <x:c r="C591" s="489" t="str">
        <x:v>Vespasiano Corrêa</x:v>
      </x:c>
      <x:c r="D591" s="489" t="str">
        <x:v>Municipio De Vespasiano Correa Vespasiano Corrêa - Rs</x:v>
      </x:c>
      <x:c r="E591" s="489" t="str">
        <x:v>Prefeitura Municipal</x:v>
      </x:c>
      <x:c r="F591" s="489" t="str">
        <x:v>41160007</x:v>
      </x:c>
      <x:c r="G591" s="489" t="str">
        <x:v>41160007-2025</x:v>
      </x:c>
      <x:c r="H591" s="489" t="str">
        <x:v>Informado/corrigido a partir do mapa</x:v>
      </x:c>
      <x:c r="I591" s="503" t="n">
        <x:v>400000</x:v>
      </x:c>
      <x:c r="J591" s="503" t="n">
        <x:v>400000</x:v>
      </x:c>
      <x:c r="K591" s="489" t="str">
        <x:v>Emenda Individual</x:v>
      </x:c>
      <x:c r="L591" s="489"/>
      <x:c r="M591" s="503" t="n">
        <x:v>396000</x:v>
      </x:c>
      <x:c r="N591" s="503" t="n">
        <x:v>0</x:v>
      </x:c>
      <x:c r="O591" s="503" t="n">
        <x:v>0</x:v>
      </x:c>
      <x:c r="P591" s="503" t="n">
        <x:v>396000</x:v>
      </x:c>
      <x:c r="Q591" s="503" t="n">
        <x:v>0</x:v>
      </x:c>
      <x:c r="R591" s="489" t="str">
        <x:v>CIENTE</x:v>
      </x:c>
      <x:c r="S591" s="489" t="str">
        <x:v>01611117000174</x:v>
      </x:c>
      <x:c r="T591" s="489" t="str">
        <x:v>VALOR DIVERGENTE / COBERTURA DIFERENTE</x:v>
      </x:c>
      <x:c r="U591" s="489" t="str">
        <x:v>Média</x:v>
      </x:c>
      <x:c r="V591" s="489" t="str">
        <x:v>Revisar valor do grupo: PIX atual registra R$ 396,000.00; Atualizar situação com status do plano PIX: CIENTE (não equivale a pagamento)</x:v>
      </x:c>
      <x:c r="W591" s="489" t="str">
        <x:v>Município/localidade encontrado em fonte comparável, mas valor não fecha exatamente</x:v>
      </x:c>
      <x:c r="X591" s="489" t="str">
        <x:v>https://especiais.transferegov.sistema.gov.br/transferencia-especial/plano-acao/detalhe/81245/dados-basicos</x:v>
      </x:c>
    </x:row>
    <x:row r="592">
      <x:c r="A592" s="502" t="n">
        <x:v>592</x:v>
      </x:c>
      <x:c r="B592" s="502" t="n">
        <x:v>2026</x:v>
      </x:c>
      <x:c r="C592" s="489" t="str">
        <x:v>Alto Feliz</x:v>
      </x:c>
      <x:c r="D592" s="489" t="str">
        <x:v>Alto Feliz</x:v>
      </x:c>
      <x:c r="E592" s="489"/>
      <x:c r="F592" s="489" t="str">
        <x:v>41160012</x:v>
      </x:c>
      <x:c r="G592" s="489" t="str">
        <x:v>41160012-2026</x:v>
      </x:c>
      <x:c r="H592" s="489" t="str">
        <x:v>Informado/corrigido a partir do mapa</x:v>
      </x:c>
      <x:c r="I592" s="503" t="n">
        <x:v>400000</x:v>
      </x:c>
      <x:c r="J592" s="503" t="n">
        <x:v>400000</x:v>
      </x:c>
      <x:c r="K592" s="489" t="str">
        <x:v>Emenda individual</x:v>
      </x:c>
      <x:c r="L592" s="489"/>
      <x:c r="M592" s="503" t="n">
        <x:v>0</x:v>
      </x:c>
      <x:c r="N592" s="503" t="n">
        <x:v>389864</x:v>
      </x:c>
      <x:c r="O592" s="503" t="n">
        <x:v>0</x:v>
      </x:c>
      <x:c r="P592" s="503" t="n">
        <x:v>0</x:v>
      </x:c>
      <x:c r="Q592" s="503" t="n">
        <x:v>0</x:v>
      </x:c>
      <x:c r="R592" s="489" t="str"/>
      <x:c r="S592" s="489" t="str"/>
      <x:c r="T592" s="489" t="str">
        <x:v>DESTINO/INSTRUMENTO CONFIRMADO; VALOR NÃO COMPARÁVEL</x:v>
      </x:c>
      <x:c r="U592" s="489" t="str">
        <x:v>Média</x:v>
      </x:c>
      <x:c r="V592" s="489" t="str"/>
      <x:c r="W592" s="489" t="str">
        <x:v>Há instrumento do Transferegov para a emenda/município; valores do instrumento não foram usados como prova do valor da emenda</x:v>
      </x:c>
      <x:c r="X592" s="489" t="str">
        <x:v>https://discricionarias.transferegov.sistema.gov.br/voluntarias/ConsultarProposta/ResultadoDaConsultaDeConvenioSelecionarConvenio.do?sequencialConvenio=993561&amp;Usr=guest&amp;Pwd=guest</x:v>
      </x:c>
    </x:row>
    <x:row r="593">
      <x:c r="A593" s="502" t="n">
        <x:v>593</x:v>
      </x:c>
      <x:c r="B593" s="502" t="n">
        <x:v>2026</x:v>
      </x:c>
      <x:c r="C593" s="489" t="str">
        <x:v>Bossoroca</x:v>
      </x:c>
      <x:c r="D593" s="489" t="str">
        <x:v>Bossoroca</x:v>
      </x:c>
      <x:c r="E593" s="489" t="str">
        <x:v>Municipio de Bossoroca</x:v>
      </x:c>
      <x:c r="F593" s="489" t="str">
        <x:v>41160012</x:v>
      </x:c>
      <x:c r="G593" s="489" t="str">
        <x:v>41160012-2026</x:v>
      </x:c>
      <x:c r="H593" s="489" t="str">
        <x:v>Informado/corrigido a partir do mapa</x:v>
      </x:c>
      <x:c r="I593" s="503" t="n">
        <x:v>400000</x:v>
      </x:c>
      <x:c r="J593" s="503" t="n">
        <x:v>400000</x:v>
      </x:c>
      <x:c r="K593" s="489" t="str">
        <x:v>Emenda individual</x:v>
      </x:c>
      <x:c r="L593" s="489"/>
      <x:c r="M593" s="503" t="n">
        <x:v>0</x:v>
      </x:c>
      <x:c r="N593" s="503" t="n">
        <x:v>389864</x:v>
      </x:c>
      <x:c r="O593" s="503" t="n">
        <x:v>0</x:v>
      </x:c>
      <x:c r="P593" s="503" t="n">
        <x:v>0</x:v>
      </x:c>
      <x:c r="Q593" s="503" t="n">
        <x:v>0</x:v>
      </x:c>
      <x:c r="R593" s="489" t="str"/>
      <x:c r="S593" s="489" t="str"/>
      <x:c r="T593" s="489" t="str">
        <x:v>DESTINO/INSTRUMENTO CONFIRMADO; VALOR NÃO COMPARÁVEL</x:v>
      </x:c>
      <x:c r="U593" s="489" t="str">
        <x:v>Média</x:v>
      </x:c>
      <x:c r="V593" s="489" t="str"/>
      <x:c r="W593" s="489" t="str">
        <x:v>Há instrumento do Transferegov para a emenda/município; valores do instrumento não foram usados como prova do valor da emenda</x:v>
      </x:c>
      <x:c r="X593" s="489" t="str">
        <x:v>https://discricionarias.transferegov.sistema.gov.br/voluntarias/ConsultarProposta/ResultadoDaConsultaDeConvenioSelecionarConvenio.do?sequencialConvenio=997088&amp;Usr=guest&amp;Pwd=guest</x:v>
      </x:c>
    </x:row>
    <x:row r="594">
      <x:c r="A594" s="502" t="n">
        <x:v>594</x:v>
      </x:c>
      <x:c r="B594" s="502" t="n">
        <x:v>2026</x:v>
      </x:c>
      <x:c r="C594" s="489" t="str">
        <x:v>Campina das Missões</x:v>
      </x:c>
      <x:c r="D594" s="489" t="str">
        <x:v>Campina das Missões</x:v>
      </x:c>
      <x:c r="E594" s="489" t="str">
        <x:v>Municipio de Campina Das Missoes</x:v>
      </x:c>
      <x:c r="F594" s="489" t="str">
        <x:v>41160012</x:v>
      </x:c>
      <x:c r="G594" s="489" t="str">
        <x:v>41160012-2026</x:v>
      </x:c>
      <x:c r="H594" s="489" t="str">
        <x:v>Informado/corrigido a partir do mapa</x:v>
      </x:c>
      <x:c r="I594" s="503" t="n">
        <x:v>400000</x:v>
      </x:c>
      <x:c r="J594" s="503" t="n">
        <x:v>400000</x:v>
      </x:c>
      <x:c r="K594" s="489" t="str">
        <x:v>Emenda individual</x:v>
      </x:c>
      <x:c r="L594" s="489"/>
      <x:c r="M594" s="503" t="n">
        <x:v>0</x:v>
      </x:c>
      <x:c r="N594" s="503" t="n">
        <x:v>389864</x:v>
      </x:c>
      <x:c r="O594" s="503" t="n">
        <x:v>0</x:v>
      </x:c>
      <x:c r="P594" s="503" t="n">
        <x:v>0</x:v>
      </x:c>
      <x:c r="Q594" s="503" t="n">
        <x:v>0</x:v>
      </x:c>
      <x:c r="R594" s="489" t="str"/>
      <x:c r="S594" s="489" t="str"/>
      <x:c r="T594" s="489" t="str">
        <x:v>DESTINO/INSTRUMENTO CONFIRMADO; VALOR NÃO COMPARÁVEL</x:v>
      </x:c>
      <x:c r="U594" s="489" t="str">
        <x:v>Média</x:v>
      </x:c>
      <x:c r="V594" s="489" t="str"/>
      <x:c r="W594" s="489" t="str">
        <x:v>Há instrumento do Transferegov para a emenda/município; valores do instrumento não foram usados como prova do valor da emenda</x:v>
      </x:c>
      <x:c r="X594" s="489" t="str">
        <x:v>https://discricionarias.transferegov.sistema.gov.br/voluntarias/ConsultarProposta/ResultadoDaConsultaDeConvenioSelecionarConvenio.do?sequencialConvenio=994384&amp;Usr=guest&amp;Pwd=guest</x:v>
      </x:c>
    </x:row>
    <x:row r="595">
      <x:c r="A595" s="502" t="n">
        <x:v>595</x:v>
      </x:c>
      <x:c r="B595" s="502" t="n">
        <x:v>2026</x:v>
      </x:c>
      <x:c r="C595" s="489" t="str">
        <x:v>Capela de Santana</x:v>
      </x:c>
      <x:c r="D595" s="489" t="str">
        <x:v>Capela de Santana</x:v>
      </x:c>
      <x:c r="E595" s="489" t="str">
        <x:v>Municipio de Capela de Santana</x:v>
      </x:c>
      <x:c r="F595" s="489" t="str">
        <x:v>41160012</x:v>
      </x:c>
      <x:c r="G595" s="489" t="str">
        <x:v>41160012-2026</x:v>
      </x:c>
      <x:c r="H595" s="489" t="str">
        <x:v>Informado/corrigido a partir do mapa</x:v>
      </x:c>
      <x:c r="I595" s="503" t="n">
        <x:v>400000</x:v>
      </x:c>
      <x:c r="J595" s="503" t="n">
        <x:v>400000</x:v>
      </x:c>
      <x:c r="K595" s="489" t="str">
        <x:v>Emenda individual</x:v>
      </x:c>
      <x:c r="L595" s="489"/>
      <x:c r="M595" s="503" t="n">
        <x:v>0</x:v>
      </x:c>
      <x:c r="N595" s="503" t="n">
        <x:v>389864</x:v>
      </x:c>
      <x:c r="O595" s="503" t="n">
        <x:v>0</x:v>
      </x:c>
      <x:c r="P595" s="503" t="n">
        <x:v>0</x:v>
      </x:c>
      <x:c r="Q595" s="503" t="n">
        <x:v>0</x:v>
      </x:c>
      <x:c r="R595" s="489" t="str"/>
      <x:c r="S595" s="489" t="str"/>
      <x:c r="T595" s="489" t="str">
        <x:v>DESTINO/INSTRUMENTO CONFIRMADO; VALOR NÃO COMPARÁVEL</x:v>
      </x:c>
      <x:c r="U595" s="489" t="str">
        <x:v>Média</x:v>
      </x:c>
      <x:c r="V595" s="489" t="str"/>
      <x:c r="W595" s="489" t="str">
        <x:v>Há instrumento do Transferegov para a emenda/município; valores do instrumento não foram usados como prova do valor da emenda</x:v>
      </x:c>
      <x:c r="X595" s="489" t="str">
        <x:v>https://discricionarias.transferegov.sistema.gov.br/voluntarias/ConsultarProposta/ResultadoDaConsultaDeConvenioSelecionarConvenio.do?sequencialConvenio=994982&amp;Usr=guest&amp;Pwd=guest</x:v>
      </x:c>
    </x:row>
    <x:row r="596">
      <x:c r="A596" s="502" t="n">
        <x:v>596</x:v>
      </x:c>
      <x:c r="B596" s="502" t="n">
        <x:v>2026</x:v>
      </x:c>
      <x:c r="C596" s="489" t="str">
        <x:v>Casca</x:v>
      </x:c>
      <x:c r="D596" s="489" t="str">
        <x:v>Casca</x:v>
      </x:c>
      <x:c r="E596" s="489" t="str">
        <x:v>Municipio de Casca</x:v>
      </x:c>
      <x:c r="F596" s="489" t="str">
        <x:v>41160012</x:v>
      </x:c>
      <x:c r="G596" s="489" t="str">
        <x:v>41160012-2026</x:v>
      </x:c>
      <x:c r="H596" s="489" t="str">
        <x:v>Informado/corrigido a partir do mapa</x:v>
      </x:c>
      <x:c r="I596" s="503" t="n">
        <x:v>400000</x:v>
      </x:c>
      <x:c r="J596" s="503" t="n">
        <x:v>400000</x:v>
      </x:c>
      <x:c r="K596" s="489" t="str">
        <x:v>Emenda individual</x:v>
      </x:c>
      <x:c r="L596" s="489"/>
      <x:c r="M596" s="503" t="n">
        <x:v>0</x:v>
      </x:c>
      <x:c r="N596" s="503" t="n">
        <x:v>389864</x:v>
      </x:c>
      <x:c r="O596" s="503" t="n">
        <x:v>0</x:v>
      </x:c>
      <x:c r="P596" s="503" t="n">
        <x:v>0</x:v>
      </x:c>
      <x:c r="Q596" s="503" t="n">
        <x:v>0</x:v>
      </x:c>
      <x:c r="R596" s="489" t="str"/>
      <x:c r="S596" s="489" t="str"/>
      <x:c r="T596" s="489" t="str">
        <x:v>DESTINO/INSTRUMENTO CONFIRMADO; VALOR NÃO COMPARÁVEL</x:v>
      </x:c>
      <x:c r="U596" s="489" t="str">
        <x:v>Média</x:v>
      </x:c>
      <x:c r="V596" s="489" t="str"/>
      <x:c r="W596" s="489" t="str">
        <x:v>Há instrumento do Transferegov para a emenda/município; valores do instrumento não foram usados como prova do valor da emenda</x:v>
      </x:c>
      <x:c r="X596" s="489" t="str">
        <x:v>https://discricionarias.transferegov.sistema.gov.br/voluntarias/ConsultarProposta/ResultadoDaConsultaDeConvenioSelecionarConvenio.do?sequencialConvenio=993688&amp;Usr=guest&amp;Pwd=guest</x:v>
      </x:c>
    </x:row>
    <x:row r="597">
      <x:c r="A597" s="502" t="n">
        <x:v>597</x:v>
      </x:c>
      <x:c r="B597" s="502" t="n">
        <x:v>2026</x:v>
      </x:c>
      <x:c r="C597" s="489" t="str">
        <x:v>Ibiaçá</x:v>
      </x:c>
      <x:c r="D597" s="489" t="str">
        <x:v>Ibiaçá</x:v>
      </x:c>
      <x:c r="E597" s="489" t="str">
        <x:v>Municipio de Ibiaca</x:v>
      </x:c>
      <x:c r="F597" s="489" t="str">
        <x:v>41160012</x:v>
      </x:c>
      <x:c r="G597" s="489" t="str">
        <x:v>41160012-2026</x:v>
      </x:c>
      <x:c r="H597" s="489" t="str">
        <x:v>Informado/corrigido a partir do mapa</x:v>
      </x:c>
      <x:c r="I597" s="503" t="n">
        <x:v>400000</x:v>
      </x:c>
      <x:c r="J597" s="503" t="n">
        <x:v>400000</x:v>
      </x:c>
      <x:c r="K597" s="489" t="str">
        <x:v>Emenda individual</x:v>
      </x:c>
      <x:c r="L597" s="489"/>
      <x:c r="M597" s="503" t="n">
        <x:v>0</x:v>
      </x:c>
      <x:c r="N597" s="503" t="n">
        <x:v>779728</x:v>
      </x:c>
      <x:c r="O597" s="503" t="n">
        <x:v>389864</x:v>
      </x:c>
      <x:c r="P597" s="503" t="n">
        <x:v>0</x:v>
      </x:c>
      <x:c r="Q597" s="503" t="n">
        <x:v>0</x:v>
      </x:c>
      <x:c r="R597" s="489" t="str"/>
      <x:c r="S597" s="489" t="str"/>
      <x:c r="T597" s="489" t="str">
        <x:v>DESTINO/INSTRUMENTO CONFIRMADO; VALOR NÃO COMPARÁVEL</x:v>
      </x:c>
      <x:c r="U597" s="489" t="str">
        <x:v>Média</x:v>
      </x:c>
      <x:c r="V597" s="489" t="str"/>
      <x:c r="W597" s="489" t="str">
        <x:v>Há instrumento do Transferegov para a emenda/município; valores do instrumento não foram usados como prova do valor da emenda</x:v>
      </x:c>
      <x:c r="X597" s="489" t="str">
        <x:v>https://discricionarias.transferegov.sistema.gov.br/voluntarias/ConsultarProposta/ResultadoDaConsultaDeConvenioSelecionarConvenio.do?sequencialConvenio=993911&amp;Usr=guest&amp;Pwd=guest</x:v>
      </x:c>
    </x:row>
    <x:row r="598">
      <x:c r="A598" s="502" t="n">
        <x:v>598</x:v>
      </x:c>
      <x:c r="B598" s="502" t="n">
        <x:v>2026</x:v>
      </x:c>
      <x:c r="C598" s="489" t="str">
        <x:v>Morro Reuter</x:v>
      </x:c>
      <x:c r="D598" s="489" t="str">
        <x:v>Morro Reuter</x:v>
      </x:c>
      <x:c r="E598" s="489" t="str">
        <x:v>Municipio de Morro Reuter</x:v>
      </x:c>
      <x:c r="F598" s="489" t="str">
        <x:v>41160012</x:v>
      </x:c>
      <x:c r="G598" s="489" t="str">
        <x:v>41160012-2026</x:v>
      </x:c>
      <x:c r="H598" s="489" t="str">
        <x:v>Informado/corrigido a partir do mapa</x:v>
      </x:c>
      <x:c r="I598" s="503" t="n">
        <x:v>400000</x:v>
      </x:c>
      <x:c r="J598" s="503" t="n">
        <x:v>400000</x:v>
      </x:c>
      <x:c r="K598" s="489" t="str">
        <x:v>Emenda individual</x:v>
      </x:c>
      <x:c r="L598" s="489"/>
      <x:c r="M598" s="503" t="n">
        <x:v>0</x:v>
      </x:c>
      <x:c r="N598" s="503" t="n">
        <x:v>389864</x:v>
      </x:c>
      <x:c r="O598" s="503" t="n">
        <x:v>0</x:v>
      </x:c>
      <x:c r="P598" s="503" t="n">
        <x:v>0</x:v>
      </x:c>
      <x:c r="Q598" s="503" t="n">
        <x:v>0</x:v>
      </x:c>
      <x:c r="R598" s="489" t="str"/>
      <x:c r="S598" s="489" t="str"/>
      <x:c r="T598" s="489" t="str">
        <x:v>DESTINO/INSTRUMENTO CONFIRMADO; VALOR NÃO COMPARÁVEL</x:v>
      </x:c>
      <x:c r="U598" s="489" t="str">
        <x:v>Média</x:v>
      </x:c>
      <x:c r="V598" s="489" t="str"/>
      <x:c r="W598" s="489" t="str">
        <x:v>Há instrumento do Transferegov para a emenda/município; valores do instrumento não foram usados como prova do valor da emenda</x:v>
      </x:c>
      <x:c r="X598" s="489" t="str">
        <x:v>https://discricionarias.transferegov.sistema.gov.br/voluntarias/ConsultarProposta/ResultadoDaConsultaDeConvenioSelecionarConvenio.do?sequencialConvenio=993559&amp;Usr=guest&amp;Pwd=guest</x:v>
      </x:c>
    </x:row>
    <x:row r="599">
      <x:c r="A599" s="502" t="n">
        <x:v>599</x:v>
      </x:c>
      <x:c r="B599" s="502" t="n">
        <x:v>2026</x:v>
      </x:c>
      <x:c r="C599" s="489" t="str">
        <x:v>Mostardas</x:v>
      </x:c>
      <x:c r="D599" s="489" t="str">
        <x:v>Mostardas</x:v>
      </x:c>
      <x:c r="E599" s="489" t="str">
        <x:v>Municipio de Mostardas</x:v>
      </x:c>
      <x:c r="F599" s="489" t="str">
        <x:v>41160012</x:v>
      </x:c>
      <x:c r="G599" s="489" t="str">
        <x:v>41160012-2026</x:v>
      </x:c>
      <x:c r="H599" s="489" t="str">
        <x:v>Informado/corrigido a partir do mapa</x:v>
      </x:c>
      <x:c r="I599" s="503" t="n">
        <x:v>400000</x:v>
      </x:c>
      <x:c r="J599" s="503" t="n">
        <x:v>400000</x:v>
      </x:c>
      <x:c r="K599" s="489" t="str">
        <x:v>Emenda individual</x:v>
      </x:c>
      <x:c r="L599" s="489"/>
      <x:c r="M599" s="503" t="n">
        <x:v>0</x:v>
      </x:c>
      <x:c r="N599" s="503" t="n">
        <x:v>389864</x:v>
      </x:c>
      <x:c r="O599" s="503" t="n">
        <x:v>0</x:v>
      </x:c>
      <x:c r="P599" s="503" t="n">
        <x:v>0</x:v>
      </x:c>
      <x:c r="Q599" s="503" t="n">
        <x:v>0</x:v>
      </x:c>
      <x:c r="R599" s="489" t="str"/>
      <x:c r="S599" s="489" t="str"/>
      <x:c r="T599" s="489" t="str">
        <x:v>DESTINO/INSTRUMENTO CONFIRMADO; VALOR NÃO COMPARÁVEL</x:v>
      </x:c>
      <x:c r="U599" s="489" t="str">
        <x:v>Média</x:v>
      </x:c>
      <x:c r="V599" s="489" t="str"/>
      <x:c r="W599" s="489" t="str">
        <x:v>Há instrumento do Transferegov para a emenda/município; valores do instrumento não foram usados como prova do valor da emenda</x:v>
      </x:c>
      <x:c r="X599" s="489" t="str">
        <x:v>https://discricionarias.transferegov.sistema.gov.br/voluntarias/ConsultarProposta/ResultadoDaConsultaDeConvenioSelecionarConvenio.do?sequencialConvenio=993562&amp;Usr=guest&amp;Pwd=guest</x:v>
      </x:c>
    </x:row>
    <x:row r="600">
      <x:c r="A600" s="502" t="n">
        <x:v>600</x:v>
      </x:c>
      <x:c r="B600" s="502" t="n">
        <x:v>2026</x:v>
      </x:c>
      <x:c r="C600" s="489" t="str">
        <x:v>Passo Fundo</x:v>
      </x:c>
      <x:c r="D600" s="489" t="str">
        <x:v>Passo Fundo</x:v>
      </x:c>
      <x:c r="E600" s="489" t="str">
        <x:v>Municipio de Passo Fundo</x:v>
      </x:c>
      <x:c r="F600" s="489" t="str">
        <x:v>41160012</x:v>
      </x:c>
      <x:c r="G600" s="489" t="str">
        <x:v>41160012-2026</x:v>
      </x:c>
      <x:c r="H600" s="489" t="str">
        <x:v>Informado/corrigido a partir do mapa</x:v>
      </x:c>
      <x:c r="I600" s="503" t="n">
        <x:v>400000</x:v>
      </x:c>
      <x:c r="J600" s="503" t="n">
        <x:v>400000</x:v>
      </x:c>
      <x:c r="K600" s="489" t="str">
        <x:v>Emenda individual</x:v>
      </x:c>
      <x:c r="L600" s="489"/>
      <x:c r="M600" s="503" t="n">
        <x:v>0</x:v>
      </x:c>
      <x:c r="N600" s="503" t="n">
        <x:v>0</x:v>
      </x:c>
      <x:c r="O600" s="503" t="n">
        <x:v>0</x:v>
      </x:c>
      <x:c r="P600" s="503" t="n">
        <x:v>0</x:v>
      </x:c>
      <x:c r="Q600" s="503" t="n">
        <x:v>0</x:v>
      </x:c>
      <x:c r="R600" s="489" t="str"/>
      <x:c r="S600" s="489" t="str"/>
      <x:c r="T600" s="489" t="str">
        <x:v>EMENDA CONFIRMADA; DESTINO NÃO CONFIRMADO</x:v>
      </x:c>
      <x:c r="U600" s="489" t="str">
        <x:v>Média</x:v>
      </x:c>
      <x:c r="V600" s="489" t="str"/>
      <x:c r="W600" s="489" t="str">
        <x:v>Nº existe no SIGA; destinatário específico não foi confirmado nas bases anexas</x:v>
      </x:c>
      <x:c r="X600" s="489" t="str"/>
    </x:row>
    <x:row r="601">
      <x:c r="A601" s="502" t="n">
        <x:v>601</x:v>
      </x:c>
      <x:c r="B601" s="502" t="n">
        <x:v>2026</x:v>
      </x:c>
      <x:c r="C601" s="489" t="str">
        <x:v>Santiago</x:v>
      </x:c>
      <x:c r="D601" s="489" t="str">
        <x:v>Santiago</x:v>
      </x:c>
      <x:c r="E601" s="489" t="str">
        <x:v>Municipio de Santiago</x:v>
      </x:c>
      <x:c r="F601" s="489" t="str">
        <x:v>41160012</x:v>
      </x:c>
      <x:c r="G601" s="489" t="str">
        <x:v>41160012-2026</x:v>
      </x:c>
      <x:c r="H601" s="489" t="str">
        <x:v>Informado/corrigido a partir do mapa</x:v>
      </x:c>
      <x:c r="I601" s="503" t="n">
        <x:v>400000</x:v>
      </x:c>
      <x:c r="J601" s="503" t="n">
        <x:v>400000</x:v>
      </x:c>
      <x:c r="K601" s="489" t="str">
        <x:v>Emenda individual</x:v>
      </x:c>
      <x:c r="L601" s="489"/>
      <x:c r="M601" s="503" t="n">
        <x:v>0</x:v>
      </x:c>
      <x:c r="N601" s="503" t="n">
        <x:v>389864</x:v>
      </x:c>
      <x:c r="O601" s="503" t="n">
        <x:v>0</x:v>
      </x:c>
      <x:c r="P601" s="503" t="n">
        <x:v>0</x:v>
      </x:c>
      <x:c r="Q601" s="503" t="n">
        <x:v>0</x:v>
      </x:c>
      <x:c r="R601" s="489" t="str"/>
      <x:c r="S601" s="489" t="str"/>
      <x:c r="T601" s="489" t="str">
        <x:v>DESTINO/INSTRUMENTO CONFIRMADO; VALOR NÃO COMPARÁVEL</x:v>
      </x:c>
      <x:c r="U601" s="489" t="str">
        <x:v>Média</x:v>
      </x:c>
      <x:c r="V601" s="489" t="str"/>
      <x:c r="W601" s="489" t="str">
        <x:v>Há instrumento do Transferegov para a emenda/município; valores do instrumento não foram usados como prova do valor da emenda</x:v>
      </x:c>
      <x:c r="X601" s="489" t="str">
        <x:v>https://discricionarias.transferegov.sistema.gov.br/voluntarias/ConsultarProposta/ResultadoDaConsultaDeConvenioSelecionarConvenio.do?sequencialConvenio=993920&amp;Usr=guest&amp;Pwd=guest</x:v>
      </x:c>
    </x:row>
    <x:row r="602">
      <x:c r="A602" s="502" t="n">
        <x:v>602</x:v>
      </x:c>
      <x:c r="B602" s="502" t="n">
        <x:v>2026</x:v>
      </x:c>
      <x:c r="C602" s="489" t="str">
        <x:v>São João do Polêsine</x:v>
      </x:c>
      <x:c r="D602" s="489" t="str">
        <x:v>São João do Polêsine</x:v>
      </x:c>
      <x:c r="E602" s="489" t="str">
        <x:v>Municipio de Sao Joao Do Polesine</x:v>
      </x:c>
      <x:c r="F602" s="489" t="str">
        <x:v>41160012</x:v>
      </x:c>
      <x:c r="G602" s="489" t="str">
        <x:v>41160012-2026</x:v>
      </x:c>
      <x:c r="H602" s="489" t="str">
        <x:v>Informado/corrigido a partir do mapa</x:v>
      </x:c>
      <x:c r="I602" s="503" t="n">
        <x:v>400000</x:v>
      </x:c>
      <x:c r="J602" s="503" t="n">
        <x:v>400000</x:v>
      </x:c>
      <x:c r="K602" s="489" t="str">
        <x:v>Emenda individual</x:v>
      </x:c>
      <x:c r="L602" s="489"/>
      <x:c r="M602" s="503" t="n">
        <x:v>0</x:v>
      </x:c>
      <x:c r="N602" s="503" t="n">
        <x:v>389864</x:v>
      </x:c>
      <x:c r="O602" s="503" t="n">
        <x:v>0</x:v>
      </x:c>
      <x:c r="P602" s="503" t="n">
        <x:v>0</x:v>
      </x:c>
      <x:c r="Q602" s="503" t="n">
        <x:v>0</x:v>
      </x:c>
      <x:c r="R602" s="489" t="str"/>
      <x:c r="S602" s="489" t="str"/>
      <x:c r="T602" s="489" t="str">
        <x:v>DESTINO/INSTRUMENTO CONFIRMADO; VALOR NÃO COMPARÁVEL</x:v>
      </x:c>
      <x:c r="U602" s="489" t="str">
        <x:v>Média</x:v>
      </x:c>
      <x:c r="V602" s="489" t="str"/>
      <x:c r="W602" s="489" t="str">
        <x:v>Há instrumento do Transferegov para a emenda/município; valores do instrumento não foram usados como prova do valor da emenda</x:v>
      </x:c>
      <x:c r="X602" s="489" t="str">
        <x:v>https://discricionarias.transferegov.sistema.gov.br/voluntarias/ConsultarProposta/ResultadoDaConsultaDeConvenioSelecionarConvenio.do?sequencialConvenio=993560&amp;Usr=guest&amp;Pwd=guest</x:v>
      </x:c>
    </x:row>
    <x:row r="603">
      <x:c r="A603" s="502" t="n">
        <x:v>603</x:v>
      </x:c>
      <x:c r="B603" s="502" t="n">
        <x:v>2026</x:v>
      </x:c>
      <x:c r="C603" s="489" t="str">
        <x:v>São Pedro do Sul</x:v>
      </x:c>
      <x:c r="D603" s="489" t="str">
        <x:v>São Pedro do Sul</x:v>
      </x:c>
      <x:c r="E603" s="489" t="str">
        <x:v>Municipio de Sao Pedro Do Sul</x:v>
      </x:c>
      <x:c r="F603" s="489" t="str">
        <x:v>41160012</x:v>
      </x:c>
      <x:c r="G603" s="489" t="str">
        <x:v>41160012-2026</x:v>
      </x:c>
      <x:c r="H603" s="489" t="str">
        <x:v>Informado/corrigido a partir do mapa</x:v>
      </x:c>
      <x:c r="I603" s="503" t="n">
        <x:v>400000</x:v>
      </x:c>
      <x:c r="J603" s="503" t="n">
        <x:v>400000</x:v>
      </x:c>
      <x:c r="K603" s="489" t="str">
        <x:v>Emenda individual</x:v>
      </x:c>
      <x:c r="L603" s="489"/>
      <x:c r="M603" s="503" t="n">
        <x:v>0</x:v>
      </x:c>
      <x:c r="N603" s="503" t="n">
        <x:v>389864</x:v>
      </x:c>
      <x:c r="O603" s="503" t="n">
        <x:v>0</x:v>
      </x:c>
      <x:c r="P603" s="503" t="n">
        <x:v>0</x:v>
      </x:c>
      <x:c r="Q603" s="503" t="n">
        <x:v>0</x:v>
      </x:c>
      <x:c r="R603" s="489" t="str"/>
      <x:c r="S603" s="489" t="str"/>
      <x:c r="T603" s="489" t="str">
        <x:v>DESTINO/INSTRUMENTO CONFIRMADO; VALOR NÃO COMPARÁVEL</x:v>
      </x:c>
      <x:c r="U603" s="489" t="str">
        <x:v>Média</x:v>
      </x:c>
      <x:c r="V603" s="489" t="str"/>
      <x:c r="W603" s="489" t="str">
        <x:v>Há instrumento do Transferegov para a emenda/município; valores do instrumento não foram usados como prova do valor da emenda</x:v>
      </x:c>
      <x:c r="X603" s="489" t="str">
        <x:v>https://discricionarias.transferegov.sistema.gov.br/voluntarias/ConsultarProposta/ResultadoDaConsultaDeConvenioSelecionarConvenio.do?sequencialConvenio=993690&amp;Usr=guest&amp;Pwd=guest</x:v>
      </x:c>
    </x:row>
    <x:row r="604">
      <x:c r="A604" s="502" t="n">
        <x:v>604</x:v>
      </x:c>
      <x:c r="B604" s="502" t="n">
        <x:v>2026</x:v>
      </x:c>
      <x:c r="C604" s="489" t="str">
        <x:v>Canguçu</x:v>
      </x:c>
      <x:c r="D604" s="489" t="str">
        <x:v>Sociedade Beneficente Do Hospital de Caridade</x:v>
      </x:c>
      <x:c r="E604" s="489" t="str">
        <x:v>Hospital de Caridade de Cangucu</x:v>
      </x:c>
      <x:c r="F604" s="489" t="str">
        <x:v>41160003</x:v>
      </x:c>
      <x:c r="G604" s="489" t="str">
        <x:v>41160003-2026</x:v>
      </x:c>
      <x:c r="H604" s="489" t="str">
        <x:v>Informado/corrigido a partir do mapa</x:v>
      </x:c>
      <x:c r="I604" s="503" t="n">
        <x:v>400000</x:v>
      </x:c>
      <x:c r="J604" s="503" t="n">
        <x:v>400000</x:v>
      </x:c>
      <x:c r="K604" s="489" t="str">
        <x:v>Emenda individual</x:v>
      </x:c>
      <x:c r="L604" s="489"/>
      <x:c r="M604" s="503" t="n">
        <x:v>0</x:v>
      </x:c>
      <x:c r="N604" s="503" t="n">
        <x:v>0</x:v>
      </x:c>
      <x:c r="O604" s="503" t="n">
        <x:v>0</x:v>
      </x:c>
      <x:c r="P604" s="503" t="n">
        <x:v>0</x:v>
      </x:c>
      <x:c r="Q604" s="503" t="n">
        <x:v>0</x:v>
      </x:c>
      <x:c r="R604" s="489" t="str"/>
      <x:c r="S604" s="489" t="str"/>
      <x:c r="T604" s="489" t="str">
        <x:v>EMENDA CONFIRMADA; DESTINO NÃO CONFIRMADO</x:v>
      </x:c>
      <x:c r="U604" s="489" t="str">
        <x:v>Média</x:v>
      </x:c>
      <x:c r="V604" s="489" t="str"/>
      <x:c r="W604" s="489" t="str">
        <x:v>Nº existe no SIGA; destinatário específico não foi confirmado nas bases anexas</x:v>
      </x:c>
      <x:c r="X604" s="489" t="str"/>
    </x:row>
    <x:row r="605">
      <x:c r="A605" s="502" t="n">
        <x:v>605</x:v>
      </x:c>
      <x:c r="B605" s="502" t="n">
        <x:v>2026</x:v>
      </x:c>
      <x:c r="C605" s="489" t="str">
        <x:v>Aceguá</x:v>
      </x:c>
      <x:c r="D605" s="489" t="str">
        <x:v>Aceguá</x:v>
      </x:c>
      <x:c r="E605" s="489" t="str">
        <x:v>Municipio de Acegua</x:v>
      </x:c>
      <x:c r="F605" s="489" t="str">
        <x:v>41160008</x:v>
      </x:c>
      <x:c r="G605" s="489" t="str">
        <x:v>41160008-2026</x:v>
      </x:c>
      <x:c r="H605" s="489" t="str">
        <x:v>Informado/corrigido a partir do mapa</x:v>
      </x:c>
      <x:c r="I605" s="503" t="n">
        <x:v>400000</x:v>
      </x:c>
      <x:c r="J605" s="503" t="n">
        <x:v>400000</x:v>
      </x:c>
      <x:c r="K605" s="489" t="str">
        <x:v>Emenda individual</x:v>
      </x:c>
      <x:c r="L605" s="489"/>
      <x:c r="M605" s="503" t="n">
        <x:v>0</x:v>
      </x:c>
      <x:c r="N605" s="503" t="n">
        <x:v>0</x:v>
      </x:c>
      <x:c r="O605" s="503" t="n">
        <x:v>0</x:v>
      </x:c>
      <x:c r="P605" s="503" t="n">
        <x:v>0</x:v>
      </x:c>
      <x:c r="Q605" s="503" t="n">
        <x:v>398000</x:v>
      </x:c>
      <x:c r="R605" s="489" t="str">
        <x:v>IMPEDIDO</x:v>
      </x:c>
      <x:c r="S605" s="489" t="str"/>
      <x:c r="T605" s="489" t="str">
        <x:v>VALOR DIVERGENTE / COBERTURA DIFERENTE</x:v>
      </x:c>
      <x:c r="U605" s="489" t="str">
        <x:v>Média</x:v>
      </x:c>
      <x:c r="V605" s="489" t="str">
        <x:v>Revisar valor do grupo: PIX atual registra R$ 398,000.00; Atualizar situação com status do plano PIX: IMPEDIDO (não equivale a pagamento); Plano PIX aparece somente como IMPEDIDO nas fontes anexas</x:v>
      </x:c>
      <x:c r="W605" s="489" t="str">
        <x:v>Município/localidade encontrado em fonte comparável, mas valor não fecha exatamente</x:v>
      </x:c>
      <x:c r="X605" s="489" t="str">
        <x:v>https://especiais.transferegov.sistema.gov.br/transferencia-especial/plano-acao/detalhe/96518/dados-basicos</x:v>
      </x:c>
    </x:row>
    <x:row r="606">
      <x:c r="A606" s="502" t="n">
        <x:v>606</x:v>
      </x:c>
      <x:c r="B606" s="502" t="n">
        <x:v>2026</x:v>
      </x:c>
      <x:c r="C606" s="489" t="str">
        <x:v>Água Santa</x:v>
      </x:c>
      <x:c r="D606" s="489" t="str">
        <x:v>Água Santa</x:v>
      </x:c>
      <x:c r="E606" s="489" t="str">
        <x:v>Municipio de Agua Santa</x:v>
      </x:c>
      <x:c r="F606" s="489" t="str">
        <x:v>41160008</x:v>
      </x:c>
      <x:c r="G606" s="489" t="str">
        <x:v>41160008-2026</x:v>
      </x:c>
      <x:c r="H606" s="489" t="str">
        <x:v>Informado/corrigido a partir do mapa</x:v>
      </x:c>
      <x:c r="I606" s="503" t="n">
        <x:v>400000</x:v>
      </x:c>
      <x:c r="J606" s="503" t="n">
        <x:v>400000</x:v>
      </x:c>
      <x:c r="K606" s="489" t="str">
        <x:v>Emenda individual</x:v>
      </x:c>
      <x:c r="L606" s="489"/>
      <x:c r="M606" s="503" t="n">
        <x:v>0</x:v>
      </x:c>
      <x:c r="N606" s="503" t="n">
        <x:v>0</x:v>
      </x:c>
      <x:c r="O606" s="503" t="n">
        <x:v>0</x:v>
      </x:c>
      <x:c r="P606" s="503" t="n">
        <x:v>398000</x:v>
      </x:c>
      <x:c r="Q606" s="503" t="n">
        <x:v>0</x:v>
      </x:c>
      <x:c r="R606" s="489" t="str">
        <x:v>CIENTE</x:v>
      </x:c>
      <x:c r="S606" s="489" t="str"/>
      <x:c r="T606" s="489" t="str">
        <x:v>VALOR DIVERGENTE / COBERTURA DIFERENTE</x:v>
      </x:c>
      <x:c r="U606" s="489" t="str">
        <x:v>Média</x:v>
      </x:c>
      <x:c r="V606" s="489" t="str">
        <x:v>Revisar valor do grupo: PIX atual registra R$ 398,000.00; Atualizar situação com status do plano PIX: CIENTE (não equivale a pagamento)</x:v>
      </x:c>
      <x:c r="W606" s="489" t="str">
        <x:v>Município/localidade encontrado em fonte comparável, mas valor não fecha exatamente</x:v>
      </x:c>
      <x:c r="X606" s="489" t="str">
        <x:v>https://especiais.transferegov.sistema.gov.br/transferencia-especial/plano-acao/detalhe/96527/dados-basicos</x:v>
      </x:c>
    </x:row>
    <x:row r="607">
      <x:c r="A607" s="502" t="n">
        <x:v>607</x:v>
      </x:c>
      <x:c r="B607" s="502" t="n">
        <x:v>2026</x:v>
      </x:c>
      <x:c r="C607" s="489" t="str">
        <x:v>Anta Gorda</x:v>
      </x:c>
      <x:c r="D607" s="489" t="str">
        <x:v>Anta Gorda</x:v>
      </x:c>
      <x:c r="E607" s="489" t="str">
        <x:v>Municipio de Anta Gorda</x:v>
      </x:c>
      <x:c r="F607" s="489" t="str">
        <x:v>41160008</x:v>
      </x:c>
      <x:c r="G607" s="489" t="str">
        <x:v>41160008-2026</x:v>
      </x:c>
      <x:c r="H607" s="489" t="str">
        <x:v>Informado/corrigido a partir do mapa</x:v>
      </x:c>
      <x:c r="I607" s="503" t="n">
        <x:v>400000</x:v>
      </x:c>
      <x:c r="J607" s="503" t="n">
        <x:v>400000</x:v>
      </x:c>
      <x:c r="K607" s="489" t="str">
        <x:v>Emenda individual</x:v>
      </x:c>
      <x:c r="L607" s="489"/>
      <x:c r="M607" s="503" t="n">
        <x:v>398000</x:v>
      </x:c>
      <x:c r="N607" s="503" t="n">
        <x:v>0</x:v>
      </x:c>
      <x:c r="O607" s="503" t="n">
        <x:v>0</x:v>
      </x:c>
      <x:c r="P607" s="503" t="n">
        <x:v>398000</x:v>
      </x:c>
      <x:c r="Q607" s="503" t="n">
        <x:v>0</x:v>
      </x:c>
      <x:c r="R607" s="489" t="str">
        <x:v>CIENTE</x:v>
      </x:c>
      <x:c r="S607" s="489" t="str">
        <x:v>87261509000176</x:v>
      </x:c>
      <x:c r="T607" s="489" t="str">
        <x:v>VALOR DIVERGENTE / COBERTURA DIFERENTE</x:v>
      </x:c>
      <x:c r="U607" s="489" t="str">
        <x:v>Média</x:v>
      </x:c>
      <x:c r="V607" s="489" t="str">
        <x:v>Revisar valor do grupo: PIX atual registra R$ 398,000.00; Atualizar situação com status do plano PIX: CIENTE (não equivale a pagamento)</x:v>
      </x:c>
      <x:c r="W607" s="489" t="str">
        <x:v>Município/localidade encontrado em fonte comparável, mas valor não fecha exatamente</x:v>
      </x:c>
      <x:c r="X607" s="489" t="str">
        <x:v>https://especiais.transferegov.sistema.gov.br/transferencia-especial/plano-acao/detalhe/96528/dados-basicos</x:v>
      </x:c>
    </x:row>
    <x:row r="608">
      <x:c r="A608" s="502" t="n">
        <x:v>608</x:v>
      </x:c>
      <x:c r="B608" s="502" t="n">
        <x:v>2026</x:v>
      </x:c>
      <x:c r="C608" s="489" t="str">
        <x:v>Cerro Largo</x:v>
      </x:c>
      <x:c r="D608" s="489" t="str">
        <x:v>Cerro Largo</x:v>
      </x:c>
      <x:c r="E608" s="489" t="str">
        <x:v>Municipio de Cerro Largo</x:v>
      </x:c>
      <x:c r="F608" s="489" t="str">
        <x:v>41160008</x:v>
      </x:c>
      <x:c r="G608" s="489" t="str">
        <x:v>41160008-2026</x:v>
      </x:c>
      <x:c r="H608" s="489" t="str">
        <x:v>Informado/corrigido a partir do mapa</x:v>
      </x:c>
      <x:c r="I608" s="503" t="n">
        <x:v>400000</x:v>
      </x:c>
      <x:c r="J608" s="503" t="n">
        <x:v>400000</x:v>
      </x:c>
      <x:c r="K608" s="489" t="str">
        <x:v>Emenda individual</x:v>
      </x:c>
      <x:c r="L608" s="489"/>
      <x:c r="M608" s="503" t="n">
        <x:v>398000</x:v>
      </x:c>
      <x:c r="N608" s="503" t="n">
        <x:v>0</x:v>
      </x:c>
      <x:c r="O608" s="503" t="n">
        <x:v>0</x:v>
      </x:c>
      <x:c r="P608" s="503" t="n">
        <x:v>398000</x:v>
      </x:c>
      <x:c r="Q608" s="503" t="n">
        <x:v>0</x:v>
      </x:c>
      <x:c r="R608" s="489" t="str">
        <x:v>CIENTE</x:v>
      </x:c>
      <x:c r="S608" s="489" t="str">
        <x:v>87612990000105</x:v>
      </x:c>
      <x:c r="T608" s="489" t="str">
        <x:v>VALOR DIVERGENTE / COBERTURA DIFERENTE</x:v>
      </x:c>
      <x:c r="U608" s="489" t="str">
        <x:v>Média</x:v>
      </x:c>
      <x:c r="V608" s="489" t="str">
        <x:v>Revisar valor do grupo: PIX atual registra R$ 398,000.00; Atualizar situação com status do plano PIX: CIENTE (não equivale a pagamento)</x:v>
      </x:c>
      <x:c r="W608" s="489" t="str">
        <x:v>Município/localidade encontrado em fonte comparável, mas valor não fecha exatamente</x:v>
      </x:c>
      <x:c r="X608" s="489" t="str">
        <x:v>https://especiais.transferegov.sistema.gov.br/transferencia-especial/plano-acao/detalhe/96519/dados-basicos</x:v>
      </x:c>
    </x:row>
    <x:row r="609">
      <x:c r="A609" s="502" t="n">
        <x:v>609</x:v>
      </x:c>
      <x:c r="B609" s="502" t="n">
        <x:v>2026</x:v>
      </x:c>
      <x:c r="C609" s="489" t="str">
        <x:v>Constantina</x:v>
      </x:c>
      <x:c r="D609" s="489" t="str">
        <x:v>Constantina</x:v>
      </x:c>
      <x:c r="E609" s="489" t="str">
        <x:v>Municipio de Constantina</x:v>
      </x:c>
      <x:c r="F609" s="489" t="str">
        <x:v>41160008</x:v>
      </x:c>
      <x:c r="G609" s="489" t="str">
        <x:v>41160008-2026</x:v>
      </x:c>
      <x:c r="H609" s="489" t="str">
        <x:v>Informado/corrigido a partir do mapa</x:v>
      </x:c>
      <x:c r="I609" s="503" t="n">
        <x:v>400000</x:v>
      </x:c>
      <x:c r="J609" s="503" t="n">
        <x:v>400000</x:v>
      </x:c>
      <x:c r="K609" s="489" t="str">
        <x:v>Emenda individual</x:v>
      </x:c>
      <x:c r="L609" s="489"/>
      <x:c r="M609" s="503" t="n">
        <x:v>398000</x:v>
      </x:c>
      <x:c r="N609" s="503" t="n">
        <x:v>0</x:v>
      </x:c>
      <x:c r="O609" s="503" t="n">
        <x:v>0</x:v>
      </x:c>
      <x:c r="P609" s="503" t="n">
        <x:v>398000</x:v>
      </x:c>
      <x:c r="Q609" s="503" t="n">
        <x:v>0</x:v>
      </x:c>
      <x:c r="R609" s="489" t="str">
        <x:v>CIENTE</x:v>
      </x:c>
      <x:c r="S609" s="489" t="str">
        <x:v>87708889000144</x:v>
      </x:c>
      <x:c r="T609" s="489" t="str">
        <x:v>VALOR DIVERGENTE / COBERTURA DIFERENTE</x:v>
      </x:c>
      <x:c r="U609" s="489" t="str">
        <x:v>Média</x:v>
      </x:c>
      <x:c r="V609" s="489" t="str">
        <x:v>Revisar valor do grupo: PIX atual registra R$ 398,000.00; Atualizar situação com status do plano PIX: CIENTE (não equivale a pagamento)</x:v>
      </x:c>
      <x:c r="W609" s="489" t="str">
        <x:v>Município/localidade encontrado em fonte comparável, mas valor não fecha exatamente</x:v>
      </x:c>
      <x:c r="X609" s="489" t="str">
        <x:v>https://especiais.transferegov.sistema.gov.br/transferencia-especial/plano-acao/detalhe/96520/dados-basicos</x:v>
      </x:c>
    </x:row>
    <x:row r="610">
      <x:c r="A610" s="502" t="n">
        <x:v>610</x:v>
      </x:c>
      <x:c r="B610" s="502" t="n">
        <x:v>2026</x:v>
      </x:c>
      <x:c r="C610" s="489" t="str">
        <x:v>Esteio</x:v>
      </x:c>
      <x:c r="D610" s="489" t="str">
        <x:v>Esteio</x:v>
      </x:c>
      <x:c r="E610" s="489" t="str">
        <x:v>Municipio de Esteio</x:v>
      </x:c>
      <x:c r="F610" s="489" t="str">
        <x:v>41160008</x:v>
      </x:c>
      <x:c r="G610" s="489" t="str">
        <x:v>41160008-2026</x:v>
      </x:c>
      <x:c r="H610" s="489" t="str">
        <x:v>Informado/corrigido a partir do mapa</x:v>
      </x:c>
      <x:c r="I610" s="503" t="n">
        <x:v>400000</x:v>
      </x:c>
      <x:c r="J610" s="503" t="n">
        <x:v>400000</x:v>
      </x:c>
      <x:c r="K610" s="489" t="str">
        <x:v>Emenda individual</x:v>
      </x:c>
      <x:c r="L610" s="489"/>
      <x:c r="M610" s="503" t="n">
        <x:v>398000</x:v>
      </x:c>
      <x:c r="N610" s="503" t="n">
        <x:v>0</x:v>
      </x:c>
      <x:c r="O610" s="503" t="n">
        <x:v>0</x:v>
      </x:c>
      <x:c r="P610" s="503" t="n">
        <x:v>398000</x:v>
      </x:c>
      <x:c r="Q610" s="503" t="n">
        <x:v>0</x:v>
      </x:c>
      <x:c r="R610" s="489" t="str">
        <x:v>CIENTE</x:v>
      </x:c>
      <x:c r="S610" s="489" t="str">
        <x:v>88150495000186</x:v>
      </x:c>
      <x:c r="T610" s="489" t="str">
        <x:v>VALOR DIVERGENTE / COBERTURA DIFERENTE</x:v>
      </x:c>
      <x:c r="U610" s="489" t="str">
        <x:v>Média</x:v>
      </x:c>
      <x:c r="V610" s="489" t="str">
        <x:v>Revisar valor do grupo: PIX atual registra R$ 398,000.00; Atualizar situação com status do plano PIX: CIENTE (não equivale a pagamento)</x:v>
      </x:c>
      <x:c r="W610" s="489" t="str">
        <x:v>Município/localidade encontrado em fonte comparável, mas valor não fecha exatamente</x:v>
      </x:c>
      <x:c r="X610" s="489" t="str">
        <x:v>https://especiais.transferegov.sistema.gov.br/transferencia-especial/plano-acao/detalhe/96525/dados-basicos</x:v>
      </x:c>
    </x:row>
    <x:row r="611">
      <x:c r="A611" s="502" t="n">
        <x:v>611</x:v>
      </x:c>
      <x:c r="B611" s="502" t="n">
        <x:v>2026</x:v>
      </x:c>
      <x:c r="C611" s="489" t="str">
        <x:v>Jacutinga</x:v>
      </x:c>
      <x:c r="D611" s="489" t="str">
        <x:v>Jacutinga</x:v>
      </x:c>
      <x:c r="E611" s="489" t="str">
        <x:v>Municipio de Jacutinga</x:v>
      </x:c>
      <x:c r="F611" s="489" t="str">
        <x:v>41160008</x:v>
      </x:c>
      <x:c r="G611" s="489" t="str">
        <x:v>41160008-2026</x:v>
      </x:c>
      <x:c r="H611" s="489" t="str">
        <x:v>Informado/corrigido a partir do mapa</x:v>
      </x:c>
      <x:c r="I611" s="503" t="n">
        <x:v>400000</x:v>
      </x:c>
      <x:c r="J611" s="503" t="n">
        <x:v>400000</x:v>
      </x:c>
      <x:c r="K611" s="489" t="str">
        <x:v>Emenda individual</x:v>
      </x:c>
      <x:c r="L611" s="489"/>
      <x:c r="M611" s="503" t="n">
        <x:v>398000</x:v>
      </x:c>
      <x:c r="N611" s="503" t="n">
        <x:v>0</x:v>
      </x:c>
      <x:c r="O611" s="503" t="n">
        <x:v>0</x:v>
      </x:c>
      <x:c r="P611" s="503" t="n">
        <x:v>398000</x:v>
      </x:c>
      <x:c r="Q611" s="503" t="n">
        <x:v>0</x:v>
      </x:c>
      <x:c r="R611" s="489" t="str">
        <x:v>CIENTE</x:v>
      </x:c>
      <x:c r="S611" s="489" t="str">
        <x:v>87613394000131</x:v>
      </x:c>
      <x:c r="T611" s="489" t="str">
        <x:v>VALOR DIVERGENTE / COBERTURA DIFERENTE</x:v>
      </x:c>
      <x:c r="U611" s="489" t="str">
        <x:v>Média</x:v>
      </x:c>
      <x:c r="V611" s="489" t="str">
        <x:v>Revisar valor do grupo: PIX atual registra R$ 398,000.00; Atualizar situação com status do plano PIX: CIENTE (não equivale a pagamento)</x:v>
      </x:c>
      <x:c r="W611" s="489" t="str">
        <x:v>Município/localidade encontrado em fonte comparável, mas valor não fecha exatamente</x:v>
      </x:c>
      <x:c r="X611" s="489" t="str">
        <x:v>https://especiais.transferegov.sistema.gov.br/transferencia-especial/plano-acao/detalhe/96521/dados-basicos</x:v>
      </x:c>
    </x:row>
    <x:row r="612">
      <x:c r="A612" s="502" t="n">
        <x:v>612</x:v>
      </x:c>
      <x:c r="B612" s="502" t="n">
        <x:v>2026</x:v>
      </x:c>
      <x:c r="C612" s="489" t="str">
        <x:v>Lavras do Sul</x:v>
      </x:c>
      <x:c r="D612" s="489" t="str">
        <x:v>Lavras do Sul</x:v>
      </x:c>
      <x:c r="E612" s="489" t="str">
        <x:v>Municipio de Lavras Do Sul</x:v>
      </x:c>
      <x:c r="F612" s="489" t="str">
        <x:v>41160008</x:v>
      </x:c>
      <x:c r="G612" s="489" t="str">
        <x:v>41160008-2026</x:v>
      </x:c>
      <x:c r="H612" s="489" t="str">
        <x:v>Informado/corrigido a partir do mapa</x:v>
      </x:c>
      <x:c r="I612" s="503" t="n">
        <x:v>400000</x:v>
      </x:c>
      <x:c r="J612" s="503" t="n">
        <x:v>400000</x:v>
      </x:c>
      <x:c r="K612" s="489" t="str">
        <x:v>Emenda individual</x:v>
      </x:c>
      <x:c r="L612" s="489"/>
      <x:c r="M612" s="503" t="n">
        <x:v>0</x:v>
      </x:c>
      <x:c r="N612" s="503" t="n">
        <x:v>0</x:v>
      </x:c>
      <x:c r="O612" s="503" t="n">
        <x:v>0</x:v>
      </x:c>
      <x:c r="P612" s="503" t="n">
        <x:v>0</x:v>
      </x:c>
      <x:c r="Q612" s="503" t="n">
        <x:v>398000</x:v>
      </x:c>
      <x:c r="R612" s="489" t="str">
        <x:v>IMPEDIDO</x:v>
      </x:c>
      <x:c r="S612" s="489" t="str"/>
      <x:c r="T612" s="489" t="str">
        <x:v>VALOR DIVERGENTE / COBERTURA DIFERENTE</x:v>
      </x:c>
      <x:c r="U612" s="489" t="str">
        <x:v>Média</x:v>
      </x:c>
      <x:c r="V612" s="489" t="str">
        <x:v>Revisar valor do grupo: PIX atual registra R$ 398,000.00; Atualizar situação com status do plano PIX: IMPEDIDO (não equivale a pagamento); Plano PIX aparece somente como IMPEDIDO nas fontes anexas</x:v>
      </x:c>
      <x:c r="W612" s="489" t="str">
        <x:v>Município/localidade encontrado em fonte comparável, mas valor não fecha exatamente</x:v>
      </x:c>
      <x:c r="X612" s="489" t="str">
        <x:v>https://especiais.transferegov.sistema.gov.br/transferencia-especial/plano-acao/detalhe/96512/dados-basicos</x:v>
      </x:c>
    </x:row>
    <x:row r="613">
      <x:c r="A613" s="502" t="n">
        <x:v>613</x:v>
      </x:c>
      <x:c r="B613" s="502" t="n">
        <x:v>2026</x:v>
      </x:c>
      <x:c r="C613" s="489" t="str">
        <x:v>Machadinho</x:v>
      </x:c>
      <x:c r="D613" s="489" t="str">
        <x:v>Machadinho</x:v>
      </x:c>
      <x:c r="E613" s="489" t="str">
        <x:v>Municipio de Machadinho</x:v>
      </x:c>
      <x:c r="F613" s="489" t="str">
        <x:v>41160008</x:v>
      </x:c>
      <x:c r="G613" s="489" t="str">
        <x:v>41160008-2026</x:v>
      </x:c>
      <x:c r="H613" s="489" t="str">
        <x:v>Informado/corrigido a partir do mapa</x:v>
      </x:c>
      <x:c r="I613" s="503" t="n">
        <x:v>400000</x:v>
      </x:c>
      <x:c r="J613" s="503" t="n">
        <x:v>400000</x:v>
      </x:c>
      <x:c r="K613" s="489" t="str">
        <x:v>Emenda individual</x:v>
      </x:c>
      <x:c r="L613" s="489"/>
      <x:c r="M613" s="503" t="n">
        <x:v>398000</x:v>
      </x:c>
      <x:c r="N613" s="503" t="n">
        <x:v>0</x:v>
      </x:c>
      <x:c r="O613" s="503" t="n">
        <x:v>0</x:v>
      </x:c>
      <x:c r="P613" s="503" t="n">
        <x:v>398000</x:v>
      </x:c>
      <x:c r="Q613" s="503" t="n">
        <x:v>0</x:v>
      </x:c>
      <x:c r="R613" s="489" t="str">
        <x:v>CIENTE</x:v>
      </x:c>
      <x:c r="S613" s="489" t="str">
        <x:v>87613576000102</x:v>
      </x:c>
      <x:c r="T613" s="489" t="str">
        <x:v>VALOR DIVERGENTE / COBERTURA DIFERENTE</x:v>
      </x:c>
      <x:c r="U613" s="489" t="str">
        <x:v>Média</x:v>
      </x:c>
      <x:c r="V613" s="489" t="str">
        <x:v>Revisar valor do grupo: PIX atual registra R$ 398,000.00; Atualizar situação com status do plano PIX: CIENTE (não equivale a pagamento)</x:v>
      </x:c>
      <x:c r="W613" s="489" t="str">
        <x:v>Município/localidade encontrado em fonte comparável, mas valor não fecha exatamente</x:v>
      </x:c>
      <x:c r="X613" s="489" t="str">
        <x:v>https://especiais.transferegov.sistema.gov.br/transferencia-especial/plano-acao/detalhe/96513/dados-basicos</x:v>
      </x:c>
    </x:row>
    <x:row r="614">
      <x:c r="A614" s="502" t="n">
        <x:v>614</x:v>
      </x:c>
      <x:c r="B614" s="502" t="n">
        <x:v>2026</x:v>
      </x:c>
      <x:c r="C614" s="489" t="str">
        <x:v>Paraí</x:v>
      </x:c>
      <x:c r="D614" s="489" t="str">
        <x:v>Paraí</x:v>
      </x:c>
      <x:c r="E614" s="489" t="str">
        <x:v>Municipio de Parai</x:v>
      </x:c>
      <x:c r="F614" s="489" t="str">
        <x:v>41160008</x:v>
      </x:c>
      <x:c r="G614" s="489" t="str">
        <x:v>41160008-2026</x:v>
      </x:c>
      <x:c r="H614" s="489" t="str">
        <x:v>Informado/corrigido a partir do mapa</x:v>
      </x:c>
      <x:c r="I614" s="503" t="n">
        <x:v>400000</x:v>
      </x:c>
      <x:c r="J614" s="503" t="n">
        <x:v>400000</x:v>
      </x:c>
      <x:c r="K614" s="489" t="str">
        <x:v>Emenda individual</x:v>
      </x:c>
      <x:c r="L614" s="489"/>
      <x:c r="M614" s="503" t="n">
        <x:v>0</x:v>
      </x:c>
      <x:c r="N614" s="503" t="n">
        <x:v>0</x:v>
      </x:c>
      <x:c r="O614" s="503" t="n">
        <x:v>0</x:v>
      </x:c>
      <x:c r="P614" s="503" t="n">
        <x:v>0</x:v>
      </x:c>
      <x:c r="Q614" s="503" t="n">
        <x:v>398000</x:v>
      </x:c>
      <x:c r="R614" s="489" t="str">
        <x:v>IMPEDIDO</x:v>
      </x:c>
      <x:c r="S614" s="489" t="str"/>
      <x:c r="T614" s="489" t="str">
        <x:v>VALOR DIVERGENTE / COBERTURA DIFERENTE</x:v>
      </x:c>
      <x:c r="U614" s="489" t="str">
        <x:v>Média</x:v>
      </x:c>
      <x:c r="V614" s="489" t="str">
        <x:v>Revisar valor do grupo: PIX atual registra R$ 398,000.00; Atualizar situação com status do plano PIX: IMPEDIDO (não equivale a pagamento); Plano PIX aparece somente como IMPEDIDO nas fontes anexas</x:v>
      </x:c>
      <x:c r="W614" s="489" t="str">
        <x:v>Município/localidade encontrado em fonte comparável, mas valor não fecha exatamente</x:v>
      </x:c>
      <x:c r="X614" s="489" t="str">
        <x:v>https://especiais.transferegov.sistema.gov.br/transferencia-especial/plano-acao/detalhe/96515/dados-basicos</x:v>
      </x:c>
    </x:row>
    <x:row r="615">
      <x:c r="A615" s="502" t="n">
        <x:v>615</x:v>
      </x:c>
      <x:c r="B615" s="502" t="n">
        <x:v>2026</x:v>
      </x:c>
      <x:c r="C615" s="489" t="str">
        <x:v>São Marcos</x:v>
      </x:c>
      <x:c r="D615" s="489" t="str">
        <x:v>São Marcos</x:v>
      </x:c>
      <x:c r="E615" s="489" t="str">
        <x:v>Municipio de Sao Marcos</x:v>
      </x:c>
      <x:c r="F615" s="489" t="str">
        <x:v>41160008</x:v>
      </x:c>
      <x:c r="G615" s="489" t="str">
        <x:v>41160008-2026</x:v>
      </x:c>
      <x:c r="H615" s="489" t="str">
        <x:v>Informado/corrigido a partir do mapa</x:v>
      </x:c>
      <x:c r="I615" s="503" t="n">
        <x:v>400000</x:v>
      </x:c>
      <x:c r="J615" s="503" t="n">
        <x:v>400000</x:v>
      </x:c>
      <x:c r="K615" s="489" t="str">
        <x:v>Emenda individual</x:v>
      </x:c>
      <x:c r="L615" s="489"/>
      <x:c r="M615" s="503" t="n">
        <x:v>0</x:v>
      </x:c>
      <x:c r="N615" s="503" t="n">
        <x:v>0</x:v>
      </x:c>
      <x:c r="O615" s="503" t="n">
        <x:v>0</x:v>
      </x:c>
      <x:c r="P615" s="503" t="n">
        <x:v>398000</x:v>
      </x:c>
      <x:c r="Q615" s="503" t="n">
        <x:v>0</x:v>
      </x:c>
      <x:c r="R615" s="489" t="str">
        <x:v>CIENTE</x:v>
      </x:c>
      <x:c r="S615" s="489" t="str"/>
      <x:c r="T615" s="489" t="str">
        <x:v>VALOR DIVERGENTE / COBERTURA DIFERENTE</x:v>
      </x:c>
      <x:c r="U615" s="489" t="str">
        <x:v>Média</x:v>
      </x:c>
      <x:c r="V615" s="489" t="str">
        <x:v>Revisar valor do grupo: PIX atual registra R$ 398,000.00; Atualizar situação com status do plano PIX: CIENTE (não equivale a pagamento)</x:v>
      </x:c>
      <x:c r="W615" s="489" t="str">
        <x:v>Município/localidade encontrado em fonte comparável, mas valor não fecha exatamente</x:v>
      </x:c>
      <x:c r="X615" s="489" t="str">
        <x:v>https://especiais.transferegov.sistema.gov.br/transferencia-especial/plano-acao/detalhe/96524/dados-basicos</x:v>
      </x:c>
    </x:row>
    <x:row r="616">
      <x:c r="A616" s="502" t="n">
        <x:v>616</x:v>
      </x:c>
      <x:c r="B616" s="502" t="n">
        <x:v>2026</x:v>
      </x:c>
      <x:c r="C616" s="489" t="str">
        <x:v>Trindade do Sul</x:v>
      </x:c>
      <x:c r="D616" s="489" t="str">
        <x:v>Trindade do Sul</x:v>
      </x:c>
      <x:c r="E616" s="489" t="str">
        <x:v>Municipio de Trindade Do Sul</x:v>
      </x:c>
      <x:c r="F616" s="489" t="str">
        <x:v>41160008</x:v>
      </x:c>
      <x:c r="G616" s="489" t="str">
        <x:v>41160008-2026</x:v>
      </x:c>
      <x:c r="H616" s="489" t="str">
        <x:v>Informado/corrigido a partir do mapa</x:v>
      </x:c>
      <x:c r="I616" s="503" t="n">
        <x:v>400000</x:v>
      </x:c>
      <x:c r="J616" s="503" t="n">
        <x:v>400000</x:v>
      </x:c>
      <x:c r="K616" s="489" t="str">
        <x:v>Emenda individual</x:v>
      </x:c>
      <x:c r="L616" s="489"/>
      <x:c r="M616" s="503" t="n">
        <x:v>0</x:v>
      </x:c>
      <x:c r="N616" s="503" t="n">
        <x:v>0</x:v>
      </x:c>
      <x:c r="O616" s="503" t="n">
        <x:v>0</x:v>
      </x:c>
      <x:c r="P616" s="503" t="n">
        <x:v>398000</x:v>
      </x:c>
      <x:c r="Q616" s="503" t="n">
        <x:v>0</x:v>
      </x:c>
      <x:c r="R616" s="489" t="str">
        <x:v>CIENTE</x:v>
      </x:c>
      <x:c r="S616" s="489" t="str"/>
      <x:c r="T616" s="489" t="str">
        <x:v>VALOR DIVERGENTE / COBERTURA DIFERENTE</x:v>
      </x:c>
      <x:c r="U616" s="489" t="str">
        <x:v>Média</x:v>
      </x:c>
      <x:c r="V616" s="489" t="str">
        <x:v>Revisar valor do grupo: PIX atual registra R$ 398,000.00; Atualizar situação com status do plano PIX: CIENTE (não equivale a pagamento)</x:v>
      </x:c>
      <x:c r="W616" s="489" t="str">
        <x:v>Município/localidade encontrado em fonte comparável, mas valor não fecha exatamente</x:v>
      </x:c>
      <x:c r="X616" s="489" t="str">
        <x:v>https://especiais.transferegov.sistema.gov.br/transferencia-especial/plano-acao/detalhe/96526/dados-basicos</x:v>
      </x:c>
    </x:row>
    <x:row r="617">
      <x:c r="A617" s="502" t="n">
        <x:v>617</x:v>
      </x:c>
      <x:c r="B617" s="502" t="n">
        <x:v>2026</x:v>
      </x:c>
      <x:c r="C617" s="489" t="str">
        <x:v>Viamão</x:v>
      </x:c>
      <x:c r="D617" s="489" t="str">
        <x:v>Viamão</x:v>
      </x:c>
      <x:c r="E617" s="489" t="str">
        <x:v>Municipio de Viamao</x:v>
      </x:c>
      <x:c r="F617" s="489" t="str">
        <x:v>41160008</x:v>
      </x:c>
      <x:c r="G617" s="489" t="str">
        <x:v>41160008-2026</x:v>
      </x:c>
      <x:c r="H617" s="489" t="str">
        <x:v>Informado/corrigido a partir do mapa</x:v>
      </x:c>
      <x:c r="I617" s="503" t="n">
        <x:v>400000</x:v>
      </x:c>
      <x:c r="J617" s="503" t="n">
        <x:v>400000</x:v>
      </x:c>
      <x:c r="K617" s="489" t="str">
        <x:v>Emenda individual</x:v>
      </x:c>
      <x:c r="L617" s="489"/>
      <x:c r="M617" s="503" t="n">
        <x:v>0</x:v>
      </x:c>
      <x:c r="N617" s="503" t="n">
        <x:v>0</x:v>
      </x:c>
      <x:c r="O617" s="503" t="n">
        <x:v>0</x:v>
      </x:c>
      <x:c r="P617" s="503" t="n">
        <x:v>0</x:v>
      </x:c>
      <x:c r="Q617" s="503" t="n">
        <x:v>398000</x:v>
      </x:c>
      <x:c r="R617" s="489" t="str">
        <x:v>IMPEDIDO</x:v>
      </x:c>
      <x:c r="S617" s="489" t="str"/>
      <x:c r="T617" s="489" t="str">
        <x:v>VALOR DIVERGENTE / COBERTURA DIFERENTE</x:v>
      </x:c>
      <x:c r="U617" s="489" t="str">
        <x:v>Média</x:v>
      </x:c>
      <x:c r="V617" s="489" t="str">
        <x:v>Revisar valor do grupo: PIX atual registra R$ 398,000.00; Atualizar situação com status do plano PIX: IMPEDIDO (não equivale a pagamento); Plano PIX aparece somente como IMPEDIDO nas fontes anexas</x:v>
      </x:c>
      <x:c r="W617" s="489" t="str">
        <x:v>Município/localidade encontrado em fonte comparável, mas valor não fecha exatamente</x:v>
      </x:c>
      <x:c r="X617" s="489" t="str">
        <x:v>https://especiais.transferegov.sistema.gov.br/transferencia-especial/plano-acao/detalhe/96517/dados-basicos</x:v>
      </x:c>
    </x:row>
    <x:row r="618">
      <x:c r="A618" s="502" t="n">
        <x:v>618</x:v>
      </x:c>
      <x:c r="B618" s="502" t="n">
        <x:v>2026</x:v>
      </x:c>
      <x:c r="C618" s="489" t="str">
        <x:v>Flores da Cunha</x:v>
      </x:c>
      <x:c r="D618" s="489" t="str">
        <x:v>Município de Flores da Cunha - RS</x:v>
      </x:c>
      <x:c r="E618" s="489" t="str">
        <x:v>Município de Flores da Cunha</x:v>
      </x:c>
      <x:c r="F618" s="489" t="str">
        <x:v>41160012</x:v>
      </x:c>
      <x:c r="G618" s="489" t="str">
        <x:v>41160012-2026</x:v>
      </x:c>
      <x:c r="H618" s="489" t="str">
        <x:v>Informado/corrigido a partir do mapa</x:v>
      </x:c>
      <x:c r="I618" s="503" t="n">
        <x:v>400000</x:v>
      </x:c>
      <x:c r="J618" s="503" t="n">
        <x:v>400000</x:v>
      </x:c>
      <x:c r="K618" s="489" t="str">
        <x:v>Emenda individual</x:v>
      </x:c>
      <x:c r="L618" s="489"/>
      <x:c r="M618" s="503" t="n">
        <x:v>0</x:v>
      </x:c>
      <x:c r="N618" s="503" t="n">
        <x:v>389864</x:v>
      </x:c>
      <x:c r="O618" s="503" t="n">
        <x:v>0</x:v>
      </x:c>
      <x:c r="P618" s="503" t="n">
        <x:v>0</x:v>
      </x:c>
      <x:c r="Q618" s="503" t="n">
        <x:v>0</x:v>
      </x:c>
      <x:c r="R618" s="489" t="str"/>
      <x:c r="S618" s="489" t="str"/>
      <x:c r="T618" s="489" t="str">
        <x:v>DESTINO/INSTRUMENTO CONFIRMADO; VALOR NÃO COMPARÁVEL</x:v>
      </x:c>
      <x:c r="U618" s="489" t="str">
        <x:v>Média</x:v>
      </x:c>
      <x:c r="V618" s="489" t="str"/>
      <x:c r="W618" s="489" t="str">
        <x:v>Há instrumento do Transferegov para a emenda/município; valores do instrumento não foram usados como prova do valor da emenda</x:v>
      </x:c>
      <x:c r="X618" s="489" t="str">
        <x:v>https://discricionarias.transferegov.sistema.gov.br/voluntarias/ConsultarProposta/ResultadoDaConsultaDeConvenioSelecionarConvenio.do?sequencialConvenio=997355&amp;Usr=guest&amp;Pwd=guest</x:v>
      </x:c>
    </x:row>
    <x:row r="619">
      <x:c r="A619" s="502" t="n">
        <x:v>619</x:v>
      </x:c>
      <x:c r="B619" s="502" t="n">
        <x:v>2026</x:v>
      </x:c>
      <x:c r="C619" s="489" t="str">
        <x:v>David Canabarro</x:v>
      </x:c>
      <x:c r="D619" s="489" t="str">
        <x:v>Município de David Canabarro - RS</x:v>
      </x:c>
      <x:c r="E619" s="489" t="str">
        <x:v>Município de David Canabarro</x:v>
      </x:c>
      <x:c r="F619" s="489" t="str">
        <x:v>41160012</x:v>
      </x:c>
      <x:c r="G619" s="489" t="str">
        <x:v>41160012-2026</x:v>
      </x:c>
      <x:c r="H619" s="489" t="str">
        <x:v>Informado/corrigido a partir do mapa</x:v>
      </x:c>
      <x:c r="I619" s="503" t="n">
        <x:v>400000</x:v>
      </x:c>
      <x:c r="J619" s="503" t="n">
        <x:v>400000</x:v>
      </x:c>
      <x:c r="K619" s="489" t="str">
        <x:v>Emenda individual</x:v>
      </x:c>
      <x:c r="L619" s="489"/>
      <x:c r="M619" s="503" t="n">
        <x:v>0</x:v>
      </x:c>
      <x:c r="N619" s="503" t="n">
        <x:v>0</x:v>
      </x:c>
      <x:c r="O619" s="503" t="n">
        <x:v>0</x:v>
      </x:c>
      <x:c r="P619" s="503" t="n">
        <x:v>0</x:v>
      </x:c>
      <x:c r="Q619" s="503" t="n">
        <x:v>0</x:v>
      </x:c>
      <x:c r="R619" s="489" t="str"/>
      <x:c r="S619" s="489" t="str"/>
      <x:c r="T619" s="489" t="str">
        <x:v>EMENDA CONFIRMADA; DESTINO NÃO CONFIRMADO</x:v>
      </x:c>
      <x:c r="U619" s="489" t="str">
        <x:v>Média</x:v>
      </x:c>
      <x:c r="V619" s="489" t="str"/>
      <x:c r="W619" s="489" t="str">
        <x:v>Nº existe no SIGA; destinatário específico não foi confirmado nas bases anexas</x:v>
      </x:c>
      <x:c r="X619" s="489" t="str"/>
    </x:row>
    <x:row r="620">
      <x:c r="A620" s="502" t="n">
        <x:v>620</x:v>
      </x:c>
      <x:c r="B620" s="502" t="n">
        <x:v>2026</x:v>
      </x:c>
      <x:c r="C620" s="489" t="str">
        <x:v>Nova Petrópolis</x:v>
      </x:c>
      <x:c r="D620" s="489" t="str">
        <x:v>Município de Nova Petrópolis - RS</x:v>
      </x:c>
      <x:c r="E620" s="489" t="str">
        <x:v>Município de Nova Petrópolis</x:v>
      </x:c>
      <x:c r="F620" s="489" t="str">
        <x:v>41160008</x:v>
      </x:c>
      <x:c r="G620" s="489" t="str">
        <x:v>41160008-2026</x:v>
      </x:c>
      <x:c r="H620" s="489" t="str">
        <x:v>Informado/corrigido a partir do mapa</x:v>
      </x:c>
      <x:c r="I620" s="503" t="n">
        <x:v>400000</x:v>
      </x:c>
      <x:c r="J620" s="503" t="n">
        <x:v>400000</x:v>
      </x:c>
      <x:c r="K620" s="489" t="str">
        <x:v>Emenda individual</x:v>
      </x:c>
      <x:c r="L620" s="489"/>
      <x:c r="M620" s="503" t="n">
        <x:v>0</x:v>
      </x:c>
      <x:c r="N620" s="503" t="n">
        <x:v>0</x:v>
      </x:c>
      <x:c r="O620" s="503" t="n">
        <x:v>0</x:v>
      </x:c>
      <x:c r="P620" s="503" t="n">
        <x:v>398000</x:v>
      </x:c>
      <x:c r="Q620" s="503" t="n">
        <x:v>0</x:v>
      </x:c>
      <x:c r="R620" s="489" t="str">
        <x:v>CIENTE</x:v>
      </x:c>
      <x:c r="S620" s="489" t="str"/>
      <x:c r="T620" s="489" t="str">
        <x:v>VALOR DIVERGENTE / COBERTURA DIFERENTE</x:v>
      </x:c>
      <x:c r="U620" s="489" t="str">
        <x:v>Média</x:v>
      </x:c>
      <x:c r="V620" s="489" t="str">
        <x:v>Revisar valor do grupo: PIX atual registra R$ 398,000.00; Atualizar situação com status do plano PIX: CIENTE (não equivale a pagamento)</x:v>
      </x:c>
      <x:c r="W620" s="489" t="str">
        <x:v>Município/localidade encontrado em fonte comparável, mas valor não fecha exatamente</x:v>
      </x:c>
      <x:c r="X620" s="489" t="str">
        <x:v>https://especiais.transferegov.sistema.gov.br/transferencia-especial/plano-acao/detalhe/96514/dados-basicos</x:v>
      </x:c>
    </x:row>
    <x:row r="621">
      <x:c r="A621" s="502" t="n">
        <x:v>621</x:v>
      </x:c>
      <x:c r="B621" s="502" t="n">
        <x:v>2025</x:v>
      </x:c>
      <x:c r="C621" s="489" t="str">
        <x:v>Panambi</x:v>
      </x:c>
      <x:c r="D621" s="489" t="str">
        <x:v>Municipio De Panambi Panambi - Rs</x:v>
      </x:c>
      <x:c r="E621" s="489" t="str">
        <x:v>Prefeitura Municipal</x:v>
      </x:c>
      <x:c r="F621" s="489" t="str">
        <x:v>41160008</x:v>
      </x:c>
      <x:c r="G621" s="489" t="str">
        <x:v>41160008-2025</x:v>
      </x:c>
      <x:c r="H621" s="489" t="str">
        <x:v>Informado/corrigido a partir do mapa</x:v>
      </x:c>
      <x:c r="I621" s="503" t="n">
        <x:v>400333</x:v>
      </x:c>
      <x:c r="J621" s="503" t="n">
        <x:v>400333</x:v>
      </x:c>
      <x:c r="K621" s="489" t="str">
        <x:v>Emenda Individual</x:v>
      </x:c>
      <x:c r="L621" s="489"/>
      <x:c r="M621" s="503" t="n">
        <x:v>396329.67</x:v>
      </x:c>
      <x:c r="N621" s="503" t="n">
        <x:v>0</x:v>
      </x:c>
      <x:c r="O621" s="503" t="n">
        <x:v>0</x:v>
      </x:c>
      <x:c r="P621" s="503" t="n">
        <x:v>396329.67</x:v>
      </x:c>
      <x:c r="Q621" s="503" t="n">
        <x:v>0</x:v>
      </x:c>
      <x:c r="R621" s="489" t="str">
        <x:v>CIENTE</x:v>
      </x:c>
      <x:c r="S621" s="489" t="str">
        <x:v>88702089000189</x:v>
      </x:c>
      <x:c r="T621" s="489" t="str">
        <x:v>VALOR DIVERGENTE / COBERTURA DIFERENTE</x:v>
      </x:c>
      <x:c r="U621" s="489" t="str">
        <x:v>Média</x:v>
      </x:c>
      <x:c r="V621" s="489" t="str">
        <x:v>Revisar valor do grupo: PIX atual registra R$ 396,329.67; Atualizar situação com status do plano PIX: CIENTE (não equivale a pagamento)</x:v>
      </x:c>
      <x:c r="W621" s="489" t="str">
        <x:v>Município/localidade encontrado em fonte comparável, mas valor não fecha exatamente</x:v>
      </x:c>
      <x:c r="X621" s="489" t="str">
        <x:v>https://especiais.transferegov.sistema.gov.br/transferencia-especial/plano-acao/detalhe/83997/dados-basicos</x:v>
      </x:c>
    </x:row>
    <x:row r="622">
      <x:c r="A622" s="502" t="n">
        <x:v>622</x:v>
      </x:c>
      <x:c r="B622" s="502" t="n">
        <x:v>2025</x:v>
      </x:c>
      <x:c r="C622" s="489" t="str">
        <x:v>Ibirubá</x:v>
      </x:c>
      <x:c r="D622" s="489" t="str">
        <x:v>Associacao Hospitalar Annes Dias Ibirubá - Rs</x:v>
      </x:c>
      <x:c r="E622" s="489" t="str">
        <x:v>Associacao Hospitalar Annes Dias Ibirubá - Rs</x:v>
      </x:c>
      <x:c r="F622" s="489" t="str">
        <x:v>41160004</x:v>
      </x:c>
      <x:c r="G622" s="489" t="str">
        <x:v>41160004-2025</x:v>
      </x:c>
      <x:c r="H622" s="489" t="str">
        <x:v>Informado/corrigido a partir do mapa</x:v>
      </x:c>
      <x:c r="I622" s="503" t="n">
        <x:v>402250</x:v>
      </x:c>
      <x:c r="J622" s="503" t="n">
        <x:v>402250</x:v>
      </x:c>
      <x:c r="K622" s="489" t="str">
        <x:v>Emenda Individual</x:v>
      </x:c>
      <x:c r="L622" s="489"/>
      <x:c r="M622" s="503" t="n">
        <x:v>0</x:v>
      </x:c>
      <x:c r="N622" s="503" t="n">
        <x:v>402250</x:v>
      </x:c>
      <x:c r="O622" s="503" t="n">
        <x:v>0</x:v>
      </x:c>
      <x:c r="P622" s="503" t="n">
        <x:v>0</x:v>
      </x:c>
      <x:c r="Q622" s="503" t="n">
        <x:v>0</x:v>
      </x:c>
      <x:c r="R622" s="489" t="str"/>
      <x:c r="S622" s="489" t="str"/>
      <x:c r="T622" s="489" t="str">
        <x:v>DESTINO/INSTRUMENTO CONFIRMADO; VALOR NÃO COMPARÁVEL</x:v>
      </x:c>
      <x:c r="U622" s="489" t="str">
        <x:v>Média</x:v>
      </x:c>
      <x:c r="V622" s="489" t="str"/>
      <x:c r="W622" s="489" t="str">
        <x:v>Há instrumento do Transferegov para a emenda/município; valores do instrumento não foram usados como prova do valor da emenda</x:v>
      </x:c>
      <x:c r="X622" s="489" t="str">
        <x:v>https://discricionarias.transferegov.sistema.gov.br/voluntarias/ConsultarProposta/ResultadoDaConsultaDeConvenioSelecionarConvenio.do?sequencialConvenio=991371&amp;Usr=guest&amp;Pwd=guest</x:v>
      </x:c>
    </x:row>
    <x:row r="623">
      <x:c r="A623" s="502" t="n">
        <x:v>623</x:v>
      </x:c>
      <x:c r="B623" s="502" t="n">
        <x:v>2026</x:v>
      </x:c>
      <x:c r="C623" s="489" t="str">
        <x:v>Santa Maria</x:v>
      </x:c>
      <x:c r="D623" s="489" t="str">
        <x:v>Município de Santa Maria - RS</x:v>
      </x:c>
      <x:c r="E623" s="489" t="str">
        <x:v>Município de Santa Maria</x:v>
      </x:c>
      <x:c r="F623" s="489" t="str">
        <x:v>41160008</x:v>
      </x:c>
      <x:c r="G623" s="489" t="str">
        <x:v>41160008-2026</x:v>
      </x:c>
      <x:c r="H623" s="489" t="str">
        <x:v>Informado/corrigido a partir do mapa</x:v>
      </x:c>
      <x:c r="I623" s="503" t="n">
        <x:v>405600</x:v>
      </x:c>
      <x:c r="J623" s="503" t="n">
        <x:v>405600</x:v>
      </x:c>
      <x:c r="K623" s="489" t="str">
        <x:v>Emenda individual</x:v>
      </x:c>
      <x:c r="L623" s="489"/>
      <x:c r="M623" s="503" t="n">
        <x:v>403572</x:v>
      </x:c>
      <x:c r="N623" s="503" t="n">
        <x:v>0</x:v>
      </x:c>
      <x:c r="O623" s="503" t="n">
        <x:v>0</x:v>
      </x:c>
      <x:c r="P623" s="503" t="n">
        <x:v>403572</x:v>
      </x:c>
      <x:c r="Q623" s="503" t="n">
        <x:v>0</x:v>
      </x:c>
      <x:c r="R623" s="489" t="str">
        <x:v>CIENTE</x:v>
      </x:c>
      <x:c r="S623" s="489" t="str">
        <x:v>88488366000100</x:v>
      </x:c>
      <x:c r="T623" s="489" t="str">
        <x:v>VALOR DIVERGENTE / COBERTURA DIFERENTE</x:v>
      </x:c>
      <x:c r="U623" s="489" t="str">
        <x:v>Média</x:v>
      </x:c>
      <x:c r="V623" s="489" t="str">
        <x:v>Revisar valor do grupo: PIX atual registra R$ 403,572.00; Atualizar situação com status do plano PIX: CIENTE (não equivale a pagamento)</x:v>
      </x:c>
      <x:c r="W623" s="489" t="str">
        <x:v>Município/localidade encontrado em fonte comparável, mas valor não fecha exatamente</x:v>
      </x:c>
      <x:c r="X623" s="489" t="str">
        <x:v>https://especiais.transferegov.sistema.gov.br/transferencia-especial/plano-acao/detalhe/96523/dados-basicos</x:v>
      </x:c>
    </x:row>
    <x:row r="624">
      <x:c r="A624" s="502" t="n">
        <x:v>624</x:v>
      </x:c>
      <x:c r="B624" s="502" t="n">
        <x:v>2024</x:v>
      </x:c>
      <x:c r="C624" s="489" t="str">
        <x:v>Gramado</x:v>
      </x:c>
      <x:c r="D624" s="489" t="str">
        <x:v>Prefeitura Municipal de Gramado</x:v>
      </x:c>
      <x:c r="E624" s="489" t="str">
        <x:v>Prefeitura Municipal</x:v>
      </x:c>
      <x:c r="F624" s="489" t="str">
        <x:v>41160001</x:v>
      </x:c>
      <x:c r="G624" s="489" t="str">
        <x:v>41160001-2024</x:v>
      </x:c>
      <x:c r="H624" s="489" t="str">
        <x:v>Informado/corrigido a partir do mapa</x:v>
      </x:c>
      <x:c r="I624" s="503" t="n">
        <x:v>406811</x:v>
      </x:c>
      <x:c r="J624" s="503" t="n">
        <x:v>406811</x:v>
      </x:c>
      <x:c r="K624" s="489" t="str">
        <x:v>Emenda Individual</x:v>
      </x:c>
      <x:c r="L624" s="489"/>
      <x:c r="M624" s="503" t="n">
        <x:v>406811</x:v>
      </x:c>
      <x:c r="N624" s="503" t="n">
        <x:v>0</x:v>
      </x:c>
      <x:c r="O624" s="503" t="n">
        <x:v>0</x:v>
      </x:c>
      <x:c r="P624" s="503" t="n">
        <x:v>0</x:v>
      </x:c>
      <x:c r="Q624" s="503" t="n">
        <x:v>0</x:v>
      </x:c>
      <x:c r="R624" s="489" t="str"/>
      <x:c r="S624" s="489" t="str">
        <x:v>11796566000198</x:v>
      </x:c>
      <x:c r="T624" s="489" t="str">
        <x:v>CONFIRMADO</x:v>
      </x:c>
      <x:c r="U624" s="489" t="str">
        <x:v>Baixa</x:v>
      </x:c>
      <x:c r="V624" s="489" t="str">
        <x:v>Preencher situação: há pagamento identificado na fonte pública; CNPJ candidato na fonte SIGA: 11796566000198</x:v>
      </x:c>
      <x:c r="W624" s="489" t="str">
        <x:v>Valor do grupo fecha com: SIGA pago favorecido</x:v>
      </x:c>
      <x:c r="X624" s="489" t="str"/>
    </x:row>
    <x:row r="625">
      <x:c r="A625" s="502" t="n">
        <x:v>625</x:v>
      </x:c>
      <x:c r="B625" s="502" t="n">
        <x:v>2023</x:v>
      </x:c>
      <x:c r="C625" s="489" t="str">
        <x:v>Camaquã</x:v>
      </x:c>
      <x:c r="D625" s="489" t="str">
        <x:v>Hospital</x:v>
      </x:c>
      <x:c r="E625" s="489" t="str">
        <x:v>Nossa Senhora Aparecida</x:v>
      </x:c>
      <x:c r="F625" s="489" t="str"/>
      <x:c r="G625" s="489" t="str"/>
      <x:c r="H625" s="489" t="str">
        <x:v>Sem nº conciliado</x:v>
      </x:c>
      <x:c r="I625" s="503" t="n">
        <x:v>410780</x:v>
      </x:c>
      <x:c r="J625" s="503" t="n">
        <x:v>492060</x:v>
      </x:c>
      <x:c r="K625" s="489" t="str">
        <x:v>Emenda Individual</x:v>
      </x:c>
      <x:c r="L625" s="489" t="str">
        <x:v>Empenhado</x:v>
      </x:c>
      <x:c r="M625" s="503" t="n">
        <x:v>0</x:v>
      </x:c>
      <x:c r="N625" s="503" t="n">
        <x:v>0</x:v>
      </x:c>
      <x:c r="O625" s="503" t="n">
        <x:v>0</x:v>
      </x:c>
      <x:c r="P625" s="503" t="n">
        <x:v>0</x:v>
      </x:c>
      <x:c r="Q625" s="503" t="n">
        <x:v>0</x:v>
      </x:c>
      <x:c r="R625" s="489" t="str"/>
      <x:c r="S625" s="489" t="str"/>
      <x:c r="T625" s="489" t="str">
        <x:v>SEM Nº / NÃO CONCILIADO</x:v>
      </x:c>
      <x:c r="U625" s="489" t="str">
        <x:v>Média</x:v>
      </x:c>
      <x:c r="V625" s="489" t="str"/>
      <x:c r="W625" s="489" t="str"/>
      <x:c r="X625" s="489" t="str"/>
    </x:row>
    <x:row r="626">
      <x:c r="A626" s="502" t="n">
        <x:v>626</x:v>
      </x:c>
      <x:c r="B626" s="502" t="n">
        <x:v>2026</x:v>
      </x:c>
      <x:c r="C626" s="489" t="str">
        <x:v>São Sepé</x:v>
      </x:c>
      <x:c r="D626" s="489" t="str">
        <x:v>Hospital Sao Jose</x:v>
      </x:c>
      <x:c r="E626" s="489" t="str">
        <x:v>Associacao Beneficente Hospital Santo Atonio</x:v>
      </x:c>
      <x:c r="F626" s="489" t="str">
        <x:v>41160003</x:v>
      </x:c>
      <x:c r="G626" s="489" t="str">
        <x:v>41160003-2026</x:v>
      </x:c>
      <x:c r="H626" s="489" t="str">
        <x:v>Informado/corrigido a partir do mapa</x:v>
      </x:c>
      <x:c r="I626" s="503" t="n">
        <x:v>420000</x:v>
      </x:c>
      <x:c r="J626" s="503" t="n">
        <x:v>420000</x:v>
      </x:c>
      <x:c r="K626" s="489" t="str">
        <x:v>Emenda individual</x:v>
      </x:c>
      <x:c r="L626" s="489"/>
      <x:c r="M626" s="503" t="n">
        <x:v>0</x:v>
      </x:c>
      <x:c r="N626" s="503" t="n">
        <x:v>420000</x:v>
      </x:c>
      <x:c r="O626" s="503" t="n">
        <x:v>0</x:v>
      </x:c>
      <x:c r="P626" s="503" t="n">
        <x:v>0</x:v>
      </x:c>
      <x:c r="Q626" s="503" t="n">
        <x:v>0</x:v>
      </x:c>
      <x:c r="R626" s="489" t="str"/>
      <x:c r="S626" s="489" t="str"/>
      <x:c r="T626" s="489" t="str">
        <x:v>DESTINO/INSTRUMENTO CONFIRMADO; VALOR NÃO COMPARÁVEL</x:v>
      </x:c>
      <x:c r="U626" s="489" t="str">
        <x:v>Média</x:v>
      </x:c>
      <x:c r="V626" s="489" t="str"/>
      <x:c r="W626" s="489" t="str">
        <x:v>Há instrumento do Transferegov para a emenda/município; valores do instrumento não foram usados como prova do valor da emenda</x:v>
      </x:c>
      <x:c r="X626" s="489" t="str">
        <x:v>https://discricionarias.transferegov.sistema.gov.br/voluntarias/ConsultarProposta/ResultadoDaConsultaDeConvenioSelecionarConvenio.do?sequencialConvenio=998343&amp;Usr=guest&amp;Pwd=guest</x:v>
      </x:c>
    </x:row>
    <x:row r="627">
      <x:c r="A627" s="502" t="n">
        <x:v>627</x:v>
      </x:c>
      <x:c r="B627" s="502" t="n">
        <x:v>2023</x:v>
      </x:c>
      <x:c r="C627" s="489" t="str">
        <x:v>Sarandi</x:v>
      </x:c>
      <x:c r="D627" s="489" t="str">
        <x:v>Prefeitura</x:v>
      </x:c>
      <x:c r="E627" s="489" t="str">
        <x:v>Prefeitura de Sarandi</x:v>
      </x:c>
      <x:c r="F627" s="489" t="str"/>
      <x:c r="G627" s="489" t="str">
        <x:v>41160001-2023</x:v>
      </x:c>
      <x:c r="H627" s="489" t="str">
        <x:v>Inferido forte (SIGA/PIX)</x:v>
      </x:c>
      <x:c r="I627" s="503" t="n">
        <x:v>428000</x:v>
      </x:c>
      <x:c r="J627" s="503" t="n">
        <x:v>428000</x:v>
      </x:c>
      <x:c r="K627" s="489" t="str">
        <x:v>Emenda Individual</x:v>
      </x:c>
      <x:c r="L627" s="489" t="str">
        <x:v>Recurso pago</x:v>
      </x:c>
      <x:c r="M627" s="503" t="n">
        <x:v>428000</x:v>
      </x:c>
      <x:c r="N627" s="503" t="n">
        <x:v>0</x:v>
      </x:c>
      <x:c r="O627" s="503" t="n">
        <x:v>0</x:v>
      </x:c>
      <x:c r="P627" s="503" t="n">
        <x:v>428000</x:v>
      </x:c>
      <x:c r="Q627" s="503" t="n">
        <x:v>0</x:v>
      </x:c>
      <x:c r="R627" s="489" t="str">
        <x:v>CIENTE</x:v>
      </x:c>
      <x:c r="S627" s="489" t="str">
        <x:v>97320030000117</x:v>
      </x:c>
      <x:c r="T627" s="489" t="str">
        <x:v>CONFIRMADO</x:v>
      </x:c>
      <x:c r="U627" s="489" t="str">
        <x:v>Baixa</x:v>
      </x:c>
      <x:c r="V627" s="489" t="str">
        <x:v>Preencher nº como 41160001 com marcação de inferência (ano+município+valor exatos em SIGA/PIX); CNPJ candidato na fonte SIGA: 97320030000117</x:v>
      </x:c>
      <x:c r="W627" s="489" t="str">
        <x:v>nº ausente; inferido por coincidência exata de cidade e valor em SIGA favorecido, PIX; Valor do grupo fecha com: SIGA pago favorecido, PIX atual</x:v>
      </x:c>
      <x:c r="X627" s="489" t="str">
        <x:v>https://especiais.transferegov.sistema.gov.br/transferencia-especial/plano-acao/detalhe/38359/dados-basicos</x:v>
      </x:c>
    </x:row>
    <x:row r="628">
      <x:c r="A628" s="502" t="n">
        <x:v>628</x:v>
      </x:c>
      <x:c r="B628" s="502" t="n">
        <x:v>2023</x:v>
      </x:c>
      <x:c r="C628" s="489" t="str">
        <x:v>Carlos Barbosa</x:v>
      </x:c>
      <x:c r="D628" s="489" t="str">
        <x:v>Prefeitura</x:v>
      </x:c>
      <x:c r="E628" s="489" t="str">
        <x:v>Prefeitura de Carlos Barbosa</x:v>
      </x:c>
      <x:c r="F628" s="489" t="str"/>
      <x:c r="G628" s="489" t="str"/>
      <x:c r="H628" s="489" t="str">
        <x:v>Sem nº conciliado</x:v>
      </x:c>
      <x:c r="I628" s="503" t="n">
        <x:v>440000</x:v>
      </x:c>
      <x:c r="J628" s="503" t="n">
        <x:v>440000</x:v>
      </x:c>
      <x:c r="K628" s="489" t="str">
        <x:v>Emenda Individual</x:v>
      </x:c>
      <x:c r="L628" s="489" t="str">
        <x:v>Empenhado</x:v>
      </x:c>
      <x:c r="M628" s="503" t="n">
        <x:v>0</x:v>
      </x:c>
      <x:c r="N628" s="503" t="n">
        <x:v>0</x:v>
      </x:c>
      <x:c r="O628" s="503" t="n">
        <x:v>0</x:v>
      </x:c>
      <x:c r="P628" s="503" t="n">
        <x:v>0</x:v>
      </x:c>
      <x:c r="Q628" s="503" t="n">
        <x:v>0</x:v>
      </x:c>
      <x:c r="R628" s="489" t="str"/>
      <x:c r="S628" s="489" t="str"/>
      <x:c r="T628" s="489" t="str">
        <x:v>SEM Nº / NÃO CONCILIADO</x:v>
      </x:c>
      <x:c r="U628" s="489" t="str">
        <x:v>Média</x:v>
      </x:c>
      <x:c r="V628" s="489" t="str"/>
      <x:c r="W628" s="489" t="str"/>
      <x:c r="X628" s="489" t="str"/>
    </x:row>
    <x:row r="629">
      <x:c r="A629" s="502" t="n">
        <x:v>629</x:v>
      </x:c>
      <x:c r="B629" s="502" t="n">
        <x:v>2022</x:v>
      </x:c>
      <x:c r="C629" s="489" t="str">
        <x:v>Venâncio Aires</x:v>
      </x:c>
      <x:c r="D629" s="489" t="str">
        <x:v>Hospital</x:v>
      </x:c>
      <x:c r="E629" s="489" t="str">
        <x:v>Hospital São Sebastiao Martir</x:v>
      </x:c>
      <x:c r="F629" s="489" t="str">
        <x:v>41160003</x:v>
      </x:c>
      <x:c r="G629" s="489" t="str">
        <x:v>41160003-2022</x:v>
      </x:c>
      <x:c r="H629" s="489" t="str">
        <x:v>Informado/corrigido a partir do mapa</x:v>
      </x:c>
      <x:c r="I629" s="503" t="n">
        <x:v>450000</x:v>
      </x:c>
      <x:c r="J629" s="503" t="n">
        <x:v>450000</x:v>
      </x:c>
      <x:c r="K629" s="489" t="str">
        <x:v>Emenda Individual </x:v>
      </x:c>
      <x:c r="L629" s="489" t="str">
        <x:v>Recurso pago</x:v>
      </x:c>
      <x:c r="M629" s="503" t="n">
        <x:v>421500</x:v>
      </x:c>
      <x:c r="N629" s="503" t="n">
        <x:v>450000</x:v>
      </x:c>
      <x:c r="O629" s="503" t="n">
        <x:v>421500</x:v>
      </x:c>
      <x:c r="P629" s="503" t="n">
        <x:v>0</x:v>
      </x:c>
      <x:c r="Q629" s="503" t="n">
        <x:v>0</x:v>
      </x:c>
      <x:c r="R629" s="489" t="str"/>
      <x:c r="S629" s="489" t="str">
        <x:v>98591910000190</x:v>
      </x:c>
      <x:c r="T629" s="489" t="str">
        <x:v>VALOR DIVERGENTE / COBERTURA DIFERENTE</x:v>
      </x:c>
      <x:c r="U629" s="489" t="str">
        <x:v>Média</x:v>
      </x:c>
      <x:c r="V629" s="489" t="str">
        <x:v>CNPJ candidato na fonte SIGA: 98591910000190</x:v>
      </x:c>
      <x:c r="W629" s="489" t="str">
        <x:v>Município/localidade encontrado em fonte comparável, mas valor não fecha exatamente</x:v>
      </x:c>
      <x:c r="X629" s="489" t="str">
        <x:v>https://discricionarias.transferegov.sistema.gov.br/voluntarias/ConsultarProposta/ResultadoDaConsultaDeConvenioSelecionarConvenio.do?sequencialConvenio=935447&amp;Usr=guest&amp;Pwd=guest</x:v>
      </x:c>
    </x:row>
    <x:row r="630">
      <x:c r="A630" s="502" t="n">
        <x:v>630</x:v>
      </x:c>
      <x:c r="B630" s="502" t="n">
        <x:v>2023</x:v>
      </x:c>
      <x:c r="C630" s="489" t="str">
        <x:v>Morro Reuter</x:v>
      </x:c>
      <x:c r="D630" s="489" t="str">
        <x:v>Prefeitura</x:v>
      </x:c>
      <x:c r="E630" s="489" t="str">
        <x:v>Prefeitura de Morro Reuter</x:v>
      </x:c>
      <x:c r="F630" s="489" t="str"/>
      <x:c r="G630" s="489" t="str">
        <x:v>41160001-2023</x:v>
      </x:c>
      <x:c r="H630" s="489" t="str">
        <x:v>Inferido forte (SIGA/PIX)</x:v>
      </x:c>
      <x:c r="I630" s="503" t="n">
        <x:v>450000</x:v>
      </x:c>
      <x:c r="J630" s="503" t="n">
        <x:v>450000</x:v>
      </x:c>
      <x:c r="K630" s="489" t="str">
        <x:v>Emenda Individual</x:v>
      </x:c>
      <x:c r="L630" s="489" t="str">
        <x:v>Empenhado</x:v>
      </x:c>
      <x:c r="M630" s="503" t="n">
        <x:v>450000</x:v>
      </x:c>
      <x:c r="N630" s="503" t="n">
        <x:v>0</x:v>
      </x:c>
      <x:c r="O630" s="503" t="n">
        <x:v>0</x:v>
      </x:c>
      <x:c r="P630" s="503" t="n">
        <x:v>450000</x:v>
      </x:c>
      <x:c r="Q630" s="503" t="n">
        <x:v>0</x:v>
      </x:c>
      <x:c r="R630" s="489" t="str">
        <x:v>CIENTE</x:v>
      </x:c>
      <x:c r="S630" s="489" t="str">
        <x:v>94707627000120</x:v>
      </x:c>
      <x:c r="T630" s="489" t="str">
        <x:v>CONFIRMADO</x:v>
      </x:c>
      <x:c r="U630" s="489" t="str">
        <x:v>Baixa</x:v>
      </x:c>
      <x:c r="V630" s="489" t="str">
        <x:v>Preencher nº como 41160001 com marcação de inferência (ano+município+valor exatos em SIGA/PIX); Situação possivelmente desatualizada: SIGA/execução regionalizada mostra pagamento; CNPJ candidato na fonte SIGA: 94707627000120</x:v>
      </x:c>
      <x:c r="W630" s="489" t="str">
        <x:v>nº ausente; inferido por coincidência exata de cidade e valor em SIGA favorecido, PIX; Valor do grupo fecha com: SIGA pago favorecido, PIX atual</x:v>
      </x:c>
      <x:c r="X630" s="489" t="str">
        <x:v>https://especiais.transferegov.sistema.gov.br/transferencia-especial/plano-acao/detalhe/38354/dados-basicos</x:v>
      </x:c>
    </x:row>
    <x:row r="631">
      <x:c r="A631" s="502" t="n">
        <x:v>631</x:v>
      </x:c>
      <x:c r="B631" s="502" t="n">
        <x:v>2023</x:v>
      </x:c>
      <x:c r="C631" s="489" t="str">
        <x:v>Nova Petrópolis</x:v>
      </x:c>
      <x:c r="D631" s="489" t="str">
        <x:v>Prefeitura</x:v>
      </x:c>
      <x:c r="E631" s="489" t="str">
        <x:v>Prefeitura de Nova Petrópolis</x:v>
      </x:c>
      <x:c r="F631" s="489" t="str"/>
      <x:c r="G631" s="489" t="str">
        <x:v>41160001-2023</x:v>
      </x:c>
      <x:c r="H631" s="489" t="str">
        <x:v>Inferido forte (SIGA/PIX)</x:v>
      </x:c>
      <x:c r="I631" s="503" t="n">
        <x:v>450000</x:v>
      </x:c>
      <x:c r="J631" s="503" t="n">
        <x:v>450000</x:v>
      </x:c>
      <x:c r="K631" s="489" t="str">
        <x:v>Emenda Individual</x:v>
      </x:c>
      <x:c r="L631" s="489" t="str">
        <x:v>Empenhado</x:v>
      </x:c>
      <x:c r="M631" s="503" t="n">
        <x:v>450000</x:v>
      </x:c>
      <x:c r="N631" s="503" t="n">
        <x:v>0</x:v>
      </x:c>
      <x:c r="O631" s="503" t="n">
        <x:v>0</x:v>
      </x:c>
      <x:c r="P631" s="503" t="n">
        <x:v>450000</x:v>
      </x:c>
      <x:c r="Q631" s="503" t="n">
        <x:v>0</x:v>
      </x:c>
      <x:c r="R631" s="489" t="str">
        <x:v>CIENTE</x:v>
      </x:c>
      <x:c r="S631" s="489" t="str">
        <x:v>88572748000100</x:v>
      </x:c>
      <x:c r="T631" s="489" t="str">
        <x:v>CONFIRMADO</x:v>
      </x:c>
      <x:c r="U631" s="489" t="str">
        <x:v>Baixa</x:v>
      </x:c>
      <x:c r="V631" s="489" t="str">
        <x:v>Preencher nº como 41160001 com marcação de inferência (ano+município+valor exatos em SIGA/PIX); Situação possivelmente desatualizada: SIGA/execução regionalizada mostra pagamento; CNPJ candidato na fonte SIGA: 88572748000100</x:v>
      </x:c>
      <x:c r="W631" s="489" t="str">
        <x:v>nº ausente; inferido por coincidência exata de cidade e valor em SIGA favorecido, PIX; Valor do grupo fecha com: SIGA pago favorecido, PIX atual</x:v>
      </x:c>
      <x:c r="X631" s="489" t="str">
        <x:v>https://especiais.transferegov.sistema.gov.br/transferencia-especial/plano-acao/detalhe/38352/dados-basicos</x:v>
      </x:c>
    </x:row>
    <x:row r="632">
      <x:c r="A632" s="502" t="n">
        <x:v>632</x:v>
      </x:c>
      <x:c r="B632" s="502" t="n">
        <x:v>2025</x:v>
      </x:c>
      <x:c r="C632" s="489" t="str">
        <x:v>Três de Maio</x:v>
      </x:c>
      <x:c r="D632" s="489" t="str">
        <x:v>Municipio De Tres De Maio Três De Maio - Rs</x:v>
      </x:c>
      <x:c r="E632" s="489" t="str">
        <x:v>Prefeitura Municipal</x:v>
      </x:c>
      <x:c r="F632" s="489" t="str">
        <x:v>41160008</x:v>
      </x:c>
      <x:c r="G632" s="489" t="str">
        <x:v>41160008-2025</x:v>
      </x:c>
      <x:c r="H632" s="489" t="str">
        <x:v>Informado/corrigido a partir do mapa</x:v>
      </x:c>
      <x:c r="I632" s="503" t="n">
        <x:v>450000</x:v>
      </x:c>
      <x:c r="J632" s="503" t="n">
        <x:v>450000</x:v>
      </x:c>
      <x:c r="K632" s="489" t="str">
        <x:v>Emenda Individual</x:v>
      </x:c>
      <x:c r="L632" s="489"/>
      <x:c r="M632" s="503" t="n">
        <x:v>445500</x:v>
      </x:c>
      <x:c r="N632" s="503" t="n">
        <x:v>0</x:v>
      </x:c>
      <x:c r="O632" s="503" t="n">
        <x:v>0</x:v>
      </x:c>
      <x:c r="P632" s="503" t="n">
        <x:v>445500</x:v>
      </x:c>
      <x:c r="Q632" s="503" t="n">
        <x:v>0</x:v>
      </x:c>
      <x:c r="R632" s="489" t="str">
        <x:v>CIENTE</x:v>
      </x:c>
      <x:c r="S632" s="489" t="str">
        <x:v>87612800000141</x:v>
      </x:c>
      <x:c r="T632" s="489" t="str">
        <x:v>VALOR DIVERGENTE / COBERTURA DIFERENTE</x:v>
      </x:c>
      <x:c r="U632" s="489" t="str">
        <x:v>Média</x:v>
      </x:c>
      <x:c r="V632" s="489" t="str">
        <x:v>Revisar valor do grupo: PIX atual registra R$ 445,500.00; Atualizar situação com status do plano PIX: CIENTE (não equivale a pagamento)</x:v>
      </x:c>
      <x:c r="W632" s="489" t="str">
        <x:v>Município/localidade encontrado em fonte comparável, mas valor não fecha exatamente</x:v>
      </x:c>
      <x:c r="X632" s="489" t="str">
        <x:v>https://especiais.transferegov.sistema.gov.br/transferencia-especial/plano-acao/detalhe/84003/dados-basicos</x:v>
      </x:c>
    </x:row>
    <x:row r="633">
      <x:c r="A633" s="502" t="n">
        <x:v>633</x:v>
      </x:c>
      <x:c r="B633" s="502" t="n">
        <x:v>2025</x:v>
      </x:c>
      <x:c r="C633" s="489" t="str">
        <x:v>Pelotas</x:v>
      </x:c>
      <x:c r="D633" s="489" t="str">
        <x:v>Associacao Pelotense De Assistencia E Cultura Pelotas - Rs</x:v>
      </x:c>
      <x:c r="E633" s="489" t="str">
        <x:v>Associacao Pelotense De Assistencia E Cultura Pelotas - Rs</x:v>
      </x:c>
      <x:c r="F633" s="489" t="str">
        <x:v>41160004</x:v>
      </x:c>
      <x:c r="G633" s="489" t="str">
        <x:v>41160004-2025</x:v>
      </x:c>
      <x:c r="H633" s="489" t="str">
        <x:v>Informado/corrigido a partir do mapa</x:v>
      </x:c>
      <x:c r="I633" s="503" t="n">
        <x:v>451752</x:v>
      </x:c>
      <x:c r="J633" s="503" t="n">
        <x:v>751752</x:v>
      </x:c>
      <x:c r="K633" s="489" t="str">
        <x:v>Emenda Individual</x:v>
      </x:c>
      <x:c r="L633" s="489"/>
      <x:c r="M633" s="503" t="n">
        <x:v>0</x:v>
      </x:c>
      <x:c r="N633" s="503" t="n">
        <x:v>750020</x:v>
      </x:c>
      <x:c r="O633" s="503" t="n">
        <x:v>0</x:v>
      </x:c>
      <x:c r="P633" s="503" t="n">
        <x:v>0</x:v>
      </x:c>
      <x:c r="Q633" s="503" t="n">
        <x:v>0</x:v>
      </x:c>
      <x:c r="R633" s="489" t="str"/>
      <x:c r="S633" s="489" t="str"/>
      <x:c r="T633" s="489" t="str">
        <x:v>DESTINO/INSTRUMENTO CONFIRMADO; VALOR NÃO COMPARÁVEL</x:v>
      </x:c>
      <x:c r="U633" s="489" t="str">
        <x:v>Média</x:v>
      </x:c>
      <x:c r="V633" s="489" t="str"/>
      <x:c r="W633" s="489" t="str">
        <x:v>Há instrumento do Transferegov para a emenda/município; valores do instrumento não foram usados como prova do valor da emenda</x:v>
      </x:c>
      <x:c r="X633" s="489" t="str">
        <x:v>https://discricionarias.transferegov.sistema.gov.br/voluntarias/ConsultarProposta/ResultadoDaConsultaDeConvenioSelecionarConvenio.do?sequencialConvenio=979950&amp;Usr=guest&amp;Pwd=guest | https://discricionarias.transferegov.sistema.gov.br/voluntarias/ConsultarProposta/ResultadoDaConsultaDeConvenioSelecionarConvenio.do?sequencialConvenio=988639&amp;Usr=guest&amp;Pwd=guest</x:v>
      </x:c>
    </x:row>
    <x:row r="634">
      <x:c r="A634" s="502" t="n">
        <x:v>634</x:v>
      </x:c>
      <x:c r="B634" s="502" t="n">
        <x:v>2025</x:v>
      </x:c>
      <x:c r="C634" s="489" t="str">
        <x:v>Cruz Alta</x:v>
      </x:c>
      <x:c r="D634" s="489" t="str">
        <x:v>Municipio De Cruz Alta Cruz Alta - Rs</x:v>
      </x:c>
      <x:c r="E634" s="489" t="str">
        <x:v>Prefeitura Municipal</x:v>
      </x:c>
      <x:c r="F634" s="489" t="str">
        <x:v>41160008</x:v>
      </x:c>
      <x:c r="G634" s="489" t="str">
        <x:v>41160008-2025</x:v>
      </x:c>
      <x:c r="H634" s="489" t="str">
        <x:v>Informado/corrigido a partir do mapa</x:v>
      </x:c>
      <x:c r="I634" s="503" t="n">
        <x:v>477000</x:v>
      </x:c>
      <x:c r="J634" s="503" t="n">
        <x:v>477000</x:v>
      </x:c>
      <x:c r="K634" s="489" t="str">
        <x:v>Emenda Individual</x:v>
      </x:c>
      <x:c r="L634" s="489"/>
      <x:c r="M634" s="503" t="n">
        <x:v>472230</x:v>
      </x:c>
      <x:c r="N634" s="503" t="n">
        <x:v>0</x:v>
      </x:c>
      <x:c r="O634" s="503" t="n">
        <x:v>0</x:v>
      </x:c>
      <x:c r="P634" s="503" t="n">
        <x:v>472230</x:v>
      </x:c>
      <x:c r="Q634" s="503" t="n">
        <x:v>0</x:v>
      </x:c>
      <x:c r="R634" s="489" t="str">
        <x:v>CIENTE</x:v>
      </x:c>
      <x:c r="S634" s="489" t="str">
        <x:v>88775390000112</x:v>
      </x:c>
      <x:c r="T634" s="489" t="str">
        <x:v>VALOR DIVERGENTE / COBERTURA DIFERENTE</x:v>
      </x:c>
      <x:c r="U634" s="489" t="str">
        <x:v>Média</x:v>
      </x:c>
      <x:c r="V634" s="489" t="str">
        <x:v>Revisar valor do grupo: PIX atual registra R$ 472,230.00; Atualizar situação com status do plano PIX: CIENTE (não equivale a pagamento)</x:v>
      </x:c>
      <x:c r="W634" s="489" t="str">
        <x:v>Município/localidade encontrado em fonte comparável, mas valor não fecha exatamente</x:v>
      </x:c>
      <x:c r="X634" s="489" t="str">
        <x:v>https://especiais.transferegov.sistema.gov.br/transferencia-especial/plano-acao/detalhe/83994/dados-basicos</x:v>
      </x:c>
    </x:row>
    <x:row r="635">
      <x:c r="A635" s="502" t="n">
        <x:v>635</x:v>
      </x:c>
      <x:c r="B635" s="502" t="n">
        <x:v>2023</x:v>
      </x:c>
      <x:c r="C635" s="489" t="str">
        <x:v>Sapucaia do Sul</x:v>
      </x:c>
      <x:c r="D635" s="489" t="str">
        <x:v>Prefeitura</x:v>
      </x:c>
      <x:c r="E635" s="489" t="str">
        <x:v>Prefeitura de Sapucaia do Sul</x:v>
      </x:c>
      <x:c r="F635" s="489" t="str"/>
      <x:c r="G635" s="489" t="str">
        <x:v>41160001-2023</x:v>
      </x:c>
      <x:c r="H635" s="489" t="str">
        <x:v>Inferido forte (SIGA/PIX)</x:v>
      </x:c>
      <x:c r="I635" s="503" t="n">
        <x:v>481000</x:v>
      </x:c>
      <x:c r="J635" s="503" t="n">
        <x:v>481000</x:v>
      </x:c>
      <x:c r="K635" s="489" t="str">
        <x:v>Emenda Individual</x:v>
      </x:c>
      <x:c r="L635" s="489" t="str">
        <x:v>Recurso pago</x:v>
      </x:c>
      <x:c r="M635" s="503" t="n">
        <x:v>481000</x:v>
      </x:c>
      <x:c r="N635" s="503" t="n">
        <x:v>0</x:v>
      </x:c>
      <x:c r="O635" s="503" t="n">
        <x:v>0</x:v>
      </x:c>
      <x:c r="P635" s="503" t="n">
        <x:v>481000</x:v>
      </x:c>
      <x:c r="Q635" s="503" t="n">
        <x:v>0</x:v>
      </x:c>
      <x:c r="R635" s="489" t="str">
        <x:v>CIENTE</x:v>
      </x:c>
      <x:c r="S635" s="489" t="str">
        <x:v>88185020000125</x:v>
      </x:c>
      <x:c r="T635" s="489" t="str">
        <x:v>CONFIRMADO</x:v>
      </x:c>
      <x:c r="U635" s="489" t="str">
        <x:v>Baixa</x:v>
      </x:c>
      <x:c r="V635" s="489" t="str">
        <x:v>Preencher nº como 41160001 com marcação de inferência (ano+município+valor exatos em SIGA/PIX); CNPJ candidato na fonte SIGA: 88185020000125</x:v>
      </x:c>
      <x:c r="W635" s="489" t="str">
        <x:v>nº ausente; inferido por coincidência exata de cidade e valor em SIGA favorecido, PIX; Valor do grupo fecha com: SIGA pago favorecido, PIX atual</x:v>
      </x:c>
      <x:c r="X635" s="489" t="str">
        <x:v>https://especiais.transferegov.sistema.gov.br/transferencia-especial/plano-acao/detalhe/38358/dados-basicos</x:v>
      </x:c>
    </x:row>
    <x:row r="636">
      <x:c r="A636" s="502" t="n">
        <x:v>636</x:v>
      </x:c>
      <x:c r="B636" s="502" t="n">
        <x:v>2024</x:v>
      </x:c>
      <x:c r="C636" s="489" t="str">
        <x:v>Dois Lajeados</x:v>
      </x:c>
      <x:c r="D636" s="489" t="str">
        <x:v>Prefeitura Municipal de Dois Lajeados</x:v>
      </x:c>
      <x:c r="E636" s="489" t="str">
        <x:v>Prefeitura Municipal</x:v>
      </x:c>
      <x:c r="F636" s="489" t="str">
        <x:v>41160005</x:v>
      </x:c>
      <x:c r="G636" s="489" t="str">
        <x:v>41160005-2024</x:v>
      </x:c>
      <x:c r="H636" s="489" t="str">
        <x:v>Informado/corrigido a partir do mapa</x:v>
      </x:c>
      <x:c r="I636" s="503" t="n">
        <x:v>481104</x:v>
      </x:c>
      <x:c r="J636" s="503" t="n">
        <x:v>481104</x:v>
      </x:c>
      <x:c r="K636" s="489" t="str">
        <x:v>Emenda Individual</x:v>
      </x:c>
      <x:c r="L636" s="489"/>
      <x:c r="M636" s="503" t="n">
        <x:v>481104</x:v>
      </x:c>
      <x:c r="N636" s="503" t="n">
        <x:v>481104</x:v>
      </x:c>
      <x:c r="O636" s="503" t="n">
        <x:v>481104</x:v>
      </x:c>
      <x:c r="P636" s="503" t="n">
        <x:v>0</x:v>
      </x:c>
      <x:c r="Q636" s="503" t="n">
        <x:v>0</x:v>
      </x:c>
      <x:c r="R636" s="489" t="str"/>
      <x:c r="S636" s="489" t="str">
        <x:v>90221524000103</x:v>
      </x:c>
      <x:c r="T636" s="489" t="str">
        <x:v>CONFIRMADO</x:v>
      </x:c>
      <x:c r="U636" s="489" t="str">
        <x:v>Baixa</x:v>
      </x:c>
      <x:c r="V636" s="489" t="str">
        <x:v>Preencher situação: há pagamento identificado na fonte pública; CNPJ candidato na fonte SIGA: 90221524000103</x:v>
      </x:c>
      <x:c r="W636" s="489" t="str">
        <x:v>Valor do grupo fecha com: SIGA pago favorecido</x:v>
      </x:c>
      <x:c r="X636" s="489" t="str">
        <x:v>https://discricionarias.transferegov.sistema.gov.br/voluntarias/ConsultarProposta/ResultadoDaConsultaDeConvenioSelecionarConvenio.do?sequencialConvenio=973420&amp;Usr=guest&amp;Pwd=guest</x:v>
      </x:c>
    </x:row>
    <x:row r="637">
      <x:c r="A637" s="502" t="n">
        <x:v>637</x:v>
      </x:c>
      <x:c r="B637" s="502" t="n">
        <x:v>2024</x:v>
      </x:c>
      <x:c r="C637" s="489" t="str">
        <x:v>Muçum</x:v>
      </x:c>
      <x:c r="D637" s="489" t="str">
        <x:v>Prefeitura Municipal de Muçum</x:v>
      </x:c>
      <x:c r="E637" s="489" t="str">
        <x:v>Prefeitura Municipal</x:v>
      </x:c>
      <x:c r="F637" s="489" t="str">
        <x:v>41160005</x:v>
      </x:c>
      <x:c r="G637" s="489" t="str">
        <x:v>41160005-2024</x:v>
      </x:c>
      <x:c r="H637" s="489" t="str">
        <x:v>Informado/corrigido a partir do mapa</x:v>
      </x:c>
      <x:c r="I637" s="503" t="n">
        <x:v>481104</x:v>
      </x:c>
      <x:c r="J637" s="503" t="n">
        <x:v>481104</x:v>
      </x:c>
      <x:c r="K637" s="489" t="str">
        <x:v>Emenda Individual</x:v>
      </x:c>
      <x:c r="L637" s="489"/>
      <x:c r="M637" s="503" t="n">
        <x:v>0</x:v>
      </x:c>
      <x:c r="N637" s="503" t="n">
        <x:v>481104</x:v>
      </x:c>
      <x:c r="O637" s="503" t="n">
        <x:v>0</x:v>
      </x:c>
      <x:c r="P637" s="503" t="n">
        <x:v>0</x:v>
      </x:c>
      <x:c r="Q637" s="503" t="n">
        <x:v>0</x:v>
      </x:c>
      <x:c r="R637" s="489" t="str"/>
      <x:c r="S637" s="489" t="str"/>
      <x:c r="T637" s="489" t="str">
        <x:v>DESTINO/INSTRUMENTO CONFIRMADO; VALOR NÃO COMPARÁVEL</x:v>
      </x:c>
      <x:c r="U637" s="489" t="str">
        <x:v>Média</x:v>
      </x:c>
      <x:c r="V637" s="489" t="str"/>
      <x:c r="W637" s="489" t="str">
        <x:v>Há instrumento do Transferegov para a emenda/município; valores do instrumento não foram usados como prova do valor da emenda</x:v>
      </x:c>
      <x:c r="X637" s="489" t="str">
        <x:v>https://discricionarias.transferegov.sistema.gov.br/voluntarias/ConsultarProposta/ResultadoDaConsultaDeConvenioSelecionarConvenio.do?sequencialConvenio=973464&amp;Usr=guest&amp;Pwd=guest</x:v>
      </x:c>
    </x:row>
    <x:row r="638">
      <x:c r="A638" s="502" t="n">
        <x:v>638</x:v>
      </x:c>
      <x:c r="B638" s="502" t="n">
        <x:v>2023</x:v>
      </x:c>
      <x:c r="C638" s="489" t="str">
        <x:v>Alegrete</x:v>
      </x:c>
      <x:c r="D638" s="489" t="str">
        <x:v>Comando do Exército</x:v>
      </x:c>
      <x:c r="E638" s="489" t="str">
        <x:v>Comando do Exército</x:v>
      </x:c>
      <x:c r="F638" s="489" t="str">
        <x:v>41160003</x:v>
      </x:c>
      <x:c r="G638" s="489" t="str">
        <x:v>41160003-2023</x:v>
      </x:c>
      <x:c r="H638" s="489" t="str">
        <x:v>Informado/corrigido a partir do mapa</x:v>
      </x:c>
      <x:c r="I638" s="503" t="n">
        <x:v>488762</x:v>
      </x:c>
      <x:c r="J638" s="503" t="n">
        <x:v>488762</x:v>
      </x:c>
      <x:c r="K638" s="489" t="str">
        <x:v>Emenda Individual</x:v>
      </x:c>
      <x:c r="L638" s="489" t="str">
        <x:v>Recurso pago parcialmente</x:v>
      </x:c>
      <x:c r="M638" s="503" t="n">
        <x:v>0</x:v>
      </x:c>
      <x:c r="N638" s="503" t="n">
        <x:v>0</x:v>
      </x:c>
      <x:c r="O638" s="503" t="n">
        <x:v>0</x:v>
      </x:c>
      <x:c r="P638" s="503" t="n">
        <x:v>0</x:v>
      </x:c>
      <x:c r="Q638" s="503" t="n">
        <x:v>0</x:v>
      </x:c>
      <x:c r="R638" s="489" t="str"/>
      <x:c r="S638" s="489" t="str"/>
      <x:c r="T638" s="489" t="str">
        <x:v>VALOR DIVERGENTE / COBERTURA DIFERENTE</x:v>
      </x:c>
      <x:c r="U638" s="489" t="str">
        <x:v>Média</x:v>
      </x:c>
      <x:c r="V638" s="489" t="str"/>
      <x:c r="W638" s="489" t="str">
        <x:v>Município/localidade encontrado em fonte comparável, mas valor não fecha exatamente</x:v>
      </x:c>
      <x:c r="X638" s="489" t="str"/>
    </x:row>
    <x:row r="639">
      <x:c r="A639" s="502" t="n">
        <x:v>639</x:v>
      </x:c>
      <x:c r="B639" s="502" t="n">
        <x:v>2025</x:v>
      </x:c>
      <x:c r="C639" s="489" t="str">
        <x:v>Novo Hamburgo</x:v>
      </x:c>
      <x:c r="D639" s="489" t="str">
        <x:v>Fundo Municipal De Saude Novo Hamburgo - Rs</x:v>
      </x:c>
      <x:c r="E639" s="489" t="str">
        <x:v>Prefeitura Municipal</x:v>
      </x:c>
      <x:c r="F639" s="489" t="str">
        <x:v>41160002</x:v>
      </x:c>
      <x:c r="G639" s="489" t="str">
        <x:v>41160002-2025</x:v>
      </x:c>
      <x:c r="H639" s="489" t="str">
        <x:v>Informado/corrigido a partir do mapa</x:v>
      </x:c>
      <x:c r="I639" s="503" t="n">
        <x:v>496989</x:v>
      </x:c>
      <x:c r="J639" s="503" t="n">
        <x:v>496989</x:v>
      </x:c>
      <x:c r="K639" s="489" t="str">
        <x:v>Emenda Individual</x:v>
      </x:c>
      <x:c r="L639" s="489"/>
      <x:c r="M639" s="503" t="n">
        <x:v>496989</x:v>
      </x:c>
      <x:c r="N639" s="503" t="n">
        <x:v>0</x:v>
      </x:c>
      <x:c r="O639" s="503" t="n">
        <x:v>0</x:v>
      </x:c>
      <x:c r="P639" s="503" t="n">
        <x:v>0</x:v>
      </x:c>
      <x:c r="Q639" s="503" t="n">
        <x:v>0</x:v>
      </x:c>
      <x:c r="R639" s="489" t="str"/>
      <x:c r="S639" s="489" t="str">
        <x:v>11416036000177</x:v>
      </x:c>
      <x:c r="T639" s="489" t="str">
        <x:v>CONFIRMADO</x:v>
      </x:c>
      <x:c r="U639" s="489" t="str">
        <x:v>Baixa</x:v>
      </x:c>
      <x:c r="V639" s="489" t="str">
        <x:v>Preencher situação: há pagamento identificado na fonte pública</x:v>
      </x:c>
      <x:c r="W639" s="489" t="str">
        <x:v>Valor do grupo fecha com: SIGA pago favorecido</x:v>
      </x:c>
      <x:c r="X639" s="489" t="str"/>
    </x:row>
    <x:row r="640">
      <x:c r="A640" s="502" t="n">
        <x:v>640</x:v>
      </x:c>
      <x:c r="B640" s="502" t="n">
        <x:v>2024</x:v>
      </x:c>
      <x:c r="C640" s="489" t="str">
        <x:v>Bento Gonçalves</x:v>
      </x:c>
      <x:c r="D640" s="489" t="str">
        <x:v>Prefeitura Municipal de Bento Gonçalves</x:v>
      </x:c>
      <x:c r="E640" s="489" t="str">
        <x:v>Prefeitura Municipal</x:v>
      </x:c>
      <x:c r="F640" s="489" t="str">
        <x:v>41160004</x:v>
      </x:c>
      <x:c r="G640" s="489" t="str">
        <x:v>41160004-2024</x:v>
      </x:c>
      <x:c r="H640" s="489" t="str">
        <x:v>Informado/corrigido a partir do mapa</x:v>
      </x:c>
      <x:c r="I640" s="503" t="n">
        <x:v>499893</x:v>
      </x:c>
      <x:c r="J640" s="503" t="n">
        <x:v>499893</x:v>
      </x:c>
      <x:c r="K640" s="489" t="str">
        <x:v>Emenda Individual</x:v>
      </x:c>
      <x:c r="L640" s="489"/>
      <x:c r="M640" s="503" t="n">
        <x:v>499893</x:v>
      </x:c>
      <x:c r="N640" s="503" t="n">
        <x:v>0</x:v>
      </x:c>
      <x:c r="O640" s="503" t="n">
        <x:v>0</x:v>
      </x:c>
      <x:c r="P640" s="503" t="n">
        <x:v>0</x:v>
      </x:c>
      <x:c r="Q640" s="503" t="n">
        <x:v>0</x:v>
      </x:c>
      <x:c r="R640" s="489" t="str"/>
      <x:c r="S640" s="489" t="str">
        <x:v>11436612000148</x:v>
      </x:c>
      <x:c r="T640" s="489" t="str">
        <x:v>CONFIRMADO</x:v>
      </x:c>
      <x:c r="U640" s="489" t="str">
        <x:v>Baixa</x:v>
      </x:c>
      <x:c r="V640" s="489" t="str">
        <x:v>Preencher situação: há pagamento identificado na fonte pública; CNPJ candidato na fonte SIGA: 11436612000148</x:v>
      </x:c>
      <x:c r="W640" s="489" t="str">
        <x:v>Valor do grupo fecha com: SIGA pago favorecido</x:v>
      </x:c>
      <x:c r="X640" s="489" t="str"/>
    </x:row>
    <x:row r="641">
      <x:c r="A641" s="502" t="n">
        <x:v>641</x:v>
      </x:c>
      <x:c r="B641" s="502" t="n">
        <x:v>2022</x:v>
      </x:c>
      <x:c r="C641" s="489" t="str">
        <x:v>Campinas do Sul</x:v>
      </x:c>
      <x:c r="D641" s="489"/>
      <x:c r="E641" s="489" t="str">
        <x:v>RS-211 até RS-324 (Campinas do Sul e Ronda Alta)</x:v>
      </x:c>
      <x:c r="F641" s="489" t="str"/>
      <x:c r="G641" s="489" t="str"/>
      <x:c r="H641" s="489" t="str">
        <x:v>Sem nº conciliado</x:v>
      </x:c>
      <x:c r="I641" s="503" t="n">
        <x:v>500000</x:v>
      </x:c>
      <x:c r="J641" s="503" t="n">
        <x:v>1500000</x:v>
      </x:c>
      <x:c r="K641" s="489" t="str">
        <x:v>Emenda de bancada</x:v>
      </x:c>
      <x:c r="L641" s="489" t="str">
        <x:v>Indicado</x:v>
      </x:c>
      <x:c r="M641" s="503" t="n">
        <x:v>0</x:v>
      </x:c>
      <x:c r="N641" s="503" t="n">
        <x:v>0</x:v>
      </x:c>
      <x:c r="O641" s="503" t="n">
        <x:v>0</x:v>
      </x:c>
      <x:c r="P641" s="503" t="n">
        <x:v>0</x:v>
      </x:c>
      <x:c r="Q641" s="503" t="n">
        <x:v>0</x:v>
      </x:c>
      <x:c r="R641" s="489" t="str"/>
      <x:c r="S641" s="489" t="str"/>
      <x:c r="T641" s="489" t="str">
        <x:v>SEM Nº / NÃO CONCILIADO</x:v>
      </x:c>
      <x:c r="U641" s="489" t="str">
        <x:v>Média</x:v>
      </x:c>
      <x:c r="V641" s="489" t="str"/>
      <x:c r="W641" s="489" t="str"/>
      <x:c r="X641" s="489" t="str"/>
    </x:row>
    <x:row r="642">
      <x:c r="A642" s="502" t="n">
        <x:v>642</x:v>
      </x:c>
      <x:c r="B642" s="502" t="n">
        <x:v>2022</x:v>
      </x:c>
      <x:c r="C642" s="489" t="str">
        <x:v>Gramado</x:v>
      </x:c>
      <x:c r="D642" s="489" t="str">
        <x:v>Município</x:v>
      </x:c>
      <x:c r="E642" s="489" t="str">
        <x:v>Prefeitura Municipal</x:v>
      </x:c>
      <x:c r="F642" s="489" t="str">
        <x:v>41160007</x:v>
      </x:c>
      <x:c r="G642" s="489" t="str">
        <x:v>41160007-2022</x:v>
      </x:c>
      <x:c r="H642" s="489" t="str">
        <x:v>Informado/corrigido a partir do mapa</x:v>
      </x:c>
      <x:c r="I642" s="503" t="n">
        <x:v>500000</x:v>
      </x:c>
      <x:c r="J642" s="503" t="n">
        <x:v>500000</x:v>
      </x:c>
      <x:c r="K642" s="489" t="str">
        <x:v>Emenda Individual </x:v>
      </x:c>
      <x:c r="L642" s="489" t="str">
        <x:v>Recurso pago</x:v>
      </x:c>
      <x:c r="M642" s="503" t="n">
        <x:v>481104</x:v>
      </x:c>
      <x:c r="N642" s="503" t="n">
        <x:v>481104</x:v>
      </x:c>
      <x:c r="O642" s="503" t="n">
        <x:v>481104</x:v>
      </x:c>
      <x:c r="P642" s="503" t="n">
        <x:v>0</x:v>
      </x:c>
      <x:c r="Q642" s="503" t="n">
        <x:v>0</x:v>
      </x:c>
      <x:c r="R642" s="489" t="str"/>
      <x:c r="S642" s="489" t="str">
        <x:v>88847082000155</x:v>
      </x:c>
      <x:c r="T642" s="489" t="str">
        <x:v>VALOR DIVERGENTE / COBERTURA DIFERENTE</x:v>
      </x:c>
      <x:c r="U642" s="489" t="str">
        <x:v>Média</x:v>
      </x:c>
      <x:c r="V642" s="489" t="str">
        <x:v>CNPJ candidato na fonte SIGA: 88847082000155</x:v>
      </x:c>
      <x:c r="W642" s="489" t="str">
        <x:v>Município/localidade encontrado em fonte comparável, mas valor não fecha exatamente</x:v>
      </x:c>
      <x:c r="X642" s="489" t="str">
        <x:v>https://discricionarias.transferegov.sistema.gov.br/voluntarias/ConsultarProposta/ResultadoDaConsultaDeConvenioSelecionarConvenio.do?sequencialConvenio=934224&amp;Usr=guest&amp;Pwd=guest</x:v>
      </x:c>
    </x:row>
    <x:row r="643">
      <x:c r="A643" s="502" t="n">
        <x:v>643</x:v>
      </x:c>
      <x:c r="B643" s="502" t="n">
        <x:v>2022</x:v>
      </x:c>
      <x:c r="C643" s="489" t="str">
        <x:v>Montenegro</x:v>
      </x:c>
      <x:c r="D643" s="489" t="str">
        <x:v>Hospital</x:v>
      </x:c>
      <x:c r="E643" s="489" t="str">
        <x:v>Hospital Montenegro 100% SUS</x:v>
      </x:c>
      <x:c r="F643" s="489" t="str">
        <x:v>7120004</x:v>
      </x:c>
      <x:c r="G643" s="489" t="str">
        <x:v>7120004-2022</x:v>
      </x:c>
      <x:c r="H643" s="489" t="str">
        <x:v>Informado/corrigido a partir do mapa</x:v>
      </x:c>
      <x:c r="I643" s="503" t="n">
        <x:v>500000</x:v>
      </x:c>
      <x:c r="J643" s="503" t="n">
        <x:v>500000</x:v>
      </x:c>
      <x:c r="K643" s="489" t="str">
        <x:v>Emenda de bancada (processo seletivo)</x:v>
      </x:c>
      <x:c r="L643" s="489" t="str">
        <x:v>Recurso pago</x:v>
      </x:c>
      <x:c r="M643" s="503" t="n">
        <x:v>0</x:v>
      </x:c>
      <x:c r="N643" s="503" t="n">
        <x:v>0</x:v>
      </x:c>
      <x:c r="O643" s="503" t="n">
        <x:v>0</x:v>
      </x:c>
      <x:c r="P643" s="503" t="n">
        <x:v>0</x:v>
      </x:c>
      <x:c r="Q643" s="503" t="n">
        <x:v>0</x:v>
      </x:c>
      <x:c r="R643" s="489" t="str"/>
      <x:c r="S643" s="489" t="str"/>
      <x:c r="T643" s="489" t="str">
        <x:v>Nº NÃO LOCALIZADO</x:v>
      </x:c>
      <x:c r="U643" s="489" t="str">
        <x:v>Média</x:v>
      </x:c>
      <x:c r="V643" s="489" t="str"/>
      <x:c r="W643" s="489" t="str"/>
      <x:c r="X643" s="489" t="str"/>
    </x:row>
    <x:row r="644">
      <x:c r="A644" s="502" t="n">
        <x:v>644</x:v>
      </x:c>
      <x:c r="B644" s="502" t="n">
        <x:v>2022</x:v>
      </x:c>
      <x:c r="C644" s="489" t="str">
        <x:v>Nova Hartz</x:v>
      </x:c>
      <x:c r="D644" s="489" t="str">
        <x:v>Município</x:v>
      </x:c>
      <x:c r="E644" s="489" t="str">
        <x:v>Prefeitura Municipal</x:v>
      </x:c>
      <x:c r="F644" s="489" t="str">
        <x:v>41160007</x:v>
      </x:c>
      <x:c r="G644" s="489" t="str">
        <x:v>41160007-2022</x:v>
      </x:c>
      <x:c r="H644" s="489" t="str">
        <x:v>Informado/corrigido a partir do mapa</x:v>
      </x:c>
      <x:c r="I644" s="503" t="n">
        <x:v>500000</x:v>
      </x:c>
      <x:c r="J644" s="503" t="n">
        <x:v>500000</x:v>
      </x:c>
      <x:c r="K644" s="489" t="str">
        <x:v>Emenda Individual </x:v>
      </x:c>
      <x:c r="L644" s="489" t="str">
        <x:v>Recurso pago</x:v>
      </x:c>
      <x:c r="M644" s="503" t="n">
        <x:v>481104</x:v>
      </x:c>
      <x:c r="N644" s="503" t="n">
        <x:v>481104</x:v>
      </x:c>
      <x:c r="O644" s="503" t="n">
        <x:v>481104</x:v>
      </x:c>
      <x:c r="P644" s="503" t="n">
        <x:v>0</x:v>
      </x:c>
      <x:c r="Q644" s="503" t="n">
        <x:v>0</x:v>
      </x:c>
      <x:c r="R644" s="489" t="str"/>
      <x:c r="S644" s="489" t="str">
        <x:v>91995365000159</x:v>
      </x:c>
      <x:c r="T644" s="489" t="str">
        <x:v>VALOR DIVERGENTE / COBERTURA DIFERENTE</x:v>
      </x:c>
      <x:c r="U644" s="489" t="str">
        <x:v>Média</x:v>
      </x:c>
      <x:c r="V644" s="489" t="str">
        <x:v>CNPJ candidato na fonte SIGA: 91995365000159</x:v>
      </x:c>
      <x:c r="W644" s="489" t="str">
        <x:v>Município/localidade encontrado em fonte comparável, mas valor não fecha exatamente</x:v>
      </x:c>
      <x:c r="X644" s="489" t="str">
        <x:v>https://discricionarias.transferegov.sistema.gov.br/voluntarias/ConsultarProposta/ResultadoDaConsultaDeConvenioSelecionarConvenio.do?sequencialConvenio=935672&amp;Usr=guest&amp;Pwd=guest</x:v>
      </x:c>
    </x:row>
    <x:row r="645">
      <x:c r="A645" s="502" t="n">
        <x:v>645</x:v>
      </x:c>
      <x:c r="B645" s="502" t="n">
        <x:v>2022</x:v>
      </x:c>
      <x:c r="C645" s="489" t="str">
        <x:v>Porto Alegre</x:v>
      </x:c>
      <x:c r="D645" s="489" t="str">
        <x:v>Hospital</x:v>
      </x:c>
      <x:c r="E645" s="489" t="str">
        <x:v>Irmandade da Santa Casa de Misericórdia de Porto Alegre</x:v>
      </x:c>
      <x:c r="F645" s="489" t="str">
        <x:v>41160003</x:v>
      </x:c>
      <x:c r="G645" s="489" t="str">
        <x:v>41160003-2022</x:v>
      </x:c>
      <x:c r="H645" s="489" t="str">
        <x:v>Informado/corrigido a partir do mapa</x:v>
      </x:c>
      <x:c r="I645" s="503" t="n">
        <x:v>500000</x:v>
      </x:c>
      <x:c r="J645" s="503" t="n">
        <x:v>1845666</x:v>
      </x:c>
      <x:c r="K645" s="489" t="str">
        <x:v>Emenda Individual </x:v>
      </x:c>
      <x:c r="L645" s="489" t="str">
        <x:v>Em execução. Total pago: R$ 463.328,00 (29/02/2024)</x:v>
      </x:c>
      <x:c r="M645" s="503" t="n">
        <x:v>1939506.8599999999</x:v>
      </x:c>
      <x:c r="N645" s="503" t="n">
        <x:v>2095666</x:v>
      </x:c>
      <x:c r="O645" s="503" t="n">
        <x:v>1939506.86</x:v>
      </x:c>
      <x:c r="P645" s="503" t="n">
        <x:v>0</x:v>
      </x:c>
      <x:c r="Q645" s="503" t="n">
        <x:v>0</x:v>
      </x:c>
      <x:c r="R645" s="489" t="str"/>
      <x:c r="S645" s="489" t="str">
        <x:v>4 CNPJs na fonte</x:v>
      </x:c>
      <x:c r="T645" s="489" t="str">
        <x:v>VALOR DIVERGENTE / COBERTURA DIFERENTE</x:v>
      </x:c>
      <x:c r="U645" s="489" t="str">
        <x:v>Média</x:v>
      </x:c>
      <x:c r="V645" s="489" t="str"/>
      <x:c r="W645" s="489" t="str">
        <x:v>Município/localidade encontrado em fonte comparável, mas valor não fecha exatamente</x:v>
      </x:c>
      <x:c r="X645" s="489" t="str">
        <x:v>https://discricionarias.transferegov.sistema.gov.br/voluntarias/ConsultarProposta/ResultadoDaConsultaDeConvenioSelecionarConvenio.do?sequencialConvenio=937483&amp;Usr=guest&amp;Pwd=guest | https://discricionarias.transferegov.sistema.gov.br/voluntarias/ConsultarProposta/ResultadoDaConsultaDeConvenioSelecionarConvenio.do?sequencialConvenio=935448&amp;Usr=guest&amp;Pwd=guest</x:v>
      </x:c>
    </x:row>
    <x:row r="646">
      <x:c r="A646" s="502" t="n">
        <x:v>646</x:v>
      </x:c>
      <x:c r="B646" s="502" t="n">
        <x:v>2022</x:v>
      </x:c>
      <x:c r="C646" s="489" t="str">
        <x:v>São Leopoldo</x:v>
      </x:c>
      <x:c r="D646" s="489" t="str">
        <x:v>Polícia Rodoviária Federal</x:v>
      </x:c>
      <x:c r="E646" s="489" t="str">
        <x:v>Polícia Rodoviária Federal</x:v>
      </x:c>
      <x:c r="F646" s="489" t="str"/>
      <x:c r="G646" s="489" t="str"/>
      <x:c r="H646" s="489" t="str">
        <x:v>Sem nº conciliado</x:v>
      </x:c>
      <x:c r="I646" s="503" t="n">
        <x:v>500000</x:v>
      </x:c>
      <x:c r="J646" s="503" t="n">
        <x:v>500000</x:v>
      </x:c>
      <x:c r="K646" s="489" t="str">
        <x:v>Emenda de bancada</x:v>
      </x:c>
      <x:c r="L646" s="489" t="str">
        <x:v>Recurso empenhado</x:v>
      </x:c>
      <x:c r="M646" s="503" t="n">
        <x:v>0</x:v>
      </x:c>
      <x:c r="N646" s="503" t="n">
        <x:v>0</x:v>
      </x:c>
      <x:c r="O646" s="503" t="n">
        <x:v>0</x:v>
      </x:c>
      <x:c r="P646" s="503" t="n">
        <x:v>0</x:v>
      </x:c>
      <x:c r="Q646" s="503" t="n">
        <x:v>0</x:v>
      </x:c>
      <x:c r="R646" s="489" t="str"/>
      <x:c r="S646" s="489" t="str"/>
      <x:c r="T646" s="489" t="str">
        <x:v>SEM Nº / NÃO CONCILIADO</x:v>
      </x:c>
      <x:c r="U646" s="489" t="str">
        <x:v>Média</x:v>
      </x:c>
      <x:c r="V646" s="489" t="str"/>
      <x:c r="W646" s="489" t="str"/>
      <x:c r="X646" s="489" t="str"/>
    </x:row>
    <x:row r="647">
      <x:c r="A647" s="502" t="n">
        <x:v>647</x:v>
      </x:c>
      <x:c r="B647" s="502" t="n">
        <x:v>2022</x:v>
      </x:c>
      <x:c r="C647" s="489" t="str">
        <x:v>Tramandaí</x:v>
      </x:c>
      <x:c r="D647" s="489"/>
      <x:c r="E647" s="489" t="str">
        <x:v>Ponte de Tramandaí-RS</x:v>
      </x:c>
      <x:c r="F647" s="489" t="str"/>
      <x:c r="G647" s="489" t="str"/>
      <x:c r="H647" s="489" t="str">
        <x:v>Sem nº conciliado</x:v>
      </x:c>
      <x:c r="I647" s="503" t="n">
        <x:v>500000</x:v>
      </x:c>
      <x:c r="J647" s="503" t="n">
        <x:v>500000</x:v>
      </x:c>
      <x:c r="K647" s="489" t="str">
        <x:v>Emenda de bancada</x:v>
      </x:c>
      <x:c r="L647" s="489" t="str">
        <x:v>Empenhado</x:v>
      </x:c>
      <x:c r="M647" s="503" t="n">
        <x:v>0</x:v>
      </x:c>
      <x:c r="N647" s="503" t="n">
        <x:v>0</x:v>
      </x:c>
      <x:c r="O647" s="503" t="n">
        <x:v>0</x:v>
      </x:c>
      <x:c r="P647" s="503" t="n">
        <x:v>0</x:v>
      </x:c>
      <x:c r="Q647" s="503" t="n">
        <x:v>0</x:v>
      </x:c>
      <x:c r="R647" s="489" t="str"/>
      <x:c r="S647" s="489" t="str"/>
      <x:c r="T647" s="489" t="str">
        <x:v>SEM Nº / NÃO CONCILIADO</x:v>
      </x:c>
      <x:c r="U647" s="489" t="str">
        <x:v>Média</x:v>
      </x:c>
      <x:c r="V647" s="489" t="str"/>
      <x:c r="W647" s="489" t="str"/>
      <x:c r="X647" s="489" t="str"/>
    </x:row>
    <x:row r="648">
      <x:c r="A648" s="502" t="n">
        <x:v>648</x:v>
      </x:c>
      <x:c r="B648" s="502" t="n">
        <x:v>2023</x:v>
      </x:c>
      <x:c r="C648" s="489" t="str">
        <x:v>Cruz Alta</x:v>
      </x:c>
      <x:c r="D648" s="489" t="str">
        <x:v>Hospital</x:v>
      </x:c>
      <x:c r="E648" s="489" t="str">
        <x:v>Associação Das Damas De Caridade - Hospital De Caridade São Vicente De Paulo</x:v>
      </x:c>
      <x:c r="F648" s="489" t="str"/>
      <x:c r="G648" s="489" t="str"/>
      <x:c r="H648" s="489" t="str">
        <x:v>Sem nº conciliado</x:v>
      </x:c>
      <x:c r="I648" s="503" t="n">
        <x:v>500000</x:v>
      </x:c>
      <x:c r="J648" s="503" t="n">
        <x:v>500000</x:v>
      </x:c>
      <x:c r="K648" s="489" t="str">
        <x:v>Emenda Individual</x:v>
      </x:c>
      <x:c r="L648" s="489" t="str">
        <x:v>Empenhado</x:v>
      </x:c>
      <x:c r="M648" s="503" t="n">
        <x:v>0</x:v>
      </x:c>
      <x:c r="N648" s="503" t="n">
        <x:v>0</x:v>
      </x:c>
      <x:c r="O648" s="503" t="n">
        <x:v>0</x:v>
      </x:c>
      <x:c r="P648" s="503" t="n">
        <x:v>0</x:v>
      </x:c>
      <x:c r="Q648" s="503" t="n">
        <x:v>0</x:v>
      </x:c>
      <x:c r="R648" s="489" t="str"/>
      <x:c r="S648" s="489" t="str"/>
      <x:c r="T648" s="489" t="str">
        <x:v>SEM Nº / NÃO CONCILIADO</x:v>
      </x:c>
      <x:c r="U648" s="489" t="str">
        <x:v>Média</x:v>
      </x:c>
      <x:c r="V648" s="489" t="str"/>
      <x:c r="W648" s="489" t="str"/>
      <x:c r="X648" s="489" t="str"/>
    </x:row>
    <x:row r="649">
      <x:c r="A649" s="502" t="n">
        <x:v>649</x:v>
      </x:c>
      <x:c r="B649" s="502" t="n">
        <x:v>2023</x:v>
      </x:c>
      <x:c r="C649" s="489" t="str">
        <x:v>Santa Maria</x:v>
      </x:c>
      <x:c r="D649" s="489" t="str">
        <x:v>Hospital</x:v>
      </x:c>
      <x:c r="E649" s="489" t="str">
        <x:v>Hospital Universitário De Santa Maria</x:v>
      </x:c>
      <x:c r="F649" s="489" t="str"/>
      <x:c r="G649" s="489" t="str"/>
      <x:c r="H649" s="489" t="str">
        <x:v>Sem nº conciliado</x:v>
      </x:c>
      <x:c r="I649" s="503" t="n">
        <x:v>500000</x:v>
      </x:c>
      <x:c r="J649" s="503" t="n">
        <x:v>650000</x:v>
      </x:c>
      <x:c r="K649" s="489" t="str">
        <x:v>Emenda Individual</x:v>
      </x:c>
      <x:c r="L649" s="489" t="str">
        <x:v>Não foi possível executar a indicação porque o Ministério da Saúde não aceitou em 2023 destinar verbas a hospitais universitários.</x:v>
      </x:c>
      <x:c r="M649" s="503" t="n">
        <x:v>0</x:v>
      </x:c>
      <x:c r="N649" s="503" t="n">
        <x:v>0</x:v>
      </x:c>
      <x:c r="O649" s="503" t="n">
        <x:v>0</x:v>
      </x:c>
      <x:c r="P649" s="503" t="n">
        <x:v>0</x:v>
      </x:c>
      <x:c r="Q649" s="503" t="n">
        <x:v>0</x:v>
      </x:c>
      <x:c r="R649" s="489" t="str"/>
      <x:c r="S649" s="489" t="str"/>
      <x:c r="T649" s="489" t="str">
        <x:v>SEM Nº / NÃO CONCILIADO</x:v>
      </x:c>
      <x:c r="U649" s="489" t="str">
        <x:v>Média</x:v>
      </x:c>
      <x:c r="V649" s="489" t="str"/>
      <x:c r="W649" s="489" t="str"/>
      <x:c r="X649" s="489" t="str"/>
    </x:row>
    <x:row r="650">
      <x:c r="A650" s="502" t="n">
        <x:v>650</x:v>
      </x:c>
      <x:c r="B650" s="502" t="n">
        <x:v>2023</x:v>
      </x:c>
      <x:c r="C650" s="489" t="str">
        <x:v>São Lourenço Do Sul</x:v>
      </x:c>
      <x:c r="D650" s="489" t="str">
        <x:v>Hospital</x:v>
      </x:c>
      <x:c r="E650" s="489" t="str">
        <x:v>Santa Casa De Misericórdia De São Lourenço Do Sul</x:v>
      </x:c>
      <x:c r="F650" s="489" t="str"/>
      <x:c r="G650" s="489" t="str"/>
      <x:c r="H650" s="489" t="str">
        <x:v>Sem nº conciliado</x:v>
      </x:c>
      <x:c r="I650" s="503" t="n">
        <x:v>500000</x:v>
      </x:c>
      <x:c r="J650" s="503" t="n">
        <x:v>500000</x:v>
      </x:c>
      <x:c r="K650" s="489" t="str">
        <x:v>Emenda Individual</x:v>
      </x:c>
      <x:c r="L650" s="489" t="str">
        <x:v>Empenhado</x:v>
      </x:c>
      <x:c r="M650" s="503" t="n">
        <x:v>0</x:v>
      </x:c>
      <x:c r="N650" s="503" t="n">
        <x:v>0</x:v>
      </x:c>
      <x:c r="O650" s="503" t="n">
        <x:v>0</x:v>
      </x:c>
      <x:c r="P650" s="503" t="n">
        <x:v>0</x:v>
      </x:c>
      <x:c r="Q650" s="503" t="n">
        <x:v>0</x:v>
      </x:c>
      <x:c r="R650" s="489" t="str"/>
      <x:c r="S650" s="489" t="str"/>
      <x:c r="T650" s="489" t="str">
        <x:v>SEM Nº / NÃO CONCILIADO</x:v>
      </x:c>
      <x:c r="U650" s="489" t="str">
        <x:v>Média</x:v>
      </x:c>
      <x:c r="V650" s="489" t="str"/>
      <x:c r="W650" s="489" t="str"/>
      <x:c r="X650" s="489" t="str"/>
    </x:row>
    <x:row r="651">
      <x:c r="A651" s="502" t="n">
        <x:v>651</x:v>
      </x:c>
      <x:c r="B651" s="502" t="n">
        <x:v>2023</x:v>
      </x:c>
      <x:c r="C651" s="489"/>
      <x:c r="D651" s="489"/>
      <x:c r="E651" s="489" t="str">
        <x:v>PF</x:v>
      </x:c>
      <x:c r="F651" s="489" t="str">
        <x:v>41160005</x:v>
      </x:c>
      <x:c r="G651" s="489" t="str">
        <x:v>41160005-2023</x:v>
      </x:c>
      <x:c r="H651" s="489" t="str">
        <x:v>Informado/corrigido a partir do mapa</x:v>
      </x:c>
      <x:c r="I651" s="503" t="n">
        <x:v>500000</x:v>
      </x:c>
      <x:c r="J651" s="503" t="n">
        <x:v>500000</x:v>
      </x:c>
      <x:c r="K651" s="489"/>
      <x:c r="L651" s="489"/>
      <x:c r="M651" s="503" t="n">
        <x:v>0</x:v>
      </x:c>
      <x:c r="N651" s="503" t="n">
        <x:v>0</x:v>
      </x:c>
      <x:c r="O651" s="503" t="n">
        <x:v>0</x:v>
      </x:c>
      <x:c r="P651" s="503" t="n">
        <x:v>0</x:v>
      </x:c>
      <x:c r="Q651" s="503" t="n">
        <x:v>0</x:v>
      </x:c>
      <x:c r="R651" s="489" t="str"/>
      <x:c r="S651" s="489" t="str"/>
      <x:c r="T651" s="489" t="str">
        <x:v>EMENDA CONFIRMADA; DESTINO NÃO CONFIRMADO</x:v>
      </x:c>
      <x:c r="U651" s="489" t="str">
        <x:v>Média</x:v>
      </x:c>
      <x:c r="V651" s="489" t="str"/>
      <x:c r="W651" s="489" t="str">
        <x:v>Nº existe no SIGA; destinatário específico não foi confirmado nas bases anexas</x:v>
      </x:c>
      <x:c r="X651" s="489" t="str"/>
    </x:row>
    <x:row r="652">
      <x:c r="A652" s="502" t="n">
        <x:v>652</x:v>
      </x:c>
      <x:c r="B652" s="502" t="n">
        <x:v>2023</x:v>
      </x:c>
      <x:c r="C652" s="489"/>
      <x:c r="D652" s="489"/>
      <x:c r="E652" s="489" t="str">
        <x:v>PRF</x:v>
      </x:c>
      <x:c r="F652" s="489" t="str">
        <x:v>41160008</x:v>
      </x:c>
      <x:c r="G652" s="489" t="str">
        <x:v>41160008-2023</x:v>
      </x:c>
      <x:c r="H652" s="489" t="str">
        <x:v>Informado/corrigido a partir do mapa</x:v>
      </x:c>
      <x:c r="I652" s="503" t="n">
        <x:v>500000</x:v>
      </x:c>
      <x:c r="J652" s="503" t="n">
        <x:v>500000</x:v>
      </x:c>
      <x:c r="K652" s="489"/>
      <x:c r="L652" s="489"/>
      <x:c r="M652" s="503" t="n">
        <x:v>0</x:v>
      </x:c>
      <x:c r="N652" s="503" t="n">
        <x:v>0</x:v>
      </x:c>
      <x:c r="O652" s="503" t="n">
        <x:v>0</x:v>
      </x:c>
      <x:c r="P652" s="503" t="n">
        <x:v>0</x:v>
      </x:c>
      <x:c r="Q652" s="503" t="n">
        <x:v>0</x:v>
      </x:c>
      <x:c r="R652" s="489" t="str"/>
      <x:c r="S652" s="489" t="str"/>
      <x:c r="T652" s="489" t="str">
        <x:v>EMENDA CONFIRMADA; DESTINO NÃO CONFIRMADO</x:v>
      </x:c>
      <x:c r="U652" s="489" t="str">
        <x:v>Média</x:v>
      </x:c>
      <x:c r="V652" s="489" t="str"/>
      <x:c r="W652" s="489" t="str">
        <x:v>Nº existe no SIGA; destinatário específico não foi confirmado nas bases anexas</x:v>
      </x:c>
      <x:c r="X652" s="489" t="str"/>
    </x:row>
    <x:row r="653">
      <x:c r="A653" s="502" t="n">
        <x:v>653</x:v>
      </x:c>
      <x:c r="B653" s="502" t="n">
        <x:v>2023</x:v>
      </x:c>
      <x:c r="C653" s="489" t="str">
        <x:v>Santa Rosa</x:v>
      </x:c>
      <x:c r="D653" s="489"/>
      <x:c r="E653" s="489" t="str">
        <x:v>Reforma, ampliação e reaparelhamento do Aeroporto de Santa Rosa/RS – Fundo Nacional de Aviação Civil – FNAC – Ação 15YQ</x:v>
      </x:c>
      <x:c r="F653" s="489" t="str"/>
      <x:c r="G653" s="489" t="str"/>
      <x:c r="H653" s="489" t="str">
        <x:v>Sem nº conciliado</x:v>
      </x:c>
      <x:c r="I653" s="503" t="n">
        <x:v>500000</x:v>
      </x:c>
      <x:c r="J653" s="503" t="n">
        <x:v>640000</x:v>
      </x:c>
      <x:c r="K653" s="489" t="str">
        <x:v>Emenda bancada</x:v>
      </x:c>
      <x:c r="L653" s="489" t="str">
        <x:v>Empenhado</x:v>
      </x:c>
      <x:c r="M653" s="503" t="n">
        <x:v>0</x:v>
      </x:c>
      <x:c r="N653" s="503" t="n">
        <x:v>0</x:v>
      </x:c>
      <x:c r="O653" s="503" t="n">
        <x:v>0</x:v>
      </x:c>
      <x:c r="P653" s="503" t="n">
        <x:v>0</x:v>
      </x:c>
      <x:c r="Q653" s="503" t="n">
        <x:v>0</x:v>
      </x:c>
      <x:c r="R653" s="489" t="str"/>
      <x:c r="S653" s="489" t="str"/>
      <x:c r="T653" s="489" t="str">
        <x:v>SEM Nº / NÃO CONCILIADO</x:v>
      </x:c>
      <x:c r="U653" s="489" t="str">
        <x:v>Média</x:v>
      </x:c>
      <x:c r="V653" s="489" t="str"/>
      <x:c r="W653" s="489" t="str"/>
      <x:c r="X653" s="489" t="str"/>
    </x:row>
    <x:row r="654">
      <x:c r="A654" s="502" t="n">
        <x:v>654</x:v>
      </x:c>
      <x:c r="B654" s="502" t="n">
        <x:v>2024</x:v>
      </x:c>
      <x:c r="C654" s="489" t="str">
        <x:v>Bento Gonçalves</x:v>
      </x:c>
      <x:c r="D654" s="489" t="str">
        <x:v>Prefeitura Municipal de Bento Gonçalves</x:v>
      </x:c>
      <x:c r="E654" s="489" t="str">
        <x:v>Prefeitura Municipal</x:v>
      </x:c>
      <x:c r="F654" s="489" t="str">
        <x:v>41160001</x:v>
      </x:c>
      <x:c r="G654" s="489" t="str">
        <x:v>41160001-2024</x:v>
      </x:c>
      <x:c r="H654" s="489" t="str">
        <x:v>Informado/corrigido a partir do mapa</x:v>
      </x:c>
      <x:c r="I654" s="503" t="n">
        <x:v>500000</x:v>
      </x:c>
      <x:c r="J654" s="503" t="n">
        <x:v>500000</x:v>
      </x:c>
      <x:c r="K654" s="489" t="str">
        <x:v>Emenda Individual</x:v>
      </x:c>
      <x:c r="L654" s="489"/>
      <x:c r="M654" s="503" t="n">
        <x:v>500000</x:v>
      </x:c>
      <x:c r="N654" s="503" t="n">
        <x:v>0</x:v>
      </x:c>
      <x:c r="O654" s="503" t="n">
        <x:v>0</x:v>
      </x:c>
      <x:c r="P654" s="503" t="n">
        <x:v>0</x:v>
      </x:c>
      <x:c r="Q654" s="503" t="n">
        <x:v>0</x:v>
      </x:c>
      <x:c r="R654" s="489" t="str"/>
      <x:c r="S654" s="489" t="str">
        <x:v>11436612000148</x:v>
      </x:c>
      <x:c r="T654" s="489" t="str">
        <x:v>CONFIRMADO</x:v>
      </x:c>
      <x:c r="U654" s="489" t="str">
        <x:v>Baixa</x:v>
      </x:c>
      <x:c r="V654" s="489" t="str">
        <x:v>Preencher situação: há pagamento identificado na fonte pública; CNPJ candidato na fonte SIGA: 11436612000148</x:v>
      </x:c>
      <x:c r="W654" s="489" t="str">
        <x:v>Valor do grupo fecha com: SIGA pago favorecido</x:v>
      </x:c>
      <x:c r="X654" s="489" t="str"/>
    </x:row>
    <x:row r="655">
      <x:c r="A655" s="502" t="n">
        <x:v>655</x:v>
      </x:c>
      <x:c r="B655" s="502" t="n">
        <x:v>2024</x:v>
      </x:c>
      <x:c r="C655" s="489" t="str">
        <x:v>Pelotas</x:v>
      </x:c>
      <x:c r="D655" s="489" t="str">
        <x:v>Prefeitura Municipal de Pelotas</x:v>
      </x:c>
      <x:c r="E655" s="489" t="str">
        <x:v>Prefeitura Municipal</x:v>
      </x:c>
      <x:c r="F655" s="489" t="str">
        <x:v>41160001</x:v>
      </x:c>
      <x:c r="G655" s="489" t="str">
        <x:v>41160001-2024</x:v>
      </x:c>
      <x:c r="H655" s="489" t="str">
        <x:v>Informado/corrigido a partir do mapa</x:v>
      </x:c>
      <x:c r="I655" s="503" t="n">
        <x:v>500000</x:v>
      </x:c>
      <x:c r="J655" s="503" t="n">
        <x:v>500000</x:v>
      </x:c>
      <x:c r="K655" s="489" t="str">
        <x:v>Emenda Individual</x:v>
      </x:c>
      <x:c r="L655" s="489"/>
      <x:c r="M655" s="503" t="n">
        <x:v>500000</x:v>
      </x:c>
      <x:c r="N655" s="503" t="n">
        <x:v>0</x:v>
      </x:c>
      <x:c r="O655" s="503" t="n">
        <x:v>0</x:v>
      </x:c>
      <x:c r="P655" s="503" t="n">
        <x:v>0</x:v>
      </x:c>
      <x:c r="Q655" s="503" t="n">
        <x:v>0</x:v>
      </x:c>
      <x:c r="R655" s="489" t="str"/>
      <x:c r="S655" s="489" t="str">
        <x:v>11217562000108</x:v>
      </x:c>
      <x:c r="T655" s="489" t="str">
        <x:v>CONFIRMADO</x:v>
      </x:c>
      <x:c r="U655" s="489" t="str">
        <x:v>Baixa</x:v>
      </x:c>
      <x:c r="V655" s="489" t="str">
        <x:v>Preencher situação: há pagamento identificado na fonte pública; CNPJ candidato na fonte SIGA: 11217562000108</x:v>
      </x:c>
      <x:c r="W655" s="489" t="str">
        <x:v>Valor do grupo fecha com: SIGA pago favorecido</x:v>
      </x:c>
      <x:c r="X655" s="489" t="str"/>
    </x:row>
    <x:row r="656">
      <x:c r="A656" s="502" t="n">
        <x:v>656</x:v>
      </x:c>
      <x:c r="B656" s="502" t="n">
        <x:v>2024</x:v>
      </x:c>
      <x:c r="C656" s="489" t="str">
        <x:v>Arroio do Meio</x:v>
      </x:c>
      <x:c r="D656" s="489" t="str">
        <x:v>Prefeitura Municipal de Arroio do Meio</x:v>
      </x:c>
      <x:c r="E656" s="489" t="str">
        <x:v>Prefeitura Municipal</x:v>
      </x:c>
      <x:c r="F656" s="489" t="str">
        <x:v>41160005</x:v>
      </x:c>
      <x:c r="G656" s="489" t="str">
        <x:v>41160005-2024</x:v>
      </x:c>
      <x:c r="H656" s="489" t="str">
        <x:v>Informado/corrigido a partir do mapa</x:v>
      </x:c>
      <x:c r="I656" s="503" t="n">
        <x:v>500000</x:v>
      </x:c>
      <x:c r="J656" s="503" t="n">
        <x:v>500000</x:v>
      </x:c>
      <x:c r="K656" s="489" t="str">
        <x:v>Emenda Individual</x:v>
      </x:c>
      <x:c r="L656" s="489"/>
      <x:c r="M656" s="503" t="n">
        <x:v>500000</x:v>
      </x:c>
      <x:c r="N656" s="503" t="n">
        <x:v>0</x:v>
      </x:c>
      <x:c r="O656" s="503" t="n">
        <x:v>0</x:v>
      </x:c>
      <x:c r="P656" s="503" t="n">
        <x:v>0</x:v>
      </x:c>
      <x:c r="Q656" s="503" t="n">
        <x:v>0</x:v>
      </x:c>
      <x:c r="R656" s="489" t="str"/>
      <x:c r="S656" s="489" t="str">
        <x:v>87297271000139</x:v>
      </x:c>
      <x:c r="T656" s="489" t="str">
        <x:v>CONFIRMADO</x:v>
      </x:c>
      <x:c r="U656" s="489" t="str">
        <x:v>Baixa</x:v>
      </x:c>
      <x:c r="V656" s="489" t="str">
        <x:v>Preencher situação: há pagamento identificado na fonte pública; CNPJ candidato na fonte SIGA: 87297271000139</x:v>
      </x:c>
      <x:c r="W656" s="489" t="str">
        <x:v>Valor do grupo fecha com: SIGA pago favorecido</x:v>
      </x:c>
      <x:c r="X656" s="489" t="str"/>
    </x:row>
    <x:row r="657">
      <x:c r="A657" s="502" t="n">
        <x:v>657</x:v>
      </x:c>
      <x:c r="B657" s="502" t="n">
        <x:v>2025</x:v>
      </x:c>
      <x:c r="C657" s="489" t="str">
        <x:v>Rolante</x:v>
      </x:c>
      <x:c r="D657" s="489" t="str">
        <x:v>Municipio De Rolante Rolante - Rs</x:v>
      </x:c>
      <x:c r="E657" s="489" t="str">
        <x:v>Prefeitura Municipal</x:v>
      </x:c>
      <x:c r="F657" s="489" t="str">
        <x:v>41160005</x:v>
      </x:c>
      <x:c r="G657" s="489" t="str">
        <x:v>41160005-2025</x:v>
      </x:c>
      <x:c r="H657" s="489" t="str">
        <x:v>Informado/corrigido a partir do mapa</x:v>
      </x:c>
      <x:c r="I657" s="503" t="n">
        <x:v>500000</x:v>
      </x:c>
      <x:c r="J657" s="503" t="n">
        <x:v>500000</x:v>
      </x:c>
      <x:c r="K657" s="489" t="str">
        <x:v>Emenda Individual</x:v>
      </x:c>
      <x:c r="L657" s="489"/>
      <x:c r="M657" s="503" t="n">
        <x:v>0</x:v>
      </x:c>
      <x:c r="N657" s="503" t="n">
        <x:v>481104</x:v>
      </x:c>
      <x:c r="O657" s="503" t="n">
        <x:v>0</x:v>
      </x:c>
      <x:c r="P657" s="503" t="n">
        <x:v>0</x:v>
      </x:c>
      <x:c r="Q657" s="503" t="n">
        <x:v>0</x:v>
      </x:c>
      <x:c r="R657" s="489" t="str"/>
      <x:c r="S657" s="489" t="str"/>
      <x:c r="T657" s="489" t="str">
        <x:v>DESTINO/INSTRUMENTO CONFIRMADO; VALOR NÃO COMPARÁVEL</x:v>
      </x:c>
      <x:c r="U657" s="489" t="str">
        <x:v>Média</x:v>
      </x:c>
      <x:c r="V657" s="489" t="str"/>
      <x:c r="W657" s="489" t="str">
        <x:v>Há instrumento do Transferegov para a emenda/município; valores do instrumento não foram usados como prova do valor da emenda</x:v>
      </x:c>
      <x:c r="X657" s="489" t="str">
        <x:v>https://discricionarias.transferegov.sistema.gov.br/voluntarias/ConsultarProposta/ResultadoDaConsultaDeConvenioSelecionarConvenio.do?sequencialConvenio=976446&amp;Usr=guest&amp;Pwd=guest</x:v>
      </x:c>
    </x:row>
    <x:row r="658">
      <x:c r="A658" s="502" t="n">
        <x:v>658</x:v>
      </x:c>
      <x:c r="B658" s="502" t="n">
        <x:v>2025</x:v>
      </x:c>
      <x:c r="C658" s="489" t="str">
        <x:v>Antônio Prado</x:v>
      </x:c>
      <x:c r="D658" s="489" t="str">
        <x:v>Sociedade Hospitalar Sao Jose Antônio Prado - Rs</x:v>
      </x:c>
      <x:c r="E658" s="489" t="str">
        <x:v>Sociedade Hospitalar Sao Jose Antônio Prado - Rs</x:v>
      </x:c>
      <x:c r="F658" s="489" t="str">
        <x:v>41160004</x:v>
      </x:c>
      <x:c r="G658" s="489" t="str">
        <x:v>41160004-2025</x:v>
      </x:c>
      <x:c r="H658" s="489" t="str">
        <x:v>Informado/corrigido a partir do mapa</x:v>
      </x:c>
      <x:c r="I658" s="503" t="n">
        <x:v>500000</x:v>
      </x:c>
      <x:c r="J658" s="503" t="n">
        <x:v>500000</x:v>
      </x:c>
      <x:c r="K658" s="489" t="str">
        <x:v>Emenda Individual</x:v>
      </x:c>
      <x:c r="L658" s="489"/>
      <x:c r="M658" s="503" t="n">
        <x:v>496994.43</x:v>
      </x:c>
      <x:c r="N658" s="503" t="n">
        <x:v>499597</x:v>
      </x:c>
      <x:c r="O658" s="503" t="n">
        <x:v>496994.43</x:v>
      </x:c>
      <x:c r="P658" s="503" t="n">
        <x:v>0</x:v>
      </x:c>
      <x:c r="Q658" s="503" t="n">
        <x:v>0</x:v>
      </x:c>
      <x:c r="R658" s="489" t="str"/>
      <x:c r="S658" s="489" t="str">
        <x:v>87277000000111</x:v>
      </x:c>
      <x:c r="T658" s="489" t="str">
        <x:v>VALOR DIVERGENTE / COBERTURA DIFERENTE</x:v>
      </x:c>
      <x:c r="U658" s="489" t="str">
        <x:v>Média</x:v>
      </x:c>
      <x:c r="V658" s="489" t="str">
        <x:v>Preencher situação: há pagamento identificado na fonte pública</x:v>
      </x:c>
      <x:c r="W658" s="489" t="str">
        <x:v>Município/localidade encontrado em fonte comparável, mas valor não fecha exatamente</x:v>
      </x:c>
      <x:c r="X658" s="489" t="str">
        <x:v>https://discricionarias.transferegov.sistema.gov.br/voluntarias/ConsultarProposta/ResultadoDaConsultaDeConvenioSelecionarConvenio.do?sequencialConvenio=979888&amp;Usr=guest&amp;Pwd=guest</x:v>
      </x:c>
    </x:row>
    <x:row r="659">
      <x:c r="A659" s="502" t="n">
        <x:v>659</x:v>
      </x:c>
      <x:c r="B659" s="502" t="n">
        <x:v>2025</x:v>
      </x:c>
      <x:c r="C659" s="489" t="str">
        <x:v>Barão</x:v>
      </x:c>
      <x:c r="D659" s="489" t="str">
        <x:v>Municipio De Barao Barão - Rs</x:v>
      </x:c>
      <x:c r="E659" s="489" t="str">
        <x:v>Prefeitura Municipal</x:v>
      </x:c>
      <x:c r="F659" s="489" t="str">
        <x:v>41160005</x:v>
      </x:c>
      <x:c r="G659" s="489" t="str">
        <x:v>41160005-2025</x:v>
      </x:c>
      <x:c r="H659" s="489" t="str">
        <x:v>Informado/corrigido a partir do mapa</x:v>
      </x:c>
      <x:c r="I659" s="503" t="n">
        <x:v>500000</x:v>
      </x:c>
      <x:c r="J659" s="503" t="n">
        <x:v>500000</x:v>
      </x:c>
      <x:c r="K659" s="489" t="str">
        <x:v>Emenda Individual</x:v>
      </x:c>
      <x:c r="L659" s="489"/>
      <x:c r="M659" s="503" t="n">
        <x:v>0</x:v>
      </x:c>
      <x:c r="N659" s="503" t="n">
        <x:v>481104</x:v>
      </x:c>
      <x:c r="O659" s="503" t="n">
        <x:v>0</x:v>
      </x:c>
      <x:c r="P659" s="503" t="n">
        <x:v>0</x:v>
      </x:c>
      <x:c r="Q659" s="503" t="n">
        <x:v>0</x:v>
      </x:c>
      <x:c r="R659" s="489" t="str"/>
      <x:c r="S659" s="489" t="str"/>
      <x:c r="T659" s="489" t="str">
        <x:v>DESTINO/INSTRUMENTO CONFIRMADO; VALOR NÃO COMPARÁVEL</x:v>
      </x:c>
      <x:c r="U659" s="489" t="str">
        <x:v>Média</x:v>
      </x:c>
      <x:c r="V659" s="489" t="str"/>
      <x:c r="W659" s="489" t="str">
        <x:v>Há instrumento do Transferegov para a emenda/município; valores do instrumento não foram usados como prova do valor da emenda</x:v>
      </x:c>
      <x:c r="X659" s="489" t="str">
        <x:v>https://discricionarias.transferegov.sistema.gov.br/voluntarias/ConsultarProposta/ResultadoDaConsultaDeConvenioSelecionarConvenio.do?sequencialConvenio=976294&amp;Usr=guest&amp;Pwd=guest</x:v>
      </x:c>
    </x:row>
    <x:row r="660">
      <x:c r="A660" s="502" t="n">
        <x:v>660</x:v>
      </x:c>
      <x:c r="B660" s="502" t="n">
        <x:v>2025</x:v>
      </x:c>
      <x:c r="C660" s="489" t="str">
        <x:v>Imbé</x:v>
      </x:c>
      <x:c r="D660" s="489" t="str">
        <x:v>Municipio De Imbe Imbé - Rs</x:v>
      </x:c>
      <x:c r="E660" s="489" t="str">
        <x:v>Prefeitura Municipal</x:v>
      </x:c>
      <x:c r="F660" s="489" t="str">
        <x:v>41160005</x:v>
      </x:c>
      <x:c r="G660" s="489" t="str">
        <x:v>41160005-2025</x:v>
      </x:c>
      <x:c r="H660" s="489" t="str">
        <x:v>Informado/corrigido a partir do mapa</x:v>
      </x:c>
      <x:c r="I660" s="503" t="n">
        <x:v>500000</x:v>
      </x:c>
      <x:c r="J660" s="503" t="n">
        <x:v>500000</x:v>
      </x:c>
      <x:c r="K660" s="489" t="str">
        <x:v>Emenda Individual</x:v>
      </x:c>
      <x:c r="L660" s="489"/>
      <x:c r="M660" s="503" t="n">
        <x:v>0</x:v>
      </x:c>
      <x:c r="N660" s="503" t="n">
        <x:v>481104</x:v>
      </x:c>
      <x:c r="O660" s="503" t="n">
        <x:v>0</x:v>
      </x:c>
      <x:c r="P660" s="503" t="n">
        <x:v>0</x:v>
      </x:c>
      <x:c r="Q660" s="503" t="n">
        <x:v>0</x:v>
      </x:c>
      <x:c r="R660" s="489" t="str"/>
      <x:c r="S660" s="489" t="str"/>
      <x:c r="T660" s="489" t="str">
        <x:v>DESTINO/INSTRUMENTO CONFIRMADO; VALOR NÃO COMPARÁVEL</x:v>
      </x:c>
      <x:c r="U660" s="489" t="str">
        <x:v>Média</x:v>
      </x:c>
      <x:c r="V660" s="489" t="str"/>
      <x:c r="W660" s="489" t="str">
        <x:v>Há instrumento do Transferegov para a emenda/município; valores do instrumento não foram usados como prova do valor da emenda</x:v>
      </x:c>
      <x:c r="X660" s="489" t="str">
        <x:v>https://discricionarias.transferegov.sistema.gov.br/voluntarias/ConsultarProposta/ResultadoDaConsultaDeConvenioSelecionarConvenio.do?sequencialConvenio=976207&amp;Usr=guest&amp;Pwd=guest</x:v>
      </x:c>
    </x:row>
    <x:row r="661">
      <x:c r="A661" s="502" t="n">
        <x:v>661</x:v>
      </x:c>
      <x:c r="B661" s="502" t="n">
        <x:v>2025</x:v>
      </x:c>
      <x:c r="C661" s="489" t="str">
        <x:v>Porto Lucena</x:v>
      </x:c>
      <x:c r="D661" s="489" t="str">
        <x:v>Municipio De Porto Lucena Porto Lucena - Rs</x:v>
      </x:c>
      <x:c r="E661" s="489" t="str">
        <x:v>Prefeitura Municipal</x:v>
      </x:c>
      <x:c r="F661" s="489" t="str">
        <x:v>41160005</x:v>
      </x:c>
      <x:c r="G661" s="489" t="str">
        <x:v>41160005-2025</x:v>
      </x:c>
      <x:c r="H661" s="489" t="str">
        <x:v>Informado/corrigido a partir do mapa</x:v>
      </x:c>
      <x:c r="I661" s="503" t="n">
        <x:v>500000</x:v>
      </x:c>
      <x:c r="J661" s="503" t="n">
        <x:v>500000</x:v>
      </x:c>
      <x:c r="K661" s="489" t="str">
        <x:v>Emenda Individual</x:v>
      </x:c>
      <x:c r="L661" s="489"/>
      <x:c r="M661" s="503" t="n">
        <x:v>0</x:v>
      </x:c>
      <x:c r="N661" s="503" t="n">
        <x:v>487000</x:v>
      </x:c>
      <x:c r="O661" s="503" t="n">
        <x:v>0</x:v>
      </x:c>
      <x:c r="P661" s="503" t="n">
        <x:v>0</x:v>
      </x:c>
      <x:c r="Q661" s="503" t="n">
        <x:v>0</x:v>
      </x:c>
      <x:c r="R661" s="489" t="str"/>
      <x:c r="S661" s="489" t="str"/>
      <x:c r="T661" s="489" t="str">
        <x:v>DESTINO/INSTRUMENTO CONFIRMADO; VALOR NÃO COMPARÁVEL</x:v>
      </x:c>
      <x:c r="U661" s="489" t="str">
        <x:v>Média</x:v>
      </x:c>
      <x:c r="V661" s="489" t="str"/>
      <x:c r="W661" s="489" t="str">
        <x:v>Há instrumento do Transferegov para a emenda/município; valores do instrumento não foram usados como prova do valor da emenda</x:v>
      </x:c>
      <x:c r="X661" s="489" t="str">
        <x:v>https://discricionarias.transferegov.sistema.gov.br/voluntarias/ConsultarProposta/ResultadoDaConsultaDeConvenioSelecionarConvenio.do?sequencialConvenio=986093&amp;Usr=guest&amp;Pwd=guest</x:v>
      </x:c>
    </x:row>
    <x:row r="662">
      <x:c r="A662" s="502" t="n">
        <x:v>662</x:v>
      </x:c>
      <x:c r="B662" s="502" t="n">
        <x:v>2025</x:v>
      </x:c>
      <x:c r="C662" s="489" t="str">
        <x:v>Três Coroas</x:v>
      </x:c>
      <x:c r="D662" s="489" t="str">
        <x:v>Municipio De Tres Coroas Três Coroas - Rs</x:v>
      </x:c>
      <x:c r="E662" s="489" t="str">
        <x:v>Prefeitura Municipal</x:v>
      </x:c>
      <x:c r="F662" s="489" t="str">
        <x:v>41160005</x:v>
      </x:c>
      <x:c r="G662" s="489" t="str">
        <x:v>41160005-2025</x:v>
      </x:c>
      <x:c r="H662" s="489" t="str">
        <x:v>Informado/corrigido a partir do mapa</x:v>
      </x:c>
      <x:c r="I662" s="503" t="n">
        <x:v>500000</x:v>
      </x:c>
      <x:c r="J662" s="503" t="n">
        <x:v>500000</x:v>
      </x:c>
      <x:c r="K662" s="489" t="str">
        <x:v>Emenda Individual</x:v>
      </x:c>
      <x:c r="L662" s="489"/>
      <x:c r="M662" s="503" t="n">
        <x:v>0</x:v>
      </x:c>
      <x:c r="N662" s="503" t="n">
        <x:v>481104</x:v>
      </x:c>
      <x:c r="O662" s="503" t="n">
        <x:v>0</x:v>
      </x:c>
      <x:c r="P662" s="503" t="n">
        <x:v>0</x:v>
      </x:c>
      <x:c r="Q662" s="503" t="n">
        <x:v>0</x:v>
      </x:c>
      <x:c r="R662" s="489" t="str"/>
      <x:c r="S662" s="489" t="str"/>
      <x:c r="T662" s="489" t="str">
        <x:v>DESTINO/INSTRUMENTO CONFIRMADO; VALOR NÃO COMPARÁVEL</x:v>
      </x:c>
      <x:c r="U662" s="489" t="str">
        <x:v>Média</x:v>
      </x:c>
      <x:c r="V662" s="489" t="str"/>
      <x:c r="W662" s="489" t="str">
        <x:v>Há instrumento do Transferegov para a emenda/município; valores do instrumento não foram usados como prova do valor da emenda</x:v>
      </x:c>
      <x:c r="X662" s="489" t="str">
        <x:v>https://discricionarias.transferegov.sistema.gov.br/voluntarias/ConsultarProposta/ResultadoDaConsultaDeConvenioSelecionarConvenio.do?sequencialConvenio=976206&amp;Usr=guest&amp;Pwd=guest</x:v>
      </x:c>
    </x:row>
    <x:row r="663">
      <x:c r="A663" s="502" t="n">
        <x:v>663</x:v>
      </x:c>
      <x:c r="B663" s="502" t="n">
        <x:v>2025</x:v>
      </x:c>
      <x:c r="C663" s="489" t="str">
        <x:v>Vacaria</x:v>
      </x:c>
      <x:c r="D663" s="489" t="str">
        <x:v>Municipio De Vacaria Vacaria - Rs</x:v>
      </x:c>
      <x:c r="E663" s="489" t="str">
        <x:v>Prefeitura Municipal</x:v>
      </x:c>
      <x:c r="F663" s="489" t="str">
        <x:v>41160005</x:v>
      </x:c>
      <x:c r="G663" s="489" t="str">
        <x:v>41160005-2025</x:v>
      </x:c>
      <x:c r="H663" s="489" t="str">
        <x:v>Informado/corrigido a partir do mapa</x:v>
      </x:c>
      <x:c r="I663" s="503" t="n">
        <x:v>500000</x:v>
      </x:c>
      <x:c r="J663" s="503" t="n">
        <x:v>500000</x:v>
      </x:c>
      <x:c r="K663" s="489" t="str">
        <x:v>Emenda Individual</x:v>
      </x:c>
      <x:c r="L663" s="489"/>
      <x:c r="M663" s="503" t="n">
        <x:v>0</x:v>
      </x:c>
      <x:c r="N663" s="503" t="n">
        <x:v>481104</x:v>
      </x:c>
      <x:c r="O663" s="503" t="n">
        <x:v>0</x:v>
      </x:c>
      <x:c r="P663" s="503" t="n">
        <x:v>0</x:v>
      </x:c>
      <x:c r="Q663" s="503" t="n">
        <x:v>0</x:v>
      </x:c>
      <x:c r="R663" s="489" t="str"/>
      <x:c r="S663" s="489" t="str"/>
      <x:c r="T663" s="489" t="str">
        <x:v>DESTINO/INSTRUMENTO CONFIRMADO; VALOR NÃO COMPARÁVEL</x:v>
      </x:c>
      <x:c r="U663" s="489" t="str">
        <x:v>Média</x:v>
      </x:c>
      <x:c r="V663" s="489" t="str"/>
      <x:c r="W663" s="489" t="str">
        <x:v>Há instrumento do Transferegov para a emenda/município; valores do instrumento não foram usados como prova do valor da emenda</x:v>
      </x:c>
      <x:c r="X663" s="489" t="str">
        <x:v>https://discricionarias.transferegov.sistema.gov.br/voluntarias/ConsultarProposta/ResultadoDaConsultaDeConvenioSelecionarConvenio.do?sequencialConvenio=976163&amp;Usr=guest&amp;Pwd=guest</x:v>
      </x:c>
    </x:row>
    <x:row r="664">
      <x:c r="A664" s="502" t="n">
        <x:v>664</x:v>
      </x:c>
      <x:c r="B664" s="502" t="n">
        <x:v>2025</x:v>
      </x:c>
      <x:c r="C664" s="489" t="str">
        <x:v>Cruzeiro do Sul</x:v>
      </x:c>
      <x:c r="D664" s="489" t="str">
        <x:v>Sociedade Hospital Sao Gabriel Arcanjo Cruzeiro Do Sul - Rs</x:v>
      </x:c>
      <x:c r="E664" s="489" t="str">
        <x:v>Sociedade Hospital Sao Gabriel Arcanjo Cruzeiro Do Sul - Rs</x:v>
      </x:c>
      <x:c r="F664" s="489" t="str">
        <x:v>41160004</x:v>
      </x:c>
      <x:c r="G664" s="489" t="str">
        <x:v>41160004-2025</x:v>
      </x:c>
      <x:c r="H664" s="489" t="str">
        <x:v>Informado/corrigido a partir do mapa</x:v>
      </x:c>
      <x:c r="I664" s="503" t="n">
        <x:v>500000</x:v>
      </x:c>
      <x:c r="J664" s="503" t="n">
        <x:v>500000</x:v>
      </x:c>
      <x:c r="K664" s="489" t="str">
        <x:v>Emenda Individual</x:v>
      </x:c>
      <x:c r="L664" s="489"/>
      <x:c r="M664" s="503" t="n">
        <x:v>0</x:v>
      </x:c>
      <x:c r="N664" s="503" t="n">
        <x:v>500000</x:v>
      </x:c>
      <x:c r="O664" s="503" t="n">
        <x:v>0</x:v>
      </x:c>
      <x:c r="P664" s="503" t="n">
        <x:v>0</x:v>
      </x:c>
      <x:c r="Q664" s="503" t="n">
        <x:v>0</x:v>
      </x:c>
      <x:c r="R664" s="489" t="str"/>
      <x:c r="S664" s="489" t="str"/>
      <x:c r="T664" s="489" t="str">
        <x:v>DESTINO/INSTRUMENTO CONFIRMADO; VALOR NÃO COMPARÁVEL</x:v>
      </x:c>
      <x:c r="U664" s="489" t="str">
        <x:v>Média</x:v>
      </x:c>
      <x:c r="V664" s="489" t="str"/>
      <x:c r="W664" s="489" t="str">
        <x:v>Há instrumento do Transferegov para a emenda/município; valores do instrumento não foram usados como prova do valor da emenda</x:v>
      </x:c>
      <x:c r="X664" s="489" t="str">
        <x:v>https://discricionarias.transferegov.sistema.gov.br/voluntarias/ConsultarProposta/ResultadoDaConsultaDeConvenioSelecionarConvenio.do?sequencialConvenio=985146&amp;Usr=guest&amp;Pwd=guest</x:v>
      </x:c>
    </x:row>
    <x:row r="665">
      <x:c r="A665" s="502" t="n">
        <x:v>665</x:v>
      </x:c>
      <x:c r="B665" s="502" t="n">
        <x:v>2025</x:v>
      </x:c>
      <x:c r="C665" s="489" t="str">
        <x:v>Canoas</x:v>
      </x:c>
      <x:c r="D665" s="489" t="str">
        <x:v>Municipio De Canoas Canoas - Rs</x:v>
      </x:c>
      <x:c r="E665" s="489" t="str">
        <x:v>Prefeitura Municipal</x:v>
      </x:c>
      <x:c r="F665" s="489" t="str">
        <x:v>41160008</x:v>
      </x:c>
      <x:c r="G665" s="489" t="str">
        <x:v>41160008-2025</x:v>
      </x:c>
      <x:c r="H665" s="489" t="str">
        <x:v>Informado/corrigido a partir do mapa</x:v>
      </x:c>
      <x:c r="I665" s="503" t="n">
        <x:v>500000</x:v>
      </x:c>
      <x:c r="J665" s="503" t="n">
        <x:v>500000</x:v>
      </x:c>
      <x:c r="K665" s="489" t="str">
        <x:v>Emenda Individual</x:v>
      </x:c>
      <x:c r="L665" s="489"/>
      <x:c r="M665" s="503" t="n">
        <x:v>495000</x:v>
      </x:c>
      <x:c r="N665" s="503" t="n">
        <x:v>0</x:v>
      </x:c>
      <x:c r="O665" s="503" t="n">
        <x:v>0</x:v>
      </x:c>
      <x:c r="P665" s="503" t="n">
        <x:v>495000</x:v>
      </x:c>
      <x:c r="Q665" s="503" t="n">
        <x:v>0</x:v>
      </x:c>
      <x:c r="R665" s="489" t="str">
        <x:v>CIENTE</x:v>
      </x:c>
      <x:c r="S665" s="489" t="str">
        <x:v>88577416000118</x:v>
      </x:c>
      <x:c r="T665" s="489" t="str">
        <x:v>VALOR DIVERGENTE / COBERTURA DIFERENTE</x:v>
      </x:c>
      <x:c r="U665" s="489" t="str">
        <x:v>Média</x:v>
      </x:c>
      <x:c r="V665" s="489" t="str">
        <x:v>Revisar valor do grupo: PIX atual registra R$ 495,000.00; Atualizar situação com status do plano PIX: CIENTE (não equivale a pagamento)</x:v>
      </x:c>
      <x:c r="W665" s="489" t="str">
        <x:v>Município/localidade encontrado em fonte comparável, mas valor não fecha exatamente</x:v>
      </x:c>
      <x:c r="X665" s="489" t="str">
        <x:v>https://especiais.transferegov.sistema.gov.br/transferencia-especial/plano-acao/detalhe/83993/dados-basicos</x:v>
      </x:c>
    </x:row>
    <x:row r="666">
      <x:c r="A666" s="502" t="n">
        <x:v>666</x:v>
      </x:c>
      <x:c r="B666" s="502" t="n">
        <x:v>2025</x:v>
      </x:c>
      <x:c r="C666" s="489" t="str">
        <x:v>Porto Alegre</x:v>
      </x:c>
      <x:c r="D666" s="489" t="str">
        <x:v>Uniao Brasileira De Educacao E Assistencia Porto Alegre - Rs</x:v>
      </x:c>
      <x:c r="E666" s="489" t="str">
        <x:v>Uniao Brasileira De Educacao E Assistencia Porto Alegre - Rs</x:v>
      </x:c>
      <x:c r="F666" s="489" t="str">
        <x:v>41160004</x:v>
      </x:c>
      <x:c r="G666" s="489" t="str">
        <x:v>41160004-2025</x:v>
      </x:c>
      <x:c r="H666" s="489" t="str">
        <x:v>Informado/corrigido a partir do mapa</x:v>
      </x:c>
      <x:c r="I666" s="503" t="n">
        <x:v>500000</x:v>
      </x:c>
      <x:c r="J666" s="503" t="n">
        <x:v>1150000</x:v>
      </x:c>
      <x:c r="K666" s="489" t="str">
        <x:v>Emenda Individual</x:v>
      </x:c>
      <x:c r="L666" s="489"/>
      <x:c r="M666" s="503" t="n">
        <x:v>411500</x:v>
      </x:c>
      <x:c r="N666" s="503" t="n">
        <x:v>500000</x:v>
      </x:c>
      <x:c r="O666" s="503" t="n">
        <x:v>0</x:v>
      </x:c>
      <x:c r="P666" s="503" t="n">
        <x:v>0</x:v>
      </x:c>
      <x:c r="Q666" s="503" t="n">
        <x:v>0</x:v>
      </x:c>
      <x:c r="R666" s="489" t="str"/>
      <x:c r="S666" s="489" t="str">
        <x:v>155001</x:v>
      </x:c>
      <x:c r="T666" s="489" t="str">
        <x:v>VALOR DIVERGENTE / COBERTURA DIFERENTE</x:v>
      </x:c>
      <x:c r="U666" s="489" t="str">
        <x:v>Alta</x:v>
      </x:c>
      <x:c r="V666" s="489" t="str">
        <x:v>Preencher situação: há pagamento identificado na fonte pública</x:v>
      </x:c>
      <x:c r="W666" s="489" t="str">
        <x:v>Município/localidade encontrado em fonte comparável, mas valor não fecha exatamente</x:v>
      </x:c>
      <x:c r="X666" s="489" t="str">
        <x:v>https://discricionarias.transferegov.sistema.gov.br/voluntarias/ConsultarProposta/ResultadoDaConsultaDeConvenioSelecionarConvenio.do?sequencialConvenio=988203&amp;Usr=guest&amp;Pwd=guest</x:v>
      </x:c>
    </x:row>
    <x:row r="667">
      <x:c r="A667" s="502" t="n">
        <x:v>667</x:v>
      </x:c>
      <x:c r="B667" s="502" t="n">
        <x:v>2025</x:v>
      </x:c>
      <x:c r="C667" s="489" t="str">
        <x:v>Canela</x:v>
      </x:c>
      <x:c r="D667" s="489" t="str">
        <x:v>Municipio De Canela Canela - Rs</x:v>
      </x:c>
      <x:c r="E667" s="489" t="str">
        <x:v>Prefeitura Municipal</x:v>
      </x:c>
      <x:c r="F667" s="489" t="str">
        <x:v>41160008</x:v>
      </x:c>
      <x:c r="G667" s="489" t="str">
        <x:v>41160008-2025</x:v>
      </x:c>
      <x:c r="H667" s="489" t="str">
        <x:v>Informado/corrigido a partir do mapa</x:v>
      </x:c>
      <x:c r="I667" s="503" t="n">
        <x:v>500000</x:v>
      </x:c>
      <x:c r="J667" s="503" t="n">
        <x:v>500000</x:v>
      </x:c>
      <x:c r="K667" s="489" t="str">
        <x:v>Emenda Individual</x:v>
      </x:c>
      <x:c r="L667" s="489"/>
      <x:c r="M667" s="503" t="n">
        <x:v>495000</x:v>
      </x:c>
      <x:c r="N667" s="503" t="n">
        <x:v>0</x:v>
      </x:c>
      <x:c r="O667" s="503" t="n">
        <x:v>0</x:v>
      </x:c>
      <x:c r="P667" s="503" t="n">
        <x:v>495000</x:v>
      </x:c>
      <x:c r="Q667" s="503" t="n">
        <x:v>0</x:v>
      </x:c>
      <x:c r="R667" s="489" t="str">
        <x:v>CIENTE</x:v>
      </x:c>
      <x:c r="S667" s="489" t="str">
        <x:v>88585518000185</x:v>
      </x:c>
      <x:c r="T667" s="489" t="str">
        <x:v>VALOR DIVERGENTE / COBERTURA DIFERENTE</x:v>
      </x:c>
      <x:c r="U667" s="489" t="str">
        <x:v>Média</x:v>
      </x:c>
      <x:c r="V667" s="489" t="str">
        <x:v>Revisar valor do grupo: PIX atual registra R$ 495,000.00; Atualizar situação com status do plano PIX: CIENTE (não equivale a pagamento)</x:v>
      </x:c>
      <x:c r="W667" s="489" t="str">
        <x:v>Município/localidade encontrado em fonte comparável, mas valor não fecha exatamente</x:v>
      </x:c>
      <x:c r="X667" s="489" t="str">
        <x:v>https://especiais.transferegov.sistema.gov.br/transferencia-especial/plano-acao/detalhe/84004/dados-basicos</x:v>
      </x:c>
    </x:row>
    <x:row r="668">
      <x:c r="A668" s="502" t="n">
        <x:v>668</x:v>
      </x:c>
      <x:c r="B668" s="502" t="n">
        <x:v>2025</x:v>
      </x:c>
      <x:c r="C668" s="489" t="str">
        <x:v>Bagé</x:v>
      </x:c>
      <x:c r="D668" s="489" t="str">
        <x:v>Fundacao Universidade Federal Do Pampa - Unipampa Bagé - Rs</x:v>
      </x:c>
      <x:c r="E668" s="489" t="str">
        <x:v>Fundacao Universidade Federal Do Pampa - Unipampa Bagé - Rs</x:v>
      </x:c>
      <x:c r="F668" s="489" t="str">
        <x:v>41160006</x:v>
      </x:c>
      <x:c r="G668" s="489" t="str">
        <x:v>41160006-2025</x:v>
      </x:c>
      <x:c r="H668" s="489" t="str">
        <x:v>Informado/corrigido a partir do mapa</x:v>
      </x:c>
      <x:c r="I668" s="503" t="n">
        <x:v>500000</x:v>
      </x:c>
      <x:c r="J668" s="503" t="n">
        <x:v>500000</x:v>
      </x:c>
      <x:c r="K668" s="489" t="str">
        <x:v>Emenda Individual</x:v>
      </x:c>
      <x:c r="L668" s="489"/>
      <x:c r="M668" s="503" t="n">
        <x:v>0</x:v>
      </x:c>
      <x:c r="N668" s="503" t="n">
        <x:v>0</x:v>
      </x:c>
      <x:c r="O668" s="503" t="n">
        <x:v>0</x:v>
      </x:c>
      <x:c r="P668" s="503" t="n">
        <x:v>0</x:v>
      </x:c>
      <x:c r="Q668" s="503" t="n">
        <x:v>0</x:v>
      </x:c>
      <x:c r="R668" s="489" t="str"/>
      <x:c r="S668" s="489" t="str"/>
      <x:c r="T668" s="489" t="str">
        <x:v>EMENDA CONFIRMADA; DESTINO NÃO CONFIRMADO</x:v>
      </x:c>
      <x:c r="U668" s="489" t="str">
        <x:v>Média</x:v>
      </x:c>
      <x:c r="V668" s="489" t="str"/>
      <x:c r="W668" s="489" t="str">
        <x:v>Nº existe no SIGA; destinatário específico não foi confirmado nas bases anexas</x:v>
      </x:c>
      <x:c r="X668" s="489" t="str"/>
    </x:row>
    <x:row r="669">
      <x:c r="A669" s="502" t="n">
        <x:v>669</x:v>
      </x:c>
      <x:c r="B669" s="502" t="n">
        <x:v>2026</x:v>
      </x:c>
      <x:c r="C669" s="489" t="str">
        <x:v>Porto Alegre</x:v>
      </x:c>
      <x:c r="D669" s="489" t="str">
        <x:v>Porto Alegre</x:v>
      </x:c>
      <x:c r="E669" s="489" t="str">
        <x:v>Municipio de Porto Alegre</x:v>
      </x:c>
      <x:c r="F669" s="489" t="str">
        <x:v>41160012</x:v>
      </x:c>
      <x:c r="G669" s="489" t="str">
        <x:v>41160012-2026</x:v>
      </x:c>
      <x:c r="H669" s="489" t="str">
        <x:v>Informado/corrigido a partir do mapa</x:v>
      </x:c>
      <x:c r="I669" s="503" t="n">
        <x:v>500000</x:v>
      </x:c>
      <x:c r="J669" s="503" t="n">
        <x:v>500000</x:v>
      </x:c>
      <x:c r="K669" s="489" t="str">
        <x:v>Emenda individual</x:v>
      </x:c>
      <x:c r="L669" s="489"/>
      <x:c r="M669" s="503" t="n">
        <x:v>0</x:v>
      </x:c>
      <x:c r="N669" s="503" t="n">
        <x:v>0</x:v>
      </x:c>
      <x:c r="O669" s="503" t="n">
        <x:v>0</x:v>
      </x:c>
      <x:c r="P669" s="503" t="n">
        <x:v>0</x:v>
      </x:c>
      <x:c r="Q669" s="503" t="n">
        <x:v>0</x:v>
      </x:c>
      <x:c r="R669" s="489" t="str"/>
      <x:c r="S669" s="489" t="str"/>
      <x:c r="T669" s="489" t="str">
        <x:v>EMENDA CONFIRMADA; DESTINO NÃO CONFIRMADO</x:v>
      </x:c>
      <x:c r="U669" s="489" t="str">
        <x:v>Média</x:v>
      </x:c>
      <x:c r="V669" s="489" t="str"/>
      <x:c r="W669" s="489" t="str">
        <x:v>Nº existe no SIGA; destinatário específico não foi confirmado nas bases anexas</x:v>
      </x:c>
      <x:c r="X669" s="489" t="str"/>
    </x:row>
    <x:row r="670">
      <x:c r="A670" s="502" t="n">
        <x:v>670</x:v>
      </x:c>
      <x:c r="B670" s="502" t="n">
        <x:v>2026</x:v>
      </x:c>
      <x:c r="C670" s="489" t="str">
        <x:v>Santo Ângelo</x:v>
      </x:c>
      <x:c r="D670" s="489" t="str">
        <x:v>Associacao Beneficente Hospital Santo Atonio</x:v>
      </x:c>
      <x:c r="E670" s="489" t="str">
        <x:v>Associacao Hospital de Caridade de Santo Angelo</x:v>
      </x:c>
      <x:c r="F670" s="489" t="str">
        <x:v>41160003</x:v>
      </x:c>
      <x:c r="G670" s="489" t="str">
        <x:v>41160003-2026</x:v>
      </x:c>
      <x:c r="H670" s="489" t="str">
        <x:v>Informado/corrigido a partir do mapa</x:v>
      </x:c>
      <x:c r="I670" s="503" t="n">
        <x:v>500000</x:v>
      </x:c>
      <x:c r="J670" s="503" t="n">
        <x:v>500000</x:v>
      </x:c>
      <x:c r="K670" s="489" t="str">
        <x:v>Emenda individual</x:v>
      </x:c>
      <x:c r="L670" s="489"/>
      <x:c r="M670" s="503" t="n">
        <x:v>0</x:v>
      </x:c>
      <x:c r="N670" s="503" t="n">
        <x:v>500000</x:v>
      </x:c>
      <x:c r="O670" s="503" t="n">
        <x:v>0</x:v>
      </x:c>
      <x:c r="P670" s="503" t="n">
        <x:v>0</x:v>
      </x:c>
      <x:c r="Q670" s="503" t="n">
        <x:v>0</x:v>
      </x:c>
      <x:c r="R670" s="489" t="str"/>
      <x:c r="S670" s="489" t="str"/>
      <x:c r="T670" s="489" t="str">
        <x:v>DESTINO/INSTRUMENTO CONFIRMADO; VALOR NÃO COMPARÁVEL</x:v>
      </x:c>
      <x:c r="U670" s="489" t="str">
        <x:v>Média</x:v>
      </x:c>
      <x:c r="V670" s="489" t="str"/>
      <x:c r="W670" s="489" t="str">
        <x:v>Há instrumento do Transferegov para a emenda/município; valores do instrumento não foram usados como prova do valor da emenda</x:v>
      </x:c>
      <x:c r="X670" s="489" t="str">
        <x:v>https://discricionarias.transferegov.sistema.gov.br/voluntarias/ConsultarProposta/ResultadoDaConsultaDeConvenioSelecionarConvenio.do?sequencialConvenio=998852&amp;Usr=guest&amp;Pwd=guest</x:v>
      </x:c>
    </x:row>
    <x:row r="671">
      <x:c r="A671" s="502" t="n">
        <x:v>671</x:v>
      </x:c>
      <x:c r="B671" s="502" t="n">
        <x:v>2026</x:v>
      </x:c>
      <x:c r="C671" s="489" t="str">
        <x:v>Uruguaiana</x:v>
      </x:c>
      <x:c r="D671" s="489" t="str">
        <x:v>Uruguaiana</x:v>
      </x:c>
      <x:c r="E671" s="489" t="str">
        <x:v>Fundo Municipal de Saude</x:v>
      </x:c>
      <x:c r="F671" s="489" t="str">
        <x:v>41160003</x:v>
      </x:c>
      <x:c r="G671" s="489" t="str">
        <x:v>41160003-2026</x:v>
      </x:c>
      <x:c r="H671" s="489" t="str">
        <x:v>Informado/corrigido a partir do mapa</x:v>
      </x:c>
      <x:c r="I671" s="503" t="n">
        <x:v>500000</x:v>
      </x:c>
      <x:c r="J671" s="503" t="n">
        <x:v>500000</x:v>
      </x:c>
      <x:c r="K671" s="489" t="str">
        <x:v>Emenda individual</x:v>
      </x:c>
      <x:c r="L671" s="489"/>
      <x:c r="M671" s="503" t="n">
        <x:v>0</x:v>
      </x:c>
      <x:c r="N671" s="503" t="n">
        <x:v>0</x:v>
      </x:c>
      <x:c r="O671" s="503" t="n">
        <x:v>0</x:v>
      </x:c>
      <x:c r="P671" s="503" t="n">
        <x:v>0</x:v>
      </x:c>
      <x:c r="Q671" s="503" t="n">
        <x:v>0</x:v>
      </x:c>
      <x:c r="R671" s="489" t="str"/>
      <x:c r="S671" s="489" t="str"/>
      <x:c r="T671" s="489" t="str">
        <x:v>EMENDA CONFIRMADA; DESTINO NÃO CONFIRMADO</x:v>
      </x:c>
      <x:c r="U671" s="489" t="str">
        <x:v>Média</x:v>
      </x:c>
      <x:c r="V671" s="489" t="str"/>
      <x:c r="W671" s="489" t="str">
        <x:v>Nº existe no SIGA; destinatário específico não foi confirmado nas bases anexas</x:v>
      </x:c>
      <x:c r="X671" s="489" t="str"/>
    </x:row>
    <x:row r="672">
      <x:c r="A672" s="502" t="n">
        <x:v>672</x:v>
      </x:c>
      <x:c r="B672" s="502" t="n">
        <x:v>2026</x:v>
      </x:c>
      <x:c r="C672" s="489" t="str">
        <x:v>Novo Hamburgo</x:v>
      </x:c>
      <x:c r="D672" s="489" t="str">
        <x:v>Novo Hamburgo</x:v>
      </x:c>
      <x:c r="E672" s="489" t="str">
        <x:v>Municipio de Novo Hamburgo</x:v>
      </x:c>
      <x:c r="F672" s="489" t="str">
        <x:v>41160008</x:v>
      </x:c>
      <x:c r="G672" s="489" t="str">
        <x:v>41160008-2026</x:v>
      </x:c>
      <x:c r="H672" s="489" t="str">
        <x:v>Informado/corrigido a partir do mapa</x:v>
      </x:c>
      <x:c r="I672" s="503" t="n">
        <x:v>500000</x:v>
      </x:c>
      <x:c r="J672" s="503" t="n">
        <x:v>500000</x:v>
      </x:c>
      <x:c r="K672" s="489" t="str">
        <x:v>Emenda individual</x:v>
      </x:c>
      <x:c r="L672" s="489"/>
      <x:c r="M672" s="503" t="n">
        <x:v>287777.1</x:v>
      </x:c>
      <x:c r="N672" s="503" t="n">
        <x:v>0</x:v>
      </x:c>
      <x:c r="O672" s="503" t="n">
        <x:v>0</x:v>
      </x:c>
      <x:c r="P672" s="503" t="n">
        <x:v>497500</x:v>
      </x:c>
      <x:c r="Q672" s="503" t="n">
        <x:v>0</x:v>
      </x:c>
      <x:c r="R672" s="489" t="str">
        <x:v>CIENTE</x:v>
      </x:c>
      <x:c r="S672" s="489" t="str">
        <x:v>88254875000160</x:v>
      </x:c>
      <x:c r="T672" s="489" t="str">
        <x:v>VALOR DIVERGENTE / COBERTURA DIFERENTE</x:v>
      </x:c>
      <x:c r="U672" s="489" t="str">
        <x:v>Média</x:v>
      </x:c>
      <x:c r="V672" s="489" t="str">
        <x:v>Revisar valor do grupo: PIX atual registra R$ 497,500.00; Atualizar situação com status do plano PIX: CIENTE (não equivale a pagamento)</x:v>
      </x:c>
      <x:c r="W672" s="489" t="str">
        <x:v>Município/localidade encontrado em fonte comparável, mas valor não fecha exatamente</x:v>
      </x:c>
      <x:c r="X672" s="489" t="str">
        <x:v>https://especiais.transferegov.sistema.gov.br/transferencia-especial/plano-acao/detalhe/96522/dados-basicos</x:v>
      </x:c>
    </x:row>
    <x:row r="673">
      <x:c r="A673" s="502" t="n">
        <x:v>673</x:v>
      </x:c>
      <x:c r="B673" s="502" t="n">
        <x:v>2026</x:v>
      </x:c>
      <x:c r="C673" s="489" t="str">
        <x:v>Faxinal do Soturno</x:v>
      </x:c>
      <x:c r="D673" s="489" t="str">
        <x:v>Hospital de Caridade São Roque - Faxinal do Soturno - RS</x:v>
      </x:c>
      <x:c r="E673" s="489" t="str">
        <x:v>Hospital de Caridade São Roque - Faxinal do Soturno - RS</x:v>
      </x:c>
      <x:c r="F673" s="489" t="str">
        <x:v>41160003</x:v>
      </x:c>
      <x:c r="G673" s="489" t="str">
        <x:v>41160003-2026</x:v>
      </x:c>
      <x:c r="H673" s="489" t="str">
        <x:v>Informado/corrigido a partir do mapa</x:v>
      </x:c>
      <x:c r="I673" s="503" t="n">
        <x:v>500000</x:v>
      </x:c>
      <x:c r="J673" s="503" t="n">
        <x:v>500000</x:v>
      </x:c>
      <x:c r="K673" s="489" t="str">
        <x:v>Emenda individual</x:v>
      </x:c>
      <x:c r="L673" s="489"/>
      <x:c r="M673" s="503" t="n">
        <x:v>0</x:v>
      </x:c>
      <x:c r="N673" s="503" t="n">
        <x:v>800000</x:v>
      </x:c>
      <x:c r="O673" s="503" t="n">
        <x:v>0</x:v>
      </x:c>
      <x:c r="P673" s="503" t="n">
        <x:v>0</x:v>
      </x:c>
      <x:c r="Q673" s="503" t="n">
        <x:v>0</x:v>
      </x:c>
      <x:c r="R673" s="489" t="str"/>
      <x:c r="S673" s="489" t="str"/>
      <x:c r="T673" s="489" t="str">
        <x:v>DESTINO/INSTRUMENTO CONFIRMADO; VALOR NÃO COMPARÁVEL</x:v>
      </x:c>
      <x:c r="U673" s="489" t="str">
        <x:v>Média</x:v>
      </x:c>
      <x:c r="V673" s="489" t="str"/>
      <x:c r="W673" s="489" t="str">
        <x:v>Há instrumento do Transferegov para a emenda/município; valores do instrumento não foram usados como prova do valor da emenda</x:v>
      </x:c>
      <x:c r="X673" s="489" t="str">
        <x:v>https://discricionarias.transferegov.sistema.gov.br/voluntarias/ConsultarProposta/ResultadoDaConsultaDeConvenioSelecionarConvenio.do?sequencialConvenio=998876&amp;Usr=guest&amp;Pwd=guest</x:v>
      </x:c>
    </x:row>
    <x:row r="674">
      <x:c r="A674" s="502" t="n">
        <x:v>674</x:v>
      </x:c>
      <x:c r="B674" s="502" t="n">
        <x:v>2026</x:v>
      </x:c>
      <x:c r="C674" s="489" t="str">
        <x:v>Dois Irmãos</x:v>
      </x:c>
      <x:c r="D674" s="489" t="str">
        <x:v>Fundo Municipal de Saúde de Dois Irmãos - RS</x:v>
      </x:c>
      <x:c r="E674" s="489" t="str">
        <x:v>Município de Dois Irmãos</x:v>
      </x:c>
      <x:c r="F674" s="489" t="str">
        <x:v>71220002</x:v>
      </x:c>
      <x:c r="G674" s="489" t="str">
        <x:v>71220002-2026</x:v>
      </x:c>
      <x:c r="H674" s="489" t="str">
        <x:v>Informado/corrigido a partir do mapa</x:v>
      </x:c>
      <x:c r="I674" s="503" t="n">
        <x:v>500000</x:v>
      </x:c>
      <x:c r="J674" s="503" t="n">
        <x:v>500000</x:v>
      </x:c>
      <x:c r="K674" s="489" t="str">
        <x:v>Bancada Gaúcha</x:v>
      </x:c>
      <x:c r="L674" s="489"/>
      <x:c r="M674" s="503" t="n">
        <x:v>0</x:v>
      </x:c>
      <x:c r="N674" s="503" t="n">
        <x:v>0</x:v>
      </x:c>
      <x:c r="O674" s="503" t="n">
        <x:v>0</x:v>
      </x:c>
      <x:c r="P674" s="503" t="n">
        <x:v>0</x:v>
      </x:c>
      <x:c r="Q674" s="503" t="n">
        <x:v>0</x:v>
      </x:c>
      <x:c r="R674" s="489" t="str"/>
      <x:c r="S674" s="489" t="str"/>
      <x:c r="T674" s="489" t="str">
        <x:v>EMENDA CONFIRMADA; DESTINO NÃO CONFIRMADO</x:v>
      </x:c>
      <x:c r="U674" s="489" t="str">
        <x:v>Média</x:v>
      </x:c>
      <x:c r="V674" s="489" t="str"/>
      <x:c r="W674" s="489" t="str"/>
      <x:c r="X674" s="489" t="str"/>
    </x:row>
    <x:row r="675">
      <x:c r="A675" s="502" t="n">
        <x:v>675</x:v>
      </x:c>
      <x:c r="B675" s="502" t="n">
        <x:v>2026</x:v>
      </x:c>
      <x:c r="C675" s="489" t="str">
        <x:v>Júlio de Castilhos</x:v>
      </x:c>
      <x:c r="D675" s="489" t="str">
        <x:v>Hospital Bernardina Salles de Barros, Júlio de Castilhos - RS</x:v>
      </x:c>
      <x:c r="E675" s="489"/>
      <x:c r="F675" s="489" t="str">
        <x:v>41160003</x:v>
      </x:c>
      <x:c r="G675" s="489" t="str">
        <x:v>41160003-2026</x:v>
      </x:c>
      <x:c r="H675" s="489" t="str">
        <x:v>Informado/corrigido a partir do mapa</x:v>
      </x:c>
      <x:c r="I675" s="503" t="n">
        <x:v>500000</x:v>
      </x:c>
      <x:c r="J675" s="503" t="n">
        <x:v>500000</x:v>
      </x:c>
      <x:c r="K675" s="489" t="str">
        <x:v>Emenda individual</x:v>
      </x:c>
      <x:c r="L675" s="489"/>
      <x:c r="M675" s="503" t="n">
        <x:v>0</x:v>
      </x:c>
      <x:c r="N675" s="503" t="n">
        <x:v>500000</x:v>
      </x:c>
      <x:c r="O675" s="503" t="n">
        <x:v>0</x:v>
      </x:c>
      <x:c r="P675" s="503" t="n">
        <x:v>0</x:v>
      </x:c>
      <x:c r="Q675" s="503" t="n">
        <x:v>0</x:v>
      </x:c>
      <x:c r="R675" s="489" t="str"/>
      <x:c r="S675" s="489" t="str"/>
      <x:c r="T675" s="489" t="str">
        <x:v>DESTINO/INSTRUMENTO CONFIRMADO; VALOR NÃO COMPARÁVEL</x:v>
      </x:c>
      <x:c r="U675" s="489" t="str">
        <x:v>Média</x:v>
      </x:c>
      <x:c r="V675" s="489" t="str"/>
      <x:c r="W675" s="489" t="str">
        <x:v>Há instrumento do Transferegov para a emenda/município; valores do instrumento não foram usados como prova do valor da emenda</x:v>
      </x:c>
      <x:c r="X675" s="489" t="str">
        <x:v>https://discricionarias.transferegov.sistema.gov.br/voluntarias/ConsultarProposta/ResultadoDaConsultaDeConvenioSelecionarConvenio.do?sequencialConvenio=998260&amp;Usr=guest&amp;Pwd=guest</x:v>
      </x:c>
    </x:row>
    <x:row r="676">
      <x:c r="A676" s="502" t="n">
        <x:v>676</x:v>
      </x:c>
      <x:c r="B676" s="502" t="n">
        <x:v>2023</x:v>
      </x:c>
      <x:c r="C676" s="489" t="str">
        <x:v>Santa Maria</x:v>
      </x:c>
      <x:c r="D676" s="489" t="str">
        <x:v>Prefeitura</x:v>
      </x:c>
      <x:c r="E676" s="489" t="str">
        <x:v>Prefeitura de Santa Maria</x:v>
      </x:c>
      <x:c r="F676" s="489" t="str">
        <x:v>41160006</x:v>
      </x:c>
      <x:c r="G676" s="489" t="str">
        <x:v>41160006-2023</x:v>
      </x:c>
      <x:c r="H676" s="489" t="str">
        <x:v>Informado/corrigido a partir do mapa</x:v>
      </x:c>
      <x:c r="I676" s="503" t="n">
        <x:v>504861</x:v>
      </x:c>
      <x:c r="J676" s="503" t="n">
        <x:v>504861</x:v>
      </x:c>
      <x:c r="K676" s="489" t="str">
        <x:v>Emenda Individual</x:v>
      </x:c>
      <x:c r="L676" s="489" t="str">
        <x:v>Empenhado</x:v>
      </x:c>
      <x:c r="M676" s="503" t="n">
        <x:v>0</x:v>
      </x:c>
      <x:c r="N676" s="503" t="n">
        <x:v>484458</x:v>
      </x:c>
      <x:c r="O676" s="503" t="n">
        <x:v>0</x:v>
      </x:c>
      <x:c r="P676" s="503" t="n">
        <x:v>0</x:v>
      </x:c>
      <x:c r="Q676" s="503" t="n">
        <x:v>0</x:v>
      </x:c>
      <x:c r="R676" s="489" t="str"/>
      <x:c r="S676" s="489" t="str"/>
      <x:c r="T676" s="489" t="str">
        <x:v>DESTINO/INSTRUMENTO CONFIRMADO; VALOR NÃO COMPARÁVEL</x:v>
      </x:c>
      <x:c r="U676" s="489" t="str">
        <x:v>Média</x:v>
      </x:c>
      <x:c r="V676" s="489" t="str"/>
      <x:c r="W676" s="489" t="str">
        <x:v>Há instrumento do Transferegov para a emenda/município; valores do instrumento não foram usados como prova do valor da emenda</x:v>
      </x:c>
      <x:c r="X676" s="489" t="str">
        <x:v>https://discricionarias.transferegov.sistema.gov.br/voluntarias/ConsultarProposta/ResultadoDaConsultaDeConvenioSelecionarConvenio.do?sequencialConvenio=940680&amp;Usr=guest&amp;Pwd=guest</x:v>
      </x:c>
    </x:row>
    <x:row r="677">
      <x:c r="A677" s="502" t="n">
        <x:v>677</x:v>
      </x:c>
      <x:c r="B677" s="502" t="n">
        <x:v>2024</x:v>
      </x:c>
      <x:c r="C677" s="489" t="str">
        <x:v>Esteio</x:v>
      </x:c>
      <x:c r="D677" s="489" t="str">
        <x:v>Prefeitura Municipal de Esteio</x:v>
      </x:c>
      <x:c r="E677" s="489" t="str">
        <x:v>Prefeitura Municipal</x:v>
      </x:c>
      <x:c r="F677" s="489" t="str">
        <x:v>41160001</x:v>
      </x:c>
      <x:c r="G677" s="489" t="str">
        <x:v>41160001-2024</x:v>
      </x:c>
      <x:c r="H677" s="489" t="str">
        <x:v>Informado/corrigido a partir do mapa</x:v>
      </x:c>
      <x:c r="I677" s="503" t="n">
        <x:v>520000</x:v>
      </x:c>
      <x:c r="J677" s="503" t="n">
        <x:v>520000</x:v>
      </x:c>
      <x:c r="K677" s="489" t="str">
        <x:v>Emenda Individual</x:v>
      </x:c>
      <x:c r="L677" s="489"/>
      <x:c r="M677" s="503" t="n">
        <x:v>520000</x:v>
      </x:c>
      <x:c r="N677" s="503" t="n">
        <x:v>0</x:v>
      </x:c>
      <x:c r="O677" s="503" t="n">
        <x:v>0</x:v>
      </x:c>
      <x:c r="P677" s="503" t="n">
        <x:v>0</x:v>
      </x:c>
      <x:c r="Q677" s="503" t="n">
        <x:v>0</x:v>
      </x:c>
      <x:c r="R677" s="489" t="str"/>
      <x:c r="S677" s="489" t="str">
        <x:v>12140369000189</x:v>
      </x:c>
      <x:c r="T677" s="489" t="str">
        <x:v>CONFIRMADO</x:v>
      </x:c>
      <x:c r="U677" s="489" t="str">
        <x:v>Baixa</x:v>
      </x:c>
      <x:c r="V677" s="489" t="str">
        <x:v>Preencher situação: há pagamento identificado na fonte pública; CNPJ candidato na fonte SIGA: 12140369000189</x:v>
      </x:c>
      <x:c r="W677" s="489" t="str">
        <x:v>Valor do grupo fecha com: SIGA pago favorecido</x:v>
      </x:c>
      <x:c r="X677" s="489" t="str"/>
    </x:row>
    <x:row r="678">
      <x:c r="A678" s="502" t="n">
        <x:v>678</x:v>
      </x:c>
      <x:c r="B678" s="502" t="n">
        <x:v>2026</x:v>
      </x:c>
      <x:c r="C678" s="489" t="str">
        <x:v>Ibiraiaras</x:v>
      </x:c>
      <x:c r="D678" s="489" t="str">
        <x:v>Ibiraiaras</x:v>
      </x:c>
      <x:c r="E678" s="489" t="str">
        <x:v>Fundo Municipal de Saude de Ibiraiaras</x:v>
      </x:c>
      <x:c r="F678" s="489" t="str">
        <x:v>41160003</x:v>
      </x:c>
      <x:c r="G678" s="489" t="str">
        <x:v>41160003-2026</x:v>
      </x:c>
      <x:c r="H678" s="489" t="str">
        <x:v>Informado/corrigido a partir do mapa</x:v>
      </x:c>
      <x:c r="I678" s="503" t="n">
        <x:v>520000</x:v>
      </x:c>
      <x:c r="J678" s="503" t="n">
        <x:v>520000</x:v>
      </x:c>
      <x:c r="K678" s="489" t="str">
        <x:v>Emenda individual</x:v>
      </x:c>
      <x:c r="L678" s="489"/>
      <x:c r="M678" s="503" t="n">
        <x:v>206531</x:v>
      </x:c>
      <x:c r="N678" s="503" t="n">
        <x:v>0</x:v>
      </x:c>
      <x:c r="O678" s="503" t="n">
        <x:v>0</x:v>
      </x:c>
      <x:c r="P678" s="503" t="n">
        <x:v>0</x:v>
      </x:c>
      <x:c r="Q678" s="503" t="n">
        <x:v>0</x:v>
      </x:c>
      <x:c r="R678" s="489" t="str"/>
      <x:c r="S678" s="489" t="str">
        <x:v>11707405000180</x:v>
      </x:c>
      <x:c r="T678" s="489" t="str">
        <x:v>VALOR DIVERGENTE / COBERTURA DIFERENTE</x:v>
      </x:c>
      <x:c r="U678" s="489" t="str">
        <x:v>Alta</x:v>
      </x:c>
      <x:c r="V678" s="489" t="str">
        <x:v>Preencher situação: há pagamento identificado na fonte pública</x:v>
      </x:c>
      <x:c r="W678" s="489" t="str">
        <x:v>Município/localidade encontrado em fonte comparável, mas valor não fecha exatamente</x:v>
      </x:c>
      <x:c r="X678" s="489" t="str"/>
    </x:row>
    <x:row r="679">
      <x:c r="A679" s="502" t="n">
        <x:v>679</x:v>
      </x:c>
      <x:c r="B679" s="502" t="n">
        <x:v>2023</x:v>
      </x:c>
      <x:c r="C679" s="489" t="str">
        <x:v>Alegrete</x:v>
      </x:c>
      <x:c r="D679" s="489" t="str">
        <x:v>Hospital</x:v>
      </x:c>
      <x:c r="E679" s="489" t="str">
        <x:v>Irmandade Santa Casa De Alegrete</x:v>
      </x:c>
      <x:c r="F679" s="489" t="str"/>
      <x:c r="G679" s="489" t="str"/>
      <x:c r="H679" s="489" t="str">
        <x:v>Sem nº conciliado</x:v>
      </x:c>
      <x:c r="I679" s="503" t="n">
        <x:v>540000</x:v>
      </x:c>
      <x:c r="J679" s="503" t="n">
        <x:v>540000</x:v>
      </x:c>
      <x:c r="K679" s="489" t="str">
        <x:v>Emenda Individual</x:v>
      </x:c>
      <x:c r="L679" s="489" t="str">
        <x:v>Empenhado</x:v>
      </x:c>
      <x:c r="M679" s="503" t="n">
        <x:v>0</x:v>
      </x:c>
      <x:c r="N679" s="503" t="n">
        <x:v>0</x:v>
      </x:c>
      <x:c r="O679" s="503" t="n">
        <x:v>0</x:v>
      </x:c>
      <x:c r="P679" s="503" t="n">
        <x:v>0</x:v>
      </x:c>
      <x:c r="Q679" s="503" t="n">
        <x:v>0</x:v>
      </x:c>
      <x:c r="R679" s="489" t="str"/>
      <x:c r="S679" s="489" t="str"/>
      <x:c r="T679" s="489" t="str">
        <x:v>SEM Nº / NÃO CONCILIADO</x:v>
      </x:c>
      <x:c r="U679" s="489" t="str">
        <x:v>Média</x:v>
      </x:c>
      <x:c r="V679" s="489" t="str"/>
      <x:c r="W679" s="489" t="str"/>
      <x:c r="X679" s="489" t="str"/>
    </x:row>
    <x:row r="680">
      <x:c r="A680" s="502" t="n">
        <x:v>680</x:v>
      </x:c>
      <x:c r="B680" s="502" t="n">
        <x:v>2023</x:v>
      </x:c>
      <x:c r="C680" s="489" t="str">
        <x:v>Dois Irmãos</x:v>
      </x:c>
      <x:c r="D680" s="489" t="str">
        <x:v>Prefeitura</x:v>
      </x:c>
      <x:c r="E680" s="489" t="str">
        <x:v>Prefeitura de Dois Irmãos</x:v>
      </x:c>
      <x:c r="F680" s="489" t="str"/>
      <x:c r="G680" s="489" t="str">
        <x:v>41160001-2023</x:v>
      </x:c>
      <x:c r="H680" s="489" t="str">
        <x:v>Inferido forte (SIGA/PIX)</x:v>
      </x:c>
      <x:c r="I680" s="503" t="n">
        <x:v>540000</x:v>
      </x:c>
      <x:c r="J680" s="503" t="n">
        <x:v>540000</x:v>
      </x:c>
      <x:c r="K680" s="489" t="str">
        <x:v>Emenda Individual</x:v>
      </x:c>
      <x:c r="L680" s="489" t="str">
        <x:v>Recurso pago</x:v>
      </x:c>
      <x:c r="M680" s="503" t="n">
        <x:v>540000</x:v>
      </x:c>
      <x:c r="N680" s="503" t="n">
        <x:v>0</x:v>
      </x:c>
      <x:c r="O680" s="503" t="n">
        <x:v>0</x:v>
      </x:c>
      <x:c r="P680" s="503" t="n">
        <x:v>540000</x:v>
      </x:c>
      <x:c r="Q680" s="503" t="n">
        <x:v>0</x:v>
      </x:c>
      <x:c r="R680" s="489" t="str">
        <x:v>CIENTE</x:v>
      </x:c>
      <x:c r="S680" s="489" t="str">
        <x:v>88254891000153</x:v>
      </x:c>
      <x:c r="T680" s="489" t="str">
        <x:v>CONFIRMADO</x:v>
      </x:c>
      <x:c r="U680" s="489" t="str">
        <x:v>Baixa</x:v>
      </x:c>
      <x:c r="V680" s="489" t="str">
        <x:v>Preencher nº como 41160001 com marcação de inferência (ano+município+valor exatos em SIGA/PIX); CNPJ candidato na fonte SIGA: 88254891000153</x:v>
      </x:c>
      <x:c r="W680" s="489" t="str">
        <x:v>nº ausente; inferido por coincidência exata de cidade e valor em SIGA favorecido, PIX; Valor do grupo fecha com: SIGA pago favorecido, PIX atual</x:v>
      </x:c>
      <x:c r="X680" s="489" t="str">
        <x:v>https://especiais.transferegov.sistema.gov.br/transferencia-especial/plano-acao/detalhe/38368/dados-basicos</x:v>
      </x:c>
    </x:row>
    <x:row r="681">
      <x:c r="A681" s="502" t="n">
        <x:v>681</x:v>
      </x:c>
      <x:c r="B681" s="502" t="n">
        <x:v>2025</x:v>
      </x:c>
      <x:c r="C681" s="489" t="str">
        <x:v>Santo Antônio da Patrulha</x:v>
      </x:c>
      <x:c r="D681" s="489" t="str">
        <x:v>Municipio De Santo Antonio Da Patrulha Santo Antônio Da Patrulha - Rs</x:v>
      </x:c>
      <x:c r="E681" s="489" t="str">
        <x:v>Prefeitura Municipal</x:v>
      </x:c>
      <x:c r="F681" s="489" t="str">
        <x:v>41160005</x:v>
      </x:c>
      <x:c r="G681" s="489" t="str">
        <x:v>41160005-2025</x:v>
      </x:c>
      <x:c r="H681" s="489" t="str">
        <x:v>Informado/corrigido a partir do mapa</x:v>
      </x:c>
      <x:c r="I681" s="503" t="n">
        <x:v>547160</x:v>
      </x:c>
      <x:c r="J681" s="503" t="n">
        <x:v>547160</x:v>
      </x:c>
      <x:c r="K681" s="489" t="str">
        <x:v>Emenda Individual</x:v>
      </x:c>
      <x:c r="L681" s="489"/>
      <x:c r="M681" s="503" t="n">
        <x:v>0</x:v>
      </x:c>
      <x:c r="N681" s="503" t="n">
        <x:v>494000</x:v>
      </x:c>
      <x:c r="O681" s="503" t="n">
        <x:v>0</x:v>
      </x:c>
      <x:c r="P681" s="503" t="n">
        <x:v>0</x:v>
      </x:c>
      <x:c r="Q681" s="503" t="n">
        <x:v>0</x:v>
      </x:c>
      <x:c r="R681" s="489" t="str"/>
      <x:c r="S681" s="489" t="str"/>
      <x:c r="T681" s="489" t="str">
        <x:v>DESTINO/INSTRUMENTO CONFIRMADO; VALOR NÃO COMPARÁVEL</x:v>
      </x:c>
      <x:c r="U681" s="489" t="str">
        <x:v>Média</x:v>
      </x:c>
      <x:c r="V681" s="489" t="str"/>
      <x:c r="W681" s="489" t="str">
        <x:v>Há instrumento do Transferegov para a emenda/município; valores do instrumento não foram usados como prova do valor da emenda</x:v>
      </x:c>
      <x:c r="X681" s="489" t="str">
        <x:v>https://discricionarias.transferegov.sistema.gov.br/voluntarias/ConsultarProposta/ResultadoDaConsultaDeConvenioSelecionarConvenio.do?sequencialConvenio=987963&amp;Usr=guest&amp;Pwd=guest</x:v>
      </x:c>
    </x:row>
    <x:row r="682">
      <x:c r="A682" s="502" t="n">
        <x:v>682</x:v>
      </x:c>
      <x:c r="B682" s="502" t="n">
        <x:v>2026</x:v>
      </x:c>
      <x:c r="C682" s="489" t="str">
        <x:v>Pelotas</x:v>
      </x:c>
      <x:c r="D682" s="489" t="str">
        <x:v>Associacao Pro-Ensino Em Santa Cruz Do Sul - Apesc</x:v>
      </x:c>
      <x:c r="E682" s="489" t="str">
        <x:v>Empresa Brasileira de Servicos Hospitalares - Ebserh</x:v>
      </x:c>
      <x:c r="F682" s="489" t="str">
        <x:v>41160003</x:v>
      </x:c>
      <x:c r="G682" s="489" t="str">
        <x:v>41160003-2026</x:v>
      </x:c>
      <x:c r="H682" s="489" t="str">
        <x:v>Informado/corrigido a partir do mapa</x:v>
      </x:c>
      <x:c r="I682" s="503" t="n">
        <x:v>548000</x:v>
      </x:c>
      <x:c r="J682" s="503" t="n">
        <x:v>548000</x:v>
      </x:c>
      <x:c r="K682" s="489" t="str">
        <x:v>Emenda individual</x:v>
      </x:c>
      <x:c r="L682" s="489"/>
      <x:c r="M682" s="503" t="n">
        <x:v>0</x:v>
      </x:c>
      <x:c r="N682" s="503" t="n">
        <x:v>0</x:v>
      </x:c>
      <x:c r="O682" s="503" t="n">
        <x:v>0</x:v>
      </x:c>
      <x:c r="P682" s="503" t="n">
        <x:v>0</x:v>
      </x:c>
      <x:c r="Q682" s="503" t="n">
        <x:v>0</x:v>
      </x:c>
      <x:c r="R682" s="489" t="str"/>
      <x:c r="S682" s="489" t="str"/>
      <x:c r="T682" s="489" t="str">
        <x:v>EMENDA CONFIRMADA; DESTINO NÃO CONFIRMADO</x:v>
      </x:c>
      <x:c r="U682" s="489" t="str">
        <x:v>Média</x:v>
      </x:c>
      <x:c r="V682" s="489" t="str"/>
      <x:c r="W682" s="489" t="str">
        <x:v>Nº existe no SIGA; destinatário específico não foi confirmado nas bases anexas</x:v>
      </x:c>
      <x:c r="X682" s="489" t="str"/>
    </x:row>
    <x:row r="683">
      <x:c r="A683" s="502" t="n">
        <x:v>683</x:v>
      </x:c>
      <x:c r="B683" s="502" t="n">
        <x:v>2023</x:v>
      </x:c>
      <x:c r="C683" s="489" t="str">
        <x:v>Flores da Cunha</x:v>
      </x:c>
      <x:c r="D683" s="489" t="str">
        <x:v>Prefeitura</x:v>
      </x:c>
      <x:c r="E683" s="489" t="str">
        <x:v>Prefeitura de Flores da Cunha</x:v>
      </x:c>
      <x:c r="F683" s="489" t="str"/>
      <x:c r="G683" s="489" t="str"/>
      <x:c r="H683" s="489" t="str">
        <x:v>Sem nº conciliado</x:v>
      </x:c>
      <x:c r="I683" s="503" t="n">
        <x:v>566314</x:v>
      </x:c>
      <x:c r="J683" s="503" t="n">
        <x:v>566314</x:v>
      </x:c>
      <x:c r="K683" s="489" t="str">
        <x:v>Emenda Individual</x:v>
      </x:c>
      <x:c r="L683" s="489" t="str">
        <x:v>Empenhado</x:v>
      </x:c>
      <x:c r="M683" s="503" t="n">
        <x:v>0</x:v>
      </x:c>
      <x:c r="N683" s="503" t="n">
        <x:v>0</x:v>
      </x:c>
      <x:c r="O683" s="503" t="n">
        <x:v>0</x:v>
      </x:c>
      <x:c r="P683" s="503" t="n">
        <x:v>0</x:v>
      </x:c>
      <x:c r="Q683" s="503" t="n">
        <x:v>0</x:v>
      </x:c>
      <x:c r="R683" s="489" t="str"/>
      <x:c r="S683" s="489" t="str"/>
      <x:c r="T683" s="489" t="str">
        <x:v>SEM Nº / NÃO CONCILIADO</x:v>
      </x:c>
      <x:c r="U683" s="489" t="str">
        <x:v>Média</x:v>
      </x:c>
      <x:c r="V683" s="489" t="str"/>
      <x:c r="W683" s="489" t="str"/>
      <x:c r="X683" s="489" t="str"/>
    </x:row>
    <x:row r="684">
      <x:c r="A684" s="502" t="n">
        <x:v>684</x:v>
      </x:c>
      <x:c r="B684" s="502" t="n">
        <x:v>2023</x:v>
      </x:c>
      <x:c r="C684" s="489" t="str">
        <x:v>Gravataí</x:v>
      </x:c>
      <x:c r="D684" s="489" t="str">
        <x:v>Prefeitura</x:v>
      </x:c>
      <x:c r="E684" s="489" t="str">
        <x:v>Prefeitura de Gravataí</x:v>
      </x:c>
      <x:c r="F684" s="489" t="str"/>
      <x:c r="G684" s="489" t="str"/>
      <x:c r="H684" s="489" t="str">
        <x:v>Sem nº conciliado</x:v>
      </x:c>
      <x:c r="I684" s="503" t="n">
        <x:v>569226</x:v>
      </x:c>
      <x:c r="J684" s="503" t="n">
        <x:v>569226</x:v>
      </x:c>
      <x:c r="K684" s="489" t="str">
        <x:v>Emenda Individual</x:v>
      </x:c>
      <x:c r="L684" s="489" t="str">
        <x:v>Recurso pago</x:v>
      </x:c>
      <x:c r="M684" s="503" t="n">
        <x:v>0</x:v>
      </x:c>
      <x:c r="N684" s="503" t="n">
        <x:v>0</x:v>
      </x:c>
      <x:c r="O684" s="503" t="n">
        <x:v>0</x:v>
      </x:c>
      <x:c r="P684" s="503" t="n">
        <x:v>0</x:v>
      </x:c>
      <x:c r="Q684" s="503" t="n">
        <x:v>0</x:v>
      </x:c>
      <x:c r="R684" s="489" t="str"/>
      <x:c r="S684" s="489" t="str"/>
      <x:c r="T684" s="489" t="str">
        <x:v>SEM Nº / NÃO CONCILIADO</x:v>
      </x:c>
      <x:c r="U684" s="489" t="str">
        <x:v>Média</x:v>
      </x:c>
      <x:c r="V684" s="489" t="str"/>
      <x:c r="W684" s="489" t="str"/>
      <x:c r="X684" s="489" t="str"/>
    </x:row>
    <x:row r="685">
      <x:c r="A685" s="502" t="n">
        <x:v>685</x:v>
      </x:c>
      <x:c r="B685" s="502" t="n">
        <x:v>2022</x:v>
      </x:c>
      <x:c r="C685" s="489" t="str">
        <x:v>Porto Alegre</x:v>
      </x:c>
      <x:c r="D685" s="489"/>
      <x:c r="E685" s="489" t="str">
        <x:v>Sociedade Sulina Divina Providencia</x:v>
      </x:c>
      <x:c r="F685" s="489" t="str">
        <x:v>41160003</x:v>
      </x:c>
      <x:c r="G685" s="489" t="str">
        <x:v>41160003-2022</x:v>
      </x:c>
      <x:c r="H685" s="489" t="str">
        <x:v>Informado/corrigido a partir do mapa</x:v>
      </x:c>
      <x:c r="I685" s="503" t="n">
        <x:v>569347</x:v>
      </x:c>
      <x:c r="J685" s="503" t="n">
        <x:v>1845666</x:v>
      </x:c>
      <x:c r="K685" s="489" t="str">
        <x:v>Emenda Individual </x:v>
      </x:c>
      <x:c r="L685" s="489" t="str">
        <x:v>Em execução. Total pago: R$ 512.537,88 (29/02/2024)</x:v>
      </x:c>
      <x:c r="M685" s="503" t="n">
        <x:v>1939506.8599999999</x:v>
      </x:c>
      <x:c r="N685" s="503" t="n">
        <x:v>2095666</x:v>
      </x:c>
      <x:c r="O685" s="503" t="n">
        <x:v>1939506.86</x:v>
      </x:c>
      <x:c r="P685" s="503" t="n">
        <x:v>0</x:v>
      </x:c>
      <x:c r="Q685" s="503" t="n">
        <x:v>0</x:v>
      </x:c>
      <x:c r="R685" s="489" t="str"/>
      <x:c r="S685" s="489" t="str">
        <x:v>4 CNPJs na fonte</x:v>
      </x:c>
      <x:c r="T685" s="489" t="str">
        <x:v>VALOR DIVERGENTE / COBERTURA DIFERENTE</x:v>
      </x:c>
      <x:c r="U685" s="489" t="str">
        <x:v>Média</x:v>
      </x:c>
      <x:c r="V685" s="489" t="str"/>
      <x:c r="W685" s="489" t="str">
        <x:v>Município/localidade encontrado em fonte comparável, mas valor não fecha exatamente</x:v>
      </x:c>
      <x:c r="X685" s="489" t="str">
        <x:v>https://discricionarias.transferegov.sistema.gov.br/voluntarias/ConsultarProposta/ResultadoDaConsultaDeConvenioSelecionarConvenio.do?sequencialConvenio=937483&amp;Usr=guest&amp;Pwd=guest | https://discricionarias.transferegov.sistema.gov.br/voluntarias/ConsultarProposta/ResultadoDaConsultaDeConvenioSelecionarConvenio.do?sequencialConvenio=935448&amp;Usr=guest&amp;Pwd=guest</x:v>
      </x:c>
    </x:row>
    <x:row r="686">
      <x:c r="A686" s="502" t="n">
        <x:v>686</x:v>
      </x:c>
      <x:c r="B686" s="502" t="n">
        <x:v>2021</x:v>
      </x:c>
      <x:c r="C686" s="489" t="str">
        <x:v>Ivoti</x:v>
      </x:c>
      <x:c r="D686" s="489" t="str">
        <x:v>Hospital</x:v>
      </x:c>
      <x:c r="E686" s="489" t="str">
        <x:v>Hospital São José de Ivoti (Associação Congregação de Santa Catarina)</x:v>
      </x:c>
      <x:c r="F686" s="489" t="str">
        <x:v>41160002</x:v>
      </x:c>
      <x:c r="G686" s="489" t="str">
        <x:v>41160002-2021</x:v>
      </x:c>
      <x:c r="H686" s="489" t="str">
        <x:v>Informado/corrigido a partir do mapa</x:v>
      </x:c>
      <x:c r="I686" s="503" t="n">
        <x:v>570714.02</x:v>
      </x:c>
      <x:c r="J686" s="503" t="n">
        <x:v>570714.02</x:v>
      </x:c>
      <x:c r="K686" s="489" t="str">
        <x:v>Emenda individual (processo seletivo)</x:v>
      </x:c>
      <x:c r="L686" s="489" t="str">
        <x:v>Recurso pago parcialmente: R$ 475.169,41 (consultado Transferegov em 12/04/2024). Observação: a emenda foi cadastrada no CNPJ da Associação Congreção de Santa Catarina de Novo Hamburgo. </x:v>
      </x:c>
      <x:c r="M686" s="503" t="n">
        <x:v>0</x:v>
      </x:c>
      <x:c r="N686" s="503" t="n">
        <x:v>0</x:v>
      </x:c>
      <x:c r="O686" s="503" t="n">
        <x:v>0</x:v>
      </x:c>
      <x:c r="P686" s="503" t="n">
        <x:v>0</x:v>
      </x:c>
      <x:c r="Q686" s="503" t="n">
        <x:v>0</x:v>
      </x:c>
      <x:c r="R686" s="489" t="str"/>
      <x:c r="S686" s="489" t="str"/>
      <x:c r="T686" s="489" t="str">
        <x:v>EMENDA CONFIRMADA; DESTINO NÃO CONFIRMADO</x:v>
      </x:c>
      <x:c r="U686" s="489" t="str">
        <x:v>Média</x:v>
      </x:c>
      <x:c r="V686" s="489" t="str"/>
      <x:c r="W686" s="489" t="str">
        <x:v>Nº existe no SIGA; destinatário específico não foi confirmado nas bases anexas</x:v>
      </x:c>
      <x:c r="X686" s="489" t="str"/>
    </x:row>
    <x:row r="687">
      <x:c r="A687" s="502" t="n">
        <x:v>687</x:v>
      </x:c>
      <x:c r="B687" s="502" t="n">
        <x:v>2023</x:v>
      </x:c>
      <x:c r="C687" s="489" t="str">
        <x:v>Bento Gonçalves</x:v>
      </x:c>
      <x:c r="D687" s="489" t="str">
        <x:v>Hospital</x:v>
      </x:c>
      <x:c r="E687" s="489" t="str">
        <x:v>Associação Dr. Bartholomeu Tacchini – Hospital Tacchini</x:v>
      </x:c>
      <x:c r="F687" s="489" t="str"/>
      <x:c r="G687" s="489" t="str">
        <x:v>41160007-2023</x:v>
      </x:c>
      <x:c r="H687" s="489" t="str">
        <x:v>Candidato — revisar (Transferegov)</x:v>
      </x:c>
      <x:c r="I687" s="503" t="n">
        <x:v>571380</x:v>
      </x:c>
      <x:c r="J687" s="503" t="n">
        <x:v>571380</x:v>
      </x:c>
      <x:c r="K687" s="489" t="str">
        <x:v>Emenda Individual</x:v>
      </x:c>
      <x:c r="L687" s="489" t="str">
        <x:v>Empenhado</x:v>
      </x:c>
      <x:c r="M687" s="503" t="n">
        <x:v>307500</x:v>
      </x:c>
      <x:c r="N687" s="503" t="n">
        <x:v>571380</x:v>
      </x:c>
      <x:c r="O687" s="503" t="n">
        <x:v>307500</x:v>
      </x:c>
      <x:c r="P687" s="503" t="n">
        <x:v>0</x:v>
      </x:c>
      <x:c r="Q687" s="503" t="n">
        <x:v>0</x:v>
      </x:c>
      <x:c r="R687" s="489" t="str"/>
      <x:c r="S687" s="489" t="str">
        <x:v>87547444000120</x:v>
      </x:c>
      <x:c r="T687" s="489" t="str">
        <x:v>VALOR DIVERGENTE / COBERTURA DIFERENTE</x:v>
      </x:c>
      <x:c r="U687" s="489" t="str">
        <x:v>Média</x:v>
      </x:c>
      <x:c r="V687" s="489" t="str">
        <x:v>Candidato de nº: 41160007; validar antes de preencher (Transferegov pode trazer valor total do instrumento); Situação possivelmente desatualizada: SIGA/execução regionalizada mostra pagamento; CNPJ candidato na fonte SIGA: 87547444000120</x:v>
      </x:c>
      <x:c r="W687" s="489" t="str">
        <x:v>nº ausente; inferido por coincidência exata de cidade e valor em Transferegov; Município/localidade encontrado em fonte comparável, mas valor não fecha exatamente</x:v>
      </x:c>
      <x:c r="X687" s="489" t="str">
        <x:v>https://discricionarias.transferegov.sistema.gov.br/voluntarias/ConsultarProposta/ResultadoDaConsultaDeConvenioSelecionarConvenio.do?sequencialConvenio=943922&amp;Usr=guest&amp;Pwd=guest</x:v>
      </x:c>
    </x:row>
    <x:row r="688">
      <x:c r="A688" s="502" t="n">
        <x:v>688</x:v>
      </x:c>
      <x:c r="B688" s="502" t="n">
        <x:v>2024</x:v>
      </x:c>
      <x:c r="C688" s="489" t="str">
        <x:v>Lagoa Vermelha</x:v>
      </x:c>
      <x:c r="D688" s="489" t="str">
        <x:v>Prefeitura Municipal de Lagoa Vermelha</x:v>
      </x:c>
      <x:c r="E688" s="489" t="str">
        <x:v>Prefeitura Municipal</x:v>
      </x:c>
      <x:c r="F688" s="489" t="str">
        <x:v>41160005</x:v>
      </x:c>
      <x:c r="G688" s="489" t="str">
        <x:v>41160005-2024</x:v>
      </x:c>
      <x:c r="H688" s="489" t="str">
        <x:v>Informado/corrigido a partir do mapa</x:v>
      </x:c>
      <x:c r="I688" s="503" t="n">
        <x:v>578003</x:v>
      </x:c>
      <x:c r="J688" s="503" t="n">
        <x:v>578003</x:v>
      </x:c>
      <x:c r="K688" s="489" t="str">
        <x:v>Emenda Individual</x:v>
      </x:c>
      <x:c r="L688" s="489"/>
      <x:c r="M688" s="503" t="n">
        <x:v>0</x:v>
      </x:c>
      <x:c r="N688" s="503" t="n">
        <x:v>578003</x:v>
      </x:c>
      <x:c r="O688" s="503" t="n">
        <x:v>0</x:v>
      </x:c>
      <x:c r="P688" s="503" t="n">
        <x:v>0</x:v>
      </x:c>
      <x:c r="Q688" s="503" t="n">
        <x:v>0</x:v>
      </x:c>
      <x:c r="R688" s="489" t="str"/>
      <x:c r="S688" s="489" t="str"/>
      <x:c r="T688" s="489" t="str">
        <x:v>DESTINO/INSTRUMENTO CONFIRMADO; VALOR NÃO COMPARÁVEL</x:v>
      </x:c>
      <x:c r="U688" s="489" t="str">
        <x:v>Média</x:v>
      </x:c>
      <x:c r="V688" s="489" t="str"/>
      <x:c r="W688" s="489" t="str">
        <x:v>Há instrumento do Transferegov para a emenda/município; valores do instrumento não foram usados como prova do valor da emenda</x:v>
      </x:c>
      <x:c r="X688" s="489" t="str">
        <x:v>https://discricionarias.transferegov.sistema.gov.br/voluntarias/ConsultarProposta/ResultadoDaConsultaDeConvenioSelecionarConvenio.do?sequencialConvenio=973563&amp;Usr=guest&amp;Pwd=guest</x:v>
      </x:c>
    </x:row>
    <x:row r="689">
      <x:c r="A689" s="502" t="n">
        <x:v>689</x:v>
      </x:c>
      <x:c r="B689" s="502" t="n">
        <x:v>2023</x:v>
      </x:c>
      <x:c r="C689" s="489" t="str">
        <x:v>Estância Velha</x:v>
      </x:c>
      <x:c r="D689" s="489" t="str">
        <x:v>Prefeitura</x:v>
      </x:c>
      <x:c r="E689" s="489" t="str">
        <x:v>Prefeitura de Estância Velha</x:v>
      </x:c>
      <x:c r="F689" s="489" t="str"/>
      <x:c r="G689" s="489" t="str"/>
      <x:c r="H689" s="489" t="str">
        <x:v>Sem nº conciliado</x:v>
      </x:c>
      <x:c r="I689" s="503" t="n">
        <x:v>582816.77</x:v>
      </x:c>
      <x:c r="J689" s="503" t="n">
        <x:v>582816.77</x:v>
      </x:c>
      <x:c r="K689" s="489" t="str">
        <x:v>Emenda Individual</x:v>
      </x:c>
      <x:c r="L689" s="489" t="str">
        <x:v>Empenhado</x:v>
      </x:c>
      <x:c r="M689" s="503" t="n">
        <x:v>0</x:v>
      </x:c>
      <x:c r="N689" s="503" t="n">
        <x:v>0</x:v>
      </x:c>
      <x:c r="O689" s="503" t="n">
        <x:v>0</x:v>
      </x:c>
      <x:c r="P689" s="503" t="n">
        <x:v>0</x:v>
      </x:c>
      <x:c r="Q689" s="503" t="n">
        <x:v>0</x:v>
      </x:c>
      <x:c r="R689" s="489" t="str"/>
      <x:c r="S689" s="489" t="str"/>
      <x:c r="T689" s="489" t="str">
        <x:v>SEM Nº / NÃO CONCILIADO</x:v>
      </x:c>
      <x:c r="U689" s="489" t="str">
        <x:v>Média</x:v>
      </x:c>
      <x:c r="V689" s="489" t="str"/>
      <x:c r="W689" s="489" t="str"/>
      <x:c r="X689" s="489" t="str"/>
    </x:row>
    <x:row r="690">
      <x:c r="A690" s="502" t="n">
        <x:v>690</x:v>
      </x:c>
      <x:c r="B690" s="502" t="n">
        <x:v>2024</x:v>
      </x:c>
      <x:c r="C690" s="489" t="str">
        <x:v>Novo Hamburgo</x:v>
      </x:c>
      <x:c r="D690" s="489" t="str">
        <x:v>Prefeitura Municipal de Novo Hamburgo</x:v>
      </x:c>
      <x:c r="E690" s="489" t="str">
        <x:v>Prefeitura Municipal</x:v>
      </x:c>
      <x:c r="F690" s="489" t="str">
        <x:v>41160004</x:v>
      </x:c>
      <x:c r="G690" s="489" t="str">
        <x:v>41160004-2024</x:v>
      </x:c>
      <x:c r="H690" s="489" t="str">
        <x:v>Informado/corrigido a partir do mapa</x:v>
      </x:c>
      <x:c r="I690" s="503" t="n">
        <x:v>599790</x:v>
      </x:c>
      <x:c r="J690" s="503" t="n">
        <x:v>599790</x:v>
      </x:c>
      <x:c r="K690" s="489" t="str">
        <x:v>Emenda Individual</x:v>
      </x:c>
      <x:c r="L690" s="489"/>
      <x:c r="M690" s="503" t="n">
        <x:v>599790</x:v>
      </x:c>
      <x:c r="N690" s="503" t="n">
        <x:v>0</x:v>
      </x:c>
      <x:c r="O690" s="503" t="n">
        <x:v>0</x:v>
      </x:c>
      <x:c r="P690" s="503" t="n">
        <x:v>0</x:v>
      </x:c>
      <x:c r="Q690" s="503" t="n">
        <x:v>0</x:v>
      </x:c>
      <x:c r="R690" s="489" t="str"/>
      <x:c r="S690" s="489" t="str">
        <x:v>11416036000177</x:v>
      </x:c>
      <x:c r="T690" s="489" t="str">
        <x:v>CONFIRMADO</x:v>
      </x:c>
      <x:c r="U690" s="489" t="str">
        <x:v>Baixa</x:v>
      </x:c>
      <x:c r="V690" s="489" t="str">
        <x:v>Preencher situação: há pagamento identificado na fonte pública; CNPJ candidato na fonte SIGA: 11416036000177</x:v>
      </x:c>
      <x:c r="W690" s="489" t="str">
        <x:v>Valor do grupo fecha com: SIGA pago favorecido</x:v>
      </x:c>
      <x:c r="X690" s="489" t="str"/>
    </x:row>
    <x:row r="691">
      <x:c r="A691" s="502" t="n">
        <x:v>691</x:v>
      </x:c>
      <x:c r="B691" s="502" t="n">
        <x:v>2024</x:v>
      </x:c>
      <x:c r="C691" s="489" t="str">
        <x:v>Montenegro</x:v>
      </x:c>
      <x:c r="D691" s="489" t="str">
        <x:v>Prefeitura Municipal de Montenegro</x:v>
      </x:c>
      <x:c r="E691" s="489" t="str">
        <x:v>Prefeitura Municipal</x:v>
      </x:c>
      <x:c r="F691" s="489" t="str">
        <x:v>41160001</x:v>
      </x:c>
      <x:c r="G691" s="489" t="str">
        <x:v>41160001-2024</x:v>
      </x:c>
      <x:c r="H691" s="489" t="str">
        <x:v>Informado/corrigido a partir do mapa</x:v>
      </x:c>
      <x:c r="I691" s="503" t="n">
        <x:v>600000</x:v>
      </x:c>
      <x:c r="J691" s="503" t="n">
        <x:v>600000</x:v>
      </x:c>
      <x:c r="K691" s="489" t="str">
        <x:v>Emenda Individual</x:v>
      </x:c>
      <x:c r="L691" s="489"/>
      <x:c r="M691" s="503" t="n">
        <x:v>600000</x:v>
      </x:c>
      <x:c r="N691" s="503" t="n">
        <x:v>0</x:v>
      </x:c>
      <x:c r="O691" s="503" t="n">
        <x:v>0</x:v>
      </x:c>
      <x:c r="P691" s="503" t="n">
        <x:v>0</x:v>
      </x:c>
      <x:c r="Q691" s="503" t="n">
        <x:v>0</x:v>
      </x:c>
      <x:c r="R691" s="489" t="str"/>
      <x:c r="S691" s="489" t="str">
        <x:v>12035129000114</x:v>
      </x:c>
      <x:c r="T691" s="489" t="str">
        <x:v>CONFIRMADO</x:v>
      </x:c>
      <x:c r="U691" s="489" t="str">
        <x:v>Baixa</x:v>
      </x:c>
      <x:c r="V691" s="489" t="str">
        <x:v>Preencher situação: há pagamento identificado na fonte pública; CNPJ candidato na fonte SIGA: 12035129000114</x:v>
      </x:c>
      <x:c r="W691" s="489" t="str">
        <x:v>Valor do grupo fecha com: SIGA pago favorecido</x:v>
      </x:c>
      <x:c r="X691" s="489" t="str"/>
    </x:row>
    <x:row r="692">
      <x:c r="A692" s="502" t="n">
        <x:v>692</x:v>
      </x:c>
      <x:c r="B692" s="502" t="n">
        <x:v>2022</x:v>
      </x:c>
      <x:c r="C692" s="489" t="str">
        <x:v>Canoas</x:v>
      </x:c>
      <x:c r="D692" s="489" t="str">
        <x:v>Município</x:v>
      </x:c>
      <x:c r="E692" s="489" t="str">
        <x:v>Fundo Municipal de Saúde</x:v>
      </x:c>
      <x:c r="F692" s="489" t="str">
        <x:v>41160003</x:v>
      </x:c>
      <x:c r="G692" s="489" t="str">
        <x:v>41160003-2022</x:v>
      </x:c>
      <x:c r="H692" s="489" t="str">
        <x:v>Informado/corrigido a partir do mapa</x:v>
      </x:c>
      <x:c r="I692" s="503" t="n">
        <x:v>610000</x:v>
      </x:c>
      <x:c r="J692" s="503" t="n">
        <x:v>610000</x:v>
      </x:c>
      <x:c r="K692" s="489" t="str">
        <x:v>Emenda Individual </x:v>
      </x:c>
      <x:c r="L692" s="489" t="str">
        <x:v>Recurso pago</x:v>
      </x:c>
      <x:c r="M692" s="503" t="n">
        <x:v>609957</x:v>
      </x:c>
      <x:c r="N692" s="503" t="n">
        <x:v>0</x:v>
      </x:c>
      <x:c r="O692" s="503" t="n">
        <x:v>0</x:v>
      </x:c>
      <x:c r="P692" s="503" t="n">
        <x:v>0</x:v>
      </x:c>
      <x:c r="Q692" s="503" t="n">
        <x:v>0</x:v>
      </x:c>
      <x:c r="R692" s="489" t="str"/>
      <x:c r="S692" s="489" t="str">
        <x:v>11413650000185</x:v>
      </x:c>
      <x:c r="T692" s="489" t="str">
        <x:v>CONFIRMADO</x:v>
      </x:c>
      <x:c r="U692" s="489" t="str">
        <x:v>Baixa</x:v>
      </x:c>
      <x:c r="V692" s="489" t="str">
        <x:v>CNPJ candidato na fonte SIGA: 11413650000185</x:v>
      </x:c>
      <x:c r="W692" s="489" t="str">
        <x:v>Valor do grupo fecha com: SIGA pago favorecido</x:v>
      </x:c>
      <x:c r="X692" s="489" t="str"/>
    </x:row>
    <x:row r="693">
      <x:c r="A693" s="502" t="n">
        <x:v>693</x:v>
      </x:c>
      <x:c r="B693" s="502" t="n">
        <x:v>2023</x:v>
      </x:c>
      <x:c r="C693" s="489" t="str">
        <x:v>Porto Alegre</x:v>
      </x:c>
      <x:c r="D693" s="489" t="str">
        <x:v>Hospital</x:v>
      </x:c>
      <x:c r="E693" s="489" t="str">
        <x:v>Hospital São Lucas Da Pucrs</x:v>
      </x:c>
      <x:c r="F693" s="489" t="str"/>
      <x:c r="G693" s="489" t="str">
        <x:v>41160007-2023</x:v>
      </x:c>
      <x:c r="H693" s="489" t="str">
        <x:v>Candidato — revisar (Transferegov)</x:v>
      </x:c>
      <x:c r="I693" s="503" t="n">
        <x:v>611805</x:v>
      </x:c>
      <x:c r="J693" s="503" t="n">
        <x:v>811805</x:v>
      </x:c>
      <x:c r="K693" s="489" t="str">
        <x:v>Emenda Individual</x:v>
      </x:c>
      <x:c r="L693" s="489" t="str">
        <x:v>Empenhado</x:v>
      </x:c>
      <x:c r="M693" s="503" t="n">
        <x:v>2195350.67</x:v>
      </x:c>
      <x:c r="N693" s="503" t="n">
        <x:v>1696205</x:v>
      </x:c>
      <x:c r="O693" s="503" t="n">
        <x:v>1462066.67</x:v>
      </x:c>
      <x:c r="P693" s="503" t="n">
        <x:v>0</x:v>
      </x:c>
      <x:c r="Q693" s="503" t="n">
        <x:v>0</x:v>
      </x:c>
      <x:c r="R693" s="489" t="str"/>
      <x:c r="S693" s="489" t="str">
        <x:v>4 CNPJs na fonte</x:v>
      </x:c>
      <x:c r="T693" s="489" t="str">
        <x:v>VALOR DIVERGENTE / COBERTURA DIFERENTE</x:v>
      </x:c>
      <x:c r="U693" s="489" t="str">
        <x:v>Média</x:v>
      </x:c>
      <x:c r="V693" s="489" t="str">
        <x:v>Candidato de nº: 41160007; validar antes de preencher (Transferegov pode trazer valor total do instrumento); Situação possivelmente desatualizada: SIGA/execução regionalizada mostra pagamento</x:v>
      </x:c>
      <x:c r="W693" s="489" t="str">
        <x:v>nº ausente; inferido por coincidência exata de cidade e valor em Transferegov; Município/localidade encontrado em fonte comparável, mas valor não fecha exatamente</x:v>
      </x:c>
      <x:c r="X693" s="489" t="str">
        <x:v>https://discricionarias.transferegov.sistema.gov.br/voluntarias/ConsultarProposta/ResultadoDaConsultaDeConvenioSelecionarConvenio.do?sequencialConvenio=943964&amp;Usr=guest&amp;Pwd=guest | https://discricionarias.transferegov.sistema.gov.br/voluntarias/ConsultarProposta/ResultadoDaConsultaDeConvenioSelecionarConvenio.do?sequencialConvenio=943965&amp;Usr=guest&amp;Pwd=guest</x:v>
      </x:c>
    </x:row>
    <x:row r="694">
      <x:c r="A694" s="502" t="n">
        <x:v>694</x:v>
      </x:c>
      <x:c r="B694" s="502" t="n">
        <x:v>2023</x:v>
      </x:c>
      <x:c r="C694" s="489" t="str">
        <x:v>Arroio do Meio</x:v>
      </x:c>
      <x:c r="D694" s="489" t="str">
        <x:v>Prefeitura</x:v>
      </x:c>
      <x:c r="E694" s="489" t="str">
        <x:v>Prefeitura de Arroio do Meio</x:v>
      </x:c>
      <x:c r="F694" s="489" t="str"/>
      <x:c r="G694" s="489" t="str"/>
      <x:c r="H694" s="489" t="str">
        <x:v>Sem nº conciliado</x:v>
      </x:c>
      <x:c r="I694" s="503" t="n">
        <x:v>617183.23</x:v>
      </x:c>
      <x:c r="J694" s="503" t="n">
        <x:v>617183.23</x:v>
      </x:c>
      <x:c r="K694" s="489" t="str">
        <x:v>Emenda Individual</x:v>
      </x:c>
      <x:c r="L694" s="489" t="str">
        <x:v>Empenhado</x:v>
      </x:c>
      <x:c r="M694" s="503" t="n">
        <x:v>0</x:v>
      </x:c>
      <x:c r="N694" s="503" t="n">
        <x:v>0</x:v>
      </x:c>
      <x:c r="O694" s="503" t="n">
        <x:v>0</x:v>
      </x:c>
      <x:c r="P694" s="503" t="n">
        <x:v>0</x:v>
      </x:c>
      <x:c r="Q694" s="503" t="n">
        <x:v>0</x:v>
      </x:c>
      <x:c r="R694" s="489" t="str"/>
      <x:c r="S694" s="489" t="str"/>
      <x:c r="T694" s="489" t="str">
        <x:v>SEM Nº / NÃO CONCILIADO</x:v>
      </x:c>
      <x:c r="U694" s="489" t="str">
        <x:v>Média</x:v>
      </x:c>
      <x:c r="V694" s="489" t="str"/>
      <x:c r="W694" s="489" t="str"/>
      <x:c r="X694" s="489" t="str"/>
    </x:row>
    <x:row r="695">
      <x:c r="A695" s="502" t="n">
        <x:v>695</x:v>
      </x:c>
      <x:c r="B695" s="502" t="n">
        <x:v>2024</x:v>
      </x:c>
      <x:c r="C695" s="489" t="str">
        <x:v>Caxias Do Sul</x:v>
      </x:c>
      <x:c r="D695" s="489" t="str">
        <x:v>Hospital</x:v>
      </x:c>
      <x:c r="E695" s="489" t="str">
        <x:v>Associação Cultural e Científica Virvi Ramos (Hospital Virvi Ramos)</x:v>
      </x:c>
      <x:c r="F695" s="489" t="str"/>
      <x:c r="G695" s="489" t="str">
        <x:v>41160004-2024</x:v>
      </x:c>
      <x:c r="H695" s="489" t="str">
        <x:v>Candidato — revisar (Transferegov)</x:v>
      </x:c>
      <x:c r="I695" s="503" t="n">
        <x:v>630000</x:v>
      </x:c>
      <x:c r="J695" s="503" t="n">
        <x:v>980000</x:v>
      </x:c>
      <x:c r="K695" s="489" t="str">
        <x:v>Emenda Individual</x:v>
      </x:c>
      <x:c r="L695" s="489" t="str">
        <x:v>Indicado</x:v>
      </x:c>
      <x:c r="M695" s="503" t="n">
        <x:v>863274.46</x:v>
      </x:c>
      <x:c r="N695" s="503" t="n">
        <x:v>630000</x:v>
      </x:c>
      <x:c r="O695" s="503" t="n">
        <x:v>513274.46</x:v>
      </x:c>
      <x:c r="P695" s="503" t="n">
        <x:v>0</x:v>
      </x:c>
      <x:c r="Q695" s="503" t="n">
        <x:v>0</x:v>
      </x:c>
      <x:c r="R695" s="489" t="str"/>
      <x:c r="S695" s="489" t="str">
        <x:v>10546325000128, 88665914000112</x:v>
      </x:c>
      <x:c r="T695" s="489" t="str">
        <x:v>VALOR DIVERGENTE / COBERTURA DIFERENTE</x:v>
      </x:c>
      <x:c r="U695" s="489" t="str">
        <x:v>Média</x:v>
      </x:c>
      <x:c r="V695" s="489" t="str">
        <x:v>Candidato de nº: 41160004; validar antes de preencher (Transferegov pode trazer valor total do instrumento)</x:v>
      </x:c>
      <x:c r="W695" s="489" t="str">
        <x:v>nº ausente; inferido por coincidência exata de cidade e valor em Transferegov; Município/localidade encontrado em fonte comparável, mas valor não fecha exatamente</x:v>
      </x:c>
      <x:c r="X695" s="489" t="str">
        <x:v>https://discricionarias.transferegov.sistema.gov.br/voluntarias/ConsultarProposta/ResultadoDaConsultaDeConvenioSelecionarConvenio.do?sequencialConvenio=970376&amp;Usr=guest&amp;Pwd=guest</x:v>
      </x:c>
    </x:row>
    <x:row r="696">
      <x:c r="A696" s="502" t="n">
        <x:v>696</x:v>
      </x:c>
      <x:c r="B696" s="502" t="n">
        <x:v>2025</x:v>
      </x:c>
      <x:c r="C696" s="489" t="str">
        <x:v>Imbé</x:v>
      </x:c>
      <x:c r="D696" s="489" t="str">
        <x:v>Fundo Municipal De Saude Imbé - Rs</x:v>
      </x:c>
      <x:c r="E696" s="489" t="str">
        <x:v>Prefeitura Municipal</x:v>
      </x:c>
      <x:c r="F696" s="489" t="str">
        <x:v>41160004</x:v>
      </x:c>
      <x:c r="G696" s="489" t="str">
        <x:v>41160004-2025</x:v>
      </x:c>
      <x:c r="H696" s="489" t="str">
        <x:v>Informado/corrigido a partir do mapa</x:v>
      </x:c>
      <x:c r="I696" s="503" t="n">
        <x:v>637334</x:v>
      </x:c>
      <x:c r="J696" s="503" t="n">
        <x:v>637334</x:v>
      </x:c>
      <x:c r="K696" s="489" t="str">
        <x:v>Emenda Individual</x:v>
      </x:c>
      <x:c r="L696" s="489"/>
      <x:c r="M696" s="503" t="n">
        <x:v>637334</x:v>
      </x:c>
      <x:c r="N696" s="503" t="n">
        <x:v>0</x:v>
      </x:c>
      <x:c r="O696" s="503" t="n">
        <x:v>0</x:v>
      </x:c>
      <x:c r="P696" s="503" t="n">
        <x:v>0</x:v>
      </x:c>
      <x:c r="Q696" s="503" t="n">
        <x:v>0</x:v>
      </x:c>
      <x:c r="R696" s="489" t="str"/>
      <x:c r="S696" s="489" t="str">
        <x:v>12908765000103</x:v>
      </x:c>
      <x:c r="T696" s="489" t="str">
        <x:v>CONFIRMADO</x:v>
      </x:c>
      <x:c r="U696" s="489" t="str">
        <x:v>Baixa</x:v>
      </x:c>
      <x:c r="V696" s="489" t="str">
        <x:v>Preencher situação: há pagamento identificado na fonte pública</x:v>
      </x:c>
      <x:c r="W696" s="489" t="str">
        <x:v>Valor do grupo fecha com: SIGA pago favorecido</x:v>
      </x:c>
      <x:c r="X696" s="489" t="str"/>
    </x:row>
    <x:row r="697">
      <x:c r="A697" s="502" t="n">
        <x:v>697</x:v>
      </x:c>
      <x:c r="B697" s="502" t="n">
        <x:v>2022</x:v>
      </x:c>
      <x:c r="C697" s="489" t="str">
        <x:v>Sapiranga</x:v>
      </x:c>
      <x:c r="D697" s="489"/>
      <x:c r="E697" s="489" t="str">
        <x:v>Fundo Municipal de Saúde</x:v>
      </x:c>
      <x:c r="F697" s="489" t="str">
        <x:v>41160003</x:v>
      </x:c>
      <x:c r="G697" s="489" t="str">
        <x:v>41160003-2022</x:v>
      </x:c>
      <x:c r="H697" s="489" t="str">
        <x:v>Informado/corrigido a partir do mapa</x:v>
      </x:c>
      <x:c r="I697" s="503" t="n">
        <x:v>650000</x:v>
      </x:c>
      <x:c r="J697" s="503" t="n">
        <x:v>1010000</x:v>
      </x:c>
      <x:c r="K697" s="489" t="str">
        <x:v>Emenda Individual </x:v>
      </x:c>
      <x:c r="L697" s="489" t="str">
        <x:v>Recurso pago</x:v>
      </x:c>
      <x:c r="M697" s="503" t="n">
        <x:v>1009201.13</x:v>
      </x:c>
      <x:c r="N697" s="503" t="n">
        <x:v>360000</x:v>
      </x:c>
      <x:c r="O697" s="503" t="n">
        <x:v>359201.13</x:v>
      </x:c>
      <x:c r="P697" s="503" t="n">
        <x:v>0</x:v>
      </x:c>
      <x:c r="Q697" s="503" t="n">
        <x:v>0</x:v>
      </x:c>
      <x:c r="R697" s="489" t="str"/>
      <x:c r="S697" s="489" t="str">
        <x:v>11295120000180, 97279350000170</x:v>
      </x:c>
      <x:c r="T697" s="489" t="str">
        <x:v>CONFIRMADO</x:v>
      </x:c>
      <x:c r="U697" s="489" t="str">
        <x:v>Baixa</x:v>
      </x:c>
      <x:c r="V697" s="489" t="str"/>
      <x:c r="W697" s="489" t="str">
        <x:v>Valor do grupo fecha com: SIGA pago favorecido</x:v>
      </x:c>
      <x:c r="X697" s="489" t="str">
        <x:v>https://discricionarias.transferegov.sistema.gov.br/voluntarias/ConsultarProposta/ResultadoDaConsultaDeConvenioSelecionarConvenio.do?sequencialConvenio=935451&amp;Usr=guest&amp;Pwd=guest</x:v>
      </x:c>
    </x:row>
    <x:row r="698">
      <x:c r="A698" s="502" t="n">
        <x:v>698</x:v>
      </x:c>
      <x:c r="B698" s="502" t="n">
        <x:v>2025</x:v>
      </x:c>
      <x:c r="C698" s="489" t="str">
        <x:v>Porto Alegre</x:v>
      </x:c>
      <x:c r="D698" s="489" t="str">
        <x:v>Hospital De Clinicas De Porto Alegre Porto Alegre - Rs</x:v>
      </x:c>
      <x:c r="E698" s="489" t="str">
        <x:v>Hospital De Clinicas De Porto Alegre Porto Alegre - Rs</x:v>
      </x:c>
      <x:c r="F698" s="489" t="str">
        <x:v>41160004</x:v>
      </x:c>
      <x:c r="G698" s="489" t="str">
        <x:v>41160004-2025</x:v>
      </x:c>
      <x:c r="H698" s="489" t="str">
        <x:v>Informado/corrigido a partir do mapa</x:v>
      </x:c>
      <x:c r="I698" s="503" t="n">
        <x:v>650000</x:v>
      </x:c>
      <x:c r="J698" s="503" t="n">
        <x:v>1150000</x:v>
      </x:c>
      <x:c r="K698" s="489" t="str">
        <x:v>Emenda Individual</x:v>
      </x:c>
      <x:c r="L698" s="489"/>
      <x:c r="M698" s="503" t="n">
        <x:v>411500</x:v>
      </x:c>
      <x:c r="N698" s="503" t="n">
        <x:v>500000</x:v>
      </x:c>
      <x:c r="O698" s="503" t="n">
        <x:v>0</x:v>
      </x:c>
      <x:c r="P698" s="503" t="n">
        <x:v>0</x:v>
      </x:c>
      <x:c r="Q698" s="503" t="n">
        <x:v>0</x:v>
      </x:c>
      <x:c r="R698" s="489" t="str"/>
      <x:c r="S698" s="489" t="str">
        <x:v>155001</x:v>
      </x:c>
      <x:c r="T698" s="489" t="str">
        <x:v>VALOR DIVERGENTE / COBERTURA DIFERENTE</x:v>
      </x:c>
      <x:c r="U698" s="489" t="str">
        <x:v>Alta</x:v>
      </x:c>
      <x:c r="V698" s="489" t="str">
        <x:v>Preencher situação: há pagamento identificado na fonte pública</x:v>
      </x:c>
      <x:c r="W698" s="489" t="str">
        <x:v>Município/localidade encontrado em fonte comparável, mas valor não fecha exatamente</x:v>
      </x:c>
      <x:c r="X698" s="489" t="str">
        <x:v>https://discricionarias.transferegov.sistema.gov.br/voluntarias/ConsultarProposta/ResultadoDaConsultaDeConvenioSelecionarConvenio.do?sequencialConvenio=988203&amp;Usr=guest&amp;Pwd=guest</x:v>
      </x:c>
    </x:row>
    <x:row r="699">
      <x:c r="A699" s="502" t="n">
        <x:v>699</x:v>
      </x:c>
      <x:c r="B699" s="502" t="n">
        <x:v>2025</x:v>
      </x:c>
      <x:c r="C699" s="489" t="str">
        <x:v>Passo Fundo</x:v>
      </x:c>
      <x:c r="D699" s="489" t="str">
        <x:v>Municipio De Passo Fundo Passo Fundo - Rs</x:v>
      </x:c>
      <x:c r="E699" s="489" t="str">
        <x:v>Prefeitura Municipal</x:v>
      </x:c>
      <x:c r="F699" s="489" t="str">
        <x:v>41160008</x:v>
      </x:c>
      <x:c r="G699" s="489" t="str">
        <x:v>41160008-2025</x:v>
      </x:c>
      <x:c r="H699" s="489" t="str">
        <x:v>Informado/corrigido a partir do mapa</x:v>
      </x:c>
      <x:c r="I699" s="503" t="n">
        <x:v>655000</x:v>
      </x:c>
      <x:c r="J699" s="503" t="n">
        <x:v>655000</x:v>
      </x:c>
      <x:c r="K699" s="489" t="str">
        <x:v>Emenda Individual</x:v>
      </x:c>
      <x:c r="L699" s="489"/>
      <x:c r="M699" s="503" t="n">
        <x:v>648450</x:v>
      </x:c>
      <x:c r="N699" s="503" t="n">
        <x:v>0</x:v>
      </x:c>
      <x:c r="O699" s="503" t="n">
        <x:v>0</x:v>
      </x:c>
      <x:c r="P699" s="503" t="n">
        <x:v>648450</x:v>
      </x:c>
      <x:c r="Q699" s="503" t="n">
        <x:v>0</x:v>
      </x:c>
      <x:c r="R699" s="489" t="str">
        <x:v>CIENTE</x:v>
      </x:c>
      <x:c r="S699" s="489" t="str">
        <x:v>87612537000190</x:v>
      </x:c>
      <x:c r="T699" s="489" t="str">
        <x:v>VALOR DIVERGENTE / COBERTURA DIFERENTE</x:v>
      </x:c>
      <x:c r="U699" s="489" t="str">
        <x:v>Média</x:v>
      </x:c>
      <x:c r="V699" s="489" t="str">
        <x:v>Revisar valor do grupo: PIX atual registra R$ 648,450.00; Atualizar situação com status do plano PIX: CIENTE (não equivale a pagamento)</x:v>
      </x:c>
      <x:c r="W699" s="489" t="str">
        <x:v>Município/localidade encontrado em fonte comparável, mas valor não fecha exatamente</x:v>
      </x:c>
      <x:c r="X699" s="489" t="str">
        <x:v>https://especiais.transferegov.sistema.gov.br/transferencia-especial/plano-acao/detalhe/83998/dados-basicos</x:v>
      </x:c>
    </x:row>
    <x:row r="700">
      <x:c r="A700" s="502" t="n">
        <x:v>700</x:v>
      </x:c>
      <x:c r="B700" s="502" t="n">
        <x:v>2026</x:v>
      </x:c>
      <x:c r="C700" s="489" t="str">
        <x:v>Teutônia</x:v>
      </x:c>
      <x:c r="D700" s="489" t="str">
        <x:v>Associacao de Literatura E Beneficencia</x:v>
      </x:c>
      <x:c r="E700" s="489" t="str">
        <x:v>Associacao Beneficente Ouro Branco</x:v>
      </x:c>
      <x:c r="F700" s="489" t="str">
        <x:v>41160003</x:v>
      </x:c>
      <x:c r="G700" s="489" t="str">
        <x:v>41160003-2026</x:v>
      </x:c>
      <x:c r="H700" s="489" t="str">
        <x:v>Informado/corrigido a partir do mapa</x:v>
      </x:c>
      <x:c r="I700" s="503" t="n">
        <x:v>663093</x:v>
      </x:c>
      <x:c r="J700" s="503" t="n">
        <x:v>663093</x:v>
      </x:c>
      <x:c r="K700" s="489" t="str">
        <x:v>Emenda individual</x:v>
      </x:c>
      <x:c r="L700" s="489"/>
      <x:c r="M700" s="503" t="n">
        <x:v>0</x:v>
      </x:c>
      <x:c r="N700" s="503" t="n">
        <x:v>663093</x:v>
      </x:c>
      <x:c r="O700" s="503" t="n">
        <x:v>0</x:v>
      </x:c>
      <x:c r="P700" s="503" t="n">
        <x:v>0</x:v>
      </x:c>
      <x:c r="Q700" s="503" t="n">
        <x:v>0</x:v>
      </x:c>
      <x:c r="R700" s="489" t="str"/>
      <x:c r="S700" s="489" t="str"/>
      <x:c r="T700" s="489" t="str">
        <x:v>DESTINO/INSTRUMENTO CONFIRMADO; VALOR NÃO COMPARÁVEL</x:v>
      </x:c>
      <x:c r="U700" s="489" t="str">
        <x:v>Média</x:v>
      </x:c>
      <x:c r="V700" s="489" t="str"/>
      <x:c r="W700" s="489" t="str">
        <x:v>Há instrumento do Transferegov para a emenda/município; valores do instrumento não foram usados como prova do valor da emenda</x:v>
      </x:c>
      <x:c r="X700" s="489" t="str">
        <x:v>https://discricionarias.transferegov.sistema.gov.br/voluntarias/ConsultarProposta/ResultadoDaConsultaDeConvenioSelecionarConvenio.do?sequencialConvenio=998298&amp;Usr=guest&amp;Pwd=guest</x:v>
      </x:c>
    </x:row>
    <x:row r="701">
      <x:c r="A701" s="502" t="n">
        <x:v>701</x:v>
      </x:c>
      <x:c r="B701" s="502" t="n">
        <x:v>2023</x:v>
      </x:c>
      <x:c r="C701" s="489" t="str">
        <x:v>Passo Fundo</x:v>
      </x:c>
      <x:c r="D701" s="489" t="str">
        <x:v>Hospital</x:v>
      </x:c>
      <x:c r="E701" s="489" t="str">
        <x:v>Hospital De Clínicas De Passo Fundo</x:v>
      </x:c>
      <x:c r="F701" s="489" t="str"/>
      <x:c r="G701" s="489" t="str">
        <x:v>41160007-2023</x:v>
      </x:c>
      <x:c r="H701" s="489" t="str">
        <x:v>Candidato — revisar (Transferegov)</x:v>
      </x:c>
      <x:c r="I701" s="503" t="n">
        <x:v>690000</x:v>
      </x:c>
      <x:c r="J701" s="503" t="n">
        <x:v>690000</x:v>
      </x:c>
      <x:c r="K701" s="489" t="str">
        <x:v>Emenda Individual</x:v>
      </x:c>
      <x:c r="L701" s="489" t="str">
        <x:v>Recurso pago</x:v>
      </x:c>
      <x:c r="M701" s="503" t="n">
        <x:v>688500</x:v>
      </x:c>
      <x:c r="N701" s="503" t="n">
        <x:v>690000</x:v>
      </x:c>
      <x:c r="O701" s="503" t="n">
        <x:v>688500</x:v>
      </x:c>
      <x:c r="P701" s="503" t="n">
        <x:v>0</x:v>
      </x:c>
      <x:c r="Q701" s="503" t="n">
        <x:v>0</x:v>
      </x:c>
      <x:c r="R701" s="489" t="str"/>
      <x:c r="S701" s="489" t="str">
        <x:v>92030543000170</x:v>
      </x:c>
      <x:c r="T701" s="489" t="str">
        <x:v>VALOR DIVERGENTE / COBERTURA DIFERENTE</x:v>
      </x:c>
      <x:c r="U701" s="489" t="str">
        <x:v>Média</x:v>
      </x:c>
      <x:c r="V701" s="489" t="str">
        <x:v>Candidato de nº: 41160007; validar antes de preencher (Transferegov pode trazer valor total do instrumento); CNPJ candidato na fonte SIGA: 92030543000170</x:v>
      </x:c>
      <x:c r="W701" s="489" t="str">
        <x:v>nº ausente; inferido por coincidência exata de cidade e valor em Transferegov; Município/localidade encontrado em fonte comparável, mas valor não fecha exatamente</x:v>
      </x:c>
      <x:c r="X701" s="489" t="str">
        <x:v>https://discricionarias.transferegov.sistema.gov.br/voluntarias/ConsultarProposta/ResultadoDaConsultaDeConvenioSelecionarConvenio.do?sequencialConvenio=947113&amp;Usr=guest&amp;Pwd=guest</x:v>
      </x:c>
    </x:row>
    <x:row r="702">
      <x:c r="A702" s="502" t="n">
        <x:v>702</x:v>
      </x:c>
      <x:c r="B702" s="502" t="n">
        <x:v>2021</x:v>
      </x:c>
      <x:c r="C702" s="489" t="str">
        <x:v>A definir</x:v>
      </x:c>
      <x:c r="D702" s="489" t="str">
        <x:v>Polícia Civil</x:v>
      </x:c>
      <x:c r="E702" s="489" t="str">
        <x:v>Polícia Civil</x:v>
      </x:c>
      <x:c r="F702" s="489" t="str">
        <x:v>71220009</x:v>
      </x:c>
      <x:c r="G702" s="489" t="str">
        <x:v>71220009-2021</x:v>
      </x:c>
      <x:c r="H702" s="489" t="str">
        <x:v>Informado/corrigido a partir do mapa</x:v>
      </x:c>
      <x:c r="I702" s="503" t="n">
        <x:v>700000</x:v>
      </x:c>
      <x:c r="J702" s="503" t="n">
        <x:v>1355530.33</x:v>
      </x:c>
      <x:c r="K702" s="489" t="str">
        <x:v>Emenda de Bancada</x:v>
      </x:c>
      <x:c r="L702" s="489" t="str">
        <x:v>Indicado</x:v>
      </x:c>
      <x:c r="M702" s="503" t="n">
        <x:v>0</x:v>
      </x:c>
      <x:c r="N702" s="503" t="n">
        <x:v>0</x:v>
      </x:c>
      <x:c r="O702" s="503" t="n">
        <x:v>0</x:v>
      </x:c>
      <x:c r="P702" s="503" t="n">
        <x:v>0</x:v>
      </x:c>
      <x:c r="Q702" s="503" t="n">
        <x:v>0</x:v>
      </x:c>
      <x:c r="R702" s="489" t="str"/>
      <x:c r="S702" s="489" t="str"/>
      <x:c r="T702" s="489" t="str">
        <x:v>EMENDA CONFIRMADA; DESTINO NÃO CONFIRMADO</x:v>
      </x:c>
      <x:c r="U702" s="489" t="str">
        <x:v>Média</x:v>
      </x:c>
      <x:c r="V702" s="489" t="str"/>
      <x:c r="W702" s="489" t="str"/>
      <x:c r="X702" s="489" t="str"/>
    </x:row>
    <x:row r="703">
      <x:c r="A703" s="502" t="n">
        <x:v>703</x:v>
      </x:c>
      <x:c r="B703" s="502" t="n">
        <x:v>2025</x:v>
      </x:c>
      <x:c r="C703" s="489" t="str">
        <x:v>Bento Gonçalves</x:v>
      </x:c>
      <x:c r="D703" s="489" t="str">
        <x:v>Associacao Dr Bartholomeu Tacchini Bento Gonçalves - Rs</x:v>
      </x:c>
      <x:c r="E703" s="489" t="str">
        <x:v>Associacao Dr Bartholomeu Tacchini Bento Gonçalves - Rs</x:v>
      </x:c>
      <x:c r="F703" s="489" t="str">
        <x:v>41160004</x:v>
      </x:c>
      <x:c r="G703" s="489" t="str">
        <x:v>41160004-2025</x:v>
      </x:c>
      <x:c r="H703" s="489" t="str">
        <x:v>Informado/corrigido a partir do mapa</x:v>
      </x:c>
      <x:c r="I703" s="503" t="n">
        <x:v>708199</x:v>
      </x:c>
      <x:c r="J703" s="503" t="n">
        <x:v>708199</x:v>
      </x:c>
      <x:c r="K703" s="489" t="str">
        <x:v>Emenda Individual</x:v>
      </x:c>
      <x:c r="L703" s="489"/>
      <x:c r="M703" s="503" t="n">
        <x:v>0</x:v>
      </x:c>
      <x:c r="N703" s="503" t="n">
        <x:v>708199</x:v>
      </x:c>
      <x:c r="O703" s="503" t="n">
        <x:v>0</x:v>
      </x:c>
      <x:c r="P703" s="503" t="n">
        <x:v>0</x:v>
      </x:c>
      <x:c r="Q703" s="503" t="n">
        <x:v>0</x:v>
      </x:c>
      <x:c r="R703" s="489" t="str"/>
      <x:c r="S703" s="489" t="str"/>
      <x:c r="T703" s="489" t="str">
        <x:v>DESTINO/INSTRUMENTO CONFIRMADO; VALOR NÃO COMPARÁVEL</x:v>
      </x:c>
      <x:c r="U703" s="489" t="str">
        <x:v>Média</x:v>
      </x:c>
      <x:c r="V703" s="489" t="str"/>
      <x:c r="W703" s="489" t="str">
        <x:v>Há instrumento do Transferegov para a emenda/município; valores do instrumento não foram usados como prova do valor da emenda</x:v>
      </x:c>
      <x:c r="X703" s="489" t="str">
        <x:v>https://discricionarias.transferegov.sistema.gov.br/voluntarias/ConsultarProposta/ResultadoDaConsultaDeConvenioSelecionarConvenio.do?sequencialConvenio=985141&amp;Usr=guest&amp;Pwd=guest</x:v>
      </x:c>
    </x:row>
    <x:row r="704">
      <x:c r="A704" s="502" t="n">
        <x:v>704</x:v>
      </x:c>
      <x:c r="B704" s="502" t="n">
        <x:v>2025</x:v>
      </x:c>
      <x:c r="C704" s="489" t="str">
        <x:v>Bento Gonçalves</x:v>
      </x:c>
      <x:c r="D704" s="489" t="str">
        <x:v>Associacao Dr Bartholomeu Tacchini Bento Gonçalves - Rs</x:v>
      </x:c>
      <x:c r="E704" s="489" t="str">
        <x:v>Associacao Dr Bartholomeu Tacchini Bento Gonçalves - Rs</x:v>
      </x:c>
      <x:c r="F704" s="489" t="str">
        <x:v>41160002</x:v>
      </x:c>
      <x:c r="G704" s="489" t="str">
        <x:v>41160002-2025</x:v>
      </x:c>
      <x:c r="H704" s="489" t="str">
        <x:v>Informado/corrigido a partir do mapa</x:v>
      </x:c>
      <x:c r="I704" s="503" t="n">
        <x:v>708199</x:v>
      </x:c>
      <x:c r="J704" s="503" t="n">
        <x:v>858199</x:v>
      </x:c>
      <x:c r="K704" s="489" t="str">
        <x:v>Emenda Individual</x:v>
      </x:c>
      <x:c r="L704" s="489"/>
      <x:c r="M704" s="503" t="n">
        <x:v>150000</x:v>
      </x:c>
      <x:c r="N704" s="503" t="n">
        <x:v>0</x:v>
      </x:c>
      <x:c r="O704" s="503" t="n">
        <x:v>0</x:v>
      </x:c>
      <x:c r="P704" s="503" t="n">
        <x:v>0</x:v>
      </x:c>
      <x:c r="Q704" s="503" t="n">
        <x:v>0</x:v>
      </x:c>
      <x:c r="R704" s="489" t="str"/>
      <x:c r="S704" s="489" t="str">
        <x:v>11436612000148</x:v>
      </x:c>
      <x:c r="T704" s="489" t="str">
        <x:v>VALOR DIVERGENTE / COBERTURA DIFERENTE</x:v>
      </x:c>
      <x:c r="U704" s="489" t="str">
        <x:v>Alta</x:v>
      </x:c>
      <x:c r="V704" s="489" t="str">
        <x:v>Preencher situação: há pagamento identificado na fonte pública</x:v>
      </x:c>
      <x:c r="W704" s="489" t="str">
        <x:v>Município/localidade encontrado em fonte comparável, mas valor não fecha exatamente</x:v>
      </x:c>
      <x:c r="X704" s="489" t="str"/>
    </x:row>
    <x:row r="705">
      <x:c r="A705" s="502" t="n">
        <x:v>705</x:v>
      </x:c>
      <x:c r="B705" s="502" t="n">
        <x:v>2022</x:v>
      </x:c>
      <x:c r="C705" s="489" t="str">
        <x:v>Passo Fundo</x:v>
      </x:c>
      <x:c r="D705" s="489" t="str">
        <x:v>Hospital</x:v>
      </x:c>
      <x:c r="E705" s="489" t="str">
        <x:v>Fundação Hospitalar Oftalmológica Universitária Lions</x:v>
      </x:c>
      <x:c r="F705" s="489" t="str">
        <x:v>41160003</x:v>
      </x:c>
      <x:c r="G705" s="489" t="str">
        <x:v>41160003-2022</x:v>
      </x:c>
      <x:c r="H705" s="489" t="str">
        <x:v>Informado/corrigido a partir do mapa</x:v>
      </x:c>
      <x:c r="I705" s="503" t="n">
        <x:v>720000</x:v>
      </x:c>
      <x:c r="J705" s="503" t="n">
        <x:v>855000</x:v>
      </x:c>
      <x:c r="K705" s="489" t="str">
        <x:v>Emenda Individual </x:v>
      </x:c>
      <x:c r="L705" s="489" t="str">
        <x:v>Recurso pago</x:v>
      </x:c>
      <x:c r="M705" s="503" t="n">
        <x:v>478339.05</x:v>
      </x:c>
      <x:c r="N705" s="503" t="n">
        <x:v>720000</x:v>
      </x:c>
      <x:c r="O705" s="503" t="n">
        <x:v>478339.05</x:v>
      </x:c>
      <x:c r="P705" s="503" t="n">
        <x:v>0</x:v>
      </x:c>
      <x:c r="Q705" s="503" t="n">
        <x:v>0</x:v>
      </x:c>
      <x:c r="R705" s="489" t="str"/>
      <x:c r="S705" s="489" t="str">
        <x:v>00765384000133</x:v>
      </x:c>
      <x:c r="T705" s="489" t="str">
        <x:v>VALOR DIVERGENTE / COBERTURA DIFERENTE</x:v>
      </x:c>
      <x:c r="U705" s="489" t="str">
        <x:v>Alta</x:v>
      </x:c>
      <x:c r="V705" s="489" t="str">
        <x:v>CNPJ candidato na fonte SIGA: 00765384000133</x:v>
      </x:c>
      <x:c r="W705" s="489" t="str">
        <x:v>Município/localidade encontrado em fonte comparável, mas valor não fecha exatamente</x:v>
      </x:c>
      <x:c r="X705" s="489" t="str">
        <x:v>https://discricionarias.transferegov.sistema.gov.br/voluntarias/ConsultarProposta/ResultadoDaConsultaDeConvenioSelecionarConvenio.do?sequencialConvenio=935706&amp;Usr=guest&amp;Pwd=guest</x:v>
      </x:c>
    </x:row>
    <x:row r="706">
      <x:c r="A706" s="502" t="n">
        <x:v>706</x:v>
      </x:c>
      <x:c r="B706" s="502" t="n">
        <x:v>2025</x:v>
      </x:c>
      <x:c r="C706" s="489" t="str">
        <x:v>Estrela</x:v>
      </x:c>
      <x:c r="D706" s="489" t="str">
        <x:v>Sociedade Sulina Divina Providência – Hospital Estrela</x:v>
      </x:c>
      <x:c r="E706" s="489" t="str">
        <x:v>Sociedade Sulina Divina Providência – Hospital Estrela</x:v>
      </x:c>
      <x:c r="F706" s="489" t="str">
        <x:v>41160004</x:v>
      </x:c>
      <x:c r="G706" s="489" t="str">
        <x:v>41160004-2025</x:v>
      </x:c>
      <x:c r="H706" s="489" t="str">
        <x:v>Informado/corrigido a partir do mapa</x:v>
      </x:c>
      <x:c r="I706" s="503" t="n">
        <x:v>750000</x:v>
      </x:c>
      <x:c r="J706" s="503" t="n">
        <x:v>750000</x:v>
      </x:c>
      <x:c r="K706" s="489" t="str">
        <x:v>Emenda Individual</x:v>
      </x:c>
      <x:c r="L706" s="489"/>
      <x:c r="M706" s="503" t="n">
        <x:v>736757.27</x:v>
      </x:c>
      <x:c r="N706" s="503" t="n">
        <x:v>750000</x:v>
      </x:c>
      <x:c r="O706" s="503" t="n">
        <x:v>736757.27</x:v>
      </x:c>
      <x:c r="P706" s="503" t="n">
        <x:v>0</x:v>
      </x:c>
      <x:c r="Q706" s="503" t="n">
        <x:v>0</x:v>
      </x:c>
      <x:c r="R706" s="489" t="str"/>
      <x:c r="S706" s="489" t="str">
        <x:v>87317764001165</x:v>
      </x:c>
      <x:c r="T706" s="489" t="str">
        <x:v>VALOR DIVERGENTE / COBERTURA DIFERENTE</x:v>
      </x:c>
      <x:c r="U706" s="489" t="str">
        <x:v>Média</x:v>
      </x:c>
      <x:c r="V706" s="489" t="str">
        <x:v>Preencher situação: há pagamento identificado na fonte pública</x:v>
      </x:c>
      <x:c r="W706" s="489" t="str">
        <x:v>Município/localidade encontrado em fonte comparável, mas valor não fecha exatamente</x:v>
      </x:c>
      <x:c r="X706" s="489" t="str">
        <x:v>https://discricionarias.transferegov.sistema.gov.br/voluntarias/ConsultarProposta/ResultadoDaConsultaDeConvenioSelecionarConvenio.do?sequencialConvenio=978991&amp;Usr=guest&amp;Pwd=guest</x:v>
      </x:c>
    </x:row>
    <x:row r="707">
      <x:c r="A707" s="502" t="n">
        <x:v>707</x:v>
      </x:c>
      <x:c r="B707" s="502" t="n">
        <x:v>2022</x:v>
      </x:c>
      <x:c r="C707" s="489" t="str">
        <x:v>Porto Alegre</x:v>
      </x:c>
      <x:c r="D707" s="489" t="str">
        <x:v>Hospital</x:v>
      </x:c>
      <x:c r="E707" s="489" t="str">
        <x:v>Hospital São Lucas da PUCRS</x:v>
      </x:c>
      <x:c r="F707" s="489" t="str">
        <x:v>41160003</x:v>
      </x:c>
      <x:c r="G707" s="489" t="str">
        <x:v>41160003-2022</x:v>
      </x:c>
      <x:c r="H707" s="489" t="str">
        <x:v>Informado/corrigido a partir do mapa</x:v>
      </x:c>
      <x:c r="I707" s="503" t="n">
        <x:v>776319</x:v>
      </x:c>
      <x:c r="J707" s="503" t="n">
        <x:v>1845666</x:v>
      </x:c>
      <x:c r="K707" s="489" t="str">
        <x:v>Emenda Individual </x:v>
      </x:c>
      <x:c r="L707" s="489" t="str">
        <x:v>Recurso pago</x:v>
      </x:c>
      <x:c r="M707" s="503" t="n">
        <x:v>1939506.8599999999</x:v>
      </x:c>
      <x:c r="N707" s="503" t="n">
        <x:v>2095666</x:v>
      </x:c>
      <x:c r="O707" s="503" t="n">
        <x:v>1939506.86</x:v>
      </x:c>
      <x:c r="P707" s="503" t="n">
        <x:v>0</x:v>
      </x:c>
      <x:c r="Q707" s="503" t="n">
        <x:v>0</x:v>
      </x:c>
      <x:c r="R707" s="489" t="str"/>
      <x:c r="S707" s="489" t="str">
        <x:v>4 CNPJs na fonte</x:v>
      </x:c>
      <x:c r="T707" s="489" t="str">
        <x:v>VALOR DIVERGENTE / COBERTURA DIFERENTE</x:v>
      </x:c>
      <x:c r="U707" s="489" t="str">
        <x:v>Média</x:v>
      </x:c>
      <x:c r="V707" s="489" t="str"/>
      <x:c r="W707" s="489" t="str">
        <x:v>Município/localidade encontrado em fonte comparável, mas valor não fecha exatamente</x:v>
      </x:c>
      <x:c r="X707" s="489" t="str">
        <x:v>https://discricionarias.transferegov.sistema.gov.br/voluntarias/ConsultarProposta/ResultadoDaConsultaDeConvenioSelecionarConvenio.do?sequencialConvenio=937483&amp;Usr=guest&amp;Pwd=guest | https://discricionarias.transferegov.sistema.gov.br/voluntarias/ConsultarProposta/ResultadoDaConsultaDeConvenioSelecionarConvenio.do?sequencialConvenio=935448&amp;Usr=guest&amp;Pwd=guest</x:v>
      </x:c>
    </x:row>
    <x:row r="708">
      <x:c r="A708" s="502" t="n">
        <x:v>708</x:v>
      </x:c>
      <x:c r="B708" s="502" t="n">
        <x:v>2023</x:v>
      </x:c>
      <x:c r="C708" s="489" t="str">
        <x:v>Nova Petrópolis</x:v>
      </x:c>
      <x:c r="D708" s="489" t="str">
        <x:v>Prefeitura</x:v>
      </x:c>
      <x:c r="E708" s="489" t="str">
        <x:v>Prefeitura de Nova Petrópolis</x:v>
      </x:c>
      <x:c r="F708" s="489" t="str"/>
      <x:c r="G708" s="489" t="str"/>
      <x:c r="H708" s="489" t="str">
        <x:v>Sem nº conciliado</x:v>
      </x:c>
      <x:c r="I708" s="503" t="n">
        <x:v>800000</x:v>
      </x:c>
      <x:c r="J708" s="503" t="n">
        <x:v>800000</x:v>
      </x:c>
      <x:c r="K708" s="489" t="str">
        <x:v>Emenda Individual</x:v>
      </x:c>
      <x:c r="L708" s="489" t="str">
        <x:v>Empenhado</x:v>
      </x:c>
      <x:c r="M708" s="503" t="n">
        <x:v>0</x:v>
      </x:c>
      <x:c r="N708" s="503" t="n">
        <x:v>0</x:v>
      </x:c>
      <x:c r="O708" s="503" t="n">
        <x:v>0</x:v>
      </x:c>
      <x:c r="P708" s="503" t="n">
        <x:v>0</x:v>
      </x:c>
      <x:c r="Q708" s="503" t="n">
        <x:v>0</x:v>
      </x:c>
      <x:c r="R708" s="489" t="str"/>
      <x:c r="S708" s="489" t="str"/>
      <x:c r="T708" s="489" t="str">
        <x:v>SEM Nº / NÃO CONCILIADO</x:v>
      </x:c>
      <x:c r="U708" s="489" t="str">
        <x:v>Média</x:v>
      </x:c>
      <x:c r="V708" s="489" t="str"/>
      <x:c r="W708" s="489" t="str"/>
      <x:c r="X708" s="489" t="str"/>
    </x:row>
    <x:row r="709">
      <x:c r="A709" s="502" t="n">
        <x:v>709</x:v>
      </x:c>
      <x:c r="B709" s="502" t="n">
        <x:v>2024</x:v>
      </x:c>
      <x:c r="C709" s="489" t="str">
        <x:v>Lajeado</x:v>
      </x:c>
      <x:c r="D709" s="489" t="str">
        <x:v>Prefeitura Municipal de Lajeado</x:v>
      </x:c>
      <x:c r="E709" s="489" t="str">
        <x:v>Prefeitura Municipal</x:v>
      </x:c>
      <x:c r="F709" s="489" t="str">
        <x:v>41160001</x:v>
      </x:c>
      <x:c r="G709" s="489" t="str">
        <x:v>41160001-2024</x:v>
      </x:c>
      <x:c r="H709" s="489" t="str">
        <x:v>Informado/corrigido a partir do mapa</x:v>
      </x:c>
      <x:c r="I709" s="503" t="n">
        <x:v>800000</x:v>
      </x:c>
      <x:c r="J709" s="503" t="n">
        <x:v>800000</x:v>
      </x:c>
      <x:c r="K709" s="489" t="str">
        <x:v>Emenda Individual</x:v>
      </x:c>
      <x:c r="L709" s="489"/>
      <x:c r="M709" s="503" t="n">
        <x:v>800000</x:v>
      </x:c>
      <x:c r="N709" s="503" t="n">
        <x:v>0</x:v>
      </x:c>
      <x:c r="O709" s="503" t="n">
        <x:v>0</x:v>
      </x:c>
      <x:c r="P709" s="503" t="n">
        <x:v>0</x:v>
      </x:c>
      <x:c r="Q709" s="503" t="n">
        <x:v>0</x:v>
      </x:c>
      <x:c r="R709" s="489" t="str"/>
      <x:c r="S709" s="489" t="str">
        <x:v>10502833000104</x:v>
      </x:c>
      <x:c r="T709" s="489" t="str">
        <x:v>CONFIRMADO</x:v>
      </x:c>
      <x:c r="U709" s="489" t="str">
        <x:v>Baixa</x:v>
      </x:c>
      <x:c r="V709" s="489" t="str">
        <x:v>Preencher situação: há pagamento identificado na fonte pública; CNPJ candidato na fonte SIGA: 10502833000104</x:v>
      </x:c>
      <x:c r="W709" s="489" t="str">
        <x:v>Valor do grupo fecha com: SIGA pago favorecido</x:v>
      </x:c>
      <x:c r="X709" s="489" t="str"/>
    </x:row>
    <x:row r="710">
      <x:c r="A710" s="502" t="n">
        <x:v>710</x:v>
      </x:c>
      <x:c r="B710" s="502" t="n">
        <x:v>2023</x:v>
      </x:c>
      <x:c r="C710" s="489" t="str">
        <x:v>Sapiranga</x:v>
      </x:c>
      <x:c r="D710" s="489" t="str">
        <x:v>Prefeitura</x:v>
      </x:c>
      <x:c r="E710" s="489" t="str">
        <x:v>Prefeitura de Sapiranga</x:v>
      </x:c>
      <x:c r="F710" s="489" t="str"/>
      <x:c r="G710" s="489" t="str">
        <x:v>41160007-2023</x:v>
      </x:c>
      <x:c r="H710" s="489" t="str">
        <x:v>Inferido forte (SIGA/PIX)</x:v>
      </x:c>
      <x:c r="I710" s="503" t="n">
        <x:v>843316</x:v>
      </x:c>
      <x:c r="J710" s="503" t="n">
        <x:v>843316</x:v>
      </x:c>
      <x:c r="K710" s="489" t="str">
        <x:v>Emenda Individual</x:v>
      </x:c>
      <x:c r="L710" s="489" t="str">
        <x:v>Recurso pago</x:v>
      </x:c>
      <x:c r="M710" s="503" t="n">
        <x:v>843316</x:v>
      </x:c>
      <x:c r="N710" s="503" t="n">
        <x:v>0</x:v>
      </x:c>
      <x:c r="O710" s="503" t="n">
        <x:v>0</x:v>
      </x:c>
      <x:c r="P710" s="503" t="n">
        <x:v>0</x:v>
      </x:c>
      <x:c r="Q710" s="503" t="n">
        <x:v>0</x:v>
      </x:c>
      <x:c r="R710" s="489" t="str"/>
      <x:c r="S710" s="489" t="str">
        <x:v>11295120000180</x:v>
      </x:c>
      <x:c r="T710" s="489" t="str">
        <x:v>CONFIRMADO</x:v>
      </x:c>
      <x:c r="U710" s="489" t="str">
        <x:v>Baixa</x:v>
      </x:c>
      <x:c r="V710" s="489" t="str">
        <x:v>Preencher nº como 41160007 com marcação de inferência (ano+município+valor exatos em SIGA/PIX); CNPJ candidato na fonte SIGA: 11295120000180</x:v>
      </x:c>
      <x:c r="W710" s="489" t="str">
        <x:v>nº ausente; inferido por coincidência exata de cidade e valor em SIGA favorecido; Valor do grupo fecha com: SIGA pago favorecido</x:v>
      </x:c>
      <x:c r="X710" s="489" t="str"/>
    </x:row>
    <x:row r="711">
      <x:c r="A711" s="502" t="n">
        <x:v>711</x:v>
      </x:c>
      <x:c r="B711" s="502" t="n">
        <x:v>2025</x:v>
      </x:c>
      <x:c r="C711" s="489" t="str">
        <x:v>Carazinho</x:v>
      </x:c>
      <x:c r="D711" s="489" t="str">
        <x:v>Hospital De Clinicas De Carazinho Carazinho - Rs</x:v>
      </x:c>
      <x:c r="E711" s="489" t="str">
        <x:v>Hospital De Clinicas De Carazinho Carazinho - Rs</x:v>
      </x:c>
      <x:c r="F711" s="489" t="str">
        <x:v>41160004</x:v>
      </x:c>
      <x:c r="G711" s="489" t="str">
        <x:v>41160004-2025</x:v>
      </x:c>
      <x:c r="H711" s="489" t="str">
        <x:v>Informado/corrigido a partir do mapa</x:v>
      </x:c>
      <x:c r="I711" s="503" t="n">
        <x:v>850000</x:v>
      </x:c>
      <x:c r="J711" s="503" t="n">
        <x:v>850000</x:v>
      </x:c>
      <x:c r="K711" s="489" t="str">
        <x:v>Emenda Individual</x:v>
      </x:c>
      <x:c r="L711" s="489"/>
      <x:c r="M711" s="503" t="n">
        <x:v>0</x:v>
      </x:c>
      <x:c r="N711" s="503" t="n">
        <x:v>850000</x:v>
      </x:c>
      <x:c r="O711" s="503" t="n">
        <x:v>0</x:v>
      </x:c>
      <x:c r="P711" s="503" t="n">
        <x:v>0</x:v>
      </x:c>
      <x:c r="Q711" s="503" t="n">
        <x:v>0</x:v>
      </x:c>
      <x:c r="R711" s="489" t="str"/>
      <x:c r="S711" s="489" t="str"/>
      <x:c r="T711" s="489" t="str">
        <x:v>DESTINO/INSTRUMENTO CONFIRMADO; VALOR NÃO COMPARÁVEL</x:v>
      </x:c>
      <x:c r="U711" s="489" t="str">
        <x:v>Média</x:v>
      </x:c>
      <x:c r="V711" s="489" t="str"/>
      <x:c r="W711" s="489" t="str">
        <x:v>Há instrumento do Transferegov para a emenda/município; valores do instrumento não foram usados como prova do valor da emenda</x:v>
      </x:c>
      <x:c r="X711" s="489" t="str">
        <x:v>https://discricionarias.transferegov.sistema.gov.br/voluntarias/ConsultarProposta/ResultadoDaConsultaDeConvenioSelecionarConvenio.do?sequencialConvenio=979843&amp;Usr=guest&amp;Pwd=guest</x:v>
      </x:c>
    </x:row>
    <x:row r="712">
      <x:c r="A712" s="502" t="n">
        <x:v>712</x:v>
      </x:c>
      <x:c r="B712" s="502" t="n">
        <x:v>2023</x:v>
      </x:c>
      <x:c r="C712" s="489"/>
      <x:c r="D712" s="489"/>
      <x:c r="E712" s="489" t="str">
        <x:v>Incremento Temporário ao Custeio dos Serviços de Atenção Primária</x:v>
      </x:c>
      <x:c r="F712" s="489" t="str">
        <x:v>41160002</x:v>
      </x:c>
      <x:c r="G712" s="489" t="str">
        <x:v>41160002-2023</x:v>
      </x:c>
      <x:c r="H712" s="489" t="str">
        <x:v>Informado/corrigido a partir do mapa</x:v>
      </x:c>
      <x:c r="I712" s="503" t="n">
        <x:v>852450</x:v>
      </x:c>
      <x:c r="J712" s="503" t="n">
        <x:v>852450</x:v>
      </x:c>
      <x:c r="K712" s="489"/>
      <x:c r="L712" s="489"/>
      <x:c r="M712" s="503" t="n">
        <x:v>0</x:v>
      </x:c>
      <x:c r="N712" s="503" t="n">
        <x:v>0</x:v>
      </x:c>
      <x:c r="O712" s="503" t="n">
        <x:v>0</x:v>
      </x:c>
      <x:c r="P712" s="503" t="n">
        <x:v>0</x:v>
      </x:c>
      <x:c r="Q712" s="503" t="n">
        <x:v>0</x:v>
      </x:c>
      <x:c r="R712" s="489" t="str"/>
      <x:c r="S712" s="489" t="str"/>
      <x:c r="T712" s="489" t="str">
        <x:v>EMENDA CONFIRMADA; DESTINO NÃO CONFIRMADO</x:v>
      </x:c>
      <x:c r="U712" s="489" t="str">
        <x:v>Média</x:v>
      </x:c>
      <x:c r="V712" s="489" t="str"/>
      <x:c r="W712" s="489" t="str">
        <x:v>Nº existe no SIGA; destinatário específico não foi confirmado nas bases anexas</x:v>
      </x:c>
      <x:c r="X712" s="489" t="str"/>
    </x:row>
    <x:row r="713">
      <x:c r="A713" s="502" t="n">
        <x:v>713</x:v>
      </x:c>
      <x:c r="B713" s="502" t="n">
        <x:v>2023</x:v>
      </x:c>
      <x:c r="C713" s="489" t="str">
        <x:v>Sarandi</x:v>
      </x:c>
      <x:c r="D713" s="489" t="str">
        <x:v>Hospital</x:v>
      </x:c>
      <x:c r="E713" s="489" t="str">
        <x:v>Hospital Comunitario Sarandi</x:v>
      </x:c>
      <x:c r="F713" s="489" t="str"/>
      <x:c r="G713" s="489" t="str"/>
      <x:c r="H713" s="489" t="str">
        <x:v>Sem nº conciliado</x:v>
      </x:c>
      <x:c r="I713" s="503" t="n">
        <x:v>870000</x:v>
      </x:c>
      <x:c r="J713" s="503" t="n">
        <x:v>870000</x:v>
      </x:c>
      <x:c r="K713" s="489" t="str">
        <x:v>Emenda Individual</x:v>
      </x:c>
      <x:c r="L713" s="489" t="str">
        <x:v>Empenhado</x:v>
      </x:c>
      <x:c r="M713" s="503" t="n">
        <x:v>0</x:v>
      </x:c>
      <x:c r="N713" s="503" t="n">
        <x:v>0</x:v>
      </x:c>
      <x:c r="O713" s="503" t="n">
        <x:v>0</x:v>
      </x:c>
      <x:c r="P713" s="503" t="n">
        <x:v>0</x:v>
      </x:c>
      <x:c r="Q713" s="503" t="n">
        <x:v>0</x:v>
      </x:c>
      <x:c r="R713" s="489" t="str"/>
      <x:c r="S713" s="489" t="str"/>
      <x:c r="T713" s="489" t="str">
        <x:v>SEM Nº / NÃO CONCILIADO</x:v>
      </x:c>
      <x:c r="U713" s="489" t="str">
        <x:v>Média</x:v>
      </x:c>
      <x:c r="V713" s="489" t="str"/>
      <x:c r="W713" s="489" t="str"/>
      <x:c r="X713" s="489" t="str"/>
    </x:row>
    <x:row r="714">
      <x:c r="A714" s="502" t="n">
        <x:v>714</x:v>
      </x:c>
      <x:c r="B714" s="502" t="n">
        <x:v>2021</x:v>
      </x:c>
      <x:c r="C714" s="489" t="str">
        <x:v>Porto Alegre</x:v>
      </x:c>
      <x:c r="D714" s="489" t="str">
        <x:v>Hospital</x:v>
      </x:c>
      <x:c r="E714" s="489" t="str">
        <x:v>Hospital Banco de Olhos de Porto Alegre (Associação de Literatura e Beneficência)</x:v>
      </x:c>
      <x:c r="F714" s="489" t="str">
        <x:v>41160002</x:v>
      </x:c>
      <x:c r="G714" s="489" t="str">
        <x:v>41160002-2021</x:v>
      </x:c>
      <x:c r="H714" s="489" t="str">
        <x:v>Informado/corrigido a partir do mapa</x:v>
      </x:c>
      <x:c r="I714" s="503" t="n">
        <x:v>987650</x:v>
      </x:c>
      <x:c r="J714" s="503" t="n">
        <x:v>1087650</x:v>
      </x:c>
      <x:c r="K714" s="489" t="str">
        <x:v>Emenda individual (processo seletivo)</x:v>
      </x:c>
      <x:c r="L714" s="489" t="str">
        <x:v>Recurso empenhado.Conforme consulta em 23/04/2024, não consta pagamento no Ambiente Parlamentar e o convênio não aparece no Transferegov. Ao menos uma parte do recurso foi paga, porque de acordo com Portal da Transparência existe apenas um saldo de R$ 459.604,88 a ser pago referente à emenda 41160002/2021.</x:v>
      </x:c>
      <x:c r="M714" s="503" t="n">
        <x:v>189677.18</x:v>
      </x:c>
      <x:c r="N714" s="503" t="n">
        <x:v>0</x:v>
      </x:c>
      <x:c r="O714" s="503" t="n">
        <x:v>189677.18</x:v>
      </x:c>
      <x:c r="P714" s="503" t="n">
        <x:v>0</x:v>
      </x:c>
      <x:c r="Q714" s="503" t="n">
        <x:v>0</x:v>
      </x:c>
      <x:c r="R714" s="489" t="str"/>
      <x:c r="S714" s="489" t="str">
        <x:v>04994418000112, 92815000000168</x:v>
      </x:c>
      <x:c r="T714" s="489" t="str">
        <x:v>VALOR DIVERGENTE / COBERTURA DIFERENTE</x:v>
      </x:c>
      <x:c r="U714" s="489" t="str">
        <x:v>Alta</x:v>
      </x:c>
      <x:c r="V714" s="489" t="str">
        <x:v>Situação possivelmente desatualizada: SIGA/execução regionalizada mostra pagamento</x:v>
      </x:c>
      <x:c r="W714" s="489" t="str">
        <x:v>Município/localidade encontrado em fonte comparável, mas valor não fecha exatamente</x:v>
      </x:c>
      <x:c r="X714" s="489" t="str">
        <x:v>https://discricionarias.transferegov.sistema.gov.br/voluntarias/ConsultarProposta/ResultadoDaConsultaDeConvenioSelecionarConvenio.do?sequencialConvenio=915623&amp;Usr=guest&amp;Pwd=guest | https://discricionarias.transferegov.sistema.gov.br/voluntarias/ConsultarProposta/ResultadoDaConsultaDeConvenioSelecionarConvenio.do?sequencialConvenio=914635&amp;Usr=guest&amp;Pwd=guest</x:v>
      </x:c>
    </x:row>
    <x:row r="715">
      <x:c r="A715" s="502" t="n">
        <x:v>715</x:v>
      </x:c>
      <x:c r="B715" s="502" t="n">
        <x:v>2024</x:v>
      </x:c>
      <x:c r="C715" s="489" t="str">
        <x:v>Canoas</x:v>
      </x:c>
      <x:c r="D715" s="489" t="str">
        <x:v>Prefeitura Municipal de Canoas</x:v>
      </x:c>
      <x:c r="E715" s="489" t="str">
        <x:v>Prefeitura Municipal</x:v>
      </x:c>
      <x:c r="F715" s="489" t="str">
        <x:v>41160004</x:v>
      </x:c>
      <x:c r="G715" s="489" t="str">
        <x:v>41160004-2024</x:v>
      </x:c>
      <x:c r="H715" s="489" t="str">
        <x:v>Informado/corrigido a partir do mapa</x:v>
      </x:c>
      <x:c r="I715" s="503" t="n">
        <x:v>999625</x:v>
      </x:c>
      <x:c r="J715" s="503" t="n">
        <x:v>999625</x:v>
      </x:c>
      <x:c r="K715" s="489" t="str">
        <x:v>Emenda Individual</x:v>
      </x:c>
      <x:c r="L715" s="489"/>
      <x:c r="M715" s="503" t="n">
        <x:v>999625</x:v>
      </x:c>
      <x:c r="N715" s="503" t="n">
        <x:v>0</x:v>
      </x:c>
      <x:c r="O715" s="503" t="n">
        <x:v>0</x:v>
      </x:c>
      <x:c r="P715" s="503" t="n">
        <x:v>0</x:v>
      </x:c>
      <x:c r="Q715" s="503" t="n">
        <x:v>0</x:v>
      </x:c>
      <x:c r="R715" s="489" t="str"/>
      <x:c r="S715" s="489" t="str">
        <x:v>11413650000185</x:v>
      </x:c>
      <x:c r="T715" s="489" t="str">
        <x:v>CONFIRMADO</x:v>
      </x:c>
      <x:c r="U715" s="489" t="str">
        <x:v>Baixa</x:v>
      </x:c>
      <x:c r="V715" s="489" t="str">
        <x:v>Preencher situação: há pagamento identificado na fonte pública; CNPJ candidato na fonte SIGA: 11413650000185</x:v>
      </x:c>
      <x:c r="W715" s="489" t="str">
        <x:v>Valor do grupo fecha com: SIGA pago favorecido</x:v>
      </x:c>
      <x:c r="X715" s="489" t="str"/>
    </x:row>
    <x:row r="716">
      <x:c r="A716" s="502" t="n">
        <x:v>716</x:v>
      </x:c>
      <x:c r="B716" s="502" t="n">
        <x:v>2024</x:v>
      </x:c>
      <x:c r="C716" s="489" t="str">
        <x:v>São Leopoldo</x:v>
      </x:c>
      <x:c r="D716" s="489" t="str">
        <x:v>Prefeitura Municipal de São Leopoldo</x:v>
      </x:c>
      <x:c r="E716" s="489" t="str">
        <x:v>Prefeitura Municipal</x:v>
      </x:c>
      <x:c r="F716" s="489" t="str">
        <x:v>41160004</x:v>
      </x:c>
      <x:c r="G716" s="489" t="str">
        <x:v>41160004-2024</x:v>
      </x:c>
      <x:c r="H716" s="489" t="str">
        <x:v>Informado/corrigido a partir do mapa</x:v>
      </x:c>
      <x:c r="I716" s="503" t="n">
        <x:v>999787</x:v>
      </x:c>
      <x:c r="J716" s="503" t="n">
        <x:v>999787</x:v>
      </x:c>
      <x:c r="K716" s="489" t="str">
        <x:v>Emenda Individual</x:v>
      </x:c>
      <x:c r="L716" s="489"/>
      <x:c r="M716" s="503" t="n">
        <x:v>999787</x:v>
      </x:c>
      <x:c r="N716" s="503" t="n">
        <x:v>0</x:v>
      </x:c>
      <x:c r="O716" s="503" t="n">
        <x:v>0</x:v>
      </x:c>
      <x:c r="P716" s="503" t="n">
        <x:v>0</x:v>
      </x:c>
      <x:c r="Q716" s="503" t="n">
        <x:v>0</x:v>
      </x:c>
      <x:c r="R716" s="489" t="str"/>
      <x:c r="S716" s="489" t="str">
        <x:v>12625868000166</x:v>
      </x:c>
      <x:c r="T716" s="489" t="str">
        <x:v>CONFIRMADO</x:v>
      </x:c>
      <x:c r="U716" s="489" t="str">
        <x:v>Baixa</x:v>
      </x:c>
      <x:c r="V716" s="489" t="str">
        <x:v>Preencher situação: há pagamento identificado na fonte pública; CNPJ candidato na fonte SIGA: 12625868000166</x:v>
      </x:c>
      <x:c r="W716" s="489" t="str">
        <x:v>Valor do grupo fecha com: SIGA pago favorecido</x:v>
      </x:c>
      <x:c r="X716" s="489" t="str"/>
    </x:row>
    <x:row r="717">
      <x:c r="A717" s="502" t="n">
        <x:v>717</x:v>
      </x:c>
      <x:c r="B717" s="502" t="n">
        <x:v>2021</x:v>
      </x:c>
      <x:c r="C717" s="489" t="str">
        <x:v>Bento Gonçalves</x:v>
      </x:c>
      <x:c r="D717" s="489" t="str">
        <x:v>Hospital Municipal</x:v>
      </x:c>
      <x:c r="E717" s="489" t="str">
        <x:v>Complexo Hospitalar de Bento Gonçalves</x:v>
      </x:c>
      <x:c r="F717" s="489" t="str">
        <x:v>41160003</x:v>
      </x:c>
      <x:c r="G717" s="489" t="str">
        <x:v>41160003-2021</x:v>
      </x:c>
      <x:c r="H717" s="489" t="str">
        <x:v>Informado/corrigido a partir do mapa</x:v>
      </x:c>
      <x:c r="I717" s="503" t="n">
        <x:v>1000000</x:v>
      </x:c>
      <x:c r="J717" s="503" t="n">
        <x:v>1000000</x:v>
      </x:c>
      <x:c r="K717" s="489" t="str">
        <x:v>Emenda individual (processo seletivo)</x:v>
      </x:c>
      <x:c r="L717" s="489" t="str">
        <x:v>Recurso pago</x:v>
      </x:c>
      <x:c r="M717" s="503" t="n">
        <x:v>1000000</x:v>
      </x:c>
      <x:c r="N717" s="503" t="n">
        <x:v>0</x:v>
      </x:c>
      <x:c r="O717" s="503" t="n">
        <x:v>0</x:v>
      </x:c>
      <x:c r="P717" s="503" t="n">
        <x:v>0</x:v>
      </x:c>
      <x:c r="Q717" s="503" t="n">
        <x:v>0</x:v>
      </x:c>
      <x:c r="R717" s="489" t="str"/>
      <x:c r="S717" s="489" t="str">
        <x:v>11436612000148</x:v>
      </x:c>
      <x:c r="T717" s="489" t="str">
        <x:v>CONFIRMADO</x:v>
      </x:c>
      <x:c r="U717" s="489" t="str">
        <x:v>Baixa</x:v>
      </x:c>
      <x:c r="V717" s="489" t="str">
        <x:v>CNPJ candidato na fonte SIGA: 11436612000148</x:v>
      </x:c>
      <x:c r="W717" s="489" t="str">
        <x:v>Valor do grupo fecha com: SIGA pago favorecido</x:v>
      </x:c>
      <x:c r="X717" s="489" t="str"/>
    </x:row>
    <x:row r="718">
      <x:c r="A718" s="502" t="n">
        <x:v>718</x:v>
      </x:c>
      <x:c r="B718" s="502" t="n">
        <x:v>2021</x:v>
      </x:c>
      <x:c r="C718" s="489" t="str">
        <x:v>Vários municípios</x:v>
      </x:c>
      <x:c r="D718" s="489" t="str">
        <x:v>Brigada Militar</x:v>
      </x:c>
      <x:c r="E718" s="489" t="str">
        <x:v>Unidade da Brigada Militar a ser definida</x:v>
      </x:c>
      <x:c r="F718" s="489" t="str">
        <x:v>41160001</x:v>
      </x:c>
      <x:c r="G718" s="489" t="str">
        <x:v>41160001-2021</x:v>
      </x:c>
      <x:c r="H718" s="489" t="str">
        <x:v>Informado/corrigido a partir do mapa</x:v>
      </x:c>
      <x:c r="I718" s="503" t="n">
        <x:v>1000000</x:v>
      </x:c>
      <x:c r="J718" s="503" t="n">
        <x:v>1000000</x:v>
      </x:c>
      <x:c r="K718" s="489" t="str">
        <x:v>Emenda individual</x:v>
      </x:c>
      <x:c r="L718" s="489" t="str">
        <x:v>Indicado</x:v>
      </x:c>
      <x:c r="M718" s="503" t="n">
        <x:v>0</x:v>
      </x:c>
      <x:c r="N718" s="503" t="n">
        <x:v>0</x:v>
      </x:c>
      <x:c r="O718" s="503" t="n">
        <x:v>0</x:v>
      </x:c>
      <x:c r="P718" s="503" t="n">
        <x:v>0</x:v>
      </x:c>
      <x:c r="Q718" s="503" t="n">
        <x:v>0</x:v>
      </x:c>
      <x:c r="R718" s="489" t="str"/>
      <x:c r="S718" s="489" t="str"/>
      <x:c r="T718" s="489" t="str">
        <x:v>EMENDA CONFIRMADA; DESTINO NÃO CONFIRMADO</x:v>
      </x:c>
      <x:c r="U718" s="489" t="str">
        <x:v>Média</x:v>
      </x:c>
      <x:c r="V718" s="489" t="str"/>
      <x:c r="W718" s="489" t="str">
        <x:v>Nº existe no SIGA; destinatário específico não foi confirmado nas bases anexas</x:v>
      </x:c>
      <x:c r="X718" s="489" t="str"/>
    </x:row>
    <x:row r="719">
      <x:c r="A719" s="502" t="n">
        <x:v>719</x:v>
      </x:c>
      <x:c r="B719" s="502" t="n">
        <x:v>2022</x:v>
      </x:c>
      <x:c r="C719" s="489" t="str">
        <x:v>Novo Hamburgo</x:v>
      </x:c>
      <x:c r="D719" s="489"/>
      <x:c r="E719" s="489" t="str">
        <x:v>Fundo Municipal de Saúde</x:v>
      </x:c>
      <x:c r="F719" s="489" t="str">
        <x:v>41160003</x:v>
      </x:c>
      <x:c r="G719" s="489" t="str">
        <x:v>41160003-2022</x:v>
      </x:c>
      <x:c r="H719" s="489" t="str">
        <x:v>Informado/corrigido a partir do mapa</x:v>
      </x:c>
      <x:c r="I719" s="503" t="n">
        <x:v>1000000</x:v>
      </x:c>
      <x:c r="J719" s="503" t="n">
        <x:v>1000000</x:v>
      </x:c>
      <x:c r="K719" s="489" t="str">
        <x:v>Emenda Individual </x:v>
      </x:c>
      <x:c r="L719" s="489" t="str">
        <x:v>Recurso pago</x:v>
      </x:c>
      <x:c r="M719" s="503" t="n">
        <x:v>1000000</x:v>
      </x:c>
      <x:c r="N719" s="503" t="n">
        <x:v>0</x:v>
      </x:c>
      <x:c r="O719" s="503" t="n">
        <x:v>0</x:v>
      </x:c>
      <x:c r="P719" s="503" t="n">
        <x:v>0</x:v>
      </x:c>
      <x:c r="Q719" s="503" t="n">
        <x:v>0</x:v>
      </x:c>
      <x:c r="R719" s="489" t="str"/>
      <x:c r="S719" s="489" t="str">
        <x:v>11416036000177</x:v>
      </x:c>
      <x:c r="T719" s="489" t="str">
        <x:v>CONFIRMADO</x:v>
      </x:c>
      <x:c r="U719" s="489" t="str">
        <x:v>Baixa</x:v>
      </x:c>
      <x:c r="V719" s="489" t="str">
        <x:v>CNPJ candidato na fonte SIGA: 11416036000177</x:v>
      </x:c>
      <x:c r="W719" s="489" t="str">
        <x:v>Valor do grupo fecha com: SIGA pago favorecido</x:v>
      </x:c>
      <x:c r="X719" s="489" t="str"/>
    </x:row>
    <x:row r="720">
      <x:c r="A720" s="502" t="n">
        <x:v>720</x:v>
      </x:c>
      <x:c r="B720" s="502" t="n">
        <x:v>2022</x:v>
      </x:c>
      <x:c r="C720" s="489" t="str">
        <x:v>Porto Alegre</x:v>
      </x:c>
      <x:c r="D720" s="489"/>
      <x:c r="E720" s="489" t="str">
        <x:v>BR 448</x:v>
      </x:c>
      <x:c r="F720" s="489" t="str"/>
      <x:c r="G720" s="489" t="str"/>
      <x:c r="H720" s="489" t="str">
        <x:v>Sem nº conciliado</x:v>
      </x:c>
      <x:c r="I720" s="503" t="n">
        <x:v>1000000</x:v>
      </x:c>
      <x:c r="J720" s="503" t="n">
        <x:v>1250000</x:v>
      </x:c>
      <x:c r="K720" s="489" t="str">
        <x:v>Emenda de bancada</x:v>
      </x:c>
      <x:c r="L720" s="489" t="str">
        <x:v>Indicado</x:v>
      </x:c>
      <x:c r="M720" s="503" t="n">
        <x:v>0</x:v>
      </x:c>
      <x:c r="N720" s="503" t="n">
        <x:v>0</x:v>
      </x:c>
      <x:c r="O720" s="503" t="n">
        <x:v>0</x:v>
      </x:c>
      <x:c r="P720" s="503" t="n">
        <x:v>0</x:v>
      </x:c>
      <x:c r="Q720" s="503" t="n">
        <x:v>0</x:v>
      </x:c>
      <x:c r="R720" s="489" t="str"/>
      <x:c r="S720" s="489" t="str"/>
      <x:c r="T720" s="489" t="str">
        <x:v>SEM Nº / NÃO CONCILIADO</x:v>
      </x:c>
      <x:c r="U720" s="489" t="str">
        <x:v>Média</x:v>
      </x:c>
      <x:c r="V720" s="489" t="str"/>
      <x:c r="W720" s="489" t="str"/>
      <x:c r="X720" s="489" t="str"/>
    </x:row>
    <x:row r="721">
      <x:c r="A721" s="502" t="n">
        <x:v>721</x:v>
      </x:c>
      <x:c r="B721" s="502" t="n">
        <x:v>2023</x:v>
      </x:c>
      <x:c r="C721" s="489" t="str">
        <x:v>Dois Irmãos</x:v>
      </x:c>
      <x:c r="D721" s="489" t="str">
        <x:v>Prefeitura</x:v>
      </x:c>
      <x:c r="E721" s="489" t="str">
        <x:v>Prefeitura de Dois Irmãos</x:v>
      </x:c>
      <x:c r="F721" s="489" t="str"/>
      <x:c r="G721" s="489" t="str"/>
      <x:c r="H721" s="489" t="str">
        <x:v>Sem nº conciliado</x:v>
      </x:c>
      <x:c r="I721" s="503" t="n">
        <x:v>1000000</x:v>
      </x:c>
      <x:c r="J721" s="503" t="n">
        <x:v>1309500</x:v>
      </x:c>
      <x:c r="K721" s="489" t="str">
        <x:v>Emenda Individual</x:v>
      </x:c>
      <x:c r="L721" s="489" t="str">
        <x:v>Empenhado</x:v>
      </x:c>
      <x:c r="M721" s="503" t="n">
        <x:v>0</x:v>
      </x:c>
      <x:c r="N721" s="503" t="n">
        <x:v>0</x:v>
      </x:c>
      <x:c r="O721" s="503" t="n">
        <x:v>0</x:v>
      </x:c>
      <x:c r="P721" s="503" t="n">
        <x:v>0</x:v>
      </x:c>
      <x:c r="Q721" s="503" t="n">
        <x:v>0</x:v>
      </x:c>
      <x:c r="R721" s="489" t="str"/>
      <x:c r="S721" s="489" t="str"/>
      <x:c r="T721" s="489" t="str">
        <x:v>SEM Nº / NÃO CONCILIADO</x:v>
      </x:c>
      <x:c r="U721" s="489" t="str">
        <x:v>Média</x:v>
      </x:c>
      <x:c r="V721" s="489" t="str"/>
      <x:c r="W721" s="489" t="str"/>
      <x:c r="X721" s="489" t="str"/>
    </x:row>
    <x:row r="722">
      <x:c r="A722" s="502" t="n">
        <x:v>722</x:v>
      </x:c>
      <x:c r="B722" s="502" t="n">
        <x:v>2023</x:v>
      </x:c>
      <x:c r="C722" s="489" t="str">
        <x:v>Campinas do Sul</x:v>
      </x:c>
      <x:c r="D722" s="489" t="str">
        <x:v>Prefeitura de Campinas do Sul</x:v>
      </x:c>
      <x:c r="E722" s="489" t="str">
        <x:v>Asfaltamento da Rodovia ERS-483 no trecho de Cruzaltense até Três Palmeiras via Entre Rios do Sul/RS ao Norte Gaúcho</x:v>
      </x:c>
      <x:c r="F722" s="489" t="str"/>
      <x:c r="G722" s="489" t="str"/>
      <x:c r="H722" s="489" t="str">
        <x:v>Sem nº conciliado</x:v>
      </x:c>
      <x:c r="I722" s="503" t="n">
        <x:v>1000000</x:v>
      </x:c>
      <x:c r="J722" s="503" t="n">
        <x:v>1500000</x:v>
      </x:c>
      <x:c r="K722" s="489" t="str">
        <x:v>Emenda bancada</x:v>
      </x:c>
      <x:c r="L722" s="489" t="str">
        <x:v>Empenhado</x:v>
      </x:c>
      <x:c r="M722" s="503" t="n">
        <x:v>0</x:v>
      </x:c>
      <x:c r="N722" s="503" t="n">
        <x:v>0</x:v>
      </x:c>
      <x:c r="O722" s="503" t="n">
        <x:v>0</x:v>
      </x:c>
      <x:c r="P722" s="503" t="n">
        <x:v>0</x:v>
      </x:c>
      <x:c r="Q722" s="503" t="n">
        <x:v>0</x:v>
      </x:c>
      <x:c r="R722" s="489" t="str"/>
      <x:c r="S722" s="489" t="str"/>
      <x:c r="T722" s="489" t="str">
        <x:v>SEM Nº / NÃO CONCILIADO</x:v>
      </x:c>
      <x:c r="U722" s="489" t="str">
        <x:v>Média</x:v>
      </x:c>
      <x:c r="V722" s="489" t="str"/>
      <x:c r="W722" s="489" t="str"/>
      <x:c r="X722" s="489" t="str"/>
    </x:row>
    <x:row r="723">
      <x:c r="A723" s="502" t="n">
        <x:v>723</x:v>
      </x:c>
      <x:c r="B723" s="502" t="n">
        <x:v>2023</x:v>
      </x:c>
      <x:c r="C723" s="489" t="str">
        <x:v>Encantado</x:v>
      </x:c>
      <x:c r="D723" s="489" t="str">
        <x:v>Prefeitura de Encantado</x:v>
      </x:c>
      <x:c r="E723" s="489" t="str">
        <x:v>Obras de infraestrutura de turismo no entorno do Cristo Protetor de Encantado</x:v>
      </x:c>
      <x:c r="F723" s="489" t="str"/>
      <x:c r="G723" s="489" t="str"/>
      <x:c r="H723" s="489" t="str">
        <x:v>Sem nº conciliado</x:v>
      </x:c>
      <x:c r="I723" s="503" t="n">
        <x:v>1000000</x:v>
      </x:c>
      <x:c r="J723" s="503" t="n">
        <x:v>1192000</x:v>
      </x:c>
      <x:c r="K723" s="489" t="str">
        <x:v>Emenda bancada</x:v>
      </x:c>
      <x:c r="L723" s="489" t="str">
        <x:v>Empenhado</x:v>
      </x:c>
      <x:c r="M723" s="503" t="n">
        <x:v>0</x:v>
      </x:c>
      <x:c r="N723" s="503" t="n">
        <x:v>0</x:v>
      </x:c>
      <x:c r="O723" s="503" t="n">
        <x:v>0</x:v>
      </x:c>
      <x:c r="P723" s="503" t="n">
        <x:v>0</x:v>
      </x:c>
      <x:c r="Q723" s="503" t="n">
        <x:v>0</x:v>
      </x:c>
      <x:c r="R723" s="489" t="str"/>
      <x:c r="S723" s="489" t="str"/>
      <x:c r="T723" s="489" t="str">
        <x:v>SEM Nº / NÃO CONCILIADO</x:v>
      </x:c>
      <x:c r="U723" s="489" t="str">
        <x:v>Média</x:v>
      </x:c>
      <x:c r="V723" s="489" t="str"/>
      <x:c r="W723" s="489" t="str"/>
      <x:c r="X723" s="489" t="str"/>
    </x:row>
    <x:row r="724">
      <x:c r="A724" s="502" t="n">
        <x:v>724</x:v>
      </x:c>
      <x:c r="B724" s="502" t="n">
        <x:v>2023</x:v>
      </x:c>
      <x:c r="C724" s="489" t="str">
        <x:v>Ijuí</x:v>
      </x:c>
      <x:c r="D724" s="489" t="str">
        <x:v>Prefeitura de Ijuí</x:v>
      </x:c>
      <x:c r="E724" s="489" t="str">
        <x:v>Construção de vias paralelas na BR 285, na extensão de 9 km em Ijui / RS</x:v>
      </x:c>
      <x:c r="F724" s="489" t="str"/>
      <x:c r="G724" s="489" t="str"/>
      <x:c r="H724" s="489" t="str">
        <x:v>Sem nº conciliado</x:v>
      </x:c>
      <x:c r="I724" s="503" t="n">
        <x:v>1000000</x:v>
      </x:c>
      <x:c r="J724" s="503" t="n">
        <x:v>1000000</x:v>
      </x:c>
      <x:c r="K724" s="489" t="str">
        <x:v>Emenda bancada</x:v>
      </x:c>
      <x:c r="L724" s="489" t="str">
        <x:v>Empenhado</x:v>
      </x:c>
      <x:c r="M724" s="503" t="n">
        <x:v>0</x:v>
      </x:c>
      <x:c r="N724" s="503" t="n">
        <x:v>0</x:v>
      </x:c>
      <x:c r="O724" s="503" t="n">
        <x:v>0</x:v>
      </x:c>
      <x:c r="P724" s="503" t="n">
        <x:v>0</x:v>
      </x:c>
      <x:c r="Q724" s="503" t="n">
        <x:v>0</x:v>
      </x:c>
      <x:c r="R724" s="489" t="str"/>
      <x:c r="S724" s="489" t="str"/>
      <x:c r="T724" s="489" t="str">
        <x:v>SEM Nº / NÃO CONCILIADO</x:v>
      </x:c>
      <x:c r="U724" s="489" t="str">
        <x:v>Média</x:v>
      </x:c>
      <x:c r="V724" s="489" t="str"/>
      <x:c r="W724" s="489" t="str"/>
      <x:c r="X724" s="489" t="str"/>
    </x:row>
    <x:row r="725">
      <x:c r="A725" s="502" t="n">
        <x:v>725</x:v>
      </x:c>
      <x:c r="B725" s="502" t="n">
        <x:v>2023</x:v>
      </x:c>
      <x:c r="C725" s="489" t="str">
        <x:v>Porto Alegre - Novo Hamburgo</x:v>
      </x:c>
      <x:c r="D725" s="489"/>
      <x:c r="E725" s="489" t="str">
        <x:v>BR-116 Norte - Trecho Porto AlegreNovo Hamburgo</x:v>
      </x:c>
      <x:c r="F725" s="489" t="str"/>
      <x:c r="G725" s="489" t="str"/>
      <x:c r="H725" s="489" t="str">
        <x:v>Sem nº conciliado</x:v>
      </x:c>
      <x:c r="I725" s="503" t="n">
        <x:v>1000000</x:v>
      </x:c>
      <x:c r="J725" s="503" t="n">
        <x:v>1000000</x:v>
      </x:c>
      <x:c r="K725" s="489" t="str">
        <x:v>Emenda bancada</x:v>
      </x:c>
      <x:c r="L725" s="489" t="str">
        <x:v>Indicado</x:v>
      </x:c>
      <x:c r="M725" s="503" t="n">
        <x:v>0</x:v>
      </x:c>
      <x:c r="N725" s="503" t="n">
        <x:v>0</x:v>
      </x:c>
      <x:c r="O725" s="503" t="n">
        <x:v>0</x:v>
      </x:c>
      <x:c r="P725" s="503" t="n">
        <x:v>0</x:v>
      </x:c>
      <x:c r="Q725" s="503" t="n">
        <x:v>0</x:v>
      </x:c>
      <x:c r="R725" s="489" t="str"/>
      <x:c r="S725" s="489" t="str"/>
      <x:c r="T725" s="489" t="str">
        <x:v>SEM Nº / NÃO CONCILIADO</x:v>
      </x:c>
      <x:c r="U725" s="489" t="str">
        <x:v>Média</x:v>
      </x:c>
      <x:c r="V725" s="489" t="str"/>
      <x:c r="W725" s="489" t="str"/>
      <x:c r="X725" s="489" t="str"/>
    </x:row>
    <x:row r="726">
      <x:c r="A726" s="502" t="n">
        <x:v>726</x:v>
      </x:c>
      <x:c r="B726" s="502" t="n">
        <x:v>2024</x:v>
      </x:c>
      <x:c r="C726" s="489" t="str">
        <x:v>Porto Alegre</x:v>
      </x:c>
      <x:c r="D726" s="489" t="str">
        <x:v>Prefeitura Municipal de Porto Alegre</x:v>
      </x:c>
      <x:c r="E726" s="489" t="str">
        <x:v>Prefeitura Municipal</x:v>
      </x:c>
      <x:c r="F726" s="489" t="str">
        <x:v>41160001</x:v>
      </x:c>
      <x:c r="G726" s="489" t="str">
        <x:v>41160001-2024</x:v>
      </x:c>
      <x:c r="H726" s="489" t="str">
        <x:v>Informado/corrigido a partir do mapa</x:v>
      </x:c>
      <x:c r="I726" s="503" t="n">
        <x:v>1000000</x:v>
      </x:c>
      <x:c r="J726" s="503" t="n">
        <x:v>1000000</x:v>
      </x:c>
      <x:c r="K726" s="489" t="str">
        <x:v>Emenda Individual</x:v>
      </x:c>
      <x:c r="L726" s="489"/>
      <x:c r="M726" s="503" t="n">
        <x:v>1000000</x:v>
      </x:c>
      <x:c r="N726" s="503" t="n">
        <x:v>0</x:v>
      </x:c>
      <x:c r="O726" s="503" t="n">
        <x:v>0</x:v>
      </x:c>
      <x:c r="P726" s="503" t="n">
        <x:v>0</x:v>
      </x:c>
      <x:c r="Q726" s="503" t="n">
        <x:v>0</x:v>
      </x:c>
      <x:c r="R726" s="489" t="str"/>
      <x:c r="S726" s="489" t="str">
        <x:v>11358235000176</x:v>
      </x:c>
      <x:c r="T726" s="489" t="str">
        <x:v>CONFIRMADO</x:v>
      </x:c>
      <x:c r="U726" s="489" t="str">
        <x:v>Baixa</x:v>
      </x:c>
      <x:c r="V726" s="489" t="str">
        <x:v>Preencher situação: há pagamento identificado na fonte pública; CNPJ candidato na fonte SIGA: 11358235000176</x:v>
      </x:c>
      <x:c r="W726" s="489" t="str">
        <x:v>Valor do grupo fecha com: SIGA pago favorecido</x:v>
      </x:c>
      <x:c r="X726" s="489" t="str"/>
    </x:row>
    <x:row r="727">
      <x:c r="A727" s="502" t="n">
        <x:v>727</x:v>
      </x:c>
      <x:c r="B727" s="502" t="n">
        <x:v>2025</x:v>
      </x:c>
      <x:c r="C727" s="489" t="str">
        <x:v>Caxias do Sul</x:v>
      </x:c>
      <x:c r="D727" s="489" t="str">
        <x:v>Municipio De Caxias Do Sul Caxias Do Sul - Rs</x:v>
      </x:c>
      <x:c r="E727" s="489" t="str">
        <x:v>Prefeitura Municipal</x:v>
      </x:c>
      <x:c r="F727" s="489" t="str">
        <x:v>41160005</x:v>
      </x:c>
      <x:c r="G727" s="489" t="str">
        <x:v>41160005-2025</x:v>
      </x:c>
      <x:c r="H727" s="489" t="str">
        <x:v>Informado/corrigido a partir do mapa</x:v>
      </x:c>
      <x:c r="I727" s="503" t="n">
        <x:v>1000000</x:v>
      </x:c>
      <x:c r="J727" s="503" t="n">
        <x:v>1000000</x:v>
      </x:c>
      <x:c r="K727" s="489" t="str">
        <x:v>Emenda Individual</x:v>
      </x:c>
      <x:c r="L727" s="489"/>
      <x:c r="M727" s="503" t="n">
        <x:v>0</x:v>
      </x:c>
      <x:c r="N727" s="503" t="n">
        <x:v>960019</x:v>
      </x:c>
      <x:c r="O727" s="503" t="n">
        <x:v>0</x:v>
      </x:c>
      <x:c r="P727" s="503" t="n">
        <x:v>0</x:v>
      </x:c>
      <x:c r="Q727" s="503" t="n">
        <x:v>0</x:v>
      </x:c>
      <x:c r="R727" s="489" t="str"/>
      <x:c r="S727" s="489" t="str"/>
      <x:c r="T727" s="489" t="str">
        <x:v>DESTINO/INSTRUMENTO CONFIRMADO; VALOR NÃO COMPARÁVEL</x:v>
      </x:c>
      <x:c r="U727" s="489" t="str">
        <x:v>Média</x:v>
      </x:c>
      <x:c r="V727" s="489" t="str"/>
      <x:c r="W727" s="489" t="str">
        <x:v>Há instrumento do Transferegov para a emenda/município; valores do instrumento não foram usados como prova do valor da emenda</x:v>
      </x:c>
      <x:c r="X727" s="489" t="str">
        <x:v>https://discricionarias.transferegov.sistema.gov.br/voluntarias/ConsultarProposta/ResultadoDaConsultaDeConvenioSelecionarConvenio.do?sequencialConvenio=976542&amp;Usr=guest&amp;Pwd=guest</x:v>
      </x:c>
    </x:row>
    <x:row r="728">
      <x:c r="A728" s="502" t="n">
        <x:v>728</x:v>
      </x:c>
      <x:c r="B728" s="502" t="n">
        <x:v>2025</x:v>
      </x:c>
      <x:c r="C728" s="489" t="str">
        <x:v>Porto Alegre</x:v>
      </x:c>
      <x:c r="D728" s="489" t="str">
        <x:v>Municipio De Porto Alegre Porto Alegre - Rs</x:v>
      </x:c>
      <x:c r="E728" s="489" t="str">
        <x:v>Prefeitura Municipal</x:v>
      </x:c>
      <x:c r="F728" s="489" t="str">
        <x:v>41160008</x:v>
      </x:c>
      <x:c r="G728" s="489" t="str">
        <x:v>41160008-2025</x:v>
      </x:c>
      <x:c r="H728" s="489" t="str">
        <x:v>Informado/corrigido a partir do mapa</x:v>
      </x:c>
      <x:c r="I728" s="503" t="n">
        <x:v>1000000</x:v>
      </x:c>
      <x:c r="J728" s="503" t="n">
        <x:v>1000000</x:v>
      </x:c>
      <x:c r="K728" s="489" t="str">
        <x:v>Emenda Individual</x:v>
      </x:c>
      <x:c r="L728" s="489"/>
      <x:c r="M728" s="503" t="n">
        <x:v>990000</x:v>
      </x:c>
      <x:c r="N728" s="503" t="n">
        <x:v>0</x:v>
      </x:c>
      <x:c r="O728" s="503" t="n">
        <x:v>0</x:v>
      </x:c>
      <x:c r="P728" s="503" t="n">
        <x:v>990000</x:v>
      </x:c>
      <x:c r="Q728" s="503" t="n">
        <x:v>0</x:v>
      </x:c>
      <x:c r="R728" s="489" t="str">
        <x:v>CIENTE</x:v>
      </x:c>
      <x:c r="S728" s="489" t="str">
        <x:v>92963560000160</x:v>
      </x:c>
      <x:c r="T728" s="489" t="str">
        <x:v>VALOR DIVERGENTE / COBERTURA DIFERENTE</x:v>
      </x:c>
      <x:c r="U728" s="489" t="str">
        <x:v>Média</x:v>
      </x:c>
      <x:c r="V728" s="489" t="str">
        <x:v>Revisar valor do grupo: PIX atual registra R$ 990,000.00; Atualizar situação com status do plano PIX: CIENTE (não equivale a pagamento)</x:v>
      </x:c>
      <x:c r="W728" s="489" t="str">
        <x:v>Município/localidade encontrado em fonte comparável, mas valor não fecha exatamente</x:v>
      </x:c>
      <x:c r="X728" s="489" t="str">
        <x:v>https://especiais.transferegov.sistema.gov.br/transferencia-especial/plano-acao/detalhe/83990/dados-basicos</x:v>
      </x:c>
    </x:row>
    <x:row r="729">
      <x:c r="A729" s="502" t="n">
        <x:v>729</x:v>
      </x:c>
      <x:c r="B729" s="502" t="n">
        <x:v>2026</x:v>
      </x:c>
      <x:c r="C729" s="489" t="str">
        <x:v>Porto Alegre</x:v>
      </x:c>
      <x:c r="D729" s="489" t="str">
        <x:v>Porto Alegre</x:v>
      </x:c>
      <x:c r="E729" s="489" t="str">
        <x:v>Municipio de Porto Alegre</x:v>
      </x:c>
      <x:c r="F729" s="489" t="str">
        <x:v>41160008</x:v>
      </x:c>
      <x:c r="G729" s="489" t="str">
        <x:v>41160008-2026</x:v>
      </x:c>
      <x:c r="H729" s="489" t="str">
        <x:v>Informado/corrigido a partir do mapa</x:v>
      </x:c>
      <x:c r="I729" s="503" t="n">
        <x:v>1000000</x:v>
      </x:c>
      <x:c r="J729" s="503" t="n">
        <x:v>1000000</x:v>
      </x:c>
      <x:c r="K729" s="489" t="str">
        <x:v>Emenda individual</x:v>
      </x:c>
      <x:c r="L729" s="489"/>
      <x:c r="M729" s="503" t="n">
        <x:v>995000</x:v>
      </x:c>
      <x:c r="N729" s="503" t="n">
        <x:v>0</x:v>
      </x:c>
      <x:c r="O729" s="503" t="n">
        <x:v>0</x:v>
      </x:c>
      <x:c r="P729" s="503" t="n">
        <x:v>995000</x:v>
      </x:c>
      <x:c r="Q729" s="503" t="n">
        <x:v>0</x:v>
      </x:c>
      <x:c r="R729" s="489" t="str">
        <x:v>CIENTE</x:v>
      </x:c>
      <x:c r="S729" s="489" t="str">
        <x:v>92963560000160</x:v>
      </x:c>
      <x:c r="T729" s="489" t="str">
        <x:v>VALOR DIVERGENTE / COBERTURA DIFERENTE</x:v>
      </x:c>
      <x:c r="U729" s="489" t="str">
        <x:v>Média</x:v>
      </x:c>
      <x:c r="V729" s="489" t="str">
        <x:v>Revisar valor do grupo: PIX atual registra R$ 995,000.00; Atualizar situação com status do plano PIX: CIENTE (não equivale a pagamento)</x:v>
      </x:c>
      <x:c r="W729" s="489" t="str">
        <x:v>Município/localidade encontrado em fonte comparável, mas valor não fecha exatamente</x:v>
      </x:c>
      <x:c r="X729" s="489" t="str">
        <x:v>https://especiais.transferegov.sistema.gov.br/transferencia-especial/plano-acao/detalhe/96516/dados-basicos</x:v>
      </x:c>
    </x:row>
    <x:row r="730">
      <x:c r="A730" s="502" t="n">
        <x:v>730</x:v>
      </x:c>
      <x:c r="B730" s="502" t="n">
        <x:v>2024</x:v>
      </x:c>
      <x:c r="C730" s="489" t="str">
        <x:v>Morro Reuter</x:v>
      </x:c>
      <x:c r="D730" s="489" t="str">
        <x:v>Prefeitura Municipal de Morro Reuter</x:v>
      </x:c>
      <x:c r="E730" s="489" t="str">
        <x:v>Prefeitura Municipal</x:v>
      </x:c>
      <x:c r="F730" s="489" t="str">
        <x:v>41160005</x:v>
      </x:c>
      <x:c r="G730" s="489" t="str">
        <x:v>41160005-2024</x:v>
      </x:c>
      <x:c r="H730" s="489" t="str">
        <x:v>Informado/corrigido a partir do mapa</x:v>
      </x:c>
      <x:c r="I730" s="503" t="n">
        <x:v>1078487</x:v>
      </x:c>
      <x:c r="J730" s="503" t="n">
        <x:v>1078487</x:v>
      </x:c>
      <x:c r="K730" s="489" t="str">
        <x:v>Emenda Individual</x:v>
      </x:c>
      <x:c r="L730" s="489"/>
      <x:c r="M730" s="503" t="n">
        <x:v>1078487</x:v>
      </x:c>
      <x:c r="N730" s="503" t="n">
        <x:v>1845828</x:v>
      </x:c>
      <x:c r="O730" s="503" t="n">
        <x:v>1845828</x:v>
      </x:c>
      <x:c r="P730" s="503" t="n">
        <x:v>0</x:v>
      </x:c>
      <x:c r="Q730" s="503" t="n">
        <x:v>0</x:v>
      </x:c>
      <x:c r="R730" s="489" t="str"/>
      <x:c r="S730" s="489" t="str">
        <x:v>94707627000120</x:v>
      </x:c>
      <x:c r="T730" s="489" t="str">
        <x:v>CONFIRMADO</x:v>
      </x:c>
      <x:c r="U730" s="489" t="str">
        <x:v>Baixa</x:v>
      </x:c>
      <x:c r="V730" s="489" t="str">
        <x:v>Preencher situação: há pagamento identificado na fonte pública; CNPJ candidato na fonte SIGA: 94707627000120</x:v>
      </x:c>
      <x:c r="W730" s="489" t="str">
        <x:v>Valor do grupo fecha com: SIGA pago favorecido</x:v>
      </x:c>
      <x:c r="X730" s="489" t="str">
        <x:v>https://discricionarias.transferegov.sistema.gov.br/voluntarias/ConsultarProposta/ResultadoDaConsultaDeConvenioSelecionarConvenio.do?sequencialConvenio=973409&amp;Usr=guest&amp;Pwd=guest | https://discricionarias.transferegov.sistema.gov.br/voluntarias/ConsultarProposta/ResultadoDaConsultaDeConvenioSelecionarConvenio.do?sequencialConvenio=966689&amp;Usr=guest&amp;Pwd=guest</x:v>
      </x:c>
    </x:row>
    <x:row r="731">
      <x:c r="A731" s="502" t="n">
        <x:v>731</x:v>
      </x:c>
      <x:c r="B731" s="502" t="n">
        <x:v>2022</x:v>
      </x:c>
      <x:c r="C731" s="489" t="str">
        <x:v>Ivoti</x:v>
      </x:c>
      <x:c r="D731" s="489" t="str">
        <x:v>Município</x:v>
      </x:c>
      <x:c r="E731" s="489" t="str">
        <x:v>Prefeitura Municipal</x:v>
      </x:c>
      <x:c r="F731" s="489" t="str">
        <x:v>41160007</x:v>
      </x:c>
      <x:c r="G731" s="489" t="str">
        <x:v>41160007-2022</x:v>
      </x:c>
      <x:c r="H731" s="489" t="str">
        <x:v>Informado/corrigido a partir do mapa</x:v>
      </x:c>
      <x:c r="I731" s="503" t="n">
        <x:v>1139365</x:v>
      </x:c>
      <x:c r="J731" s="503" t="n">
        <x:v>1139365</x:v>
      </x:c>
      <x:c r="K731" s="489" t="str">
        <x:v>Emenda Individual </x:v>
      </x:c>
      <x:c r="L731" s="489" t="str">
        <x:v>Recurso pago</x:v>
      </x:c>
      <x:c r="M731" s="503" t="n">
        <x:v>1094282</x:v>
      </x:c>
      <x:c r="N731" s="503" t="n">
        <x:v>1094282</x:v>
      </x:c>
      <x:c r="O731" s="503" t="n">
        <x:v>1094282</x:v>
      </x:c>
      <x:c r="P731" s="503" t="n">
        <x:v>0</x:v>
      </x:c>
      <x:c r="Q731" s="503" t="n">
        <x:v>0</x:v>
      </x:c>
      <x:c r="R731" s="489" t="str"/>
      <x:c r="S731" s="489" t="str">
        <x:v>88254909000117</x:v>
      </x:c>
      <x:c r="T731" s="489" t="str">
        <x:v>VALOR DIVERGENTE / COBERTURA DIFERENTE</x:v>
      </x:c>
      <x:c r="U731" s="489" t="str">
        <x:v>Média</x:v>
      </x:c>
      <x:c r="V731" s="489" t="str">
        <x:v>CNPJ candidato na fonte SIGA: 88254909000117</x:v>
      </x:c>
      <x:c r="W731" s="489" t="str">
        <x:v>Município/localidade encontrado em fonte comparável, mas valor não fecha exatamente</x:v>
      </x:c>
      <x:c r="X731" s="489" t="str">
        <x:v>https://discricionarias.transferegov.sistema.gov.br/voluntarias/ConsultarProposta/ResultadoDaConsultaDeConvenioSelecionarConvenio.do?sequencialConvenio=934303&amp;Usr=guest&amp;Pwd=guest</x:v>
      </x:c>
    </x:row>
    <x:row r="732">
      <x:c r="A732" s="502" t="n">
        <x:v>732</x:v>
      </x:c>
      <x:c r="B732" s="502" t="n">
        <x:v>2024</x:v>
      </x:c>
      <x:c r="C732" s="489" t="str">
        <x:v>Caxias Do Sul</x:v>
      </x:c>
      <x:c r="D732" s="489" t="str">
        <x:v>Prefeitura de Caxias do Sul</x:v>
      </x:c>
      <x:c r="E732" s="489" t="str">
        <x:v>Prefeitura de Caxias do Sul</x:v>
      </x:c>
      <x:c r="F732" s="489" t="str"/>
      <x:c r="G732" s="489" t="str"/>
      <x:c r="H732" s="489" t="str">
        <x:v>Sem nº conciliado</x:v>
      </x:c>
      <x:c r="I732" s="503" t="n">
        <x:v>1300000</x:v>
      </x:c>
      <x:c r="J732" s="503" t="n">
        <x:v>1669941.01</x:v>
      </x:c>
      <x:c r="K732" s="489" t="str">
        <x:v>Emenda Individual</x:v>
      </x:c>
      <x:c r="L732" s="489" t="str">
        <x:v>Empenhado</x:v>
      </x:c>
      <x:c r="M732" s="503" t="n">
        <x:v>0</x:v>
      </x:c>
      <x:c r="N732" s="503" t="n">
        <x:v>0</x:v>
      </x:c>
      <x:c r="O732" s="503" t="n">
        <x:v>0</x:v>
      </x:c>
      <x:c r="P732" s="503" t="n">
        <x:v>0</x:v>
      </x:c>
      <x:c r="Q732" s="503" t="n">
        <x:v>0</x:v>
      </x:c>
      <x:c r="R732" s="489" t="str"/>
      <x:c r="S732" s="489" t="str"/>
      <x:c r="T732" s="489" t="str">
        <x:v>SEM Nº / NÃO CONCILIADO</x:v>
      </x:c>
      <x:c r="U732" s="489" t="str">
        <x:v>Média</x:v>
      </x:c>
      <x:c r="V732" s="489" t="str"/>
      <x:c r="W732" s="489" t="str"/>
      <x:c r="X732" s="489" t="str"/>
    </x:row>
    <x:row r="733">
      <x:c r="A733" s="502" t="n">
        <x:v>733</x:v>
      </x:c>
      <x:c r="B733" s="502" t="n">
        <x:v>2023</x:v>
      </x:c>
      <x:c r="C733" s="489" t="str">
        <x:v>Gramado</x:v>
      </x:c>
      <x:c r="D733" s="489" t="str">
        <x:v>Município de Gramado</x:v>
      </x:c>
      <x:c r="E733" s="489" t="str">
        <x:v>Pavimentação Asfáltica e Ponte Intermunicipal da Estrada Tranquilo Galgaro de Ligação do Município de Gramado ao novo Aeroporto Regional da Serra do Município de Caxias do Sul. O trecho de 6,19 km</x:v>
      </x:c>
      <x:c r="F733" s="489" t="str">
        <x:v>7122 0015</x:v>
      </x:c>
      <x:c r="G733" s="489" t="str">
        <x:v>71220015-2023</x:v>
      </x:c>
      <x:c r="H733" s="489" t="str">
        <x:v>Informado/corrigido a partir do mapa</x:v>
      </x:c>
      <x:c r="I733" s="503" t="n">
        <x:v>1500000</x:v>
      </x:c>
      <x:c r="J733" s="503" t="n">
        <x:v>1500000</x:v>
      </x:c>
      <x:c r="K733" s="489" t="str">
        <x:v>Emenda bancada</x:v>
      </x:c>
      <x:c r="L733" s="489" t="str">
        <x:v>Empenhado</x:v>
      </x:c>
      <x:c r="M733" s="503" t="n">
        <x:v>0</x:v>
      </x:c>
      <x:c r="N733" s="503" t="n">
        <x:v>8569444</x:v>
      </x:c>
      <x:c r="O733" s="503" t="n">
        <x:v>8569444</x:v>
      </x:c>
      <x:c r="P733" s="503" t="n">
        <x:v>0</x:v>
      </x:c>
      <x:c r="Q733" s="503" t="n">
        <x:v>0</x:v>
      </x:c>
      <x:c r="R733" s="489" t="str"/>
      <x:c r="S733" s="489" t="str"/>
      <x:c r="T733" s="489" t="str">
        <x:v>DESTINO/INSTRUMENTO CONFIRMADO; VALOR NÃO COMPARÁVEL</x:v>
      </x:c>
      <x:c r="U733" s="489" t="str">
        <x:v>Média</x:v>
      </x:c>
      <x:c r="V733" s="489" t="str"/>
      <x:c r="W733" s="489" t="str">
        <x:v>Há instrumento do Transferegov para a emenda/município; valores do instrumento não foram usados como prova do valor da emenda</x:v>
      </x:c>
      <x:c r="X733" s="489" t="str">
        <x:v>https://discricionarias.transferegov.sistema.gov.br/voluntarias/ConsultarProposta/ResultadoDaConsultaDeConvenioSelecionarConvenio.do?sequencialConvenio=942513&amp;Usr=guest&amp;Pwd=guest</x:v>
      </x:c>
    </x:row>
    <x:row r="734">
      <x:c r="A734" s="502" t="n">
        <x:v>734</x:v>
      </x:c>
      <x:c r="B734" s="502" t="n">
        <x:v>2020</x:v>
      </x:c>
      <x:c r="C734" s="489" t="str">
        <x:v>Dois Irmãos</x:v>
      </x:c>
      <x:c r="D734" s="489" t="str">
        <x:v>Hospital</x:v>
      </x:c>
      <x:c r="E734" s="489" t="str">
        <x:v>Hospital São José de Dois Irmãos</x:v>
      </x:c>
      <x:c r="F734" s="489" t="str">
        <x:v>7122 0006</x:v>
      </x:c>
      <x:c r="G734" s="489" t="str">
        <x:v>71220006-2020</x:v>
      </x:c>
      <x:c r="H734" s="489" t="str">
        <x:v>Informado/corrigido a partir do mapa</x:v>
      </x:c>
      <x:c r="I734" s="503" t="n">
        <x:v>1874000</x:v>
      </x:c>
      <x:c r="J734" s="503" t="n">
        <x:v>1874000</x:v>
      </x:c>
      <x:c r="K734" s="489" t="str">
        <x:v>Emenda de Bancada</x:v>
      </x:c>
      <x:c r="L734" s="489" t="str">
        <x:v>Recurso pago</x:v>
      </x:c>
      <x:c r="M734" s="503" t="n">
        <x:v>0</x:v>
      </x:c>
      <x:c r="N734" s="503" t="n">
        <x:v>0</x:v>
      </x:c>
      <x:c r="O734" s="503" t="n">
        <x:v>0</x:v>
      </x:c>
      <x:c r="P734" s="503" t="n">
        <x:v>0</x:v>
      </x:c>
      <x:c r="Q734" s="503" t="n">
        <x:v>0</x:v>
      </x:c>
      <x:c r="R734" s="489" t="str"/>
      <x:c r="S734" s="489" t="str"/>
      <x:c r="T734" s="489" t="str">
        <x:v>Nº NÃO LOCALIZADO</x:v>
      </x:c>
      <x:c r="U734" s="489" t="str">
        <x:v>Média</x:v>
      </x:c>
      <x:c r="V734" s="489" t="str"/>
      <x:c r="W734" s="489" t="str"/>
      <x:c r="X734" s="489" t="str"/>
    </x:row>
    <x:row r="735">
      <x:c r="A735" s="502" t="n">
        <x:v>735</x:v>
      </x:c>
      <x:c r="B735" s="502" t="n">
        <x:v>2021</x:v>
      </x:c>
      <x:c r="C735" s="489" t="str">
        <x:v>Dois Irmãos</x:v>
      </x:c>
      <x:c r="D735" s="489" t="str">
        <x:v>Município</x:v>
      </x:c>
      <x:c r="E735" s="489" t="str">
        <x:v>Min. Desenvolvimento Regional</x:v>
      </x:c>
      <x:c r="F735" s="489" t="str">
        <x:v>41160006</x:v>
      </x:c>
      <x:c r="G735" s="489" t="str">
        <x:v>41160006-2021</x:v>
      </x:c>
      <x:c r="H735" s="489" t="str">
        <x:v>Informado/corrigido a partir do mapa</x:v>
      </x:c>
      <x:c r="I735" s="503" t="n">
        <x:v>2693000</x:v>
      </x:c>
      <x:c r="J735" s="503" t="n">
        <x:v>2693000</x:v>
      </x:c>
      <x:c r="K735" s="489" t="str">
        <x:v>Emenda Individual </x:v>
      </x:c>
      <x:c r="L735" s="489" t="str">
        <x:v>Em execução. Total pago: R$ 1.306.354,98 (29/02/2024)</x:v>
      </x:c>
      <x:c r="M735" s="503" t="n">
        <x:v>2612709.95</x:v>
      </x:c>
      <x:c r="N735" s="503" t="n">
        <x:v>2612709.95</x:v>
      </x:c>
      <x:c r="O735" s="503" t="n">
        <x:v>2612709.95</x:v>
      </x:c>
      <x:c r="P735" s="503" t="n">
        <x:v>0</x:v>
      </x:c>
      <x:c r="Q735" s="503" t="n">
        <x:v>0</x:v>
      </x:c>
      <x:c r="R735" s="489" t="str"/>
      <x:c r="S735" s="489" t="str">
        <x:v>88254891000153</x:v>
      </x:c>
      <x:c r="T735" s="489" t="str">
        <x:v>VALOR DIVERGENTE / COBERTURA DIFERENTE</x:v>
      </x:c>
      <x:c r="U735" s="489" t="str">
        <x:v>Média</x:v>
      </x:c>
      <x:c r="V735" s="489" t="str">
        <x:v>CNPJ candidato na fonte SIGA: 88254891000153</x:v>
      </x:c>
      <x:c r="W735" s="489" t="str">
        <x:v>Município/localidade encontrado em fonte comparável, mas valor não fecha exatamente</x:v>
      </x:c>
      <x:c r="X735" s="489" t="str">
        <x:v>https://discricionarias.transferegov.sistema.gov.br/voluntarias/ConsultarProposta/ResultadoDaConsultaDeConvenioSelecionarConvenio.do?sequencialConvenio=921920&amp;Usr=guest&amp;Pwd=guest</x:v>
      </x:c>
    </x:row>
    <x:row r="736">
      <x:c r="A736" s="502" t="n">
        <x:v>736</x:v>
      </x:c>
      <x:c r="B736" s="502" t="n">
        <x:v>2020</x:v>
      </x:c>
      <x:c r="C736" s="489" t="str">
        <x:v>Dois Irmãos</x:v>
      </x:c>
      <x:c r="D736" s="489" t="str">
        <x:v>Município</x:v>
      </x:c>
      <x:c r="E736" s="489" t="str">
        <x:v>DNIT-DEPARTAMENTO NACIONAL DE INFRAEST DE TRANSPORTES</x:v>
      </x:c>
      <x:c r="F736" s="489" t="str">
        <x:v>41160003</x:v>
      </x:c>
      <x:c r="G736" s="489" t="str">
        <x:v>41160003-2020</x:v>
      </x:c>
      <x:c r="H736" s="489" t="str">
        <x:v>Informado/corrigido a partir do mapa</x:v>
      </x:c>
      <x:c r="I736" s="503" t="n">
        <x:v>3780227</x:v>
      </x:c>
      <x:c r="J736" s="503" t="n">
        <x:v>3780227</x:v>
      </x:c>
      <x:c r="K736" s="489" t="str">
        <x:v>Emenda Individual </x:v>
      </x:c>
      <x:c r="L736" s="489" t="str">
        <x:v>Recurso pago</x:v>
      </x:c>
      <x:c r="M736" s="503" t="n">
        <x:v>0</x:v>
      </x:c>
      <x:c r="N736" s="503" t="n">
        <x:v>0</x:v>
      </x:c>
      <x:c r="O736" s="503" t="n">
        <x:v>0</x:v>
      </x:c>
      <x:c r="P736" s="503" t="n">
        <x:v>0</x:v>
      </x:c>
      <x:c r="Q736" s="503" t="n">
        <x:v>0</x:v>
      </x:c>
      <x:c r="R736" s="489" t="str"/>
      <x:c r="S736" s="489" t="str"/>
      <x:c r="T736" s="489" t="str">
        <x:v>EMENDA CONFIRMADA; DESTINO NÃO CONFIRMADO</x:v>
      </x:c>
      <x:c r="U736" s="489" t="str">
        <x:v>Média</x:v>
      </x:c>
      <x:c r="V736" s="489" t="str"/>
      <x:c r="W736" s="489" t="str">
        <x:v>Nº existe no SIGA; destinatário específico não foi confirmado nas bases anexas</x:v>
      </x:c>
      <x:c r="X736" s="489" t="str"/>
    </x:row>
    <x:row r="737">
      <x:c r="A737" s="502" t="n">
        <x:v>737</x:v>
      </x:c>
      <x:c r="B737" s="502" t="n">
        <x:v>2021</x:v>
      </x:c>
      <x:c r="C737" s="489" t="str">
        <x:v>Caxias do sul</x:v>
      </x:c>
      <x:c r="D737" s="489" t="str">
        <x:v>Polícia Rodoviária Federal</x:v>
      </x:c>
      <x:c r="E737" s="489" t="str">
        <x:v>Polícia Rodoviária Federal</x:v>
      </x:c>
      <x:c r="F737" s="489" t="str">
        <x:v>411660007</x:v>
      </x:c>
      <x:c r="G737" s="489" t="str">
        <x:v>41160007-2021</x:v>
      </x:c>
      <x:c r="H737" s="489" t="str">
        <x:v>Informado/corrigido a partir do mapa</x:v>
      </x:c>
      <x:c r="I737" s="503" t="n">
        <x:v>15299294</x:v>
      </x:c>
      <x:c r="J737" s="503" t="n">
        <x:v>15299294</x:v>
      </x:c>
      <x:c r="K737" s="489" t="str">
        <x:v>Emenda individual</x:v>
      </x:c>
      <x:c r="L737" s="489" t="str">
        <x:v>Emenda não executada por erro no projeto. Recurso perdido.</x:v>
      </x:c>
      <x:c r="M737" s="503" t="n">
        <x:v>0</x:v>
      </x:c>
      <x:c r="N737" s="503" t="n">
        <x:v>0</x:v>
      </x:c>
      <x:c r="O737" s="503" t="n">
        <x:v>0</x:v>
      </x:c>
      <x:c r="P737" s="503" t="n">
        <x:v>0</x:v>
      </x:c>
      <x:c r="Q737" s="503" t="n">
        <x:v>0</x:v>
      </x:c>
      <x:c r="R737" s="489" t="str"/>
      <x:c r="S737" s="489" t="str"/>
      <x:c r="T737" s="489" t="str">
        <x:v>EMENDA CONFIRMADA; DESTINO NÃO CONFIRMADO</x:v>
      </x:c>
      <x:c r="U737" s="489" t="str">
        <x:v>CRÍTICA</x:v>
      </x:c>
      <x:c r="V737" s="489" t="str">
        <x:v>Corrigir o número da emenda para 41160007; Revisar R$ 15.299.294,00: forte indício de R$ 152.992,94; com R$ 212.000,06 fecha R$ 364.993,00 do SIGA</x:v>
      </x:c>
      <x:c r="W737" s="489" t="str">
        <x:v>nº no mapa parece digitado como 411660007; candidato 41160007; Nº existe no SIGA; destinatário específico não foi confirmado nas bases anexas</x:v>
      </x:c>
      <x:c r="X737" s="489" t="str"/>
    </x:row>
    <x:row r="738">
      <x:c r="A738" s="502" t="n">
        <x:v>738</x:v>
      </x:c>
      <x:c r="B738" s="502" t="n">
        <x:v>2023</x:v>
      </x:c>
      <x:c r="C738" s="489" t="str">
        <x:v>Gramado</x:v>
      </x:c>
      <x:c r="D738" s="489" t="str">
        <x:v>Município</x:v>
      </x:c>
      <x:c r="E738" s="489" t="str">
        <x:v>Fundo Municipal de Saúde</x:v>
      </x:c>
      <x:c r="F738" s="489" t="str">
        <x:v>41160007</x:v>
      </x:c>
      <x:c r="G738" s="489" t="str">
        <x:v>41160007-2023</x:v>
      </x:c>
      <x:c r="H738" s="489" t="str">
        <x:v>Informado/corrigido a partir do mapa</x:v>
      </x:c>
      <x:c r="I738" s="503" t="n">
        <x:v>0</x:v>
      </x:c>
      <x:c r="J738" s="503" t="n">
        <x:v>0</x:v>
      </x:c>
      <x:c r="K738" s="489" t="str">
        <x:v>Emenda Individual</x:v>
      </x:c>
      <x:c r="L738" s="489" t="str">
        <x:v>Empenhado</x:v>
      </x:c>
      <x:c r="M738" s="503" t="n">
        <x:v>44125</x:v>
      </x:c>
      <x:c r="N738" s="503" t="n">
        <x:v>0</x:v>
      </x:c>
      <x:c r="O738" s="503" t="n">
        <x:v>0</x:v>
      </x:c>
      <x:c r="P738" s="503" t="n">
        <x:v>0</x:v>
      </x:c>
      <x:c r="Q738" s="503" t="n">
        <x:v>0</x:v>
      </x:c>
      <x:c r="R738" s="489" t="str"/>
      <x:c r="S738" s="489" t="str">
        <x:v>11796566000198</x:v>
      </x:c>
      <x:c r="T738" s="489" t="str">
        <x:v>VALOR DIVERGENTE / COBERTURA DIFERENTE</x:v>
      </x:c>
      <x:c r="U738" s="489" t="str">
        <x:v>Alta</x:v>
      </x:c>
      <x:c r="V738" s="489" t="str">
        <x:v>Situação possivelmente desatualizada: SIGA/execução regionalizada mostra pagamento; CNPJ candidato na fonte SIGA: 11796566000198</x:v>
      </x:c>
      <x:c r="W738" s="489" t="str">
        <x:v>Município/localidade encontrado em fonte comparável, mas valor não fecha exatamente</x:v>
      </x:c>
      <x:c r="X738" s="489" t="str"/>
    </x:row>
    <x:row r="739">
      <x:c r="A739" s="502" t="n">
        <x:v>739</x:v>
      </x:c>
      <x:c r="B739" s="502" t="n">
        <x:v>2020</x:v>
      </x:c>
      <x:c r="C739" s="489" t="str">
        <x:v>Canoas</x:v>
      </x:c>
      <x:c r="D739" s="489" t="str">
        <x:v>Hospital</x:v>
      </x:c>
      <x:c r="E739" s="489" t="str">
        <x:v>Hospital Universitário de Canoas</x:v>
      </x:c>
      <x:c r="F739" s="489" t="str">
        <x:v>41160005</x:v>
      </x:c>
      <x:c r="G739" s="489" t="str">
        <x:v>41160005-2020</x:v>
      </x:c>
      <x:c r="H739" s="489" t="str">
        <x:v>Informado/corrigido a partir do mapa</x:v>
      </x:c>
      <x:c r="I739" s="503" t="n">
        <x:v>0</x:v>
      </x:c>
      <x:c r="J739" s="503" t="n">
        <x:v>50000</x:v>
      </x:c>
      <x:c r="K739" s="489" t="str">
        <x:v>Emenda Individual</x:v>
      </x:c>
      <x:c r="L739" s="489" t="str">
        <x:v>Recurso pago</x:v>
      </x:c>
      <x:c r="M739" s="503" t="n">
        <x:v>200000</x:v>
      </x:c>
      <x:c r="N739" s="503" t="n">
        <x:v>0</x:v>
      </x:c>
      <x:c r="O739" s="503" t="n">
        <x:v>0</x:v>
      </x:c>
      <x:c r="P739" s="503" t="n">
        <x:v>0</x:v>
      </x:c>
      <x:c r="Q739" s="503" t="n">
        <x:v>0</x:v>
      </x:c>
      <x:c r="R739" s="489" t="str"/>
      <x:c r="S739" s="489" t="str">
        <x:v>11413650000185</x:v>
      </x:c>
      <x:c r="T739" s="489" t="str">
        <x:v>VALOR DIVERGENTE / COBERTURA DIFERENTE</x:v>
      </x:c>
      <x:c r="U739" s="489" t="str">
        <x:v>Alta</x:v>
      </x:c>
      <x:c r="V739" s="489" t="str">
        <x:v>CNPJ candidato na fonte SIGA: 11413650000185</x:v>
      </x:c>
      <x:c r="W739" s="489" t="str">
        <x:v>Município/localidade encontrado em fonte comparável, mas valor não fecha exatamente</x:v>
      </x:c>
      <x:c r="X739" s="489" t="str"/>
    </x:row>
    <x:row r="740">
      <x:c r="A740" s="502" t="n">
        <x:v>740</x:v>
      </x:c>
      <x:c r="B740" s="502" t="n">
        <x:v>2025</x:v>
      </x:c>
      <x:c r="C740" s="489" t="str">
        <x:v>Muitos Capões</x:v>
      </x:c>
      <x:c r="D740" s="489" t="str">
        <x:v>Muitos Capões</x:v>
      </x:c>
      <x:c r="E740" s="489"/>
      <x:c r="F740" s="489" t="str"/>
      <x:c r="G740" s="489" t="str"/>
      <x:c r="H740" s="489" t="str">
        <x:v>Sem nº conciliado</x:v>
      </x:c>
      <x:c r="I740" s="503" t="n">
        <x:v>0</x:v>
      </x:c>
      <x:c r="J740" s="503" t="n">
        <x:v>0</x:v>
      </x:c>
      <x:c r="K740" s="489" t="str">
        <x:v>Emenda de bancada</x:v>
      </x:c>
      <x:c r="L740" s="489"/>
      <x:c r="M740" s="503" t="n">
        <x:v>0</x:v>
      </x:c>
      <x:c r="N740" s="503" t="n">
        <x:v>0</x:v>
      </x:c>
      <x:c r="O740" s="503" t="n">
        <x:v>0</x:v>
      </x:c>
      <x:c r="P740" s="503" t="n">
        <x:v>0</x:v>
      </x:c>
      <x:c r="Q740" s="503" t="n">
        <x:v>0</x:v>
      </x:c>
      <x:c r="R740" s="489" t="str"/>
      <x:c r="S740" s="489" t="str"/>
      <x:c r="T740" s="489" t="str">
        <x:v>SEM Nº / NÃO CONCILIADO</x:v>
      </x:c>
      <x:c r="U740" s="489" t="str">
        <x:v>Média</x:v>
      </x:c>
      <x:c r="V740" s="489" t="str"/>
      <x:c r="W740" s="489" t="str"/>
      <x:c r="X740" s="489" t="str"/>
    </x:row>
    <x:row r="741">
      <x:c r="A741" s="502" t="n">
        <x:v>741</x:v>
      </x:c>
      <x:c r="B741" s="502" t="n">
        <x:v>2025</x:v>
      </x:c>
      <x:c r="C741" s="489" t="str">
        <x:v>Colorado</x:v>
      </x:c>
      <x:c r="D741" s="489" t="str">
        <x:v>Colorado</x:v>
      </x:c>
      <x:c r="E741" s="489"/>
      <x:c r="F741" s="489" t="str"/>
      <x:c r="G741" s="489" t="str"/>
      <x:c r="H741" s="489" t="str">
        <x:v>Sem nº conciliado</x:v>
      </x:c>
      <x:c r="I741" s="503" t="n">
        <x:v>0</x:v>
      </x:c>
      <x:c r="J741" s="503" t="n">
        <x:v>0</x:v>
      </x:c>
      <x:c r="K741" s="489" t="str">
        <x:v>Emenda de bancada</x:v>
      </x:c>
      <x:c r="L741" s="489"/>
      <x:c r="M741" s="503" t="n">
        <x:v>0</x:v>
      </x:c>
      <x:c r="N741" s="503" t="n">
        <x:v>0</x:v>
      </x:c>
      <x:c r="O741" s="503" t="n">
        <x:v>0</x:v>
      </x:c>
      <x:c r="P741" s="503" t="n">
        <x:v>0</x:v>
      </x:c>
      <x:c r="Q741" s="503" t="n">
        <x:v>0</x:v>
      </x:c>
      <x:c r="R741" s="489" t="str"/>
      <x:c r="S741" s="489" t="str"/>
      <x:c r="T741" s="489" t="str">
        <x:v>SEM Nº / NÃO CONCILIADO</x:v>
      </x:c>
      <x:c r="U741" s="489" t="str">
        <x:v>Média</x:v>
      </x:c>
      <x:c r="V741" s="489" t="str"/>
      <x:c r="W741" s="489" t="str"/>
      <x:c r="X741" s="489" t="str"/>
    </x:row>
    <x:row r="742">
      <x:c r="A742" s="502" t="n">
        <x:v>742</x:v>
      </x:c>
      <x:c r="B742" s="502" t="n">
        <x:v>2025</x:v>
      </x:c>
      <x:c r="C742" s="489" t="str">
        <x:v>Nova Prata</x:v>
      </x:c>
      <x:c r="D742" s="489" t="str">
        <x:v>Nova Prata</x:v>
      </x:c>
      <x:c r="E742" s="489"/>
      <x:c r="F742" s="489" t="str"/>
      <x:c r="G742" s="489" t="str"/>
      <x:c r="H742" s="489" t="str">
        <x:v>Sem nº conciliado</x:v>
      </x:c>
      <x:c r="I742" s="503" t="n">
        <x:v>0</x:v>
      </x:c>
      <x:c r="J742" s="503" t="n">
        <x:v>0</x:v>
      </x:c>
      <x:c r="K742" s="489" t="str">
        <x:v>Emenda de bancada</x:v>
      </x:c>
      <x:c r="L742" s="489"/>
      <x:c r="M742" s="503" t="n">
        <x:v>0</x:v>
      </x:c>
      <x:c r="N742" s="503" t="n">
        <x:v>0</x:v>
      </x:c>
      <x:c r="O742" s="503" t="n">
        <x:v>0</x:v>
      </x:c>
      <x:c r="P742" s="503" t="n">
        <x:v>0</x:v>
      </x:c>
      <x:c r="Q742" s="503" t="n">
        <x:v>0</x:v>
      </x:c>
      <x:c r="R742" s="489" t="str"/>
      <x:c r="S742" s="489" t="str"/>
      <x:c r="T742" s="489" t="str">
        <x:v>SEM Nº / NÃO CONCILIADO</x:v>
      </x:c>
      <x:c r="U742" s="489" t="str">
        <x:v>Média</x:v>
      </x:c>
      <x:c r="V742" s="489" t="str"/>
      <x:c r="W742" s="489" t="str"/>
      <x:c r="X742" s="489" t="str"/>
    </x:row>
    <x:row r="743">
      <x:c r="A743" s="502" t="n">
        <x:v>743</x:v>
      </x:c>
      <x:c r="B743" s="502" t="n">
        <x:v>2025</x:v>
      </x:c>
      <x:c r="C743" s="489" t="str">
        <x:v>Ajuricaba</x:v>
      </x:c>
      <x:c r="D743" s="489" t="str">
        <x:v>Ajuricaba</x:v>
      </x:c>
      <x:c r="E743" s="489"/>
      <x:c r="F743" s="489" t="str"/>
      <x:c r="G743" s="489" t="str"/>
      <x:c r="H743" s="489" t="str">
        <x:v>Sem nº conciliado</x:v>
      </x:c>
      <x:c r="I743" s="503" t="n">
        <x:v>0</x:v>
      </x:c>
      <x:c r="J743" s="503" t="n">
        <x:v>0</x:v>
      </x:c>
      <x:c r="K743" s="489" t="str">
        <x:v>Emenda de bancada</x:v>
      </x:c>
      <x:c r="L743" s="489"/>
      <x:c r="M743" s="503" t="n">
        <x:v>0</x:v>
      </x:c>
      <x:c r="N743" s="503" t="n">
        <x:v>0</x:v>
      </x:c>
      <x:c r="O743" s="503" t="n">
        <x:v>0</x:v>
      </x:c>
      <x:c r="P743" s="503" t="n">
        <x:v>0</x:v>
      </x:c>
      <x:c r="Q743" s="503" t="n">
        <x:v>0</x:v>
      </x:c>
      <x:c r="R743" s="489" t="str"/>
      <x:c r="S743" s="489" t="str"/>
      <x:c r="T743" s="489" t="str">
        <x:v>SEM Nº / NÃO CONCILIADO</x:v>
      </x:c>
      <x:c r="U743" s="489" t="str">
        <x:v>Média</x:v>
      </x:c>
      <x:c r="V743" s="489" t="str"/>
      <x:c r="W743" s="489" t="str"/>
      <x:c r="X743" s="489" t="str"/>
    </x:row>
    <x:row r="744">
      <x:c r="A744" s="502" t="n">
        <x:v>744</x:v>
      </x:c>
      <x:c r="B744" s="502" t="n">
        <x:v>2025</x:v>
      </x:c>
      <x:c r="C744" s="489" t="str">
        <x:v>Campos Borges</x:v>
      </x:c>
      <x:c r="D744" s="489" t="str">
        <x:v>Campos Borges</x:v>
      </x:c>
      <x:c r="E744" s="489"/>
      <x:c r="F744" s="489" t="str"/>
      <x:c r="G744" s="489" t="str"/>
      <x:c r="H744" s="489" t="str">
        <x:v>Sem nº conciliado</x:v>
      </x:c>
      <x:c r="I744" s="503" t="n">
        <x:v>0</x:v>
      </x:c>
      <x:c r="J744" s="503" t="n">
        <x:v>0</x:v>
      </x:c>
      <x:c r="K744" s="489" t="str">
        <x:v>Emenda de bancada</x:v>
      </x:c>
      <x:c r="L744" s="489"/>
      <x:c r="M744" s="503" t="n">
        <x:v>0</x:v>
      </x:c>
      <x:c r="N744" s="503" t="n">
        <x:v>0</x:v>
      </x:c>
      <x:c r="O744" s="503" t="n">
        <x:v>0</x:v>
      </x:c>
      <x:c r="P744" s="503" t="n">
        <x:v>0</x:v>
      </x:c>
      <x:c r="Q744" s="503" t="n">
        <x:v>0</x:v>
      </x:c>
      <x:c r="R744" s="489" t="str"/>
      <x:c r="S744" s="489" t="str"/>
      <x:c r="T744" s="489" t="str">
        <x:v>SEM Nº / NÃO CONCILIADO</x:v>
      </x:c>
      <x:c r="U744" s="489" t="str">
        <x:v>Média</x:v>
      </x:c>
      <x:c r="V744" s="489" t="str"/>
      <x:c r="W744" s="489" t="str"/>
      <x:c r="X744" s="489" t="str"/>
    </x:row>
    <x:row r="745">
      <x:c r="A745" s="502" t="n">
        <x:v>745</x:v>
      </x:c>
      <x:c r="B745" s="502" t="n">
        <x:v>2025</x:v>
      </x:c>
      <x:c r="C745" s="489" t="str">
        <x:v>Xangri-lá</x:v>
      </x:c>
      <x:c r="D745" s="489" t="str">
        <x:v>Xangri-Lá</x:v>
      </x:c>
      <x:c r="E745" s="489"/>
      <x:c r="F745" s="489" t="str"/>
      <x:c r="G745" s="489" t="str"/>
      <x:c r="H745" s="489" t="str">
        <x:v>Sem nº conciliado</x:v>
      </x:c>
      <x:c r="I745" s="503" t="n">
        <x:v>0</x:v>
      </x:c>
      <x:c r="J745" s="503" t="n">
        <x:v>0</x:v>
      </x:c>
      <x:c r="K745" s="489" t="str">
        <x:v>Emenda de bancada</x:v>
      </x:c>
      <x:c r="L745" s="489"/>
      <x:c r="M745" s="503" t="n">
        <x:v>0</x:v>
      </x:c>
      <x:c r="N745" s="503" t="n">
        <x:v>0</x:v>
      </x:c>
      <x:c r="O745" s="503" t="n">
        <x:v>0</x:v>
      </x:c>
      <x:c r="P745" s="503" t="n">
        <x:v>0</x:v>
      </x:c>
      <x:c r="Q745" s="503" t="n">
        <x:v>0</x:v>
      </x:c>
      <x:c r="R745" s="489" t="str"/>
      <x:c r="S745" s="489" t="str"/>
      <x:c r="T745" s="489" t="str">
        <x:v>SEM Nº / NÃO CONCILIADO</x:v>
      </x:c>
      <x:c r="U745" s="489" t="str">
        <x:v>Média</x:v>
      </x:c>
      <x:c r="V745" s="489" t="str"/>
      <x:c r="W745" s="489" t="str"/>
      <x:c r="X745" s="489" t="str"/>
    </x:row>
    <x:row r="746">
      <x:c r="A746" s="502" t="n">
        <x:v>746</x:v>
      </x:c>
      <x:c r="B746" s="502" t="n">
        <x:v>2025</x:v>
      </x:c>
      <x:c r="C746" s="489" t="str">
        <x:v>Rolador</x:v>
      </x:c>
      <x:c r="D746" s="489" t="str">
        <x:v>Rolador </x:v>
      </x:c>
      <x:c r="E746" s="489"/>
      <x:c r="F746" s="489" t="str"/>
      <x:c r="G746" s="489" t="str"/>
      <x:c r="H746" s="489" t="str">
        <x:v>Sem nº conciliado</x:v>
      </x:c>
      <x:c r="I746" s="503" t="n">
        <x:v>0</x:v>
      </x:c>
      <x:c r="J746" s="503" t="n">
        <x:v>0</x:v>
      </x:c>
      <x:c r="K746" s="489" t="str">
        <x:v>Emenda de bancada</x:v>
      </x:c>
      <x:c r="L746" s="489"/>
      <x:c r="M746" s="503" t="n">
        <x:v>0</x:v>
      </x:c>
      <x:c r="N746" s="503" t="n">
        <x:v>0</x:v>
      </x:c>
      <x:c r="O746" s="503" t="n">
        <x:v>0</x:v>
      </x:c>
      <x:c r="P746" s="503" t="n">
        <x:v>0</x:v>
      </x:c>
      <x:c r="Q746" s="503" t="n">
        <x:v>0</x:v>
      </x:c>
      <x:c r="R746" s="489" t="str"/>
      <x:c r="S746" s="489" t="str"/>
      <x:c r="T746" s="489" t="str">
        <x:v>SEM Nº / NÃO CONCILIADO</x:v>
      </x:c>
      <x:c r="U746" s="489" t="str">
        <x:v>Média</x:v>
      </x:c>
      <x:c r="V746" s="489" t="str"/>
      <x:c r="W746" s="489" t="str"/>
      <x:c r="X746" s="489" t="str"/>
    </x:row>
    <x:row r="747">
      <x:c r="A747" s="502" t="n">
        <x:v>747</x:v>
      </x:c>
      <x:c r="B747" s="502" t="n">
        <x:v>2025</x:v>
      </x:c>
      <x:c r="C747" s="489" t="str">
        <x:v>Guaporé</x:v>
      </x:c>
      <x:c r="D747" s="489" t="str">
        <x:v>Guaporé</x:v>
      </x:c>
      <x:c r="E747" s="489"/>
      <x:c r="F747" s="489" t="str"/>
      <x:c r="G747" s="489" t="str"/>
      <x:c r="H747" s="489" t="str">
        <x:v>Sem nº conciliado</x:v>
      </x:c>
      <x:c r="I747" s="503" t="n">
        <x:v>0</x:v>
      </x:c>
      <x:c r="J747" s="503" t="n">
        <x:v>0</x:v>
      </x:c>
      <x:c r="K747" s="489" t="str">
        <x:v>Emenda de bancada</x:v>
      </x:c>
      <x:c r="L747" s="489"/>
      <x:c r="M747" s="503" t="n">
        <x:v>0</x:v>
      </x:c>
      <x:c r="N747" s="503" t="n">
        <x:v>0</x:v>
      </x:c>
      <x:c r="O747" s="503" t="n">
        <x:v>0</x:v>
      </x:c>
      <x:c r="P747" s="503" t="n">
        <x:v>0</x:v>
      </x:c>
      <x:c r="Q747" s="503" t="n">
        <x:v>0</x:v>
      </x:c>
      <x:c r="R747" s="489" t="str"/>
      <x:c r="S747" s="489" t="str"/>
      <x:c r="T747" s="489" t="str">
        <x:v>SEM Nº / NÃO CONCILIADO</x:v>
      </x:c>
      <x:c r="U747" s="489" t="str">
        <x:v>Média</x:v>
      </x:c>
      <x:c r="V747" s="489" t="str"/>
      <x:c r="W747" s="489" t="str"/>
      <x:c r="X747" s="489" t="str"/>
    </x:row>
    <x:row r="748">
      <x:c r="A748" s="502" t="n">
        <x:v>748</x:v>
      </x:c>
      <x:c r="B748" s="502" t="n">
        <x:v>2025</x:v>
      </x:c>
      <x:c r="C748" s="489" t="str">
        <x:v>Não-Me-Toque</x:v>
      </x:c>
      <x:c r="D748" s="489" t="str">
        <x:v>Não Me Toque</x:v>
      </x:c>
      <x:c r="E748" s="489"/>
      <x:c r="F748" s="489" t="str"/>
      <x:c r="G748" s="489" t="str"/>
      <x:c r="H748" s="489" t="str">
        <x:v>Sem nº conciliado</x:v>
      </x:c>
      <x:c r="I748" s="503" t="n">
        <x:v>0</x:v>
      </x:c>
      <x:c r="J748" s="503" t="n">
        <x:v>0</x:v>
      </x:c>
      <x:c r="K748" s="489" t="str">
        <x:v>Emenda de bancada</x:v>
      </x:c>
      <x:c r="L748" s="489"/>
      <x:c r="M748" s="503" t="n">
        <x:v>0</x:v>
      </x:c>
      <x:c r="N748" s="503" t="n">
        <x:v>0</x:v>
      </x:c>
      <x:c r="O748" s="503" t="n">
        <x:v>0</x:v>
      </x:c>
      <x:c r="P748" s="503" t="n">
        <x:v>0</x:v>
      </x:c>
      <x:c r="Q748" s="503" t="n">
        <x:v>0</x:v>
      </x:c>
      <x:c r="R748" s="489" t="str"/>
      <x:c r="S748" s="489" t="str"/>
      <x:c r="T748" s="489" t="str">
        <x:v>SEM Nº / NÃO CONCILIADO</x:v>
      </x:c>
      <x:c r="U748" s="489" t="str">
        <x:v>Média</x:v>
      </x:c>
      <x:c r="V748" s="489" t="str"/>
      <x:c r="W748" s="489" t="str"/>
      <x:c r="X748" s="489" t="str"/>
    </x:row>
    <x:row r="749">
      <x:c r="A749" s="502" t="n">
        <x:v>749</x:v>
      </x:c>
      <x:c r="B749" s="502" t="n">
        <x:v>2025</x:v>
      </x:c>
      <x:c r="C749" s="489" t="str">
        <x:v>Santa Rosa</x:v>
      </x:c>
      <x:c r="D749" s="489" t="str">
        <x:v>Santa Rosa</x:v>
      </x:c>
      <x:c r="E749" s="489"/>
      <x:c r="F749" s="489" t="str"/>
      <x:c r="G749" s="489" t="str"/>
      <x:c r="H749" s="489" t="str">
        <x:v>Sem nº conciliado</x:v>
      </x:c>
      <x:c r="I749" s="503" t="n">
        <x:v>0</x:v>
      </x:c>
      <x:c r="J749" s="503" t="n">
        <x:v>640000</x:v>
      </x:c>
      <x:c r="K749" s="489" t="str">
        <x:v>Emenda de bancada</x:v>
      </x:c>
      <x:c r="L749" s="489"/>
      <x:c r="M749" s="503" t="n">
        <x:v>0</x:v>
      </x:c>
      <x:c r="N749" s="503" t="n">
        <x:v>0</x:v>
      </x:c>
      <x:c r="O749" s="503" t="n">
        <x:v>0</x:v>
      </x:c>
      <x:c r="P749" s="503" t="n">
        <x:v>0</x:v>
      </x:c>
      <x:c r="Q749" s="503" t="n">
        <x:v>0</x:v>
      </x:c>
      <x:c r="R749" s="489" t="str"/>
      <x:c r="S749" s="489" t="str"/>
      <x:c r="T749" s="489" t="str">
        <x:v>SEM Nº / NÃO CONCILIADO</x:v>
      </x:c>
      <x:c r="U749" s="489" t="str">
        <x:v>Média</x:v>
      </x:c>
      <x:c r="V749" s="489" t="str"/>
      <x:c r="W749" s="489" t="str"/>
      <x:c r="X749" s="489" t="str"/>
    </x:row>
    <x:row r="750">
      <x:c r="A750" s="502" t="n">
        <x:v>750</x:v>
      </x:c>
      <x:c r="B750" s="502" t="n">
        <x:v>2025</x:v>
      </x:c>
      <x:c r="C750" s="489" t="str">
        <x:v>Sobradinho</x:v>
      </x:c>
      <x:c r="D750" s="489" t="str">
        <x:v>Sobradinho</x:v>
      </x:c>
      <x:c r="E750" s="489"/>
      <x:c r="F750" s="489" t="str"/>
      <x:c r="G750" s="489" t="str"/>
      <x:c r="H750" s="489" t="str">
        <x:v>Sem nº conciliado</x:v>
      </x:c>
      <x:c r="I750" s="503" t="n">
        <x:v>0</x:v>
      </x:c>
      <x:c r="J750" s="503" t="n">
        <x:v>0</x:v>
      </x:c>
      <x:c r="K750" s="489" t="str">
        <x:v>Emenda de bancada</x:v>
      </x:c>
      <x:c r="L750" s="489"/>
      <x:c r="M750" s="503" t="n">
        <x:v>0</x:v>
      </x:c>
      <x:c r="N750" s="503" t="n">
        <x:v>0</x:v>
      </x:c>
      <x:c r="O750" s="503" t="n">
        <x:v>0</x:v>
      </x:c>
      <x:c r="P750" s="503" t="n">
        <x:v>0</x:v>
      </x:c>
      <x:c r="Q750" s="503" t="n">
        <x:v>0</x:v>
      </x:c>
      <x:c r="R750" s="489" t="str"/>
      <x:c r="S750" s="489" t="str"/>
      <x:c r="T750" s="489" t="str">
        <x:v>SEM Nº / NÃO CONCILIADO</x:v>
      </x:c>
      <x:c r="U750" s="489" t="str">
        <x:v>Média</x:v>
      </x:c>
      <x:c r="V750" s="489" t="str"/>
      <x:c r="W750" s="489" t="str"/>
      <x:c r="X750" s="489" t="str"/>
    </x:row>
    <x:row r="751">
      <x:c r="A751" s="502" t="n">
        <x:v>751</x:v>
      </x:c>
      <x:c r="B751" s="502" t="n">
        <x:v>2025</x:v>
      </x:c>
      <x:c r="C751" s="489" t="str">
        <x:v>Dois Irmãos</x:v>
      </x:c>
      <x:c r="D751" s="489" t="str">
        <x:v>Dois Irmãos</x:v>
      </x:c>
      <x:c r="E751" s="489"/>
      <x:c r="F751" s="489" t="str"/>
      <x:c r="G751" s="489" t="str"/>
      <x:c r="H751" s="489" t="str">
        <x:v>Sem nº conciliado</x:v>
      </x:c>
      <x:c r="I751" s="503" t="n">
        <x:v>0</x:v>
      </x:c>
      <x:c r="J751" s="503" t="n">
        <x:v>1309500</x:v>
      </x:c>
      <x:c r="K751" s="489" t="str">
        <x:v>Emenda de bancada</x:v>
      </x:c>
      <x:c r="L751" s="489"/>
      <x:c r="M751" s="503" t="n">
        <x:v>0</x:v>
      </x:c>
      <x:c r="N751" s="503" t="n">
        <x:v>0</x:v>
      </x:c>
      <x:c r="O751" s="503" t="n">
        <x:v>0</x:v>
      </x:c>
      <x:c r="P751" s="503" t="n">
        <x:v>0</x:v>
      </x:c>
      <x:c r="Q751" s="503" t="n">
        <x:v>0</x:v>
      </x:c>
      <x:c r="R751" s="489" t="str"/>
      <x:c r="S751" s="489" t="str"/>
      <x:c r="T751" s="489" t="str">
        <x:v>SEM Nº / NÃO CONCILIADO</x:v>
      </x:c>
      <x:c r="U751" s="489" t="str">
        <x:v>Média</x:v>
      </x:c>
      <x:c r="V751" s="489" t="str"/>
      <x:c r="W751" s="489" t="str"/>
      <x:c r="X751" s="489" t="str"/>
    </x:row>
    <x:row r="752">
      <x:c r="A752" s="502" t="n">
        <x:v>752</x:v>
      </x:c>
      <x:c r="B752" s="502" t="n">
        <x:v>2025</x:v>
      </x:c>
      <x:c r="C752" s="489" t="str">
        <x:v>Tuparendi</x:v>
      </x:c>
      <x:c r="D752" s="489" t="str">
        <x:v>Tuparendi</x:v>
      </x:c>
      <x:c r="E752" s="489"/>
      <x:c r="F752" s="489" t="str"/>
      <x:c r="G752" s="489" t="str"/>
      <x:c r="H752" s="489" t="str">
        <x:v>Sem nº conciliado</x:v>
      </x:c>
      <x:c r="I752" s="503" t="n">
        <x:v>0</x:v>
      </x:c>
      <x:c r="J752" s="503" t="n">
        <x:v>0</x:v>
      </x:c>
      <x:c r="K752" s="489" t="str">
        <x:v>Emenda de bancada</x:v>
      </x:c>
      <x:c r="L752" s="489"/>
      <x:c r="M752" s="503" t="n">
        <x:v>0</x:v>
      </x:c>
      <x:c r="N752" s="503" t="n">
        <x:v>0</x:v>
      </x:c>
      <x:c r="O752" s="503" t="n">
        <x:v>0</x:v>
      </x:c>
      <x:c r="P752" s="503" t="n">
        <x:v>0</x:v>
      </x:c>
      <x:c r="Q752" s="503" t="n">
        <x:v>0</x:v>
      </x:c>
      <x:c r="R752" s="489" t="str"/>
      <x:c r="S752" s="489" t="str"/>
      <x:c r="T752" s="489" t="str">
        <x:v>SEM Nº / NÃO CONCILIADO</x:v>
      </x:c>
      <x:c r="U752" s="489" t="str">
        <x:v>Média</x:v>
      </x:c>
      <x:c r="V752" s="489" t="str"/>
      <x:c r="W752" s="489" t="str"/>
      <x:c r="X752" s="489" t="str"/>
    </x:row>
    <x:row r="753">
      <x:c r="A753" s="502" t="n">
        <x:v>753</x:v>
      </x:c>
      <x:c r="B753" s="502" t="n">
        <x:v>2025</x:v>
      </x:c>
      <x:c r="C753" s="489" t="str">
        <x:v>Aceguá</x:v>
      </x:c>
      <x:c r="D753" s="489" t="str">
        <x:v>Aceguá</x:v>
      </x:c>
      <x:c r="E753" s="489"/>
      <x:c r="F753" s="489" t="str"/>
      <x:c r="G753" s="489" t="str"/>
      <x:c r="H753" s="489" t="str">
        <x:v>Sem nº conciliado</x:v>
      </x:c>
      <x:c r="I753" s="503" t="n">
        <x:v>0</x:v>
      </x:c>
      <x:c r="J753" s="503" t="n">
        <x:v>0</x:v>
      </x:c>
      <x:c r="K753" s="489" t="str">
        <x:v>Emenda de bancada</x:v>
      </x:c>
      <x:c r="L753" s="489"/>
      <x:c r="M753" s="503" t="n">
        <x:v>0</x:v>
      </x:c>
      <x:c r="N753" s="503" t="n">
        <x:v>0</x:v>
      </x:c>
      <x:c r="O753" s="503" t="n">
        <x:v>0</x:v>
      </x:c>
      <x:c r="P753" s="503" t="n">
        <x:v>0</x:v>
      </x:c>
      <x:c r="Q753" s="503" t="n">
        <x:v>0</x:v>
      </x:c>
      <x:c r="R753" s="489" t="str"/>
      <x:c r="S753" s="489" t="str"/>
      <x:c r="T753" s="489" t="str">
        <x:v>SEM Nº / NÃO CONCILIADO</x:v>
      </x:c>
      <x:c r="U753" s="489" t="str">
        <x:v>Média</x:v>
      </x:c>
      <x:c r="V753" s="489" t="str"/>
      <x:c r="W753" s="489" t="str"/>
      <x:c r="X753" s="489" t="str"/>
    </x:row>
    <x:row r="754">
      <x:c r="A754" s="502" t="n">
        <x:v>754</x:v>
      </x:c>
      <x:c r="B754" s="502" t="n">
        <x:v>2025</x:v>
      </x:c>
      <x:c r="C754" s="489" t="str">
        <x:v>Bom Retiro do Sul</x:v>
      </x:c>
      <x:c r="D754" s="489" t="str">
        <x:v>Bom Retiro Do Sul</x:v>
      </x:c>
      <x:c r="E754" s="489"/>
      <x:c r="F754" s="489" t="str"/>
      <x:c r="G754" s="489" t="str"/>
      <x:c r="H754" s="489" t="str">
        <x:v>Sem nº conciliado</x:v>
      </x:c>
      <x:c r="I754" s="503" t="n">
        <x:v>0</x:v>
      </x:c>
      <x:c r="J754" s="503" t="n">
        <x:v>49379.28</x:v>
      </x:c>
      <x:c r="K754" s="489" t="str">
        <x:v>Emenda de bancada</x:v>
      </x:c>
      <x:c r="L754" s="489"/>
      <x:c r="M754" s="503" t="n">
        <x:v>0</x:v>
      </x:c>
      <x:c r="N754" s="503" t="n">
        <x:v>0</x:v>
      </x:c>
      <x:c r="O754" s="503" t="n">
        <x:v>0</x:v>
      </x:c>
      <x:c r="P754" s="503" t="n">
        <x:v>0</x:v>
      </x:c>
      <x:c r="Q754" s="503" t="n">
        <x:v>0</x:v>
      </x:c>
      <x:c r="R754" s="489" t="str"/>
      <x:c r="S754" s="489" t="str"/>
      <x:c r="T754" s="489" t="str">
        <x:v>SEM Nº / NÃO CONCILIADO</x:v>
      </x:c>
      <x:c r="U754" s="489" t="str">
        <x:v>Média</x:v>
      </x:c>
      <x:c r="V754" s="489" t="str"/>
      <x:c r="W754" s="489" t="str"/>
      <x:c r="X754" s="489" t="str"/>
    </x:row>
    <x:row r="755">
      <x:c r="A755" s="502" t="n">
        <x:v>755</x:v>
      </x:c>
      <x:c r="B755" s="502" t="n">
        <x:v>2020</x:v>
      </x:c>
      <x:c r="C755" s="489" t="str">
        <x:v>Dois Irmãos</x:v>
      </x:c>
      <x:c r="D755" s="489" t="str">
        <x:v>Corpo de Bombeiros</x:v>
      </x:c>
      <x:c r="E755" s="489" t="str">
        <x:v>Corpo de Bombeiros de Dois Irmãos</x:v>
      </x:c>
      <x:c r="F755" s="489" t="str">
        <x:v>41160012</x:v>
      </x:c>
      <x:c r="G755" s="489" t="str">
        <x:v>41160012-2020</x:v>
      </x:c>
      <x:c r="H755" s="489" t="str">
        <x:v>Informado/corrigido a partir do mapa</x:v>
      </x:c>
      <x:c r="I755" s="503" t="n">
        <x:v>0</x:v>
      </x:c>
      <x:c r="J755" s="503" t="n">
        <x:v>162125</x:v>
      </x:c>
      <x:c r="K755" s="489" t="str">
        <x:v>Emenda individual</x:v>
      </x:c>
      <x:c r="L755" s="489" t="str">
        <x:v>Recurso pago</x:v>
      </x:c>
      <x:c r="M755" s="503" t="n">
        <x:v>0</x:v>
      </x:c>
      <x:c r="N755" s="503" t="n">
        <x:v>0</x:v>
      </x:c>
      <x:c r="O755" s="503" t="n">
        <x:v>0</x:v>
      </x:c>
      <x:c r="P755" s="503" t="n">
        <x:v>0</x:v>
      </x:c>
      <x:c r="Q755" s="503" t="n">
        <x:v>0</x:v>
      </x:c>
      <x:c r="R755" s="489" t="str"/>
      <x:c r="S755" s="489" t="str"/>
      <x:c r="T755" s="489" t="str">
        <x:v>EMENDA CONFIRMADA; DESTINO NÃO CONFIRMADO</x:v>
      </x:c>
      <x:c r="U755" s="489" t="str">
        <x:v>Média</x:v>
      </x:c>
      <x:c r="V755" s="489" t="str"/>
      <x:c r="W755" s="489" t="str">
        <x:v>Nº existe no SIGA; destinatário específico não foi confirmado nas bases anexas</x:v>
      </x:c>
      <x:c r="X755" s="489" t="str"/>
    </x:row>
    <x:row r="756">
      <x:c r="A756" s="502" t="n">
        <x:v>756</x:v>
      </x:c>
      <x:c r="B756" s="502" t="n">
        <x:v>2024</x:v>
      </x:c>
      <x:c r="C756" s="489" t="str">
        <x:v>Arroio do Meio</x:v>
      </x:c>
      <x:c r="D756" s="489" t="str">
        <x:v>Prefeitura Municipal de Arroio do Meio</x:v>
      </x:c>
      <x:c r="E756" s="489" t="str">
        <x:v>Prefeitura Municipal</x:v>
      </x:c>
      <x:c r="F756" s="489" t="str">
        <x:v>41160005</x:v>
      </x:c>
      <x:c r="G756" s="489" t="str">
        <x:v>41160005-2024</x:v>
      </x:c>
      <x:c r="H756" s="489" t="str">
        <x:v>Informado/corrigido a partir do mapa</x:v>
      </x:c>
      <x:c r="I756" s="503" t="n">
        <x:v>0</x:v>
      </x:c>
      <x:c r="J756" s="503" t="n">
        <x:v>500000</x:v>
      </x:c>
      <x:c r="K756" s="489" t="str">
        <x:v>Emenda Individual</x:v>
      </x:c>
      <x:c r="L756" s="489"/>
      <x:c r="M756" s="503" t="n">
        <x:v>500000</x:v>
      </x:c>
      <x:c r="N756" s="503" t="n">
        <x:v>0</x:v>
      </x:c>
      <x:c r="O756" s="503" t="n">
        <x:v>0</x:v>
      </x:c>
      <x:c r="P756" s="503" t="n">
        <x:v>0</x:v>
      </x:c>
      <x:c r="Q756" s="503" t="n">
        <x:v>0</x:v>
      </x:c>
      <x:c r="R756" s="489" t="str"/>
      <x:c r="S756" s="489" t="str">
        <x:v>87297271000139</x:v>
      </x:c>
      <x:c r="T756" s="489" t="str">
        <x:v>CONFIRMADO</x:v>
      </x:c>
      <x:c r="U756" s="489" t="str">
        <x:v>Baixa</x:v>
      </x:c>
      <x:c r="V756" s="489" t="str">
        <x:v>Preencher situação: há pagamento identificado na fonte pública; CNPJ candidato na fonte SIGA: 87297271000139</x:v>
      </x:c>
      <x:c r="W756" s="489" t="str">
        <x:v>Valor do grupo fecha com: SIGA pago favorecido</x:v>
      </x:c>
      <x:c r="X756" s="489" t="str"/>
    </x:row>
    <x:row r="757">
      <x:c r="A757" s="502" t="n">
        <x:v>757</x:v>
      </x:c>
      <x:c r="B757" s="502" t="n">
        <x:v>2024</x:v>
      </x:c>
      <x:c r="C757" s="489" t="str">
        <x:v>Caxias do Sul</x:v>
      </x:c>
      <x:c r="D757" s="489" t="str">
        <x:v>Prefeitura Municipal de Caxias do Sul</x:v>
      </x:c>
      <x:c r="E757" s="489" t="str">
        <x:v>Prefeitura Municipal</x:v>
      </x:c>
      <x:c r="F757" s="489" t="str">
        <x:v>41160005</x:v>
      </x:c>
      <x:c r="G757" s="489" t="str">
        <x:v>41160005-2024</x:v>
      </x:c>
      <x:c r="H757" s="489" t="str">
        <x:v>Informado/corrigido a partir do mapa</x:v>
      </x:c>
      <x:c r="I757" s="503" t="n">
        <x:v>0</x:v>
      </x:c>
      <x:c r="J757" s="503" t="n">
        <x:v>0</x:v>
      </x:c>
      <x:c r="K757" s="489" t="str">
        <x:v>Emenda Individual</x:v>
      </x:c>
      <x:c r="L757" s="489"/>
      <x:c r="M757" s="503" t="n">
        <x:v>0</x:v>
      </x:c>
      <x:c r="N757" s="503" t="n">
        <x:v>1249036</x:v>
      </x:c>
      <x:c r="O757" s="503" t="n">
        <x:v>0</x:v>
      </x:c>
      <x:c r="P757" s="503" t="n">
        <x:v>0</x:v>
      </x:c>
      <x:c r="Q757" s="503" t="n">
        <x:v>0</x:v>
      </x:c>
      <x:c r="R757" s="489" t="str"/>
      <x:c r="S757" s="489" t="str"/>
      <x:c r="T757" s="489" t="str">
        <x:v>DESTINO/INSTRUMENTO CONFIRMADO; VALOR NÃO COMPARÁVEL</x:v>
      </x:c>
      <x:c r="U757" s="489" t="str">
        <x:v>Média</x:v>
      </x:c>
      <x:c r="V757" s="489" t="str"/>
      <x:c r="W757" s="489" t="str">
        <x:v>Há instrumento do Transferegov para a emenda/município; valores do instrumento não foram usados como prova do valor da emenda</x:v>
      </x:c>
      <x:c r="X757" s="489" t="str">
        <x:v>https://discricionarias.transferegov.sistema.gov.br/voluntarias/ConsultarProposta/ResultadoDaConsultaDeConvenioSelecionarConvenio.do?sequencialConvenio=967019&amp;Usr=guest&amp;Pwd=guest</x:v>
      </x:c>
    </x:row>
    <x:row r="758">
      <x:c r="A758" s="502" t="n">
        <x:v>758</x:v>
      </x:c>
      <x:c r="B758" s="502" t="n">
        <x:v>2024</x:v>
      </x:c>
      <x:c r="C758" s="489" t="str">
        <x:v>Dois Lajeados</x:v>
      </x:c>
      <x:c r="D758" s="489" t="str">
        <x:v>Prefeitura Municipal de Dois Lajeados</x:v>
      </x:c>
      <x:c r="E758" s="489" t="str">
        <x:v>Prefeitura Municipal</x:v>
      </x:c>
      <x:c r="F758" s="489" t="str">
        <x:v>41160005</x:v>
      </x:c>
      <x:c r="G758" s="489" t="str">
        <x:v>41160005-2024</x:v>
      </x:c>
      <x:c r="H758" s="489" t="str">
        <x:v>Informado/corrigido a partir do mapa</x:v>
      </x:c>
      <x:c r="I758" s="503" t="n">
        <x:v>0</x:v>
      </x:c>
      <x:c r="J758" s="503" t="n">
        <x:v>481104</x:v>
      </x:c>
      <x:c r="K758" s="489" t="str">
        <x:v>Emenda Individual</x:v>
      </x:c>
      <x:c r="L758" s="489"/>
      <x:c r="M758" s="503" t="n">
        <x:v>481104</x:v>
      </x:c>
      <x:c r="N758" s="503" t="n">
        <x:v>481104</x:v>
      </x:c>
      <x:c r="O758" s="503" t="n">
        <x:v>481104</x:v>
      </x:c>
      <x:c r="P758" s="503" t="n">
        <x:v>0</x:v>
      </x:c>
      <x:c r="Q758" s="503" t="n">
        <x:v>0</x:v>
      </x:c>
      <x:c r="R758" s="489" t="str"/>
      <x:c r="S758" s="489" t="str">
        <x:v>90221524000103</x:v>
      </x:c>
      <x:c r="T758" s="489" t="str">
        <x:v>CONFIRMADO</x:v>
      </x:c>
      <x:c r="U758" s="489" t="str">
        <x:v>Baixa</x:v>
      </x:c>
      <x:c r="V758" s="489" t="str">
        <x:v>Preencher situação: há pagamento identificado na fonte pública; CNPJ candidato na fonte SIGA: 90221524000103</x:v>
      </x:c>
      <x:c r="W758" s="489" t="str">
        <x:v>Valor do grupo fecha com: SIGA pago favorecido</x:v>
      </x:c>
      <x:c r="X758" s="489" t="str">
        <x:v>https://discricionarias.transferegov.sistema.gov.br/voluntarias/ConsultarProposta/ResultadoDaConsultaDeConvenioSelecionarConvenio.do?sequencialConvenio=973420&amp;Usr=guest&amp;Pwd=guest</x:v>
      </x:c>
    </x:row>
    <x:row r="759">
      <x:c r="A759" s="502" t="n">
        <x:v>759</x:v>
      </x:c>
      <x:c r="B759" s="502" t="n">
        <x:v>2024</x:v>
      </x:c>
      <x:c r="C759" s="489" t="str">
        <x:v>Flores da Cunha</x:v>
      </x:c>
      <x:c r="D759" s="489" t="str">
        <x:v>Prefeitura Municipal de Flores da Cunha</x:v>
      </x:c>
      <x:c r="E759" s="489" t="str">
        <x:v>Prefeitura Municipal</x:v>
      </x:c>
      <x:c r="F759" s="489" t="str">
        <x:v>41160005</x:v>
      </x:c>
      <x:c r="G759" s="489" t="str">
        <x:v>41160005-2024</x:v>
      </x:c>
      <x:c r="H759" s="489" t="str">
        <x:v>Informado/corrigido a partir do mapa</x:v>
      </x:c>
      <x:c r="I759" s="503" t="n">
        <x:v>0</x:v>
      </x:c>
      <x:c r="J759" s="503" t="n">
        <x:v>384205</x:v>
      </x:c>
      <x:c r="K759" s="489" t="str">
        <x:v>Emenda Individual</x:v>
      </x:c>
      <x:c r="L759" s="489"/>
      <x:c r="M759" s="503" t="n">
        <x:v>384205</x:v>
      </x:c>
      <x:c r="N759" s="503" t="n">
        <x:v>384205</x:v>
      </x:c>
      <x:c r="O759" s="503" t="n">
        <x:v>384205</x:v>
      </x:c>
      <x:c r="P759" s="503" t="n">
        <x:v>0</x:v>
      </x:c>
      <x:c r="Q759" s="503" t="n">
        <x:v>0</x:v>
      </x:c>
      <x:c r="R759" s="489" t="str"/>
      <x:c r="S759" s="489" t="str">
        <x:v>87843819000107</x:v>
      </x:c>
      <x:c r="T759" s="489" t="str">
        <x:v>CONFIRMADO</x:v>
      </x:c>
      <x:c r="U759" s="489" t="str">
        <x:v>Baixa</x:v>
      </x:c>
      <x:c r="V759" s="489" t="str">
        <x:v>Preencher situação: há pagamento identificado na fonte pública; CNPJ candidato na fonte SIGA: 87843819000107</x:v>
      </x:c>
      <x:c r="W759" s="489" t="str">
        <x:v>Valor do grupo fecha com: SIGA pago favorecido</x:v>
      </x:c>
      <x:c r="X759" s="489" t="str">
        <x:v>https://discricionarias.transferegov.sistema.gov.br/voluntarias/ConsultarProposta/ResultadoDaConsultaDeConvenioSelecionarConvenio.do?sequencialConvenio=973537&amp;Usr=guest&amp;Pwd=guest</x:v>
      </x:c>
    </x:row>
    <x:row r="760">
      <x:c r="A760" s="502" t="n">
        <x:v>760</x:v>
      </x:c>
      <x:c r="B760" s="502" t="n">
        <x:v>2024</x:v>
      </x:c>
      <x:c r="C760" s="489" t="str">
        <x:v>Lagoa Vermelha</x:v>
      </x:c>
      <x:c r="D760" s="489" t="str">
        <x:v>Prefeitura Municipal de Lagoa Vermelha</x:v>
      </x:c>
      <x:c r="E760" s="489" t="str">
        <x:v>Prefeitura Municipal</x:v>
      </x:c>
      <x:c r="F760" s="489" t="str">
        <x:v>41160005</x:v>
      </x:c>
      <x:c r="G760" s="489" t="str">
        <x:v>41160005-2024</x:v>
      </x:c>
      <x:c r="H760" s="489" t="str">
        <x:v>Informado/corrigido a partir do mapa</x:v>
      </x:c>
      <x:c r="I760" s="503" t="n">
        <x:v>0</x:v>
      </x:c>
      <x:c r="J760" s="503" t="n">
        <x:v>578003</x:v>
      </x:c>
      <x:c r="K760" s="489" t="str">
        <x:v>Emenda Individual</x:v>
      </x:c>
      <x:c r="L760" s="489"/>
      <x:c r="M760" s="503" t="n">
        <x:v>0</x:v>
      </x:c>
      <x:c r="N760" s="503" t="n">
        <x:v>578003</x:v>
      </x:c>
      <x:c r="O760" s="503" t="n">
        <x:v>0</x:v>
      </x:c>
      <x:c r="P760" s="503" t="n">
        <x:v>0</x:v>
      </x:c>
      <x:c r="Q760" s="503" t="n">
        <x:v>0</x:v>
      </x:c>
      <x:c r="R760" s="489" t="str"/>
      <x:c r="S760" s="489" t="str"/>
      <x:c r="T760" s="489" t="str">
        <x:v>DESTINO/INSTRUMENTO CONFIRMADO; VALOR NÃO COMPARÁVEL</x:v>
      </x:c>
      <x:c r="U760" s="489" t="str">
        <x:v>Média</x:v>
      </x:c>
      <x:c r="V760" s="489" t="str"/>
      <x:c r="W760" s="489" t="str">
        <x:v>Há instrumento do Transferegov para a emenda/município; valores do instrumento não foram usados como prova do valor da emenda</x:v>
      </x:c>
      <x:c r="X760" s="489" t="str">
        <x:v>https://discricionarias.transferegov.sistema.gov.br/voluntarias/ConsultarProposta/ResultadoDaConsultaDeConvenioSelecionarConvenio.do?sequencialConvenio=973563&amp;Usr=guest&amp;Pwd=guest</x:v>
      </x:c>
    </x:row>
    <x:row r="761">
      <x:c r="A761" s="502" t="n">
        <x:v>761</x:v>
      </x:c>
      <x:c r="B761" s="502" t="n">
        <x:v>2024</x:v>
      </x:c>
      <x:c r="C761" s="489" t="str">
        <x:v>Morro Reuter</x:v>
      </x:c>
      <x:c r="D761" s="489" t="str">
        <x:v>Prefeitura Municipal de Morro Reuter</x:v>
      </x:c>
      <x:c r="E761" s="489" t="str">
        <x:v>Prefeitura Municipal</x:v>
      </x:c>
      <x:c r="F761" s="489" t="str">
        <x:v>41160005</x:v>
      </x:c>
      <x:c r="G761" s="489" t="str">
        <x:v>41160005-2024</x:v>
      </x:c>
      <x:c r="H761" s="489" t="str">
        <x:v>Informado/corrigido a partir do mapa</x:v>
      </x:c>
      <x:c r="I761" s="503" t="n">
        <x:v>0</x:v>
      </x:c>
      <x:c r="J761" s="503" t="n">
        <x:v>1078487</x:v>
      </x:c>
      <x:c r="K761" s="489" t="str">
        <x:v>Emenda Individual</x:v>
      </x:c>
      <x:c r="L761" s="489"/>
      <x:c r="M761" s="503" t="n">
        <x:v>1078487</x:v>
      </x:c>
      <x:c r="N761" s="503" t="n">
        <x:v>1845828</x:v>
      </x:c>
      <x:c r="O761" s="503" t="n">
        <x:v>1845828</x:v>
      </x:c>
      <x:c r="P761" s="503" t="n">
        <x:v>0</x:v>
      </x:c>
      <x:c r="Q761" s="503" t="n">
        <x:v>0</x:v>
      </x:c>
      <x:c r="R761" s="489" t="str"/>
      <x:c r="S761" s="489" t="str">
        <x:v>94707627000120</x:v>
      </x:c>
      <x:c r="T761" s="489" t="str">
        <x:v>CONFIRMADO</x:v>
      </x:c>
      <x:c r="U761" s="489" t="str">
        <x:v>Baixa</x:v>
      </x:c>
      <x:c r="V761" s="489" t="str">
        <x:v>Preencher situação: há pagamento identificado na fonte pública; CNPJ candidato na fonte SIGA: 94707627000120</x:v>
      </x:c>
      <x:c r="W761" s="489" t="str">
        <x:v>Valor do grupo fecha com: SIGA pago favorecido</x:v>
      </x:c>
      <x:c r="X761" s="489" t="str">
        <x:v>https://discricionarias.transferegov.sistema.gov.br/voluntarias/ConsultarProposta/ResultadoDaConsultaDeConvenioSelecionarConvenio.do?sequencialConvenio=973409&amp;Usr=guest&amp;Pwd=guest | https://discricionarias.transferegov.sistema.gov.br/voluntarias/ConsultarProposta/ResultadoDaConsultaDeConvenioSelecionarConvenio.do?sequencialConvenio=966689&amp;Usr=guest&amp;Pwd=guest</x:v>
      </x:c>
    </x:row>
    <x:row r="762">
      <x:c r="A762" s="502" t="n">
        <x:v>762</x:v>
      </x:c>
      <x:c r="B762" s="502" t="n">
        <x:v>2024</x:v>
      </x:c>
      <x:c r="C762" s="489" t="str">
        <x:v>Muçum</x:v>
      </x:c>
      <x:c r="D762" s="489" t="str">
        <x:v>Prefeitura Municipal de Muçum</x:v>
      </x:c>
      <x:c r="E762" s="489" t="str">
        <x:v>Prefeitura Municipal</x:v>
      </x:c>
      <x:c r="F762" s="489" t="str">
        <x:v>41160005</x:v>
      </x:c>
      <x:c r="G762" s="489" t="str">
        <x:v>41160005-2024</x:v>
      </x:c>
      <x:c r="H762" s="489" t="str">
        <x:v>Informado/corrigido a partir do mapa</x:v>
      </x:c>
      <x:c r="I762" s="503" t="n">
        <x:v>0</x:v>
      </x:c>
      <x:c r="J762" s="503" t="n">
        <x:v>481104</x:v>
      </x:c>
      <x:c r="K762" s="489" t="str">
        <x:v>Emenda Individual</x:v>
      </x:c>
      <x:c r="L762" s="489"/>
      <x:c r="M762" s="503" t="n">
        <x:v>0</x:v>
      </x:c>
      <x:c r="N762" s="503" t="n">
        <x:v>481104</x:v>
      </x:c>
      <x:c r="O762" s="503" t="n">
        <x:v>0</x:v>
      </x:c>
      <x:c r="P762" s="503" t="n">
        <x:v>0</x:v>
      </x:c>
      <x:c r="Q762" s="503" t="n">
        <x:v>0</x:v>
      </x:c>
      <x:c r="R762" s="489" t="str"/>
      <x:c r="S762" s="489" t="str"/>
      <x:c r="T762" s="489" t="str">
        <x:v>DESTINO/INSTRUMENTO CONFIRMADO; VALOR NÃO COMPARÁVEL</x:v>
      </x:c>
      <x:c r="U762" s="489" t="str">
        <x:v>Média</x:v>
      </x:c>
      <x:c r="V762" s="489" t="str"/>
      <x:c r="W762" s="489" t="str">
        <x:v>Há instrumento do Transferegov para a emenda/município; valores do instrumento não foram usados como prova do valor da emenda</x:v>
      </x:c>
      <x:c r="X762" s="489" t="str">
        <x:v>https://discricionarias.transferegov.sistema.gov.br/voluntarias/ConsultarProposta/ResultadoDaConsultaDeConvenioSelecionarConvenio.do?sequencialConvenio=973464&amp;Usr=guest&amp;Pwd=guest</x:v>
      </x:c>
    </x:row>
    <x:row r="763">
      <x:c r="A763" s="502" t="n">
        <x:v>763</x:v>
      </x:c>
      <x:c r="B763" s="502" t="n">
        <x:v>2024</x:v>
      </x:c>
      <x:c r="C763" s="489" t="str">
        <x:v>Relvado</x:v>
      </x:c>
      <x:c r="D763" s="489" t="str">
        <x:v>Prefeitura Municipal de Relvado</x:v>
      </x:c>
      <x:c r="E763" s="489" t="str">
        <x:v>Prefeitura Municipal</x:v>
      </x:c>
      <x:c r="F763" s="489" t="str">
        <x:v>41160005</x:v>
      </x:c>
      <x:c r="G763" s="489" t="str">
        <x:v>41160005-2024</x:v>
      </x:c>
      <x:c r="H763" s="489" t="str">
        <x:v>Informado/corrigido a partir do mapa</x:v>
      </x:c>
      <x:c r="I763" s="503" t="n">
        <x:v>0</x:v>
      </x:c>
      <x:c r="J763" s="503" t="n">
        <x:v>384205</x:v>
      </x:c>
      <x:c r="K763" s="489" t="str">
        <x:v>Emenda Individual</x:v>
      </x:c>
      <x:c r="L763" s="489"/>
      <x:c r="M763" s="503" t="n">
        <x:v>384205</x:v>
      </x:c>
      <x:c r="N763" s="503" t="n">
        <x:v>384205</x:v>
      </x:c>
      <x:c r="O763" s="503" t="n">
        <x:v>384205</x:v>
      </x:c>
      <x:c r="P763" s="503" t="n">
        <x:v>0</x:v>
      </x:c>
      <x:c r="Q763" s="503" t="n">
        <x:v>0</x:v>
      </x:c>
      <x:c r="R763" s="489" t="str"/>
      <x:c r="S763" s="489" t="str">
        <x:v>92402510000103</x:v>
      </x:c>
      <x:c r="T763" s="489" t="str">
        <x:v>CONFIRMADO</x:v>
      </x:c>
      <x:c r="U763" s="489" t="str">
        <x:v>Baixa</x:v>
      </x:c>
      <x:c r="V763" s="489" t="str">
        <x:v>Preencher situação: há pagamento identificado na fonte pública; CNPJ candidato na fonte SIGA: 92402510000103</x:v>
      </x:c>
      <x:c r="W763" s="489" t="str">
        <x:v>Valor do grupo fecha com: SIGA pago favorecido</x:v>
      </x:c>
      <x:c r="X763" s="489" t="str">
        <x:v>https://discricionarias.transferegov.sistema.gov.br/voluntarias/ConsultarProposta/ResultadoDaConsultaDeConvenioSelecionarConvenio.do?sequencialConvenio=973402&amp;Usr=guest&amp;Pwd=guest</x:v>
      </x:c>
    </x:row>
    <x:row r="764">
      <x:c r="A764" s="502" t="n">
        <x:v>764</x:v>
      </x:c>
      <x:c r="B764" s="502" t="n">
        <x:v>2024</x:v>
      </x:c>
      <x:c r="C764" s="489" t="str">
        <x:v>São Martinho da Serra</x:v>
      </x:c>
      <x:c r="D764" s="489" t="str">
        <x:v>Prefeitura Municipal de São Martinho da Serra</x:v>
      </x:c>
      <x:c r="E764" s="489" t="str">
        <x:v>Prefeitura Municipal</x:v>
      </x:c>
      <x:c r="F764" s="489" t="str">
        <x:v>41160005</x:v>
      </x:c>
      <x:c r="G764" s="489" t="str">
        <x:v>41160005-2024</x:v>
      </x:c>
      <x:c r="H764" s="489" t="str">
        <x:v>Informado/corrigido a partir do mapa</x:v>
      </x:c>
      <x:c r="I764" s="503" t="n">
        <x:v>0</x:v>
      </x:c>
      <x:c r="J764" s="503" t="n">
        <x:v>384205</x:v>
      </x:c>
      <x:c r="K764" s="489" t="str">
        <x:v>Emenda Individual</x:v>
      </x:c>
      <x:c r="L764" s="489"/>
      <x:c r="M764" s="503" t="n">
        <x:v>0</x:v>
      </x:c>
      <x:c r="N764" s="503" t="n">
        <x:v>384205</x:v>
      </x:c>
      <x:c r="O764" s="503" t="n">
        <x:v>0</x:v>
      </x:c>
      <x:c r="P764" s="503" t="n">
        <x:v>0</x:v>
      </x:c>
      <x:c r="Q764" s="503" t="n">
        <x:v>0</x:v>
      </x:c>
      <x:c r="R764" s="489" t="str"/>
      <x:c r="S764" s="489" t="str"/>
      <x:c r="T764" s="489" t="str">
        <x:v>DESTINO/INSTRUMENTO CONFIRMADO; VALOR NÃO COMPARÁVEL</x:v>
      </x:c>
      <x:c r="U764" s="489" t="str">
        <x:v>Média</x:v>
      </x:c>
      <x:c r="V764" s="489" t="str"/>
      <x:c r="W764" s="489" t="str">
        <x:v>Há instrumento do Transferegov para a emenda/município; valores do instrumento não foram usados como prova do valor da emenda</x:v>
      </x:c>
      <x:c r="X764" s="489" t="str">
        <x:v>https://discricionarias.transferegov.sistema.gov.br/voluntarias/ConsultarProposta/ResultadoDaConsultaDeConvenioSelecionarConvenio.do?sequencialConvenio=973124&amp;Usr=guest&amp;Pwd=guest</x:v>
      </x:c>
    </x:row>
    <x:row r="765">
      <x:c r="A765" s="502" t="n">
        <x:v>765</x:v>
      </x:c>
      <x:c r="B765" s="502" t="n">
        <x:v>2024</x:v>
      </x:c>
      <x:c r="C765" s="489" t="str">
        <x:v>Sobradinho</x:v>
      </x:c>
      <x:c r="D765" s="489" t="str">
        <x:v>Prefeitura Municipal de Sobradinho</x:v>
      </x:c>
      <x:c r="E765" s="489" t="str">
        <x:v>Prefeitura Municipal</x:v>
      </x:c>
      <x:c r="F765" s="489" t="str">
        <x:v>41160005</x:v>
      </x:c>
      <x:c r="G765" s="489" t="str">
        <x:v>41160005-2024</x:v>
      </x:c>
      <x:c r="H765" s="489" t="str">
        <x:v>Informado/corrigido a partir do mapa</x:v>
      </x:c>
      <x:c r="I765" s="503" t="n">
        <x:v>0</x:v>
      </x:c>
      <x:c r="J765" s="503" t="n">
        <x:v>384205</x:v>
      </x:c>
      <x:c r="K765" s="489" t="str">
        <x:v>Emenda Individual</x:v>
      </x:c>
      <x:c r="L765" s="489"/>
      <x:c r="M765" s="503" t="n">
        <x:v>0</x:v>
      </x:c>
      <x:c r="N765" s="503" t="n">
        <x:v>384205</x:v>
      </x:c>
      <x:c r="O765" s="503" t="n">
        <x:v>0</x:v>
      </x:c>
      <x:c r="P765" s="503" t="n">
        <x:v>0</x:v>
      </x:c>
      <x:c r="Q765" s="503" t="n">
        <x:v>0</x:v>
      </x:c>
      <x:c r="R765" s="489" t="str"/>
      <x:c r="S765" s="489" t="str"/>
      <x:c r="T765" s="489" t="str">
        <x:v>DESTINO/INSTRUMENTO CONFIRMADO; VALOR NÃO COMPARÁVEL</x:v>
      </x:c>
      <x:c r="U765" s="489" t="str">
        <x:v>Média</x:v>
      </x:c>
      <x:c r="V765" s="489" t="str"/>
      <x:c r="W765" s="489" t="str">
        <x:v>Há instrumento do Transferegov para a emenda/município; valores do instrumento não foram usados como prova do valor da emenda</x:v>
      </x:c>
      <x:c r="X765" s="489" t="str">
        <x:v>https://discricionarias.transferegov.sistema.gov.br/voluntarias/ConsultarProposta/ResultadoDaConsultaDeConvenioSelecionarConvenio.do?sequencialConvenio=973541&amp;Usr=guest&amp;Pwd=guest</x:v>
      </x:c>
    </x:row>
  </x:sheetData>
  <x:conditionalFormatting sqref="U2:U765">
    <x:cfRule type="expression" dxfId="2" priority="1">
      <x:formula>U2="CRÍTICA"</x:formula>
    </x:cfRule>
    <x:cfRule type="expression" dxfId="3" priority="2">
      <x:formula>U2="Alta"</x:formula>
    </x:cfRule>
  </x:conditionalFormatting>
  <x:conditionalFormatting sqref="T2:T765">
    <x:cfRule type="expression" dxfId="4" priority="3">
      <x:formula>T2="CONFIRMADO"</x:formula>
    </x:cfRule>
    <x:cfRule type="expression" dxfId="5" priority="4">
      <x:formula>T2="VALOR DIVERGENTE / COBERTURA DIFERENTE"</x:formula>
    </x:cfRule>
  </x:conditionalFormatting>
  <x:pageMargins left="0.7" right="0.7" top="0.75" bottom="0.75" header="0.3" footer="0.3"/>
  <x:tableParts count="1">
    <x:tablePart xmlns:r="http://schemas.openxmlformats.org/officeDocument/2006/relationships" r:id="Re0c06a792c694779"/>
  </x:tableParts>
</x:worksheet>
</file>

<file path=xl/worksheets/sheet6.xml><?xml version="1.0" encoding="utf-8"?>
<x:worksheet xmlns:x="http://schemas.openxmlformats.org/spreadsheetml/2006/main">
  <x:sheetFormatPr defaultRowHeight="15"/>
  <x:cols>
    <x:col min="1" max="1" width="10" hidden="0" customWidth="1"/>
    <x:col min="2" max="2" width="8" hidden="0" customWidth="1"/>
    <x:col min="3" max="3" width="20" hidden="0" customWidth="1"/>
    <x:col min="4" max="4" width="30" hidden="0" customWidth="1"/>
    <x:col min="5" max="5" width="30" hidden="0" customWidth="1"/>
    <x:col min="6" max="6" width="22" hidden="0" customWidth="1"/>
    <x:col min="7" max="7" width="23" hidden="0" customWidth="1"/>
    <x:col min="8" max="8" width="30" hidden="0" customWidth="1"/>
    <x:col min="9" max="9" width="16" hidden="0" customWidth="1"/>
    <x:col min="10" max="10" width="18" hidden="0" customWidth="1"/>
    <x:col min="11" max="11" width="24" hidden="0" customWidth="1"/>
    <x:col min="12" max="12" width="28" hidden="0" customWidth="1"/>
    <x:col min="13" max="13" width="18" hidden="0" customWidth="1"/>
    <x:col min="14" max="14" width="22" hidden="0" customWidth="1"/>
    <x:col min="15" max="15" width="22" hidden="0" customWidth="1"/>
    <x:col min="16" max="16" width="17" hidden="0" customWidth="1"/>
    <x:col min="17" max="17" width="18" hidden="0" customWidth="1"/>
    <x:col min="18" max="18" width="20" hidden="0" customWidth="1"/>
    <x:col min="19" max="19" width="22" hidden="0" customWidth="1"/>
    <x:col min="20" max="20" width="42" hidden="0" customWidth="1"/>
    <x:col min="21" max="21" width="12" hidden="0" customWidth="1"/>
    <x:col min="22" max="22" width="62" hidden="0" customWidth="1"/>
    <x:col min="23" max="23" width="62" hidden="0" customWidth="1"/>
    <x:col min="24" max="24" width="60" hidden="0" customWidth="1"/>
  </x:cols>
  <x:sheetData>
    <x:row r="1">
      <x:c r="A1" s="482" t="str">
        <x:v>Linha no novo mapa</x:v>
      </x:c>
      <x:c r="B1" s="482" t="str">
        <x:v>Ano</x:v>
      </x:c>
      <x:c r="C1" s="482" t="str">
        <x:v>Município</x:v>
      </x:c>
      <x:c r="D1" s="482" t="str">
        <x:v>Beneficiário</x:v>
      </x:c>
      <x:c r="E1" s="482" t="str">
        <x:v>Instituição</x:v>
      </x:c>
      <x:c r="F1" s="482" t="str">
        <x:v>Nº emenda no mapa</x:v>
      </x:c>
      <x:c r="G1" s="482" t="str">
        <x:v>Nº emenda conciliado</x:v>
      </x:c>
      <x:c r="H1" s="482" t="str">
        <x:v>Origem do nº conciliado</x:v>
      </x:c>
      <x:c r="I1" s="482" t="str">
        <x:v>Valor no mapa</x:v>
      </x:c>
      <x:c r="J1" s="482" t="str">
        <x:v>Valor grupo município/emenda</x:v>
      </x:c>
      <x:c r="K1" s="482" t="str">
        <x:v>Tipo da emenda</x:v>
      </x:c>
      <x:c r="L1" s="482" t="str">
        <x:v>Situação no mapa</x:v>
      </x:c>
      <x:c r="M1" s="482" t="str">
        <x:v>SIGA pago ao favorecido (município)</x:v>
      </x:c>
      <x:c r="N1" s="482" t="str">
        <x:v>Transferegov empenhado bruto dos instrumentos</x:v>
      </x:c>
      <x:c r="O1" s="482" t="str">
        <x:v>Transferegov desembolsado bruto dos instrumentos</x:v>
      </x:c>
      <x:c r="P1" s="482" t="str">
        <x:v>PIX CIENTE atual (município)</x:v>
      </x:c>
      <x:c r="Q1" s="482" t="str">
        <x:v>PIX IMPEDIDO/histórico (município)</x:v>
      </x:c>
      <x:c r="R1" s="482" t="str">
        <x:v>Status PIX</x:v>
      </x:c>
      <x:c r="S1" s="482" t="str">
        <x:v>CNPJ público candidato</x:v>
      </x:c>
      <x:c r="T1" s="482" t="str">
        <x:v>Resultado da conciliação</x:v>
      </x:c>
      <x:c r="U1" s="482" t="str">
        <x:v>Prioridade</x:v>
      </x:c>
      <x:c r="V1" s="482" t="str">
        <x:v>Correção/atualização sugerida</x:v>
      </x:c>
      <x:c r="W1" s="482" t="str">
        <x:v>Nota de evidência</x:v>
      </x:c>
      <x:c r="X1" s="482" t="str">
        <x:v>URL pública</x:v>
      </x:c>
    </x:row>
    <x:row r="2">
      <x:c r="A2" t="n">
        <x:v>3</x:v>
      </x:c>
      <x:c r="B2" t="n">
        <x:v>2023</x:v>
      </x:c>
      <x:c r="C2" s="476" t="str">
        <x:v>Rio Grande</x:v>
      </x:c>
      <x:c r="D2" s="476" t="str">
        <x:v>Fundo Naval</x:v>
      </x:c>
      <x:c r="E2" s="476" t="str">
        <x:v>Fundo Naval</x:v>
      </x:c>
      <x:c r="F2" s="476" t="str">
        <x:v>41160009</x:v>
      </x:c>
      <x:c r="G2" s="476" t="str">
        <x:v>41160009-2023</x:v>
      </x:c>
      <x:c r="H2" s="476" t="str">
        <x:v>Informado/corrigido a partir do mapa</x:v>
      </x:c>
      <x:c r="I2" s="499" t="n">
        <x:v>1200</x:v>
      </x:c>
      <x:c r="J2" s="499" t="n">
        <x:v>335000</x:v>
      </x:c>
      <x:c r="K2" s="476" t="str">
        <x:v>Emenda Individual</x:v>
      </x:c>
      <x:c r="L2" s="476" t="str">
        <x:v>Recurso pago</x:v>
      </x:c>
      <x:c r="M2" s="499" t="n">
        <x:v>0</x:v>
      </x:c>
      <x:c r="N2" s="499" t="n">
        <x:v>0</x:v>
      </x:c>
      <x:c r="O2" s="499" t="n">
        <x:v>0</x:v>
      </x:c>
      <x:c r="P2" s="499" t="n">
        <x:v>0</x:v>
      </x:c>
      <x:c r="Q2" s="499" t="n">
        <x:v>0</x:v>
      </x:c>
      <x:c r="R2" s="476" t="str"/>
      <x:c r="S2" s="476" t="str"/>
      <x:c r="T2" s="476" t="str">
        <x:v>EMENDA CONFIRMADA; DESTINO NÃO CONFIRMADO</x:v>
      </x:c>
      <x:c r="U2" s="476" t="str">
        <x:v>Média</x:v>
      </x:c>
      <x:c r="V2" s="476" t="str"/>
      <x:c r="W2" s="476" t="str">
        <x:v>Nº existe no SIGA; destinatário específico não foi confirmado nas bases anexas</x:v>
      </x:c>
      <x:c r="X2" s="476" t="str"/>
    </x:row>
    <x:row r="3">
      <x:c r="A3" t="n">
        <x:v>4</x:v>
      </x:c>
      <x:c r="B3" t="n">
        <x:v>2020</x:v>
      </x:c>
      <x:c r="C3" s="476" t="str">
        <x:v>Bagé</x:v>
      </x:c>
      <x:c r="D3" s="476" t="str">
        <x:v>Polícia Civil</x:v>
      </x:c>
      <x:c r="E3" s="476" t="str">
        <x:v>9ª Delegacia de Polícia Regional – Bagé</x:v>
      </x:c>
      <x:c r="F3" s="476" t="str">
        <x:v>41160010</x:v>
      </x:c>
      <x:c r="G3" s="476" t="str">
        <x:v>41160010-2020</x:v>
      </x:c>
      <x:c r="H3" s="476" t="str">
        <x:v>Informado/corrigido a partir do mapa</x:v>
      </x:c>
      <x:c r="I3" s="499" t="n">
        <x:v>12142.85</x:v>
      </x:c>
      <x:c r="J3" s="499" t="n">
        <x:v>12142.85</x:v>
      </x:c>
      <x:c r="K3" s="476" t="str">
        <x:v>Emenda individual</x:v>
      </x:c>
      <x:c r="L3" s="476" t="str">
        <x:v>Recurso empenhado. Inexigibilidade de licitação aceita pelo Ministério. Recurso pago em 25/04/2022. De acordo com consulta feita no Transferegov, em 03/04/2024, não é possível afirmar que foi pago. Há dois convênio com o MS vinculados a essa emenda, um deles vigente até 04/2025. Será necessário consultar o órgão para verificar se o valor referente à Polícia Civil de Bagé foi recebido.</x:v>
      </x:c>
      <x:c r="M3" s="499" t="n">
        <x:v>0</x:v>
      </x:c>
      <x:c r="N3" s="499" t="n">
        <x:v>0</x:v>
      </x:c>
      <x:c r="O3" s="499" t="n">
        <x:v>0</x:v>
      </x:c>
      <x:c r="P3" s="499" t="n">
        <x:v>0</x:v>
      </x:c>
      <x:c r="Q3" s="499" t="n">
        <x:v>0</x:v>
      </x:c>
      <x:c r="R3" s="476" t="str"/>
      <x:c r="S3" s="476" t="str"/>
      <x:c r="T3" s="476" t="str">
        <x:v>EMENDA CONFIRMADA; DESTINO NÃO CONFIRMADO</x:v>
      </x:c>
      <x:c r="U3" s="476" t="str">
        <x:v>Média</x:v>
      </x:c>
      <x:c r="V3" s="476" t="str"/>
      <x:c r="W3" s="476" t="str">
        <x:v>Nº existe no SIGA; destinatário específico não foi confirmado nas bases anexas</x:v>
      </x:c>
      <x:c r="X3" s="476" t="str"/>
    </x:row>
    <x:row r="4">
      <x:c r="A4" t="n">
        <x:v>5</x:v>
      </x:c>
      <x:c r="B4" t="n">
        <x:v>2022</x:v>
      </x:c>
      <x:c r="C4" s="476" t="str">
        <x:v>Barão de Cotegipe</x:v>
      </x:c>
      <x:c r="D4" s="476" t="str">
        <x:v>Município</x:v>
      </x:c>
      <x:c r="E4" s="476" t="str">
        <x:v>Prefeitura Municipal</x:v>
      </x:c>
      <x:c r="F4" s="476" t="str">
        <x:v>41160002</x:v>
      </x:c>
      <x:c r="G4" s="476" t="str">
        <x:v>41160002-2022</x:v>
      </x:c>
      <x:c r="H4" s="476" t="str">
        <x:v>Informado/corrigido a partir do mapa</x:v>
      </x:c>
      <x:c r="I4" s="499" t="n">
        <x:v>20000</x:v>
      </x:c>
      <x:c r="J4" s="499" t="n">
        <x:v>40000</x:v>
      </x:c>
      <x:c r="K4" s="476" t="str">
        <x:v>Emenda Individual </x:v>
      </x:c>
      <x:c r="L4" s="476" t="str">
        <x:v>Recurso pago</x:v>
      </x:c>
      <x:c r="M4" s="499" t="n">
        <x:v>20000</x:v>
      </x:c>
      <x:c r="N4" s="499" t="n">
        <x:v>0</x:v>
      </x:c>
      <x:c r="O4" s="499" t="n">
        <x:v>0</x:v>
      </x:c>
      <x:c r="P4" s="499" t="n">
        <x:v>0</x:v>
      </x:c>
      <x:c r="Q4" s="499" t="n">
        <x:v>0</x:v>
      </x:c>
      <x:c r="R4" s="476" t="str"/>
      <x:c r="S4" s="476" t="str">
        <x:v>11709721000191</x:v>
      </x:c>
      <x:c r="T4" s="476" t="str">
        <x:v>VALOR DIVERGENTE / COBERTURA DIFERENTE</x:v>
      </x:c>
      <x:c r="U4" s="476" t="str">
        <x:v>Alta</x:v>
      </x:c>
      <x:c r="V4" s="476" t="str">
        <x:v>CNPJ candidato na fonte SIGA: 11709721000191</x:v>
      </x:c>
      <x:c r="W4" s="476" t="str">
        <x:v>Município/localidade encontrado em fonte comparável, mas valor não fecha exatamente</x:v>
      </x:c>
      <x:c r="X4" s="476" t="str"/>
    </x:row>
    <x:row r="5">
      <x:c r="A5" t="n">
        <x:v>6</x:v>
      </x:c>
      <x:c r="B5" t="n">
        <x:v>2022</x:v>
      </x:c>
      <x:c r="C5" s="476" t="str">
        <x:v>Barão de Cotegipe</x:v>
      </x:c>
      <x:c r="D5" s="476" t="str">
        <x:v>Prefeitura</x:v>
      </x:c>
      <x:c r="E5" s="476" t="str">
        <x:v>Prefeitura Municipal</x:v>
      </x:c>
      <x:c r="F5" s="476" t="str">
        <x:v>41160002</x:v>
      </x:c>
      <x:c r="G5" s="476" t="str">
        <x:v>41160002-2022</x:v>
      </x:c>
      <x:c r="H5" s="476" t="str">
        <x:v>Informado/corrigido a partir do mapa</x:v>
      </x:c>
      <x:c r="I5" s="499" t="n">
        <x:v>20000</x:v>
      </x:c>
      <x:c r="J5" s="499" t="n">
        <x:v>40000</x:v>
      </x:c>
      <x:c r="K5" s="476" t="str">
        <x:v>Emenda individual (processo seletivo 2021)</x:v>
      </x:c>
      <x:c r="L5" s="476" t="str">
        <x:v>Recurso pago</x:v>
      </x:c>
      <x:c r="M5" s="499" t="n">
        <x:v>20000</x:v>
      </x:c>
      <x:c r="N5" s="499" t="n">
        <x:v>0</x:v>
      </x:c>
      <x:c r="O5" s="499" t="n">
        <x:v>0</x:v>
      </x:c>
      <x:c r="P5" s="499" t="n">
        <x:v>0</x:v>
      </x:c>
      <x:c r="Q5" s="499" t="n">
        <x:v>0</x:v>
      </x:c>
      <x:c r="R5" s="476" t="str"/>
      <x:c r="S5" s="476" t="str">
        <x:v>11709721000191</x:v>
      </x:c>
      <x:c r="T5" s="476" t="str">
        <x:v>VALOR DIVERGENTE / COBERTURA DIFERENTE</x:v>
      </x:c>
      <x:c r="U5" s="476" t="str">
        <x:v>Alta</x:v>
      </x:c>
      <x:c r="V5" s="476" t="str">
        <x:v>CNPJ candidato na fonte SIGA: 11709721000191</x:v>
      </x:c>
      <x:c r="W5" s="476" t="str">
        <x:v>Município/localidade encontrado em fonte comparável, mas valor não fecha exatamente</x:v>
      </x:c>
      <x:c r="X5" s="476" t="str"/>
    </x:row>
    <x:row r="6">
      <x:c r="A6" t="n">
        <x:v>7</x:v>
      </x:c>
      <x:c r="B6" t="n">
        <x:v>2021</x:v>
      </x:c>
      <x:c r="C6" s="476" t="str">
        <x:v>Novo Hamburgo</x:v>
      </x:c>
      <x:c r="D6" s="476" t="str">
        <x:v> Polícia Civil </x:v>
      </x:c>
      <x:c r="E6" s="476" t="str">
        <x:v>2ª Delegacia de Polícia de Novo Hamburgo</x:v>
      </x:c>
      <x:c r="F6" s="476" t="str">
        <x:v>41160001</x:v>
      </x:c>
      <x:c r="G6" s="476" t="str">
        <x:v>41160001-2021</x:v>
      </x:c>
      <x:c r="H6" s="476" t="str">
        <x:v>Informado/corrigido a partir do mapa</x:v>
      </x:c>
      <x:c r="I6" s="499" t="n">
        <x:v>26383.34</x:v>
      </x:c>
      <x:c r="J6" s="499" t="n">
        <x:v>26383.34</x:v>
      </x:c>
      <x:c r="K6" s="476" t="str">
        <x:v>Emenda individual</x:v>
      </x:c>
      <x:c r="L6" s="476" t="str">
        <x:v>Empenhado</x:v>
      </x:c>
      <x:c r="M6" s="499" t="n">
        <x:v>0</x:v>
      </x:c>
      <x:c r="N6" s="499" t="n">
        <x:v>0</x:v>
      </x:c>
      <x:c r="O6" s="499" t="n">
        <x:v>0</x:v>
      </x:c>
      <x:c r="P6" s="499" t="n">
        <x:v>0</x:v>
      </x:c>
      <x:c r="Q6" s="499" t="n">
        <x:v>0</x:v>
      </x:c>
      <x:c r="R6" s="476" t="str"/>
      <x:c r="S6" s="476" t="str"/>
      <x:c r="T6" s="476" t="str">
        <x:v>EMENDA CONFIRMADA; DESTINO NÃO CONFIRMADO</x:v>
      </x:c>
      <x:c r="U6" s="476" t="str">
        <x:v>Média</x:v>
      </x:c>
      <x:c r="V6" s="476" t="str"/>
      <x:c r="W6" s="476" t="str">
        <x:v>Nº existe no SIGA; destinatário específico não foi confirmado nas bases anexas</x:v>
      </x:c>
      <x:c r="X6" s="476" t="str"/>
    </x:row>
    <x:row r="7">
      <x:c r="A7" t="n">
        <x:v>8</x:v>
      </x:c>
      <x:c r="B7" t="n">
        <x:v>2020</x:v>
      </x:c>
      <x:c r="C7" s="476" t="str">
        <x:v>Porto Alegre</x:v>
      </x:c>
      <x:c r="D7" s="476" t="str">
        <x:v>Instituto Geral de Perícias</x:v>
      </x:c>
      <x:c r="E7" s="476" t="str">
        <x:v>Instituto Geral de Perícias</x:v>
      </x:c>
      <x:c r="F7" s="476" t="str">
        <x:v>41160008</x:v>
      </x:c>
      <x:c r="G7" s="476" t="str">
        <x:v>41160008-2020</x:v>
      </x:c>
      <x:c r="H7" s="476" t="str">
        <x:v>Informado/corrigido a partir do mapa</x:v>
      </x:c>
      <x:c r="I7" s="499" t="n">
        <x:v>26706.33</x:v>
      </x:c>
      <x:c r="J7" s="499" t="n">
        <x:v>497251.73</x:v>
      </x:c>
      <x:c r="K7" s="476" t="str">
        <x:v>Emenda individual</x:v>
      </x:c>
      <x:c r="L7" s="476" t="str">
        <x:v>Pregão eletrônio concluído.</x:v>
      </x:c>
      <x:c r="M7" s="499" t="n">
        <x:v>439028</x:v>
      </x:c>
      <x:c r="N7" s="499" t="n">
        <x:v>855337.73</x:v>
      </x:c>
      <x:c r="O7" s="499" t="n">
        <x:v>439028</x:v>
      </x:c>
      <x:c r="P7" s="499" t="n">
        <x:v>0</x:v>
      </x:c>
      <x:c r="Q7" s="499" t="n">
        <x:v>0</x:v>
      </x:c>
      <x:c r="R7" s="476" t="str"/>
      <x:c r="S7" s="476" t="str">
        <x:v>87958583000146</x:v>
      </x:c>
      <x:c r="T7" s="476" t="str">
        <x:v>VALOR DIVERGENTE / COBERTURA DIFERENTE</x:v>
      </x:c>
      <x:c r="U7" s="476" t="str">
        <x:v>Alta</x:v>
      </x:c>
      <x:c r="V7" s="476" t="str">
        <x:v>CNPJ candidato na fonte SIGA: 87958583000146</x:v>
      </x:c>
      <x:c r="W7" s="476" t="str">
        <x:v>Município/localidade encontrado em fonte comparável, mas valor não fecha exatamente</x:v>
      </x:c>
      <x:c r="X7" s="476" t="str">
        <x:v>https://discricionarias.transferegov.sistema.gov.br/voluntarias/ConsultarProposta/ResultadoDaConsultaDeConvenioSelecionarConvenio.do?sequencialConvenio=905738&amp;Usr=guest&amp;Pwd=guest</x:v>
      </x:c>
    </x:row>
    <x:row r="8">
      <x:c r="A8" t="n">
        <x:v>10</x:v>
      </x:c>
      <x:c r="B8" t="n">
        <x:v>2023</x:v>
      </x:c>
      <x:c r="C8" s="476" t="str">
        <x:v>Santa Vitória do Palmar</x:v>
      </x:c>
      <x:c r="D8" s="476" t="str">
        <x:v>APAE</x:v>
      </x:c>
      <x:c r="E8" s="476" t="str">
        <x:v>APAE de Santa Vitória do Palmar</x:v>
      </x:c>
      <x:c r="F8" s="476" t="str"/>
      <x:c r="G8" s="476" t="str"/>
      <x:c r="H8" s="476" t="str">
        <x:v>Sem nº conciliado</x:v>
      </x:c>
      <x:c r="I8" s="499" t="n">
        <x:v>30514.31</x:v>
      </x:c>
      <x:c r="J8" s="499" t="n">
        <x:v>30514.31</x:v>
      </x:c>
      <x:c r="K8" s="476" t="str">
        <x:v>Emenda de Bancada</x:v>
      </x:c>
      <x:c r="L8" s="476" t="str">
        <x:v>Recurso pago</x:v>
      </x:c>
      <x:c r="M8" s="499" t="n">
        <x:v>0</x:v>
      </x:c>
      <x:c r="N8" s="499" t="n">
        <x:v>0</x:v>
      </x:c>
      <x:c r="O8" s="499" t="n">
        <x:v>0</x:v>
      </x:c>
      <x:c r="P8" s="499" t="n">
        <x:v>0</x:v>
      </x:c>
      <x:c r="Q8" s="499" t="n">
        <x:v>0</x:v>
      </x:c>
      <x:c r="R8" s="476" t="str"/>
      <x:c r="S8" s="476" t="str"/>
      <x:c r="T8" s="476" t="str">
        <x:v>SEM Nº / NÃO CONCILIADO</x:v>
      </x:c>
      <x:c r="U8" s="476" t="str">
        <x:v>Média</x:v>
      </x:c>
      <x:c r="V8" s="476" t="str"/>
      <x:c r="W8" s="476" t="str"/>
      <x:c r="X8" s="476" t="str"/>
    </x:row>
    <x:row r="9">
      <x:c r="A9" t="n">
        <x:v>11</x:v>
      </x:c>
      <x:c r="B9" t="n">
        <x:v>2020</x:v>
      </x:c>
      <x:c r="C9" s="476" t="str">
        <x:v>Porto Alegre</x:v>
      </x:c>
      <x:c r="D9" s="476" t="str">
        <x:v>Polícia Civil</x:v>
      </x:c>
      <x:c r="E9" s="476" t="str">
        <x:v>Divisão Estadual de Combate à Corrupção e à Lavagem de Dinheiro</x:v>
      </x:c>
      <x:c r="F9" s="476" t="str">
        <x:v>41160010</x:v>
      </x:c>
      <x:c r="G9" s="476" t="str">
        <x:v>41160010-2020</x:v>
      </x:c>
      <x:c r="H9" s="476" t="str">
        <x:v>Informado/corrigido a partir do mapa</x:v>
      </x:c>
      <x:c r="I9" s="499" t="n">
        <x:v>31428.6</x:v>
      </x:c>
      <x:c r="J9" s="499" t="n">
        <x:v>554830.11</x:v>
      </x:c>
      <x:c r="K9" s="476" t="str">
        <x:v>Emenda individual</x:v>
      </x:c>
      <x:c r="L9" s="476" t="str">
        <x:v>Recurso empenhado. Inexigibilidade de licitação aceita pelo Ministério. </x:v>
      </x:c>
      <x:c r="M9" s="499" t="n">
        <x:v>622294.89</x:v>
      </x:c>
      <x:c r="N9" s="499" t="n">
        <x:v>3614493.94</x:v>
      </x:c>
      <x:c r="O9" s="499" t="n">
        <x:v>3290479.1</x:v>
      </x:c>
      <x:c r="P9" s="499" t="n">
        <x:v>0</x:v>
      </x:c>
      <x:c r="Q9" s="499" t="n">
        <x:v>0</x:v>
      </x:c>
      <x:c r="R9" s="476" t="str"/>
      <x:c r="S9" s="476" t="str">
        <x:v>87958583000146</x:v>
      </x:c>
      <x:c r="T9" s="476" t="str">
        <x:v>VALOR DIVERGENTE / COBERTURA DIFERENTE</x:v>
      </x:c>
      <x:c r="U9" s="476" t="str">
        <x:v>Alta</x:v>
      </x:c>
      <x:c r="V9" s="476" t="str">
        <x:v>Situação possivelmente desatualizada: SIGA/execução regionalizada mostra pagamento; CNPJ candidato na fonte SIGA: 87958583000146</x:v>
      </x:c>
      <x:c r="W9" s="476" t="str">
        <x:v>Município/localidade encontrado em fonte comparável, mas valor não fecha exatamente</x:v>
      </x:c>
      <x:c r="X9" s="476" t="str">
        <x:v>https://discricionarias.transferegov.sistema.gov.br/voluntarias/ConsultarProposta/ResultadoDaConsultaDeConvenioSelecionarConvenio.do?sequencialConvenio=905242&amp;Usr=guest&amp;Pwd=guest | https://discricionarias.transferegov.sistema.gov.br/voluntarias/ConsultarProposta/ResultadoDaConsultaDeConvenioSelecionarConvenio.do?sequencialConvenio=905738&amp;Usr=guest&amp;Pwd=guest</x:v>
      </x:c>
    </x:row>
    <x:row r="10">
      <x:c r="A10" t="n">
        <x:v>12</x:v>
      </x:c>
      <x:c r="B10" t="n">
        <x:v>2020</x:v>
      </x:c>
      <x:c r="C10" s="476" t="str">
        <x:v>Porto Alegre</x:v>
      </x:c>
      <x:c r="D10" s="476" t="str">
        <x:v>Instituto Geral de Perícias</x:v>
      </x:c>
      <x:c r="E10" s="476" t="str">
        <x:v>Instituto Geral de Perícias</x:v>
      </x:c>
      <x:c r="F10" s="476" t="str">
        <x:v>41160008</x:v>
      </x:c>
      <x:c r="G10" s="476" t="str">
        <x:v>41160008-2020</x:v>
      </x:c>
      <x:c r="H10" s="476" t="str">
        <x:v>Informado/corrigido a partir do mapa</x:v>
      </x:c>
      <x:c r="I10" s="499" t="n">
        <x:v>31616.04</x:v>
      </x:c>
      <x:c r="J10" s="499" t="n">
        <x:v>497251.73</x:v>
      </x:c>
      <x:c r="K10" s="476" t="str">
        <x:v>Emenda individual</x:v>
      </x:c>
      <x:c r="L10" s="476" t="str">
        <x:v>Pregão eletrônio concluído.</x:v>
      </x:c>
      <x:c r="M10" s="499" t="n">
        <x:v>439028</x:v>
      </x:c>
      <x:c r="N10" s="499" t="n">
        <x:v>855337.73</x:v>
      </x:c>
      <x:c r="O10" s="499" t="n">
        <x:v>439028</x:v>
      </x:c>
      <x:c r="P10" s="499" t="n">
        <x:v>0</x:v>
      </x:c>
      <x:c r="Q10" s="499" t="n">
        <x:v>0</x:v>
      </x:c>
      <x:c r="R10" s="476" t="str"/>
      <x:c r="S10" s="476" t="str">
        <x:v>87958583000146</x:v>
      </x:c>
      <x:c r="T10" s="476" t="str">
        <x:v>VALOR DIVERGENTE / COBERTURA DIFERENTE</x:v>
      </x:c>
      <x:c r="U10" s="476" t="str">
        <x:v>Alta</x:v>
      </x:c>
      <x:c r="V10" s="476" t="str">
        <x:v>CNPJ candidato na fonte SIGA: 87958583000146</x:v>
      </x:c>
      <x:c r="W10" s="476" t="str">
        <x:v>Município/localidade encontrado em fonte comparável, mas valor não fecha exatamente</x:v>
      </x:c>
      <x:c r="X10" s="476" t="str">
        <x:v>https://discricionarias.transferegov.sistema.gov.br/voluntarias/ConsultarProposta/ResultadoDaConsultaDeConvenioSelecionarConvenio.do?sequencialConvenio=905738&amp;Usr=guest&amp;Pwd=guest</x:v>
      </x:c>
    </x:row>
    <x:row r="11">
      <x:c r="A11" t="n">
        <x:v>14</x:v>
      </x:c>
      <x:c r="B11" t="n">
        <x:v>2023</x:v>
      </x:c>
      <x:c r="C11" s="476" t="str">
        <x:v>Espumoso</x:v>
      </x:c>
      <x:c r="D11" s="476" t="str">
        <x:v>APAE</x:v>
      </x:c>
      <x:c r="E11" s="476" t="str">
        <x:v>APAE de Espumoso</x:v>
      </x:c>
      <x:c r="F11" s="476" t="str"/>
      <x:c r="G11" s="476" t="str"/>
      <x:c r="H11" s="476" t="str">
        <x:v>Sem nº conciliado</x:v>
      </x:c>
      <x:c r="I11" s="499" t="n">
        <x:v>35000</x:v>
      </x:c>
      <x:c r="J11" s="499" t="n">
        <x:v>35000</x:v>
      </x:c>
      <x:c r="K11" s="476" t="str">
        <x:v>Emenda de Bancada</x:v>
      </x:c>
      <x:c r="L11" s="476" t="str">
        <x:v>Recursos pago.</x:v>
      </x:c>
      <x:c r="M11" s="499" t="n">
        <x:v>0</x:v>
      </x:c>
      <x:c r="N11" s="499" t="n">
        <x:v>0</x:v>
      </x:c>
      <x:c r="O11" s="499" t="n">
        <x:v>0</x:v>
      </x:c>
      <x:c r="P11" s="499" t="n">
        <x:v>0</x:v>
      </x:c>
      <x:c r="Q11" s="499" t="n">
        <x:v>0</x:v>
      </x:c>
      <x:c r="R11" s="476" t="str"/>
      <x:c r="S11" s="476" t="str"/>
      <x:c r="T11" s="476" t="str">
        <x:v>SEM Nº / NÃO CONCILIADO</x:v>
      </x:c>
      <x:c r="U11" s="476" t="str">
        <x:v>Média</x:v>
      </x:c>
      <x:c r="V11" s="476" t="str"/>
      <x:c r="W11" s="476" t="str"/>
      <x:c r="X11" s="476" t="str"/>
    </x:row>
    <x:row r="12">
      <x:c r="A12" t="n">
        <x:v>15</x:v>
      </x:c>
      <x:c r="B12" t="n">
        <x:v>2023</x:v>
      </x:c>
      <x:c r="C12" s="476" t="str">
        <x:v>Aratiba</x:v>
      </x:c>
      <x:c r="D12" s="476" t="str">
        <x:v>APAE</x:v>
      </x:c>
      <x:c r="E12" s="476" t="str">
        <x:v>APAE de Aratiba</x:v>
      </x:c>
      <x:c r="F12" s="476" t="str"/>
      <x:c r="G12" s="476" t="str"/>
      <x:c r="H12" s="476" t="str">
        <x:v>Sem nº conciliado</x:v>
      </x:c>
      <x:c r="I12" s="499" t="n">
        <x:v>37480</x:v>
      </x:c>
      <x:c r="J12" s="499" t="n">
        <x:v>37480</x:v>
      </x:c>
      <x:c r="K12" s="476" t="str">
        <x:v>Emenda de Bancada</x:v>
      </x:c>
      <x:c r="L12" s="476" t="str">
        <x:v>Recurso pago</x:v>
      </x:c>
      <x:c r="M12" s="499" t="n">
        <x:v>0</x:v>
      </x:c>
      <x:c r="N12" s="499" t="n">
        <x:v>0</x:v>
      </x:c>
      <x:c r="O12" s="499" t="n">
        <x:v>0</x:v>
      </x:c>
      <x:c r="P12" s="499" t="n">
        <x:v>0</x:v>
      </x:c>
      <x:c r="Q12" s="499" t="n">
        <x:v>0</x:v>
      </x:c>
      <x:c r="R12" s="476" t="str"/>
      <x:c r="S12" s="476" t="str"/>
      <x:c r="T12" s="476" t="str">
        <x:v>SEM Nº / NÃO CONCILIADO</x:v>
      </x:c>
      <x:c r="U12" s="476" t="str">
        <x:v>Média</x:v>
      </x:c>
      <x:c r="V12" s="476" t="str"/>
      <x:c r="W12" s="476" t="str"/>
      <x:c r="X12" s="476" t="str"/>
    </x:row>
    <x:row r="13">
      <x:c r="A13" t="n">
        <x:v>16</x:v>
      </x:c>
      <x:c r="B13" t="n">
        <x:v>2021</x:v>
      </x:c>
      <x:c r="C13" s="476" t="str">
        <x:v>Santa Maria</x:v>
      </x:c>
      <x:c r="D13" s="476" t="str">
        <x:v>Secretaria de Administração Penitenciária </x:v>
      </x:c>
      <x:c r="E13" s="476" t="str">
        <x:v>2ª Delegacia Penitenciária Regional - Santa Maria</x:v>
      </x:c>
      <x:c r="F13" s="476" t="str">
        <x:v>41160005</x:v>
      </x:c>
      <x:c r="G13" s="476" t="str">
        <x:v>41160005-2021</x:v>
      </x:c>
      <x:c r="H13" s="476" t="str">
        <x:v>Informado/corrigido a partir do mapa</x:v>
      </x:c>
      <x:c r="I13" s="499" t="n">
        <x:v>38354.48</x:v>
      </x:c>
      <x:c r="J13" s="499" t="n">
        <x:v>38354.48</x:v>
      </x:c>
      <x:c r="K13" s="476" t="str">
        <x:v>Emenda individual</x:v>
      </x:c>
      <x:c r="L13" s="476" t="str">
        <x:v>Recurso pago</x:v>
      </x:c>
      <x:c r="M13" s="499" t="n">
        <x:v>0</x:v>
      </x:c>
      <x:c r="N13" s="499" t="n">
        <x:v>0</x:v>
      </x:c>
      <x:c r="O13" s="499" t="n">
        <x:v>0</x:v>
      </x:c>
      <x:c r="P13" s="499" t="n">
        <x:v>0</x:v>
      </x:c>
      <x:c r="Q13" s="499" t="n">
        <x:v>0</x:v>
      </x:c>
      <x:c r="R13" s="476" t="str"/>
      <x:c r="S13" s="476" t="str"/>
      <x:c r="T13" s="476" t="str">
        <x:v>EMENDA CONFIRMADA; DESTINO NÃO CONFIRMADO</x:v>
      </x:c>
      <x:c r="U13" s="476" t="str">
        <x:v>Média</x:v>
      </x:c>
      <x:c r="V13" s="476" t="str"/>
      <x:c r="W13" s="476" t="str">
        <x:v>Nº existe no SIGA; destinatário específico não foi confirmado nas bases anexas</x:v>
      </x:c>
      <x:c r="X13" s="476" t="str"/>
    </x:row>
    <x:row r="14">
      <x:c r="A14" t="n">
        <x:v>17</x:v>
      </x:c>
      <x:c r="B14" t="n">
        <x:v>2023</x:v>
      </x:c>
      <x:c r="C14" s="476" t="str">
        <x:v>Bossoroca</x:v>
      </x:c>
      <x:c r="D14" s="476" t="str">
        <x:v>APAE</x:v>
      </x:c>
      <x:c r="E14" s="476" t="str">
        <x:v>APAE de Bossoroca</x:v>
      </x:c>
      <x:c r="F14" s="476" t="str"/>
      <x:c r="G14" s="476" t="str"/>
      <x:c r="H14" s="476" t="str">
        <x:v>Sem nº conciliado</x:v>
      </x:c>
      <x:c r="I14" s="499" t="n">
        <x:v>39600</x:v>
      </x:c>
      <x:c r="J14" s="499" t="n">
        <x:v>39600</x:v>
      </x:c>
      <x:c r="K14" s="476" t="str">
        <x:v>Emenda de Bancada</x:v>
      </x:c>
      <x:c r="L14" s="476" t="str">
        <x:v>Recurso pago</x:v>
      </x:c>
      <x:c r="M14" s="499" t="n">
        <x:v>0</x:v>
      </x:c>
      <x:c r="N14" s="499" t="n">
        <x:v>0</x:v>
      </x:c>
      <x:c r="O14" s="499" t="n">
        <x:v>0</x:v>
      </x:c>
      <x:c r="P14" s="499" t="n">
        <x:v>0</x:v>
      </x:c>
      <x:c r="Q14" s="499" t="n">
        <x:v>0</x:v>
      </x:c>
      <x:c r="R14" s="476" t="str"/>
      <x:c r="S14" s="476" t="str"/>
      <x:c r="T14" s="476" t="str">
        <x:v>SEM Nº / NÃO CONCILIADO</x:v>
      </x:c>
      <x:c r="U14" s="476" t="str">
        <x:v>Média</x:v>
      </x:c>
      <x:c r="V14" s="476" t="str"/>
      <x:c r="W14" s="476" t="str"/>
      <x:c r="X14" s="476" t="str"/>
    </x:row>
    <x:row r="15">
      <x:c r="A15" t="n">
        <x:v>18</x:v>
      </x:c>
      <x:c r="B15" t="n">
        <x:v>2020</x:v>
      </x:c>
      <x:c r="C15" s="476" t="str">
        <x:v>Porto Alegre</x:v>
      </x:c>
      <x:c r="D15" s="476" t="str">
        <x:v>Hospital</x:v>
      </x:c>
      <x:c r="E15" s="476" t="str">
        <x:v>Rede de Saúde Div. Prov.- Hosp. Independência</x:v>
      </x:c>
      <x:c r="F15" s="476" t="str">
        <x:v>41160005</x:v>
      </x:c>
      <x:c r="G15" s="476" t="str">
        <x:v>41160005-2020</x:v>
      </x:c>
      <x:c r="H15" s="476" t="str">
        <x:v>Informado/corrigido a partir do mapa</x:v>
      </x:c>
      <x:c r="I15" s="499" t="n">
        <x:v>40000</x:v>
      </x:c>
      <x:c r="J15" s="499" t="n">
        <x:v>1000000</x:v>
      </x:c>
      <x:c r="K15" s="476" t="str">
        <x:v>Emenda Individual (processo seletivo)</x:v>
      </x:c>
      <x:c r="L15" s="476" t="str">
        <x:v>Recurso pago</x:v>
      </x:c>
      <x:c r="M15" s="499" t="n">
        <x:v>2600000</x:v>
      </x:c>
      <x:c r="N15" s="499" t="n">
        <x:v>0</x:v>
      </x:c>
      <x:c r="O15" s="499" t="n">
        <x:v>0</x:v>
      </x:c>
      <x:c r="P15" s="499" t="n">
        <x:v>0</x:v>
      </x:c>
      <x:c r="Q15" s="499" t="n">
        <x:v>0</x:v>
      </x:c>
      <x:c r="R15" s="476" t="str"/>
      <x:c r="S15" s="476" t="str">
        <x:v>11358235000176, 87182846000178</x:v>
      </x:c>
      <x:c r="T15" s="476" t="str">
        <x:v>VALOR DIVERGENTE / COBERTURA DIFERENTE</x:v>
      </x:c>
      <x:c r="U15" s="476" t="str">
        <x:v>Alta</x:v>
      </x:c>
      <x:c r="V15" s="476" t="str"/>
      <x:c r="W15" s="476" t="str">
        <x:v>Município/localidade encontrado em fonte comparável, mas valor não fecha exatamente</x:v>
      </x:c>
      <x:c r="X15" s="476" t="str"/>
    </x:row>
    <x:row r="16">
      <x:c r="A16" t="n">
        <x:v>19</x:v>
      </x:c>
      <x:c r="B16" t="n">
        <x:v>2023</x:v>
      </x:c>
      <x:c r="C16" s="476" t="str">
        <x:v>Santo Augusto</x:v>
      </x:c>
      <x:c r="D16" s="476" t="str">
        <x:v>APAE</x:v>
      </x:c>
      <x:c r="E16" s="476" t="str">
        <x:v>APAE de Santo Augusto</x:v>
      </x:c>
      <x:c r="F16" s="476" t="str"/>
      <x:c r="G16" s="476" t="str"/>
      <x:c r="H16" s="476" t="str">
        <x:v>Sem nº conciliado</x:v>
      </x:c>
      <x:c r="I16" s="499" t="n">
        <x:v>40200</x:v>
      </x:c>
      <x:c r="J16" s="499" t="n">
        <x:v>40200</x:v>
      </x:c>
      <x:c r="K16" s="476" t="str">
        <x:v>Emenda de Bancada</x:v>
      </x:c>
      <x:c r="L16" s="476" t="str">
        <x:v>Recurso pago</x:v>
      </x:c>
      <x:c r="M16" s="499" t="n">
        <x:v>0</x:v>
      </x:c>
      <x:c r="N16" s="499" t="n">
        <x:v>0</x:v>
      </x:c>
      <x:c r="O16" s="499" t="n">
        <x:v>0</x:v>
      </x:c>
      <x:c r="P16" s="499" t="n">
        <x:v>0</x:v>
      </x:c>
      <x:c r="Q16" s="499" t="n">
        <x:v>0</x:v>
      </x:c>
      <x:c r="R16" s="476" t="str"/>
      <x:c r="S16" s="476" t="str"/>
      <x:c r="T16" s="476" t="str">
        <x:v>SEM Nº / NÃO CONCILIADO</x:v>
      </x:c>
      <x:c r="U16" s="476" t="str">
        <x:v>Média</x:v>
      </x:c>
      <x:c r="V16" s="476" t="str"/>
      <x:c r="W16" s="476" t="str"/>
      <x:c r="X16" s="476" t="str"/>
    </x:row>
    <x:row r="17">
      <x:c r="A17" t="n">
        <x:v>20</x:v>
      </x:c>
      <x:c r="B17" t="n">
        <x:v>2025</x:v>
      </x:c>
      <x:c r="C17" s="476" t="str">
        <x:v>Campestre da Serra</x:v>
      </x:c>
      <x:c r="D17" s="476" t="str">
        <x:v>Fundo Municipal De Saude De Campestre Da Serra - Rs Campestre Da Serra - Rs</x:v>
      </x:c>
      <x:c r="E17" s="476" t="str">
        <x:v>Prefeitura Municipal</x:v>
      </x:c>
      <x:c r="F17" s="476" t="str">
        <x:v>41160001</x:v>
      </x:c>
      <x:c r="G17" s="476" t="str">
        <x:v>41160001-2025</x:v>
      </x:c>
      <x:c r="H17" s="476" t="str">
        <x:v>Informado/corrigido a partir do mapa</x:v>
      </x:c>
      <x:c r="I17" s="499" t="n">
        <x:v>40925</x:v>
      </x:c>
      <x:c r="J17" s="499" t="n">
        <x:v>40925</x:v>
      </x:c>
      <x:c r="K17" s="476" t="str">
        <x:v>Emenda Individual</x:v>
      </x:c>
      <x:c r="L17" s="476"/>
      <x:c r="M17" s="499" t="n">
        <x:v>154340</x:v>
      </x:c>
      <x:c r="N17" s="499" t="n">
        <x:v>0</x:v>
      </x:c>
      <x:c r="O17" s="499" t="n">
        <x:v>0</x:v>
      </x:c>
      <x:c r="P17" s="499" t="n">
        <x:v>0</x:v>
      </x:c>
      <x:c r="Q17" s="499" t="n">
        <x:v>0</x:v>
      </x:c>
      <x:c r="R17" s="476" t="str"/>
      <x:c r="S17" s="476" t="str">
        <x:v>12452816000135</x:v>
      </x:c>
      <x:c r="T17" s="476" t="str">
        <x:v>VALOR DIVERGENTE / COBERTURA DIFERENTE</x:v>
      </x:c>
      <x:c r="U17" s="476" t="str">
        <x:v>Alta</x:v>
      </x:c>
      <x:c r="V17" s="476" t="str">
        <x:v>Preencher situação: há pagamento identificado na fonte pública</x:v>
      </x:c>
      <x:c r="W17" s="476" t="str">
        <x:v>Município/localidade encontrado em fonte comparável, mas valor não fecha exatamente</x:v>
      </x:c>
      <x:c r="X17" s="476" t="str"/>
    </x:row>
    <x:row r="18">
      <x:c r="A18" t="n">
        <x:v>21</x:v>
      </x:c>
      <x:c r="B18" t="n">
        <x:v>2020</x:v>
      </x:c>
      <x:c r="C18" s="476" t="str">
        <x:v>Porto Alegre</x:v>
      </x:c>
      <x:c r="D18" s="476" t="str">
        <x:v>Instituto Geral de Perícias</x:v>
      </x:c>
      <x:c r="E18" s="476" t="str">
        <x:v>Instituto Geral de Perícias</x:v>
      </x:c>
      <x:c r="F18" s="476" t="str">
        <x:v>41160008</x:v>
      </x:c>
      <x:c r="G18" s="476" t="str">
        <x:v>41160008-2020</x:v>
      </x:c>
      <x:c r="H18" s="476" t="str">
        <x:v>Informado/corrigido a partir do mapa</x:v>
      </x:c>
      <x:c r="I18" s="499" t="n">
        <x:v>41388.5</x:v>
      </x:c>
      <x:c r="J18" s="499" t="n">
        <x:v>497251.73</x:v>
      </x:c>
      <x:c r="K18" s="476" t="str">
        <x:v>Emenda individual</x:v>
      </x:c>
      <x:c r="L18" s="476" t="str">
        <x:v>Pregão eletrônio concluído. Pagamento no valor de  27.999,00 realizado em 25/10/2021. O valor unitário das mesas ginecológicas da proposta vencedora ficou em  1.866,00, economizando recursos públicos, já que o valor empenhado era de  2,759,23 por mesa (total de  41.388,50 conforme o Plano de Trabalho) </x:v>
      </x:c>
      <x:c r="M18" s="499" t="n">
        <x:v>439028</x:v>
      </x:c>
      <x:c r="N18" s="499" t="n">
        <x:v>855337.73</x:v>
      </x:c>
      <x:c r="O18" s="499" t="n">
        <x:v>439028</x:v>
      </x:c>
      <x:c r="P18" s="499" t="n">
        <x:v>0</x:v>
      </x:c>
      <x:c r="Q18" s="499" t="n">
        <x:v>0</x:v>
      </x:c>
      <x:c r="R18" s="476" t="str"/>
      <x:c r="S18" s="476" t="str">
        <x:v>87958583000146</x:v>
      </x:c>
      <x:c r="T18" s="476" t="str">
        <x:v>VALOR DIVERGENTE / COBERTURA DIFERENTE</x:v>
      </x:c>
      <x:c r="U18" s="476" t="str">
        <x:v>Alta</x:v>
      </x:c>
      <x:c r="V18" s="476" t="str">
        <x:v>Situação possivelmente desatualizada: SIGA/execução regionalizada mostra pagamento; CNPJ candidato na fonte SIGA: 87958583000146</x:v>
      </x:c>
      <x:c r="W18" s="476" t="str">
        <x:v>Município/localidade encontrado em fonte comparável, mas valor não fecha exatamente</x:v>
      </x:c>
      <x:c r="X18" s="476" t="str">
        <x:v>https://discricionarias.transferegov.sistema.gov.br/voluntarias/ConsultarProposta/ResultadoDaConsultaDeConvenioSelecionarConvenio.do?sequencialConvenio=905738&amp;Usr=guest&amp;Pwd=guest</x:v>
      </x:c>
    </x:row>
    <x:row r="19">
      <x:c r="A19" t="n">
        <x:v>22</x:v>
      </x:c>
      <x:c r="B19" t="n">
        <x:v>2020</x:v>
      </x:c>
      <x:c r="C19" s="476" t="str">
        <x:v>Porto Alegre</x:v>
      </x:c>
      <x:c r="D19" s="476" t="str">
        <x:v>Instituto Geral de Perícias</x:v>
      </x:c>
      <x:c r="E19" s="476" t="str">
        <x:v>Instituto Geral de Perícias</x:v>
      </x:c>
      <x:c r="F19" s="476" t="str">
        <x:v>41160008</x:v>
      </x:c>
      <x:c r="G19" s="476" t="str">
        <x:v>41160008-2020</x:v>
      </x:c>
      <x:c r="H19" s="476" t="str">
        <x:v>Informado/corrigido a partir do mapa</x:v>
      </x:c>
      <x:c r="I19" s="499" t="n">
        <x:v>41565.73</x:v>
      </x:c>
      <x:c r="J19" s="499" t="n">
        <x:v>497251.73</x:v>
      </x:c>
      <x:c r="K19" s="476" t="str">
        <x:v>Emenda individual</x:v>
      </x:c>
      <x:c r="L19" s="476" t="str">
        <x:v>Pregão eletrônio concluído.</x:v>
      </x:c>
      <x:c r="M19" s="499" t="n">
        <x:v>439028</x:v>
      </x:c>
      <x:c r="N19" s="499" t="n">
        <x:v>855337.73</x:v>
      </x:c>
      <x:c r="O19" s="499" t="n">
        <x:v>439028</x:v>
      </x:c>
      <x:c r="P19" s="499" t="n">
        <x:v>0</x:v>
      </x:c>
      <x:c r="Q19" s="499" t="n">
        <x:v>0</x:v>
      </x:c>
      <x:c r="R19" s="476" t="str"/>
      <x:c r="S19" s="476" t="str">
        <x:v>87958583000146</x:v>
      </x:c>
      <x:c r="T19" s="476" t="str">
        <x:v>VALOR DIVERGENTE / COBERTURA DIFERENTE</x:v>
      </x:c>
      <x:c r="U19" s="476" t="str">
        <x:v>Alta</x:v>
      </x:c>
      <x:c r="V19" s="476" t="str">
        <x:v>CNPJ candidato na fonte SIGA: 87958583000146</x:v>
      </x:c>
      <x:c r="W19" s="476" t="str">
        <x:v>Município/localidade encontrado em fonte comparável, mas valor não fecha exatamente</x:v>
      </x:c>
      <x:c r="X19" s="476" t="str">
        <x:v>https://discricionarias.transferegov.sistema.gov.br/voluntarias/ConsultarProposta/ResultadoDaConsultaDeConvenioSelecionarConvenio.do?sequencialConvenio=905738&amp;Usr=guest&amp;Pwd=guest</x:v>
      </x:c>
    </x:row>
    <x:row r="20">
      <x:c r="A20" t="n">
        <x:v>23</x:v>
      </x:c>
      <x:c r="B20" t="n">
        <x:v>2023</x:v>
      </x:c>
      <x:c r="C20" s="476" t="str">
        <x:v>Rosário do Sul</x:v>
      </x:c>
      <x:c r="D20" s="476" t="str">
        <x:v>APAE</x:v>
      </x:c>
      <x:c r="E20" s="476" t="str">
        <x:v>APAE de Rosário do Sul</x:v>
      </x:c>
      <x:c r="F20" s="476" t="str"/>
      <x:c r="G20" s="476" t="str"/>
      <x:c r="H20" s="476" t="str">
        <x:v>Sem nº conciliado</x:v>
      </x:c>
      <x:c r="I20" s="499" t="n">
        <x:v>44950</x:v>
      </x:c>
      <x:c r="J20" s="499" t="n">
        <x:v>44950</x:v>
      </x:c>
      <x:c r="K20" s="476" t="str">
        <x:v>Emenda de Bancada</x:v>
      </x:c>
      <x:c r="L20" s="476" t="str">
        <x:v>Recurso pago</x:v>
      </x:c>
      <x:c r="M20" s="499" t="n">
        <x:v>0</x:v>
      </x:c>
      <x:c r="N20" s="499" t="n">
        <x:v>0</x:v>
      </x:c>
      <x:c r="O20" s="499" t="n">
        <x:v>0</x:v>
      </x:c>
      <x:c r="P20" s="499" t="n">
        <x:v>0</x:v>
      </x:c>
      <x:c r="Q20" s="499" t="n">
        <x:v>0</x:v>
      </x:c>
      <x:c r="R20" s="476" t="str"/>
      <x:c r="S20" s="476" t="str"/>
      <x:c r="T20" s="476" t="str">
        <x:v>SEM Nº / NÃO CONCILIADO</x:v>
      </x:c>
      <x:c r="U20" s="476" t="str">
        <x:v>Média</x:v>
      </x:c>
      <x:c r="V20" s="476" t="str"/>
      <x:c r="W20" s="476" t="str"/>
      <x:c r="X20" s="476" t="str"/>
    </x:row>
    <x:row r="21">
      <x:c r="A21" t="n">
        <x:v>24</x:v>
      </x:c>
      <x:c r="B21" t="n">
        <x:v>2023</x:v>
      </x:c>
      <x:c r="C21" s="476" t="str">
        <x:v>Bom Retiro do Sul</x:v>
      </x:c>
      <x:c r="D21" s="476" t="str">
        <x:v>APAE</x:v>
      </x:c>
      <x:c r="E21" s="476" t="str">
        <x:v>APAE de Bom Retiro do Sul</x:v>
      </x:c>
      <x:c r="F21" s="476" t="str"/>
      <x:c r="G21" s="476" t="str"/>
      <x:c r="H21" s="476" t="str">
        <x:v>Sem nº conciliado</x:v>
      </x:c>
      <x:c r="I21" s="499" t="n">
        <x:v>49379.28</x:v>
      </x:c>
      <x:c r="J21" s="499" t="n">
        <x:v>49379.28</x:v>
      </x:c>
      <x:c r="K21" s="476" t="str">
        <x:v>Emenda de Bancada</x:v>
      </x:c>
      <x:c r="L21" s="476" t="str">
        <x:v>Recurso pago</x:v>
      </x:c>
      <x:c r="M21" s="499" t="n">
        <x:v>0</x:v>
      </x:c>
      <x:c r="N21" s="499" t="n">
        <x:v>0</x:v>
      </x:c>
      <x:c r="O21" s="499" t="n">
        <x:v>0</x:v>
      </x:c>
      <x:c r="P21" s="499" t="n">
        <x:v>0</x:v>
      </x:c>
      <x:c r="Q21" s="499" t="n">
        <x:v>0</x:v>
      </x:c>
      <x:c r="R21" s="476" t="str"/>
      <x:c r="S21" s="476" t="str"/>
      <x:c r="T21" s="476" t="str">
        <x:v>SEM Nº / NÃO CONCILIADO</x:v>
      </x:c>
      <x:c r="U21" s="476" t="str">
        <x:v>Média</x:v>
      </x:c>
      <x:c r="V21" s="476" t="str"/>
      <x:c r="W21" s="476" t="str"/>
      <x:c r="X21" s="476" t="str"/>
    </x:row>
    <x:row r="22">
      <x:c r="A22" t="n">
        <x:v>25</x:v>
      </x:c>
      <x:c r="B22" t="n">
        <x:v>2023</x:v>
      </x:c>
      <x:c r="C22" s="476" t="str">
        <x:v>Campo Novo</x:v>
      </x:c>
      <x:c r="D22" s="476" t="str">
        <x:v>APAE</x:v>
      </x:c>
      <x:c r="E22" s="476" t="str">
        <x:v>APAE de Campo Novo</x:v>
      </x:c>
      <x:c r="F22" s="476" t="str"/>
      <x:c r="G22" s="476" t="str"/>
      <x:c r="H22" s="476" t="str">
        <x:v>Sem nº conciliado</x:v>
      </x:c>
      <x:c r="I22" s="499" t="n">
        <x:v>49379.28</x:v>
      </x:c>
      <x:c r="J22" s="499" t="n">
        <x:v>49379.28</x:v>
      </x:c>
      <x:c r="K22" s="476" t="str">
        <x:v>Emenda de Bancada</x:v>
      </x:c>
      <x:c r="L22" s="476" t="str">
        <x:v>Recurso pago</x:v>
      </x:c>
      <x:c r="M22" s="499" t="n">
        <x:v>0</x:v>
      </x:c>
      <x:c r="N22" s="499" t="n">
        <x:v>0</x:v>
      </x:c>
      <x:c r="O22" s="499" t="n">
        <x:v>0</x:v>
      </x:c>
      <x:c r="P22" s="499" t="n">
        <x:v>0</x:v>
      </x:c>
      <x:c r="Q22" s="499" t="n">
        <x:v>0</x:v>
      </x:c>
      <x:c r="R22" s="476" t="str"/>
      <x:c r="S22" s="476" t="str"/>
      <x:c r="T22" s="476" t="str">
        <x:v>SEM Nº / NÃO CONCILIADO</x:v>
      </x:c>
      <x:c r="U22" s="476" t="str">
        <x:v>Média</x:v>
      </x:c>
      <x:c r="V22" s="476" t="str"/>
      <x:c r="W22" s="476" t="str"/>
      <x:c r="X22" s="476" t="str"/>
    </x:row>
    <x:row r="23">
      <x:c r="A23" t="n">
        <x:v>26</x:v>
      </x:c>
      <x:c r="B23" t="n">
        <x:v>2019</x:v>
      </x:c>
      <x:c r="C23" s="476" t="str">
        <x:v>Guaporé</x:v>
      </x:c>
      <x:c r="D23" s="476" t="str">
        <x:v>Escola Agrotécnica</x:v>
      </x:c>
      <x:c r="E23" s="476" t="str">
        <x:v>Escola Estadual Técnica Agrícola Guaporé</x:v>
      </x:c>
      <x:c r="F23" s="476" t="str">
        <x:v>71220005</x:v>
      </x:c>
      <x:c r="G23" s="476" t="str">
        <x:v>71220005-2019</x:v>
      </x:c>
      <x:c r="H23" s="476" t="str">
        <x:v>Informado/corrigido a partir do mapa</x:v>
      </x:c>
      <x:c r="I23" s="499" t="n">
        <x:v>50000</x:v>
      </x:c>
      <x:c r="J23" s="499" t="n">
        <x:v>50000</x:v>
      </x:c>
      <x:c r="K23" s="476" t="str">
        <x:v>Emenda de Bancada (processo seletivo)</x:v>
      </x:c>
      <x:c r="L23" s="476" t="str">
        <x:v>Recurso pago</x:v>
      </x:c>
      <x:c r="M23" s="499" t="n">
        <x:v>0</x:v>
      </x:c>
      <x:c r="N23" s="499" t="n">
        <x:v>0</x:v>
      </x:c>
      <x:c r="O23" s="499" t="n">
        <x:v>0</x:v>
      </x:c>
      <x:c r="P23" s="499" t="n">
        <x:v>0</x:v>
      </x:c>
      <x:c r="Q23" s="499" t="n">
        <x:v>0</x:v>
      </x:c>
      <x:c r="R23" s="476" t="str"/>
      <x:c r="S23" s="476" t="str"/>
      <x:c r="T23" s="476" t="str">
        <x:v>Nº NÃO LOCALIZADO</x:v>
      </x:c>
      <x:c r="U23" s="476" t="str">
        <x:v>Média</x:v>
      </x:c>
      <x:c r="V23" s="476" t="str"/>
      <x:c r="W23" s="476" t="str"/>
      <x:c r="X23" s="476" t="str"/>
    </x:row>
    <x:row r="24">
      <x:c r="A24" t="n">
        <x:v>27</x:v>
      </x:c>
      <x:c r="B24" t="n">
        <x:v>2020</x:v>
      </x:c>
      <x:c r="C24" s="476" t="str">
        <x:v>Araricá</x:v>
      </x:c>
      <x:c r="D24" s="476" t="str">
        <x:v>Município/hospital mais próximo</x:v>
      </x:c>
      <x:c r="E24" s="476" t="str">
        <x:v>Prefeitura/Hospital Sapiranga</x:v>
      </x:c>
      <x:c r="F24" s="476" t="str"/>
      <x:c r="G24" s="476" t="str"/>
      <x:c r="H24" s="476" t="str">
        <x:v>Sem nº conciliado</x:v>
      </x:c>
      <x:c r="I24" s="499" t="n">
        <x:v>50000</x:v>
      </x:c>
      <x:c r="J24" s="499" t="n">
        <x:v>50000</x:v>
      </x:c>
      <x:c r="K24" s="476" t="str">
        <x:v>Emenda de bancada</x:v>
      </x:c>
      <x:c r="L24" s="476" t="str">
        <x:v>Recurso pago</x:v>
      </x:c>
      <x:c r="M24" s="499" t="n">
        <x:v>0</x:v>
      </x:c>
      <x:c r="N24" s="499" t="n">
        <x:v>0</x:v>
      </x:c>
      <x:c r="O24" s="499" t="n">
        <x:v>0</x:v>
      </x:c>
      <x:c r="P24" s="499" t="n">
        <x:v>0</x:v>
      </x:c>
      <x:c r="Q24" s="499" t="n">
        <x:v>0</x:v>
      </x:c>
      <x:c r="R24" s="476" t="str"/>
      <x:c r="S24" s="476" t="str"/>
      <x:c r="T24" s="476" t="str">
        <x:v>SEM Nº / NÃO CONCILIADO</x:v>
      </x:c>
      <x:c r="U24" s="476" t="str">
        <x:v>Média</x:v>
      </x:c>
      <x:c r="V24" s="476" t="str"/>
      <x:c r="W24" s="476" t="str"/>
      <x:c r="X24" s="476" t="str"/>
    </x:row>
    <x:row r="25">
      <x:c r="A25" t="n">
        <x:v>28</x:v>
      </x:c>
      <x:c r="B25" t="n">
        <x:v>2020</x:v>
      </x:c>
      <x:c r="C25" s="476" t="str">
        <x:v>Canela</x:v>
      </x:c>
      <x:c r="D25" s="476" t="str">
        <x:v>Hospital</x:v>
      </x:c>
      <x:c r="E25" s="476" t="str">
        <x:v>Hospital de Caridade de Canela</x:v>
      </x:c>
      <x:c r="F25" s="476" t="str">
        <x:v>7122 0006</x:v>
      </x:c>
      <x:c r="G25" s="476" t="str">
        <x:v>71220006-2020</x:v>
      </x:c>
      <x:c r="H25" s="476" t="str">
        <x:v>Informado/corrigido a partir do mapa</x:v>
      </x:c>
      <x:c r="I25" s="499" t="n">
        <x:v>50000</x:v>
      </x:c>
      <x:c r="J25" s="499" t="n">
        <x:v>50000</x:v>
      </x:c>
      <x:c r="K25" s="476" t="str">
        <x:v>Emenda de Bancada</x:v>
      </x:c>
      <x:c r="L25" s="476" t="str">
        <x:v>Recurso pago</x:v>
      </x:c>
      <x:c r="M25" s="499" t="n">
        <x:v>0</x:v>
      </x:c>
      <x:c r="N25" s="499" t="n">
        <x:v>0</x:v>
      </x:c>
      <x:c r="O25" s="499" t="n">
        <x:v>0</x:v>
      </x:c>
      <x:c r="P25" s="499" t="n">
        <x:v>0</x:v>
      </x:c>
      <x:c r="Q25" s="499" t="n">
        <x:v>0</x:v>
      </x:c>
      <x:c r="R25" s="476" t="str"/>
      <x:c r="S25" s="476" t="str"/>
      <x:c r="T25" s="476" t="str">
        <x:v>Nº NÃO LOCALIZADO</x:v>
      </x:c>
      <x:c r="U25" s="476" t="str">
        <x:v>Média</x:v>
      </x:c>
      <x:c r="V25" s="476" t="str"/>
      <x:c r="W25" s="476" t="str"/>
      <x:c r="X25" s="476" t="str"/>
    </x:row>
    <x:row r="26">
      <x:c r="A26" t="n">
        <x:v>29</x:v>
      </x:c>
      <x:c r="B26" t="n">
        <x:v>2020</x:v>
      </x:c>
      <x:c r="C26" s="476" t="str">
        <x:v>Carazinho</x:v>
      </x:c>
      <x:c r="D26" s="476" t="str">
        <x:v>Hospital</x:v>
      </x:c>
      <x:c r="E26" s="476" t="str">
        <x:v>Hospital Comunitário de Carazinho</x:v>
      </x:c>
      <x:c r="F26" s="476" t="str">
        <x:v>7122 0006</x:v>
      </x:c>
      <x:c r="G26" s="476" t="str">
        <x:v>71220006-2020</x:v>
      </x:c>
      <x:c r="H26" s="476" t="str">
        <x:v>Informado/corrigido a partir do mapa</x:v>
      </x:c>
      <x:c r="I26" s="499" t="n">
        <x:v>50000</x:v>
      </x:c>
      <x:c r="J26" s="499" t="n">
        <x:v>50000</x:v>
      </x:c>
      <x:c r="K26" s="476" t="str">
        <x:v>Emenda de Bancada</x:v>
      </x:c>
      <x:c r="L26" s="476" t="str">
        <x:v>Recurso pago</x:v>
      </x:c>
      <x:c r="M26" s="499" t="n">
        <x:v>0</x:v>
      </x:c>
      <x:c r="N26" s="499" t="n">
        <x:v>0</x:v>
      </x:c>
      <x:c r="O26" s="499" t="n">
        <x:v>0</x:v>
      </x:c>
      <x:c r="P26" s="499" t="n">
        <x:v>0</x:v>
      </x:c>
      <x:c r="Q26" s="499" t="n">
        <x:v>0</x:v>
      </x:c>
      <x:c r="R26" s="476" t="str"/>
      <x:c r="S26" s="476" t="str"/>
      <x:c r="T26" s="476" t="str">
        <x:v>Nº NÃO LOCALIZADO</x:v>
      </x:c>
      <x:c r="U26" s="476" t="str">
        <x:v>Média</x:v>
      </x:c>
      <x:c r="V26" s="476" t="str"/>
      <x:c r="W26" s="476" t="str"/>
      <x:c r="X26" s="476" t="str"/>
    </x:row>
    <x:row r="27">
      <x:c r="A27" t="n">
        <x:v>30</x:v>
      </x:c>
      <x:c r="B27" t="n">
        <x:v>2020</x:v>
      </x:c>
      <x:c r="C27" s="476" t="str">
        <x:v>Gramado</x:v>
      </x:c>
      <x:c r="D27" s="476" t="str">
        <x:v>Hospital</x:v>
      </x:c>
      <x:c r="E27" s="476" t="str">
        <x:v>Hospital Arcanjo São Miguel</x:v>
      </x:c>
      <x:c r="F27" s="476" t="str">
        <x:v>7122 0006</x:v>
      </x:c>
      <x:c r="G27" s="476" t="str">
        <x:v>71220006-2020</x:v>
      </x:c>
      <x:c r="H27" s="476" t="str">
        <x:v>Informado/corrigido a partir do mapa</x:v>
      </x:c>
      <x:c r="I27" s="499" t="n">
        <x:v>50000</x:v>
      </x:c>
      <x:c r="J27" s="499" t="n">
        <x:v>50000</x:v>
      </x:c>
      <x:c r="K27" s="476" t="str">
        <x:v>Emenda de Bancada</x:v>
      </x:c>
      <x:c r="L27" s="476" t="str">
        <x:v>Recurso pago</x:v>
      </x:c>
      <x:c r="M27" s="499" t="n">
        <x:v>0</x:v>
      </x:c>
      <x:c r="N27" s="499" t="n">
        <x:v>0</x:v>
      </x:c>
      <x:c r="O27" s="499" t="n">
        <x:v>0</x:v>
      </x:c>
      <x:c r="P27" s="499" t="n">
        <x:v>0</x:v>
      </x:c>
      <x:c r="Q27" s="499" t="n">
        <x:v>0</x:v>
      </x:c>
      <x:c r="R27" s="476" t="str"/>
      <x:c r="S27" s="476" t="str"/>
      <x:c r="T27" s="476" t="str">
        <x:v>Nº NÃO LOCALIZADO</x:v>
      </x:c>
      <x:c r="U27" s="476" t="str">
        <x:v>Média</x:v>
      </x:c>
      <x:c r="V27" s="476" t="str"/>
      <x:c r="W27" s="476" t="str"/>
      <x:c r="X27" s="476" t="str"/>
    </x:row>
    <x:row r="28">
      <x:c r="A28" t="n">
        <x:v>31</x:v>
      </x:c>
      <x:c r="B28" t="n">
        <x:v>2020</x:v>
      </x:c>
      <x:c r="C28" s="476" t="str">
        <x:v>Igrejinha</x:v>
      </x:c>
      <x:c r="D28" s="476" t="str">
        <x:v>Hospital</x:v>
      </x:c>
      <x:c r="E28" s="476" t="str">
        <x:v>Hospital Bom Pastor</x:v>
      </x:c>
      <x:c r="F28" s="476" t="str">
        <x:v>7122 0006</x:v>
      </x:c>
      <x:c r="G28" s="476" t="str">
        <x:v>71220006-2020</x:v>
      </x:c>
      <x:c r="H28" s="476" t="str">
        <x:v>Informado/corrigido a partir do mapa</x:v>
      </x:c>
      <x:c r="I28" s="499" t="n">
        <x:v>50000</x:v>
      </x:c>
      <x:c r="J28" s="499" t="n">
        <x:v>50000</x:v>
      </x:c>
      <x:c r="K28" s="476" t="str">
        <x:v>Emenda de Bancada</x:v>
      </x:c>
      <x:c r="L28" s="476" t="str">
        <x:v>Recurso pago</x:v>
      </x:c>
      <x:c r="M28" s="499" t="n">
        <x:v>0</x:v>
      </x:c>
      <x:c r="N28" s="499" t="n">
        <x:v>0</x:v>
      </x:c>
      <x:c r="O28" s="499" t="n">
        <x:v>0</x:v>
      </x:c>
      <x:c r="P28" s="499" t="n">
        <x:v>0</x:v>
      </x:c>
      <x:c r="Q28" s="499" t="n">
        <x:v>0</x:v>
      </x:c>
      <x:c r="R28" s="476" t="str"/>
      <x:c r="S28" s="476" t="str"/>
      <x:c r="T28" s="476" t="str">
        <x:v>Nº NÃO LOCALIZADO</x:v>
      </x:c>
      <x:c r="U28" s="476" t="str">
        <x:v>Média</x:v>
      </x:c>
      <x:c r="V28" s="476" t="str"/>
      <x:c r="W28" s="476" t="str"/>
      <x:c r="X28" s="476" t="str"/>
    </x:row>
    <x:row r="29">
      <x:c r="A29" t="n">
        <x:v>32</x:v>
      </x:c>
      <x:c r="B29" t="n">
        <x:v>2020</x:v>
      </x:c>
      <x:c r="C29" s="476" t="str">
        <x:v>Ivoti</x:v>
      </x:c>
      <x:c r="D29" s="476" t="str">
        <x:v>Hospital</x:v>
      </x:c>
      <x:c r="E29" s="476" t="str">
        <x:v>Hospital São José de Ivoti</x:v>
      </x:c>
      <x:c r="F29" s="476" t="str">
        <x:v>7122 0006</x:v>
      </x:c>
      <x:c r="G29" s="476" t="str">
        <x:v>71220006-2020</x:v>
      </x:c>
      <x:c r="H29" s="476" t="str">
        <x:v>Informado/corrigido a partir do mapa</x:v>
      </x:c>
      <x:c r="I29" s="499" t="n">
        <x:v>50000</x:v>
      </x:c>
      <x:c r="J29" s="499" t="n">
        <x:v>50000</x:v>
      </x:c>
      <x:c r="K29" s="476" t="str">
        <x:v>Emenda de Bancada</x:v>
      </x:c>
      <x:c r="L29" s="476" t="str">
        <x:v>Recurso pago</x:v>
      </x:c>
      <x:c r="M29" s="499" t="n">
        <x:v>0</x:v>
      </x:c>
      <x:c r="N29" s="499" t="n">
        <x:v>0</x:v>
      </x:c>
      <x:c r="O29" s="499" t="n">
        <x:v>0</x:v>
      </x:c>
      <x:c r="P29" s="499" t="n">
        <x:v>0</x:v>
      </x:c>
      <x:c r="Q29" s="499" t="n">
        <x:v>0</x:v>
      </x:c>
      <x:c r="R29" s="476" t="str"/>
      <x:c r="S29" s="476" t="str"/>
      <x:c r="T29" s="476" t="str">
        <x:v>Nº NÃO LOCALIZADO</x:v>
      </x:c>
      <x:c r="U29" s="476" t="str">
        <x:v>Média</x:v>
      </x:c>
      <x:c r="V29" s="476" t="str"/>
      <x:c r="W29" s="476" t="str"/>
      <x:c r="X29" s="476" t="str"/>
    </x:row>
    <x:row r="30">
      <x:c r="A30" t="n">
        <x:v>33</x:v>
      </x:c>
      <x:c r="B30" t="n">
        <x:v>2020</x:v>
      </x:c>
      <x:c r="C30" s="476" t="str">
        <x:v>Marau</x:v>
      </x:c>
      <x:c r="D30" s="476" t="str">
        <x:v>Hospital</x:v>
      </x:c>
      <x:c r="E30" s="476" t="str">
        <x:v>Hospital Cristo Redentor Marau</x:v>
      </x:c>
      <x:c r="F30" s="476" t="str">
        <x:v>7122 0006</x:v>
      </x:c>
      <x:c r="G30" s="476" t="str">
        <x:v>71220006-2020</x:v>
      </x:c>
      <x:c r="H30" s="476" t="str">
        <x:v>Informado/corrigido a partir do mapa</x:v>
      </x:c>
      <x:c r="I30" s="499" t="n">
        <x:v>50000</x:v>
      </x:c>
      <x:c r="J30" s="499" t="n">
        <x:v>50000</x:v>
      </x:c>
      <x:c r="K30" s="476" t="str">
        <x:v>Emenda de Bancada</x:v>
      </x:c>
      <x:c r="L30" s="476" t="str">
        <x:v>Recurso pago</x:v>
      </x:c>
      <x:c r="M30" s="499" t="n">
        <x:v>0</x:v>
      </x:c>
      <x:c r="N30" s="499" t="n">
        <x:v>0</x:v>
      </x:c>
      <x:c r="O30" s="499" t="n">
        <x:v>0</x:v>
      </x:c>
      <x:c r="P30" s="499" t="n">
        <x:v>0</x:v>
      </x:c>
      <x:c r="Q30" s="499" t="n">
        <x:v>0</x:v>
      </x:c>
      <x:c r="R30" s="476" t="str"/>
      <x:c r="S30" s="476" t="str"/>
      <x:c r="T30" s="476" t="str">
        <x:v>Nº NÃO LOCALIZADO</x:v>
      </x:c>
      <x:c r="U30" s="476" t="str">
        <x:v>Média</x:v>
      </x:c>
      <x:c r="V30" s="476" t="str"/>
      <x:c r="W30" s="476" t="str"/>
      <x:c r="X30" s="476" t="str"/>
    </x:row>
    <x:row r="31">
      <x:c r="A31" t="n">
        <x:v>34</x:v>
      </x:c>
      <x:c r="B31" t="n">
        <x:v>2020</x:v>
      </x:c>
      <x:c r="C31" s="476" t="str">
        <x:v>Nova Petrópolis</x:v>
      </x:c>
      <x:c r="D31" s="476" t="str">
        <x:v>Hospital</x:v>
      </x:c>
      <x:c r="E31" s="476" t="str">
        <x:v>Hospital Nova Petrópolis</x:v>
      </x:c>
      <x:c r="F31" s="476" t="str">
        <x:v>7122 0006</x:v>
      </x:c>
      <x:c r="G31" s="476" t="str">
        <x:v>71220006-2020</x:v>
      </x:c>
      <x:c r="H31" s="476" t="str">
        <x:v>Informado/corrigido a partir do mapa</x:v>
      </x:c>
      <x:c r="I31" s="499" t="n">
        <x:v>50000</x:v>
      </x:c>
      <x:c r="J31" s="499" t="n">
        <x:v>50000</x:v>
      </x:c>
      <x:c r="K31" s="476" t="str">
        <x:v>Emenda de Bancada</x:v>
      </x:c>
      <x:c r="L31" s="476" t="str">
        <x:v>Recurso pago</x:v>
      </x:c>
      <x:c r="M31" s="499" t="n">
        <x:v>0</x:v>
      </x:c>
      <x:c r="N31" s="499" t="n">
        <x:v>0</x:v>
      </x:c>
      <x:c r="O31" s="499" t="n">
        <x:v>0</x:v>
      </x:c>
      <x:c r="P31" s="499" t="n">
        <x:v>0</x:v>
      </x:c>
      <x:c r="Q31" s="499" t="n">
        <x:v>0</x:v>
      </x:c>
      <x:c r="R31" s="476" t="str"/>
      <x:c r="S31" s="476" t="str"/>
      <x:c r="T31" s="476" t="str">
        <x:v>Nº NÃO LOCALIZADO</x:v>
      </x:c>
      <x:c r="U31" s="476" t="str">
        <x:v>Média</x:v>
      </x:c>
      <x:c r="V31" s="476" t="str"/>
      <x:c r="W31" s="476" t="str"/>
      <x:c r="X31" s="476" t="str"/>
    </x:row>
    <x:row r="32">
      <x:c r="A32" t="n">
        <x:v>35</x:v>
      </x:c>
      <x:c r="B32" t="n">
        <x:v>2020</x:v>
      </x:c>
      <x:c r="C32" s="476" t="str">
        <x:v>Portão</x:v>
      </x:c>
      <x:c r="D32" s="476" t="str">
        <x:v>Hospital</x:v>
      </x:c>
      <x:c r="E32" s="476" t="str">
        <x:v>Hospital de Portão</x:v>
      </x:c>
      <x:c r="F32" s="476" t="str">
        <x:v>7122 0006</x:v>
      </x:c>
      <x:c r="G32" s="476" t="str">
        <x:v>71220006-2020</x:v>
      </x:c>
      <x:c r="H32" s="476" t="str">
        <x:v>Informado/corrigido a partir do mapa</x:v>
      </x:c>
      <x:c r="I32" s="499" t="n">
        <x:v>50000</x:v>
      </x:c>
      <x:c r="J32" s="499" t="n">
        <x:v>50000</x:v>
      </x:c>
      <x:c r="K32" s="476" t="str">
        <x:v>Emenda de Bancada</x:v>
      </x:c>
      <x:c r="L32" s="476" t="str">
        <x:v>Recurso pago</x:v>
      </x:c>
      <x:c r="M32" s="499" t="n">
        <x:v>0</x:v>
      </x:c>
      <x:c r="N32" s="499" t="n">
        <x:v>0</x:v>
      </x:c>
      <x:c r="O32" s="499" t="n">
        <x:v>0</x:v>
      </x:c>
      <x:c r="P32" s="499" t="n">
        <x:v>0</x:v>
      </x:c>
      <x:c r="Q32" s="499" t="n">
        <x:v>0</x:v>
      </x:c>
      <x:c r="R32" s="476" t="str"/>
      <x:c r="S32" s="476" t="str"/>
      <x:c r="T32" s="476" t="str">
        <x:v>Nº NÃO LOCALIZADO</x:v>
      </x:c>
      <x:c r="U32" s="476" t="str">
        <x:v>Média</x:v>
      </x:c>
      <x:c r="V32" s="476" t="str"/>
      <x:c r="W32" s="476" t="str"/>
      <x:c r="X32" s="476" t="str"/>
    </x:row>
    <x:row r="33">
      <x:c r="A33" t="n">
        <x:v>36</x:v>
      </x:c>
      <x:c r="B33" t="n">
        <x:v>2020</x:v>
      </x:c>
      <x:c r="C33" s="476" t="str">
        <x:v>Riozinho</x:v>
      </x:c>
      <x:c r="D33" s="476" t="str">
        <x:v>Hospital</x:v>
      </x:c>
      <x:c r="E33" s="476" t="str">
        <x:v>Hospital Nossa Senhora do Rosário de Riozinho</x:v>
      </x:c>
      <x:c r="F33" s="476" t="str">
        <x:v>7122 0006</x:v>
      </x:c>
      <x:c r="G33" s="476" t="str">
        <x:v>71220006-2020</x:v>
      </x:c>
      <x:c r="H33" s="476" t="str">
        <x:v>Informado/corrigido a partir do mapa</x:v>
      </x:c>
      <x:c r="I33" s="499" t="n">
        <x:v>50000</x:v>
      </x:c>
      <x:c r="J33" s="499" t="n">
        <x:v>50000</x:v>
      </x:c>
      <x:c r="K33" s="476" t="str">
        <x:v>Emenda de Bancada</x:v>
      </x:c>
      <x:c r="L33" s="476" t="str">
        <x:v>Recurso pago</x:v>
      </x:c>
      <x:c r="M33" s="499" t="n">
        <x:v>0</x:v>
      </x:c>
      <x:c r="N33" s="499" t="n">
        <x:v>0</x:v>
      </x:c>
      <x:c r="O33" s="499" t="n">
        <x:v>0</x:v>
      </x:c>
      <x:c r="P33" s="499" t="n">
        <x:v>0</x:v>
      </x:c>
      <x:c r="Q33" s="499" t="n">
        <x:v>0</x:v>
      </x:c>
      <x:c r="R33" s="476" t="str"/>
      <x:c r="S33" s="476" t="str"/>
      <x:c r="T33" s="476" t="str">
        <x:v>Nº NÃO LOCALIZADO</x:v>
      </x:c>
      <x:c r="U33" s="476" t="str">
        <x:v>Média</x:v>
      </x:c>
      <x:c r="V33" s="476" t="str"/>
      <x:c r="W33" s="476" t="str"/>
      <x:c r="X33" s="476" t="str"/>
    </x:row>
    <x:row r="34">
      <x:c r="A34" t="n">
        <x:v>37</x:v>
      </x:c>
      <x:c r="B34" t="n">
        <x:v>2020</x:v>
      </x:c>
      <x:c r="C34" s="476" t="str">
        <x:v>Rolante</x:v>
      </x:c>
      <x:c r="D34" s="476" t="str">
        <x:v>Hospital</x:v>
      </x:c>
      <x:c r="E34" s="476" t="str">
        <x:v>Fundação Hospitalar de Rolante</x:v>
      </x:c>
      <x:c r="F34" s="476" t="str">
        <x:v>7122 0006</x:v>
      </x:c>
      <x:c r="G34" s="476" t="str">
        <x:v>71220006-2020</x:v>
      </x:c>
      <x:c r="H34" s="476" t="str">
        <x:v>Informado/corrigido a partir do mapa</x:v>
      </x:c>
      <x:c r="I34" s="499" t="n">
        <x:v>50000</x:v>
      </x:c>
      <x:c r="J34" s="499" t="n">
        <x:v>50000</x:v>
      </x:c>
      <x:c r="K34" s="476" t="str">
        <x:v>Emenda de Bancada</x:v>
      </x:c>
      <x:c r="L34" s="476" t="str">
        <x:v>Recurso pago</x:v>
      </x:c>
      <x:c r="M34" s="499" t="n">
        <x:v>0</x:v>
      </x:c>
      <x:c r="N34" s="499" t="n">
        <x:v>0</x:v>
      </x:c>
      <x:c r="O34" s="499" t="n">
        <x:v>0</x:v>
      </x:c>
      <x:c r="P34" s="499" t="n">
        <x:v>0</x:v>
      </x:c>
      <x:c r="Q34" s="499" t="n">
        <x:v>0</x:v>
      </x:c>
      <x:c r="R34" s="476" t="str"/>
      <x:c r="S34" s="476" t="str"/>
      <x:c r="T34" s="476" t="str">
        <x:v>Nº NÃO LOCALIZADO</x:v>
      </x:c>
      <x:c r="U34" s="476" t="str">
        <x:v>Média</x:v>
      </x:c>
      <x:c r="V34" s="476" t="str"/>
      <x:c r="W34" s="476" t="str"/>
      <x:c r="X34" s="476" t="str"/>
    </x:row>
    <x:row r="35">
      <x:c r="A35" t="n">
        <x:v>38</x:v>
      </x:c>
      <x:c r="B35" t="n">
        <x:v>2020</x:v>
      </x:c>
      <x:c r="C35" s="476" t="str">
        <x:v>Canoas</x:v>
      </x:c>
      <x:c r="D35" s="476" t="str">
        <x:v>Hospital</x:v>
      </x:c>
      <x:c r="E35" s="476" t="str">
        <x:v>Hospital Nossa Senhora das Graças</x:v>
      </x:c>
      <x:c r="F35" s="476" t="str">
        <x:v>41160005</x:v>
      </x:c>
      <x:c r="G35" s="476" t="str">
        <x:v>41160005-2020</x:v>
      </x:c>
      <x:c r="H35" s="476" t="str">
        <x:v>Informado/corrigido a partir do mapa</x:v>
      </x:c>
      <x:c r="I35" s="499" t="n">
        <x:v>50000</x:v>
      </x:c>
      <x:c r="J35" s="499" t="n">
        <x:v>50000</x:v>
      </x:c>
      <x:c r="K35" s="476" t="str">
        <x:v>Emenda Individual</x:v>
      </x:c>
      <x:c r="L35" s="476" t="str">
        <x:v>Recurso pago</x:v>
      </x:c>
      <x:c r="M35" s="499" t="n">
        <x:v>200000</x:v>
      </x:c>
      <x:c r="N35" s="499" t="n">
        <x:v>0</x:v>
      </x:c>
      <x:c r="O35" s="499" t="n">
        <x:v>0</x:v>
      </x:c>
      <x:c r="P35" s="499" t="n">
        <x:v>0</x:v>
      </x:c>
      <x:c r="Q35" s="499" t="n">
        <x:v>0</x:v>
      </x:c>
      <x:c r="R35" s="476" t="str"/>
      <x:c r="S35" s="476" t="str">
        <x:v>11413650000185</x:v>
      </x:c>
      <x:c r="T35" s="476" t="str">
        <x:v>VALOR DIVERGENTE / COBERTURA DIFERENTE</x:v>
      </x:c>
      <x:c r="U35" s="476" t="str">
        <x:v>Alta</x:v>
      </x:c>
      <x:c r="V35" s="476" t="str">
        <x:v>CNPJ candidato na fonte SIGA: 11413650000185</x:v>
      </x:c>
      <x:c r="W35" s="476" t="str">
        <x:v>Município/localidade encontrado em fonte comparável, mas valor não fecha exatamente</x:v>
      </x:c>
      <x:c r="X35" s="476" t="str"/>
    </x:row>
    <x:row r="36">
      <x:c r="A36" t="n">
        <x:v>39</x:v>
      </x:c>
      <x:c r="B36" t="n">
        <x:v>2020</x:v>
      </x:c>
      <x:c r="C36" s="476" t="str">
        <x:v>Capão Bonito do Sul</x:v>
      </x:c>
      <x:c r="D36" s="476" t="str">
        <x:v>Município/hospital mais próximo</x:v>
      </x:c>
      <x:c r="E36" s="476" t="str">
        <x:v>Prefeitura/Hospital São Paulo de Lagoa Vermelha</x:v>
      </x:c>
      <x:c r="F36" s="476" t="str">
        <x:v>7122 0006</x:v>
      </x:c>
      <x:c r="G36" s="476" t="str">
        <x:v>71220006-2020</x:v>
      </x:c>
      <x:c r="H36" s="476" t="str">
        <x:v>Informado/corrigido a partir do mapa</x:v>
      </x:c>
      <x:c r="I36" s="499" t="n">
        <x:v>50000</x:v>
      </x:c>
      <x:c r="J36" s="499" t="n">
        <x:v>50000</x:v>
      </x:c>
      <x:c r="K36" s="476" t="str">
        <x:v>Emenda de bancada OGU 2020</x:v>
      </x:c>
      <x:c r="L36" s="476" t="str">
        <x:v>Recurso pago</x:v>
      </x:c>
      <x:c r="M36" s="499" t="n">
        <x:v>0</x:v>
      </x:c>
      <x:c r="N36" s="499" t="n">
        <x:v>0</x:v>
      </x:c>
      <x:c r="O36" s="499" t="n">
        <x:v>0</x:v>
      </x:c>
      <x:c r="P36" s="499" t="n">
        <x:v>0</x:v>
      </x:c>
      <x:c r="Q36" s="499" t="n">
        <x:v>0</x:v>
      </x:c>
      <x:c r="R36" s="476" t="str"/>
      <x:c r="S36" s="476" t="str"/>
      <x:c r="T36" s="476" t="str">
        <x:v>Nº NÃO LOCALIZADO</x:v>
      </x:c>
      <x:c r="U36" s="476" t="str">
        <x:v>Média</x:v>
      </x:c>
      <x:c r="V36" s="476" t="str"/>
      <x:c r="W36" s="476" t="str"/>
      <x:c r="X36" s="476" t="str"/>
    </x:row>
    <x:row r="37">
      <x:c r="A37" t="n">
        <x:v>40</x:v>
      </x:c>
      <x:c r="B37" t="n">
        <x:v>2020</x:v>
      </x:c>
      <x:c r="C37" s="476" t="str">
        <x:v>Lindolfo Collor</x:v>
      </x:c>
      <x:c r="D37" s="476" t="str">
        <x:v>Município/hospital mais próximo</x:v>
      </x:c>
      <x:c r="E37" s="476" t="str">
        <x:v>Prefeitura/Hospital São José Ivoti</x:v>
      </x:c>
      <x:c r="F37" s="476" t="str">
        <x:v>7122 0006</x:v>
      </x:c>
      <x:c r="G37" s="476" t="str">
        <x:v>71220006-2020</x:v>
      </x:c>
      <x:c r="H37" s="476" t="str">
        <x:v>Informado/corrigido a partir do mapa</x:v>
      </x:c>
      <x:c r="I37" s="499" t="n">
        <x:v>50000</x:v>
      </x:c>
      <x:c r="J37" s="499" t="n">
        <x:v>50000</x:v>
      </x:c>
      <x:c r="K37" s="476" t="str">
        <x:v>Emenda de bancada OGU 2020</x:v>
      </x:c>
      <x:c r="L37" s="476" t="str">
        <x:v>Recurso pago</x:v>
      </x:c>
      <x:c r="M37" s="499" t="n">
        <x:v>0</x:v>
      </x:c>
      <x:c r="N37" s="499" t="n">
        <x:v>0</x:v>
      </x:c>
      <x:c r="O37" s="499" t="n">
        <x:v>0</x:v>
      </x:c>
      <x:c r="P37" s="499" t="n">
        <x:v>0</x:v>
      </x:c>
      <x:c r="Q37" s="499" t="n">
        <x:v>0</x:v>
      </x:c>
      <x:c r="R37" s="476" t="str"/>
      <x:c r="S37" s="476" t="str"/>
      <x:c r="T37" s="476" t="str">
        <x:v>Nº NÃO LOCALIZADO</x:v>
      </x:c>
      <x:c r="U37" s="476" t="str">
        <x:v>Média</x:v>
      </x:c>
      <x:c r="V37" s="476" t="str"/>
      <x:c r="W37" s="476" t="str"/>
      <x:c r="X37" s="476" t="str"/>
    </x:row>
    <x:row r="38">
      <x:c r="A38" t="n">
        <x:v>41</x:v>
      </x:c>
      <x:c r="B38" t="n">
        <x:v>2020</x:v>
      </x:c>
      <x:c r="C38" s="476" t="str">
        <x:v>Morro Reuter</x:v>
      </x:c>
      <x:c r="D38" s="476" t="str">
        <x:v>Município/hospital mais próximo</x:v>
      </x:c>
      <x:c r="E38" s="476" t="str">
        <x:v>Prefeitura/Hospital São José de Dois Irmãos</x:v>
      </x:c>
      <x:c r="F38" s="476" t="str">
        <x:v>7122 0006</x:v>
      </x:c>
      <x:c r="G38" s="476" t="str">
        <x:v>71220006-2020</x:v>
      </x:c>
      <x:c r="H38" s="476" t="str">
        <x:v>Informado/corrigido a partir do mapa</x:v>
      </x:c>
      <x:c r="I38" s="499" t="n">
        <x:v>50000</x:v>
      </x:c>
      <x:c r="J38" s="499" t="n">
        <x:v>50000</x:v>
      </x:c>
      <x:c r="K38" s="476" t="str">
        <x:v>Emenda de bancada OGU 2020</x:v>
      </x:c>
      <x:c r="L38" s="476" t="str">
        <x:v>Recurso pago</x:v>
      </x:c>
      <x:c r="M38" s="499" t="n">
        <x:v>0</x:v>
      </x:c>
      <x:c r="N38" s="499" t="n">
        <x:v>0</x:v>
      </x:c>
      <x:c r="O38" s="499" t="n">
        <x:v>0</x:v>
      </x:c>
      <x:c r="P38" s="499" t="n">
        <x:v>0</x:v>
      </x:c>
      <x:c r="Q38" s="499" t="n">
        <x:v>0</x:v>
      </x:c>
      <x:c r="R38" s="476" t="str"/>
      <x:c r="S38" s="476" t="str"/>
      <x:c r="T38" s="476" t="str">
        <x:v>Nº NÃO LOCALIZADO</x:v>
      </x:c>
      <x:c r="U38" s="476" t="str">
        <x:v>Média</x:v>
      </x:c>
      <x:c r="V38" s="476" t="str"/>
      <x:c r="W38" s="476" t="str"/>
      <x:c r="X38" s="476" t="str"/>
    </x:row>
    <x:row r="39">
      <x:c r="A39" t="n">
        <x:v>42</x:v>
      </x:c>
      <x:c r="B39" t="n">
        <x:v>2020</x:v>
      </x:c>
      <x:c r="C39" s="476" t="str">
        <x:v>São Francisco de Paula</x:v>
      </x:c>
      <x:c r="D39" s="476" t="str">
        <x:v>Hospital</x:v>
      </x:c>
      <x:c r="E39" s="476" t="str">
        <x:v>Hospital São Francisco de Paula</x:v>
      </x:c>
      <x:c r="F39" s="476" t="str">
        <x:v>7122 0006</x:v>
      </x:c>
      <x:c r="G39" s="476" t="str">
        <x:v>71220006-2020</x:v>
      </x:c>
      <x:c r="H39" s="476" t="str">
        <x:v>Informado/corrigido a partir do mapa</x:v>
      </x:c>
      <x:c r="I39" s="499" t="n">
        <x:v>50000</x:v>
      </x:c>
      <x:c r="J39" s="499" t="n">
        <x:v>50000</x:v>
      </x:c>
      <x:c r="K39" s="476" t="str">
        <x:v>Emenda de Bancada</x:v>
      </x:c>
      <x:c r="L39" s="476" t="str">
        <x:v>Recurso pago</x:v>
      </x:c>
      <x:c r="M39" s="499" t="n">
        <x:v>0</x:v>
      </x:c>
      <x:c r="N39" s="499" t="n">
        <x:v>0</x:v>
      </x:c>
      <x:c r="O39" s="499" t="n">
        <x:v>0</x:v>
      </x:c>
      <x:c r="P39" s="499" t="n">
        <x:v>0</x:v>
      </x:c>
      <x:c r="Q39" s="499" t="n">
        <x:v>0</x:v>
      </x:c>
      <x:c r="R39" s="476" t="str"/>
      <x:c r="S39" s="476" t="str"/>
      <x:c r="T39" s="476" t="str">
        <x:v>Nº NÃO LOCALIZADO</x:v>
      </x:c>
      <x:c r="U39" s="476" t="str">
        <x:v>Média</x:v>
      </x:c>
      <x:c r="V39" s="476" t="str"/>
      <x:c r="W39" s="476" t="str"/>
      <x:c r="X39" s="476" t="str"/>
    </x:row>
    <x:row r="40">
      <x:c r="A40" t="n">
        <x:v>43</x:v>
      </x:c>
      <x:c r="B40" t="n">
        <x:v>2020</x:v>
      </x:c>
      <x:c r="C40" s="476" t="str">
        <x:v>Nova Hartz</x:v>
      </x:c>
      <x:c r="D40" s="476" t="str">
        <x:v>Município/hospital mais próximo</x:v>
      </x:c>
      <x:c r="E40" s="476" t="str">
        <x:v>Prefeitura/Hospital Sapiranga</x:v>
      </x:c>
      <x:c r="F40" s="476" t="str">
        <x:v>7122 0006</x:v>
      </x:c>
      <x:c r="G40" s="476" t="str">
        <x:v>71220006-2020</x:v>
      </x:c>
      <x:c r="H40" s="476" t="str">
        <x:v>Informado/corrigido a partir do mapa</x:v>
      </x:c>
      <x:c r="I40" s="499" t="n">
        <x:v>50000</x:v>
      </x:c>
      <x:c r="J40" s="499" t="n">
        <x:v>50000</x:v>
      </x:c>
      <x:c r="K40" s="476" t="str">
        <x:v>Emenda de bancada OGU 2020</x:v>
      </x:c>
      <x:c r="L40" s="476" t="str">
        <x:v>Recurso pago</x:v>
      </x:c>
      <x:c r="M40" s="499" t="n">
        <x:v>0</x:v>
      </x:c>
      <x:c r="N40" s="499" t="n">
        <x:v>0</x:v>
      </x:c>
      <x:c r="O40" s="499" t="n">
        <x:v>0</x:v>
      </x:c>
      <x:c r="P40" s="499" t="n">
        <x:v>0</x:v>
      </x:c>
      <x:c r="Q40" s="499" t="n">
        <x:v>0</x:v>
      </x:c>
      <x:c r="R40" s="476" t="str"/>
      <x:c r="S40" s="476" t="str"/>
      <x:c r="T40" s="476" t="str">
        <x:v>Nº NÃO LOCALIZADO</x:v>
      </x:c>
      <x:c r="U40" s="476" t="str">
        <x:v>Média</x:v>
      </x:c>
      <x:c r="V40" s="476" t="str"/>
      <x:c r="W40" s="476" t="str"/>
      <x:c r="X40" s="476" t="str"/>
    </x:row>
    <x:row r="41">
      <x:c r="A41" t="n">
        <x:v>44</x:v>
      </x:c>
      <x:c r="B41" t="n">
        <x:v>2020</x:v>
      </x:c>
      <x:c r="C41" s="476" t="str">
        <x:v>São Luiz Gonzaga</x:v>
      </x:c>
      <x:c r="D41" s="476" t="str">
        <x:v>Hospital</x:v>
      </x:c>
      <x:c r="E41" s="476" t="str">
        <x:v>Hospital São Luiz Gonzaga</x:v>
      </x:c>
      <x:c r="F41" s="476" t="str">
        <x:v>7122 0006</x:v>
      </x:c>
      <x:c r="G41" s="476" t="str">
        <x:v>71220006-2020</x:v>
      </x:c>
      <x:c r="H41" s="476" t="str">
        <x:v>Informado/corrigido a partir do mapa</x:v>
      </x:c>
      <x:c r="I41" s="499" t="n">
        <x:v>50000</x:v>
      </x:c>
      <x:c r="J41" s="499" t="n">
        <x:v>50000</x:v>
      </x:c>
      <x:c r="K41" s="476" t="str">
        <x:v>Emenda de Bancada</x:v>
      </x:c>
      <x:c r="L41" s="476" t="str">
        <x:v>Recurso pago</x:v>
      </x:c>
      <x:c r="M41" s="499" t="n">
        <x:v>0</x:v>
      </x:c>
      <x:c r="N41" s="499" t="n">
        <x:v>0</x:v>
      </x:c>
      <x:c r="O41" s="499" t="n">
        <x:v>0</x:v>
      </x:c>
      <x:c r="P41" s="499" t="n">
        <x:v>0</x:v>
      </x:c>
      <x:c r="Q41" s="499" t="n">
        <x:v>0</x:v>
      </x:c>
      <x:c r="R41" s="476" t="str"/>
      <x:c r="S41" s="476" t="str"/>
      <x:c r="T41" s="476" t="str">
        <x:v>Nº NÃO LOCALIZADO</x:v>
      </x:c>
      <x:c r="U41" s="476" t="str">
        <x:v>Média</x:v>
      </x:c>
      <x:c r="V41" s="476" t="str"/>
      <x:c r="W41" s="476" t="str"/>
      <x:c r="X41" s="476" t="str"/>
    </x:row>
    <x:row r="42">
      <x:c r="A42" t="n">
        <x:v>45</x:v>
      </x:c>
      <x:c r="B42" t="n">
        <x:v>2020</x:v>
      </x:c>
      <x:c r="C42" s="476" t="str">
        <x:v>Picada Café</x:v>
      </x:c>
      <x:c r="D42" s="476" t="str">
        <x:v>Município/hospital mais próximo</x:v>
      </x:c>
      <x:c r="E42" s="476" t="str">
        <x:v>Prefeitura/Hospital Nova Petrópolis</x:v>
      </x:c>
      <x:c r="F42" s="476" t="str">
        <x:v>7122 0006</x:v>
      </x:c>
      <x:c r="G42" s="476" t="str">
        <x:v>71220006-2020</x:v>
      </x:c>
      <x:c r="H42" s="476" t="str">
        <x:v>Informado/corrigido a partir do mapa</x:v>
      </x:c>
      <x:c r="I42" s="499" t="n">
        <x:v>50000</x:v>
      </x:c>
      <x:c r="J42" s="499" t="n">
        <x:v>50000</x:v>
      </x:c>
      <x:c r="K42" s="476" t="str">
        <x:v>Emenda de bancada OGU 2020</x:v>
      </x:c>
      <x:c r="L42" s="476" t="str">
        <x:v>Recurso pago</x:v>
      </x:c>
      <x:c r="M42" s="499" t="n">
        <x:v>0</x:v>
      </x:c>
      <x:c r="N42" s="499" t="n">
        <x:v>0</x:v>
      </x:c>
      <x:c r="O42" s="499" t="n">
        <x:v>0</x:v>
      </x:c>
      <x:c r="P42" s="499" t="n">
        <x:v>0</x:v>
      </x:c>
      <x:c r="Q42" s="499" t="n">
        <x:v>0</x:v>
      </x:c>
      <x:c r="R42" s="476" t="str"/>
      <x:c r="S42" s="476" t="str"/>
      <x:c r="T42" s="476" t="str">
        <x:v>Nº NÃO LOCALIZADO</x:v>
      </x:c>
      <x:c r="U42" s="476" t="str">
        <x:v>Média</x:v>
      </x:c>
      <x:c r="V42" s="476" t="str"/>
      <x:c r="W42" s="476" t="str"/>
      <x:c r="X42" s="476" t="str"/>
    </x:row>
    <x:row r="43">
      <x:c r="A43" t="n">
        <x:v>46</x:v>
      </x:c>
      <x:c r="B43" t="n">
        <x:v>2020</x:v>
      </x:c>
      <x:c r="C43" s="476" t="str">
        <x:v>Presidente Lucena</x:v>
      </x:c>
      <x:c r="D43" s="476" t="str">
        <x:v>Município/hospital mais próximo</x:v>
      </x:c>
      <x:c r="E43" s="476" t="str">
        <x:v>Prefeitura/Hospital São José Ivoti</x:v>
      </x:c>
      <x:c r="F43" s="476" t="str">
        <x:v>7122 0006</x:v>
      </x:c>
      <x:c r="G43" s="476" t="str">
        <x:v>71220006-2020</x:v>
      </x:c>
      <x:c r="H43" s="476" t="str">
        <x:v>Informado/corrigido a partir do mapa</x:v>
      </x:c>
      <x:c r="I43" s="499" t="n">
        <x:v>50000</x:v>
      </x:c>
      <x:c r="J43" s="499" t="n">
        <x:v>50000</x:v>
      </x:c>
      <x:c r="K43" s="476" t="str">
        <x:v>Emenda de bancada OGU 2020</x:v>
      </x:c>
      <x:c r="L43" s="476" t="str">
        <x:v>Recurso pago</x:v>
      </x:c>
      <x:c r="M43" s="499" t="n">
        <x:v>0</x:v>
      </x:c>
      <x:c r="N43" s="499" t="n">
        <x:v>0</x:v>
      </x:c>
      <x:c r="O43" s="499" t="n">
        <x:v>0</x:v>
      </x:c>
      <x:c r="P43" s="499" t="n">
        <x:v>0</x:v>
      </x:c>
      <x:c r="Q43" s="499" t="n">
        <x:v>0</x:v>
      </x:c>
      <x:c r="R43" s="476" t="str"/>
      <x:c r="S43" s="476" t="str"/>
      <x:c r="T43" s="476" t="str">
        <x:v>Nº NÃO LOCALIZADO</x:v>
      </x:c>
      <x:c r="U43" s="476" t="str">
        <x:v>Média</x:v>
      </x:c>
      <x:c r="V43" s="476" t="str"/>
      <x:c r="W43" s="476" t="str"/>
      <x:c r="X43" s="476" t="str"/>
    </x:row>
    <x:row r="44">
      <x:c r="A44" t="n">
        <x:v>47</x:v>
      </x:c>
      <x:c r="B44" t="n">
        <x:v>2020</x:v>
      </x:c>
      <x:c r="C44" s="476" t="str">
        <x:v>Santa Maria do Herval</x:v>
      </x:c>
      <x:c r="D44" s="476" t="str">
        <x:v>Município/hospital mais próximo</x:v>
      </x:c>
      <x:c r="E44" s="476" t="str">
        <x:v>Prefeitura/Hospital São José de Dois Irmãos</x:v>
      </x:c>
      <x:c r="F44" s="476" t="str">
        <x:v>7122 0006</x:v>
      </x:c>
      <x:c r="G44" s="476" t="str">
        <x:v>71220006-2020</x:v>
      </x:c>
      <x:c r="H44" s="476" t="str">
        <x:v>Informado/corrigido a partir do mapa</x:v>
      </x:c>
      <x:c r="I44" s="499" t="n">
        <x:v>50000</x:v>
      </x:c>
      <x:c r="J44" s="499" t="n">
        <x:v>50000</x:v>
      </x:c>
      <x:c r="K44" s="476" t="str">
        <x:v>Emenda de bancada OGU 2020</x:v>
      </x:c>
      <x:c r="L44" s="476" t="str">
        <x:v>Recurso pago</x:v>
      </x:c>
      <x:c r="M44" s="499" t="n">
        <x:v>0</x:v>
      </x:c>
      <x:c r="N44" s="499" t="n">
        <x:v>0</x:v>
      </x:c>
      <x:c r="O44" s="499" t="n">
        <x:v>0</x:v>
      </x:c>
      <x:c r="P44" s="499" t="n">
        <x:v>0</x:v>
      </x:c>
      <x:c r="Q44" s="499" t="n">
        <x:v>0</x:v>
      </x:c>
      <x:c r="R44" s="476" t="str"/>
      <x:c r="S44" s="476" t="str"/>
      <x:c r="T44" s="476" t="str">
        <x:v>Nº NÃO LOCALIZADO</x:v>
      </x:c>
      <x:c r="U44" s="476" t="str">
        <x:v>Média</x:v>
      </x:c>
      <x:c r="V44" s="476" t="str"/>
      <x:c r="W44" s="476" t="str"/>
      <x:c r="X44" s="476" t="str"/>
    </x:row>
    <x:row r="45">
      <x:c r="A45" t="n">
        <x:v>48</x:v>
      </x:c>
      <x:c r="B45" t="n">
        <x:v>2020</x:v>
      </x:c>
      <x:c r="C45" s="476" t="str">
        <x:v>Três Coroas</x:v>
      </x:c>
      <x:c r="D45" s="476" t="str">
        <x:v>Hospital</x:v>
      </x:c>
      <x:c r="E45" s="476" t="str">
        <x:v>Hospital Dr Oswaldo Diesel</x:v>
      </x:c>
      <x:c r="F45" s="476" t="str">
        <x:v>7122 0006</x:v>
      </x:c>
      <x:c r="G45" s="476" t="str">
        <x:v>71220006-2020</x:v>
      </x:c>
      <x:c r="H45" s="476" t="str">
        <x:v>Informado/corrigido a partir do mapa</x:v>
      </x:c>
      <x:c r="I45" s="499" t="n">
        <x:v>50000</x:v>
      </x:c>
      <x:c r="J45" s="499" t="n">
        <x:v>50000</x:v>
      </x:c>
      <x:c r="K45" s="476" t="str">
        <x:v>Emenda de Bancada</x:v>
      </x:c>
      <x:c r="L45" s="476" t="str">
        <x:v>Recurso pago</x:v>
      </x:c>
      <x:c r="M45" s="499" t="n">
        <x:v>0</x:v>
      </x:c>
      <x:c r="N45" s="499" t="n">
        <x:v>0</x:v>
      </x:c>
      <x:c r="O45" s="499" t="n">
        <x:v>0</x:v>
      </x:c>
      <x:c r="P45" s="499" t="n">
        <x:v>0</x:v>
      </x:c>
      <x:c r="Q45" s="499" t="n">
        <x:v>0</x:v>
      </x:c>
      <x:c r="R45" s="476" t="str"/>
      <x:c r="S45" s="476" t="str"/>
      <x:c r="T45" s="476" t="str">
        <x:v>Nº NÃO LOCALIZADO</x:v>
      </x:c>
      <x:c r="U45" s="476" t="str">
        <x:v>Média</x:v>
      </x:c>
      <x:c r="V45" s="476" t="str"/>
      <x:c r="W45" s="476" t="str"/>
      <x:c r="X45" s="476" t="str"/>
    </x:row>
    <x:row r="46">
      <x:c r="A46" t="n">
        <x:v>49</x:v>
      </x:c>
      <x:c r="B46" t="n">
        <x:v>2021</x:v>
      </x:c>
      <x:c r="C46" s="476" t="str">
        <x:v>Tapera</x:v>
      </x:c>
      <x:c r="D46" s="476" t="str">
        <x:v>Prefeitura</x:v>
      </x:c>
      <x:c r="E46" s="476" t="str">
        <x:v>Prefeitura Municipal</x:v>
      </x:c>
      <x:c r="F46" s="476" t="str">
        <x:v>41160002</x:v>
      </x:c>
      <x:c r="G46" s="476" t="str">
        <x:v>41160002-2021</x:v>
      </x:c>
      <x:c r="H46" s="476" t="str">
        <x:v>Informado/corrigido a partir do mapa</x:v>
      </x:c>
      <x:c r="I46" s="499" t="n">
        <x:v>50000</x:v>
      </x:c>
      <x:c r="J46" s="499" t="n">
        <x:v>50000</x:v>
      </x:c>
      <x:c r="K46" s="476" t="str">
        <x:v>Emenda individual (processo seletivo 2021)</x:v>
      </x:c>
      <x:c r="L46" s="476" t="str">
        <x:v>Prefeitura submeteu proposta ao Ministério da Saúde (Em 02/05/2024 consultei o SIOP, para verificar a situação da emenda e não localizei o beneficiário FMS-Tapera. A emenda 41160002, referenciada na planilha, não é de Custeio-PAB; é de Investimento-MAC. Em 2021 não foram indicados recursos de emendas individuais para custeio-PAB. Também não localizei o beneficiário na emenda de Custeio-MAC.</x:v>
      </x:c>
      <x:c r="M46" s="499" t="n">
        <x:v>0</x:v>
      </x:c>
      <x:c r="N46" s="499" t="n">
        <x:v>0</x:v>
      </x:c>
      <x:c r="O46" s="499" t="n">
        <x:v>0</x:v>
      </x:c>
      <x:c r="P46" s="499" t="n">
        <x:v>0</x:v>
      </x:c>
      <x:c r="Q46" s="499" t="n">
        <x:v>0</x:v>
      </x:c>
      <x:c r="R46" s="476" t="str"/>
      <x:c r="S46" s="476" t="str"/>
      <x:c r="T46" s="476" t="str">
        <x:v>EMENDA CONFIRMADA; DESTINO NÃO CONFIRMADO</x:v>
      </x:c>
      <x:c r="U46" s="476" t="str">
        <x:v>Média</x:v>
      </x:c>
      <x:c r="V46" s="476" t="str"/>
      <x:c r="W46" s="476" t="str">
        <x:v>Nº existe no SIGA; destinatário específico não foi confirmado nas bases anexas</x:v>
      </x:c>
      <x:c r="X46" s="476" t="str"/>
    </x:row>
    <x:row r="47">
      <x:c r="A47" t="n">
        <x:v>51</x:v>
      </x:c>
      <x:c r="B47" t="n">
        <x:v>2023</x:v>
      </x:c>
      <x:c r="C47" s="476" t="str">
        <x:v>Boa Vista do Buricá</x:v>
      </x:c>
      <x:c r="D47" s="476" t="str">
        <x:v>APAE</x:v>
      </x:c>
      <x:c r="E47" s="476" t="str">
        <x:v>APAE de Boa Vista do Buricá</x:v>
      </x:c>
      <x:c r="F47" s="476" t="str"/>
      <x:c r="G47" s="476" t="str"/>
      <x:c r="H47" s="476" t="str">
        <x:v>Sem nº conciliado</x:v>
      </x:c>
      <x:c r="I47" s="499" t="n">
        <x:v>50000</x:v>
      </x:c>
      <x:c r="J47" s="499" t="n">
        <x:v>50000</x:v>
      </x:c>
      <x:c r="K47" s="476" t="str">
        <x:v>Emenda de Bancada</x:v>
      </x:c>
      <x:c r="L47" s="476" t="str">
        <x:v>Recurso pago</x:v>
      </x:c>
      <x:c r="M47" s="499" t="n">
        <x:v>0</x:v>
      </x:c>
      <x:c r="N47" s="499" t="n">
        <x:v>0</x:v>
      </x:c>
      <x:c r="O47" s="499" t="n">
        <x:v>0</x:v>
      </x:c>
      <x:c r="P47" s="499" t="n">
        <x:v>0</x:v>
      </x:c>
      <x:c r="Q47" s="499" t="n">
        <x:v>0</x:v>
      </x:c>
      <x:c r="R47" s="476" t="str"/>
      <x:c r="S47" s="476" t="str"/>
      <x:c r="T47" s="476" t="str">
        <x:v>SEM Nº / NÃO CONCILIADO</x:v>
      </x:c>
      <x:c r="U47" s="476" t="str">
        <x:v>Média</x:v>
      </x:c>
      <x:c r="V47" s="476" t="str"/>
      <x:c r="W47" s="476" t="str"/>
      <x:c r="X47" s="476" t="str"/>
    </x:row>
    <x:row r="48">
      <x:c r="A48" t="n">
        <x:v>52</x:v>
      </x:c>
      <x:c r="B48" t="n">
        <x:v>2023</x:v>
      </x:c>
      <x:c r="C48" s="476" t="str">
        <x:v>Feliz</x:v>
      </x:c>
      <x:c r="D48" s="476" t="str">
        <x:v>APAE</x:v>
      </x:c>
      <x:c r="E48" s="476" t="str">
        <x:v>APAE de Feliz</x:v>
      </x:c>
      <x:c r="F48" s="476" t="str"/>
      <x:c r="G48" s="476" t="str"/>
      <x:c r="H48" s="476" t="str">
        <x:v>Sem nº conciliado</x:v>
      </x:c>
      <x:c r="I48" s="499" t="n">
        <x:v>50000</x:v>
      </x:c>
      <x:c r="J48" s="499" t="n">
        <x:v>50000</x:v>
      </x:c>
      <x:c r="K48" s="476" t="str">
        <x:v>Emenda de Bancada</x:v>
      </x:c>
      <x:c r="L48" s="476" t="str">
        <x:v>Recurso pago</x:v>
      </x:c>
      <x:c r="M48" s="499" t="n">
        <x:v>0</x:v>
      </x:c>
      <x:c r="N48" s="499" t="n">
        <x:v>0</x:v>
      </x:c>
      <x:c r="O48" s="499" t="n">
        <x:v>0</x:v>
      </x:c>
      <x:c r="P48" s="499" t="n">
        <x:v>0</x:v>
      </x:c>
      <x:c r="Q48" s="499" t="n">
        <x:v>0</x:v>
      </x:c>
      <x:c r="R48" s="476" t="str"/>
      <x:c r="S48" s="476" t="str"/>
      <x:c r="T48" s="476" t="str">
        <x:v>SEM Nº / NÃO CONCILIADO</x:v>
      </x:c>
      <x:c r="U48" s="476" t="str">
        <x:v>Média</x:v>
      </x:c>
      <x:c r="V48" s="476" t="str"/>
      <x:c r="W48" s="476" t="str"/>
      <x:c r="X48" s="476" t="str"/>
    </x:row>
    <x:row r="49">
      <x:c r="A49" t="n">
        <x:v>53</x:v>
      </x:c>
      <x:c r="B49" t="n">
        <x:v>2023</x:v>
      </x:c>
      <x:c r="C49" s="476" t="str">
        <x:v>São Martinho</x:v>
      </x:c>
      <x:c r="D49" s="476" t="str">
        <x:v>APAE</x:v>
      </x:c>
      <x:c r="E49" s="476" t="str">
        <x:v>APAE de São Martinho</x:v>
      </x:c>
      <x:c r="F49" s="476" t="str"/>
      <x:c r="G49" s="476" t="str"/>
      <x:c r="H49" s="476" t="str">
        <x:v>Sem nº conciliado</x:v>
      </x:c>
      <x:c r="I49" s="499" t="n">
        <x:v>50000</x:v>
      </x:c>
      <x:c r="J49" s="499" t="n">
        <x:v>50000</x:v>
      </x:c>
      <x:c r="K49" s="476" t="str">
        <x:v>Emenda de Bancada</x:v>
      </x:c>
      <x:c r="L49" s="476" t="str">
        <x:v>Recurso pago</x:v>
      </x:c>
      <x:c r="M49" s="499" t="n">
        <x:v>0</x:v>
      </x:c>
      <x:c r="N49" s="499" t="n">
        <x:v>0</x:v>
      </x:c>
      <x:c r="O49" s="499" t="n">
        <x:v>0</x:v>
      </x:c>
      <x:c r="P49" s="499" t="n">
        <x:v>0</x:v>
      </x:c>
      <x:c r="Q49" s="499" t="n">
        <x:v>0</x:v>
      </x:c>
      <x:c r="R49" s="476" t="str"/>
      <x:c r="S49" s="476" t="str"/>
      <x:c r="T49" s="476" t="str">
        <x:v>SEM Nº / NÃO CONCILIADO</x:v>
      </x:c>
      <x:c r="U49" s="476" t="str">
        <x:v>Média</x:v>
      </x:c>
      <x:c r="V49" s="476" t="str"/>
      <x:c r="W49" s="476" t="str"/>
      <x:c r="X49" s="476" t="str"/>
    </x:row>
    <x:row r="50">
      <x:c r="A50" t="n">
        <x:v>56</x:v>
      </x:c>
      <x:c r="B50" t="n">
        <x:v>2019</x:v>
      </x:c>
      <x:c r="C50" s="476" t="str">
        <x:v>Santo Antônio das Missões</x:v>
      </x:c>
      <x:c r="D50" s="476" t="str">
        <x:v>Escola Agrotécnica</x:v>
      </x:c>
      <x:c r="E50" s="476" t="str">
        <x:v>E.T.E. Achilino de Santis</x:v>
      </x:c>
      <x:c r="F50" s="476" t="str">
        <x:v>71220005</x:v>
      </x:c>
      <x:c r="G50" s="476" t="str">
        <x:v>71220005-2019</x:v>
      </x:c>
      <x:c r="H50" s="476" t="str">
        <x:v>Informado/corrigido a partir do mapa</x:v>
      </x:c>
      <x:c r="I50" s="499" t="n">
        <x:v>54000</x:v>
      </x:c>
      <x:c r="J50" s="499" t="n">
        <x:v>54000</x:v>
      </x:c>
      <x:c r="K50" s="476" t="str">
        <x:v>Emenda de Bancada</x:v>
      </x:c>
      <x:c r="L50" s="476" t="str">
        <x:v>Recurso pago</x:v>
      </x:c>
      <x:c r="M50" s="499" t="n">
        <x:v>0</x:v>
      </x:c>
      <x:c r="N50" s="499" t="n">
        <x:v>0</x:v>
      </x:c>
      <x:c r="O50" s="499" t="n">
        <x:v>0</x:v>
      </x:c>
      <x:c r="P50" s="499" t="n">
        <x:v>0</x:v>
      </x:c>
      <x:c r="Q50" s="499" t="n">
        <x:v>0</x:v>
      </x:c>
      <x:c r="R50" s="476" t="str"/>
      <x:c r="S50" s="476" t="str"/>
      <x:c r="T50" s="476" t="str">
        <x:v>Nº NÃO LOCALIZADO</x:v>
      </x:c>
      <x:c r="U50" s="476" t="str">
        <x:v>Média</x:v>
      </x:c>
      <x:c r="V50" s="476" t="str"/>
      <x:c r="W50" s="476" t="str"/>
      <x:c r="X50" s="476" t="str"/>
    </x:row>
    <x:row r="51">
      <x:c r="A51" t="n">
        <x:v>57</x:v>
      </x:c>
      <x:c r="B51" t="n">
        <x:v>2019</x:v>
      </x:c>
      <x:c r="C51" s="476" t="str">
        <x:v>Lagoa Vermelha</x:v>
      </x:c>
      <x:c r="D51" s="476" t="str">
        <x:v>Escola Agrotécnica</x:v>
      </x:c>
      <x:c r="E51" s="476" t="str">
        <x:v>E.E.T.A Desidério Finamor</x:v>
      </x:c>
      <x:c r="F51" s="476" t="str">
        <x:v>71220005</x:v>
      </x:c>
      <x:c r="G51" s="476" t="str">
        <x:v>71220005-2019</x:v>
      </x:c>
      <x:c r="H51" s="476" t="str">
        <x:v>Informado/corrigido a partir do mapa</x:v>
      </x:c>
      <x:c r="I51" s="499" t="n">
        <x:v>54000</x:v>
      </x:c>
      <x:c r="J51" s="499" t="n">
        <x:v>54000</x:v>
      </x:c>
      <x:c r="K51" s="476" t="str">
        <x:v>Emenda de Bancada (processo seletivo)</x:v>
      </x:c>
      <x:c r="L51" s="476" t="str">
        <x:v>Recurso pago</x:v>
      </x:c>
      <x:c r="M51" s="499" t="n">
        <x:v>0</x:v>
      </x:c>
      <x:c r="N51" s="499" t="n">
        <x:v>0</x:v>
      </x:c>
      <x:c r="O51" s="499" t="n">
        <x:v>0</x:v>
      </x:c>
      <x:c r="P51" s="499" t="n">
        <x:v>0</x:v>
      </x:c>
      <x:c r="Q51" s="499" t="n">
        <x:v>0</x:v>
      </x:c>
      <x:c r="R51" s="476" t="str"/>
      <x:c r="S51" s="476" t="str"/>
      <x:c r="T51" s="476" t="str">
        <x:v>Nº NÃO LOCALIZADO</x:v>
      </x:c>
      <x:c r="U51" s="476" t="str">
        <x:v>Média</x:v>
      </x:c>
      <x:c r="V51" s="476" t="str"/>
      <x:c r="W51" s="476" t="str"/>
      <x:c r="X51" s="476" t="str"/>
    </x:row>
    <x:row r="52">
      <x:c r="A52" t="n">
        <x:v>58</x:v>
      </x:c>
      <x:c r="B52" t="n">
        <x:v>2019</x:v>
      </x:c>
      <x:c r="C52" s="476" t="str">
        <x:v>São Lourenço do Sul</x:v>
      </x:c>
      <x:c r="D52" s="476" t="str">
        <x:v>Escola Agrotécnica</x:v>
      </x:c>
      <x:c r="E52" s="476" t="str">
        <x:v>Escola Técnica Estadual Santa Isabel</x:v>
      </x:c>
      <x:c r="F52" s="476" t="str">
        <x:v>71220005</x:v>
      </x:c>
      <x:c r="G52" s="476" t="str">
        <x:v>71220005-2019</x:v>
      </x:c>
      <x:c r="H52" s="476" t="str">
        <x:v>Informado/corrigido a partir do mapa</x:v>
      </x:c>
      <x:c r="I52" s="499" t="n">
        <x:v>55000</x:v>
      </x:c>
      <x:c r="J52" s="499" t="n">
        <x:v>55000</x:v>
      </x:c>
      <x:c r="K52" s="476" t="str">
        <x:v>Emenda de Bancada (processo seletivo)</x:v>
      </x:c>
      <x:c r="L52" s="476" t="str">
        <x:v>Recurso pago</x:v>
      </x:c>
      <x:c r="M52" s="499" t="n">
        <x:v>0</x:v>
      </x:c>
      <x:c r="N52" s="499" t="n">
        <x:v>0</x:v>
      </x:c>
      <x:c r="O52" s="499" t="n">
        <x:v>0</x:v>
      </x:c>
      <x:c r="P52" s="499" t="n">
        <x:v>0</x:v>
      </x:c>
      <x:c r="Q52" s="499" t="n">
        <x:v>0</x:v>
      </x:c>
      <x:c r="R52" s="476" t="str"/>
      <x:c r="S52" s="476" t="str"/>
      <x:c r="T52" s="476" t="str">
        <x:v>Nº NÃO LOCALIZADO</x:v>
      </x:c>
      <x:c r="U52" s="476" t="str">
        <x:v>Média</x:v>
      </x:c>
      <x:c r="V52" s="476" t="str"/>
      <x:c r="W52" s="476" t="str"/>
      <x:c r="X52" s="476" t="str"/>
    </x:row>
    <x:row r="53">
      <x:c r="A53" t="n">
        <x:v>60</x:v>
      </x:c>
      <x:c r="B53" t="n">
        <x:v>2023</x:v>
      </x:c>
      <x:c r="C53" s="476" t="str">
        <x:v>Formigueiro</x:v>
      </x:c>
      <x:c r="D53" s="476" t="str">
        <x:v>APAE</x:v>
      </x:c>
      <x:c r="E53" s="476" t="str">
        <x:v>APAE de Formigueiro</x:v>
      </x:c>
      <x:c r="F53" s="476" t="str"/>
      <x:c r="G53" s="476" t="str"/>
      <x:c r="H53" s="476" t="str">
        <x:v>Sem nº conciliado</x:v>
      </x:c>
      <x:c r="I53" s="499" t="n">
        <x:v>58000</x:v>
      </x:c>
      <x:c r="J53" s="499" t="n">
        <x:v>58000</x:v>
      </x:c>
      <x:c r="K53" s="476" t="str">
        <x:v>Emenda de Bancada</x:v>
      </x:c>
      <x:c r="L53" s="476" t="str">
        <x:v>Recurso Pago</x:v>
      </x:c>
      <x:c r="M53" s="499" t="n">
        <x:v>0</x:v>
      </x:c>
      <x:c r="N53" s="499" t="n">
        <x:v>0</x:v>
      </x:c>
      <x:c r="O53" s="499" t="n">
        <x:v>0</x:v>
      </x:c>
      <x:c r="P53" s="499" t="n">
        <x:v>0</x:v>
      </x:c>
      <x:c r="Q53" s="499" t="n">
        <x:v>0</x:v>
      </x:c>
      <x:c r="R53" s="476" t="str"/>
      <x:c r="S53" s="476" t="str"/>
      <x:c r="T53" s="476" t="str">
        <x:v>SEM Nº / NÃO CONCILIADO</x:v>
      </x:c>
      <x:c r="U53" s="476" t="str">
        <x:v>Média</x:v>
      </x:c>
      <x:c r="V53" s="476" t="str"/>
      <x:c r="W53" s="476" t="str"/>
      <x:c r="X53" s="476" t="str"/>
    </x:row>
    <x:row r="54">
      <x:c r="A54" t="n">
        <x:v>61</x:v>
      </x:c>
      <x:c r="B54" t="n">
        <x:v>2019</x:v>
      </x:c>
      <x:c r="C54" s="476" t="str">
        <x:v>Carazinho</x:v>
      </x:c>
      <x:c r="D54" s="476" t="str">
        <x:v>Escola Agrotécnica</x:v>
      </x:c>
      <x:c r="E54" s="476" t="str">
        <x:v>E.E.E.P. de Carazinho</x:v>
      </x:c>
      <x:c r="F54" s="476" t="str">
        <x:v>71220005</x:v>
      </x:c>
      <x:c r="G54" s="476" t="str">
        <x:v>71220005-2019</x:v>
      </x:c>
      <x:c r="H54" s="476" t="str">
        <x:v>Informado/corrigido a partir do mapa</x:v>
      </x:c>
      <x:c r="I54" s="499" t="n">
        <x:v>59000</x:v>
      </x:c>
      <x:c r="J54" s="499" t="n">
        <x:v>59000</x:v>
      </x:c>
      <x:c r="K54" s="476" t="str">
        <x:v>Emenda de Bancada (processo seletivo)</x:v>
      </x:c>
      <x:c r="L54" s="476" t="str">
        <x:v>Recurso pago</x:v>
      </x:c>
      <x:c r="M54" s="499" t="n">
        <x:v>0</x:v>
      </x:c>
      <x:c r="N54" s="499" t="n">
        <x:v>0</x:v>
      </x:c>
      <x:c r="O54" s="499" t="n">
        <x:v>0</x:v>
      </x:c>
      <x:c r="P54" s="499" t="n">
        <x:v>0</x:v>
      </x:c>
      <x:c r="Q54" s="499" t="n">
        <x:v>0</x:v>
      </x:c>
      <x:c r="R54" s="476" t="str"/>
      <x:c r="S54" s="476" t="str"/>
      <x:c r="T54" s="476" t="str">
        <x:v>Nº NÃO LOCALIZADO</x:v>
      </x:c>
      <x:c r="U54" s="476" t="str">
        <x:v>Média</x:v>
      </x:c>
      <x:c r="V54" s="476" t="str"/>
      <x:c r="W54" s="476" t="str"/>
      <x:c r="X54" s="476" t="str"/>
    </x:row>
    <x:row r="55">
      <x:c r="A55" t="n">
        <x:v>62</x:v>
      </x:c>
      <x:c r="B55" t="n">
        <x:v>2020</x:v>
      </x:c>
      <x:c r="C55" s="476" t="str">
        <x:v>Estância Velha</x:v>
      </x:c>
      <x:c r="D55" s="476" t="str">
        <x:v>Hospital</x:v>
      </x:c>
      <x:c r="E55" s="476" t="str">
        <x:v>Hospital Municipal Getúlio Vargas</x:v>
      </x:c>
      <x:c r="F55" s="476" t="str">
        <x:v>7122 0006</x:v>
      </x:c>
      <x:c r="G55" s="476" t="str">
        <x:v>71220006-2020</x:v>
      </x:c>
      <x:c r="H55" s="476" t="str">
        <x:v>Informado/corrigido a partir do mapa</x:v>
      </x:c>
      <x:c r="I55" s="499" t="n">
        <x:v>60000</x:v>
      </x:c>
      <x:c r="J55" s="499" t="n">
        <x:v>60000</x:v>
      </x:c>
      <x:c r="K55" s="476" t="str">
        <x:v>Emenda de Bancada</x:v>
      </x:c>
      <x:c r="L55" s="476" t="str">
        <x:v>Recurso pago</x:v>
      </x:c>
      <x:c r="M55" s="499" t="n">
        <x:v>0</x:v>
      </x:c>
      <x:c r="N55" s="499" t="n">
        <x:v>0</x:v>
      </x:c>
      <x:c r="O55" s="499" t="n">
        <x:v>0</x:v>
      </x:c>
      <x:c r="P55" s="499" t="n">
        <x:v>0</x:v>
      </x:c>
      <x:c r="Q55" s="499" t="n">
        <x:v>0</x:v>
      </x:c>
      <x:c r="R55" s="476" t="str"/>
      <x:c r="S55" s="476" t="str"/>
      <x:c r="T55" s="476" t="str">
        <x:v>Nº NÃO LOCALIZADO</x:v>
      </x:c>
      <x:c r="U55" s="476" t="str">
        <x:v>Média</x:v>
      </x:c>
      <x:c r="V55" s="476" t="str"/>
      <x:c r="W55" s="476" t="str"/>
      <x:c r="X55" s="476" t="str"/>
    </x:row>
    <x:row r="56">
      <x:c r="A56" t="n">
        <x:v>65</x:v>
      </x:c>
      <x:c r="B56" t="n">
        <x:v>2019</x:v>
      </x:c>
      <x:c r="C56" s="476" t="str">
        <x:v>Bom Progresso</x:v>
      </x:c>
      <x:c r="D56" s="476" t="str">
        <x:v>Escola Agrotécnica</x:v>
      </x:c>
      <x:c r="E56" s="476" t="str">
        <x:v>E.T.E. Celeiro</x:v>
      </x:c>
      <x:c r="F56" s="476" t="str">
        <x:v>71220005</x:v>
      </x:c>
      <x:c r="G56" s="476" t="str">
        <x:v>71220005-2019</x:v>
      </x:c>
      <x:c r="H56" s="476" t="str">
        <x:v>Informado/corrigido a partir do mapa</x:v>
      </x:c>
      <x:c r="I56" s="499" t="n">
        <x:v>63000</x:v>
      </x:c>
      <x:c r="J56" s="499" t="n">
        <x:v>63000</x:v>
      </x:c>
      <x:c r="K56" s="476" t="str">
        <x:v>Emenda de Bancada (processo seletivo)</x:v>
      </x:c>
      <x:c r="L56" s="476" t="str">
        <x:v>Recurso pago</x:v>
      </x:c>
      <x:c r="M56" s="499" t="n">
        <x:v>0</x:v>
      </x:c>
      <x:c r="N56" s="499" t="n">
        <x:v>0</x:v>
      </x:c>
      <x:c r="O56" s="499" t="n">
        <x:v>0</x:v>
      </x:c>
      <x:c r="P56" s="499" t="n">
        <x:v>0</x:v>
      </x:c>
      <x:c r="Q56" s="499" t="n">
        <x:v>0</x:v>
      </x:c>
      <x:c r="R56" s="476" t="str"/>
      <x:c r="S56" s="476" t="str"/>
      <x:c r="T56" s="476" t="str">
        <x:v>Nº NÃO LOCALIZADO</x:v>
      </x:c>
      <x:c r="U56" s="476" t="str">
        <x:v>Média</x:v>
      </x:c>
      <x:c r="V56" s="476" t="str"/>
      <x:c r="W56" s="476" t="str"/>
      <x:c r="X56" s="476" t="str"/>
    </x:row>
    <x:row r="57">
      <x:c r="A57" t="n">
        <x:v>66</x:v>
      </x:c>
      <x:c r="B57" t="n">
        <x:v>2019</x:v>
      </x:c>
      <x:c r="C57" s="476" t="str">
        <x:v>Erechim</x:v>
      </x:c>
      <x:c r="D57" s="476" t="str">
        <x:v>Escola Agrotécnica</x:v>
      </x:c>
      <x:c r="E57" s="476" t="str">
        <x:v>C.A.E. Ângelo Emílio Grando</x:v>
      </x:c>
      <x:c r="F57" s="476" t="str">
        <x:v>71220005</x:v>
      </x:c>
      <x:c r="G57" s="476" t="str">
        <x:v>71220005-2019</x:v>
      </x:c>
      <x:c r="H57" s="476" t="str">
        <x:v>Informado/corrigido a partir do mapa</x:v>
      </x:c>
      <x:c r="I57" s="499" t="n">
        <x:v>63000</x:v>
      </x:c>
      <x:c r="J57" s="499" t="n">
        <x:v>63000</x:v>
      </x:c>
      <x:c r="K57" s="476" t="str">
        <x:v>Emenda de Bancada (processo seletivo)</x:v>
      </x:c>
      <x:c r="L57" s="476" t="str">
        <x:v>Recurso pago</x:v>
      </x:c>
      <x:c r="M57" s="499" t="n">
        <x:v>0</x:v>
      </x:c>
      <x:c r="N57" s="499" t="n">
        <x:v>0</x:v>
      </x:c>
      <x:c r="O57" s="499" t="n">
        <x:v>0</x:v>
      </x:c>
      <x:c r="P57" s="499" t="n">
        <x:v>0</x:v>
      </x:c>
      <x:c r="Q57" s="499" t="n">
        <x:v>0</x:v>
      </x:c>
      <x:c r="R57" s="476" t="str"/>
      <x:c r="S57" s="476" t="str"/>
      <x:c r="T57" s="476" t="str">
        <x:v>Nº NÃO LOCALIZADO</x:v>
      </x:c>
      <x:c r="U57" s="476" t="str">
        <x:v>Média</x:v>
      </x:c>
      <x:c r="V57" s="476" t="str"/>
      <x:c r="W57" s="476" t="str"/>
      <x:c r="X57" s="476" t="str"/>
    </x:row>
    <x:row r="58">
      <x:c r="A58" t="n">
        <x:v>67</x:v>
      </x:c>
      <x:c r="B58" t="n">
        <x:v>2019</x:v>
      </x:c>
      <x:c r="C58" s="476" t="str">
        <x:v>Dom Pedrito</x:v>
      </x:c>
      <x:c r="D58" s="476" t="str">
        <x:v>Escola Agrotécnica</x:v>
      </x:c>
      <x:c r="E58" s="476" t="str">
        <x:v>E.E.E.P. Dom Pedrito</x:v>
      </x:c>
      <x:c r="F58" s="476" t="str">
        <x:v>71220005</x:v>
      </x:c>
      <x:c r="G58" s="476" t="str">
        <x:v>71220005-2019</x:v>
      </x:c>
      <x:c r="H58" s="476" t="str">
        <x:v>Informado/corrigido a partir do mapa</x:v>
      </x:c>
      <x:c r="I58" s="499" t="n">
        <x:v>64000</x:v>
      </x:c>
      <x:c r="J58" s="499" t="n">
        <x:v>64000</x:v>
      </x:c>
      <x:c r="K58" s="476" t="str">
        <x:v>Emenda de Bancada (processo seletivo)</x:v>
      </x:c>
      <x:c r="L58" s="476" t="str">
        <x:v>Recurso pago</x:v>
      </x:c>
      <x:c r="M58" s="499" t="n">
        <x:v>0</x:v>
      </x:c>
      <x:c r="N58" s="499" t="n">
        <x:v>0</x:v>
      </x:c>
      <x:c r="O58" s="499" t="n">
        <x:v>0</x:v>
      </x:c>
      <x:c r="P58" s="499" t="n">
        <x:v>0</x:v>
      </x:c>
      <x:c r="Q58" s="499" t="n">
        <x:v>0</x:v>
      </x:c>
      <x:c r="R58" s="476" t="str"/>
      <x:c r="S58" s="476" t="str"/>
      <x:c r="T58" s="476" t="str">
        <x:v>Nº NÃO LOCALIZADO</x:v>
      </x:c>
      <x:c r="U58" s="476" t="str">
        <x:v>Média</x:v>
      </x:c>
      <x:c r="V58" s="476" t="str"/>
      <x:c r="W58" s="476" t="str"/>
      <x:c r="X58" s="476" t="str"/>
    </x:row>
    <x:row r="59">
      <x:c r="A59" t="n">
        <x:v>68</x:v>
      </x:c>
      <x:c r="B59" t="n">
        <x:v>2019</x:v>
      </x:c>
      <x:c r="C59" s="476" t="str">
        <x:v>Palmeira das Missões</x:v>
      </x:c>
      <x:c r="D59" s="476" t="str">
        <x:v>Escola Agrotécnica</x:v>
      </x:c>
      <x:c r="E59" s="476" t="str">
        <x:v>E.E.T. Celeste Gobbato</x:v>
      </x:c>
      <x:c r="F59" s="476" t="str">
        <x:v>71220005</x:v>
      </x:c>
      <x:c r="G59" s="476" t="str">
        <x:v>71220005-2019</x:v>
      </x:c>
      <x:c r="H59" s="476" t="str">
        <x:v>Informado/corrigido a partir do mapa</x:v>
      </x:c>
      <x:c r="I59" s="499" t="n">
        <x:v>66000</x:v>
      </x:c>
      <x:c r="J59" s="499" t="n">
        <x:v>66000</x:v>
      </x:c>
      <x:c r="K59" s="476" t="str">
        <x:v>Emenda de Bancada (processo seletivo)</x:v>
      </x:c>
      <x:c r="L59" s="476" t="str">
        <x:v>Recurso pago</x:v>
      </x:c>
      <x:c r="M59" s="499" t="n">
        <x:v>0</x:v>
      </x:c>
      <x:c r="N59" s="499" t="n">
        <x:v>0</x:v>
      </x:c>
      <x:c r="O59" s="499" t="n">
        <x:v>0</x:v>
      </x:c>
      <x:c r="P59" s="499" t="n">
        <x:v>0</x:v>
      </x:c>
      <x:c r="Q59" s="499" t="n">
        <x:v>0</x:v>
      </x:c>
      <x:c r="R59" s="476" t="str"/>
      <x:c r="S59" s="476" t="str"/>
      <x:c r="T59" s="476" t="str">
        <x:v>Nº NÃO LOCALIZADO</x:v>
      </x:c>
      <x:c r="U59" s="476" t="str">
        <x:v>Média</x:v>
      </x:c>
      <x:c r="V59" s="476" t="str"/>
      <x:c r="W59" s="476" t="str"/>
      <x:c r="X59" s="476" t="str"/>
    </x:row>
    <x:row r="60">
      <x:c r="A60" t="n">
        <x:v>69</x:v>
      </x:c>
      <x:c r="B60" t="n">
        <x:v>2023</x:v>
      </x:c>
      <x:c r="C60" s="476" t="str">
        <x:v>São Sepé</x:v>
      </x:c>
      <x:c r="D60" s="476" t="str">
        <x:v>APAE</x:v>
      </x:c>
      <x:c r="E60" s="476" t="str">
        <x:v>APAE de São Sepé</x:v>
      </x:c>
      <x:c r="F60" s="476" t="str"/>
      <x:c r="G60" s="476" t="str"/>
      <x:c r="H60" s="476" t="str">
        <x:v>Sem nº conciliado</x:v>
      </x:c>
      <x:c r="I60" s="499" t="n">
        <x:v>66576.11</x:v>
      </x:c>
      <x:c r="J60" s="499" t="n">
        <x:v>66576.11</x:v>
      </x:c>
      <x:c r="K60" s="476" t="str">
        <x:v>Emenda de Bancada</x:v>
      </x:c>
      <x:c r="L60" s="476" t="str">
        <x:v>Recurso Pago</x:v>
      </x:c>
      <x:c r="M60" s="499" t="n">
        <x:v>0</x:v>
      </x:c>
      <x:c r="N60" s="499" t="n">
        <x:v>0</x:v>
      </x:c>
      <x:c r="O60" s="499" t="n">
        <x:v>0</x:v>
      </x:c>
      <x:c r="P60" s="499" t="n">
        <x:v>0</x:v>
      </x:c>
      <x:c r="Q60" s="499" t="n">
        <x:v>0</x:v>
      </x:c>
      <x:c r="R60" s="476" t="str"/>
      <x:c r="S60" s="476" t="str"/>
      <x:c r="T60" s="476" t="str">
        <x:v>SEM Nº / NÃO CONCILIADO</x:v>
      </x:c>
      <x:c r="U60" s="476" t="str">
        <x:v>Média</x:v>
      </x:c>
      <x:c r="V60" s="476" t="str"/>
      <x:c r="W60" s="476" t="str"/>
      <x:c r="X60" s="476" t="str"/>
    </x:row>
    <x:row r="61">
      <x:c r="A61" t="n">
        <x:v>77</x:v>
      </x:c>
      <x:c r="B61" t="n">
        <x:v>2023</x:v>
      </x:c>
      <x:c r="C61" s="476" t="str">
        <x:v>Tapejara</x:v>
      </x:c>
      <x:c r="D61" s="476" t="str">
        <x:v>APAE</x:v>
      </x:c>
      <x:c r="E61" s="476" t="str">
        <x:v>APAE de Tapejara</x:v>
      </x:c>
      <x:c r="F61" s="476" t="str"/>
      <x:c r="G61" s="476" t="str"/>
      <x:c r="H61" s="476" t="str">
        <x:v>Sem nº conciliado</x:v>
      </x:c>
      <x:c r="I61" s="499" t="n">
        <x:v>70000</x:v>
      </x:c>
      <x:c r="J61" s="499" t="n">
        <x:v>70000</x:v>
      </x:c>
      <x:c r="K61" s="476" t="str">
        <x:v>Emenda de Bancada</x:v>
      </x:c>
      <x:c r="L61" s="476" t="str">
        <x:v>Recurso pago</x:v>
      </x:c>
      <x:c r="M61" s="499" t="n">
        <x:v>0</x:v>
      </x:c>
      <x:c r="N61" s="499" t="n">
        <x:v>0</x:v>
      </x:c>
      <x:c r="O61" s="499" t="n">
        <x:v>0</x:v>
      </x:c>
      <x:c r="P61" s="499" t="n">
        <x:v>0</x:v>
      </x:c>
      <x:c r="Q61" s="499" t="n">
        <x:v>0</x:v>
      </x:c>
      <x:c r="R61" s="476" t="str"/>
      <x:c r="S61" s="476" t="str"/>
      <x:c r="T61" s="476" t="str">
        <x:v>SEM Nº / NÃO CONCILIADO</x:v>
      </x:c>
      <x:c r="U61" s="476" t="str">
        <x:v>Média</x:v>
      </x:c>
      <x:c r="V61" s="476" t="str"/>
      <x:c r="W61" s="476" t="str"/>
      <x:c r="X61" s="476" t="str"/>
    </x:row>
    <x:row r="62">
      <x:c r="A62" t="n">
        <x:v>79</x:v>
      </x:c>
      <x:c r="B62" t="n">
        <x:v>2023</x:v>
      </x:c>
      <x:c r="C62" s="476" t="str">
        <x:v>Santo Antônio da Patrulha</x:v>
      </x:c>
      <x:c r="D62" s="476" t="str">
        <x:v>APAE</x:v>
      </x:c>
      <x:c r="E62" s="476" t="str">
        <x:v>APAE de Santo Antônio da Patrulha</x:v>
      </x:c>
      <x:c r="F62" s="476" t="str"/>
      <x:c r="G62" s="476" t="str"/>
      <x:c r="H62" s="476" t="str">
        <x:v>Sem nº conciliado</x:v>
      </x:c>
      <x:c r="I62" s="499" t="n">
        <x:v>71500</x:v>
      </x:c>
      <x:c r="J62" s="499" t="n">
        <x:v>471500</x:v>
      </x:c>
      <x:c r="K62" s="476" t="str">
        <x:v>Emenda de Bancada</x:v>
      </x:c>
      <x:c r="L62" s="476" t="str">
        <x:v>Recurso pago</x:v>
      </x:c>
      <x:c r="M62" s="499" t="n">
        <x:v>0</x:v>
      </x:c>
      <x:c r="N62" s="499" t="n">
        <x:v>0</x:v>
      </x:c>
      <x:c r="O62" s="499" t="n">
        <x:v>0</x:v>
      </x:c>
      <x:c r="P62" s="499" t="n">
        <x:v>0</x:v>
      </x:c>
      <x:c r="Q62" s="499" t="n">
        <x:v>0</x:v>
      </x:c>
      <x:c r="R62" s="476" t="str"/>
      <x:c r="S62" s="476" t="str"/>
      <x:c r="T62" s="476" t="str">
        <x:v>SEM Nº / NÃO CONCILIADO</x:v>
      </x:c>
      <x:c r="U62" s="476" t="str">
        <x:v>Média</x:v>
      </x:c>
      <x:c r="V62" s="476" t="str"/>
      <x:c r="W62" s="476" t="str"/>
      <x:c r="X62" s="476" t="str"/>
    </x:row>
    <x:row r="63">
      <x:c r="A63" t="n">
        <x:v>80</x:v>
      </x:c>
      <x:c r="B63" t="n">
        <x:v>2019</x:v>
      </x:c>
      <x:c r="C63" s="476" t="str">
        <x:v>Guarani das Missões</x:v>
      </x:c>
      <x:c r="D63" s="476" t="str">
        <x:v>Escola Agrotécnica</x:v>
      </x:c>
      <x:c r="E63" s="476" t="str">
        <x:v>E.E.T. Guaramano</x:v>
      </x:c>
      <x:c r="F63" s="476" t="str">
        <x:v>71220005</x:v>
      </x:c>
      <x:c r="G63" s="476" t="str">
        <x:v>71220005-2019</x:v>
      </x:c>
      <x:c r="H63" s="476" t="str">
        <x:v>Informado/corrigido a partir do mapa</x:v>
      </x:c>
      <x:c r="I63" s="499" t="n">
        <x:v>78705.88</x:v>
      </x:c>
      <x:c r="J63" s="499" t="n">
        <x:v>78705.88</x:v>
      </x:c>
      <x:c r="K63" s="476" t="str">
        <x:v>Emenda de Bancada (processo seletivo)</x:v>
      </x:c>
      <x:c r="L63" s="476" t="str">
        <x:v>Recurso pago</x:v>
      </x:c>
      <x:c r="M63" s="499" t="n">
        <x:v>0</x:v>
      </x:c>
      <x:c r="N63" s="499" t="n">
        <x:v>0</x:v>
      </x:c>
      <x:c r="O63" s="499" t="n">
        <x:v>0</x:v>
      </x:c>
      <x:c r="P63" s="499" t="n">
        <x:v>0</x:v>
      </x:c>
      <x:c r="Q63" s="499" t="n">
        <x:v>0</x:v>
      </x:c>
      <x:c r="R63" s="476" t="str"/>
      <x:c r="S63" s="476" t="str"/>
      <x:c r="T63" s="476" t="str">
        <x:v>Nº NÃO LOCALIZADO</x:v>
      </x:c>
      <x:c r="U63" s="476" t="str">
        <x:v>Média</x:v>
      </x:c>
      <x:c r="V63" s="476" t="str"/>
      <x:c r="W63" s="476" t="str"/>
      <x:c r="X63" s="476" t="str"/>
    </x:row>
    <x:row r="64">
      <x:c r="A64" t="n">
        <x:v>81</x:v>
      </x:c>
      <x:c r="B64" t="n">
        <x:v>2020</x:v>
      </x:c>
      <x:c r="C64" s="476" t="str">
        <x:v>Passo Fundo</x:v>
      </x:c>
      <x:c r="D64" s="476" t="str">
        <x:v>Hospital</x:v>
      </x:c>
      <x:c r="E64" s="476" t="str">
        <x:v>Hospital São Vicente de Paulo</x:v>
      </x:c>
      <x:c r="F64" s="476" t="str">
        <x:v>7122 0006</x:v>
      </x:c>
      <x:c r="G64" s="476" t="str">
        <x:v>71220006-2020</x:v>
      </x:c>
      <x:c r="H64" s="476" t="str">
        <x:v>Informado/corrigido a partir do mapa</x:v>
      </x:c>
      <x:c r="I64" s="499" t="n">
        <x:v>80000</x:v>
      </x:c>
      <x:c r="J64" s="499" t="n">
        <x:v>80000</x:v>
      </x:c>
      <x:c r="K64" s="476" t="str">
        <x:v>Emenda de Bancada</x:v>
      </x:c>
      <x:c r="L64" s="476" t="str">
        <x:v>Recurso pago</x:v>
      </x:c>
      <x:c r="M64" s="499" t="n">
        <x:v>0</x:v>
      </x:c>
      <x:c r="N64" s="499" t="n">
        <x:v>0</x:v>
      </x:c>
      <x:c r="O64" s="499" t="n">
        <x:v>0</x:v>
      </x:c>
      <x:c r="P64" s="499" t="n">
        <x:v>0</x:v>
      </x:c>
      <x:c r="Q64" s="499" t="n">
        <x:v>0</x:v>
      </x:c>
      <x:c r="R64" s="476" t="str"/>
      <x:c r="S64" s="476" t="str"/>
      <x:c r="T64" s="476" t="str">
        <x:v>Nº NÃO LOCALIZADO</x:v>
      </x:c>
      <x:c r="U64" s="476" t="str">
        <x:v>Média</x:v>
      </x:c>
      <x:c r="V64" s="476" t="str"/>
      <x:c r="W64" s="476" t="str"/>
      <x:c r="X64" s="476" t="str"/>
    </x:row>
    <x:row r="65">
      <x:c r="A65" t="n">
        <x:v>82</x:v>
      </x:c>
      <x:c r="B65" t="n">
        <x:v>2021</x:v>
      </x:c>
      <x:c r="C65" s="476" t="str">
        <x:v>Picada Café</x:v>
      </x:c>
      <x:c r="D65" s="476" t="str">
        <x:v>Prefeitura</x:v>
      </x:c>
      <x:c r="E65" s="476" t="str">
        <x:v>Prefeitura Municipal</x:v>
      </x:c>
      <x:c r="F65" s="476" t="str">
        <x:v>41160003</x:v>
      </x:c>
      <x:c r="G65" s="476" t="str">
        <x:v>41160003-2021</x:v>
      </x:c>
      <x:c r="H65" s="476" t="str">
        <x:v>Informado/corrigido a partir do mapa</x:v>
      </x:c>
      <x:c r="I65" s="499" t="n">
        <x:v>80000</x:v>
      </x:c>
      <x:c r="J65" s="499" t="n">
        <x:v>80000</x:v>
      </x:c>
      <x:c r="K65" s="476" t="str">
        <x:v>Emenda individual (processo seletivo)</x:v>
      </x:c>
      <x:c r="L65" s="476" t="str">
        <x:v>Recurso pago</x:v>
      </x:c>
      <x:c r="M65" s="499" t="n">
        <x:v>79043</x:v>
      </x:c>
      <x:c r="N65" s="499" t="n">
        <x:v>0</x:v>
      </x:c>
      <x:c r="O65" s="499" t="n">
        <x:v>0</x:v>
      </x:c>
      <x:c r="P65" s="499" t="n">
        <x:v>0</x:v>
      </x:c>
      <x:c r="Q65" s="499" t="n">
        <x:v>0</x:v>
      </x:c>
      <x:c r="R65" s="476" t="str"/>
      <x:c r="S65" s="476" t="str">
        <x:v>12059843000142</x:v>
      </x:c>
      <x:c r="T65" s="476" t="str">
        <x:v>VALOR DIVERGENTE / COBERTURA DIFERENTE</x:v>
      </x:c>
      <x:c r="U65" s="476" t="str">
        <x:v>Média</x:v>
      </x:c>
      <x:c r="V65" s="476" t="str">
        <x:v>CNPJ candidato na fonte SIGA: 12059843000142</x:v>
      </x:c>
      <x:c r="W65" s="476" t="str">
        <x:v>Município/localidade encontrado em fonte comparável, mas valor não fecha exatamente</x:v>
      </x:c>
      <x:c r="X65" s="476" t="str"/>
    </x:row>
    <x:row r="66">
      <x:c r="A66" t="n">
        <x:v>83</x:v>
      </x:c>
      <x:c r="B66" t="n">
        <x:v>2020</x:v>
      </x:c>
      <x:c r="C66" s="476" t="str">
        <x:v>Camaquã</x:v>
      </x:c>
      <x:c r="D66" s="476" t="str">
        <x:v>Brigada Militar</x:v>
      </x:c>
      <x:c r="E66" s="476" t="str">
        <x:v>Brigada Militar de Camaquã</x:v>
      </x:c>
      <x:c r="F66" s="476" t="str"/>
      <x:c r="G66" s="476" t="str"/>
      <x:c r="H66" s="476" t="str">
        <x:v>Sem nº conciliado</x:v>
      </x:c>
      <x:c r="I66" s="499" t="n">
        <x:v>81280</x:v>
      </x:c>
      <x:c r="J66" s="499" t="n">
        <x:v>492060</x:v>
      </x:c>
      <x:c r="K66" s="476" t="str">
        <x:v>Emenda de Bancada</x:v>
      </x:c>
      <x:c r="L66" s="476" t="str">
        <x:v>Em licitação</x:v>
      </x:c>
      <x:c r="M66" s="499" t="n">
        <x:v>0</x:v>
      </x:c>
      <x:c r="N66" s="499" t="n">
        <x:v>0</x:v>
      </x:c>
      <x:c r="O66" s="499" t="n">
        <x:v>0</x:v>
      </x:c>
      <x:c r="P66" s="499" t="n">
        <x:v>0</x:v>
      </x:c>
      <x:c r="Q66" s="499" t="n">
        <x:v>0</x:v>
      </x:c>
      <x:c r="R66" s="476" t="str"/>
      <x:c r="S66" s="476" t="str"/>
      <x:c r="T66" s="476" t="str">
        <x:v>SEM Nº / NÃO CONCILIADO</x:v>
      </x:c>
      <x:c r="U66" s="476" t="str">
        <x:v>Média</x:v>
      </x:c>
      <x:c r="V66" s="476" t="str"/>
      <x:c r="W66" s="476" t="str"/>
      <x:c r="X66" s="476" t="str"/>
    </x:row>
    <x:row r="67">
      <x:c r="A67" t="n">
        <x:v>85</x:v>
      </x:c>
      <x:c r="B67" t="n">
        <x:v>2020</x:v>
      </x:c>
      <x:c r="C67" s="476" t="str">
        <x:v>Não-Me-Toque</x:v>
      </x:c>
      <x:c r="D67" s="476" t="str">
        <x:v>Hospital</x:v>
      </x:c>
      <x:c r="E67" s="476" t="str">
        <x:v>Hospital Beneficência Alto Jacuí</x:v>
      </x:c>
      <x:c r="F67" s="476" t="str">
        <x:v>41160005</x:v>
      </x:c>
      <x:c r="G67" s="476" t="str">
        <x:v>41160005-2020</x:v>
      </x:c>
      <x:c r="H67" s="476" t="str">
        <x:v>Informado/corrigido a partir do mapa</x:v>
      </x:c>
      <x:c r="I67" s="499" t="n">
        <x:v>86000</x:v>
      </x:c>
      <x:c r="J67" s="499" t="n">
        <x:v>86000</x:v>
      </x:c>
      <x:c r="K67" s="476" t="str">
        <x:v>Emenda Individual (suplente - processo seletivo)</x:v>
      </x:c>
      <x:c r="L67" s="476" t="str">
        <x:v>Recurso pago</x:v>
      </x:c>
      <x:c r="M67" s="499" t="n">
        <x:v>0</x:v>
      </x:c>
      <x:c r="N67" s="499" t="n">
        <x:v>0</x:v>
      </x:c>
      <x:c r="O67" s="499" t="n">
        <x:v>0</x:v>
      </x:c>
      <x:c r="P67" s="499" t="n">
        <x:v>0</x:v>
      </x:c>
      <x:c r="Q67" s="499" t="n">
        <x:v>0</x:v>
      </x:c>
      <x:c r="R67" s="476" t="str"/>
      <x:c r="S67" s="476" t="str"/>
      <x:c r="T67" s="476" t="str">
        <x:v>EMENDA CONFIRMADA; DESTINO NÃO CONFIRMADO</x:v>
      </x:c>
      <x:c r="U67" s="476" t="str">
        <x:v>Média</x:v>
      </x:c>
      <x:c r="V67" s="476" t="str"/>
      <x:c r="W67" s="476" t="str">
        <x:v>Nº existe no SIGA; destinatário específico não foi confirmado nas bases anexas</x:v>
      </x:c>
      <x:c r="X67" s="476" t="str"/>
    </x:row>
    <x:row r="68">
      <x:c r="A68" t="n">
        <x:v>86</x:v>
      </x:c>
      <x:c r="B68" t="n">
        <x:v>2020</x:v>
      </x:c>
      <x:c r="C68" s="476" t="str">
        <x:v>Porto Alegre</x:v>
      </x:c>
      <x:c r="D68" s="476" t="str">
        <x:v>Instituto Geral de Perícias</x:v>
      </x:c>
      <x:c r="E68" s="476" t="str">
        <x:v>Instituto Geral de Perícias</x:v>
      </x:c>
      <x:c r="F68" s="476" t="str">
        <x:v>41160010</x:v>
      </x:c>
      <x:c r="G68" s="476" t="str">
        <x:v>41160010-2020</x:v>
      </x:c>
      <x:c r="H68" s="476" t="str">
        <x:v>Informado/corrigido a partir do mapa</x:v>
      </x:c>
      <x:c r="I68" s="499" t="n">
        <x:v>88086</x:v>
      </x:c>
      <x:c r="J68" s="499" t="n">
        <x:v>554830.11</x:v>
      </x:c>
      <x:c r="K68" s="476" t="str">
        <x:v>Emenda individual</x:v>
      </x:c>
      <x:c r="L68" s="476" t="str">
        <x:v>Pregão eletrônio concluído.</x:v>
      </x:c>
      <x:c r="M68" s="499" t="n">
        <x:v>622294.89</x:v>
      </x:c>
      <x:c r="N68" s="499" t="n">
        <x:v>3614493.94</x:v>
      </x:c>
      <x:c r="O68" s="499" t="n">
        <x:v>3290479.1</x:v>
      </x:c>
      <x:c r="P68" s="499" t="n">
        <x:v>0</x:v>
      </x:c>
      <x:c r="Q68" s="499" t="n">
        <x:v>0</x:v>
      </x:c>
      <x:c r="R68" s="476" t="str"/>
      <x:c r="S68" s="476" t="str">
        <x:v>87958583000146</x:v>
      </x:c>
      <x:c r="T68" s="476" t="str">
        <x:v>VALOR DIVERGENTE / COBERTURA DIFERENTE</x:v>
      </x:c>
      <x:c r="U68" s="476" t="str">
        <x:v>Alta</x:v>
      </x:c>
      <x:c r="V68" s="476" t="str">
        <x:v>CNPJ candidato na fonte SIGA: 87958583000146</x:v>
      </x:c>
      <x:c r="W68" s="476" t="str">
        <x:v>Município/localidade encontrado em fonte comparável, mas valor não fecha exatamente</x:v>
      </x:c>
      <x:c r="X68" s="476" t="str">
        <x:v>https://discricionarias.transferegov.sistema.gov.br/voluntarias/ConsultarProposta/ResultadoDaConsultaDeConvenioSelecionarConvenio.do?sequencialConvenio=905242&amp;Usr=guest&amp;Pwd=guest | https://discricionarias.transferegov.sistema.gov.br/voluntarias/ConsultarProposta/ResultadoDaConsultaDeConvenioSelecionarConvenio.do?sequencialConvenio=905738&amp;Usr=guest&amp;Pwd=guest</x:v>
      </x:c>
    </x:row>
    <x:row r="69">
      <x:c r="A69" t="n">
        <x:v>91</x:v>
      </x:c>
      <x:c r="B69" t="n">
        <x:v>2020</x:v>
      </x:c>
      <x:c r="C69" s="476" t="str">
        <x:v>Campo Bom</x:v>
      </x:c>
      <x:c r="D69" s="476" t="str">
        <x:v>Hospital</x:v>
      </x:c>
      <x:c r="E69" s="476" t="str">
        <x:v>Hospital de Campo Bom Dr. Lauro Reus</x:v>
      </x:c>
      <x:c r="F69" s="476" t="str">
        <x:v>7122 0006</x:v>
      </x:c>
      <x:c r="G69" s="476" t="str">
        <x:v>71220006-2020</x:v>
      </x:c>
      <x:c r="H69" s="476" t="str">
        <x:v>Informado/corrigido a partir do mapa</x:v>
      </x:c>
      <x:c r="I69" s="499" t="n">
        <x:v>100000</x:v>
      </x:c>
      <x:c r="J69" s="499" t="n">
        <x:v>100000</x:v>
      </x:c>
      <x:c r="K69" s="476" t="str">
        <x:v>Emenda de Bancada</x:v>
      </x:c>
      <x:c r="L69" s="476" t="str">
        <x:v>Recurso pago</x:v>
      </x:c>
      <x:c r="M69" s="499" t="n">
        <x:v>0</x:v>
      </x:c>
      <x:c r="N69" s="499" t="n">
        <x:v>0</x:v>
      </x:c>
      <x:c r="O69" s="499" t="n">
        <x:v>0</x:v>
      </x:c>
      <x:c r="P69" s="499" t="n">
        <x:v>0</x:v>
      </x:c>
      <x:c r="Q69" s="499" t="n">
        <x:v>0</x:v>
      </x:c>
      <x:c r="R69" s="476" t="str"/>
      <x:c r="S69" s="476" t="str"/>
      <x:c r="T69" s="476" t="str">
        <x:v>Nº NÃO LOCALIZADO</x:v>
      </x:c>
      <x:c r="U69" s="476" t="str">
        <x:v>Média</x:v>
      </x:c>
      <x:c r="V69" s="476" t="str"/>
      <x:c r="W69" s="476" t="str"/>
      <x:c r="X69" s="476" t="str"/>
    </x:row>
    <x:row r="70">
      <x:c r="A70" t="n">
        <x:v>92</x:v>
      </x:c>
      <x:c r="B70" t="n">
        <x:v>2020</x:v>
      </x:c>
      <x:c r="C70" s="476" t="str">
        <x:v>Parobé</x:v>
      </x:c>
      <x:c r="D70" s="476" t="str">
        <x:v>Hospital</x:v>
      </x:c>
      <x:c r="E70" s="476" t="str">
        <x:v>Hospital São Francisco de Assis</x:v>
      </x:c>
      <x:c r="F70" s="476" t="str">
        <x:v>7122 0006</x:v>
      </x:c>
      <x:c r="G70" s="476" t="str">
        <x:v>71220006-2020</x:v>
      </x:c>
      <x:c r="H70" s="476" t="str">
        <x:v>Informado/corrigido a partir do mapa</x:v>
      </x:c>
      <x:c r="I70" s="499" t="n">
        <x:v>100000</x:v>
      </x:c>
      <x:c r="J70" s="499" t="n">
        <x:v>100000</x:v>
      </x:c>
      <x:c r="K70" s="476" t="str">
        <x:v>Emenda de Bancada</x:v>
      </x:c>
      <x:c r="L70" s="476" t="str">
        <x:v>Recurso pago</x:v>
      </x:c>
      <x:c r="M70" s="499" t="n">
        <x:v>0</x:v>
      </x:c>
      <x:c r="N70" s="499" t="n">
        <x:v>0</x:v>
      </x:c>
      <x:c r="O70" s="499" t="n">
        <x:v>0</x:v>
      </x:c>
      <x:c r="P70" s="499" t="n">
        <x:v>0</x:v>
      </x:c>
      <x:c r="Q70" s="499" t="n">
        <x:v>0</x:v>
      </x:c>
      <x:c r="R70" s="476" t="str"/>
      <x:c r="S70" s="476" t="str"/>
      <x:c r="T70" s="476" t="str">
        <x:v>Nº NÃO LOCALIZADO</x:v>
      </x:c>
      <x:c r="U70" s="476" t="str">
        <x:v>Média</x:v>
      </x:c>
      <x:c r="V70" s="476" t="str"/>
      <x:c r="W70" s="476" t="str"/>
      <x:c r="X70" s="476" t="str"/>
    </x:row>
    <x:row r="71">
      <x:c r="A71" t="n">
        <x:v>94</x:v>
      </x:c>
      <x:c r="B71" t="n">
        <x:v>2020</x:v>
      </x:c>
      <x:c r="C71" s="476" t="str">
        <x:v>Bagé</x:v>
      </x:c>
      <x:c r="D71" s="476" t="str">
        <x:v>Hospital</x:v>
      </x:c>
      <x:c r="E71" s="476" t="str">
        <x:v>Santa Casa de Caridade de Bagé</x:v>
      </x:c>
      <x:c r="F71" s="476" t="str">
        <x:v>41160005</x:v>
      </x:c>
      <x:c r="G71" s="476" t="str">
        <x:v>41160005-2020</x:v>
      </x:c>
      <x:c r="H71" s="476" t="str">
        <x:v>Informado/corrigido a partir do mapa</x:v>
      </x:c>
      <x:c r="I71" s="499" t="n">
        <x:v>100000</x:v>
      </x:c>
      <x:c r="J71" s="499" t="n">
        <x:v>100000</x:v>
      </x:c>
      <x:c r="K71" s="476" t="str">
        <x:v>Emenda Individual (processo seletivo)</x:v>
      </x:c>
      <x:c r="L71" s="476" t="str">
        <x:v>Recurso pago</x:v>
      </x:c>
      <x:c r="M71" s="499" t="n">
        <x:v>0</x:v>
      </x:c>
      <x:c r="N71" s="499" t="n">
        <x:v>0</x:v>
      </x:c>
      <x:c r="O71" s="499" t="n">
        <x:v>0</x:v>
      </x:c>
      <x:c r="P71" s="499" t="n">
        <x:v>0</x:v>
      </x:c>
      <x:c r="Q71" s="499" t="n">
        <x:v>0</x:v>
      </x:c>
      <x:c r="R71" s="476" t="str"/>
      <x:c r="S71" s="476" t="str"/>
      <x:c r="T71" s="476" t="str">
        <x:v>EMENDA CONFIRMADA; DESTINO NÃO CONFIRMADO</x:v>
      </x:c>
      <x:c r="U71" s="476" t="str">
        <x:v>Média</x:v>
      </x:c>
      <x:c r="V71" s="476" t="str"/>
      <x:c r="W71" s="476" t="str">
        <x:v>Nº existe no SIGA; destinatário específico não foi confirmado nas bases anexas</x:v>
      </x:c>
      <x:c r="X71" s="476" t="str"/>
    </x:row>
    <x:row r="72">
      <x:c r="A72" t="n">
        <x:v>101</x:v>
      </x:c>
      <x:c r="B72" t="n">
        <x:v>2020</x:v>
      </x:c>
      <x:c r="C72" s="476" t="str">
        <x:v>Erechim</x:v>
      </x:c>
      <x:c r="D72" s="476" t="str">
        <x:v>Hospital</x:v>
      </x:c>
      <x:c r="E72" s="476" t="str">
        <x:v>Fundação Hospitalar Santa Terezinha</x:v>
      </x:c>
      <x:c r="F72" s="476" t="str">
        <x:v>41160005</x:v>
      </x:c>
      <x:c r="G72" s="476" t="str">
        <x:v>41160005-2020</x:v>
      </x:c>
      <x:c r="H72" s="476" t="str">
        <x:v>Informado/corrigido a partir do mapa</x:v>
      </x:c>
      <x:c r="I72" s="499" t="n">
        <x:v>100000</x:v>
      </x:c>
      <x:c r="J72" s="499" t="n">
        <x:v>100000</x:v>
      </x:c>
      <x:c r="K72" s="476" t="str">
        <x:v>Emenda Individual (processo seletivo)</x:v>
      </x:c>
      <x:c r="L72" s="476" t="str">
        <x:v>Recurso pago</x:v>
      </x:c>
      <x:c r="M72" s="499" t="n">
        <x:v>0</x:v>
      </x:c>
      <x:c r="N72" s="499" t="n">
        <x:v>0</x:v>
      </x:c>
      <x:c r="O72" s="499" t="n">
        <x:v>0</x:v>
      </x:c>
      <x:c r="P72" s="499" t="n">
        <x:v>0</x:v>
      </x:c>
      <x:c r="Q72" s="499" t="n">
        <x:v>0</x:v>
      </x:c>
      <x:c r="R72" s="476" t="str"/>
      <x:c r="S72" s="476" t="str"/>
      <x:c r="T72" s="476" t="str">
        <x:v>EMENDA CONFIRMADA; DESTINO NÃO CONFIRMADO</x:v>
      </x:c>
      <x:c r="U72" s="476" t="str">
        <x:v>Média</x:v>
      </x:c>
      <x:c r="V72" s="476" t="str"/>
      <x:c r="W72" s="476" t="str">
        <x:v>Nº existe no SIGA; destinatário específico não foi confirmado nas bases anexas</x:v>
      </x:c>
      <x:c r="X72" s="476" t="str"/>
    </x:row>
    <x:row r="73">
      <x:c r="A73" t="n">
        <x:v>106</x:v>
      </x:c>
      <x:c r="B73" t="n">
        <x:v>2020</x:v>
      </x:c>
      <x:c r="C73" s="476" t="str">
        <x:v>Ijuí</x:v>
      </x:c>
      <x:c r="D73" s="476" t="str">
        <x:v>Hospital</x:v>
      </x:c>
      <x:c r="E73" s="476" t="str">
        <x:v>Associação Hospitalar de Caridade Ijuí</x:v>
      </x:c>
      <x:c r="F73" s="476" t="str">
        <x:v>41160005</x:v>
      </x:c>
      <x:c r="G73" s="476" t="str">
        <x:v>41160005-2020</x:v>
      </x:c>
      <x:c r="H73" s="476" t="str">
        <x:v>Informado/corrigido a partir do mapa</x:v>
      </x:c>
      <x:c r="I73" s="499" t="n">
        <x:v>100000</x:v>
      </x:c>
      <x:c r="J73" s="499" t="n">
        <x:v>100000</x:v>
      </x:c>
      <x:c r="K73" s="476" t="str">
        <x:v>Emenda Individual (processo seletivo)</x:v>
      </x:c>
      <x:c r="L73" s="476" t="str">
        <x:v>Recurso pago</x:v>
      </x:c>
      <x:c r="M73" s="499" t="n">
        <x:v>0</x:v>
      </x:c>
      <x:c r="N73" s="499" t="n">
        <x:v>0</x:v>
      </x:c>
      <x:c r="O73" s="499" t="n">
        <x:v>0</x:v>
      </x:c>
      <x:c r="P73" s="499" t="n">
        <x:v>0</x:v>
      </x:c>
      <x:c r="Q73" s="499" t="n">
        <x:v>0</x:v>
      </x:c>
      <x:c r="R73" s="476" t="str"/>
      <x:c r="S73" s="476" t="str"/>
      <x:c r="T73" s="476" t="str">
        <x:v>EMENDA CONFIRMADA; DESTINO NÃO CONFIRMADO</x:v>
      </x:c>
      <x:c r="U73" s="476" t="str">
        <x:v>Média</x:v>
      </x:c>
      <x:c r="V73" s="476" t="str"/>
      <x:c r="W73" s="476" t="str">
        <x:v>Nº existe no SIGA; destinatário específico não foi confirmado nas bases anexas</x:v>
      </x:c>
      <x:c r="X73" s="476" t="str"/>
    </x:row>
    <x:row r="74">
      <x:c r="A74" t="n">
        <x:v>107</x:v>
      </x:c>
      <x:c r="B74" t="n">
        <x:v>2020</x:v>
      </x:c>
      <x:c r="C74" s="476" t="str">
        <x:v>Montenegro</x:v>
      </x:c>
      <x:c r="D74" s="476" t="str">
        <x:v>Hospital</x:v>
      </x:c>
      <x:c r="E74" s="476" t="str">
        <x:v>OASE- Hospital Montenegro</x:v>
      </x:c>
      <x:c r="F74" s="476" t="str">
        <x:v>41160009</x:v>
      </x:c>
      <x:c r="G74" s="476" t="str">
        <x:v>41160009-2020</x:v>
      </x:c>
      <x:c r="H74" s="476" t="str">
        <x:v>Informado/corrigido a partir do mapa</x:v>
      </x:c>
      <x:c r="I74" s="499" t="n">
        <x:v>100000</x:v>
      </x:c>
      <x:c r="J74" s="499" t="n">
        <x:v>100000</x:v>
      </x:c>
      <x:c r="K74" s="476" t="str">
        <x:v>Emenda Individual (processo seletivo)</x:v>
      </x:c>
      <x:c r="L74" s="476" t="str">
        <x:v>Recurso pago</x:v>
      </x:c>
      <x:c r="M74" s="499" t="n">
        <x:v>0</x:v>
      </x:c>
      <x:c r="N74" s="499" t="n">
        <x:v>0</x:v>
      </x:c>
      <x:c r="O74" s="499" t="n">
        <x:v>0</x:v>
      </x:c>
      <x:c r="P74" s="499" t="n">
        <x:v>0</x:v>
      </x:c>
      <x:c r="Q74" s="499" t="n">
        <x:v>0</x:v>
      </x:c>
      <x:c r="R74" s="476" t="str"/>
      <x:c r="S74" s="476" t="str"/>
      <x:c r="T74" s="476" t="str">
        <x:v>EMENDA CONFIRMADA; DESTINO NÃO CONFIRMADO</x:v>
      </x:c>
      <x:c r="U74" s="476" t="str">
        <x:v>Média</x:v>
      </x:c>
      <x:c r="V74" s="476" t="str"/>
      <x:c r="W74" s="476" t="str">
        <x:v>Nº existe no SIGA; destinatário específico não foi confirmado nas bases anexas</x:v>
      </x:c>
      <x:c r="X74" s="476" t="str"/>
    </x:row>
    <x:row r="75">
      <x:c r="A75" t="n">
        <x:v>113</x:v>
      </x:c>
      <x:c r="B75" t="n">
        <x:v>2020</x:v>
      </x:c>
      <x:c r="C75" s="476" t="str">
        <x:v>Sapiranga</x:v>
      </x:c>
      <x:c r="D75" s="476" t="str">
        <x:v>Hospital</x:v>
      </x:c>
      <x:c r="E75" s="476" t="str">
        <x:v>Hospital Sapiranga</x:v>
      </x:c>
      <x:c r="F75" s="476" t="str">
        <x:v>7122 0006</x:v>
      </x:c>
      <x:c r="G75" s="476" t="str">
        <x:v>71220006-2020</x:v>
      </x:c>
      <x:c r="H75" s="476" t="str">
        <x:v>Informado/corrigido a partir do mapa</x:v>
      </x:c>
      <x:c r="I75" s="499" t="n">
        <x:v>100000</x:v>
      </x:c>
      <x:c r="J75" s="499" t="n">
        <x:v>100000</x:v>
      </x:c>
      <x:c r="K75" s="476" t="str">
        <x:v>Emenda de Bancada</x:v>
      </x:c>
      <x:c r="L75" s="476" t="str">
        <x:v>Recurso pago</x:v>
      </x:c>
      <x:c r="M75" s="499" t="n">
        <x:v>0</x:v>
      </x:c>
      <x:c r="N75" s="499" t="n">
        <x:v>0</x:v>
      </x:c>
      <x:c r="O75" s="499" t="n">
        <x:v>0</x:v>
      </x:c>
      <x:c r="P75" s="499" t="n">
        <x:v>0</x:v>
      </x:c>
      <x:c r="Q75" s="499" t="n">
        <x:v>0</x:v>
      </x:c>
      <x:c r="R75" s="476" t="str"/>
      <x:c r="S75" s="476" t="str"/>
      <x:c r="T75" s="476" t="str">
        <x:v>Nº NÃO LOCALIZADO</x:v>
      </x:c>
      <x:c r="U75" s="476" t="str">
        <x:v>Média</x:v>
      </x:c>
      <x:c r="V75" s="476" t="str"/>
      <x:c r="W75" s="476" t="str"/>
      <x:c r="X75" s="476" t="str"/>
    </x:row>
    <x:row r="76">
      <x:c r="A76" t="n">
        <x:v>114</x:v>
      </x:c>
      <x:c r="B76" t="n">
        <x:v>2020</x:v>
      </x:c>
      <x:c r="C76" s="476" t="str">
        <x:v>Taquara</x:v>
      </x:c>
      <x:c r="D76" s="476" t="str">
        <x:v>Hospital</x:v>
      </x:c>
      <x:c r="E76" s="476" t="str">
        <x:v>Hospital Bom Jesus</x:v>
      </x:c>
      <x:c r="F76" s="476" t="str">
        <x:v>7122 0006</x:v>
      </x:c>
      <x:c r="G76" s="476" t="str">
        <x:v>71220006-2020</x:v>
      </x:c>
      <x:c r="H76" s="476" t="str">
        <x:v>Informado/corrigido a partir do mapa</x:v>
      </x:c>
      <x:c r="I76" s="499" t="n">
        <x:v>100000</x:v>
      </x:c>
      <x:c r="J76" s="499" t="n">
        <x:v>100000</x:v>
      </x:c>
      <x:c r="K76" s="476" t="str">
        <x:v>Emenda de Bancada</x:v>
      </x:c>
      <x:c r="L76" s="476" t="str">
        <x:v>Recurso pago</x:v>
      </x:c>
      <x:c r="M76" s="499" t="n">
        <x:v>0</x:v>
      </x:c>
      <x:c r="N76" s="499" t="n">
        <x:v>0</x:v>
      </x:c>
      <x:c r="O76" s="499" t="n">
        <x:v>0</x:v>
      </x:c>
      <x:c r="P76" s="499" t="n">
        <x:v>0</x:v>
      </x:c>
      <x:c r="Q76" s="499" t="n">
        <x:v>0</x:v>
      </x:c>
      <x:c r="R76" s="476" t="str"/>
      <x:c r="S76" s="476" t="str"/>
      <x:c r="T76" s="476" t="str">
        <x:v>Nº NÃO LOCALIZADO</x:v>
      </x:c>
      <x:c r="U76" s="476" t="str">
        <x:v>Média</x:v>
      </x:c>
      <x:c r="V76" s="476" t="str"/>
      <x:c r="W76" s="476" t="str"/>
      <x:c r="X76" s="476" t="str"/>
    </x:row>
    <x:row r="77">
      <x:c r="A77" t="n">
        <x:v>121</x:v>
      </x:c>
      <x:c r="B77" t="n">
        <x:v>2020</x:v>
      </x:c>
      <x:c r="C77" s="476" t="str">
        <x:v>Uruguaiana</x:v>
      </x:c>
      <x:c r="D77" s="476" t="str">
        <x:v>Hospital</x:v>
      </x:c>
      <x:c r="E77" s="476" t="str">
        <x:v>Hospital Santa Casa de Uruguaiana</x:v>
      </x:c>
      <x:c r="F77" s="476" t="str">
        <x:v>41160005</x:v>
      </x:c>
      <x:c r="G77" s="476" t="str">
        <x:v>41160005-2020</x:v>
      </x:c>
      <x:c r="H77" s="476" t="str">
        <x:v>Informado/corrigido a partir do mapa</x:v>
      </x:c>
      <x:c r="I77" s="499" t="n">
        <x:v>100000</x:v>
      </x:c>
      <x:c r="J77" s="499" t="n">
        <x:v>100000</x:v>
      </x:c>
      <x:c r="K77" s="476" t="str">
        <x:v>Emenda Individual (processo seletivo)</x:v>
      </x:c>
      <x:c r="L77" s="476" t="str">
        <x:v>Recurso pago</x:v>
      </x:c>
      <x:c r="M77" s="499" t="n">
        <x:v>0</x:v>
      </x:c>
      <x:c r="N77" s="499" t="n">
        <x:v>0</x:v>
      </x:c>
      <x:c r="O77" s="499" t="n">
        <x:v>0</x:v>
      </x:c>
      <x:c r="P77" s="499" t="n">
        <x:v>0</x:v>
      </x:c>
      <x:c r="Q77" s="499" t="n">
        <x:v>0</x:v>
      </x:c>
      <x:c r="R77" s="476" t="str"/>
      <x:c r="S77" s="476" t="str"/>
      <x:c r="T77" s="476" t="str">
        <x:v>EMENDA CONFIRMADA; DESTINO NÃO CONFIRMADO</x:v>
      </x:c>
      <x:c r="U77" s="476" t="str">
        <x:v>Média</x:v>
      </x:c>
      <x:c r="V77" s="476" t="str"/>
      <x:c r="W77" s="476" t="str">
        <x:v>Nº existe no SIGA; destinatário específico não foi confirmado nas bases anexas</x:v>
      </x:c>
      <x:c r="X77" s="476" t="str"/>
    </x:row>
    <x:row r="78">
      <x:c r="A78" t="n">
        <x:v>123</x:v>
      </x:c>
      <x:c r="B78" t="n">
        <x:v>2021</x:v>
      </x:c>
      <x:c r="C78" s="476" t="str">
        <x:v>Porto Alegre</x:v>
      </x:c>
      <x:c r="D78" s="476" t="str">
        <x:v>Hospital</x:v>
      </x:c>
      <x:c r="E78" s="476" t="str">
        <x:v>Irmandade Santa Casa de Misericórdia de Porto Alegre</x:v>
      </x:c>
      <x:c r="F78" s="476" t="str">
        <x:v>41160002</x:v>
      </x:c>
      <x:c r="G78" s="476" t="str">
        <x:v>41160002-2021</x:v>
      </x:c>
      <x:c r="H78" s="476" t="str">
        <x:v>Informado/corrigido a partir do mapa</x:v>
      </x:c>
      <x:c r="I78" s="499" t="n">
        <x:v>100000</x:v>
      </x:c>
      <x:c r="J78" s="499" t="n">
        <x:v>1087650</x:v>
      </x:c>
      <x:c r="K78" s="476" t="str">
        <x:v>Emenda individual (processo seletivo)</x:v>
      </x:c>
      <x:c r="L78" s="476" t="str">
        <x:v>Recurso pago</x:v>
      </x:c>
      <x:c r="M78" s="499" t="n">
        <x:v>189677.18</x:v>
      </x:c>
      <x:c r="N78" s="499" t="n">
        <x:v>0</x:v>
      </x:c>
      <x:c r="O78" s="499" t="n">
        <x:v>189677.18</x:v>
      </x:c>
      <x:c r="P78" s="499" t="n">
        <x:v>0</x:v>
      </x:c>
      <x:c r="Q78" s="499" t="n">
        <x:v>0</x:v>
      </x:c>
      <x:c r="R78" s="476" t="str"/>
      <x:c r="S78" s="476" t="str">
        <x:v>04994418000112, 92815000000168</x:v>
      </x:c>
      <x:c r="T78" s="476" t="str">
        <x:v>VALOR DIVERGENTE / COBERTURA DIFERENTE</x:v>
      </x:c>
      <x:c r="U78" s="476" t="str">
        <x:v>Alta</x:v>
      </x:c>
      <x:c r="V78" s="476" t="str"/>
      <x:c r="W78" s="476" t="str">
        <x:v>Município/localidade encontrado em fonte comparável, mas valor não fecha exatamente</x:v>
      </x:c>
      <x:c r="X78" s="476" t="str">
        <x:v>https://discricionarias.transferegov.sistema.gov.br/voluntarias/ConsultarProposta/ResultadoDaConsultaDeConvenioSelecionarConvenio.do?sequencialConvenio=915623&amp;Usr=guest&amp;Pwd=guest | https://discricionarias.transferegov.sistema.gov.br/voluntarias/ConsultarProposta/ResultadoDaConsultaDeConvenioSelecionarConvenio.do?sequencialConvenio=914635&amp;Usr=guest&amp;Pwd=guest</x:v>
      </x:c>
    </x:row>
    <x:row r="79">
      <x:c r="A79" t="n">
        <x:v>124</x:v>
      </x:c>
      <x:c r="B79" t="n">
        <x:v>2021</x:v>
      </x:c>
      <x:c r="C79" s="476" t="str">
        <x:v>Três Coroas</x:v>
      </x:c>
      <x:c r="D79" s="476" t="str">
        <x:v>Hospital</x:v>
      </x:c>
      <x:c r="E79" s="476" t="str">
        <x:v>Fundação Hospitalar Dr. Oswaldo Diesel</x:v>
      </x:c>
      <x:c r="F79" s="476" t="str">
        <x:v>41160002</x:v>
      </x:c>
      <x:c r="G79" s="476" t="str">
        <x:v>41160002-2021</x:v>
      </x:c>
      <x:c r="H79" s="476" t="str">
        <x:v>Informado/corrigido a partir do mapa</x:v>
      </x:c>
      <x:c r="I79" s="499" t="n">
        <x:v>100000</x:v>
      </x:c>
      <x:c r="J79" s="499" t="n">
        <x:v>100000</x:v>
      </x:c>
      <x:c r="K79" s="476" t="str">
        <x:v>Emenda individual (processo seletivo)</x:v>
      </x:c>
      <x:c r="L79" s="476" t="str">
        <x:v>Empenhado</x:v>
      </x:c>
      <x:c r="M79" s="499" t="n">
        <x:v>71664.74</x:v>
      </x:c>
      <x:c r="N79" s="499" t="n">
        <x:v>0</x:v>
      </x:c>
      <x:c r="O79" s="499" t="n">
        <x:v>71664.74</x:v>
      </x:c>
      <x:c r="P79" s="499" t="n">
        <x:v>0</x:v>
      </x:c>
      <x:c r="Q79" s="499" t="n">
        <x:v>0</x:v>
      </x:c>
      <x:c r="R79" s="476" t="str"/>
      <x:c r="S79" s="476" t="str">
        <x:v>90936774000111</x:v>
      </x:c>
      <x:c r="T79" s="476" t="str">
        <x:v>VALOR DIVERGENTE / COBERTURA DIFERENTE</x:v>
      </x:c>
      <x:c r="U79" s="476" t="str">
        <x:v>Alta</x:v>
      </x:c>
      <x:c r="V79" s="476" t="str">
        <x:v>Situação possivelmente desatualizada: SIGA/execução regionalizada mostra pagamento; CNPJ candidato na fonte SIGA: 90936774000111</x:v>
      </x:c>
      <x:c r="W79" s="476" t="str">
        <x:v>Município/localidade encontrado em fonte comparável, mas valor não fecha exatamente</x:v>
      </x:c>
      <x:c r="X79" s="476" t="str">
        <x:v>https://discricionarias.transferegov.sistema.gov.br/voluntarias/ConsultarProposta/ResultadoDaConsultaDeConvenioSelecionarConvenio.do?sequencialConvenio=913344&amp;Usr=guest&amp;Pwd=guest</x:v>
      </x:c>
    </x:row>
    <x:row r="80">
      <x:c r="A80" t="n">
        <x:v>125</x:v>
      </x:c>
      <x:c r="B80" t="n">
        <x:v>2022</x:v>
      </x:c>
      <x:c r="C80" s="476" t="str">
        <x:v>Morro Redondo</x:v>
      </x:c>
      <x:c r="D80" s="476" t="str">
        <x:v>Hospital</x:v>
      </x:c>
      <x:c r="E80" s="476" t="str">
        <x:v>Hospital Dr Ernesto Mauricio Arndt</x:v>
      </x:c>
      <x:c r="F80" s="476" t="str">
        <x:v>41160003</x:v>
      </x:c>
      <x:c r="G80" s="476" t="str">
        <x:v>41160003-2022</x:v>
      </x:c>
      <x:c r="H80" s="476" t="str">
        <x:v>Informado/corrigido a partir do mapa</x:v>
      </x:c>
      <x:c r="I80" s="499" t="n">
        <x:v>100000</x:v>
      </x:c>
      <x:c r="J80" s="499" t="n">
        <x:v>100000</x:v>
      </x:c>
      <x:c r="K80" s="476" t="str">
        <x:v>Emenda Individual </x:v>
      </x:c>
      <x:c r="L80" s="476" t="str">
        <x:v>Indicado (Recurso perdido. Consultas realizadas SIOP e Ambiente Parlamentar em 16/04/2024).</x:v>
      </x:c>
      <x:c r="M80" s="499" t="n">
        <x:v>0</x:v>
      </x:c>
      <x:c r="N80" s="499" t="n">
        <x:v>0</x:v>
      </x:c>
      <x:c r="O80" s="499" t="n">
        <x:v>0</x:v>
      </x:c>
      <x:c r="P80" s="499" t="n">
        <x:v>0</x:v>
      </x:c>
      <x:c r="Q80" s="499" t="n">
        <x:v>0</x:v>
      </x:c>
      <x:c r="R80" s="476" t="str"/>
      <x:c r="S80" s="476" t="str"/>
      <x:c r="T80" s="476" t="str">
        <x:v>EMENDA CONFIRMADA; DESTINO NÃO CONFIRMADO</x:v>
      </x:c>
      <x:c r="U80" s="476" t="str">
        <x:v>Média</x:v>
      </x:c>
      <x:c r="V80" s="476" t="str"/>
      <x:c r="W80" s="476" t="str">
        <x:v>Nº existe no SIGA; destinatário específico não foi confirmado nas bases anexas</x:v>
      </x:c>
      <x:c r="X80" s="476" t="str"/>
    </x:row>
    <x:row r="81">
      <x:c r="A81" t="n">
        <x:v>126</x:v>
      </x:c>
      <x:c r="B81" t="n">
        <x:v>2022</x:v>
      </x:c>
      <x:c r="C81" s="476" t="str">
        <x:v>Rosário do Sul</x:v>
      </x:c>
      <x:c r="D81" s="476" t="str">
        <x:v>Hospital</x:v>
      </x:c>
      <x:c r="E81" s="476" t="str">
        <x:v>Hospital Auxiliadora</x:v>
      </x:c>
      <x:c r="F81" s="476" t="str">
        <x:v>7120004</x:v>
      </x:c>
      <x:c r="G81" s="476" t="str">
        <x:v>7120004-2022</x:v>
      </x:c>
      <x:c r="H81" s="476" t="str">
        <x:v>Informado/corrigido a partir do mapa</x:v>
      </x:c>
      <x:c r="I81" s="499" t="n">
        <x:v>100000</x:v>
      </x:c>
      <x:c r="J81" s="499" t="n">
        <x:v>100000</x:v>
      </x:c>
      <x:c r="K81" s="476" t="str">
        <x:v>Emenda de bancada (processo seletivo)</x:v>
      </x:c>
      <x:c r="L81" s="476" t="str">
        <x:v>Recurso pago</x:v>
      </x:c>
      <x:c r="M81" s="499" t="n">
        <x:v>0</x:v>
      </x:c>
      <x:c r="N81" s="499" t="n">
        <x:v>0</x:v>
      </x:c>
      <x:c r="O81" s="499" t="n">
        <x:v>0</x:v>
      </x:c>
      <x:c r="P81" s="499" t="n">
        <x:v>0</x:v>
      </x:c>
      <x:c r="Q81" s="499" t="n">
        <x:v>0</x:v>
      </x:c>
      <x:c r="R81" s="476" t="str"/>
      <x:c r="S81" s="476" t="str"/>
      <x:c r="T81" s="476" t="str">
        <x:v>Nº NÃO LOCALIZADO</x:v>
      </x:c>
      <x:c r="U81" s="476" t="str">
        <x:v>Média</x:v>
      </x:c>
      <x:c r="V81" s="476" t="str"/>
      <x:c r="W81" s="476" t="str"/>
      <x:c r="X81" s="476" t="str"/>
    </x:row>
    <x:row r="82">
      <x:c r="A82" t="n">
        <x:v>127</x:v>
      </x:c>
      <x:c r="B82" t="n">
        <x:v>2022</x:v>
      </x:c>
      <x:c r="C82" s="476" t="str">
        <x:v>Sinimbu</x:v>
      </x:c>
      <x:c r="D82" s="476" t="str">
        <x:v>Hospital</x:v>
      </x:c>
      <x:c r="E82" s="476" t="str">
        <x:v>Hospital Beneficente Sinimbu</x:v>
      </x:c>
      <x:c r="F82" s="476" t="str">
        <x:v>41160003</x:v>
      </x:c>
      <x:c r="G82" s="476" t="str">
        <x:v>41160003-2022</x:v>
      </x:c>
      <x:c r="H82" s="476" t="str">
        <x:v>Informado/corrigido a partir do mapa</x:v>
      </x:c>
      <x:c r="I82" s="499" t="n">
        <x:v>100000</x:v>
      </x:c>
      <x:c r="J82" s="499" t="n">
        <x:v>100000</x:v>
      </x:c>
      <x:c r="K82" s="476" t="str">
        <x:v>Emenda Individual </x:v>
      </x:c>
      <x:c r="L82" s="476" t="str">
        <x:v>Recurso pago</x:v>
      </x:c>
      <x:c r="M82" s="499" t="n">
        <x:v>80272.65</x:v>
      </x:c>
      <x:c r="N82" s="499" t="n">
        <x:v>100000</x:v>
      </x:c>
      <x:c r="O82" s="499" t="n">
        <x:v>80272.65</x:v>
      </x:c>
      <x:c r="P82" s="499" t="n">
        <x:v>0</x:v>
      </x:c>
      <x:c r="Q82" s="499" t="n">
        <x:v>0</x:v>
      </x:c>
      <x:c r="R82" s="476" t="str"/>
      <x:c r="S82" s="476" t="str">
        <x:v>95433744000106</x:v>
      </x:c>
      <x:c r="T82" s="476" t="str">
        <x:v>VALOR DIVERGENTE / COBERTURA DIFERENTE</x:v>
      </x:c>
      <x:c r="U82" s="476" t="str">
        <x:v>Alta</x:v>
      </x:c>
      <x:c r="V82" s="476" t="str">
        <x:v>CNPJ candidato na fonte SIGA: 95433744000106</x:v>
      </x:c>
      <x:c r="W82" s="476" t="str">
        <x:v>Município/localidade encontrado em fonte comparável, mas valor não fecha exatamente</x:v>
      </x:c>
      <x:c r="X82" s="476" t="str">
        <x:v>https://discricionarias.transferegov.sistema.gov.br/voluntarias/ConsultarProposta/ResultadoDaConsultaDeConvenioSelecionarConvenio.do?sequencialConvenio=936048&amp;Usr=guest&amp;Pwd=guest</x:v>
      </x:c>
    </x:row>
    <x:row r="83">
      <x:c r="A83" t="n">
        <x:v>128</x:v>
      </x:c>
      <x:c r="B83" t="n">
        <x:v>2023</x:v>
      </x:c>
      <x:c r="C83" s="476" t="str">
        <x:v>Alegria</x:v>
      </x:c>
      <x:c r="D83" s="476" t="str">
        <x:v>APAE</x:v>
      </x:c>
      <x:c r="E83" s="476" t="str">
        <x:v>APAE de Alegria</x:v>
      </x:c>
      <x:c r="F83" s="476" t="str"/>
      <x:c r="G83" s="476" t="str"/>
      <x:c r="H83" s="476" t="str">
        <x:v>Sem nº conciliado</x:v>
      </x:c>
      <x:c r="I83" s="499" t="n">
        <x:v>100000</x:v>
      </x:c>
      <x:c r="J83" s="499" t="n">
        <x:v>100000</x:v>
      </x:c>
      <x:c r="K83" s="476" t="str">
        <x:v>Emenda de Bancada</x:v>
      </x:c>
      <x:c r="L83" s="476" t="str">
        <x:v>Recurso pago</x:v>
      </x:c>
      <x:c r="M83" s="499" t="n">
        <x:v>0</x:v>
      </x:c>
      <x:c r="N83" s="499" t="n">
        <x:v>0</x:v>
      </x:c>
      <x:c r="O83" s="499" t="n">
        <x:v>0</x:v>
      </x:c>
      <x:c r="P83" s="499" t="n">
        <x:v>0</x:v>
      </x:c>
      <x:c r="Q83" s="499" t="n">
        <x:v>0</x:v>
      </x:c>
      <x:c r="R83" s="476" t="str"/>
      <x:c r="S83" s="476" t="str"/>
      <x:c r="T83" s="476" t="str">
        <x:v>SEM Nº / NÃO CONCILIADO</x:v>
      </x:c>
      <x:c r="U83" s="476" t="str">
        <x:v>Média</x:v>
      </x:c>
      <x:c r="V83" s="476" t="str"/>
      <x:c r="W83" s="476" t="str"/>
      <x:c r="X83" s="476" t="str"/>
    </x:row>
    <x:row r="84">
      <x:c r="A84" t="n">
        <x:v>129</x:v>
      </x:c>
      <x:c r="B84" t="n">
        <x:v>2023</x:v>
      </x:c>
      <x:c r="C84" s="476" t="str">
        <x:v>Nova Roma Do Sul</x:v>
      </x:c>
      <x:c r="D84" s="476" t="str">
        <x:v>Prefeitura</x:v>
      </x:c>
      <x:c r="E84" s="476" t="str">
        <x:v>Prefeitura de Nova Roma Do Sul</x:v>
      </x:c>
      <x:c r="F84" s="476" t="str"/>
      <x:c r="G84" s="476" t="str"/>
      <x:c r="H84" s="476" t="str">
        <x:v>Sem nº conciliado</x:v>
      </x:c>
      <x:c r="I84" s="499" t="n">
        <x:v>100000</x:v>
      </x:c>
      <x:c r="J84" s="499" t="n">
        <x:v>100000</x:v>
      </x:c>
      <x:c r="K84" s="476" t="str">
        <x:v>Emenda Individual</x:v>
      </x:c>
      <x:c r="L84" s="476" t="str">
        <x:v>Recurso pago</x:v>
      </x:c>
      <x:c r="M84" s="499" t="n">
        <x:v>0</x:v>
      </x:c>
      <x:c r="N84" s="499" t="n">
        <x:v>0</x:v>
      </x:c>
      <x:c r="O84" s="499" t="n">
        <x:v>0</x:v>
      </x:c>
      <x:c r="P84" s="499" t="n">
        <x:v>0</x:v>
      </x:c>
      <x:c r="Q84" s="499" t="n">
        <x:v>0</x:v>
      </x:c>
      <x:c r="R84" s="476" t="str"/>
      <x:c r="S84" s="476" t="str"/>
      <x:c r="T84" s="476" t="str">
        <x:v>SEM Nº / NÃO CONCILIADO</x:v>
      </x:c>
      <x:c r="U84" s="476" t="str">
        <x:v>Média</x:v>
      </x:c>
      <x:c r="V84" s="476" t="str"/>
      <x:c r="W84" s="476" t="str"/>
      <x:c r="X84" s="476" t="str"/>
    </x:row>
    <x:row r="85">
      <x:c r="A85" t="n">
        <x:v>130</x:v>
      </x:c>
      <x:c r="B85" t="n">
        <x:v>2023</x:v>
      </x:c>
      <x:c r="C85" s="476" t="str">
        <x:v>Dois Irmãos</x:v>
      </x:c>
      <x:c r="D85" s="476" t="str">
        <x:v>APAE</x:v>
      </x:c>
      <x:c r="E85" s="476" t="str">
        <x:v>APAE de Dois Irmãos</x:v>
      </x:c>
      <x:c r="F85" s="476" t="str"/>
      <x:c r="G85" s="476" t="str"/>
      <x:c r="H85" s="476" t="str">
        <x:v>Sem nº conciliado</x:v>
      </x:c>
      <x:c r="I85" s="499" t="n">
        <x:v>100000</x:v>
      </x:c>
      <x:c r="J85" s="499" t="n">
        <x:v>1309500</x:v>
      </x:c>
      <x:c r="K85" s="476" t="str">
        <x:v>Emenda de Bancada</x:v>
      </x:c>
      <x:c r="L85" s="476" t="str">
        <x:v>Recurso pago</x:v>
      </x:c>
      <x:c r="M85" s="499" t="n">
        <x:v>0</x:v>
      </x:c>
      <x:c r="N85" s="499" t="n">
        <x:v>0</x:v>
      </x:c>
      <x:c r="O85" s="499" t="n">
        <x:v>0</x:v>
      </x:c>
      <x:c r="P85" s="499" t="n">
        <x:v>0</x:v>
      </x:c>
      <x:c r="Q85" s="499" t="n">
        <x:v>0</x:v>
      </x:c>
      <x:c r="R85" s="476" t="str"/>
      <x:c r="S85" s="476" t="str"/>
      <x:c r="T85" s="476" t="str">
        <x:v>SEM Nº / NÃO CONCILIADO</x:v>
      </x:c>
      <x:c r="U85" s="476" t="str">
        <x:v>Média</x:v>
      </x:c>
      <x:c r="V85" s="476" t="str"/>
      <x:c r="W85" s="476" t="str"/>
      <x:c r="X85" s="476" t="str"/>
    </x:row>
    <x:row r="86">
      <x:c r="A86" t="n">
        <x:v>139</x:v>
      </x:c>
      <x:c r="B86" t="n">
        <x:v>2025</x:v>
      </x:c>
      <x:c r="C86" s="476" t="str">
        <x:v>Barra do Rio Azul</x:v>
      </x:c>
      <x:c r="D86" s="476" t="str">
        <x:v>Fundo Municipal De Saude De Barra Do Rio Azul Barra Do Rio Azul - Rs</x:v>
      </x:c>
      <x:c r="E86" s="476" t="str">
        <x:v>Prefeitura Municipal</x:v>
      </x:c>
      <x:c r="F86" s="476" t="str">
        <x:v>41160003</x:v>
      </x:c>
      <x:c r="G86" s="476" t="str">
        <x:v>41160003-2025</x:v>
      </x:c>
      <x:c r="H86" s="476" t="str">
        <x:v>Informado/corrigido a partir do mapa</x:v>
      </x:c>
      <x:c r="I86" s="499" t="n">
        <x:v>100000</x:v>
      </x:c>
      <x:c r="J86" s="499" t="n">
        <x:v>100000</x:v>
      </x:c>
      <x:c r="K86" s="476" t="str">
        <x:v>Emenda Individual</x:v>
      </x:c>
      <x:c r="L86" s="476"/>
      <x:c r="M86" s="499" t="n">
        <x:v>99651</x:v>
      </x:c>
      <x:c r="N86" s="499" t="n">
        <x:v>0</x:v>
      </x:c>
      <x:c r="O86" s="499" t="n">
        <x:v>0</x:v>
      </x:c>
      <x:c r="P86" s="499" t="n">
        <x:v>0</x:v>
      </x:c>
      <x:c r="Q86" s="499" t="n">
        <x:v>0</x:v>
      </x:c>
      <x:c r="R86" s="476" t="str"/>
      <x:c r="S86" s="476" t="str">
        <x:v>12123735000191</x:v>
      </x:c>
      <x:c r="T86" s="476" t="str">
        <x:v>VALOR DIVERGENTE / COBERTURA DIFERENTE</x:v>
      </x:c>
      <x:c r="U86" s="476" t="str">
        <x:v>Média</x:v>
      </x:c>
      <x:c r="V86" s="476" t="str">
        <x:v>Preencher situação: há pagamento identificado na fonte pública</x:v>
      </x:c>
      <x:c r="W86" s="476" t="str">
        <x:v>Município/localidade encontrado em fonte comparável, mas valor não fecha exatamente</x:v>
      </x:c>
      <x:c r="X86" s="476" t="str"/>
    </x:row>
    <x:row r="87">
      <x:c r="A87" t="n">
        <x:v>142</x:v>
      </x:c>
      <x:c r="B87" t="n">
        <x:v>2025</x:v>
      </x:c>
      <x:c r="C87" s="476" t="str">
        <x:v>Frederico Westphalen</x:v>
      </x:c>
      <x:c r="D87" s="476" t="str">
        <x:v>Fundo Municipal De Saude Frederico Westphalen - Rs</x:v>
      </x:c>
      <x:c r="E87" s="476" t="str">
        <x:v>Prefeitura Municipal</x:v>
      </x:c>
      <x:c r="F87" s="476" t="str">
        <x:v>41160002</x:v>
      </x:c>
      <x:c r="G87" s="476" t="str">
        <x:v>41160002-2025</x:v>
      </x:c>
      <x:c r="H87" s="476" t="str">
        <x:v>Informado/corrigido a partir do mapa</x:v>
      </x:c>
      <x:c r="I87" s="499" t="n">
        <x:v>100000</x:v>
      </x:c>
      <x:c r="J87" s="499" t="n">
        <x:v>200000</x:v>
      </x:c>
      <x:c r="K87" s="476" t="str">
        <x:v>Emenda Individual</x:v>
      </x:c>
      <x:c r="L87" s="476"/>
      <x:c r="M87" s="499" t="n">
        <x:v>100000</x:v>
      </x:c>
      <x:c r="N87" s="499" t="n">
        <x:v>0</x:v>
      </x:c>
      <x:c r="O87" s="499" t="n">
        <x:v>0</x:v>
      </x:c>
      <x:c r="P87" s="499" t="n">
        <x:v>0</x:v>
      </x:c>
      <x:c r="Q87" s="499" t="n">
        <x:v>0</x:v>
      </x:c>
      <x:c r="R87" s="476" t="str"/>
      <x:c r="S87" s="476" t="str">
        <x:v>11708221000135</x:v>
      </x:c>
      <x:c r="T87" s="476" t="str">
        <x:v>VALOR DIVERGENTE / COBERTURA DIFERENTE</x:v>
      </x:c>
      <x:c r="U87" s="476" t="str">
        <x:v>Alta</x:v>
      </x:c>
      <x:c r="V87" s="476" t="str">
        <x:v>Preencher situação: há pagamento identificado na fonte pública</x:v>
      </x:c>
      <x:c r="W87" s="476" t="str">
        <x:v>Município/localidade encontrado em fonte comparável, mas valor não fecha exatamente</x:v>
      </x:c>
      <x:c r="X87" s="476" t="str"/>
    </x:row>
    <x:row r="88">
      <x:c r="A88" t="n">
        <x:v>143</x:v>
      </x:c>
      <x:c r="B88" t="n">
        <x:v>2025</x:v>
      </x:c>
      <x:c r="C88" s="476" t="str">
        <x:v>Frederico Westphalen</x:v>
      </x:c>
      <x:c r="D88" s="476" t="str">
        <x:v>Fundo Municipal De Saude Frederico Westphalen - Rs</x:v>
      </x:c>
      <x:c r="E88" s="476" t="str">
        <x:v>Prefeitura Municipal</x:v>
      </x:c>
      <x:c r="F88" s="476" t="str">
        <x:v>41160002</x:v>
      </x:c>
      <x:c r="G88" s="476" t="str">
        <x:v>41160002-2025</x:v>
      </x:c>
      <x:c r="H88" s="476" t="str">
        <x:v>Informado/corrigido a partir do mapa</x:v>
      </x:c>
      <x:c r="I88" s="499" t="n">
        <x:v>100000</x:v>
      </x:c>
      <x:c r="J88" s="499" t="n">
        <x:v>200000</x:v>
      </x:c>
      <x:c r="K88" s="476" t="str">
        <x:v>Emenda Individual</x:v>
      </x:c>
      <x:c r="L88" s="476"/>
      <x:c r="M88" s="499" t="n">
        <x:v>100000</x:v>
      </x:c>
      <x:c r="N88" s="499" t="n">
        <x:v>0</x:v>
      </x:c>
      <x:c r="O88" s="499" t="n">
        <x:v>0</x:v>
      </x:c>
      <x:c r="P88" s="499" t="n">
        <x:v>0</x:v>
      </x:c>
      <x:c r="Q88" s="499" t="n">
        <x:v>0</x:v>
      </x:c>
      <x:c r="R88" s="476" t="str"/>
      <x:c r="S88" s="476" t="str">
        <x:v>11708221000135</x:v>
      </x:c>
      <x:c r="T88" s="476" t="str">
        <x:v>VALOR DIVERGENTE / COBERTURA DIFERENTE</x:v>
      </x:c>
      <x:c r="U88" s="476" t="str">
        <x:v>Alta</x:v>
      </x:c>
      <x:c r="V88" s="476" t="str">
        <x:v>Preencher situação: há pagamento identificado na fonte pública</x:v>
      </x:c>
      <x:c r="W88" s="476" t="str">
        <x:v>Município/localidade encontrado em fonte comparável, mas valor não fecha exatamente</x:v>
      </x:c>
      <x:c r="X88" s="476" t="str"/>
    </x:row>
    <x:row r="89">
      <x:c r="A89" t="n">
        <x:v>150</x:v>
      </x:c>
      <x:c r="B89" t="n">
        <x:v>2023</x:v>
      </x:c>
      <x:c r="C89" s="476" t="str">
        <x:v>São Francisco De Assis</x:v>
      </x:c>
      <x:c r="D89" s="476" t="str">
        <x:v>Hospital</x:v>
      </x:c>
      <x:c r="E89" s="476" t="str">
        <x:v>Hospital Santo Antonio</x:v>
      </x:c>
      <x:c r="F89" s="476" t="str"/>
      <x:c r="G89" s="476" t="str"/>
      <x:c r="H89" s="476" t="str">
        <x:v>Sem nº conciliado</x:v>
      </x:c>
      <x:c r="I89" s="499" t="n">
        <x:v>100308</x:v>
      </x:c>
      <x:c r="J89" s="499" t="n">
        <x:v>100308</x:v>
      </x:c>
      <x:c r="K89" s="476" t="str">
        <x:v>Emenda Individual</x:v>
      </x:c>
      <x:c r="L89" s="476" t="str">
        <x:v>Empenhado</x:v>
      </x:c>
      <x:c r="M89" s="499" t="n">
        <x:v>0</x:v>
      </x:c>
      <x:c r="N89" s="499" t="n">
        <x:v>0</x:v>
      </x:c>
      <x:c r="O89" s="499" t="n">
        <x:v>0</x:v>
      </x:c>
      <x:c r="P89" s="499" t="n">
        <x:v>0</x:v>
      </x:c>
      <x:c r="Q89" s="499" t="n">
        <x:v>0</x:v>
      </x:c>
      <x:c r="R89" s="476" t="str"/>
      <x:c r="S89" s="476" t="str"/>
      <x:c r="T89" s="476" t="str">
        <x:v>SEM Nº / NÃO CONCILIADO</x:v>
      </x:c>
      <x:c r="U89" s="476" t="str">
        <x:v>Média</x:v>
      </x:c>
      <x:c r="V89" s="476" t="str"/>
      <x:c r="W89" s="476" t="str"/>
      <x:c r="X89" s="476" t="str"/>
    </x:row>
    <x:row r="90">
      <x:c r="A90" t="n">
        <x:v>151</x:v>
      </x:c>
      <x:c r="B90" t="n">
        <x:v>2021</x:v>
      </x:c>
      <x:c r="C90" s="476" t="str">
        <x:v>Agudo</x:v>
      </x:c>
      <x:c r="D90" s="476" t="str">
        <x:v>Hospital</x:v>
      </x:c>
      <x:c r="E90" s="476" t="str">
        <x:v>Hospital Agudo</x:v>
      </x:c>
      <x:c r="F90" s="476" t="str">
        <x:v>41160003</x:v>
      </x:c>
      <x:c r="G90" s="476" t="str">
        <x:v>41160003-2021</x:v>
      </x:c>
      <x:c r="H90" s="476" t="str">
        <x:v>Informado/corrigido a partir do mapa</x:v>
      </x:c>
      <x:c r="I90" s="499" t="n">
        <x:v>102000</x:v>
      </x:c>
      <x:c r="J90" s="499" t="n">
        <x:v>102000</x:v>
      </x:c>
      <x:c r="K90" s="476" t="str">
        <x:v>Emenda individual (processo seletivo)</x:v>
      </x:c>
      <x:c r="L90" s="476" t="str">
        <x:v>Recurso indicado via Fundo Estadual de Saúde. Emenda paga, falttando o Fundo transferir os recursos para os hospitais.</x:v>
      </x:c>
      <x:c r="M90" s="499" t="n">
        <x:v>0</x:v>
      </x:c>
      <x:c r="N90" s="499" t="n">
        <x:v>0</x:v>
      </x:c>
      <x:c r="O90" s="499" t="n">
        <x:v>0</x:v>
      </x:c>
      <x:c r="P90" s="499" t="n">
        <x:v>0</x:v>
      </x:c>
      <x:c r="Q90" s="499" t="n">
        <x:v>0</x:v>
      </x:c>
      <x:c r="R90" s="476" t="str"/>
      <x:c r="S90" s="476" t="str"/>
      <x:c r="T90" s="476" t="str">
        <x:v>EMENDA CONFIRMADA; DESTINO NÃO CONFIRMADO</x:v>
      </x:c>
      <x:c r="U90" s="476" t="str">
        <x:v>Média</x:v>
      </x:c>
      <x:c r="V90" s="476" t="str"/>
      <x:c r="W90" s="476" t="str">
        <x:v>Nº existe no SIGA; destinatário específico não foi confirmado nas bases anexas</x:v>
      </x:c>
      <x:c r="X90" s="476" t="str"/>
    </x:row>
    <x:row r="91">
      <x:c r="A91" t="n">
        <x:v>152</x:v>
      </x:c>
      <x:c r="B91" t="n">
        <x:v>2025</x:v>
      </x:c>
      <x:c r="C91" s="476" t="str">
        <x:v>Montenegro</x:v>
      </x:c>
      <x:c r="D91" s="476" t="str">
        <x:v>Associacao Hospitalar Hm Regional - Em Recuperacao Judicial Montenegro - Rs</x:v>
      </x:c>
      <x:c r="E91" s="476" t="str">
        <x:v>Associacao Hospitalar Hm Regional - Em Recuperacao Judicial Montenegro - Rs</x:v>
      </x:c>
      <x:c r="F91" s="476" t="str">
        <x:v>41160004</x:v>
      </x:c>
      <x:c r="G91" s="476" t="str">
        <x:v>41160004-2025</x:v>
      </x:c>
      <x:c r="H91" s="476" t="str">
        <x:v>Informado/corrigido a partir do mapa</x:v>
      </x:c>
      <x:c r="I91" s="499" t="n">
        <x:v>102000</x:v>
      </x:c>
      <x:c r="J91" s="499" t="n">
        <x:v>102000</x:v>
      </x:c>
      <x:c r="K91" s="476" t="str">
        <x:v>Emenda Individual</x:v>
      </x:c>
      <x:c r="L91" s="476"/>
      <x:c r="M91" s="499" t="n">
        <x:v>0</x:v>
      </x:c>
      <x:c r="N91" s="499" t="n">
        <x:v>0</x:v>
      </x:c>
      <x:c r="O91" s="499" t="n">
        <x:v>0</x:v>
      </x:c>
      <x:c r="P91" s="499" t="n">
        <x:v>0</x:v>
      </x:c>
      <x:c r="Q91" s="499" t="n">
        <x:v>0</x:v>
      </x:c>
      <x:c r="R91" s="476" t="str"/>
      <x:c r="S91" s="476" t="str"/>
      <x:c r="T91" s="476" t="str">
        <x:v>EMENDA CONFIRMADA; DESTINO NÃO CONFIRMADO</x:v>
      </x:c>
      <x:c r="U91" s="476" t="str">
        <x:v>Média</x:v>
      </x:c>
      <x:c r="V91" s="476" t="str"/>
      <x:c r="W91" s="476" t="str">
        <x:v>Nº existe no SIGA; destinatário específico não foi confirmado nas bases anexas</x:v>
      </x:c>
      <x:c r="X91" s="476" t="str"/>
    </x:row>
    <x:row r="92">
      <x:c r="A92" t="n">
        <x:v>153</x:v>
      </x:c>
      <x:c r="B92" t="n">
        <x:v>2021</x:v>
      </x:c>
      <x:c r="C92" s="476" t="str">
        <x:v>Paraí</x:v>
      </x:c>
      <x:c r="D92" s="476"/>
      <x:c r="E92" s="476" t="str">
        <x:v>Hospital Beneficente Nossa Senhora Aparecida</x:v>
      </x:c>
      <x:c r="F92" s="476" t="str">
        <x:v>41160002</x:v>
      </x:c>
      <x:c r="G92" s="476" t="str">
        <x:v>41160002-2021</x:v>
      </x:c>
      <x:c r="H92" s="476" t="str">
        <x:v>Informado/corrigido a partir do mapa</x:v>
      </x:c>
      <x:c r="I92" s="499" t="n">
        <x:v>105000</x:v>
      </x:c>
      <x:c r="J92" s="499" t="n">
        <x:v>105000</x:v>
      </x:c>
      <x:c r="K92" s="476" t="str">
        <x:v>Emenda individual (processo seletivo)</x:v>
      </x:c>
      <x:c r="L92" s="476" t="str">
        <x:v>Recurso empenhado.</x:v>
      </x:c>
      <x:c r="M92" s="499" t="n">
        <x:v>90406.34</x:v>
      </x:c>
      <x:c r="N92" s="499" t="n">
        <x:v>0</x:v>
      </x:c>
      <x:c r="O92" s="499" t="n">
        <x:v>90406.34</x:v>
      </x:c>
      <x:c r="P92" s="499" t="n">
        <x:v>0</x:v>
      </x:c>
      <x:c r="Q92" s="499" t="n">
        <x:v>0</x:v>
      </x:c>
      <x:c r="R92" s="476" t="str"/>
      <x:c r="S92" s="476" t="str">
        <x:v>91617407000118</x:v>
      </x:c>
      <x:c r="T92" s="476" t="str">
        <x:v>VALOR DIVERGENTE / COBERTURA DIFERENTE</x:v>
      </x:c>
      <x:c r="U92" s="476" t="str">
        <x:v>Alta</x:v>
      </x:c>
      <x:c r="V92" s="476" t="str">
        <x:v>Situação possivelmente desatualizada: SIGA/execução regionalizada mostra pagamento; CNPJ candidato na fonte SIGA: 91617407000118</x:v>
      </x:c>
      <x:c r="W92" s="476" t="str">
        <x:v>Município/localidade encontrado em fonte comparável, mas valor não fecha exatamente</x:v>
      </x:c>
      <x:c r="X92" s="476" t="str">
        <x:v>https://discricionarias.transferegov.sistema.gov.br/voluntarias/ConsultarProposta/ResultadoDaConsultaDeConvenioSelecionarConvenio.do?sequencialConvenio=916196&amp;Usr=guest&amp;Pwd=guest</x:v>
      </x:c>
    </x:row>
    <x:row r="93">
      <x:c r="A93" t="n">
        <x:v>154</x:v>
      </x:c>
      <x:c r="B93" t="n">
        <x:v>2023</x:v>
      </x:c>
      <x:c r="C93" s="476" t="str">
        <x:v>Amaral Ferrador</x:v>
      </x:c>
      <x:c r="D93" s="476" t="str">
        <x:v>Hospital</x:v>
      </x:c>
      <x:c r="E93" s="476" t="str">
        <x:v>Sociedade Hospitalar São José</x:v>
      </x:c>
      <x:c r="F93" s="476" t="str"/>
      <x:c r="G93" s="476" t="str"/>
      <x:c r="H93" s="476" t="str">
        <x:v>Sem nº conciliado</x:v>
      </x:c>
      <x:c r="I93" s="499" t="n">
        <x:v>105000</x:v>
      </x:c>
      <x:c r="J93" s="499" t="n">
        <x:v>105000</x:v>
      </x:c>
      <x:c r="K93" s="476" t="str">
        <x:v>Emenda Individual</x:v>
      </x:c>
      <x:c r="L93" s="476" t="str">
        <x:v>Empenhado</x:v>
      </x:c>
      <x:c r="M93" s="499" t="n">
        <x:v>0</x:v>
      </x:c>
      <x:c r="N93" s="499" t="n">
        <x:v>0</x:v>
      </x:c>
      <x:c r="O93" s="499" t="n">
        <x:v>0</x:v>
      </x:c>
      <x:c r="P93" s="499" t="n">
        <x:v>0</x:v>
      </x:c>
      <x:c r="Q93" s="499" t="n">
        <x:v>0</x:v>
      </x:c>
      <x:c r="R93" s="476" t="str"/>
      <x:c r="S93" s="476" t="str"/>
      <x:c r="T93" s="476" t="str">
        <x:v>SEM Nº / NÃO CONCILIADO</x:v>
      </x:c>
      <x:c r="U93" s="476" t="str">
        <x:v>Média</x:v>
      </x:c>
      <x:c r="V93" s="476" t="str"/>
      <x:c r="W93" s="476" t="str"/>
      <x:c r="X93" s="476" t="str"/>
    </x:row>
    <x:row r="94">
      <x:c r="A94" t="n">
        <x:v>155</x:v>
      </x:c>
      <x:c r="B94" t="n">
        <x:v>2022</x:v>
      </x:c>
      <x:c r="C94" s="476" t="str">
        <x:v>Dois Irmãos</x:v>
      </x:c>
      <x:c r="D94" s="476" t="str">
        <x:v>Hospital</x:v>
      </x:c>
      <x:c r="E94" s="476" t="str">
        <x:v>Hospital São José de Dois Irmãos</x:v>
      </x:c>
      <x:c r="F94" s="476" t="str">
        <x:v>7120004</x:v>
      </x:c>
      <x:c r="G94" s="476" t="str">
        <x:v>7120004-2022</x:v>
      </x:c>
      <x:c r="H94" s="476" t="str">
        <x:v>Informado/corrigido a partir do mapa</x:v>
      </x:c>
      <x:c r="I94" s="499" t="n">
        <x:v>106674.25</x:v>
      </x:c>
      <x:c r="J94" s="499" t="n">
        <x:v>106674.25</x:v>
      </x:c>
      <x:c r="K94" s="476" t="str">
        <x:v>Emenda de bancada </x:v>
      </x:c>
      <x:c r="L94" s="476" t="str">
        <x:v>Recurso pago</x:v>
      </x:c>
      <x:c r="M94" s="499" t="n">
        <x:v>0</x:v>
      </x:c>
      <x:c r="N94" s="499" t="n">
        <x:v>0</x:v>
      </x:c>
      <x:c r="O94" s="499" t="n">
        <x:v>0</x:v>
      </x:c>
      <x:c r="P94" s="499" t="n">
        <x:v>0</x:v>
      </x:c>
      <x:c r="Q94" s="499" t="n">
        <x:v>0</x:v>
      </x:c>
      <x:c r="R94" s="476" t="str"/>
      <x:c r="S94" s="476" t="str"/>
      <x:c r="T94" s="476" t="str">
        <x:v>Nº NÃO LOCALIZADO</x:v>
      </x:c>
      <x:c r="U94" s="476" t="str">
        <x:v>Média</x:v>
      </x:c>
      <x:c r="V94" s="476" t="str"/>
      <x:c r="W94" s="476" t="str"/>
      <x:c r="X94" s="476" t="str"/>
    </x:row>
    <x:row r="95">
      <x:c r="A95" t="n">
        <x:v>156</x:v>
      </x:c>
      <x:c r="B95" t="n">
        <x:v>2023</x:v>
      </x:c>
      <x:c r="C95" s="476" t="str">
        <x:v>Paraí</x:v>
      </x:c>
      <x:c r="D95" s="476" t="str">
        <x:v>Hospital</x:v>
      </x:c>
      <x:c r="E95" s="476" t="str">
        <x:v>Hospital Beneficente Nossa Senhora Aparecida</x:v>
      </x:c>
      <x:c r="F95" s="476" t="str"/>
      <x:c r="G95" s="476" t="str">
        <x:v>41160007-2023</x:v>
      </x:c>
      <x:c r="H95" s="476" t="str">
        <x:v>Candidato — revisar (Transferegov)</x:v>
      </x:c>
      <x:c r="I95" s="499" t="n">
        <x:v>107438</x:v>
      </x:c>
      <x:c r="J95" s="499" t="n">
        <x:v>107438</x:v>
      </x:c>
      <x:c r="K95" s="476" t="str">
        <x:v>Emenda Individual</x:v>
      </x:c>
      <x:c r="L95" s="476" t="str">
        <x:v>Empenhado</x:v>
      </x:c>
      <x:c r="M95" s="499" t="n">
        <x:v>85711.1</x:v>
      </x:c>
      <x:c r="N95" s="499" t="n">
        <x:v>107438</x:v>
      </x:c>
      <x:c r="O95" s="499" t="n">
        <x:v>85711.1</x:v>
      </x:c>
      <x:c r="P95" s="499" t="n">
        <x:v>0</x:v>
      </x:c>
      <x:c r="Q95" s="499" t="n">
        <x:v>0</x:v>
      </x:c>
      <x:c r="R95" s="476" t="str"/>
      <x:c r="S95" s="476" t="str">
        <x:v>91617407000118</x:v>
      </x:c>
      <x:c r="T95" s="476" t="str">
        <x:v>VALOR DIVERGENTE / COBERTURA DIFERENTE</x:v>
      </x:c>
      <x:c r="U95" s="476" t="str">
        <x:v>Média</x:v>
      </x:c>
      <x:c r="V95" s="476" t="str">
        <x:v>Candidato de nº: 41160007; validar antes de preencher (Transferegov pode trazer valor total do instrumento); Situação possivelmente desatualizada: SIGA/execução regionalizada mostra pagamento; CNPJ candidato na fonte SIGA: 91617407000118</x:v>
      </x:c>
      <x:c r="W95" s="476" t="str">
        <x:v>nº ausente; inferido por coincidência exata de cidade e valor em Transferegov; Município/localidade encontrado em fonte comparável, mas valor não fecha exatamente</x:v>
      </x:c>
      <x:c r="X95" s="476" t="str">
        <x:v>https://discricionarias.transferegov.sistema.gov.br/voluntarias/ConsultarProposta/ResultadoDaConsultaDeConvenioSelecionarConvenio.do?sequencialConvenio=944055&amp;Usr=guest&amp;Pwd=guest</x:v>
      </x:c>
    </x:row>
    <x:row r="96">
      <x:c r="A96" t="n">
        <x:v>158</x:v>
      </x:c>
      <x:c r="B96" t="n">
        <x:v>2020</x:v>
      </x:c>
      <x:c r="C96" s="476" t="str">
        <x:v>Porto Alegre</x:v>
      </x:c>
      <x:c r="D96" s="476" t="str">
        <x:v>Polícia Civil</x:v>
      </x:c>
      <x:c r="E96" s="476" t="str">
        <x:v>Gabinete de Inteligência e Assuntos Estratégicos da Polícia Civil</x:v>
      </x:c>
      <x:c r="F96" s="476" t="str">
        <x:v>41160010</x:v>
      </x:c>
      <x:c r="G96" s="476" t="str">
        <x:v>41160010-2020</x:v>
      </x:c>
      <x:c r="H96" s="476" t="str">
        <x:v>Informado/corrigido a partir do mapa</x:v>
      </x:c>
      <x:c r="I96" s="499" t="n">
        <x:v>111914</x:v>
      </x:c>
      <x:c r="J96" s="499" t="n">
        <x:v>554830.11</x:v>
      </x:c>
      <x:c r="K96" s="476" t="str">
        <x:v>Emenda individual</x:v>
      </x:c>
      <x:c r="L96" s="476" t="str">
        <x:v>Recurso empenhado. Inexigibilidade de licitação aceita pelo Ministério.</x:v>
      </x:c>
      <x:c r="M96" s="499" t="n">
        <x:v>622294.89</x:v>
      </x:c>
      <x:c r="N96" s="499" t="n">
        <x:v>3614493.94</x:v>
      </x:c>
      <x:c r="O96" s="499" t="n">
        <x:v>3290479.1</x:v>
      </x:c>
      <x:c r="P96" s="499" t="n">
        <x:v>0</x:v>
      </x:c>
      <x:c r="Q96" s="499" t="n">
        <x:v>0</x:v>
      </x:c>
      <x:c r="R96" s="476" t="str"/>
      <x:c r="S96" s="476" t="str">
        <x:v>87958583000146</x:v>
      </x:c>
      <x:c r="T96" s="476" t="str">
        <x:v>VALOR DIVERGENTE / COBERTURA DIFERENTE</x:v>
      </x:c>
      <x:c r="U96" s="476" t="str">
        <x:v>Alta</x:v>
      </x:c>
      <x:c r="V96" s="476" t="str">
        <x:v>Situação possivelmente desatualizada: SIGA/execução regionalizada mostra pagamento; CNPJ candidato na fonte SIGA: 87958583000146</x:v>
      </x:c>
      <x:c r="W96" s="476" t="str">
        <x:v>Município/localidade encontrado em fonte comparável, mas valor não fecha exatamente</x:v>
      </x:c>
      <x:c r="X96" s="476" t="str">
        <x:v>https://discricionarias.transferegov.sistema.gov.br/voluntarias/ConsultarProposta/ResultadoDaConsultaDeConvenioSelecionarConvenio.do?sequencialConvenio=905242&amp;Usr=guest&amp;Pwd=guest | https://discricionarias.transferegov.sistema.gov.br/voluntarias/ConsultarProposta/ResultadoDaConsultaDeConvenioSelecionarConvenio.do?sequencialConvenio=905738&amp;Usr=guest&amp;Pwd=guest</x:v>
      </x:c>
    </x:row>
    <x:row r="97">
      <x:c r="A97" t="n">
        <x:v>159</x:v>
      </x:c>
      <x:c r="B97" t="n">
        <x:v>2021</x:v>
      </x:c>
      <x:c r="C97" s="476" t="str">
        <x:v>Taquara</x:v>
      </x:c>
      <x:c r="D97" s="476" t="str">
        <x:v>Hospital</x:v>
      </x:c>
      <x:c r="E97" s="476" t="str">
        <x:v>Hospital Bom Jesus de Taquara (matriz: Associação Hospitalar Vila Nova)</x:v>
      </x:c>
      <x:c r="F97" s="476" t="str">
        <x:v>41160002</x:v>
      </x:c>
      <x:c r="G97" s="476" t="str">
        <x:v>41160002-2021</x:v>
      </x:c>
      <x:c r="H97" s="476" t="str">
        <x:v>Informado/corrigido a partir do mapa</x:v>
      </x:c>
      <x:c r="I97" s="499" t="n">
        <x:v>112000</x:v>
      </x:c>
      <x:c r="J97" s="499" t="n">
        <x:v>112000</x:v>
      </x:c>
      <x:c r="K97" s="476" t="str">
        <x:v>Emenda individual (processo seletivo)</x:v>
      </x:c>
      <x:c r="L97" s="476" t="str">
        <x:v>Recurso pago</x:v>
      </x:c>
      <x:c r="M97" s="499" t="n">
        <x:v>0</x:v>
      </x:c>
      <x:c r="N97" s="499" t="n">
        <x:v>0</x:v>
      </x:c>
      <x:c r="O97" s="499" t="n">
        <x:v>0</x:v>
      </x:c>
      <x:c r="P97" s="499" t="n">
        <x:v>0</x:v>
      </x:c>
      <x:c r="Q97" s="499" t="n">
        <x:v>0</x:v>
      </x:c>
      <x:c r="R97" s="476" t="str"/>
      <x:c r="S97" s="476" t="str"/>
      <x:c r="T97" s="476" t="str">
        <x:v>EMENDA CONFIRMADA; DESTINO NÃO CONFIRMADO</x:v>
      </x:c>
      <x:c r="U97" s="476" t="str">
        <x:v>Média</x:v>
      </x:c>
      <x:c r="V97" s="476" t="str"/>
      <x:c r="W97" s="476" t="str">
        <x:v>Nº existe no SIGA; destinatário específico não foi confirmado nas bases anexas</x:v>
      </x:c>
      <x:c r="X97" s="476" t="str"/>
    </x:row>
    <x:row r="98">
      <x:c r="A98" t="n">
        <x:v>160</x:v>
      </x:c>
      <x:c r="B98" t="n">
        <x:v>2020</x:v>
      </x:c>
      <x:c r="C98" s="476" t="str">
        <x:v>Quinze de Novembro</x:v>
      </x:c>
      <x:c r="D98" s="476" t="str">
        <x:v>Hospital</x:v>
      </x:c>
      <x:c r="E98" s="476" t="str">
        <x:v>Associação Hospitalar 15 de Novembro</x:v>
      </x:c>
      <x:c r="F98" s="476" t="str">
        <x:v>41160005</x:v>
      </x:c>
      <x:c r="G98" s="476" t="str">
        <x:v>41160005-2020</x:v>
      </x:c>
      <x:c r="H98" s="476" t="str">
        <x:v>Informado/corrigido a partir do mapa</x:v>
      </x:c>
      <x:c r="I98" s="499" t="n">
        <x:v>114000</x:v>
      </x:c>
      <x:c r="J98" s="499" t="n">
        <x:v>114000</x:v>
      </x:c>
      <x:c r="K98" s="476" t="str">
        <x:v>Emenda Individual</x:v>
      </x:c>
      <x:c r="L98" s="476" t="str">
        <x:v>Recurso pago</x:v>
      </x:c>
      <x:c r="M98" s="499" t="n">
        <x:v>0</x:v>
      </x:c>
      <x:c r="N98" s="499" t="n">
        <x:v>0</x:v>
      </x:c>
      <x:c r="O98" s="499" t="n">
        <x:v>0</x:v>
      </x:c>
      <x:c r="P98" s="499" t="n">
        <x:v>0</x:v>
      </x:c>
      <x:c r="Q98" s="499" t="n">
        <x:v>0</x:v>
      </x:c>
      <x:c r="R98" s="476" t="str"/>
      <x:c r="S98" s="476" t="str"/>
      <x:c r="T98" s="476" t="str">
        <x:v>EMENDA CONFIRMADA; DESTINO NÃO CONFIRMADO</x:v>
      </x:c>
      <x:c r="U98" s="476" t="str">
        <x:v>Média</x:v>
      </x:c>
      <x:c r="V98" s="476" t="str"/>
      <x:c r="W98" s="476" t="str">
        <x:v>Nº existe no SIGA; destinatário específico não foi confirmado nas bases anexas</x:v>
      </x:c>
      <x:c r="X98" s="476" t="str"/>
    </x:row>
    <x:row r="99">
      <x:c r="A99" t="n">
        <x:v>161</x:v>
      </x:c>
      <x:c r="B99" t="n">
        <x:v>2021</x:v>
      </x:c>
      <x:c r="C99" s="476" t="str">
        <x:v>Bom Retiro do Sul</x:v>
      </x:c>
      <x:c r="D99" s="476" t="str">
        <x:v>Hospital</x:v>
      </x:c>
      <x:c r="E99" s="476" t="str">
        <x:v>Hospital de Caridade Santana</x:v>
      </x:c>
      <x:c r="F99" s="476" t="str">
        <x:v>41160003</x:v>
      </x:c>
      <x:c r="G99" s="476" t="str">
        <x:v>41160003-2021</x:v>
      </x:c>
      <x:c r="H99" s="476" t="str">
        <x:v>Informado/corrigido a partir do mapa</x:v>
      </x:c>
      <x:c r="I99" s="499" t="n">
        <x:v>114409</x:v>
      </x:c>
      <x:c r="J99" s="499" t="n">
        <x:v>114409</x:v>
      </x:c>
      <x:c r="K99" s="476" t="str">
        <x:v>Emenda individual (processo seletivo)</x:v>
      </x:c>
      <x:c r="L99" s="476" t="str">
        <x:v>Recurso indicado via Fundo Estadual de Saúde. Emenda paga, falttando o Fundo transferir os recursos para os hospitais.</x:v>
      </x:c>
      <x:c r="M99" s="499" t="n">
        <x:v>10592</x:v>
      </x:c>
      <x:c r="N99" s="499" t="n">
        <x:v>0</x:v>
      </x:c>
      <x:c r="O99" s="499" t="n">
        <x:v>0</x:v>
      </x:c>
      <x:c r="P99" s="499" t="n">
        <x:v>0</x:v>
      </x:c>
      <x:c r="Q99" s="499" t="n">
        <x:v>0</x:v>
      </x:c>
      <x:c r="R99" s="476" t="str"/>
      <x:c r="S99" s="476" t="str">
        <x:v>12218782000119</x:v>
      </x:c>
      <x:c r="T99" s="476" t="str">
        <x:v>VALOR DIVERGENTE / COBERTURA DIFERENTE</x:v>
      </x:c>
      <x:c r="U99" s="476" t="str">
        <x:v>Alta</x:v>
      </x:c>
      <x:c r="V99" s="476" t="str">
        <x:v>CNPJ candidato na fonte SIGA: 12218782000119</x:v>
      </x:c>
      <x:c r="W99" s="476" t="str">
        <x:v>Município/localidade encontrado em fonte comparável, mas valor não fecha exatamente</x:v>
      </x:c>
      <x:c r="X99" s="476" t="str"/>
    </x:row>
    <x:row r="100">
      <x:c r="A100" t="n">
        <x:v>162</x:v>
      </x:c>
      <x:c r="B100" t="n">
        <x:v>2022</x:v>
      </x:c>
      <x:c r="C100" s="476" t="str">
        <x:v>Quaraí</x:v>
      </x:c>
      <x:c r="D100" s="476" t="str">
        <x:v>Hospital</x:v>
      </x:c>
      <x:c r="E100" s="476" t="str">
        <x:v>Fundação Hospital de Caridade de Quarai</x:v>
      </x:c>
      <x:c r="F100" s="476" t="str">
        <x:v>41160003</x:v>
      </x:c>
      <x:c r="G100" s="476" t="str">
        <x:v>41160003-2022</x:v>
      </x:c>
      <x:c r="H100" s="476" t="str">
        <x:v>Informado/corrigido a partir do mapa</x:v>
      </x:c>
      <x:c r="I100" s="499" t="n">
        <x:v>117000</x:v>
      </x:c>
      <x:c r="J100" s="499" t="n">
        <x:v>117000</x:v>
      </x:c>
      <x:c r="K100" s="476" t="str">
        <x:v>Emenda Individual </x:v>
      </x:c>
      <x:c r="L100" s="476" t="str">
        <x:v>Indicado</x:v>
      </x:c>
      <x:c r="M100" s="499" t="n">
        <x:v>0</x:v>
      </x:c>
      <x:c r="N100" s="499" t="n">
        <x:v>0</x:v>
      </x:c>
      <x:c r="O100" s="499" t="n">
        <x:v>0</x:v>
      </x:c>
      <x:c r="P100" s="499" t="n">
        <x:v>0</x:v>
      </x:c>
      <x:c r="Q100" s="499" t="n">
        <x:v>0</x:v>
      </x:c>
      <x:c r="R100" s="476" t="str"/>
      <x:c r="S100" s="476" t="str"/>
      <x:c r="T100" s="476" t="str">
        <x:v>EMENDA CONFIRMADA; DESTINO NÃO CONFIRMADO</x:v>
      </x:c>
      <x:c r="U100" s="476" t="str">
        <x:v>Média</x:v>
      </x:c>
      <x:c r="V100" s="476" t="str"/>
      <x:c r="W100" s="476" t="str">
        <x:v>Nº existe no SIGA; destinatário específico não foi confirmado nas bases anexas</x:v>
      </x:c>
      <x:c r="X100" s="476" t="str"/>
    </x:row>
    <x:row r="101">
      <x:c r="A101" t="n">
        <x:v>163</x:v>
      </x:c>
      <x:c r="B101" t="n">
        <x:v>2023</x:v>
      </x:c>
      <x:c r="C101" s="476" t="str">
        <x:v>Caxias do Sul</x:v>
      </x:c>
      <x:c r="D101" s="476" t="str">
        <x:v>APAE</x:v>
      </x:c>
      <x:c r="E101" s="476" t="str">
        <x:v>APAE de Caxias do Sul</x:v>
      </x:c>
      <x:c r="F101" s="476" t="str"/>
      <x:c r="G101" s="476" t="str"/>
      <x:c r="H101" s="476" t="str">
        <x:v>Sem nº conciliado</x:v>
      </x:c>
      <x:c r="I101" s="499" t="n">
        <x:v>119941.01</x:v>
      </x:c>
      <x:c r="J101" s="499" t="n">
        <x:v>1669941.01</x:v>
      </x:c>
      <x:c r="K101" s="476" t="str">
        <x:v>Emenda de Bancada</x:v>
      </x:c>
      <x:c r="L101" s="476" t="str">
        <x:v>Recurso pago</x:v>
      </x:c>
      <x:c r="M101" s="499" t="n">
        <x:v>0</x:v>
      </x:c>
      <x:c r="N101" s="499" t="n">
        <x:v>0</x:v>
      </x:c>
      <x:c r="O101" s="499" t="n">
        <x:v>0</x:v>
      </x:c>
      <x:c r="P101" s="499" t="n">
        <x:v>0</x:v>
      </x:c>
      <x:c r="Q101" s="499" t="n">
        <x:v>0</x:v>
      </x:c>
      <x:c r="R101" s="476" t="str"/>
      <x:c r="S101" s="476" t="str"/>
      <x:c r="T101" s="476" t="str">
        <x:v>SEM Nº / NÃO CONCILIADO</x:v>
      </x:c>
      <x:c r="U101" s="476" t="str">
        <x:v>Média</x:v>
      </x:c>
      <x:c r="V101" s="476" t="str"/>
      <x:c r="W101" s="476" t="str"/>
      <x:c r="X101" s="476" t="str"/>
    </x:row>
    <x:row r="102">
      <x:c r="A102" t="n">
        <x:v>164</x:v>
      </x:c>
      <x:c r="B102" t="n">
        <x:v>2022</x:v>
      </x:c>
      <x:c r="C102" s="476" t="str">
        <x:v>Arroio do Tigre</x:v>
      </x:c>
      <x:c r="D102" s="476" t="str">
        <x:v>Hospital</x:v>
      </x:c>
      <x:c r="E102" s="476" t="str">
        <x:v>Associação Beneficente Santa Rosa De Lima</x:v>
      </x:c>
      <x:c r="F102" s="476" t="str">
        <x:v>41160003</x:v>
      </x:c>
      <x:c r="G102" s="476" t="str">
        <x:v>41160003-2022</x:v>
      </x:c>
      <x:c r="H102" s="476" t="str">
        <x:v>Informado/corrigido a partir do mapa</x:v>
      </x:c>
      <x:c r="I102" s="499" t="n">
        <x:v>120000</x:v>
      </x:c>
      <x:c r="J102" s="499" t="n">
        <x:v>120000</x:v>
      </x:c>
      <x:c r="K102" s="476" t="str">
        <x:v>Emenda Individual </x:v>
      </x:c>
      <x:c r="L102" s="476" t="str">
        <x:v>Recurso pago parcialmente: R$ 94.500,00, em 28/11/2023. Saldo a receber: R$ 25.500,00.</x:v>
      </x:c>
      <x:c r="M102" s="499" t="n">
        <x:v>94500</x:v>
      </x:c>
      <x:c r="N102" s="499" t="n">
        <x:v>120000</x:v>
      </x:c>
      <x:c r="O102" s="499" t="n">
        <x:v>94500</x:v>
      </x:c>
      <x:c r="P102" s="499" t="n">
        <x:v>0</x:v>
      </x:c>
      <x:c r="Q102" s="499" t="n">
        <x:v>0</x:v>
      </x:c>
      <x:c r="R102" s="476" t="str"/>
      <x:c r="S102" s="476" t="str">
        <x:v>97448294000150</x:v>
      </x:c>
      <x:c r="T102" s="476" t="str">
        <x:v>VALOR DIVERGENTE / COBERTURA DIFERENTE</x:v>
      </x:c>
      <x:c r="U102" s="476" t="str">
        <x:v>Alta</x:v>
      </x:c>
      <x:c r="V102" s="476" t="str">
        <x:v>CNPJ candidato na fonte SIGA: 97448294000150</x:v>
      </x:c>
      <x:c r="W102" s="476" t="str">
        <x:v>Município/localidade encontrado em fonte comparável, mas valor não fecha exatamente</x:v>
      </x:c>
      <x:c r="X102" s="476" t="str">
        <x:v>https://discricionarias.transferegov.sistema.gov.br/voluntarias/ConsultarProposta/ResultadoDaConsultaDeConvenioSelecionarConvenio.do?sequencialConvenio=936461&amp;Usr=guest&amp;Pwd=guest</x:v>
      </x:c>
    </x:row>
    <x:row r="103">
      <x:c r="A103" t="n">
        <x:v>165</x:v>
      </x:c>
      <x:c r="B103" t="n">
        <x:v>2023</x:v>
      </x:c>
      <x:c r="C103" s="476" t="str">
        <x:v>Porto Alegre</x:v>
      </x:c>
      <x:c r="D103" s="476" t="str">
        <x:v>Hospital</x:v>
      </x:c>
      <x:c r="E103" s="476" t="str">
        <x:v>Casa Do Menino Jesus De Praga</x:v>
      </x:c>
      <x:c r="F103" s="476" t="str"/>
      <x:c r="G103" s="476" t="str">
        <x:v>41160002-2023</x:v>
      </x:c>
      <x:c r="H103" s="476" t="str">
        <x:v>Inferido forte (SIGA/PIX)</x:v>
      </x:c>
      <x:c r="I103" s="499" t="n">
        <x:v>120000</x:v>
      </x:c>
      <x:c r="J103" s="499" t="n">
        <x:v>120000</x:v>
      </x:c>
      <x:c r="K103" s="476" t="str">
        <x:v>Emenda Individual</x:v>
      </x:c>
      <x:c r="L103" s="476" t="str">
        <x:v>Recurso pago (quem recebeu o recurso foi o FMS de Porto Alegre. Encaminhei e-mail ao FMS pedindo posicionamento sobre o repasse à instituição beneficiária, em 27/02/2024. Aguardando resposta. Cobrei algumas vezes, sem sucesso.</x:v>
      </x:c>
      <x:c r="M103" s="499" t="n">
        <x:v>869692</x:v>
      </x:c>
      <x:c r="N103" s="499" t="n">
        <x:v>0</x:v>
      </x:c>
      <x:c r="O103" s="499" t="n">
        <x:v>0</x:v>
      </x:c>
      <x:c r="P103" s="499" t="n">
        <x:v>0</x:v>
      </x:c>
      <x:c r="Q103" s="499" t="n">
        <x:v>0</x:v>
      </x:c>
      <x:c r="R103" s="476" t="str"/>
      <x:c r="S103" s="476" t="str">
        <x:v>11358235000176, 87182846000178</x:v>
      </x:c>
      <x:c r="T103" s="476" t="str">
        <x:v>VALOR DIVERGENTE / COBERTURA DIFERENTE</x:v>
      </x:c>
      <x:c r="U103" s="476" t="str">
        <x:v>Alta</x:v>
      </x:c>
      <x:c r="V103" s="476" t="str">
        <x:v>Preencher nº como 41160002 com marcação de inferência (ano+município+valor exatos em SIGA/PIX)</x:v>
      </x:c>
      <x:c r="W103" s="476" t="str">
        <x:v>nº ausente; inferido por coincidência exata de cidade e valor em SIGA favorecido; Município/localidade encontrado em fonte comparável, mas valor não fecha exatamente</x:v>
      </x:c>
      <x:c r="X103" s="476" t="str"/>
    </x:row>
    <x:row r="104">
      <x:c r="A104" t="n">
        <x:v>166</x:v>
      </x:c>
      <x:c r="B104" t="n">
        <x:v>2025</x:v>
      </x:c>
      <x:c r="C104" s="476" t="str">
        <x:v>Serafina Corrêa</x:v>
      </x:c>
      <x:c r="D104" s="476" t="str">
        <x:v>Hospital Nossa Senhora Do Rosario Serafina Corrêa - Rs</x:v>
      </x:c>
      <x:c r="E104" s="476" t="str">
        <x:v>Hospital Nossa Senhora Do Rosario Serafina Corrêa - Rs</x:v>
      </x:c>
      <x:c r="F104" s="476" t="str">
        <x:v>41160004</x:v>
      </x:c>
      <x:c r="G104" s="476" t="str">
        <x:v>41160004-2025</x:v>
      </x:c>
      <x:c r="H104" s="476" t="str">
        <x:v>Informado/corrigido a partir do mapa</x:v>
      </x:c>
      <x:c r="I104" s="499" t="n">
        <x:v>120000</x:v>
      </x:c>
      <x:c r="J104" s="499" t="n">
        <x:v>120000</x:v>
      </x:c>
      <x:c r="K104" s="476" t="str">
        <x:v>Emenda Individual</x:v>
      </x:c>
      <x:c r="L104" s="476"/>
      <x:c r="M104" s="499" t="n">
        <x:v>0</x:v>
      </x:c>
      <x:c r="N104" s="499" t="n">
        <x:v>0</x:v>
      </x:c>
      <x:c r="O104" s="499" t="n">
        <x:v>0</x:v>
      </x:c>
      <x:c r="P104" s="499" t="n">
        <x:v>0</x:v>
      </x:c>
      <x:c r="Q104" s="499" t="n">
        <x:v>0</x:v>
      </x:c>
      <x:c r="R104" s="476" t="str"/>
      <x:c r="S104" s="476" t="str"/>
      <x:c r="T104" s="476" t="str">
        <x:v>EMENDA CONFIRMADA; DESTINO NÃO CONFIRMADO</x:v>
      </x:c>
      <x:c r="U104" s="476" t="str">
        <x:v>Média</x:v>
      </x:c>
      <x:c r="V104" s="476" t="str"/>
      <x:c r="W104" s="476" t="str">
        <x:v>Nº existe no SIGA; destinatário específico não foi confirmado nas bases anexas</x:v>
      </x:c>
      <x:c r="X104" s="476" t="str"/>
    </x:row>
    <x:row r="105">
      <x:c r="A105" t="n">
        <x:v>167</x:v>
      </x:c>
      <x:c r="B105" t="n">
        <x:v>2020</x:v>
      </x:c>
      <x:c r="C105" s="476" t="str">
        <x:v>Porto Alegre</x:v>
      </x:c>
      <x:c r="D105" s="476" t="str">
        <x:v>Instituto Geral de Perícias</x:v>
      </x:c>
      <x:c r="E105" s="476" t="str">
        <x:v>Instituto Geral de Perícias</x:v>
      </x:c>
      <x:c r="F105" s="476" t="str">
        <x:v>41160010</x:v>
      </x:c>
      <x:c r="G105" s="476" t="str">
        <x:v>41160010-2020</x:v>
      </x:c>
      <x:c r="H105" s="476" t="str">
        <x:v>Informado/corrigido a partir do mapa</x:v>
      </x:c>
      <x:c r="I105" s="499" t="n">
        <x:v>122560.34</x:v>
      </x:c>
      <x:c r="J105" s="499" t="n">
        <x:v>554830.11</x:v>
      </x:c>
      <x:c r="K105" s="476" t="str">
        <x:v>Emenda individual</x:v>
      </x:c>
      <x:c r="L105" s="476" t="str">
        <x:v>Pregão eletrônio concluído.</x:v>
      </x:c>
      <x:c r="M105" s="499" t="n">
        <x:v>622294.89</x:v>
      </x:c>
      <x:c r="N105" s="499" t="n">
        <x:v>3614493.94</x:v>
      </x:c>
      <x:c r="O105" s="499" t="n">
        <x:v>3290479.1</x:v>
      </x:c>
      <x:c r="P105" s="499" t="n">
        <x:v>0</x:v>
      </x:c>
      <x:c r="Q105" s="499" t="n">
        <x:v>0</x:v>
      </x:c>
      <x:c r="R105" s="476" t="str"/>
      <x:c r="S105" s="476" t="str">
        <x:v>87958583000146</x:v>
      </x:c>
      <x:c r="T105" s="476" t="str">
        <x:v>VALOR DIVERGENTE / COBERTURA DIFERENTE</x:v>
      </x:c>
      <x:c r="U105" s="476" t="str">
        <x:v>Alta</x:v>
      </x:c>
      <x:c r="V105" s="476" t="str">
        <x:v>CNPJ candidato na fonte SIGA: 87958583000146</x:v>
      </x:c>
      <x:c r="W105" s="476" t="str">
        <x:v>Município/localidade encontrado em fonte comparável, mas valor não fecha exatamente</x:v>
      </x:c>
      <x:c r="X105" s="476" t="str">
        <x:v>https://discricionarias.transferegov.sistema.gov.br/voluntarias/ConsultarProposta/ResultadoDaConsultaDeConvenioSelecionarConvenio.do?sequencialConvenio=905242&amp;Usr=guest&amp;Pwd=guest | https://discricionarias.transferegov.sistema.gov.br/voluntarias/ConsultarProposta/ResultadoDaConsultaDeConvenioSelecionarConvenio.do?sequencialConvenio=905738&amp;Usr=guest&amp;Pwd=guest</x:v>
      </x:c>
    </x:row>
    <x:row r="106">
      <x:c r="A106" t="n">
        <x:v>169</x:v>
      </x:c>
      <x:c r="B106" t="n">
        <x:v>2025</x:v>
      </x:c>
      <x:c r="C106" s="476" t="str">
        <x:v>Campo Bom</x:v>
      </x:c>
      <x:c r="D106" s="476" t="str">
        <x:v>Associacao Hospitalar Vila Nova Campo Bom - Rs</x:v>
      </x:c>
      <x:c r="E106" s="476" t="str">
        <x:v>Associacao Hospitalar Vila Nova Campo Bom - Rs</x:v>
      </x:c>
      <x:c r="F106" s="476" t="str">
        <x:v>41160004</x:v>
      </x:c>
      <x:c r="G106" s="476" t="str">
        <x:v>41160004-2025</x:v>
      </x:c>
      <x:c r="H106" s="476" t="str">
        <x:v>Informado/corrigido a partir do mapa</x:v>
      </x:c>
      <x:c r="I106" s="499" t="n">
        <x:v>133252</x:v>
      </x:c>
      <x:c r="J106" s="499" t="n">
        <x:v>133252</x:v>
      </x:c>
      <x:c r="K106" s="476" t="str">
        <x:v>Emenda Individual</x:v>
      </x:c>
      <x:c r="L106" s="476"/>
      <x:c r="M106" s="499" t="n">
        <x:v>0</x:v>
      </x:c>
      <x:c r="N106" s="499" t="n">
        <x:v>0</x:v>
      </x:c>
      <x:c r="O106" s="499" t="n">
        <x:v>0</x:v>
      </x:c>
      <x:c r="P106" s="499" t="n">
        <x:v>0</x:v>
      </x:c>
      <x:c r="Q106" s="499" t="n">
        <x:v>0</x:v>
      </x:c>
      <x:c r="R106" s="476" t="str"/>
      <x:c r="S106" s="476" t="str"/>
      <x:c r="T106" s="476" t="str">
        <x:v>EMENDA CONFIRMADA; DESTINO NÃO CONFIRMADO</x:v>
      </x:c>
      <x:c r="U106" s="476" t="str">
        <x:v>Média</x:v>
      </x:c>
      <x:c r="V106" s="476" t="str"/>
      <x:c r="W106" s="476" t="str">
        <x:v>Nº existe no SIGA; destinatário específico não foi confirmado nas bases anexas</x:v>
      </x:c>
      <x:c r="X106" s="476" t="str"/>
    </x:row>
    <x:row r="107">
      <x:c r="A107" t="n">
        <x:v>171</x:v>
      </x:c>
      <x:c r="B107" t="n">
        <x:v>2020</x:v>
      </x:c>
      <x:c r="C107" s="476" t="str">
        <x:v>Vários municípios</x:v>
      </x:c>
      <x:c r="D107" s="476" t="str">
        <x:v>Corpo de Bombeiros</x:v>
      </x:c>
      <x:c r="E107" s="476" t="str">
        <x:v>2º Batalhão de Bombeiros Militar nas seguintes cidades: Campo Bom, Dois Irmãos, Estância Velha, Ivoti, Montenegro, Novo Hamburgo, Parobé, Portão , Sapiranga, Sapucaia do Sul, Taquara e Taquari</x:v>
      </x:c>
      <x:c r="F107" s="476" t="str">
        <x:v>41160012</x:v>
      </x:c>
      <x:c r="G107" s="476" t="str">
        <x:v>41160012-2020</x:v>
      </x:c>
      <x:c r="H107" s="476" t="str">
        <x:v>Informado/corrigido a partir do mapa</x:v>
      </x:c>
      <x:c r="I107" s="499" t="n">
        <x:v>134550</x:v>
      </x:c>
      <x:c r="J107" s="499" t="n">
        <x:v>134550</x:v>
      </x:c>
      <x:c r="K107" s="476" t="str">
        <x:v>Emenda individual</x:v>
      </x:c>
      <x:c r="L107" s="476" t="str">
        <x:v>Pago. Equipamentos recebidos em 12/08/2022.
As roupas de proteção irão para o 2o Batalhão de Bombeiro Militar, com sede em São Leopoldo, e assim assim distribuídas: Campo Bom (2 unidades), Estância Velha (2), Dois Irmãos (2), Ivoti (2), Montenegro (2), Parobé (2), Portão (2), Sapiranga (2), Sapucaia do Sul (2), Taquara (2), Taquari (2), Novo Hamburgo (1).
O valor unitário das roupas de combate a incêndio ficou em  4.321,20, totalizando  99.387.60. Houve economia de recursos públicos porque o valor unitário empenhado para as roubas era de  5.850,00 (totalizando  134.550,00, já com a contrapartida do governo do RS). No total o valor das roupas ficou em  99.387,060, sendo  73.864,86 da emenda do deputado e  25.522,74 do governo do RS como contrapartida.</x:v>
      </x:c>
      <x:c r="M107" s="499" t="n">
        <x:v>0</x:v>
      </x:c>
      <x:c r="N107" s="499" t="n">
        <x:v>0</x:v>
      </x:c>
      <x:c r="O107" s="499" t="n">
        <x:v>0</x:v>
      </x:c>
      <x:c r="P107" s="499" t="n">
        <x:v>0</x:v>
      </x:c>
      <x:c r="Q107" s="499" t="n">
        <x:v>0</x:v>
      </x:c>
      <x:c r="R107" s="476" t="str"/>
      <x:c r="S107" s="476" t="str"/>
      <x:c r="T107" s="476" t="str">
        <x:v>EMENDA CONFIRMADA; DESTINO NÃO CONFIRMADO</x:v>
      </x:c>
      <x:c r="U107" s="476" t="str">
        <x:v>Média</x:v>
      </x:c>
      <x:c r="V107" s="476" t="str"/>
      <x:c r="W107" s="476" t="str">
        <x:v>Nº existe no SIGA; destinatário específico não foi confirmado nas bases anexas</x:v>
      </x:c>
      <x:c r="X107" s="476" t="str"/>
    </x:row>
    <x:row r="108">
      <x:c r="A108" t="n">
        <x:v>172</x:v>
      </x:c>
      <x:c r="B108" t="n">
        <x:v>2022</x:v>
      </x:c>
      <x:c r="C108" s="476" t="str">
        <x:v>Passo Fundo</x:v>
      </x:c>
      <x:c r="D108" s="476"/>
      <x:c r="E108" s="476" t="str">
        <x:v>Fundo Municipal de Saúde Passo</x:v>
      </x:c>
      <x:c r="F108" s="476" t="str">
        <x:v>41160003</x:v>
      </x:c>
      <x:c r="G108" s="476" t="str">
        <x:v>41160003-2022</x:v>
      </x:c>
      <x:c r="H108" s="476" t="str">
        <x:v>Informado/corrigido a partir do mapa</x:v>
      </x:c>
      <x:c r="I108" s="499" t="n">
        <x:v>135000</x:v>
      </x:c>
      <x:c r="J108" s="499" t="n">
        <x:v>855000</x:v>
      </x:c>
      <x:c r="K108" s="476" t="str">
        <x:v>Emenda Individual </x:v>
      </x:c>
      <x:c r="L108" s="476" t="str">
        <x:v>Recurso pago</x:v>
      </x:c>
      <x:c r="M108" s="499" t="n">
        <x:v>478339.05</x:v>
      </x:c>
      <x:c r="N108" s="499" t="n">
        <x:v>720000</x:v>
      </x:c>
      <x:c r="O108" s="499" t="n">
        <x:v>478339.05</x:v>
      </x:c>
      <x:c r="P108" s="499" t="n">
        <x:v>0</x:v>
      </x:c>
      <x:c r="Q108" s="499" t="n">
        <x:v>0</x:v>
      </x:c>
      <x:c r="R108" s="476" t="str"/>
      <x:c r="S108" s="476" t="str">
        <x:v>00765384000133</x:v>
      </x:c>
      <x:c r="T108" s="476" t="str">
        <x:v>VALOR DIVERGENTE / COBERTURA DIFERENTE</x:v>
      </x:c>
      <x:c r="U108" s="476" t="str">
        <x:v>Alta</x:v>
      </x:c>
      <x:c r="V108" s="476" t="str">
        <x:v>CNPJ candidato na fonte SIGA: 00765384000133</x:v>
      </x:c>
      <x:c r="W108" s="476" t="str">
        <x:v>Município/localidade encontrado em fonte comparável, mas valor não fecha exatamente</x:v>
      </x:c>
      <x:c r="X108" s="476" t="str">
        <x:v>https://discricionarias.transferegov.sistema.gov.br/voluntarias/ConsultarProposta/ResultadoDaConsultaDeConvenioSelecionarConvenio.do?sequencialConvenio=935706&amp;Usr=guest&amp;Pwd=guest</x:v>
      </x:c>
    </x:row>
    <x:row r="109">
      <x:c r="A109" t="n">
        <x:v>173</x:v>
      </x:c>
      <x:c r="B109" t="n">
        <x:v>2021</x:v>
      </x:c>
      <x:c r="C109" s="476" t="str">
        <x:v>Santiago</x:v>
      </x:c>
      <x:c r="D109" s="476" t="str">
        <x:v>Hospital</x:v>
      </x:c>
      <x:c r="E109" s="476" t="str">
        <x:v>Hospital de Caridade de Santiago</x:v>
      </x:c>
      <x:c r="F109" s="476" t="str">
        <x:v>41160003</x:v>
      </x:c>
      <x:c r="G109" s="476" t="str">
        <x:v>41160003-2021</x:v>
      </x:c>
      <x:c r="H109" s="476" t="str">
        <x:v>Informado/corrigido a partir do mapa</x:v>
      </x:c>
      <x:c r="I109" s="499" t="n">
        <x:v>136540</x:v>
      </x:c>
      <x:c r="J109" s="499" t="n">
        <x:v>136540</x:v>
      </x:c>
      <x:c r="K109" s="476" t="str">
        <x:v>Emenda individual (processo seletivo)</x:v>
      </x:c>
      <x:c r="L109" s="476" t="str">
        <x:v>Recurso indicado via Fundo Estadual de Saúde. Emenda paga, falttando o Fundo transferir os recursos para os hospitais.</x:v>
      </x:c>
      <x:c r="M109" s="499" t="n">
        <x:v>0</x:v>
      </x:c>
      <x:c r="N109" s="499" t="n">
        <x:v>0</x:v>
      </x:c>
      <x:c r="O109" s="499" t="n">
        <x:v>0</x:v>
      </x:c>
      <x:c r="P109" s="499" t="n">
        <x:v>0</x:v>
      </x:c>
      <x:c r="Q109" s="499" t="n">
        <x:v>0</x:v>
      </x:c>
      <x:c r="R109" s="476" t="str"/>
      <x:c r="S109" s="476" t="str"/>
      <x:c r="T109" s="476" t="str">
        <x:v>EMENDA CONFIRMADA; DESTINO NÃO CONFIRMADO</x:v>
      </x:c>
      <x:c r="U109" s="476" t="str">
        <x:v>Média</x:v>
      </x:c>
      <x:c r="V109" s="476" t="str"/>
      <x:c r="W109" s="476" t="str">
        <x:v>Nº existe no SIGA; destinatário específico não foi confirmado nas bases anexas</x:v>
      </x:c>
      <x:c r="X109" s="476" t="str"/>
    </x:row>
    <x:row r="110">
      <x:c r="A110" t="n">
        <x:v>174</x:v>
      </x:c>
      <x:c r="B110" t="n">
        <x:v>2021</x:v>
      </x:c>
      <x:c r="C110" s="476" t="str">
        <x:v>São Sebastião do Caí</x:v>
      </x:c>
      <x:c r="D110" s="476" t="str">
        <x:v>Hospital</x:v>
      </x:c>
      <x:c r="E110" s="476" t="str">
        <x:v>Hospital Sagrada Família (Assoc. Congregação de Santa Catarina)</x:v>
      </x:c>
      <x:c r="F110" s="476" t="str">
        <x:v>41160003</x:v>
      </x:c>
      <x:c r="G110" s="476" t="str">
        <x:v>41160003-2021</x:v>
      </x:c>
      <x:c r="H110" s="476" t="str">
        <x:v>Informado/corrigido a partir do mapa</x:v>
      </x:c>
      <x:c r="I110" s="499" t="n">
        <x:v>136540</x:v>
      </x:c>
      <x:c r="J110" s="499" t="n">
        <x:v>136540</x:v>
      </x:c>
      <x:c r="K110" s="476" t="str">
        <x:v>Emenda individual (processo seletivo)</x:v>
      </x:c>
      <x:c r="L110" s="476" t="str">
        <x:v>Recurso indicado via Fundo Estadual de Saúde. Emenda paga, falttando o Fundo transferir os recursos para os hospitais.</x:v>
      </x:c>
      <x:c r="M110" s="499" t="n">
        <x:v>0</x:v>
      </x:c>
      <x:c r="N110" s="499" t="n">
        <x:v>0</x:v>
      </x:c>
      <x:c r="O110" s="499" t="n">
        <x:v>0</x:v>
      </x:c>
      <x:c r="P110" s="499" t="n">
        <x:v>0</x:v>
      </x:c>
      <x:c r="Q110" s="499" t="n">
        <x:v>0</x:v>
      </x:c>
      <x:c r="R110" s="476" t="str"/>
      <x:c r="S110" s="476" t="str"/>
      <x:c r="T110" s="476" t="str">
        <x:v>EMENDA CONFIRMADA; DESTINO NÃO CONFIRMADO</x:v>
      </x:c>
      <x:c r="U110" s="476" t="str">
        <x:v>Média</x:v>
      </x:c>
      <x:c r="V110" s="476" t="str"/>
      <x:c r="W110" s="476" t="str">
        <x:v>Nº existe no SIGA; destinatário específico não foi confirmado nas bases anexas</x:v>
      </x:c>
      <x:c r="X110" s="476" t="str"/>
    </x:row>
    <x:row r="111">
      <x:c r="A111" t="n">
        <x:v>175</x:v>
      </x:c>
      <x:c r="B111" t="n">
        <x:v>2020</x:v>
      </x:c>
      <x:c r="C111" s="476" t="str">
        <x:v>Nova Pádua</x:v>
      </x:c>
      <x:c r="D111" s="476" t="str">
        <x:v>Brigada Militar</x:v>
      </x:c>
      <x:c r="E111" s="476" t="str">
        <x:v>Brigada Militar de Nova Pádua</x:v>
      </x:c>
      <x:c r="F111" s="476" t="str">
        <x:v>71220004</x:v>
      </x:c>
      <x:c r="G111" s="476" t="str">
        <x:v>71220004-2020</x:v>
      </x:c>
      <x:c r="H111" s="476" t="str">
        <x:v>Informado/corrigido a partir do mapa</x:v>
      </x:c>
      <x:c r="I111" s="499" t="n">
        <x:v>137569</x:v>
      </x:c>
      <x:c r="J111" s="499" t="n">
        <x:v>137569</x:v>
      </x:c>
      <x:c r="K111" s="476" t="str">
        <x:v>Emenda de Bancada</x:v>
      </x:c>
      <x:c r="L111" s="476" t="str">
        <x:v>Recurso pago</x:v>
      </x:c>
      <x:c r="M111" s="499" t="n">
        <x:v>0</x:v>
      </x:c>
      <x:c r="N111" s="499" t="n">
        <x:v>0</x:v>
      </x:c>
      <x:c r="O111" s="499" t="n">
        <x:v>0</x:v>
      </x:c>
      <x:c r="P111" s="499" t="n">
        <x:v>0</x:v>
      </x:c>
      <x:c r="Q111" s="499" t="n">
        <x:v>0</x:v>
      </x:c>
      <x:c r="R111" s="476" t="str"/>
      <x:c r="S111" s="476" t="str"/>
      <x:c r="T111" s="476" t="str">
        <x:v>EMENDA CONFIRMADA; DESTINO NÃO CONFIRMADO</x:v>
      </x:c>
      <x:c r="U111" s="476" t="str">
        <x:v>Média</x:v>
      </x:c>
      <x:c r="V111" s="476" t="str"/>
      <x:c r="W111" s="476" t="str"/>
      <x:c r="X111" s="476" t="str"/>
    </x:row>
    <x:row r="112">
      <x:c r="A112" t="n">
        <x:v>177</x:v>
      </x:c>
      <x:c r="B112" t="n">
        <x:v>2019</x:v>
      </x:c>
      <x:c r="C112" s="476" t="str">
        <x:v>Dilermando de Aguiar</x:v>
      </x:c>
      <x:c r="D112" s="476" t="str">
        <x:v>Brigada Militar</x:v>
      </x:c>
      <x:c r="E112" s="476" t="str">
        <x:v>Brigada Militar de Dilermando de Aguiar</x:v>
      </x:c>
      <x:c r="F112" s="476" t="str"/>
      <x:c r="G112" s="476" t="str"/>
      <x:c r="H112" s="476" t="str">
        <x:v>Sem nº conciliado</x:v>
      </x:c>
      <x:c r="I112" s="499" t="n">
        <x:v>140000</x:v>
      </x:c>
      <x:c r="J112" s="499" t="n">
        <x:v>140000</x:v>
      </x:c>
      <x:c r="K112" s="476" t="str">
        <x:v>Emenda de Bancada (processo seletivo)</x:v>
      </x:c>
      <x:c r="L112" s="476" t="str">
        <x:v>Recurso pago</x:v>
      </x:c>
      <x:c r="M112" s="499" t="n">
        <x:v>0</x:v>
      </x:c>
      <x:c r="N112" s="499" t="n">
        <x:v>0</x:v>
      </x:c>
      <x:c r="O112" s="499" t="n">
        <x:v>0</x:v>
      </x:c>
      <x:c r="P112" s="499" t="n">
        <x:v>0</x:v>
      </x:c>
      <x:c r="Q112" s="499" t="n">
        <x:v>0</x:v>
      </x:c>
      <x:c r="R112" s="476" t="str"/>
      <x:c r="S112" s="476" t="str"/>
      <x:c r="T112" s="476" t="str">
        <x:v>SEM Nº / NÃO CONCILIADO</x:v>
      </x:c>
      <x:c r="U112" s="476" t="str">
        <x:v>Média</x:v>
      </x:c>
      <x:c r="V112" s="476" t="str"/>
      <x:c r="W112" s="476" t="str"/>
      <x:c r="X112" s="476" t="str"/>
    </x:row>
    <x:row r="113">
      <x:c r="A113" t="n">
        <x:v>178</x:v>
      </x:c>
      <x:c r="B113" t="n">
        <x:v>2019</x:v>
      </x:c>
      <x:c r="C113" s="476" t="str">
        <x:v>Santa Maria do Herval</x:v>
      </x:c>
      <x:c r="D113" s="476" t="str">
        <x:v>Brigada Militar</x:v>
      </x:c>
      <x:c r="E113" s="476" t="str">
        <x:v>Brigada Militar de Santa Maria do Herval</x:v>
      </x:c>
      <x:c r="F113" s="476" t="str"/>
      <x:c r="G113" s="476" t="str"/>
      <x:c r="H113" s="476" t="str">
        <x:v>Sem nº conciliado</x:v>
      </x:c>
      <x:c r="I113" s="499" t="n">
        <x:v>140000</x:v>
      </x:c>
      <x:c r="J113" s="499" t="n">
        <x:v>140000</x:v>
      </x:c>
      <x:c r="K113" s="476" t="str">
        <x:v>Emenda de Bancada (processo seletivo)</x:v>
      </x:c>
      <x:c r="L113" s="476" t="str">
        <x:v>Recurso pago</x:v>
      </x:c>
      <x:c r="M113" s="499" t="n">
        <x:v>0</x:v>
      </x:c>
      <x:c r="N113" s="499" t="n">
        <x:v>0</x:v>
      </x:c>
      <x:c r="O113" s="499" t="n">
        <x:v>0</x:v>
      </x:c>
      <x:c r="P113" s="499" t="n">
        <x:v>0</x:v>
      </x:c>
      <x:c r="Q113" s="499" t="n">
        <x:v>0</x:v>
      </x:c>
      <x:c r="R113" s="476" t="str"/>
      <x:c r="S113" s="476" t="str"/>
      <x:c r="T113" s="476" t="str">
        <x:v>SEM Nº / NÃO CONCILIADO</x:v>
      </x:c>
      <x:c r="U113" s="476" t="str">
        <x:v>Média</x:v>
      </x:c>
      <x:c r="V113" s="476" t="str"/>
      <x:c r="W113" s="476" t="str"/>
      <x:c r="X113" s="476" t="str"/>
    </x:row>
    <x:row r="114">
      <x:c r="A114" t="n">
        <x:v>179</x:v>
      </x:c>
      <x:c r="B114" t="n">
        <x:v>2019</x:v>
      </x:c>
      <x:c r="C114" s="476" t="str">
        <x:v>São José do Hortêncio</x:v>
      </x:c>
      <x:c r="D114" s="476" t="str">
        <x:v>Polícia Civil</x:v>
      </x:c>
      <x:c r="E114" s="476" t="str">
        <x:v>Polícia Civil de São José do Hortêncio</x:v>
      </x:c>
      <x:c r="F114" s="476" t="str">
        <x:v>Conv: 894721</x:v>
      </x:c>
      <x:c r="G114" s="476" t="str"/>
      <x:c r="H114" s="476" t="str">
        <x:v>Sem nº conciliado</x:v>
      </x:c>
      <x:c r="I114" s="499" t="n">
        <x:v>140000</x:v>
      </x:c>
      <x:c r="J114" s="499" t="n">
        <x:v>140000</x:v>
      </x:c>
      <x:c r="K114" s="476" t="str">
        <x:v>Emenda de Bancada (processo seletivo)</x:v>
      </x:c>
      <x:c r="L114" s="476" t="str">
        <x:v>Recurso pago</x:v>
      </x:c>
      <x:c r="M114" s="499" t="n">
        <x:v>0</x:v>
      </x:c>
      <x:c r="N114" s="499" t="n">
        <x:v>0</x:v>
      </x:c>
      <x:c r="O114" s="499" t="n">
        <x:v>0</x:v>
      </x:c>
      <x:c r="P114" s="499" t="n">
        <x:v>0</x:v>
      </x:c>
      <x:c r="Q114" s="499" t="n">
        <x:v>0</x:v>
      </x:c>
      <x:c r="R114" s="476" t="str"/>
      <x:c r="S114" s="476" t="str"/>
      <x:c r="T114" s="476" t="str">
        <x:v>SEM Nº / NÃO CONCILIADO</x:v>
      </x:c>
      <x:c r="U114" s="476" t="str">
        <x:v>Média</x:v>
      </x:c>
      <x:c r="V114" s="476" t="str"/>
      <x:c r="W114" s="476" t="str">
        <x:v>campo contém nº de convênio, não nº de emenda</x:v>
      </x:c>
      <x:c r="X114" s="476" t="str"/>
    </x:row>
    <x:row r="115">
      <x:c r="A115" t="n">
        <x:v>180</x:v>
      </x:c>
      <x:c r="B115" t="n">
        <x:v>2019</x:v>
      </x:c>
      <x:c r="C115" s="476" t="str">
        <x:v>Tupanci do Sul</x:v>
      </x:c>
      <x:c r="D115" s="476" t="str">
        <x:v>Brigada Militar</x:v>
      </x:c>
      <x:c r="E115" s="476" t="str">
        <x:v>Brigada Militar de Tupanci do Sul</x:v>
      </x:c>
      <x:c r="F115" s="476" t="str"/>
      <x:c r="G115" s="476" t="str"/>
      <x:c r="H115" s="476" t="str">
        <x:v>Sem nº conciliado</x:v>
      </x:c>
      <x:c r="I115" s="499" t="n">
        <x:v>140000</x:v>
      </x:c>
      <x:c r="J115" s="499" t="n">
        <x:v>140000</x:v>
      </x:c>
      <x:c r="K115" s="476" t="str">
        <x:v>Emenda de Bancada (processo seletivo)</x:v>
      </x:c>
      <x:c r="L115" s="476" t="str">
        <x:v>Recurso pago</x:v>
      </x:c>
      <x:c r="M115" s="499" t="n">
        <x:v>0</x:v>
      </x:c>
      <x:c r="N115" s="499" t="n">
        <x:v>0</x:v>
      </x:c>
      <x:c r="O115" s="499" t="n">
        <x:v>0</x:v>
      </x:c>
      <x:c r="P115" s="499" t="n">
        <x:v>0</x:v>
      </x:c>
      <x:c r="Q115" s="499" t="n">
        <x:v>0</x:v>
      </x:c>
      <x:c r="R115" s="476" t="str"/>
      <x:c r="S115" s="476" t="str"/>
      <x:c r="T115" s="476" t="str">
        <x:v>SEM Nº / NÃO CONCILIADO</x:v>
      </x:c>
      <x:c r="U115" s="476" t="str">
        <x:v>Média</x:v>
      </x:c>
      <x:c r="V115" s="476" t="str"/>
      <x:c r="W115" s="476" t="str"/>
      <x:c r="X115" s="476" t="str"/>
    </x:row>
    <x:row r="116">
      <x:c r="A116" t="n">
        <x:v>181</x:v>
      </x:c>
      <x:c r="B116" t="n">
        <x:v>2021</x:v>
      </x:c>
      <x:c r="C116" s="476" t="str">
        <x:v>Bento Gonçalves</x:v>
      </x:c>
      <x:c r="D116" s="476" t="str">
        <x:v>Hospital</x:v>
      </x:c>
      <x:c r="E116" s="476" t="str">
        <x:v>Associação Dr. Bartholomeu Tacchini - Hospital Tacchini</x:v>
      </x:c>
      <x:c r="F116" s="476" t="str">
        <x:v>41160002</x:v>
      </x:c>
      <x:c r="G116" s="476" t="str">
        <x:v>41160002-2021</x:v>
      </x:c>
      <x:c r="H116" s="476" t="str">
        <x:v>Informado/corrigido a partir do mapa</x:v>
      </x:c>
      <x:c r="I116" s="499" t="n">
        <x:v>140000</x:v>
      </x:c>
      <x:c r="J116" s="499" t="n">
        <x:v>140000</x:v>
      </x:c>
      <x:c r="K116" s="476" t="str">
        <x:v>Emenda individual (processo seletivo)</x:v>
      </x:c>
      <x:c r="L116" s="476" t="str">
        <x:v>Recurso pago</x:v>
      </x:c>
      <x:c r="M116" s="499" t="n">
        <x:v>119800</x:v>
      </x:c>
      <x:c r="N116" s="499" t="n">
        <x:v>0</x:v>
      </x:c>
      <x:c r="O116" s="499" t="n">
        <x:v>119800</x:v>
      </x:c>
      <x:c r="P116" s="499" t="n">
        <x:v>0</x:v>
      </x:c>
      <x:c r="Q116" s="499" t="n">
        <x:v>0</x:v>
      </x:c>
      <x:c r="R116" s="476" t="str"/>
      <x:c r="S116" s="476" t="str">
        <x:v>87547444000120</x:v>
      </x:c>
      <x:c r="T116" s="476" t="str">
        <x:v>VALOR DIVERGENTE / COBERTURA DIFERENTE</x:v>
      </x:c>
      <x:c r="U116" s="476" t="str">
        <x:v>Alta</x:v>
      </x:c>
      <x:c r="V116" s="476" t="str">
        <x:v>CNPJ candidato na fonte SIGA: 87547444000120</x:v>
      </x:c>
      <x:c r="W116" s="476" t="str">
        <x:v>Município/localidade encontrado em fonte comparável, mas valor não fecha exatamente</x:v>
      </x:c>
      <x:c r="X116" s="476" t="str">
        <x:v>https://discricionarias.transferegov.sistema.gov.br/voluntarias/ConsultarProposta/ResultadoDaConsultaDeConvenioSelecionarConvenio.do?sequencialConvenio=916133&amp;Usr=guest&amp;Pwd=guest</x:v>
      </x:c>
    </x:row>
    <x:row r="117">
      <x:c r="A117" t="n">
        <x:v>182</x:v>
      </x:c>
      <x:c r="B117" t="n">
        <x:v>2021</x:v>
      </x:c>
      <x:c r="C117" s="476" t="str">
        <x:v>Vacaria</x:v>
      </x:c>
      <x:c r="D117" s="476" t="str">
        <x:v>Hospital</x:v>
      </x:c>
      <x:c r="E117" s="476" t="str">
        <x:v>Hospital Nossa Senhora da Oliveira</x:v>
      </x:c>
      <x:c r="F117" s="476" t="str">
        <x:v>41160002</x:v>
      </x:c>
      <x:c r="G117" s="476" t="str">
        <x:v>41160002-2021</x:v>
      </x:c>
      <x:c r="H117" s="476" t="str">
        <x:v>Informado/corrigido a partir do mapa</x:v>
      </x:c>
      <x:c r="I117" s="499" t="n">
        <x:v>140000</x:v>
      </x:c>
      <x:c r="J117" s="499" t="n">
        <x:v>140000</x:v>
      </x:c>
      <x:c r="K117" s="476" t="str">
        <x:v>Emenda individual (processo seletivo)</x:v>
      </x:c>
      <x:c r="L117" s="476" t="str">
        <x:v>Recurso pago</x:v>
      </x:c>
      <x:c r="M117" s="499" t="n">
        <x:v>112042</x:v>
      </x:c>
      <x:c r="N117" s="499" t="n">
        <x:v>0</x:v>
      </x:c>
      <x:c r="O117" s="499" t="n">
        <x:v>112042</x:v>
      </x:c>
      <x:c r="P117" s="499" t="n">
        <x:v>0</x:v>
      </x:c>
      <x:c r="Q117" s="499" t="n">
        <x:v>0</x:v>
      </x:c>
      <x:c r="R117" s="476" t="str"/>
      <x:c r="S117" s="476" t="str">
        <x:v>15415694000103</x:v>
      </x:c>
      <x:c r="T117" s="476" t="str">
        <x:v>VALOR DIVERGENTE / COBERTURA DIFERENTE</x:v>
      </x:c>
      <x:c r="U117" s="476" t="str">
        <x:v>Alta</x:v>
      </x:c>
      <x:c r="V117" s="476" t="str">
        <x:v>CNPJ candidato na fonte SIGA: 15415694000103</x:v>
      </x:c>
      <x:c r="W117" s="476" t="str">
        <x:v>Município/localidade encontrado em fonte comparável, mas valor não fecha exatamente</x:v>
      </x:c>
      <x:c r="X117" s="476" t="str">
        <x:v>https://discricionarias.transferegov.sistema.gov.br/voluntarias/ConsultarProposta/ResultadoDaConsultaDeConvenioSelecionarConvenio.do?sequencialConvenio=918965&amp;Usr=guest&amp;Pwd=guest</x:v>
      </x:c>
    </x:row>
    <x:row r="118">
      <x:c r="A118" t="n">
        <x:v>184</x:v>
      </x:c>
      <x:c r="B118" t="n">
        <x:v>2023</x:v>
      </x:c>
      <x:c r="C118" s="476" t="str">
        <x:v>Santa Rosa</x:v>
      </x:c>
      <x:c r="D118" s="476" t="str">
        <x:v>APAE</x:v>
      </x:c>
      <x:c r="E118" s="476" t="str">
        <x:v>APAE de Santa Rosa</x:v>
      </x:c>
      <x:c r="F118" s="476" t="str"/>
      <x:c r="G118" s="476" t="str"/>
      <x:c r="H118" s="476" t="str">
        <x:v>Sem nº conciliado</x:v>
      </x:c>
      <x:c r="I118" s="499" t="n">
        <x:v>140000</x:v>
      </x:c>
      <x:c r="J118" s="499" t="n">
        <x:v>640000</x:v>
      </x:c>
      <x:c r="K118" s="476" t="str">
        <x:v>Emenda de Bancada</x:v>
      </x:c>
      <x:c r="L118" s="476" t="str">
        <x:v>Recurso pago</x:v>
      </x:c>
      <x:c r="M118" s="499" t="n">
        <x:v>0</x:v>
      </x:c>
      <x:c r="N118" s="499" t="n">
        <x:v>0</x:v>
      </x:c>
      <x:c r="O118" s="499" t="n">
        <x:v>0</x:v>
      </x:c>
      <x:c r="P118" s="499" t="n">
        <x:v>0</x:v>
      </x:c>
      <x:c r="Q118" s="499" t="n">
        <x:v>0</x:v>
      </x:c>
      <x:c r="R118" s="476" t="str"/>
      <x:c r="S118" s="476" t="str"/>
      <x:c r="T118" s="476" t="str">
        <x:v>SEM Nº / NÃO CONCILIADO</x:v>
      </x:c>
      <x:c r="U118" s="476" t="str">
        <x:v>Média</x:v>
      </x:c>
      <x:c r="V118" s="476" t="str"/>
      <x:c r="W118" s="476" t="str"/>
      <x:c r="X118" s="476" t="str"/>
    </x:row>
    <x:row r="119">
      <x:c r="A119" t="n">
        <x:v>185</x:v>
      </x:c>
      <x:c r="B119" t="n">
        <x:v>2023</x:v>
      </x:c>
      <x:c r="C119" s="476" t="str">
        <x:v>Veranópolis</x:v>
      </x:c>
      <x:c r="D119" s="476" t="str">
        <x:v>APAE</x:v>
      </x:c>
      <x:c r="E119" s="476" t="str">
        <x:v>APAE de Veranópolis</x:v>
      </x:c>
      <x:c r="F119" s="476" t="str"/>
      <x:c r="G119" s="476" t="str"/>
      <x:c r="H119" s="476" t="str">
        <x:v>Sem nº conciliado</x:v>
      </x:c>
      <x:c r="I119" s="499" t="n">
        <x:v>140000</x:v>
      </x:c>
      <x:c r="J119" s="499" t="n">
        <x:v>140000</x:v>
      </x:c>
      <x:c r="K119" s="476" t="str">
        <x:v>Emenda de Bancada</x:v>
      </x:c>
      <x:c r="L119" s="476" t="str">
        <x:v>Recurso pago</x:v>
      </x:c>
      <x:c r="M119" s="499" t="n">
        <x:v>0</x:v>
      </x:c>
      <x:c r="N119" s="499" t="n">
        <x:v>0</x:v>
      </x:c>
      <x:c r="O119" s="499" t="n">
        <x:v>0</x:v>
      </x:c>
      <x:c r="P119" s="499" t="n">
        <x:v>0</x:v>
      </x:c>
      <x:c r="Q119" s="499" t="n">
        <x:v>0</x:v>
      </x:c>
      <x:c r="R119" s="476" t="str"/>
      <x:c r="S119" s="476" t="str"/>
      <x:c r="T119" s="476" t="str">
        <x:v>SEM Nº / NÃO CONCILIADO</x:v>
      </x:c>
      <x:c r="U119" s="476" t="str">
        <x:v>Média</x:v>
      </x:c>
      <x:c r="V119" s="476" t="str"/>
      <x:c r="W119" s="476" t="str"/>
      <x:c r="X119" s="476" t="str"/>
    </x:row>
    <x:row r="120">
      <x:c r="A120" t="n">
        <x:v>187</x:v>
      </x:c>
      <x:c r="B120" t="n">
        <x:v>2021</x:v>
      </x:c>
      <x:c r="C120" s="476" t="str">
        <x:v>Cruz Alta</x:v>
      </x:c>
      <x:c r="D120" s="476" t="str">
        <x:v>Hospital</x:v>
      </x:c>
      <x:c r="E120" s="476" t="str">
        <x:v>Hospital São Vicente de Paulo (Associação das Damas de Caridade)</x:v>
      </x:c>
      <x:c r="F120" s="476" t="str">
        <x:v>41160002</x:v>
      </x:c>
      <x:c r="G120" s="476" t="str">
        <x:v>41160002-2021</x:v>
      </x:c>
      <x:c r="H120" s="476" t="str">
        <x:v>Informado/corrigido a partir do mapa</x:v>
      </x:c>
      <x:c r="I120" s="499" t="n">
        <x:v>141478.98</x:v>
      </x:c>
      <x:c r="J120" s="499" t="n">
        <x:v>141478.98</x:v>
      </x:c>
      <x:c r="K120" s="476" t="str">
        <x:v>Emenda individual (processo seletivo)</x:v>
      </x:c>
      <x:c r="L120" s="476" t="str">
        <x:v>Recurso pago. Foram recebidos R$ 115.600,00. (Consulta realizada no Transferegov em 09/04/2024).</x:v>
      </x:c>
      <x:c r="M120" s="499" t="n">
        <x:v>115600</x:v>
      </x:c>
      <x:c r="N120" s="499" t="n">
        <x:v>0</x:v>
      </x:c>
      <x:c r="O120" s="499" t="n">
        <x:v>115600</x:v>
      </x:c>
      <x:c r="P120" s="499" t="n">
        <x:v>0</x:v>
      </x:c>
      <x:c r="Q120" s="499" t="n">
        <x:v>0</x:v>
      </x:c>
      <x:c r="R120" s="476" t="str"/>
      <x:c r="S120" s="476" t="str">
        <x:v>89124630000181</x:v>
      </x:c>
      <x:c r="T120" s="476" t="str">
        <x:v>VALOR DIVERGENTE / COBERTURA DIFERENTE</x:v>
      </x:c>
      <x:c r="U120" s="476" t="str">
        <x:v>Alta</x:v>
      </x:c>
      <x:c r="V120" s="476" t="str">
        <x:v>CNPJ candidato na fonte SIGA: 89124630000181</x:v>
      </x:c>
      <x:c r="W120" s="476" t="str">
        <x:v>Município/localidade encontrado em fonte comparável, mas valor não fecha exatamente</x:v>
      </x:c>
      <x:c r="X120" s="476" t="str">
        <x:v>https://discricionarias.transferegov.sistema.gov.br/voluntarias/ConsultarProposta/ResultadoDaConsultaDeConvenioSelecionarConvenio.do?sequencialConvenio=917379&amp;Usr=guest&amp;Pwd=guest</x:v>
      </x:c>
    </x:row>
    <x:row r="121">
      <x:c r="A121" t="n">
        <x:v>188</x:v>
      </x:c>
      <x:c r="B121" t="n">
        <x:v>2025</x:v>
      </x:c>
      <x:c r="C121" s="476" t="str">
        <x:v>Parobé</x:v>
      </x:c>
      <x:c r="D121" s="476" t="str">
        <x:v>Associacao Beneficente De Parobe Parobé - Rs</x:v>
      </x:c>
      <x:c r="E121" s="476" t="str">
        <x:v>Associacao Beneficente De Parobe Parobé - Rs</x:v>
      </x:c>
      <x:c r="F121" s="476" t="str">
        <x:v>41160004</x:v>
      </x:c>
      <x:c r="G121" s="476" t="str">
        <x:v>41160004-2025</x:v>
      </x:c>
      <x:c r="H121" s="476" t="str">
        <x:v>Informado/corrigido a partir do mapa</x:v>
      </x:c>
      <x:c r="I121" s="499" t="n">
        <x:v>141800</x:v>
      </x:c>
      <x:c r="J121" s="499" t="n">
        <x:v>141800</x:v>
      </x:c>
      <x:c r="K121" s="476" t="str">
        <x:v>Emenda Individual</x:v>
      </x:c>
      <x:c r="L121" s="476"/>
      <x:c r="M121" s="499" t="n">
        <x:v>0</x:v>
      </x:c>
      <x:c r="N121" s="499" t="n">
        <x:v>0</x:v>
      </x:c>
      <x:c r="O121" s="499" t="n">
        <x:v>0</x:v>
      </x:c>
      <x:c r="P121" s="499" t="n">
        <x:v>0</x:v>
      </x:c>
      <x:c r="Q121" s="499" t="n">
        <x:v>0</x:v>
      </x:c>
      <x:c r="R121" s="476" t="str"/>
      <x:c r="S121" s="476" t="str"/>
      <x:c r="T121" s="476" t="str">
        <x:v>EMENDA CONFIRMADA; DESTINO NÃO CONFIRMADO</x:v>
      </x:c>
      <x:c r="U121" s="476" t="str">
        <x:v>Média</x:v>
      </x:c>
      <x:c r="V121" s="476" t="str"/>
      <x:c r="W121" s="476" t="str">
        <x:v>Nº existe no SIGA; destinatário específico não foi confirmado nas bases anexas</x:v>
      </x:c>
      <x:c r="X121" s="476" t="str"/>
    </x:row>
    <x:row r="122">
      <x:c r="A122" t="n">
        <x:v>191</x:v>
      </x:c>
      <x:c r="B122" t="n">
        <x:v>2020</x:v>
      </x:c>
      <x:c r="C122" s="476" t="str">
        <x:v>Vários municípios</x:v>
      </x:c>
      <x:c r="D122" s="476" t="str">
        <x:v>Brigada Militar</x:v>
      </x:c>
      <x:c r="E122" s="476" t="str">
        <x:v>Unidades da Brigada Militar em Porto Alegre e Região Metropolitana.</x:v>
      </x:c>
      <x:c r="F122" s="476" t="str">
        <x:v>41160011</x:v>
      </x:c>
      <x:c r="G122" s="476" t="str">
        <x:v>41160011-2020</x:v>
      </x:c>
      <x:c r="H122" s="476" t="str">
        <x:v>Informado/corrigido a partir do mapa</x:v>
      </x:c>
      <x:c r="I122" s="499" t="n">
        <x:v>149872</x:v>
      </x:c>
      <x:c r="J122" s="499" t="n">
        <x:v>530717.3200000001</x:v>
      </x:c>
      <x:c r="K122" s="476" t="str">
        <x:v>Emenda individual</x:v>
      </x:c>
      <x:c r="L122" s="476" t="str">
        <x:v>Indicado</x:v>
      </x:c>
      <x:c r="M122" s="499" t="n">
        <x:v>0</x:v>
      </x:c>
      <x:c r="N122" s="499" t="n">
        <x:v>0</x:v>
      </x:c>
      <x:c r="O122" s="499" t="n">
        <x:v>0</x:v>
      </x:c>
      <x:c r="P122" s="499" t="n">
        <x:v>0</x:v>
      </x:c>
      <x:c r="Q122" s="499" t="n">
        <x:v>0</x:v>
      </x:c>
      <x:c r="R122" s="476" t="str"/>
      <x:c r="S122" s="476" t="str"/>
      <x:c r="T122" s="476" t="str">
        <x:v>EMENDA CONFIRMADA; DESTINO NÃO CONFIRMADO</x:v>
      </x:c>
      <x:c r="U122" s="476" t="str">
        <x:v>Média</x:v>
      </x:c>
      <x:c r="V122" s="476" t="str"/>
      <x:c r="W122" s="476" t="str">
        <x:v>Nº existe no SIGA; destinatário específico não foi confirmado nas bases anexas</x:v>
      </x:c>
      <x:c r="X122" s="476" t="str"/>
    </x:row>
    <x:row r="123">
      <x:c r="A123" t="n">
        <x:v>194</x:v>
      </x:c>
      <x:c r="B123" t="n">
        <x:v>2020</x:v>
      </x:c>
      <x:c r="C123" s="476" t="str">
        <x:v>Guaíba</x:v>
      </x:c>
      <x:c r="D123" s="476" t="str">
        <x:v>Município</x:v>
      </x:c>
      <x:c r="E123" s="476" t="str">
        <x:v>Prefeitura Municipal</x:v>
      </x:c>
      <x:c r="F123" s="476" t="str">
        <x:v>41160009</x:v>
      </x:c>
      <x:c r="G123" s="476" t="str">
        <x:v>41160009-2020</x:v>
      </x:c>
      <x:c r="H123" s="476" t="str">
        <x:v>Informado/corrigido a partir do mapa</x:v>
      </x:c>
      <x:c r="I123" s="499" t="n">
        <x:v>150000</x:v>
      </x:c>
      <x:c r="J123" s="499" t="n">
        <x:v>150000</x:v>
      </x:c>
      <x:c r="K123" s="476" t="str">
        <x:v>Emenda Individual (processo seletivo)</x:v>
      </x:c>
      <x:c r="L123" s="476" t="str">
        <x:v>Recurso pago</x:v>
      </x:c>
      <x:c r="M123" s="499" t="n">
        <x:v>0</x:v>
      </x:c>
      <x:c r="N123" s="499" t="n">
        <x:v>0</x:v>
      </x:c>
      <x:c r="O123" s="499" t="n">
        <x:v>0</x:v>
      </x:c>
      <x:c r="P123" s="499" t="n">
        <x:v>0</x:v>
      </x:c>
      <x:c r="Q123" s="499" t="n">
        <x:v>0</x:v>
      </x:c>
      <x:c r="R123" s="476" t="str"/>
      <x:c r="S123" s="476" t="str"/>
      <x:c r="T123" s="476" t="str">
        <x:v>EMENDA CONFIRMADA; DESTINO NÃO CONFIRMADO</x:v>
      </x:c>
      <x:c r="U123" s="476" t="str">
        <x:v>Média</x:v>
      </x:c>
      <x:c r="V123" s="476" t="str"/>
      <x:c r="W123" s="476" t="str">
        <x:v>Nº existe no SIGA; destinatário específico não foi confirmado nas bases anexas</x:v>
      </x:c>
      <x:c r="X123" s="476" t="str"/>
    </x:row>
    <x:row r="124">
      <x:c r="A124" t="n">
        <x:v>195</x:v>
      </x:c>
      <x:c r="B124" t="n">
        <x:v>2020</x:v>
      </x:c>
      <x:c r="C124" s="476" t="str">
        <x:v>Lagoa Vermelha</x:v>
      </x:c>
      <x:c r="D124" s="476" t="str">
        <x:v>Hospital</x:v>
      </x:c>
      <x:c r="E124" s="476" t="str">
        <x:v>Hospital São Paulo de Lagoa Vermelha</x:v>
      </x:c>
      <x:c r="F124" s="476" t="str">
        <x:v>41160009</x:v>
      </x:c>
      <x:c r="G124" s="476" t="str">
        <x:v>41160009-2020</x:v>
      </x:c>
      <x:c r="H124" s="476" t="str">
        <x:v>Informado/corrigido a partir do mapa</x:v>
      </x:c>
      <x:c r="I124" s="499" t="n">
        <x:v>150000</x:v>
      </x:c>
      <x:c r="J124" s="499" t="n">
        <x:v>150000</x:v>
      </x:c>
      <x:c r="K124" s="476" t="str">
        <x:v>Emenda Individual (processo seletivo)</x:v>
      </x:c>
      <x:c r="L124" s="476" t="str">
        <x:v>Recurso pago</x:v>
      </x:c>
      <x:c r="M124" s="499" t="n">
        <x:v>0</x:v>
      </x:c>
      <x:c r="N124" s="499" t="n">
        <x:v>0</x:v>
      </x:c>
      <x:c r="O124" s="499" t="n">
        <x:v>0</x:v>
      </x:c>
      <x:c r="P124" s="499" t="n">
        <x:v>0</x:v>
      </x:c>
      <x:c r="Q124" s="499" t="n">
        <x:v>0</x:v>
      </x:c>
      <x:c r="R124" s="476" t="str"/>
      <x:c r="S124" s="476" t="str"/>
      <x:c r="T124" s="476" t="str">
        <x:v>EMENDA CONFIRMADA; DESTINO NÃO CONFIRMADO</x:v>
      </x:c>
      <x:c r="U124" s="476" t="str">
        <x:v>Média</x:v>
      </x:c>
      <x:c r="V124" s="476" t="str"/>
      <x:c r="W124" s="476" t="str">
        <x:v>Nº existe no SIGA; destinatário específico não foi confirmado nas bases anexas</x:v>
      </x:c>
      <x:c r="X124" s="476" t="str"/>
    </x:row>
    <x:row r="125">
      <x:c r="A125" t="n">
        <x:v>197</x:v>
      </x:c>
      <x:c r="B125" t="n">
        <x:v>2022</x:v>
      </x:c>
      <x:c r="C125" s="476" t="str">
        <x:v>Pelotas</x:v>
      </x:c>
      <x:c r="D125" s="476" t="str">
        <x:v>Hospital</x:v>
      </x:c>
      <x:c r="E125" s="476" t="str">
        <x:v>Santa Casa De Misericórdia de Pelotas</x:v>
      </x:c>
      <x:c r="F125" s="476" t="str">
        <x:v>41160003</x:v>
      </x:c>
      <x:c r="G125" s="476" t="str">
        <x:v>41160003-2022</x:v>
      </x:c>
      <x:c r="H125" s="476" t="str">
        <x:v>Informado/corrigido a partir do mapa</x:v>
      </x:c>
      <x:c r="I125" s="499" t="n">
        <x:v>150000</x:v>
      </x:c>
      <x:c r="J125" s="499" t="n">
        <x:v>150000</x:v>
      </x:c>
      <x:c r="K125" s="476" t="str">
        <x:v>Emenda Individual </x:v>
      </x:c>
      <x:c r="L125" s="476" t="str">
        <x:v>Recurso pago</x:v>
      </x:c>
      <x:c r="M125" s="499" t="n">
        <x:v>81920.2</x:v>
      </x:c>
      <x:c r="N125" s="499" t="n">
        <x:v>149430</x:v>
      </x:c>
      <x:c r="O125" s="499" t="n">
        <x:v>81920.2</x:v>
      </x:c>
      <x:c r="P125" s="499" t="n">
        <x:v>0</x:v>
      </x:c>
      <x:c r="Q125" s="499" t="n">
        <x:v>0</x:v>
      </x:c>
      <x:c r="R125" s="476" t="str"/>
      <x:c r="S125" s="476" t="str">
        <x:v>92219559000125</x:v>
      </x:c>
      <x:c r="T125" s="476" t="str">
        <x:v>VALOR DIVERGENTE / COBERTURA DIFERENTE</x:v>
      </x:c>
      <x:c r="U125" s="476" t="str">
        <x:v>Alta</x:v>
      </x:c>
      <x:c r="V125" s="476" t="str">
        <x:v>CNPJ candidato na fonte SIGA: 92219559000125</x:v>
      </x:c>
      <x:c r="W125" s="476" t="str">
        <x:v>Município/localidade encontrado em fonte comparável, mas valor não fecha exatamente</x:v>
      </x:c>
      <x:c r="X125" s="476" t="str">
        <x:v>https://discricionarias.transferegov.sistema.gov.br/voluntarias/ConsultarProposta/ResultadoDaConsultaDeConvenioSelecionarConvenio.do?sequencialConvenio=935298&amp;Usr=guest&amp;Pwd=guest</x:v>
      </x:c>
    </x:row>
    <x:row r="126">
      <x:c r="A126" t="n">
        <x:v>198</x:v>
      </x:c>
      <x:c r="B126" t="n">
        <x:v>2022</x:v>
      </x:c>
      <x:c r="C126" s="476" t="str">
        <x:v>Portão</x:v>
      </x:c>
      <x:c r="D126" s="476" t="str">
        <x:v>Hospital</x:v>
      </x:c>
      <x:c r="E126" s="476" t="str">
        <x:v>Hospital de Portão</x:v>
      </x:c>
      <x:c r="F126" s="476" t="str">
        <x:v>7120004</x:v>
      </x:c>
      <x:c r="G126" s="476" t="str">
        <x:v>7120004-2022</x:v>
      </x:c>
      <x:c r="H126" s="476" t="str">
        <x:v>Informado/corrigido a partir do mapa</x:v>
      </x:c>
      <x:c r="I126" s="499" t="n">
        <x:v>150000</x:v>
      </x:c>
      <x:c r="J126" s="499" t="n">
        <x:v>150000</x:v>
      </x:c>
      <x:c r="K126" s="476" t="str">
        <x:v>Emenda de bancada (processo seletivo)</x:v>
      </x:c>
      <x:c r="L126" s="476" t="str">
        <x:v>Recurso pago</x:v>
      </x:c>
      <x:c r="M126" s="499" t="n">
        <x:v>0</x:v>
      </x:c>
      <x:c r="N126" s="499" t="n">
        <x:v>0</x:v>
      </x:c>
      <x:c r="O126" s="499" t="n">
        <x:v>0</x:v>
      </x:c>
      <x:c r="P126" s="499" t="n">
        <x:v>0</x:v>
      </x:c>
      <x:c r="Q126" s="499" t="n">
        <x:v>0</x:v>
      </x:c>
      <x:c r="R126" s="476" t="str"/>
      <x:c r="S126" s="476" t="str"/>
      <x:c r="T126" s="476" t="str">
        <x:v>Nº NÃO LOCALIZADO</x:v>
      </x:c>
      <x:c r="U126" s="476" t="str">
        <x:v>Média</x:v>
      </x:c>
      <x:c r="V126" s="476" t="str"/>
      <x:c r="W126" s="476" t="str"/>
      <x:c r="X126" s="476" t="str"/>
    </x:row>
    <x:row r="127">
      <x:c r="A127" t="n">
        <x:v>202</x:v>
      </x:c>
      <x:c r="B127" t="n">
        <x:v>2023</x:v>
      </x:c>
      <x:c r="C127" s="476" t="str">
        <x:v>Santa Maria</x:v>
      </x:c>
      <x:c r="D127" s="476" t="str">
        <x:v>APAE</x:v>
      </x:c>
      <x:c r="E127" s="476" t="str">
        <x:v>APAE de Santa Maria</x:v>
      </x:c>
      <x:c r="F127" s="476" t="str"/>
      <x:c r="G127" s="476" t="str"/>
      <x:c r="H127" s="476" t="str">
        <x:v>Sem nº conciliado</x:v>
      </x:c>
      <x:c r="I127" s="499" t="n">
        <x:v>150000</x:v>
      </x:c>
      <x:c r="J127" s="499" t="n">
        <x:v>650000</x:v>
      </x:c>
      <x:c r="K127" s="476" t="str">
        <x:v>Emenda de Bancada</x:v>
      </x:c>
      <x:c r="L127" s="476" t="str">
        <x:v>Recurso pago</x:v>
      </x:c>
      <x:c r="M127" s="499" t="n">
        <x:v>0</x:v>
      </x:c>
      <x:c r="N127" s="499" t="n">
        <x:v>0</x:v>
      </x:c>
      <x:c r="O127" s="499" t="n">
        <x:v>0</x:v>
      </x:c>
      <x:c r="P127" s="499" t="n">
        <x:v>0</x:v>
      </x:c>
      <x:c r="Q127" s="499" t="n">
        <x:v>0</x:v>
      </x:c>
      <x:c r="R127" s="476" t="str"/>
      <x:c r="S127" s="476" t="str"/>
      <x:c r="T127" s="476" t="str">
        <x:v>SEM Nº / NÃO CONCILIADO</x:v>
      </x:c>
      <x:c r="U127" s="476" t="str">
        <x:v>Média</x:v>
      </x:c>
      <x:c r="V127" s="476" t="str"/>
      <x:c r="W127" s="476" t="str"/>
      <x:c r="X127" s="476" t="str"/>
    </x:row>
    <x:row r="128">
      <x:c r="A128" t="n">
        <x:v>203</x:v>
      </x:c>
      <x:c r="B128" t="n">
        <x:v>2025</x:v>
      </x:c>
      <x:c r="C128" s="476" t="str">
        <x:v>Nova Prata</x:v>
      </x:c>
      <x:c r="D128" s="476" t="str">
        <x:v>Hospital Sao Joao Batista Nova Prata - Rs</x:v>
      </x:c>
      <x:c r="E128" s="476" t="str">
        <x:v>Hospital Sao Joao Batista Nova Prata - Rs</x:v>
      </x:c>
      <x:c r="F128" s="476" t="str">
        <x:v>41160004</x:v>
      </x:c>
      <x:c r="G128" s="476" t="str">
        <x:v>41160004-2025</x:v>
      </x:c>
      <x:c r="H128" s="476" t="str">
        <x:v>Informado/corrigido a partir do mapa</x:v>
      </x:c>
      <x:c r="I128" s="499" t="n">
        <x:v>150000</x:v>
      </x:c>
      <x:c r="J128" s="499" t="n">
        <x:v>150000</x:v>
      </x:c>
      <x:c r="K128" s="476" t="str">
        <x:v>Emenda Individual</x:v>
      </x:c>
      <x:c r="L128" s="476"/>
      <x:c r="M128" s="499" t="n">
        <x:v>0</x:v>
      </x:c>
      <x:c r="N128" s="499" t="n">
        <x:v>0</x:v>
      </x:c>
      <x:c r="O128" s="499" t="n">
        <x:v>0</x:v>
      </x:c>
      <x:c r="P128" s="499" t="n">
        <x:v>0</x:v>
      </x:c>
      <x:c r="Q128" s="499" t="n">
        <x:v>0</x:v>
      </x:c>
      <x:c r="R128" s="476" t="str"/>
      <x:c r="S128" s="476" t="str"/>
      <x:c r="T128" s="476" t="str">
        <x:v>EMENDA CONFIRMADA; DESTINO NÃO CONFIRMADO</x:v>
      </x:c>
      <x:c r="U128" s="476" t="str">
        <x:v>Média</x:v>
      </x:c>
      <x:c r="V128" s="476" t="str"/>
      <x:c r="W128" s="476" t="str">
        <x:v>Nº existe no SIGA; destinatário específico não foi confirmado nas bases anexas</x:v>
      </x:c>
      <x:c r="X128" s="476" t="str"/>
    </x:row>
    <x:row r="129">
      <x:c r="A129" t="n">
        <x:v>204</x:v>
      </x:c>
      <x:c r="B129" t="n">
        <x:v>2025</x:v>
      </x:c>
      <x:c r="C129" s="476" t="str">
        <x:v>Bento Gonçalves</x:v>
      </x:c>
      <x:c r="D129" s="476" t="str">
        <x:v>Fundo Municipal De Saude Bento Gonçalves - Rs</x:v>
      </x:c>
      <x:c r="E129" s="476" t="str">
        <x:v>Prefeitura Municipal</x:v>
      </x:c>
      <x:c r="F129" s="476" t="str">
        <x:v>41160002</x:v>
      </x:c>
      <x:c r="G129" s="476" t="str">
        <x:v>41160002-2025</x:v>
      </x:c>
      <x:c r="H129" s="476" t="str">
        <x:v>Informado/corrigido a partir do mapa</x:v>
      </x:c>
      <x:c r="I129" s="499" t="n">
        <x:v>150000</x:v>
      </x:c>
      <x:c r="J129" s="499" t="n">
        <x:v>858199</x:v>
      </x:c>
      <x:c r="K129" s="476" t="str">
        <x:v>Emenda Individual</x:v>
      </x:c>
      <x:c r="L129" s="476"/>
      <x:c r="M129" s="499" t="n">
        <x:v>150000</x:v>
      </x:c>
      <x:c r="N129" s="499" t="n">
        <x:v>0</x:v>
      </x:c>
      <x:c r="O129" s="499" t="n">
        <x:v>0</x:v>
      </x:c>
      <x:c r="P129" s="499" t="n">
        <x:v>0</x:v>
      </x:c>
      <x:c r="Q129" s="499" t="n">
        <x:v>0</x:v>
      </x:c>
      <x:c r="R129" s="476" t="str"/>
      <x:c r="S129" s="476" t="str">
        <x:v>11436612000148</x:v>
      </x:c>
      <x:c r="T129" s="476" t="str">
        <x:v>VALOR DIVERGENTE / COBERTURA DIFERENTE</x:v>
      </x:c>
      <x:c r="U129" s="476" t="str">
        <x:v>Alta</x:v>
      </x:c>
      <x:c r="V129" s="476" t="str">
        <x:v>Preencher situação: há pagamento identificado na fonte pública</x:v>
      </x:c>
      <x:c r="W129" s="476" t="str">
        <x:v>Município/localidade encontrado em fonte comparável, mas valor não fecha exatamente</x:v>
      </x:c>
      <x:c r="X129" s="476" t="str"/>
    </x:row>
    <x:row r="130">
      <x:c r="A130" t="n">
        <x:v>207</x:v>
      </x:c>
      <x:c r="B130" t="n">
        <x:v>2026</x:v>
      </x:c>
      <x:c r="C130" s="476" t="str">
        <x:v>Ubiretama</x:v>
      </x:c>
      <x:c r="D130" s="476" t="str">
        <x:v>Município de Ubiretama - RS</x:v>
      </x:c>
      <x:c r="E130" s="476" t="str">
        <x:v>Município de Ubiretama</x:v>
      </x:c>
      <x:c r="F130" s="476" t="str">
        <x:v>41160005</x:v>
      </x:c>
      <x:c r="G130" s="476" t="str">
        <x:v>41160005-2026</x:v>
      </x:c>
      <x:c r="H130" s="476" t="str">
        <x:v>Informado/corrigido a partir do mapa</x:v>
      </x:c>
      <x:c r="I130" s="499" t="n">
        <x:v>150000</x:v>
      </x:c>
      <x:c r="J130" s="499" t="n">
        <x:v>150000</x:v>
      </x:c>
      <x:c r="K130" s="476" t="str">
        <x:v>Emenda individual</x:v>
      </x:c>
      <x:c r="L130" s="476"/>
      <x:c r="M130" s="499" t="n">
        <x:v>0</x:v>
      </x:c>
      <x:c r="N130" s="499" t="n">
        <x:v>0</x:v>
      </x:c>
      <x:c r="O130" s="499" t="n">
        <x:v>0</x:v>
      </x:c>
      <x:c r="P130" s="499" t="n">
        <x:v>0</x:v>
      </x:c>
      <x:c r="Q130" s="499" t="n">
        <x:v>0</x:v>
      </x:c>
      <x:c r="R130" s="476" t="str"/>
      <x:c r="S130" s="476" t="str"/>
      <x:c r="T130" s="476" t="str">
        <x:v>EMENDA CONFIRMADA; DESTINO NÃO CONFIRMADO</x:v>
      </x:c>
      <x:c r="U130" s="476" t="str">
        <x:v>Média</x:v>
      </x:c>
      <x:c r="V130" s="476" t="str"/>
      <x:c r="W130" s="476" t="str">
        <x:v>Nº existe no SIGA; destinatário específico não foi confirmado nas bases anexas</x:v>
      </x:c>
      <x:c r="X130" s="476" t="str"/>
    </x:row>
    <x:row r="131">
      <x:c r="A131" t="n">
        <x:v>208</x:v>
      </x:c>
      <x:c r="B131" t="n">
        <x:v>2026</x:v>
      </x:c>
      <x:c r="C131" s="476" t="str">
        <x:v>Porto Mauá</x:v>
      </x:c>
      <x:c r="D131" s="476" t="str">
        <x:v>Fundo Municipal de Saúde de Porto Mauá - RS</x:v>
      </x:c>
      <x:c r="E131" s="476" t="str">
        <x:v>Município de Porto Mauá</x:v>
      </x:c>
      <x:c r="F131" s="476" t="str">
        <x:v>41160005</x:v>
      </x:c>
      <x:c r="G131" s="476" t="str">
        <x:v>41160005-2026</x:v>
      </x:c>
      <x:c r="H131" s="476" t="str">
        <x:v>Informado/corrigido a partir do mapa</x:v>
      </x:c>
      <x:c r="I131" s="499" t="n">
        <x:v>150000</x:v>
      </x:c>
      <x:c r="J131" s="499" t="n">
        <x:v>150000</x:v>
      </x:c>
      <x:c r="K131" s="476" t="str">
        <x:v>Emenda individual</x:v>
      </x:c>
      <x:c r="L131" s="476"/>
      <x:c r="M131" s="499" t="n">
        <x:v>0</x:v>
      </x:c>
      <x:c r="N131" s="499" t="n">
        <x:v>0</x:v>
      </x:c>
      <x:c r="O131" s="499" t="n">
        <x:v>0</x:v>
      </x:c>
      <x:c r="P131" s="499" t="n">
        <x:v>0</x:v>
      </x:c>
      <x:c r="Q131" s="499" t="n">
        <x:v>0</x:v>
      </x:c>
      <x:c r="R131" s="476" t="str"/>
      <x:c r="S131" s="476" t="str"/>
      <x:c r="T131" s="476" t="str">
        <x:v>EMENDA CONFIRMADA; DESTINO NÃO CONFIRMADO</x:v>
      </x:c>
      <x:c r="U131" s="476" t="str">
        <x:v>Média</x:v>
      </x:c>
      <x:c r="V131" s="476" t="str"/>
      <x:c r="W131" s="476" t="str">
        <x:v>Nº existe no SIGA; destinatário específico não foi confirmado nas bases anexas</x:v>
      </x:c>
      <x:c r="X131" s="476" t="str"/>
    </x:row>
    <x:row r="132">
      <x:c r="A132" t="n">
        <x:v>212</x:v>
      </x:c>
      <x:c r="B132" t="n">
        <x:v>2026</x:v>
      </x:c>
      <x:c r="C132" s="476" t="str">
        <x:v>Nova Bassano</x:v>
      </x:c>
      <x:c r="D132" s="476" t="str">
        <x:v>Município de Nova Bassano - RS</x:v>
      </x:c>
      <x:c r="E132" s="476"/>
      <x:c r="F132" s="476" t="str">
        <x:v>41160005</x:v>
      </x:c>
      <x:c r="G132" s="476" t="str">
        <x:v>41160005-2026</x:v>
      </x:c>
      <x:c r="H132" s="476" t="str">
        <x:v>Informado/corrigido a partir do mapa</x:v>
      </x:c>
      <x:c r="I132" s="499" t="n">
        <x:v>150000</x:v>
      </x:c>
      <x:c r="J132" s="499" t="n">
        <x:v>150000</x:v>
      </x:c>
      <x:c r="K132" s="476" t="str">
        <x:v>Emenda individual</x:v>
      </x:c>
      <x:c r="L132" s="476"/>
      <x:c r="M132" s="499" t="n">
        <x:v>0</x:v>
      </x:c>
      <x:c r="N132" s="499" t="n">
        <x:v>0</x:v>
      </x:c>
      <x:c r="O132" s="499" t="n">
        <x:v>0</x:v>
      </x:c>
      <x:c r="P132" s="499" t="n">
        <x:v>0</x:v>
      </x:c>
      <x:c r="Q132" s="499" t="n">
        <x:v>0</x:v>
      </x:c>
      <x:c r="R132" s="476" t="str"/>
      <x:c r="S132" s="476" t="str"/>
      <x:c r="T132" s="476" t="str">
        <x:v>EMENDA CONFIRMADA; DESTINO NÃO CONFIRMADO</x:v>
      </x:c>
      <x:c r="U132" s="476" t="str">
        <x:v>Média</x:v>
      </x:c>
      <x:c r="V132" s="476" t="str"/>
      <x:c r="W132" s="476" t="str">
        <x:v>Nº existe no SIGA; destinatário específico não foi confirmado nas bases anexas</x:v>
      </x:c>
      <x:c r="X132" s="476" t="str"/>
    </x:row>
    <x:row r="133">
      <x:c r="A133" t="n">
        <x:v>213</x:v>
      </x:c>
      <x:c r="B133" t="n">
        <x:v>2026</x:v>
      </x:c>
      <x:c r="C133" s="476" t="str">
        <x:v>Quinze de Novembro</x:v>
      </x:c>
      <x:c r="D133" s="476" t="str">
        <x:v>Município de Quinze de Novembro - RS</x:v>
      </x:c>
      <x:c r="E133" s="476"/>
      <x:c r="F133" s="476" t="str">
        <x:v>41160005</x:v>
      </x:c>
      <x:c r="G133" s="476" t="str">
        <x:v>41160005-2026</x:v>
      </x:c>
      <x:c r="H133" s="476" t="str">
        <x:v>Informado/corrigido a partir do mapa</x:v>
      </x:c>
      <x:c r="I133" s="499" t="n">
        <x:v>150000</x:v>
      </x:c>
      <x:c r="J133" s="499" t="n">
        <x:v>150000</x:v>
      </x:c>
      <x:c r="K133" s="476" t="str">
        <x:v>Emenda individual</x:v>
      </x:c>
      <x:c r="L133" s="476"/>
      <x:c r="M133" s="499" t="n">
        <x:v>0</x:v>
      </x:c>
      <x:c r="N133" s="499" t="n">
        <x:v>0</x:v>
      </x:c>
      <x:c r="O133" s="499" t="n">
        <x:v>0</x:v>
      </x:c>
      <x:c r="P133" s="499" t="n">
        <x:v>0</x:v>
      </x:c>
      <x:c r="Q133" s="499" t="n">
        <x:v>0</x:v>
      </x:c>
      <x:c r="R133" s="476" t="str"/>
      <x:c r="S133" s="476" t="str"/>
      <x:c r="T133" s="476" t="str">
        <x:v>EMENDA CONFIRMADA; DESTINO NÃO CONFIRMADO</x:v>
      </x:c>
      <x:c r="U133" s="476" t="str">
        <x:v>Média</x:v>
      </x:c>
      <x:c r="V133" s="476" t="str"/>
      <x:c r="W133" s="476" t="str">
        <x:v>Nº existe no SIGA; destinatário específico não foi confirmado nas bases anexas</x:v>
      </x:c>
      <x:c r="X133" s="476" t="str"/>
    </x:row>
    <x:row r="134">
      <x:c r="A134" t="n">
        <x:v>215</x:v>
      </x:c>
      <x:c r="B134" t="n">
        <x:v>2025</x:v>
      </x:c>
      <x:c r="C134" s="476" t="str">
        <x:v>Senador Salgado Filho</x:v>
      </x:c>
      <x:c r="D134" s="476" t="str">
        <x:v>Fundo Municipal De Saude De Senador Salgado Filho Senador Salgado Filho - Rs</x:v>
      </x:c>
      <x:c r="E134" s="476" t="str">
        <x:v>Prefeitura Municipal</x:v>
      </x:c>
      <x:c r="F134" s="476" t="str">
        <x:v>41160001</x:v>
      </x:c>
      <x:c r="G134" s="476" t="str">
        <x:v>41160001-2025</x:v>
      </x:c>
      <x:c r="H134" s="476" t="str">
        <x:v>Informado/corrigido a partir do mapa</x:v>
      </x:c>
      <x:c r="I134" s="499" t="n">
        <x:v>151050</x:v>
      </x:c>
      <x:c r="J134" s="499" t="n">
        <x:v>151050</x:v>
      </x:c>
      <x:c r="K134" s="476" t="str">
        <x:v>Emenda Individual</x:v>
      </x:c>
      <x:c r="L134" s="476"/>
      <x:c r="M134" s="499" t="n">
        <x:v>154339</x:v>
      </x:c>
      <x:c r="N134" s="499" t="n">
        <x:v>0</x:v>
      </x:c>
      <x:c r="O134" s="499" t="n">
        <x:v>0</x:v>
      </x:c>
      <x:c r="P134" s="499" t="n">
        <x:v>0</x:v>
      </x:c>
      <x:c r="Q134" s="499" t="n">
        <x:v>0</x:v>
      </x:c>
      <x:c r="R134" s="476" t="str"/>
      <x:c r="S134" s="476" t="str">
        <x:v>11880389000123</x:v>
      </x:c>
      <x:c r="T134" s="476" t="str">
        <x:v>VALOR DIVERGENTE / COBERTURA DIFERENTE</x:v>
      </x:c>
      <x:c r="U134" s="476" t="str">
        <x:v>Média</x:v>
      </x:c>
      <x:c r="V134" s="476" t="str">
        <x:v>Preencher situação: há pagamento identificado na fonte pública</x:v>
      </x:c>
      <x:c r="W134" s="476" t="str">
        <x:v>Município/localidade encontrado em fonte comparável, mas valor não fecha exatamente</x:v>
      </x:c>
      <x:c r="X134" s="476" t="str"/>
    </x:row>
    <x:row r="135">
      <x:c r="A135" t="n">
        <x:v>219</x:v>
      </x:c>
      <x:c r="B135" t="n">
        <x:v>2020</x:v>
      </x:c>
      <x:c r="C135" s="476" t="str">
        <x:v>Vários municípios</x:v>
      </x:c>
      <x:c r="D135" s="476" t="str">
        <x:v>Brigada Militar</x:v>
      </x:c>
      <x:c r="E135" s="476" t="str">
        <x:v>Unidades da Brigada Militar em Porto Alegre e Região Metropolitana.</x:v>
      </x:c>
      <x:c r="F135" s="476" t="str">
        <x:v>41160011</x:v>
      </x:c>
      <x:c r="G135" s="476" t="str">
        <x:v>41160011-2020</x:v>
      </x:c>
      <x:c r="H135" s="476" t="str">
        <x:v>Informado/corrigido a partir do mapa</x:v>
      </x:c>
      <x:c r="I135" s="499" t="n">
        <x:v>156000</x:v>
      </x:c>
      <x:c r="J135" s="499" t="n">
        <x:v>530717.3200000001</x:v>
      </x:c>
      <x:c r="K135" s="476" t="str">
        <x:v>Emenda individual</x:v>
      </x:c>
      <x:c r="L135" s="476" t="str">
        <x:v>Indicado</x:v>
      </x:c>
      <x:c r="M135" s="499" t="n">
        <x:v>0</x:v>
      </x:c>
      <x:c r="N135" s="499" t="n">
        <x:v>0</x:v>
      </x:c>
      <x:c r="O135" s="499" t="n">
        <x:v>0</x:v>
      </x:c>
      <x:c r="P135" s="499" t="n">
        <x:v>0</x:v>
      </x:c>
      <x:c r="Q135" s="499" t="n">
        <x:v>0</x:v>
      </x:c>
      <x:c r="R135" s="476" t="str"/>
      <x:c r="S135" s="476" t="str"/>
      <x:c r="T135" s="476" t="str">
        <x:v>EMENDA CONFIRMADA; DESTINO NÃO CONFIRMADO</x:v>
      </x:c>
      <x:c r="U135" s="476" t="str">
        <x:v>Média</x:v>
      </x:c>
      <x:c r="V135" s="476" t="str"/>
      <x:c r="W135" s="476" t="str">
        <x:v>Nº existe no SIGA; destinatário específico não foi confirmado nas bases anexas</x:v>
      </x:c>
      <x:c r="X135" s="476" t="str"/>
    </x:row>
    <x:row r="136">
      <x:c r="A136" t="n">
        <x:v>220</x:v>
      </x:c>
      <x:c r="B136" t="n">
        <x:v>2023</x:v>
      </x:c>
      <x:c r="C136" s="476" t="str">
        <x:v>Sananduva</x:v>
      </x:c>
      <x:c r="D136" s="476" t="str">
        <x:v>APAE</x:v>
      </x:c>
      <x:c r="E136" s="476" t="str">
        <x:v>APAE de Sananduva</x:v>
      </x:c>
      <x:c r="F136" s="476" t="str"/>
      <x:c r="G136" s="476" t="str"/>
      <x:c r="H136" s="476" t="str">
        <x:v>Sem nº conciliado</x:v>
      </x:c>
      <x:c r="I136" s="499" t="n">
        <x:v>160000</x:v>
      </x:c>
      <x:c r="J136" s="499" t="n">
        <x:v>160000</x:v>
      </x:c>
      <x:c r="K136" s="476" t="str">
        <x:v>Emenda de Bancada</x:v>
      </x:c>
      <x:c r="L136" s="476" t="str">
        <x:v>Recurso pago</x:v>
      </x:c>
      <x:c r="M136" s="499" t="n">
        <x:v>0</x:v>
      </x:c>
      <x:c r="N136" s="499" t="n">
        <x:v>0</x:v>
      </x:c>
      <x:c r="O136" s="499" t="n">
        <x:v>0</x:v>
      </x:c>
      <x:c r="P136" s="499" t="n">
        <x:v>0</x:v>
      </x:c>
      <x:c r="Q136" s="499" t="n">
        <x:v>0</x:v>
      </x:c>
      <x:c r="R136" s="476" t="str"/>
      <x:c r="S136" s="476" t="str"/>
      <x:c r="T136" s="476" t="str">
        <x:v>SEM Nº / NÃO CONCILIADO</x:v>
      </x:c>
      <x:c r="U136" s="476" t="str">
        <x:v>Média</x:v>
      </x:c>
      <x:c r="V136" s="476" t="str"/>
      <x:c r="W136" s="476" t="str"/>
      <x:c r="X136" s="476" t="str"/>
    </x:row>
    <x:row r="137">
      <x:c r="A137" t="n">
        <x:v>221</x:v>
      </x:c>
      <x:c r="B137" t="n">
        <x:v>2023</x:v>
      </x:c>
      <x:c r="C137" s="476" t="str">
        <x:v>Três Coroas</x:v>
      </x:c>
      <x:c r="D137" s="476" t="str">
        <x:v>APAE</x:v>
      </x:c>
      <x:c r="E137" s="476" t="str">
        <x:v>APAE de Três Coroas</x:v>
      </x:c>
      <x:c r="F137" s="476" t="str"/>
      <x:c r="G137" s="476" t="str"/>
      <x:c r="H137" s="476" t="str">
        <x:v>Sem nº conciliado</x:v>
      </x:c>
      <x:c r="I137" s="499" t="n">
        <x:v>160000</x:v>
      </x:c>
      <x:c r="J137" s="499" t="n">
        <x:v>160000</x:v>
      </x:c>
      <x:c r="K137" s="476" t="str">
        <x:v>Emenda de Bancada</x:v>
      </x:c>
      <x:c r="L137" s="476" t="str">
        <x:v>Recurso pago</x:v>
      </x:c>
      <x:c r="M137" s="499" t="n">
        <x:v>0</x:v>
      </x:c>
      <x:c r="N137" s="499" t="n">
        <x:v>0</x:v>
      </x:c>
      <x:c r="O137" s="499" t="n">
        <x:v>0</x:v>
      </x:c>
      <x:c r="P137" s="499" t="n">
        <x:v>0</x:v>
      </x:c>
      <x:c r="Q137" s="499" t="n">
        <x:v>0</x:v>
      </x:c>
      <x:c r="R137" s="476" t="str"/>
      <x:c r="S137" s="476" t="str"/>
      <x:c r="T137" s="476" t="str">
        <x:v>SEM Nº / NÃO CONCILIADO</x:v>
      </x:c>
      <x:c r="U137" s="476" t="str">
        <x:v>Média</x:v>
      </x:c>
      <x:c r="V137" s="476" t="str"/>
      <x:c r="W137" s="476" t="str"/>
      <x:c r="X137" s="476" t="str"/>
    </x:row>
    <x:row r="138">
      <x:c r="A138" t="n">
        <x:v>222</x:v>
      </x:c>
      <x:c r="B138" t="n">
        <x:v>2020</x:v>
      </x:c>
      <x:c r="C138" s="476" t="str">
        <x:v>Dois Irmãos</x:v>
      </x:c>
      <x:c r="D138" s="476" t="str">
        <x:v>Corpo de Bombeiros</x:v>
      </x:c>
      <x:c r="E138" s="476" t="str">
        <x:v>Corpo de Bombeiros de Dois Irmãos</x:v>
      </x:c>
      <x:c r="F138" s="476" t="str">
        <x:v>41160012</x:v>
      </x:c>
      <x:c r="G138" s="476" t="str">
        <x:v>41160012-2020</x:v>
      </x:c>
      <x:c r="H138" s="476" t="str">
        <x:v>Informado/corrigido a partir do mapa</x:v>
      </x:c>
      <x:c r="I138" s="499" t="n">
        <x:v>162125</x:v>
      </x:c>
      <x:c r="J138" s="499" t="n">
        <x:v>162125</x:v>
      </x:c>
      <x:c r="K138" s="476" t="str">
        <x:v>Emenda individual</x:v>
      </x:c>
      <x:c r="L138" s="476" t="str">
        <x:v>Recurso pago</x:v>
      </x:c>
      <x:c r="M138" s="499" t="n">
        <x:v>0</x:v>
      </x:c>
      <x:c r="N138" s="499" t="n">
        <x:v>0</x:v>
      </x:c>
      <x:c r="O138" s="499" t="n">
        <x:v>0</x:v>
      </x:c>
      <x:c r="P138" s="499" t="n">
        <x:v>0</x:v>
      </x:c>
      <x:c r="Q138" s="499" t="n">
        <x:v>0</x:v>
      </x:c>
      <x:c r="R138" s="476" t="str"/>
      <x:c r="S138" s="476" t="str"/>
      <x:c r="T138" s="476" t="str">
        <x:v>EMENDA CONFIRMADA; DESTINO NÃO CONFIRMADO</x:v>
      </x:c>
      <x:c r="U138" s="476" t="str">
        <x:v>Média</x:v>
      </x:c>
      <x:c r="V138" s="476" t="str"/>
      <x:c r="W138" s="476" t="str">
        <x:v>Nº existe no SIGA; destinatário específico não foi confirmado nas bases anexas</x:v>
      </x:c>
      <x:c r="X138" s="476" t="str"/>
    </x:row>
    <x:row r="139">
      <x:c r="A139" t="n">
        <x:v>223</x:v>
      </x:c>
      <x:c r="B139" t="n">
        <x:v>2020</x:v>
      </x:c>
      <x:c r="C139" s="476" t="str">
        <x:v>Estância Velha</x:v>
      </x:c>
      <x:c r="D139" s="476" t="str">
        <x:v>Corpo de Bombeiros</x:v>
      </x:c>
      <x:c r="E139" s="476" t="str">
        <x:v>Corpo de Bombeiros de Estância Velha</x:v>
      </x:c>
      <x:c r="F139" s="476" t="str">
        <x:v>41160012</x:v>
      </x:c>
      <x:c r="G139" s="476" t="str">
        <x:v>41160012-2020</x:v>
      </x:c>
      <x:c r="H139" s="476" t="str">
        <x:v>Informado/corrigido a partir do mapa</x:v>
      </x:c>
      <x:c r="I139" s="499" t="n">
        <x:v>162125</x:v>
      </x:c>
      <x:c r="J139" s="499" t="n">
        <x:v>162125</x:v>
      </x:c>
      <x:c r="K139" s="476" t="str">
        <x:v>Emenda individual</x:v>
      </x:c>
      <x:c r="L139" s="476" t="str">
        <x:v>Recurso pago</x:v>
      </x:c>
      <x:c r="M139" s="499" t="n">
        <x:v>0</x:v>
      </x:c>
      <x:c r="N139" s="499" t="n">
        <x:v>0</x:v>
      </x:c>
      <x:c r="O139" s="499" t="n">
        <x:v>0</x:v>
      </x:c>
      <x:c r="P139" s="499" t="n">
        <x:v>0</x:v>
      </x:c>
      <x:c r="Q139" s="499" t="n">
        <x:v>0</x:v>
      </x:c>
      <x:c r="R139" s="476" t="str"/>
      <x:c r="S139" s="476" t="str"/>
      <x:c r="T139" s="476" t="str">
        <x:v>EMENDA CONFIRMADA; DESTINO NÃO CONFIRMADO</x:v>
      </x:c>
      <x:c r="U139" s="476" t="str">
        <x:v>Média</x:v>
      </x:c>
      <x:c r="V139" s="476" t="str"/>
      <x:c r="W139" s="476" t="str">
        <x:v>Nº existe no SIGA; destinatário específico não foi confirmado nas bases anexas</x:v>
      </x:c>
      <x:c r="X139" s="476" t="str"/>
    </x:row>
    <x:row r="140">
      <x:c r="A140" t="n">
        <x:v>224</x:v>
      </x:c>
      <x:c r="B140" t="n">
        <x:v>2020</x:v>
      </x:c>
      <x:c r="C140" s="476" t="str">
        <x:v>Erechim</x:v>
      </x:c>
      <x:c r="D140" s="476" t="str">
        <x:v>Polícia Civil</x:v>
      </x:c>
      <x:c r="E140" s="476" t="str">
        <x:v>11ª Delegacia de Polícia Regional – Erechim</x:v>
      </x:c>
      <x:c r="F140" s="476" t="str">
        <x:v>41160010</x:v>
      </x:c>
      <x:c r="G140" s="476" t="str">
        <x:v>41160010-2020</x:v>
      </x:c>
      <x:c r="H140" s="476" t="str">
        <x:v>Informado/corrigido a partir do mapa</x:v>
      </x:c>
      <x:c r="I140" s="499" t="n">
        <x:v>162142.85</x:v>
      </x:c>
      <x:c r="J140" s="499" t="n">
        <x:v>162142.85</x:v>
      </x:c>
      <x:c r="K140" s="476" t="str">
        <x:v>Emenda individual</x:v>
      </x:c>
      <x:c r="L140" s="476" t="str">
        <x:v>Recurso pago</x:v>
      </x:c>
      <x:c r="M140" s="499" t="n">
        <x:v>0</x:v>
      </x:c>
      <x:c r="N140" s="499" t="n">
        <x:v>0</x:v>
      </x:c>
      <x:c r="O140" s="499" t="n">
        <x:v>0</x:v>
      </x:c>
      <x:c r="P140" s="499" t="n">
        <x:v>0</x:v>
      </x:c>
      <x:c r="Q140" s="499" t="n">
        <x:v>0</x:v>
      </x:c>
      <x:c r="R140" s="476" t="str"/>
      <x:c r="S140" s="476" t="str"/>
      <x:c r="T140" s="476" t="str">
        <x:v>EMENDA CONFIRMADA; DESTINO NÃO CONFIRMADO</x:v>
      </x:c>
      <x:c r="U140" s="476" t="str">
        <x:v>Média</x:v>
      </x:c>
      <x:c r="V140" s="476" t="str"/>
      <x:c r="W140" s="476" t="str">
        <x:v>Nº existe no SIGA; destinatário específico não foi confirmado nas bases anexas</x:v>
      </x:c>
      <x:c r="X140" s="476" t="str"/>
    </x:row>
    <x:row r="141">
      <x:c r="A141" t="n">
        <x:v>225</x:v>
      </x:c>
      <x:c r="B141" t="n">
        <x:v>2020</x:v>
      </x:c>
      <x:c r="C141" s="476" t="str">
        <x:v>Passo Fundo</x:v>
      </x:c>
      <x:c r="D141" s="476" t="str">
        <x:v>Polícia Civil</x:v>
      </x:c>
      <x:c r="E141" s="476" t="str">
        <x:v>6ª Delegacia de Polícia Regional – Passo Fundo</x:v>
      </x:c>
      <x:c r="F141" s="476" t="str">
        <x:v>41160010</x:v>
      </x:c>
      <x:c r="G141" s="476" t="str">
        <x:v>41160010-2020</x:v>
      </x:c>
      <x:c r="H141" s="476" t="str">
        <x:v>Informado/corrigido a partir do mapa</x:v>
      </x:c>
      <x:c r="I141" s="499" t="n">
        <x:v>162142.85</x:v>
      </x:c>
      <x:c r="J141" s="499" t="n">
        <x:v>162142.85</x:v>
      </x:c>
      <x:c r="K141" s="476" t="str">
        <x:v>Emenda individual</x:v>
      </x:c>
      <x:c r="L141" s="476" t="str">
        <x:v>Recurso pago em 25/04/2022.</x:v>
      </x:c>
      <x:c r="M141" s="499" t="n">
        <x:v>0</x:v>
      </x:c>
      <x:c r="N141" s="499" t="n">
        <x:v>0</x:v>
      </x:c>
      <x:c r="O141" s="499" t="n">
        <x:v>0</x:v>
      </x:c>
      <x:c r="P141" s="499" t="n">
        <x:v>0</x:v>
      </x:c>
      <x:c r="Q141" s="499" t="n">
        <x:v>0</x:v>
      </x:c>
      <x:c r="R141" s="476" t="str"/>
      <x:c r="S141" s="476" t="str"/>
      <x:c r="T141" s="476" t="str">
        <x:v>EMENDA CONFIRMADA; DESTINO NÃO CONFIRMADO</x:v>
      </x:c>
      <x:c r="U141" s="476" t="str">
        <x:v>Média</x:v>
      </x:c>
      <x:c r="V141" s="476" t="str"/>
      <x:c r="W141" s="476" t="str">
        <x:v>Nº existe no SIGA; destinatário específico não foi confirmado nas bases anexas</x:v>
      </x:c>
      <x:c r="X141" s="476" t="str"/>
    </x:row>
    <x:row r="142">
      <x:c r="A142" t="n">
        <x:v>226</x:v>
      </x:c>
      <x:c r="B142" t="n">
        <x:v>2020</x:v>
      </x:c>
      <x:c r="C142" s="476" t="str">
        <x:v>Santa Maria</x:v>
      </x:c>
      <x:c r="D142" s="476" t="str">
        <x:v>Polícia Civil</x:v>
      </x:c>
      <x:c r="E142" s="476" t="str">
        <x:v>3ª Delegacia de Polícia Regional – Santa Maria</x:v>
      </x:c>
      <x:c r="F142" s="476" t="str">
        <x:v>41160010</x:v>
      </x:c>
      <x:c r="G142" s="476" t="str">
        <x:v>41160010-2020</x:v>
      </x:c>
      <x:c r="H142" s="476" t="str">
        <x:v>Informado/corrigido a partir do mapa</x:v>
      </x:c>
      <x:c r="I142" s="499" t="n">
        <x:v>162142.85</x:v>
      </x:c>
      <x:c r="J142" s="499" t="n">
        <x:v>162142.85</x:v>
      </x:c>
      <x:c r="K142" s="476" t="str">
        <x:v>Emenda individual</x:v>
      </x:c>
      <x:c r="L142" s="476" t="str">
        <x:v>Inexigibilidade de licitação aceita pelo Ministério. Recurso pago em 25/04/2022.</x:v>
      </x:c>
      <x:c r="M142" s="499" t="n">
        <x:v>0</x:v>
      </x:c>
      <x:c r="N142" s="499" t="n">
        <x:v>0</x:v>
      </x:c>
      <x:c r="O142" s="499" t="n">
        <x:v>0</x:v>
      </x:c>
      <x:c r="P142" s="499" t="n">
        <x:v>0</x:v>
      </x:c>
      <x:c r="Q142" s="499" t="n">
        <x:v>0</x:v>
      </x:c>
      <x:c r="R142" s="476" t="str"/>
      <x:c r="S142" s="476" t="str"/>
      <x:c r="T142" s="476" t="str">
        <x:v>EMENDA CONFIRMADA; DESTINO NÃO CONFIRMADO</x:v>
      </x:c>
      <x:c r="U142" s="476" t="str">
        <x:v>Média</x:v>
      </x:c>
      <x:c r="V142" s="476" t="str"/>
      <x:c r="W142" s="476" t="str">
        <x:v>Nº existe no SIGA; destinatário específico não foi confirmado nas bases anexas</x:v>
      </x:c>
      <x:c r="X142" s="476" t="str"/>
    </x:row>
    <x:row r="143">
      <x:c r="A143" t="n">
        <x:v>227</x:v>
      </x:c>
      <x:c r="B143" t="n">
        <x:v>2021</x:v>
      </x:c>
      <x:c r="C143" s="476" t="str">
        <x:v>Veranópolis</x:v>
      </x:c>
      <x:c r="D143" s="476" t="str">
        <x:v>Hospital</x:v>
      </x:c>
      <x:c r="E143" s="476" t="str">
        <x:v>Associação Veranense de Assistência em Saúde - Hospital Comunitário São Peregrino Lazziozi</x:v>
      </x:c>
      <x:c r="F143" s="476" t="str">
        <x:v>41160002</x:v>
      </x:c>
      <x:c r="G143" s="476" t="str">
        <x:v>41160002-2021</x:v>
      </x:c>
      <x:c r="H143" s="476" t="str">
        <x:v>Informado/corrigido a partir do mapa</x:v>
      </x:c>
      <x:c r="I143" s="499" t="n">
        <x:v>162480</x:v>
      </x:c>
      <x:c r="J143" s="499" t="n">
        <x:v>162480</x:v>
      </x:c>
      <x:c r="K143" s="476" t="str">
        <x:v>Emenda individual (processo seletivo)</x:v>
      </x:c>
      <x:c r="L143" s="476" t="str">
        <x:v>Convênio nº 914265 segue em execução. Já foram pagos R$ 125.745,00, com último desembolso em 03/07/2023. Saldo a desembolsar: R$ 36.735,00.</x:v>
      </x:c>
      <x:c r="M143" s="499" t="n">
        <x:v>125745</x:v>
      </x:c>
      <x:c r="N143" s="499" t="n">
        <x:v>162480</x:v>
      </x:c>
      <x:c r="O143" s="499" t="n">
        <x:v>125745</x:v>
      </x:c>
      <x:c r="P143" s="499" t="n">
        <x:v>0</x:v>
      </x:c>
      <x:c r="Q143" s="499" t="n">
        <x:v>0</x:v>
      </x:c>
      <x:c r="R143" s="476" t="str"/>
      <x:c r="S143" s="476" t="str">
        <x:v>87873279000104</x:v>
      </x:c>
      <x:c r="T143" s="476" t="str">
        <x:v>VALOR DIVERGENTE / COBERTURA DIFERENTE</x:v>
      </x:c>
      <x:c r="U143" s="476" t="str">
        <x:v>Alta</x:v>
      </x:c>
      <x:c r="V143" s="476" t="str">
        <x:v>CNPJ candidato na fonte SIGA: 87873279000104</x:v>
      </x:c>
      <x:c r="W143" s="476" t="str">
        <x:v>Município/localidade encontrado em fonte comparável, mas valor não fecha exatamente</x:v>
      </x:c>
      <x:c r="X143" s="476" t="str">
        <x:v>https://discricionarias.transferegov.sistema.gov.br/voluntarias/ConsultarProposta/ResultadoDaConsultaDeConvenioSelecionarConvenio.do?sequencialConvenio=914265&amp;Usr=guest&amp;Pwd=guest</x:v>
      </x:c>
    </x:row>
    <x:row r="144">
      <x:c r="A144" t="n">
        <x:v>230</x:v>
      </x:c>
      <x:c r="B144" t="n">
        <x:v>2020</x:v>
      </x:c>
      <x:c r="C144" s="476" t="str">
        <x:v>Cambará do Sul</x:v>
      </x:c>
      <x:c r="D144" s="476" t="str">
        <x:v>Hospital</x:v>
      </x:c>
      <x:c r="E144" s="476" t="str">
        <x:v>Fundação Hospitalar São José de Cambará do Sul</x:v>
      </x:c>
      <x:c r="F144" s="476" t="str">
        <x:v>7122 0006</x:v>
      </x:c>
      <x:c r="G144" s="476" t="str">
        <x:v>71220006-2020</x:v>
      </x:c>
      <x:c r="H144" s="476" t="str">
        <x:v>Informado/corrigido a partir do mapa</x:v>
      </x:c>
      <x:c r="I144" s="499" t="n">
        <x:v>174741</x:v>
      </x:c>
      <x:c r="J144" s="499" t="n">
        <x:v>174741</x:v>
      </x:c>
      <x:c r="K144" s="476" t="str">
        <x:v>Emenda de Bancada</x:v>
      </x:c>
      <x:c r="L144" s="476" t="str">
        <x:v>Recurso pago</x:v>
      </x:c>
      <x:c r="M144" s="499" t="n">
        <x:v>0</x:v>
      </x:c>
      <x:c r="N144" s="499" t="n">
        <x:v>0</x:v>
      </x:c>
      <x:c r="O144" s="499" t="n">
        <x:v>0</x:v>
      </x:c>
      <x:c r="P144" s="499" t="n">
        <x:v>0</x:v>
      </x:c>
      <x:c r="Q144" s="499" t="n">
        <x:v>0</x:v>
      </x:c>
      <x:c r="R144" s="476" t="str"/>
      <x:c r="S144" s="476" t="str"/>
      <x:c r="T144" s="476" t="str">
        <x:v>Nº NÃO LOCALIZADO</x:v>
      </x:c>
      <x:c r="U144" s="476" t="str">
        <x:v>Média</x:v>
      </x:c>
      <x:c r="V144" s="476" t="str"/>
      <x:c r="W144" s="476" t="str"/>
      <x:c r="X144" s="476" t="str"/>
    </x:row>
    <x:row r="145">
      <x:c r="A145" t="n">
        <x:v>232</x:v>
      </x:c>
      <x:c r="B145" t="n">
        <x:v>2021</x:v>
      </x:c>
      <x:c r="C145" s="476" t="str">
        <x:v>Pelotas</x:v>
      </x:c>
      <x:c r="D145" s="476" t="str">
        <x:v>Secretaria de Administração Penitenciária </x:v>
      </x:c>
      <x:c r="E145" s="476" t="str">
        <x:v>5ª Delegacia Penitenciária Regional - Pelotas</x:v>
      </x:c>
      <x:c r="F145" s="476" t="str">
        <x:v>41160005</x:v>
      </x:c>
      <x:c r="G145" s="476" t="str">
        <x:v>41160005-2021</x:v>
      </x:c>
      <x:c r="H145" s="476" t="str">
        <x:v>Informado/corrigido a partir do mapa</x:v>
      </x:c>
      <x:c r="I145" s="499" t="n">
        <x:v>180837.86</x:v>
      </x:c>
      <x:c r="J145" s="499" t="n">
        <x:v>180837.86</x:v>
      </x:c>
      <x:c r="K145" s="476" t="str">
        <x:v>Emenda individual</x:v>
      </x:c>
      <x:c r="L145" s="476" t="str">
        <x:v>Recurso pago</x:v>
      </x:c>
      <x:c r="M145" s="499" t="n">
        <x:v>0</x:v>
      </x:c>
      <x:c r="N145" s="499" t="n">
        <x:v>0</x:v>
      </x:c>
      <x:c r="O145" s="499" t="n">
        <x:v>0</x:v>
      </x:c>
      <x:c r="P145" s="499" t="n">
        <x:v>0</x:v>
      </x:c>
      <x:c r="Q145" s="499" t="n">
        <x:v>0</x:v>
      </x:c>
      <x:c r="R145" s="476" t="str"/>
      <x:c r="S145" s="476" t="str"/>
      <x:c r="T145" s="476" t="str">
        <x:v>EMENDA CONFIRMADA; DESTINO NÃO CONFIRMADO</x:v>
      </x:c>
      <x:c r="U145" s="476" t="str">
        <x:v>Média</x:v>
      </x:c>
      <x:c r="V145" s="476" t="str"/>
      <x:c r="W145" s="476" t="str">
        <x:v>Nº existe no SIGA; destinatário específico não foi confirmado nas bases anexas</x:v>
      </x:c>
      <x:c r="X145" s="476" t="str"/>
    </x:row>
    <x:row r="146">
      <x:c r="A146" t="n">
        <x:v>233</x:v>
      </x:c>
      <x:c r="B146" t="n">
        <x:v>2021</x:v>
      </x:c>
      <x:c r="C146" s="476" t="str">
        <x:v>Santa Cruz do Sul</x:v>
      </x:c>
      <x:c r="D146" s="476" t="str">
        <x:v>Secretaria de Administração Penitenciária </x:v>
      </x:c>
      <x:c r="E146" s="476" t="str">
        <x:v>8ª Delegacia Penitenciária Regional - Santa Cruz do Sul</x:v>
      </x:c>
      <x:c r="F146" s="476" t="str">
        <x:v>41160005</x:v>
      </x:c>
      <x:c r="G146" s="476" t="str">
        <x:v>41160005-2021</x:v>
      </x:c>
      <x:c r="H146" s="476" t="str">
        <x:v>Informado/corrigido a partir do mapa</x:v>
      </x:c>
      <x:c r="I146" s="499" t="n">
        <x:v>180837.86</x:v>
      </x:c>
      <x:c r="J146" s="499" t="n">
        <x:v>180837.86</x:v>
      </x:c>
      <x:c r="K146" s="476" t="str">
        <x:v>Emenda individual</x:v>
      </x:c>
      <x:c r="L146" s="476" t="str">
        <x:v>Recurso pago</x:v>
      </x:c>
      <x:c r="M146" s="499" t="n">
        <x:v>0</x:v>
      </x:c>
      <x:c r="N146" s="499" t="n">
        <x:v>0</x:v>
      </x:c>
      <x:c r="O146" s="499" t="n">
        <x:v>0</x:v>
      </x:c>
      <x:c r="P146" s="499" t="n">
        <x:v>0</x:v>
      </x:c>
      <x:c r="Q146" s="499" t="n">
        <x:v>0</x:v>
      </x:c>
      <x:c r="R146" s="476" t="str"/>
      <x:c r="S146" s="476" t="str"/>
      <x:c r="T146" s="476" t="str">
        <x:v>EMENDA CONFIRMADA; DESTINO NÃO CONFIRMADO</x:v>
      </x:c>
      <x:c r="U146" s="476" t="str">
        <x:v>Média</x:v>
      </x:c>
      <x:c r="V146" s="476" t="str"/>
      <x:c r="W146" s="476" t="str">
        <x:v>Nº existe no SIGA; destinatário específico não foi confirmado nas bases anexas</x:v>
      </x:c>
      <x:c r="X146" s="476" t="str"/>
    </x:row>
    <x:row r="147">
      <x:c r="A147" t="n">
        <x:v>234</x:v>
      </x:c>
      <x:c r="B147" t="n">
        <x:v>2021</x:v>
      </x:c>
      <x:c r="C147" s="476" t="str">
        <x:v>Caxias do sul</x:v>
      </x:c>
      <x:c r="D147" s="476" t="str">
        <x:v> Polícia Civil </x:v>
      </x:c>
      <x:c r="E147" s="476" t="str">
        <x:v>8ª Delegacia de Polícia Regional - Caxias do Sul</x:v>
      </x:c>
      <x:c r="F147" s="476" t="str">
        <x:v>41160001</x:v>
      </x:c>
      <x:c r="G147" s="476" t="str">
        <x:v>41160001-2021</x:v>
      </x:c>
      <x:c r="H147" s="476" t="str">
        <x:v>Informado/corrigido a partir do mapa</x:v>
      </x:c>
      <x:c r="I147" s="499" t="n">
        <x:v>186808.33</x:v>
      </x:c>
      <x:c r="J147" s="499" t="n">
        <x:v>186808.33</x:v>
      </x:c>
      <x:c r="K147" s="476" t="str">
        <x:v>Emenda individual</x:v>
      </x:c>
      <x:c r="L147" s="476" t="str">
        <x:v>Empenhado</x:v>
      </x:c>
      <x:c r="M147" s="499" t="n">
        <x:v>0</x:v>
      </x:c>
      <x:c r="N147" s="499" t="n">
        <x:v>0</x:v>
      </x:c>
      <x:c r="O147" s="499" t="n">
        <x:v>0</x:v>
      </x:c>
      <x:c r="P147" s="499" t="n">
        <x:v>0</x:v>
      </x:c>
      <x:c r="Q147" s="499" t="n">
        <x:v>0</x:v>
      </x:c>
      <x:c r="R147" s="476" t="str"/>
      <x:c r="S147" s="476" t="str"/>
      <x:c r="T147" s="476" t="str">
        <x:v>EMENDA CONFIRMADA; DESTINO NÃO CONFIRMADO</x:v>
      </x:c>
      <x:c r="U147" s="476" t="str">
        <x:v>Média</x:v>
      </x:c>
      <x:c r="V147" s="476" t="str"/>
      <x:c r="W147" s="476" t="str">
        <x:v>Nº existe no SIGA; destinatário específico não foi confirmado nas bases anexas</x:v>
      </x:c>
      <x:c r="X147" s="476" t="str"/>
    </x:row>
    <x:row r="148">
      <x:c r="A148" t="n">
        <x:v>235</x:v>
      </x:c>
      <x:c r="B148" t="n">
        <x:v>2021</x:v>
      </x:c>
      <x:c r="C148" s="476" t="str">
        <x:v>Porto Alegre</x:v>
      </x:c>
      <x:c r="D148" s="476" t="str">
        <x:v> Polícia Civil </x:v>
      </x:c>
      <x:c r="E148" s="476" t="str">
        <x:v>Departamento Estadual de Investigações do Narcotráfico (DENARC)</x:v>
      </x:c>
      <x:c r="F148" s="476" t="str">
        <x:v>41160001</x:v>
      </x:c>
      <x:c r="G148" s="476" t="str">
        <x:v>41160001-2021</x:v>
      </x:c>
      <x:c r="H148" s="476" t="str">
        <x:v>Informado/corrigido a partir do mapa</x:v>
      </x:c>
      <x:c r="I148" s="499" t="n">
        <x:v>186808.33</x:v>
      </x:c>
      <x:c r="J148" s="499" t="n">
        <x:v>586808.33</x:v>
      </x:c>
      <x:c r="K148" s="476" t="str">
        <x:v>Emenda individual</x:v>
      </x:c>
      <x:c r="L148" s="476" t="str">
        <x:v>Empenhado</x:v>
      </x:c>
      <x:c r="M148" s="499" t="n">
        <x:v>2687975.82</x:v>
      </x:c>
      <x:c r="N148" s="499" t="n">
        <x:v>3655159.25</x:v>
      </x:c>
      <x:c r="O148" s="499" t="n">
        <x:v>7175228.54</x:v>
      </x:c>
      <x:c r="P148" s="499" t="n">
        <x:v>0</x:v>
      </x:c>
      <x:c r="Q148" s="499" t="n">
        <x:v>0</x:v>
      </x:c>
      <x:c r="R148" s="476" t="str"/>
      <x:c r="S148" s="476" t="str">
        <x:v>87958583000146</x:v>
      </x:c>
      <x:c r="T148" s="476" t="str">
        <x:v>VALOR DIVERGENTE / COBERTURA DIFERENTE</x:v>
      </x:c>
      <x:c r="U148" s="476" t="str">
        <x:v>Alta</x:v>
      </x:c>
      <x:c r="V148" s="476" t="str">
        <x:v>Situação possivelmente desatualizada: SIGA/execução regionalizada mostra pagamento; CNPJ candidato na fonte SIGA: 87958583000146</x:v>
      </x:c>
      <x:c r="W148" s="476" t="str">
        <x:v>Município/localidade encontrado em fonte comparável, mas valor não fecha exatamente</x:v>
      </x:c>
      <x:c r="X148" s="476" t="str">
        <x:v>https://discricionarias.transferegov.sistema.gov.br/voluntarias/ConsultarProposta/ResultadoDaConsultaDeConvenioSelecionarConvenio.do?sequencialConvenio=916864&amp;Usr=guest&amp;Pwd=guest | https://discricionarias.transferegov.sistema.gov.br/voluntarias/ConsultarProposta/ResultadoDaConsultaDeConvenioSelecionarConvenio.do?sequencialConvenio=920455&amp;Usr=guest&amp;Pwd=guest</x:v>
      </x:c>
    </x:row>
    <x:row r="149">
      <x:c r="A149" t="n">
        <x:v>236</x:v>
      </x:c>
      <x:c r="B149" t="n">
        <x:v>2022</x:v>
      </x:c>
      <x:c r="C149" s="476" t="str">
        <x:v>Pejuçara</x:v>
      </x:c>
      <x:c r="D149" s="476" t="str">
        <x:v>Hospital</x:v>
      </x:c>
      <x:c r="E149" s="476" t="str">
        <x:v>Associação Hospitalar Rio Branco De Pejuçara</x:v>
      </x:c>
      <x:c r="F149" s="476" t="str">
        <x:v>41160003</x:v>
      </x:c>
      <x:c r="G149" s="476" t="str">
        <x:v>41160003-2022</x:v>
      </x:c>
      <x:c r="H149" s="476" t="str">
        <x:v>Informado/corrigido a partir do mapa</x:v>
      </x:c>
      <x:c r="I149" s="499" t="n">
        <x:v>187000</x:v>
      </x:c>
      <x:c r="J149" s="499" t="n">
        <x:v>187000</x:v>
      </x:c>
      <x:c r="K149" s="476" t="str">
        <x:v>Emenda Individual </x:v>
      </x:c>
      <x:c r="L149" s="476" t="str">
        <x:v>Recurso pago</x:v>
      </x:c>
      <x:c r="M149" s="499" t="n">
        <x:v>0</x:v>
      </x:c>
      <x:c r="N149" s="499" t="n">
        <x:v>0</x:v>
      </x:c>
      <x:c r="O149" s="499" t="n">
        <x:v>0</x:v>
      </x:c>
      <x:c r="P149" s="499" t="n">
        <x:v>0</x:v>
      </x:c>
      <x:c r="Q149" s="499" t="n">
        <x:v>0</x:v>
      </x:c>
      <x:c r="R149" s="476" t="str"/>
      <x:c r="S149" s="476" t="str"/>
      <x:c r="T149" s="476" t="str">
        <x:v>EMENDA CONFIRMADA; DESTINO NÃO CONFIRMADO</x:v>
      </x:c>
      <x:c r="U149" s="476" t="str">
        <x:v>Média</x:v>
      </x:c>
      <x:c r="V149" s="476" t="str"/>
      <x:c r="W149" s="476" t="str">
        <x:v>Nº existe no SIGA; destinatário específico não foi confirmado nas bases anexas</x:v>
      </x:c>
      <x:c r="X149" s="476" t="str"/>
    </x:row>
    <x:row r="150">
      <x:c r="A150" t="n">
        <x:v>237</x:v>
      </x:c>
      <x:c r="B150" t="n">
        <x:v>2023</x:v>
      </x:c>
      <x:c r="C150" s="476" t="str">
        <x:v>Novo Hamburgo</x:v>
      </x:c>
      <x:c r="D150" s="476" t="str">
        <x:v>APAE</x:v>
      </x:c>
      <x:c r="E150" s="476" t="str">
        <x:v>APAE de Novo Hamburgo</x:v>
      </x:c>
      <x:c r="F150" s="476" t="str"/>
      <x:c r="G150" s="476" t="str"/>
      <x:c r="H150" s="476" t="str">
        <x:v>Sem nº conciliado</x:v>
      </x:c>
      <x:c r="I150" s="499" t="n">
        <x:v>187480</x:v>
      </x:c>
      <x:c r="J150" s="499" t="n">
        <x:v>438282.2</x:v>
      </x:c>
      <x:c r="K150" s="476" t="str">
        <x:v>Emenda de Bancada</x:v>
      </x:c>
      <x:c r="L150" s="476" t="str">
        <x:v>Recurso pago</x:v>
      </x:c>
      <x:c r="M150" s="499" t="n">
        <x:v>0</x:v>
      </x:c>
      <x:c r="N150" s="499" t="n">
        <x:v>0</x:v>
      </x:c>
      <x:c r="O150" s="499" t="n">
        <x:v>0</x:v>
      </x:c>
      <x:c r="P150" s="499" t="n">
        <x:v>0</x:v>
      </x:c>
      <x:c r="Q150" s="499" t="n">
        <x:v>0</x:v>
      </x:c>
      <x:c r="R150" s="476" t="str"/>
      <x:c r="S150" s="476" t="str"/>
      <x:c r="T150" s="476" t="str">
        <x:v>SEM Nº / NÃO CONCILIADO</x:v>
      </x:c>
      <x:c r="U150" s="476" t="str">
        <x:v>Média</x:v>
      </x:c>
      <x:c r="V150" s="476" t="str"/>
      <x:c r="W150" s="476" t="str"/>
      <x:c r="X150" s="476" t="str"/>
    </x:row>
    <x:row r="151">
      <x:c r="A151" t="n">
        <x:v>238</x:v>
      </x:c>
      <x:c r="B151" t="n">
        <x:v>2023</x:v>
      </x:c>
      <x:c r="C151" s="476" t="str">
        <x:v>Encantado</x:v>
      </x:c>
      <x:c r="D151" s="476" t="str">
        <x:v>Prefeitura</x:v>
      </x:c>
      <x:c r="E151" s="476" t="str">
        <x:v>Prefeitura de Encantado</x:v>
      </x:c>
      <x:c r="F151" s="476" t="str"/>
      <x:c r="G151" s="476" t="str"/>
      <x:c r="H151" s="476" t="str">
        <x:v>Sem nº conciliado</x:v>
      </x:c>
      <x:c r="I151" s="499" t="n">
        <x:v>192000</x:v>
      </x:c>
      <x:c r="J151" s="499" t="n">
        <x:v>1192000</x:v>
      </x:c>
      <x:c r="K151" s="476" t="str">
        <x:v>Emenda Individual</x:v>
      </x:c>
      <x:c r="L151" s="476" t="str">
        <x:v>Empenhado</x:v>
      </x:c>
      <x:c r="M151" s="499" t="n">
        <x:v>0</x:v>
      </x:c>
      <x:c r="N151" s="499" t="n">
        <x:v>0</x:v>
      </x:c>
      <x:c r="O151" s="499" t="n">
        <x:v>0</x:v>
      </x:c>
      <x:c r="P151" s="499" t="n">
        <x:v>0</x:v>
      </x:c>
      <x:c r="Q151" s="499" t="n">
        <x:v>0</x:v>
      </x:c>
      <x:c r="R151" s="476" t="str"/>
      <x:c r="S151" s="476" t="str"/>
      <x:c r="T151" s="476" t="str">
        <x:v>SEM Nº / NÃO CONCILIADO</x:v>
      </x:c>
      <x:c r="U151" s="476" t="str">
        <x:v>Média</x:v>
      </x:c>
      <x:c r="V151" s="476" t="str"/>
      <x:c r="W151" s="476" t="str"/>
      <x:c r="X151" s="476" t="str"/>
    </x:row>
    <x:row r="152">
      <x:c r="A152" t="n">
        <x:v>253</x:v>
      </x:c>
      <x:c r="B152" t="n">
        <x:v>2020</x:v>
      </x:c>
      <x:c r="C152" s="476" t="str">
        <x:v>Júlio de Castilhos</x:v>
      </x:c>
      <x:c r="D152" s="476" t="str">
        <x:v>Hospital</x:v>
      </x:c>
      <x:c r="E152" s="476" t="str">
        <x:v>Hospital Bernardina Salles de Barros</x:v>
      </x:c>
      <x:c r="F152" s="476" t="str">
        <x:v>41160005</x:v>
      </x:c>
      <x:c r="G152" s="476" t="str">
        <x:v>41160005-2020</x:v>
      </x:c>
      <x:c r="H152" s="476" t="str">
        <x:v>Informado/corrigido a partir do mapa</x:v>
      </x:c>
      <x:c r="I152" s="499" t="n">
        <x:v>200000</x:v>
      </x:c>
      <x:c r="J152" s="499" t="n">
        <x:v>200000</x:v>
      </x:c>
      <x:c r="K152" s="476" t="str">
        <x:v>Emenda Individual (processo seletivo)</x:v>
      </x:c>
      <x:c r="L152" s="476" t="str">
        <x:v>Recurso pago</x:v>
      </x:c>
      <x:c r="M152" s="499" t="n">
        <x:v>0</x:v>
      </x:c>
      <x:c r="N152" s="499" t="n">
        <x:v>0</x:v>
      </x:c>
      <x:c r="O152" s="499" t="n">
        <x:v>0</x:v>
      </x:c>
      <x:c r="P152" s="499" t="n">
        <x:v>0</x:v>
      </x:c>
      <x:c r="Q152" s="499" t="n">
        <x:v>0</x:v>
      </x:c>
      <x:c r="R152" s="476" t="str"/>
      <x:c r="S152" s="476" t="str"/>
      <x:c r="T152" s="476" t="str">
        <x:v>EMENDA CONFIRMADA; DESTINO NÃO CONFIRMADO</x:v>
      </x:c>
      <x:c r="U152" s="476" t="str">
        <x:v>Média</x:v>
      </x:c>
      <x:c r="V152" s="476" t="str"/>
      <x:c r="W152" s="476" t="str">
        <x:v>Nº existe no SIGA; destinatário específico não foi confirmado nas bases anexas</x:v>
      </x:c>
      <x:c r="X152" s="476" t="str"/>
    </x:row>
    <x:row r="153">
      <x:c r="A153" t="n">
        <x:v>256</x:v>
      </x:c>
      <x:c r="B153" t="n">
        <x:v>2020</x:v>
      </x:c>
      <x:c r="C153" s="476" t="str">
        <x:v>Santa Bárbara do Sul</x:v>
      </x:c>
      <x:c r="D153" s="476" t="str">
        <x:v>Hospital</x:v>
      </x:c>
      <x:c r="E153" s="476" t="str">
        <x:v>Hospital Santa Bárbara Beneficente</x:v>
      </x:c>
      <x:c r="F153" s="476" t="str">
        <x:v>41160005</x:v>
      </x:c>
      <x:c r="G153" s="476" t="str">
        <x:v>41160005-2020</x:v>
      </x:c>
      <x:c r="H153" s="476" t="str">
        <x:v>Informado/corrigido a partir do mapa</x:v>
      </x:c>
      <x:c r="I153" s="499" t="n">
        <x:v>200000</x:v>
      </x:c>
      <x:c r="J153" s="499" t="n">
        <x:v>200000</x:v>
      </x:c>
      <x:c r="K153" s="476" t="str">
        <x:v>Emenda Individual</x:v>
      </x:c>
      <x:c r="L153" s="476" t="str">
        <x:v>Recurso pago</x:v>
      </x:c>
      <x:c r="M153" s="499" t="n">
        <x:v>0</x:v>
      </x:c>
      <x:c r="N153" s="499" t="n">
        <x:v>0</x:v>
      </x:c>
      <x:c r="O153" s="499" t="n">
        <x:v>0</x:v>
      </x:c>
      <x:c r="P153" s="499" t="n">
        <x:v>0</x:v>
      </x:c>
      <x:c r="Q153" s="499" t="n">
        <x:v>0</x:v>
      </x:c>
      <x:c r="R153" s="476" t="str"/>
      <x:c r="S153" s="476" t="str"/>
      <x:c r="T153" s="476" t="str">
        <x:v>EMENDA CONFIRMADA; DESTINO NÃO CONFIRMADO</x:v>
      </x:c>
      <x:c r="U153" s="476" t="str">
        <x:v>Média</x:v>
      </x:c>
      <x:c r="V153" s="476" t="str"/>
      <x:c r="W153" s="476" t="str">
        <x:v>Nº existe no SIGA; destinatário específico não foi confirmado nas bases anexas</x:v>
      </x:c>
      <x:c r="X153" s="476" t="str"/>
    </x:row>
    <x:row r="154">
      <x:c r="A154" t="n">
        <x:v>259</x:v>
      </x:c>
      <x:c r="B154" t="n">
        <x:v>2021</x:v>
      </x:c>
      <x:c r="C154" s="476" t="str">
        <x:v>Passo Fundo</x:v>
      </x:c>
      <x:c r="D154" s="476" t="str">
        <x:v>Hospital</x:v>
      </x:c>
      <x:c r="E154" s="476" t="str">
        <x:v>
Hospital Beneficente Dr. Cesar Santos</x:v>
      </x:c>
      <x:c r="F154" s="476" t="str">
        <x:v>41160002</x:v>
      </x:c>
      <x:c r="G154" s="476" t="str">
        <x:v>41160002-2021</x:v>
      </x:c>
      <x:c r="H154" s="476" t="str">
        <x:v>Informado/corrigido a partir do mapa</x:v>
      </x:c>
      <x:c r="I154" s="499" t="n">
        <x:v>200000</x:v>
      </x:c>
      <x:c r="J154" s="499" t="n">
        <x:v>200000</x:v>
      </x:c>
      <x:c r="K154" s="476" t="str">
        <x:v>Emenda individual</x:v>
      </x:c>
      <x:c r="L154" s="476" t="str">
        <x:v>Recurso pago</x:v>
      </x:c>
      <x:c r="M154" s="499" t="n">
        <x:v>98169</x:v>
      </x:c>
      <x:c r="N154" s="499" t="n">
        <x:v>0</x:v>
      </x:c>
      <x:c r="O154" s="499" t="n">
        <x:v>307389</x:v>
      </x:c>
      <x:c r="P154" s="499" t="n">
        <x:v>0</x:v>
      </x:c>
      <x:c r="Q154" s="499" t="n">
        <x:v>0</x:v>
      </x:c>
      <x:c r="R154" s="476" t="str"/>
      <x:c r="S154" s="476" t="str">
        <x:v>92032226000192</x:v>
      </x:c>
      <x:c r="T154" s="476" t="str">
        <x:v>VALOR DIVERGENTE / COBERTURA DIFERENTE</x:v>
      </x:c>
      <x:c r="U154" s="476" t="str">
        <x:v>Alta</x:v>
      </x:c>
      <x:c r="V154" s="476" t="str">
        <x:v>CNPJ candidato na fonte SIGA: 92032226000192</x:v>
      </x:c>
      <x:c r="W154" s="476" t="str">
        <x:v>Município/localidade encontrado em fonte comparável, mas valor não fecha exatamente</x:v>
      </x:c>
      <x:c r="X154" s="476" t="str">
        <x:v>https://discricionarias.transferegov.sistema.gov.br/voluntarias/ConsultarProposta/ResultadoDaConsultaDeConvenioSelecionarConvenio.do?sequencialConvenio=922005&amp;Usr=guest&amp;Pwd=guest | https://discricionarias.transferegov.sistema.gov.br/voluntarias/ConsultarProposta/ResultadoDaConsultaDeConvenioSelecionarConvenio.do?sequencialConvenio=925467&amp;Usr=guest&amp;Pwd=guest</x:v>
      </x:c>
    </x:row>
    <x:row r="155">
      <x:c r="A155" t="n">
        <x:v>260</x:v>
      </x:c>
      <x:c r="B155" t="n">
        <x:v>2021</x:v>
      </x:c>
      <x:c r="C155" s="476" t="str">
        <x:v>Porto Lucena</x:v>
      </x:c>
      <x:c r="D155" s="476"/>
      <x:c r="E155" s="476"/>
      <x:c r="F155" s="476" t="str"/>
      <x:c r="G155" s="476" t="str"/>
      <x:c r="H155" s="476" t="str">
        <x:v>Sem nº conciliado</x:v>
      </x:c>
      <x:c r="I155" s="499" t="n">
        <x:v>200000</x:v>
      </x:c>
      <x:c r="J155" s="499" t="n">
        <x:v>200000</x:v>
      </x:c>
      <x:c r="K155" s="476" t="str">
        <x:v>Emenda individual (processo seletivo)</x:v>
      </x:c>
      <x:c r="L155" s="476" t="str">
        <x:v>Indicado</x:v>
      </x:c>
      <x:c r="M155" s="499" t="n">
        <x:v>0</x:v>
      </x:c>
      <x:c r="N155" s="499" t="n">
        <x:v>0</x:v>
      </x:c>
      <x:c r="O155" s="499" t="n">
        <x:v>0</x:v>
      </x:c>
      <x:c r="P155" s="499" t="n">
        <x:v>0</x:v>
      </x:c>
      <x:c r="Q155" s="499" t="n">
        <x:v>0</x:v>
      </x:c>
      <x:c r="R155" s="476" t="str"/>
      <x:c r="S155" s="476" t="str"/>
      <x:c r="T155" s="476" t="str">
        <x:v>SEM Nº / NÃO CONCILIADO</x:v>
      </x:c>
      <x:c r="U155" s="476" t="str">
        <x:v>Média</x:v>
      </x:c>
      <x:c r="V155" s="476" t="str"/>
      <x:c r="W155" s="476" t="str"/>
      <x:c r="X155" s="476" t="str"/>
    </x:row>
    <x:row r="156">
      <x:c r="A156" t="n">
        <x:v>261</x:v>
      </x:c>
      <x:c r="B156" t="n">
        <x:v>2021</x:v>
      </x:c>
      <x:c r="C156" s="476" t="str">
        <x:v>São Borja</x:v>
      </x:c>
      <x:c r="D156" s="476" t="str">
        <x:v>Prefeitura</x:v>
      </x:c>
      <x:c r="E156" s="476" t="str">
        <x:v>Prefeitura Municipal</x:v>
      </x:c>
      <x:c r="F156" s="476" t="str">
        <x:v>41160002</x:v>
      </x:c>
      <x:c r="G156" s="476" t="str">
        <x:v>41160002-2021</x:v>
      </x:c>
      <x:c r="H156" s="476" t="str">
        <x:v>Informado/corrigido a partir do mapa</x:v>
      </x:c>
      <x:c r="I156" s="499" t="n">
        <x:v>200000</x:v>
      </x:c>
      <x:c r="J156" s="499" t="n">
        <x:v>200000</x:v>
      </x:c>
      <x:c r="K156" s="476" t="str">
        <x:v>Emenda individual (processo seletivo)</x:v>
      </x:c>
      <x:c r="L156" s="476" t="str">
        <x:v>Recurso pago</x:v>
      </x:c>
      <x:c r="M156" s="499" t="n">
        <x:v>198224</x:v>
      </x:c>
      <x:c r="N156" s="499" t="n">
        <x:v>0</x:v>
      </x:c>
      <x:c r="O156" s="499" t="n">
        <x:v>0</x:v>
      </x:c>
      <x:c r="P156" s="499" t="n">
        <x:v>0</x:v>
      </x:c>
      <x:c r="Q156" s="499" t="n">
        <x:v>0</x:v>
      </x:c>
      <x:c r="R156" s="476" t="str"/>
      <x:c r="S156" s="476" t="str">
        <x:v>10610784000123</x:v>
      </x:c>
      <x:c r="T156" s="476" t="str">
        <x:v>VALOR DIVERGENTE / COBERTURA DIFERENTE</x:v>
      </x:c>
      <x:c r="U156" s="476" t="str">
        <x:v>Média</x:v>
      </x:c>
      <x:c r="V156" s="476" t="str">
        <x:v>CNPJ candidato na fonte SIGA: 10610784000123</x:v>
      </x:c>
      <x:c r="W156" s="476" t="str">
        <x:v>Município/localidade encontrado em fonte comparável, mas valor não fecha exatamente</x:v>
      </x:c>
      <x:c r="X156" s="476" t="str"/>
    </x:row>
    <x:row r="157">
      <x:c r="A157" t="n">
        <x:v>262</x:v>
      </x:c>
      <x:c r="B157" t="n">
        <x:v>2022</x:v>
      </x:c>
      <x:c r="C157" s="476" t="str">
        <x:v>Cachoeira do Sul</x:v>
      </x:c>
      <x:c r="D157" s="476" t="str">
        <x:v>Hospital</x:v>
      </x:c>
      <x:c r="E157" s="476" t="str">
        <x:v>Hospital de Caridade e Beneficência de Cachoeira do Sul</x:v>
      </x:c>
      <x:c r="F157" s="476" t="str">
        <x:v>7120004</x:v>
      </x:c>
      <x:c r="G157" s="476" t="str">
        <x:v>7120004-2022</x:v>
      </x:c>
      <x:c r="H157" s="476" t="str">
        <x:v>Informado/corrigido a partir do mapa</x:v>
      </x:c>
      <x:c r="I157" s="499" t="n">
        <x:v>200000</x:v>
      </x:c>
      <x:c r="J157" s="499" t="n">
        <x:v>200000</x:v>
      </x:c>
      <x:c r="K157" s="476" t="str">
        <x:v>Emenda de bancada (processo seletivo)</x:v>
      </x:c>
      <x:c r="L157" s="476" t="str">
        <x:v>Recurso pago</x:v>
      </x:c>
      <x:c r="M157" s="499" t="n">
        <x:v>0</x:v>
      </x:c>
      <x:c r="N157" s="499" t="n">
        <x:v>0</x:v>
      </x:c>
      <x:c r="O157" s="499" t="n">
        <x:v>0</x:v>
      </x:c>
      <x:c r="P157" s="499" t="n">
        <x:v>0</x:v>
      </x:c>
      <x:c r="Q157" s="499" t="n">
        <x:v>0</x:v>
      </x:c>
      <x:c r="R157" s="476" t="str"/>
      <x:c r="S157" s="476" t="str"/>
      <x:c r="T157" s="476" t="str">
        <x:v>Nº NÃO LOCALIZADO</x:v>
      </x:c>
      <x:c r="U157" s="476" t="str">
        <x:v>Média</x:v>
      </x:c>
      <x:c r="V157" s="476" t="str"/>
      <x:c r="W157" s="476" t="str"/>
      <x:c r="X157" s="476" t="str"/>
    </x:row>
    <x:row r="158">
      <x:c r="A158" t="n">
        <x:v>263</x:v>
      </x:c>
      <x:c r="B158" t="n">
        <x:v>2022</x:v>
      </x:c>
      <x:c r="C158" s="476" t="str">
        <x:v>Não-Me-Toque</x:v>
      </x:c>
      <x:c r="D158" s="476" t="str">
        <x:v>Hospital</x:v>
      </x:c>
      <x:c r="E158" s="476" t="str">
        <x:v>Hospital Beneficente Alto Jacuí</x:v>
      </x:c>
      <x:c r="F158" s="476" t="str">
        <x:v>7120004</x:v>
      </x:c>
      <x:c r="G158" s="476" t="str">
        <x:v>7120004-2022</x:v>
      </x:c>
      <x:c r="H158" s="476" t="str">
        <x:v>Informado/corrigido a partir do mapa</x:v>
      </x:c>
      <x:c r="I158" s="499" t="n">
        <x:v>200000</x:v>
      </x:c>
      <x:c r="J158" s="499" t="n">
        <x:v>200000</x:v>
      </x:c>
      <x:c r="K158" s="476" t="str">
        <x:v>Emenda de bancada (processo seletivo)</x:v>
      </x:c>
      <x:c r="L158" s="476" t="str">
        <x:v>Recurso pago</x:v>
      </x:c>
      <x:c r="M158" s="499" t="n">
        <x:v>0</x:v>
      </x:c>
      <x:c r="N158" s="499" t="n">
        <x:v>0</x:v>
      </x:c>
      <x:c r="O158" s="499" t="n">
        <x:v>0</x:v>
      </x:c>
      <x:c r="P158" s="499" t="n">
        <x:v>0</x:v>
      </x:c>
      <x:c r="Q158" s="499" t="n">
        <x:v>0</x:v>
      </x:c>
      <x:c r="R158" s="476" t="str"/>
      <x:c r="S158" s="476" t="str"/>
      <x:c r="T158" s="476" t="str">
        <x:v>Nº NÃO LOCALIZADO</x:v>
      </x:c>
      <x:c r="U158" s="476" t="str">
        <x:v>Média</x:v>
      </x:c>
      <x:c r="V158" s="476" t="str"/>
      <x:c r="W158" s="476" t="str"/>
      <x:c r="X158" s="476" t="str"/>
    </x:row>
    <x:row r="159">
      <x:c r="A159" t="n">
        <x:v>264</x:v>
      </x:c>
      <x:c r="B159" t="n">
        <x:v>2022</x:v>
      </x:c>
      <x:c r="C159" s="476" t="str">
        <x:v>Santa Bárbara do Sul</x:v>
      </x:c>
      <x:c r="D159" s="476" t="str">
        <x:v>Hospital</x:v>
      </x:c>
      <x:c r="E159" s="476" t="str">
        <x:v>Hospital Santa Barbara Beneficente</x:v>
      </x:c>
      <x:c r="F159" s="476" t="str">
        <x:v>41160003</x:v>
      </x:c>
      <x:c r="G159" s="476" t="str">
        <x:v>41160003-2022</x:v>
      </x:c>
      <x:c r="H159" s="476" t="str">
        <x:v>Informado/corrigido a partir do mapa</x:v>
      </x:c>
      <x:c r="I159" s="499" t="n">
        <x:v>200000</x:v>
      </x:c>
      <x:c r="J159" s="499" t="n">
        <x:v>200000</x:v>
      </x:c>
      <x:c r="K159" s="476" t="str">
        <x:v>Emenda Individual </x:v>
      </x:c>
      <x:c r="L159" s="476" t="str">
        <x:v>Recurso pago</x:v>
      </x:c>
      <x:c r="M159" s="499" t="n">
        <x:v>198000</x:v>
      </x:c>
      <x:c r="N159" s="499" t="n">
        <x:v>200000</x:v>
      </x:c>
      <x:c r="O159" s="499" t="n">
        <x:v>198000</x:v>
      </x:c>
      <x:c r="P159" s="499" t="n">
        <x:v>0</x:v>
      </x:c>
      <x:c r="Q159" s="499" t="n">
        <x:v>0</x:v>
      </x:c>
      <x:c r="R159" s="476" t="str"/>
      <x:c r="S159" s="476" t="str">
        <x:v>95356473000132</x:v>
      </x:c>
      <x:c r="T159" s="476" t="str">
        <x:v>VALOR DIVERGENTE / COBERTURA DIFERENTE</x:v>
      </x:c>
      <x:c r="U159" s="476" t="str">
        <x:v>Média</x:v>
      </x:c>
      <x:c r="V159" s="476" t="str">
        <x:v>CNPJ candidato na fonte SIGA: 95356473000132</x:v>
      </x:c>
      <x:c r="W159" s="476" t="str">
        <x:v>Município/localidade encontrado em fonte comparável, mas valor não fecha exatamente</x:v>
      </x:c>
      <x:c r="X159" s="476" t="str">
        <x:v>https://discricionarias.transferegov.sistema.gov.br/voluntarias/ConsultarProposta/ResultadoDaConsultaDeConvenioSelecionarConvenio.do?sequencialConvenio=935293&amp;Usr=guest&amp;Pwd=guest</x:v>
      </x:c>
    </x:row>
    <x:row r="160">
      <x:c r="A160" t="n">
        <x:v>265</x:v>
      </x:c>
      <x:c r="B160" t="n">
        <x:v>2022</x:v>
      </x:c>
      <x:c r="C160" s="476" t="str">
        <x:v>São Luiz Gonzaga</x:v>
      </x:c>
      <x:c r="D160" s="476" t="str">
        <x:v>Hospital</x:v>
      </x:c>
      <x:c r="E160" s="476" t="str">
        <x:v>Hospital São Luiz Gonzaga</x:v>
      </x:c>
      <x:c r="F160" s="476" t="str">
        <x:v>7120004</x:v>
      </x:c>
      <x:c r="G160" s="476" t="str">
        <x:v>7120004-2022</x:v>
      </x:c>
      <x:c r="H160" s="476" t="str">
        <x:v>Informado/corrigido a partir do mapa</x:v>
      </x:c>
      <x:c r="I160" s="499" t="n">
        <x:v>200000</x:v>
      </x:c>
      <x:c r="J160" s="499" t="n">
        <x:v>200000</x:v>
      </x:c>
      <x:c r="K160" s="476" t="str">
        <x:v>Emenda de bancada (processo seletivo)</x:v>
      </x:c>
      <x:c r="L160" s="476" t="str">
        <x:v>Recurso pago</x:v>
      </x:c>
      <x:c r="M160" s="499" t="n">
        <x:v>0</x:v>
      </x:c>
      <x:c r="N160" s="499" t="n">
        <x:v>0</x:v>
      </x:c>
      <x:c r="O160" s="499" t="n">
        <x:v>0</x:v>
      </x:c>
      <x:c r="P160" s="499" t="n">
        <x:v>0</x:v>
      </x:c>
      <x:c r="Q160" s="499" t="n">
        <x:v>0</x:v>
      </x:c>
      <x:c r="R160" s="476" t="str"/>
      <x:c r="S160" s="476" t="str"/>
      <x:c r="T160" s="476" t="str">
        <x:v>Nº NÃO LOCALIZADO</x:v>
      </x:c>
      <x:c r="U160" s="476" t="str">
        <x:v>Média</x:v>
      </x:c>
      <x:c r="V160" s="476" t="str"/>
      <x:c r="W160" s="476" t="str"/>
      <x:c r="X160" s="476" t="str"/>
    </x:row>
    <x:row r="161">
      <x:c r="A161" t="n">
        <x:v>266</x:v>
      </x:c>
      <x:c r="B161" t="n">
        <x:v>2023</x:v>
      </x:c>
      <x:c r="C161" s="476" t="str">
        <x:v>Ivoti</x:v>
      </x:c>
      <x:c r="D161" s="476" t="str">
        <x:v>Prefeitura</x:v>
      </x:c>
      <x:c r="E161" s="476" t="str">
        <x:v>Prefeitura de Ivoti</x:v>
      </x:c>
      <x:c r="F161" s="476" t="str"/>
      <x:c r="G161" s="476" t="str"/>
      <x:c r="H161" s="476" t="str">
        <x:v>Sem nº conciliado</x:v>
      </x:c>
      <x:c r="I161" s="499" t="n">
        <x:v>200000</x:v>
      </x:c>
      <x:c r="J161" s="499" t="n">
        <x:v>540000</x:v>
      </x:c>
      <x:c r="K161" s="476" t="str">
        <x:v>Emenda Individual</x:v>
      </x:c>
      <x:c r="L161" s="476" t="str">
        <x:v>Empenhado</x:v>
      </x:c>
      <x:c r="M161" s="499" t="n">
        <x:v>0</x:v>
      </x:c>
      <x:c r="N161" s="499" t="n">
        <x:v>0</x:v>
      </x:c>
      <x:c r="O161" s="499" t="n">
        <x:v>0</x:v>
      </x:c>
      <x:c r="P161" s="499" t="n">
        <x:v>0</x:v>
      </x:c>
      <x:c r="Q161" s="499" t="n">
        <x:v>0</x:v>
      </x:c>
      <x:c r="R161" s="476" t="str"/>
      <x:c r="S161" s="476" t="str"/>
      <x:c r="T161" s="476" t="str">
        <x:v>SEM Nº / NÃO CONCILIADO</x:v>
      </x:c>
      <x:c r="U161" s="476" t="str">
        <x:v>Média</x:v>
      </x:c>
      <x:c r="V161" s="476" t="str"/>
      <x:c r="W161" s="476" t="str"/>
      <x:c r="X161" s="476" t="str"/>
    </x:row>
    <x:row r="162">
      <x:c r="A162" t="n">
        <x:v>267</x:v>
      </x:c>
      <x:c r="B162" t="n">
        <x:v>2023</x:v>
      </x:c>
      <x:c r="C162" s="476" t="str">
        <x:v>Marau</x:v>
      </x:c>
      <x:c r="D162" s="476" t="str">
        <x:v>Hospital</x:v>
      </x:c>
      <x:c r="E162" s="476" t="str">
        <x:v>Associação Hospitalar Beneficente De Marau</x:v>
      </x:c>
      <x:c r="F162" s="476" t="str">
        <x:v>41160007</x:v>
      </x:c>
      <x:c r="G162" s="476" t="str">
        <x:v>41160007-2023</x:v>
      </x:c>
      <x:c r="H162" s="476" t="str">
        <x:v>Informado/corrigido a partir do mapa</x:v>
      </x:c>
      <x:c r="I162" s="499" t="n">
        <x:v>200000</x:v>
      </x:c>
      <x:c r="J162" s="499" t="n">
        <x:v>200000</x:v>
      </x:c>
      <x:c r="K162" s="476" t="str">
        <x:v>Emenda Individual</x:v>
      </x:c>
      <x:c r="L162" s="476" t="str">
        <x:v>Empenhado</x:v>
      </x:c>
      <x:c r="M162" s="499" t="n">
        <x:v>41512.04</x:v>
      </x:c>
      <x:c r="N162" s="499" t="n">
        <x:v>200000</x:v>
      </x:c>
      <x:c r="O162" s="499" t="n">
        <x:v>41512.04</x:v>
      </x:c>
      <x:c r="P162" s="499" t="n">
        <x:v>0</x:v>
      </x:c>
      <x:c r="Q162" s="499" t="n">
        <x:v>0</x:v>
      </x:c>
      <x:c r="R162" s="476" t="str"/>
      <x:c r="S162" s="476" t="str">
        <x:v>88417787000132</x:v>
      </x:c>
      <x:c r="T162" s="476" t="str">
        <x:v>VALOR DIVERGENTE / COBERTURA DIFERENTE</x:v>
      </x:c>
      <x:c r="U162" s="476" t="str">
        <x:v>Alta</x:v>
      </x:c>
      <x:c r="V162" s="476" t="str">
        <x:v>Situação possivelmente desatualizada: SIGA/execução regionalizada mostra pagamento; CNPJ candidato na fonte SIGA: 88417787000132</x:v>
      </x:c>
      <x:c r="W162" s="476" t="str">
        <x:v>Município/localidade encontrado em fonte comparável, mas valor não fecha exatamente</x:v>
      </x:c>
      <x:c r="X162" s="476" t="str">
        <x:v>https://discricionarias.transferegov.sistema.gov.br/voluntarias/ConsultarProposta/ResultadoDaConsultaDeConvenioSelecionarConvenio.do?sequencialConvenio=943945&amp;Usr=guest&amp;Pwd=guest</x:v>
      </x:c>
    </x:row>
    <x:row r="163">
      <x:c r="A163" t="n">
        <x:v>268</x:v>
      </x:c>
      <x:c r="B163" t="n">
        <x:v>2023</x:v>
      </x:c>
      <x:c r="C163" s="476" t="str">
        <x:v>Nova Petrópolis</x:v>
      </x:c>
      <x:c r="D163" s="476" t="str">
        <x:v>Hospital</x:v>
      </x:c>
      <x:c r="E163" s="476" t="str">
        <x:v>Hospital Nova Petrópolis</x:v>
      </x:c>
      <x:c r="F163" s="476" t="str"/>
      <x:c r="G163" s="476" t="str">
        <x:v>41160007-2023</x:v>
      </x:c>
      <x:c r="H163" s="476" t="str">
        <x:v>Candidato — revisar (Transferegov)</x:v>
      </x:c>
      <x:c r="I163" s="499" t="n">
        <x:v>200000</x:v>
      </x:c>
      <x:c r="J163" s="499" t="n">
        <x:v>200000</x:v>
      </x:c>
      <x:c r="K163" s="476" t="str">
        <x:v>Emenda Individual</x:v>
      </x:c>
      <x:c r="L163" s="476" t="str">
        <x:v>Empenhado</x:v>
      </x:c>
      <x:c r="M163" s="499" t="n">
        <x:v>181073.76</x:v>
      </x:c>
      <x:c r="N163" s="499" t="n">
        <x:v>200000</x:v>
      </x:c>
      <x:c r="O163" s="499" t="n">
        <x:v>181073.76</x:v>
      </x:c>
      <x:c r="P163" s="499" t="n">
        <x:v>0</x:v>
      </x:c>
      <x:c r="Q163" s="499" t="n">
        <x:v>0</x:v>
      </x:c>
      <x:c r="R163" s="476" t="str"/>
      <x:c r="S163" s="476" t="str">
        <x:v>91588731000155</x:v>
      </x:c>
      <x:c r="T163" s="476" t="str">
        <x:v>VALOR DIVERGENTE / COBERTURA DIFERENTE</x:v>
      </x:c>
      <x:c r="U163" s="476" t="str">
        <x:v>Média</x:v>
      </x:c>
      <x:c r="V163" s="476" t="str">
        <x:v>Candidato de nº: 41160007; validar antes de preencher (Transferegov pode trazer valor total do instrumento); Situação possivelmente desatualizada: SIGA/execução regionalizada mostra pagamento; CNPJ candidato na fonte SIGA: 91588731000155</x:v>
      </x:c>
      <x:c r="W163" s="476" t="str">
        <x:v>nº ausente; inferido por coincidência exata de cidade e valor em Transferegov; Município/localidade encontrado em fonte comparável, mas valor não fecha exatamente</x:v>
      </x:c>
      <x:c r="X163" s="476" t="str">
        <x:v>https://discricionarias.transferegov.sistema.gov.br/voluntarias/ConsultarProposta/ResultadoDaConsultaDeConvenioSelecionarConvenio.do?sequencialConvenio=944074&amp;Usr=guest&amp;Pwd=guest</x:v>
      </x:c>
    </x:row>
    <x:row r="164">
      <x:c r="A164" t="n">
        <x:v>269</x:v>
      </x:c>
      <x:c r="B164" t="n">
        <x:v>2023</x:v>
      </x:c>
      <x:c r="C164" s="476" t="str">
        <x:v>Portão</x:v>
      </x:c>
      <x:c r="D164" s="476" t="str">
        <x:v>Hospital</x:v>
      </x:c>
      <x:c r="E164" s="476" t="str">
        <x:v>Fundação Hospitalar Educacional E Social De Portão</x:v>
      </x:c>
      <x:c r="F164" s="476" t="str"/>
      <x:c r="G164" s="476" t="str"/>
      <x:c r="H164" s="476" t="str">
        <x:v>Sem nº conciliado</x:v>
      </x:c>
      <x:c r="I164" s="499" t="n">
        <x:v>200000</x:v>
      </x:c>
      <x:c r="J164" s="499" t="n">
        <x:v>200000</x:v>
      </x:c>
      <x:c r="K164" s="476" t="str">
        <x:v>Emenda Individual</x:v>
      </x:c>
      <x:c r="L164" s="476" t="str">
        <x:v>Recurso Pago</x:v>
      </x:c>
      <x:c r="M164" s="499" t="n">
        <x:v>0</x:v>
      </x:c>
      <x:c r="N164" s="499" t="n">
        <x:v>0</x:v>
      </x:c>
      <x:c r="O164" s="499" t="n">
        <x:v>0</x:v>
      </x:c>
      <x:c r="P164" s="499" t="n">
        <x:v>0</x:v>
      </x:c>
      <x:c r="Q164" s="499" t="n">
        <x:v>0</x:v>
      </x:c>
      <x:c r="R164" s="476" t="str"/>
      <x:c r="S164" s="476" t="str"/>
      <x:c r="T164" s="476" t="str">
        <x:v>SEM Nº / NÃO CONCILIADO</x:v>
      </x:c>
      <x:c r="U164" s="476" t="str">
        <x:v>Média</x:v>
      </x:c>
      <x:c r="V164" s="476" t="str"/>
      <x:c r="W164" s="476" t="str"/>
      <x:c r="X164" s="476" t="str"/>
    </x:row>
    <x:row r="165">
      <x:c r="A165" t="n">
        <x:v>270</x:v>
      </x:c>
      <x:c r="B165" t="n">
        <x:v>2023</x:v>
      </x:c>
      <x:c r="C165" s="476" t="str">
        <x:v>Porto Alegre</x:v>
      </x:c>
      <x:c r="D165" s="476" t="str">
        <x:v>Hospital</x:v>
      </x:c>
      <x:c r="E165" s="476" t="str">
        <x:v>Hospital Da Criança Santo Antonio- Complexo Hospitalar Santa Casa De Misericordia De Porto Alegre</x:v>
      </x:c>
      <x:c r="F165" s="476" t="str"/>
      <x:c r="G165" s="476" t="str">
        <x:v>41160007-2023</x:v>
      </x:c>
      <x:c r="H165" s="476" t="str">
        <x:v>Candidato — revisar (Transferegov)</x:v>
      </x:c>
      <x:c r="I165" s="499" t="n">
        <x:v>200000</x:v>
      </x:c>
      <x:c r="J165" s="499" t="n">
        <x:v>811805</x:v>
      </x:c>
      <x:c r="K165" s="476" t="str">
        <x:v>Emenda Individual</x:v>
      </x:c>
      <x:c r="L165" s="476" t="str">
        <x:v>Empenhado</x:v>
      </x:c>
      <x:c r="M165" s="499" t="n">
        <x:v>2195350.67</x:v>
      </x:c>
      <x:c r="N165" s="499" t="n">
        <x:v>1696205</x:v>
      </x:c>
      <x:c r="O165" s="499" t="n">
        <x:v>1462066.67</x:v>
      </x:c>
      <x:c r="P165" s="499" t="n">
        <x:v>0</x:v>
      </x:c>
      <x:c r="Q165" s="499" t="n">
        <x:v>0</x:v>
      </x:c>
      <x:c r="R165" s="476" t="str"/>
      <x:c r="S165" s="476" t="str">
        <x:v>4 CNPJs na fonte</x:v>
      </x:c>
      <x:c r="T165" s="476" t="str">
        <x:v>VALOR DIVERGENTE / COBERTURA DIFERENTE</x:v>
      </x:c>
      <x:c r="U165" s="476" t="str">
        <x:v>Média</x:v>
      </x:c>
      <x:c r="V165" s="476" t="str">
        <x:v>Candidato de nº: 41160007; validar antes de preencher (Transferegov pode trazer valor total do instrumento); Situação possivelmente desatualizada: SIGA/execução regionalizada mostra pagamento</x:v>
      </x:c>
      <x:c r="W165" s="476" t="str">
        <x:v>nº ausente; inferido por coincidência exata de cidade e valor em Transferegov; Município/localidade encontrado em fonte comparável, mas valor não fecha exatamente</x:v>
      </x:c>
      <x:c r="X165" s="476" t="str">
        <x:v>https://discricionarias.transferegov.sistema.gov.br/voluntarias/ConsultarProposta/ResultadoDaConsultaDeConvenioSelecionarConvenio.do?sequencialConvenio=943964&amp;Usr=guest&amp;Pwd=guest | https://discricionarias.transferegov.sistema.gov.br/voluntarias/ConsultarProposta/ResultadoDaConsultaDeConvenioSelecionarConvenio.do?sequencialConvenio=943965&amp;Usr=guest&amp;Pwd=guest</x:v>
      </x:c>
    </x:row>
    <x:row r="166">
      <x:c r="A166" t="n">
        <x:v>292</x:v>
      </x:c>
      <x:c r="B166" t="n">
        <x:v>2025</x:v>
      </x:c>
      <x:c r="C166" s="476" t="str">
        <x:v>Bozano</x:v>
      </x:c>
      <x:c r="D166" s="476" t="str">
        <x:v>Municipio De Bozano Bozano - Rs</x:v>
      </x:c>
      <x:c r="E166" s="476" t="str">
        <x:v>Prefeitura Municipal</x:v>
      </x:c>
      <x:c r="F166" s="476" t="str">
        <x:v>41160008</x:v>
      </x:c>
      <x:c r="G166" s="476" t="str">
        <x:v>41160008-2025</x:v>
      </x:c>
      <x:c r="H166" s="476" t="str">
        <x:v>Informado/corrigido a partir do mapa</x:v>
      </x:c>
      <x:c r="I166" s="499" t="n">
        <x:v>200000</x:v>
      </x:c>
      <x:c r="J166" s="499" t="n">
        <x:v>200000</x:v>
      </x:c>
      <x:c r="K166" s="476" t="str">
        <x:v>Emenda Individual</x:v>
      </x:c>
      <x:c r="L166" s="476"/>
      <x:c r="M166" s="499" t="n">
        <x:v>198000</x:v>
      </x:c>
      <x:c r="N166" s="499" t="n">
        <x:v>0</x:v>
      </x:c>
      <x:c r="O166" s="499" t="n">
        <x:v>0</x:v>
      </x:c>
      <x:c r="P166" s="499" t="n">
        <x:v>198000</x:v>
      </x:c>
      <x:c r="Q166" s="499" t="n">
        <x:v>0</x:v>
      </x:c>
      <x:c r="R166" s="476" t="str">
        <x:v>CIENTE</x:v>
      </x:c>
      <x:c r="S166" s="476" t="str">
        <x:v>04216419000136</x:v>
      </x:c>
      <x:c r="T166" s="476" t="str">
        <x:v>VALOR DIVERGENTE / COBERTURA DIFERENTE</x:v>
      </x:c>
      <x:c r="U166" s="476" t="str">
        <x:v>Média</x:v>
      </x:c>
      <x:c r="V166" s="476" t="str">
        <x:v>Revisar valor do grupo: PIX atual registra R$ 198,000.00; Atualizar situação com status do plano PIX: CIENTE (não equivale a pagamento)</x:v>
      </x:c>
      <x:c r="W166" s="476" t="str">
        <x:v>Município/localidade encontrado em fonte comparável, mas valor não fecha exatamente</x:v>
      </x:c>
      <x:c r="X166" s="476" t="str">
        <x:v>https://especiais.transferegov.sistema.gov.br/transferencia-especial/plano-acao/detalhe/83988/dados-basicos</x:v>
      </x:c>
    </x:row>
    <x:row r="167">
      <x:c r="A167" t="n">
        <x:v>294</x:v>
      </x:c>
      <x:c r="B167" t="n">
        <x:v>2025</x:v>
      </x:c>
      <x:c r="C167" s="476" t="str">
        <x:v>São Lourenço do Sul</x:v>
      </x:c>
      <x:c r="D167" s="476" t="str">
        <x:v>Fundo Municipal De Saude De Sao Lourenco Do Sul São Lourenço Do Sul - Rs</x:v>
      </x:c>
      <x:c r="E167" s="476" t="str">
        <x:v>Prefeitura Municipal</x:v>
      </x:c>
      <x:c r="F167" s="476" t="str">
        <x:v>41160004</x:v>
      </x:c>
      <x:c r="G167" s="476" t="str">
        <x:v>41160004-2025</x:v>
      </x:c>
      <x:c r="H167" s="476" t="str">
        <x:v>Informado/corrigido a partir do mapa</x:v>
      </x:c>
      <x:c r="I167" s="499" t="n">
        <x:v>200000</x:v>
      </x:c>
      <x:c r="J167" s="499" t="n">
        <x:v>200000</x:v>
      </x:c>
      <x:c r="K167" s="476" t="str">
        <x:v>Emenda Individual</x:v>
      </x:c>
      <x:c r="L167" s="476"/>
      <x:c r="M167" s="499" t="n">
        <x:v>197915</x:v>
      </x:c>
      <x:c r="N167" s="499" t="n">
        <x:v>0</x:v>
      </x:c>
      <x:c r="O167" s="499" t="n">
        <x:v>0</x:v>
      </x:c>
      <x:c r="P167" s="499" t="n">
        <x:v>0</x:v>
      </x:c>
      <x:c r="Q167" s="499" t="n">
        <x:v>0</x:v>
      </x:c>
      <x:c r="R167" s="476" t="str"/>
      <x:c r="S167" s="476" t="str">
        <x:v>13931745000116</x:v>
      </x:c>
      <x:c r="T167" s="476" t="str">
        <x:v>VALOR DIVERGENTE / COBERTURA DIFERENTE</x:v>
      </x:c>
      <x:c r="U167" s="476" t="str">
        <x:v>Média</x:v>
      </x:c>
      <x:c r="V167" s="476" t="str">
        <x:v>Preencher situação: há pagamento identificado na fonte pública</x:v>
      </x:c>
      <x:c r="W167" s="476" t="str">
        <x:v>Município/localidade encontrado em fonte comparável, mas valor não fecha exatamente</x:v>
      </x:c>
      <x:c r="X167" s="476" t="str"/>
    </x:row>
    <x:row r="168">
      <x:c r="A168" t="n">
        <x:v>295</x:v>
      </x:c>
      <x:c r="B168" t="n">
        <x:v>2025</x:v>
      </x:c>
      <x:c r="C168" s="476" t="str">
        <x:v>Taquari</x:v>
      </x:c>
      <x:c r="D168" s="476" t="str">
        <x:v>Fundo Municipal De Saude - Taquari Taquari - Rs</x:v>
      </x:c>
      <x:c r="E168" s="476" t="str">
        <x:v>Prefeitura Municipal</x:v>
      </x:c>
      <x:c r="F168" s="476" t="str">
        <x:v>41160004</x:v>
      </x:c>
      <x:c r="G168" s="476" t="str">
        <x:v>41160004-2025</x:v>
      </x:c>
      <x:c r="H168" s="476" t="str">
        <x:v>Informado/corrigido a partir do mapa</x:v>
      </x:c>
      <x:c r="I168" s="499" t="n">
        <x:v>200000</x:v>
      </x:c>
      <x:c r="J168" s="499" t="n">
        <x:v>200000</x:v>
      </x:c>
      <x:c r="K168" s="476" t="str">
        <x:v>Emenda Individual</x:v>
      </x:c>
      <x:c r="L168" s="476"/>
      <x:c r="M168" s="499" t="n">
        <x:v>0</x:v>
      </x:c>
      <x:c r="N168" s="499" t="n">
        <x:v>200000</x:v>
      </x:c>
      <x:c r="O168" s="499" t="n">
        <x:v>0</x:v>
      </x:c>
      <x:c r="P168" s="499" t="n">
        <x:v>0</x:v>
      </x:c>
      <x:c r="Q168" s="499" t="n">
        <x:v>0</x:v>
      </x:c>
      <x:c r="R168" s="476" t="str"/>
      <x:c r="S168" s="476" t="str"/>
      <x:c r="T168" s="476" t="str">
        <x:v>DESTINO/INSTRUMENTO CONFIRMADO; VALOR NÃO COMPARÁVEL</x:v>
      </x:c>
      <x:c r="U168" s="476" t="str">
        <x:v>Média</x:v>
      </x:c>
      <x:c r="V168" s="476" t="str"/>
      <x:c r="W168" s="476" t="str">
        <x:v>Há instrumento do Transferegov para a emenda/município; valores do instrumento não foram usados como prova do valor da emenda</x:v>
      </x:c>
      <x:c r="X168" s="476" t="str">
        <x:v>https://discricionarias.transferegov.sistema.gov.br/voluntarias/ConsultarProposta/ResultadoDaConsultaDeConvenioSelecionarConvenio.do?sequencialConvenio=978966&amp;Usr=guest&amp;Pwd=guest</x:v>
      </x:c>
    </x:row>
    <x:row r="169">
      <x:c r="A169" t="n">
        <x:v>296</x:v>
      </x:c>
      <x:c r="B169" t="n">
        <x:v>2025</x:v>
      </x:c>
      <x:c r="C169" s="476" t="str">
        <x:v>São Jerônimo</x:v>
      </x:c>
      <x:c r="D169" s="476" t="str">
        <x:v>Fundo Municipal De Saude De Sao Jeronimo Rs São Jerônimo - Rs</x:v>
      </x:c>
      <x:c r="E169" s="476" t="str">
        <x:v>Prefeitura Municipal</x:v>
      </x:c>
      <x:c r="F169" s="476" t="str">
        <x:v>41160004</x:v>
      </x:c>
      <x:c r="G169" s="476" t="str">
        <x:v>41160004-2025</x:v>
      </x:c>
      <x:c r="H169" s="476" t="str">
        <x:v>Informado/corrigido a partir do mapa</x:v>
      </x:c>
      <x:c r="I169" s="499" t="n">
        <x:v>200000</x:v>
      </x:c>
      <x:c r="J169" s="499" t="n">
        <x:v>400000</x:v>
      </x:c>
      <x:c r="K169" s="476" t="str">
        <x:v>Emenda Individual</x:v>
      </x:c>
      <x:c r="L169" s="476"/>
      <x:c r="M169" s="499" t="n">
        <x:v>199000</x:v>
      </x:c>
      <x:c r="N169" s="499" t="n">
        <x:v>200000</x:v>
      </x:c>
      <x:c r="O169" s="499" t="n">
        <x:v>199000</x:v>
      </x:c>
      <x:c r="P169" s="499" t="n">
        <x:v>0</x:v>
      </x:c>
      <x:c r="Q169" s="499" t="n">
        <x:v>0</x:v>
      </x:c>
      <x:c r="R169" s="476" t="str"/>
      <x:c r="S169" s="476" t="str">
        <x:v>92741016000416</x:v>
      </x:c>
      <x:c r="T169" s="476" t="str">
        <x:v>VALOR DIVERGENTE / COBERTURA DIFERENTE</x:v>
      </x:c>
      <x:c r="U169" s="476" t="str">
        <x:v>Alta</x:v>
      </x:c>
      <x:c r="V169" s="476" t="str">
        <x:v>Preencher situação: há pagamento identificado na fonte pública</x:v>
      </x:c>
      <x:c r="W169" s="476" t="str">
        <x:v>Município/localidade encontrado em fonte comparável, mas valor não fecha exatamente</x:v>
      </x:c>
      <x:c r="X169" s="476" t="str">
        <x:v>https://discricionarias.transferegov.sistema.gov.br/voluntarias/ConsultarProposta/ResultadoDaConsultaDeConvenioSelecionarConvenio.do?sequencialConvenio=978856&amp;Usr=guest&amp;Pwd=guest</x:v>
      </x:c>
    </x:row>
    <x:row r="170">
      <x:c r="A170" t="n">
        <x:v>297</x:v>
      </x:c>
      <x:c r="B170" t="n">
        <x:v>2025</x:v>
      </x:c>
      <x:c r="C170" s="476" t="str">
        <x:v>Porto Xavier</x:v>
      </x:c>
      <x:c r="D170" s="476" t="str">
        <x:v>Associacao Hospital De Caridade Nossa Senhora Dos Navegantes Porto Xavier - Rs</x:v>
      </x:c>
      <x:c r="E170" s="476" t="str">
        <x:v>Associacao Hospital De Caridade Nossa Senhora Dos Navegantes Porto Xavier - Rs</x:v>
      </x:c>
      <x:c r="F170" s="476" t="str">
        <x:v>41160004</x:v>
      </x:c>
      <x:c r="G170" s="476" t="str">
        <x:v>41160004-2025</x:v>
      </x:c>
      <x:c r="H170" s="476" t="str">
        <x:v>Informado/corrigido a partir do mapa</x:v>
      </x:c>
      <x:c r="I170" s="499" t="n">
        <x:v>200000</x:v>
      </x:c>
      <x:c r="J170" s="499" t="n">
        <x:v>200000</x:v>
      </x:c>
      <x:c r="K170" s="476" t="str">
        <x:v>Emenda Individual</x:v>
      </x:c>
      <x:c r="L170" s="476"/>
      <x:c r="M170" s="499" t="n">
        <x:v>0</x:v>
      </x:c>
      <x:c r="N170" s="499" t="n">
        <x:v>0</x:v>
      </x:c>
      <x:c r="O170" s="499" t="n">
        <x:v>0</x:v>
      </x:c>
      <x:c r="P170" s="499" t="n">
        <x:v>0</x:v>
      </x:c>
      <x:c r="Q170" s="499" t="n">
        <x:v>0</x:v>
      </x:c>
      <x:c r="R170" s="476" t="str"/>
      <x:c r="S170" s="476" t="str"/>
      <x:c r="T170" s="476" t="str">
        <x:v>EMENDA CONFIRMADA; DESTINO NÃO CONFIRMADO</x:v>
      </x:c>
      <x:c r="U170" s="476" t="str">
        <x:v>Média</x:v>
      </x:c>
      <x:c r="V170" s="476" t="str"/>
      <x:c r="W170" s="476" t="str">
        <x:v>Nº existe no SIGA; destinatário específico não foi confirmado nas bases anexas</x:v>
      </x:c>
      <x:c r="X170" s="476" t="str"/>
    </x:row>
    <x:row r="171">
      <x:c r="A171" t="n">
        <x:v>298</x:v>
      </x:c>
      <x:c r="B171" t="n">
        <x:v>2025</x:v>
      </x:c>
      <x:c r="C171" s="476" t="str">
        <x:v>Progresso</x:v>
      </x:c>
      <x:c r="D171" s="476" t="str">
        <x:v>Sociedade Sulina Divina Providencia Progresso - Rs</x:v>
      </x:c>
      <x:c r="E171" s="476" t="str">
        <x:v>Sociedade Sulina Divina Providencia Progresso - Rs</x:v>
      </x:c>
      <x:c r="F171" s="476" t="str">
        <x:v>41160004</x:v>
      </x:c>
      <x:c r="G171" s="476" t="str">
        <x:v>41160004-2025</x:v>
      </x:c>
      <x:c r="H171" s="476" t="str">
        <x:v>Informado/corrigido a partir do mapa</x:v>
      </x:c>
      <x:c r="I171" s="499" t="n">
        <x:v>200000</x:v>
      </x:c>
      <x:c r="J171" s="499" t="n">
        <x:v>200000</x:v>
      </x:c>
      <x:c r="K171" s="476" t="str">
        <x:v>Emenda Individual</x:v>
      </x:c>
      <x:c r="L171" s="476"/>
      <x:c r="M171" s="499" t="n">
        <x:v>184207.14</x:v>
      </x:c>
      <x:c r="N171" s="499" t="n">
        <x:v>200000</x:v>
      </x:c>
      <x:c r="O171" s="499" t="n">
        <x:v>184207.14</x:v>
      </x:c>
      <x:c r="P171" s="499" t="n">
        <x:v>0</x:v>
      </x:c>
      <x:c r="Q171" s="499" t="n">
        <x:v>0</x:v>
      </x:c>
      <x:c r="R171" s="476" t="str"/>
      <x:c r="S171" s="476" t="str">
        <x:v>87317764000789</x:v>
      </x:c>
      <x:c r="T171" s="476" t="str">
        <x:v>VALOR DIVERGENTE / COBERTURA DIFERENTE</x:v>
      </x:c>
      <x:c r="U171" s="476" t="str">
        <x:v>Média</x:v>
      </x:c>
      <x:c r="V171" s="476" t="str">
        <x:v>Preencher situação: há pagamento identificado na fonte pública</x:v>
      </x:c>
      <x:c r="W171" s="476" t="str">
        <x:v>Município/localidade encontrado em fonte comparável, mas valor não fecha exatamente</x:v>
      </x:c>
      <x:c r="X171" s="476" t="str">
        <x:v>https://discricionarias.transferegov.sistema.gov.br/voluntarias/ConsultarProposta/ResultadoDaConsultaDeConvenioSelecionarConvenio.do?sequencialConvenio=978992&amp;Usr=guest&amp;Pwd=guest</x:v>
      </x:c>
    </x:row>
    <x:row r="172">
      <x:c r="A172" t="n">
        <x:v>299</x:v>
      </x:c>
      <x:c r="B172" t="n">
        <x:v>2025</x:v>
      </x:c>
      <x:c r="C172" s="476" t="str">
        <x:v>Seberi</x:v>
      </x:c>
      <x:c r="D172" s="476" t="str">
        <x:v>Fundacao Hospitalar Pio Xii Seberi - Rs</x:v>
      </x:c>
      <x:c r="E172" s="476" t="str">
        <x:v>Fundacao Hospitalar Pio Xii Seberi - Rs</x:v>
      </x:c>
      <x:c r="F172" s="476" t="str">
        <x:v>41160004</x:v>
      </x:c>
      <x:c r="G172" s="476" t="str">
        <x:v>41160004-2025</x:v>
      </x:c>
      <x:c r="H172" s="476" t="str">
        <x:v>Informado/corrigido a partir do mapa</x:v>
      </x:c>
      <x:c r="I172" s="499" t="n">
        <x:v>200000</x:v>
      </x:c>
      <x:c r="J172" s="499" t="n">
        <x:v>200000</x:v>
      </x:c>
      <x:c r="K172" s="476" t="str">
        <x:v>Emenda Individual</x:v>
      </x:c>
      <x:c r="L172" s="476"/>
      <x:c r="M172" s="499" t="n">
        <x:v>158330.08</x:v>
      </x:c>
      <x:c r="N172" s="499" t="n">
        <x:v>200000</x:v>
      </x:c>
      <x:c r="O172" s="499" t="n">
        <x:v>158330.08</x:v>
      </x:c>
      <x:c r="P172" s="499" t="n">
        <x:v>0</x:v>
      </x:c>
      <x:c r="Q172" s="499" t="n">
        <x:v>0</x:v>
      </x:c>
      <x:c r="R172" s="476" t="str"/>
      <x:c r="S172" s="476" t="str">
        <x:v>89286249000119</x:v>
      </x:c>
      <x:c r="T172" s="476" t="str">
        <x:v>VALOR DIVERGENTE / COBERTURA DIFERENTE</x:v>
      </x:c>
      <x:c r="U172" s="476" t="str">
        <x:v>Alta</x:v>
      </x:c>
      <x:c r="V172" s="476" t="str">
        <x:v>Preencher situação: há pagamento identificado na fonte pública</x:v>
      </x:c>
      <x:c r="W172" s="476" t="str">
        <x:v>Município/localidade encontrado em fonte comparável, mas valor não fecha exatamente</x:v>
      </x:c>
      <x:c r="X172" s="476" t="str">
        <x:v>https://discricionarias.transferegov.sistema.gov.br/voluntarias/ConsultarProposta/ResultadoDaConsultaDeConvenioSelecionarConvenio.do?sequencialConvenio=978973&amp;Usr=guest&amp;Pwd=guest</x:v>
      </x:c>
    </x:row>
    <x:row r="173">
      <x:c r="A173" t="n">
        <x:v>302</x:v>
      </x:c>
      <x:c r="B173" t="n">
        <x:v>2025</x:v>
      </x:c>
      <x:c r="C173" s="476" t="str">
        <x:v>Coqueiro Baixo</x:v>
      </x:c>
      <x:c r="D173" s="476" t="str">
        <x:v>Coqueiro Baixo - Fundo Municipal De Saude Coqueiro Baixo - Rs</x:v>
      </x:c>
      <x:c r="E173" s="476" t="str">
        <x:v>Coqueiro Baixo - Fundo Municipal De Saude Coqueiro Baixo - Rs</x:v>
      </x:c>
      <x:c r="F173" s="476" t="str">
        <x:v>41160003</x:v>
      </x:c>
      <x:c r="G173" s="476" t="str">
        <x:v>41160003-2025</x:v>
      </x:c>
      <x:c r="H173" s="476" t="str">
        <x:v>Informado/corrigido a partir do mapa</x:v>
      </x:c>
      <x:c r="I173" s="499" t="n">
        <x:v>200000</x:v>
      </x:c>
      <x:c r="J173" s="499" t="n">
        <x:v>200000</x:v>
      </x:c>
      <x:c r="K173" s="476" t="str">
        <x:v>Emenda Individual</x:v>
      </x:c>
      <x:c r="L173" s="476"/>
      <x:c r="M173" s="499" t="n">
        <x:v>0</x:v>
      </x:c>
      <x:c r="N173" s="499" t="n">
        <x:v>0</x:v>
      </x:c>
      <x:c r="O173" s="499" t="n">
        <x:v>0</x:v>
      </x:c>
      <x:c r="P173" s="499" t="n">
        <x:v>0</x:v>
      </x:c>
      <x:c r="Q173" s="499" t="n">
        <x:v>0</x:v>
      </x:c>
      <x:c r="R173" s="476" t="str"/>
      <x:c r="S173" s="476" t="str"/>
      <x:c r="T173" s="476" t="str">
        <x:v>EMENDA CONFIRMADA; DESTINO NÃO CONFIRMADO</x:v>
      </x:c>
      <x:c r="U173" s="476" t="str">
        <x:v>Média</x:v>
      </x:c>
      <x:c r="V173" s="476" t="str"/>
      <x:c r="W173" s="476" t="str">
        <x:v>Nº existe no SIGA; destinatário específico não foi confirmado nas bases anexas</x:v>
      </x:c>
      <x:c r="X173" s="476" t="str"/>
    </x:row>
    <x:row r="174">
      <x:c r="A174" t="n">
        <x:v>303</x:v>
      </x:c>
      <x:c r="B174" t="n">
        <x:v>2025</x:v>
      </x:c>
      <x:c r="C174" s="476" t="str">
        <x:v>São Jerônimo</x:v>
      </x:c>
      <x:c r="D174" s="476" t="str">
        <x:v>Associacao Dos Funcionarios Publicos Do Estado Do Rio Grande Do Sul São Jerônimo - Rs</x:v>
      </x:c>
      <x:c r="E174" s="476" t="str">
        <x:v>Associacao Dos Funcionarios Publicos Do Estado Do Rio Grande Do Sul São Jerônimo - Rs</x:v>
      </x:c>
      <x:c r="F174" s="476" t="str">
        <x:v>41160004</x:v>
      </x:c>
      <x:c r="G174" s="476" t="str">
        <x:v>41160004-2025</x:v>
      </x:c>
      <x:c r="H174" s="476" t="str">
        <x:v>Informado/corrigido a partir do mapa</x:v>
      </x:c>
      <x:c r="I174" s="499" t="n">
        <x:v>200000</x:v>
      </x:c>
      <x:c r="J174" s="499" t="n">
        <x:v>400000</x:v>
      </x:c>
      <x:c r="K174" s="476" t="str">
        <x:v>Emenda Individual</x:v>
      </x:c>
      <x:c r="L174" s="476"/>
      <x:c r="M174" s="499" t="n">
        <x:v>199000</x:v>
      </x:c>
      <x:c r="N174" s="499" t="n">
        <x:v>200000</x:v>
      </x:c>
      <x:c r="O174" s="499" t="n">
        <x:v>199000</x:v>
      </x:c>
      <x:c r="P174" s="499" t="n">
        <x:v>0</x:v>
      </x:c>
      <x:c r="Q174" s="499" t="n">
        <x:v>0</x:v>
      </x:c>
      <x:c r="R174" s="476" t="str"/>
      <x:c r="S174" s="476" t="str">
        <x:v>92741016000416</x:v>
      </x:c>
      <x:c r="T174" s="476" t="str">
        <x:v>VALOR DIVERGENTE / COBERTURA DIFERENTE</x:v>
      </x:c>
      <x:c r="U174" s="476" t="str">
        <x:v>Alta</x:v>
      </x:c>
      <x:c r="V174" s="476" t="str">
        <x:v>Preencher situação: há pagamento identificado na fonte pública</x:v>
      </x:c>
      <x:c r="W174" s="476" t="str">
        <x:v>Município/localidade encontrado em fonte comparável, mas valor não fecha exatamente</x:v>
      </x:c>
      <x:c r="X174" s="476" t="str">
        <x:v>https://discricionarias.transferegov.sistema.gov.br/voluntarias/ConsultarProposta/ResultadoDaConsultaDeConvenioSelecionarConvenio.do?sequencialConvenio=978856&amp;Usr=guest&amp;Pwd=guest</x:v>
      </x:c>
    </x:row>
    <x:row r="175">
      <x:c r="A175" t="n">
        <x:v>304</x:v>
      </x:c>
      <x:c r="B175" t="n">
        <x:v>2025</x:v>
      </x:c>
      <x:c r="C175" s="476" t="str">
        <x:v>Severiano de Almeida</x:v>
      </x:c>
      <x:c r="D175" s="476" t="str">
        <x:v>Municipio De Severiano De Almeida Severiano De Almeida - Rs</x:v>
      </x:c>
      <x:c r="E175" s="476" t="str">
        <x:v>Prefeitura Municipal</x:v>
      </x:c>
      <x:c r="F175" s="476" t="str">
        <x:v>41160008</x:v>
      </x:c>
      <x:c r="G175" s="476" t="str">
        <x:v>41160008-2025</x:v>
      </x:c>
      <x:c r="H175" s="476" t="str">
        <x:v>Informado/corrigido a partir do mapa</x:v>
      </x:c>
      <x:c r="I175" s="499" t="n">
        <x:v>200000</x:v>
      </x:c>
      <x:c r="J175" s="499" t="n">
        <x:v>200000</x:v>
      </x:c>
      <x:c r="K175" s="476" t="str">
        <x:v>Emenda Individual</x:v>
      </x:c>
      <x:c r="L175" s="476"/>
      <x:c r="M175" s="499" t="n">
        <x:v>198000</x:v>
      </x:c>
      <x:c r="N175" s="499" t="n">
        <x:v>0</x:v>
      </x:c>
      <x:c r="O175" s="499" t="n">
        <x:v>0</x:v>
      </x:c>
      <x:c r="P175" s="499" t="n">
        <x:v>198000</x:v>
      </x:c>
      <x:c r="Q175" s="499" t="n">
        <x:v>0</x:v>
      </x:c>
      <x:c r="R175" s="476" t="str">
        <x:v>CIENTE</x:v>
      </x:c>
      <x:c r="S175" s="476" t="str">
        <x:v>87613360000147</x:v>
      </x:c>
      <x:c r="T175" s="476" t="str">
        <x:v>VALOR DIVERGENTE / COBERTURA DIFERENTE</x:v>
      </x:c>
      <x:c r="U175" s="476" t="str">
        <x:v>Média</x:v>
      </x:c>
      <x:c r="V175" s="476" t="str">
        <x:v>Revisar valor do grupo: PIX atual registra R$ 198,000.00; Atualizar situação com status do plano PIX: CIENTE (não equivale a pagamento)</x:v>
      </x:c>
      <x:c r="W175" s="476" t="str">
        <x:v>Município/localidade encontrado em fonte comparável, mas valor não fecha exatamente</x:v>
      </x:c>
      <x:c r="X175" s="476" t="str">
        <x:v>https://especiais.transferegov.sistema.gov.br/transferencia-especial/plano-acao/detalhe/84005/dados-basicos</x:v>
      </x:c>
    </x:row>
    <x:row r="176">
      <x:c r="A176" t="n">
        <x:v>305</x:v>
      </x:c>
      <x:c r="B176" t="n">
        <x:v>2025</x:v>
      </x:c>
      <x:c r="C176" s="476" t="str">
        <x:v>Ponte Preta</x:v>
      </x:c>
      <x:c r="D176" s="476" t="str">
        <x:v>Municipio De Ponte Preta Ponte Preta - Rs</x:v>
      </x:c>
      <x:c r="E176" s="476" t="str">
        <x:v>Prefeitura Municipal</x:v>
      </x:c>
      <x:c r="F176" s="476" t="str">
        <x:v>41160008</x:v>
      </x:c>
      <x:c r="G176" s="476" t="str">
        <x:v>41160008-2025</x:v>
      </x:c>
      <x:c r="H176" s="476" t="str">
        <x:v>Informado/corrigido a partir do mapa</x:v>
      </x:c>
      <x:c r="I176" s="499" t="n">
        <x:v>200000</x:v>
      </x:c>
      <x:c r="J176" s="499" t="n">
        <x:v>200000</x:v>
      </x:c>
      <x:c r="K176" s="476" t="str">
        <x:v>Emenda Individual</x:v>
      </x:c>
      <x:c r="L176" s="476"/>
      <x:c r="M176" s="499" t="n">
        <x:v>198000</x:v>
      </x:c>
      <x:c r="N176" s="499" t="n">
        <x:v>0</x:v>
      </x:c>
      <x:c r="O176" s="499" t="n">
        <x:v>0</x:v>
      </x:c>
      <x:c r="P176" s="499" t="n">
        <x:v>198000</x:v>
      </x:c>
      <x:c r="Q176" s="499" t="n">
        <x:v>0</x:v>
      </x:c>
      <x:c r="R176" s="476" t="str">
        <x:v>CIENTE</x:v>
      </x:c>
      <x:c r="S176" s="476" t="str">
        <x:v>93539161000139</x:v>
      </x:c>
      <x:c r="T176" s="476" t="str">
        <x:v>VALOR DIVERGENTE / COBERTURA DIFERENTE</x:v>
      </x:c>
      <x:c r="U176" s="476" t="str">
        <x:v>Média</x:v>
      </x:c>
      <x:c r="V176" s="476" t="str">
        <x:v>Revisar valor do grupo: PIX atual registra R$ 198,000.00; Atualizar situação com status do plano PIX: CIENTE (não equivale a pagamento)</x:v>
      </x:c>
      <x:c r="W176" s="476" t="str">
        <x:v>Município/localidade encontrado em fonte comparável, mas valor não fecha exatamente</x:v>
      </x:c>
      <x:c r="X176" s="476" t="str">
        <x:v>https://especiais.transferegov.sistema.gov.br/transferencia-especial/plano-acao/detalhe/83991/dados-basicos</x:v>
      </x:c>
    </x:row>
    <x:row r="177">
      <x:c r="A177" t="n">
        <x:v>306</x:v>
      </x:c>
      <x:c r="B177" t="n">
        <x:v>2025</x:v>
      </x:c>
      <x:c r="C177" s="476" t="str">
        <x:v>Ivorá</x:v>
      </x:c>
      <x:c r="D177" s="476" t="str">
        <x:v>Municipio De Ivora Ivorá - Rs</x:v>
      </x:c>
      <x:c r="E177" s="476" t="str">
        <x:v>Prefeitura Municipal</x:v>
      </x:c>
      <x:c r="F177" s="476" t="str">
        <x:v>41160008</x:v>
      </x:c>
      <x:c r="G177" s="476" t="str">
        <x:v>41160008-2025</x:v>
      </x:c>
      <x:c r="H177" s="476" t="str">
        <x:v>Informado/corrigido a partir do mapa</x:v>
      </x:c>
      <x:c r="I177" s="499" t="n">
        <x:v>200000</x:v>
      </x:c>
      <x:c r="J177" s="499" t="n">
        <x:v>200000</x:v>
      </x:c>
      <x:c r="K177" s="476" t="str">
        <x:v>Emenda Individual</x:v>
      </x:c>
      <x:c r="L177" s="476"/>
      <x:c r="M177" s="499" t="n">
        <x:v>198000</x:v>
      </x:c>
      <x:c r="N177" s="499" t="n">
        <x:v>0</x:v>
      </x:c>
      <x:c r="O177" s="499" t="n">
        <x:v>0</x:v>
      </x:c>
      <x:c r="P177" s="499" t="n">
        <x:v>198000</x:v>
      </x:c>
      <x:c r="Q177" s="499" t="n">
        <x:v>198000</x:v>
      </x:c>
      <x:c r="R177" s="476" t="str">
        <x:v>CIENTE, IMPEDIDO</x:v>
      </x:c>
      <x:c r="S177" s="476" t="str">
        <x:v>92457175000140</x:v>
      </x:c>
      <x:c r="T177" s="476" t="str">
        <x:v>VALOR DIVERGENTE / COBERTURA DIFERENTE</x:v>
      </x:c>
      <x:c r="U177" s="476" t="str">
        <x:v>Média</x:v>
      </x:c>
      <x:c r="V177" s="476" t="str">
        <x:v>Revisar valor do grupo: PIX atual registra R$ 198,000.00; Atualizar situação com status do plano PIX: CIENTE, IMPEDIDO (não equivale a pagamento)</x:v>
      </x:c>
      <x:c r="W177" s="476" t="str">
        <x:v>Município/localidade encontrado em fonte comparável, mas valor não fecha exatamente</x:v>
      </x:c>
      <x:c r="X177" s="476" t="str">
        <x:v>https://especiais.transferegov.sistema.gov.br/transferencia-especial/plano-acao/detalhe/88188/dados-basicos | https://especiais.transferegov.sistema.gov.br/transferencia-especial/plano-acao/detalhe/83992/dados-basicos</x:v>
      </x:c>
    </x:row>
    <x:row r="178">
      <x:c r="A178" t="n">
        <x:v>307</x:v>
      </x:c>
      <x:c r="B178" t="n">
        <x:v>2025</x:v>
      </x:c>
      <x:c r="C178" s="476" t="str">
        <x:v>Dona Francisca</x:v>
      </x:c>
      <x:c r="D178" s="476" t="str">
        <x:v>Municipio De Dona Francisca Dona Francisca - Rs</x:v>
      </x:c>
      <x:c r="E178" s="476" t="str">
        <x:v>Prefeitura Municipal</x:v>
      </x:c>
      <x:c r="F178" s="476" t="str">
        <x:v>41160008</x:v>
      </x:c>
      <x:c r="G178" s="476" t="str">
        <x:v>41160008-2025</x:v>
      </x:c>
      <x:c r="H178" s="476" t="str">
        <x:v>Informado/corrigido a partir do mapa</x:v>
      </x:c>
      <x:c r="I178" s="499" t="n">
        <x:v>200000</x:v>
      </x:c>
      <x:c r="J178" s="499" t="n">
        <x:v>200000</x:v>
      </x:c>
      <x:c r="K178" s="476" t="str">
        <x:v>Emenda Individual</x:v>
      </x:c>
      <x:c r="L178" s="476"/>
      <x:c r="M178" s="499" t="n">
        <x:v>198000</x:v>
      </x:c>
      <x:c r="N178" s="499" t="n">
        <x:v>0</x:v>
      </x:c>
      <x:c r="O178" s="499" t="n">
        <x:v>0</x:v>
      </x:c>
      <x:c r="P178" s="499" t="n">
        <x:v>198000</x:v>
      </x:c>
      <x:c r="Q178" s="499" t="n">
        <x:v>198000</x:v>
      </x:c>
      <x:c r="R178" s="476" t="str">
        <x:v>CIENTE, IMPEDIDO</x:v>
      </x:c>
      <x:c r="S178" s="476" t="str">
        <x:v>87488938000180</x:v>
      </x:c>
      <x:c r="T178" s="476" t="str">
        <x:v>VALOR DIVERGENTE / COBERTURA DIFERENTE</x:v>
      </x:c>
      <x:c r="U178" s="476" t="str">
        <x:v>Média</x:v>
      </x:c>
      <x:c r="V178" s="476" t="str">
        <x:v>Revisar valor do grupo: PIX atual registra R$ 198,000.00; Atualizar situação com status do plano PIX: CIENTE, IMPEDIDO (não equivale a pagamento)</x:v>
      </x:c>
      <x:c r="W178" s="476" t="str">
        <x:v>Município/localidade encontrado em fonte comparável, mas valor não fecha exatamente</x:v>
      </x:c>
      <x:c r="X178" s="476" t="str">
        <x:v>https://especiais.transferegov.sistema.gov.br/transferencia-especial/plano-acao/detalhe/84006/dados-basicos | https://especiais.transferegov.sistema.gov.br/transferencia-especial/plano-acao/detalhe/88189/dados-basicos</x:v>
      </x:c>
    </x:row>
    <x:row r="179">
      <x:c r="A179" t="n">
        <x:v>308</x:v>
      </x:c>
      <x:c r="B179" t="n">
        <x:v>2025</x:v>
      </x:c>
      <x:c r="C179" s="476" t="str">
        <x:v>Piratini</x:v>
      </x:c>
      <x:c r="D179" s="476" t="str">
        <x:v>Hospital De Caridade Nossa Senhora Da Conceicao De Pira Piratini - Rs</x:v>
      </x:c>
      <x:c r="E179" s="476" t="str">
        <x:v>Hospital De Caridade Nossa Senhora Da Conceicao De Pira Piratini - Rs</x:v>
      </x:c>
      <x:c r="F179" s="476" t="str">
        <x:v>41160004</x:v>
      </x:c>
      <x:c r="G179" s="476" t="str">
        <x:v>41160004-2025</x:v>
      </x:c>
      <x:c r="H179" s="476" t="str">
        <x:v>Informado/corrigido a partir do mapa</x:v>
      </x:c>
      <x:c r="I179" s="499" t="n">
        <x:v>200000</x:v>
      </x:c>
      <x:c r="J179" s="499" t="n">
        <x:v>200000</x:v>
      </x:c>
      <x:c r="K179" s="476" t="str">
        <x:v>Emenda Individual</x:v>
      </x:c>
      <x:c r="L179" s="476"/>
      <x:c r="M179" s="499" t="n">
        <x:v>168800</x:v>
      </x:c>
      <x:c r="N179" s="499" t="n">
        <x:v>200000</x:v>
      </x:c>
      <x:c r="O179" s="499" t="n">
        <x:v>168800</x:v>
      </x:c>
      <x:c r="P179" s="499" t="n">
        <x:v>0</x:v>
      </x:c>
      <x:c r="Q179" s="499" t="n">
        <x:v>0</x:v>
      </x:c>
      <x:c r="R179" s="476" t="str"/>
      <x:c r="S179" s="476" t="str">
        <x:v>92637792000128</x:v>
      </x:c>
      <x:c r="T179" s="476" t="str">
        <x:v>VALOR DIVERGENTE / COBERTURA DIFERENTE</x:v>
      </x:c>
      <x:c r="U179" s="476" t="str">
        <x:v>Alta</x:v>
      </x:c>
      <x:c r="V179" s="476" t="str">
        <x:v>Preencher situação: há pagamento identificado na fonte pública</x:v>
      </x:c>
      <x:c r="W179" s="476" t="str">
        <x:v>Município/localidade encontrado em fonte comparável, mas valor não fecha exatamente</x:v>
      </x:c>
      <x:c r="X179" s="476" t="str">
        <x:v>https://discricionarias.transferegov.sistema.gov.br/voluntarias/ConsultarProposta/ResultadoDaConsultaDeConvenioSelecionarConvenio.do?sequencialConvenio=978977&amp;Usr=guest&amp;Pwd=guest</x:v>
      </x:c>
    </x:row>
    <x:row r="180">
      <x:c r="A180" t="n">
        <x:v>309</x:v>
      </x:c>
      <x:c r="B180" t="n">
        <x:v>2025</x:v>
      </x:c>
      <x:c r="C180" s="476" t="str">
        <x:v>Ibiaçá</x:v>
      </x:c>
      <x:c r="D180" s="476" t="str">
        <x:v>Fundo Municipal De Saude De Ibiaca Rs Ibiaçá - Rs</x:v>
      </x:c>
      <x:c r="E180" s="476" t="str">
        <x:v>Prefeitura Municipal</x:v>
      </x:c>
      <x:c r="F180" s="476" t="str">
        <x:v>41160001</x:v>
      </x:c>
      <x:c r="G180" s="476" t="str">
        <x:v>41160001-2025</x:v>
      </x:c>
      <x:c r="H180" s="476" t="str">
        <x:v>Informado/corrigido a partir do mapa</x:v>
      </x:c>
      <x:c r="I180" s="499" t="n">
        <x:v>200000</x:v>
      </x:c>
      <x:c r="J180" s="499" t="n">
        <x:v>400000</x:v>
      </x:c>
      <x:c r="K180" s="476" t="str">
        <x:v>Emenda Individual</x:v>
      </x:c>
      <x:c r="L180" s="476"/>
      <x:c r="M180" s="499" t="n">
        <x:v>200000</x:v>
      </x:c>
      <x:c r="N180" s="499" t="n">
        <x:v>0</x:v>
      </x:c>
      <x:c r="O180" s="499" t="n">
        <x:v>0</x:v>
      </x:c>
      <x:c r="P180" s="499" t="n">
        <x:v>0</x:v>
      </x:c>
      <x:c r="Q180" s="499" t="n">
        <x:v>0</x:v>
      </x:c>
      <x:c r="R180" s="476" t="str"/>
      <x:c r="S180" s="476" t="str">
        <x:v>12053497000195</x:v>
      </x:c>
      <x:c r="T180" s="476" t="str">
        <x:v>VALOR DIVERGENTE / COBERTURA DIFERENTE</x:v>
      </x:c>
      <x:c r="U180" s="476" t="str">
        <x:v>Alta</x:v>
      </x:c>
      <x:c r="V180" s="476" t="str">
        <x:v>Preencher situação: há pagamento identificado na fonte pública</x:v>
      </x:c>
      <x:c r="W180" s="476" t="str">
        <x:v>Município/localidade encontrado em fonte comparável, mas valor não fecha exatamente</x:v>
      </x:c>
      <x:c r="X180" s="476" t="str"/>
    </x:row>
    <x:row r="181">
      <x:c r="A181" t="n">
        <x:v>311</x:v>
      </x:c>
      <x:c r="B181" t="n">
        <x:v>2025</x:v>
      </x:c>
      <x:c r="C181" s="476" t="str">
        <x:v>Alvorada</x:v>
      </x:c>
      <x:c r="D181" s="476" t="str">
        <x:v>Fundo Municipal De Saude De Alvorada Alvorada - Rs</x:v>
      </x:c>
      <x:c r="E181" s="476" t="str">
        <x:v>Prefeitura Municipal</x:v>
      </x:c>
      <x:c r="F181" s="476" t="str">
        <x:v>41160002</x:v>
      </x:c>
      <x:c r="G181" s="476" t="str">
        <x:v>41160002-2025</x:v>
      </x:c>
      <x:c r="H181" s="476" t="str">
        <x:v>Informado/corrigido a partir do mapa</x:v>
      </x:c>
      <x:c r="I181" s="499" t="n">
        <x:v>200000</x:v>
      </x:c>
      <x:c r="J181" s="499" t="n">
        <x:v>400000</x:v>
      </x:c>
      <x:c r="K181" s="476" t="str">
        <x:v>Emenda Individual</x:v>
      </x:c>
      <x:c r="L181" s="476"/>
      <x:c r="M181" s="499" t="n">
        <x:v>200000</x:v>
      </x:c>
      <x:c r="N181" s="499" t="n">
        <x:v>0</x:v>
      </x:c>
      <x:c r="O181" s="499" t="n">
        <x:v>0</x:v>
      </x:c>
      <x:c r="P181" s="499" t="n">
        <x:v>0</x:v>
      </x:c>
      <x:c r="Q181" s="499" t="n">
        <x:v>0</x:v>
      </x:c>
      <x:c r="R181" s="476" t="str"/>
      <x:c r="S181" s="476" t="str">
        <x:v>14069503000128</x:v>
      </x:c>
      <x:c r="T181" s="476" t="str">
        <x:v>VALOR DIVERGENTE / COBERTURA DIFERENTE</x:v>
      </x:c>
      <x:c r="U181" s="476" t="str">
        <x:v>Alta</x:v>
      </x:c>
      <x:c r="V181" s="476" t="str">
        <x:v>Preencher situação: há pagamento identificado na fonte pública</x:v>
      </x:c>
      <x:c r="W181" s="476" t="str">
        <x:v>Município/localidade encontrado em fonte comparável, mas valor não fecha exatamente</x:v>
      </x:c>
      <x:c r="X181" s="476" t="str"/>
    </x:row>
    <x:row r="182">
      <x:c r="A182" t="n">
        <x:v>316</x:v>
      </x:c>
      <x:c r="B182" t="n">
        <x:v>2025</x:v>
      </x:c>
      <x:c r="C182" s="476" t="str">
        <x:v>Alvorada</x:v>
      </x:c>
      <x:c r="D182" s="476" t="str">
        <x:v>Fundo Municipal De Saude De Alvorada Alvorada - Rs</x:v>
      </x:c>
      <x:c r="E182" s="476" t="str">
        <x:v>Prefeitura Municipal</x:v>
      </x:c>
      <x:c r="F182" s="476" t="str">
        <x:v>41160002</x:v>
      </x:c>
      <x:c r="G182" s="476" t="str">
        <x:v>41160002-2025</x:v>
      </x:c>
      <x:c r="H182" s="476" t="str">
        <x:v>Informado/corrigido a partir do mapa</x:v>
      </x:c>
      <x:c r="I182" s="499" t="n">
        <x:v>200000</x:v>
      </x:c>
      <x:c r="J182" s="499" t="n">
        <x:v>400000</x:v>
      </x:c>
      <x:c r="K182" s="476" t="str">
        <x:v>Emenda Individual</x:v>
      </x:c>
      <x:c r="L182" s="476"/>
      <x:c r="M182" s="499" t="n">
        <x:v>200000</x:v>
      </x:c>
      <x:c r="N182" s="499" t="n">
        <x:v>0</x:v>
      </x:c>
      <x:c r="O182" s="499" t="n">
        <x:v>0</x:v>
      </x:c>
      <x:c r="P182" s="499" t="n">
        <x:v>0</x:v>
      </x:c>
      <x:c r="Q182" s="499" t="n">
        <x:v>0</x:v>
      </x:c>
      <x:c r="R182" s="476" t="str"/>
      <x:c r="S182" s="476" t="str">
        <x:v>14069503000128</x:v>
      </x:c>
      <x:c r="T182" s="476" t="str">
        <x:v>VALOR DIVERGENTE / COBERTURA DIFERENTE</x:v>
      </x:c>
      <x:c r="U182" s="476" t="str">
        <x:v>Alta</x:v>
      </x:c>
      <x:c r="V182" s="476" t="str">
        <x:v>Preencher situação: há pagamento identificado na fonte pública</x:v>
      </x:c>
      <x:c r="W182" s="476" t="str">
        <x:v>Município/localidade encontrado em fonte comparável, mas valor não fecha exatamente</x:v>
      </x:c>
      <x:c r="X182" s="476" t="str"/>
    </x:row>
    <x:row r="183">
      <x:c r="A183" t="n">
        <x:v>317</x:v>
      </x:c>
      <x:c r="B183" t="n">
        <x:v>2025</x:v>
      </x:c>
      <x:c r="C183" s="476" t="str">
        <x:v>Ibiaçá</x:v>
      </x:c>
      <x:c r="D183" s="476" t="str">
        <x:v>Fundo Municipal De Saude De Ibiaca Rs Ibiaçá - Rs</x:v>
      </x:c>
      <x:c r="E183" s="476" t="str">
        <x:v>Prefeitura Municipal</x:v>
      </x:c>
      <x:c r="F183" s="476" t="str">
        <x:v>41160001</x:v>
      </x:c>
      <x:c r="G183" s="476" t="str">
        <x:v>41160001-2025</x:v>
      </x:c>
      <x:c r="H183" s="476" t="str">
        <x:v>Informado/corrigido a partir do mapa</x:v>
      </x:c>
      <x:c r="I183" s="499" t="n">
        <x:v>200000</x:v>
      </x:c>
      <x:c r="J183" s="499" t="n">
        <x:v>400000</x:v>
      </x:c>
      <x:c r="K183" s="476" t="str">
        <x:v>Emenda Individual</x:v>
      </x:c>
      <x:c r="L183" s="476"/>
      <x:c r="M183" s="499" t="n">
        <x:v>200000</x:v>
      </x:c>
      <x:c r="N183" s="499" t="n">
        <x:v>0</x:v>
      </x:c>
      <x:c r="O183" s="499" t="n">
        <x:v>0</x:v>
      </x:c>
      <x:c r="P183" s="499" t="n">
        <x:v>0</x:v>
      </x:c>
      <x:c r="Q183" s="499" t="n">
        <x:v>0</x:v>
      </x:c>
      <x:c r="R183" s="476" t="str"/>
      <x:c r="S183" s="476" t="str">
        <x:v>12053497000195</x:v>
      </x:c>
      <x:c r="T183" s="476" t="str">
        <x:v>VALOR DIVERGENTE / COBERTURA DIFERENTE</x:v>
      </x:c>
      <x:c r="U183" s="476" t="str">
        <x:v>Alta</x:v>
      </x:c>
      <x:c r="V183" s="476" t="str">
        <x:v>Preencher situação: há pagamento identificado na fonte pública</x:v>
      </x:c>
      <x:c r="W183" s="476" t="str">
        <x:v>Município/localidade encontrado em fonte comparável, mas valor não fecha exatamente</x:v>
      </x:c>
      <x:c r="X183" s="476" t="str"/>
    </x:row>
    <x:row r="184">
      <x:c r="A184" t="n">
        <x:v>318</x:v>
      </x:c>
      <x:c r="B184" t="n">
        <x:v>2025</x:v>
      </x:c>
      <x:c r="C184" s="476" t="str">
        <x:v>Piratini</x:v>
      </x:c>
      <x:c r="D184" s="476" t="str">
        <x:v>Hospital De Caridade Nossa Senhora Da Conceicao De Pira Piratini - Rs</x:v>
      </x:c>
      <x:c r="E184" s="476" t="str">
        <x:v>Hospital De Caridade Nossa Senhora Da Conceicao De Pira Piratini - Rs</x:v>
      </x:c>
      <x:c r="F184" s="476" t="str">
        <x:v>41160002</x:v>
      </x:c>
      <x:c r="G184" s="476" t="str">
        <x:v>41160002-2025</x:v>
      </x:c>
      <x:c r="H184" s="476" t="str">
        <x:v>Informado/corrigido a partir do mapa</x:v>
      </x:c>
      <x:c r="I184" s="499" t="n">
        <x:v>200000</x:v>
      </x:c>
      <x:c r="J184" s="499" t="n">
        <x:v>200000</x:v>
      </x:c>
      <x:c r="K184" s="476" t="str">
        <x:v>Emenda Individual</x:v>
      </x:c>
      <x:c r="L184" s="476"/>
      <x:c r="M184" s="499" t="n">
        <x:v>0</x:v>
      </x:c>
      <x:c r="N184" s="499" t="n">
        <x:v>0</x:v>
      </x:c>
      <x:c r="O184" s="499" t="n">
        <x:v>0</x:v>
      </x:c>
      <x:c r="P184" s="499" t="n">
        <x:v>0</x:v>
      </x:c>
      <x:c r="Q184" s="499" t="n">
        <x:v>0</x:v>
      </x:c>
      <x:c r="R184" s="476" t="str"/>
      <x:c r="S184" s="476" t="str"/>
      <x:c r="T184" s="476" t="str">
        <x:v>EMENDA CONFIRMADA; DESTINO NÃO CONFIRMADO</x:v>
      </x:c>
      <x:c r="U184" s="476" t="str">
        <x:v>Média</x:v>
      </x:c>
      <x:c r="V184" s="476" t="str"/>
      <x:c r="W184" s="476" t="str">
        <x:v>Nº existe no SIGA; destinatário específico não foi confirmado nas bases anexas</x:v>
      </x:c>
      <x:c r="X184" s="476" t="str"/>
    </x:row>
    <x:row r="185">
      <x:c r="A185" t="n">
        <x:v>322</x:v>
      </x:c>
      <x:c r="B185" t="n">
        <x:v>2026</x:v>
      </x:c>
      <x:c r="C185" s="476" t="str">
        <x:v>Frederico Westphalen</x:v>
      </x:c>
      <x:c r="D185" s="476" t="str">
        <x:v>Liga Assistencia Social Hospital Nossa Senhora Gloria</x:v>
      </x:c>
      <x:c r="E185" s="476" t="str">
        <x:v>Sociedade Beneficente Do Hospital de Caridade</x:v>
      </x:c>
      <x:c r="F185" s="476" t="str">
        <x:v>41160003</x:v>
      </x:c>
      <x:c r="G185" s="476" t="str">
        <x:v>41160003-2026</x:v>
      </x:c>
      <x:c r="H185" s="476" t="str">
        <x:v>Informado/corrigido a partir do mapa</x:v>
      </x:c>
      <x:c r="I185" s="499" t="n">
        <x:v>200000</x:v>
      </x:c>
      <x:c r="J185" s="499" t="n">
        <x:v>200000</x:v>
      </x:c>
      <x:c r="K185" s="476" t="str">
        <x:v>Emenda individual</x:v>
      </x:c>
      <x:c r="L185" s="476"/>
      <x:c r="M185" s="499" t="n">
        <x:v>0</x:v>
      </x:c>
      <x:c r="N185" s="499" t="n">
        <x:v>0</x:v>
      </x:c>
      <x:c r="O185" s="499" t="n">
        <x:v>0</x:v>
      </x:c>
      <x:c r="P185" s="499" t="n">
        <x:v>0</x:v>
      </x:c>
      <x:c r="Q185" s="499" t="n">
        <x:v>0</x:v>
      </x:c>
      <x:c r="R185" s="476" t="str"/>
      <x:c r="S185" s="476" t="str"/>
      <x:c r="T185" s="476" t="str">
        <x:v>EMENDA CONFIRMADA; DESTINO NÃO CONFIRMADO</x:v>
      </x:c>
      <x:c r="U185" s="476" t="str">
        <x:v>Média</x:v>
      </x:c>
      <x:c r="V185" s="476" t="str"/>
      <x:c r="W185" s="476" t="str">
        <x:v>Nº existe no SIGA; destinatário específico não foi confirmado nas bases anexas</x:v>
      </x:c>
      <x:c r="X185" s="476" t="str"/>
    </x:row>
    <x:row r="186">
      <x:c r="A186" t="n">
        <x:v>323</x:v>
      </x:c>
      <x:c r="B186" t="n">
        <x:v>2026</x:v>
      </x:c>
      <x:c r="C186" s="476" t="str">
        <x:v>Horizontina</x:v>
      </x:c>
      <x:c r="D186" s="476" t="str">
        <x:v>Horizontina</x:v>
      </x:c>
      <x:c r="E186" s="476" t="str">
        <x:v>Associacao Beneficente Oswaldo Cruz de Horizontina</x:v>
      </x:c>
      <x:c r="F186" s="476" t="str">
        <x:v>41160003</x:v>
      </x:c>
      <x:c r="G186" s="476" t="str">
        <x:v>41160003-2026</x:v>
      </x:c>
      <x:c r="H186" s="476" t="str">
        <x:v>Informado/corrigido a partir do mapa</x:v>
      </x:c>
      <x:c r="I186" s="499" t="n">
        <x:v>200000</x:v>
      </x:c>
      <x:c r="J186" s="499" t="n">
        <x:v>200000</x:v>
      </x:c>
      <x:c r="K186" s="476" t="str">
        <x:v>Emenda individual</x:v>
      </x:c>
      <x:c r="L186" s="476"/>
      <x:c r="M186" s="499" t="n">
        <x:v>0</x:v>
      </x:c>
      <x:c r="N186" s="499" t="n">
        <x:v>0</x:v>
      </x:c>
      <x:c r="O186" s="499" t="n">
        <x:v>0</x:v>
      </x:c>
      <x:c r="P186" s="499" t="n">
        <x:v>0</x:v>
      </x:c>
      <x:c r="Q186" s="499" t="n">
        <x:v>0</x:v>
      </x:c>
      <x:c r="R186" s="476" t="str"/>
      <x:c r="S186" s="476" t="str"/>
      <x:c r="T186" s="476" t="str">
        <x:v>EMENDA CONFIRMADA; DESTINO NÃO CONFIRMADO</x:v>
      </x:c>
      <x:c r="U186" s="476" t="str">
        <x:v>Média</x:v>
      </x:c>
      <x:c r="V186" s="476" t="str"/>
      <x:c r="W186" s="476" t="str">
        <x:v>Nº existe no SIGA; destinatário específico não foi confirmado nas bases anexas</x:v>
      </x:c>
      <x:c r="X186" s="476" t="str"/>
    </x:row>
    <x:row r="187">
      <x:c r="A187" t="n">
        <x:v>324</x:v>
      </x:c>
      <x:c r="B187" t="n">
        <x:v>2026</x:v>
      </x:c>
      <x:c r="C187" s="476" t="str">
        <x:v>Ivoti</x:v>
      </x:c>
      <x:c r="D187" s="476" t="str">
        <x:v>Associacao Hospitalar Sao Joao Batista</x:v>
      </x:c>
      <x:c r="E187" s="476" t="str">
        <x:v>Fundo Municipal de Saude de Ivoti</x:v>
      </x:c>
      <x:c r="F187" s="476" t="str">
        <x:v>41160003</x:v>
      </x:c>
      <x:c r="G187" s="476" t="str">
        <x:v>41160003-2026</x:v>
      </x:c>
      <x:c r="H187" s="476" t="str">
        <x:v>Informado/corrigido a partir do mapa</x:v>
      </x:c>
      <x:c r="I187" s="499" t="n">
        <x:v>200000</x:v>
      </x:c>
      <x:c r="J187" s="499" t="n">
        <x:v>200000</x:v>
      </x:c>
      <x:c r="K187" s="476" t="str">
        <x:v>Emenda individual</x:v>
      </x:c>
      <x:c r="L187" s="476"/>
      <x:c r="M187" s="499" t="n">
        <x:v>0</x:v>
      </x:c>
      <x:c r="N187" s="499" t="n">
        <x:v>0</x:v>
      </x:c>
      <x:c r="O187" s="499" t="n">
        <x:v>0</x:v>
      </x:c>
      <x:c r="P187" s="499" t="n">
        <x:v>0</x:v>
      </x:c>
      <x:c r="Q187" s="499" t="n">
        <x:v>0</x:v>
      </x:c>
      <x:c r="R187" s="476" t="str"/>
      <x:c r="S187" s="476" t="str"/>
      <x:c r="T187" s="476" t="str">
        <x:v>EMENDA CONFIRMADA; DESTINO NÃO CONFIRMADO</x:v>
      </x:c>
      <x:c r="U187" s="476" t="str">
        <x:v>Média</x:v>
      </x:c>
      <x:c r="V187" s="476" t="str"/>
      <x:c r="W187" s="476" t="str">
        <x:v>Nº existe no SIGA; destinatário específico não foi confirmado nas bases anexas</x:v>
      </x:c>
      <x:c r="X187" s="476" t="str"/>
    </x:row>
    <x:row r="188">
      <x:c r="A188" t="n">
        <x:v>325</x:v>
      </x:c>
      <x:c r="B188" t="n">
        <x:v>2026</x:v>
      </x:c>
      <x:c r="C188" s="476" t="str">
        <x:v>Nova Bréscia</x:v>
      </x:c>
      <x:c r="D188" s="476" t="str">
        <x:v>Hospital Santa Terezinha</x:v>
      </x:c>
      <x:c r="E188" s="476" t="str">
        <x:v>Associacao Hospitalar Sao Joao Batista</x:v>
      </x:c>
      <x:c r="F188" s="476" t="str">
        <x:v>41160003</x:v>
      </x:c>
      <x:c r="G188" s="476" t="str">
        <x:v>41160003-2026</x:v>
      </x:c>
      <x:c r="H188" s="476" t="str">
        <x:v>Informado/corrigido a partir do mapa</x:v>
      </x:c>
      <x:c r="I188" s="499" t="n">
        <x:v>200000</x:v>
      </x:c>
      <x:c r="J188" s="499" t="n">
        <x:v>200000</x:v>
      </x:c>
      <x:c r="K188" s="476" t="str">
        <x:v>Emenda individual</x:v>
      </x:c>
      <x:c r="L188" s="476"/>
      <x:c r="M188" s="499" t="n">
        <x:v>0</x:v>
      </x:c>
      <x:c r="N188" s="499" t="n">
        <x:v>0</x:v>
      </x:c>
      <x:c r="O188" s="499" t="n">
        <x:v>0</x:v>
      </x:c>
      <x:c r="P188" s="499" t="n">
        <x:v>0</x:v>
      </x:c>
      <x:c r="Q188" s="499" t="n">
        <x:v>0</x:v>
      </x:c>
      <x:c r="R188" s="476" t="str"/>
      <x:c r="S188" s="476" t="str"/>
      <x:c r="T188" s="476" t="str">
        <x:v>EMENDA CONFIRMADA; DESTINO NÃO CONFIRMADO</x:v>
      </x:c>
      <x:c r="U188" s="476" t="str">
        <x:v>Média</x:v>
      </x:c>
      <x:c r="V188" s="476" t="str"/>
      <x:c r="W188" s="476" t="str">
        <x:v>Nº existe no SIGA; destinatário específico não foi confirmado nas bases anexas</x:v>
      </x:c>
      <x:c r="X188" s="476" t="str"/>
    </x:row>
    <x:row r="189">
      <x:c r="A189" t="n">
        <x:v>326</x:v>
      </x:c>
      <x:c r="B189" t="n">
        <x:v>2026</x:v>
      </x:c>
      <x:c r="C189" s="476" t="str">
        <x:v>Paim Filho</x:v>
      </x:c>
      <x:c r="D189" s="476" t="str">
        <x:v>Fundo Municipal de Saude de Panambi</x:v>
      </x:c>
      <x:c r="E189" s="476" t="str">
        <x:v>Hospital Santa Terezinha</x:v>
      </x:c>
      <x:c r="F189" s="476" t="str">
        <x:v>41160003</x:v>
      </x:c>
      <x:c r="G189" s="476" t="str">
        <x:v>41160003-2026</x:v>
      </x:c>
      <x:c r="H189" s="476" t="str">
        <x:v>Informado/corrigido a partir do mapa</x:v>
      </x:c>
      <x:c r="I189" s="499" t="n">
        <x:v>200000</x:v>
      </x:c>
      <x:c r="J189" s="499" t="n">
        <x:v>200000</x:v>
      </x:c>
      <x:c r="K189" s="476" t="str">
        <x:v>Emenda individual</x:v>
      </x:c>
      <x:c r="L189" s="476"/>
      <x:c r="M189" s="499" t="n">
        <x:v>0</x:v>
      </x:c>
      <x:c r="N189" s="499" t="n">
        <x:v>200000</x:v>
      </x:c>
      <x:c r="O189" s="499" t="n">
        <x:v>0</x:v>
      </x:c>
      <x:c r="P189" s="499" t="n">
        <x:v>0</x:v>
      </x:c>
      <x:c r="Q189" s="499" t="n">
        <x:v>0</x:v>
      </x:c>
      <x:c r="R189" s="476" t="str"/>
      <x:c r="S189" s="476" t="str"/>
      <x:c r="T189" s="476" t="str">
        <x:v>DESTINO/INSTRUMENTO CONFIRMADO; VALOR NÃO COMPARÁVEL</x:v>
      </x:c>
      <x:c r="U189" s="476" t="str">
        <x:v>Média</x:v>
      </x:c>
      <x:c r="V189" s="476" t="str"/>
      <x:c r="W189" s="476" t="str">
        <x:v>Há instrumento do Transferegov para a emenda/município; valores do instrumento não foram usados como prova do valor da emenda</x:v>
      </x:c>
      <x:c r="X189" s="476" t="str">
        <x:v>https://discricionarias.transferegov.sistema.gov.br/voluntarias/ConsultarProposta/ResultadoDaConsultaDeConvenioSelecionarConvenio.do?sequencialConvenio=995377&amp;Usr=guest&amp;Pwd=guest</x:v>
      </x:c>
    </x:row>
    <x:row r="190">
      <x:c r="A190" t="n">
        <x:v>327</x:v>
      </x:c>
      <x:c r="B190" t="n">
        <x:v>2026</x:v>
      </x:c>
      <x:c r="C190" s="476" t="str">
        <x:v>Sertão</x:v>
      </x:c>
      <x:c r="D190" s="476" t="str">
        <x:v>Sertão</x:v>
      </x:c>
      <x:c r="E190" s="476" t="str">
        <x:v>Hospital Sao Jose</x:v>
      </x:c>
      <x:c r="F190" s="476" t="str">
        <x:v>41160003</x:v>
      </x:c>
      <x:c r="G190" s="476" t="str">
        <x:v>41160003-2026</x:v>
      </x:c>
      <x:c r="H190" s="476" t="str">
        <x:v>Informado/corrigido a partir do mapa</x:v>
      </x:c>
      <x:c r="I190" s="499" t="n">
        <x:v>200000</x:v>
      </x:c>
      <x:c r="J190" s="499" t="n">
        <x:v>200000</x:v>
      </x:c>
      <x:c r="K190" s="476" t="str">
        <x:v>Emenda individual</x:v>
      </x:c>
      <x:c r="L190" s="476"/>
      <x:c r="M190" s="499" t="n">
        <x:v>0</x:v>
      </x:c>
      <x:c r="N190" s="499" t="n">
        <x:v>200000</x:v>
      </x:c>
      <x:c r="O190" s="499" t="n">
        <x:v>0</x:v>
      </x:c>
      <x:c r="P190" s="499" t="n">
        <x:v>0</x:v>
      </x:c>
      <x:c r="Q190" s="499" t="n">
        <x:v>0</x:v>
      </x:c>
      <x:c r="R190" s="476" t="str"/>
      <x:c r="S190" s="476" t="str"/>
      <x:c r="T190" s="476" t="str">
        <x:v>DESTINO/INSTRUMENTO CONFIRMADO; VALOR NÃO COMPARÁVEL</x:v>
      </x:c>
      <x:c r="U190" s="476" t="str">
        <x:v>Média</x:v>
      </x:c>
      <x:c r="V190" s="476" t="str"/>
      <x:c r="W190" s="476" t="str">
        <x:v>Há instrumento do Transferegov para a emenda/município; valores do instrumento não foram usados como prova do valor da emenda</x:v>
      </x:c>
      <x:c r="X190" s="476" t="str">
        <x:v>https://discricionarias.transferegov.sistema.gov.br/voluntarias/ConsultarProposta/ResultadoDaConsultaDeConvenioSelecionarConvenio.do?sequencialConvenio=995390&amp;Usr=guest&amp;Pwd=guest</x:v>
      </x:c>
    </x:row>
    <x:row r="191">
      <x:c r="A191" t="n">
        <x:v>328</x:v>
      </x:c>
      <x:c r="B191" t="n">
        <x:v>2026</x:v>
      </x:c>
      <x:c r="C191" s="476" t="str">
        <x:v>Tapejara</x:v>
      </x:c>
      <x:c r="D191" s="476" t="str">
        <x:v>Associacao Hospitalar Beneficente Santo Antonio</x:v>
      </x:c>
      <x:c r="E191" s="476" t="str">
        <x:v>Fundo Municipal de Saude - Fms</x:v>
      </x:c>
      <x:c r="F191" s="476" t="str">
        <x:v>41160003</x:v>
      </x:c>
      <x:c r="G191" s="476" t="str">
        <x:v>41160003-2026</x:v>
      </x:c>
      <x:c r="H191" s="476" t="str">
        <x:v>Informado/corrigido a partir do mapa</x:v>
      </x:c>
      <x:c r="I191" s="499" t="n">
        <x:v>200000</x:v>
      </x:c>
      <x:c r="J191" s="499" t="n">
        <x:v>200000</x:v>
      </x:c>
      <x:c r="K191" s="476" t="str">
        <x:v>Emenda individual</x:v>
      </x:c>
      <x:c r="L191" s="476"/>
      <x:c r="M191" s="499" t="n">
        <x:v>0</x:v>
      </x:c>
      <x:c r="N191" s="499" t="n">
        <x:v>0</x:v>
      </x:c>
      <x:c r="O191" s="499" t="n">
        <x:v>0</x:v>
      </x:c>
      <x:c r="P191" s="499" t="n">
        <x:v>0</x:v>
      </x:c>
      <x:c r="Q191" s="499" t="n">
        <x:v>0</x:v>
      </x:c>
      <x:c r="R191" s="476" t="str"/>
      <x:c r="S191" s="476" t="str"/>
      <x:c r="T191" s="476" t="str">
        <x:v>EMENDA CONFIRMADA; DESTINO NÃO CONFIRMADO</x:v>
      </x:c>
      <x:c r="U191" s="476" t="str">
        <x:v>Média</x:v>
      </x:c>
      <x:c r="V191" s="476" t="str"/>
      <x:c r="W191" s="476" t="str">
        <x:v>Nº existe no SIGA; destinatário específico não foi confirmado nas bases anexas</x:v>
      </x:c>
      <x:c r="X191" s="476" t="str"/>
    </x:row>
    <x:row r="192">
      <x:c r="A192" t="n">
        <x:v>329</x:v>
      </x:c>
      <x:c r="B192" t="n">
        <x:v>2026</x:v>
      </x:c>
      <x:c r="C192" s="476" t="str">
        <x:v>Tenente Portela</x:v>
      </x:c>
      <x:c r="D192" s="476" t="str">
        <x:v>Associacao Beneficente Ouro Branco</x:v>
      </x:c>
      <x:c r="E192" s="476" t="str">
        <x:v>Associacao Hospitalar Beneficente Santo Antonio</x:v>
      </x:c>
      <x:c r="F192" s="476" t="str">
        <x:v>41160003</x:v>
      </x:c>
      <x:c r="G192" s="476" t="str">
        <x:v>41160003-2026</x:v>
      </x:c>
      <x:c r="H192" s="476" t="str">
        <x:v>Informado/corrigido a partir do mapa</x:v>
      </x:c>
      <x:c r="I192" s="499" t="n">
        <x:v>200000</x:v>
      </x:c>
      <x:c r="J192" s="499" t="n">
        <x:v>200000</x:v>
      </x:c>
      <x:c r="K192" s="476" t="str">
        <x:v>Emenda individual</x:v>
      </x:c>
      <x:c r="L192" s="476"/>
      <x:c r="M192" s="499" t="n">
        <x:v>0</x:v>
      </x:c>
      <x:c r="N192" s="499" t="n">
        <x:v>200000</x:v>
      </x:c>
      <x:c r="O192" s="499" t="n">
        <x:v>0</x:v>
      </x:c>
      <x:c r="P192" s="499" t="n">
        <x:v>0</x:v>
      </x:c>
      <x:c r="Q192" s="499" t="n">
        <x:v>0</x:v>
      </x:c>
      <x:c r="R192" s="476" t="str"/>
      <x:c r="S192" s="476" t="str"/>
      <x:c r="T192" s="476" t="str">
        <x:v>DESTINO/INSTRUMENTO CONFIRMADO; VALOR NÃO COMPARÁVEL</x:v>
      </x:c>
      <x:c r="U192" s="476" t="str">
        <x:v>Média</x:v>
      </x:c>
      <x:c r="V192" s="476" t="str"/>
      <x:c r="W192" s="476" t="str">
        <x:v>Há instrumento do Transferegov para a emenda/município; valores do instrumento não foram usados como prova do valor da emenda</x:v>
      </x:c>
      <x:c r="X192" s="476" t="str">
        <x:v>https://discricionarias.transferegov.sistema.gov.br/voluntarias/ConsultarProposta/ResultadoDaConsultaDeConvenioSelecionarConvenio.do?sequencialConvenio=995400&amp;Usr=guest&amp;Pwd=guest</x:v>
      </x:c>
    </x:row>
    <x:row r="193">
      <x:c r="A193" t="n">
        <x:v>330</x:v>
      </x:c>
      <x:c r="B193" t="n">
        <x:v>2026</x:v>
      </x:c>
      <x:c r="C193" s="476" t="str">
        <x:v>Tucunduva</x:v>
      </x:c>
      <x:c r="D193" s="476" t="str">
        <x:v>Tucunduva</x:v>
      </x:c>
      <x:c r="E193" s="476" t="str">
        <x:v>Associacao Hospitalar Tucunduva E Novo Machado</x:v>
      </x:c>
      <x:c r="F193" s="476" t="str">
        <x:v>41160003</x:v>
      </x:c>
      <x:c r="G193" s="476" t="str">
        <x:v>41160003-2026</x:v>
      </x:c>
      <x:c r="H193" s="476" t="str">
        <x:v>Informado/corrigido a partir do mapa</x:v>
      </x:c>
      <x:c r="I193" s="499" t="n">
        <x:v>200000</x:v>
      </x:c>
      <x:c r="J193" s="499" t="n">
        <x:v>200000</x:v>
      </x:c>
      <x:c r="K193" s="476" t="str">
        <x:v>Emenda individual</x:v>
      </x:c>
      <x:c r="L193" s="476"/>
      <x:c r="M193" s="499" t="n">
        <x:v>0</x:v>
      </x:c>
      <x:c r="N193" s="499" t="n">
        <x:v>0</x:v>
      </x:c>
      <x:c r="O193" s="499" t="n">
        <x:v>0</x:v>
      </x:c>
      <x:c r="P193" s="499" t="n">
        <x:v>0</x:v>
      </x:c>
      <x:c r="Q193" s="499" t="n">
        <x:v>0</x:v>
      </x:c>
      <x:c r="R193" s="476" t="str"/>
      <x:c r="S193" s="476" t="str"/>
      <x:c r="T193" s="476" t="str">
        <x:v>EMENDA CONFIRMADA; DESTINO NÃO CONFIRMADO</x:v>
      </x:c>
      <x:c r="U193" s="476" t="str">
        <x:v>Média</x:v>
      </x:c>
      <x:c r="V193" s="476" t="str"/>
      <x:c r="W193" s="476" t="str">
        <x:v>Nº existe no SIGA; destinatário específico não foi confirmado nas bases anexas</x:v>
      </x:c>
      <x:c r="X193" s="476" t="str"/>
    </x:row>
    <x:row r="194">
      <x:c r="A194" t="n">
        <x:v>331</x:v>
      </x:c>
      <x:c r="B194" t="n">
        <x:v>2026</x:v>
      </x:c>
      <x:c r="C194" s="476" t="str">
        <x:v>Dom Pedrito</x:v>
      </x:c>
      <x:c r="D194" s="476" t="str">
        <x:v>Dom Pedrito</x:v>
      </x:c>
      <x:c r="E194" s="476" t="str">
        <x:v>Fundo Municipal de Saude</x:v>
      </x:c>
      <x:c r="F194" s="476" t="str">
        <x:v>41160013</x:v>
      </x:c>
      <x:c r="G194" s="476" t="str">
        <x:v>41160013-2026</x:v>
      </x:c>
      <x:c r="H194" s="476" t="str">
        <x:v>Informado/corrigido a partir do mapa</x:v>
      </x:c>
      <x:c r="I194" s="499" t="n">
        <x:v>200000</x:v>
      </x:c>
      <x:c r="J194" s="499" t="n">
        <x:v>200000</x:v>
      </x:c>
      <x:c r="K194" s="476" t="str">
        <x:v>Emenda individual</x:v>
      </x:c>
      <x:c r="L194" s="476"/>
      <x:c r="M194" s="499" t="n">
        <x:v>0</x:v>
      </x:c>
      <x:c r="N194" s="499" t="n">
        <x:v>0</x:v>
      </x:c>
      <x:c r="O194" s="499" t="n">
        <x:v>0</x:v>
      </x:c>
      <x:c r="P194" s="499" t="n">
        <x:v>0</x:v>
      </x:c>
      <x:c r="Q194" s="499" t="n">
        <x:v>0</x:v>
      </x:c>
      <x:c r="R194" s="476" t="str"/>
      <x:c r="S194" s="476" t="str"/>
      <x:c r="T194" s="476" t="str">
        <x:v>EMENDA CONFIRMADA; DESTINO NÃO CONFIRMADO</x:v>
      </x:c>
      <x:c r="U194" s="476" t="str">
        <x:v>Média</x:v>
      </x:c>
      <x:c r="V194" s="476" t="str"/>
      <x:c r="W194" s="476" t="str">
        <x:v>Nº existe no SIGA; destinatário específico não foi confirmado nas bases anexas</x:v>
      </x:c>
      <x:c r="X194" s="476" t="str"/>
    </x:row>
    <x:row r="195">
      <x:c r="A195" t="n">
        <x:v>333</x:v>
      </x:c>
      <x:c r="B195" t="n">
        <x:v>2026</x:v>
      </x:c>
      <x:c r="C195" s="476" t="str">
        <x:v>Gramado dos Loureiros</x:v>
      </x:c>
      <x:c r="D195" s="476" t="str">
        <x:v>Gramado dos Loureiros</x:v>
      </x:c>
      <x:c r="E195" s="476" t="str">
        <x:v>Fundo Municipal de Saude de Gramado Dos Loureiros</x:v>
      </x:c>
      <x:c r="F195" s="476" t="str">
        <x:v>41160013</x:v>
      </x:c>
      <x:c r="G195" s="476" t="str">
        <x:v>41160013-2026</x:v>
      </x:c>
      <x:c r="H195" s="476" t="str">
        <x:v>Informado/corrigido a partir do mapa</x:v>
      </x:c>
      <x:c r="I195" s="499" t="n">
        <x:v>200000</x:v>
      </x:c>
      <x:c r="J195" s="499" t="n">
        <x:v>200000</x:v>
      </x:c>
      <x:c r="K195" s="476" t="str">
        <x:v>Emenda individual</x:v>
      </x:c>
      <x:c r="L195" s="476"/>
      <x:c r="M195" s="499" t="n">
        <x:v>0</x:v>
      </x:c>
      <x:c r="N195" s="499" t="n">
        <x:v>0</x:v>
      </x:c>
      <x:c r="O195" s="499" t="n">
        <x:v>0</x:v>
      </x:c>
      <x:c r="P195" s="499" t="n">
        <x:v>0</x:v>
      </x:c>
      <x:c r="Q195" s="499" t="n">
        <x:v>0</x:v>
      </x:c>
      <x:c r="R195" s="476" t="str"/>
      <x:c r="S195" s="476" t="str"/>
      <x:c r="T195" s="476" t="str">
        <x:v>EMENDA CONFIRMADA; DESTINO NÃO CONFIRMADO</x:v>
      </x:c>
      <x:c r="U195" s="476" t="str">
        <x:v>Média</x:v>
      </x:c>
      <x:c r="V195" s="476" t="str"/>
      <x:c r="W195" s="476" t="str">
        <x:v>Nº existe no SIGA; destinatário específico não foi confirmado nas bases anexas</x:v>
      </x:c>
      <x:c r="X195" s="476" t="str"/>
    </x:row>
    <x:row r="196">
      <x:c r="A196" t="n">
        <x:v>336</x:v>
      </x:c>
      <x:c r="B196" t="n">
        <x:v>2026</x:v>
      </x:c>
      <x:c r="C196" s="476" t="str">
        <x:v>Palmitinho</x:v>
      </x:c>
      <x:c r="D196" s="476" t="str">
        <x:v>Palmitinho</x:v>
      </x:c>
      <x:c r="E196" s="476" t="str">
        <x:v>Fundo Municipal de Saude de Palmitinho</x:v>
      </x:c>
      <x:c r="F196" s="476" t="str">
        <x:v>41160013</x:v>
      </x:c>
      <x:c r="G196" s="476" t="str">
        <x:v>41160013-2026</x:v>
      </x:c>
      <x:c r="H196" s="476" t="str">
        <x:v>Informado/corrigido a partir do mapa</x:v>
      </x:c>
      <x:c r="I196" s="499" t="n">
        <x:v>200000</x:v>
      </x:c>
      <x:c r="J196" s="499" t="n">
        <x:v>200000</x:v>
      </x:c>
      <x:c r="K196" s="476" t="str">
        <x:v>Emenda individual</x:v>
      </x:c>
      <x:c r="L196" s="476"/>
      <x:c r="M196" s="499" t="n">
        <x:v>0</x:v>
      </x:c>
      <x:c r="N196" s="499" t="n">
        <x:v>0</x:v>
      </x:c>
      <x:c r="O196" s="499" t="n">
        <x:v>0</x:v>
      </x:c>
      <x:c r="P196" s="499" t="n">
        <x:v>0</x:v>
      </x:c>
      <x:c r="Q196" s="499" t="n">
        <x:v>0</x:v>
      </x:c>
      <x:c r="R196" s="476" t="str"/>
      <x:c r="S196" s="476" t="str"/>
      <x:c r="T196" s="476" t="str">
        <x:v>EMENDA CONFIRMADA; DESTINO NÃO CONFIRMADO</x:v>
      </x:c>
      <x:c r="U196" s="476" t="str">
        <x:v>Média</x:v>
      </x:c>
      <x:c r="V196" s="476" t="str"/>
      <x:c r="W196" s="476" t="str">
        <x:v>Nº existe no SIGA; destinatário específico não foi confirmado nas bases anexas</x:v>
      </x:c>
      <x:c r="X196" s="476" t="str"/>
    </x:row>
    <x:row r="197">
      <x:c r="A197" t="n">
        <x:v>337</x:v>
      </x:c>
      <x:c r="B197" t="n">
        <x:v>2026</x:v>
      </x:c>
      <x:c r="C197" s="476" t="str">
        <x:v>Pinheiro Machado</x:v>
      </x:c>
      <x:c r="D197" s="476" t="str">
        <x:v>Pinheiro Machado</x:v>
      </x:c>
      <x:c r="E197" s="476" t="str">
        <x:v>Fundo Municipal de Saude de Pinheiro Machado</x:v>
      </x:c>
      <x:c r="F197" s="476" t="str">
        <x:v>41160013</x:v>
      </x:c>
      <x:c r="G197" s="476" t="str">
        <x:v>41160013-2026</x:v>
      </x:c>
      <x:c r="H197" s="476" t="str">
        <x:v>Informado/corrigido a partir do mapa</x:v>
      </x:c>
      <x:c r="I197" s="499" t="n">
        <x:v>200000</x:v>
      </x:c>
      <x:c r="J197" s="499" t="n">
        <x:v>200000</x:v>
      </x:c>
      <x:c r="K197" s="476" t="str">
        <x:v>Emenda individual</x:v>
      </x:c>
      <x:c r="L197" s="476"/>
      <x:c r="M197" s="499" t="n">
        <x:v>199279</x:v>
      </x:c>
      <x:c r="N197" s="499" t="n">
        <x:v>0</x:v>
      </x:c>
      <x:c r="O197" s="499" t="n">
        <x:v>0</x:v>
      </x:c>
      <x:c r="P197" s="499" t="n">
        <x:v>0</x:v>
      </x:c>
      <x:c r="Q197" s="499" t="n">
        <x:v>0</x:v>
      </x:c>
      <x:c r="R197" s="476" t="str"/>
      <x:c r="S197" s="476" t="str">
        <x:v>12062786000150</x:v>
      </x:c>
      <x:c r="T197" s="476" t="str">
        <x:v>VALOR DIVERGENTE / COBERTURA DIFERENTE</x:v>
      </x:c>
      <x:c r="U197" s="476" t="str">
        <x:v>Média</x:v>
      </x:c>
      <x:c r="V197" s="476" t="str">
        <x:v>Preencher situação: há pagamento identificado na fonte pública</x:v>
      </x:c>
      <x:c r="W197" s="476" t="str">
        <x:v>Município/localidade encontrado em fonte comparável, mas valor não fecha exatamente</x:v>
      </x:c>
      <x:c r="X197" s="476" t="str"/>
    </x:row>
    <x:row r="198">
      <x:c r="A198" t="n">
        <x:v>338</x:v>
      </x:c>
      <x:c r="B198" t="n">
        <x:v>2026</x:v>
      </x:c>
      <x:c r="C198" s="476" t="str">
        <x:v>Salvador das MIssões</x:v>
      </x:c>
      <x:c r="D198" s="476" t="str">
        <x:v>Salvador das MIssões</x:v>
      </x:c>
      <x:c r="E198" s="476" t="str">
        <x:v>Fundo Municipal de Saude de Salvador Das Missoes</x:v>
      </x:c>
      <x:c r="F198" s="476" t="str">
        <x:v>41160013</x:v>
      </x:c>
      <x:c r="G198" s="476" t="str">
        <x:v>41160013-2026</x:v>
      </x:c>
      <x:c r="H198" s="476" t="str">
        <x:v>Informado/corrigido a partir do mapa</x:v>
      </x:c>
      <x:c r="I198" s="499" t="n">
        <x:v>200000</x:v>
      </x:c>
      <x:c r="J198" s="499" t="n">
        <x:v>200000</x:v>
      </x:c>
      <x:c r="K198" s="476" t="str">
        <x:v>Emenda individual</x:v>
      </x:c>
      <x:c r="L198" s="476"/>
      <x:c r="M198" s="499" t="n">
        <x:v>35160</x:v>
      </x:c>
      <x:c r="N198" s="499" t="n">
        <x:v>0</x:v>
      </x:c>
      <x:c r="O198" s="499" t="n">
        <x:v>0</x:v>
      </x:c>
      <x:c r="P198" s="499" t="n">
        <x:v>0</x:v>
      </x:c>
      <x:c r="Q198" s="499" t="n">
        <x:v>0</x:v>
      </x:c>
      <x:c r="R198" s="476" t="str"/>
      <x:c r="S198" s="476" t="str">
        <x:v>12137437000150</x:v>
      </x:c>
      <x:c r="T198" s="476" t="str">
        <x:v>VALOR DIVERGENTE / COBERTURA DIFERENTE</x:v>
      </x:c>
      <x:c r="U198" s="476" t="str">
        <x:v>Alta</x:v>
      </x:c>
      <x:c r="V198" s="476" t="str">
        <x:v>Preencher situação: há pagamento identificado na fonte pública</x:v>
      </x:c>
      <x:c r="W198" s="476" t="str">
        <x:v>Município/localidade encontrado em fonte comparável, mas valor não fecha exatamente</x:v>
      </x:c>
      <x:c r="X198" s="476" t="str"/>
    </x:row>
    <x:row r="199">
      <x:c r="A199" t="n">
        <x:v>339</x:v>
      </x:c>
      <x:c r="B199" t="n">
        <x:v>2026</x:v>
      </x:c>
      <x:c r="C199" s="476" t="str">
        <x:v>São Paulo das Missões</x:v>
      </x:c>
      <x:c r="D199" s="476" t="str">
        <x:v>São Paulo das Missões</x:v>
      </x:c>
      <x:c r="E199" s="476" t="str">
        <x:v>Fundo Municipal de Saude de Sao Paulo Das Missoes</x:v>
      </x:c>
      <x:c r="F199" s="476" t="str">
        <x:v>41160013</x:v>
      </x:c>
      <x:c r="G199" s="476" t="str">
        <x:v>41160013-2026</x:v>
      </x:c>
      <x:c r="H199" s="476" t="str">
        <x:v>Informado/corrigido a partir do mapa</x:v>
      </x:c>
      <x:c r="I199" s="499" t="n">
        <x:v>200000</x:v>
      </x:c>
      <x:c r="J199" s="499" t="n">
        <x:v>200000</x:v>
      </x:c>
      <x:c r="K199" s="476" t="str">
        <x:v>Emenda individual</x:v>
      </x:c>
      <x:c r="L199" s="476"/>
      <x:c r="M199" s="499" t="n">
        <x:v>4920</x:v>
      </x:c>
      <x:c r="N199" s="499" t="n">
        <x:v>0</x:v>
      </x:c>
      <x:c r="O199" s="499" t="n">
        <x:v>0</x:v>
      </x:c>
      <x:c r="P199" s="499" t="n">
        <x:v>0</x:v>
      </x:c>
      <x:c r="Q199" s="499" t="n">
        <x:v>0</x:v>
      </x:c>
      <x:c r="R199" s="476" t="str"/>
      <x:c r="S199" s="476" t="str">
        <x:v>12202854000130</x:v>
      </x:c>
      <x:c r="T199" s="476" t="str">
        <x:v>VALOR DIVERGENTE / COBERTURA DIFERENTE</x:v>
      </x:c>
      <x:c r="U199" s="476" t="str">
        <x:v>Alta</x:v>
      </x:c>
      <x:c r="V199" s="476" t="str">
        <x:v>Preencher situação: há pagamento identificado na fonte pública</x:v>
      </x:c>
      <x:c r="W199" s="476" t="str">
        <x:v>Município/localidade encontrado em fonte comparável, mas valor não fecha exatamente</x:v>
      </x:c>
      <x:c r="X199" s="476" t="str"/>
    </x:row>
    <x:row r="200">
      <x:c r="A200" t="n">
        <x:v>341</x:v>
      </x:c>
      <x:c r="B200" t="n">
        <x:v>2026</x:v>
      </x:c>
      <x:c r="C200" s="476" t="str">
        <x:v>Brochier</x:v>
      </x:c>
      <x:c r="D200" s="476" t="str">
        <x:v>Fundo Municipal de Saúde de Brochier - RS</x:v>
      </x:c>
      <x:c r="E200" s="476" t="str">
        <x:v>Município de Brochier</x:v>
      </x:c>
      <x:c r="F200" s="476" t="str">
        <x:v>41160013</x:v>
      </x:c>
      <x:c r="G200" s="476" t="str">
        <x:v>41160013-2026</x:v>
      </x:c>
      <x:c r="H200" s="476" t="str">
        <x:v>Informado/corrigido a partir do mapa</x:v>
      </x:c>
      <x:c r="I200" s="499" t="n">
        <x:v>200000</x:v>
      </x:c>
      <x:c r="J200" s="499" t="n">
        <x:v>200000</x:v>
      </x:c>
      <x:c r="K200" s="476" t="str">
        <x:v>Emenda individual</x:v>
      </x:c>
      <x:c r="L200" s="476"/>
      <x:c r="M200" s="499" t="n">
        <x:v>0</x:v>
      </x:c>
      <x:c r="N200" s="499" t="n">
        <x:v>0</x:v>
      </x:c>
      <x:c r="O200" s="499" t="n">
        <x:v>0</x:v>
      </x:c>
      <x:c r="P200" s="499" t="n">
        <x:v>0</x:v>
      </x:c>
      <x:c r="Q200" s="499" t="n">
        <x:v>0</x:v>
      </x:c>
      <x:c r="R200" s="476" t="str"/>
      <x:c r="S200" s="476" t="str"/>
      <x:c r="T200" s="476" t="str">
        <x:v>EMENDA CONFIRMADA; DESTINO NÃO CONFIRMADO</x:v>
      </x:c>
      <x:c r="U200" s="476" t="str">
        <x:v>Média</x:v>
      </x:c>
      <x:c r="V200" s="476" t="str"/>
      <x:c r="W200" s="476" t="str">
        <x:v>Nº existe no SIGA; destinatário específico não foi confirmado nas bases anexas</x:v>
      </x:c>
      <x:c r="X200" s="476" t="str"/>
    </x:row>
    <x:row r="201">
      <x:c r="A201" t="n">
        <x:v>343</x:v>
      </x:c>
      <x:c r="B201" t="n">
        <x:v>2026</x:v>
      </x:c>
      <x:c r="C201" s="476" t="str">
        <x:v>Putinga</x:v>
      </x:c>
      <x:c r="D201" s="476" t="str">
        <x:v>Fundo Municipal de Saúde de Putinga - RS</x:v>
      </x:c>
      <x:c r="E201" s="476" t="str">
        <x:v>Município de Putinga</x:v>
      </x:c>
      <x:c r="F201" s="476" t="str">
        <x:v>41160013</x:v>
      </x:c>
      <x:c r="G201" s="476" t="str">
        <x:v>41160013-2026</x:v>
      </x:c>
      <x:c r="H201" s="476" t="str">
        <x:v>Informado/corrigido a partir do mapa</x:v>
      </x:c>
      <x:c r="I201" s="499" t="n">
        <x:v>200000</x:v>
      </x:c>
      <x:c r="J201" s="499" t="n">
        <x:v>200000</x:v>
      </x:c>
      <x:c r="K201" s="476" t="str">
        <x:v>Emenda individual</x:v>
      </x:c>
      <x:c r="L201" s="476"/>
      <x:c r="M201" s="499" t="n">
        <x:v>0</x:v>
      </x:c>
      <x:c r="N201" s="499" t="n">
        <x:v>0</x:v>
      </x:c>
      <x:c r="O201" s="499" t="n">
        <x:v>0</x:v>
      </x:c>
      <x:c r="P201" s="499" t="n">
        <x:v>0</x:v>
      </x:c>
      <x:c r="Q201" s="499" t="n">
        <x:v>0</x:v>
      </x:c>
      <x:c r="R201" s="476" t="str"/>
      <x:c r="S201" s="476" t="str"/>
      <x:c r="T201" s="476" t="str">
        <x:v>EMENDA CONFIRMADA; DESTINO NÃO CONFIRMADO</x:v>
      </x:c>
      <x:c r="U201" s="476" t="str">
        <x:v>Média</x:v>
      </x:c>
      <x:c r="V201" s="476" t="str"/>
      <x:c r="W201" s="476" t="str">
        <x:v>Nº existe no SIGA; destinatário específico não foi confirmado nas bases anexas</x:v>
      </x:c>
      <x:c r="X201" s="476" t="str"/>
    </x:row>
    <x:row r="202">
      <x:c r="A202" t="n">
        <x:v>344</x:v>
      </x:c>
      <x:c r="B202" t="n">
        <x:v>2026</x:v>
      </x:c>
      <x:c r="C202" s="476" t="str">
        <x:v>Marau</x:v>
      </x:c>
      <x:c r="D202" s="476" t="str">
        <x:v>Associação Hospitalar Beneficente de Marau - Marau - RS</x:v>
      </x:c>
      <x:c r="E202" s="476" t="str">
        <x:v>Associação Hospitalar Beneficente de Marau - Marau - RS</x:v>
      </x:c>
      <x:c r="F202" s="476" t="str">
        <x:v>41160003</x:v>
      </x:c>
      <x:c r="G202" s="476" t="str">
        <x:v>41160003-2026</x:v>
      </x:c>
      <x:c r="H202" s="476" t="str">
        <x:v>Informado/corrigido a partir do mapa</x:v>
      </x:c>
      <x:c r="I202" s="499" t="n">
        <x:v>200000</x:v>
      </x:c>
      <x:c r="J202" s="499" t="n">
        <x:v>200000</x:v>
      </x:c>
      <x:c r="K202" s="476" t="str">
        <x:v>Emenda individual</x:v>
      </x:c>
      <x:c r="L202" s="476"/>
      <x:c r="M202" s="499" t="n">
        <x:v>0</x:v>
      </x:c>
      <x:c r="N202" s="499" t="n">
        <x:v>0</x:v>
      </x:c>
      <x:c r="O202" s="499" t="n">
        <x:v>0</x:v>
      </x:c>
      <x:c r="P202" s="499" t="n">
        <x:v>0</x:v>
      </x:c>
      <x:c r="Q202" s="499" t="n">
        <x:v>0</x:v>
      </x:c>
      <x:c r="R202" s="476" t="str"/>
      <x:c r="S202" s="476" t="str"/>
      <x:c r="T202" s="476" t="str">
        <x:v>EMENDA CONFIRMADA; DESTINO NÃO CONFIRMADO</x:v>
      </x:c>
      <x:c r="U202" s="476" t="str">
        <x:v>Média</x:v>
      </x:c>
      <x:c r="V202" s="476" t="str"/>
      <x:c r="W202" s="476" t="str">
        <x:v>Nº existe no SIGA; destinatário específico não foi confirmado nas bases anexas</x:v>
      </x:c>
      <x:c r="X202" s="476" t="str"/>
    </x:row>
    <x:row r="203">
      <x:c r="A203" t="n">
        <x:v>347</x:v>
      </x:c>
      <x:c r="B203" t="n">
        <x:v>2020</x:v>
      </x:c>
      <x:c r="C203" s="476" t="str">
        <x:v>Porto Alegre</x:v>
      </x:c>
      <x:c r="D203" s="476" t="str">
        <x:v>Instituto Geral de Perícias</x:v>
      </x:c>
      <x:c r="E203" s="476" t="str">
        <x:v>Instituto Geral de Perícias</x:v>
      </x:c>
      <x:c r="F203" s="476" t="str">
        <x:v>41160010</x:v>
      </x:c>
      <x:c r="G203" s="476" t="str">
        <x:v>41160010-2020</x:v>
      </x:c>
      <x:c r="H203" s="476" t="str">
        <x:v>Informado/corrigido a partir do mapa</x:v>
      </x:c>
      <x:c r="I203" s="499" t="n">
        <x:v>200841.17</x:v>
      </x:c>
      <x:c r="J203" s="499" t="n">
        <x:v>554830.11</x:v>
      </x:c>
      <x:c r="K203" s="476" t="str">
        <x:v>Emenda individual</x:v>
      </x:c>
      <x:c r="L203" s="476" t="str">
        <x:v>Pregão eletrônio concluído.</x:v>
      </x:c>
      <x:c r="M203" s="499" t="n">
        <x:v>622294.89</x:v>
      </x:c>
      <x:c r="N203" s="499" t="n">
        <x:v>3614493.94</x:v>
      </x:c>
      <x:c r="O203" s="499" t="n">
        <x:v>3290479.1</x:v>
      </x:c>
      <x:c r="P203" s="499" t="n">
        <x:v>0</x:v>
      </x:c>
      <x:c r="Q203" s="499" t="n">
        <x:v>0</x:v>
      </x:c>
      <x:c r="R203" s="476" t="str"/>
      <x:c r="S203" s="476" t="str">
        <x:v>87958583000146</x:v>
      </x:c>
      <x:c r="T203" s="476" t="str">
        <x:v>VALOR DIVERGENTE / COBERTURA DIFERENTE</x:v>
      </x:c>
      <x:c r="U203" s="476" t="str">
        <x:v>Alta</x:v>
      </x:c>
      <x:c r="V203" s="476" t="str">
        <x:v>CNPJ candidato na fonte SIGA: 87958583000146</x:v>
      </x:c>
      <x:c r="W203" s="476" t="str">
        <x:v>Município/localidade encontrado em fonte comparável, mas valor não fecha exatamente</x:v>
      </x:c>
      <x:c r="X203" s="476" t="str">
        <x:v>https://discricionarias.transferegov.sistema.gov.br/voluntarias/ConsultarProposta/ResultadoDaConsultaDeConvenioSelecionarConvenio.do?sequencialConvenio=905242&amp;Usr=guest&amp;Pwd=guest | https://discricionarias.transferegov.sistema.gov.br/voluntarias/ConsultarProposta/ResultadoDaConsultaDeConvenioSelecionarConvenio.do?sequencialConvenio=905738&amp;Usr=guest&amp;Pwd=guest</x:v>
      </x:c>
    </x:row>
    <x:row r="204">
      <x:c r="A204" t="n">
        <x:v>348</x:v>
      </x:c>
      <x:c r="B204" t="n">
        <x:v>2020</x:v>
      </x:c>
      <x:c r="C204" s="476" t="str">
        <x:v>Vários municípios</x:v>
      </x:c>
      <x:c r="D204" s="476" t="str">
        <x:v>Brigada Militar</x:v>
      </x:c>
      <x:c r="E204" s="476" t="str">
        <x:v>Unidades da Brigada Militar em Porto Alegre, Canoas, Cruz Alta, Santa Maria, Guaíba, Santa Rosa, Osório, Santo Ângelo, Passo Fundo, Caxias do Sul, Pelotas, Montenegro, Santa Cruz do Sul, Novo Hamburgo e Lajeado.</x:v>
      </x:c>
      <x:c r="F204" s="476" t="str">
        <x:v>41160002</x:v>
      </x:c>
      <x:c r="G204" s="476" t="str">
        <x:v>41160002-2020</x:v>
      </x:c>
      <x:c r="H204" s="476" t="str">
        <x:v>Informado/corrigido a partir do mapa</x:v>
      </x:c>
      <x:c r="I204" s="499" t="n">
        <x:v>201110.34</x:v>
      </x:c>
      <x:c r="J204" s="499" t="n">
        <x:v>519035.33999999997</x:v>
      </x:c>
      <x:c r="K204" s="476" t="str">
        <x:v>Emenda individual</x:v>
      </x:c>
      <x:c r="L204" s="476" t="str">
        <x:v>Pagamento da emenda realizado em 25/06/2021. 102 Coletes Balísticos IIIA Masculino M, totalizando  91.292,31. Valor unitário mais baixo do que aquele previsto no Plano de Trabalho. Os 102 coletes foram direcionados para o Comando de Policiamento da Capital.   </x:v>
      </x:c>
      <x:c r="M204" s="499" t="n">
        <x:v>0</x:v>
      </x:c>
      <x:c r="N204" s="499" t="n">
        <x:v>0</x:v>
      </x:c>
      <x:c r="O204" s="499" t="n">
        <x:v>0</x:v>
      </x:c>
      <x:c r="P204" s="499" t="n">
        <x:v>0</x:v>
      </x:c>
      <x:c r="Q204" s="499" t="n">
        <x:v>0</x:v>
      </x:c>
      <x:c r="R204" s="476" t="str"/>
      <x:c r="S204" s="476" t="str"/>
      <x:c r="T204" s="476" t="str">
        <x:v>EMENDA CONFIRMADA; DESTINO NÃO CONFIRMADO</x:v>
      </x:c>
      <x:c r="U204" s="476" t="str">
        <x:v>Média</x:v>
      </x:c>
      <x:c r="V204" s="476" t="str"/>
      <x:c r="W204" s="476" t="str">
        <x:v>Nº existe no SIGA; destinatário específico não foi confirmado nas bases anexas</x:v>
      </x:c>
      <x:c r="X204" s="476" t="str"/>
    </x:row>
    <x:row r="205">
      <x:c r="A205" t="n">
        <x:v>349</x:v>
      </x:c>
      <x:c r="B205" t="n">
        <x:v>2025</x:v>
      </x:c>
      <x:c r="C205" s="476" t="str">
        <x:v>Santo Ângelo</x:v>
      </x:c>
      <x:c r="D205" s="476" t="str">
        <x:v>Associacao Hospital De Caridade De Santo Angelo Santo Ângelo - Rs</x:v>
      </x:c>
      <x:c r="E205" s="476" t="str">
        <x:v>Associacao Hospital De Caridade De Santo Angelo Santo Ângelo - Rs</x:v>
      </x:c>
      <x:c r="F205" s="476" t="str">
        <x:v>41160004</x:v>
      </x:c>
      <x:c r="G205" s="476" t="str">
        <x:v>41160004-2025</x:v>
      </x:c>
      <x:c r="H205" s="476" t="str">
        <x:v>Informado/corrigido a partir do mapa</x:v>
      </x:c>
      <x:c r="I205" s="499" t="n">
        <x:v>202000</x:v>
      </x:c>
      <x:c r="J205" s="499" t="n">
        <x:v>202000</x:v>
      </x:c>
      <x:c r="K205" s="476" t="str">
        <x:v>Emenda Individual</x:v>
      </x:c>
      <x:c r="L205" s="476"/>
      <x:c r="M205" s="499" t="n">
        <x:v>0</x:v>
      </x:c>
      <x:c r="N205" s="499" t="n">
        <x:v>201225</x:v>
      </x:c>
      <x:c r="O205" s="499" t="n">
        <x:v>0</x:v>
      </x:c>
      <x:c r="P205" s="499" t="n">
        <x:v>0</x:v>
      </x:c>
      <x:c r="Q205" s="499" t="n">
        <x:v>0</x:v>
      </x:c>
      <x:c r="R205" s="476" t="str"/>
      <x:c r="S205" s="476" t="str"/>
      <x:c r="T205" s="476" t="str">
        <x:v>DESTINO/INSTRUMENTO CONFIRMADO; VALOR NÃO COMPARÁVEL</x:v>
      </x:c>
      <x:c r="U205" s="476" t="str">
        <x:v>Média</x:v>
      </x:c>
      <x:c r="V205" s="476" t="str"/>
      <x:c r="W205" s="476" t="str">
        <x:v>Há instrumento do Transferegov para a emenda/município; valores do instrumento não foram usados como prova do valor da emenda</x:v>
      </x:c>
      <x:c r="X205" s="476" t="str">
        <x:v>https://discricionarias.transferegov.sistema.gov.br/voluntarias/ConsultarProposta/ResultadoDaConsultaDeConvenioSelecionarConvenio.do?sequencialConvenio=988625&amp;Usr=guest&amp;Pwd=guest</x:v>
      </x:c>
    </x:row>
    <x:row r="206">
      <x:c r="A206" t="n">
        <x:v>350</x:v>
      </x:c>
      <x:c r="B206" t="n">
        <x:v>2025</x:v>
      </x:c>
      <x:c r="C206" s="476" t="str">
        <x:v>Sapiranga</x:v>
      </x:c>
      <x:c r="D206" s="476" t="str">
        <x:v>Hospital Sapiranga - Sociedade Beneficente Sapiranga - Rs</x:v>
      </x:c>
      <x:c r="E206" s="476" t="str">
        <x:v>Hospital Sapiranga - Sociedade Beneficente Sapiranga - Rs</x:v>
      </x:c>
      <x:c r="F206" s="476" t="str">
        <x:v>41160004</x:v>
      </x:c>
      <x:c r="G206" s="476" t="str">
        <x:v>41160004-2025</x:v>
      </x:c>
      <x:c r="H206" s="476" t="str">
        <x:v>Informado/corrigido a partir do mapa</x:v>
      </x:c>
      <x:c r="I206" s="499" t="n">
        <x:v>204000</x:v>
      </x:c>
      <x:c r="J206" s="499" t="n">
        <x:v>204000</x:v>
      </x:c>
      <x:c r="K206" s="476" t="str">
        <x:v>Emenda Individual</x:v>
      </x:c>
      <x:c r="L206" s="476"/>
      <x:c r="M206" s="499" t="n">
        <x:v>0</x:v>
      </x:c>
      <x:c r="N206" s="499" t="n">
        <x:v>204000</x:v>
      </x:c>
      <x:c r="O206" s="499" t="n">
        <x:v>0</x:v>
      </x:c>
      <x:c r="P206" s="499" t="n">
        <x:v>0</x:v>
      </x:c>
      <x:c r="Q206" s="499" t="n">
        <x:v>0</x:v>
      </x:c>
      <x:c r="R206" s="476" t="str"/>
      <x:c r="S206" s="476" t="str"/>
      <x:c r="T206" s="476" t="str">
        <x:v>DESTINO/INSTRUMENTO CONFIRMADO; VALOR NÃO COMPARÁVEL</x:v>
      </x:c>
      <x:c r="U206" s="476" t="str">
        <x:v>Média</x:v>
      </x:c>
      <x:c r="V206" s="476" t="str"/>
      <x:c r="W206" s="476" t="str">
        <x:v>Há instrumento do Transferegov para a emenda/município; valores do instrumento não foram usados como prova do valor da emenda</x:v>
      </x:c>
      <x:c r="X206" s="476" t="str">
        <x:v>https://discricionarias.transferegov.sistema.gov.br/voluntarias/ConsultarProposta/ResultadoDaConsultaDeConvenioSelecionarConvenio.do?sequencialConvenio=988647&amp;Usr=guest&amp;Pwd=guest</x:v>
      </x:c>
    </x:row>
    <x:row r="207">
      <x:c r="A207" t="n">
        <x:v>351</x:v>
      </x:c>
      <x:c r="B207" t="n">
        <x:v>2020</x:v>
      </x:c>
      <x:c r="C207" s="476" t="str">
        <x:v>Dois Irmãos</x:v>
      </x:c>
      <x:c r="D207" s="476" t="str">
        <x:v>Brigada Militar</x:v>
      </x:c>
      <x:c r="E207" s="476" t="str">
        <x:v>Brigada Militar de Dois Irmãos</x:v>
      </x:c>
      <x:c r="F207" s="476" t="str"/>
      <x:c r="G207" s="476" t="str"/>
      <x:c r="H207" s="476" t="str">
        <x:v>Sem nº conciliado</x:v>
      </x:c>
      <x:c r="I207" s="499" t="n">
        <x:v>209500</x:v>
      </x:c>
      <x:c r="J207" s="499" t="n">
        <x:v>1309500</x:v>
      </x:c>
      <x:c r="K207" s="476" t="str">
        <x:v>Emenda de Bancada</x:v>
      </x:c>
      <x:c r="L207" s="476" t="str">
        <x:v>Em licitação</x:v>
      </x:c>
      <x:c r="M207" s="499" t="n">
        <x:v>0</x:v>
      </x:c>
      <x:c r="N207" s="499" t="n">
        <x:v>0</x:v>
      </x:c>
      <x:c r="O207" s="499" t="n">
        <x:v>0</x:v>
      </x:c>
      <x:c r="P207" s="499" t="n">
        <x:v>0</x:v>
      </x:c>
      <x:c r="Q207" s="499" t="n">
        <x:v>0</x:v>
      </x:c>
      <x:c r="R207" s="476" t="str"/>
      <x:c r="S207" s="476" t="str"/>
      <x:c r="T207" s="476" t="str">
        <x:v>SEM Nº / NÃO CONCILIADO</x:v>
      </x:c>
      <x:c r="U207" s="476" t="str">
        <x:v>Média</x:v>
      </x:c>
      <x:c r="V207" s="476" t="str"/>
      <x:c r="W207" s="476" t="str"/>
      <x:c r="X207" s="476" t="str"/>
    </x:row>
    <x:row r="208">
      <x:c r="A208" t="n">
        <x:v>352</x:v>
      </x:c>
      <x:c r="B208" t="n">
        <x:v>2021</x:v>
      </x:c>
      <x:c r="C208" s="476" t="str">
        <x:v>Estância Velha</x:v>
      </x:c>
      <x:c r="D208" s="476" t="str">
        <x:v>Hospital</x:v>
      </x:c>
      <x:c r="E208" s="476" t="str">
        <x:v>Hospital Municipal Getúlio Vargas</x:v>
      </x:c>
      <x:c r="F208" s="476" t="str">
        <x:v>41160003</x:v>
      </x:c>
      <x:c r="G208" s="476" t="str">
        <x:v>41160003-2021</x:v>
      </x:c>
      <x:c r="H208" s="476" t="str">
        <x:v>Informado/corrigido a partir do mapa</x:v>
      </x:c>
      <x:c r="I208" s="499" t="n">
        <x:v>210000</x:v>
      </x:c>
      <x:c r="J208" s="499" t="n">
        <x:v>210000</x:v>
      </x:c>
      <x:c r="K208" s="476" t="str">
        <x:v>Emenda individual (processo seletivo)</x:v>
      </x:c>
      <x:c r="L208" s="476" t="str">
        <x:v>Recurso pago</x:v>
      </x:c>
      <x:c r="M208" s="499" t="n">
        <x:v>0</x:v>
      </x:c>
      <x:c r="N208" s="499" t="n">
        <x:v>0</x:v>
      </x:c>
      <x:c r="O208" s="499" t="n">
        <x:v>0</x:v>
      </x:c>
      <x:c r="P208" s="499" t="n">
        <x:v>0</x:v>
      </x:c>
      <x:c r="Q208" s="499" t="n">
        <x:v>0</x:v>
      </x:c>
      <x:c r="R208" s="476" t="str"/>
      <x:c r="S208" s="476" t="str"/>
      <x:c r="T208" s="476" t="str">
        <x:v>EMENDA CONFIRMADA; DESTINO NÃO CONFIRMADO</x:v>
      </x:c>
      <x:c r="U208" s="476" t="str">
        <x:v>Média</x:v>
      </x:c>
      <x:c r="V208" s="476" t="str"/>
      <x:c r="W208" s="476" t="str">
        <x:v>Nº existe no SIGA; destinatário específico não foi confirmado nas bases anexas</x:v>
      </x:c>
      <x:c r="X208" s="476" t="str"/>
    </x:row>
    <x:row r="209">
      <x:c r="A209" t="n">
        <x:v>353</x:v>
      </x:c>
      <x:c r="B209" t="n">
        <x:v>2022</x:v>
      </x:c>
      <x:c r="C209" s="476" t="str">
        <x:v>Marau</x:v>
      </x:c>
      <x:c r="D209" s="476"/>
      <x:c r="E209" s="476" t="str">
        <x:v>Associação Hospitalar Beneficente de Marau</x:v>
      </x:c>
      <x:c r="F209" s="476" t="str">
        <x:v>41160003</x:v>
      </x:c>
      <x:c r="G209" s="476" t="str">
        <x:v>41160003-2022</x:v>
      </x:c>
      <x:c r="H209" s="476" t="str">
        <x:v>Informado/corrigido a partir do mapa</x:v>
      </x:c>
      <x:c r="I209" s="499" t="n">
        <x:v>210000</x:v>
      </x:c>
      <x:c r="J209" s="499" t="n">
        <x:v>210000</x:v>
      </x:c>
      <x:c r="K209" s="476" t="str">
        <x:v>Emenda Individual </x:v>
      </x:c>
      <x:c r="L209" s="476" t="str">
        <x:v>Emenda não localizada. (Consultado SIOP em 16/04/2024).</x:v>
      </x:c>
      <x:c r="M209" s="499" t="n">
        <x:v>0</x:v>
      </x:c>
      <x:c r="N209" s="499" t="n">
        <x:v>0</x:v>
      </x:c>
      <x:c r="O209" s="499" t="n">
        <x:v>0</x:v>
      </x:c>
      <x:c r="P209" s="499" t="n">
        <x:v>0</x:v>
      </x:c>
      <x:c r="Q209" s="499" t="n">
        <x:v>0</x:v>
      </x:c>
      <x:c r="R209" s="476" t="str"/>
      <x:c r="S209" s="476" t="str"/>
      <x:c r="T209" s="476" t="str">
        <x:v>EMENDA CONFIRMADA; DESTINO NÃO CONFIRMADO</x:v>
      </x:c>
      <x:c r="U209" s="476" t="str">
        <x:v>Média</x:v>
      </x:c>
      <x:c r="V209" s="476" t="str"/>
      <x:c r="W209" s="476" t="str">
        <x:v>Nº existe no SIGA; destinatário específico não foi confirmado nas bases anexas</x:v>
      </x:c>
      <x:c r="X209" s="476" t="str"/>
    </x:row>
    <x:row r="210">
      <x:c r="A210" t="n">
        <x:v>355</x:v>
      </x:c>
      <x:c r="B210" t="n">
        <x:v>2021</x:v>
      </x:c>
      <x:c r="C210" s="476" t="str">
        <x:v>Passo Fundo</x:v>
      </x:c>
      <x:c r="D210" s="476" t="str">
        <x:v>Polícia Rodoviária Federal</x:v>
      </x:c>
      <x:c r="E210" s="476" t="str">
        <x:v>Polícia Rodoviária Federal</x:v>
      </x:c>
      <x:c r="F210" s="476" t="str">
        <x:v>411660007</x:v>
      </x:c>
      <x:c r="G210" s="476" t="str">
        <x:v>41160007-2021</x:v>
      </x:c>
      <x:c r="H210" s="476" t="str">
        <x:v>Informado/corrigido a partir do mapa</x:v>
      </x:c>
      <x:c r="I210" s="499" t="n">
        <x:v>212000.06</x:v>
      </x:c>
      <x:c r="J210" s="499" t="n">
        <x:v>212000.06</x:v>
      </x:c>
      <x:c r="K210" s="476" t="str">
        <x:v>Emenda individual</x:v>
      </x:c>
      <x:c r="L210" s="476" t="str">
        <x:v>Recurso pago (consultado Transferegov e Portal da Transparência em 12/03/2024)</x:v>
      </x:c>
      <x:c r="M210" s="499" t="n">
        <x:v>0</x:v>
      </x:c>
      <x:c r="N210" s="499" t="n">
        <x:v>0</x:v>
      </x:c>
      <x:c r="O210" s="499" t="n">
        <x:v>0</x:v>
      </x:c>
      <x:c r="P210" s="499" t="n">
        <x:v>0</x:v>
      </x:c>
      <x:c r="Q210" s="499" t="n">
        <x:v>0</x:v>
      </x:c>
      <x:c r="R210" s="476" t="str"/>
      <x:c r="S210" s="476" t="str"/>
      <x:c r="T210" s="476" t="str">
        <x:v>EMENDA CONFIRMADA; DESTINO NÃO CONFIRMADO</x:v>
      </x:c>
      <x:c r="U210" s="476" t="str">
        <x:v>Alta</x:v>
      </x:c>
      <x:c r="V210" s="476" t="str">
        <x:v>Corrigir o número da emenda para 41160007</x:v>
      </x:c>
      <x:c r="W210" s="476" t="str">
        <x:v>nº no mapa parece digitado como 411660007; candidato 41160007; Nº existe no SIGA; destinatário específico não foi confirmado nas bases anexas</x:v>
      </x:c>
      <x:c r="X210" s="476" t="str"/>
    </x:row>
    <x:row r="211">
      <x:c r="A211" t="n">
        <x:v>356</x:v>
      </x:c>
      <x:c r="B211" t="n">
        <x:v>2026</x:v>
      </x:c>
      <x:c r="C211" s="476" t="str">
        <x:v>Protásio Alves</x:v>
      </x:c>
      <x:c r="D211" s="476" t="str">
        <x:v>Protásio Alves</x:v>
      </x:c>
      <x:c r="E211" s="476" t="str">
        <x:v>Fundo Municipal de Saude de Protasio Alves</x:v>
      </x:c>
      <x:c r="F211" s="476" t="str">
        <x:v>41160013</x:v>
      </x:c>
      <x:c r="G211" s="476" t="str">
        <x:v>41160013-2026</x:v>
      </x:c>
      <x:c r="H211" s="476" t="str">
        <x:v>Informado/corrigido a partir do mapa</x:v>
      </x:c>
      <x:c r="I211" s="499" t="n">
        <x:v>213000</x:v>
      </x:c>
      <x:c r="J211" s="499" t="n">
        <x:v>213000</x:v>
      </x:c>
      <x:c r="K211" s="476" t="str">
        <x:v>Emenda individual</x:v>
      </x:c>
      <x:c r="L211" s="476"/>
      <x:c r="M211" s="499" t="n">
        <x:v>0</x:v>
      </x:c>
      <x:c r="N211" s="499" t="n">
        <x:v>0</x:v>
      </x:c>
      <x:c r="O211" s="499" t="n">
        <x:v>0</x:v>
      </x:c>
      <x:c r="P211" s="499" t="n">
        <x:v>0</x:v>
      </x:c>
      <x:c r="Q211" s="499" t="n">
        <x:v>0</x:v>
      </x:c>
      <x:c r="R211" s="476" t="str"/>
      <x:c r="S211" s="476" t="str"/>
      <x:c r="T211" s="476" t="str">
        <x:v>EMENDA CONFIRMADA; DESTINO NÃO CONFIRMADO</x:v>
      </x:c>
      <x:c r="U211" s="476" t="str">
        <x:v>Média</x:v>
      </x:c>
      <x:c r="V211" s="476" t="str"/>
      <x:c r="W211" s="476" t="str">
        <x:v>Nº existe no SIGA; destinatário específico não foi confirmado nas bases anexas</x:v>
      </x:c>
      <x:c r="X211" s="476" t="str"/>
    </x:row>
    <x:row r="212">
      <x:c r="A212" t="n">
        <x:v>357</x:v>
      </x:c>
      <x:c r="B212" t="n">
        <x:v>2025</x:v>
      </x:c>
      <x:c r="C212" s="476" t="str">
        <x:v>Vale do Sol</x:v>
      </x:c>
      <x:c r="D212" s="476" t="str">
        <x:v>Hospital Beneficente Vale Do Sol - Hbvs Vale Do Sol - Rs</x:v>
      </x:c>
      <x:c r="E212" s="476" t="str">
        <x:v>Hospital Beneficente Vale Do Sol - Hbvs Vale Do Sol - Rs</x:v>
      </x:c>
      <x:c r="F212" s="476" t="str">
        <x:v>41160004</x:v>
      </x:c>
      <x:c r="G212" s="476" t="str">
        <x:v>41160004-2025</x:v>
      </x:c>
      <x:c r="H212" s="476" t="str">
        <x:v>Informado/corrigido a partir do mapa</x:v>
      </x:c>
      <x:c r="I212" s="499" t="n">
        <x:v>216400</x:v>
      </x:c>
      <x:c r="J212" s="499" t="n">
        <x:v>216400</x:v>
      </x:c>
      <x:c r="K212" s="476" t="str">
        <x:v>Emenda Individual</x:v>
      </x:c>
      <x:c r="L212" s="476"/>
      <x:c r="M212" s="499" t="n">
        <x:v>0</x:v>
      </x:c>
      <x:c r="N212" s="499" t="n">
        <x:v>0</x:v>
      </x:c>
      <x:c r="O212" s="499" t="n">
        <x:v>0</x:v>
      </x:c>
      <x:c r="P212" s="499" t="n">
        <x:v>0</x:v>
      </x:c>
      <x:c r="Q212" s="499" t="n">
        <x:v>0</x:v>
      </x:c>
      <x:c r="R212" s="476" t="str"/>
      <x:c r="S212" s="476" t="str"/>
      <x:c r="T212" s="476" t="str">
        <x:v>EMENDA CONFIRMADA; DESTINO NÃO CONFIRMADO</x:v>
      </x:c>
      <x:c r="U212" s="476" t="str">
        <x:v>Média</x:v>
      </x:c>
      <x:c r="V212" s="476" t="str"/>
      <x:c r="W212" s="476" t="str">
        <x:v>Nº existe no SIGA; destinatário específico não foi confirmado nas bases anexas</x:v>
      </x:c>
      <x:c r="X212" s="476" t="str"/>
    </x:row>
    <x:row r="213">
      <x:c r="A213" t="n">
        <x:v>358</x:v>
      </x:c>
      <x:c r="B213" t="n">
        <x:v>2021</x:v>
      </x:c>
      <x:c r="C213" s="476" t="str">
        <x:v>São Francisco de Paula</x:v>
      </x:c>
      <x:c r="D213" s="476" t="str">
        <x:v>Hospital</x:v>
      </x:c>
      <x:c r="E213" s="476" t="str">
        <x:v>Hospital São Francisco de Paula</x:v>
      </x:c>
      <x:c r="F213" s="476" t="str">
        <x:v>41160002</x:v>
      </x:c>
      <x:c r="G213" s="476" t="str">
        <x:v>41160002-2021</x:v>
      </x:c>
      <x:c r="H213" s="476" t="str">
        <x:v>Informado/corrigido a partir do mapa</x:v>
      </x:c>
      <x:c r="I213" s="499" t="n">
        <x:v>218250</x:v>
      </x:c>
      <x:c r="J213" s="499" t="n">
        <x:v>218250</x:v>
      </x:c>
      <x:c r="K213" s="476" t="str">
        <x:v>Emenda individual (processo seletivo)</x:v>
      </x:c>
      <x:c r="L213" s="476" t="str">
        <x:v>Recurso pago</x:v>
      </x:c>
      <x:c r="M213" s="499" t="n">
        <x:v>179858.49</x:v>
      </x:c>
      <x:c r="N213" s="499" t="n">
        <x:v>468250</x:v>
      </x:c>
      <x:c r="O213" s="499" t="n">
        <x:v>385881.96</x:v>
      </x:c>
      <x:c r="P213" s="499" t="n">
        <x:v>0</x:v>
      </x:c>
      <x:c r="Q213" s="499" t="n">
        <x:v>0</x:v>
      </x:c>
      <x:c r="R213" s="476" t="str"/>
      <x:c r="S213" s="476" t="str">
        <x:v>96554829000105</x:v>
      </x:c>
      <x:c r="T213" s="476" t="str">
        <x:v>VALOR DIVERGENTE / COBERTURA DIFERENTE</x:v>
      </x:c>
      <x:c r="U213" s="476" t="str">
        <x:v>Alta</x:v>
      </x:c>
      <x:c r="V213" s="476" t="str">
        <x:v>CNPJ candidato na fonte SIGA: 96554829000105</x:v>
      </x:c>
      <x:c r="W213" s="476" t="str">
        <x:v>Município/localidade encontrado em fonte comparável, mas valor não fecha exatamente</x:v>
      </x:c>
      <x:c r="X213" s="476" t="str">
        <x:v>https://discricionarias.transferegov.sistema.gov.br/voluntarias/ConsultarProposta/ResultadoDaConsultaDeConvenioSelecionarConvenio.do?sequencialConvenio=917382&amp;Usr=guest&amp;Pwd=guest</x:v>
      </x:c>
    </x:row>
    <x:row r="214">
      <x:c r="A214" t="n">
        <x:v>360</x:v>
      </x:c>
      <x:c r="B214" t="n">
        <x:v>2023</x:v>
      </x:c>
      <x:c r="C214" s="476" t="str">
        <x:v>Campo Bom</x:v>
      </x:c>
      <x:c r="D214" s="476" t="str">
        <x:v>Prefeitura</x:v>
      </x:c>
      <x:c r="E214" s="476" t="str">
        <x:v>Prefeitura de Campo Bom</x:v>
      </x:c>
      <x:c r="F214" s="476" t="str"/>
      <x:c r="G214" s="476" t="str"/>
      <x:c r="H214" s="476" t="str">
        <x:v>Sem nº conciliado</x:v>
      </x:c>
      <x:c r="I214" s="499" t="n">
        <x:v>220400</x:v>
      </x:c>
      <x:c r="J214" s="499" t="n">
        <x:v>220400</x:v>
      </x:c>
      <x:c r="K214" s="476" t="str">
        <x:v>Emenda Individual</x:v>
      </x:c>
      <x:c r="L214" s="476" t="str">
        <x:v>Empenhado</x:v>
      </x:c>
      <x:c r="M214" s="499" t="n">
        <x:v>0</x:v>
      </x:c>
      <x:c r="N214" s="499" t="n">
        <x:v>0</x:v>
      </x:c>
      <x:c r="O214" s="499" t="n">
        <x:v>0</x:v>
      </x:c>
      <x:c r="P214" s="499" t="n">
        <x:v>0</x:v>
      </x:c>
      <x:c r="Q214" s="499" t="n">
        <x:v>0</x:v>
      </x:c>
      <x:c r="R214" s="476" t="str"/>
      <x:c r="S214" s="476" t="str"/>
      <x:c r="T214" s="476" t="str">
        <x:v>SEM Nº / NÃO CONCILIADO</x:v>
      </x:c>
      <x:c r="U214" s="476" t="str">
        <x:v>Média</x:v>
      </x:c>
      <x:c r="V214" s="476" t="str"/>
      <x:c r="W214" s="476" t="str"/>
      <x:c r="X214" s="476" t="str"/>
    </x:row>
    <x:row r="215">
      <x:c r="A215" t="n">
        <x:v>361</x:v>
      </x:c>
      <x:c r="B215" t="n">
        <x:v>2020</x:v>
      </x:c>
      <x:c r="C215" s="476" t="str">
        <x:v>Vários municípios</x:v>
      </x:c>
      <x:c r="D215" s="476" t="str">
        <x:v>Brigada Militar</x:v>
      </x:c>
      <x:c r="E215" s="476" t="str">
        <x:v>Unidades da Brigada Militar em Porto Alegre e Região Metropolitana.</x:v>
      </x:c>
      <x:c r="F215" s="476" t="str">
        <x:v>41160011</x:v>
      </x:c>
      <x:c r="G215" s="476" t="str">
        <x:v>41160011-2020</x:v>
      </x:c>
      <x:c r="H215" s="476" t="str">
        <x:v>Informado/corrigido a partir do mapa</x:v>
      </x:c>
      <x:c r="I215" s="499" t="n">
        <x:v>224845.32</x:v>
      </x:c>
      <x:c r="J215" s="499" t="n">
        <x:v>530717.3200000001</x:v>
      </x:c>
      <x:c r="K215" s="476" t="str">
        <x:v>Emenda individual</x:v>
      </x:c>
      <x:c r="L215" s="476" t="str">
        <x:v>Pagamento realizado em 25/08/2021. Dos 42 dispositivos elétricos incapacitantes, 23 foram para o Comando de Policiamento Metropolitano e 19 para o Comando de Policiamento da Capital. O valor final da licitação foi de  200.000,00, abaixo dos  224.845,32 reservado pela emenda para a compra dos equipamentos</x:v>
      </x:c>
      <x:c r="M215" s="499" t="n">
        <x:v>0</x:v>
      </x:c>
      <x:c r="N215" s="499" t="n">
        <x:v>0</x:v>
      </x:c>
      <x:c r="O215" s="499" t="n">
        <x:v>0</x:v>
      </x:c>
      <x:c r="P215" s="499" t="n">
        <x:v>0</x:v>
      </x:c>
      <x:c r="Q215" s="499" t="n">
        <x:v>0</x:v>
      </x:c>
      <x:c r="R215" s="476" t="str"/>
      <x:c r="S215" s="476" t="str"/>
      <x:c r="T215" s="476" t="str">
        <x:v>EMENDA CONFIRMADA; DESTINO NÃO CONFIRMADO</x:v>
      </x:c>
      <x:c r="U215" s="476" t="str">
        <x:v>Média</x:v>
      </x:c>
      <x:c r="V215" s="476" t="str"/>
      <x:c r="W215" s="476" t="str">
        <x:v>Nº existe no SIGA; destinatário específico não foi confirmado nas bases anexas</x:v>
      </x:c>
      <x:c r="X215" s="476" t="str"/>
    </x:row>
    <x:row r="216">
      <x:c r="A216" t="n">
        <x:v>362</x:v>
      </x:c>
      <x:c r="B216" t="n">
        <x:v>2025</x:v>
      </x:c>
      <x:c r="C216" s="476" t="str">
        <x:v>Santo Cristo</x:v>
      </x:c>
      <x:c r="D216" s="476" t="str">
        <x:v>Associacao Hospital De Caridade De Santo Cristo Santo Cristo - Rs</x:v>
      </x:c>
      <x:c r="E216" s="476" t="str">
        <x:v>Associacao Hospital De Caridade De Santo Cristo Santo Cristo - Rs</x:v>
      </x:c>
      <x:c r="F216" s="476" t="str">
        <x:v>41160004</x:v>
      </x:c>
      <x:c r="G216" s="476" t="str">
        <x:v>41160004-2025</x:v>
      </x:c>
      <x:c r="H216" s="476" t="str">
        <x:v>Informado/corrigido a partir do mapa</x:v>
      </x:c>
      <x:c r="I216" s="499" t="n">
        <x:v>225000</x:v>
      </x:c>
      <x:c r="J216" s="499" t="n">
        <x:v>225000</x:v>
      </x:c>
      <x:c r="K216" s="476" t="str">
        <x:v>Emenda Individual</x:v>
      </x:c>
      <x:c r="L216" s="476"/>
      <x:c r="M216" s="499" t="n">
        <x:v>0</x:v>
      </x:c>
      <x:c r="N216" s="499" t="n">
        <x:v>225000</x:v>
      </x:c>
      <x:c r="O216" s="499" t="n">
        <x:v>0</x:v>
      </x:c>
      <x:c r="P216" s="499" t="n">
        <x:v>0</x:v>
      </x:c>
      <x:c r="Q216" s="499" t="n">
        <x:v>0</x:v>
      </x:c>
      <x:c r="R216" s="476" t="str"/>
      <x:c r="S216" s="476" t="str"/>
      <x:c r="T216" s="476" t="str">
        <x:v>DESTINO/INSTRUMENTO CONFIRMADO; VALOR NÃO COMPARÁVEL</x:v>
      </x:c>
      <x:c r="U216" s="476" t="str">
        <x:v>Média</x:v>
      </x:c>
      <x:c r="V216" s="476" t="str"/>
      <x:c r="W216" s="476" t="str">
        <x:v>Há instrumento do Transferegov para a emenda/município; valores do instrumento não foram usados como prova do valor da emenda</x:v>
      </x:c>
      <x:c r="X216" s="476" t="str">
        <x:v>https://discricionarias.transferegov.sistema.gov.br/voluntarias/ConsultarProposta/ResultadoDaConsultaDeConvenioSelecionarConvenio.do?sequencialConvenio=988645&amp;Usr=guest&amp;Pwd=guest</x:v>
      </x:c>
    </x:row>
    <x:row r="217">
      <x:c r="A217" t="n">
        <x:v>366</x:v>
      </x:c>
      <x:c r="B217" t="n">
        <x:v>2022</x:v>
      </x:c>
      <x:c r="C217" s="476" t="str">
        <x:v>Alvorada</x:v>
      </x:c>
      <x:c r="D217" s="476" t="str">
        <x:v>Secretaria de Segurança Pública</x:v>
      </x:c>
      <x:c r="E217" s="476" t="str">
        <x:v>Brigada Militar</x:v>
      </x:c>
      <x:c r="F217" s="476" t="str">
        <x:v>41160001</x:v>
      </x:c>
      <x:c r="G217" s="476" t="str">
        <x:v>41160001-2022</x:v>
      </x:c>
      <x:c r="H217" s="476" t="str">
        <x:v>Informado/corrigido a partir do mapa</x:v>
      </x:c>
      <x:c r="I217" s="499" t="n">
        <x:v>234954.25</x:v>
      </x:c>
      <x:c r="J217" s="499" t="n">
        <x:v>234954.25</x:v>
      </x:c>
      <x:c r="K217" s="476" t="str">
        <x:v>Emenda Individual </x:v>
      </x:c>
      <x:c r="L217" s="476" t="str">
        <x:v>Empenhado</x:v>
      </x:c>
      <x:c r="M217" s="499" t="n">
        <x:v>0</x:v>
      </x:c>
      <x:c r="N217" s="499" t="n">
        <x:v>0</x:v>
      </x:c>
      <x:c r="O217" s="499" t="n">
        <x:v>0</x:v>
      </x:c>
      <x:c r="P217" s="499" t="n">
        <x:v>0</x:v>
      </x:c>
      <x:c r="Q217" s="499" t="n">
        <x:v>0</x:v>
      </x:c>
      <x:c r="R217" s="476" t="str"/>
      <x:c r="S217" s="476" t="str"/>
      <x:c r="T217" s="476" t="str">
        <x:v>EMENDA CONFIRMADA; DESTINO NÃO CONFIRMADO</x:v>
      </x:c>
      <x:c r="U217" s="476" t="str">
        <x:v>Média</x:v>
      </x:c>
      <x:c r="V217" s="476" t="str"/>
      <x:c r="W217" s="476" t="str">
        <x:v>Nº existe no SIGA; destinatário específico não foi confirmado nas bases anexas</x:v>
      </x:c>
      <x:c r="X217" s="476" t="str"/>
    </x:row>
    <x:row r="218">
      <x:c r="A218" t="n">
        <x:v>367</x:v>
      </x:c>
      <x:c r="B218" t="n">
        <x:v>2022</x:v>
      </x:c>
      <x:c r="C218" s="476" t="str">
        <x:v>Canoas</x:v>
      </x:c>
      <x:c r="D218" s="476" t="str">
        <x:v>Secretaria de Segurança Pública</x:v>
      </x:c>
      <x:c r="E218" s="476" t="str">
        <x:v>8º Batalhão de Bombeiro Militar</x:v>
      </x:c>
      <x:c r="F218" s="476" t="str">
        <x:v>41160001</x:v>
      </x:c>
      <x:c r="G218" s="476" t="str">
        <x:v>41160001-2022</x:v>
      </x:c>
      <x:c r="H218" s="476" t="str">
        <x:v>Informado/corrigido a partir do mapa</x:v>
      </x:c>
      <x:c r="I218" s="499" t="n">
        <x:v>234954.25</x:v>
      </x:c>
      <x:c r="J218" s="499" t="n">
        <x:v>234954.25</x:v>
      </x:c>
      <x:c r="K218" s="476" t="str">
        <x:v>Emenda Individual </x:v>
      </x:c>
      <x:c r="L218" s="476" t="str">
        <x:v>Recurso pago</x:v>
      </x:c>
      <x:c r="M218" s="499" t="n">
        <x:v>0</x:v>
      </x:c>
      <x:c r="N218" s="499" t="n">
        <x:v>0</x:v>
      </x:c>
      <x:c r="O218" s="499" t="n">
        <x:v>0</x:v>
      </x:c>
      <x:c r="P218" s="499" t="n">
        <x:v>0</x:v>
      </x:c>
      <x:c r="Q218" s="499" t="n">
        <x:v>0</x:v>
      </x:c>
      <x:c r="R218" s="476" t="str"/>
      <x:c r="S218" s="476" t="str"/>
      <x:c r="T218" s="476" t="str">
        <x:v>EMENDA CONFIRMADA; DESTINO NÃO CONFIRMADO</x:v>
      </x:c>
      <x:c r="U218" s="476" t="str">
        <x:v>Média</x:v>
      </x:c>
      <x:c r="V218" s="476" t="str"/>
      <x:c r="W218" s="476" t="str">
        <x:v>Nº existe no SIGA; destinatário específico não foi confirmado nas bases anexas</x:v>
      </x:c>
      <x:c r="X218" s="476" t="str"/>
    </x:row>
    <x:row r="219">
      <x:c r="A219" t="n">
        <x:v>368</x:v>
      </x:c>
      <x:c r="B219" t="n">
        <x:v>2022</x:v>
      </x:c>
      <x:c r="C219" s="476" t="str">
        <x:v>Gravataí</x:v>
      </x:c>
      <x:c r="D219" s="476" t="str">
        <x:v>Secretaria de Segurança Pública</x:v>
      </x:c>
      <x:c r="E219" s="476" t="str">
        <x:v>Polícia Civil</x:v>
      </x:c>
      <x:c r="F219" s="476" t="str">
        <x:v>41160001</x:v>
      </x:c>
      <x:c r="G219" s="476" t="str">
        <x:v>41160001-2022</x:v>
      </x:c>
      <x:c r="H219" s="476" t="str">
        <x:v>Informado/corrigido a partir do mapa</x:v>
      </x:c>
      <x:c r="I219" s="499" t="n">
        <x:v>234954.25</x:v>
      </x:c>
      <x:c r="J219" s="499" t="n">
        <x:v>234954.25</x:v>
      </x:c>
      <x:c r="K219" s="476" t="str">
        <x:v>Emenda Individual </x:v>
      </x:c>
      <x:c r="L219" s="476" t="str">
        <x:v>Recurso pago</x:v>
      </x:c>
      <x:c r="M219" s="499" t="n">
        <x:v>0</x:v>
      </x:c>
      <x:c r="N219" s="499" t="n">
        <x:v>0</x:v>
      </x:c>
      <x:c r="O219" s="499" t="n">
        <x:v>0</x:v>
      </x:c>
      <x:c r="P219" s="499" t="n">
        <x:v>0</x:v>
      </x:c>
      <x:c r="Q219" s="499" t="n">
        <x:v>0</x:v>
      </x:c>
      <x:c r="R219" s="476" t="str"/>
      <x:c r="S219" s="476" t="str"/>
      <x:c r="T219" s="476" t="str">
        <x:v>EMENDA CONFIRMADA; DESTINO NÃO CONFIRMADO</x:v>
      </x:c>
      <x:c r="U219" s="476" t="str">
        <x:v>Média</x:v>
      </x:c>
      <x:c r="V219" s="476" t="str"/>
      <x:c r="W219" s="476" t="str">
        <x:v>Nº existe no SIGA; destinatário específico não foi confirmado nas bases anexas</x:v>
      </x:c>
      <x:c r="X219" s="476" t="str"/>
    </x:row>
    <x:row r="220">
      <x:c r="A220" t="n">
        <x:v>369</x:v>
      </x:c>
      <x:c r="B220" t="n">
        <x:v>2022</x:v>
      </x:c>
      <x:c r="C220" s="476" t="str">
        <x:v>Porto Alegre</x:v>
      </x:c>
      <x:c r="D220" s="476" t="str">
        <x:v>Secretaria de Segurança Pública</x:v>
      </x:c>
      <x:c r="E220" s="476" t="str">
        <x:v>Polícia Civil</x:v>
      </x:c>
      <x:c r="F220" s="476" t="str">
        <x:v>41160001</x:v>
      </x:c>
      <x:c r="G220" s="476" t="str">
        <x:v>41160001-2022</x:v>
      </x:c>
      <x:c r="H220" s="476" t="str">
        <x:v>Informado/corrigido a partir do mapa</x:v>
      </x:c>
      <x:c r="I220" s="499" t="n">
        <x:v>234954.25</x:v>
      </x:c>
      <x:c r="J220" s="499" t="n">
        <x:v>469908.5</x:v>
      </x:c>
      <x:c r="K220" s="476" t="str">
        <x:v>Emenda Individual </x:v>
      </x:c>
      <x:c r="L220" s="476" t="str">
        <x:v>Empenhado</x:v>
      </x:c>
      <x:c r="M220" s="499" t="n">
        <x:v>3029397.78</x:v>
      </x:c>
      <x:c r="N220" s="499" t="n">
        <x:v>2409622.7</x:v>
      </x:c>
      <x:c r="O220" s="499" t="n">
        <x:v>3029397.7800000003</x:v>
      </x:c>
      <x:c r="P220" s="499" t="n">
        <x:v>0</x:v>
      </x:c>
      <x:c r="Q220" s="499" t="n">
        <x:v>0</x:v>
      </x:c>
      <x:c r="R220" s="476" t="str"/>
      <x:c r="S220" s="476" t="str">
        <x:v>87958583000146</x:v>
      </x:c>
      <x:c r="T220" s="476" t="str">
        <x:v>VALOR DIVERGENTE / COBERTURA DIFERENTE</x:v>
      </x:c>
      <x:c r="U220" s="476" t="str">
        <x:v>Alta</x:v>
      </x:c>
      <x:c r="V220" s="476" t="str">
        <x:v>Situação possivelmente desatualizada: SIGA/execução regionalizada mostra pagamento; CNPJ candidato na fonte SIGA: 87958583000146</x:v>
      </x:c>
      <x:c r="W220" s="476" t="str">
        <x:v>Município/localidade encontrado em fonte comparável, mas valor não fecha exatamente</x:v>
      </x:c>
      <x:c r="X220" s="476" t="str">
        <x:v>https://discricionarias.transferegov.sistema.gov.br/voluntarias/ConsultarProposta/ResultadoDaConsultaDeConvenioSelecionarConvenio.do?sequencialConvenio=935332&amp;Usr=guest&amp;Pwd=guest | https://discricionarias.transferegov.sistema.gov.br/voluntarias/ConsultarProposta/ResultadoDaConsultaDeConvenioSelecionarConvenio.do?sequencialConvenio=935331&amp;Usr=guest&amp;Pwd=guest</x:v>
      </x:c>
    </x:row>
    <x:row r="221">
      <x:c r="A221" t="n">
        <x:v>370</x:v>
      </x:c>
      <x:c r="B221" t="n">
        <x:v>2022</x:v>
      </x:c>
      <x:c r="C221" s="476" t="str">
        <x:v>Porto Alegre</x:v>
      </x:c>
      <x:c r="D221" s="476" t="str">
        <x:v>Secretaria de Segurança Pública</x:v>
      </x:c>
      <x:c r="E221" s="476" t="str">
        <x:v>1º Batalhão de Bombeiro Militar</x:v>
      </x:c>
      <x:c r="F221" s="476" t="str">
        <x:v>41160001</x:v>
      </x:c>
      <x:c r="G221" s="476" t="str">
        <x:v>41160001-2022</x:v>
      </x:c>
      <x:c r="H221" s="476" t="str">
        <x:v>Informado/corrigido a partir do mapa</x:v>
      </x:c>
      <x:c r="I221" s="499" t="n">
        <x:v>234954.25</x:v>
      </x:c>
      <x:c r="J221" s="499" t="n">
        <x:v>469908.5</x:v>
      </x:c>
      <x:c r="K221" s="476" t="str">
        <x:v>Emenda Individual </x:v>
      </x:c>
      <x:c r="L221" s="476" t="str">
        <x:v>Empenhado</x:v>
      </x:c>
      <x:c r="M221" s="499" t="n">
        <x:v>3029397.78</x:v>
      </x:c>
      <x:c r="N221" s="499" t="n">
        <x:v>2409622.7</x:v>
      </x:c>
      <x:c r="O221" s="499" t="n">
        <x:v>3029397.7800000003</x:v>
      </x:c>
      <x:c r="P221" s="499" t="n">
        <x:v>0</x:v>
      </x:c>
      <x:c r="Q221" s="499" t="n">
        <x:v>0</x:v>
      </x:c>
      <x:c r="R221" s="476" t="str"/>
      <x:c r="S221" s="476" t="str">
        <x:v>87958583000146</x:v>
      </x:c>
      <x:c r="T221" s="476" t="str">
        <x:v>VALOR DIVERGENTE / COBERTURA DIFERENTE</x:v>
      </x:c>
      <x:c r="U221" s="476" t="str">
        <x:v>Alta</x:v>
      </x:c>
      <x:c r="V221" s="476" t="str">
        <x:v>Situação possivelmente desatualizada: SIGA/execução regionalizada mostra pagamento; CNPJ candidato na fonte SIGA: 87958583000146</x:v>
      </x:c>
      <x:c r="W221" s="476" t="str">
        <x:v>Município/localidade encontrado em fonte comparável, mas valor não fecha exatamente</x:v>
      </x:c>
      <x:c r="X221" s="476" t="str">
        <x:v>https://discricionarias.transferegov.sistema.gov.br/voluntarias/ConsultarProposta/ResultadoDaConsultaDeConvenioSelecionarConvenio.do?sequencialConvenio=935332&amp;Usr=guest&amp;Pwd=guest | https://discricionarias.transferegov.sistema.gov.br/voluntarias/ConsultarProposta/ResultadoDaConsultaDeConvenioSelecionarConvenio.do?sequencialConvenio=935331&amp;Usr=guest&amp;Pwd=guest</x:v>
      </x:c>
    </x:row>
    <x:row r="222">
      <x:c r="A222" t="n">
        <x:v>371</x:v>
      </x:c>
      <x:c r="B222" t="n">
        <x:v>2022</x:v>
      </x:c>
      <x:c r="C222" s="476" t="str">
        <x:v>São Leopoldo</x:v>
      </x:c>
      <x:c r="D222" s="476" t="str">
        <x:v>Secretaria de Segurança Pública</x:v>
      </x:c>
      <x:c r="E222" s="476" t="str">
        <x:v>2º Batalhão de Bombeiro Militar</x:v>
      </x:c>
      <x:c r="F222" s="476" t="str">
        <x:v>41160001</x:v>
      </x:c>
      <x:c r="G222" s="476" t="str">
        <x:v>41160001-2022</x:v>
      </x:c>
      <x:c r="H222" s="476" t="str">
        <x:v>Informado/corrigido a partir do mapa</x:v>
      </x:c>
      <x:c r="I222" s="499" t="n">
        <x:v>234954.25</x:v>
      </x:c>
      <x:c r="J222" s="499" t="n">
        <x:v>234954.25</x:v>
      </x:c>
      <x:c r="K222" s="476" t="str">
        <x:v>Emenda Individual </x:v>
      </x:c>
      <x:c r="L222" s="476" t="str">
        <x:v>Recurso pago</x:v>
      </x:c>
      <x:c r="M222" s="499" t="n">
        <x:v>0</x:v>
      </x:c>
      <x:c r="N222" s="499" t="n">
        <x:v>0</x:v>
      </x:c>
      <x:c r="O222" s="499" t="n">
        <x:v>0</x:v>
      </x:c>
      <x:c r="P222" s="499" t="n">
        <x:v>0</x:v>
      </x:c>
      <x:c r="Q222" s="499" t="n">
        <x:v>0</x:v>
      </x:c>
      <x:c r="R222" s="476" t="str"/>
      <x:c r="S222" s="476" t="str"/>
      <x:c r="T222" s="476" t="str">
        <x:v>EMENDA CONFIRMADA; DESTINO NÃO CONFIRMADO</x:v>
      </x:c>
      <x:c r="U222" s="476" t="str">
        <x:v>Média</x:v>
      </x:c>
      <x:c r="V222" s="476" t="str"/>
      <x:c r="W222" s="476" t="str">
        <x:v>Nº existe no SIGA; destinatário específico não foi confirmado nas bases anexas</x:v>
      </x:c>
      <x:c r="X222" s="476" t="str"/>
    </x:row>
    <x:row r="223">
      <x:c r="A223" t="n">
        <x:v>372</x:v>
      </x:c>
      <x:c r="B223" t="n">
        <x:v>2022</x:v>
      </x:c>
      <x:c r="C223" s="476" t="str">
        <x:v>Viamão</x:v>
      </x:c>
      <x:c r="D223" s="476" t="str">
        <x:v>Brigada Militar</x:v>
      </x:c>
      <x:c r="E223" s="476" t="str">
        <x:v>Secretaria de Segurança Pública</x:v>
      </x:c>
      <x:c r="F223" s="476" t="str">
        <x:v>41160001</x:v>
      </x:c>
      <x:c r="G223" s="476" t="str">
        <x:v>41160001-2022</x:v>
      </x:c>
      <x:c r="H223" s="476" t="str">
        <x:v>Informado/corrigido a partir do mapa</x:v>
      </x:c>
      <x:c r="I223" s="499" t="n">
        <x:v>234954.25</x:v>
      </x:c>
      <x:c r="J223" s="499" t="n">
        <x:v>234954.25</x:v>
      </x:c>
      <x:c r="K223" s="476" t="str">
        <x:v>Emenda individual </x:v>
      </x:c>
      <x:c r="L223" s="476" t="str">
        <x:v>Indicado</x:v>
      </x:c>
      <x:c r="M223" s="499" t="n">
        <x:v>0</x:v>
      </x:c>
      <x:c r="N223" s="499" t="n">
        <x:v>0</x:v>
      </x:c>
      <x:c r="O223" s="499" t="n">
        <x:v>0</x:v>
      </x:c>
      <x:c r="P223" s="499" t="n">
        <x:v>0</x:v>
      </x:c>
      <x:c r="Q223" s="499" t="n">
        <x:v>0</x:v>
      </x:c>
      <x:c r="R223" s="476" t="str"/>
      <x:c r="S223" s="476" t="str"/>
      <x:c r="T223" s="476" t="str">
        <x:v>EMENDA CONFIRMADA; DESTINO NÃO CONFIRMADO</x:v>
      </x:c>
      <x:c r="U223" s="476" t="str">
        <x:v>Média</x:v>
      </x:c>
      <x:c r="V223" s="476" t="str"/>
      <x:c r="W223" s="476" t="str">
        <x:v>Nº existe no SIGA; destinatário específico não foi confirmado nas bases anexas</x:v>
      </x:c>
      <x:c r="X223" s="476" t="str"/>
    </x:row>
    <x:row r="224">
      <x:c r="A224" t="n">
        <x:v>375</x:v>
      </x:c>
      <x:c r="B224" t="n">
        <x:v>2023</x:v>
      </x:c>
      <x:c r="C224" s="476" t="str">
        <x:v>Três Coroas</x:v>
      </x:c>
      <x:c r="D224" s="476" t="str">
        <x:v>Hospital</x:v>
      </x:c>
      <x:c r="E224" s="476" t="str">
        <x:v>Hospital Dr. Oswaldo Diesel</x:v>
      </x:c>
      <x:c r="F224" s="476" t="str"/>
      <x:c r="G224" s="476" t="str">
        <x:v>41160007-2023</x:v>
      </x:c>
      <x:c r="H224" s="476" t="str">
        <x:v>Candidato — revisar (Transferegov)</x:v>
      </x:c>
      <x:c r="I224" s="499" t="n">
        <x:v>240000</x:v>
      </x:c>
      <x:c r="J224" s="499" t="n">
        <x:v>240000</x:v>
      </x:c>
      <x:c r="K224" s="476" t="str">
        <x:v>Emenda Individual</x:v>
      </x:c>
      <x:c r="L224" s="476" t="str">
        <x:v>Empenhado</x:v>
      </x:c>
      <x:c r="M224" s="499" t="n">
        <x:v>228000</x:v>
      </x:c>
      <x:c r="N224" s="499" t="n">
        <x:v>240000</x:v>
      </x:c>
      <x:c r="O224" s="499" t="n">
        <x:v>228000</x:v>
      </x:c>
      <x:c r="P224" s="499" t="n">
        <x:v>0</x:v>
      </x:c>
      <x:c r="Q224" s="499" t="n">
        <x:v>0</x:v>
      </x:c>
      <x:c r="R224" s="476" t="str"/>
      <x:c r="S224" s="476" t="str">
        <x:v>90936774000111</x:v>
      </x:c>
      <x:c r="T224" s="476" t="str">
        <x:v>VALOR DIVERGENTE / COBERTURA DIFERENTE</x:v>
      </x:c>
      <x:c r="U224" s="476" t="str">
        <x:v>Média</x:v>
      </x:c>
      <x:c r="V224" s="476" t="str">
        <x:v>Candidato de nº: 41160007; validar antes de preencher (Transferegov pode trazer valor total do instrumento); Situação possivelmente desatualizada: SIGA/execução regionalizada mostra pagamento; CNPJ candidato na fonte SIGA: 90936774000111</x:v>
      </x:c>
      <x:c r="W224" s="476" t="str">
        <x:v>nº ausente; inferido por coincidência exata de cidade e valor em Transferegov; Município/localidade encontrado em fonte comparável, mas valor não fecha exatamente</x:v>
      </x:c>
      <x:c r="X224" s="476" t="str">
        <x:v>https://discricionarias.transferegov.sistema.gov.br/voluntarias/ConsultarProposta/ResultadoDaConsultaDeConvenioSelecionarConvenio.do?sequencialConvenio=944028&amp;Usr=guest&amp;Pwd=guest</x:v>
      </x:c>
    </x:row>
    <x:row r="225">
      <x:c r="A225" t="n">
        <x:v>378</x:v>
      </x:c>
      <x:c r="B225" t="n">
        <x:v>2025</x:v>
      </x:c>
      <x:c r="C225" s="476" t="str">
        <x:v>Pouso Novo</x:v>
      </x:c>
      <x:c r="D225" s="476" t="str">
        <x:v>Fundo Municipal Da Saude Pouso Novo Pouso Novo - Rs</x:v>
      </x:c>
      <x:c r="E225" s="476" t="str">
        <x:v>Prefeitura Municipal</x:v>
      </x:c>
      <x:c r="F225" s="476" t="str">
        <x:v>41160002</x:v>
      </x:c>
      <x:c r="G225" s="476" t="str">
        <x:v>41160002-2025</x:v>
      </x:c>
      <x:c r="H225" s="476" t="str">
        <x:v>Informado/corrigido a partir do mapa</x:v>
      </x:c>
      <x:c r="I225" s="499" t="n">
        <x:v>240000</x:v>
      </x:c>
      <x:c r="J225" s="499" t="n">
        <x:v>240000</x:v>
      </x:c>
      <x:c r="K225" s="476" t="str">
        <x:v>Emenda Individual</x:v>
      </x:c>
      <x:c r="L225" s="476"/>
      <x:c r="M225" s="499" t="n">
        <x:v>0</x:v>
      </x:c>
      <x:c r="N225" s="499" t="n">
        <x:v>0</x:v>
      </x:c>
      <x:c r="O225" s="499" t="n">
        <x:v>0</x:v>
      </x:c>
      <x:c r="P225" s="499" t="n">
        <x:v>0</x:v>
      </x:c>
      <x:c r="Q225" s="499" t="n">
        <x:v>0</x:v>
      </x:c>
      <x:c r="R225" s="476" t="str"/>
      <x:c r="S225" s="476" t="str"/>
      <x:c r="T225" s="476" t="str">
        <x:v>EMENDA CONFIRMADA; DESTINO NÃO CONFIRMADO</x:v>
      </x:c>
      <x:c r="U225" s="476" t="str">
        <x:v>Média</x:v>
      </x:c>
      <x:c r="V225" s="476" t="str"/>
      <x:c r="W225" s="476" t="str">
        <x:v>Nº existe no SIGA; destinatário específico não foi confirmado nas bases anexas</x:v>
      </x:c>
      <x:c r="X225" s="476" t="str"/>
    </x:row>
    <x:row r="226">
      <x:c r="A226" t="n">
        <x:v>379</x:v>
      </x:c>
      <x:c r="B226" t="n">
        <x:v>2025</x:v>
      </x:c>
      <x:c r="C226" s="476" t="str">
        <x:v>Porto Alegre</x:v>
      </x:c>
      <x:c r="D226" s="476" t="str">
        <x:v>Fundo Estadual De Saude Porto Alegre - Rs</x:v>
      </x:c>
      <x:c r="E226" s="476" t="str">
        <x:v>Prefeitura Municipal</x:v>
      </x:c>
      <x:c r="F226" s="476" t="str">
        <x:v>41160002</x:v>
      </x:c>
      <x:c r="G226" s="476" t="str">
        <x:v>41160002-2025</x:v>
      </x:c>
      <x:c r="H226" s="476" t="str">
        <x:v>Informado/corrigido a partir do mapa</x:v>
      </x:c>
      <x:c r="I226" s="499" t="n">
        <x:v>241800</x:v>
      </x:c>
      <x:c r="J226" s="499" t="n">
        <x:v>515611</x:v>
      </x:c>
      <x:c r="K226" s="476" t="str">
        <x:v>Emenda Individual</x:v>
      </x:c>
      <x:c r="L226" s="476"/>
      <x:c r="M226" s="499" t="n">
        <x:v>915611</x:v>
      </x:c>
      <x:c r="N226" s="499" t="n">
        <x:v>0</x:v>
      </x:c>
      <x:c r="O226" s="499" t="n">
        <x:v>0</x:v>
      </x:c>
      <x:c r="P226" s="499" t="n">
        <x:v>0</x:v>
      </x:c>
      <x:c r="Q226" s="499" t="n">
        <x:v>0</x:v>
      </x:c>
      <x:c r="R226" s="476" t="str"/>
      <x:c r="S226" s="476" t="str">
        <x:v>87182846000178</x:v>
      </x:c>
      <x:c r="T226" s="476" t="str">
        <x:v>VALOR DIVERGENTE / COBERTURA DIFERENTE</x:v>
      </x:c>
      <x:c r="U226" s="476" t="str">
        <x:v>Alta</x:v>
      </x:c>
      <x:c r="V226" s="476" t="str">
        <x:v>Preencher situação: há pagamento identificado na fonte pública</x:v>
      </x:c>
      <x:c r="W226" s="476" t="str">
        <x:v>Município/localidade encontrado em fonte comparável, mas valor não fecha exatamente</x:v>
      </x:c>
      <x:c r="X226" s="476" t="str"/>
    </x:row>
    <x:row r="227">
      <x:c r="A227" t="n">
        <x:v>380</x:v>
      </x:c>
      <x:c r="B227" t="n">
        <x:v>2026</x:v>
      </x:c>
      <x:c r="C227" s="476" t="str">
        <x:v>Barracão</x:v>
      </x:c>
      <x:c r="D227" s="476" t="str">
        <x:v>Hospital de Caridade de Cangucu</x:v>
      </x:c>
      <x:c r="E227" s="476" t="str">
        <x:v>Hospital Sao Valentim</x:v>
      </x:c>
      <x:c r="F227" s="476" t="str">
        <x:v>41160003</x:v>
      </x:c>
      <x:c r="G227" s="476" t="str">
        <x:v>41160003-2026</x:v>
      </x:c>
      <x:c r="H227" s="476" t="str">
        <x:v>Informado/corrigido a partir do mapa</x:v>
      </x:c>
      <x:c r="I227" s="499" t="n">
        <x:v>242671</x:v>
      </x:c>
      <x:c r="J227" s="499" t="n">
        <x:v>242671</x:v>
      </x:c>
      <x:c r="K227" s="476" t="str">
        <x:v>Emenda individual</x:v>
      </x:c>
      <x:c r="L227" s="476"/>
      <x:c r="M227" s="499" t="n">
        <x:v>0</x:v>
      </x:c>
      <x:c r="N227" s="499" t="n">
        <x:v>242565</x:v>
      </x:c>
      <x:c r="O227" s="499" t="n">
        <x:v>0</x:v>
      </x:c>
      <x:c r="P227" s="499" t="n">
        <x:v>0</x:v>
      </x:c>
      <x:c r="Q227" s="499" t="n">
        <x:v>0</x:v>
      </x:c>
      <x:c r="R227" s="476" t="str"/>
      <x:c r="S227" s="476" t="str"/>
      <x:c r="T227" s="476" t="str">
        <x:v>DESTINO/INSTRUMENTO CONFIRMADO; VALOR NÃO COMPARÁVEL</x:v>
      </x:c>
      <x:c r="U227" s="476" t="str">
        <x:v>Média</x:v>
      </x:c>
      <x:c r="V227" s="476" t="str"/>
      <x:c r="W227" s="476" t="str">
        <x:v>Há instrumento do Transferegov para a emenda/município; valores do instrumento não foram usados como prova do valor da emenda</x:v>
      </x:c>
      <x:c r="X227" s="476" t="str">
        <x:v>https://discricionarias.transferegov.sistema.gov.br/voluntarias/ConsultarProposta/ResultadoDaConsultaDeConvenioSelecionarConvenio.do?sequencialConvenio=998463&amp;Usr=guest&amp;Pwd=guest</x:v>
      </x:c>
    </x:row>
    <x:row r="228">
      <x:c r="A228" t="n">
        <x:v>381</x:v>
      </x:c>
      <x:c r="B228" t="n">
        <x:v>2021</x:v>
      </x:c>
      <x:c r="C228" s="476" t="str">
        <x:v>Barros Cassal</x:v>
      </x:c>
      <x:c r="D228" s="476" t="str">
        <x:v>Município</x:v>
      </x:c>
      <x:c r="E228" s="476" t="str">
        <x:v>Prefeitura Municipal</x:v>
      </x:c>
      <x:c r="F228" s="476" t="str">
        <x:v>41160002</x:v>
      </x:c>
      <x:c r="G228" s="476" t="str">
        <x:v>41160002-2021</x:v>
      </x:c>
      <x:c r="H228" s="476" t="str">
        <x:v>Informado/corrigido a partir do mapa</x:v>
      </x:c>
      <x:c r="I228" s="499" t="n">
        <x:v>245000</x:v>
      </x:c>
      <x:c r="J228" s="499" t="n">
        <x:v>245000</x:v>
      </x:c>
      <x:c r="K228" s="476" t="str">
        <x:v>Emenda individual (processo seletivo)</x:v>
      </x:c>
      <x:c r="L228" s="476" t="str">
        <x:v>Recurso pago. (Foram pagos R$ 235.000,00, porque o saldo restante não teve a proposta aprovada pelo FNS)</x:v>
      </x:c>
      <x:c r="M228" s="499" t="n">
        <x:v>235000</x:v>
      </x:c>
      <x:c r="N228" s="499" t="n">
        <x:v>0</x:v>
      </x:c>
      <x:c r="O228" s="499" t="n">
        <x:v>0</x:v>
      </x:c>
      <x:c r="P228" s="499" t="n">
        <x:v>0</x:v>
      </x:c>
      <x:c r="Q228" s="499" t="n">
        <x:v>0</x:v>
      </x:c>
      <x:c r="R228" s="476" t="str"/>
      <x:c r="S228" s="476" t="str">
        <x:v>12063448000133</x:v>
      </x:c>
      <x:c r="T228" s="476" t="str">
        <x:v>VALOR DIVERGENTE / COBERTURA DIFERENTE</x:v>
      </x:c>
      <x:c r="U228" s="476" t="str">
        <x:v>Média</x:v>
      </x:c>
      <x:c r="V228" s="476" t="str">
        <x:v>CNPJ candidato na fonte SIGA: 12063448000133</x:v>
      </x:c>
      <x:c r="W228" s="476" t="str">
        <x:v>Município/localidade encontrado em fonte comparável, mas valor não fecha exatamente</x:v>
      </x:c>
      <x:c r="X228" s="476" t="str"/>
    </x:row>
    <x:row r="229">
      <x:c r="A229" t="n">
        <x:v>382</x:v>
      </x:c>
      <x:c r="B229" t="n">
        <x:v>2022</x:v>
      </x:c>
      <x:c r="C229" s="476" t="str">
        <x:v>Santa Maria</x:v>
      </x:c>
      <x:c r="D229" s="476" t="str">
        <x:v>Hospital</x:v>
      </x:c>
      <x:c r="E229" s="476" t="str">
        <x:v>Associação Amparo Providencia - Lar Das Vovozinhas</x:v>
      </x:c>
      <x:c r="F229" s="476" t="str">
        <x:v>41160003</x:v>
      </x:c>
      <x:c r="G229" s="476" t="str">
        <x:v>41160003-2022</x:v>
      </x:c>
      <x:c r="H229" s="476" t="str">
        <x:v>Informado/corrigido a partir do mapa</x:v>
      </x:c>
      <x:c r="I229" s="499" t="n">
        <x:v>249303</x:v>
      </x:c>
      <x:c r="J229" s="499" t="n">
        <x:v>249303</x:v>
      </x:c>
      <x:c r="K229" s="476" t="str">
        <x:v>Emenda Individual </x:v>
      </x:c>
      <x:c r="L229" s="476" t="str">
        <x:v>Proposta foi cadastrada pelo beneficiário, mas caiu em diligëncia pelo Ministério da Saúde, a qual não foi atendida. RECURSO DA EMENDA FOI PERDIDO.</x:v>
      </x:c>
      <x:c r="M229" s="499" t="n">
        <x:v>0</x:v>
      </x:c>
      <x:c r="N229" s="499" t="n">
        <x:v>0</x:v>
      </x:c>
      <x:c r="O229" s="499" t="n">
        <x:v>0</x:v>
      </x:c>
      <x:c r="P229" s="499" t="n">
        <x:v>0</x:v>
      </x:c>
      <x:c r="Q229" s="499" t="n">
        <x:v>0</x:v>
      </x:c>
      <x:c r="R229" s="476" t="str"/>
      <x:c r="S229" s="476" t="str"/>
      <x:c r="T229" s="476" t="str">
        <x:v>EMENDA CONFIRMADA; DESTINO NÃO CONFIRMADO</x:v>
      </x:c>
      <x:c r="U229" s="476" t="str">
        <x:v>Média</x:v>
      </x:c>
      <x:c r="V229" s="476" t="str"/>
      <x:c r="W229" s="476" t="str">
        <x:v>Nº existe no SIGA; destinatário específico não foi confirmado nas bases anexas</x:v>
      </x:c>
      <x:c r="X229" s="476" t="str"/>
    </x:row>
    <x:row r="230">
      <x:c r="A230" t="n">
        <x:v>385</x:v>
      </x:c>
      <x:c r="B230" t="n">
        <x:v>2019</x:v>
      </x:c>
      <x:c r="C230" s="476" t="str">
        <x:v>Igrejinha</x:v>
      </x:c>
      <x:c r="D230" s="476" t="str">
        <x:v>Hospital</x:v>
      </x:c>
      <x:c r="E230" s="476" t="str">
        <x:v>Hospital Bom Pastor</x:v>
      </x:c>
      <x:c r="F230" s="476" t="str">
        <x:v>71220009</x:v>
      </x:c>
      <x:c r="G230" s="476" t="str">
        <x:v>71220009-2019</x:v>
      </x:c>
      <x:c r="H230" s="476" t="str">
        <x:v>Informado/corrigido a partir do mapa</x:v>
      </x:c>
      <x:c r="I230" s="499" t="n">
        <x:v>250000</x:v>
      </x:c>
      <x:c r="J230" s="499" t="n">
        <x:v>250000</x:v>
      </x:c>
      <x:c r="K230" s="476" t="str">
        <x:v>Emenda de Bancada</x:v>
      </x:c>
      <x:c r="L230" s="476" t="str">
        <x:v>Recurso pago</x:v>
      </x:c>
      <x:c r="M230" s="499" t="n">
        <x:v>0</x:v>
      </x:c>
      <x:c r="N230" s="499" t="n">
        <x:v>0</x:v>
      </x:c>
      <x:c r="O230" s="499" t="n">
        <x:v>0</x:v>
      </x:c>
      <x:c r="P230" s="499" t="n">
        <x:v>0</x:v>
      </x:c>
      <x:c r="Q230" s="499" t="n">
        <x:v>0</x:v>
      </x:c>
      <x:c r="R230" s="476" t="str"/>
      <x:c r="S230" s="476" t="str"/>
      <x:c r="T230" s="476" t="str">
        <x:v>Nº NÃO LOCALIZADO</x:v>
      </x:c>
      <x:c r="U230" s="476" t="str">
        <x:v>Média</x:v>
      </x:c>
      <x:c r="V230" s="476" t="str"/>
      <x:c r="W230" s="476" t="str"/>
      <x:c r="X230" s="476" t="str"/>
    </x:row>
    <x:row r="231">
      <x:c r="A231" t="n">
        <x:v>386</x:v>
      </x:c>
      <x:c r="B231" t="n">
        <x:v>2019</x:v>
      </x:c>
      <x:c r="C231" s="476" t="str">
        <x:v>Ivoti</x:v>
      </x:c>
      <x:c r="D231" s="476" t="str">
        <x:v>Hospital</x:v>
      </x:c>
      <x:c r="E231" s="476" t="str">
        <x:v>Hospital São Jose de Ivoti</x:v>
      </x:c>
      <x:c r="F231" s="476" t="str">
        <x:v>71220009</x:v>
      </x:c>
      <x:c r="G231" s="476" t="str">
        <x:v>71220009-2019</x:v>
      </x:c>
      <x:c r="H231" s="476" t="str">
        <x:v>Informado/corrigido a partir do mapa</x:v>
      </x:c>
      <x:c r="I231" s="499" t="n">
        <x:v>250000</x:v>
      </x:c>
      <x:c r="J231" s="499" t="n">
        <x:v>250000</x:v>
      </x:c>
      <x:c r="K231" s="476" t="str">
        <x:v>Emenda de Bancada</x:v>
      </x:c>
      <x:c r="L231" s="476" t="str">
        <x:v>Recurso pago</x:v>
      </x:c>
      <x:c r="M231" s="499" t="n">
        <x:v>0</x:v>
      </x:c>
      <x:c r="N231" s="499" t="n">
        <x:v>0</x:v>
      </x:c>
      <x:c r="O231" s="499" t="n">
        <x:v>0</x:v>
      </x:c>
      <x:c r="P231" s="499" t="n">
        <x:v>0</x:v>
      </x:c>
      <x:c r="Q231" s="499" t="n">
        <x:v>0</x:v>
      </x:c>
      <x:c r="R231" s="476" t="str"/>
      <x:c r="S231" s="476" t="str"/>
      <x:c r="T231" s="476" t="str">
        <x:v>Nº NÃO LOCALIZADO</x:v>
      </x:c>
      <x:c r="U231" s="476" t="str">
        <x:v>Média</x:v>
      </x:c>
      <x:c r="V231" s="476" t="str"/>
      <x:c r="W231" s="476" t="str"/>
      <x:c r="X231" s="476" t="str"/>
    </x:row>
    <x:row r="232">
      <x:c r="A232" t="n">
        <x:v>387</x:v>
      </x:c>
      <x:c r="B232" t="n">
        <x:v>2019</x:v>
      </x:c>
      <x:c r="C232" s="476" t="str">
        <x:v>Parobé</x:v>
      </x:c>
      <x:c r="D232" s="476" t="str">
        <x:v>Hospital</x:v>
      </x:c>
      <x:c r="E232" s="476" t="str">
        <x:v>Hospital São Francisco de Assis</x:v>
      </x:c>
      <x:c r="F232" s="476" t="str">
        <x:v>71220009</x:v>
      </x:c>
      <x:c r="G232" s="476" t="str">
        <x:v>71220009-2019</x:v>
      </x:c>
      <x:c r="H232" s="476" t="str">
        <x:v>Informado/corrigido a partir do mapa</x:v>
      </x:c>
      <x:c r="I232" s="499" t="n">
        <x:v>250000</x:v>
      </x:c>
      <x:c r="J232" s="499" t="n">
        <x:v>250000</x:v>
      </x:c>
      <x:c r="K232" s="476" t="str">
        <x:v>Emenda de Bancada</x:v>
      </x:c>
      <x:c r="L232" s="476" t="str">
        <x:v>Recurso pago</x:v>
      </x:c>
      <x:c r="M232" s="499" t="n">
        <x:v>0</x:v>
      </x:c>
      <x:c r="N232" s="499" t="n">
        <x:v>0</x:v>
      </x:c>
      <x:c r="O232" s="499" t="n">
        <x:v>0</x:v>
      </x:c>
      <x:c r="P232" s="499" t="n">
        <x:v>0</x:v>
      </x:c>
      <x:c r="Q232" s="499" t="n">
        <x:v>0</x:v>
      </x:c>
      <x:c r="R232" s="476" t="str"/>
      <x:c r="S232" s="476" t="str"/>
      <x:c r="T232" s="476" t="str">
        <x:v>Nº NÃO LOCALIZADO</x:v>
      </x:c>
      <x:c r="U232" s="476" t="str">
        <x:v>Média</x:v>
      </x:c>
      <x:c r="V232" s="476" t="str"/>
      <x:c r="W232" s="476" t="str"/>
      <x:c r="X232" s="476" t="str"/>
    </x:row>
    <x:row r="233">
      <x:c r="A233" t="n">
        <x:v>388</x:v>
      </x:c>
      <x:c r="B233" t="n">
        <x:v>2019</x:v>
      </x:c>
      <x:c r="C233" s="476" t="str">
        <x:v>Portão</x:v>
      </x:c>
      <x:c r="D233" s="476" t="str">
        <x:v>Hospital</x:v>
      </x:c>
      <x:c r="E233" s="476" t="str">
        <x:v>Hospital de Portão</x:v>
      </x:c>
      <x:c r="F233" s="476" t="str">
        <x:v>71220009</x:v>
      </x:c>
      <x:c r="G233" s="476" t="str">
        <x:v>71220009-2019</x:v>
      </x:c>
      <x:c r="H233" s="476" t="str">
        <x:v>Informado/corrigido a partir do mapa</x:v>
      </x:c>
      <x:c r="I233" s="499" t="n">
        <x:v>250000</x:v>
      </x:c>
      <x:c r="J233" s="499" t="n">
        <x:v>250000</x:v>
      </x:c>
      <x:c r="K233" s="476" t="str">
        <x:v>Emenda de Bancada</x:v>
      </x:c>
      <x:c r="L233" s="476" t="str">
        <x:v>Recurso pago</x:v>
      </x:c>
      <x:c r="M233" s="499" t="n">
        <x:v>0</x:v>
      </x:c>
      <x:c r="N233" s="499" t="n">
        <x:v>0</x:v>
      </x:c>
      <x:c r="O233" s="499" t="n">
        <x:v>0</x:v>
      </x:c>
      <x:c r="P233" s="499" t="n">
        <x:v>0</x:v>
      </x:c>
      <x:c r="Q233" s="499" t="n">
        <x:v>0</x:v>
      </x:c>
      <x:c r="R233" s="476" t="str"/>
      <x:c r="S233" s="476" t="str"/>
      <x:c r="T233" s="476" t="str">
        <x:v>Nº NÃO LOCALIZADO</x:v>
      </x:c>
      <x:c r="U233" s="476" t="str">
        <x:v>Média</x:v>
      </x:c>
      <x:c r="V233" s="476" t="str"/>
      <x:c r="W233" s="476" t="str"/>
      <x:c r="X233" s="476" t="str"/>
    </x:row>
    <x:row r="234">
      <x:c r="A234" t="n">
        <x:v>389</x:v>
      </x:c>
      <x:c r="B234" t="n">
        <x:v>2019</x:v>
      </x:c>
      <x:c r="C234" s="476" t="str">
        <x:v>Rolante</x:v>
      </x:c>
      <x:c r="D234" s="476" t="str">
        <x:v>Hospital</x:v>
      </x:c>
      <x:c r="E234" s="476" t="str">
        <x:v>Fundação Hospitalar de Rolante</x:v>
      </x:c>
      <x:c r="F234" s="476" t="str">
        <x:v>71220009</x:v>
      </x:c>
      <x:c r="G234" s="476" t="str">
        <x:v>71220009-2019</x:v>
      </x:c>
      <x:c r="H234" s="476" t="str">
        <x:v>Informado/corrigido a partir do mapa</x:v>
      </x:c>
      <x:c r="I234" s="499" t="n">
        <x:v>250000</x:v>
      </x:c>
      <x:c r="J234" s="499" t="n">
        <x:v>250000</x:v>
      </x:c>
      <x:c r="K234" s="476" t="str">
        <x:v>Emenda de Bancada</x:v>
      </x:c>
      <x:c r="L234" s="476" t="str">
        <x:v>Recurso pago</x:v>
      </x:c>
      <x:c r="M234" s="499" t="n">
        <x:v>0</x:v>
      </x:c>
      <x:c r="N234" s="499" t="n">
        <x:v>0</x:v>
      </x:c>
      <x:c r="O234" s="499" t="n">
        <x:v>0</x:v>
      </x:c>
      <x:c r="P234" s="499" t="n">
        <x:v>0</x:v>
      </x:c>
      <x:c r="Q234" s="499" t="n">
        <x:v>0</x:v>
      </x:c>
      <x:c r="R234" s="476" t="str"/>
      <x:c r="S234" s="476" t="str"/>
      <x:c r="T234" s="476" t="str">
        <x:v>Nº NÃO LOCALIZADO</x:v>
      </x:c>
      <x:c r="U234" s="476" t="str">
        <x:v>Média</x:v>
      </x:c>
      <x:c r="V234" s="476" t="str"/>
      <x:c r="W234" s="476" t="str"/>
      <x:c r="X234" s="476" t="str"/>
    </x:row>
    <x:row r="235">
      <x:c r="A235" t="n">
        <x:v>390</x:v>
      </x:c>
      <x:c r="B235" t="n">
        <x:v>2019</x:v>
      </x:c>
      <x:c r="C235" s="476" t="str">
        <x:v>Santo Antônio da Patrulha</x:v>
      </x:c>
      <x:c r="D235" s="476" t="str">
        <x:v>Hospital</x:v>
      </x:c>
      <x:c r="E235" s="476" t="str">
        <x:v>Hospital Santo Antonio da Patrulha</x:v>
      </x:c>
      <x:c r="F235" s="476" t="str">
        <x:v>71220009</x:v>
      </x:c>
      <x:c r="G235" s="476" t="str">
        <x:v>71220009-2019</x:v>
      </x:c>
      <x:c r="H235" s="476" t="str">
        <x:v>Informado/corrigido a partir do mapa</x:v>
      </x:c>
      <x:c r="I235" s="499" t="n">
        <x:v>250000</x:v>
      </x:c>
      <x:c r="J235" s="499" t="n">
        <x:v>250000</x:v>
      </x:c>
      <x:c r="K235" s="476" t="str">
        <x:v>Emenda de Bancada</x:v>
      </x:c>
      <x:c r="L235" s="476" t="str">
        <x:v>Recurso pago</x:v>
      </x:c>
      <x:c r="M235" s="499" t="n">
        <x:v>0</x:v>
      </x:c>
      <x:c r="N235" s="499" t="n">
        <x:v>0</x:v>
      </x:c>
      <x:c r="O235" s="499" t="n">
        <x:v>0</x:v>
      </x:c>
      <x:c r="P235" s="499" t="n">
        <x:v>0</x:v>
      </x:c>
      <x:c r="Q235" s="499" t="n">
        <x:v>0</x:v>
      </x:c>
      <x:c r="R235" s="476" t="str"/>
      <x:c r="S235" s="476" t="str"/>
      <x:c r="T235" s="476" t="str">
        <x:v>Nº NÃO LOCALIZADO</x:v>
      </x:c>
      <x:c r="U235" s="476" t="str">
        <x:v>Média</x:v>
      </x:c>
      <x:c r="V235" s="476" t="str"/>
      <x:c r="W235" s="476" t="str"/>
      <x:c r="X235" s="476" t="str"/>
    </x:row>
    <x:row r="236">
      <x:c r="A236" t="n">
        <x:v>391</x:v>
      </x:c>
      <x:c r="B236" t="n">
        <x:v>2019</x:v>
      </x:c>
      <x:c r="C236" s="476" t="str">
        <x:v>Sapiranga</x:v>
      </x:c>
      <x:c r="D236" s="476" t="str">
        <x:v>Hospital</x:v>
      </x:c>
      <x:c r="E236" s="476" t="str">
        <x:v>Sociedade Beneficente Sapiranguese</x:v>
      </x:c>
      <x:c r="F236" s="476" t="str">
        <x:v>71220009</x:v>
      </x:c>
      <x:c r="G236" s="476" t="str">
        <x:v>71220009-2019</x:v>
      </x:c>
      <x:c r="H236" s="476" t="str">
        <x:v>Informado/corrigido a partir do mapa</x:v>
      </x:c>
      <x:c r="I236" s="499" t="n">
        <x:v>250000</x:v>
      </x:c>
      <x:c r="J236" s="499" t="n">
        <x:v>250000</x:v>
      </x:c>
      <x:c r="K236" s="476" t="str">
        <x:v>Emenda de Bancada</x:v>
      </x:c>
      <x:c r="L236" s="476" t="str">
        <x:v>Recurso pago</x:v>
      </x:c>
      <x:c r="M236" s="499" t="n">
        <x:v>0</x:v>
      </x:c>
      <x:c r="N236" s="499" t="n">
        <x:v>0</x:v>
      </x:c>
      <x:c r="O236" s="499" t="n">
        <x:v>0</x:v>
      </x:c>
      <x:c r="P236" s="499" t="n">
        <x:v>0</x:v>
      </x:c>
      <x:c r="Q236" s="499" t="n">
        <x:v>0</x:v>
      </x:c>
      <x:c r="R236" s="476" t="str"/>
      <x:c r="S236" s="476" t="str"/>
      <x:c r="T236" s="476" t="str">
        <x:v>Nº NÃO LOCALIZADO</x:v>
      </x:c>
      <x:c r="U236" s="476" t="str">
        <x:v>Média</x:v>
      </x:c>
      <x:c r="V236" s="476" t="str"/>
      <x:c r="W236" s="476" t="str"/>
      <x:c r="X236" s="476" t="str"/>
    </x:row>
    <x:row r="237">
      <x:c r="A237" t="n">
        <x:v>392</x:v>
      </x:c>
      <x:c r="B237" t="n">
        <x:v>2019</x:v>
      </x:c>
      <x:c r="C237" s="476" t="str">
        <x:v>Três Coroas</x:v>
      </x:c>
      <x:c r="D237" s="476" t="str">
        <x:v>Hospital</x:v>
      </x:c>
      <x:c r="E237" s="476" t="str">
        <x:v>Hospital Dr Oswaldo Diesel</x:v>
      </x:c>
      <x:c r="F237" s="476" t="str">
        <x:v>71220009</x:v>
      </x:c>
      <x:c r="G237" s="476" t="str">
        <x:v>71220009-2019</x:v>
      </x:c>
      <x:c r="H237" s="476" t="str">
        <x:v>Informado/corrigido a partir do mapa</x:v>
      </x:c>
      <x:c r="I237" s="499" t="n">
        <x:v>250000</x:v>
      </x:c>
      <x:c r="J237" s="499" t="n">
        <x:v>250000</x:v>
      </x:c>
      <x:c r="K237" s="476" t="str">
        <x:v>Emenda de Bancada</x:v>
      </x:c>
      <x:c r="L237" s="476" t="str">
        <x:v>Recurso pago</x:v>
      </x:c>
      <x:c r="M237" s="499" t="n">
        <x:v>0</x:v>
      </x:c>
      <x:c r="N237" s="499" t="n">
        <x:v>0</x:v>
      </x:c>
      <x:c r="O237" s="499" t="n">
        <x:v>0</x:v>
      </x:c>
      <x:c r="P237" s="499" t="n">
        <x:v>0</x:v>
      </x:c>
      <x:c r="Q237" s="499" t="n">
        <x:v>0</x:v>
      </x:c>
      <x:c r="R237" s="476" t="str"/>
      <x:c r="S237" s="476" t="str"/>
      <x:c r="T237" s="476" t="str">
        <x:v>Nº NÃO LOCALIZADO</x:v>
      </x:c>
      <x:c r="U237" s="476" t="str">
        <x:v>Média</x:v>
      </x:c>
      <x:c r="V237" s="476" t="str"/>
      <x:c r="W237" s="476" t="str"/>
      <x:c r="X237" s="476" t="str"/>
    </x:row>
    <x:row r="238">
      <x:c r="A238" t="n">
        <x:v>393</x:v>
      </x:c>
      <x:c r="B238" t="n">
        <x:v>2020</x:v>
      </x:c>
      <x:c r="C238" s="476" t="str">
        <x:v>Novo Hamburgo</x:v>
      </x:c>
      <x:c r="D238" s="476" t="str">
        <x:v>Hospital</x:v>
      </x:c>
      <x:c r="E238" s="476" t="str">
        <x:v>Hospital Municipal de Novo Hamburgo</x:v>
      </x:c>
      <x:c r="F238" s="476" t="str">
        <x:v>7122 0006</x:v>
      </x:c>
      <x:c r="G238" s="476" t="str">
        <x:v>71220006-2020</x:v>
      </x:c>
      <x:c r="H238" s="476" t="str">
        <x:v>Informado/corrigido a partir do mapa</x:v>
      </x:c>
      <x:c r="I238" s="499" t="n">
        <x:v>250000</x:v>
      </x:c>
      <x:c r="J238" s="499" t="n">
        <x:v>250000</x:v>
      </x:c>
      <x:c r="K238" s="476" t="str">
        <x:v>Emenda de Bancada</x:v>
      </x:c>
      <x:c r="L238" s="476" t="str">
        <x:v>Recurso pago</x:v>
      </x:c>
      <x:c r="M238" s="499" t="n">
        <x:v>0</x:v>
      </x:c>
      <x:c r="N238" s="499" t="n">
        <x:v>0</x:v>
      </x:c>
      <x:c r="O238" s="499" t="n">
        <x:v>0</x:v>
      </x:c>
      <x:c r="P238" s="499" t="n">
        <x:v>0</x:v>
      </x:c>
      <x:c r="Q238" s="499" t="n">
        <x:v>0</x:v>
      </x:c>
      <x:c r="R238" s="476" t="str"/>
      <x:c r="S238" s="476" t="str"/>
      <x:c r="T238" s="476" t="str">
        <x:v>Nº NÃO LOCALIZADO</x:v>
      </x:c>
      <x:c r="U238" s="476" t="str">
        <x:v>Média</x:v>
      </x:c>
      <x:c r="V238" s="476" t="str"/>
      <x:c r="W238" s="476" t="str"/>
      <x:c r="X238" s="476" t="str"/>
    </x:row>
    <x:row r="239">
      <x:c r="A239" t="n">
        <x:v>394</x:v>
      </x:c>
      <x:c r="B239" t="n">
        <x:v>2020</x:v>
      </x:c>
      <x:c r="C239" s="476" t="str">
        <x:v>São Leopoldo</x:v>
      </x:c>
      <x:c r="D239" s="476" t="str">
        <x:v>Hospital</x:v>
      </x:c>
      <x:c r="E239" s="476" t="str">
        <x:v>Fundação Hospital Centenário</x:v>
      </x:c>
      <x:c r="F239" s="476" t="str">
        <x:v>7122 0006</x:v>
      </x:c>
      <x:c r="G239" s="476" t="str">
        <x:v>71220006-2020</x:v>
      </x:c>
      <x:c r="H239" s="476" t="str">
        <x:v>Informado/corrigido a partir do mapa</x:v>
      </x:c>
      <x:c r="I239" s="499" t="n">
        <x:v>250000</x:v>
      </x:c>
      <x:c r="J239" s="499" t="n">
        <x:v>250000</x:v>
      </x:c>
      <x:c r="K239" s="476" t="str">
        <x:v>Emenda de Bancada</x:v>
      </x:c>
      <x:c r="L239" s="476" t="str">
        <x:v>Recurso pago</x:v>
      </x:c>
      <x:c r="M239" s="499" t="n">
        <x:v>0</x:v>
      </x:c>
      <x:c r="N239" s="499" t="n">
        <x:v>0</x:v>
      </x:c>
      <x:c r="O239" s="499" t="n">
        <x:v>0</x:v>
      </x:c>
      <x:c r="P239" s="499" t="n">
        <x:v>0</x:v>
      </x:c>
      <x:c r="Q239" s="499" t="n">
        <x:v>0</x:v>
      </x:c>
      <x:c r="R239" s="476" t="str"/>
      <x:c r="S239" s="476" t="str"/>
      <x:c r="T239" s="476" t="str">
        <x:v>Nº NÃO LOCALIZADO</x:v>
      </x:c>
      <x:c r="U239" s="476" t="str">
        <x:v>Média</x:v>
      </x:c>
      <x:c r="V239" s="476" t="str"/>
      <x:c r="W239" s="476" t="str"/>
      <x:c r="X239" s="476" t="str"/>
    </x:row>
    <x:row r="240">
      <x:c r="A240" t="n">
        <x:v>395</x:v>
      </x:c>
      <x:c r="B240" t="n">
        <x:v>2020</x:v>
      </x:c>
      <x:c r="C240" s="476" t="str">
        <x:v>Passo Fundo</x:v>
      </x:c>
      <x:c r="D240" s="476" t="str">
        <x:v>Hospital</x:v>
      </x:c>
      <x:c r="E240" s="476" t="str">
        <x:v>Hospital de Clínicas de Passo Fundo</x:v>
      </x:c>
      <x:c r="F240" s="476" t="str">
        <x:v>41160005</x:v>
      </x:c>
      <x:c r="G240" s="476" t="str">
        <x:v>41160005-2020</x:v>
      </x:c>
      <x:c r="H240" s="476" t="str">
        <x:v>Informado/corrigido a partir do mapa</x:v>
      </x:c>
      <x:c r="I240" s="499" t="n">
        <x:v>250000</x:v>
      </x:c>
      <x:c r="J240" s="499" t="n">
        <x:v>250000</x:v>
      </x:c>
      <x:c r="K240" s="476" t="str">
        <x:v>Emenda Individual (processo seletivo)</x:v>
      </x:c>
      <x:c r="L240" s="476" t="str">
        <x:v>Recurso pago</x:v>
      </x:c>
      <x:c r="M240" s="499" t="n">
        <x:v>0</x:v>
      </x:c>
      <x:c r="N240" s="499" t="n">
        <x:v>0</x:v>
      </x:c>
      <x:c r="O240" s="499" t="n">
        <x:v>0</x:v>
      </x:c>
      <x:c r="P240" s="499" t="n">
        <x:v>0</x:v>
      </x:c>
      <x:c r="Q240" s="499" t="n">
        <x:v>0</x:v>
      </x:c>
      <x:c r="R240" s="476" t="str"/>
      <x:c r="S240" s="476" t="str"/>
      <x:c r="T240" s="476" t="str">
        <x:v>EMENDA CONFIRMADA; DESTINO NÃO CONFIRMADO</x:v>
      </x:c>
      <x:c r="U240" s="476" t="str">
        <x:v>Média</x:v>
      </x:c>
      <x:c r="V240" s="476" t="str"/>
      <x:c r="W240" s="476" t="str">
        <x:v>Nº existe no SIGA; destinatário específico não foi confirmado nas bases anexas</x:v>
      </x:c>
      <x:c r="X240" s="476" t="str"/>
    </x:row>
    <x:row r="241">
      <x:c r="A241" t="n">
        <x:v>396</x:v>
      </x:c>
      <x:c r="B241" t="n">
        <x:v>2020</x:v>
      </x:c>
      <x:c r="C241" s="476" t="str">
        <x:v>Santa Maria</x:v>
      </x:c>
      <x:c r="D241" s="476" t="str">
        <x:v>Hospital</x:v>
      </x:c>
      <x:c r="E241" s="476" t="str">
        <x:v>Casa de Saúde</x:v>
      </x:c>
      <x:c r="F241" s="476" t="str">
        <x:v>41160005</x:v>
      </x:c>
      <x:c r="G241" s="476" t="str">
        <x:v>41160005-2020</x:v>
      </x:c>
      <x:c r="H241" s="476" t="str">
        <x:v>Informado/corrigido a partir do mapa</x:v>
      </x:c>
      <x:c r="I241" s="499" t="n">
        <x:v>250000</x:v>
      </x:c>
      <x:c r="J241" s="499" t="n">
        <x:v>250000</x:v>
      </x:c>
      <x:c r="K241" s="476" t="str">
        <x:v>Emenda Individual (processo seletivo)</x:v>
      </x:c>
      <x:c r="L241" s="476" t="str">
        <x:v>Recurso pago</x:v>
      </x:c>
      <x:c r="M241" s="499" t="n">
        <x:v>0</x:v>
      </x:c>
      <x:c r="N241" s="499" t="n">
        <x:v>0</x:v>
      </x:c>
      <x:c r="O241" s="499" t="n">
        <x:v>0</x:v>
      </x:c>
      <x:c r="P241" s="499" t="n">
        <x:v>0</x:v>
      </x:c>
      <x:c r="Q241" s="499" t="n">
        <x:v>0</x:v>
      </x:c>
      <x:c r="R241" s="476" t="str"/>
      <x:c r="S241" s="476" t="str"/>
      <x:c r="T241" s="476" t="str">
        <x:v>EMENDA CONFIRMADA; DESTINO NÃO CONFIRMADO</x:v>
      </x:c>
      <x:c r="U241" s="476" t="str">
        <x:v>Média</x:v>
      </x:c>
      <x:c r="V241" s="476" t="str"/>
      <x:c r="W241" s="476" t="str">
        <x:v>Nº existe no SIGA; destinatário específico não foi confirmado nas bases anexas</x:v>
      </x:c>
      <x:c r="X241" s="476" t="str"/>
    </x:row>
    <x:row r="242">
      <x:c r="A242" t="n">
        <x:v>397</x:v>
      </x:c>
      <x:c r="B242" t="n">
        <x:v>2021</x:v>
      </x:c>
      <x:c r="C242" s="476" t="str">
        <x:v>Arambaré</x:v>
      </x:c>
      <x:c r="D242" s="476" t="str">
        <x:v>Município</x:v>
      </x:c>
      <x:c r="E242" s="476" t="str">
        <x:v>Prefeitura Municipal</x:v>
      </x:c>
      <x:c r="F242" s="476" t="str">
        <x:v>41160004</x:v>
      </x:c>
      <x:c r="G242" s="476" t="str">
        <x:v>41160004-2021</x:v>
      </x:c>
      <x:c r="H242" s="476" t="str">
        <x:v>Informado/corrigido a partir do mapa</x:v>
      </x:c>
      <x:c r="I242" s="499" t="n">
        <x:v>250000</x:v>
      </x:c>
      <x:c r="J242" s="499" t="n">
        <x:v>250000</x:v>
      </x:c>
      <x:c r="K242" s="476" t="str">
        <x:v>Emenda Individual (processo seletivo)</x:v>
      </x:c>
      <x:c r="L242" s="476" t="str">
        <x:v>Recurso pago</x:v>
      </x:c>
      <x:c r="M242" s="499" t="n">
        <x:v>238856</x:v>
      </x:c>
      <x:c r="N242" s="499" t="n">
        <x:v>238856</x:v>
      </x:c>
      <x:c r="O242" s="499" t="n">
        <x:v>238856</x:v>
      </x:c>
      <x:c r="P242" s="499" t="n">
        <x:v>0</x:v>
      </x:c>
      <x:c r="Q242" s="499" t="n">
        <x:v>0</x:v>
      </x:c>
      <x:c r="R242" s="476" t="str"/>
      <x:c r="S242" s="476" t="str">
        <x:v>90152950000124</x:v>
      </x:c>
      <x:c r="T242" s="476" t="str">
        <x:v>VALOR DIVERGENTE / COBERTURA DIFERENTE</x:v>
      </x:c>
      <x:c r="U242" s="476" t="str">
        <x:v>Média</x:v>
      </x:c>
      <x:c r="V242" s="476" t="str">
        <x:v>CNPJ candidato na fonte SIGA: 90152950000124</x:v>
      </x:c>
      <x:c r="W242" s="476" t="str">
        <x:v>Município/localidade encontrado em fonte comparável, mas valor não fecha exatamente</x:v>
      </x:c>
      <x:c r="X242" s="476" t="str">
        <x:v>https://discricionarias.transferegov.sistema.gov.br/voluntarias/ConsultarProposta/ResultadoDaConsultaDeConvenioSelecionarConvenio.do?sequencialConvenio=917427&amp;Usr=guest&amp;Pwd=guest</x:v>
      </x:c>
    </x:row>
    <x:row r="243">
      <x:c r="A243" t="n">
        <x:v>398</x:v>
      </x:c>
      <x:c r="B243" t="n">
        <x:v>2021</x:v>
      </x:c>
      <x:c r="C243" s="476" t="str">
        <x:v>Casca</x:v>
      </x:c>
      <x:c r="D243" s="476" t="str">
        <x:v>Hospital</x:v>
      </x:c>
      <x:c r="E243" s="476" t="str">
        <x:v>Hospital Beneficente Santa Lucia</x:v>
      </x:c>
      <x:c r="F243" s="476" t="str">
        <x:v>41160002</x:v>
      </x:c>
      <x:c r="G243" s="476" t="str">
        <x:v>41160002-2021</x:v>
      </x:c>
      <x:c r="H243" s="476" t="str">
        <x:v>Informado/corrigido a partir do mapa</x:v>
      </x:c>
      <x:c r="I243" s="499" t="n">
        <x:v>250000</x:v>
      </x:c>
      <x:c r="J243" s="499" t="n">
        <x:v>250000</x:v>
      </x:c>
      <x:c r="K243" s="476" t="str">
        <x:v>Emenda individual (processo seletivo)</x:v>
      </x:c>
      <x:c r="L243" s="476" t="str">
        <x:v>Recurso pago. Valor recebido: R$ 216.807,80. (Consultado Transferegov em 09/04/2024)</x:v>
      </x:c>
      <x:c r="M243" s="499" t="n">
        <x:v>216807.8</x:v>
      </x:c>
      <x:c r="N243" s="499" t="n">
        <x:v>0</x:v>
      </x:c>
      <x:c r="O243" s="499" t="n">
        <x:v>216807.8</x:v>
      </x:c>
      <x:c r="P243" s="499" t="n">
        <x:v>0</x:v>
      </x:c>
      <x:c r="Q243" s="499" t="n">
        <x:v>0</x:v>
      </x:c>
      <x:c r="R243" s="476" t="str"/>
      <x:c r="S243" s="476" t="str">
        <x:v>88590369000142</x:v>
      </x:c>
      <x:c r="T243" s="476" t="str">
        <x:v>VALOR DIVERGENTE / COBERTURA DIFERENTE</x:v>
      </x:c>
      <x:c r="U243" s="476" t="str">
        <x:v>Alta</x:v>
      </x:c>
      <x:c r="V243" s="476" t="str">
        <x:v>CNPJ candidato na fonte SIGA: 88590369000142</x:v>
      </x:c>
      <x:c r="W243" s="476" t="str">
        <x:v>Município/localidade encontrado em fonte comparável, mas valor não fecha exatamente</x:v>
      </x:c>
      <x:c r="X243" s="476" t="str">
        <x:v>https://discricionarias.transferegov.sistema.gov.br/voluntarias/ConsultarProposta/ResultadoDaConsultaDeConvenioSelecionarConvenio.do?sequencialConvenio=921225&amp;Usr=guest&amp;Pwd=guest</x:v>
      </x:c>
    </x:row>
    <x:row r="244">
      <x:c r="A244" t="n">
        <x:v>399</x:v>
      </x:c>
      <x:c r="B244" t="n">
        <x:v>2021</x:v>
      </x:c>
      <x:c r="C244" s="476" t="str">
        <x:v>Feliz</x:v>
      </x:c>
      <x:c r="D244" s="476" t="str">
        <x:v>Município</x:v>
      </x:c>
      <x:c r="E244" s="476" t="str">
        <x:v>Prefeitura Municipal</x:v>
      </x:c>
      <x:c r="F244" s="476" t="str">
        <x:v>41160004</x:v>
      </x:c>
      <x:c r="G244" s="476" t="str">
        <x:v>41160004-2021</x:v>
      </x:c>
      <x:c r="H244" s="476" t="str">
        <x:v>Informado/corrigido a partir do mapa</x:v>
      </x:c>
      <x:c r="I244" s="499" t="n">
        <x:v>250000</x:v>
      </x:c>
      <x:c r="J244" s="499" t="n">
        <x:v>250000</x:v>
      </x:c>
      <x:c r="K244" s="476" t="str">
        <x:v>Emenda Individual (processo seletivo)</x:v>
      </x:c>
      <x:c r="L244" s="476" t="str">
        <x:v>Recurso pago</x:v>
      </x:c>
      <x:c r="M244" s="499" t="n">
        <x:v>238856</x:v>
      </x:c>
      <x:c r="N244" s="499" t="n">
        <x:v>238856</x:v>
      </x:c>
      <x:c r="O244" s="499" t="n">
        <x:v>238856</x:v>
      </x:c>
      <x:c r="P244" s="499" t="n">
        <x:v>0</x:v>
      </x:c>
      <x:c r="Q244" s="499" t="n">
        <x:v>0</x:v>
      </x:c>
      <x:c r="R244" s="476" t="str"/>
      <x:c r="S244" s="476" t="str">
        <x:v>87838330000139</x:v>
      </x:c>
      <x:c r="T244" s="476" t="str">
        <x:v>VALOR DIVERGENTE / COBERTURA DIFERENTE</x:v>
      </x:c>
      <x:c r="U244" s="476" t="str">
        <x:v>Média</x:v>
      </x:c>
      <x:c r="V244" s="476" t="str">
        <x:v>CNPJ candidato na fonte SIGA: 87838330000139</x:v>
      </x:c>
      <x:c r="W244" s="476" t="str">
        <x:v>Município/localidade encontrado em fonte comparável, mas valor não fecha exatamente</x:v>
      </x:c>
      <x:c r="X244" s="476" t="str">
        <x:v>https://discricionarias.transferegov.sistema.gov.br/voluntarias/ConsultarProposta/ResultadoDaConsultaDeConvenioSelecionarConvenio.do?sequencialConvenio=917429&amp;Usr=guest&amp;Pwd=guest</x:v>
      </x:c>
    </x:row>
    <x:row r="245">
      <x:c r="A245" t="n">
        <x:v>400</x:v>
      </x:c>
      <x:c r="B245" t="n">
        <x:v>2021</x:v>
      </x:c>
      <x:c r="C245" s="476" t="str">
        <x:v>Pelotas</x:v>
      </x:c>
      <x:c r="D245" s="476" t="str">
        <x:v>Município</x:v>
      </x:c>
      <x:c r="E245" s="476" t="str">
        <x:v>Prefeitura Municipal</x:v>
      </x:c>
      <x:c r="F245" s="476" t="str">
        <x:v>41160004</x:v>
      </x:c>
      <x:c r="G245" s="476" t="str">
        <x:v>41160004-2021</x:v>
      </x:c>
      <x:c r="H245" s="476" t="str">
        <x:v>Informado/corrigido a partir do mapa</x:v>
      </x:c>
      <x:c r="I245" s="499" t="n">
        <x:v>250000</x:v>
      </x:c>
      <x:c r="J245" s="499" t="n">
        <x:v>250000</x:v>
      </x:c>
      <x:c r="K245" s="476" t="str">
        <x:v>Emenda Individual (processo seletivo)</x:v>
      </x:c>
      <x:c r="L245" s="476" t="str">
        <x:v>Empenhado. Recurso ainda não pago. Consultado Transferegov em 12/04/2024.</x:v>
      </x:c>
      <x:c r="M245" s="499" t="n">
        <x:v>238856</x:v>
      </x:c>
      <x:c r="N245" s="499" t="n">
        <x:v>238856</x:v>
      </x:c>
      <x:c r="O245" s="499" t="n">
        <x:v>238856</x:v>
      </x:c>
      <x:c r="P245" s="499" t="n">
        <x:v>0</x:v>
      </x:c>
      <x:c r="Q245" s="499" t="n">
        <x:v>0</x:v>
      </x:c>
      <x:c r="R245" s="476" t="str"/>
      <x:c r="S245" s="476" t="str">
        <x:v>87455531000157</x:v>
      </x:c>
      <x:c r="T245" s="476" t="str">
        <x:v>VALOR DIVERGENTE / COBERTURA DIFERENTE</x:v>
      </x:c>
      <x:c r="U245" s="476" t="str">
        <x:v>Média</x:v>
      </x:c>
      <x:c r="V245" s="476" t="str">
        <x:v>Situação possivelmente desatualizada: SIGA/execução regionalizada mostra pagamento; CNPJ candidato na fonte SIGA: 87455531000157</x:v>
      </x:c>
      <x:c r="W245" s="476" t="str">
        <x:v>Município/localidade encontrado em fonte comparável, mas valor não fecha exatamente</x:v>
      </x:c>
      <x:c r="X245" s="476" t="str">
        <x:v>https://discricionarias.transferegov.sistema.gov.br/voluntarias/ConsultarProposta/ResultadoDaConsultaDeConvenioSelecionarConvenio.do?sequencialConvenio=917428&amp;Usr=guest&amp;Pwd=guest</x:v>
      </x:c>
    </x:row>
    <x:row r="246">
      <x:c r="A246" t="n">
        <x:v>401</x:v>
      </x:c>
      <x:c r="B246" t="n">
        <x:v>2021</x:v>
      </x:c>
      <x:c r="C246" s="476" t="str">
        <x:v>Santa Cruz do Sul</x:v>
      </x:c>
      <x:c r="D246" s="476" t="str">
        <x:v>Hospital</x:v>
      </x:c>
      <x:c r="E246" s="476" t="str">
        <x:v>Hospital Ana Nery</x:v>
      </x:c>
      <x:c r="F246" s="476" t="str">
        <x:v>41160002</x:v>
      </x:c>
      <x:c r="G246" s="476" t="str">
        <x:v>41160002-2021</x:v>
      </x:c>
      <x:c r="H246" s="476" t="str">
        <x:v>Informado/corrigido a partir do mapa</x:v>
      </x:c>
      <x:c r="I246" s="499" t="n">
        <x:v>250000</x:v>
      </x:c>
      <x:c r="J246" s="499" t="n">
        <x:v>250000</x:v>
      </x:c>
      <x:c r="K246" s="476" t="str">
        <x:v>Emenda individual (processo seletivo)</x:v>
      </x:c>
      <x:c r="L246" s="476" t="str">
        <x:v>Recurso pago</x:v>
      </x:c>
      <x:c r="M246" s="499" t="n">
        <x:v>241674.58</x:v>
      </x:c>
      <x:c r="N246" s="499" t="n">
        <x:v>0</x:v>
      </x:c>
      <x:c r="O246" s="499" t="n">
        <x:v>241674.58</x:v>
      </x:c>
      <x:c r="P246" s="499" t="n">
        <x:v>0</x:v>
      </x:c>
      <x:c r="Q246" s="499" t="n">
        <x:v>0</x:v>
      </x:c>
      <x:c r="R246" s="476" t="str"/>
      <x:c r="S246" s="476" t="str">
        <x:v>95422358000119</x:v>
      </x:c>
      <x:c r="T246" s="476" t="str">
        <x:v>VALOR DIVERGENTE / COBERTURA DIFERENTE</x:v>
      </x:c>
      <x:c r="U246" s="476" t="str">
        <x:v>Média</x:v>
      </x:c>
      <x:c r="V246" s="476" t="str">
        <x:v>CNPJ candidato na fonte SIGA: 95422358000119</x:v>
      </x:c>
      <x:c r="W246" s="476" t="str">
        <x:v>Município/localidade encontrado em fonte comparável, mas valor não fecha exatamente</x:v>
      </x:c>
      <x:c r="X246" s="476" t="str">
        <x:v>https://discricionarias.transferegov.sistema.gov.br/voluntarias/ConsultarProposta/ResultadoDaConsultaDeConvenioSelecionarConvenio.do?sequencialConvenio=914855&amp;Usr=guest&amp;Pwd=guest</x:v>
      </x:c>
    </x:row>
    <x:row r="247">
      <x:c r="A247" t="n">
        <x:v>402</x:v>
      </x:c>
      <x:c r="B247" t="n">
        <x:v>2021</x:v>
      </x:c>
      <x:c r="C247" s="476" t="str">
        <x:v>São Francisco de Assis</x:v>
      </x:c>
      <x:c r="D247" s="476" t="str">
        <x:v>Prefeitura</x:v>
      </x:c>
      <x:c r="E247" s="476" t="str">
        <x:v>Prefeitura Municipal</x:v>
      </x:c>
      <x:c r="F247" s="476" t="str">
        <x:v>41160002</x:v>
      </x:c>
      <x:c r="G247" s="476" t="str">
        <x:v>41160002-2021</x:v>
      </x:c>
      <x:c r="H247" s="476" t="str">
        <x:v>Informado/corrigido a partir do mapa</x:v>
      </x:c>
      <x:c r="I247" s="499" t="n">
        <x:v>250000</x:v>
      </x:c>
      <x:c r="J247" s="499" t="n">
        <x:v>250000</x:v>
      </x:c>
      <x:c r="K247" s="476" t="str">
        <x:v>Emenda individual (processo seletivo)</x:v>
      </x:c>
      <x:c r="L247" s="476" t="str">
        <x:v>Recurso pago</x:v>
      </x:c>
      <x:c r="M247" s="499" t="n">
        <x:v>249321</x:v>
      </x:c>
      <x:c r="N247" s="499" t="n">
        <x:v>0</x:v>
      </x:c>
      <x:c r="O247" s="499" t="n">
        <x:v>0</x:v>
      </x:c>
      <x:c r="P247" s="499" t="n">
        <x:v>0</x:v>
      </x:c>
      <x:c r="Q247" s="499" t="n">
        <x:v>0</x:v>
      </x:c>
      <x:c r="R247" s="476" t="str"/>
      <x:c r="S247" s="476" t="str">
        <x:v>12094096000183</x:v>
      </x:c>
      <x:c r="T247" s="476" t="str">
        <x:v>VALOR DIVERGENTE / COBERTURA DIFERENTE</x:v>
      </x:c>
      <x:c r="U247" s="476" t="str">
        <x:v>Média</x:v>
      </x:c>
      <x:c r="V247" s="476" t="str">
        <x:v>CNPJ candidato na fonte SIGA: 12094096000183</x:v>
      </x:c>
      <x:c r="W247" s="476" t="str">
        <x:v>Município/localidade encontrado em fonte comparável, mas valor não fecha exatamente</x:v>
      </x:c>
      <x:c r="X247" s="476" t="str"/>
    </x:row>
    <x:row r="248">
      <x:c r="A248" t="n">
        <x:v>403</x:v>
      </x:c>
      <x:c r="B248" t="n">
        <x:v>2022</x:v>
      </x:c>
      <x:c r="C248" s="476" t="str">
        <x:v>Agudo</x:v>
      </x:c>
      <x:c r="D248" s="476" t="str">
        <x:v>Município</x:v>
      </x:c>
      <x:c r="E248" s="476" t="str">
        <x:v>Prefeitura Municipal</x:v>
      </x:c>
      <x:c r="F248" s="476" t="str">
        <x:v>41160005</x:v>
      </x:c>
      <x:c r="G248" s="476" t="str">
        <x:v>41160005-2022</x:v>
      </x:c>
      <x:c r="H248" s="476" t="str">
        <x:v>Informado/corrigido a partir do mapa</x:v>
      </x:c>
      <x:c r="I248" s="499" t="n">
        <x:v>250000</x:v>
      </x:c>
      <x:c r="J248" s="499" t="n">
        <x:v>250000</x:v>
      </x:c>
      <x:c r="K248" s="476" t="str">
        <x:v>Emenda Individual (processo seletivo)</x:v>
      </x:c>
      <x:c r="L248" s="476" t="str">
        <x:v>Empenhado (Consultado Transferegov em 16/04/2024)</x:v>
      </x:c>
      <x:c r="M248" s="499" t="n">
        <x:v>238856</x:v>
      </x:c>
      <x:c r="N248" s="499" t="n">
        <x:v>238856</x:v>
      </x:c>
      <x:c r="O248" s="499" t="n">
        <x:v>238856</x:v>
      </x:c>
      <x:c r="P248" s="499" t="n">
        <x:v>0</x:v>
      </x:c>
      <x:c r="Q248" s="499" t="n">
        <x:v>0</x:v>
      </x:c>
      <x:c r="R248" s="476" t="str"/>
      <x:c r="S248" s="476" t="str">
        <x:v>87531976000179</x:v>
      </x:c>
      <x:c r="T248" s="476" t="str">
        <x:v>VALOR DIVERGENTE / COBERTURA DIFERENTE</x:v>
      </x:c>
      <x:c r="U248" s="476" t="str">
        <x:v>Média</x:v>
      </x:c>
      <x:c r="V248" s="476" t="str">
        <x:v>Situação possivelmente desatualizada: SIGA/execução regionalizada mostra pagamento; CNPJ candidato na fonte SIGA: 87531976000179</x:v>
      </x:c>
      <x:c r="W248" s="476" t="str">
        <x:v>Município/localidade encontrado em fonte comparável, mas valor não fecha exatamente</x:v>
      </x:c>
      <x:c r="X248" s="476" t="str">
        <x:v>https://discricionarias.transferegov.sistema.gov.br/voluntarias/ConsultarProposta/ResultadoDaConsultaDeConvenioSelecionarConvenio.do?sequencialConvenio=934320&amp;Usr=guest&amp;Pwd=guest</x:v>
      </x:c>
    </x:row>
    <x:row r="249">
      <x:c r="A249" t="n">
        <x:v>404</x:v>
      </x:c>
      <x:c r="B249" t="n">
        <x:v>2022</x:v>
      </x:c>
      <x:c r="C249" s="476" t="str">
        <x:v>Campo Bom</x:v>
      </x:c>
      <x:c r="D249" s="476" t="str">
        <x:v>Município</x:v>
      </x:c>
      <x:c r="E249" s="476" t="str">
        <x:v>Fundo Municipal de Saúde</x:v>
      </x:c>
      <x:c r="F249" s="476" t="str">
        <x:v>41160003</x:v>
      </x:c>
      <x:c r="G249" s="476" t="str">
        <x:v>41160003-2022</x:v>
      </x:c>
      <x:c r="H249" s="476" t="str">
        <x:v>Informado/corrigido a partir do mapa</x:v>
      </x:c>
      <x:c r="I249" s="499" t="n">
        <x:v>250000</x:v>
      </x:c>
      <x:c r="J249" s="499" t="n">
        <x:v>250000</x:v>
      </x:c>
      <x:c r="K249" s="476" t="str">
        <x:v>Emenda Individual </x:v>
      </x:c>
      <x:c r="L249" s="476" t="str">
        <x:v>Indicação não localizada no SIOP (08/04/2024)</x:v>
      </x:c>
      <x:c r="M249" s="499" t="n">
        <x:v>0</x:v>
      </x:c>
      <x:c r="N249" s="499" t="n">
        <x:v>0</x:v>
      </x:c>
      <x:c r="O249" s="499" t="n">
        <x:v>0</x:v>
      </x:c>
      <x:c r="P249" s="499" t="n">
        <x:v>0</x:v>
      </x:c>
      <x:c r="Q249" s="499" t="n">
        <x:v>0</x:v>
      </x:c>
      <x:c r="R249" s="476" t="str"/>
      <x:c r="S249" s="476" t="str"/>
      <x:c r="T249" s="476" t="str">
        <x:v>EMENDA CONFIRMADA; DESTINO NÃO CONFIRMADO</x:v>
      </x:c>
      <x:c r="U249" s="476" t="str">
        <x:v>Média</x:v>
      </x:c>
      <x:c r="V249" s="476" t="str"/>
      <x:c r="W249" s="476" t="str">
        <x:v>Nº existe no SIGA; destinatário específico não foi confirmado nas bases anexas</x:v>
      </x:c>
      <x:c r="X249" s="476" t="str"/>
    </x:row>
    <x:row r="250">
      <x:c r="A250" t="n">
        <x:v>405</x:v>
      </x:c>
      <x:c r="B250" t="n">
        <x:v>2022</x:v>
      </x:c>
      <x:c r="C250" s="476" t="str">
        <x:v>Candelária</x:v>
      </x:c>
      <x:c r="D250" s="476" t="str">
        <x:v>Município</x:v>
      </x:c>
      <x:c r="E250" s="476" t="str">
        <x:v>Prefeitura Municipal</x:v>
      </x:c>
      <x:c r="F250" s="476" t="str">
        <x:v>41160005</x:v>
      </x:c>
      <x:c r="G250" s="476" t="str">
        <x:v>41160005-2022</x:v>
      </x:c>
      <x:c r="H250" s="476" t="str">
        <x:v>Informado/corrigido a partir do mapa</x:v>
      </x:c>
      <x:c r="I250" s="499" t="n">
        <x:v>250000</x:v>
      </x:c>
      <x:c r="J250" s="499" t="n">
        <x:v>250000</x:v>
      </x:c>
      <x:c r="K250" s="476" t="str">
        <x:v>Emenda Individual (processo seletivo)</x:v>
      </x:c>
      <x:c r="L250" s="476" t="str">
        <x:v>Empenhado (Consultado Transferegov em 16/04/2024)</x:v>
      </x:c>
      <x:c r="M250" s="499" t="n">
        <x:v>238856</x:v>
      </x:c>
      <x:c r="N250" s="499" t="n">
        <x:v>238856</x:v>
      </x:c>
      <x:c r="O250" s="499" t="n">
        <x:v>238856</x:v>
      </x:c>
      <x:c r="P250" s="499" t="n">
        <x:v>0</x:v>
      </x:c>
      <x:c r="Q250" s="499" t="n">
        <x:v>0</x:v>
      </x:c>
      <x:c r="R250" s="476" t="str"/>
      <x:c r="S250" s="476" t="str">
        <x:v>87568911000106</x:v>
      </x:c>
      <x:c r="T250" s="476" t="str">
        <x:v>VALOR DIVERGENTE / COBERTURA DIFERENTE</x:v>
      </x:c>
      <x:c r="U250" s="476" t="str">
        <x:v>Média</x:v>
      </x:c>
      <x:c r="V250" s="476" t="str">
        <x:v>Situação possivelmente desatualizada: SIGA/execução regionalizada mostra pagamento; CNPJ candidato na fonte SIGA: 87568911000106</x:v>
      </x:c>
      <x:c r="W250" s="476" t="str">
        <x:v>Município/localidade encontrado em fonte comparável, mas valor não fecha exatamente</x:v>
      </x:c>
      <x:c r="X250" s="476" t="str">
        <x:v>https://discricionarias.transferegov.sistema.gov.br/voluntarias/ConsultarProposta/ResultadoDaConsultaDeConvenioSelecionarConvenio.do?sequencialConvenio=934326&amp;Usr=guest&amp;Pwd=guest</x:v>
      </x:c>
    </x:row>
    <x:row r="251">
      <x:c r="A251" t="n">
        <x:v>406</x:v>
      </x:c>
      <x:c r="B251" t="n">
        <x:v>2022</x:v>
      </x:c>
      <x:c r="C251" s="476" t="str">
        <x:v>Derrubadas</x:v>
      </x:c>
      <x:c r="D251" s="476" t="str">
        <x:v>Município</x:v>
      </x:c>
      <x:c r="E251" s="476" t="str">
        <x:v>Prefeitura Municipal</x:v>
      </x:c>
      <x:c r="F251" s="476" t="str">
        <x:v>41160005</x:v>
      </x:c>
      <x:c r="G251" s="476" t="str">
        <x:v>41160005-2022</x:v>
      </x:c>
      <x:c r="H251" s="476" t="str">
        <x:v>Informado/corrigido a partir do mapa</x:v>
      </x:c>
      <x:c r="I251" s="499" t="n">
        <x:v>250000</x:v>
      </x:c>
      <x:c r="J251" s="499" t="n">
        <x:v>250000</x:v>
      </x:c>
      <x:c r="K251" s="476" t="str">
        <x:v>Emenda Individual (processo seletivo)</x:v>
      </x:c>
      <x:c r="L251" s="476" t="str">
        <x:v>Empenhado</x:v>
      </x:c>
      <x:c r="M251" s="499" t="n">
        <x:v>238856</x:v>
      </x:c>
      <x:c r="N251" s="499" t="n">
        <x:v>238856</x:v>
      </x:c>
      <x:c r="O251" s="499" t="n">
        <x:v>238856</x:v>
      </x:c>
      <x:c r="P251" s="499" t="n">
        <x:v>0</x:v>
      </x:c>
      <x:c r="Q251" s="499" t="n">
        <x:v>0</x:v>
      </x:c>
      <x:c r="R251" s="476" t="str"/>
      <x:c r="S251" s="476" t="str">
        <x:v>94442282000120</x:v>
      </x:c>
      <x:c r="T251" s="476" t="str">
        <x:v>VALOR DIVERGENTE / COBERTURA DIFERENTE</x:v>
      </x:c>
      <x:c r="U251" s="476" t="str">
        <x:v>Média</x:v>
      </x:c>
      <x:c r="V251" s="476" t="str">
        <x:v>Situação possivelmente desatualizada: SIGA/execução regionalizada mostra pagamento; CNPJ candidato na fonte SIGA: 94442282000120</x:v>
      </x:c>
      <x:c r="W251" s="476" t="str">
        <x:v>Município/localidade encontrado em fonte comparável, mas valor não fecha exatamente</x:v>
      </x:c>
      <x:c r="X251" s="476" t="str">
        <x:v>https://discricionarias.transferegov.sistema.gov.br/voluntarias/ConsultarProposta/ResultadoDaConsultaDeConvenioSelecionarConvenio.do?sequencialConvenio=934331&amp;Usr=guest&amp;Pwd=guest</x:v>
      </x:c>
    </x:row>
    <x:row r="252">
      <x:c r="A252" t="n">
        <x:v>407</x:v>
      </x:c>
      <x:c r="B252" t="n">
        <x:v>2022</x:v>
      </x:c>
      <x:c r="C252" s="476" t="str">
        <x:v>Farroupilha</x:v>
      </x:c>
      <x:c r="D252" s="476" t="str">
        <x:v>Hospital</x:v>
      </x:c>
      <x:c r="E252" s="476" t="str">
        <x:v>Hospital São Carlos</x:v>
      </x:c>
      <x:c r="F252" s="476" t="str">
        <x:v>7120004</x:v>
      </x:c>
      <x:c r="G252" s="476" t="str">
        <x:v>7120004-2022</x:v>
      </x:c>
      <x:c r="H252" s="476" t="str">
        <x:v>Informado/corrigido a partir do mapa</x:v>
      </x:c>
      <x:c r="I252" s="499" t="n">
        <x:v>250000</x:v>
      </x:c>
      <x:c r="J252" s="499" t="n">
        <x:v>250000</x:v>
      </x:c>
      <x:c r="K252" s="476" t="str">
        <x:v>Emenda de bancada (processo seletivo)</x:v>
      </x:c>
      <x:c r="L252" s="476" t="str">
        <x:v>Recurso pago</x:v>
      </x:c>
      <x:c r="M252" s="499" t="n">
        <x:v>0</x:v>
      </x:c>
      <x:c r="N252" s="499" t="n">
        <x:v>0</x:v>
      </x:c>
      <x:c r="O252" s="499" t="n">
        <x:v>0</x:v>
      </x:c>
      <x:c r="P252" s="499" t="n">
        <x:v>0</x:v>
      </x:c>
      <x:c r="Q252" s="499" t="n">
        <x:v>0</x:v>
      </x:c>
      <x:c r="R252" s="476" t="str"/>
      <x:c r="S252" s="476" t="str"/>
      <x:c r="T252" s="476" t="str">
        <x:v>Nº NÃO LOCALIZADO</x:v>
      </x:c>
      <x:c r="U252" s="476" t="str">
        <x:v>Média</x:v>
      </x:c>
      <x:c r="V252" s="476" t="str"/>
      <x:c r="W252" s="476" t="str"/>
      <x:c r="X252" s="476" t="str"/>
    </x:row>
    <x:row r="253">
      <x:c r="A253" t="n">
        <x:v>408</x:v>
      </x:c>
      <x:c r="B253" t="n">
        <x:v>2022</x:v>
      </x:c>
      <x:c r="C253" s="476" t="str">
        <x:v>Maratá</x:v>
      </x:c>
      <x:c r="D253" s="476" t="str">
        <x:v>Município</x:v>
      </x:c>
      <x:c r="E253" s="476" t="str">
        <x:v>Prefeitura Municipal</x:v>
      </x:c>
      <x:c r="F253" s="476" t="str">
        <x:v>41160005</x:v>
      </x:c>
      <x:c r="G253" s="476" t="str">
        <x:v>41160005-2022</x:v>
      </x:c>
      <x:c r="H253" s="476" t="str">
        <x:v>Informado/corrigido a partir do mapa</x:v>
      </x:c>
      <x:c r="I253" s="499" t="n">
        <x:v>250000</x:v>
      </x:c>
      <x:c r="J253" s="499" t="n">
        <x:v>250000</x:v>
      </x:c>
      <x:c r="K253" s="476" t="str">
        <x:v>Emenda Individual (processo seletivo)</x:v>
      </x:c>
      <x:c r="L253" s="476" t="str">
        <x:v>Recurso pago. (Foram pagos R$ 238,856, consultado no Transferegov em 16/04/2024). O saldo restante não foi empenhado.</x:v>
      </x:c>
      <x:c r="M253" s="499" t="n">
        <x:v>238856</x:v>
      </x:c>
      <x:c r="N253" s="499" t="n">
        <x:v>238856</x:v>
      </x:c>
      <x:c r="O253" s="499" t="n">
        <x:v>238856</x:v>
      </x:c>
      <x:c r="P253" s="499" t="n">
        <x:v>0</x:v>
      </x:c>
      <x:c r="Q253" s="499" t="n">
        <x:v>0</x:v>
      </x:c>
      <x:c r="R253" s="476" t="str"/>
      <x:c r="S253" s="476" t="str">
        <x:v>93235943000184</x:v>
      </x:c>
      <x:c r="T253" s="476" t="str">
        <x:v>VALOR DIVERGENTE / COBERTURA DIFERENTE</x:v>
      </x:c>
      <x:c r="U253" s="476" t="str">
        <x:v>Média</x:v>
      </x:c>
      <x:c r="V253" s="476" t="str">
        <x:v>Situação possivelmente desatualizada: SIGA/execução regionalizada mostra pagamento; CNPJ candidato na fonte SIGA: 93235943000184</x:v>
      </x:c>
      <x:c r="W253" s="476" t="str">
        <x:v>Município/localidade encontrado em fonte comparável, mas valor não fecha exatamente</x:v>
      </x:c>
      <x:c r="X253" s="476" t="str">
        <x:v>https://discricionarias.transferegov.sistema.gov.br/voluntarias/ConsultarProposta/ResultadoDaConsultaDeConvenioSelecionarConvenio.do?sequencialConvenio=934328&amp;Usr=guest&amp;Pwd=guest</x:v>
      </x:c>
    </x:row>
    <x:row r="254">
      <x:c r="A254" t="n">
        <x:v>409</x:v>
      </x:c>
      <x:c r="B254" t="n">
        <x:v>2022</x:v>
      </x:c>
      <x:c r="C254" s="476" t="str">
        <x:v>Morro Reuter</x:v>
      </x:c>
      <x:c r="D254" s="476" t="str">
        <x:v>Município</x:v>
      </x:c>
      <x:c r="E254" s="476" t="str">
        <x:v>Prefeitura Municipal</x:v>
      </x:c>
      <x:c r="F254" s="476" t="str">
        <x:v>41160005</x:v>
      </x:c>
      <x:c r="G254" s="476" t="str">
        <x:v>41160005-2022</x:v>
      </x:c>
      <x:c r="H254" s="476" t="str">
        <x:v>Informado/corrigido a partir do mapa</x:v>
      </x:c>
      <x:c r="I254" s="499" t="n">
        <x:v>250000</x:v>
      </x:c>
      <x:c r="J254" s="499" t="n">
        <x:v>250000</x:v>
      </x:c>
      <x:c r="K254" s="476" t="str">
        <x:v>Emenda Individual (processo seletivo)</x:v>
      </x:c>
      <x:c r="L254" s="476" t="str">
        <x:v>Recurso pago. (Foram pagos R$ 238.856,00, conforme consulta no Transferegov em 16/04/2024. O saldo remanescente não foi empenhado).</x:v>
      </x:c>
      <x:c r="M254" s="499" t="n">
        <x:v>238856</x:v>
      </x:c>
      <x:c r="N254" s="499" t="n">
        <x:v>238856</x:v>
      </x:c>
      <x:c r="O254" s="499" t="n">
        <x:v>238856</x:v>
      </x:c>
      <x:c r="P254" s="499" t="n">
        <x:v>0</x:v>
      </x:c>
      <x:c r="Q254" s="499" t="n">
        <x:v>0</x:v>
      </x:c>
      <x:c r="R254" s="476" t="str"/>
      <x:c r="S254" s="476" t="str">
        <x:v>94707627000120</x:v>
      </x:c>
      <x:c r="T254" s="476" t="str">
        <x:v>VALOR DIVERGENTE / COBERTURA DIFERENTE</x:v>
      </x:c>
      <x:c r="U254" s="476" t="str">
        <x:v>Média</x:v>
      </x:c>
      <x:c r="V254" s="476" t="str">
        <x:v>Situação possivelmente desatualizada: SIGA/execução regionalizada mostra pagamento; CNPJ candidato na fonte SIGA: 94707627000120</x:v>
      </x:c>
      <x:c r="W254" s="476" t="str">
        <x:v>Município/localidade encontrado em fonte comparável, mas valor não fecha exatamente</x:v>
      </x:c>
      <x:c r="X254" s="476" t="str">
        <x:v>https://discricionarias.transferegov.sistema.gov.br/voluntarias/ConsultarProposta/ResultadoDaConsultaDeConvenioSelecionarConvenio.do?sequencialConvenio=934329&amp;Usr=guest&amp;Pwd=guest</x:v>
      </x:c>
    </x:row>
    <x:row r="255">
      <x:c r="A255" t="n">
        <x:v>410</x:v>
      </x:c>
      <x:c r="B255" t="n">
        <x:v>2022</x:v>
      </x:c>
      <x:c r="C255" s="476" t="str">
        <x:v>Rodeio Bonito</x:v>
      </x:c>
      <x:c r="D255" s="476" t="str">
        <x:v>Hospital</x:v>
      </x:c>
      <x:c r="E255" s="476" t="str">
        <x:v>Associação Hospitalar São Jose</x:v>
      </x:c>
      <x:c r="F255" s="476" t="str">
        <x:v>41160003</x:v>
      </x:c>
      <x:c r="G255" s="476" t="str">
        <x:v>41160003-2022</x:v>
      </x:c>
      <x:c r="H255" s="476" t="str">
        <x:v>Informado/corrigido a partir do mapa</x:v>
      </x:c>
      <x:c r="I255" s="499" t="n">
        <x:v>250000</x:v>
      </x:c>
      <x:c r="J255" s="499" t="n">
        <x:v>250000</x:v>
      </x:c>
      <x:c r="K255" s="476" t="str">
        <x:v>Emenda Individual </x:v>
      </x:c>
      <x:c r="L255" s="476" t="str">
        <x:v>Recurso pago</x:v>
      </x:c>
      <x:c r="M255" s="499" t="n">
        <x:v>245000</x:v>
      </x:c>
      <x:c r="N255" s="499" t="n">
        <x:v>250000</x:v>
      </x:c>
      <x:c r="O255" s="499" t="n">
        <x:v>245000</x:v>
      </x:c>
      <x:c r="P255" s="499" t="n">
        <x:v>0</x:v>
      </x:c>
      <x:c r="Q255" s="499" t="n">
        <x:v>0</x:v>
      </x:c>
      <x:c r="R255" s="476" t="str"/>
      <x:c r="S255" s="476" t="str">
        <x:v>01884775000130</x:v>
      </x:c>
      <x:c r="T255" s="476" t="str">
        <x:v>VALOR DIVERGENTE / COBERTURA DIFERENTE</x:v>
      </x:c>
      <x:c r="U255" s="476" t="str">
        <x:v>Média</x:v>
      </x:c>
      <x:c r="V255" s="476" t="str">
        <x:v>CNPJ candidato na fonte SIGA: 01884775000130</x:v>
      </x:c>
      <x:c r="W255" s="476" t="str">
        <x:v>Município/localidade encontrado em fonte comparável, mas valor não fecha exatamente</x:v>
      </x:c>
      <x:c r="X255" s="476" t="str">
        <x:v>https://discricionarias.transferegov.sistema.gov.br/voluntarias/ConsultarProposta/ResultadoDaConsultaDeConvenioSelecionarConvenio.do?sequencialConvenio=935712&amp;Usr=guest&amp;Pwd=guest</x:v>
      </x:c>
    </x:row>
    <x:row r="256">
      <x:c r="A256" t="n">
        <x:v>411</x:v>
      </x:c>
      <x:c r="B256" t="n">
        <x:v>2022</x:v>
      </x:c>
      <x:c r="C256" s="476" t="str">
        <x:v>São Sebastião do Caí</x:v>
      </x:c>
      <x:c r="D256" s="476" t="str">
        <x:v>Município</x:v>
      </x:c>
      <x:c r="E256" s="476" t="str">
        <x:v>Prefeitura Municipal</x:v>
      </x:c>
      <x:c r="F256" s="476" t="str">
        <x:v>41160005</x:v>
      </x:c>
      <x:c r="G256" s="476" t="str">
        <x:v>41160005-2022</x:v>
      </x:c>
      <x:c r="H256" s="476" t="str">
        <x:v>Informado/corrigido a partir do mapa</x:v>
      </x:c>
      <x:c r="I256" s="499" t="n">
        <x:v>250000</x:v>
      </x:c>
      <x:c r="J256" s="499" t="n">
        <x:v>250000</x:v>
      </x:c>
      <x:c r="K256" s="476" t="str">
        <x:v>Emenda Individual (processo seletivo)</x:v>
      </x:c>
      <x:c r="L256" s="476" t="str">
        <x:v>Empenhado (Consultado Transferegov em 16/04/2024)</x:v>
      </x:c>
      <x:c r="M256" s="499" t="n">
        <x:v>238856</x:v>
      </x:c>
      <x:c r="N256" s="499" t="n">
        <x:v>238856</x:v>
      </x:c>
      <x:c r="O256" s="499" t="n">
        <x:v>238856</x:v>
      </x:c>
      <x:c r="P256" s="499" t="n">
        <x:v>0</x:v>
      </x:c>
      <x:c r="Q256" s="499" t="n">
        <x:v>0</x:v>
      </x:c>
      <x:c r="R256" s="476" t="str"/>
      <x:c r="S256" s="476" t="str">
        <x:v>88370879000104</x:v>
      </x:c>
      <x:c r="T256" s="476" t="str">
        <x:v>VALOR DIVERGENTE / COBERTURA DIFERENTE</x:v>
      </x:c>
      <x:c r="U256" s="476" t="str">
        <x:v>Média</x:v>
      </x:c>
      <x:c r="V256" s="476" t="str">
        <x:v>Situação possivelmente desatualizada: SIGA/execução regionalizada mostra pagamento; CNPJ candidato na fonte SIGA: 88370879000104</x:v>
      </x:c>
      <x:c r="W256" s="476" t="str">
        <x:v>Município/localidade encontrado em fonte comparável, mas valor não fecha exatamente</x:v>
      </x:c>
      <x:c r="X256" s="476" t="str">
        <x:v>https://discricionarias.transferegov.sistema.gov.br/voluntarias/ConsultarProposta/ResultadoDaConsultaDeConvenioSelecionarConvenio.do?sequencialConvenio=934324&amp;Usr=guest&amp;Pwd=guest</x:v>
      </x:c>
    </x:row>
    <x:row r="257">
      <x:c r="A257" t="n">
        <x:v>412</x:v>
      </x:c>
      <x:c r="B257" t="n">
        <x:v>2022</x:v>
      </x:c>
      <x:c r="C257" s="476" t="str">
        <x:v>Porto Alegre</x:v>
      </x:c>
      <x:c r="D257" s="476" t="str">
        <x:v>Município</x:v>
      </x:c>
      <x:c r="E257" s="476" t="str">
        <x:v>Posto de Saúde na Vila Mário Quintana (com Lasier Martins)</x:v>
      </x:c>
      <x:c r="F257" s="476" t="str"/>
      <x:c r="G257" s="476" t="str"/>
      <x:c r="H257" s="476" t="str">
        <x:v>Sem nº conciliado</x:v>
      </x:c>
      <x:c r="I257" s="499" t="n">
        <x:v>250000</x:v>
      </x:c>
      <x:c r="J257" s="499" t="n">
        <x:v>1250000</x:v>
      </x:c>
      <x:c r="K257" s="476" t="str">
        <x:v>Emenda de bancada</x:v>
      </x:c>
      <x:c r="L257" s="476" t="str">
        <x:v>Indicado. </x:v>
      </x:c>
      <x:c r="M257" s="499" t="n">
        <x:v>0</x:v>
      </x:c>
      <x:c r="N257" s="499" t="n">
        <x:v>0</x:v>
      </x:c>
      <x:c r="O257" s="499" t="n">
        <x:v>0</x:v>
      </x:c>
      <x:c r="P257" s="499" t="n">
        <x:v>0</x:v>
      </x:c>
      <x:c r="Q257" s="499" t="n">
        <x:v>0</x:v>
      </x:c>
      <x:c r="R257" s="476" t="str"/>
      <x:c r="S257" s="476" t="str"/>
      <x:c r="T257" s="476" t="str">
        <x:v>SEM Nº / NÃO CONCILIADO</x:v>
      </x:c>
      <x:c r="U257" s="476" t="str">
        <x:v>Média</x:v>
      </x:c>
      <x:c r="V257" s="476" t="str"/>
      <x:c r="W257" s="476" t="str"/>
      <x:c r="X257" s="476" t="str"/>
    </x:row>
    <x:row r="258">
      <x:c r="A258" t="n">
        <x:v>413</x:v>
      </x:c>
      <x:c r="B258" t="n">
        <x:v>2023</x:v>
      </x:c>
      <x:c r="C258" s="476" t="str">
        <x:v>Caxias do Sul</x:v>
      </x:c>
      <x:c r="D258" s="476" t="str">
        <x:v>Prefeitura</x:v>
      </x:c>
      <x:c r="E258" s="476" t="str">
        <x:v>Prefeitura de Caxias do Sul</x:v>
      </x:c>
      <x:c r="F258" s="476" t="str"/>
      <x:c r="G258" s="476" t="str"/>
      <x:c r="H258" s="476" t="str">
        <x:v>Sem nº conciliado</x:v>
      </x:c>
      <x:c r="I258" s="499" t="n">
        <x:v>250000</x:v>
      </x:c>
      <x:c r="J258" s="499" t="n">
        <x:v>1669941.01</x:v>
      </x:c>
      <x:c r="K258" s="476" t="str">
        <x:v>Emenda Individual</x:v>
      </x:c>
      <x:c r="L258" s="476" t="str">
        <x:v>Empenhado</x:v>
      </x:c>
      <x:c r="M258" s="499" t="n">
        <x:v>0</x:v>
      </x:c>
      <x:c r="N258" s="499" t="n">
        <x:v>0</x:v>
      </x:c>
      <x:c r="O258" s="499" t="n">
        <x:v>0</x:v>
      </x:c>
      <x:c r="P258" s="499" t="n">
        <x:v>0</x:v>
      </x:c>
      <x:c r="Q258" s="499" t="n">
        <x:v>0</x:v>
      </x:c>
      <x:c r="R258" s="476" t="str"/>
      <x:c r="S258" s="476" t="str"/>
      <x:c r="T258" s="476" t="str">
        <x:v>SEM Nº / NÃO CONCILIADO</x:v>
      </x:c>
      <x:c r="U258" s="476" t="str">
        <x:v>Média</x:v>
      </x:c>
      <x:c r="V258" s="476" t="str"/>
      <x:c r="W258" s="476" t="str"/>
      <x:c r="X258" s="476" t="str"/>
    </x:row>
    <x:row r="259">
      <x:c r="A259" t="n">
        <x:v>414</x:v>
      </x:c>
      <x:c r="B259" t="n">
        <x:v>2023</x:v>
      </x:c>
      <x:c r="C259" s="476" t="str">
        <x:v>Harmonia</x:v>
      </x:c>
      <x:c r="D259" s="476" t="str">
        <x:v>Prefeitura</x:v>
      </x:c>
      <x:c r="E259" s="476" t="str">
        <x:v>Prefeitura de Harmonia</x:v>
      </x:c>
      <x:c r="F259" s="476" t="str"/>
      <x:c r="G259" s="476" t="str"/>
      <x:c r="H259" s="476" t="str">
        <x:v>Sem nº conciliado</x:v>
      </x:c>
      <x:c r="I259" s="499" t="n">
        <x:v>250000</x:v>
      </x:c>
      <x:c r="J259" s="499" t="n">
        <x:v>250000</x:v>
      </x:c>
      <x:c r="K259" s="476" t="str">
        <x:v>Emenda Individual</x:v>
      </x:c>
      <x:c r="L259" s="476" t="str">
        <x:v>Recurso empenhado</x:v>
      </x:c>
      <x:c r="M259" s="499" t="n">
        <x:v>0</x:v>
      </x:c>
      <x:c r="N259" s="499" t="n">
        <x:v>0</x:v>
      </x:c>
      <x:c r="O259" s="499" t="n">
        <x:v>0</x:v>
      </x:c>
      <x:c r="P259" s="499" t="n">
        <x:v>0</x:v>
      </x:c>
      <x:c r="Q259" s="499" t="n">
        <x:v>0</x:v>
      </x:c>
      <x:c r="R259" s="476" t="str"/>
      <x:c r="S259" s="476" t="str"/>
      <x:c r="T259" s="476" t="str">
        <x:v>SEM Nº / NÃO CONCILIADO</x:v>
      </x:c>
      <x:c r="U259" s="476" t="str">
        <x:v>Média</x:v>
      </x:c>
      <x:c r="V259" s="476" t="str"/>
      <x:c r="W259" s="476" t="str"/>
      <x:c r="X259" s="476" t="str"/>
    </x:row>
    <x:row r="260">
      <x:c r="A260" t="n">
        <x:v>415</x:v>
      </x:c>
      <x:c r="B260" t="n">
        <x:v>2023</x:v>
      </x:c>
      <x:c r="C260" s="476" t="str">
        <x:v>São Miguel das Missões</x:v>
      </x:c>
      <x:c r="D260" s="476" t="str">
        <x:v>Prefeitura</x:v>
      </x:c>
      <x:c r="E260" s="476" t="str">
        <x:v>Prefeitura de São Miguel das Missões</x:v>
      </x:c>
      <x:c r="F260" s="476" t="str"/>
      <x:c r="G260" s="476" t="str"/>
      <x:c r="H260" s="476" t="str">
        <x:v>Sem nº conciliado</x:v>
      </x:c>
      <x:c r="I260" s="499" t="n">
        <x:v>250000</x:v>
      </x:c>
      <x:c r="J260" s="499" t="n">
        <x:v>250000</x:v>
      </x:c>
      <x:c r="K260" s="476" t="str">
        <x:v>Emenda Individual</x:v>
      </x:c>
      <x:c r="L260" s="476" t="str">
        <x:v>Empenhado</x:v>
      </x:c>
      <x:c r="M260" s="499" t="n">
        <x:v>0</x:v>
      </x:c>
      <x:c r="N260" s="499" t="n">
        <x:v>0</x:v>
      </x:c>
      <x:c r="O260" s="499" t="n">
        <x:v>0</x:v>
      </x:c>
      <x:c r="P260" s="499" t="n">
        <x:v>0</x:v>
      </x:c>
      <x:c r="Q260" s="499" t="n">
        <x:v>0</x:v>
      </x:c>
      <x:c r="R260" s="476" t="str"/>
      <x:c r="S260" s="476" t="str"/>
      <x:c r="T260" s="476" t="str">
        <x:v>SEM Nº / NÃO CONCILIADO</x:v>
      </x:c>
      <x:c r="U260" s="476" t="str">
        <x:v>Média</x:v>
      </x:c>
      <x:c r="V260" s="476" t="str"/>
      <x:c r="W260" s="476" t="str"/>
      <x:c r="X260" s="476" t="str"/>
    </x:row>
    <x:row r="261">
      <x:c r="A261" t="n">
        <x:v>416</x:v>
      </x:c>
      <x:c r="B261" t="n">
        <x:v>2023</x:v>
      </x:c>
      <x:c r="C261" s="476" t="str">
        <x:v>Campina das Missões</x:v>
      </x:c>
      <x:c r="D261" s="476" t="str">
        <x:v>Hospital</x:v>
      </x:c>
      <x:c r="E261" s="476" t="str">
        <x:v>Associação Assistencial Cultural E Hospitalar Pe. Benedito Meister</x:v>
      </x:c>
      <x:c r="F261" s="476" t="str"/>
      <x:c r="G261" s="476" t="str"/>
      <x:c r="H261" s="476" t="str">
        <x:v>Sem nº conciliado</x:v>
      </x:c>
      <x:c r="I261" s="499" t="n">
        <x:v>250000</x:v>
      </x:c>
      <x:c r="J261" s="499" t="n">
        <x:v>250000</x:v>
      </x:c>
      <x:c r="K261" s="476" t="str">
        <x:v>Emenda Individual</x:v>
      </x:c>
      <x:c r="L261" s="476" t="str">
        <x:v>Empenhado</x:v>
      </x:c>
      <x:c r="M261" s="499" t="n">
        <x:v>0</x:v>
      </x:c>
      <x:c r="N261" s="499" t="n">
        <x:v>0</x:v>
      </x:c>
      <x:c r="O261" s="499" t="n">
        <x:v>0</x:v>
      </x:c>
      <x:c r="P261" s="499" t="n">
        <x:v>0</x:v>
      </x:c>
      <x:c r="Q261" s="499" t="n">
        <x:v>0</x:v>
      </x:c>
      <x:c r="R261" s="476" t="str"/>
      <x:c r="S261" s="476" t="str"/>
      <x:c r="T261" s="476" t="str">
        <x:v>SEM Nº / NÃO CONCILIADO</x:v>
      </x:c>
      <x:c r="U261" s="476" t="str">
        <x:v>Média</x:v>
      </x:c>
      <x:c r="V261" s="476" t="str"/>
      <x:c r="W261" s="476" t="str"/>
      <x:c r="X261" s="476" t="str"/>
    </x:row>
    <x:row r="262">
      <x:c r="A262" t="n">
        <x:v>417</x:v>
      </x:c>
      <x:c r="B262" t="n">
        <x:v>2023</x:v>
      </x:c>
      <x:c r="C262" s="476" t="str">
        <x:v>Capão da Canoa</x:v>
      </x:c>
      <x:c r="D262" s="476" t="str">
        <x:v>Hospital</x:v>
      </x:c>
      <x:c r="E262" s="476" t="str">
        <x:v>Hospital Santa Luzia</x:v>
      </x:c>
      <x:c r="F262" s="476" t="str"/>
      <x:c r="G262" s="476" t="str"/>
      <x:c r="H262" s="476" t="str">
        <x:v>Sem nº conciliado</x:v>
      </x:c>
      <x:c r="I262" s="499" t="n">
        <x:v>250000</x:v>
      </x:c>
      <x:c r="J262" s="499" t="n">
        <x:v>250000</x:v>
      </x:c>
      <x:c r="K262" s="476" t="str">
        <x:v>Emenda Individual</x:v>
      </x:c>
      <x:c r="L262" s="476" t="str">
        <x:v>Empenhado</x:v>
      </x:c>
      <x:c r="M262" s="499" t="n">
        <x:v>0</x:v>
      </x:c>
      <x:c r="N262" s="499" t="n">
        <x:v>0</x:v>
      </x:c>
      <x:c r="O262" s="499" t="n">
        <x:v>0</x:v>
      </x:c>
      <x:c r="P262" s="499" t="n">
        <x:v>0</x:v>
      </x:c>
      <x:c r="Q262" s="499" t="n">
        <x:v>0</x:v>
      </x:c>
      <x:c r="R262" s="476" t="str"/>
      <x:c r="S262" s="476" t="str"/>
      <x:c r="T262" s="476" t="str">
        <x:v>SEM Nº / NÃO CONCILIADO</x:v>
      </x:c>
      <x:c r="U262" s="476" t="str">
        <x:v>Média</x:v>
      </x:c>
      <x:c r="V262" s="476" t="str"/>
      <x:c r="W262" s="476" t="str"/>
      <x:c r="X262" s="476" t="str"/>
    </x:row>
    <x:row r="263">
      <x:c r="A263" t="n">
        <x:v>418</x:v>
      </x:c>
      <x:c r="B263" t="n">
        <x:v>2023</x:v>
      </x:c>
      <x:c r="C263" s="476" t="str">
        <x:v>Pelotas</x:v>
      </x:c>
      <x:c r="D263" s="476" t="str">
        <x:v>Hospital</x:v>
      </x:c>
      <x:c r="E263" s="476" t="str">
        <x:v>Santa De Misericórdia De Pelotas</x:v>
      </x:c>
      <x:c r="F263" s="476" t="str"/>
      <x:c r="G263" s="476" t="str">
        <x:v>41160007-2023</x:v>
      </x:c>
      <x:c r="H263" s="476" t="str">
        <x:v>Candidato — revisar (Transferegov)</x:v>
      </x:c>
      <x:c r="I263" s="499" t="n">
        <x:v>250000</x:v>
      </x:c>
      <x:c r="J263" s="499" t="n">
        <x:v>250000</x:v>
      </x:c>
      <x:c r="K263" s="476" t="str">
        <x:v>Emenda Individual</x:v>
      </x:c>
      <x:c r="L263" s="476" t="str">
        <x:v>Empenhado</x:v>
      </x:c>
      <x:c r="M263" s="499" t="n">
        <x:v>204000</x:v>
      </x:c>
      <x:c r="N263" s="499" t="n">
        <x:v>250000</x:v>
      </x:c>
      <x:c r="O263" s="499" t="n">
        <x:v>204000</x:v>
      </x:c>
      <x:c r="P263" s="499" t="n">
        <x:v>0</x:v>
      </x:c>
      <x:c r="Q263" s="499" t="n">
        <x:v>0</x:v>
      </x:c>
      <x:c r="R263" s="476" t="str"/>
      <x:c r="S263" s="476" t="str">
        <x:v>92219559000125</x:v>
      </x:c>
      <x:c r="T263" s="476" t="str">
        <x:v>VALOR DIVERGENTE / COBERTURA DIFERENTE</x:v>
      </x:c>
      <x:c r="U263" s="476" t="str">
        <x:v>Média</x:v>
      </x:c>
      <x:c r="V263" s="476" t="str">
        <x:v>Candidato de nº: 41160007; validar antes de preencher (Transferegov pode trazer valor total do instrumento); Situação possivelmente desatualizada: SIGA/execução regionalizada mostra pagamento; CNPJ candidato na fonte SIGA: 92219559000125</x:v>
      </x:c>
      <x:c r="W263" s="476" t="str">
        <x:v>nº ausente; inferido por coincidência exata de cidade e valor em Transferegov; Município/localidade encontrado em fonte comparável, mas valor não fecha exatamente</x:v>
      </x:c>
      <x:c r="X263" s="476" t="str">
        <x:v>https://discricionarias.transferegov.sistema.gov.br/voluntarias/ConsultarProposta/ResultadoDaConsultaDeConvenioSelecionarConvenio.do?sequencialConvenio=944094&amp;Usr=guest&amp;Pwd=guest</x:v>
      </x:c>
    </x:row>
    <x:row r="264">
      <x:c r="A264" t="n">
        <x:v>419</x:v>
      </x:c>
      <x:c r="B264" t="n">
        <x:v>2023</x:v>
      </x:c>
      <x:c r="C264" s="476" t="str">
        <x:v>Santa Cruz do Sul</x:v>
      </x:c>
      <x:c r="D264" s="476" t="str">
        <x:v>Hospital</x:v>
      </x:c>
      <x:c r="E264" s="476" t="str">
        <x:v>Hospital Beneficente Monte Alverne</x:v>
      </x:c>
      <x:c r="F264" s="476" t="str"/>
      <x:c r="G264" s="476" t="str">
        <x:v>41160007-2023</x:v>
      </x:c>
      <x:c r="H264" s="476" t="str">
        <x:v>Candidato — revisar (Transferegov)</x:v>
      </x:c>
      <x:c r="I264" s="499" t="n">
        <x:v>250000</x:v>
      </x:c>
      <x:c r="J264" s="499" t="n">
        <x:v>250000</x:v>
      </x:c>
      <x:c r="K264" s="476" t="str">
        <x:v>Emenda Individual</x:v>
      </x:c>
      <x:c r="L264" s="476" t="str">
        <x:v>Empenhado</x:v>
      </x:c>
      <x:c r="M264" s="499" t="n">
        <x:v>549104.35</x:v>
      </x:c>
      <x:c r="N264" s="499" t="n">
        <x:v>1189148</x:v>
      </x:c>
      <x:c r="O264" s="499" t="n">
        <x:v>663563.52</x:v>
      </x:c>
      <x:c r="P264" s="499" t="n">
        <x:v>0</x:v>
      </x:c>
      <x:c r="Q264" s="499" t="n">
        <x:v>0</x:v>
      </x:c>
      <x:c r="R264" s="476" t="str"/>
      <x:c r="S264" s="476" t="str">
        <x:v>3 CNPJs na fonte</x:v>
      </x:c>
      <x:c r="T264" s="476" t="str">
        <x:v>VALOR DIVERGENTE / COBERTURA DIFERENTE</x:v>
      </x:c>
      <x:c r="U264" s="476" t="str">
        <x:v>Média</x:v>
      </x:c>
      <x:c r="V264" s="476" t="str">
        <x:v>Candidato de nº: 41160007; validar antes de preencher (Transferegov pode trazer valor total do instrumento); Situação possivelmente desatualizada: SIGA/execução regionalizada mostra pagamento</x:v>
      </x:c>
      <x:c r="W264" s="476" t="str">
        <x:v>nº ausente; inferido por coincidência exata de cidade e valor em Transferegov; Município/localidade encontrado em fonte comparável, mas valor não fecha exatamente</x:v>
      </x:c>
      <x:c r="X264" s="476" t="str">
        <x:v>https://discricionarias.transferegov.sistema.gov.br/voluntarias/ConsultarProposta/ResultadoDaConsultaDeConvenioSelecionarConvenio.do?sequencialConvenio=945703&amp;Usr=guest&amp;Pwd=guest | https://discricionarias.transferegov.sistema.gov.br/voluntarias/ConsultarProposta/ResultadoDaConsultaDeConvenioSelecionarConvenio.do?sequencialConvenio=944048&amp;Usr=guest&amp;Pwd=guest</x:v>
      </x:c>
    </x:row>
    <x:row r="265">
      <x:c r="A265" t="n">
        <x:v>420</x:v>
      </x:c>
      <x:c r="B265" t="n">
        <x:v>2023</x:v>
      </x:c>
      <x:c r="C265" s="476" t="str">
        <x:v>Santo Cristo</x:v>
      </x:c>
      <x:c r="D265" s="476" t="str">
        <x:v>Hospital</x:v>
      </x:c>
      <x:c r="E265" s="476" t="str">
        <x:v>Associação Hospital De Caridade De Santo Cristo</x:v>
      </x:c>
      <x:c r="F265" s="476" t="str"/>
      <x:c r="G265" s="476" t="str">
        <x:v>41160007-2023</x:v>
      </x:c>
      <x:c r="H265" s="476" t="str">
        <x:v>Candidato — revisar (Transferegov)</x:v>
      </x:c>
      <x:c r="I265" s="499" t="n">
        <x:v>250000</x:v>
      </x:c>
      <x:c r="J265" s="499" t="n">
        <x:v>250000</x:v>
      </x:c>
      <x:c r="K265" s="476" t="str">
        <x:v>Emenda Individual</x:v>
      </x:c>
      <x:c r="L265" s="476" t="str">
        <x:v>Empenhado</x:v>
      </x:c>
      <x:c r="M265" s="499" t="n">
        <x:v>234902.31</x:v>
      </x:c>
      <x:c r="N265" s="499" t="n">
        <x:v>250000</x:v>
      </x:c>
      <x:c r="O265" s="499" t="n">
        <x:v>234902.31</x:v>
      </x:c>
      <x:c r="P265" s="499" t="n">
        <x:v>0</x:v>
      </x:c>
      <x:c r="Q265" s="499" t="n">
        <x:v>0</x:v>
      </x:c>
      <x:c r="R265" s="476" t="str"/>
      <x:c r="S265" s="476" t="str">
        <x:v>96418025000189</x:v>
      </x:c>
      <x:c r="T265" s="476" t="str">
        <x:v>VALOR DIVERGENTE / COBERTURA DIFERENTE</x:v>
      </x:c>
      <x:c r="U265" s="476" t="str">
        <x:v>Média</x:v>
      </x:c>
      <x:c r="V265" s="476" t="str">
        <x:v>Candidato de nº: 41160007; validar antes de preencher (Transferegov pode trazer valor total do instrumento); Situação possivelmente desatualizada: SIGA/execução regionalizada mostra pagamento; CNPJ candidato na fonte SIGA: 96418025000189</x:v>
      </x:c>
      <x:c r="W265" s="476" t="str">
        <x:v>nº ausente; inferido por coincidência exata de cidade e valor em Transferegov; Município/localidade encontrado em fonte comparável, mas valor não fecha exatamente</x:v>
      </x:c>
      <x:c r="X265" s="476" t="str">
        <x:v>https://discricionarias.transferegov.sistema.gov.br/voluntarias/ConsultarProposta/ResultadoDaConsultaDeConvenioSelecionarConvenio.do?sequencialConvenio=943939&amp;Usr=guest&amp;Pwd=guest</x:v>
      </x:c>
    </x:row>
    <x:row r="266">
      <x:c r="A266" t="n">
        <x:v>437</x:v>
      </x:c>
      <x:c r="B266" t="n">
        <x:v>2025</x:v>
      </x:c>
      <x:c r="C266" s="476" t="str">
        <x:v>Rio Grande</x:v>
      </x:c>
      <x:c r="D266" s="476" t="str">
        <x:v>Associacao De Caridade Santa Casa De Rio Grande Rio Grande - Rs</x:v>
      </x:c>
      <x:c r="E266" s="476" t="str">
        <x:v>Associacao De Caridade Santa Casa De Rio Grande Rio Grande - Rs</x:v>
      </x:c>
      <x:c r="F266" s="476" t="str">
        <x:v>41160004</x:v>
      </x:c>
      <x:c r="G266" s="476" t="str">
        <x:v>41160004-2025</x:v>
      </x:c>
      <x:c r="H266" s="476" t="str">
        <x:v>Informado/corrigido a partir do mapa</x:v>
      </x:c>
      <x:c r="I266" s="499" t="n">
        <x:v>250000</x:v>
      </x:c>
      <x:c r="J266" s="499" t="n">
        <x:v>250000</x:v>
      </x:c>
      <x:c r="K266" s="476" t="str">
        <x:v>Emenda Individual</x:v>
      </x:c>
      <x:c r="L266" s="476"/>
      <x:c r="M266" s="499" t="n">
        <x:v>0</x:v>
      </x:c>
      <x:c r="N266" s="499" t="n">
        <x:v>0</x:v>
      </x:c>
      <x:c r="O266" s="499" t="n">
        <x:v>0</x:v>
      </x:c>
      <x:c r="P266" s="499" t="n">
        <x:v>0</x:v>
      </x:c>
      <x:c r="Q266" s="499" t="n">
        <x:v>0</x:v>
      </x:c>
      <x:c r="R266" s="476" t="str"/>
      <x:c r="S266" s="476" t="str"/>
      <x:c r="T266" s="476" t="str">
        <x:v>EMENDA CONFIRMADA; DESTINO NÃO CONFIRMADO</x:v>
      </x:c>
      <x:c r="U266" s="476" t="str">
        <x:v>Média</x:v>
      </x:c>
      <x:c r="V266" s="476" t="str"/>
      <x:c r="W266" s="476" t="str">
        <x:v>Nº existe no SIGA; destinatário específico não foi confirmado nas bases anexas</x:v>
      </x:c>
      <x:c r="X266" s="476" t="str"/>
    </x:row>
    <x:row r="267">
      <x:c r="A267" t="n">
        <x:v>438</x:v>
      </x:c>
      <x:c r="B267" t="n">
        <x:v>2026</x:v>
      </x:c>
      <x:c r="C267" s="476" t="str">
        <x:v>Herval</x:v>
      </x:c>
      <x:c r="D267" s="476" t="str">
        <x:v>Associacao Beneficente Oswaldo Cruz de Horizontina</x:v>
      </x:c>
      <x:c r="E267" s="476" t="str">
        <x:v>Liga Assistencia Social Hospital Nossa Senhora Gloria</x:v>
      </x:c>
      <x:c r="F267" s="476" t="str">
        <x:v>41160003</x:v>
      </x:c>
      <x:c r="G267" s="476" t="str">
        <x:v>41160003-2026</x:v>
      </x:c>
      <x:c r="H267" s="476" t="str">
        <x:v>Informado/corrigido a partir do mapa</x:v>
      </x:c>
      <x:c r="I267" s="499" t="n">
        <x:v>250000</x:v>
      </x:c>
      <x:c r="J267" s="499" t="n">
        <x:v>250000</x:v>
      </x:c>
      <x:c r="K267" s="476" t="str">
        <x:v>Emenda individual</x:v>
      </x:c>
      <x:c r="L267" s="476"/>
      <x:c r="M267" s="499" t="n">
        <x:v>0</x:v>
      </x:c>
      <x:c r="N267" s="499" t="n">
        <x:v>0</x:v>
      </x:c>
      <x:c r="O267" s="499" t="n">
        <x:v>0</x:v>
      </x:c>
      <x:c r="P267" s="499" t="n">
        <x:v>0</x:v>
      </x:c>
      <x:c r="Q267" s="499" t="n">
        <x:v>0</x:v>
      </x:c>
      <x:c r="R267" s="476" t="str"/>
      <x:c r="S267" s="476" t="str"/>
      <x:c r="T267" s="476" t="str">
        <x:v>EMENDA CONFIRMADA; DESTINO NÃO CONFIRMADO</x:v>
      </x:c>
      <x:c r="U267" s="476" t="str">
        <x:v>Média</x:v>
      </x:c>
      <x:c r="V267" s="476" t="str"/>
      <x:c r="W267" s="476" t="str">
        <x:v>Nº existe no SIGA; destinatário específico não foi confirmado nas bases anexas</x:v>
      </x:c>
      <x:c r="X267" s="476" t="str"/>
    </x:row>
    <x:row r="268">
      <x:c r="A268" t="n">
        <x:v>439</x:v>
      </x:c>
      <x:c r="B268" t="n">
        <x:v>2026</x:v>
      </x:c>
      <x:c r="C268" s="476" t="str">
        <x:v>Caçapava do Sul</x:v>
      </x:c>
      <x:c r="D268" s="476" t="str">
        <x:v>Caçapava do Sul</x:v>
      </x:c>
      <x:c r="E268" s="476" t="str">
        <x:v>Fundo Municipal de Saude</x:v>
      </x:c>
      <x:c r="F268" s="476" t="str">
        <x:v>41160013</x:v>
      </x:c>
      <x:c r="G268" s="476" t="str">
        <x:v>41160013-2026</x:v>
      </x:c>
      <x:c r="H268" s="476" t="str">
        <x:v>Informado/corrigido a partir do mapa</x:v>
      </x:c>
      <x:c r="I268" s="499" t="n">
        <x:v>250000</x:v>
      </x:c>
      <x:c r="J268" s="499" t="n">
        <x:v>250000</x:v>
      </x:c>
      <x:c r="K268" s="476" t="str">
        <x:v>Emenda individual</x:v>
      </x:c>
      <x:c r="L268" s="476"/>
      <x:c r="M268" s="499" t="n">
        <x:v>0</x:v>
      </x:c>
      <x:c r="N268" s="499" t="n">
        <x:v>0</x:v>
      </x:c>
      <x:c r="O268" s="499" t="n">
        <x:v>0</x:v>
      </x:c>
      <x:c r="P268" s="499" t="n">
        <x:v>0</x:v>
      </x:c>
      <x:c r="Q268" s="499" t="n">
        <x:v>0</x:v>
      </x:c>
      <x:c r="R268" s="476" t="str"/>
      <x:c r="S268" s="476" t="str"/>
      <x:c r="T268" s="476" t="str">
        <x:v>EMENDA CONFIRMADA; DESTINO NÃO CONFIRMADO</x:v>
      </x:c>
      <x:c r="U268" s="476" t="str">
        <x:v>Média</x:v>
      </x:c>
      <x:c r="V268" s="476" t="str"/>
      <x:c r="W268" s="476" t="str">
        <x:v>Nº existe no SIGA; destinatário específico não foi confirmado nas bases anexas</x:v>
      </x:c>
      <x:c r="X268" s="476" t="str"/>
    </x:row>
    <x:row r="269">
      <x:c r="A269" t="n">
        <x:v>440</x:v>
      </x:c>
      <x:c r="B269" t="n">
        <x:v>2026</x:v>
      </x:c>
      <x:c r="C269" s="476" t="str">
        <x:v>Lagoa dos Três Cantos</x:v>
      </x:c>
      <x:c r="D269" s="476" t="str">
        <x:v>Lagoa dos Três Cantos</x:v>
      </x:c>
      <x:c r="E269" s="476" t="str">
        <x:v>Fundo Municipal de Saude de Lagoa Dos Tres Cantos</x:v>
      </x:c>
      <x:c r="F269" s="476" t="str">
        <x:v>41160013</x:v>
      </x:c>
      <x:c r="G269" s="476" t="str">
        <x:v>41160013-2026</x:v>
      </x:c>
      <x:c r="H269" s="476" t="str">
        <x:v>Informado/corrigido a partir do mapa</x:v>
      </x:c>
      <x:c r="I269" s="499" t="n">
        <x:v>250000</x:v>
      </x:c>
      <x:c r="J269" s="499" t="n">
        <x:v>250000</x:v>
      </x:c>
      <x:c r="K269" s="476" t="str">
        <x:v>Emenda individual</x:v>
      </x:c>
      <x:c r="L269" s="476"/>
      <x:c r="M269" s="499" t="n">
        <x:v>0</x:v>
      </x:c>
      <x:c r="N269" s="499" t="n">
        <x:v>0</x:v>
      </x:c>
      <x:c r="O269" s="499" t="n">
        <x:v>0</x:v>
      </x:c>
      <x:c r="P269" s="499" t="n">
        <x:v>0</x:v>
      </x:c>
      <x:c r="Q269" s="499" t="n">
        <x:v>0</x:v>
      </x:c>
      <x:c r="R269" s="476" t="str"/>
      <x:c r="S269" s="476" t="str"/>
      <x:c r="T269" s="476" t="str">
        <x:v>EMENDA CONFIRMADA; DESTINO NÃO CONFIRMADO</x:v>
      </x:c>
      <x:c r="U269" s="476" t="str">
        <x:v>Média</x:v>
      </x:c>
      <x:c r="V269" s="476" t="str"/>
      <x:c r="W269" s="476" t="str">
        <x:v>Nº existe no SIGA; destinatário específico não foi confirmado nas bases anexas</x:v>
      </x:c>
      <x:c r="X269" s="476" t="str"/>
    </x:row>
    <x:row r="270">
      <x:c r="A270" t="n">
        <x:v>441</x:v>
      </x:c>
      <x:c r="B270" t="n">
        <x:v>2026</x:v>
      </x:c>
      <x:c r="C270" s="476" t="str">
        <x:v>São Francisco de Paula</x:v>
      </x:c>
      <x:c r="D270" s="476" t="str">
        <x:v>São Francisco de Paula</x:v>
      </x:c>
      <x:c r="E270" s="476" t="str">
        <x:v>Fundo Municipal de Saude</x:v>
      </x:c>
      <x:c r="F270" s="476" t="str">
        <x:v>41160013</x:v>
      </x:c>
      <x:c r="G270" s="476" t="str">
        <x:v>41160013-2026</x:v>
      </x:c>
      <x:c r="H270" s="476" t="str">
        <x:v>Informado/corrigido a partir do mapa</x:v>
      </x:c>
      <x:c r="I270" s="499" t="n">
        <x:v>250000</x:v>
      </x:c>
      <x:c r="J270" s="499" t="n">
        <x:v>250000</x:v>
      </x:c>
      <x:c r="K270" s="476" t="str">
        <x:v>Emenda individual</x:v>
      </x:c>
      <x:c r="L270" s="476"/>
      <x:c r="M270" s="499" t="n">
        <x:v>0</x:v>
      </x:c>
      <x:c r="N270" s="499" t="n">
        <x:v>0</x:v>
      </x:c>
      <x:c r="O270" s="499" t="n">
        <x:v>0</x:v>
      </x:c>
      <x:c r="P270" s="499" t="n">
        <x:v>0</x:v>
      </x:c>
      <x:c r="Q270" s="499" t="n">
        <x:v>0</x:v>
      </x:c>
      <x:c r="R270" s="476" t="str"/>
      <x:c r="S270" s="476" t="str"/>
      <x:c r="T270" s="476" t="str">
        <x:v>EMENDA CONFIRMADA; DESTINO NÃO CONFIRMADO</x:v>
      </x:c>
      <x:c r="U270" s="476" t="str">
        <x:v>Média</x:v>
      </x:c>
      <x:c r="V270" s="476" t="str"/>
      <x:c r="W270" s="476" t="str">
        <x:v>Nº existe no SIGA; destinatário específico não foi confirmado nas bases anexas</x:v>
      </x:c>
      <x:c r="X270" s="476" t="str"/>
    </x:row>
    <x:row r="271">
      <x:c r="A271" t="n">
        <x:v>442</x:v>
      </x:c>
      <x:c r="B271" t="n">
        <x:v>2026</x:v>
      </x:c>
      <x:c r="C271" s="476" t="str">
        <x:v>SAO LEOPOLDO</x:v>
      </x:c>
      <x:c r="D271" s="476" t="str">
        <x:v>Município de São Leopoldo - RS</x:v>
      </x:c>
      <x:c r="E271" s="476" t="str">
        <x:v>Município de SAO LEOPOLDO</x:v>
      </x:c>
      <x:c r="F271" s="476" t="str">
        <x:v>71220001</x:v>
      </x:c>
      <x:c r="G271" s="476" t="str">
        <x:v>71220001-2026</x:v>
      </x:c>
      <x:c r="H271" s="476" t="str">
        <x:v>Informado/corrigido a partir do mapa</x:v>
      </x:c>
      <x:c r="I271" s="499" t="n">
        <x:v>250000</x:v>
      </x:c>
      <x:c r="J271" s="499" t="n">
        <x:v>250000</x:v>
      </x:c>
      <x:c r="K271" s="476" t="str">
        <x:v>Bancada Gaúcha</x:v>
      </x:c>
      <x:c r="L271" s="476"/>
      <x:c r="M271" s="499" t="n">
        <x:v>0</x:v>
      </x:c>
      <x:c r="N271" s="499" t="n">
        <x:v>0</x:v>
      </x:c>
      <x:c r="O271" s="499" t="n">
        <x:v>0</x:v>
      </x:c>
      <x:c r="P271" s="499" t="n">
        <x:v>0</x:v>
      </x:c>
      <x:c r="Q271" s="499" t="n">
        <x:v>0</x:v>
      </x:c>
      <x:c r="R271" s="476" t="str"/>
      <x:c r="S271" s="476" t="str"/>
      <x:c r="T271" s="476" t="str">
        <x:v>Nº NÃO LOCALIZADO</x:v>
      </x:c>
      <x:c r="U271" s="476" t="str">
        <x:v>Média</x:v>
      </x:c>
      <x:c r="V271" s="476" t="str"/>
      <x:c r="W271" s="476" t="str"/>
      <x:c r="X271" s="476" t="str"/>
    </x:row>
    <x:row r="272">
      <x:c r="A272" t="n">
        <x:v>443</x:v>
      </x:c>
      <x:c r="B272" t="n">
        <x:v>2026</x:v>
      </x:c>
      <x:c r="C272" s="476" t="str">
        <x:v>Bento Gonçalves</x:v>
      </x:c>
      <x:c r="D272" s="476" t="str">
        <x:v>Hospital Tacchini - Bento Gonçalves - RS</x:v>
      </x:c>
      <x:c r="E272" s="476" t="str">
        <x:v>Hospital Tacchini - Bento Gonçalves - RS</x:v>
      </x:c>
      <x:c r="F272" s="476" t="str">
        <x:v>71220001</x:v>
      </x:c>
      <x:c r="G272" s="476" t="str">
        <x:v>71220001-2026</x:v>
      </x:c>
      <x:c r="H272" s="476" t="str">
        <x:v>Informado/corrigido a partir do mapa</x:v>
      </x:c>
      <x:c r="I272" s="499" t="n">
        <x:v>250000</x:v>
      </x:c>
      <x:c r="J272" s="499" t="n">
        <x:v>250000</x:v>
      </x:c>
      <x:c r="K272" s="476" t="str">
        <x:v>Bancada Gaúcha</x:v>
      </x:c>
      <x:c r="L272" s="476"/>
      <x:c r="M272" s="499" t="n">
        <x:v>0</x:v>
      </x:c>
      <x:c r="N272" s="499" t="n">
        <x:v>0</x:v>
      </x:c>
      <x:c r="O272" s="499" t="n">
        <x:v>0</x:v>
      </x:c>
      <x:c r="P272" s="499" t="n">
        <x:v>0</x:v>
      </x:c>
      <x:c r="Q272" s="499" t="n">
        <x:v>0</x:v>
      </x:c>
      <x:c r="R272" s="476" t="str"/>
      <x:c r="S272" s="476" t="str"/>
      <x:c r="T272" s="476" t="str">
        <x:v>Nº NÃO LOCALIZADO</x:v>
      </x:c>
      <x:c r="U272" s="476" t="str">
        <x:v>Média</x:v>
      </x:c>
      <x:c r="V272" s="476" t="str"/>
      <x:c r="W272" s="476" t="str"/>
      <x:c r="X272" s="476" t="str"/>
    </x:row>
    <x:row r="273">
      <x:c r="A273" t="n">
        <x:v>444</x:v>
      </x:c>
      <x:c r="B273" t="n">
        <x:v>2026</x:v>
      </x:c>
      <x:c r="C273" s="476" t="str">
        <x:v>Igrejinha</x:v>
      </x:c>
      <x:c r="D273" s="476" t="str">
        <x:v>Fundo Municipal de Saúde de Igrejinha - RS</x:v>
      </x:c>
      <x:c r="E273" s="476" t="str">
        <x:v>Município de Igrejinha</x:v>
      </x:c>
      <x:c r="F273" s="476" t="str">
        <x:v>71220002</x:v>
      </x:c>
      <x:c r="G273" s="476" t="str">
        <x:v>71220002-2026</x:v>
      </x:c>
      <x:c r="H273" s="476" t="str">
        <x:v>Informado/corrigido a partir do mapa</x:v>
      </x:c>
      <x:c r="I273" s="499" t="n">
        <x:v>250000</x:v>
      </x:c>
      <x:c r="J273" s="499" t="n">
        <x:v>250000</x:v>
      </x:c>
      <x:c r="K273" s="476" t="str">
        <x:v>Bancada Gaúcha</x:v>
      </x:c>
      <x:c r="L273" s="476"/>
      <x:c r="M273" s="499" t="n">
        <x:v>0</x:v>
      </x:c>
      <x:c r="N273" s="499" t="n">
        <x:v>200000</x:v>
      </x:c>
      <x:c r="O273" s="499" t="n">
        <x:v>0</x:v>
      </x:c>
      <x:c r="P273" s="499" t="n">
        <x:v>0</x:v>
      </x:c>
      <x:c r="Q273" s="499" t="n">
        <x:v>0</x:v>
      </x:c>
      <x:c r="R273" s="476" t="str"/>
      <x:c r="S273" s="476" t="str"/>
      <x:c r="T273" s="476" t="str">
        <x:v>DESTINO/INSTRUMENTO CONFIRMADO; VALOR NÃO COMPARÁVEL</x:v>
      </x:c>
      <x:c r="U273" s="476" t="str">
        <x:v>Média</x:v>
      </x:c>
      <x:c r="V273" s="476" t="str"/>
      <x:c r="W273" s="476" t="str">
        <x:v>Há instrumento do Transferegov para a emenda/município; valores do instrumento não foram usados como prova do valor da emenda</x:v>
      </x:c>
      <x:c r="X273" s="476" t="str">
        <x:v>https://discricionarias.transferegov.sistema.gov.br/voluntarias/ConsultarProposta/ResultadoDaConsultaDeConvenioSelecionarConvenio.do?sequencialConvenio=7AACFW&amp;Usr=guest&amp;Pwd=guest</x:v>
      </x:c>
    </x:row>
    <x:row r="274">
      <x:c r="A274" t="n">
        <x:v>445</x:v>
      </x:c>
      <x:c r="B274" t="n">
        <x:v>2026</x:v>
      </x:c>
      <x:c r="C274" s="476" t="str">
        <x:v>Porto Alegre</x:v>
      </x:c>
      <x:c r="D274" s="476" t="str">
        <x:v>Santa Casa de Misericórdia - Porto Alegre - RS</x:v>
      </x:c>
      <x:c r="E274" s="476" t="str">
        <x:v>Santa Casa de Misericórdia - Porto Alegre - RS</x:v>
      </x:c>
      <x:c r="F274" s="476" t="str">
        <x:v>71220001</x:v>
      </x:c>
      <x:c r="G274" s="476" t="str">
        <x:v>71220001-2026</x:v>
      </x:c>
      <x:c r="H274" s="476" t="str">
        <x:v>Informado/corrigido a partir do mapa</x:v>
      </x:c>
      <x:c r="I274" s="499" t="n">
        <x:v>250000</x:v>
      </x:c>
      <x:c r="J274" s="499" t="n">
        <x:v>250000</x:v>
      </x:c>
      <x:c r="K274" s="476" t="str">
        <x:v>Bancada Gaúcha</x:v>
      </x:c>
      <x:c r="L274" s="476"/>
      <x:c r="M274" s="499" t="n">
        <x:v>0</x:v>
      </x:c>
      <x:c r="N274" s="499" t="n">
        <x:v>0</x:v>
      </x:c>
      <x:c r="O274" s="499" t="n">
        <x:v>0</x:v>
      </x:c>
      <x:c r="P274" s="499" t="n">
        <x:v>0</x:v>
      </x:c>
      <x:c r="Q274" s="499" t="n">
        <x:v>0</x:v>
      </x:c>
      <x:c r="R274" s="476" t="str"/>
      <x:c r="S274" s="476" t="str"/>
      <x:c r="T274" s="476" t="str">
        <x:v>Nº NÃO LOCALIZADO</x:v>
      </x:c>
      <x:c r="U274" s="476" t="str">
        <x:v>Média</x:v>
      </x:c>
      <x:c r="V274" s="476" t="str"/>
      <x:c r="W274" s="476" t="str"/>
      <x:c r="X274" s="476" t="str"/>
    </x:row>
    <x:row r="275">
      <x:c r="A275" t="n">
        <x:v>446</x:v>
      </x:c>
      <x:c r="B275" t="n">
        <x:v>2026</x:v>
      </x:c>
      <x:c r="C275" s="476" t="str">
        <x:v>Novo Hamburgo</x:v>
      </x:c>
      <x:c r="D275" s="476" t="str">
        <x:v>Fundacao de Saude Publica de Novo Hamburgo - Fsnh</x:v>
      </x:c>
      <x:c r="E275" s="476" t="str">
        <x:v>Fundacao de Saude Publica de Novo Hamburgo - Fsnh</x:v>
      </x:c>
      <x:c r="F275" s="476" t="str">
        <x:v>71220001</x:v>
      </x:c>
      <x:c r="G275" s="476" t="str">
        <x:v>71220001-2026</x:v>
      </x:c>
      <x:c r="H275" s="476" t="str">
        <x:v>Informado/corrigido a partir do mapa</x:v>
      </x:c>
      <x:c r="I275" s="499" t="n">
        <x:v>250000</x:v>
      </x:c>
      <x:c r="J275" s="499" t="n">
        <x:v>250000</x:v>
      </x:c>
      <x:c r="K275" s="476" t="str">
        <x:v>Bancada Gaúcha</x:v>
      </x:c>
      <x:c r="L275" s="476"/>
      <x:c r="M275" s="499" t="n">
        <x:v>0</x:v>
      </x:c>
      <x:c r="N275" s="499" t="n">
        <x:v>0</x:v>
      </x:c>
      <x:c r="O275" s="499" t="n">
        <x:v>0</x:v>
      </x:c>
      <x:c r="P275" s="499" t="n">
        <x:v>0</x:v>
      </x:c>
      <x:c r="Q275" s="499" t="n">
        <x:v>0</x:v>
      </x:c>
      <x:c r="R275" s="476" t="str"/>
      <x:c r="S275" s="476" t="str"/>
      <x:c r="T275" s="476" t="str">
        <x:v>Nº NÃO LOCALIZADO</x:v>
      </x:c>
      <x:c r="U275" s="476" t="str">
        <x:v>Média</x:v>
      </x:c>
      <x:c r="V275" s="476" t="str"/>
      <x:c r="W275" s="476" t="str"/>
      <x:c r="X275" s="476" t="str"/>
    </x:row>
    <x:row r="276">
      <x:c r="A276" t="n">
        <x:v>447</x:v>
      </x:c>
      <x:c r="B276" t="n">
        <x:v>2026</x:v>
      </x:c>
      <x:c r="C276" s="476" t="str">
        <x:v>Gramado</x:v>
      </x:c>
      <x:c r="D276" s="476" t="str">
        <x:v>Fundo Municipal de Saúde de Gramado - RS</x:v>
      </x:c>
      <x:c r="E276" s="476" t="str">
        <x:v>Município de Gramado</x:v>
      </x:c>
      <x:c r="F276" s="476" t="str">
        <x:v>71220002</x:v>
      </x:c>
      <x:c r="G276" s="476" t="str">
        <x:v>71220002-2026</x:v>
      </x:c>
      <x:c r="H276" s="476" t="str">
        <x:v>Informado/corrigido a partir do mapa</x:v>
      </x:c>
      <x:c r="I276" s="499" t="n">
        <x:v>250000</x:v>
      </x:c>
      <x:c r="J276" s="499" t="n">
        <x:v>250000</x:v>
      </x:c>
      <x:c r="K276" s="476" t="str">
        <x:v>Bancada Gaúcha</x:v>
      </x:c>
      <x:c r="L276" s="476"/>
      <x:c r="M276" s="499" t="n">
        <x:v>0</x:v>
      </x:c>
      <x:c r="N276" s="499" t="n">
        <x:v>0</x:v>
      </x:c>
      <x:c r="O276" s="499" t="n">
        <x:v>0</x:v>
      </x:c>
      <x:c r="P276" s="499" t="n">
        <x:v>0</x:v>
      </x:c>
      <x:c r="Q276" s="499" t="n">
        <x:v>0</x:v>
      </x:c>
      <x:c r="R276" s="476" t="str"/>
      <x:c r="S276" s="476" t="str"/>
      <x:c r="T276" s="476" t="str">
        <x:v>EMENDA CONFIRMADA; DESTINO NÃO CONFIRMADO</x:v>
      </x:c>
      <x:c r="U276" s="476" t="str">
        <x:v>Média</x:v>
      </x:c>
      <x:c r="V276" s="476" t="str"/>
      <x:c r="W276" s="476" t="str"/>
      <x:c r="X276" s="476" t="str"/>
    </x:row>
    <x:row r="277">
      <x:c r="A277" t="n">
        <x:v>448</x:v>
      </x:c>
      <x:c r="B277" t="n">
        <x:v>2023</x:v>
      </x:c>
      <x:c r="C277" s="476" t="str">
        <x:v>Novo Hamburgo</x:v>
      </x:c>
      <x:c r="D277" s="476" t="str">
        <x:v>Prefeitura</x:v>
      </x:c>
      <x:c r="E277" s="476" t="str">
        <x:v>Prefeitura de Novo Hamburgo</x:v>
      </x:c>
      <x:c r="F277" s="476" t="str"/>
      <x:c r="G277" s="476" t="str"/>
      <x:c r="H277" s="476" t="str">
        <x:v>Sem nº conciliado</x:v>
      </x:c>
      <x:c r="I277" s="499" t="n">
        <x:v>250802.2</x:v>
      </x:c>
      <x:c r="J277" s="499" t="n">
        <x:v>438282.2</x:v>
      </x:c>
      <x:c r="K277" s="476" t="str">
        <x:v>Emenda Individual</x:v>
      </x:c>
      <x:c r="L277" s="476" t="str">
        <x:v>Empenhado</x:v>
      </x:c>
      <x:c r="M277" s="499" t="n">
        <x:v>0</x:v>
      </x:c>
      <x:c r="N277" s="499" t="n">
        <x:v>0</x:v>
      </x:c>
      <x:c r="O277" s="499" t="n">
        <x:v>0</x:v>
      </x:c>
      <x:c r="P277" s="499" t="n">
        <x:v>0</x:v>
      </x:c>
      <x:c r="Q277" s="499" t="n">
        <x:v>0</x:v>
      </x:c>
      <x:c r="R277" s="476" t="str"/>
      <x:c r="S277" s="476" t="str"/>
      <x:c r="T277" s="476" t="str">
        <x:v>SEM Nº / NÃO CONCILIADO</x:v>
      </x:c>
      <x:c r="U277" s="476" t="str">
        <x:v>Média</x:v>
      </x:c>
      <x:c r="V277" s="476" t="str"/>
      <x:c r="W277" s="476" t="str"/>
      <x:c r="X277" s="476" t="str"/>
    </x:row>
    <x:row r="278">
      <x:c r="A278" t="n">
        <x:v>449</x:v>
      </x:c>
      <x:c r="B278" t="n">
        <x:v>2023</x:v>
      </x:c>
      <x:c r="C278" s="476" t="str">
        <x:v>Barão</x:v>
      </x:c>
      <x:c r="D278" s="476" t="str">
        <x:v>Prefeitura</x:v>
      </x:c>
      <x:c r="E278" s="476" t="str">
        <x:v>Prefeitura de Barão</x:v>
      </x:c>
      <x:c r="F278" s="476" t="str"/>
      <x:c r="G278" s="476" t="str"/>
      <x:c r="H278" s="476" t="str">
        <x:v>Sem nº conciliado</x:v>
      </x:c>
      <x:c r="I278" s="499" t="n">
        <x:v>250847.5</x:v>
      </x:c>
      <x:c r="J278" s="499" t="n">
        <x:v>250847.5</x:v>
      </x:c>
      <x:c r="K278" s="476" t="str">
        <x:v>Emenda Individual</x:v>
      </x:c>
      <x:c r="L278" s="476" t="str">
        <x:v>Empenhado</x:v>
      </x:c>
      <x:c r="M278" s="499" t="n">
        <x:v>0</x:v>
      </x:c>
      <x:c r="N278" s="499" t="n">
        <x:v>0</x:v>
      </x:c>
      <x:c r="O278" s="499" t="n">
        <x:v>0</x:v>
      </x:c>
      <x:c r="P278" s="499" t="n">
        <x:v>0</x:v>
      </x:c>
      <x:c r="Q278" s="499" t="n">
        <x:v>0</x:v>
      </x:c>
      <x:c r="R278" s="476" t="str"/>
      <x:c r="S278" s="476" t="str"/>
      <x:c r="T278" s="476" t="str">
        <x:v>SEM Nº / NÃO CONCILIADO</x:v>
      </x:c>
      <x:c r="U278" s="476" t="str">
        <x:v>Média</x:v>
      </x:c>
      <x:c r="V278" s="476" t="str"/>
      <x:c r="W278" s="476" t="str"/>
      <x:c r="X278" s="476" t="str"/>
    </x:row>
    <x:row r="279">
      <x:c r="A279" t="n">
        <x:v>450</x:v>
      </x:c>
      <x:c r="B279" t="n">
        <x:v>2025</x:v>
      </x:c>
      <x:c r="C279" s="476" t="str">
        <x:v>Guaíba</x:v>
      </x:c>
      <x:c r="D279" s="476" t="str">
        <x:v>Associacao Hospitalar Vila Nova Guaíba - Rs</x:v>
      </x:c>
      <x:c r="E279" s="476" t="str">
        <x:v>Associacao Hospitalar Vila Nova Guaíba - Rs</x:v>
      </x:c>
      <x:c r="F279" s="476" t="str">
        <x:v>41160004</x:v>
      </x:c>
      <x:c r="G279" s="476" t="str">
        <x:v>41160004-2025</x:v>
      </x:c>
      <x:c r="H279" s="476" t="str">
        <x:v>Informado/corrigido a partir do mapa</x:v>
      </x:c>
      <x:c r="I279" s="499" t="n">
        <x:v>253457</x:v>
      </x:c>
      <x:c r="J279" s="499" t="n">
        <x:v>253457</x:v>
      </x:c>
      <x:c r="K279" s="476" t="str">
        <x:v>Emenda Individual</x:v>
      </x:c>
      <x:c r="L279" s="476"/>
      <x:c r="M279" s="499" t="n">
        <x:v>165000</x:v>
      </x:c>
      <x:c r="N279" s="499" t="n">
        <x:v>253457</x:v>
      </x:c>
      <x:c r="O279" s="499" t="n">
        <x:v>165000</x:v>
      </x:c>
      <x:c r="P279" s="499" t="n">
        <x:v>0</x:v>
      </x:c>
      <x:c r="Q279" s="499" t="n">
        <x:v>0</x:v>
      </x:c>
      <x:c r="R279" s="476" t="str"/>
      <x:c r="S279" s="476" t="str">
        <x:v>04994418000546</x:v>
      </x:c>
      <x:c r="T279" s="476" t="str">
        <x:v>VALOR DIVERGENTE / COBERTURA DIFERENTE</x:v>
      </x:c>
      <x:c r="U279" s="476" t="str">
        <x:v>Alta</x:v>
      </x:c>
      <x:c r="V279" s="476" t="str">
        <x:v>Preencher situação: há pagamento identificado na fonte pública</x:v>
      </x:c>
      <x:c r="W279" s="476" t="str">
        <x:v>Município/localidade encontrado em fonte comparável, mas valor não fecha exatamente</x:v>
      </x:c>
      <x:c r="X279" s="476" t="str">
        <x:v>https://discricionarias.transferegov.sistema.gov.br/voluntarias/ConsultarProposta/ResultadoDaConsultaDeConvenioSelecionarConvenio.do?sequencialConvenio=980064&amp;Usr=guest&amp;Pwd=guest</x:v>
      </x:c>
    </x:row>
    <x:row r="280">
      <x:c r="A280" t="n">
        <x:v>452</x:v>
      </x:c>
      <x:c r="B280" t="n">
        <x:v>2023</x:v>
      </x:c>
      <x:c r="C280" s="476" t="str">
        <x:v>Caçapava do Sul</x:v>
      </x:c>
      <x:c r="D280" s="476" t="str">
        <x:v>Hospital</x:v>
      </x:c>
      <x:c r="E280" s="476" t="str">
        <x:v>Associação Hospital De Caridade Dr Victor Lang</x:v>
      </x:c>
      <x:c r="F280" s="476" t="str"/>
      <x:c r="G280" s="476" t="str"/>
      <x:c r="H280" s="476" t="str">
        <x:v>Sem nº conciliado</x:v>
      </x:c>
      <x:c r="I280" s="499" t="n">
        <x:v>260000</x:v>
      </x:c>
      <x:c r="J280" s="499" t="n">
        <x:v>260000</x:v>
      </x:c>
      <x:c r="K280" s="476" t="str">
        <x:v>Emenda Individual</x:v>
      </x:c>
      <x:c r="L280" s="476" t="str">
        <x:v>Empenhado</x:v>
      </x:c>
      <x:c r="M280" s="499" t="n">
        <x:v>0</x:v>
      </x:c>
      <x:c r="N280" s="499" t="n">
        <x:v>0</x:v>
      </x:c>
      <x:c r="O280" s="499" t="n">
        <x:v>0</x:v>
      </x:c>
      <x:c r="P280" s="499" t="n">
        <x:v>0</x:v>
      </x:c>
      <x:c r="Q280" s="499" t="n">
        <x:v>0</x:v>
      </x:c>
      <x:c r="R280" s="476" t="str"/>
      <x:c r="S280" s="476" t="str"/>
      <x:c r="T280" s="476" t="str">
        <x:v>SEM Nº / NÃO CONCILIADO</x:v>
      </x:c>
      <x:c r="U280" s="476" t="str">
        <x:v>Média</x:v>
      </x:c>
      <x:c r="V280" s="476" t="str"/>
      <x:c r="W280" s="476" t="str"/>
      <x:c r="X280" s="476" t="str"/>
    </x:row>
    <x:row r="281">
      <x:c r="A281" t="n">
        <x:v>453</x:v>
      </x:c>
      <x:c r="B281" t="n">
        <x:v>2025</x:v>
      </x:c>
      <x:c r="C281" s="476" t="str">
        <x:v>Guarani das Missões</x:v>
      </x:c>
      <x:c r="D281" s="476" t="str">
        <x:v>Associacao Hospitalar Santa Teresa Guarani Das Missões - Rs</x:v>
      </x:c>
      <x:c r="E281" s="476" t="str">
        <x:v>Associacao Hospitalar Santa Teresa Guarani Das Missões - Rs</x:v>
      </x:c>
      <x:c r="F281" s="476" t="str">
        <x:v>41160004</x:v>
      </x:c>
      <x:c r="G281" s="476" t="str">
        <x:v>41160004-2025</x:v>
      </x:c>
      <x:c r="H281" s="476" t="str">
        <x:v>Informado/corrigido a partir do mapa</x:v>
      </x:c>
      <x:c r="I281" s="499" t="n">
        <x:v>260000</x:v>
      </x:c>
      <x:c r="J281" s="499" t="n">
        <x:v>260000</x:v>
      </x:c>
      <x:c r="K281" s="476" t="str">
        <x:v>Emenda Individual</x:v>
      </x:c>
      <x:c r="L281" s="476"/>
      <x:c r="M281" s="499" t="n">
        <x:v>0</x:v>
      </x:c>
      <x:c r="N281" s="499" t="n">
        <x:v>259947</x:v>
      </x:c>
      <x:c r="O281" s="499" t="n">
        <x:v>0</x:v>
      </x:c>
      <x:c r="P281" s="499" t="n">
        <x:v>0</x:v>
      </x:c>
      <x:c r="Q281" s="499" t="n">
        <x:v>0</x:v>
      </x:c>
      <x:c r="R281" s="476" t="str"/>
      <x:c r="S281" s="476" t="str"/>
      <x:c r="T281" s="476" t="str">
        <x:v>DESTINO/INSTRUMENTO CONFIRMADO; VALOR NÃO COMPARÁVEL</x:v>
      </x:c>
      <x:c r="U281" s="476" t="str">
        <x:v>Média</x:v>
      </x:c>
      <x:c r="V281" s="476" t="str"/>
      <x:c r="W281" s="476" t="str">
        <x:v>Há instrumento do Transferegov para a emenda/município; valores do instrumento não foram usados como prova do valor da emenda</x:v>
      </x:c>
      <x:c r="X281" s="476" t="str">
        <x:v>https://discricionarias.transferegov.sistema.gov.br/voluntarias/ConsultarProposta/ResultadoDaConsultaDeConvenioSelecionarConvenio.do?sequencialConvenio=988636&amp;Usr=guest&amp;Pwd=guest</x:v>
      </x:c>
    </x:row>
    <x:row r="282">
      <x:c r="A282" t="n">
        <x:v>454</x:v>
      </x:c>
      <x:c r="B282" t="n">
        <x:v>2022</x:v>
      </x:c>
      <x:c r="C282" s="476" t="str">
        <x:v>Erechim</x:v>
      </x:c>
      <x:c r="D282" s="476" t="str">
        <x:v>Hospital</x:v>
      </x:c>
      <x:c r="E282" s="476" t="str">
        <x:v>Fundação Hospitalar Santa Terezinha</x:v>
      </x:c>
      <x:c r="F282" s="476" t="str">
        <x:v>41160003</x:v>
      </x:c>
      <x:c r="G282" s="476" t="str">
        <x:v>41160003-2022</x:v>
      </x:c>
      <x:c r="H282" s="476" t="str">
        <x:v>Informado/corrigido a partir do mapa</x:v>
      </x:c>
      <x:c r="I282" s="499" t="n">
        <x:v>260500</x:v>
      </x:c>
      <x:c r="J282" s="499" t="n">
        <x:v>260500</x:v>
      </x:c>
      <x:c r="K282" s="476" t="str">
        <x:v>Emenda Individual </x:v>
      </x:c>
      <x:c r="L282" s="476" t="str">
        <x:v>Empenhado</x:v>
      </x:c>
      <x:c r="M282" s="499" t="n">
        <x:v>227696.34</x:v>
      </x:c>
      <x:c r="N282" s="499" t="n">
        <x:v>260500</x:v>
      </x:c>
      <x:c r="O282" s="499" t="n">
        <x:v>227696.34</x:v>
      </x:c>
      <x:c r="P282" s="499" t="n">
        <x:v>0</x:v>
      </x:c>
      <x:c r="Q282" s="499" t="n">
        <x:v>0</x:v>
      </x:c>
      <x:c r="R282" s="476" t="str"/>
      <x:c r="S282" s="476" t="str">
        <x:v>89421259000110</x:v>
      </x:c>
      <x:c r="T282" s="476" t="str">
        <x:v>VALOR DIVERGENTE / COBERTURA DIFERENTE</x:v>
      </x:c>
      <x:c r="U282" s="476" t="str">
        <x:v>Alta</x:v>
      </x:c>
      <x:c r="V282" s="476" t="str">
        <x:v>Situação possivelmente desatualizada: SIGA/execução regionalizada mostra pagamento; CNPJ candidato na fonte SIGA: 89421259000110</x:v>
      </x:c>
      <x:c r="W282" s="476" t="str">
        <x:v>Município/localidade encontrado em fonte comparável, mas valor não fecha exatamente</x:v>
      </x:c>
      <x:c r="X282" s="476" t="str">
        <x:v>https://discricionarias.transferegov.sistema.gov.br/voluntarias/ConsultarProposta/ResultadoDaConsultaDeConvenioSelecionarConvenio.do?sequencialConvenio=937197&amp;Usr=guest&amp;Pwd=guest</x:v>
      </x:c>
    </x:row>
    <x:row r="283">
      <x:c r="A283" t="n">
        <x:v>456</x:v>
      </x:c>
      <x:c r="B283" t="n">
        <x:v>2023</x:v>
      </x:c>
      <x:c r="C283" s="476" t="str">
        <x:v>Montenegro</x:v>
      </x:c>
      <x:c r="D283" s="476" t="str">
        <x:v>Prefeitura</x:v>
      </x:c>
      <x:c r="E283" s="476" t="str">
        <x:v>Prefeitura de Montenegro</x:v>
      </x:c>
      <x:c r="F283" s="476" t="str"/>
      <x:c r="G283" s="476" t="str"/>
      <x:c r="H283" s="476" t="str">
        <x:v>Sem nº conciliado</x:v>
      </x:c>
      <x:c r="I283" s="499" t="n">
        <x:v>264000</x:v>
      </x:c>
      <x:c r="J283" s="499" t="n">
        <x:v>264000</x:v>
      </x:c>
      <x:c r="K283" s="476" t="str">
        <x:v>Emenda Individual</x:v>
      </x:c>
      <x:c r="L283" s="476" t="str">
        <x:v>Empenhado</x:v>
      </x:c>
      <x:c r="M283" s="499" t="n">
        <x:v>0</x:v>
      </x:c>
      <x:c r="N283" s="499" t="n">
        <x:v>0</x:v>
      </x:c>
      <x:c r="O283" s="499" t="n">
        <x:v>0</x:v>
      </x:c>
      <x:c r="P283" s="499" t="n">
        <x:v>0</x:v>
      </x:c>
      <x:c r="Q283" s="499" t="n">
        <x:v>0</x:v>
      </x:c>
      <x:c r="R283" s="476" t="str"/>
      <x:c r="S283" s="476" t="str"/>
      <x:c r="T283" s="476" t="str">
        <x:v>SEM Nº / NÃO CONCILIADO</x:v>
      </x:c>
      <x:c r="U283" s="476" t="str">
        <x:v>Média</x:v>
      </x:c>
      <x:c r="V283" s="476" t="str"/>
      <x:c r="W283" s="476" t="str"/>
      <x:c r="X283" s="476" t="str"/>
    </x:row>
    <x:row r="284">
      <x:c r="A284" t="n">
        <x:v>458</x:v>
      </x:c>
      <x:c r="B284" t="n">
        <x:v>2025</x:v>
      </x:c>
      <x:c r="C284" s="476" t="str">
        <x:v>Santa Rosa</x:v>
      </x:c>
      <x:c r="D284" s="476" t="str">
        <x:v>Associacao Hospitalar Santa Rosa Santa Rosa - Rs</x:v>
      </x:c>
      <x:c r="E284" s="476" t="str">
        <x:v>Associacao Hospitalar Santa Rosa Santa Rosa - Rs</x:v>
      </x:c>
      <x:c r="F284" s="476" t="str">
        <x:v>41160004</x:v>
      </x:c>
      <x:c r="G284" s="476" t="str">
        <x:v>41160004-2025</x:v>
      </x:c>
      <x:c r="H284" s="476" t="str">
        <x:v>Informado/corrigido a partir do mapa</x:v>
      </x:c>
      <x:c r="I284" s="499" t="n">
        <x:v>270000</x:v>
      </x:c>
      <x:c r="J284" s="499" t="n">
        <x:v>270000</x:v>
      </x:c>
      <x:c r="K284" s="476" t="str">
        <x:v>Emenda Individual</x:v>
      </x:c>
      <x:c r="L284" s="476"/>
      <x:c r="M284" s="499" t="n">
        <x:v>256752.8</x:v>
      </x:c>
      <x:c r="N284" s="499" t="n">
        <x:v>270000</x:v>
      </x:c>
      <x:c r="O284" s="499" t="n">
        <x:v>256752.8</x:v>
      </x:c>
      <x:c r="P284" s="499" t="n">
        <x:v>0</x:v>
      </x:c>
      <x:c r="Q284" s="499" t="n">
        <x:v>0</x:v>
      </x:c>
      <x:c r="R284" s="476" t="str"/>
      <x:c r="S284" s="476" t="str">
        <x:v>95815668000101</x:v>
      </x:c>
      <x:c r="T284" s="476" t="str">
        <x:v>VALOR DIVERGENTE / COBERTURA DIFERENTE</x:v>
      </x:c>
      <x:c r="U284" s="476" t="str">
        <x:v>Média</x:v>
      </x:c>
      <x:c r="V284" s="476" t="str">
        <x:v>Preencher situação: há pagamento identificado na fonte pública</x:v>
      </x:c>
      <x:c r="W284" s="476" t="str">
        <x:v>Município/localidade encontrado em fonte comparável, mas valor não fecha exatamente</x:v>
      </x:c>
      <x:c r="X284" s="476" t="str">
        <x:v>https://discricionarias.transferegov.sistema.gov.br/voluntarias/ConsultarProposta/ResultadoDaConsultaDeConvenioSelecionarConvenio.do?sequencialConvenio=984124&amp;Usr=guest&amp;Pwd=guest</x:v>
      </x:c>
    </x:row>
    <x:row r="285">
      <x:c r="A285" t="n">
        <x:v>459</x:v>
      </x:c>
      <x:c r="B285" t="n">
        <x:v>2025</x:v>
      </x:c>
      <x:c r="C285" s="476" t="str">
        <x:v>Cândido Godói</x:v>
      </x:c>
      <x:c r="D285" s="476" t="str">
        <x:v>Associacao Hospitalar Santo Afonso Cândido Godói - Rs</x:v>
      </x:c>
      <x:c r="E285" s="476" t="str">
        <x:v>Associacao Hospitalar Santo Afonso Cândido Godói - Rs</x:v>
      </x:c>
      <x:c r="F285" s="476" t="str">
        <x:v>41160004</x:v>
      </x:c>
      <x:c r="G285" s="476" t="str">
        <x:v>41160004-2025</x:v>
      </x:c>
      <x:c r="H285" s="476" t="str">
        <x:v>Informado/corrigido a partir do mapa</x:v>
      </x:c>
      <x:c r="I285" s="499" t="n">
        <x:v>272138</x:v>
      </x:c>
      <x:c r="J285" s="499" t="n">
        <x:v>272138</x:v>
      </x:c>
      <x:c r="K285" s="476" t="str">
        <x:v>Emenda Individual</x:v>
      </x:c>
      <x:c r="L285" s="476"/>
      <x:c r="M285" s="499" t="n">
        <x:v>0</x:v>
      </x:c>
      <x:c r="N285" s="499" t="n">
        <x:v>272138</x:v>
      </x:c>
      <x:c r="O285" s="499" t="n">
        <x:v>0</x:v>
      </x:c>
      <x:c r="P285" s="499" t="n">
        <x:v>0</x:v>
      </x:c>
      <x:c r="Q285" s="499" t="n">
        <x:v>0</x:v>
      </x:c>
      <x:c r="R285" s="476" t="str"/>
      <x:c r="S285" s="476" t="str"/>
      <x:c r="T285" s="476" t="str">
        <x:v>DESTINO/INSTRUMENTO CONFIRMADO; VALOR NÃO COMPARÁVEL</x:v>
      </x:c>
      <x:c r="U285" s="476" t="str">
        <x:v>Média</x:v>
      </x:c>
      <x:c r="V285" s="476" t="str"/>
      <x:c r="W285" s="476" t="str">
        <x:v>Há instrumento do Transferegov para a emenda/município; valores do instrumento não foram usados como prova do valor da emenda</x:v>
      </x:c>
      <x:c r="X285" s="476" t="str">
        <x:v>https://discricionarias.transferegov.sistema.gov.br/voluntarias/ConsultarProposta/ResultadoDaConsultaDeConvenioSelecionarConvenio.do?sequencialConvenio=979947&amp;Usr=guest&amp;Pwd=guest</x:v>
      </x:c>
    </x:row>
    <x:row r="286">
      <x:c r="A286" t="n">
        <x:v>460</x:v>
      </x:c>
      <x:c r="B286" t="n">
        <x:v>2025</x:v>
      </x:c>
      <x:c r="C286" s="476" t="str">
        <x:v>Porto Alegre</x:v>
      </x:c>
      <x:c r="D286" s="476" t="str">
        <x:v>Fundo Estadual De Saude Porto Alegre - Rs</x:v>
      </x:c>
      <x:c r="E286" s="476" t="str">
        <x:v>Prefeitura Municipal</x:v>
      </x:c>
      <x:c r="F286" s="476" t="str">
        <x:v>41160002</x:v>
      </x:c>
      <x:c r="G286" s="476" t="str">
        <x:v>41160002-2025</x:v>
      </x:c>
      <x:c r="H286" s="476" t="str">
        <x:v>Informado/corrigido a partir do mapa</x:v>
      </x:c>
      <x:c r="I286" s="499" t="n">
        <x:v>273811</x:v>
      </x:c>
      <x:c r="J286" s="499" t="n">
        <x:v>515611</x:v>
      </x:c>
      <x:c r="K286" s="476" t="str">
        <x:v>Emenda Individual</x:v>
      </x:c>
      <x:c r="L286" s="476"/>
      <x:c r="M286" s="499" t="n">
        <x:v>915611</x:v>
      </x:c>
      <x:c r="N286" s="499" t="n">
        <x:v>0</x:v>
      </x:c>
      <x:c r="O286" s="499" t="n">
        <x:v>0</x:v>
      </x:c>
      <x:c r="P286" s="499" t="n">
        <x:v>0</x:v>
      </x:c>
      <x:c r="Q286" s="499" t="n">
        <x:v>0</x:v>
      </x:c>
      <x:c r="R286" s="476" t="str"/>
      <x:c r="S286" s="476" t="str">
        <x:v>87182846000178</x:v>
      </x:c>
      <x:c r="T286" s="476" t="str">
        <x:v>VALOR DIVERGENTE / COBERTURA DIFERENTE</x:v>
      </x:c>
      <x:c r="U286" s="476" t="str">
        <x:v>Alta</x:v>
      </x:c>
      <x:c r="V286" s="476" t="str">
        <x:v>Preencher situação: há pagamento identificado na fonte pública</x:v>
      </x:c>
      <x:c r="W286" s="476" t="str">
        <x:v>Município/localidade encontrado em fonte comparável, mas valor não fecha exatamente</x:v>
      </x:c>
      <x:c r="X286" s="476" t="str"/>
    </x:row>
    <x:row r="287">
      <x:c r="A287" t="n">
        <x:v>462</x:v>
      </x:c>
      <x:c r="B287" t="n">
        <x:v>2020</x:v>
      </x:c>
      <x:c r="C287" s="476" t="str">
        <x:v>Porto Alegre</x:v>
      </x:c>
      <x:c r="D287" s="476" t="str">
        <x:v>Polícia Rodoviária Federal</x:v>
      </x:c>
      <x:c r="E287" s="476" t="str">
        <x:v>Polícia Rodoviária Federal</x:v>
      </x:c>
      <x:c r="F287" s="476" t="str">
        <x:v>41160007</x:v>
      </x:c>
      <x:c r="G287" s="476" t="str">
        <x:v>41160007-2020</x:v>
      </x:c>
      <x:c r="H287" s="476" t="str">
        <x:v>Informado/corrigido a partir do mapa</x:v>
      </x:c>
      <x:c r="I287" s="499" t="n">
        <x:v>290000</x:v>
      </x:c>
      <x:c r="J287" s="499" t="n">
        <x:v>290000</x:v>
      </x:c>
      <x:c r="K287" s="476" t="str">
        <x:v>Emenda individual</x:v>
      </x:c>
      <x:c r="L287" s="476" t="str">
        <x:v>Entregue</x:v>
      </x:c>
      <x:c r="M287" s="499" t="n">
        <x:v>0</x:v>
      </x:c>
      <x:c r="N287" s="499" t="n">
        <x:v>0</x:v>
      </x:c>
      <x:c r="O287" s="499" t="n">
        <x:v>0</x:v>
      </x:c>
      <x:c r="P287" s="499" t="n">
        <x:v>0</x:v>
      </x:c>
      <x:c r="Q287" s="499" t="n">
        <x:v>0</x:v>
      </x:c>
      <x:c r="R287" s="476" t="str"/>
      <x:c r="S287" s="476" t="str"/>
      <x:c r="T287" s="476" t="str">
        <x:v>EMENDA CONFIRMADA; DESTINO NÃO CONFIRMADO</x:v>
      </x:c>
      <x:c r="U287" s="476" t="str">
        <x:v>Média</x:v>
      </x:c>
      <x:c r="V287" s="476" t="str"/>
      <x:c r="W287" s="476" t="str">
        <x:v>Nº existe no SIGA; destinatário específico não foi confirmado nas bases anexas</x:v>
      </x:c>
      <x:c r="X287" s="476" t="str"/>
    </x:row>
    <x:row r="288">
      <x:c r="A288" t="n">
        <x:v>463</x:v>
      </x:c>
      <x:c r="B288" t="n">
        <x:v>2020</x:v>
      </x:c>
      <x:c r="C288" s="476" t="str">
        <x:v>Santa Maria</x:v>
      </x:c>
      <x:c r="D288" s="476" t="str">
        <x:v>Polícia Rodoviária Federal</x:v>
      </x:c>
      <x:c r="E288" s="476" t="str">
        <x:v>Polícia Rodoviária Federal</x:v>
      </x:c>
      <x:c r="F288" s="476" t="str">
        <x:v>41160007</x:v>
      </x:c>
      <x:c r="G288" s="476" t="str">
        <x:v>41160007-2020</x:v>
      </x:c>
      <x:c r="H288" s="476" t="str">
        <x:v>Informado/corrigido a partir do mapa</x:v>
      </x:c>
      <x:c r="I288" s="499" t="n">
        <x:v>290000</x:v>
      </x:c>
      <x:c r="J288" s="499" t="n">
        <x:v>290000</x:v>
      </x:c>
      <x:c r="K288" s="476" t="str">
        <x:v>Emenda Individual</x:v>
      </x:c>
      <x:c r="L288" s="476" t="str">
        <x:v>Recurso pago. Entregue</x:v>
      </x:c>
      <x:c r="M288" s="499" t="n">
        <x:v>0</x:v>
      </x:c>
      <x:c r="N288" s="499" t="n">
        <x:v>0</x:v>
      </x:c>
      <x:c r="O288" s="499" t="n">
        <x:v>0</x:v>
      </x:c>
      <x:c r="P288" s="499" t="n">
        <x:v>0</x:v>
      </x:c>
      <x:c r="Q288" s="499" t="n">
        <x:v>0</x:v>
      </x:c>
      <x:c r="R288" s="476" t="str"/>
      <x:c r="S288" s="476" t="str"/>
      <x:c r="T288" s="476" t="str">
        <x:v>EMENDA CONFIRMADA; DESTINO NÃO CONFIRMADO</x:v>
      </x:c>
      <x:c r="U288" s="476" t="str">
        <x:v>Média</x:v>
      </x:c>
      <x:c r="V288" s="476" t="str"/>
      <x:c r="W288" s="476" t="str">
        <x:v>Nº existe no SIGA; destinatário específico não foi confirmado nas bases anexas</x:v>
      </x:c>
      <x:c r="X288" s="476" t="str"/>
    </x:row>
    <x:row r="289">
      <x:c r="A289" t="n">
        <x:v>464</x:v>
      </x:c>
      <x:c r="B289" t="n">
        <x:v>2025</x:v>
      </x:c>
      <x:c r="C289" s="476" t="str">
        <x:v>Gravataí</x:v>
      </x:c>
      <x:c r="D289" s="476" t="str">
        <x:v>Municipio De Gravatai Gravataí - Rs</x:v>
      </x:c>
      <x:c r="E289" s="476" t="str">
        <x:v>Prefeitura Municipal</x:v>
      </x:c>
      <x:c r="F289" s="476" t="str">
        <x:v>41160008</x:v>
      </x:c>
      <x:c r="G289" s="476" t="str">
        <x:v>41160008-2025</x:v>
      </x:c>
      <x:c r="H289" s="476" t="str">
        <x:v>Informado/corrigido a partir do mapa</x:v>
      </x:c>
      <x:c r="I289" s="499" t="n">
        <x:v>291960</x:v>
      </x:c>
      <x:c r="J289" s="499" t="n">
        <x:v>291960</x:v>
      </x:c>
      <x:c r="K289" s="476" t="str">
        <x:v>Emenda Individual</x:v>
      </x:c>
      <x:c r="L289" s="476"/>
      <x:c r="M289" s="499" t="n">
        <x:v>289040.4</x:v>
      </x:c>
      <x:c r="N289" s="499" t="n">
        <x:v>0</x:v>
      </x:c>
      <x:c r="O289" s="499" t="n">
        <x:v>0</x:v>
      </x:c>
      <x:c r="P289" s="499" t="n">
        <x:v>289040.4</x:v>
      </x:c>
      <x:c r="Q289" s="499" t="n">
        <x:v>0</x:v>
      </x:c>
      <x:c r="R289" s="476" t="str">
        <x:v>CIENTE</x:v>
      </x:c>
      <x:c r="S289" s="476" t="str">
        <x:v>87890992000158</x:v>
      </x:c>
      <x:c r="T289" s="476" t="str">
        <x:v>VALOR DIVERGENTE / COBERTURA DIFERENTE</x:v>
      </x:c>
      <x:c r="U289" s="476" t="str">
        <x:v>Média</x:v>
      </x:c>
      <x:c r="V289" s="476" t="str">
        <x:v>Revisar valor do grupo: PIX atual registra R$ 289,040.40; Atualizar situação com status do plano PIX: CIENTE (não equivale a pagamento)</x:v>
      </x:c>
      <x:c r="W289" s="476" t="str">
        <x:v>Município/localidade encontrado em fonte comparável, mas valor não fecha exatamente</x:v>
      </x:c>
      <x:c r="X289" s="476" t="str">
        <x:v>https://especiais.transferegov.sistema.gov.br/transferencia-especial/plano-acao/detalhe/83995/dados-basicos</x:v>
      </x:c>
    </x:row>
    <x:row r="290">
      <x:c r="A290" t="n">
        <x:v>465</x:v>
      </x:c>
      <x:c r="B290" t="n">
        <x:v>2021</x:v>
      </x:c>
      <x:c r="C290" s="476" t="str">
        <x:v>A definir</x:v>
      </x:c>
      <x:c r="D290" s="476" t="str">
        <x:v>Brigada Militar</x:v>
      </x:c>
      <x:c r="E290" s="476" t="str">
        <x:v>Brigada Militar</x:v>
      </x:c>
      <x:c r="F290" s="476" t="str">
        <x:v>71220009</x:v>
      </x:c>
      <x:c r="G290" s="476" t="str">
        <x:v>71220009-2021</x:v>
      </x:c>
      <x:c r="H290" s="476" t="str">
        <x:v>Informado/corrigido a partir do mapa</x:v>
      </x:c>
      <x:c r="I290" s="499" t="n">
        <x:v>296745.33</x:v>
      </x:c>
      <x:c r="J290" s="499" t="n">
        <x:v>1355530.33</x:v>
      </x:c>
      <x:c r="K290" s="476" t="str">
        <x:v>Emenda de Bancada</x:v>
      </x:c>
      <x:c r="L290" s="476" t="str">
        <x:v>Indicado</x:v>
      </x:c>
      <x:c r="M290" s="499" t="n">
        <x:v>0</x:v>
      </x:c>
      <x:c r="N290" s="499" t="n">
        <x:v>0</x:v>
      </x:c>
      <x:c r="O290" s="499" t="n">
        <x:v>0</x:v>
      </x:c>
      <x:c r="P290" s="499" t="n">
        <x:v>0</x:v>
      </x:c>
      <x:c r="Q290" s="499" t="n">
        <x:v>0</x:v>
      </x:c>
      <x:c r="R290" s="476" t="str"/>
      <x:c r="S290" s="476" t="str"/>
      <x:c r="T290" s="476" t="str">
        <x:v>EMENDA CONFIRMADA; DESTINO NÃO CONFIRMADO</x:v>
      </x:c>
      <x:c r="U290" s="476" t="str">
        <x:v>Média</x:v>
      </x:c>
      <x:c r="V290" s="476" t="str"/>
      <x:c r="W290" s="476" t="str"/>
      <x:c r="X290" s="476" t="str"/>
    </x:row>
    <x:row r="291">
      <x:c r="A291" t="n">
        <x:v>469</x:v>
      </x:c>
      <x:c r="B291" t="n">
        <x:v>2020</x:v>
      </x:c>
      <x:c r="C291" s="476" t="str">
        <x:v>Porto Alegre</x:v>
      </x:c>
      <x:c r="D291" s="476" t="str">
        <x:v>Hospital</x:v>
      </x:c>
      <x:c r="E291" s="476" t="str">
        <x:v>Hospital de Clínicas de Porto Alegre</x:v>
      </x:c>
      <x:c r="F291" s="476" t="str">
        <x:v>41160005</x:v>
      </x:c>
      <x:c r="G291" s="476" t="str">
        <x:v>41160005-2020</x:v>
      </x:c>
      <x:c r="H291" s="476" t="str">
        <x:v>Informado/corrigido a partir do mapa</x:v>
      </x:c>
      <x:c r="I291" s="499" t="n">
        <x:v>300000</x:v>
      </x:c>
      <x:c r="J291" s="499" t="n">
        <x:v>1000000</x:v>
      </x:c>
      <x:c r="K291" s="476" t="str">
        <x:v>Emenda Individual (processo seletivo)</x:v>
      </x:c>
      <x:c r="L291" s="476" t="str">
        <x:v>Recurso pago</x:v>
      </x:c>
      <x:c r="M291" s="499" t="n">
        <x:v>2600000</x:v>
      </x:c>
      <x:c r="N291" s="499" t="n">
        <x:v>0</x:v>
      </x:c>
      <x:c r="O291" s="499" t="n">
        <x:v>0</x:v>
      </x:c>
      <x:c r="P291" s="499" t="n">
        <x:v>0</x:v>
      </x:c>
      <x:c r="Q291" s="499" t="n">
        <x:v>0</x:v>
      </x:c>
      <x:c r="R291" s="476" t="str"/>
      <x:c r="S291" s="476" t="str">
        <x:v>11358235000176, 87182846000178</x:v>
      </x:c>
      <x:c r="T291" s="476" t="str">
        <x:v>VALOR DIVERGENTE / COBERTURA DIFERENTE</x:v>
      </x:c>
      <x:c r="U291" s="476" t="str">
        <x:v>Alta</x:v>
      </x:c>
      <x:c r="V291" s="476" t="str"/>
      <x:c r="W291" s="476" t="str">
        <x:v>Município/localidade encontrado em fonte comparável, mas valor não fecha exatamente</x:v>
      </x:c>
      <x:c r="X291" s="476" t="str"/>
    </x:row>
    <x:row r="292">
      <x:c r="A292" t="n">
        <x:v>470</x:v>
      </x:c>
      <x:c r="B292" t="n">
        <x:v>2020</x:v>
      </x:c>
      <x:c r="C292" s="476" t="str">
        <x:v>Porto Alegre</x:v>
      </x:c>
      <x:c r="D292" s="476" t="str">
        <x:v>Hospital</x:v>
      </x:c>
      <x:c r="E292" s="476" t="str">
        <x:v>Santa Casa de Misericórdia de Porto Alegre</x:v>
      </x:c>
      <x:c r="F292" s="476" t="str">
        <x:v>41160005</x:v>
      </x:c>
      <x:c r="G292" s="476" t="str">
        <x:v>41160005-2020</x:v>
      </x:c>
      <x:c r="H292" s="476" t="str">
        <x:v>Informado/corrigido a partir do mapa</x:v>
      </x:c>
      <x:c r="I292" s="499" t="n">
        <x:v>300000</x:v>
      </x:c>
      <x:c r="J292" s="499" t="n">
        <x:v>1000000</x:v>
      </x:c>
      <x:c r="K292" s="476" t="str">
        <x:v>Emenda Individual (processo seletivo)</x:v>
      </x:c>
      <x:c r="L292" s="476" t="str">
        <x:v>Recurso pago</x:v>
      </x:c>
      <x:c r="M292" s="499" t="n">
        <x:v>2600000</x:v>
      </x:c>
      <x:c r="N292" s="499" t="n">
        <x:v>0</x:v>
      </x:c>
      <x:c r="O292" s="499" t="n">
        <x:v>0</x:v>
      </x:c>
      <x:c r="P292" s="499" t="n">
        <x:v>0</x:v>
      </x:c>
      <x:c r="Q292" s="499" t="n">
        <x:v>0</x:v>
      </x:c>
      <x:c r="R292" s="476" t="str"/>
      <x:c r="S292" s="476" t="str">
        <x:v>11358235000176, 87182846000178</x:v>
      </x:c>
      <x:c r="T292" s="476" t="str">
        <x:v>VALOR DIVERGENTE / COBERTURA DIFERENTE</x:v>
      </x:c>
      <x:c r="U292" s="476" t="str">
        <x:v>Alta</x:v>
      </x:c>
      <x:c r="V292" s="476" t="str"/>
      <x:c r="W292" s="476" t="str">
        <x:v>Município/localidade encontrado em fonte comparável, mas valor não fecha exatamente</x:v>
      </x:c>
      <x:c r="X292" s="476" t="str"/>
    </x:row>
    <x:row r="293">
      <x:c r="A293" t="n">
        <x:v>471</x:v>
      </x:c>
      <x:c r="B293" t="n">
        <x:v>2022</x:v>
      </x:c>
      <x:c r="C293" s="476" t="str">
        <x:v>Alegrete</x:v>
      </x:c>
      <x:c r="D293" s="476" t="str">
        <x:v>Hospital</x:v>
      </x:c>
      <x:c r="E293" s="476" t="str">
        <x:v>Santa Casa de Caridade de Alegrete</x:v>
      </x:c>
      <x:c r="F293" s="476" t="str">
        <x:v>7120004</x:v>
      </x:c>
      <x:c r="G293" s="476" t="str">
        <x:v>7120004-2022</x:v>
      </x:c>
      <x:c r="H293" s="476" t="str">
        <x:v>Informado/corrigido a partir do mapa</x:v>
      </x:c>
      <x:c r="I293" s="499" t="n">
        <x:v>300000</x:v>
      </x:c>
      <x:c r="J293" s="499" t="n">
        <x:v>300000</x:v>
      </x:c>
      <x:c r="K293" s="476" t="str">
        <x:v>Emenda de bancada (processo seletivo)</x:v>
      </x:c>
      <x:c r="L293" s="476" t="str">
        <x:v>Recurso pago</x:v>
      </x:c>
      <x:c r="M293" s="499" t="n">
        <x:v>0</x:v>
      </x:c>
      <x:c r="N293" s="499" t="n">
        <x:v>0</x:v>
      </x:c>
      <x:c r="O293" s="499" t="n">
        <x:v>0</x:v>
      </x:c>
      <x:c r="P293" s="499" t="n">
        <x:v>0</x:v>
      </x:c>
      <x:c r="Q293" s="499" t="n">
        <x:v>0</x:v>
      </x:c>
      <x:c r="R293" s="476" t="str"/>
      <x:c r="S293" s="476" t="str"/>
      <x:c r="T293" s="476" t="str">
        <x:v>Nº NÃO LOCALIZADO</x:v>
      </x:c>
      <x:c r="U293" s="476" t="str">
        <x:v>Média</x:v>
      </x:c>
      <x:c r="V293" s="476" t="str"/>
      <x:c r="W293" s="476" t="str"/>
      <x:c r="X293" s="476" t="str"/>
    </x:row>
    <x:row r="294">
      <x:c r="A294" t="n">
        <x:v>472</x:v>
      </x:c>
      <x:c r="B294" t="n">
        <x:v>2022</x:v>
      </x:c>
      <x:c r="C294" s="476" t="str">
        <x:v>Porto Alegre</x:v>
      </x:c>
      <x:c r="D294" s="476"/>
      <x:c r="E294" s="476" t="str">
        <x:v>Comando do Exército</x:v>
      </x:c>
      <x:c r="F294" s="476" t="str">
        <x:v>41160009</x:v>
      </x:c>
      <x:c r="G294" s="476" t="str">
        <x:v>41160009-2022</x:v>
      </x:c>
      <x:c r="H294" s="476" t="str">
        <x:v>Informado/corrigido a partir do mapa</x:v>
      </x:c>
      <x:c r="I294" s="499" t="n">
        <x:v>300000</x:v>
      </x:c>
      <x:c r="J294" s="499" t="n">
        <x:v>300000</x:v>
      </x:c>
      <x:c r="K294" s="476" t="str">
        <x:v>Emenda Individual </x:v>
      </x:c>
      <x:c r="L294" s="476" t="str">
        <x:v>Recurso pago</x:v>
      </x:c>
      <x:c r="M294" s="499" t="n">
        <x:v>0</x:v>
      </x:c>
      <x:c r="N294" s="499" t="n">
        <x:v>0</x:v>
      </x:c>
      <x:c r="O294" s="499" t="n">
        <x:v>0</x:v>
      </x:c>
      <x:c r="P294" s="499" t="n">
        <x:v>0</x:v>
      </x:c>
      <x:c r="Q294" s="499" t="n">
        <x:v>0</x:v>
      </x:c>
      <x:c r="R294" s="476" t="str"/>
      <x:c r="S294" s="476" t="str"/>
      <x:c r="T294" s="476" t="str">
        <x:v>EMENDA CONFIRMADA; DESTINO NÃO CONFIRMADO</x:v>
      </x:c>
      <x:c r="U294" s="476" t="str">
        <x:v>Média</x:v>
      </x:c>
      <x:c r="V294" s="476" t="str"/>
      <x:c r="W294" s="476" t="str">
        <x:v>Nº existe no SIGA; destinatário específico não foi confirmado nas bases anexas</x:v>
      </x:c>
      <x:c r="X294" s="476" t="str"/>
    </x:row>
    <x:row r="295">
      <x:c r="A295" t="n">
        <x:v>473</x:v>
      </x:c>
      <x:c r="B295" t="n">
        <x:v>2022</x:v>
      </x:c>
      <x:c r="C295" s="476" t="str">
        <x:v>Rio Grande</x:v>
      </x:c>
      <x:c r="D295" s="476" t="str">
        <x:v>Hospital</x:v>
      </x:c>
      <x:c r="E295" s="476" t="str">
        <x:v>Associação de Caridade Santa Casa de Rio Grande</x:v>
      </x:c>
      <x:c r="F295" s="476" t="str">
        <x:v>41160003</x:v>
      </x:c>
      <x:c r="G295" s="476" t="str">
        <x:v>41160003-2022</x:v>
      </x:c>
      <x:c r="H295" s="476" t="str">
        <x:v>Informado/corrigido a partir do mapa</x:v>
      </x:c>
      <x:c r="I295" s="499" t="n">
        <x:v>300000</x:v>
      </x:c>
      <x:c r="J295" s="499" t="n">
        <x:v>300000</x:v>
      </x:c>
      <x:c r="K295" s="476" t="str">
        <x:v>Emenda Individual </x:v>
      </x:c>
      <x:c r="L295" s="476" t="str">
        <x:v>Recurso empenhado</x:v>
      </x:c>
      <x:c r="M295" s="499" t="n">
        <x:v>0</x:v>
      </x:c>
      <x:c r="N295" s="499" t="n">
        <x:v>300000</x:v>
      </x:c>
      <x:c r="O295" s="499" t="n">
        <x:v>0</x:v>
      </x:c>
      <x:c r="P295" s="499" t="n">
        <x:v>0</x:v>
      </x:c>
      <x:c r="Q295" s="499" t="n">
        <x:v>0</x:v>
      </x:c>
      <x:c r="R295" s="476" t="str"/>
      <x:c r="S295" s="476" t="str"/>
      <x:c r="T295" s="476" t="str">
        <x:v>DESTINO/INSTRUMENTO CONFIRMADO; VALOR NÃO COMPARÁVEL</x:v>
      </x:c>
      <x:c r="U295" s="476" t="str">
        <x:v>Média</x:v>
      </x:c>
      <x:c r="V295" s="476" t="str"/>
      <x:c r="W295" s="476" t="str">
        <x:v>Há instrumento do Transferegov para a emenda/município; valores do instrumento não foram usados como prova do valor da emenda</x:v>
      </x:c>
      <x:c r="X295" s="476" t="str">
        <x:v>https://discricionarias.transferegov.sistema.gov.br/voluntarias/ConsultarProposta/ResultadoDaConsultaDeConvenioSelecionarConvenio.do?sequencialConvenio=935268&amp;Usr=guest&amp;Pwd=guest</x:v>
      </x:c>
    </x:row>
    <x:row r="296">
      <x:c r="A296" t="n">
        <x:v>474</x:v>
      </x:c>
      <x:c r="B296" t="n">
        <x:v>2022</x:v>
      </x:c>
      <x:c r="C296" s="476" t="str">
        <x:v>Santa Cruz do Sul</x:v>
      </x:c>
      <x:c r="D296" s="476" t="str">
        <x:v>Hospital</x:v>
      </x:c>
      <x:c r="E296" s="476" t="str">
        <x:v>Associação Pro Ensino Em Santa Cruz Do Sul</x:v>
      </x:c>
      <x:c r="F296" s="476" t="str">
        <x:v>41160003</x:v>
      </x:c>
      <x:c r="G296" s="476" t="str">
        <x:v>41160003-2022</x:v>
      </x:c>
      <x:c r="H296" s="476" t="str">
        <x:v>Informado/corrigido a partir do mapa</x:v>
      </x:c>
      <x:c r="I296" s="499" t="n">
        <x:v>300000</x:v>
      </x:c>
      <x:c r="J296" s="499" t="n">
        <x:v>300000</x:v>
      </x:c>
      <x:c r="K296" s="476" t="str">
        <x:v>Emenda Individual </x:v>
      </x:c>
      <x:c r="L296" s="476" t="str">
        <x:v>Recurso pago</x:v>
      </x:c>
      <x:c r="M296" s="499" t="n">
        <x:v>286366.12</x:v>
      </x:c>
      <x:c r="N296" s="499" t="n">
        <x:v>300000</x:v>
      </x:c>
      <x:c r="O296" s="499" t="n">
        <x:v>286366.12</x:v>
      </x:c>
      <x:c r="P296" s="499" t="n">
        <x:v>0</x:v>
      </x:c>
      <x:c r="Q296" s="499" t="n">
        <x:v>0</x:v>
      </x:c>
      <x:c r="R296" s="476" t="str"/>
      <x:c r="S296" s="476" t="str">
        <x:v>95438412000114</x:v>
      </x:c>
      <x:c r="T296" s="476" t="str">
        <x:v>VALOR DIVERGENTE / COBERTURA DIFERENTE</x:v>
      </x:c>
      <x:c r="U296" s="476" t="str">
        <x:v>Média</x:v>
      </x:c>
      <x:c r="V296" s="476" t="str">
        <x:v>CNPJ candidato na fonte SIGA: 95438412000114</x:v>
      </x:c>
      <x:c r="W296" s="476" t="str">
        <x:v>Município/localidade encontrado em fonte comparável, mas valor não fecha exatamente</x:v>
      </x:c>
      <x:c r="X296" s="476" t="str">
        <x:v>https://discricionarias.transferegov.sistema.gov.br/voluntarias/ConsultarProposta/ResultadoDaConsultaDeConvenioSelecionarConvenio.do?sequencialConvenio=935409&amp;Usr=guest&amp;Pwd=guest</x:v>
      </x:c>
    </x:row>
    <x:row r="297">
      <x:c r="A297" t="n">
        <x:v>476</x:v>
      </x:c>
      <x:c r="B297" t="n">
        <x:v>2022</x:v>
      </x:c>
      <x:c r="C297" s="476" t="str">
        <x:v>Serafina Corrêa</x:v>
      </x:c>
      <x:c r="D297" s="476" t="str">
        <x:v>Hospital</x:v>
      </x:c>
      <x:c r="E297" s="476" t="str">
        <x:v>Hospital Nossa Senhora do Rosário</x:v>
      </x:c>
      <x:c r="F297" s="476" t="str">
        <x:v>41160003</x:v>
      </x:c>
      <x:c r="G297" s="476" t="str">
        <x:v>41160003-2022</x:v>
      </x:c>
      <x:c r="H297" s="476" t="str">
        <x:v>Informado/corrigido a partir do mapa</x:v>
      </x:c>
      <x:c r="I297" s="499" t="n">
        <x:v>300000</x:v>
      </x:c>
      <x:c r="J297" s="499" t="n">
        <x:v>300000</x:v>
      </x:c>
      <x:c r="K297" s="476" t="str">
        <x:v>Emenda Individual </x:v>
      </x:c>
      <x:c r="L297" s="476" t="str">
        <x:v>Recurso pago</x:v>
      </x:c>
      <x:c r="M297" s="499" t="n">
        <x:v>288400</x:v>
      </x:c>
      <x:c r="N297" s="499" t="n">
        <x:v>300000</x:v>
      </x:c>
      <x:c r="O297" s="499" t="n">
        <x:v>288400</x:v>
      </x:c>
      <x:c r="P297" s="499" t="n">
        <x:v>0</x:v>
      </x:c>
      <x:c r="Q297" s="499" t="n">
        <x:v>0</x:v>
      </x:c>
      <x:c r="R297" s="476" t="str"/>
      <x:c r="S297" s="476" t="str">
        <x:v>90397167000120</x:v>
      </x:c>
      <x:c r="T297" s="476" t="str">
        <x:v>VALOR DIVERGENTE / COBERTURA DIFERENTE</x:v>
      </x:c>
      <x:c r="U297" s="476" t="str">
        <x:v>Média</x:v>
      </x:c>
      <x:c r="V297" s="476" t="str">
        <x:v>CNPJ candidato na fonte SIGA: 90397167000120</x:v>
      </x:c>
      <x:c r="W297" s="476" t="str">
        <x:v>Município/localidade encontrado em fonte comparável, mas valor não fecha exatamente</x:v>
      </x:c>
      <x:c r="X297" s="476" t="str">
        <x:v>https://discricionarias.transferegov.sistema.gov.br/voluntarias/ConsultarProposta/ResultadoDaConsultaDeConvenioSelecionarConvenio.do?sequencialConvenio=935976&amp;Usr=guest&amp;Pwd=guest</x:v>
      </x:c>
    </x:row>
    <x:row r="298">
      <x:c r="A298" t="n">
        <x:v>477</x:v>
      </x:c>
      <x:c r="B298" t="n">
        <x:v>2023</x:v>
      </x:c>
      <x:c r="C298" s="476" t="str">
        <x:v>Lindolfo Collor</x:v>
      </x:c>
      <x:c r="D298" s="476" t="str">
        <x:v>Prefeitura</x:v>
      </x:c>
      <x:c r="E298" s="476" t="str">
        <x:v>Prefeitura de Lindolfo Collor</x:v>
      </x:c>
      <x:c r="F298" s="476" t="str"/>
      <x:c r="G298" s="476" t="str"/>
      <x:c r="H298" s="476" t="str">
        <x:v>Sem nº conciliado</x:v>
      </x:c>
      <x:c r="I298" s="499" t="n">
        <x:v>300000</x:v>
      </x:c>
      <x:c r="J298" s="499" t="n">
        <x:v>300000</x:v>
      </x:c>
      <x:c r="K298" s="476" t="str">
        <x:v>Emenda Individual</x:v>
      </x:c>
      <x:c r="L298" s="476" t="str">
        <x:v>Empenhado</x:v>
      </x:c>
      <x:c r="M298" s="499" t="n">
        <x:v>0</x:v>
      </x:c>
      <x:c r="N298" s="499" t="n">
        <x:v>0</x:v>
      </x:c>
      <x:c r="O298" s="499" t="n">
        <x:v>0</x:v>
      </x:c>
      <x:c r="P298" s="499" t="n">
        <x:v>0</x:v>
      </x:c>
      <x:c r="Q298" s="499" t="n">
        <x:v>0</x:v>
      </x:c>
      <x:c r="R298" s="476" t="str"/>
      <x:c r="S298" s="476" t="str"/>
      <x:c r="T298" s="476" t="str">
        <x:v>SEM Nº / NÃO CONCILIADO</x:v>
      </x:c>
      <x:c r="U298" s="476" t="str">
        <x:v>Média</x:v>
      </x:c>
      <x:c r="V298" s="476" t="str"/>
      <x:c r="W298" s="476" t="str"/>
      <x:c r="X298" s="476" t="str"/>
    </x:row>
    <x:row r="299">
      <x:c r="A299" t="n">
        <x:v>478</x:v>
      </x:c>
      <x:c r="B299" t="n">
        <x:v>2023</x:v>
      </x:c>
      <x:c r="C299" s="476" t="str">
        <x:v>Canoas</x:v>
      </x:c>
      <x:c r="D299" s="476" t="str">
        <x:v>Hospital</x:v>
      </x:c>
      <x:c r="E299" s="476" t="str">
        <x:v>Hospital Nossa Senhora Das Graças</x:v>
      </x:c>
      <x:c r="F299" s="476" t="str"/>
      <x:c r="G299" s="476" t="str"/>
      <x:c r="H299" s="476" t="str">
        <x:v>Sem nº conciliado</x:v>
      </x:c>
      <x:c r="I299" s="499" t="n">
        <x:v>300000</x:v>
      </x:c>
      <x:c r="J299" s="499" t="n">
        <x:v>300000</x:v>
      </x:c>
      <x:c r="K299" s="476" t="str">
        <x:v>Emenda Individual</x:v>
      </x:c>
      <x:c r="L299" s="476" t="str">
        <x:v>Empenhado</x:v>
      </x:c>
      <x:c r="M299" s="499" t="n">
        <x:v>0</x:v>
      </x:c>
      <x:c r="N299" s="499" t="n">
        <x:v>0</x:v>
      </x:c>
      <x:c r="O299" s="499" t="n">
        <x:v>0</x:v>
      </x:c>
      <x:c r="P299" s="499" t="n">
        <x:v>0</x:v>
      </x:c>
      <x:c r="Q299" s="499" t="n">
        <x:v>0</x:v>
      </x:c>
      <x:c r="R299" s="476" t="str"/>
      <x:c r="S299" s="476" t="str"/>
      <x:c r="T299" s="476" t="str">
        <x:v>SEM Nº / NÃO CONCILIADO</x:v>
      </x:c>
      <x:c r="U299" s="476" t="str">
        <x:v>Média</x:v>
      </x:c>
      <x:c r="V299" s="476" t="str"/>
      <x:c r="W299" s="476" t="str"/>
      <x:c r="X299" s="476" t="str"/>
    </x:row>
    <x:row r="300">
      <x:c r="A300" t="n">
        <x:v>480</x:v>
      </x:c>
      <x:c r="B300" t="n">
        <x:v>2023</x:v>
      </x:c>
      <x:c r="C300" s="476" t="str">
        <x:v>Igrejinha</x:v>
      </x:c>
      <x:c r="D300" s="476" t="str">
        <x:v>Prefeitura</x:v>
      </x:c>
      <x:c r="E300" s="476" t="str">
        <x:v>Prefeitura de Igrejinha</x:v>
      </x:c>
      <x:c r="F300" s="476" t="str"/>
      <x:c r="G300" s="476" t="str"/>
      <x:c r="H300" s="476" t="str">
        <x:v>Sem nº conciliado</x:v>
      </x:c>
      <x:c r="I300" s="499" t="n">
        <x:v>300000</x:v>
      </x:c>
      <x:c r="J300" s="499" t="n">
        <x:v>666314</x:v>
      </x:c>
      <x:c r="K300" s="476" t="str">
        <x:v>Emenda Individual</x:v>
      </x:c>
      <x:c r="L300" s="476" t="str">
        <x:v>Empenhado</x:v>
      </x:c>
      <x:c r="M300" s="499" t="n">
        <x:v>0</x:v>
      </x:c>
      <x:c r="N300" s="499" t="n">
        <x:v>0</x:v>
      </x:c>
      <x:c r="O300" s="499" t="n">
        <x:v>0</x:v>
      </x:c>
      <x:c r="P300" s="499" t="n">
        <x:v>0</x:v>
      </x:c>
      <x:c r="Q300" s="499" t="n">
        <x:v>0</x:v>
      </x:c>
      <x:c r="R300" s="476" t="str"/>
      <x:c r="S300" s="476" t="str"/>
      <x:c r="T300" s="476" t="str">
        <x:v>SEM Nº / NÃO CONCILIADO</x:v>
      </x:c>
      <x:c r="U300" s="476" t="str">
        <x:v>Média</x:v>
      </x:c>
      <x:c r="V300" s="476" t="str"/>
      <x:c r="W300" s="476" t="str"/>
      <x:c r="X300" s="476" t="str"/>
    </x:row>
    <x:row r="301">
      <x:c r="A301" t="n">
        <x:v>481</x:v>
      </x:c>
      <x:c r="B301" t="n">
        <x:v>2023</x:v>
      </x:c>
      <x:c r="C301" s="476" t="str">
        <x:v>Piratini</x:v>
      </x:c>
      <x:c r="D301" s="476" t="str">
        <x:v>Hospital</x:v>
      </x:c>
      <x:c r="E301" s="476" t="str">
        <x:v>Hospital De Caridade Nossa Senhora Da Conceição De Piratini</x:v>
      </x:c>
      <x:c r="F301" s="476" t="str"/>
      <x:c r="G301" s="476" t="str"/>
      <x:c r="H301" s="476" t="str">
        <x:v>Sem nº conciliado</x:v>
      </x:c>
      <x:c r="I301" s="499" t="n">
        <x:v>300000</x:v>
      </x:c>
      <x:c r="J301" s="499" t="n">
        <x:v>300000</x:v>
      </x:c>
      <x:c r="K301" s="476" t="str">
        <x:v>Emenda Individual</x:v>
      </x:c>
      <x:c r="L301" s="476" t="str">
        <x:v>Empenhado</x:v>
      </x:c>
      <x:c r="M301" s="499" t="n">
        <x:v>0</x:v>
      </x:c>
      <x:c r="N301" s="499" t="n">
        <x:v>0</x:v>
      </x:c>
      <x:c r="O301" s="499" t="n">
        <x:v>0</x:v>
      </x:c>
      <x:c r="P301" s="499" t="n">
        <x:v>0</x:v>
      </x:c>
      <x:c r="Q301" s="499" t="n">
        <x:v>0</x:v>
      </x:c>
      <x:c r="R301" s="476" t="str"/>
      <x:c r="S301" s="476" t="str"/>
      <x:c r="T301" s="476" t="str">
        <x:v>SEM Nº / NÃO CONCILIADO</x:v>
      </x:c>
      <x:c r="U301" s="476" t="str">
        <x:v>Média</x:v>
      </x:c>
      <x:c r="V301" s="476" t="str"/>
      <x:c r="W301" s="476" t="str"/>
      <x:c r="X301" s="476" t="str"/>
    </x:row>
    <x:row r="302">
      <x:c r="A302" t="n">
        <x:v>482</x:v>
      </x:c>
      <x:c r="B302" t="n">
        <x:v>2023</x:v>
      </x:c>
      <x:c r="C302" s="476" t="str">
        <x:v>Taquara</x:v>
      </x:c>
      <x:c r="D302" s="476" t="str">
        <x:v>Hospital</x:v>
      </x:c>
      <x:c r="E302" s="476" t="str">
        <x:v>Hospital Bom Jesus</x:v>
      </x:c>
      <x:c r="F302" s="476" t="str"/>
      <x:c r="G302" s="476" t="str"/>
      <x:c r="H302" s="476" t="str">
        <x:v>Sem nº conciliado</x:v>
      </x:c>
      <x:c r="I302" s="499" t="n">
        <x:v>300000</x:v>
      </x:c>
      <x:c r="J302" s="499" t="n">
        <x:v>620000</x:v>
      </x:c>
      <x:c r="K302" s="476" t="str">
        <x:v>Emenda Individual</x:v>
      </x:c>
      <x:c r="L302" s="476" t="str">
        <x:v>Empenhado</x:v>
      </x:c>
      <x:c r="M302" s="499" t="n">
        <x:v>0</x:v>
      </x:c>
      <x:c r="N302" s="499" t="n">
        <x:v>0</x:v>
      </x:c>
      <x:c r="O302" s="499" t="n">
        <x:v>0</x:v>
      </x:c>
      <x:c r="P302" s="499" t="n">
        <x:v>0</x:v>
      </x:c>
      <x:c r="Q302" s="499" t="n">
        <x:v>0</x:v>
      </x:c>
      <x:c r="R302" s="476" t="str"/>
      <x:c r="S302" s="476" t="str"/>
      <x:c r="T302" s="476" t="str">
        <x:v>SEM Nº / NÃO CONCILIADO</x:v>
      </x:c>
      <x:c r="U302" s="476" t="str">
        <x:v>Média</x:v>
      </x:c>
      <x:c r="V302" s="476" t="str"/>
      <x:c r="W302" s="476" t="str"/>
      <x:c r="X302" s="476" t="str"/>
    </x:row>
    <x:row r="303">
      <x:c r="A303" t="n">
        <x:v>484</x:v>
      </x:c>
      <x:c r="B303" t="n">
        <x:v>2023</x:v>
      </x:c>
      <x:c r="C303" s="476"/>
      <x:c r="D303" s="476"/>
      <x:c r="E303" s="476" t="str">
        <x:v>Exército do Brasil</x:v>
      </x:c>
      <x:c r="F303" s="476" t="str">
        <x:v>41160003</x:v>
      </x:c>
      <x:c r="G303" s="476" t="str">
        <x:v>41160003-2023</x:v>
      </x:c>
      <x:c r="H303" s="476" t="str">
        <x:v>Informado/corrigido a partir do mapa</x:v>
      </x:c>
      <x:c r="I303" s="499" t="n">
        <x:v>300000</x:v>
      </x:c>
      <x:c r="J303" s="499" t="n">
        <x:v>300000</x:v>
      </x:c>
      <x:c r="K303" s="476"/>
      <x:c r="L303" s="476"/>
      <x:c r="M303" s="499" t="n">
        <x:v>0</x:v>
      </x:c>
      <x:c r="N303" s="499" t="n">
        <x:v>0</x:v>
      </x:c>
      <x:c r="O303" s="499" t="n">
        <x:v>0</x:v>
      </x:c>
      <x:c r="P303" s="499" t="n">
        <x:v>0</x:v>
      </x:c>
      <x:c r="Q303" s="499" t="n">
        <x:v>0</x:v>
      </x:c>
      <x:c r="R303" s="476" t="str"/>
      <x:c r="S303" s="476" t="str"/>
      <x:c r="T303" s="476" t="str">
        <x:v>EMENDA CONFIRMADA; DESTINO NÃO CONFIRMADO</x:v>
      </x:c>
      <x:c r="U303" s="476" t="str">
        <x:v>Média</x:v>
      </x:c>
      <x:c r="V303" s="476" t="str"/>
      <x:c r="W303" s="476" t="str">
        <x:v>Nº existe no SIGA; destinatário específico não foi confirmado nas bases anexas</x:v>
      </x:c>
      <x:c r="X303" s="476" t="str"/>
    </x:row>
    <x:row r="304">
      <x:c r="A304" t="n">
        <x:v>485</x:v>
      </x:c>
      <x:c r="B304" t="n">
        <x:v>2023</x:v>
      </x:c>
      <x:c r="C304" s="476"/>
      <x:c r="D304" s="476"/>
      <x:c r="E304" s="476" t="str">
        <x:v>Aeronáutica do Brasil</x:v>
      </x:c>
      <x:c r="F304" s="476" t="str">
        <x:v>41160010</x:v>
      </x:c>
      <x:c r="G304" s="476" t="str">
        <x:v>41160010-2023</x:v>
      </x:c>
      <x:c r="H304" s="476" t="str">
        <x:v>Informado/corrigido a partir do mapa</x:v>
      </x:c>
      <x:c r="I304" s="499" t="n">
        <x:v>300000</x:v>
      </x:c>
      <x:c r="J304" s="499" t="n">
        <x:v>300000</x:v>
      </x:c>
      <x:c r="K304" s="476"/>
      <x:c r="L304" s="476"/>
      <x:c r="M304" s="499" t="n">
        <x:v>0</x:v>
      </x:c>
      <x:c r="N304" s="499" t="n">
        <x:v>0</x:v>
      </x:c>
      <x:c r="O304" s="499" t="n">
        <x:v>0</x:v>
      </x:c>
      <x:c r="P304" s="499" t="n">
        <x:v>0</x:v>
      </x:c>
      <x:c r="Q304" s="499" t="n">
        <x:v>0</x:v>
      </x:c>
      <x:c r="R304" s="476" t="str"/>
      <x:c r="S304" s="476" t="str"/>
      <x:c r="T304" s="476" t="str">
        <x:v>EMENDA CONFIRMADA; DESTINO NÃO CONFIRMADO</x:v>
      </x:c>
      <x:c r="U304" s="476" t="str">
        <x:v>Média</x:v>
      </x:c>
      <x:c r="V304" s="476" t="str"/>
      <x:c r="W304" s="476" t="str">
        <x:v>Nº existe no SIGA; destinatário específico não foi confirmado nas bases anexas</x:v>
      </x:c>
      <x:c r="X304" s="476" t="str"/>
    </x:row>
    <x:row r="305">
      <x:c r="A305" t="n">
        <x:v>486</x:v>
      </x:c>
      <x:c r="B305" t="n">
        <x:v>2023</x:v>
      </x:c>
      <x:c r="C305" s="476" t="str">
        <x:v>São Jerônimo</x:v>
      </x:c>
      <x:c r="D305" s="476" t="str">
        <x:v>Prefeitura de São Jernônimo</x:v>
      </x:c>
      <x:c r="E305" s="476" t="str">
        <x:v>Projeto Construção de Ponte sobre o Rio Jacuí entre São Jerônimo e Triunfo - na BR-470/RS</x:v>
      </x:c>
      <x:c r="F305" s="476" t="str"/>
      <x:c r="G305" s="476" t="str"/>
      <x:c r="H305" s="476" t="str">
        <x:v>Sem nº conciliado</x:v>
      </x:c>
      <x:c r="I305" s="499" t="n">
        <x:v>300000</x:v>
      </x:c>
      <x:c r="J305" s="499" t="n">
        <x:v>300000</x:v>
      </x:c>
      <x:c r="K305" s="476" t="str">
        <x:v>Emenda bancada</x:v>
      </x:c>
      <x:c r="L305" s="476" t="str">
        <x:v>Empenhado</x:v>
      </x:c>
      <x:c r="M305" s="499" t="n">
        <x:v>0</x:v>
      </x:c>
      <x:c r="N305" s="499" t="n">
        <x:v>0</x:v>
      </x:c>
      <x:c r="O305" s="499" t="n">
        <x:v>0</x:v>
      </x:c>
      <x:c r="P305" s="499" t="n">
        <x:v>0</x:v>
      </x:c>
      <x:c r="Q305" s="499" t="n">
        <x:v>0</x:v>
      </x:c>
      <x:c r="R305" s="476" t="str"/>
      <x:c r="S305" s="476" t="str"/>
      <x:c r="T305" s="476" t="str">
        <x:v>SEM Nº / NÃO CONCILIADO</x:v>
      </x:c>
      <x:c r="U305" s="476" t="str">
        <x:v>Média</x:v>
      </x:c>
      <x:c r="V305" s="476" t="str"/>
      <x:c r="W305" s="476" t="str"/>
      <x:c r="X305" s="476" t="str"/>
    </x:row>
    <x:row r="306">
      <x:c r="A306" t="n">
        <x:v>498</x:v>
      </x:c>
      <x:c r="B306" t="n">
        <x:v>2025</x:v>
      </x:c>
      <x:c r="C306" s="476" t="str">
        <x:v>Sarandi</x:v>
      </x:c>
      <x:c r="D306" s="476" t="str">
        <x:v>Fundo Municipal De Saude De Sarandi-Rs Sarandi - Rs</x:v>
      </x:c>
      <x:c r="E306" s="476" t="str">
        <x:v>Prefeitura Municipal</x:v>
      </x:c>
      <x:c r="F306" s="476" t="str">
        <x:v>41160004</x:v>
      </x:c>
      <x:c r="G306" s="476" t="str">
        <x:v>41160004-2025</x:v>
      </x:c>
      <x:c r="H306" s="476" t="str">
        <x:v>Informado/corrigido a partir do mapa</x:v>
      </x:c>
      <x:c r="I306" s="499" t="n">
        <x:v>300000</x:v>
      </x:c>
      <x:c r="J306" s="499" t="n">
        <x:v>300000</x:v>
      </x:c>
      <x:c r="K306" s="476" t="str">
        <x:v>Emenda Individual</x:v>
      </x:c>
      <x:c r="L306" s="476"/>
      <x:c r="M306" s="499" t="n">
        <x:v>299676</x:v>
      </x:c>
      <x:c r="N306" s="499" t="n">
        <x:v>0</x:v>
      </x:c>
      <x:c r="O306" s="499" t="n">
        <x:v>0</x:v>
      </x:c>
      <x:c r="P306" s="499" t="n">
        <x:v>0</x:v>
      </x:c>
      <x:c r="Q306" s="499" t="n">
        <x:v>0</x:v>
      </x:c>
      <x:c r="R306" s="476" t="str"/>
      <x:c r="S306" s="476" t="str">
        <x:v>12123475000154</x:v>
      </x:c>
      <x:c r="T306" s="476" t="str">
        <x:v>VALOR DIVERGENTE / COBERTURA DIFERENTE</x:v>
      </x:c>
      <x:c r="U306" s="476" t="str">
        <x:v>Média</x:v>
      </x:c>
      <x:c r="V306" s="476" t="str">
        <x:v>Preencher situação: há pagamento identificado na fonte pública</x:v>
      </x:c>
      <x:c r="W306" s="476" t="str">
        <x:v>Município/localidade encontrado em fonte comparável, mas valor não fecha exatamente</x:v>
      </x:c>
      <x:c r="X306" s="476" t="str"/>
    </x:row>
    <x:row r="307">
      <x:c r="A307" t="n">
        <x:v>499</x:v>
      </x:c>
      <x:c r="B307" t="n">
        <x:v>2025</x:v>
      </x:c>
      <x:c r="C307" s="476" t="str">
        <x:v>Riozinho</x:v>
      </x:c>
      <x:c r="D307" s="476" t="str">
        <x:v>Associacao Filhas De Sao Camilo Riozinho - Rs</x:v>
      </x:c>
      <x:c r="E307" s="476" t="str">
        <x:v>Associacao Filhas De Sao Camilo Riozinho - Rs</x:v>
      </x:c>
      <x:c r="F307" s="476" t="str">
        <x:v>41160004</x:v>
      </x:c>
      <x:c r="G307" s="476" t="str">
        <x:v>41160004-2025</x:v>
      </x:c>
      <x:c r="H307" s="476" t="str">
        <x:v>Informado/corrigido a partir do mapa</x:v>
      </x:c>
      <x:c r="I307" s="499" t="n">
        <x:v>300000</x:v>
      </x:c>
      <x:c r="J307" s="499" t="n">
        <x:v>300000</x:v>
      </x:c>
      <x:c r="K307" s="476" t="str">
        <x:v>Emenda Individual</x:v>
      </x:c>
      <x:c r="L307" s="476"/>
      <x:c r="M307" s="499" t="n">
        <x:v>0</x:v>
      </x:c>
      <x:c r="N307" s="499" t="n">
        <x:v>300000</x:v>
      </x:c>
      <x:c r="O307" s="499" t="n">
        <x:v>0</x:v>
      </x:c>
      <x:c r="P307" s="499" t="n">
        <x:v>0</x:v>
      </x:c>
      <x:c r="Q307" s="499" t="n">
        <x:v>0</x:v>
      </x:c>
      <x:c r="R307" s="476" t="str"/>
      <x:c r="S307" s="476" t="str"/>
      <x:c r="T307" s="476" t="str">
        <x:v>DESTINO/INSTRUMENTO CONFIRMADO; VALOR NÃO COMPARÁVEL</x:v>
      </x:c>
      <x:c r="U307" s="476" t="str">
        <x:v>Média</x:v>
      </x:c>
      <x:c r="V307" s="476" t="str"/>
      <x:c r="W307" s="476" t="str">
        <x:v>Há instrumento do Transferegov para a emenda/município; valores do instrumento não foram usados como prova do valor da emenda</x:v>
      </x:c>
      <x:c r="X307" s="476" t="str">
        <x:v>https://discricionarias.transferegov.sistema.gov.br/voluntarias/ConsultarProposta/ResultadoDaConsultaDeConvenioSelecionarConvenio.do?sequencialConvenio=978857&amp;Usr=guest&amp;Pwd=guest</x:v>
      </x:c>
    </x:row>
    <x:row r="308">
      <x:c r="A308" t="n">
        <x:v>500</x:v>
      </x:c>
      <x:c r="B308" t="n">
        <x:v>2025</x:v>
      </x:c>
      <x:c r="C308" s="476" t="str">
        <x:v>Ronda Alta</x:v>
      </x:c>
      <x:c r="D308" s="476" t="str">
        <x:v>Associacao Hospitalar De Ronda Alta Ronda Alta - Rs</x:v>
      </x:c>
      <x:c r="E308" s="476" t="str">
        <x:v>Associacao Hospitalar De Ronda Alta Ronda Alta - Rs</x:v>
      </x:c>
      <x:c r="F308" s="476" t="str">
        <x:v>41160004</x:v>
      </x:c>
      <x:c r="G308" s="476" t="str">
        <x:v>41160004-2025</x:v>
      </x:c>
      <x:c r="H308" s="476" t="str">
        <x:v>Informado/corrigido a partir do mapa</x:v>
      </x:c>
      <x:c r="I308" s="499" t="n">
        <x:v>300000</x:v>
      </x:c>
      <x:c r="J308" s="499" t="n">
        <x:v>300000</x:v>
      </x:c>
      <x:c r="K308" s="476" t="str">
        <x:v>Emenda Individual</x:v>
      </x:c>
      <x:c r="L308" s="476"/>
      <x:c r="M308" s="499" t="n">
        <x:v>0</x:v>
      </x:c>
      <x:c r="N308" s="499" t="n">
        <x:v>300000</x:v>
      </x:c>
      <x:c r="O308" s="499" t="n">
        <x:v>0</x:v>
      </x:c>
      <x:c r="P308" s="499" t="n">
        <x:v>0</x:v>
      </x:c>
      <x:c r="Q308" s="499" t="n">
        <x:v>0</x:v>
      </x:c>
      <x:c r="R308" s="476" t="str"/>
      <x:c r="S308" s="476" t="str"/>
      <x:c r="T308" s="476" t="str">
        <x:v>DESTINO/INSTRUMENTO CONFIRMADO; VALOR NÃO COMPARÁVEL</x:v>
      </x:c>
      <x:c r="U308" s="476" t="str">
        <x:v>Média</x:v>
      </x:c>
      <x:c r="V308" s="476" t="str"/>
      <x:c r="W308" s="476" t="str">
        <x:v>Há instrumento do Transferegov para a emenda/município; valores do instrumento não foram usados como prova do valor da emenda</x:v>
      </x:c>
      <x:c r="X308" s="476" t="str">
        <x:v>https://discricionarias.transferegov.sistema.gov.br/voluntarias/ConsultarProposta/ResultadoDaConsultaDeConvenioSelecionarConvenio.do?sequencialConvenio=978960&amp;Usr=guest&amp;Pwd=guest</x:v>
      </x:c>
    </x:row>
    <x:row r="309">
      <x:c r="A309" t="n">
        <x:v>501</x:v>
      </x:c>
      <x:c r="B309" t="n">
        <x:v>2025</x:v>
      </x:c>
      <x:c r="C309" s="476" t="str">
        <x:v>São Borja</x:v>
      </x:c>
      <x:c r="D309" s="476" t="str">
        <x:v>Fundacao Ivan Goulart São Borja - Rs</x:v>
      </x:c>
      <x:c r="E309" s="476" t="str">
        <x:v>Fundacao Ivan Goulart São Borja - Rs</x:v>
      </x:c>
      <x:c r="F309" s="476" t="str">
        <x:v>41160004</x:v>
      </x:c>
      <x:c r="G309" s="476" t="str">
        <x:v>41160004-2025</x:v>
      </x:c>
      <x:c r="H309" s="476" t="str">
        <x:v>Informado/corrigido a partir do mapa</x:v>
      </x:c>
      <x:c r="I309" s="499" t="n">
        <x:v>300000</x:v>
      </x:c>
      <x:c r="J309" s="499" t="n">
        <x:v>300000</x:v>
      </x:c>
      <x:c r="K309" s="476" t="str">
        <x:v>Emenda Individual</x:v>
      </x:c>
      <x:c r="L309" s="476"/>
      <x:c r="M309" s="499" t="n">
        <x:v>0</x:v>
      </x:c>
      <x:c r="N309" s="499" t="n">
        <x:v>300000</x:v>
      </x:c>
      <x:c r="O309" s="499" t="n">
        <x:v>0</x:v>
      </x:c>
      <x:c r="P309" s="499" t="n">
        <x:v>0</x:v>
      </x:c>
      <x:c r="Q309" s="499" t="n">
        <x:v>0</x:v>
      </x:c>
      <x:c r="R309" s="476" t="str"/>
      <x:c r="S309" s="476" t="str"/>
      <x:c r="T309" s="476" t="str">
        <x:v>DESTINO/INSTRUMENTO CONFIRMADO; VALOR NÃO COMPARÁVEL</x:v>
      </x:c>
      <x:c r="U309" s="476" t="str">
        <x:v>Média</x:v>
      </x:c>
      <x:c r="V309" s="476" t="str"/>
      <x:c r="W309" s="476" t="str">
        <x:v>Há instrumento do Transferegov para a emenda/município; valores do instrumento não foram usados como prova do valor da emenda</x:v>
      </x:c>
      <x:c r="X309" s="476" t="str">
        <x:v>https://discricionarias.transferegov.sistema.gov.br/voluntarias/ConsultarProposta/ResultadoDaConsultaDeConvenioSelecionarConvenio.do?sequencialConvenio=988225&amp;Usr=guest&amp;Pwd=guest</x:v>
      </x:c>
    </x:row>
    <x:row r="310">
      <x:c r="A310" t="n">
        <x:v>502</x:v>
      </x:c>
      <x:c r="B310" t="n">
        <x:v>2025</x:v>
      </x:c>
      <x:c r="C310" s="476" t="str">
        <x:v>Pelotas</x:v>
      </x:c>
      <x:c r="D310" s="476" t="str">
        <x:v>Sociedade Portuguesa De Beneficencia Pelotas - Rs</x:v>
      </x:c>
      <x:c r="E310" s="476" t="str">
        <x:v>Sociedade Portuguesa De Beneficencia Pelotas - Rs</x:v>
      </x:c>
      <x:c r="F310" s="476" t="str">
        <x:v>41160004</x:v>
      </x:c>
      <x:c r="G310" s="476" t="str">
        <x:v>41160004-2025</x:v>
      </x:c>
      <x:c r="H310" s="476" t="str">
        <x:v>Informado/corrigido a partir do mapa</x:v>
      </x:c>
      <x:c r="I310" s="499" t="n">
        <x:v>300000</x:v>
      </x:c>
      <x:c r="J310" s="499" t="n">
        <x:v>751752</x:v>
      </x:c>
      <x:c r="K310" s="476" t="str">
        <x:v>Emenda Individual</x:v>
      </x:c>
      <x:c r="L310" s="476"/>
      <x:c r="M310" s="499" t="n">
        <x:v>0</x:v>
      </x:c>
      <x:c r="N310" s="499" t="n">
        <x:v>750020</x:v>
      </x:c>
      <x:c r="O310" s="499" t="n">
        <x:v>0</x:v>
      </x:c>
      <x:c r="P310" s="499" t="n">
        <x:v>0</x:v>
      </x:c>
      <x:c r="Q310" s="499" t="n">
        <x:v>0</x:v>
      </x:c>
      <x:c r="R310" s="476" t="str"/>
      <x:c r="S310" s="476" t="str"/>
      <x:c r="T310" s="476" t="str">
        <x:v>DESTINO/INSTRUMENTO CONFIRMADO; VALOR NÃO COMPARÁVEL</x:v>
      </x:c>
      <x:c r="U310" s="476" t="str">
        <x:v>Média</x:v>
      </x:c>
      <x:c r="V310" s="476" t="str"/>
      <x:c r="W310" s="476" t="str">
        <x:v>Há instrumento do Transferegov para a emenda/município; valores do instrumento não foram usados como prova do valor da emenda</x:v>
      </x:c>
      <x:c r="X310" s="476" t="str">
        <x:v>https://discricionarias.transferegov.sistema.gov.br/voluntarias/ConsultarProposta/ResultadoDaConsultaDeConvenioSelecionarConvenio.do?sequencialConvenio=979950&amp;Usr=guest&amp;Pwd=guest | https://discricionarias.transferegov.sistema.gov.br/voluntarias/ConsultarProposta/ResultadoDaConsultaDeConvenioSelecionarConvenio.do?sequencialConvenio=988639&amp;Usr=guest&amp;Pwd=guest</x:v>
      </x:c>
    </x:row>
    <x:row r="311">
      <x:c r="A311" t="n">
        <x:v>503</x:v>
      </x:c>
      <x:c r="B311" t="n">
        <x:v>2025</x:v>
      </x:c>
      <x:c r="C311" s="476" t="str">
        <x:v>São Gabriel</x:v>
      </x:c>
      <x:c r="D311" s="476" t="str">
        <x:v>Municipio De Sao Gabriel São Gabriel - Rs</x:v>
      </x:c>
      <x:c r="E311" s="476" t="str">
        <x:v>Prefeitura Municipal</x:v>
      </x:c>
      <x:c r="F311" s="476" t="str">
        <x:v>41160008</x:v>
      </x:c>
      <x:c r="G311" s="476" t="str">
        <x:v>41160008-2025</x:v>
      </x:c>
      <x:c r="H311" s="476" t="str">
        <x:v>Informado/corrigido a partir do mapa</x:v>
      </x:c>
      <x:c r="I311" s="499" t="n">
        <x:v>300000</x:v>
      </x:c>
      <x:c r="J311" s="499" t="n">
        <x:v>300000</x:v>
      </x:c>
      <x:c r="K311" s="476" t="str">
        <x:v>Emenda Individual</x:v>
      </x:c>
      <x:c r="L311" s="476"/>
      <x:c r="M311" s="499" t="n">
        <x:v>297000</x:v>
      </x:c>
      <x:c r="N311" s="499" t="n">
        <x:v>0</x:v>
      </x:c>
      <x:c r="O311" s="499" t="n">
        <x:v>0</x:v>
      </x:c>
      <x:c r="P311" s="499" t="n">
        <x:v>297000</x:v>
      </x:c>
      <x:c r="Q311" s="499" t="n">
        <x:v>0</x:v>
      </x:c>
      <x:c r="R311" s="476" t="str">
        <x:v>CIENTE</x:v>
      </x:c>
      <x:c r="S311" s="476" t="str">
        <x:v>88768080000170</x:v>
      </x:c>
      <x:c r="T311" s="476" t="str">
        <x:v>VALOR DIVERGENTE / COBERTURA DIFERENTE</x:v>
      </x:c>
      <x:c r="U311" s="476" t="str">
        <x:v>Média</x:v>
      </x:c>
      <x:c r="V311" s="476" t="str">
        <x:v>Revisar valor do grupo: PIX atual registra R$ 297,000.00; Atualizar situação com status do plano PIX: CIENTE (não equivale a pagamento)</x:v>
      </x:c>
      <x:c r="W311" s="476" t="str">
        <x:v>Município/localidade encontrado em fonte comparável, mas valor não fecha exatamente</x:v>
      </x:c>
      <x:c r="X311" s="476" t="str">
        <x:v>https://especiais.transferegov.sistema.gov.br/transferencia-especial/plano-acao/detalhe/84000/dados-basicos</x:v>
      </x:c>
    </x:row>
    <x:row r="312">
      <x:c r="A312" t="n">
        <x:v>504</x:v>
      </x:c>
      <x:c r="B312" t="n">
        <x:v>2025</x:v>
      </x:c>
      <x:c r="C312" s="476" t="str">
        <x:v>Riozinho</x:v>
      </x:c>
      <x:c r="D312" s="476" t="str">
        <x:v>Associacao Filhas De Sao Camilo Riozinho - Rs</x:v>
      </x:c>
      <x:c r="E312" s="476" t="str">
        <x:v>Associacao Filhas De Sao Camilo Riozinho - Rs</x:v>
      </x:c>
      <x:c r="F312" s="476" t="str">
        <x:v>41160002</x:v>
      </x:c>
      <x:c r="G312" s="476" t="str">
        <x:v>41160002-2025</x:v>
      </x:c>
      <x:c r="H312" s="476" t="str">
        <x:v>Informado/corrigido a partir do mapa</x:v>
      </x:c>
      <x:c r="I312" s="499" t="n">
        <x:v>300000</x:v>
      </x:c>
      <x:c r="J312" s="499" t="n">
        <x:v>300000</x:v>
      </x:c>
      <x:c r="K312" s="476" t="str">
        <x:v>Emenda Individual</x:v>
      </x:c>
      <x:c r="L312" s="476"/>
      <x:c r="M312" s="499" t="n">
        <x:v>0</x:v>
      </x:c>
      <x:c r="N312" s="499" t="n">
        <x:v>0</x:v>
      </x:c>
      <x:c r="O312" s="499" t="n">
        <x:v>0</x:v>
      </x:c>
      <x:c r="P312" s="499" t="n">
        <x:v>0</x:v>
      </x:c>
      <x:c r="Q312" s="499" t="n">
        <x:v>0</x:v>
      </x:c>
      <x:c r="R312" s="476" t="str"/>
      <x:c r="S312" s="476" t="str"/>
      <x:c r="T312" s="476" t="str">
        <x:v>EMENDA CONFIRMADA; DESTINO NÃO CONFIRMADO</x:v>
      </x:c>
      <x:c r="U312" s="476" t="str">
        <x:v>Média</x:v>
      </x:c>
      <x:c r="V312" s="476" t="str"/>
      <x:c r="W312" s="476" t="str">
        <x:v>Nº existe no SIGA; destinatário específico não foi confirmado nas bases anexas</x:v>
      </x:c>
      <x:c r="X312" s="476" t="str"/>
    </x:row>
    <x:row r="313">
      <x:c r="A313" t="n">
        <x:v>505</x:v>
      </x:c>
      <x:c r="B313" t="n">
        <x:v>2026</x:v>
      </x:c>
      <x:c r="C313" s="476" t="str">
        <x:v>Santa Cruz do Sul</x:v>
      </x:c>
      <x:c r="D313" s="476" t="str">
        <x:v>Associacao Hospitalar Santa Rosa</x:v>
      </x:c>
      <x:c r="E313" s="476" t="str">
        <x:v>Associacao Pro-Ensino Em Santa Cruz Do Sul - Apesc</x:v>
      </x:c>
      <x:c r="F313" s="476" t="str">
        <x:v>41160003</x:v>
      </x:c>
      <x:c r="G313" s="476" t="str">
        <x:v>41160003-2026</x:v>
      </x:c>
      <x:c r="H313" s="476" t="str">
        <x:v>Informado/corrigido a partir do mapa</x:v>
      </x:c>
      <x:c r="I313" s="499" t="n">
        <x:v>300000</x:v>
      </x:c>
      <x:c r="J313" s="499" t="n">
        <x:v>300000</x:v>
      </x:c>
      <x:c r="K313" s="476" t="str">
        <x:v>Emenda individual</x:v>
      </x:c>
      <x:c r="L313" s="476"/>
      <x:c r="M313" s="499" t="n">
        <x:v>0</x:v>
      </x:c>
      <x:c r="N313" s="499" t="n">
        <x:v>300000</x:v>
      </x:c>
      <x:c r="O313" s="499" t="n">
        <x:v>0</x:v>
      </x:c>
      <x:c r="P313" s="499" t="n">
        <x:v>0</x:v>
      </x:c>
      <x:c r="Q313" s="499" t="n">
        <x:v>0</x:v>
      </x:c>
      <x:c r="R313" s="476" t="str"/>
      <x:c r="S313" s="476" t="str"/>
      <x:c r="T313" s="476" t="str">
        <x:v>DESTINO/INSTRUMENTO CONFIRMADO; VALOR NÃO COMPARÁVEL</x:v>
      </x:c>
      <x:c r="U313" s="476" t="str">
        <x:v>Média</x:v>
      </x:c>
      <x:c r="V313" s="476" t="str"/>
      <x:c r="W313" s="476" t="str">
        <x:v>Há instrumento do Transferegov para a emenda/município; valores do instrumento não foram usados como prova do valor da emenda</x:v>
      </x:c>
      <x:c r="X313" s="476" t="str">
        <x:v>https://discricionarias.transferegov.sistema.gov.br/voluntarias/ConsultarProposta/ResultadoDaConsultaDeConvenioSelecionarConvenio.do?sequencialConvenio=995405&amp;Usr=guest&amp;Pwd=guest</x:v>
      </x:c>
    </x:row>
    <x:row r="314">
      <x:c r="A314" t="n">
        <x:v>506</x:v>
      </x:c>
      <x:c r="B314" t="n">
        <x:v>2026</x:v>
      </x:c>
      <x:c r="C314" s="476" t="str">
        <x:v>Três Passos</x:v>
      </x:c>
      <x:c r="D314" s="476" t="str">
        <x:v>Associacao Hospitalar Tucunduva E Novo Machado</x:v>
      </x:c>
      <x:c r="E314" s="476" t="str">
        <x:v>Associacao Hospital de Caridade Tres Passos</x:v>
      </x:c>
      <x:c r="F314" s="476" t="str">
        <x:v>41160003</x:v>
      </x:c>
      <x:c r="G314" s="476" t="str">
        <x:v>41160003-2026</x:v>
      </x:c>
      <x:c r="H314" s="476" t="str">
        <x:v>Informado/corrigido a partir do mapa</x:v>
      </x:c>
      <x:c r="I314" s="499" t="n">
        <x:v>300000</x:v>
      </x:c>
      <x:c r="J314" s="499" t="n">
        <x:v>300000</x:v>
      </x:c>
      <x:c r="K314" s="476" t="str">
        <x:v>Emenda individual</x:v>
      </x:c>
      <x:c r="L314" s="476"/>
      <x:c r="M314" s="499" t="n">
        <x:v>0</x:v>
      </x:c>
      <x:c r="N314" s="499" t="n">
        <x:v>300000</x:v>
      </x:c>
      <x:c r="O314" s="499" t="n">
        <x:v>0</x:v>
      </x:c>
      <x:c r="P314" s="499" t="n">
        <x:v>0</x:v>
      </x:c>
      <x:c r="Q314" s="499" t="n">
        <x:v>0</x:v>
      </x:c>
      <x:c r="R314" s="476" t="str"/>
      <x:c r="S314" s="476" t="str"/>
      <x:c r="T314" s="476" t="str">
        <x:v>DESTINO/INSTRUMENTO CONFIRMADO; VALOR NÃO COMPARÁVEL</x:v>
      </x:c>
      <x:c r="U314" s="476" t="str">
        <x:v>Média</x:v>
      </x:c>
      <x:c r="V314" s="476" t="str"/>
      <x:c r="W314" s="476" t="str">
        <x:v>Há instrumento do Transferegov para a emenda/município; valores do instrumento não foram usados como prova do valor da emenda</x:v>
      </x:c>
      <x:c r="X314" s="476" t="str">
        <x:v>https://discricionarias.transferegov.sistema.gov.br/voluntarias/ConsultarProposta/ResultadoDaConsultaDeConvenioSelecionarConvenio.do?sequencialConvenio=995399&amp;Usr=guest&amp;Pwd=guest</x:v>
      </x:c>
    </x:row>
    <x:row r="315">
      <x:c r="A315" t="n">
        <x:v>507</x:v>
      </x:c>
      <x:c r="B315" t="n">
        <x:v>2026</x:v>
      </x:c>
      <x:c r="C315" s="476" t="str">
        <x:v>Nova Araçá</x:v>
      </x:c>
      <x:c r="D315" s="476" t="str">
        <x:v>Nova Araça</x:v>
      </x:c>
      <x:c r="E315" s="476" t="str">
        <x:v>Fundo Municipal Da Saude</x:v>
      </x:c>
      <x:c r="F315" s="476" t="str">
        <x:v>41160013</x:v>
      </x:c>
      <x:c r="G315" s="476" t="str">
        <x:v>41160013-2026</x:v>
      </x:c>
      <x:c r="H315" s="476" t="str">
        <x:v>Informado/corrigido a partir do mapa</x:v>
      </x:c>
      <x:c r="I315" s="499" t="n">
        <x:v>300000</x:v>
      </x:c>
      <x:c r="J315" s="499" t="n">
        <x:v>300000</x:v>
      </x:c>
      <x:c r="K315" s="476" t="str">
        <x:v>Emenda individual</x:v>
      </x:c>
      <x:c r="L315" s="476"/>
      <x:c r="M315" s="499" t="n">
        <x:v>0</x:v>
      </x:c>
      <x:c r="N315" s="499" t="n">
        <x:v>0</x:v>
      </x:c>
      <x:c r="O315" s="499" t="n">
        <x:v>0</x:v>
      </x:c>
      <x:c r="P315" s="499" t="n">
        <x:v>0</x:v>
      </x:c>
      <x:c r="Q315" s="499" t="n">
        <x:v>0</x:v>
      </x:c>
      <x:c r="R315" s="476" t="str"/>
      <x:c r="S315" s="476" t="str"/>
      <x:c r="T315" s="476" t="str">
        <x:v>EMENDA CONFIRMADA; DESTINO NÃO CONFIRMADO</x:v>
      </x:c>
      <x:c r="U315" s="476" t="str">
        <x:v>Média</x:v>
      </x:c>
      <x:c r="V315" s="476" t="str"/>
      <x:c r="W315" s="476" t="str">
        <x:v>Nº existe no SIGA; destinatário específico não foi confirmado nas bases anexas</x:v>
      </x:c>
      <x:c r="X315" s="476" t="str"/>
    </x:row>
    <x:row r="316">
      <x:c r="A316" t="n">
        <x:v>508</x:v>
      </x:c>
      <x:c r="B316" t="n">
        <x:v>2025</x:v>
      </x:c>
      <x:c r="C316" s="476" t="str">
        <x:v>São Sepé</x:v>
      </x:c>
      <x:c r="D316" s="476" t="str">
        <x:v>Municipio De Sao Sepe São Sepé - Rs</x:v>
      </x:c>
      <x:c r="E316" s="476" t="str">
        <x:v>Prefeitura Municipal</x:v>
      </x:c>
      <x:c r="F316" s="476" t="str">
        <x:v>41160008</x:v>
      </x:c>
      <x:c r="G316" s="476" t="str">
        <x:v>41160008-2025</x:v>
      </x:c>
      <x:c r="H316" s="476" t="str">
        <x:v>Informado/corrigido a partir do mapa</x:v>
      </x:c>
      <x:c r="I316" s="499" t="n">
        <x:v>301774</x:v>
      </x:c>
      <x:c r="J316" s="499" t="n">
        <x:v>301774</x:v>
      </x:c>
      <x:c r="K316" s="476" t="str">
        <x:v>Emenda Individual</x:v>
      </x:c>
      <x:c r="L316" s="476"/>
      <x:c r="M316" s="499" t="n">
        <x:v>298756.26</x:v>
      </x:c>
      <x:c r="N316" s="499" t="n">
        <x:v>0</x:v>
      </x:c>
      <x:c r="O316" s="499" t="n">
        <x:v>0</x:v>
      </x:c>
      <x:c r="P316" s="499" t="n">
        <x:v>298756.26</x:v>
      </x:c>
      <x:c r="Q316" s="499" t="n">
        <x:v>0</x:v>
      </x:c>
      <x:c r="R316" s="476" t="str">
        <x:v>CIENTE</x:v>
      </x:c>
      <x:c r="S316" s="476" t="str">
        <x:v>97229181000164</x:v>
      </x:c>
      <x:c r="T316" s="476" t="str">
        <x:v>VALOR DIVERGENTE / COBERTURA DIFERENTE</x:v>
      </x:c>
      <x:c r="U316" s="476" t="str">
        <x:v>Média</x:v>
      </x:c>
      <x:c r="V316" s="476" t="str">
        <x:v>Revisar valor do grupo: PIX atual registra R$ 298,756.26; Atualizar situação com status do plano PIX: CIENTE (não equivale a pagamento)</x:v>
      </x:c>
      <x:c r="W316" s="476" t="str">
        <x:v>Município/localidade encontrado em fonte comparável, mas valor não fecha exatamente</x:v>
      </x:c>
      <x:c r="X316" s="476" t="str">
        <x:v>https://especiais.transferegov.sistema.gov.br/transferencia-especial/plano-acao/detalhe/84001/dados-basicos</x:v>
      </x:c>
    </x:row>
    <x:row r="317">
      <x:c r="A317" t="n">
        <x:v>509</x:v>
      </x:c>
      <x:c r="B317" t="n">
        <x:v>2023</x:v>
      </x:c>
      <x:c r="C317" s="476" t="str">
        <x:v>Mata</x:v>
      </x:c>
      <x:c r="D317" s="476" t="str">
        <x:v>Prefeitura</x:v>
      </x:c>
      <x:c r="E317" s="476" t="str">
        <x:v>Prefeitura de Mata</x:v>
      </x:c>
      <x:c r="F317" s="476" t="str"/>
      <x:c r="G317" s="476" t="str"/>
      <x:c r="H317" s="476" t="str">
        <x:v>Sem nº conciliado</x:v>
      </x:c>
      <x:c r="I317" s="499" t="n">
        <x:v>308000</x:v>
      </x:c>
      <x:c r="J317" s="499" t="n">
        <x:v>308000</x:v>
      </x:c>
      <x:c r="K317" s="476" t="str">
        <x:v>Emenda Individual</x:v>
      </x:c>
      <x:c r="L317" s="476" t="str">
        <x:v>Empenhado</x:v>
      </x:c>
      <x:c r="M317" s="499" t="n">
        <x:v>0</x:v>
      </x:c>
      <x:c r="N317" s="499" t="n">
        <x:v>0</x:v>
      </x:c>
      <x:c r="O317" s="499" t="n">
        <x:v>0</x:v>
      </x:c>
      <x:c r="P317" s="499" t="n">
        <x:v>0</x:v>
      </x:c>
      <x:c r="Q317" s="499" t="n">
        <x:v>0</x:v>
      </x:c>
      <x:c r="R317" s="476" t="str"/>
      <x:c r="S317" s="476" t="str"/>
      <x:c r="T317" s="476" t="str">
        <x:v>SEM Nº / NÃO CONCILIADO</x:v>
      </x:c>
      <x:c r="U317" s="476" t="str">
        <x:v>Média</x:v>
      </x:c>
      <x:c r="V317" s="476" t="str"/>
      <x:c r="W317" s="476" t="str"/>
      <x:c r="X317" s="476" t="str"/>
    </x:row>
    <x:row r="318">
      <x:c r="A318" t="n">
        <x:v>510</x:v>
      </x:c>
      <x:c r="B318" t="n">
        <x:v>2023</x:v>
      </x:c>
      <x:c r="C318" s="476" t="str">
        <x:v>Veranópolis</x:v>
      </x:c>
      <x:c r="D318" s="476" t="str">
        <x:v>Hospital</x:v>
      </x:c>
      <x:c r="E318" s="476" t="str">
        <x:v>Associação Veranense De Assistência Em Saúde - Hospital Comunitário São Peregrino Lazziozi</x:v>
      </x:c>
      <x:c r="F318" s="476" t="str">
        <x:v>41160007</x:v>
      </x:c>
      <x:c r="G318" s="476" t="str">
        <x:v>41160007-2023</x:v>
      </x:c>
      <x:c r="H318" s="476" t="str">
        <x:v>Informado/corrigido a partir do mapa</x:v>
      </x:c>
      <x:c r="I318" s="499" t="n">
        <x:v>309316</x:v>
      </x:c>
      <x:c r="J318" s="499" t="n">
        <x:v>309316</x:v>
      </x:c>
      <x:c r="K318" s="476" t="str">
        <x:v>Emenda Individual</x:v>
      </x:c>
      <x:c r="L318" s="476" t="str">
        <x:v>Recurso pago</x:v>
      </x:c>
      <x:c r="M318" s="499" t="n">
        <x:v>251300</x:v>
      </x:c>
      <x:c r="N318" s="499" t="n">
        <x:v>309316</x:v>
      </x:c>
      <x:c r="O318" s="499" t="n">
        <x:v>251300</x:v>
      </x:c>
      <x:c r="P318" s="499" t="n">
        <x:v>0</x:v>
      </x:c>
      <x:c r="Q318" s="499" t="n">
        <x:v>0</x:v>
      </x:c>
      <x:c r="R318" s="476" t="str"/>
      <x:c r="S318" s="476" t="str">
        <x:v>87873279000104</x:v>
      </x:c>
      <x:c r="T318" s="476" t="str">
        <x:v>VALOR DIVERGENTE / COBERTURA DIFERENTE</x:v>
      </x:c>
      <x:c r="U318" s="476" t="str">
        <x:v>Alta</x:v>
      </x:c>
      <x:c r="V318" s="476" t="str">
        <x:v>CNPJ candidato na fonte SIGA: 87873279000104</x:v>
      </x:c>
      <x:c r="W318" s="476" t="str">
        <x:v>Município/localidade encontrado em fonte comparável, mas valor não fecha exatamente</x:v>
      </x:c>
      <x:c r="X318" s="476" t="str">
        <x:v>https://discricionarias.transferegov.sistema.gov.br/voluntarias/ConsultarProposta/ResultadoDaConsultaDeConvenioSelecionarConvenio.do?sequencialConvenio=944026&amp;Usr=guest&amp;Pwd=guest</x:v>
      </x:c>
    </x:row>
    <x:row r="319">
      <x:c r="A319" t="n">
        <x:v>513</x:v>
      </x:c>
      <x:c r="B319" t="n">
        <x:v>2026</x:v>
      </x:c>
      <x:c r="C319" s="476" t="str">
        <x:v>Tupanciretã</x:v>
      </x:c>
      <x:c r="D319" s="476" t="str">
        <x:v>Tupanciretã</x:v>
      </x:c>
      <x:c r="E319" s="476" t="str">
        <x:v>Fundo Municipal de Saude de Tupancireta</x:v>
      </x:c>
      <x:c r="F319" s="476" t="str">
        <x:v>41160003</x:v>
      </x:c>
      <x:c r="G319" s="476" t="str">
        <x:v>41160003-2026</x:v>
      </x:c>
      <x:c r="H319" s="476" t="str">
        <x:v>Informado/corrigido a partir do mapa</x:v>
      </x:c>
      <x:c r="I319" s="499" t="n">
        <x:v>314200</x:v>
      </x:c>
      <x:c r="J319" s="499" t="n">
        <x:v>314200</x:v>
      </x:c>
      <x:c r="K319" s="476" t="str">
        <x:v>Emenda individual</x:v>
      </x:c>
      <x:c r="L319" s="476"/>
      <x:c r="M319" s="499" t="n">
        <x:v>0</x:v>
      </x:c>
      <x:c r="N319" s="499" t="n">
        <x:v>0</x:v>
      </x:c>
      <x:c r="O319" s="499" t="n">
        <x:v>0</x:v>
      </x:c>
      <x:c r="P319" s="499" t="n">
        <x:v>0</x:v>
      </x:c>
      <x:c r="Q319" s="499" t="n">
        <x:v>0</x:v>
      </x:c>
      <x:c r="R319" s="476" t="str"/>
      <x:c r="S319" s="476" t="str"/>
      <x:c r="T319" s="476" t="str">
        <x:v>EMENDA CONFIRMADA; DESTINO NÃO CONFIRMADO</x:v>
      </x:c>
      <x:c r="U319" s="476" t="str">
        <x:v>Média</x:v>
      </x:c>
      <x:c r="V319" s="476" t="str"/>
      <x:c r="W319" s="476" t="str">
        <x:v>Nº existe no SIGA; destinatário específico não foi confirmado nas bases anexas</x:v>
      </x:c>
      <x:c r="X319" s="476" t="str"/>
    </x:row>
    <x:row r="320">
      <x:c r="A320" t="n">
        <x:v>514</x:v>
      </x:c>
      <x:c r="B320" t="n">
        <x:v>2026</x:v>
      </x:c>
      <x:c r="C320" s="476" t="str">
        <x:v>Tapera</x:v>
      </x:c>
      <x:c r="D320" s="476" t="str">
        <x:v>Tapera</x:v>
      </x:c>
      <x:c r="E320" s="476" t="str">
        <x:v>Fundo Municipal de Saude</x:v>
      </x:c>
      <x:c r="F320" s="476" t="str">
        <x:v>41160013</x:v>
      </x:c>
      <x:c r="G320" s="476" t="str">
        <x:v>41160013-2026</x:v>
      </x:c>
      <x:c r="H320" s="476" t="str">
        <x:v>Informado/corrigido a partir do mapa</x:v>
      </x:c>
      <x:c r="I320" s="499" t="n">
        <x:v>314200</x:v>
      </x:c>
      <x:c r="J320" s="499" t="n">
        <x:v>314200</x:v>
      </x:c>
      <x:c r="K320" s="476" t="str">
        <x:v>Emenda individual</x:v>
      </x:c>
      <x:c r="L320" s="476"/>
      <x:c r="M320" s="499" t="n">
        <x:v>0</x:v>
      </x:c>
      <x:c r="N320" s="499" t="n">
        <x:v>0</x:v>
      </x:c>
      <x:c r="O320" s="499" t="n">
        <x:v>0</x:v>
      </x:c>
      <x:c r="P320" s="499" t="n">
        <x:v>0</x:v>
      </x:c>
      <x:c r="Q320" s="499" t="n">
        <x:v>0</x:v>
      </x:c>
      <x:c r="R320" s="476" t="str"/>
      <x:c r="S320" s="476" t="str"/>
      <x:c r="T320" s="476" t="str">
        <x:v>EMENDA CONFIRMADA; DESTINO NÃO CONFIRMADO</x:v>
      </x:c>
      <x:c r="U320" s="476" t="str">
        <x:v>Média</x:v>
      </x:c>
      <x:c r="V320" s="476" t="str"/>
      <x:c r="W320" s="476" t="str">
        <x:v>Nº existe no SIGA; destinatário específico não foi confirmado nas bases anexas</x:v>
      </x:c>
      <x:c r="X320" s="476" t="str"/>
    </x:row>
    <x:row r="321">
      <x:c r="A321" t="n">
        <x:v>515</x:v>
      </x:c>
      <x:c r="B321" t="n">
        <x:v>2026</x:v>
      </x:c>
      <x:c r="C321" s="476" t="str">
        <x:v>Panambi</x:v>
      </x:c>
      <x:c r="D321" s="476" t="str">
        <x:v>Empresa Brasileira de Servicos Hospitalares - Ebserh</x:v>
      </x:c>
      <x:c r="E321" s="476" t="str">
        <x:v>Fundo Municipal de Saude de Panambi</x:v>
      </x:c>
      <x:c r="F321" s="476" t="str">
        <x:v>41160003</x:v>
      </x:c>
      <x:c r="G321" s="476" t="str">
        <x:v>41160003-2026</x:v>
      </x:c>
      <x:c r="H321" s="476" t="str">
        <x:v>Informado/corrigido a partir do mapa</x:v>
      </x:c>
      <x:c r="I321" s="499" t="n">
        <x:v>317000</x:v>
      </x:c>
      <x:c r="J321" s="499" t="n">
        <x:v>317000</x:v>
      </x:c>
      <x:c r="K321" s="476" t="str">
        <x:v>Emenda individual</x:v>
      </x:c>
      <x:c r="L321" s="476"/>
      <x:c r="M321" s="499" t="n">
        <x:v>0</x:v>
      </x:c>
      <x:c r="N321" s="499" t="n">
        <x:v>0</x:v>
      </x:c>
      <x:c r="O321" s="499" t="n">
        <x:v>0</x:v>
      </x:c>
      <x:c r="P321" s="499" t="n">
        <x:v>0</x:v>
      </x:c>
      <x:c r="Q321" s="499" t="n">
        <x:v>0</x:v>
      </x:c>
      <x:c r="R321" s="476" t="str"/>
      <x:c r="S321" s="476" t="str"/>
      <x:c r="T321" s="476" t="str">
        <x:v>EMENDA CONFIRMADA; DESTINO NÃO CONFIRMADO</x:v>
      </x:c>
      <x:c r="U321" s="476" t="str">
        <x:v>Média</x:v>
      </x:c>
      <x:c r="V321" s="476" t="str"/>
      <x:c r="W321" s="476" t="str">
        <x:v>Nº existe no SIGA; destinatário específico não foi confirmado nas bases anexas</x:v>
      </x:c>
      <x:c r="X321" s="476" t="str"/>
    </x:row>
    <x:row r="322">
      <x:c r="A322" t="n">
        <x:v>516</x:v>
      </x:c>
      <x:c r="B322" t="n">
        <x:v>2020</x:v>
      </x:c>
      <x:c r="C322" s="476" t="str">
        <x:v>Vários municípios</x:v>
      </x:c>
      <x:c r="D322" s="476" t="str">
        <x:v>Brigada Militar</x:v>
      </x:c>
      <x:c r="E322" s="476" t="str">
        <x:v>Unidades da Brigada Militar em Porto Alegre, Canoas, Cruz Alta, Santa Maria, Guaíba, Santa Rosa, Osório, Santo Ângelo, Passo Fundo, Caxias do Sul, Pelotas, Montenegro, Santa Cruz do Sul, Novo Hamburgo e Lajeado.</x:v>
      </x:c>
      <x:c r="F322" s="476" t="str">
        <x:v>41160002</x:v>
      </x:c>
      <x:c r="G322" s="476" t="str">
        <x:v>41160002-2020</x:v>
      </x:c>
      <x:c r="H322" s="476" t="str">
        <x:v>Informado/corrigido a partir do mapa</x:v>
      </x:c>
      <x:c r="I322" s="499" t="n">
        <x:v>317925</x:v>
      </x:c>
      <x:c r="J322" s="499" t="n">
        <x:v>519035.33999999997</x:v>
      </x:c>
      <x:c r="K322" s="476" t="str">
        <x:v>Emenda individual</x:v>
      </x:c>
      <x:c r="L322" s="476" t="str">
        <x:v>Convênio 905241/2020 (23/12/2020).</x:v>
      </x:c>
      <x:c r="M322" s="499" t="n">
        <x:v>0</x:v>
      </x:c>
      <x:c r="N322" s="499" t="n">
        <x:v>0</x:v>
      </x:c>
      <x:c r="O322" s="499" t="n">
        <x:v>0</x:v>
      </x:c>
      <x:c r="P322" s="499" t="n">
        <x:v>0</x:v>
      </x:c>
      <x:c r="Q322" s="499" t="n">
        <x:v>0</x:v>
      </x:c>
      <x:c r="R322" s="476" t="str"/>
      <x:c r="S322" s="476" t="str"/>
      <x:c r="T322" s="476" t="str">
        <x:v>EMENDA CONFIRMADA; DESTINO NÃO CONFIRMADO</x:v>
      </x:c>
      <x:c r="U322" s="476" t="str">
        <x:v>Média</x:v>
      </x:c>
      <x:c r="V322" s="476" t="str"/>
      <x:c r="W322" s="476" t="str">
        <x:v>Nº existe no SIGA; destinatário específico não foi confirmado nas bases anexas</x:v>
      </x:c>
      <x:c r="X322" s="476" t="str"/>
    </x:row>
    <x:row r="323">
      <x:c r="A323" t="n">
        <x:v>517</x:v>
      </x:c>
      <x:c r="B323" t="n">
        <x:v>2023</x:v>
      </x:c>
      <x:c r="C323" s="476" t="str">
        <x:v>São Sepé</x:v>
      </x:c>
      <x:c r="D323" s="476" t="str">
        <x:v>Hospital</x:v>
      </x:c>
      <x:c r="E323" s="476" t="str">
        <x:v>Associação Beneficente Hospital Santo Antonio</x:v>
      </x:c>
      <x:c r="F323" s="476" t="str"/>
      <x:c r="G323" s="476" t="str">
        <x:v>41160007-2023</x:v>
      </x:c>
      <x:c r="H323" s="476" t="str">
        <x:v>Candidato — revisar (Transferegov)</x:v>
      </x:c>
      <x:c r="I323" s="499" t="n">
        <x:v>320000</x:v>
      </x:c>
      <x:c r="J323" s="499" t="n">
        <x:v>320000</x:v>
      </x:c>
      <x:c r="K323" s="476" t="str">
        <x:v>Emenda Individual</x:v>
      </x:c>
      <x:c r="L323" s="476" t="str">
        <x:v>Empenhado</x:v>
      </x:c>
      <x:c r="M323" s="499" t="n">
        <x:v>317236.18</x:v>
      </x:c>
      <x:c r="N323" s="499" t="n">
        <x:v>320000</x:v>
      </x:c>
      <x:c r="O323" s="499" t="n">
        <x:v>317236.18</x:v>
      </x:c>
      <x:c r="P323" s="499" t="n">
        <x:v>0</x:v>
      </x:c>
      <x:c r="Q323" s="499" t="n">
        <x:v>0</x:v>
      </x:c>
      <x:c r="R323" s="476" t="str"/>
      <x:c r="S323" s="476" t="str">
        <x:v>97227383000177</x:v>
      </x:c>
      <x:c r="T323" s="476" t="str">
        <x:v>VALOR DIVERGENTE / COBERTURA DIFERENTE</x:v>
      </x:c>
      <x:c r="U323" s="476" t="str">
        <x:v>Média</x:v>
      </x:c>
      <x:c r="V323" s="476" t="str">
        <x:v>Candidato de nº: 41160007; validar antes de preencher (Transferegov pode trazer valor total do instrumento); Situação possivelmente desatualizada: SIGA/execução regionalizada mostra pagamento; CNPJ candidato na fonte SIGA: 97227383000177</x:v>
      </x:c>
      <x:c r="W323" s="476" t="str">
        <x:v>nº ausente; inferido por coincidência exata de cidade e valor em Transferegov; Município/localidade encontrado em fonte comparável, mas valor não fecha exatamente</x:v>
      </x:c>
      <x:c r="X323" s="476" t="str">
        <x:v>https://discricionarias.transferegov.sistema.gov.br/voluntarias/ConsultarProposta/ResultadoDaConsultaDeConvenioSelecionarConvenio.do?sequencialConvenio=947298&amp;Usr=guest&amp;Pwd=guest</x:v>
      </x:c>
    </x:row>
    <x:row r="324">
      <x:c r="A324" t="n">
        <x:v>518</x:v>
      </x:c>
      <x:c r="B324" t="n">
        <x:v>2023</x:v>
      </x:c>
      <x:c r="C324" s="476" t="str">
        <x:v>Taquara</x:v>
      </x:c>
      <x:c r="D324" s="476" t="str">
        <x:v>Prefeitura</x:v>
      </x:c>
      <x:c r="E324" s="476" t="str">
        <x:v>Prefeitura de Taquara</x:v>
      </x:c>
      <x:c r="F324" s="476" t="str"/>
      <x:c r="G324" s="476" t="str"/>
      <x:c r="H324" s="476" t="str">
        <x:v>Sem nº conciliado</x:v>
      </x:c>
      <x:c r="I324" s="499" t="n">
        <x:v>320000</x:v>
      </x:c>
      <x:c r="J324" s="499" t="n">
        <x:v>620000</x:v>
      </x:c>
      <x:c r="K324" s="476" t="str">
        <x:v>Emenda Individual</x:v>
      </x:c>
      <x:c r="L324" s="476" t="str">
        <x:v>Empenhado</x:v>
      </x:c>
      <x:c r="M324" s="499" t="n">
        <x:v>0</x:v>
      </x:c>
      <x:c r="N324" s="499" t="n">
        <x:v>0</x:v>
      </x:c>
      <x:c r="O324" s="499" t="n">
        <x:v>0</x:v>
      </x:c>
      <x:c r="P324" s="499" t="n">
        <x:v>0</x:v>
      </x:c>
      <x:c r="Q324" s="499" t="n">
        <x:v>0</x:v>
      </x:c>
      <x:c r="R324" s="476" t="str"/>
      <x:c r="S324" s="476" t="str"/>
      <x:c r="T324" s="476" t="str">
        <x:v>SEM Nº / NÃO CONCILIADO</x:v>
      </x:c>
      <x:c r="U324" s="476" t="str">
        <x:v>Média</x:v>
      </x:c>
      <x:c r="V324" s="476" t="str"/>
      <x:c r="W324" s="476" t="str"/>
      <x:c r="X324" s="476" t="str"/>
    </x:row>
    <x:row r="325">
      <x:c r="A325" t="n">
        <x:v>519</x:v>
      </x:c>
      <x:c r="B325" t="n">
        <x:v>2025</x:v>
      </x:c>
      <x:c r="C325" s="476" t="str">
        <x:v>Lajeado</x:v>
      </x:c>
      <x:c r="D325" s="476" t="str">
        <x:v>Municipio De Lajeado Lajeado - Rs</x:v>
      </x:c>
      <x:c r="E325" s="476" t="str">
        <x:v>Prefeitura Municipal</x:v>
      </x:c>
      <x:c r="F325" s="476" t="str">
        <x:v>41160008</x:v>
      </x:c>
      <x:c r="G325" s="476" t="str">
        <x:v>41160008-2025</x:v>
      </x:c>
      <x:c r="H325" s="476" t="str">
        <x:v>Informado/corrigido a partir do mapa</x:v>
      </x:c>
      <x:c r="I325" s="499" t="n">
        <x:v>323039</x:v>
      </x:c>
      <x:c r="J325" s="499" t="n">
        <x:v>323039</x:v>
      </x:c>
      <x:c r="K325" s="476" t="str">
        <x:v>Emenda Individual</x:v>
      </x:c>
      <x:c r="L325" s="476"/>
      <x:c r="M325" s="499" t="n">
        <x:v>319808.61</x:v>
      </x:c>
      <x:c r="N325" s="499" t="n">
        <x:v>0</x:v>
      </x:c>
      <x:c r="O325" s="499" t="n">
        <x:v>0</x:v>
      </x:c>
      <x:c r="P325" s="499" t="n">
        <x:v>319808.61</x:v>
      </x:c>
      <x:c r="Q325" s="499" t="n">
        <x:v>0</x:v>
      </x:c>
      <x:c r="R325" s="476" t="str">
        <x:v>CIENTE</x:v>
      </x:c>
      <x:c r="S325" s="476" t="str">
        <x:v>87297982000103</x:v>
      </x:c>
      <x:c r="T325" s="476" t="str">
        <x:v>VALOR DIVERGENTE / COBERTURA DIFERENTE</x:v>
      </x:c>
      <x:c r="U325" s="476" t="str">
        <x:v>Média</x:v>
      </x:c>
      <x:c r="V325" s="476" t="str">
        <x:v>Revisar valor do grupo: PIX atual registra R$ 319,808.61; Atualizar situação com status do plano PIX: CIENTE (não equivale a pagamento)</x:v>
      </x:c>
      <x:c r="W325" s="476" t="str">
        <x:v>Município/localidade encontrado em fonte comparável, mas valor não fecha exatamente</x:v>
      </x:c>
      <x:c r="X325" s="476" t="str">
        <x:v>https://especiais.transferegov.sistema.gov.br/transferencia-especial/plano-acao/detalhe/83996/dados-basicos</x:v>
      </x:c>
    </x:row>
    <x:row r="326">
      <x:c r="A326" t="n">
        <x:v>520</x:v>
      </x:c>
      <x:c r="B326" t="n">
        <x:v>2026</x:v>
      </x:c>
      <x:c r="C326" s="476" t="str">
        <x:v>Sant'Ana do Livramento</x:v>
      </x:c>
      <x:c r="D326" s="476" t="str">
        <x:v>Associacao Hospital de Caridade de Santo Angelo</x:v>
      </x:c>
      <x:c r="E326" s="476" t="str">
        <x:v>Santa Casa de Misericordia</x:v>
      </x:c>
      <x:c r="F326" s="476" t="str">
        <x:v>41160003</x:v>
      </x:c>
      <x:c r="G326" s="476" t="str">
        <x:v>41160003-2026</x:v>
      </x:c>
      <x:c r="H326" s="476" t="str">
        <x:v>Informado/corrigido a partir do mapa</x:v>
      </x:c>
      <x:c r="I326" s="499" t="n">
        <x:v>323043</x:v>
      </x:c>
      <x:c r="J326" s="499" t="n">
        <x:v>323043</x:v>
      </x:c>
      <x:c r="K326" s="476" t="str">
        <x:v>Emenda individual</x:v>
      </x:c>
      <x:c r="L326" s="476"/>
      <x:c r="M326" s="499" t="n">
        <x:v>0</x:v>
      </x:c>
      <x:c r="N326" s="499" t="n">
        <x:v>323043</x:v>
      </x:c>
      <x:c r="O326" s="499" t="n">
        <x:v>0</x:v>
      </x:c>
      <x:c r="P326" s="499" t="n">
        <x:v>0</x:v>
      </x:c>
      <x:c r="Q326" s="499" t="n">
        <x:v>0</x:v>
      </x:c>
      <x:c r="R326" s="476" t="str"/>
      <x:c r="S326" s="476" t="str"/>
      <x:c r="T326" s="476" t="str">
        <x:v>DESTINO/INSTRUMENTO CONFIRMADO; VALOR NÃO COMPARÁVEL</x:v>
      </x:c>
      <x:c r="U326" s="476" t="str">
        <x:v>Média</x:v>
      </x:c>
      <x:c r="V326" s="476" t="str"/>
      <x:c r="W326" s="476" t="str">
        <x:v>Há instrumento do Transferegov para a emenda/município; valores do instrumento não foram usados como prova do valor da emenda</x:v>
      </x:c>
      <x:c r="X326" s="476" t="str">
        <x:v>https://discricionarias.transferegov.sistema.gov.br/voluntarias/ConsultarProposta/ResultadoDaConsultaDeConvenioSelecionarConvenio.do?sequencialConvenio=998244&amp;Usr=guest&amp;Pwd=guest</x:v>
      </x:c>
    </x:row>
    <x:row r="327">
      <x:c r="A327" t="n">
        <x:v>522</x:v>
      </x:c>
      <x:c r="B327" t="n">
        <x:v>2026</x:v>
      </x:c>
      <x:c r="C327" s="476" t="str">
        <x:v>Alvorada</x:v>
      </x:c>
      <x:c r="D327" s="476" t="str">
        <x:v>Hospital Sao Valentim</x:v>
      </x:c>
      <x:c r="E327" s="476" t="str">
        <x:v>Fundo Municipal de Saude de Alvorada</x:v>
      </x:c>
      <x:c r="F327" s="476" t="str">
        <x:v>41160003</x:v>
      </x:c>
      <x:c r="G327" s="476" t="str">
        <x:v>41160003-2026</x:v>
      </x:c>
      <x:c r="H327" s="476" t="str">
        <x:v>Informado/corrigido a partir do mapa</x:v>
      </x:c>
      <x:c r="I327" s="499" t="n">
        <x:v>325116</x:v>
      </x:c>
      <x:c r="J327" s="499" t="n">
        <x:v>325116</x:v>
      </x:c>
      <x:c r="K327" s="476" t="str">
        <x:v>Emenda individual</x:v>
      </x:c>
      <x:c r="L327" s="476"/>
      <x:c r="M327" s="499" t="n">
        <x:v>0</x:v>
      </x:c>
      <x:c r="N327" s="499" t="n">
        <x:v>0</x:v>
      </x:c>
      <x:c r="O327" s="499" t="n">
        <x:v>0</x:v>
      </x:c>
      <x:c r="P327" s="499" t="n">
        <x:v>0</x:v>
      </x:c>
      <x:c r="Q327" s="499" t="n">
        <x:v>0</x:v>
      </x:c>
      <x:c r="R327" s="476" t="str"/>
      <x:c r="S327" s="476" t="str"/>
      <x:c r="T327" s="476" t="str">
        <x:v>EMENDA CONFIRMADA; DESTINO NÃO CONFIRMADO</x:v>
      </x:c>
      <x:c r="U327" s="476" t="str">
        <x:v>Média</x:v>
      </x:c>
      <x:c r="V327" s="476" t="str"/>
      <x:c r="W327" s="476" t="str">
        <x:v>Nº existe no SIGA; destinatário específico não foi confirmado nas bases anexas</x:v>
      </x:c>
      <x:c r="X327" s="476" t="str"/>
    </x:row>
    <x:row r="328">
      <x:c r="A328" t="n">
        <x:v>523</x:v>
      </x:c>
      <x:c r="B328" t="n">
        <x:v>2021</x:v>
      </x:c>
      <x:c r="C328" s="476" t="str">
        <x:v>Rio Pardo</x:v>
      </x:c>
      <x:c r="D328" s="476" t="str">
        <x:v>Corpo de Bombeiros</x:v>
      </x:c>
      <x:c r="E328" s="476" t="str">
        <x:v>Corpo de Bombeiros</x:v>
      </x:c>
      <x:c r="F328" s="476" t="str">
        <x:v>71220009</x:v>
      </x:c>
      <x:c r="G328" s="476" t="str">
        <x:v>71220009-2021</x:v>
      </x:c>
      <x:c r="H328" s="476" t="str">
        <x:v>Informado/corrigido a partir do mapa</x:v>
      </x:c>
      <x:c r="I328" s="499" t="n">
        <x:v>330000</x:v>
      </x:c>
      <x:c r="J328" s="499" t="n">
        <x:v>330000</x:v>
      </x:c>
      <x:c r="K328" s="476" t="str">
        <x:v>Emenda de Bancada</x:v>
      </x:c>
      <x:c r="L328" s="476" t="str">
        <x:v>Recurso pago</x:v>
      </x:c>
      <x:c r="M328" s="499" t="n">
        <x:v>0</x:v>
      </x:c>
      <x:c r="N328" s="499" t="n">
        <x:v>0</x:v>
      </x:c>
      <x:c r="O328" s="499" t="n">
        <x:v>0</x:v>
      </x:c>
      <x:c r="P328" s="499" t="n">
        <x:v>0</x:v>
      </x:c>
      <x:c r="Q328" s="499" t="n">
        <x:v>0</x:v>
      </x:c>
      <x:c r="R328" s="476" t="str"/>
      <x:c r="S328" s="476" t="str"/>
      <x:c r="T328" s="476" t="str">
        <x:v>EMENDA CONFIRMADA; DESTINO NÃO CONFIRMADO</x:v>
      </x:c>
      <x:c r="U328" s="476" t="str">
        <x:v>Média</x:v>
      </x:c>
      <x:c r="V328" s="476" t="str"/>
      <x:c r="W328" s="476" t="str"/>
      <x:c r="X328" s="476" t="str"/>
    </x:row>
    <x:row r="329">
      <x:c r="A329" t="n">
        <x:v>524</x:v>
      </x:c>
      <x:c r="B329" t="n">
        <x:v>2023</x:v>
      </x:c>
      <x:c r="C329" s="476" t="str">
        <x:v>Erechim</x:v>
      </x:c>
      <x:c r="D329" s="476" t="str">
        <x:v>Hospital</x:v>
      </x:c>
      <x:c r="E329" s="476" t="str">
        <x:v>Fundação Hospitalar Santa Terezinha De Erechim</x:v>
      </x:c>
      <x:c r="F329" s="476" t="str"/>
      <x:c r="G329" s="476" t="str">
        <x:v>41160007-2023</x:v>
      </x:c>
      <x:c r="H329" s="476" t="str">
        <x:v>Candidato — revisar (Transferegov)</x:v>
      </x:c>
      <x:c r="I329" s="499" t="n">
        <x:v>330000</x:v>
      </x:c>
      <x:c r="J329" s="499" t="n">
        <x:v>330000</x:v>
      </x:c>
      <x:c r="K329" s="476" t="str">
        <x:v>Emenda Individual</x:v>
      </x:c>
      <x:c r="L329" s="476" t="str">
        <x:v>Empenhado</x:v>
      </x:c>
      <x:c r="M329" s="499" t="n">
        <x:v>0</x:v>
      </x:c>
      <x:c r="N329" s="499" t="n">
        <x:v>330000</x:v>
      </x:c>
      <x:c r="O329" s="499" t="n">
        <x:v>0</x:v>
      </x:c>
      <x:c r="P329" s="499" t="n">
        <x:v>0</x:v>
      </x:c>
      <x:c r="Q329" s="499" t="n">
        <x:v>0</x:v>
      </x:c>
      <x:c r="R329" s="476" t="str"/>
      <x:c r="S329" s="476" t="str"/>
      <x:c r="T329" s="476" t="str">
        <x:v>DESTINO/INSTRUMENTO CONFIRMADO; VALOR NÃO COMPARÁVEL</x:v>
      </x:c>
      <x:c r="U329" s="476" t="str">
        <x:v>Média</x:v>
      </x:c>
      <x:c r="V329" s="476" t="str">
        <x:v>Candidato de nº: 41160007; validar antes de preencher (Transferegov pode trazer valor total do instrumento)</x:v>
      </x:c>
      <x:c r="W329" s="476" t="str">
        <x:v>nº ausente; inferido por coincidência exata de cidade e valor em Transferegov; Há instrumento do Transferegov para a emenda/município; valores do instrumento não foram usados como prova do valor da emenda</x:v>
      </x:c>
      <x:c r="X329" s="476" t="str">
        <x:v>https://discricionarias.transferegov.sistema.gov.br/voluntarias/ConsultarProposta/ResultadoDaConsultaDeConvenioSelecionarConvenio.do?sequencialConvenio=944030&amp;Usr=guest&amp;Pwd=guest</x:v>
      </x:c>
    </x:row>
    <x:row r="330">
      <x:c r="A330" t="n">
        <x:v>525</x:v>
      </x:c>
      <x:c r="B330" t="n">
        <x:v>2023</x:v>
      </x:c>
      <x:c r="C330" s="476" t="str">
        <x:v>Faxinal do Soturno</x:v>
      </x:c>
      <x:c r="D330" s="476" t="str">
        <x:v>Hospital</x:v>
      </x:c>
      <x:c r="E330" s="476" t="str">
        <x:v>Hospital De Caridade São Roque</x:v>
      </x:c>
      <x:c r="F330" s="476" t="str"/>
      <x:c r="G330" s="476" t="str">
        <x:v>41160007-2023</x:v>
      </x:c>
      <x:c r="H330" s="476" t="str">
        <x:v>Candidato — revisar (Transferegov)</x:v>
      </x:c>
      <x:c r="I330" s="499" t="n">
        <x:v>330000</x:v>
      </x:c>
      <x:c r="J330" s="499" t="n">
        <x:v>330000</x:v>
      </x:c>
      <x:c r="K330" s="476" t="str">
        <x:v>Emenda Individual</x:v>
      </x:c>
      <x:c r="L330" s="476" t="str">
        <x:v>Empenhado</x:v>
      </x:c>
      <x:c r="M330" s="499" t="n">
        <x:v>254100</x:v>
      </x:c>
      <x:c r="N330" s="499" t="n">
        <x:v>330000</x:v>
      </x:c>
      <x:c r="O330" s="499" t="n">
        <x:v>254100</x:v>
      </x:c>
      <x:c r="P330" s="499" t="n">
        <x:v>0</x:v>
      </x:c>
      <x:c r="Q330" s="499" t="n">
        <x:v>0</x:v>
      </x:c>
      <x:c r="R330" s="476" t="str"/>
      <x:c r="S330" s="476" t="str">
        <x:v>89891337000140</x:v>
      </x:c>
      <x:c r="T330" s="476" t="str">
        <x:v>VALOR DIVERGENTE / COBERTURA DIFERENTE</x:v>
      </x:c>
      <x:c r="U330" s="476" t="str">
        <x:v>Média</x:v>
      </x:c>
      <x:c r="V330" s="476" t="str">
        <x:v>Candidato de nº: 41160007; validar antes de preencher (Transferegov pode trazer valor total do instrumento); Situação possivelmente desatualizada: SIGA/execução regionalizada mostra pagamento; CNPJ candidato na fonte SIGA: 89891337000140</x:v>
      </x:c>
      <x:c r="W330" s="476" t="str">
        <x:v>nº ausente; inferido por coincidência exata de cidade e valor em Transferegov; Município/localidade encontrado em fonte comparável, mas valor não fecha exatamente</x:v>
      </x:c>
      <x:c r="X330" s="476" t="str">
        <x:v>https://discricionarias.transferegov.sistema.gov.br/voluntarias/ConsultarProposta/ResultadoDaConsultaDeConvenioSelecionarConvenio.do?sequencialConvenio=947111&amp;Usr=guest&amp;Pwd=guest</x:v>
      </x:c>
    </x:row>
    <x:row r="331">
      <x:c r="A331" t="n">
        <x:v>526</x:v>
      </x:c>
      <x:c r="B331" t="n">
        <x:v>2021</x:v>
      </x:c>
      <x:c r="C331" s="476" t="str">
        <x:v>Flores da Cunha</x:v>
      </x:c>
      <x:c r="D331" s="476" t="str">
        <x:v>Corpo de Bombeiros</x:v>
      </x:c>
      <x:c r="E331" s="476" t="str">
        <x:v>Corpo de Bombeiros de Flores da Cunha</x:v>
      </x:c>
      <x:c r="F331" s="476" t="str">
        <x:v>41160001</x:v>
      </x:c>
      <x:c r="G331" s="476" t="str">
        <x:v>41160001-2021</x:v>
      </x:c>
      <x:c r="H331" s="476" t="str">
        <x:v>Informado/corrigido a partir do mapa</x:v>
      </x:c>
      <x:c r="I331" s="499" t="n">
        <x:v>333333</x:v>
      </x:c>
      <x:c r="J331" s="499" t="n">
        <x:v>333333</x:v>
      </x:c>
      <x:c r="K331" s="476" t="str">
        <x:v>Emenda individual</x:v>
      </x:c>
      <x:c r="L331" s="476" t="str">
        <x:v>Recurso pago</x:v>
      </x:c>
      <x:c r="M331" s="499" t="n">
        <x:v>0</x:v>
      </x:c>
      <x:c r="N331" s="499" t="n">
        <x:v>0</x:v>
      </x:c>
      <x:c r="O331" s="499" t="n">
        <x:v>0</x:v>
      </x:c>
      <x:c r="P331" s="499" t="n">
        <x:v>0</x:v>
      </x:c>
      <x:c r="Q331" s="499" t="n">
        <x:v>0</x:v>
      </x:c>
      <x:c r="R331" s="476" t="str"/>
      <x:c r="S331" s="476" t="str"/>
      <x:c r="T331" s="476" t="str">
        <x:v>EMENDA CONFIRMADA; DESTINO NÃO CONFIRMADO</x:v>
      </x:c>
      <x:c r="U331" s="476" t="str">
        <x:v>Média</x:v>
      </x:c>
      <x:c r="V331" s="476" t="str"/>
      <x:c r="W331" s="476" t="str">
        <x:v>Nº existe no SIGA; destinatário específico não foi confirmado nas bases anexas</x:v>
      </x:c>
      <x:c r="X331" s="476" t="str"/>
    </x:row>
    <x:row r="332">
      <x:c r="A332" t="n">
        <x:v>527</x:v>
      </x:c>
      <x:c r="B332" t="n">
        <x:v>2021</x:v>
      </x:c>
      <x:c r="C332" s="476" t="str">
        <x:v>Giruá</x:v>
      </x:c>
      <x:c r="D332" s="476" t="str">
        <x:v>Corpo de Bombeiros</x:v>
      </x:c>
      <x:c r="E332" s="476" t="str">
        <x:v>Corpo de Bombeiros de Giruá</x:v>
      </x:c>
      <x:c r="F332" s="476" t="str">
        <x:v>41160001</x:v>
      </x:c>
      <x:c r="G332" s="476" t="str">
        <x:v>41160001-2021</x:v>
      </x:c>
      <x:c r="H332" s="476" t="str">
        <x:v>Informado/corrigido a partir do mapa</x:v>
      </x:c>
      <x:c r="I332" s="499" t="n">
        <x:v>333333</x:v>
      </x:c>
      <x:c r="J332" s="499" t="n">
        <x:v>333333</x:v>
      </x:c>
      <x:c r="K332" s="476" t="str">
        <x:v>Emenda individual</x:v>
      </x:c>
      <x:c r="L332" s="476" t="str">
        <x:v>Recurso pago</x:v>
      </x:c>
      <x:c r="M332" s="499" t="n">
        <x:v>0</x:v>
      </x:c>
      <x:c r="N332" s="499" t="n">
        <x:v>0</x:v>
      </x:c>
      <x:c r="O332" s="499" t="n">
        <x:v>0</x:v>
      </x:c>
      <x:c r="P332" s="499" t="n">
        <x:v>0</x:v>
      </x:c>
      <x:c r="Q332" s="499" t="n">
        <x:v>0</x:v>
      </x:c>
      <x:c r="R332" s="476" t="str"/>
      <x:c r="S332" s="476" t="str"/>
      <x:c r="T332" s="476" t="str">
        <x:v>EMENDA CONFIRMADA; DESTINO NÃO CONFIRMADO</x:v>
      </x:c>
      <x:c r="U332" s="476" t="str">
        <x:v>Média</x:v>
      </x:c>
      <x:c r="V332" s="476" t="str"/>
      <x:c r="W332" s="476" t="str">
        <x:v>Nº existe no SIGA; destinatário específico não foi confirmado nas bases anexas</x:v>
      </x:c>
      <x:c r="X332" s="476" t="str"/>
    </x:row>
    <x:row r="333">
      <x:c r="A333" t="n">
        <x:v>528</x:v>
      </x:c>
      <x:c r="B333" t="n">
        <x:v>2021</x:v>
      </x:c>
      <x:c r="C333" s="476" t="str">
        <x:v>Ivoti</x:v>
      </x:c>
      <x:c r="D333" s="476" t="str">
        <x:v>Corpo de Bombeiros</x:v>
      </x:c>
      <x:c r="E333" s="476" t="str">
        <x:v>Corpo de Bombeiros de Ivoti</x:v>
      </x:c>
      <x:c r="F333" s="476" t="str">
        <x:v>41160001</x:v>
      </x:c>
      <x:c r="G333" s="476" t="str">
        <x:v>41160001-2021</x:v>
      </x:c>
      <x:c r="H333" s="476" t="str">
        <x:v>Informado/corrigido a partir do mapa</x:v>
      </x:c>
      <x:c r="I333" s="499" t="n">
        <x:v>333333</x:v>
      </x:c>
      <x:c r="J333" s="499" t="n">
        <x:v>333333</x:v>
      </x:c>
      <x:c r="K333" s="476" t="str">
        <x:v>Emenda individual</x:v>
      </x:c>
      <x:c r="L333" s="476" t="str">
        <x:v>Recurso pago</x:v>
      </x:c>
      <x:c r="M333" s="499" t="n">
        <x:v>0</x:v>
      </x:c>
      <x:c r="N333" s="499" t="n">
        <x:v>0</x:v>
      </x:c>
      <x:c r="O333" s="499" t="n">
        <x:v>0</x:v>
      </x:c>
      <x:c r="P333" s="499" t="n">
        <x:v>0</x:v>
      </x:c>
      <x:c r="Q333" s="499" t="n">
        <x:v>0</x:v>
      </x:c>
      <x:c r="R333" s="476" t="str"/>
      <x:c r="S333" s="476" t="str"/>
      <x:c r="T333" s="476" t="str">
        <x:v>EMENDA CONFIRMADA; DESTINO NÃO CONFIRMADO</x:v>
      </x:c>
      <x:c r="U333" s="476" t="str">
        <x:v>Média</x:v>
      </x:c>
      <x:c r="V333" s="476" t="str"/>
      <x:c r="W333" s="476" t="str">
        <x:v>Nº existe no SIGA; destinatário específico não foi confirmado nas bases anexas</x:v>
      </x:c>
      <x:c r="X333" s="476" t="str"/>
    </x:row>
    <x:row r="334">
      <x:c r="A334" t="n">
        <x:v>529</x:v>
      </x:c>
      <x:c r="B334" t="n">
        <x:v>2023</x:v>
      </x:c>
      <x:c r="C334" s="476" t="str">
        <x:v>Rio Grande</x:v>
      </x:c>
      <x:c r="D334" s="476" t="str">
        <x:v>Fundo Naval</x:v>
      </x:c>
      <x:c r="E334" s="476" t="str">
        <x:v>Fundo Naval</x:v>
      </x:c>
      <x:c r="F334" s="476" t="str">
        <x:v>41160009</x:v>
      </x:c>
      <x:c r="G334" s="476" t="str">
        <x:v>41160009-2023</x:v>
      </x:c>
      <x:c r="H334" s="476" t="str">
        <x:v>Informado/corrigido a partir do mapa</x:v>
      </x:c>
      <x:c r="I334" s="499" t="n">
        <x:v>333800</x:v>
      </x:c>
      <x:c r="J334" s="499" t="n">
        <x:v>335000</x:v>
      </x:c>
      <x:c r="K334" s="476" t="str">
        <x:v>Emenda Individual</x:v>
      </x:c>
      <x:c r="L334" s="476" t="str">
        <x:v>Recurso pago</x:v>
      </x:c>
      <x:c r="M334" s="499" t="n">
        <x:v>0</x:v>
      </x:c>
      <x:c r="N334" s="499" t="n">
        <x:v>0</x:v>
      </x:c>
      <x:c r="O334" s="499" t="n">
        <x:v>0</x:v>
      </x:c>
      <x:c r="P334" s="499" t="n">
        <x:v>0</x:v>
      </x:c>
      <x:c r="Q334" s="499" t="n">
        <x:v>0</x:v>
      </x:c>
      <x:c r="R334" s="476" t="str"/>
      <x:c r="S334" s="476" t="str"/>
      <x:c r="T334" s="476" t="str">
        <x:v>EMENDA CONFIRMADA; DESTINO NÃO CONFIRMADO</x:v>
      </x:c>
      <x:c r="U334" s="476" t="str">
        <x:v>Média</x:v>
      </x:c>
      <x:c r="V334" s="476" t="str"/>
      <x:c r="W334" s="476" t="str">
        <x:v>Nº existe no SIGA; destinatário específico não foi confirmado nas bases anexas</x:v>
      </x:c>
      <x:c r="X334" s="476" t="str"/>
    </x:row>
    <x:row r="335">
      <x:c r="A335" t="n">
        <x:v>530</x:v>
      </x:c>
      <x:c r="B335" t="n">
        <x:v>2023</x:v>
      </x:c>
      <x:c r="C335" s="476"/>
      <x:c r="D335" s="476"/>
      <x:c r="E335" s="476" t="str">
        <x:v>Marinha do Brasil</x:v>
      </x:c>
      <x:c r="F335" s="476" t="str">
        <x:v>41160009</x:v>
      </x:c>
      <x:c r="G335" s="476" t="str">
        <x:v>41160009-2023</x:v>
      </x:c>
      <x:c r="H335" s="476" t="str">
        <x:v>Informado/corrigido a partir do mapa</x:v>
      </x:c>
      <x:c r="I335" s="499" t="n">
        <x:v>335000</x:v>
      </x:c>
      <x:c r="J335" s="499" t="n">
        <x:v>335000</x:v>
      </x:c>
      <x:c r="K335" s="476"/>
      <x:c r="L335" s="476" t="str">
        <x:v>PAGO</x:v>
      </x:c>
      <x:c r="M335" s="499" t="n">
        <x:v>0</x:v>
      </x:c>
      <x:c r="N335" s="499" t="n">
        <x:v>0</x:v>
      </x:c>
      <x:c r="O335" s="499" t="n">
        <x:v>0</x:v>
      </x:c>
      <x:c r="P335" s="499" t="n">
        <x:v>0</x:v>
      </x:c>
      <x:c r="Q335" s="499" t="n">
        <x:v>0</x:v>
      </x:c>
      <x:c r="R335" s="476" t="str"/>
      <x:c r="S335" s="476" t="str"/>
      <x:c r="T335" s="476" t="str">
        <x:v>EMENDA CONFIRMADA; DESTINO NÃO CONFIRMADO</x:v>
      </x:c>
      <x:c r="U335" s="476" t="str">
        <x:v>Média</x:v>
      </x:c>
      <x:c r="V335" s="476" t="str"/>
      <x:c r="W335" s="476" t="str">
        <x:v>Nº existe no SIGA; destinatário específico não foi confirmado nas bases anexas</x:v>
      </x:c>
      <x:c r="X335" s="476" t="str"/>
    </x:row>
    <x:row r="336">
      <x:c r="A336" t="n">
        <x:v>531</x:v>
      </x:c>
      <x:c r="B336" t="n">
        <x:v>2023</x:v>
      </x:c>
      <x:c r="C336" s="476" t="str">
        <x:v>Ivoti</x:v>
      </x:c>
      <x:c r="D336" s="476" t="str">
        <x:v>Hospital</x:v>
      </x:c>
      <x:c r="E336" s="476" t="str">
        <x:v>Hospital Sao Jose De Ivoti</x:v>
      </x:c>
      <x:c r="F336" s="476" t="str"/>
      <x:c r="G336" s="476" t="str"/>
      <x:c r="H336" s="476" t="str">
        <x:v>Sem nº conciliado</x:v>
      </x:c>
      <x:c r="I336" s="499" t="n">
        <x:v>340000</x:v>
      </x:c>
      <x:c r="J336" s="499" t="n">
        <x:v>540000</x:v>
      </x:c>
      <x:c r="K336" s="476" t="str">
        <x:v>Emenda Individual</x:v>
      </x:c>
      <x:c r="L336" s="476" t="str">
        <x:v>Empenhado</x:v>
      </x:c>
      <x:c r="M336" s="499" t="n">
        <x:v>0</x:v>
      </x:c>
      <x:c r="N336" s="499" t="n">
        <x:v>0</x:v>
      </x:c>
      <x:c r="O336" s="499" t="n">
        <x:v>0</x:v>
      </x:c>
      <x:c r="P336" s="499" t="n">
        <x:v>0</x:v>
      </x:c>
      <x:c r="Q336" s="499" t="n">
        <x:v>0</x:v>
      </x:c>
      <x:c r="R336" s="476" t="str"/>
      <x:c r="S336" s="476" t="str"/>
      <x:c r="T336" s="476" t="str">
        <x:v>SEM Nº / NÃO CONCILIADO</x:v>
      </x:c>
      <x:c r="U336" s="476" t="str">
        <x:v>Média</x:v>
      </x:c>
      <x:c r="V336" s="476" t="str"/>
      <x:c r="W336" s="476" t="str"/>
      <x:c r="X336" s="476" t="str"/>
    </x:row>
    <x:row r="337">
      <x:c r="A337" t="n">
        <x:v>532</x:v>
      </x:c>
      <x:c r="B337" t="n">
        <x:v>2025</x:v>
      </x:c>
      <x:c r="C337" s="476" t="str">
        <x:v>Paraíso do Sul</x:v>
      </x:c>
      <x:c r="D337" s="476" t="str">
        <x:v>Fundo Municipal De Saude Paraíso Do Sul - Rs</x:v>
      </x:c>
      <x:c r="E337" s="476" t="str">
        <x:v>Prefeitura Municipal</x:v>
      </x:c>
      <x:c r="F337" s="476" t="str">
        <x:v>41160004</x:v>
      </x:c>
      <x:c r="G337" s="476" t="str">
        <x:v>41160004-2025</x:v>
      </x:c>
      <x:c r="H337" s="476" t="str">
        <x:v>Informado/corrigido a partir do mapa</x:v>
      </x:c>
      <x:c r="I337" s="499" t="n">
        <x:v>340000</x:v>
      </x:c>
      <x:c r="J337" s="499" t="n">
        <x:v>340000</x:v>
      </x:c>
      <x:c r="K337" s="476" t="str">
        <x:v>Emenda Individual</x:v>
      </x:c>
      <x:c r="L337" s="476"/>
      <x:c r="M337" s="499" t="n">
        <x:v>314200</x:v>
      </x:c>
      <x:c r="N337" s="499" t="n">
        <x:v>0</x:v>
      </x:c>
      <x:c r="O337" s="499" t="n">
        <x:v>0</x:v>
      </x:c>
      <x:c r="P337" s="499" t="n">
        <x:v>0</x:v>
      </x:c>
      <x:c r="Q337" s="499" t="n">
        <x:v>0</x:v>
      </x:c>
      <x:c r="R337" s="476" t="str"/>
      <x:c r="S337" s="476" t="str">
        <x:v>12991728000101</x:v>
      </x:c>
      <x:c r="T337" s="476" t="str">
        <x:v>VALOR DIVERGENTE / COBERTURA DIFERENTE</x:v>
      </x:c>
      <x:c r="U337" s="476" t="str">
        <x:v>Média</x:v>
      </x:c>
      <x:c r="V337" s="476" t="str">
        <x:v>Preencher situação: há pagamento identificado na fonte pública</x:v>
      </x:c>
      <x:c r="W337" s="476" t="str">
        <x:v>Município/localidade encontrado em fonte comparável, mas valor não fecha exatamente</x:v>
      </x:c>
      <x:c r="X337" s="476" t="str"/>
    </x:row>
    <x:row r="338">
      <x:c r="A338" t="n">
        <x:v>534</x:v>
      </x:c>
      <x:c r="B338" t="n">
        <x:v>2022</x:v>
      </x:c>
      <x:c r="C338" s="476" t="str">
        <x:v>Bagé</x:v>
      </x:c>
      <x:c r="D338" s="476" t="str">
        <x:v>Fundação Universidade Federal do Pampa</x:v>
      </x:c>
      <x:c r="E338" s="476" t="str">
        <x:v>Fundação Universidade Federal do Pampa</x:v>
      </x:c>
      <x:c r="F338" s="476" t="str">
        <x:v>41160004</x:v>
      </x:c>
      <x:c r="G338" s="476" t="str">
        <x:v>41160004-2022</x:v>
      </x:c>
      <x:c r="H338" s="476" t="str">
        <x:v>Informado/corrigido a partir do mapa</x:v>
      </x:c>
      <x:c r="I338" s="499" t="n">
        <x:v>350000</x:v>
      </x:c>
      <x:c r="J338" s="499" t="n">
        <x:v>350000</x:v>
      </x:c>
      <x:c r="K338" s="476" t="str">
        <x:v>Emenda Individual </x:v>
      </x:c>
      <x:c r="L338" s="476" t="str">
        <x:v>Recurso pago parcialmente: R$ 228.332,35.</x:v>
      </x:c>
      <x:c r="M338" s="499" t="n">
        <x:v>0</x:v>
      </x:c>
      <x:c r="N338" s="499" t="n">
        <x:v>0</x:v>
      </x:c>
      <x:c r="O338" s="499" t="n">
        <x:v>0</x:v>
      </x:c>
      <x:c r="P338" s="499" t="n">
        <x:v>0</x:v>
      </x:c>
      <x:c r="Q338" s="499" t="n">
        <x:v>0</x:v>
      </x:c>
      <x:c r="R338" s="476" t="str"/>
      <x:c r="S338" s="476" t="str"/>
      <x:c r="T338" s="476" t="str">
        <x:v>EMENDA CONFIRMADA; DESTINO NÃO CONFIRMADO</x:v>
      </x:c>
      <x:c r="U338" s="476" t="str">
        <x:v>Média</x:v>
      </x:c>
      <x:c r="V338" s="476" t="str"/>
      <x:c r="W338" s="476" t="str">
        <x:v>Nº existe no SIGA; destinatário específico não foi confirmado nas bases anexas</x:v>
      </x:c>
      <x:c r="X338" s="476" t="str"/>
    </x:row>
    <x:row r="339">
      <x:c r="A339" t="n">
        <x:v>535</x:v>
      </x:c>
      <x:c r="B339" t="n">
        <x:v>2022</x:v>
      </x:c>
      <x:c r="C339" s="476" t="str">
        <x:v>Caxias do sul</x:v>
      </x:c>
      <x:c r="D339" s="476" t="str">
        <x:v>Hospital</x:v>
      </x:c>
      <x:c r="E339" s="476" t="str">
        <x:v>Hospital Geral de Caxias do Sul</x:v>
      </x:c>
      <x:c r="F339" s="476" t="str">
        <x:v>7120004</x:v>
      </x:c>
      <x:c r="G339" s="476" t="str">
        <x:v>7120004-2022</x:v>
      </x:c>
      <x:c r="H339" s="476" t="str">
        <x:v>Informado/corrigido a partir do mapa</x:v>
      </x:c>
      <x:c r="I339" s="499" t="n">
        <x:v>350000</x:v>
      </x:c>
      <x:c r="J339" s="499" t="n">
        <x:v>350000</x:v>
      </x:c>
      <x:c r="K339" s="476" t="str">
        <x:v>Emenda de bancada (processo seletivo)</x:v>
      </x:c>
      <x:c r="L339" s="476" t="str">
        <x:v>Recurso pago</x:v>
      </x:c>
      <x:c r="M339" s="499" t="n">
        <x:v>0</x:v>
      </x:c>
      <x:c r="N339" s="499" t="n">
        <x:v>0</x:v>
      </x:c>
      <x:c r="O339" s="499" t="n">
        <x:v>0</x:v>
      </x:c>
      <x:c r="P339" s="499" t="n">
        <x:v>0</x:v>
      </x:c>
      <x:c r="Q339" s="499" t="n">
        <x:v>0</x:v>
      </x:c>
      <x:c r="R339" s="476" t="str"/>
      <x:c r="S339" s="476" t="str"/>
      <x:c r="T339" s="476" t="str">
        <x:v>Nº NÃO LOCALIZADO</x:v>
      </x:c>
      <x:c r="U339" s="476" t="str">
        <x:v>Média</x:v>
      </x:c>
      <x:c r="V339" s="476" t="str"/>
      <x:c r="W339" s="476" t="str"/>
      <x:c r="X339" s="476" t="str"/>
    </x:row>
    <x:row r="340">
      <x:c r="A340" t="n">
        <x:v>536</x:v>
      </x:c>
      <x:c r="B340" t="n">
        <x:v>2022</x:v>
      </x:c>
      <x:c r="C340" s="476" t="str">
        <x:v>Porto Alegre</x:v>
      </x:c>
      <x:c r="D340" s="476" t="str">
        <x:v>Universidade Federal do Rio Grande Do Sul</x:v>
      </x:c>
      <x:c r="E340" s="476" t="str">
        <x:v>Universidade Federal do Rio Grande Do Sul</x:v>
      </x:c>
      <x:c r="F340" s="476" t="str">
        <x:v>41160006</x:v>
      </x:c>
      <x:c r="G340" s="476" t="str">
        <x:v>41160006-2022</x:v>
      </x:c>
      <x:c r="H340" s="476" t="str">
        <x:v>Informado/corrigido a partir do mapa</x:v>
      </x:c>
      <x:c r="I340" s="499" t="n">
        <x:v>350000</x:v>
      </x:c>
      <x:c r="J340" s="499" t="n">
        <x:v>350000</x:v>
      </x:c>
      <x:c r="K340" s="476" t="str">
        <x:v>Emenda Individual </x:v>
      </x:c>
      <x:c r="L340" s="476" t="str">
        <x:v>Recurso pago</x:v>
      </x:c>
      <x:c r="M340" s="499" t="n">
        <x:v>0</x:v>
      </x:c>
      <x:c r="N340" s="499" t="n">
        <x:v>0</x:v>
      </x:c>
      <x:c r="O340" s="499" t="n">
        <x:v>0</x:v>
      </x:c>
      <x:c r="P340" s="499" t="n">
        <x:v>0</x:v>
      </x:c>
      <x:c r="Q340" s="499" t="n">
        <x:v>0</x:v>
      </x:c>
      <x:c r="R340" s="476" t="str"/>
      <x:c r="S340" s="476" t="str"/>
      <x:c r="T340" s="476" t="str">
        <x:v>EMENDA CONFIRMADA; DESTINO NÃO CONFIRMADO</x:v>
      </x:c>
      <x:c r="U340" s="476" t="str">
        <x:v>Média</x:v>
      </x:c>
      <x:c r="V340" s="476" t="str"/>
      <x:c r="W340" s="476" t="str">
        <x:v>Nº existe no SIGA; destinatário específico não foi confirmado nas bases anexas</x:v>
      </x:c>
      <x:c r="X340" s="476" t="str"/>
    </x:row>
    <x:row r="341">
      <x:c r="A341" t="n">
        <x:v>537</x:v>
      </x:c>
      <x:c r="B341" t="n">
        <x:v>2022</x:v>
      </x:c>
      <x:c r="C341" s="476" t="str">
        <x:v>Rio Grande</x:v>
      </x:c>
      <x:c r="D341" s="476" t="str">
        <x:v>Comando da Marinha Rio Grande</x:v>
      </x:c>
      <x:c r="E341" s="476" t="str">
        <x:v>Marinha do Brasil</x:v>
      </x:c>
      <x:c r="F341" s="476" t="str">
        <x:v>41160010</x:v>
      </x:c>
      <x:c r="G341" s="476" t="str">
        <x:v>41160010-2022</x:v>
      </x:c>
      <x:c r="H341" s="476" t="str">
        <x:v>Informado/corrigido a partir do mapa</x:v>
      </x:c>
      <x:c r="I341" s="499" t="n">
        <x:v>350000</x:v>
      </x:c>
      <x:c r="J341" s="499" t="n">
        <x:v>350000</x:v>
      </x:c>
      <x:c r="K341" s="476" t="str">
        <x:v>Emenda Individual </x:v>
      </x:c>
      <x:c r="L341" s="476" t="str">
        <x:v>Recurso pago</x:v>
      </x:c>
      <x:c r="M341" s="499" t="n">
        <x:v>0</x:v>
      </x:c>
      <x:c r="N341" s="499" t="n">
        <x:v>0</x:v>
      </x:c>
      <x:c r="O341" s="499" t="n">
        <x:v>0</x:v>
      </x:c>
      <x:c r="P341" s="499" t="n">
        <x:v>0</x:v>
      </x:c>
      <x:c r="Q341" s="499" t="n">
        <x:v>0</x:v>
      </x:c>
      <x:c r="R341" s="476" t="str"/>
      <x:c r="S341" s="476" t="str"/>
      <x:c r="T341" s="476" t="str">
        <x:v>EMENDA CONFIRMADA; DESTINO NÃO CONFIRMADO</x:v>
      </x:c>
      <x:c r="U341" s="476" t="str">
        <x:v>Média</x:v>
      </x:c>
      <x:c r="V341" s="476" t="str"/>
      <x:c r="W341" s="476" t="str">
        <x:v>Nº existe no SIGA; destinatário específico não foi confirmado nas bases anexas</x:v>
      </x:c>
      <x:c r="X341" s="476" t="str"/>
    </x:row>
    <x:row r="342">
      <x:c r="A342" t="n">
        <x:v>539</x:v>
      </x:c>
      <x:c r="B342" t="n">
        <x:v>2024</x:v>
      </x:c>
      <x:c r="C342" s="476" t="str">
        <x:v>Caxias do Sul</x:v>
      </x:c>
      <x:c r="D342" s="476" t="str">
        <x:v>Prefeitura Municipal de Caxias do Sul</x:v>
      </x:c>
      <x:c r="E342" s="476" t="str">
        <x:v>Prefeitura Municipal</x:v>
      </x:c>
      <x:c r="F342" s="476" t="str">
        <x:v>41160004</x:v>
      </x:c>
      <x:c r="G342" s="476" t="str">
        <x:v>41160004-2024</x:v>
      </x:c>
      <x:c r="H342" s="476" t="str">
        <x:v>Informado/corrigido a partir do mapa</x:v>
      </x:c>
      <x:c r="I342" s="499" t="n">
        <x:v>350000</x:v>
      </x:c>
      <x:c r="J342" s="499" t="n">
        <x:v>980000</x:v>
      </x:c>
      <x:c r="K342" s="476" t="str">
        <x:v>Emenda Individual</x:v>
      </x:c>
      <x:c r="L342" s="476"/>
      <x:c r="M342" s="499" t="n">
        <x:v>863274.46</x:v>
      </x:c>
      <x:c r="N342" s="499" t="n">
        <x:v>630000</x:v>
      </x:c>
      <x:c r="O342" s="499" t="n">
        <x:v>513274.46</x:v>
      </x:c>
      <x:c r="P342" s="499" t="n">
        <x:v>0</x:v>
      </x:c>
      <x:c r="Q342" s="499" t="n">
        <x:v>0</x:v>
      </x:c>
      <x:c r="R342" s="476" t="str"/>
      <x:c r="S342" s="476" t="str">
        <x:v>10546325000128, 88665914000112</x:v>
      </x:c>
      <x:c r="T342" s="476" t="str">
        <x:v>VALOR DIVERGENTE / COBERTURA DIFERENTE</x:v>
      </x:c>
      <x:c r="U342" s="476" t="str">
        <x:v>Alta</x:v>
      </x:c>
      <x:c r="V342" s="476" t="str">
        <x:v>Preencher situação: há pagamento identificado na fonte pública</x:v>
      </x:c>
      <x:c r="W342" s="476" t="str">
        <x:v>Município/localidade encontrado em fonte comparável, mas valor não fecha exatamente</x:v>
      </x:c>
      <x:c r="X342" s="476" t="str">
        <x:v>https://discricionarias.transferegov.sistema.gov.br/voluntarias/ConsultarProposta/ResultadoDaConsultaDeConvenioSelecionarConvenio.do?sequencialConvenio=970376&amp;Usr=guest&amp;Pwd=guest</x:v>
      </x:c>
    </x:row>
    <x:row r="343">
      <x:c r="A343" t="n">
        <x:v>540</x:v>
      </x:c>
      <x:c r="B343" t="n">
        <x:v>2023</x:v>
      </x:c>
      <x:c r="C343" s="476" t="str">
        <x:v>Dom Pedrito</x:v>
      </x:c>
      <x:c r="D343" s="476" t="str">
        <x:v>Prefeitura</x:v>
      </x:c>
      <x:c r="E343" s="476" t="str">
        <x:v>Prefeitura de Dom Pedrito</x:v>
      </x:c>
      <x:c r="F343" s="476" t="str"/>
      <x:c r="G343" s="476" t="str"/>
      <x:c r="H343" s="476" t="str">
        <x:v>Sem nº conciliado</x:v>
      </x:c>
      <x:c r="I343" s="499" t="n">
        <x:v>352000</x:v>
      </x:c>
      <x:c r="J343" s="499" t="n">
        <x:v>352000</x:v>
      </x:c>
      <x:c r="K343" s="476" t="str">
        <x:v>Emenda Individual</x:v>
      </x:c>
      <x:c r="L343" s="476" t="str">
        <x:v>Empenhado</x:v>
      </x:c>
      <x:c r="M343" s="499" t="n">
        <x:v>0</x:v>
      </x:c>
      <x:c r="N343" s="499" t="n">
        <x:v>0</x:v>
      </x:c>
      <x:c r="O343" s="499" t="n">
        <x:v>0</x:v>
      </x:c>
      <x:c r="P343" s="499" t="n">
        <x:v>0</x:v>
      </x:c>
      <x:c r="Q343" s="499" t="n">
        <x:v>0</x:v>
      </x:c>
      <x:c r="R343" s="476" t="str"/>
      <x:c r="S343" s="476" t="str"/>
      <x:c r="T343" s="476" t="str">
        <x:v>SEM Nº / NÃO CONCILIADO</x:v>
      </x:c>
      <x:c r="U343" s="476" t="str">
        <x:v>Média</x:v>
      </x:c>
      <x:c r="V343" s="476" t="str"/>
      <x:c r="W343" s="476" t="str"/>
      <x:c r="X343" s="476" t="str"/>
    </x:row>
    <x:row r="344">
      <x:c r="A344" t="n">
        <x:v>541</x:v>
      </x:c>
      <x:c r="B344" t="n">
        <x:v>2023</x:v>
      </x:c>
      <x:c r="C344" s="476" t="str">
        <x:v>Pareci Novo</x:v>
      </x:c>
      <x:c r="D344" s="476" t="str">
        <x:v>Prefeitura</x:v>
      </x:c>
      <x:c r="E344" s="476" t="str">
        <x:v>Prefeitura de Pareci Novo</x:v>
      </x:c>
      <x:c r="F344" s="476" t="str"/>
      <x:c r="G344" s="476" t="str"/>
      <x:c r="H344" s="476" t="str">
        <x:v>Sem nº conciliado</x:v>
      </x:c>
      <x:c r="I344" s="499" t="n">
        <x:v>352000</x:v>
      </x:c>
      <x:c r="J344" s="499" t="n">
        <x:v>352000</x:v>
      </x:c>
      <x:c r="K344" s="476" t="str">
        <x:v>Emenda Individual</x:v>
      </x:c>
      <x:c r="L344" s="476" t="str">
        <x:v>Empenhado</x:v>
      </x:c>
      <x:c r="M344" s="499" t="n">
        <x:v>0</x:v>
      </x:c>
      <x:c r="N344" s="499" t="n">
        <x:v>0</x:v>
      </x:c>
      <x:c r="O344" s="499" t="n">
        <x:v>0</x:v>
      </x:c>
      <x:c r="P344" s="499" t="n">
        <x:v>0</x:v>
      </x:c>
      <x:c r="Q344" s="499" t="n">
        <x:v>0</x:v>
      </x:c>
      <x:c r="R344" s="476" t="str"/>
      <x:c r="S344" s="476" t="str"/>
      <x:c r="T344" s="476" t="str">
        <x:v>SEM Nº / NÃO CONCILIADO</x:v>
      </x:c>
      <x:c r="U344" s="476" t="str">
        <x:v>Média</x:v>
      </x:c>
      <x:c r="V344" s="476" t="str"/>
      <x:c r="W344" s="476" t="str"/>
      <x:c r="X344" s="476" t="str"/>
    </x:row>
    <x:row r="345">
      <x:c r="A345" t="n">
        <x:v>542</x:v>
      </x:c>
      <x:c r="B345" t="n">
        <x:v>2025</x:v>
      </x:c>
      <x:c r="C345" s="476" t="str">
        <x:v>Alegrete</x:v>
      </x:c>
      <x:c r="D345" s="476" t="str">
        <x:v>Irmandade Da Santa Casa De Caridade De Alegrete Alegrete - Rs</x:v>
      </x:c>
      <x:c r="E345" s="476" t="str">
        <x:v>Irmandade Da Santa Casa De Caridade De Alegrete Alegrete - Rs</x:v>
      </x:c>
      <x:c r="F345" s="476" t="str">
        <x:v>41160004</x:v>
      </x:c>
      <x:c r="G345" s="476" t="str">
        <x:v>41160004-2025</x:v>
      </x:c>
      <x:c r="H345" s="476" t="str">
        <x:v>Informado/corrigido a partir do mapa</x:v>
      </x:c>
      <x:c r="I345" s="499" t="n">
        <x:v>355411</x:v>
      </x:c>
      <x:c r="J345" s="499" t="n">
        <x:v>355411</x:v>
      </x:c>
      <x:c r="K345" s="476" t="str">
        <x:v>Emenda Individual</x:v>
      </x:c>
      <x:c r="L345" s="476"/>
      <x:c r="M345" s="499" t="n">
        <x:v>0</x:v>
      </x:c>
      <x:c r="N345" s="499" t="n">
        <x:v>0</x:v>
      </x:c>
      <x:c r="O345" s="499" t="n">
        <x:v>0</x:v>
      </x:c>
      <x:c r="P345" s="499" t="n">
        <x:v>0</x:v>
      </x:c>
      <x:c r="Q345" s="499" t="n">
        <x:v>0</x:v>
      </x:c>
      <x:c r="R345" s="476" t="str"/>
      <x:c r="S345" s="476" t="str"/>
      <x:c r="T345" s="476" t="str">
        <x:v>EMENDA CONFIRMADA; DESTINO NÃO CONFIRMADO</x:v>
      </x:c>
      <x:c r="U345" s="476" t="str">
        <x:v>Média</x:v>
      </x:c>
      <x:c r="V345" s="476" t="str"/>
      <x:c r="W345" s="476" t="str">
        <x:v>Nº existe no SIGA; destinatário específico não foi confirmado nas bases anexas</x:v>
      </x:c>
      <x:c r="X345" s="476" t="str"/>
    </x:row>
    <x:row r="346">
      <x:c r="A346" t="n">
        <x:v>543</x:v>
      </x:c>
      <x:c r="B346" t="n">
        <x:v>2020</x:v>
      </x:c>
      <x:c r="C346" s="476" t="str">
        <x:v>Porto Alegre</x:v>
      </x:c>
      <x:c r="D346" s="476" t="str">
        <x:v>Instituto Geral de Perícias</x:v>
      </x:c>
      <x:c r="E346" s="476" t="str">
        <x:v>Instituto Geral de Perícias</x:v>
      </x:c>
      <x:c r="F346" s="476" t="str">
        <x:v>41160008</x:v>
      </x:c>
      <x:c r="G346" s="476" t="str">
        <x:v>41160008-2020</x:v>
      </x:c>
      <x:c r="H346" s="476" t="str">
        <x:v>Informado/corrigido a partir do mapa</x:v>
      </x:c>
      <x:c r="I346" s="499" t="n">
        <x:v>355975.13</x:v>
      </x:c>
      <x:c r="J346" s="499" t="n">
        <x:v>497251.73</x:v>
      </x:c>
      <x:c r="K346" s="476" t="str">
        <x:v>Emenda individual</x:v>
      </x:c>
      <x:c r="L346" s="476" t="str">
        <x:v>Pregão eletrônio concluído. 
Pagamento no valor de  330.000,00 realizado em 25/04/2022. O valor unitário do espectrômetro da proposta vencedora ficou em  330.000,00 economizando recursos públicos, já que o valor empenhado era de  355.975,13 pelo aparelho.
</x:v>
      </x:c>
      <x:c r="M346" s="499" t="n">
        <x:v>439028</x:v>
      </x:c>
      <x:c r="N346" s="499" t="n">
        <x:v>855337.73</x:v>
      </x:c>
      <x:c r="O346" s="499" t="n">
        <x:v>439028</x:v>
      </x:c>
      <x:c r="P346" s="499" t="n">
        <x:v>0</x:v>
      </x:c>
      <x:c r="Q346" s="499" t="n">
        <x:v>0</x:v>
      </x:c>
      <x:c r="R346" s="476" t="str"/>
      <x:c r="S346" s="476" t="str">
        <x:v>87958583000146</x:v>
      </x:c>
      <x:c r="T346" s="476" t="str">
        <x:v>VALOR DIVERGENTE / COBERTURA DIFERENTE</x:v>
      </x:c>
      <x:c r="U346" s="476" t="str">
        <x:v>Alta</x:v>
      </x:c>
      <x:c r="V346" s="476" t="str">
        <x:v>Situação possivelmente desatualizada: SIGA/execução regionalizada mostra pagamento; CNPJ candidato na fonte SIGA: 87958583000146</x:v>
      </x:c>
      <x:c r="W346" s="476" t="str">
        <x:v>Município/localidade encontrado em fonte comparável, mas valor não fecha exatamente</x:v>
      </x:c>
      <x:c r="X346" s="476" t="str">
        <x:v>https://discricionarias.transferegov.sistema.gov.br/voluntarias/ConsultarProposta/ResultadoDaConsultaDeConvenioSelecionarConvenio.do?sequencialConvenio=905738&amp;Usr=guest&amp;Pwd=guest</x:v>
      </x:c>
    </x:row>
    <x:row r="347">
      <x:c r="A347" t="n">
        <x:v>544</x:v>
      </x:c>
      <x:c r="B347" t="n">
        <x:v>2026</x:v>
      </x:c>
      <x:c r="C347" s="476" t="str">
        <x:v>Santa Rosa</x:v>
      </x:c>
      <x:c r="D347" s="476" t="str">
        <x:v>Santa Casa de Misericordia</x:v>
      </x:c>
      <x:c r="E347" s="476" t="str">
        <x:v>Associacao Hospitalar Santa Rosa</x:v>
      </x:c>
      <x:c r="F347" s="476" t="str">
        <x:v>41160003</x:v>
      </x:c>
      <x:c r="G347" s="476" t="str">
        <x:v>41160003-2026</x:v>
      </x:c>
      <x:c r="H347" s="476" t="str">
        <x:v>Informado/corrigido a partir do mapa</x:v>
      </x:c>
      <x:c r="I347" s="499" t="n">
        <x:v>356219</x:v>
      </x:c>
      <x:c r="J347" s="499" t="n">
        <x:v>356219</x:v>
      </x:c>
      <x:c r="K347" s="476" t="str">
        <x:v>Emenda individual</x:v>
      </x:c>
      <x:c r="L347" s="476"/>
      <x:c r="M347" s="499" t="n">
        <x:v>0</x:v>
      </x:c>
      <x:c r="N347" s="499" t="n">
        <x:v>356219</x:v>
      </x:c>
      <x:c r="O347" s="499" t="n">
        <x:v>0</x:v>
      </x:c>
      <x:c r="P347" s="499" t="n">
        <x:v>0</x:v>
      </x:c>
      <x:c r="Q347" s="499" t="n">
        <x:v>0</x:v>
      </x:c>
      <x:c r="R347" s="476" t="str"/>
      <x:c r="S347" s="476" t="str"/>
      <x:c r="T347" s="476" t="str">
        <x:v>DESTINO/INSTRUMENTO CONFIRMADO; VALOR NÃO COMPARÁVEL</x:v>
      </x:c>
      <x:c r="U347" s="476" t="str">
        <x:v>Média</x:v>
      </x:c>
      <x:c r="V347" s="476" t="str"/>
      <x:c r="W347" s="476" t="str">
        <x:v>Há instrumento do Transferegov para a emenda/município; valores do instrumento não foram usados como prova do valor da emenda</x:v>
      </x:c>
      <x:c r="X347" s="476" t="str">
        <x:v>https://discricionarias.transferegov.sistema.gov.br/voluntarias/ConsultarProposta/ResultadoDaConsultaDeConvenioSelecionarConvenio.do?sequencialConvenio=998459&amp;Usr=guest&amp;Pwd=guest</x:v>
      </x:c>
    </x:row>
    <x:row r="348">
      <x:c r="A348" t="n">
        <x:v>545</x:v>
      </x:c>
      <x:c r="B348" t="n">
        <x:v>2021</x:v>
      </x:c>
      <x:c r="C348" s="476" t="str">
        <x:v>A definir</x:v>
      </x:c>
      <x:c r="D348" s="476" t="str">
        <x:v>Brigada Militar</x:v>
      </x:c>
      <x:c r="E348" s="476" t="str">
        <x:v>Brigada Militar</x:v>
      </x:c>
      <x:c r="F348" s="476" t="str">
        <x:v>71220009</x:v>
      </x:c>
      <x:c r="G348" s="476" t="str">
        <x:v>71220009-2021</x:v>
      </x:c>
      <x:c r="H348" s="476" t="str">
        <x:v>Informado/corrigido a partir do mapa</x:v>
      </x:c>
      <x:c r="I348" s="499" t="n">
        <x:v>358785</x:v>
      </x:c>
      <x:c r="J348" s="499" t="n">
        <x:v>1355530.33</x:v>
      </x:c>
      <x:c r="K348" s="476" t="str">
        <x:v>Emenda de Bancada</x:v>
      </x:c>
      <x:c r="L348" s="476" t="str">
        <x:v>Indicado</x:v>
      </x:c>
      <x:c r="M348" s="499" t="n">
        <x:v>0</x:v>
      </x:c>
      <x:c r="N348" s="499" t="n">
        <x:v>0</x:v>
      </x:c>
      <x:c r="O348" s="499" t="n">
        <x:v>0</x:v>
      </x:c>
      <x:c r="P348" s="499" t="n">
        <x:v>0</x:v>
      </x:c>
      <x:c r="Q348" s="499" t="n">
        <x:v>0</x:v>
      </x:c>
      <x:c r="R348" s="476" t="str"/>
      <x:c r="S348" s="476" t="str"/>
      <x:c r="T348" s="476" t="str">
        <x:v>EMENDA CONFIRMADA; DESTINO NÃO CONFIRMADO</x:v>
      </x:c>
      <x:c r="U348" s="476" t="str">
        <x:v>Média</x:v>
      </x:c>
      <x:c r="V348" s="476" t="str"/>
      <x:c r="W348" s="476" t="str"/>
      <x:c r="X348" s="476" t="str"/>
    </x:row>
    <x:row r="349">
      <x:c r="A349" t="n">
        <x:v>546</x:v>
      </x:c>
      <x:c r="B349" t="n">
        <x:v>2023</x:v>
      </x:c>
      <x:c r="C349" s="476" t="str">
        <x:v>Guaporé</x:v>
      </x:c>
      <x:c r="D349" s="476" t="str">
        <x:v>Hospital</x:v>
      </x:c>
      <x:c r="E349" s="476" t="str">
        <x:v>Associação Hospitalar Manoel Francisco Guerreiro - Hospital De Guaporé</x:v>
      </x:c>
      <x:c r="F349" s="476" t="str"/>
      <x:c r="G349" s="476" t="str">
        <x:v>41160007-2023</x:v>
      </x:c>
      <x:c r="H349" s="476" t="str">
        <x:v>Candidato — revisar (Transferegov)</x:v>
      </x:c>
      <x:c r="I349" s="499" t="n">
        <x:v>359148</x:v>
      </x:c>
      <x:c r="J349" s="499" t="n">
        <x:v>359148</x:v>
      </x:c>
      <x:c r="K349" s="476" t="str">
        <x:v>Emenda Individual</x:v>
      </x:c>
      <x:c r="L349" s="476" t="str">
        <x:v>Empenhado</x:v>
      </x:c>
      <x:c r="M349" s="499" t="n">
        <x:v>359000</x:v>
      </x:c>
      <x:c r="N349" s="499" t="n">
        <x:v>359148</x:v>
      </x:c>
      <x:c r="O349" s="499" t="n">
        <x:v>359000</x:v>
      </x:c>
      <x:c r="P349" s="499" t="n">
        <x:v>0</x:v>
      </x:c>
      <x:c r="Q349" s="499" t="n">
        <x:v>0</x:v>
      </x:c>
      <x:c r="R349" s="476" t="str"/>
      <x:c r="S349" s="476" t="str">
        <x:v>03184906000100</x:v>
      </x:c>
      <x:c r="T349" s="476" t="str">
        <x:v>CONFIRMADO</x:v>
      </x:c>
      <x:c r="U349" s="476" t="str">
        <x:v>Média</x:v>
      </x:c>
      <x:c r="V349" s="476" t="str">
        <x:v>Candidato de nº: 41160007; validar antes de preencher (Transferegov pode trazer valor total do instrumento); Situação possivelmente desatualizada: SIGA/execução regionalizada mostra pagamento; CNPJ candidato na fonte SIGA: 03184906000100</x:v>
      </x:c>
      <x:c r="W349" s="476" t="str">
        <x:v>nº ausente; inferido por coincidência exata de cidade e valor em Transferegov; Valor do grupo fecha com: SIGA pago favorecido</x:v>
      </x:c>
      <x:c r="X349" s="476" t="str">
        <x:v>https://discricionarias.transferegov.sistema.gov.br/voluntarias/ConsultarProposta/ResultadoDaConsultaDeConvenioSelecionarConvenio.do?sequencialConvenio=943955&amp;Usr=guest&amp;Pwd=guest</x:v>
      </x:c>
    </x:row>
    <x:row r="350">
      <x:c r="A350" t="n">
        <x:v>547</x:v>
      </x:c>
      <x:c r="B350" t="n">
        <x:v>2023</x:v>
      </x:c>
      <x:c r="C350" s="476" t="str">
        <x:v>Santa Cruz do Sul</x:v>
      </x:c>
      <x:c r="D350" s="476" t="str">
        <x:v>Hospital</x:v>
      </x:c>
      <x:c r="E350" s="476" t="str">
        <x:v>Hospital Santa Cruz</x:v>
      </x:c>
      <x:c r="F350" s="476" t="str"/>
      <x:c r="G350" s="476" t="str"/>
      <x:c r="H350" s="476" t="str">
        <x:v>Sem nº conciliado</x:v>
      </x:c>
      <x:c r="I350" s="499" t="n">
        <x:v>359148</x:v>
      </x:c>
      <x:c r="J350" s="499" t="n">
        <x:v>359148</x:v>
      </x:c>
      <x:c r="K350" s="476" t="str">
        <x:v>Emenda Individual</x:v>
      </x:c>
      <x:c r="L350" s="476" t="str">
        <x:v>Empenhado</x:v>
      </x:c>
      <x:c r="M350" s="499" t="n">
        <x:v>0</x:v>
      </x:c>
      <x:c r="N350" s="499" t="n">
        <x:v>0</x:v>
      </x:c>
      <x:c r="O350" s="499" t="n">
        <x:v>0</x:v>
      </x:c>
      <x:c r="P350" s="499" t="n">
        <x:v>0</x:v>
      </x:c>
      <x:c r="Q350" s="499" t="n">
        <x:v>0</x:v>
      </x:c>
      <x:c r="R350" s="476" t="str"/>
      <x:c r="S350" s="476" t="str"/>
      <x:c r="T350" s="476" t="str">
        <x:v>SEM Nº / NÃO CONCILIADO</x:v>
      </x:c>
      <x:c r="U350" s="476" t="str">
        <x:v>Média</x:v>
      </x:c>
      <x:c r="V350" s="476" t="str"/>
      <x:c r="W350" s="476" t="str"/>
      <x:c r="X350" s="476" t="str"/>
    </x:row>
    <x:row r="351">
      <x:c r="A351" t="n">
        <x:v>548</x:v>
      </x:c>
      <x:c r="B351" t="n">
        <x:v>2020</x:v>
      </x:c>
      <x:c r="C351" s="476" t="str">
        <x:v>Porto Alegre</x:v>
      </x:c>
      <x:c r="D351" s="476" t="str">
        <x:v>Hospital</x:v>
      </x:c>
      <x:c r="E351" s="476" t="str">
        <x:v>Hospital São Lucas da PUCRS</x:v>
      </x:c>
      <x:c r="F351" s="476" t="str">
        <x:v>41160005</x:v>
      </x:c>
      <x:c r="G351" s="476" t="str">
        <x:v>41160005-2020</x:v>
      </x:c>
      <x:c r="H351" s="476" t="str">
        <x:v>Informado/corrigido a partir do mapa</x:v>
      </x:c>
      <x:c r="I351" s="499" t="n">
        <x:v>360000</x:v>
      </x:c>
      <x:c r="J351" s="499" t="n">
        <x:v>1000000</x:v>
      </x:c>
      <x:c r="K351" s="476" t="str">
        <x:v>Emenda Individual (processo seletivo)</x:v>
      </x:c>
      <x:c r="L351" s="476" t="str">
        <x:v>Recurso pago</x:v>
      </x:c>
      <x:c r="M351" s="499" t="n">
        <x:v>2600000</x:v>
      </x:c>
      <x:c r="N351" s="499" t="n">
        <x:v>0</x:v>
      </x:c>
      <x:c r="O351" s="499" t="n">
        <x:v>0</x:v>
      </x:c>
      <x:c r="P351" s="499" t="n">
        <x:v>0</x:v>
      </x:c>
      <x:c r="Q351" s="499" t="n">
        <x:v>0</x:v>
      </x:c>
      <x:c r="R351" s="476" t="str"/>
      <x:c r="S351" s="476" t="str">
        <x:v>11358235000176, 87182846000178</x:v>
      </x:c>
      <x:c r="T351" s="476" t="str">
        <x:v>VALOR DIVERGENTE / COBERTURA DIFERENTE</x:v>
      </x:c>
      <x:c r="U351" s="476" t="str">
        <x:v>Alta</x:v>
      </x:c>
      <x:c r="V351" s="476" t="str"/>
      <x:c r="W351" s="476" t="str">
        <x:v>Município/localidade encontrado em fonte comparável, mas valor não fecha exatamente</x:v>
      </x:c>
      <x:c r="X351" s="476" t="str"/>
    </x:row>
    <x:row r="352">
      <x:c r="A352" t="n">
        <x:v>550</x:v>
      </x:c>
      <x:c r="B352" t="n">
        <x:v>2025</x:v>
      </x:c>
      <x:c r="C352" s="476" t="str">
        <x:v>Capão da Canoa</x:v>
      </x:c>
      <x:c r="D352" s="476" t="str">
        <x:v>Associacao Educadora Sao Carlos - Aesc Capão Da Canoa - Rs</x:v>
      </x:c>
      <x:c r="E352" s="476" t="str">
        <x:v>Associacao Educadora Sao Carlos - Aesc Capão Da Canoa - Rs</x:v>
      </x:c>
      <x:c r="F352" s="476" t="str">
        <x:v>41160004</x:v>
      </x:c>
      <x:c r="G352" s="476" t="str">
        <x:v>41160004-2025</x:v>
      </x:c>
      <x:c r="H352" s="476" t="str">
        <x:v>Informado/corrigido a partir do mapa</x:v>
      </x:c>
      <x:c r="I352" s="499" t="n">
        <x:v>360000</x:v>
      </x:c>
      <x:c r="J352" s="499" t="n">
        <x:v>360000</x:v>
      </x:c>
      <x:c r="K352" s="476" t="str">
        <x:v>Emenda Individual</x:v>
      </x:c>
      <x:c r="L352" s="476"/>
      <x:c r="M352" s="499" t="n">
        <x:v>56794.23</x:v>
      </x:c>
      <x:c r="N352" s="499" t="n">
        <x:v>360000</x:v>
      </x:c>
      <x:c r="O352" s="499" t="n">
        <x:v>56794.23</x:v>
      </x:c>
      <x:c r="P352" s="499" t="n">
        <x:v>0</x:v>
      </x:c>
      <x:c r="Q352" s="499" t="n">
        <x:v>0</x:v>
      </x:c>
      <x:c r="R352" s="476" t="str"/>
      <x:c r="S352" s="476" t="str">
        <x:v>88625686003768</x:v>
      </x:c>
      <x:c r="T352" s="476" t="str">
        <x:v>VALOR DIVERGENTE / COBERTURA DIFERENTE</x:v>
      </x:c>
      <x:c r="U352" s="476" t="str">
        <x:v>Alta</x:v>
      </x:c>
      <x:c r="V352" s="476" t="str">
        <x:v>Preencher situação: há pagamento identificado na fonte pública</x:v>
      </x:c>
      <x:c r="W352" s="476" t="str">
        <x:v>Município/localidade encontrado em fonte comparável, mas valor não fecha exatamente</x:v>
      </x:c>
      <x:c r="X352" s="476" t="str">
        <x:v>https://discricionarias.transferegov.sistema.gov.br/voluntarias/ConsultarProposta/ResultadoDaConsultaDeConvenioSelecionarConvenio.do?sequencialConvenio=987988&amp;Usr=guest&amp;Pwd=guest</x:v>
      </x:c>
    </x:row>
    <x:row r="353">
      <x:c r="A353" t="n">
        <x:v>552</x:v>
      </x:c>
      <x:c r="B353" t="n">
        <x:v>2023</x:v>
      </x:c>
      <x:c r="C353" s="476" t="str">
        <x:v>Guaíba</x:v>
      </x:c>
      <x:c r="D353" s="476" t="str">
        <x:v>Hospital</x:v>
      </x:c>
      <x:c r="E353" s="476" t="str">
        <x:v>Hospital Regional Nelson Cornetet</x:v>
      </x:c>
      <x:c r="F353" s="476" t="str"/>
      <x:c r="G353" s="476" t="str"/>
      <x:c r="H353" s="476" t="str">
        <x:v>Sem nº conciliado</x:v>
      </x:c>
      <x:c r="I353" s="499" t="n">
        <x:v>364000</x:v>
      </x:c>
      <x:c r="J353" s="499" t="n">
        <x:v>364000</x:v>
      </x:c>
      <x:c r="K353" s="476" t="str">
        <x:v>Emenda Individual</x:v>
      </x:c>
      <x:c r="L353" s="476" t="str">
        <x:v>Empenhado</x:v>
      </x:c>
      <x:c r="M353" s="499" t="n">
        <x:v>0</x:v>
      </x:c>
      <x:c r="N353" s="499" t="n">
        <x:v>0</x:v>
      </x:c>
      <x:c r="O353" s="499" t="n">
        <x:v>0</x:v>
      </x:c>
      <x:c r="P353" s="499" t="n">
        <x:v>0</x:v>
      </x:c>
      <x:c r="Q353" s="499" t="n">
        <x:v>0</x:v>
      </x:c>
      <x:c r="R353" s="476" t="str"/>
      <x:c r="S353" s="476" t="str"/>
      <x:c r="T353" s="476" t="str">
        <x:v>SEM Nº / NÃO CONCILIADO</x:v>
      </x:c>
      <x:c r="U353" s="476" t="str">
        <x:v>Média</x:v>
      </x:c>
      <x:c r="V353" s="476" t="str"/>
      <x:c r="W353" s="476" t="str"/>
      <x:c r="X353" s="476" t="str"/>
    </x:row>
    <x:row r="354">
      <x:c r="A354" t="n">
        <x:v>553</x:v>
      </x:c>
      <x:c r="B354" t="n">
        <x:v>2023</x:v>
      </x:c>
      <x:c r="C354" s="476" t="str">
        <x:v>Igrejinha</x:v>
      </x:c>
      <x:c r="D354" s="476" t="str">
        <x:v>Prefeitura</x:v>
      </x:c>
      <x:c r="E354" s="476" t="str">
        <x:v>Prefeitura de Igrejinha</x:v>
      </x:c>
      <x:c r="F354" s="476" t="str"/>
      <x:c r="G354" s="476" t="str"/>
      <x:c r="H354" s="476" t="str">
        <x:v>Sem nº conciliado</x:v>
      </x:c>
      <x:c r="I354" s="499" t="n">
        <x:v>366314</x:v>
      </x:c>
      <x:c r="J354" s="499" t="n">
        <x:v>666314</x:v>
      </x:c>
      <x:c r="K354" s="476" t="str">
        <x:v>Emenda Individual</x:v>
      </x:c>
      <x:c r="L354" s="476" t="str">
        <x:v>Empenhado</x:v>
      </x:c>
      <x:c r="M354" s="499" t="n">
        <x:v>0</x:v>
      </x:c>
      <x:c r="N354" s="499" t="n">
        <x:v>0</x:v>
      </x:c>
      <x:c r="O354" s="499" t="n">
        <x:v>0</x:v>
      </x:c>
      <x:c r="P354" s="499" t="n">
        <x:v>0</x:v>
      </x:c>
      <x:c r="Q354" s="499" t="n">
        <x:v>0</x:v>
      </x:c>
      <x:c r="R354" s="476" t="str"/>
      <x:c r="S354" s="476" t="str"/>
      <x:c r="T354" s="476" t="str">
        <x:v>SEM Nº / NÃO CONCILIADO</x:v>
      </x:c>
      <x:c r="U354" s="476" t="str">
        <x:v>Média</x:v>
      </x:c>
      <x:c r="V354" s="476" t="str"/>
      <x:c r="W354" s="476" t="str"/>
      <x:c r="X354" s="476" t="str"/>
    </x:row>
    <x:row r="355">
      <x:c r="A355" t="n">
        <x:v>554</x:v>
      </x:c>
      <x:c r="B355" t="n">
        <x:v>2022</x:v>
      </x:c>
      <x:c r="C355" s="476" t="str">
        <x:v>Três Coroas</x:v>
      </x:c>
      <x:c r="D355" s="476" t="str">
        <x:v>Hospital</x:v>
      </x:c>
      <x:c r="E355" s="476" t="str">
        <x:v>Fundação Hospitalar Dr Oswaldo Diesel</x:v>
      </x:c>
      <x:c r="F355" s="476" t="str">
        <x:v>41160003</x:v>
      </x:c>
      <x:c r="G355" s="476" t="str">
        <x:v>41160003-2022</x:v>
      </x:c>
      <x:c r="H355" s="476" t="str">
        <x:v>Informado/corrigido a partir do mapa</x:v>
      </x:c>
      <x:c r="I355" s="499" t="n">
        <x:v>367500</x:v>
      </x:c>
      <x:c r="J355" s="499" t="n">
        <x:v>367500</x:v>
      </x:c>
      <x:c r="K355" s="476" t="str">
        <x:v>Emenda Individual </x:v>
      </x:c>
      <x:c r="L355" s="476" t="str">
        <x:v>Empenhado</x:v>
      </x:c>
      <x:c r="M355" s="499" t="n">
        <x:v>206158.2</x:v>
      </x:c>
      <x:c r="N355" s="499" t="n">
        <x:v>367500</x:v>
      </x:c>
      <x:c r="O355" s="499" t="n">
        <x:v>206158.2</x:v>
      </x:c>
      <x:c r="P355" s="499" t="n">
        <x:v>0</x:v>
      </x:c>
      <x:c r="Q355" s="499" t="n">
        <x:v>0</x:v>
      </x:c>
      <x:c r="R355" s="476" t="str"/>
      <x:c r="S355" s="476" t="str">
        <x:v>90936774000111</x:v>
      </x:c>
      <x:c r="T355" s="476" t="str">
        <x:v>VALOR DIVERGENTE / COBERTURA DIFERENTE</x:v>
      </x:c>
      <x:c r="U355" s="476" t="str">
        <x:v>Alta</x:v>
      </x:c>
      <x:c r="V355" s="476" t="str">
        <x:v>Situação possivelmente desatualizada: SIGA/execução regionalizada mostra pagamento; CNPJ candidato na fonte SIGA: 90936774000111</x:v>
      </x:c>
      <x:c r="W355" s="476" t="str">
        <x:v>Município/localidade encontrado em fonte comparável, mas valor não fecha exatamente</x:v>
      </x:c>
      <x:c r="X355" s="476" t="str">
        <x:v>https://discricionarias.transferegov.sistema.gov.br/voluntarias/ConsultarProposta/ResultadoDaConsultaDeConvenioSelecionarConvenio.do?sequencialConvenio=935425&amp;Usr=guest&amp;Pwd=guest</x:v>
      </x:c>
    </x:row>
    <x:row r="356">
      <x:c r="A356" t="n">
        <x:v>557</x:v>
      </x:c>
      <x:c r="B356" t="n">
        <x:v>2024</x:v>
      </x:c>
      <x:c r="C356" s="476" t="str">
        <x:v>Imigrante</x:v>
      </x:c>
      <x:c r="D356" s="476" t="str">
        <x:v>Prefeitura Municipal de Imigrante</x:v>
      </x:c>
      <x:c r="E356" s="476" t="str">
        <x:v>Prefeitura Municipal</x:v>
      </x:c>
      <x:c r="F356" s="476" t="str">
        <x:v>41160005</x:v>
      </x:c>
      <x:c r="G356" s="476" t="str">
        <x:v>41160005-2024</x:v>
      </x:c>
      <x:c r="H356" s="476" t="str">
        <x:v>Informado/corrigido a partir do mapa</x:v>
      </x:c>
      <x:c r="I356" s="499" t="n">
        <x:v>384205</x:v>
      </x:c>
      <x:c r="J356" s="499" t="n">
        <x:v>384205</x:v>
      </x:c>
      <x:c r="K356" s="476" t="str">
        <x:v>Emenda Individual</x:v>
      </x:c>
      <x:c r="L356" s="476"/>
      <x:c r="M356" s="499" t="n">
        <x:v>0</x:v>
      </x:c>
      <x:c r="N356" s="499" t="n">
        <x:v>384205</x:v>
      </x:c>
      <x:c r="O356" s="499" t="n">
        <x:v>0</x:v>
      </x:c>
      <x:c r="P356" s="499" t="n">
        <x:v>0</x:v>
      </x:c>
      <x:c r="Q356" s="499" t="n">
        <x:v>0</x:v>
      </x:c>
      <x:c r="R356" s="476" t="str"/>
      <x:c r="S356" s="476" t="str"/>
      <x:c r="T356" s="476" t="str">
        <x:v>DESTINO/INSTRUMENTO CONFIRMADO; VALOR NÃO COMPARÁVEL</x:v>
      </x:c>
      <x:c r="U356" s="476" t="str">
        <x:v>Média</x:v>
      </x:c>
      <x:c r="V356" s="476" t="str"/>
      <x:c r="W356" s="476" t="str">
        <x:v>Há instrumento do Transferegov para a emenda/município; valores do instrumento não foram usados como prova do valor da emenda</x:v>
      </x:c>
      <x:c r="X356" s="476" t="str">
        <x:v>https://discricionarias.transferegov.sistema.gov.br/voluntarias/ConsultarProposta/ResultadoDaConsultaDeConvenioSelecionarConvenio.do?sequencialConvenio=973397&amp;Usr=guest&amp;Pwd=guest</x:v>
      </x:c>
    </x:row>
    <x:row r="357">
      <x:c r="A357" t="n">
        <x:v>560</x:v>
      </x:c>
      <x:c r="B357" t="n">
        <x:v>2024</x:v>
      </x:c>
      <x:c r="C357" s="476" t="str">
        <x:v>São Martinho da Serra</x:v>
      </x:c>
      <x:c r="D357" s="476" t="str">
        <x:v>Prefeitura Municipal de São Martinho da Serra</x:v>
      </x:c>
      <x:c r="E357" s="476" t="str">
        <x:v>Prefeitura Municipal</x:v>
      </x:c>
      <x:c r="F357" s="476" t="str">
        <x:v>41160005</x:v>
      </x:c>
      <x:c r="G357" s="476" t="str">
        <x:v>41160005-2024</x:v>
      </x:c>
      <x:c r="H357" s="476" t="str">
        <x:v>Informado/corrigido a partir do mapa</x:v>
      </x:c>
      <x:c r="I357" s="499" t="n">
        <x:v>384205</x:v>
      </x:c>
      <x:c r="J357" s="499" t="n">
        <x:v>384205</x:v>
      </x:c>
      <x:c r="K357" s="476" t="str">
        <x:v>Emenda Individual</x:v>
      </x:c>
      <x:c r="L357" s="476"/>
      <x:c r="M357" s="499" t="n">
        <x:v>0</x:v>
      </x:c>
      <x:c r="N357" s="499" t="n">
        <x:v>384205</x:v>
      </x:c>
      <x:c r="O357" s="499" t="n">
        <x:v>0</x:v>
      </x:c>
      <x:c r="P357" s="499" t="n">
        <x:v>0</x:v>
      </x:c>
      <x:c r="Q357" s="499" t="n">
        <x:v>0</x:v>
      </x:c>
      <x:c r="R357" s="476" t="str"/>
      <x:c r="S357" s="476" t="str"/>
      <x:c r="T357" s="476" t="str">
        <x:v>DESTINO/INSTRUMENTO CONFIRMADO; VALOR NÃO COMPARÁVEL</x:v>
      </x:c>
      <x:c r="U357" s="476" t="str">
        <x:v>Média</x:v>
      </x:c>
      <x:c r="V357" s="476" t="str"/>
      <x:c r="W357" s="476" t="str">
        <x:v>Há instrumento do Transferegov para a emenda/município; valores do instrumento não foram usados como prova do valor da emenda</x:v>
      </x:c>
      <x:c r="X357" s="476" t="str">
        <x:v>https://discricionarias.transferegov.sistema.gov.br/voluntarias/ConsultarProposta/ResultadoDaConsultaDeConvenioSelecionarConvenio.do?sequencialConvenio=973124&amp;Usr=guest&amp;Pwd=guest</x:v>
      </x:c>
    </x:row>
    <x:row r="358">
      <x:c r="A358" t="n">
        <x:v>561</x:v>
      </x:c>
      <x:c r="B358" t="n">
        <x:v>2024</x:v>
      </x:c>
      <x:c r="C358" s="476" t="str">
        <x:v>Sobradinho</x:v>
      </x:c>
      <x:c r="D358" s="476" t="str">
        <x:v>Prefeitura Municipal de Sobradinho</x:v>
      </x:c>
      <x:c r="E358" s="476" t="str">
        <x:v>Prefeitura Municipal</x:v>
      </x:c>
      <x:c r="F358" s="476" t="str">
        <x:v>41160005</x:v>
      </x:c>
      <x:c r="G358" s="476" t="str">
        <x:v>41160005-2024</x:v>
      </x:c>
      <x:c r="H358" s="476" t="str">
        <x:v>Informado/corrigido a partir do mapa</x:v>
      </x:c>
      <x:c r="I358" s="499" t="n">
        <x:v>384205</x:v>
      </x:c>
      <x:c r="J358" s="499" t="n">
        <x:v>384205</x:v>
      </x:c>
      <x:c r="K358" s="476" t="str">
        <x:v>Emenda Individual</x:v>
      </x:c>
      <x:c r="L358" s="476"/>
      <x:c r="M358" s="499" t="n">
        <x:v>0</x:v>
      </x:c>
      <x:c r="N358" s="499" t="n">
        <x:v>384205</x:v>
      </x:c>
      <x:c r="O358" s="499" t="n">
        <x:v>0</x:v>
      </x:c>
      <x:c r="P358" s="499" t="n">
        <x:v>0</x:v>
      </x:c>
      <x:c r="Q358" s="499" t="n">
        <x:v>0</x:v>
      </x:c>
      <x:c r="R358" s="476" t="str"/>
      <x:c r="S358" s="476" t="str"/>
      <x:c r="T358" s="476" t="str">
        <x:v>DESTINO/INSTRUMENTO CONFIRMADO; VALOR NÃO COMPARÁVEL</x:v>
      </x:c>
      <x:c r="U358" s="476" t="str">
        <x:v>Média</x:v>
      </x:c>
      <x:c r="V358" s="476" t="str"/>
      <x:c r="W358" s="476" t="str">
        <x:v>Há instrumento do Transferegov para a emenda/município; valores do instrumento não foram usados como prova do valor da emenda</x:v>
      </x:c>
      <x:c r="X358" s="476" t="str">
        <x:v>https://discricionarias.transferegov.sistema.gov.br/voluntarias/ConsultarProposta/ResultadoDaConsultaDeConvenioSelecionarConvenio.do?sequencialConvenio=973541&amp;Usr=guest&amp;Pwd=guest</x:v>
      </x:c>
    </x:row>
    <x:row r="359">
      <x:c r="A359" t="n">
        <x:v>562</x:v>
      </x:c>
      <x:c r="B359" t="n">
        <x:v>2022</x:v>
      </x:c>
      <x:c r="C359" s="476" t="str">
        <x:v>Dois Irmãos</x:v>
      </x:c>
      <x:c r="D359" s="476" t="str">
        <x:v>Secretaria de Segurança Pública</x:v>
      </x:c>
      <x:c r="E359" s="476" t="str">
        <x:v>Polícia Civil</x:v>
      </x:c>
      <x:c r="F359" s="476" t="str">
        <x:v>41160001</x:v>
      </x:c>
      <x:c r="G359" s="476" t="str">
        <x:v>41160001-2022</x:v>
      </x:c>
      <x:c r="H359" s="476" t="str">
        <x:v>Informado/corrigido a partir do mapa</x:v>
      </x:c>
      <x:c r="I359" s="499" t="n">
        <x:v>384370.17</x:v>
      </x:c>
      <x:c r="J359" s="499" t="n">
        <x:v>384370.17</x:v>
      </x:c>
      <x:c r="K359" s="476" t="str">
        <x:v>Emenda de Bancada</x:v>
      </x:c>
      <x:c r="L359" s="476" t="str">
        <x:v>Aguarda aprovação de licitação e liberação de recurso</x:v>
      </x:c>
      <x:c r="M359" s="499" t="n">
        <x:v>0</x:v>
      </x:c>
      <x:c r="N359" s="499" t="n">
        <x:v>0</x:v>
      </x:c>
      <x:c r="O359" s="499" t="n">
        <x:v>0</x:v>
      </x:c>
      <x:c r="P359" s="499" t="n">
        <x:v>0</x:v>
      </x:c>
      <x:c r="Q359" s="499" t="n">
        <x:v>0</x:v>
      </x:c>
      <x:c r="R359" s="476" t="str"/>
      <x:c r="S359" s="476" t="str"/>
      <x:c r="T359" s="476" t="str">
        <x:v>EMENDA CONFIRMADA; DESTINO NÃO CONFIRMADO</x:v>
      </x:c>
      <x:c r="U359" s="476" t="str">
        <x:v>Média</x:v>
      </x:c>
      <x:c r="V359" s="476" t="str"/>
      <x:c r="W359" s="476" t="str">
        <x:v>Nº existe no SIGA; destinatário específico não foi confirmado nas bases anexas</x:v>
      </x:c>
      <x:c r="X359" s="476" t="str"/>
    </x:row>
    <x:row r="360">
      <x:c r="A360" t="n">
        <x:v>563</x:v>
      </x:c>
      <x:c r="B360" t="n">
        <x:v>2022</x:v>
      </x:c>
      <x:c r="C360" s="476" t="str">
        <x:v>Cachoeirinha</x:v>
      </x:c>
      <x:c r="D360" s="476" t="str">
        <x:v>Secretaria de Segurança Pública</x:v>
      </x:c>
      <x:c r="E360" s="476" t="str">
        <x:v>Brigada Militar</x:v>
      </x:c>
      <x:c r="F360" s="476" t="str">
        <x:v>41160001</x:v>
      </x:c>
      <x:c r="G360" s="476" t="str">
        <x:v>41160001-2022</x:v>
      </x:c>
      <x:c r="H360" s="476" t="str">
        <x:v>Informado/corrigido a partir do mapa</x:v>
      </x:c>
      <x:c r="I360" s="499" t="n">
        <x:v>384370.17</x:v>
      </x:c>
      <x:c r="J360" s="499" t="n">
        <x:v>384370.17</x:v>
      </x:c>
      <x:c r="K360" s="476" t="str">
        <x:v>Emenda Individual </x:v>
      </x:c>
      <x:c r="L360" s="476" t="str">
        <x:v>Enpenhado</x:v>
      </x:c>
      <x:c r="M360" s="499" t="n">
        <x:v>0</x:v>
      </x:c>
      <x:c r="N360" s="499" t="n">
        <x:v>0</x:v>
      </x:c>
      <x:c r="O360" s="499" t="n">
        <x:v>0</x:v>
      </x:c>
      <x:c r="P360" s="499" t="n">
        <x:v>0</x:v>
      </x:c>
      <x:c r="Q360" s="499" t="n">
        <x:v>0</x:v>
      </x:c>
      <x:c r="R360" s="476" t="str"/>
      <x:c r="S360" s="476" t="str"/>
      <x:c r="T360" s="476" t="str">
        <x:v>EMENDA CONFIRMADA; DESTINO NÃO CONFIRMADO</x:v>
      </x:c>
      <x:c r="U360" s="476" t="str">
        <x:v>Média</x:v>
      </x:c>
      <x:c r="V360" s="476" t="str"/>
      <x:c r="W360" s="476" t="str">
        <x:v>Nº existe no SIGA; destinatário específico não foi confirmado nas bases anexas</x:v>
      </x:c>
      <x:c r="X360" s="476" t="str"/>
    </x:row>
    <x:row r="361">
      <x:c r="A361" t="n">
        <x:v>564</x:v>
      </x:c>
      <x:c r="B361" t="n">
        <x:v>2022</x:v>
      </x:c>
      <x:c r="C361" s="476" t="str">
        <x:v>Frederico Westphalen</x:v>
      </x:c>
      <x:c r="D361" s="476" t="str">
        <x:v>Secretaria de Segurança Pública</x:v>
      </x:c>
      <x:c r="E361" s="476" t="str">
        <x:v>Brigada Militar</x:v>
      </x:c>
      <x:c r="F361" s="476" t="str">
        <x:v>41160001</x:v>
      </x:c>
      <x:c r="G361" s="476" t="str">
        <x:v>41160001-2022</x:v>
      </x:c>
      <x:c r="H361" s="476" t="str">
        <x:v>Informado/corrigido a partir do mapa</x:v>
      </x:c>
      <x:c r="I361" s="499" t="n">
        <x:v>384370.17</x:v>
      </x:c>
      <x:c r="J361" s="499" t="n">
        <x:v>384370.17</x:v>
      </x:c>
      <x:c r="K361" s="476" t="str">
        <x:v>Individual</x:v>
      </x:c>
      <x:c r="L361" s="476" t="str">
        <x:v>Empenhado</x:v>
      </x:c>
      <x:c r="M361" s="499" t="n">
        <x:v>0</x:v>
      </x:c>
      <x:c r="N361" s="499" t="n">
        <x:v>0</x:v>
      </x:c>
      <x:c r="O361" s="499" t="n">
        <x:v>0</x:v>
      </x:c>
      <x:c r="P361" s="499" t="n">
        <x:v>0</x:v>
      </x:c>
      <x:c r="Q361" s="499" t="n">
        <x:v>0</x:v>
      </x:c>
      <x:c r="R361" s="476" t="str"/>
      <x:c r="S361" s="476" t="str"/>
      <x:c r="T361" s="476" t="str">
        <x:v>EMENDA CONFIRMADA; DESTINO NÃO CONFIRMADO</x:v>
      </x:c>
      <x:c r="U361" s="476" t="str">
        <x:v>Média</x:v>
      </x:c>
      <x:c r="V361" s="476" t="str"/>
      <x:c r="W361" s="476" t="str">
        <x:v>Nº existe no SIGA; destinatário específico não foi confirmado nas bases anexas</x:v>
      </x:c>
      <x:c r="X361" s="476" t="str"/>
    </x:row>
    <x:row r="362">
      <x:c r="A362" t="n">
        <x:v>565</x:v>
      </x:c>
      <x:c r="B362" t="n">
        <x:v>2022</x:v>
      </x:c>
      <x:c r="C362" s="476" t="str">
        <x:v>Sapiranga</x:v>
      </x:c>
      <x:c r="D362" s="476" t="str">
        <x:v>Secretaria de Segurança Pública</x:v>
      </x:c>
      <x:c r="E362" s="476" t="str">
        <x:v>Polícia Civil</x:v>
      </x:c>
      <x:c r="F362" s="476" t="str">
        <x:v>41160001</x:v>
      </x:c>
      <x:c r="G362" s="476" t="str">
        <x:v>41160001-2022</x:v>
      </x:c>
      <x:c r="H362" s="476" t="str">
        <x:v>Informado/corrigido a partir do mapa</x:v>
      </x:c>
      <x:c r="I362" s="499" t="n">
        <x:v>384370.17</x:v>
      </x:c>
      <x:c r="J362" s="499" t="n">
        <x:v>384370.17</x:v>
      </x:c>
      <x:c r="K362" s="476" t="str">
        <x:v>Emenda Individual </x:v>
      </x:c>
      <x:c r="L362" s="476" t="str">
        <x:v>Recurso pago</x:v>
      </x:c>
      <x:c r="M362" s="499" t="n">
        <x:v>0</x:v>
      </x:c>
      <x:c r="N362" s="499" t="n">
        <x:v>0</x:v>
      </x:c>
      <x:c r="O362" s="499" t="n">
        <x:v>0</x:v>
      </x:c>
      <x:c r="P362" s="499" t="n">
        <x:v>0</x:v>
      </x:c>
      <x:c r="Q362" s="499" t="n">
        <x:v>0</x:v>
      </x:c>
      <x:c r="R362" s="476" t="str"/>
      <x:c r="S362" s="476" t="str"/>
      <x:c r="T362" s="476" t="str">
        <x:v>EMENDA CONFIRMADA; DESTINO NÃO CONFIRMADO</x:v>
      </x:c>
      <x:c r="U362" s="476" t="str">
        <x:v>Média</x:v>
      </x:c>
      <x:c r="V362" s="476" t="str"/>
      <x:c r="W362" s="476" t="str">
        <x:v>Nº existe no SIGA; destinatário específico não foi confirmado nas bases anexas</x:v>
      </x:c>
      <x:c r="X362" s="476" t="str"/>
    </x:row>
    <x:row r="363">
      <x:c r="A363" t="n">
        <x:v>566</x:v>
      </x:c>
      <x:c r="B363" t="n">
        <x:v>2022</x:v>
      </x:c>
      <x:c r="C363" s="476" t="str">
        <x:v>Tramandaí</x:v>
      </x:c>
      <x:c r="D363" s="476" t="str">
        <x:v>Secretaria de Segurança Pública</x:v>
      </x:c>
      <x:c r="E363" s="476" t="str">
        <x:v>9º Batalhão de Bombeiro Militar</x:v>
      </x:c>
      <x:c r="F363" s="476" t="str">
        <x:v>41160001</x:v>
      </x:c>
      <x:c r="G363" s="476" t="str">
        <x:v>41160001-2022</x:v>
      </x:c>
      <x:c r="H363" s="476" t="str">
        <x:v>Informado/corrigido a partir do mapa</x:v>
      </x:c>
      <x:c r="I363" s="499" t="n">
        <x:v>384370.17</x:v>
      </x:c>
      <x:c r="J363" s="499" t="n">
        <x:v>384370.17</x:v>
      </x:c>
      <x:c r="K363" s="476" t="str">
        <x:v>Emenda Individual </x:v>
      </x:c>
      <x:c r="L363" s="476" t="str">
        <x:v>Empenhado</x:v>
      </x:c>
      <x:c r="M363" s="499" t="n">
        <x:v>0</x:v>
      </x:c>
      <x:c r="N363" s="499" t="n">
        <x:v>0</x:v>
      </x:c>
      <x:c r="O363" s="499" t="n">
        <x:v>0</x:v>
      </x:c>
      <x:c r="P363" s="499" t="n">
        <x:v>0</x:v>
      </x:c>
      <x:c r="Q363" s="499" t="n">
        <x:v>0</x:v>
      </x:c>
      <x:c r="R363" s="476" t="str"/>
      <x:c r="S363" s="476" t="str"/>
      <x:c r="T363" s="476" t="str">
        <x:v>EMENDA CONFIRMADA; DESTINO NÃO CONFIRMADO</x:v>
      </x:c>
      <x:c r="U363" s="476" t="str">
        <x:v>Média</x:v>
      </x:c>
      <x:c r="V363" s="476" t="str"/>
      <x:c r="W363" s="476" t="str">
        <x:v>Nº existe no SIGA; destinatário específico não foi confirmado nas bases anexas</x:v>
      </x:c>
      <x:c r="X363" s="476" t="str"/>
    </x:row>
    <x:row r="364">
      <x:c r="A364" t="n">
        <x:v>567</x:v>
      </x:c>
      <x:c r="B364" t="n">
        <x:v>2026</x:v>
      </x:c>
      <x:c r="C364" s="476" t="str">
        <x:v>Carlos Gomes</x:v>
      </x:c>
      <x:c r="D364" s="476" t="str">
        <x:v>Fundo Municipal de Saúde de Carlos Gomes - RS</x:v>
      </x:c>
      <x:c r="E364" s="476" t="str">
        <x:v>Município de Carlos Gomes</x:v>
      </x:c>
      <x:c r="F364" s="476" t="str">
        <x:v>41160013</x:v>
      </x:c>
      <x:c r="G364" s="476" t="str">
        <x:v>41160013-2026</x:v>
      </x:c>
      <x:c r="H364" s="476" t="str">
        <x:v>Informado/corrigido a partir do mapa</x:v>
      </x:c>
      <x:c r="I364" s="499" t="n">
        <x:v>390000</x:v>
      </x:c>
      <x:c r="J364" s="499" t="n">
        <x:v>390000</x:v>
      </x:c>
      <x:c r="K364" s="476" t="str">
        <x:v>Emenda individual</x:v>
      </x:c>
      <x:c r="L364" s="476"/>
      <x:c r="M364" s="499" t="n">
        <x:v>35160</x:v>
      </x:c>
      <x:c r="N364" s="499" t="n">
        <x:v>0</x:v>
      </x:c>
      <x:c r="O364" s="499" t="n">
        <x:v>0</x:v>
      </x:c>
      <x:c r="P364" s="499" t="n">
        <x:v>0</x:v>
      </x:c>
      <x:c r="Q364" s="499" t="n">
        <x:v>0</x:v>
      </x:c>
      <x:c r="R364" s="476" t="str"/>
      <x:c r="S364" s="476" t="str">
        <x:v>12014000000120</x:v>
      </x:c>
      <x:c r="T364" s="476" t="str">
        <x:v>VALOR DIVERGENTE / COBERTURA DIFERENTE</x:v>
      </x:c>
      <x:c r="U364" s="476" t="str">
        <x:v>Alta</x:v>
      </x:c>
      <x:c r="V364" s="476" t="str">
        <x:v>Preencher situação: há pagamento identificado na fonte pública</x:v>
      </x:c>
      <x:c r="W364" s="476" t="str">
        <x:v>Município/localidade encontrado em fonte comparável, mas valor não fecha exatamente</x:v>
      </x:c>
      <x:c r="X364" s="476" t="str"/>
    </x:row>
    <x:row r="365">
      <x:c r="A365" t="n">
        <x:v>568</x:v>
      </x:c>
      <x:c r="B365" t="n">
        <x:v>2026</x:v>
      </x:c>
      <x:c r="C365" s="476" t="str">
        <x:v>Três de Maio</x:v>
      </x:c>
      <x:c r="D365" s="476" t="str">
        <x:v>Associacao Hospital de Caridade Tres Passos</x:v>
      </x:c>
      <x:c r="E365" s="476" t="str">
        <x:v>Associacao de Literatura E Beneficencia</x:v>
      </x:c>
      <x:c r="F365" s="476" t="str">
        <x:v>41160003</x:v>
      </x:c>
      <x:c r="G365" s="476" t="str">
        <x:v>41160003-2026</x:v>
      </x:c>
      <x:c r="H365" s="476" t="str">
        <x:v>Informado/corrigido a partir do mapa</x:v>
      </x:c>
      <x:c r="I365" s="499" t="n">
        <x:v>393334</x:v>
      </x:c>
      <x:c r="J365" s="499" t="n">
        <x:v>393334</x:v>
      </x:c>
      <x:c r="K365" s="476" t="str">
        <x:v>Emenda individual</x:v>
      </x:c>
      <x:c r="L365" s="476"/>
      <x:c r="M365" s="499" t="n">
        <x:v>0</x:v>
      </x:c>
      <x:c r="N365" s="499" t="n">
        <x:v>393334</x:v>
      </x:c>
      <x:c r="O365" s="499" t="n">
        <x:v>0</x:v>
      </x:c>
      <x:c r="P365" s="499" t="n">
        <x:v>0</x:v>
      </x:c>
      <x:c r="Q365" s="499" t="n">
        <x:v>0</x:v>
      </x:c>
      <x:c r="R365" s="476" t="str"/>
      <x:c r="S365" s="476" t="str"/>
      <x:c r="T365" s="476" t="str">
        <x:v>DESTINO/INSTRUMENTO CONFIRMADO; VALOR NÃO COMPARÁVEL</x:v>
      </x:c>
      <x:c r="U365" s="476" t="str">
        <x:v>Média</x:v>
      </x:c>
      <x:c r="V365" s="476" t="str"/>
      <x:c r="W365" s="476" t="str">
        <x:v>Há instrumento do Transferegov para a emenda/município; valores do instrumento não foram usados como prova do valor da emenda</x:v>
      </x:c>
      <x:c r="X365" s="476" t="str">
        <x:v>https://discricionarias.transferegov.sistema.gov.br/voluntarias/ConsultarProposta/ResultadoDaConsultaDeConvenioSelecionarConvenio.do?sequencialConvenio=995395&amp;Usr=guest&amp;Pwd=guest</x:v>
      </x:c>
    </x:row>
    <x:row r="366">
      <x:c r="A366" t="n">
        <x:v>574</x:v>
      </x:c>
      <x:c r="B366" t="n">
        <x:v>2021</x:v>
      </x:c>
      <x:c r="C366" s="476" t="str">
        <x:v>Muçum</x:v>
      </x:c>
      <x:c r="D366" s="476"/>
      <x:c r="E366" s="476" t="str">
        <x:v>Hospital Beneficente Nossa Senhora Aparecida</x:v>
      </x:c>
      <x:c r="F366" s="476" t="str"/>
      <x:c r="G366" s="476" t="str"/>
      <x:c r="H366" s="476" t="str">
        <x:v>Sem nº conciliado</x:v>
      </x:c>
      <x:c r="I366" s="499" t="n">
        <x:v>400000</x:v>
      </x:c>
      <x:c r="J366" s="499" t="n">
        <x:v>400000</x:v>
      </x:c>
      <x:c r="K366" s="476" t="str">
        <x:v>Emenda individual (processo seletivo)</x:v>
      </x:c>
      <x:c r="L366" s="476" t="str">
        <x:v>Recurso pago</x:v>
      </x:c>
      <x:c r="M366" s="499" t="n">
        <x:v>0</x:v>
      </x:c>
      <x:c r="N366" s="499" t="n">
        <x:v>0</x:v>
      </x:c>
      <x:c r="O366" s="499" t="n">
        <x:v>0</x:v>
      </x:c>
      <x:c r="P366" s="499" t="n">
        <x:v>0</x:v>
      </x:c>
      <x:c r="Q366" s="499" t="n">
        <x:v>0</x:v>
      </x:c>
      <x:c r="R366" s="476" t="str"/>
      <x:c r="S366" s="476" t="str"/>
      <x:c r="T366" s="476" t="str">
        <x:v>SEM Nº / NÃO CONCILIADO</x:v>
      </x:c>
      <x:c r="U366" s="476" t="str">
        <x:v>Média</x:v>
      </x:c>
      <x:c r="V366" s="476" t="str"/>
      <x:c r="W366" s="476" t="str"/>
      <x:c r="X366" s="476" t="str"/>
    </x:row>
    <x:row r="367">
      <x:c r="A367" t="n">
        <x:v>575</x:v>
      </x:c>
      <x:c r="B367" t="n">
        <x:v>2021</x:v>
      </x:c>
      <x:c r="C367" s="476" t="str">
        <x:v>Porto Alegre</x:v>
      </x:c>
      <x:c r="D367" s="476" t="str">
        <x:v>Instituto Geral de Perícias</x:v>
      </x:c>
      <x:c r="E367" s="476" t="str">
        <x:v>Instituto Geral de Perícias</x:v>
      </x:c>
      <x:c r="F367" s="476" t="str">
        <x:v>41160001</x:v>
      </x:c>
      <x:c r="G367" s="476" t="str">
        <x:v>41160001-2021</x:v>
      </x:c>
      <x:c r="H367" s="476" t="str">
        <x:v>Informado/corrigido a partir do mapa</x:v>
      </x:c>
      <x:c r="I367" s="499" t="n">
        <x:v>400000</x:v>
      </x:c>
      <x:c r="J367" s="499" t="n">
        <x:v>586808.33</x:v>
      </x:c>
      <x:c r="K367" s="476" t="str">
        <x:v>Emenda individual</x:v>
      </x:c>
      <x:c r="L367" s="476" t="str">
        <x:v>Empenhado</x:v>
      </x:c>
      <x:c r="M367" s="499" t="n">
        <x:v>2687975.82</x:v>
      </x:c>
      <x:c r="N367" s="499" t="n">
        <x:v>3655159.25</x:v>
      </x:c>
      <x:c r="O367" s="499" t="n">
        <x:v>7175228.54</x:v>
      </x:c>
      <x:c r="P367" s="499" t="n">
        <x:v>0</x:v>
      </x:c>
      <x:c r="Q367" s="499" t="n">
        <x:v>0</x:v>
      </x:c>
      <x:c r="R367" s="476" t="str"/>
      <x:c r="S367" s="476" t="str">
        <x:v>87958583000146</x:v>
      </x:c>
      <x:c r="T367" s="476" t="str">
        <x:v>VALOR DIVERGENTE / COBERTURA DIFERENTE</x:v>
      </x:c>
      <x:c r="U367" s="476" t="str">
        <x:v>Alta</x:v>
      </x:c>
      <x:c r="V367" s="476" t="str">
        <x:v>Situação possivelmente desatualizada: SIGA/execução regionalizada mostra pagamento; CNPJ candidato na fonte SIGA: 87958583000146</x:v>
      </x:c>
      <x:c r="W367" s="476" t="str">
        <x:v>Município/localidade encontrado em fonte comparável, mas valor não fecha exatamente</x:v>
      </x:c>
      <x:c r="X367" s="476" t="str">
        <x:v>https://discricionarias.transferegov.sistema.gov.br/voluntarias/ConsultarProposta/ResultadoDaConsultaDeConvenioSelecionarConvenio.do?sequencialConvenio=916864&amp;Usr=guest&amp;Pwd=guest | https://discricionarias.transferegov.sistema.gov.br/voluntarias/ConsultarProposta/ResultadoDaConsultaDeConvenioSelecionarConvenio.do?sequencialConvenio=920455&amp;Usr=guest&amp;Pwd=guest</x:v>
      </x:c>
    </x:row>
    <x:row r="368">
      <x:c r="A368" t="n">
        <x:v>576</x:v>
      </x:c>
      <x:c r="B368" t="n">
        <x:v>2023</x:v>
      </x:c>
      <x:c r="C368" s="476" t="str">
        <x:v>Santo Antônio da Patrulha</x:v>
      </x:c>
      <x:c r="D368" s="476" t="str">
        <x:v>Prefeitura</x:v>
      </x:c>
      <x:c r="E368" s="476" t="str">
        <x:v>Prefeitura de Santo Antônio da Patrulha</x:v>
      </x:c>
      <x:c r="F368" s="476" t="str"/>
      <x:c r="G368" s="476" t="str"/>
      <x:c r="H368" s="476" t="str">
        <x:v>Sem nº conciliado</x:v>
      </x:c>
      <x:c r="I368" s="499" t="n">
        <x:v>400000</x:v>
      </x:c>
      <x:c r="J368" s="499" t="n">
        <x:v>471500</x:v>
      </x:c>
      <x:c r="K368" s="476" t="str">
        <x:v>Emenda Individual</x:v>
      </x:c>
      <x:c r="L368" s="476" t="str">
        <x:v>Empenhado</x:v>
      </x:c>
      <x:c r="M368" s="499" t="n">
        <x:v>0</x:v>
      </x:c>
      <x:c r="N368" s="499" t="n">
        <x:v>0</x:v>
      </x:c>
      <x:c r="O368" s="499" t="n">
        <x:v>0</x:v>
      </x:c>
      <x:c r="P368" s="499" t="n">
        <x:v>0</x:v>
      </x:c>
      <x:c r="Q368" s="499" t="n">
        <x:v>0</x:v>
      </x:c>
      <x:c r="R368" s="476" t="str"/>
      <x:c r="S368" s="476" t="str"/>
      <x:c r="T368" s="476" t="str">
        <x:v>SEM Nº / NÃO CONCILIADO</x:v>
      </x:c>
      <x:c r="U368" s="476" t="str">
        <x:v>Média</x:v>
      </x:c>
      <x:c r="V368" s="476" t="str"/>
      <x:c r="W368" s="476" t="str"/>
      <x:c r="X368" s="476" t="str"/>
    </x:row>
    <x:row r="369">
      <x:c r="A369" t="n">
        <x:v>577</x:v>
      </x:c>
      <x:c r="B369" t="n">
        <x:v>2023</x:v>
      </x:c>
      <x:c r="C369" s="476" t="str">
        <x:v>Presidente Lucena</x:v>
      </x:c>
      <x:c r="D369" s="476" t="str">
        <x:v>Prefeitura</x:v>
      </x:c>
      <x:c r="E369" s="476" t="str">
        <x:v>Prefeitura de Presidente Lucena</x:v>
      </x:c>
      <x:c r="F369" s="476" t="str"/>
      <x:c r="G369" s="476" t="str"/>
      <x:c r="H369" s="476" t="str">
        <x:v>Sem nº conciliado</x:v>
      </x:c>
      <x:c r="I369" s="499" t="n">
        <x:v>400000</x:v>
      </x:c>
      <x:c r="J369" s="499" t="n">
        <x:v>400000</x:v>
      </x:c>
      <x:c r="K369" s="476" t="str">
        <x:v>Emenda Individual</x:v>
      </x:c>
      <x:c r="L369" s="476" t="str">
        <x:v>Empenhado</x:v>
      </x:c>
      <x:c r="M369" s="499" t="n">
        <x:v>0</x:v>
      </x:c>
      <x:c r="N369" s="499" t="n">
        <x:v>0</x:v>
      </x:c>
      <x:c r="O369" s="499" t="n">
        <x:v>0</x:v>
      </x:c>
      <x:c r="P369" s="499" t="n">
        <x:v>0</x:v>
      </x:c>
      <x:c r="Q369" s="499" t="n">
        <x:v>0</x:v>
      </x:c>
      <x:c r="R369" s="476" t="str"/>
      <x:c r="S369" s="476" t="str"/>
      <x:c r="T369" s="476" t="str">
        <x:v>SEM Nº / NÃO CONCILIADO</x:v>
      </x:c>
      <x:c r="U369" s="476" t="str">
        <x:v>Média</x:v>
      </x:c>
      <x:c r="V369" s="476" t="str"/>
      <x:c r="W369" s="476" t="str"/>
      <x:c r="X369" s="476" t="str"/>
    </x:row>
    <x:row r="370">
      <x:c r="A370" t="n">
        <x:v>582</x:v>
      </x:c>
      <x:c r="B370" t="n">
        <x:v>2025</x:v>
      </x:c>
      <x:c r="C370" s="476" t="str">
        <x:v>Sinimbu</x:v>
      </x:c>
      <x:c r="D370" s="476" t="str">
        <x:v>Municipio De Sinimbu Sinimbu - Rs</x:v>
      </x:c>
      <x:c r="E370" s="476" t="str">
        <x:v>Prefeitura Municipal</x:v>
      </x:c>
      <x:c r="F370" s="476" t="str">
        <x:v>41160005</x:v>
      </x:c>
      <x:c r="G370" s="476" t="str">
        <x:v>41160005-2025</x:v>
      </x:c>
      <x:c r="H370" s="476" t="str">
        <x:v>Informado/corrigido a partir do mapa</x:v>
      </x:c>
      <x:c r="I370" s="499" t="n">
        <x:v>400000</x:v>
      </x:c>
      <x:c r="J370" s="499" t="n">
        <x:v>400000</x:v>
      </x:c>
      <x:c r="K370" s="476" t="str">
        <x:v>Emenda Individual</x:v>
      </x:c>
      <x:c r="L370" s="476"/>
      <x:c r="M370" s="499" t="n">
        <x:v>384205</x:v>
      </x:c>
      <x:c r="N370" s="499" t="n">
        <x:v>384205</x:v>
      </x:c>
      <x:c r="O370" s="499" t="n">
        <x:v>384205</x:v>
      </x:c>
      <x:c r="P370" s="499" t="n">
        <x:v>0</x:v>
      </x:c>
      <x:c r="Q370" s="499" t="n">
        <x:v>0</x:v>
      </x:c>
      <x:c r="R370" s="476" t="str"/>
      <x:c r="S370" s="476" t="str">
        <x:v>94577632000166</x:v>
      </x:c>
      <x:c r="T370" s="476" t="str">
        <x:v>VALOR DIVERGENTE / COBERTURA DIFERENTE</x:v>
      </x:c>
      <x:c r="U370" s="476" t="str">
        <x:v>Média</x:v>
      </x:c>
      <x:c r="V370" s="476" t="str">
        <x:v>Preencher situação: há pagamento identificado na fonte pública</x:v>
      </x:c>
      <x:c r="W370" s="476" t="str">
        <x:v>Município/localidade encontrado em fonte comparável, mas valor não fecha exatamente</x:v>
      </x:c>
      <x:c r="X370" s="476" t="str">
        <x:v>https://discricionarias.transferegov.sistema.gov.br/voluntarias/ConsultarProposta/ResultadoDaConsultaDeConvenioSelecionarConvenio.do?sequencialConvenio=975906&amp;Usr=guest&amp;Pwd=guest</x:v>
      </x:c>
    </x:row>
    <x:row r="371">
      <x:c r="A371" t="n">
        <x:v>583</x:v>
      </x:c>
      <x:c r="B371" t="n">
        <x:v>2025</x:v>
      </x:c>
      <x:c r="C371" s="476" t="str">
        <x:v>Erechim</x:v>
      </x:c>
      <x:c r="D371" s="476" t="str">
        <x:v>Municipio De Erechim Erechim - Rs</x:v>
      </x:c>
      <x:c r="E371" s="476" t="str">
        <x:v>Prefeitura Municipal</x:v>
      </x:c>
      <x:c r="F371" s="476" t="str">
        <x:v>41160005</x:v>
      </x:c>
      <x:c r="G371" s="476" t="str">
        <x:v>41160005-2025</x:v>
      </x:c>
      <x:c r="H371" s="476" t="str">
        <x:v>Informado/corrigido a partir do mapa</x:v>
      </x:c>
      <x:c r="I371" s="499" t="n">
        <x:v>400000</x:v>
      </x:c>
      <x:c r="J371" s="499" t="n">
        <x:v>400000</x:v>
      </x:c>
      <x:c r="K371" s="476" t="str">
        <x:v>Emenda Individual</x:v>
      </x:c>
      <x:c r="L371" s="476"/>
      <x:c r="M371" s="499" t="n">
        <x:v>384205</x:v>
      </x:c>
      <x:c r="N371" s="499" t="n">
        <x:v>384205</x:v>
      </x:c>
      <x:c r="O371" s="499" t="n">
        <x:v>384205</x:v>
      </x:c>
      <x:c r="P371" s="499" t="n">
        <x:v>0</x:v>
      </x:c>
      <x:c r="Q371" s="499" t="n">
        <x:v>0</x:v>
      </x:c>
      <x:c r="R371" s="476" t="str"/>
      <x:c r="S371" s="476" t="str">
        <x:v>87613477000120</x:v>
      </x:c>
      <x:c r="T371" s="476" t="str">
        <x:v>VALOR DIVERGENTE / COBERTURA DIFERENTE</x:v>
      </x:c>
      <x:c r="U371" s="476" t="str">
        <x:v>Média</x:v>
      </x:c>
      <x:c r="V371" s="476" t="str">
        <x:v>Preencher situação: há pagamento identificado na fonte pública</x:v>
      </x:c>
      <x:c r="W371" s="476" t="str">
        <x:v>Município/localidade encontrado em fonte comparável, mas valor não fecha exatamente</x:v>
      </x:c>
      <x:c r="X371" s="476" t="str">
        <x:v>https://discricionarias.transferegov.sistema.gov.br/voluntarias/ConsultarProposta/ResultadoDaConsultaDeConvenioSelecionarConvenio.do?sequencialConvenio=976252&amp;Usr=guest&amp;Pwd=guest</x:v>
      </x:c>
    </x:row>
    <x:row r="372">
      <x:c r="A372" t="n">
        <x:v>584</x:v>
      </x:c>
      <x:c r="B372" t="n">
        <x:v>2025</x:v>
      </x:c>
      <x:c r="C372" s="476" t="str">
        <x:v>Espumoso</x:v>
      </x:c>
      <x:c r="D372" s="476" t="str">
        <x:v>Municipio De Espumoso Espumoso - Rs</x:v>
      </x:c>
      <x:c r="E372" s="476" t="str">
        <x:v>Prefeitura Municipal</x:v>
      </x:c>
      <x:c r="F372" s="476" t="str">
        <x:v>41160005</x:v>
      </x:c>
      <x:c r="G372" s="476" t="str">
        <x:v>41160005-2025</x:v>
      </x:c>
      <x:c r="H372" s="476" t="str">
        <x:v>Informado/corrigido a partir do mapa</x:v>
      </x:c>
      <x:c r="I372" s="499" t="n">
        <x:v>400000</x:v>
      </x:c>
      <x:c r="J372" s="499" t="n">
        <x:v>400000</x:v>
      </x:c>
      <x:c r="K372" s="476" t="str">
        <x:v>Emenda Individual</x:v>
      </x:c>
      <x:c r="L372" s="476"/>
      <x:c r="M372" s="499" t="n">
        <x:v>384205</x:v>
      </x:c>
      <x:c r="N372" s="499" t="n">
        <x:v>384205</x:v>
      </x:c>
      <x:c r="O372" s="499" t="n">
        <x:v>384205</x:v>
      </x:c>
      <x:c r="P372" s="499" t="n">
        <x:v>0</x:v>
      </x:c>
      <x:c r="Q372" s="499" t="n">
        <x:v>0</x:v>
      </x:c>
      <x:c r="R372" s="476" t="str"/>
      <x:c r="S372" s="476" t="str">
        <x:v>87612743000109</x:v>
      </x:c>
      <x:c r="T372" s="476" t="str">
        <x:v>VALOR DIVERGENTE / COBERTURA DIFERENTE</x:v>
      </x:c>
      <x:c r="U372" s="476" t="str">
        <x:v>Média</x:v>
      </x:c>
      <x:c r="V372" s="476" t="str">
        <x:v>Preencher situação: há pagamento identificado na fonte pública</x:v>
      </x:c>
      <x:c r="W372" s="476" t="str">
        <x:v>Município/localidade encontrado em fonte comparável, mas valor não fecha exatamente</x:v>
      </x:c>
      <x:c r="X372" s="476" t="str">
        <x:v>https://discricionarias.transferegov.sistema.gov.br/voluntarias/ConsultarProposta/ResultadoDaConsultaDeConvenioSelecionarConvenio.do?sequencialConvenio=976029&amp;Usr=guest&amp;Pwd=guest</x:v>
      </x:c>
    </x:row>
    <x:row r="373">
      <x:c r="A373" t="n">
        <x:v>585</x:v>
      </x:c>
      <x:c r="B373" t="n">
        <x:v>2025</x:v>
      </x:c>
      <x:c r="C373" s="476" t="str">
        <x:v>Porto Mauá</x:v>
      </x:c>
      <x:c r="D373" s="476" t="str">
        <x:v>Municipio De Porto Maua Porto Mauá - Rs</x:v>
      </x:c>
      <x:c r="E373" s="476" t="str">
        <x:v>Prefeitura Municipal</x:v>
      </x:c>
      <x:c r="F373" s="476" t="str">
        <x:v>41160005</x:v>
      </x:c>
      <x:c r="G373" s="476" t="str">
        <x:v>41160005-2025</x:v>
      </x:c>
      <x:c r="H373" s="476" t="str">
        <x:v>Informado/corrigido a partir do mapa</x:v>
      </x:c>
      <x:c r="I373" s="499" t="n">
        <x:v>400000</x:v>
      </x:c>
      <x:c r="J373" s="499" t="n">
        <x:v>400000</x:v>
      </x:c>
      <x:c r="K373" s="476" t="str">
        <x:v>Emenda Individual</x:v>
      </x:c>
      <x:c r="L373" s="476"/>
      <x:c r="M373" s="499" t="n">
        <x:v>0</x:v>
      </x:c>
      <x:c r="N373" s="499" t="n">
        <x:v>384205</x:v>
      </x:c>
      <x:c r="O373" s="499" t="n">
        <x:v>0</x:v>
      </x:c>
      <x:c r="P373" s="499" t="n">
        <x:v>0</x:v>
      </x:c>
      <x:c r="Q373" s="499" t="n">
        <x:v>0</x:v>
      </x:c>
      <x:c r="R373" s="476" t="str"/>
      <x:c r="S373" s="476" t="str"/>
      <x:c r="T373" s="476" t="str">
        <x:v>DESTINO/INSTRUMENTO CONFIRMADO; VALOR NÃO COMPARÁVEL</x:v>
      </x:c>
      <x:c r="U373" s="476" t="str">
        <x:v>Média</x:v>
      </x:c>
      <x:c r="V373" s="476" t="str"/>
      <x:c r="W373" s="476" t="str">
        <x:v>Há instrumento do Transferegov para a emenda/município; valores do instrumento não foram usados como prova do valor da emenda</x:v>
      </x:c>
      <x:c r="X373" s="476" t="str">
        <x:v>https://discricionarias.transferegov.sistema.gov.br/voluntarias/ConsultarProposta/ResultadoDaConsultaDeConvenioSelecionarConvenio.do?sequencialConvenio=976025&amp;Usr=guest&amp;Pwd=guest</x:v>
      </x:c>
    </x:row>
    <x:row r="374">
      <x:c r="A374" t="n">
        <x:v>586</x:v>
      </x:c>
      <x:c r="B374" t="n">
        <x:v>2025</x:v>
      </x:c>
      <x:c r="C374" s="476" t="str">
        <x:v>Santiago</x:v>
      </x:c>
      <x:c r="D374" s="476" t="str">
        <x:v>Municipio De Santiago Santiago - Rs</x:v>
      </x:c>
      <x:c r="E374" s="476" t="str">
        <x:v>Prefeitura Municipal</x:v>
      </x:c>
      <x:c r="F374" s="476" t="str">
        <x:v>41160005</x:v>
      </x:c>
      <x:c r="G374" s="476" t="str">
        <x:v>41160005-2025</x:v>
      </x:c>
      <x:c r="H374" s="476" t="str">
        <x:v>Informado/corrigido a partir do mapa</x:v>
      </x:c>
      <x:c r="I374" s="499" t="n">
        <x:v>400000</x:v>
      </x:c>
      <x:c r="J374" s="499" t="n">
        <x:v>400000</x:v>
      </x:c>
      <x:c r="K374" s="476" t="str">
        <x:v>Emenda Individual</x:v>
      </x:c>
      <x:c r="L374" s="476"/>
      <x:c r="M374" s="499" t="n">
        <x:v>0</x:v>
      </x:c>
      <x:c r="N374" s="499" t="n">
        <x:v>384205</x:v>
      </x:c>
      <x:c r="O374" s="499" t="n">
        <x:v>0</x:v>
      </x:c>
      <x:c r="P374" s="499" t="n">
        <x:v>0</x:v>
      </x:c>
      <x:c r="Q374" s="499" t="n">
        <x:v>0</x:v>
      </x:c>
      <x:c r="R374" s="476" t="str"/>
      <x:c r="S374" s="476" t="str"/>
      <x:c r="T374" s="476" t="str">
        <x:v>DESTINO/INSTRUMENTO CONFIRMADO; VALOR NÃO COMPARÁVEL</x:v>
      </x:c>
      <x:c r="U374" s="476" t="str">
        <x:v>Média</x:v>
      </x:c>
      <x:c r="V374" s="476" t="str"/>
      <x:c r="W374" s="476" t="str">
        <x:v>Há instrumento do Transferegov para a emenda/município; valores do instrumento não foram usados como prova do valor da emenda</x:v>
      </x:c>
      <x:c r="X374" s="476" t="str">
        <x:v>https://discricionarias.transferegov.sistema.gov.br/voluntarias/ConsultarProposta/ResultadoDaConsultaDeConvenioSelecionarConvenio.do?sequencialConvenio=976205&amp;Usr=guest&amp;Pwd=guest</x:v>
      </x:c>
    </x:row>
    <x:row r="375">
      <x:c r="A375" t="n">
        <x:v>587</x:v>
      </x:c>
      <x:c r="B375" t="n">
        <x:v>2025</x:v>
      </x:c>
      <x:c r="C375" s="476" t="str">
        <x:v>Taquara</x:v>
      </x:c>
      <x:c r="D375" s="476" t="str">
        <x:v>Municipio De Taquara Taquara - Rs</x:v>
      </x:c>
      <x:c r="E375" s="476" t="str">
        <x:v>Prefeitura Municipal</x:v>
      </x:c>
      <x:c r="F375" s="476" t="str">
        <x:v>41160005</x:v>
      </x:c>
      <x:c r="G375" s="476" t="str">
        <x:v>41160005-2025</x:v>
      </x:c>
      <x:c r="H375" s="476" t="str">
        <x:v>Informado/corrigido a partir do mapa</x:v>
      </x:c>
      <x:c r="I375" s="499" t="n">
        <x:v>400000</x:v>
      </x:c>
      <x:c r="J375" s="499" t="n">
        <x:v>400000</x:v>
      </x:c>
      <x:c r="K375" s="476" t="str">
        <x:v>Emenda Individual</x:v>
      </x:c>
      <x:c r="L375" s="476"/>
      <x:c r="M375" s="499" t="n">
        <x:v>0</x:v>
      </x:c>
      <x:c r="N375" s="499" t="n">
        <x:v>384205</x:v>
      </x:c>
      <x:c r="O375" s="499" t="n">
        <x:v>0</x:v>
      </x:c>
      <x:c r="P375" s="499" t="n">
        <x:v>0</x:v>
      </x:c>
      <x:c r="Q375" s="499" t="n">
        <x:v>0</x:v>
      </x:c>
      <x:c r="R375" s="476" t="str"/>
      <x:c r="S375" s="476" t="str"/>
      <x:c r="T375" s="476" t="str">
        <x:v>DESTINO/INSTRUMENTO CONFIRMADO; VALOR NÃO COMPARÁVEL</x:v>
      </x:c>
      <x:c r="U375" s="476" t="str">
        <x:v>Média</x:v>
      </x:c>
      <x:c r="V375" s="476" t="str"/>
      <x:c r="W375" s="476" t="str">
        <x:v>Há instrumento do Transferegov para a emenda/município; valores do instrumento não foram usados como prova do valor da emenda</x:v>
      </x:c>
      <x:c r="X375" s="476" t="str">
        <x:v>https://discricionarias.transferegov.sistema.gov.br/voluntarias/ConsultarProposta/ResultadoDaConsultaDeConvenioSelecionarConvenio.do?sequencialConvenio=976027&amp;Usr=guest&amp;Pwd=guest</x:v>
      </x:c>
    </x:row>
    <x:row r="376">
      <x:c r="A376" t="n">
        <x:v>588</x:v>
      </x:c>
      <x:c r="B376" t="n">
        <x:v>2025</x:v>
      </x:c>
      <x:c r="C376" s="476" t="str">
        <x:v>Santa Maria</x:v>
      </x:c>
      <x:c r="D376" s="476" t="str">
        <x:v>Municipio De Santa Maria Santa Maria - Rs</x:v>
      </x:c>
      <x:c r="E376" s="476" t="str">
        <x:v>Prefeitura Municipal</x:v>
      </x:c>
      <x:c r="F376" s="476" t="str">
        <x:v>41160008</x:v>
      </x:c>
      <x:c r="G376" s="476" t="str">
        <x:v>41160008-2025</x:v>
      </x:c>
      <x:c r="H376" s="476" t="str">
        <x:v>Informado/corrigido a partir do mapa</x:v>
      </x:c>
      <x:c r="I376" s="499" t="n">
        <x:v>400000</x:v>
      </x:c>
      <x:c r="J376" s="499" t="n">
        <x:v>400000</x:v>
      </x:c>
      <x:c r="K376" s="476" t="str">
        <x:v>Emenda Individual</x:v>
      </x:c>
      <x:c r="L376" s="476"/>
      <x:c r="M376" s="499" t="n">
        <x:v>396000</x:v>
      </x:c>
      <x:c r="N376" s="499" t="n">
        <x:v>0</x:v>
      </x:c>
      <x:c r="O376" s="499" t="n">
        <x:v>0</x:v>
      </x:c>
      <x:c r="P376" s="499" t="n">
        <x:v>396000</x:v>
      </x:c>
      <x:c r="Q376" s="499" t="n">
        <x:v>0</x:v>
      </x:c>
      <x:c r="R376" s="476" t="str">
        <x:v>CIENTE</x:v>
      </x:c>
      <x:c r="S376" s="476" t="str">
        <x:v>88488366000100</x:v>
      </x:c>
      <x:c r="T376" s="476" t="str">
        <x:v>VALOR DIVERGENTE / COBERTURA DIFERENTE</x:v>
      </x:c>
      <x:c r="U376" s="476" t="str">
        <x:v>Média</x:v>
      </x:c>
      <x:c r="V376" s="476" t="str">
        <x:v>Revisar valor do grupo: PIX atual registra R$ 396,000.00; Atualizar situação com status do plano PIX: CIENTE (não equivale a pagamento)</x:v>
      </x:c>
      <x:c r="W376" s="476" t="str">
        <x:v>Município/localidade encontrado em fonte comparável, mas valor não fecha exatamente</x:v>
      </x:c>
      <x:c r="X376" s="476" t="str">
        <x:v>https://especiais.transferegov.sistema.gov.br/transferencia-especial/plano-acao/detalhe/83999/dados-basicos</x:v>
      </x:c>
    </x:row>
    <x:row r="377">
      <x:c r="A377" t="n">
        <x:v>589</x:v>
      </x:c>
      <x:c r="B377" t="n">
        <x:v>2025</x:v>
      </x:c>
      <x:c r="C377" s="476" t="str">
        <x:v>Santo Ângelo</x:v>
      </x:c>
      <x:c r="D377" s="476" t="str">
        <x:v>Municipio De Santo Angelo Santo Ângelo - Rs</x:v>
      </x:c>
      <x:c r="E377" s="476" t="str">
        <x:v>Prefeitura Municipal</x:v>
      </x:c>
      <x:c r="F377" s="476" t="str">
        <x:v>41160008</x:v>
      </x:c>
      <x:c r="G377" s="476" t="str">
        <x:v>41160008-2025</x:v>
      </x:c>
      <x:c r="H377" s="476" t="str">
        <x:v>Informado/corrigido a partir do mapa</x:v>
      </x:c>
      <x:c r="I377" s="499" t="n">
        <x:v>400000</x:v>
      </x:c>
      <x:c r="J377" s="499" t="n">
        <x:v>400000</x:v>
      </x:c>
      <x:c r="K377" s="476" t="str">
        <x:v>Emenda Individual</x:v>
      </x:c>
      <x:c r="L377" s="476"/>
      <x:c r="M377" s="499" t="n">
        <x:v>396000</x:v>
      </x:c>
      <x:c r="N377" s="499" t="n">
        <x:v>0</x:v>
      </x:c>
      <x:c r="O377" s="499" t="n">
        <x:v>0</x:v>
      </x:c>
      <x:c r="P377" s="499" t="n">
        <x:v>396000</x:v>
      </x:c>
      <x:c r="Q377" s="499" t="n">
        <x:v>0</x:v>
      </x:c>
      <x:c r="R377" s="476" t="str">
        <x:v>CIENTE</x:v>
      </x:c>
      <x:c r="S377" s="476" t="str">
        <x:v>87613071000148</x:v>
      </x:c>
      <x:c r="T377" s="476" t="str">
        <x:v>VALOR DIVERGENTE / COBERTURA DIFERENTE</x:v>
      </x:c>
      <x:c r="U377" s="476" t="str">
        <x:v>Média</x:v>
      </x:c>
      <x:c r="V377" s="476" t="str">
        <x:v>Revisar valor do grupo: PIX atual registra R$ 396,000.00; Atualizar situação com status do plano PIX: CIENTE (não equivale a pagamento)</x:v>
      </x:c>
      <x:c r="W377" s="476" t="str">
        <x:v>Município/localidade encontrado em fonte comparável, mas valor não fecha exatamente</x:v>
      </x:c>
      <x:c r="X377" s="476" t="str">
        <x:v>https://especiais.transferegov.sistema.gov.br/transferencia-especial/plano-acao/detalhe/83989/dados-basicos</x:v>
      </x:c>
    </x:row>
    <x:row r="378">
      <x:c r="A378" t="n">
        <x:v>590</x:v>
      </x:c>
      <x:c r="B378" t="n">
        <x:v>2025</x:v>
      </x:c>
      <x:c r="C378" s="476" t="str">
        <x:v>Uruguaiana</x:v>
      </x:c>
      <x:c r="D378" s="476" t="str">
        <x:v>Municipio De Uruguaiana Uruguaiana - Rs</x:v>
      </x:c>
      <x:c r="E378" s="476" t="str">
        <x:v>Prefeitura Municipal</x:v>
      </x:c>
      <x:c r="F378" s="476" t="str">
        <x:v>41160008</x:v>
      </x:c>
      <x:c r="G378" s="476" t="str">
        <x:v>41160008-2025</x:v>
      </x:c>
      <x:c r="H378" s="476" t="str">
        <x:v>Informado/corrigido a partir do mapa</x:v>
      </x:c>
      <x:c r="I378" s="499" t="n">
        <x:v>400000</x:v>
      </x:c>
      <x:c r="J378" s="499" t="n">
        <x:v>400000</x:v>
      </x:c>
      <x:c r="K378" s="476" t="str">
        <x:v>Emenda Individual</x:v>
      </x:c>
      <x:c r="L378" s="476"/>
      <x:c r="M378" s="499" t="n">
        <x:v>396000</x:v>
      </x:c>
      <x:c r="N378" s="499" t="n">
        <x:v>0</x:v>
      </x:c>
      <x:c r="O378" s="499" t="n">
        <x:v>0</x:v>
      </x:c>
      <x:c r="P378" s="499" t="n">
        <x:v>396000</x:v>
      </x:c>
      <x:c r="Q378" s="499" t="n">
        <x:v>0</x:v>
      </x:c>
      <x:c r="R378" s="476" t="str">
        <x:v>CIENTE</x:v>
      </x:c>
      <x:c r="S378" s="476" t="str">
        <x:v>88131164000107</x:v>
      </x:c>
      <x:c r="T378" s="476" t="str">
        <x:v>VALOR DIVERGENTE / COBERTURA DIFERENTE</x:v>
      </x:c>
      <x:c r="U378" s="476" t="str">
        <x:v>Média</x:v>
      </x:c>
      <x:c r="V378" s="476" t="str">
        <x:v>Revisar valor do grupo: PIX atual registra R$ 396,000.00; Atualizar situação com status do plano PIX: CIENTE (não equivale a pagamento)</x:v>
      </x:c>
      <x:c r="W378" s="476" t="str">
        <x:v>Município/localidade encontrado em fonte comparável, mas valor não fecha exatamente</x:v>
      </x:c>
      <x:c r="X378" s="476" t="str">
        <x:v>https://especiais.transferegov.sistema.gov.br/transferencia-especial/plano-acao/detalhe/84002/dados-basicos</x:v>
      </x:c>
    </x:row>
    <x:row r="379">
      <x:c r="A379" t="n">
        <x:v>591</x:v>
      </x:c>
      <x:c r="B379" t="n">
        <x:v>2025</x:v>
      </x:c>
      <x:c r="C379" s="476" t="str">
        <x:v>Vespasiano Corrêa</x:v>
      </x:c>
      <x:c r="D379" s="476" t="str">
        <x:v>Municipio De Vespasiano Correa Vespasiano Corrêa - Rs</x:v>
      </x:c>
      <x:c r="E379" s="476" t="str">
        <x:v>Prefeitura Municipal</x:v>
      </x:c>
      <x:c r="F379" s="476" t="str">
        <x:v>41160007</x:v>
      </x:c>
      <x:c r="G379" s="476" t="str">
        <x:v>41160007-2025</x:v>
      </x:c>
      <x:c r="H379" s="476" t="str">
        <x:v>Informado/corrigido a partir do mapa</x:v>
      </x:c>
      <x:c r="I379" s="499" t="n">
        <x:v>400000</x:v>
      </x:c>
      <x:c r="J379" s="499" t="n">
        <x:v>400000</x:v>
      </x:c>
      <x:c r="K379" s="476" t="str">
        <x:v>Emenda Individual</x:v>
      </x:c>
      <x:c r="L379" s="476"/>
      <x:c r="M379" s="499" t="n">
        <x:v>396000</x:v>
      </x:c>
      <x:c r="N379" s="499" t="n">
        <x:v>0</x:v>
      </x:c>
      <x:c r="O379" s="499" t="n">
        <x:v>0</x:v>
      </x:c>
      <x:c r="P379" s="499" t="n">
        <x:v>396000</x:v>
      </x:c>
      <x:c r="Q379" s="499" t="n">
        <x:v>0</x:v>
      </x:c>
      <x:c r="R379" s="476" t="str">
        <x:v>CIENTE</x:v>
      </x:c>
      <x:c r="S379" s="476" t="str">
        <x:v>01611117000174</x:v>
      </x:c>
      <x:c r="T379" s="476" t="str">
        <x:v>VALOR DIVERGENTE / COBERTURA DIFERENTE</x:v>
      </x:c>
      <x:c r="U379" s="476" t="str">
        <x:v>Média</x:v>
      </x:c>
      <x:c r="V379" s="476" t="str">
        <x:v>Revisar valor do grupo: PIX atual registra R$ 396,000.00; Atualizar situação com status do plano PIX: CIENTE (não equivale a pagamento)</x:v>
      </x:c>
      <x:c r="W379" s="476" t="str">
        <x:v>Município/localidade encontrado em fonte comparável, mas valor não fecha exatamente</x:v>
      </x:c>
      <x:c r="X379" s="476" t="str">
        <x:v>https://especiais.transferegov.sistema.gov.br/transferencia-especial/plano-acao/detalhe/81245/dados-basicos</x:v>
      </x:c>
    </x:row>
    <x:row r="380">
      <x:c r="A380" t="n">
        <x:v>592</x:v>
      </x:c>
      <x:c r="B380" t="n">
        <x:v>2026</x:v>
      </x:c>
      <x:c r="C380" s="476" t="str">
        <x:v>Alto Feliz</x:v>
      </x:c>
      <x:c r="D380" s="476" t="str">
        <x:v>Alto Feliz</x:v>
      </x:c>
      <x:c r="E380" s="476"/>
      <x:c r="F380" s="476" t="str">
        <x:v>41160012</x:v>
      </x:c>
      <x:c r="G380" s="476" t="str">
        <x:v>41160012-2026</x:v>
      </x:c>
      <x:c r="H380" s="476" t="str">
        <x:v>Informado/corrigido a partir do mapa</x:v>
      </x:c>
      <x:c r="I380" s="499" t="n">
        <x:v>400000</x:v>
      </x:c>
      <x:c r="J380" s="499" t="n">
        <x:v>400000</x:v>
      </x:c>
      <x:c r="K380" s="476" t="str">
        <x:v>Emenda individual</x:v>
      </x:c>
      <x:c r="L380" s="476"/>
      <x:c r="M380" s="499" t="n">
        <x:v>0</x:v>
      </x:c>
      <x:c r="N380" s="499" t="n">
        <x:v>389864</x:v>
      </x:c>
      <x:c r="O380" s="499" t="n">
        <x:v>0</x:v>
      </x:c>
      <x:c r="P380" s="499" t="n">
        <x:v>0</x:v>
      </x:c>
      <x:c r="Q380" s="499" t="n">
        <x:v>0</x:v>
      </x:c>
      <x:c r="R380" s="476" t="str"/>
      <x:c r="S380" s="476" t="str"/>
      <x:c r="T380" s="476" t="str">
        <x:v>DESTINO/INSTRUMENTO CONFIRMADO; VALOR NÃO COMPARÁVEL</x:v>
      </x:c>
      <x:c r="U380" s="476" t="str">
        <x:v>Média</x:v>
      </x:c>
      <x:c r="V380" s="476" t="str"/>
      <x:c r="W380" s="476" t="str">
        <x:v>Há instrumento do Transferegov para a emenda/município; valores do instrumento não foram usados como prova do valor da emenda</x:v>
      </x:c>
      <x:c r="X380" s="476" t="str">
        <x:v>https://discricionarias.transferegov.sistema.gov.br/voluntarias/ConsultarProposta/ResultadoDaConsultaDeConvenioSelecionarConvenio.do?sequencialConvenio=993561&amp;Usr=guest&amp;Pwd=guest</x:v>
      </x:c>
    </x:row>
    <x:row r="381">
      <x:c r="A381" t="n">
        <x:v>593</x:v>
      </x:c>
      <x:c r="B381" t="n">
        <x:v>2026</x:v>
      </x:c>
      <x:c r="C381" s="476" t="str">
        <x:v>Bossoroca</x:v>
      </x:c>
      <x:c r="D381" s="476" t="str">
        <x:v>Bossoroca</x:v>
      </x:c>
      <x:c r="E381" s="476" t="str">
        <x:v>Municipio de Bossoroca</x:v>
      </x:c>
      <x:c r="F381" s="476" t="str">
        <x:v>41160012</x:v>
      </x:c>
      <x:c r="G381" s="476" t="str">
        <x:v>41160012-2026</x:v>
      </x:c>
      <x:c r="H381" s="476" t="str">
        <x:v>Informado/corrigido a partir do mapa</x:v>
      </x:c>
      <x:c r="I381" s="499" t="n">
        <x:v>400000</x:v>
      </x:c>
      <x:c r="J381" s="499" t="n">
        <x:v>400000</x:v>
      </x:c>
      <x:c r="K381" s="476" t="str">
        <x:v>Emenda individual</x:v>
      </x:c>
      <x:c r="L381" s="476"/>
      <x:c r="M381" s="499" t="n">
        <x:v>0</x:v>
      </x:c>
      <x:c r="N381" s="499" t="n">
        <x:v>389864</x:v>
      </x:c>
      <x:c r="O381" s="499" t="n">
        <x:v>0</x:v>
      </x:c>
      <x:c r="P381" s="499" t="n">
        <x:v>0</x:v>
      </x:c>
      <x:c r="Q381" s="499" t="n">
        <x:v>0</x:v>
      </x:c>
      <x:c r="R381" s="476" t="str"/>
      <x:c r="S381" s="476" t="str"/>
      <x:c r="T381" s="476" t="str">
        <x:v>DESTINO/INSTRUMENTO CONFIRMADO; VALOR NÃO COMPARÁVEL</x:v>
      </x:c>
      <x:c r="U381" s="476" t="str">
        <x:v>Média</x:v>
      </x:c>
      <x:c r="V381" s="476" t="str"/>
      <x:c r="W381" s="476" t="str">
        <x:v>Há instrumento do Transferegov para a emenda/município; valores do instrumento não foram usados como prova do valor da emenda</x:v>
      </x:c>
      <x:c r="X381" s="476" t="str">
        <x:v>https://discricionarias.transferegov.sistema.gov.br/voluntarias/ConsultarProposta/ResultadoDaConsultaDeConvenioSelecionarConvenio.do?sequencialConvenio=997088&amp;Usr=guest&amp;Pwd=guest</x:v>
      </x:c>
    </x:row>
    <x:row r="382">
      <x:c r="A382" t="n">
        <x:v>594</x:v>
      </x:c>
      <x:c r="B382" t="n">
        <x:v>2026</x:v>
      </x:c>
      <x:c r="C382" s="476" t="str">
        <x:v>Campina das Missões</x:v>
      </x:c>
      <x:c r="D382" s="476" t="str">
        <x:v>Campina das Missões</x:v>
      </x:c>
      <x:c r="E382" s="476" t="str">
        <x:v>Municipio de Campina Das Missoes</x:v>
      </x:c>
      <x:c r="F382" s="476" t="str">
        <x:v>41160012</x:v>
      </x:c>
      <x:c r="G382" s="476" t="str">
        <x:v>41160012-2026</x:v>
      </x:c>
      <x:c r="H382" s="476" t="str">
        <x:v>Informado/corrigido a partir do mapa</x:v>
      </x:c>
      <x:c r="I382" s="499" t="n">
        <x:v>400000</x:v>
      </x:c>
      <x:c r="J382" s="499" t="n">
        <x:v>400000</x:v>
      </x:c>
      <x:c r="K382" s="476" t="str">
        <x:v>Emenda individual</x:v>
      </x:c>
      <x:c r="L382" s="476"/>
      <x:c r="M382" s="499" t="n">
        <x:v>0</x:v>
      </x:c>
      <x:c r="N382" s="499" t="n">
        <x:v>389864</x:v>
      </x:c>
      <x:c r="O382" s="499" t="n">
        <x:v>0</x:v>
      </x:c>
      <x:c r="P382" s="499" t="n">
        <x:v>0</x:v>
      </x:c>
      <x:c r="Q382" s="499" t="n">
        <x:v>0</x:v>
      </x:c>
      <x:c r="R382" s="476" t="str"/>
      <x:c r="S382" s="476" t="str"/>
      <x:c r="T382" s="476" t="str">
        <x:v>DESTINO/INSTRUMENTO CONFIRMADO; VALOR NÃO COMPARÁVEL</x:v>
      </x:c>
      <x:c r="U382" s="476" t="str">
        <x:v>Média</x:v>
      </x:c>
      <x:c r="V382" s="476" t="str"/>
      <x:c r="W382" s="476" t="str">
        <x:v>Há instrumento do Transferegov para a emenda/município; valores do instrumento não foram usados como prova do valor da emenda</x:v>
      </x:c>
      <x:c r="X382" s="476" t="str">
        <x:v>https://discricionarias.transferegov.sistema.gov.br/voluntarias/ConsultarProposta/ResultadoDaConsultaDeConvenioSelecionarConvenio.do?sequencialConvenio=994384&amp;Usr=guest&amp;Pwd=guest</x:v>
      </x:c>
    </x:row>
    <x:row r="383">
      <x:c r="A383" t="n">
        <x:v>595</x:v>
      </x:c>
      <x:c r="B383" t="n">
        <x:v>2026</x:v>
      </x:c>
      <x:c r="C383" s="476" t="str">
        <x:v>Capela de Santana</x:v>
      </x:c>
      <x:c r="D383" s="476" t="str">
        <x:v>Capela de Santana</x:v>
      </x:c>
      <x:c r="E383" s="476" t="str">
        <x:v>Municipio de Capela de Santana</x:v>
      </x:c>
      <x:c r="F383" s="476" t="str">
        <x:v>41160012</x:v>
      </x:c>
      <x:c r="G383" s="476" t="str">
        <x:v>41160012-2026</x:v>
      </x:c>
      <x:c r="H383" s="476" t="str">
        <x:v>Informado/corrigido a partir do mapa</x:v>
      </x:c>
      <x:c r="I383" s="499" t="n">
        <x:v>400000</x:v>
      </x:c>
      <x:c r="J383" s="499" t="n">
        <x:v>400000</x:v>
      </x:c>
      <x:c r="K383" s="476" t="str">
        <x:v>Emenda individual</x:v>
      </x:c>
      <x:c r="L383" s="476"/>
      <x:c r="M383" s="499" t="n">
        <x:v>0</x:v>
      </x:c>
      <x:c r="N383" s="499" t="n">
        <x:v>389864</x:v>
      </x:c>
      <x:c r="O383" s="499" t="n">
        <x:v>0</x:v>
      </x:c>
      <x:c r="P383" s="499" t="n">
        <x:v>0</x:v>
      </x:c>
      <x:c r="Q383" s="499" t="n">
        <x:v>0</x:v>
      </x:c>
      <x:c r="R383" s="476" t="str"/>
      <x:c r="S383" s="476" t="str"/>
      <x:c r="T383" s="476" t="str">
        <x:v>DESTINO/INSTRUMENTO CONFIRMADO; VALOR NÃO COMPARÁVEL</x:v>
      </x:c>
      <x:c r="U383" s="476" t="str">
        <x:v>Média</x:v>
      </x:c>
      <x:c r="V383" s="476" t="str"/>
      <x:c r="W383" s="476" t="str">
        <x:v>Há instrumento do Transferegov para a emenda/município; valores do instrumento não foram usados como prova do valor da emenda</x:v>
      </x:c>
      <x:c r="X383" s="476" t="str">
        <x:v>https://discricionarias.transferegov.sistema.gov.br/voluntarias/ConsultarProposta/ResultadoDaConsultaDeConvenioSelecionarConvenio.do?sequencialConvenio=994982&amp;Usr=guest&amp;Pwd=guest</x:v>
      </x:c>
    </x:row>
    <x:row r="384">
      <x:c r="A384" t="n">
        <x:v>596</x:v>
      </x:c>
      <x:c r="B384" t="n">
        <x:v>2026</x:v>
      </x:c>
      <x:c r="C384" s="476" t="str">
        <x:v>Casca</x:v>
      </x:c>
      <x:c r="D384" s="476" t="str">
        <x:v>Casca</x:v>
      </x:c>
      <x:c r="E384" s="476" t="str">
        <x:v>Municipio de Casca</x:v>
      </x:c>
      <x:c r="F384" s="476" t="str">
        <x:v>41160012</x:v>
      </x:c>
      <x:c r="G384" s="476" t="str">
        <x:v>41160012-2026</x:v>
      </x:c>
      <x:c r="H384" s="476" t="str">
        <x:v>Informado/corrigido a partir do mapa</x:v>
      </x:c>
      <x:c r="I384" s="499" t="n">
        <x:v>400000</x:v>
      </x:c>
      <x:c r="J384" s="499" t="n">
        <x:v>400000</x:v>
      </x:c>
      <x:c r="K384" s="476" t="str">
        <x:v>Emenda individual</x:v>
      </x:c>
      <x:c r="L384" s="476"/>
      <x:c r="M384" s="499" t="n">
        <x:v>0</x:v>
      </x:c>
      <x:c r="N384" s="499" t="n">
        <x:v>389864</x:v>
      </x:c>
      <x:c r="O384" s="499" t="n">
        <x:v>0</x:v>
      </x:c>
      <x:c r="P384" s="499" t="n">
        <x:v>0</x:v>
      </x:c>
      <x:c r="Q384" s="499" t="n">
        <x:v>0</x:v>
      </x:c>
      <x:c r="R384" s="476" t="str"/>
      <x:c r="S384" s="476" t="str"/>
      <x:c r="T384" s="476" t="str">
        <x:v>DESTINO/INSTRUMENTO CONFIRMADO; VALOR NÃO COMPARÁVEL</x:v>
      </x:c>
      <x:c r="U384" s="476" t="str">
        <x:v>Média</x:v>
      </x:c>
      <x:c r="V384" s="476" t="str"/>
      <x:c r="W384" s="476" t="str">
        <x:v>Há instrumento do Transferegov para a emenda/município; valores do instrumento não foram usados como prova do valor da emenda</x:v>
      </x:c>
      <x:c r="X384" s="476" t="str">
        <x:v>https://discricionarias.transferegov.sistema.gov.br/voluntarias/ConsultarProposta/ResultadoDaConsultaDeConvenioSelecionarConvenio.do?sequencialConvenio=993688&amp;Usr=guest&amp;Pwd=guest</x:v>
      </x:c>
    </x:row>
    <x:row r="385">
      <x:c r="A385" t="n">
        <x:v>597</x:v>
      </x:c>
      <x:c r="B385" t="n">
        <x:v>2026</x:v>
      </x:c>
      <x:c r="C385" s="476" t="str">
        <x:v>Ibiaçá</x:v>
      </x:c>
      <x:c r="D385" s="476" t="str">
        <x:v>Ibiaçá</x:v>
      </x:c>
      <x:c r="E385" s="476" t="str">
        <x:v>Municipio de Ibiaca</x:v>
      </x:c>
      <x:c r="F385" s="476" t="str">
        <x:v>41160012</x:v>
      </x:c>
      <x:c r="G385" s="476" t="str">
        <x:v>41160012-2026</x:v>
      </x:c>
      <x:c r="H385" s="476" t="str">
        <x:v>Informado/corrigido a partir do mapa</x:v>
      </x:c>
      <x:c r="I385" s="499" t="n">
        <x:v>400000</x:v>
      </x:c>
      <x:c r="J385" s="499" t="n">
        <x:v>400000</x:v>
      </x:c>
      <x:c r="K385" s="476" t="str">
        <x:v>Emenda individual</x:v>
      </x:c>
      <x:c r="L385" s="476"/>
      <x:c r="M385" s="499" t="n">
        <x:v>0</x:v>
      </x:c>
      <x:c r="N385" s="499" t="n">
        <x:v>779728</x:v>
      </x:c>
      <x:c r="O385" s="499" t="n">
        <x:v>389864</x:v>
      </x:c>
      <x:c r="P385" s="499" t="n">
        <x:v>0</x:v>
      </x:c>
      <x:c r="Q385" s="499" t="n">
        <x:v>0</x:v>
      </x:c>
      <x:c r="R385" s="476" t="str"/>
      <x:c r="S385" s="476" t="str"/>
      <x:c r="T385" s="476" t="str">
        <x:v>DESTINO/INSTRUMENTO CONFIRMADO; VALOR NÃO COMPARÁVEL</x:v>
      </x:c>
      <x:c r="U385" s="476" t="str">
        <x:v>Média</x:v>
      </x:c>
      <x:c r="V385" s="476" t="str"/>
      <x:c r="W385" s="476" t="str">
        <x:v>Há instrumento do Transferegov para a emenda/município; valores do instrumento não foram usados como prova do valor da emenda</x:v>
      </x:c>
      <x:c r="X385" s="476" t="str">
        <x:v>https://discricionarias.transferegov.sistema.gov.br/voluntarias/ConsultarProposta/ResultadoDaConsultaDeConvenioSelecionarConvenio.do?sequencialConvenio=993911&amp;Usr=guest&amp;Pwd=guest</x:v>
      </x:c>
    </x:row>
    <x:row r="386">
      <x:c r="A386" t="n">
        <x:v>598</x:v>
      </x:c>
      <x:c r="B386" t="n">
        <x:v>2026</x:v>
      </x:c>
      <x:c r="C386" s="476" t="str">
        <x:v>Morro Reuter</x:v>
      </x:c>
      <x:c r="D386" s="476" t="str">
        <x:v>Morro Reuter</x:v>
      </x:c>
      <x:c r="E386" s="476" t="str">
        <x:v>Municipio de Morro Reuter</x:v>
      </x:c>
      <x:c r="F386" s="476" t="str">
        <x:v>41160012</x:v>
      </x:c>
      <x:c r="G386" s="476" t="str">
        <x:v>41160012-2026</x:v>
      </x:c>
      <x:c r="H386" s="476" t="str">
        <x:v>Informado/corrigido a partir do mapa</x:v>
      </x:c>
      <x:c r="I386" s="499" t="n">
        <x:v>400000</x:v>
      </x:c>
      <x:c r="J386" s="499" t="n">
        <x:v>400000</x:v>
      </x:c>
      <x:c r="K386" s="476" t="str">
        <x:v>Emenda individual</x:v>
      </x:c>
      <x:c r="L386" s="476"/>
      <x:c r="M386" s="499" t="n">
        <x:v>0</x:v>
      </x:c>
      <x:c r="N386" s="499" t="n">
        <x:v>389864</x:v>
      </x:c>
      <x:c r="O386" s="499" t="n">
        <x:v>0</x:v>
      </x:c>
      <x:c r="P386" s="499" t="n">
        <x:v>0</x:v>
      </x:c>
      <x:c r="Q386" s="499" t="n">
        <x:v>0</x:v>
      </x:c>
      <x:c r="R386" s="476" t="str"/>
      <x:c r="S386" s="476" t="str"/>
      <x:c r="T386" s="476" t="str">
        <x:v>DESTINO/INSTRUMENTO CONFIRMADO; VALOR NÃO COMPARÁVEL</x:v>
      </x:c>
      <x:c r="U386" s="476" t="str">
        <x:v>Média</x:v>
      </x:c>
      <x:c r="V386" s="476" t="str"/>
      <x:c r="W386" s="476" t="str">
        <x:v>Há instrumento do Transferegov para a emenda/município; valores do instrumento não foram usados como prova do valor da emenda</x:v>
      </x:c>
      <x:c r="X386" s="476" t="str">
        <x:v>https://discricionarias.transferegov.sistema.gov.br/voluntarias/ConsultarProposta/ResultadoDaConsultaDeConvenioSelecionarConvenio.do?sequencialConvenio=993559&amp;Usr=guest&amp;Pwd=guest</x:v>
      </x:c>
    </x:row>
    <x:row r="387">
      <x:c r="A387" t="n">
        <x:v>599</x:v>
      </x:c>
      <x:c r="B387" t="n">
        <x:v>2026</x:v>
      </x:c>
      <x:c r="C387" s="476" t="str">
        <x:v>Mostardas</x:v>
      </x:c>
      <x:c r="D387" s="476" t="str">
        <x:v>Mostardas</x:v>
      </x:c>
      <x:c r="E387" s="476" t="str">
        <x:v>Municipio de Mostardas</x:v>
      </x:c>
      <x:c r="F387" s="476" t="str">
        <x:v>41160012</x:v>
      </x:c>
      <x:c r="G387" s="476" t="str">
        <x:v>41160012-2026</x:v>
      </x:c>
      <x:c r="H387" s="476" t="str">
        <x:v>Informado/corrigido a partir do mapa</x:v>
      </x:c>
      <x:c r="I387" s="499" t="n">
        <x:v>400000</x:v>
      </x:c>
      <x:c r="J387" s="499" t="n">
        <x:v>400000</x:v>
      </x:c>
      <x:c r="K387" s="476" t="str">
        <x:v>Emenda individual</x:v>
      </x:c>
      <x:c r="L387" s="476"/>
      <x:c r="M387" s="499" t="n">
        <x:v>0</x:v>
      </x:c>
      <x:c r="N387" s="499" t="n">
        <x:v>389864</x:v>
      </x:c>
      <x:c r="O387" s="499" t="n">
        <x:v>0</x:v>
      </x:c>
      <x:c r="P387" s="499" t="n">
        <x:v>0</x:v>
      </x:c>
      <x:c r="Q387" s="499" t="n">
        <x:v>0</x:v>
      </x:c>
      <x:c r="R387" s="476" t="str"/>
      <x:c r="S387" s="476" t="str"/>
      <x:c r="T387" s="476" t="str">
        <x:v>DESTINO/INSTRUMENTO CONFIRMADO; VALOR NÃO COMPARÁVEL</x:v>
      </x:c>
      <x:c r="U387" s="476" t="str">
        <x:v>Média</x:v>
      </x:c>
      <x:c r="V387" s="476" t="str"/>
      <x:c r="W387" s="476" t="str">
        <x:v>Há instrumento do Transferegov para a emenda/município; valores do instrumento não foram usados como prova do valor da emenda</x:v>
      </x:c>
      <x:c r="X387" s="476" t="str">
        <x:v>https://discricionarias.transferegov.sistema.gov.br/voluntarias/ConsultarProposta/ResultadoDaConsultaDeConvenioSelecionarConvenio.do?sequencialConvenio=993562&amp;Usr=guest&amp;Pwd=guest</x:v>
      </x:c>
    </x:row>
    <x:row r="388">
      <x:c r="A388" t="n">
        <x:v>600</x:v>
      </x:c>
      <x:c r="B388" t="n">
        <x:v>2026</x:v>
      </x:c>
      <x:c r="C388" s="476" t="str">
        <x:v>Passo Fundo</x:v>
      </x:c>
      <x:c r="D388" s="476" t="str">
        <x:v>Passo Fundo</x:v>
      </x:c>
      <x:c r="E388" s="476" t="str">
        <x:v>Municipio de Passo Fundo</x:v>
      </x:c>
      <x:c r="F388" s="476" t="str">
        <x:v>41160012</x:v>
      </x:c>
      <x:c r="G388" s="476" t="str">
        <x:v>41160012-2026</x:v>
      </x:c>
      <x:c r="H388" s="476" t="str">
        <x:v>Informado/corrigido a partir do mapa</x:v>
      </x:c>
      <x:c r="I388" s="499" t="n">
        <x:v>400000</x:v>
      </x:c>
      <x:c r="J388" s="499" t="n">
        <x:v>400000</x:v>
      </x:c>
      <x:c r="K388" s="476" t="str">
        <x:v>Emenda individual</x:v>
      </x:c>
      <x:c r="L388" s="476"/>
      <x:c r="M388" s="499" t="n">
        <x:v>0</x:v>
      </x:c>
      <x:c r="N388" s="499" t="n">
        <x:v>0</x:v>
      </x:c>
      <x:c r="O388" s="499" t="n">
        <x:v>0</x:v>
      </x:c>
      <x:c r="P388" s="499" t="n">
        <x:v>0</x:v>
      </x:c>
      <x:c r="Q388" s="499" t="n">
        <x:v>0</x:v>
      </x:c>
      <x:c r="R388" s="476" t="str"/>
      <x:c r="S388" s="476" t="str"/>
      <x:c r="T388" s="476" t="str">
        <x:v>EMENDA CONFIRMADA; DESTINO NÃO CONFIRMADO</x:v>
      </x:c>
      <x:c r="U388" s="476" t="str">
        <x:v>Média</x:v>
      </x:c>
      <x:c r="V388" s="476" t="str"/>
      <x:c r="W388" s="476" t="str">
        <x:v>Nº existe no SIGA; destinatário específico não foi confirmado nas bases anexas</x:v>
      </x:c>
      <x:c r="X388" s="476" t="str"/>
    </x:row>
    <x:row r="389">
      <x:c r="A389" t="n">
        <x:v>601</x:v>
      </x:c>
      <x:c r="B389" t="n">
        <x:v>2026</x:v>
      </x:c>
      <x:c r="C389" s="476" t="str">
        <x:v>Santiago</x:v>
      </x:c>
      <x:c r="D389" s="476" t="str">
        <x:v>Santiago</x:v>
      </x:c>
      <x:c r="E389" s="476" t="str">
        <x:v>Municipio de Santiago</x:v>
      </x:c>
      <x:c r="F389" s="476" t="str">
        <x:v>41160012</x:v>
      </x:c>
      <x:c r="G389" s="476" t="str">
        <x:v>41160012-2026</x:v>
      </x:c>
      <x:c r="H389" s="476" t="str">
        <x:v>Informado/corrigido a partir do mapa</x:v>
      </x:c>
      <x:c r="I389" s="499" t="n">
        <x:v>400000</x:v>
      </x:c>
      <x:c r="J389" s="499" t="n">
        <x:v>400000</x:v>
      </x:c>
      <x:c r="K389" s="476" t="str">
        <x:v>Emenda individual</x:v>
      </x:c>
      <x:c r="L389" s="476"/>
      <x:c r="M389" s="499" t="n">
        <x:v>0</x:v>
      </x:c>
      <x:c r="N389" s="499" t="n">
        <x:v>389864</x:v>
      </x:c>
      <x:c r="O389" s="499" t="n">
        <x:v>0</x:v>
      </x:c>
      <x:c r="P389" s="499" t="n">
        <x:v>0</x:v>
      </x:c>
      <x:c r="Q389" s="499" t="n">
        <x:v>0</x:v>
      </x:c>
      <x:c r="R389" s="476" t="str"/>
      <x:c r="S389" s="476" t="str"/>
      <x:c r="T389" s="476" t="str">
        <x:v>DESTINO/INSTRUMENTO CONFIRMADO; VALOR NÃO COMPARÁVEL</x:v>
      </x:c>
      <x:c r="U389" s="476" t="str">
        <x:v>Média</x:v>
      </x:c>
      <x:c r="V389" s="476" t="str"/>
      <x:c r="W389" s="476" t="str">
        <x:v>Há instrumento do Transferegov para a emenda/município; valores do instrumento não foram usados como prova do valor da emenda</x:v>
      </x:c>
      <x:c r="X389" s="476" t="str">
        <x:v>https://discricionarias.transferegov.sistema.gov.br/voluntarias/ConsultarProposta/ResultadoDaConsultaDeConvenioSelecionarConvenio.do?sequencialConvenio=993920&amp;Usr=guest&amp;Pwd=guest</x:v>
      </x:c>
    </x:row>
    <x:row r="390">
      <x:c r="A390" t="n">
        <x:v>602</x:v>
      </x:c>
      <x:c r="B390" t="n">
        <x:v>2026</x:v>
      </x:c>
      <x:c r="C390" s="476" t="str">
        <x:v>São João do Polêsine</x:v>
      </x:c>
      <x:c r="D390" s="476" t="str">
        <x:v>São João do Polêsine</x:v>
      </x:c>
      <x:c r="E390" s="476" t="str">
        <x:v>Municipio de Sao Joao Do Polesine</x:v>
      </x:c>
      <x:c r="F390" s="476" t="str">
        <x:v>41160012</x:v>
      </x:c>
      <x:c r="G390" s="476" t="str">
        <x:v>41160012-2026</x:v>
      </x:c>
      <x:c r="H390" s="476" t="str">
        <x:v>Informado/corrigido a partir do mapa</x:v>
      </x:c>
      <x:c r="I390" s="499" t="n">
        <x:v>400000</x:v>
      </x:c>
      <x:c r="J390" s="499" t="n">
        <x:v>400000</x:v>
      </x:c>
      <x:c r="K390" s="476" t="str">
        <x:v>Emenda individual</x:v>
      </x:c>
      <x:c r="L390" s="476"/>
      <x:c r="M390" s="499" t="n">
        <x:v>0</x:v>
      </x:c>
      <x:c r="N390" s="499" t="n">
        <x:v>389864</x:v>
      </x:c>
      <x:c r="O390" s="499" t="n">
        <x:v>0</x:v>
      </x:c>
      <x:c r="P390" s="499" t="n">
        <x:v>0</x:v>
      </x:c>
      <x:c r="Q390" s="499" t="n">
        <x:v>0</x:v>
      </x:c>
      <x:c r="R390" s="476" t="str"/>
      <x:c r="S390" s="476" t="str"/>
      <x:c r="T390" s="476" t="str">
        <x:v>DESTINO/INSTRUMENTO CONFIRMADO; VALOR NÃO COMPARÁVEL</x:v>
      </x:c>
      <x:c r="U390" s="476" t="str">
        <x:v>Média</x:v>
      </x:c>
      <x:c r="V390" s="476" t="str"/>
      <x:c r="W390" s="476" t="str">
        <x:v>Há instrumento do Transferegov para a emenda/município; valores do instrumento não foram usados como prova do valor da emenda</x:v>
      </x:c>
      <x:c r="X390" s="476" t="str">
        <x:v>https://discricionarias.transferegov.sistema.gov.br/voluntarias/ConsultarProposta/ResultadoDaConsultaDeConvenioSelecionarConvenio.do?sequencialConvenio=993560&amp;Usr=guest&amp;Pwd=guest</x:v>
      </x:c>
    </x:row>
    <x:row r="391">
      <x:c r="A391" t="n">
        <x:v>603</x:v>
      </x:c>
      <x:c r="B391" t="n">
        <x:v>2026</x:v>
      </x:c>
      <x:c r="C391" s="476" t="str">
        <x:v>São Pedro do Sul</x:v>
      </x:c>
      <x:c r="D391" s="476" t="str">
        <x:v>São Pedro do Sul</x:v>
      </x:c>
      <x:c r="E391" s="476" t="str">
        <x:v>Municipio de Sao Pedro Do Sul</x:v>
      </x:c>
      <x:c r="F391" s="476" t="str">
        <x:v>41160012</x:v>
      </x:c>
      <x:c r="G391" s="476" t="str">
        <x:v>41160012-2026</x:v>
      </x:c>
      <x:c r="H391" s="476" t="str">
        <x:v>Informado/corrigido a partir do mapa</x:v>
      </x:c>
      <x:c r="I391" s="499" t="n">
        <x:v>400000</x:v>
      </x:c>
      <x:c r="J391" s="499" t="n">
        <x:v>400000</x:v>
      </x:c>
      <x:c r="K391" s="476" t="str">
        <x:v>Emenda individual</x:v>
      </x:c>
      <x:c r="L391" s="476"/>
      <x:c r="M391" s="499" t="n">
        <x:v>0</x:v>
      </x:c>
      <x:c r="N391" s="499" t="n">
        <x:v>389864</x:v>
      </x:c>
      <x:c r="O391" s="499" t="n">
        <x:v>0</x:v>
      </x:c>
      <x:c r="P391" s="499" t="n">
        <x:v>0</x:v>
      </x:c>
      <x:c r="Q391" s="499" t="n">
        <x:v>0</x:v>
      </x:c>
      <x:c r="R391" s="476" t="str"/>
      <x:c r="S391" s="476" t="str"/>
      <x:c r="T391" s="476" t="str">
        <x:v>DESTINO/INSTRUMENTO CONFIRMADO; VALOR NÃO COMPARÁVEL</x:v>
      </x:c>
      <x:c r="U391" s="476" t="str">
        <x:v>Média</x:v>
      </x:c>
      <x:c r="V391" s="476" t="str"/>
      <x:c r="W391" s="476" t="str">
        <x:v>Há instrumento do Transferegov para a emenda/município; valores do instrumento não foram usados como prova do valor da emenda</x:v>
      </x:c>
      <x:c r="X391" s="476" t="str">
        <x:v>https://discricionarias.transferegov.sistema.gov.br/voluntarias/ConsultarProposta/ResultadoDaConsultaDeConvenioSelecionarConvenio.do?sequencialConvenio=993690&amp;Usr=guest&amp;Pwd=guest</x:v>
      </x:c>
    </x:row>
    <x:row r="392">
      <x:c r="A392" t="n">
        <x:v>604</x:v>
      </x:c>
      <x:c r="B392" t="n">
        <x:v>2026</x:v>
      </x:c>
      <x:c r="C392" s="476" t="str">
        <x:v>Canguçu</x:v>
      </x:c>
      <x:c r="D392" s="476" t="str">
        <x:v>Sociedade Beneficente Do Hospital de Caridade</x:v>
      </x:c>
      <x:c r="E392" s="476" t="str">
        <x:v>Hospital de Caridade de Cangucu</x:v>
      </x:c>
      <x:c r="F392" s="476" t="str">
        <x:v>41160003</x:v>
      </x:c>
      <x:c r="G392" s="476" t="str">
        <x:v>41160003-2026</x:v>
      </x:c>
      <x:c r="H392" s="476" t="str">
        <x:v>Informado/corrigido a partir do mapa</x:v>
      </x:c>
      <x:c r="I392" s="499" t="n">
        <x:v>400000</x:v>
      </x:c>
      <x:c r="J392" s="499" t="n">
        <x:v>400000</x:v>
      </x:c>
      <x:c r="K392" s="476" t="str">
        <x:v>Emenda individual</x:v>
      </x:c>
      <x:c r="L392" s="476"/>
      <x:c r="M392" s="499" t="n">
        <x:v>0</x:v>
      </x:c>
      <x:c r="N392" s="499" t="n">
        <x:v>0</x:v>
      </x:c>
      <x:c r="O392" s="499" t="n">
        <x:v>0</x:v>
      </x:c>
      <x:c r="P392" s="499" t="n">
        <x:v>0</x:v>
      </x:c>
      <x:c r="Q392" s="499" t="n">
        <x:v>0</x:v>
      </x:c>
      <x:c r="R392" s="476" t="str"/>
      <x:c r="S392" s="476" t="str"/>
      <x:c r="T392" s="476" t="str">
        <x:v>EMENDA CONFIRMADA; DESTINO NÃO CONFIRMADO</x:v>
      </x:c>
      <x:c r="U392" s="476" t="str">
        <x:v>Média</x:v>
      </x:c>
      <x:c r="V392" s="476" t="str"/>
      <x:c r="W392" s="476" t="str">
        <x:v>Nº existe no SIGA; destinatário específico não foi confirmado nas bases anexas</x:v>
      </x:c>
      <x:c r="X392" s="476" t="str"/>
    </x:row>
    <x:row r="393">
      <x:c r="A393" t="n">
        <x:v>605</x:v>
      </x:c>
      <x:c r="B393" t="n">
        <x:v>2026</x:v>
      </x:c>
      <x:c r="C393" s="476" t="str">
        <x:v>Aceguá</x:v>
      </x:c>
      <x:c r="D393" s="476" t="str">
        <x:v>Aceguá</x:v>
      </x:c>
      <x:c r="E393" s="476" t="str">
        <x:v>Municipio de Acegua</x:v>
      </x:c>
      <x:c r="F393" s="476" t="str">
        <x:v>41160008</x:v>
      </x:c>
      <x:c r="G393" s="476" t="str">
        <x:v>41160008-2026</x:v>
      </x:c>
      <x:c r="H393" s="476" t="str">
        <x:v>Informado/corrigido a partir do mapa</x:v>
      </x:c>
      <x:c r="I393" s="499" t="n">
        <x:v>400000</x:v>
      </x:c>
      <x:c r="J393" s="499" t="n">
        <x:v>400000</x:v>
      </x:c>
      <x:c r="K393" s="476" t="str">
        <x:v>Emenda individual</x:v>
      </x:c>
      <x:c r="L393" s="476"/>
      <x:c r="M393" s="499" t="n">
        <x:v>0</x:v>
      </x:c>
      <x:c r="N393" s="499" t="n">
        <x:v>0</x:v>
      </x:c>
      <x:c r="O393" s="499" t="n">
        <x:v>0</x:v>
      </x:c>
      <x:c r="P393" s="499" t="n">
        <x:v>0</x:v>
      </x:c>
      <x:c r="Q393" s="499" t="n">
        <x:v>398000</x:v>
      </x:c>
      <x:c r="R393" s="476" t="str">
        <x:v>IMPEDIDO</x:v>
      </x:c>
      <x:c r="S393" s="476" t="str"/>
      <x:c r="T393" s="476" t="str">
        <x:v>VALOR DIVERGENTE / COBERTURA DIFERENTE</x:v>
      </x:c>
      <x:c r="U393" s="476" t="str">
        <x:v>Média</x:v>
      </x:c>
      <x:c r="V393" s="476" t="str">
        <x:v>Revisar valor do grupo: PIX atual registra R$ 398,000.00; Atualizar situação com status do plano PIX: IMPEDIDO (não equivale a pagamento); Plano PIX aparece somente como IMPEDIDO nas fontes anexas</x:v>
      </x:c>
      <x:c r="W393" s="476" t="str">
        <x:v>Município/localidade encontrado em fonte comparável, mas valor não fecha exatamente</x:v>
      </x:c>
      <x:c r="X393" s="476" t="str">
        <x:v>https://especiais.transferegov.sistema.gov.br/transferencia-especial/plano-acao/detalhe/96518/dados-basicos</x:v>
      </x:c>
    </x:row>
    <x:row r="394">
      <x:c r="A394" t="n">
        <x:v>606</x:v>
      </x:c>
      <x:c r="B394" t="n">
        <x:v>2026</x:v>
      </x:c>
      <x:c r="C394" s="476" t="str">
        <x:v>Água Santa</x:v>
      </x:c>
      <x:c r="D394" s="476" t="str">
        <x:v>Água Santa</x:v>
      </x:c>
      <x:c r="E394" s="476" t="str">
        <x:v>Municipio de Agua Santa</x:v>
      </x:c>
      <x:c r="F394" s="476" t="str">
        <x:v>41160008</x:v>
      </x:c>
      <x:c r="G394" s="476" t="str">
        <x:v>41160008-2026</x:v>
      </x:c>
      <x:c r="H394" s="476" t="str">
        <x:v>Informado/corrigido a partir do mapa</x:v>
      </x:c>
      <x:c r="I394" s="499" t="n">
        <x:v>400000</x:v>
      </x:c>
      <x:c r="J394" s="499" t="n">
        <x:v>400000</x:v>
      </x:c>
      <x:c r="K394" s="476" t="str">
        <x:v>Emenda individual</x:v>
      </x:c>
      <x:c r="L394" s="476"/>
      <x:c r="M394" s="499" t="n">
        <x:v>0</x:v>
      </x:c>
      <x:c r="N394" s="499" t="n">
        <x:v>0</x:v>
      </x:c>
      <x:c r="O394" s="499" t="n">
        <x:v>0</x:v>
      </x:c>
      <x:c r="P394" s="499" t="n">
        <x:v>398000</x:v>
      </x:c>
      <x:c r="Q394" s="499" t="n">
        <x:v>0</x:v>
      </x:c>
      <x:c r="R394" s="476" t="str">
        <x:v>CIENTE</x:v>
      </x:c>
      <x:c r="S394" s="476" t="str"/>
      <x:c r="T394" s="476" t="str">
        <x:v>VALOR DIVERGENTE / COBERTURA DIFERENTE</x:v>
      </x:c>
      <x:c r="U394" s="476" t="str">
        <x:v>Média</x:v>
      </x:c>
      <x:c r="V394" s="476" t="str">
        <x:v>Revisar valor do grupo: PIX atual registra R$ 398,000.00; Atualizar situação com status do plano PIX: CIENTE (não equivale a pagamento)</x:v>
      </x:c>
      <x:c r="W394" s="476" t="str">
        <x:v>Município/localidade encontrado em fonte comparável, mas valor não fecha exatamente</x:v>
      </x:c>
      <x:c r="X394" s="476" t="str">
        <x:v>https://especiais.transferegov.sistema.gov.br/transferencia-especial/plano-acao/detalhe/96527/dados-basicos</x:v>
      </x:c>
    </x:row>
    <x:row r="395">
      <x:c r="A395" t="n">
        <x:v>607</x:v>
      </x:c>
      <x:c r="B395" t="n">
        <x:v>2026</x:v>
      </x:c>
      <x:c r="C395" s="476" t="str">
        <x:v>Anta Gorda</x:v>
      </x:c>
      <x:c r="D395" s="476" t="str">
        <x:v>Anta Gorda</x:v>
      </x:c>
      <x:c r="E395" s="476" t="str">
        <x:v>Municipio de Anta Gorda</x:v>
      </x:c>
      <x:c r="F395" s="476" t="str">
        <x:v>41160008</x:v>
      </x:c>
      <x:c r="G395" s="476" t="str">
        <x:v>41160008-2026</x:v>
      </x:c>
      <x:c r="H395" s="476" t="str">
        <x:v>Informado/corrigido a partir do mapa</x:v>
      </x:c>
      <x:c r="I395" s="499" t="n">
        <x:v>400000</x:v>
      </x:c>
      <x:c r="J395" s="499" t="n">
        <x:v>400000</x:v>
      </x:c>
      <x:c r="K395" s="476" t="str">
        <x:v>Emenda individual</x:v>
      </x:c>
      <x:c r="L395" s="476"/>
      <x:c r="M395" s="499" t="n">
        <x:v>398000</x:v>
      </x:c>
      <x:c r="N395" s="499" t="n">
        <x:v>0</x:v>
      </x:c>
      <x:c r="O395" s="499" t="n">
        <x:v>0</x:v>
      </x:c>
      <x:c r="P395" s="499" t="n">
        <x:v>398000</x:v>
      </x:c>
      <x:c r="Q395" s="499" t="n">
        <x:v>0</x:v>
      </x:c>
      <x:c r="R395" s="476" t="str">
        <x:v>CIENTE</x:v>
      </x:c>
      <x:c r="S395" s="476" t="str">
        <x:v>87261509000176</x:v>
      </x:c>
      <x:c r="T395" s="476" t="str">
        <x:v>VALOR DIVERGENTE / COBERTURA DIFERENTE</x:v>
      </x:c>
      <x:c r="U395" s="476" t="str">
        <x:v>Média</x:v>
      </x:c>
      <x:c r="V395" s="476" t="str">
        <x:v>Revisar valor do grupo: PIX atual registra R$ 398,000.00; Atualizar situação com status do plano PIX: CIENTE (não equivale a pagamento)</x:v>
      </x:c>
      <x:c r="W395" s="476" t="str">
        <x:v>Município/localidade encontrado em fonte comparável, mas valor não fecha exatamente</x:v>
      </x:c>
      <x:c r="X395" s="476" t="str">
        <x:v>https://especiais.transferegov.sistema.gov.br/transferencia-especial/plano-acao/detalhe/96528/dados-basicos</x:v>
      </x:c>
    </x:row>
    <x:row r="396">
      <x:c r="A396" t="n">
        <x:v>608</x:v>
      </x:c>
      <x:c r="B396" t="n">
        <x:v>2026</x:v>
      </x:c>
      <x:c r="C396" s="476" t="str">
        <x:v>Cerro Largo</x:v>
      </x:c>
      <x:c r="D396" s="476" t="str">
        <x:v>Cerro Largo</x:v>
      </x:c>
      <x:c r="E396" s="476" t="str">
        <x:v>Municipio de Cerro Largo</x:v>
      </x:c>
      <x:c r="F396" s="476" t="str">
        <x:v>41160008</x:v>
      </x:c>
      <x:c r="G396" s="476" t="str">
        <x:v>41160008-2026</x:v>
      </x:c>
      <x:c r="H396" s="476" t="str">
        <x:v>Informado/corrigido a partir do mapa</x:v>
      </x:c>
      <x:c r="I396" s="499" t="n">
        <x:v>400000</x:v>
      </x:c>
      <x:c r="J396" s="499" t="n">
        <x:v>400000</x:v>
      </x:c>
      <x:c r="K396" s="476" t="str">
        <x:v>Emenda individual</x:v>
      </x:c>
      <x:c r="L396" s="476"/>
      <x:c r="M396" s="499" t="n">
        <x:v>398000</x:v>
      </x:c>
      <x:c r="N396" s="499" t="n">
        <x:v>0</x:v>
      </x:c>
      <x:c r="O396" s="499" t="n">
        <x:v>0</x:v>
      </x:c>
      <x:c r="P396" s="499" t="n">
        <x:v>398000</x:v>
      </x:c>
      <x:c r="Q396" s="499" t="n">
        <x:v>0</x:v>
      </x:c>
      <x:c r="R396" s="476" t="str">
        <x:v>CIENTE</x:v>
      </x:c>
      <x:c r="S396" s="476" t="str">
        <x:v>87612990000105</x:v>
      </x:c>
      <x:c r="T396" s="476" t="str">
        <x:v>VALOR DIVERGENTE / COBERTURA DIFERENTE</x:v>
      </x:c>
      <x:c r="U396" s="476" t="str">
        <x:v>Média</x:v>
      </x:c>
      <x:c r="V396" s="476" t="str">
        <x:v>Revisar valor do grupo: PIX atual registra R$ 398,000.00; Atualizar situação com status do plano PIX: CIENTE (não equivale a pagamento)</x:v>
      </x:c>
      <x:c r="W396" s="476" t="str">
        <x:v>Município/localidade encontrado em fonte comparável, mas valor não fecha exatamente</x:v>
      </x:c>
      <x:c r="X396" s="476" t="str">
        <x:v>https://especiais.transferegov.sistema.gov.br/transferencia-especial/plano-acao/detalhe/96519/dados-basicos</x:v>
      </x:c>
    </x:row>
    <x:row r="397">
      <x:c r="A397" t="n">
        <x:v>609</x:v>
      </x:c>
      <x:c r="B397" t="n">
        <x:v>2026</x:v>
      </x:c>
      <x:c r="C397" s="476" t="str">
        <x:v>Constantina</x:v>
      </x:c>
      <x:c r="D397" s="476" t="str">
        <x:v>Constantina</x:v>
      </x:c>
      <x:c r="E397" s="476" t="str">
        <x:v>Municipio de Constantina</x:v>
      </x:c>
      <x:c r="F397" s="476" t="str">
        <x:v>41160008</x:v>
      </x:c>
      <x:c r="G397" s="476" t="str">
        <x:v>41160008-2026</x:v>
      </x:c>
      <x:c r="H397" s="476" t="str">
        <x:v>Informado/corrigido a partir do mapa</x:v>
      </x:c>
      <x:c r="I397" s="499" t="n">
        <x:v>400000</x:v>
      </x:c>
      <x:c r="J397" s="499" t="n">
        <x:v>400000</x:v>
      </x:c>
      <x:c r="K397" s="476" t="str">
        <x:v>Emenda individual</x:v>
      </x:c>
      <x:c r="L397" s="476"/>
      <x:c r="M397" s="499" t="n">
        <x:v>398000</x:v>
      </x:c>
      <x:c r="N397" s="499" t="n">
        <x:v>0</x:v>
      </x:c>
      <x:c r="O397" s="499" t="n">
        <x:v>0</x:v>
      </x:c>
      <x:c r="P397" s="499" t="n">
        <x:v>398000</x:v>
      </x:c>
      <x:c r="Q397" s="499" t="n">
        <x:v>0</x:v>
      </x:c>
      <x:c r="R397" s="476" t="str">
        <x:v>CIENTE</x:v>
      </x:c>
      <x:c r="S397" s="476" t="str">
        <x:v>87708889000144</x:v>
      </x:c>
      <x:c r="T397" s="476" t="str">
        <x:v>VALOR DIVERGENTE / COBERTURA DIFERENTE</x:v>
      </x:c>
      <x:c r="U397" s="476" t="str">
        <x:v>Média</x:v>
      </x:c>
      <x:c r="V397" s="476" t="str">
        <x:v>Revisar valor do grupo: PIX atual registra R$ 398,000.00; Atualizar situação com status do plano PIX: CIENTE (não equivale a pagamento)</x:v>
      </x:c>
      <x:c r="W397" s="476" t="str">
        <x:v>Município/localidade encontrado em fonte comparável, mas valor não fecha exatamente</x:v>
      </x:c>
      <x:c r="X397" s="476" t="str">
        <x:v>https://especiais.transferegov.sistema.gov.br/transferencia-especial/plano-acao/detalhe/96520/dados-basicos</x:v>
      </x:c>
    </x:row>
    <x:row r="398">
      <x:c r="A398" t="n">
        <x:v>610</x:v>
      </x:c>
      <x:c r="B398" t="n">
        <x:v>2026</x:v>
      </x:c>
      <x:c r="C398" s="476" t="str">
        <x:v>Esteio</x:v>
      </x:c>
      <x:c r="D398" s="476" t="str">
        <x:v>Esteio</x:v>
      </x:c>
      <x:c r="E398" s="476" t="str">
        <x:v>Municipio de Esteio</x:v>
      </x:c>
      <x:c r="F398" s="476" t="str">
        <x:v>41160008</x:v>
      </x:c>
      <x:c r="G398" s="476" t="str">
        <x:v>41160008-2026</x:v>
      </x:c>
      <x:c r="H398" s="476" t="str">
        <x:v>Informado/corrigido a partir do mapa</x:v>
      </x:c>
      <x:c r="I398" s="499" t="n">
        <x:v>400000</x:v>
      </x:c>
      <x:c r="J398" s="499" t="n">
        <x:v>400000</x:v>
      </x:c>
      <x:c r="K398" s="476" t="str">
        <x:v>Emenda individual</x:v>
      </x:c>
      <x:c r="L398" s="476"/>
      <x:c r="M398" s="499" t="n">
        <x:v>398000</x:v>
      </x:c>
      <x:c r="N398" s="499" t="n">
        <x:v>0</x:v>
      </x:c>
      <x:c r="O398" s="499" t="n">
        <x:v>0</x:v>
      </x:c>
      <x:c r="P398" s="499" t="n">
        <x:v>398000</x:v>
      </x:c>
      <x:c r="Q398" s="499" t="n">
        <x:v>0</x:v>
      </x:c>
      <x:c r="R398" s="476" t="str">
        <x:v>CIENTE</x:v>
      </x:c>
      <x:c r="S398" s="476" t="str">
        <x:v>88150495000186</x:v>
      </x:c>
      <x:c r="T398" s="476" t="str">
        <x:v>VALOR DIVERGENTE / COBERTURA DIFERENTE</x:v>
      </x:c>
      <x:c r="U398" s="476" t="str">
        <x:v>Média</x:v>
      </x:c>
      <x:c r="V398" s="476" t="str">
        <x:v>Revisar valor do grupo: PIX atual registra R$ 398,000.00; Atualizar situação com status do plano PIX: CIENTE (não equivale a pagamento)</x:v>
      </x:c>
      <x:c r="W398" s="476" t="str">
        <x:v>Município/localidade encontrado em fonte comparável, mas valor não fecha exatamente</x:v>
      </x:c>
      <x:c r="X398" s="476" t="str">
        <x:v>https://especiais.transferegov.sistema.gov.br/transferencia-especial/plano-acao/detalhe/96525/dados-basicos</x:v>
      </x:c>
    </x:row>
    <x:row r="399">
      <x:c r="A399" t="n">
        <x:v>611</x:v>
      </x:c>
      <x:c r="B399" t="n">
        <x:v>2026</x:v>
      </x:c>
      <x:c r="C399" s="476" t="str">
        <x:v>Jacutinga</x:v>
      </x:c>
      <x:c r="D399" s="476" t="str">
        <x:v>Jacutinga</x:v>
      </x:c>
      <x:c r="E399" s="476" t="str">
        <x:v>Municipio de Jacutinga</x:v>
      </x:c>
      <x:c r="F399" s="476" t="str">
        <x:v>41160008</x:v>
      </x:c>
      <x:c r="G399" s="476" t="str">
        <x:v>41160008-2026</x:v>
      </x:c>
      <x:c r="H399" s="476" t="str">
        <x:v>Informado/corrigido a partir do mapa</x:v>
      </x:c>
      <x:c r="I399" s="499" t="n">
        <x:v>400000</x:v>
      </x:c>
      <x:c r="J399" s="499" t="n">
        <x:v>400000</x:v>
      </x:c>
      <x:c r="K399" s="476" t="str">
        <x:v>Emenda individual</x:v>
      </x:c>
      <x:c r="L399" s="476"/>
      <x:c r="M399" s="499" t="n">
        <x:v>398000</x:v>
      </x:c>
      <x:c r="N399" s="499" t="n">
        <x:v>0</x:v>
      </x:c>
      <x:c r="O399" s="499" t="n">
        <x:v>0</x:v>
      </x:c>
      <x:c r="P399" s="499" t="n">
        <x:v>398000</x:v>
      </x:c>
      <x:c r="Q399" s="499" t="n">
        <x:v>0</x:v>
      </x:c>
      <x:c r="R399" s="476" t="str">
        <x:v>CIENTE</x:v>
      </x:c>
      <x:c r="S399" s="476" t="str">
        <x:v>87613394000131</x:v>
      </x:c>
      <x:c r="T399" s="476" t="str">
        <x:v>VALOR DIVERGENTE / COBERTURA DIFERENTE</x:v>
      </x:c>
      <x:c r="U399" s="476" t="str">
        <x:v>Média</x:v>
      </x:c>
      <x:c r="V399" s="476" t="str">
        <x:v>Revisar valor do grupo: PIX atual registra R$ 398,000.00; Atualizar situação com status do plano PIX: CIENTE (não equivale a pagamento)</x:v>
      </x:c>
      <x:c r="W399" s="476" t="str">
        <x:v>Município/localidade encontrado em fonte comparável, mas valor não fecha exatamente</x:v>
      </x:c>
      <x:c r="X399" s="476" t="str">
        <x:v>https://especiais.transferegov.sistema.gov.br/transferencia-especial/plano-acao/detalhe/96521/dados-basicos</x:v>
      </x:c>
    </x:row>
    <x:row r="400">
      <x:c r="A400" t="n">
        <x:v>612</x:v>
      </x:c>
      <x:c r="B400" t="n">
        <x:v>2026</x:v>
      </x:c>
      <x:c r="C400" s="476" t="str">
        <x:v>Lavras do Sul</x:v>
      </x:c>
      <x:c r="D400" s="476" t="str">
        <x:v>Lavras do Sul</x:v>
      </x:c>
      <x:c r="E400" s="476" t="str">
        <x:v>Municipio de Lavras Do Sul</x:v>
      </x:c>
      <x:c r="F400" s="476" t="str">
        <x:v>41160008</x:v>
      </x:c>
      <x:c r="G400" s="476" t="str">
        <x:v>41160008-2026</x:v>
      </x:c>
      <x:c r="H400" s="476" t="str">
        <x:v>Informado/corrigido a partir do mapa</x:v>
      </x:c>
      <x:c r="I400" s="499" t="n">
        <x:v>400000</x:v>
      </x:c>
      <x:c r="J400" s="499" t="n">
        <x:v>400000</x:v>
      </x:c>
      <x:c r="K400" s="476" t="str">
        <x:v>Emenda individual</x:v>
      </x:c>
      <x:c r="L400" s="476"/>
      <x:c r="M400" s="499" t="n">
        <x:v>0</x:v>
      </x:c>
      <x:c r="N400" s="499" t="n">
        <x:v>0</x:v>
      </x:c>
      <x:c r="O400" s="499" t="n">
        <x:v>0</x:v>
      </x:c>
      <x:c r="P400" s="499" t="n">
        <x:v>0</x:v>
      </x:c>
      <x:c r="Q400" s="499" t="n">
        <x:v>398000</x:v>
      </x:c>
      <x:c r="R400" s="476" t="str">
        <x:v>IMPEDIDO</x:v>
      </x:c>
      <x:c r="S400" s="476" t="str"/>
      <x:c r="T400" s="476" t="str">
        <x:v>VALOR DIVERGENTE / COBERTURA DIFERENTE</x:v>
      </x:c>
      <x:c r="U400" s="476" t="str">
        <x:v>Média</x:v>
      </x:c>
      <x:c r="V400" s="476" t="str">
        <x:v>Revisar valor do grupo: PIX atual registra R$ 398,000.00; Atualizar situação com status do plano PIX: IMPEDIDO (não equivale a pagamento); Plano PIX aparece somente como IMPEDIDO nas fontes anexas</x:v>
      </x:c>
      <x:c r="W400" s="476" t="str">
        <x:v>Município/localidade encontrado em fonte comparável, mas valor não fecha exatamente</x:v>
      </x:c>
      <x:c r="X400" s="476" t="str">
        <x:v>https://especiais.transferegov.sistema.gov.br/transferencia-especial/plano-acao/detalhe/96512/dados-basicos</x:v>
      </x:c>
    </x:row>
    <x:row r="401">
      <x:c r="A401" t="n">
        <x:v>613</x:v>
      </x:c>
      <x:c r="B401" t="n">
        <x:v>2026</x:v>
      </x:c>
      <x:c r="C401" s="476" t="str">
        <x:v>Machadinho</x:v>
      </x:c>
      <x:c r="D401" s="476" t="str">
        <x:v>Machadinho</x:v>
      </x:c>
      <x:c r="E401" s="476" t="str">
        <x:v>Municipio de Machadinho</x:v>
      </x:c>
      <x:c r="F401" s="476" t="str">
        <x:v>41160008</x:v>
      </x:c>
      <x:c r="G401" s="476" t="str">
        <x:v>41160008-2026</x:v>
      </x:c>
      <x:c r="H401" s="476" t="str">
        <x:v>Informado/corrigido a partir do mapa</x:v>
      </x:c>
      <x:c r="I401" s="499" t="n">
        <x:v>400000</x:v>
      </x:c>
      <x:c r="J401" s="499" t="n">
        <x:v>400000</x:v>
      </x:c>
      <x:c r="K401" s="476" t="str">
        <x:v>Emenda individual</x:v>
      </x:c>
      <x:c r="L401" s="476"/>
      <x:c r="M401" s="499" t="n">
        <x:v>398000</x:v>
      </x:c>
      <x:c r="N401" s="499" t="n">
        <x:v>0</x:v>
      </x:c>
      <x:c r="O401" s="499" t="n">
        <x:v>0</x:v>
      </x:c>
      <x:c r="P401" s="499" t="n">
        <x:v>398000</x:v>
      </x:c>
      <x:c r="Q401" s="499" t="n">
        <x:v>0</x:v>
      </x:c>
      <x:c r="R401" s="476" t="str">
        <x:v>CIENTE</x:v>
      </x:c>
      <x:c r="S401" s="476" t="str">
        <x:v>87613576000102</x:v>
      </x:c>
      <x:c r="T401" s="476" t="str">
        <x:v>VALOR DIVERGENTE / COBERTURA DIFERENTE</x:v>
      </x:c>
      <x:c r="U401" s="476" t="str">
        <x:v>Média</x:v>
      </x:c>
      <x:c r="V401" s="476" t="str">
        <x:v>Revisar valor do grupo: PIX atual registra R$ 398,000.00; Atualizar situação com status do plano PIX: CIENTE (não equivale a pagamento)</x:v>
      </x:c>
      <x:c r="W401" s="476" t="str">
        <x:v>Município/localidade encontrado em fonte comparável, mas valor não fecha exatamente</x:v>
      </x:c>
      <x:c r="X401" s="476" t="str">
        <x:v>https://especiais.transferegov.sistema.gov.br/transferencia-especial/plano-acao/detalhe/96513/dados-basicos</x:v>
      </x:c>
    </x:row>
    <x:row r="402">
      <x:c r="A402" t="n">
        <x:v>614</x:v>
      </x:c>
      <x:c r="B402" t="n">
        <x:v>2026</x:v>
      </x:c>
      <x:c r="C402" s="476" t="str">
        <x:v>Paraí</x:v>
      </x:c>
      <x:c r="D402" s="476" t="str">
        <x:v>Paraí</x:v>
      </x:c>
      <x:c r="E402" s="476" t="str">
        <x:v>Municipio de Parai</x:v>
      </x:c>
      <x:c r="F402" s="476" t="str">
        <x:v>41160008</x:v>
      </x:c>
      <x:c r="G402" s="476" t="str">
        <x:v>41160008-2026</x:v>
      </x:c>
      <x:c r="H402" s="476" t="str">
        <x:v>Informado/corrigido a partir do mapa</x:v>
      </x:c>
      <x:c r="I402" s="499" t="n">
        <x:v>400000</x:v>
      </x:c>
      <x:c r="J402" s="499" t="n">
        <x:v>400000</x:v>
      </x:c>
      <x:c r="K402" s="476" t="str">
        <x:v>Emenda individual</x:v>
      </x:c>
      <x:c r="L402" s="476"/>
      <x:c r="M402" s="499" t="n">
        <x:v>0</x:v>
      </x:c>
      <x:c r="N402" s="499" t="n">
        <x:v>0</x:v>
      </x:c>
      <x:c r="O402" s="499" t="n">
        <x:v>0</x:v>
      </x:c>
      <x:c r="P402" s="499" t="n">
        <x:v>0</x:v>
      </x:c>
      <x:c r="Q402" s="499" t="n">
        <x:v>398000</x:v>
      </x:c>
      <x:c r="R402" s="476" t="str">
        <x:v>IMPEDIDO</x:v>
      </x:c>
      <x:c r="S402" s="476" t="str"/>
      <x:c r="T402" s="476" t="str">
        <x:v>VALOR DIVERGENTE / COBERTURA DIFERENTE</x:v>
      </x:c>
      <x:c r="U402" s="476" t="str">
        <x:v>Média</x:v>
      </x:c>
      <x:c r="V402" s="476" t="str">
        <x:v>Revisar valor do grupo: PIX atual registra R$ 398,000.00; Atualizar situação com status do plano PIX: IMPEDIDO (não equivale a pagamento); Plano PIX aparece somente como IMPEDIDO nas fontes anexas</x:v>
      </x:c>
      <x:c r="W402" s="476" t="str">
        <x:v>Município/localidade encontrado em fonte comparável, mas valor não fecha exatamente</x:v>
      </x:c>
      <x:c r="X402" s="476" t="str">
        <x:v>https://especiais.transferegov.sistema.gov.br/transferencia-especial/plano-acao/detalhe/96515/dados-basicos</x:v>
      </x:c>
    </x:row>
    <x:row r="403">
      <x:c r="A403" t="n">
        <x:v>615</x:v>
      </x:c>
      <x:c r="B403" t="n">
        <x:v>2026</x:v>
      </x:c>
      <x:c r="C403" s="476" t="str">
        <x:v>São Marcos</x:v>
      </x:c>
      <x:c r="D403" s="476" t="str">
        <x:v>São Marcos</x:v>
      </x:c>
      <x:c r="E403" s="476" t="str">
        <x:v>Municipio de Sao Marcos</x:v>
      </x:c>
      <x:c r="F403" s="476" t="str">
        <x:v>41160008</x:v>
      </x:c>
      <x:c r="G403" s="476" t="str">
        <x:v>41160008-2026</x:v>
      </x:c>
      <x:c r="H403" s="476" t="str">
        <x:v>Informado/corrigido a partir do mapa</x:v>
      </x:c>
      <x:c r="I403" s="499" t="n">
        <x:v>400000</x:v>
      </x:c>
      <x:c r="J403" s="499" t="n">
        <x:v>400000</x:v>
      </x:c>
      <x:c r="K403" s="476" t="str">
        <x:v>Emenda individual</x:v>
      </x:c>
      <x:c r="L403" s="476"/>
      <x:c r="M403" s="499" t="n">
        <x:v>0</x:v>
      </x:c>
      <x:c r="N403" s="499" t="n">
        <x:v>0</x:v>
      </x:c>
      <x:c r="O403" s="499" t="n">
        <x:v>0</x:v>
      </x:c>
      <x:c r="P403" s="499" t="n">
        <x:v>398000</x:v>
      </x:c>
      <x:c r="Q403" s="499" t="n">
        <x:v>0</x:v>
      </x:c>
      <x:c r="R403" s="476" t="str">
        <x:v>CIENTE</x:v>
      </x:c>
      <x:c r="S403" s="476" t="str"/>
      <x:c r="T403" s="476" t="str">
        <x:v>VALOR DIVERGENTE / COBERTURA DIFERENTE</x:v>
      </x:c>
      <x:c r="U403" s="476" t="str">
        <x:v>Média</x:v>
      </x:c>
      <x:c r="V403" s="476" t="str">
        <x:v>Revisar valor do grupo: PIX atual registra R$ 398,000.00; Atualizar situação com status do plano PIX: CIENTE (não equivale a pagamento)</x:v>
      </x:c>
      <x:c r="W403" s="476" t="str">
        <x:v>Município/localidade encontrado em fonte comparável, mas valor não fecha exatamente</x:v>
      </x:c>
      <x:c r="X403" s="476" t="str">
        <x:v>https://especiais.transferegov.sistema.gov.br/transferencia-especial/plano-acao/detalhe/96524/dados-basicos</x:v>
      </x:c>
    </x:row>
    <x:row r="404">
      <x:c r="A404" t="n">
        <x:v>616</x:v>
      </x:c>
      <x:c r="B404" t="n">
        <x:v>2026</x:v>
      </x:c>
      <x:c r="C404" s="476" t="str">
        <x:v>Trindade do Sul</x:v>
      </x:c>
      <x:c r="D404" s="476" t="str">
        <x:v>Trindade do Sul</x:v>
      </x:c>
      <x:c r="E404" s="476" t="str">
        <x:v>Municipio de Trindade Do Sul</x:v>
      </x:c>
      <x:c r="F404" s="476" t="str">
        <x:v>41160008</x:v>
      </x:c>
      <x:c r="G404" s="476" t="str">
        <x:v>41160008-2026</x:v>
      </x:c>
      <x:c r="H404" s="476" t="str">
        <x:v>Informado/corrigido a partir do mapa</x:v>
      </x:c>
      <x:c r="I404" s="499" t="n">
        <x:v>400000</x:v>
      </x:c>
      <x:c r="J404" s="499" t="n">
        <x:v>400000</x:v>
      </x:c>
      <x:c r="K404" s="476" t="str">
        <x:v>Emenda individual</x:v>
      </x:c>
      <x:c r="L404" s="476"/>
      <x:c r="M404" s="499" t="n">
        <x:v>0</x:v>
      </x:c>
      <x:c r="N404" s="499" t="n">
        <x:v>0</x:v>
      </x:c>
      <x:c r="O404" s="499" t="n">
        <x:v>0</x:v>
      </x:c>
      <x:c r="P404" s="499" t="n">
        <x:v>398000</x:v>
      </x:c>
      <x:c r="Q404" s="499" t="n">
        <x:v>0</x:v>
      </x:c>
      <x:c r="R404" s="476" t="str">
        <x:v>CIENTE</x:v>
      </x:c>
      <x:c r="S404" s="476" t="str"/>
      <x:c r="T404" s="476" t="str">
        <x:v>VALOR DIVERGENTE / COBERTURA DIFERENTE</x:v>
      </x:c>
      <x:c r="U404" s="476" t="str">
        <x:v>Média</x:v>
      </x:c>
      <x:c r="V404" s="476" t="str">
        <x:v>Revisar valor do grupo: PIX atual registra R$ 398,000.00; Atualizar situação com status do plano PIX: CIENTE (não equivale a pagamento)</x:v>
      </x:c>
      <x:c r="W404" s="476" t="str">
        <x:v>Município/localidade encontrado em fonte comparável, mas valor não fecha exatamente</x:v>
      </x:c>
      <x:c r="X404" s="476" t="str">
        <x:v>https://especiais.transferegov.sistema.gov.br/transferencia-especial/plano-acao/detalhe/96526/dados-basicos</x:v>
      </x:c>
    </x:row>
    <x:row r="405">
      <x:c r="A405" t="n">
        <x:v>617</x:v>
      </x:c>
      <x:c r="B405" t="n">
        <x:v>2026</x:v>
      </x:c>
      <x:c r="C405" s="476" t="str">
        <x:v>Viamão</x:v>
      </x:c>
      <x:c r="D405" s="476" t="str">
        <x:v>Viamão</x:v>
      </x:c>
      <x:c r="E405" s="476" t="str">
        <x:v>Municipio de Viamao</x:v>
      </x:c>
      <x:c r="F405" s="476" t="str">
        <x:v>41160008</x:v>
      </x:c>
      <x:c r="G405" s="476" t="str">
        <x:v>41160008-2026</x:v>
      </x:c>
      <x:c r="H405" s="476" t="str">
        <x:v>Informado/corrigido a partir do mapa</x:v>
      </x:c>
      <x:c r="I405" s="499" t="n">
        <x:v>400000</x:v>
      </x:c>
      <x:c r="J405" s="499" t="n">
        <x:v>400000</x:v>
      </x:c>
      <x:c r="K405" s="476" t="str">
        <x:v>Emenda individual</x:v>
      </x:c>
      <x:c r="L405" s="476"/>
      <x:c r="M405" s="499" t="n">
        <x:v>0</x:v>
      </x:c>
      <x:c r="N405" s="499" t="n">
        <x:v>0</x:v>
      </x:c>
      <x:c r="O405" s="499" t="n">
        <x:v>0</x:v>
      </x:c>
      <x:c r="P405" s="499" t="n">
        <x:v>0</x:v>
      </x:c>
      <x:c r="Q405" s="499" t="n">
        <x:v>398000</x:v>
      </x:c>
      <x:c r="R405" s="476" t="str">
        <x:v>IMPEDIDO</x:v>
      </x:c>
      <x:c r="S405" s="476" t="str"/>
      <x:c r="T405" s="476" t="str">
        <x:v>VALOR DIVERGENTE / COBERTURA DIFERENTE</x:v>
      </x:c>
      <x:c r="U405" s="476" t="str">
        <x:v>Média</x:v>
      </x:c>
      <x:c r="V405" s="476" t="str">
        <x:v>Revisar valor do grupo: PIX atual registra R$ 398,000.00; Atualizar situação com status do plano PIX: IMPEDIDO (não equivale a pagamento); Plano PIX aparece somente como IMPEDIDO nas fontes anexas</x:v>
      </x:c>
      <x:c r="W405" s="476" t="str">
        <x:v>Município/localidade encontrado em fonte comparável, mas valor não fecha exatamente</x:v>
      </x:c>
      <x:c r="X405" s="476" t="str">
        <x:v>https://especiais.transferegov.sistema.gov.br/transferencia-especial/plano-acao/detalhe/96517/dados-basicos</x:v>
      </x:c>
    </x:row>
    <x:row r="406">
      <x:c r="A406" t="n">
        <x:v>618</x:v>
      </x:c>
      <x:c r="B406" t="n">
        <x:v>2026</x:v>
      </x:c>
      <x:c r="C406" s="476" t="str">
        <x:v>Flores da Cunha</x:v>
      </x:c>
      <x:c r="D406" s="476" t="str">
        <x:v>Município de Flores da Cunha - RS</x:v>
      </x:c>
      <x:c r="E406" s="476" t="str">
        <x:v>Município de Flores da Cunha</x:v>
      </x:c>
      <x:c r="F406" s="476" t="str">
        <x:v>41160012</x:v>
      </x:c>
      <x:c r="G406" s="476" t="str">
        <x:v>41160012-2026</x:v>
      </x:c>
      <x:c r="H406" s="476" t="str">
        <x:v>Informado/corrigido a partir do mapa</x:v>
      </x:c>
      <x:c r="I406" s="499" t="n">
        <x:v>400000</x:v>
      </x:c>
      <x:c r="J406" s="499" t="n">
        <x:v>400000</x:v>
      </x:c>
      <x:c r="K406" s="476" t="str">
        <x:v>Emenda individual</x:v>
      </x:c>
      <x:c r="L406" s="476"/>
      <x:c r="M406" s="499" t="n">
        <x:v>0</x:v>
      </x:c>
      <x:c r="N406" s="499" t="n">
        <x:v>389864</x:v>
      </x:c>
      <x:c r="O406" s="499" t="n">
        <x:v>0</x:v>
      </x:c>
      <x:c r="P406" s="499" t="n">
        <x:v>0</x:v>
      </x:c>
      <x:c r="Q406" s="499" t="n">
        <x:v>0</x:v>
      </x:c>
      <x:c r="R406" s="476" t="str"/>
      <x:c r="S406" s="476" t="str"/>
      <x:c r="T406" s="476" t="str">
        <x:v>DESTINO/INSTRUMENTO CONFIRMADO; VALOR NÃO COMPARÁVEL</x:v>
      </x:c>
      <x:c r="U406" s="476" t="str">
        <x:v>Média</x:v>
      </x:c>
      <x:c r="V406" s="476" t="str"/>
      <x:c r="W406" s="476" t="str">
        <x:v>Há instrumento do Transferegov para a emenda/município; valores do instrumento não foram usados como prova do valor da emenda</x:v>
      </x:c>
      <x:c r="X406" s="476" t="str">
        <x:v>https://discricionarias.transferegov.sistema.gov.br/voluntarias/ConsultarProposta/ResultadoDaConsultaDeConvenioSelecionarConvenio.do?sequencialConvenio=997355&amp;Usr=guest&amp;Pwd=guest</x:v>
      </x:c>
    </x:row>
    <x:row r="407">
      <x:c r="A407" t="n">
        <x:v>619</x:v>
      </x:c>
      <x:c r="B407" t="n">
        <x:v>2026</x:v>
      </x:c>
      <x:c r="C407" s="476" t="str">
        <x:v>David Canabarro</x:v>
      </x:c>
      <x:c r="D407" s="476" t="str">
        <x:v>Município de David Canabarro - RS</x:v>
      </x:c>
      <x:c r="E407" s="476" t="str">
        <x:v>Município de David Canabarro</x:v>
      </x:c>
      <x:c r="F407" s="476" t="str">
        <x:v>41160012</x:v>
      </x:c>
      <x:c r="G407" s="476" t="str">
        <x:v>41160012-2026</x:v>
      </x:c>
      <x:c r="H407" s="476" t="str">
        <x:v>Informado/corrigido a partir do mapa</x:v>
      </x:c>
      <x:c r="I407" s="499" t="n">
        <x:v>400000</x:v>
      </x:c>
      <x:c r="J407" s="499" t="n">
        <x:v>400000</x:v>
      </x:c>
      <x:c r="K407" s="476" t="str">
        <x:v>Emenda individual</x:v>
      </x:c>
      <x:c r="L407" s="476"/>
      <x:c r="M407" s="499" t="n">
        <x:v>0</x:v>
      </x:c>
      <x:c r="N407" s="499" t="n">
        <x:v>0</x:v>
      </x:c>
      <x:c r="O407" s="499" t="n">
        <x:v>0</x:v>
      </x:c>
      <x:c r="P407" s="499" t="n">
        <x:v>0</x:v>
      </x:c>
      <x:c r="Q407" s="499" t="n">
        <x:v>0</x:v>
      </x:c>
      <x:c r="R407" s="476" t="str"/>
      <x:c r="S407" s="476" t="str"/>
      <x:c r="T407" s="476" t="str">
        <x:v>EMENDA CONFIRMADA; DESTINO NÃO CONFIRMADO</x:v>
      </x:c>
      <x:c r="U407" s="476" t="str">
        <x:v>Média</x:v>
      </x:c>
      <x:c r="V407" s="476" t="str"/>
      <x:c r="W407" s="476" t="str">
        <x:v>Nº existe no SIGA; destinatário específico não foi confirmado nas bases anexas</x:v>
      </x:c>
      <x:c r="X407" s="476" t="str"/>
    </x:row>
    <x:row r="408">
      <x:c r="A408" t="n">
        <x:v>620</x:v>
      </x:c>
      <x:c r="B408" t="n">
        <x:v>2026</x:v>
      </x:c>
      <x:c r="C408" s="476" t="str">
        <x:v>Nova Petrópolis</x:v>
      </x:c>
      <x:c r="D408" s="476" t="str">
        <x:v>Município de Nova Petrópolis - RS</x:v>
      </x:c>
      <x:c r="E408" s="476" t="str">
        <x:v>Município de Nova Petrópolis</x:v>
      </x:c>
      <x:c r="F408" s="476" t="str">
        <x:v>41160008</x:v>
      </x:c>
      <x:c r="G408" s="476" t="str">
        <x:v>41160008-2026</x:v>
      </x:c>
      <x:c r="H408" s="476" t="str">
        <x:v>Informado/corrigido a partir do mapa</x:v>
      </x:c>
      <x:c r="I408" s="499" t="n">
        <x:v>400000</x:v>
      </x:c>
      <x:c r="J408" s="499" t="n">
        <x:v>400000</x:v>
      </x:c>
      <x:c r="K408" s="476" t="str">
        <x:v>Emenda individual</x:v>
      </x:c>
      <x:c r="L408" s="476"/>
      <x:c r="M408" s="499" t="n">
        <x:v>0</x:v>
      </x:c>
      <x:c r="N408" s="499" t="n">
        <x:v>0</x:v>
      </x:c>
      <x:c r="O408" s="499" t="n">
        <x:v>0</x:v>
      </x:c>
      <x:c r="P408" s="499" t="n">
        <x:v>398000</x:v>
      </x:c>
      <x:c r="Q408" s="499" t="n">
        <x:v>0</x:v>
      </x:c>
      <x:c r="R408" s="476" t="str">
        <x:v>CIENTE</x:v>
      </x:c>
      <x:c r="S408" s="476" t="str"/>
      <x:c r="T408" s="476" t="str">
        <x:v>VALOR DIVERGENTE / COBERTURA DIFERENTE</x:v>
      </x:c>
      <x:c r="U408" s="476" t="str">
        <x:v>Média</x:v>
      </x:c>
      <x:c r="V408" s="476" t="str">
        <x:v>Revisar valor do grupo: PIX atual registra R$ 398,000.00; Atualizar situação com status do plano PIX: CIENTE (não equivale a pagamento)</x:v>
      </x:c>
      <x:c r="W408" s="476" t="str">
        <x:v>Município/localidade encontrado em fonte comparável, mas valor não fecha exatamente</x:v>
      </x:c>
      <x:c r="X408" s="476" t="str">
        <x:v>https://especiais.transferegov.sistema.gov.br/transferencia-especial/plano-acao/detalhe/96514/dados-basicos</x:v>
      </x:c>
    </x:row>
    <x:row r="409">
      <x:c r="A409" t="n">
        <x:v>621</x:v>
      </x:c>
      <x:c r="B409" t="n">
        <x:v>2025</x:v>
      </x:c>
      <x:c r="C409" s="476" t="str">
        <x:v>Panambi</x:v>
      </x:c>
      <x:c r="D409" s="476" t="str">
        <x:v>Municipio De Panambi Panambi - Rs</x:v>
      </x:c>
      <x:c r="E409" s="476" t="str">
        <x:v>Prefeitura Municipal</x:v>
      </x:c>
      <x:c r="F409" s="476" t="str">
        <x:v>41160008</x:v>
      </x:c>
      <x:c r="G409" s="476" t="str">
        <x:v>41160008-2025</x:v>
      </x:c>
      <x:c r="H409" s="476" t="str">
        <x:v>Informado/corrigido a partir do mapa</x:v>
      </x:c>
      <x:c r="I409" s="499" t="n">
        <x:v>400333</x:v>
      </x:c>
      <x:c r="J409" s="499" t="n">
        <x:v>400333</x:v>
      </x:c>
      <x:c r="K409" s="476" t="str">
        <x:v>Emenda Individual</x:v>
      </x:c>
      <x:c r="L409" s="476"/>
      <x:c r="M409" s="499" t="n">
        <x:v>396329.67</x:v>
      </x:c>
      <x:c r="N409" s="499" t="n">
        <x:v>0</x:v>
      </x:c>
      <x:c r="O409" s="499" t="n">
        <x:v>0</x:v>
      </x:c>
      <x:c r="P409" s="499" t="n">
        <x:v>396329.67</x:v>
      </x:c>
      <x:c r="Q409" s="499" t="n">
        <x:v>0</x:v>
      </x:c>
      <x:c r="R409" s="476" t="str">
        <x:v>CIENTE</x:v>
      </x:c>
      <x:c r="S409" s="476" t="str">
        <x:v>88702089000189</x:v>
      </x:c>
      <x:c r="T409" s="476" t="str">
        <x:v>VALOR DIVERGENTE / COBERTURA DIFERENTE</x:v>
      </x:c>
      <x:c r="U409" s="476" t="str">
        <x:v>Média</x:v>
      </x:c>
      <x:c r="V409" s="476" t="str">
        <x:v>Revisar valor do grupo: PIX atual registra R$ 396,329.67; Atualizar situação com status do plano PIX: CIENTE (não equivale a pagamento)</x:v>
      </x:c>
      <x:c r="W409" s="476" t="str">
        <x:v>Município/localidade encontrado em fonte comparável, mas valor não fecha exatamente</x:v>
      </x:c>
      <x:c r="X409" s="476" t="str">
        <x:v>https://especiais.transferegov.sistema.gov.br/transferencia-especial/plano-acao/detalhe/83997/dados-basicos</x:v>
      </x:c>
    </x:row>
    <x:row r="410">
      <x:c r="A410" t="n">
        <x:v>622</x:v>
      </x:c>
      <x:c r="B410" t="n">
        <x:v>2025</x:v>
      </x:c>
      <x:c r="C410" s="476" t="str">
        <x:v>Ibirubá</x:v>
      </x:c>
      <x:c r="D410" s="476" t="str">
        <x:v>Associacao Hospitalar Annes Dias Ibirubá - Rs</x:v>
      </x:c>
      <x:c r="E410" s="476" t="str">
        <x:v>Associacao Hospitalar Annes Dias Ibirubá - Rs</x:v>
      </x:c>
      <x:c r="F410" s="476" t="str">
        <x:v>41160004</x:v>
      </x:c>
      <x:c r="G410" s="476" t="str">
        <x:v>41160004-2025</x:v>
      </x:c>
      <x:c r="H410" s="476" t="str">
        <x:v>Informado/corrigido a partir do mapa</x:v>
      </x:c>
      <x:c r="I410" s="499" t="n">
        <x:v>402250</x:v>
      </x:c>
      <x:c r="J410" s="499" t="n">
        <x:v>402250</x:v>
      </x:c>
      <x:c r="K410" s="476" t="str">
        <x:v>Emenda Individual</x:v>
      </x:c>
      <x:c r="L410" s="476"/>
      <x:c r="M410" s="499" t="n">
        <x:v>0</x:v>
      </x:c>
      <x:c r="N410" s="499" t="n">
        <x:v>402250</x:v>
      </x:c>
      <x:c r="O410" s="499" t="n">
        <x:v>0</x:v>
      </x:c>
      <x:c r="P410" s="499" t="n">
        <x:v>0</x:v>
      </x:c>
      <x:c r="Q410" s="499" t="n">
        <x:v>0</x:v>
      </x:c>
      <x:c r="R410" s="476" t="str"/>
      <x:c r="S410" s="476" t="str"/>
      <x:c r="T410" s="476" t="str">
        <x:v>DESTINO/INSTRUMENTO CONFIRMADO; VALOR NÃO COMPARÁVEL</x:v>
      </x:c>
      <x:c r="U410" s="476" t="str">
        <x:v>Média</x:v>
      </x:c>
      <x:c r="V410" s="476" t="str"/>
      <x:c r="W410" s="476" t="str">
        <x:v>Há instrumento do Transferegov para a emenda/município; valores do instrumento não foram usados como prova do valor da emenda</x:v>
      </x:c>
      <x:c r="X410" s="476" t="str">
        <x:v>https://discricionarias.transferegov.sistema.gov.br/voluntarias/ConsultarProposta/ResultadoDaConsultaDeConvenioSelecionarConvenio.do?sequencialConvenio=991371&amp;Usr=guest&amp;Pwd=guest</x:v>
      </x:c>
    </x:row>
    <x:row r="411">
      <x:c r="A411" t="n">
        <x:v>623</x:v>
      </x:c>
      <x:c r="B411" t="n">
        <x:v>2026</x:v>
      </x:c>
      <x:c r="C411" s="476" t="str">
        <x:v>Santa Maria</x:v>
      </x:c>
      <x:c r="D411" s="476" t="str">
        <x:v>Município de Santa Maria - RS</x:v>
      </x:c>
      <x:c r="E411" s="476" t="str">
        <x:v>Município de Santa Maria</x:v>
      </x:c>
      <x:c r="F411" s="476" t="str">
        <x:v>41160008</x:v>
      </x:c>
      <x:c r="G411" s="476" t="str">
        <x:v>41160008-2026</x:v>
      </x:c>
      <x:c r="H411" s="476" t="str">
        <x:v>Informado/corrigido a partir do mapa</x:v>
      </x:c>
      <x:c r="I411" s="499" t="n">
        <x:v>405600</x:v>
      </x:c>
      <x:c r="J411" s="499" t="n">
        <x:v>405600</x:v>
      </x:c>
      <x:c r="K411" s="476" t="str">
        <x:v>Emenda individual</x:v>
      </x:c>
      <x:c r="L411" s="476"/>
      <x:c r="M411" s="499" t="n">
        <x:v>403572</x:v>
      </x:c>
      <x:c r="N411" s="499" t="n">
        <x:v>0</x:v>
      </x:c>
      <x:c r="O411" s="499" t="n">
        <x:v>0</x:v>
      </x:c>
      <x:c r="P411" s="499" t="n">
        <x:v>403572</x:v>
      </x:c>
      <x:c r="Q411" s="499" t="n">
        <x:v>0</x:v>
      </x:c>
      <x:c r="R411" s="476" t="str">
        <x:v>CIENTE</x:v>
      </x:c>
      <x:c r="S411" s="476" t="str">
        <x:v>88488366000100</x:v>
      </x:c>
      <x:c r="T411" s="476" t="str">
        <x:v>VALOR DIVERGENTE / COBERTURA DIFERENTE</x:v>
      </x:c>
      <x:c r="U411" s="476" t="str">
        <x:v>Média</x:v>
      </x:c>
      <x:c r="V411" s="476" t="str">
        <x:v>Revisar valor do grupo: PIX atual registra R$ 403,572.00; Atualizar situação com status do plano PIX: CIENTE (não equivale a pagamento)</x:v>
      </x:c>
      <x:c r="W411" s="476" t="str">
        <x:v>Município/localidade encontrado em fonte comparável, mas valor não fecha exatamente</x:v>
      </x:c>
      <x:c r="X411" s="476" t="str">
        <x:v>https://especiais.transferegov.sistema.gov.br/transferencia-especial/plano-acao/detalhe/96523/dados-basicos</x:v>
      </x:c>
    </x:row>
    <x:row r="412">
      <x:c r="A412" t="n">
        <x:v>625</x:v>
      </x:c>
      <x:c r="B412" t="n">
        <x:v>2023</x:v>
      </x:c>
      <x:c r="C412" s="476" t="str">
        <x:v>Camaquã</x:v>
      </x:c>
      <x:c r="D412" s="476" t="str">
        <x:v>Hospital</x:v>
      </x:c>
      <x:c r="E412" s="476" t="str">
        <x:v>Nossa Senhora Aparecida</x:v>
      </x:c>
      <x:c r="F412" s="476" t="str"/>
      <x:c r="G412" s="476" t="str"/>
      <x:c r="H412" s="476" t="str">
        <x:v>Sem nº conciliado</x:v>
      </x:c>
      <x:c r="I412" s="499" t="n">
        <x:v>410780</x:v>
      </x:c>
      <x:c r="J412" s="499" t="n">
        <x:v>492060</x:v>
      </x:c>
      <x:c r="K412" s="476" t="str">
        <x:v>Emenda Individual</x:v>
      </x:c>
      <x:c r="L412" s="476" t="str">
        <x:v>Empenhado</x:v>
      </x:c>
      <x:c r="M412" s="499" t="n">
        <x:v>0</x:v>
      </x:c>
      <x:c r="N412" s="499" t="n">
        <x:v>0</x:v>
      </x:c>
      <x:c r="O412" s="499" t="n">
        <x:v>0</x:v>
      </x:c>
      <x:c r="P412" s="499" t="n">
        <x:v>0</x:v>
      </x:c>
      <x:c r="Q412" s="499" t="n">
        <x:v>0</x:v>
      </x:c>
      <x:c r="R412" s="476" t="str"/>
      <x:c r="S412" s="476" t="str"/>
      <x:c r="T412" s="476" t="str">
        <x:v>SEM Nº / NÃO CONCILIADO</x:v>
      </x:c>
      <x:c r="U412" s="476" t="str">
        <x:v>Média</x:v>
      </x:c>
      <x:c r="V412" s="476" t="str"/>
      <x:c r="W412" s="476" t="str"/>
      <x:c r="X412" s="476" t="str"/>
    </x:row>
    <x:row r="413">
      <x:c r="A413" t="n">
        <x:v>626</x:v>
      </x:c>
      <x:c r="B413" t="n">
        <x:v>2026</x:v>
      </x:c>
      <x:c r="C413" s="476" t="str">
        <x:v>São Sepé</x:v>
      </x:c>
      <x:c r="D413" s="476" t="str">
        <x:v>Hospital Sao Jose</x:v>
      </x:c>
      <x:c r="E413" s="476" t="str">
        <x:v>Associacao Beneficente Hospital Santo Atonio</x:v>
      </x:c>
      <x:c r="F413" s="476" t="str">
        <x:v>41160003</x:v>
      </x:c>
      <x:c r="G413" s="476" t="str">
        <x:v>41160003-2026</x:v>
      </x:c>
      <x:c r="H413" s="476" t="str">
        <x:v>Informado/corrigido a partir do mapa</x:v>
      </x:c>
      <x:c r="I413" s="499" t="n">
        <x:v>420000</x:v>
      </x:c>
      <x:c r="J413" s="499" t="n">
        <x:v>420000</x:v>
      </x:c>
      <x:c r="K413" s="476" t="str">
        <x:v>Emenda individual</x:v>
      </x:c>
      <x:c r="L413" s="476"/>
      <x:c r="M413" s="499" t="n">
        <x:v>0</x:v>
      </x:c>
      <x:c r="N413" s="499" t="n">
        <x:v>420000</x:v>
      </x:c>
      <x:c r="O413" s="499" t="n">
        <x:v>0</x:v>
      </x:c>
      <x:c r="P413" s="499" t="n">
        <x:v>0</x:v>
      </x:c>
      <x:c r="Q413" s="499" t="n">
        <x:v>0</x:v>
      </x:c>
      <x:c r="R413" s="476" t="str"/>
      <x:c r="S413" s="476" t="str"/>
      <x:c r="T413" s="476" t="str">
        <x:v>DESTINO/INSTRUMENTO CONFIRMADO; VALOR NÃO COMPARÁVEL</x:v>
      </x:c>
      <x:c r="U413" s="476" t="str">
        <x:v>Média</x:v>
      </x:c>
      <x:c r="V413" s="476" t="str"/>
      <x:c r="W413" s="476" t="str">
        <x:v>Há instrumento do Transferegov para a emenda/município; valores do instrumento não foram usados como prova do valor da emenda</x:v>
      </x:c>
      <x:c r="X413" s="476" t="str">
        <x:v>https://discricionarias.transferegov.sistema.gov.br/voluntarias/ConsultarProposta/ResultadoDaConsultaDeConvenioSelecionarConvenio.do?sequencialConvenio=998343&amp;Usr=guest&amp;Pwd=guest</x:v>
      </x:c>
    </x:row>
    <x:row r="414">
      <x:c r="A414" t="n">
        <x:v>628</x:v>
      </x:c>
      <x:c r="B414" t="n">
        <x:v>2023</x:v>
      </x:c>
      <x:c r="C414" s="476" t="str">
        <x:v>Carlos Barbosa</x:v>
      </x:c>
      <x:c r="D414" s="476" t="str">
        <x:v>Prefeitura</x:v>
      </x:c>
      <x:c r="E414" s="476" t="str">
        <x:v>Prefeitura de Carlos Barbosa</x:v>
      </x:c>
      <x:c r="F414" s="476" t="str"/>
      <x:c r="G414" s="476" t="str"/>
      <x:c r="H414" s="476" t="str">
        <x:v>Sem nº conciliado</x:v>
      </x:c>
      <x:c r="I414" s="499" t="n">
        <x:v>440000</x:v>
      </x:c>
      <x:c r="J414" s="499" t="n">
        <x:v>440000</x:v>
      </x:c>
      <x:c r="K414" s="476" t="str">
        <x:v>Emenda Individual</x:v>
      </x:c>
      <x:c r="L414" s="476" t="str">
        <x:v>Empenhado</x:v>
      </x:c>
      <x:c r="M414" s="499" t="n">
        <x:v>0</x:v>
      </x:c>
      <x:c r="N414" s="499" t="n">
        <x:v>0</x:v>
      </x:c>
      <x:c r="O414" s="499" t="n">
        <x:v>0</x:v>
      </x:c>
      <x:c r="P414" s="499" t="n">
        <x:v>0</x:v>
      </x:c>
      <x:c r="Q414" s="499" t="n">
        <x:v>0</x:v>
      </x:c>
      <x:c r="R414" s="476" t="str"/>
      <x:c r="S414" s="476" t="str"/>
      <x:c r="T414" s="476" t="str">
        <x:v>SEM Nº / NÃO CONCILIADO</x:v>
      </x:c>
      <x:c r="U414" s="476" t="str">
        <x:v>Média</x:v>
      </x:c>
      <x:c r="V414" s="476" t="str"/>
      <x:c r="W414" s="476" t="str"/>
      <x:c r="X414" s="476" t="str"/>
    </x:row>
    <x:row r="415">
      <x:c r="A415" t="n">
        <x:v>629</x:v>
      </x:c>
      <x:c r="B415" t="n">
        <x:v>2022</x:v>
      </x:c>
      <x:c r="C415" s="476" t="str">
        <x:v>Venâncio Aires</x:v>
      </x:c>
      <x:c r="D415" s="476" t="str">
        <x:v>Hospital</x:v>
      </x:c>
      <x:c r="E415" s="476" t="str">
        <x:v>Hospital São Sebastiao Martir</x:v>
      </x:c>
      <x:c r="F415" s="476" t="str">
        <x:v>41160003</x:v>
      </x:c>
      <x:c r="G415" s="476" t="str">
        <x:v>41160003-2022</x:v>
      </x:c>
      <x:c r="H415" s="476" t="str">
        <x:v>Informado/corrigido a partir do mapa</x:v>
      </x:c>
      <x:c r="I415" s="499" t="n">
        <x:v>450000</x:v>
      </x:c>
      <x:c r="J415" s="499" t="n">
        <x:v>450000</x:v>
      </x:c>
      <x:c r="K415" s="476" t="str">
        <x:v>Emenda Individual </x:v>
      </x:c>
      <x:c r="L415" s="476" t="str">
        <x:v>Recurso pago</x:v>
      </x:c>
      <x:c r="M415" s="499" t="n">
        <x:v>421500</x:v>
      </x:c>
      <x:c r="N415" s="499" t="n">
        <x:v>450000</x:v>
      </x:c>
      <x:c r="O415" s="499" t="n">
        <x:v>421500</x:v>
      </x:c>
      <x:c r="P415" s="499" t="n">
        <x:v>0</x:v>
      </x:c>
      <x:c r="Q415" s="499" t="n">
        <x:v>0</x:v>
      </x:c>
      <x:c r="R415" s="476" t="str"/>
      <x:c r="S415" s="476" t="str">
        <x:v>98591910000190</x:v>
      </x:c>
      <x:c r="T415" s="476" t="str">
        <x:v>VALOR DIVERGENTE / COBERTURA DIFERENTE</x:v>
      </x:c>
      <x:c r="U415" s="476" t="str">
        <x:v>Média</x:v>
      </x:c>
      <x:c r="V415" s="476" t="str">
        <x:v>CNPJ candidato na fonte SIGA: 98591910000190</x:v>
      </x:c>
      <x:c r="W415" s="476" t="str">
        <x:v>Município/localidade encontrado em fonte comparável, mas valor não fecha exatamente</x:v>
      </x:c>
      <x:c r="X415" s="476" t="str">
        <x:v>https://discricionarias.transferegov.sistema.gov.br/voluntarias/ConsultarProposta/ResultadoDaConsultaDeConvenioSelecionarConvenio.do?sequencialConvenio=935447&amp;Usr=guest&amp;Pwd=guest</x:v>
      </x:c>
    </x:row>
    <x:row r="416">
      <x:c r="A416" t="n">
        <x:v>632</x:v>
      </x:c>
      <x:c r="B416" t="n">
        <x:v>2025</x:v>
      </x:c>
      <x:c r="C416" s="476" t="str">
        <x:v>Três de Maio</x:v>
      </x:c>
      <x:c r="D416" s="476" t="str">
        <x:v>Municipio De Tres De Maio Três De Maio - Rs</x:v>
      </x:c>
      <x:c r="E416" s="476" t="str">
        <x:v>Prefeitura Municipal</x:v>
      </x:c>
      <x:c r="F416" s="476" t="str">
        <x:v>41160008</x:v>
      </x:c>
      <x:c r="G416" s="476" t="str">
        <x:v>41160008-2025</x:v>
      </x:c>
      <x:c r="H416" s="476" t="str">
        <x:v>Informado/corrigido a partir do mapa</x:v>
      </x:c>
      <x:c r="I416" s="499" t="n">
        <x:v>450000</x:v>
      </x:c>
      <x:c r="J416" s="499" t="n">
        <x:v>450000</x:v>
      </x:c>
      <x:c r="K416" s="476" t="str">
        <x:v>Emenda Individual</x:v>
      </x:c>
      <x:c r="L416" s="476"/>
      <x:c r="M416" s="499" t="n">
        <x:v>445500</x:v>
      </x:c>
      <x:c r="N416" s="499" t="n">
        <x:v>0</x:v>
      </x:c>
      <x:c r="O416" s="499" t="n">
        <x:v>0</x:v>
      </x:c>
      <x:c r="P416" s="499" t="n">
        <x:v>445500</x:v>
      </x:c>
      <x:c r="Q416" s="499" t="n">
        <x:v>0</x:v>
      </x:c>
      <x:c r="R416" s="476" t="str">
        <x:v>CIENTE</x:v>
      </x:c>
      <x:c r="S416" s="476" t="str">
        <x:v>87612800000141</x:v>
      </x:c>
      <x:c r="T416" s="476" t="str">
        <x:v>VALOR DIVERGENTE / COBERTURA DIFERENTE</x:v>
      </x:c>
      <x:c r="U416" s="476" t="str">
        <x:v>Média</x:v>
      </x:c>
      <x:c r="V416" s="476" t="str">
        <x:v>Revisar valor do grupo: PIX atual registra R$ 445,500.00; Atualizar situação com status do plano PIX: CIENTE (não equivale a pagamento)</x:v>
      </x:c>
      <x:c r="W416" s="476" t="str">
        <x:v>Município/localidade encontrado em fonte comparável, mas valor não fecha exatamente</x:v>
      </x:c>
      <x:c r="X416" s="476" t="str">
        <x:v>https://especiais.transferegov.sistema.gov.br/transferencia-especial/plano-acao/detalhe/84003/dados-basicos</x:v>
      </x:c>
    </x:row>
    <x:row r="417">
      <x:c r="A417" t="n">
        <x:v>633</x:v>
      </x:c>
      <x:c r="B417" t="n">
        <x:v>2025</x:v>
      </x:c>
      <x:c r="C417" s="476" t="str">
        <x:v>Pelotas</x:v>
      </x:c>
      <x:c r="D417" s="476" t="str">
        <x:v>Associacao Pelotense De Assistencia E Cultura Pelotas - Rs</x:v>
      </x:c>
      <x:c r="E417" s="476" t="str">
        <x:v>Associacao Pelotense De Assistencia E Cultura Pelotas - Rs</x:v>
      </x:c>
      <x:c r="F417" s="476" t="str">
        <x:v>41160004</x:v>
      </x:c>
      <x:c r="G417" s="476" t="str">
        <x:v>41160004-2025</x:v>
      </x:c>
      <x:c r="H417" s="476" t="str">
        <x:v>Informado/corrigido a partir do mapa</x:v>
      </x:c>
      <x:c r="I417" s="499" t="n">
        <x:v>451752</x:v>
      </x:c>
      <x:c r="J417" s="499" t="n">
        <x:v>751752</x:v>
      </x:c>
      <x:c r="K417" s="476" t="str">
        <x:v>Emenda Individual</x:v>
      </x:c>
      <x:c r="L417" s="476"/>
      <x:c r="M417" s="499" t="n">
        <x:v>0</x:v>
      </x:c>
      <x:c r="N417" s="499" t="n">
        <x:v>750020</x:v>
      </x:c>
      <x:c r="O417" s="499" t="n">
        <x:v>0</x:v>
      </x:c>
      <x:c r="P417" s="499" t="n">
        <x:v>0</x:v>
      </x:c>
      <x:c r="Q417" s="499" t="n">
        <x:v>0</x:v>
      </x:c>
      <x:c r="R417" s="476" t="str"/>
      <x:c r="S417" s="476" t="str"/>
      <x:c r="T417" s="476" t="str">
        <x:v>DESTINO/INSTRUMENTO CONFIRMADO; VALOR NÃO COMPARÁVEL</x:v>
      </x:c>
      <x:c r="U417" s="476" t="str">
        <x:v>Média</x:v>
      </x:c>
      <x:c r="V417" s="476" t="str"/>
      <x:c r="W417" s="476" t="str">
        <x:v>Há instrumento do Transferegov para a emenda/município; valores do instrumento não foram usados como prova do valor da emenda</x:v>
      </x:c>
      <x:c r="X417" s="476" t="str">
        <x:v>https://discricionarias.transferegov.sistema.gov.br/voluntarias/ConsultarProposta/ResultadoDaConsultaDeConvenioSelecionarConvenio.do?sequencialConvenio=979950&amp;Usr=guest&amp;Pwd=guest | https://discricionarias.transferegov.sistema.gov.br/voluntarias/ConsultarProposta/ResultadoDaConsultaDeConvenioSelecionarConvenio.do?sequencialConvenio=988639&amp;Usr=guest&amp;Pwd=guest</x:v>
      </x:c>
    </x:row>
    <x:row r="418">
      <x:c r="A418" t="n">
        <x:v>634</x:v>
      </x:c>
      <x:c r="B418" t="n">
        <x:v>2025</x:v>
      </x:c>
      <x:c r="C418" s="476" t="str">
        <x:v>Cruz Alta</x:v>
      </x:c>
      <x:c r="D418" s="476" t="str">
        <x:v>Municipio De Cruz Alta Cruz Alta - Rs</x:v>
      </x:c>
      <x:c r="E418" s="476" t="str">
        <x:v>Prefeitura Municipal</x:v>
      </x:c>
      <x:c r="F418" s="476" t="str">
        <x:v>41160008</x:v>
      </x:c>
      <x:c r="G418" s="476" t="str">
        <x:v>41160008-2025</x:v>
      </x:c>
      <x:c r="H418" s="476" t="str">
        <x:v>Informado/corrigido a partir do mapa</x:v>
      </x:c>
      <x:c r="I418" s="499" t="n">
        <x:v>477000</x:v>
      </x:c>
      <x:c r="J418" s="499" t="n">
        <x:v>477000</x:v>
      </x:c>
      <x:c r="K418" s="476" t="str">
        <x:v>Emenda Individual</x:v>
      </x:c>
      <x:c r="L418" s="476"/>
      <x:c r="M418" s="499" t="n">
        <x:v>472230</x:v>
      </x:c>
      <x:c r="N418" s="499" t="n">
        <x:v>0</x:v>
      </x:c>
      <x:c r="O418" s="499" t="n">
        <x:v>0</x:v>
      </x:c>
      <x:c r="P418" s="499" t="n">
        <x:v>472230</x:v>
      </x:c>
      <x:c r="Q418" s="499" t="n">
        <x:v>0</x:v>
      </x:c>
      <x:c r="R418" s="476" t="str">
        <x:v>CIENTE</x:v>
      </x:c>
      <x:c r="S418" s="476" t="str">
        <x:v>88775390000112</x:v>
      </x:c>
      <x:c r="T418" s="476" t="str">
        <x:v>VALOR DIVERGENTE / COBERTURA DIFERENTE</x:v>
      </x:c>
      <x:c r="U418" s="476" t="str">
        <x:v>Média</x:v>
      </x:c>
      <x:c r="V418" s="476" t="str">
        <x:v>Revisar valor do grupo: PIX atual registra R$ 472,230.00; Atualizar situação com status do plano PIX: CIENTE (não equivale a pagamento)</x:v>
      </x:c>
      <x:c r="W418" s="476" t="str">
        <x:v>Município/localidade encontrado em fonte comparável, mas valor não fecha exatamente</x:v>
      </x:c>
      <x:c r="X418" s="476" t="str">
        <x:v>https://especiais.transferegov.sistema.gov.br/transferencia-especial/plano-acao/detalhe/83994/dados-basicos</x:v>
      </x:c>
    </x:row>
    <x:row r="419">
      <x:c r="A419" t="n">
        <x:v>637</x:v>
      </x:c>
      <x:c r="B419" t="n">
        <x:v>2024</x:v>
      </x:c>
      <x:c r="C419" s="476" t="str">
        <x:v>Muçum</x:v>
      </x:c>
      <x:c r="D419" s="476" t="str">
        <x:v>Prefeitura Municipal de Muçum</x:v>
      </x:c>
      <x:c r="E419" s="476" t="str">
        <x:v>Prefeitura Municipal</x:v>
      </x:c>
      <x:c r="F419" s="476" t="str">
        <x:v>41160005</x:v>
      </x:c>
      <x:c r="G419" s="476" t="str">
        <x:v>41160005-2024</x:v>
      </x:c>
      <x:c r="H419" s="476" t="str">
        <x:v>Informado/corrigido a partir do mapa</x:v>
      </x:c>
      <x:c r="I419" s="499" t="n">
        <x:v>481104</x:v>
      </x:c>
      <x:c r="J419" s="499" t="n">
        <x:v>481104</x:v>
      </x:c>
      <x:c r="K419" s="476" t="str">
        <x:v>Emenda Individual</x:v>
      </x:c>
      <x:c r="L419" s="476"/>
      <x:c r="M419" s="499" t="n">
        <x:v>0</x:v>
      </x:c>
      <x:c r="N419" s="499" t="n">
        <x:v>481104</x:v>
      </x:c>
      <x:c r="O419" s="499" t="n">
        <x:v>0</x:v>
      </x:c>
      <x:c r="P419" s="499" t="n">
        <x:v>0</x:v>
      </x:c>
      <x:c r="Q419" s="499" t="n">
        <x:v>0</x:v>
      </x:c>
      <x:c r="R419" s="476" t="str"/>
      <x:c r="S419" s="476" t="str"/>
      <x:c r="T419" s="476" t="str">
        <x:v>DESTINO/INSTRUMENTO CONFIRMADO; VALOR NÃO COMPARÁVEL</x:v>
      </x:c>
      <x:c r="U419" s="476" t="str">
        <x:v>Média</x:v>
      </x:c>
      <x:c r="V419" s="476" t="str"/>
      <x:c r="W419" s="476" t="str">
        <x:v>Há instrumento do Transferegov para a emenda/município; valores do instrumento não foram usados como prova do valor da emenda</x:v>
      </x:c>
      <x:c r="X419" s="476" t="str">
        <x:v>https://discricionarias.transferegov.sistema.gov.br/voluntarias/ConsultarProposta/ResultadoDaConsultaDeConvenioSelecionarConvenio.do?sequencialConvenio=973464&amp;Usr=guest&amp;Pwd=guest</x:v>
      </x:c>
    </x:row>
    <x:row r="420">
      <x:c r="A420" t="n">
        <x:v>638</x:v>
      </x:c>
      <x:c r="B420" t="n">
        <x:v>2023</x:v>
      </x:c>
      <x:c r="C420" s="476" t="str">
        <x:v>Alegrete</x:v>
      </x:c>
      <x:c r="D420" s="476" t="str">
        <x:v>Comando do Exército</x:v>
      </x:c>
      <x:c r="E420" s="476" t="str">
        <x:v>Comando do Exército</x:v>
      </x:c>
      <x:c r="F420" s="476" t="str">
        <x:v>41160003</x:v>
      </x:c>
      <x:c r="G420" s="476" t="str">
        <x:v>41160003-2023</x:v>
      </x:c>
      <x:c r="H420" s="476" t="str">
        <x:v>Informado/corrigido a partir do mapa</x:v>
      </x:c>
      <x:c r="I420" s="499" t="n">
        <x:v>488762</x:v>
      </x:c>
      <x:c r="J420" s="499" t="n">
        <x:v>488762</x:v>
      </x:c>
      <x:c r="K420" s="476" t="str">
        <x:v>Emenda Individual</x:v>
      </x:c>
      <x:c r="L420" s="476" t="str">
        <x:v>Recurso pago parcialmente</x:v>
      </x:c>
      <x:c r="M420" s="499" t="n">
        <x:v>0</x:v>
      </x:c>
      <x:c r="N420" s="499" t="n">
        <x:v>0</x:v>
      </x:c>
      <x:c r="O420" s="499" t="n">
        <x:v>0</x:v>
      </x:c>
      <x:c r="P420" s="499" t="n">
        <x:v>0</x:v>
      </x:c>
      <x:c r="Q420" s="499" t="n">
        <x:v>0</x:v>
      </x:c>
      <x:c r="R420" s="476" t="str"/>
      <x:c r="S420" s="476" t="str"/>
      <x:c r="T420" s="476" t="str">
        <x:v>VALOR DIVERGENTE / COBERTURA DIFERENTE</x:v>
      </x:c>
      <x:c r="U420" s="476" t="str">
        <x:v>Média</x:v>
      </x:c>
      <x:c r="V420" s="476" t="str"/>
      <x:c r="W420" s="476" t="str">
        <x:v>Município/localidade encontrado em fonte comparável, mas valor não fecha exatamente</x:v>
      </x:c>
      <x:c r="X420" s="476" t="str"/>
    </x:row>
    <x:row r="421">
      <x:c r="A421" t="n">
        <x:v>641</x:v>
      </x:c>
      <x:c r="B421" t="n">
        <x:v>2022</x:v>
      </x:c>
      <x:c r="C421" s="476" t="str">
        <x:v>Campinas do Sul</x:v>
      </x:c>
      <x:c r="D421" s="476"/>
      <x:c r="E421" s="476" t="str">
        <x:v>RS-211 até RS-324 (Campinas do Sul e Ronda Alta)</x:v>
      </x:c>
      <x:c r="F421" s="476" t="str"/>
      <x:c r="G421" s="476" t="str"/>
      <x:c r="H421" s="476" t="str">
        <x:v>Sem nº conciliado</x:v>
      </x:c>
      <x:c r="I421" s="499" t="n">
        <x:v>500000</x:v>
      </x:c>
      <x:c r="J421" s="499" t="n">
        <x:v>1500000</x:v>
      </x:c>
      <x:c r="K421" s="476" t="str">
        <x:v>Emenda de bancada</x:v>
      </x:c>
      <x:c r="L421" s="476" t="str">
        <x:v>Indicado</x:v>
      </x:c>
      <x:c r="M421" s="499" t="n">
        <x:v>0</x:v>
      </x:c>
      <x:c r="N421" s="499" t="n">
        <x:v>0</x:v>
      </x:c>
      <x:c r="O421" s="499" t="n">
        <x:v>0</x:v>
      </x:c>
      <x:c r="P421" s="499" t="n">
        <x:v>0</x:v>
      </x:c>
      <x:c r="Q421" s="499" t="n">
        <x:v>0</x:v>
      </x:c>
      <x:c r="R421" s="476" t="str"/>
      <x:c r="S421" s="476" t="str"/>
      <x:c r="T421" s="476" t="str">
        <x:v>SEM Nº / NÃO CONCILIADO</x:v>
      </x:c>
      <x:c r="U421" s="476" t="str">
        <x:v>Média</x:v>
      </x:c>
      <x:c r="V421" s="476" t="str"/>
      <x:c r="W421" s="476" t="str"/>
      <x:c r="X421" s="476" t="str"/>
    </x:row>
    <x:row r="422">
      <x:c r="A422" t="n">
        <x:v>642</x:v>
      </x:c>
      <x:c r="B422" t="n">
        <x:v>2022</x:v>
      </x:c>
      <x:c r="C422" s="476" t="str">
        <x:v>Gramado</x:v>
      </x:c>
      <x:c r="D422" s="476" t="str">
        <x:v>Município</x:v>
      </x:c>
      <x:c r="E422" s="476" t="str">
        <x:v>Prefeitura Municipal</x:v>
      </x:c>
      <x:c r="F422" s="476" t="str">
        <x:v>41160007</x:v>
      </x:c>
      <x:c r="G422" s="476" t="str">
        <x:v>41160007-2022</x:v>
      </x:c>
      <x:c r="H422" s="476" t="str">
        <x:v>Informado/corrigido a partir do mapa</x:v>
      </x:c>
      <x:c r="I422" s="499" t="n">
        <x:v>500000</x:v>
      </x:c>
      <x:c r="J422" s="499" t="n">
        <x:v>500000</x:v>
      </x:c>
      <x:c r="K422" s="476" t="str">
        <x:v>Emenda Individual </x:v>
      </x:c>
      <x:c r="L422" s="476" t="str">
        <x:v>Recurso pago</x:v>
      </x:c>
      <x:c r="M422" s="499" t="n">
        <x:v>481104</x:v>
      </x:c>
      <x:c r="N422" s="499" t="n">
        <x:v>481104</x:v>
      </x:c>
      <x:c r="O422" s="499" t="n">
        <x:v>481104</x:v>
      </x:c>
      <x:c r="P422" s="499" t="n">
        <x:v>0</x:v>
      </x:c>
      <x:c r="Q422" s="499" t="n">
        <x:v>0</x:v>
      </x:c>
      <x:c r="R422" s="476" t="str"/>
      <x:c r="S422" s="476" t="str">
        <x:v>88847082000155</x:v>
      </x:c>
      <x:c r="T422" s="476" t="str">
        <x:v>VALOR DIVERGENTE / COBERTURA DIFERENTE</x:v>
      </x:c>
      <x:c r="U422" s="476" t="str">
        <x:v>Média</x:v>
      </x:c>
      <x:c r="V422" s="476" t="str">
        <x:v>CNPJ candidato na fonte SIGA: 88847082000155</x:v>
      </x:c>
      <x:c r="W422" s="476" t="str">
        <x:v>Município/localidade encontrado em fonte comparável, mas valor não fecha exatamente</x:v>
      </x:c>
      <x:c r="X422" s="476" t="str">
        <x:v>https://discricionarias.transferegov.sistema.gov.br/voluntarias/ConsultarProposta/ResultadoDaConsultaDeConvenioSelecionarConvenio.do?sequencialConvenio=934224&amp;Usr=guest&amp;Pwd=guest</x:v>
      </x:c>
    </x:row>
    <x:row r="423">
      <x:c r="A423" t="n">
        <x:v>643</x:v>
      </x:c>
      <x:c r="B423" t="n">
        <x:v>2022</x:v>
      </x:c>
      <x:c r="C423" s="476" t="str">
        <x:v>Montenegro</x:v>
      </x:c>
      <x:c r="D423" s="476" t="str">
        <x:v>Hospital</x:v>
      </x:c>
      <x:c r="E423" s="476" t="str">
        <x:v>Hospital Montenegro 100% SUS</x:v>
      </x:c>
      <x:c r="F423" s="476" t="str">
        <x:v>7120004</x:v>
      </x:c>
      <x:c r="G423" s="476" t="str">
        <x:v>7120004-2022</x:v>
      </x:c>
      <x:c r="H423" s="476" t="str">
        <x:v>Informado/corrigido a partir do mapa</x:v>
      </x:c>
      <x:c r="I423" s="499" t="n">
        <x:v>500000</x:v>
      </x:c>
      <x:c r="J423" s="499" t="n">
        <x:v>500000</x:v>
      </x:c>
      <x:c r="K423" s="476" t="str">
        <x:v>Emenda de bancada (processo seletivo)</x:v>
      </x:c>
      <x:c r="L423" s="476" t="str">
        <x:v>Recurso pago</x:v>
      </x:c>
      <x:c r="M423" s="499" t="n">
        <x:v>0</x:v>
      </x:c>
      <x:c r="N423" s="499" t="n">
        <x:v>0</x:v>
      </x:c>
      <x:c r="O423" s="499" t="n">
        <x:v>0</x:v>
      </x:c>
      <x:c r="P423" s="499" t="n">
        <x:v>0</x:v>
      </x:c>
      <x:c r="Q423" s="499" t="n">
        <x:v>0</x:v>
      </x:c>
      <x:c r="R423" s="476" t="str"/>
      <x:c r="S423" s="476" t="str"/>
      <x:c r="T423" s="476" t="str">
        <x:v>Nº NÃO LOCALIZADO</x:v>
      </x:c>
      <x:c r="U423" s="476" t="str">
        <x:v>Média</x:v>
      </x:c>
      <x:c r="V423" s="476" t="str"/>
      <x:c r="W423" s="476" t="str"/>
      <x:c r="X423" s="476" t="str"/>
    </x:row>
    <x:row r="424">
      <x:c r="A424" t="n">
        <x:v>644</x:v>
      </x:c>
      <x:c r="B424" t="n">
        <x:v>2022</x:v>
      </x:c>
      <x:c r="C424" s="476" t="str">
        <x:v>Nova Hartz</x:v>
      </x:c>
      <x:c r="D424" s="476" t="str">
        <x:v>Município</x:v>
      </x:c>
      <x:c r="E424" s="476" t="str">
        <x:v>Prefeitura Municipal</x:v>
      </x:c>
      <x:c r="F424" s="476" t="str">
        <x:v>41160007</x:v>
      </x:c>
      <x:c r="G424" s="476" t="str">
        <x:v>41160007-2022</x:v>
      </x:c>
      <x:c r="H424" s="476" t="str">
        <x:v>Informado/corrigido a partir do mapa</x:v>
      </x:c>
      <x:c r="I424" s="499" t="n">
        <x:v>500000</x:v>
      </x:c>
      <x:c r="J424" s="499" t="n">
        <x:v>500000</x:v>
      </x:c>
      <x:c r="K424" s="476" t="str">
        <x:v>Emenda Individual </x:v>
      </x:c>
      <x:c r="L424" s="476" t="str">
        <x:v>Recurso pago</x:v>
      </x:c>
      <x:c r="M424" s="499" t="n">
        <x:v>481104</x:v>
      </x:c>
      <x:c r="N424" s="499" t="n">
        <x:v>481104</x:v>
      </x:c>
      <x:c r="O424" s="499" t="n">
        <x:v>481104</x:v>
      </x:c>
      <x:c r="P424" s="499" t="n">
        <x:v>0</x:v>
      </x:c>
      <x:c r="Q424" s="499" t="n">
        <x:v>0</x:v>
      </x:c>
      <x:c r="R424" s="476" t="str"/>
      <x:c r="S424" s="476" t="str">
        <x:v>91995365000159</x:v>
      </x:c>
      <x:c r="T424" s="476" t="str">
        <x:v>VALOR DIVERGENTE / COBERTURA DIFERENTE</x:v>
      </x:c>
      <x:c r="U424" s="476" t="str">
        <x:v>Média</x:v>
      </x:c>
      <x:c r="V424" s="476" t="str">
        <x:v>CNPJ candidato na fonte SIGA: 91995365000159</x:v>
      </x:c>
      <x:c r="W424" s="476" t="str">
        <x:v>Município/localidade encontrado em fonte comparável, mas valor não fecha exatamente</x:v>
      </x:c>
      <x:c r="X424" s="476" t="str">
        <x:v>https://discricionarias.transferegov.sistema.gov.br/voluntarias/ConsultarProposta/ResultadoDaConsultaDeConvenioSelecionarConvenio.do?sequencialConvenio=935672&amp;Usr=guest&amp;Pwd=guest</x:v>
      </x:c>
    </x:row>
    <x:row r="425">
      <x:c r="A425" t="n">
        <x:v>645</x:v>
      </x:c>
      <x:c r="B425" t="n">
        <x:v>2022</x:v>
      </x:c>
      <x:c r="C425" s="476" t="str">
        <x:v>Porto Alegre</x:v>
      </x:c>
      <x:c r="D425" s="476" t="str">
        <x:v>Hospital</x:v>
      </x:c>
      <x:c r="E425" s="476" t="str">
        <x:v>Irmandade da Santa Casa de Misericórdia de Porto Alegre</x:v>
      </x:c>
      <x:c r="F425" s="476" t="str">
        <x:v>41160003</x:v>
      </x:c>
      <x:c r="G425" s="476" t="str">
        <x:v>41160003-2022</x:v>
      </x:c>
      <x:c r="H425" s="476" t="str">
        <x:v>Informado/corrigido a partir do mapa</x:v>
      </x:c>
      <x:c r="I425" s="499" t="n">
        <x:v>500000</x:v>
      </x:c>
      <x:c r="J425" s="499" t="n">
        <x:v>1845666</x:v>
      </x:c>
      <x:c r="K425" s="476" t="str">
        <x:v>Emenda Individual </x:v>
      </x:c>
      <x:c r="L425" s="476" t="str">
        <x:v>Em execução. Total pago: R$ 463.328,00 (29/02/2024)</x:v>
      </x:c>
      <x:c r="M425" s="499" t="n">
        <x:v>1939506.8599999999</x:v>
      </x:c>
      <x:c r="N425" s="499" t="n">
        <x:v>2095666</x:v>
      </x:c>
      <x:c r="O425" s="499" t="n">
        <x:v>1939506.86</x:v>
      </x:c>
      <x:c r="P425" s="499" t="n">
        <x:v>0</x:v>
      </x:c>
      <x:c r="Q425" s="499" t="n">
        <x:v>0</x:v>
      </x:c>
      <x:c r="R425" s="476" t="str"/>
      <x:c r="S425" s="476" t="str">
        <x:v>4 CNPJs na fonte</x:v>
      </x:c>
      <x:c r="T425" s="476" t="str">
        <x:v>VALOR DIVERGENTE / COBERTURA DIFERENTE</x:v>
      </x:c>
      <x:c r="U425" s="476" t="str">
        <x:v>Média</x:v>
      </x:c>
      <x:c r="V425" s="476" t="str"/>
      <x:c r="W425" s="476" t="str">
        <x:v>Município/localidade encontrado em fonte comparável, mas valor não fecha exatamente</x:v>
      </x:c>
      <x:c r="X425" s="476" t="str">
        <x:v>https://discricionarias.transferegov.sistema.gov.br/voluntarias/ConsultarProposta/ResultadoDaConsultaDeConvenioSelecionarConvenio.do?sequencialConvenio=937483&amp;Usr=guest&amp;Pwd=guest | https://discricionarias.transferegov.sistema.gov.br/voluntarias/ConsultarProposta/ResultadoDaConsultaDeConvenioSelecionarConvenio.do?sequencialConvenio=935448&amp;Usr=guest&amp;Pwd=guest</x:v>
      </x:c>
    </x:row>
    <x:row r="426">
      <x:c r="A426" t="n">
        <x:v>646</x:v>
      </x:c>
      <x:c r="B426" t="n">
        <x:v>2022</x:v>
      </x:c>
      <x:c r="C426" s="476" t="str">
        <x:v>São Leopoldo</x:v>
      </x:c>
      <x:c r="D426" s="476" t="str">
        <x:v>Polícia Rodoviária Federal</x:v>
      </x:c>
      <x:c r="E426" s="476" t="str">
        <x:v>Polícia Rodoviária Federal</x:v>
      </x:c>
      <x:c r="F426" s="476" t="str"/>
      <x:c r="G426" s="476" t="str"/>
      <x:c r="H426" s="476" t="str">
        <x:v>Sem nº conciliado</x:v>
      </x:c>
      <x:c r="I426" s="499" t="n">
        <x:v>500000</x:v>
      </x:c>
      <x:c r="J426" s="499" t="n">
        <x:v>500000</x:v>
      </x:c>
      <x:c r="K426" s="476" t="str">
        <x:v>Emenda de bancada</x:v>
      </x:c>
      <x:c r="L426" s="476" t="str">
        <x:v>Recurso empenhado</x:v>
      </x:c>
      <x:c r="M426" s="499" t="n">
        <x:v>0</x:v>
      </x:c>
      <x:c r="N426" s="499" t="n">
        <x:v>0</x:v>
      </x:c>
      <x:c r="O426" s="499" t="n">
        <x:v>0</x:v>
      </x:c>
      <x:c r="P426" s="499" t="n">
        <x:v>0</x:v>
      </x:c>
      <x:c r="Q426" s="499" t="n">
        <x:v>0</x:v>
      </x:c>
      <x:c r="R426" s="476" t="str"/>
      <x:c r="S426" s="476" t="str"/>
      <x:c r="T426" s="476" t="str">
        <x:v>SEM Nº / NÃO CONCILIADO</x:v>
      </x:c>
      <x:c r="U426" s="476" t="str">
        <x:v>Média</x:v>
      </x:c>
      <x:c r="V426" s="476" t="str"/>
      <x:c r="W426" s="476" t="str"/>
      <x:c r="X426" s="476" t="str"/>
    </x:row>
    <x:row r="427">
      <x:c r="A427" t="n">
        <x:v>647</x:v>
      </x:c>
      <x:c r="B427" t="n">
        <x:v>2022</x:v>
      </x:c>
      <x:c r="C427" s="476" t="str">
        <x:v>Tramandaí</x:v>
      </x:c>
      <x:c r="D427" s="476"/>
      <x:c r="E427" s="476" t="str">
        <x:v>Ponte de Tramandaí-RS</x:v>
      </x:c>
      <x:c r="F427" s="476" t="str"/>
      <x:c r="G427" s="476" t="str"/>
      <x:c r="H427" s="476" t="str">
        <x:v>Sem nº conciliado</x:v>
      </x:c>
      <x:c r="I427" s="499" t="n">
        <x:v>500000</x:v>
      </x:c>
      <x:c r="J427" s="499" t="n">
        <x:v>500000</x:v>
      </x:c>
      <x:c r="K427" s="476" t="str">
        <x:v>Emenda de bancada</x:v>
      </x:c>
      <x:c r="L427" s="476" t="str">
        <x:v>Empenhado</x:v>
      </x:c>
      <x:c r="M427" s="499" t="n">
        <x:v>0</x:v>
      </x:c>
      <x:c r="N427" s="499" t="n">
        <x:v>0</x:v>
      </x:c>
      <x:c r="O427" s="499" t="n">
        <x:v>0</x:v>
      </x:c>
      <x:c r="P427" s="499" t="n">
        <x:v>0</x:v>
      </x:c>
      <x:c r="Q427" s="499" t="n">
        <x:v>0</x:v>
      </x:c>
      <x:c r="R427" s="476" t="str"/>
      <x:c r="S427" s="476" t="str"/>
      <x:c r="T427" s="476" t="str">
        <x:v>SEM Nº / NÃO CONCILIADO</x:v>
      </x:c>
      <x:c r="U427" s="476" t="str">
        <x:v>Média</x:v>
      </x:c>
      <x:c r="V427" s="476" t="str"/>
      <x:c r="W427" s="476" t="str"/>
      <x:c r="X427" s="476" t="str"/>
    </x:row>
    <x:row r="428">
      <x:c r="A428" t="n">
        <x:v>648</x:v>
      </x:c>
      <x:c r="B428" t="n">
        <x:v>2023</x:v>
      </x:c>
      <x:c r="C428" s="476" t="str">
        <x:v>Cruz Alta</x:v>
      </x:c>
      <x:c r="D428" s="476" t="str">
        <x:v>Hospital</x:v>
      </x:c>
      <x:c r="E428" s="476" t="str">
        <x:v>Associação Das Damas De Caridade - Hospital De Caridade São Vicente De Paulo</x:v>
      </x:c>
      <x:c r="F428" s="476" t="str"/>
      <x:c r="G428" s="476" t="str"/>
      <x:c r="H428" s="476" t="str">
        <x:v>Sem nº conciliado</x:v>
      </x:c>
      <x:c r="I428" s="499" t="n">
        <x:v>500000</x:v>
      </x:c>
      <x:c r="J428" s="499" t="n">
        <x:v>500000</x:v>
      </x:c>
      <x:c r="K428" s="476" t="str">
        <x:v>Emenda Individual</x:v>
      </x:c>
      <x:c r="L428" s="476" t="str">
        <x:v>Empenhado</x:v>
      </x:c>
      <x:c r="M428" s="499" t="n">
        <x:v>0</x:v>
      </x:c>
      <x:c r="N428" s="499" t="n">
        <x:v>0</x:v>
      </x:c>
      <x:c r="O428" s="499" t="n">
        <x:v>0</x:v>
      </x:c>
      <x:c r="P428" s="499" t="n">
        <x:v>0</x:v>
      </x:c>
      <x:c r="Q428" s="499" t="n">
        <x:v>0</x:v>
      </x:c>
      <x:c r="R428" s="476" t="str"/>
      <x:c r="S428" s="476" t="str"/>
      <x:c r="T428" s="476" t="str">
        <x:v>SEM Nº / NÃO CONCILIADO</x:v>
      </x:c>
      <x:c r="U428" s="476" t="str">
        <x:v>Média</x:v>
      </x:c>
      <x:c r="V428" s="476" t="str"/>
      <x:c r="W428" s="476" t="str"/>
      <x:c r="X428" s="476" t="str"/>
    </x:row>
    <x:row r="429">
      <x:c r="A429" t="n">
        <x:v>649</x:v>
      </x:c>
      <x:c r="B429" t="n">
        <x:v>2023</x:v>
      </x:c>
      <x:c r="C429" s="476" t="str">
        <x:v>Santa Maria</x:v>
      </x:c>
      <x:c r="D429" s="476" t="str">
        <x:v>Hospital</x:v>
      </x:c>
      <x:c r="E429" s="476" t="str">
        <x:v>Hospital Universitário De Santa Maria</x:v>
      </x:c>
      <x:c r="F429" s="476" t="str"/>
      <x:c r="G429" s="476" t="str"/>
      <x:c r="H429" s="476" t="str">
        <x:v>Sem nº conciliado</x:v>
      </x:c>
      <x:c r="I429" s="499" t="n">
        <x:v>500000</x:v>
      </x:c>
      <x:c r="J429" s="499" t="n">
        <x:v>650000</x:v>
      </x:c>
      <x:c r="K429" s="476" t="str">
        <x:v>Emenda Individual</x:v>
      </x:c>
      <x:c r="L429" s="476" t="str">
        <x:v>Não foi possível executar a indicação porque o Ministério da Saúde não aceitou em 2023 destinar verbas a hospitais universitários.</x:v>
      </x:c>
      <x:c r="M429" s="499" t="n">
        <x:v>0</x:v>
      </x:c>
      <x:c r="N429" s="499" t="n">
        <x:v>0</x:v>
      </x:c>
      <x:c r="O429" s="499" t="n">
        <x:v>0</x:v>
      </x:c>
      <x:c r="P429" s="499" t="n">
        <x:v>0</x:v>
      </x:c>
      <x:c r="Q429" s="499" t="n">
        <x:v>0</x:v>
      </x:c>
      <x:c r="R429" s="476" t="str"/>
      <x:c r="S429" s="476" t="str"/>
      <x:c r="T429" s="476" t="str">
        <x:v>SEM Nº / NÃO CONCILIADO</x:v>
      </x:c>
      <x:c r="U429" s="476" t="str">
        <x:v>Média</x:v>
      </x:c>
      <x:c r="V429" s="476" t="str"/>
      <x:c r="W429" s="476" t="str"/>
      <x:c r="X429" s="476" t="str"/>
    </x:row>
    <x:row r="430">
      <x:c r="A430" t="n">
        <x:v>650</x:v>
      </x:c>
      <x:c r="B430" t="n">
        <x:v>2023</x:v>
      </x:c>
      <x:c r="C430" s="476" t="str">
        <x:v>São Lourenço Do Sul</x:v>
      </x:c>
      <x:c r="D430" s="476" t="str">
        <x:v>Hospital</x:v>
      </x:c>
      <x:c r="E430" s="476" t="str">
        <x:v>Santa Casa De Misericórdia De São Lourenço Do Sul</x:v>
      </x:c>
      <x:c r="F430" s="476" t="str"/>
      <x:c r="G430" s="476" t="str"/>
      <x:c r="H430" s="476" t="str">
        <x:v>Sem nº conciliado</x:v>
      </x:c>
      <x:c r="I430" s="499" t="n">
        <x:v>500000</x:v>
      </x:c>
      <x:c r="J430" s="499" t="n">
        <x:v>500000</x:v>
      </x:c>
      <x:c r="K430" s="476" t="str">
        <x:v>Emenda Individual</x:v>
      </x:c>
      <x:c r="L430" s="476" t="str">
        <x:v>Empenhado</x:v>
      </x:c>
      <x:c r="M430" s="499" t="n">
        <x:v>0</x:v>
      </x:c>
      <x:c r="N430" s="499" t="n">
        <x:v>0</x:v>
      </x:c>
      <x:c r="O430" s="499" t="n">
        <x:v>0</x:v>
      </x:c>
      <x:c r="P430" s="499" t="n">
        <x:v>0</x:v>
      </x:c>
      <x:c r="Q430" s="499" t="n">
        <x:v>0</x:v>
      </x:c>
      <x:c r="R430" s="476" t="str"/>
      <x:c r="S430" s="476" t="str"/>
      <x:c r="T430" s="476" t="str">
        <x:v>SEM Nº / NÃO CONCILIADO</x:v>
      </x:c>
      <x:c r="U430" s="476" t="str">
        <x:v>Média</x:v>
      </x:c>
      <x:c r="V430" s="476" t="str"/>
      <x:c r="W430" s="476" t="str"/>
      <x:c r="X430" s="476" t="str"/>
    </x:row>
    <x:row r="431">
      <x:c r="A431" t="n">
        <x:v>651</x:v>
      </x:c>
      <x:c r="B431" t="n">
        <x:v>2023</x:v>
      </x:c>
      <x:c r="C431" s="476"/>
      <x:c r="D431" s="476"/>
      <x:c r="E431" s="476" t="str">
        <x:v>PF</x:v>
      </x:c>
      <x:c r="F431" s="476" t="str">
        <x:v>41160005</x:v>
      </x:c>
      <x:c r="G431" s="476" t="str">
        <x:v>41160005-2023</x:v>
      </x:c>
      <x:c r="H431" s="476" t="str">
        <x:v>Informado/corrigido a partir do mapa</x:v>
      </x:c>
      <x:c r="I431" s="499" t="n">
        <x:v>500000</x:v>
      </x:c>
      <x:c r="J431" s="499" t="n">
        <x:v>500000</x:v>
      </x:c>
      <x:c r="K431" s="476"/>
      <x:c r="L431" s="476"/>
      <x:c r="M431" s="499" t="n">
        <x:v>0</x:v>
      </x:c>
      <x:c r="N431" s="499" t="n">
        <x:v>0</x:v>
      </x:c>
      <x:c r="O431" s="499" t="n">
        <x:v>0</x:v>
      </x:c>
      <x:c r="P431" s="499" t="n">
        <x:v>0</x:v>
      </x:c>
      <x:c r="Q431" s="499" t="n">
        <x:v>0</x:v>
      </x:c>
      <x:c r="R431" s="476" t="str"/>
      <x:c r="S431" s="476" t="str"/>
      <x:c r="T431" s="476" t="str">
        <x:v>EMENDA CONFIRMADA; DESTINO NÃO CONFIRMADO</x:v>
      </x:c>
      <x:c r="U431" s="476" t="str">
        <x:v>Média</x:v>
      </x:c>
      <x:c r="V431" s="476" t="str"/>
      <x:c r="W431" s="476" t="str">
        <x:v>Nº existe no SIGA; destinatário específico não foi confirmado nas bases anexas</x:v>
      </x:c>
      <x:c r="X431" s="476" t="str"/>
    </x:row>
    <x:row r="432">
      <x:c r="A432" t="n">
        <x:v>652</x:v>
      </x:c>
      <x:c r="B432" t="n">
        <x:v>2023</x:v>
      </x:c>
      <x:c r="C432" s="476"/>
      <x:c r="D432" s="476"/>
      <x:c r="E432" s="476" t="str">
        <x:v>PRF</x:v>
      </x:c>
      <x:c r="F432" s="476" t="str">
        <x:v>41160008</x:v>
      </x:c>
      <x:c r="G432" s="476" t="str">
        <x:v>41160008-2023</x:v>
      </x:c>
      <x:c r="H432" s="476" t="str">
        <x:v>Informado/corrigido a partir do mapa</x:v>
      </x:c>
      <x:c r="I432" s="499" t="n">
        <x:v>500000</x:v>
      </x:c>
      <x:c r="J432" s="499" t="n">
        <x:v>500000</x:v>
      </x:c>
      <x:c r="K432" s="476"/>
      <x:c r="L432" s="476"/>
      <x:c r="M432" s="499" t="n">
        <x:v>0</x:v>
      </x:c>
      <x:c r="N432" s="499" t="n">
        <x:v>0</x:v>
      </x:c>
      <x:c r="O432" s="499" t="n">
        <x:v>0</x:v>
      </x:c>
      <x:c r="P432" s="499" t="n">
        <x:v>0</x:v>
      </x:c>
      <x:c r="Q432" s="499" t="n">
        <x:v>0</x:v>
      </x:c>
      <x:c r="R432" s="476" t="str"/>
      <x:c r="S432" s="476" t="str"/>
      <x:c r="T432" s="476" t="str">
        <x:v>EMENDA CONFIRMADA; DESTINO NÃO CONFIRMADO</x:v>
      </x:c>
      <x:c r="U432" s="476" t="str">
        <x:v>Média</x:v>
      </x:c>
      <x:c r="V432" s="476" t="str"/>
      <x:c r="W432" s="476" t="str">
        <x:v>Nº existe no SIGA; destinatário específico não foi confirmado nas bases anexas</x:v>
      </x:c>
      <x:c r="X432" s="476" t="str"/>
    </x:row>
    <x:row r="433">
      <x:c r="A433" t="n">
        <x:v>653</x:v>
      </x:c>
      <x:c r="B433" t="n">
        <x:v>2023</x:v>
      </x:c>
      <x:c r="C433" s="476" t="str">
        <x:v>Santa Rosa</x:v>
      </x:c>
      <x:c r="D433" s="476"/>
      <x:c r="E433" s="476" t="str">
        <x:v>Reforma, ampliação e reaparelhamento do Aeroporto de Santa Rosa/RS – Fundo Nacional de Aviação Civil – FNAC – Ação 15YQ</x:v>
      </x:c>
      <x:c r="F433" s="476" t="str"/>
      <x:c r="G433" s="476" t="str"/>
      <x:c r="H433" s="476" t="str">
        <x:v>Sem nº conciliado</x:v>
      </x:c>
      <x:c r="I433" s="499" t="n">
        <x:v>500000</x:v>
      </x:c>
      <x:c r="J433" s="499" t="n">
        <x:v>640000</x:v>
      </x:c>
      <x:c r="K433" s="476" t="str">
        <x:v>Emenda bancada</x:v>
      </x:c>
      <x:c r="L433" s="476" t="str">
        <x:v>Empenhado</x:v>
      </x:c>
      <x:c r="M433" s="499" t="n">
        <x:v>0</x:v>
      </x:c>
      <x:c r="N433" s="499" t="n">
        <x:v>0</x:v>
      </x:c>
      <x:c r="O433" s="499" t="n">
        <x:v>0</x:v>
      </x:c>
      <x:c r="P433" s="499" t="n">
        <x:v>0</x:v>
      </x:c>
      <x:c r="Q433" s="499" t="n">
        <x:v>0</x:v>
      </x:c>
      <x:c r="R433" s="476" t="str"/>
      <x:c r="S433" s="476" t="str"/>
      <x:c r="T433" s="476" t="str">
        <x:v>SEM Nº / NÃO CONCILIADO</x:v>
      </x:c>
      <x:c r="U433" s="476" t="str">
        <x:v>Média</x:v>
      </x:c>
      <x:c r="V433" s="476" t="str"/>
      <x:c r="W433" s="476" t="str"/>
      <x:c r="X433" s="476" t="str"/>
    </x:row>
    <x:row r="434">
      <x:c r="A434" t="n">
        <x:v>657</x:v>
      </x:c>
      <x:c r="B434" t="n">
        <x:v>2025</x:v>
      </x:c>
      <x:c r="C434" s="476" t="str">
        <x:v>Rolante</x:v>
      </x:c>
      <x:c r="D434" s="476" t="str">
        <x:v>Municipio De Rolante Rolante - Rs</x:v>
      </x:c>
      <x:c r="E434" s="476" t="str">
        <x:v>Prefeitura Municipal</x:v>
      </x:c>
      <x:c r="F434" s="476" t="str">
        <x:v>41160005</x:v>
      </x:c>
      <x:c r="G434" s="476" t="str">
        <x:v>41160005-2025</x:v>
      </x:c>
      <x:c r="H434" s="476" t="str">
        <x:v>Informado/corrigido a partir do mapa</x:v>
      </x:c>
      <x:c r="I434" s="499" t="n">
        <x:v>500000</x:v>
      </x:c>
      <x:c r="J434" s="499" t="n">
        <x:v>500000</x:v>
      </x:c>
      <x:c r="K434" s="476" t="str">
        <x:v>Emenda Individual</x:v>
      </x:c>
      <x:c r="L434" s="476"/>
      <x:c r="M434" s="499" t="n">
        <x:v>0</x:v>
      </x:c>
      <x:c r="N434" s="499" t="n">
        <x:v>481104</x:v>
      </x:c>
      <x:c r="O434" s="499" t="n">
        <x:v>0</x:v>
      </x:c>
      <x:c r="P434" s="499" t="n">
        <x:v>0</x:v>
      </x:c>
      <x:c r="Q434" s="499" t="n">
        <x:v>0</x:v>
      </x:c>
      <x:c r="R434" s="476" t="str"/>
      <x:c r="S434" s="476" t="str"/>
      <x:c r="T434" s="476" t="str">
        <x:v>DESTINO/INSTRUMENTO CONFIRMADO; VALOR NÃO COMPARÁVEL</x:v>
      </x:c>
      <x:c r="U434" s="476" t="str">
        <x:v>Média</x:v>
      </x:c>
      <x:c r="V434" s="476" t="str"/>
      <x:c r="W434" s="476" t="str">
        <x:v>Há instrumento do Transferegov para a emenda/município; valores do instrumento não foram usados como prova do valor da emenda</x:v>
      </x:c>
      <x:c r="X434" s="476" t="str">
        <x:v>https://discricionarias.transferegov.sistema.gov.br/voluntarias/ConsultarProposta/ResultadoDaConsultaDeConvenioSelecionarConvenio.do?sequencialConvenio=976446&amp;Usr=guest&amp;Pwd=guest</x:v>
      </x:c>
    </x:row>
    <x:row r="435">
      <x:c r="A435" t="n">
        <x:v>658</x:v>
      </x:c>
      <x:c r="B435" t="n">
        <x:v>2025</x:v>
      </x:c>
      <x:c r="C435" s="476" t="str">
        <x:v>Antônio Prado</x:v>
      </x:c>
      <x:c r="D435" s="476" t="str">
        <x:v>Sociedade Hospitalar Sao Jose Antônio Prado - Rs</x:v>
      </x:c>
      <x:c r="E435" s="476" t="str">
        <x:v>Sociedade Hospitalar Sao Jose Antônio Prado - Rs</x:v>
      </x:c>
      <x:c r="F435" s="476" t="str">
        <x:v>41160004</x:v>
      </x:c>
      <x:c r="G435" s="476" t="str">
        <x:v>41160004-2025</x:v>
      </x:c>
      <x:c r="H435" s="476" t="str">
        <x:v>Informado/corrigido a partir do mapa</x:v>
      </x:c>
      <x:c r="I435" s="499" t="n">
        <x:v>500000</x:v>
      </x:c>
      <x:c r="J435" s="499" t="n">
        <x:v>500000</x:v>
      </x:c>
      <x:c r="K435" s="476" t="str">
        <x:v>Emenda Individual</x:v>
      </x:c>
      <x:c r="L435" s="476"/>
      <x:c r="M435" s="499" t="n">
        <x:v>496994.43</x:v>
      </x:c>
      <x:c r="N435" s="499" t="n">
        <x:v>499597</x:v>
      </x:c>
      <x:c r="O435" s="499" t="n">
        <x:v>496994.43</x:v>
      </x:c>
      <x:c r="P435" s="499" t="n">
        <x:v>0</x:v>
      </x:c>
      <x:c r="Q435" s="499" t="n">
        <x:v>0</x:v>
      </x:c>
      <x:c r="R435" s="476" t="str"/>
      <x:c r="S435" s="476" t="str">
        <x:v>87277000000111</x:v>
      </x:c>
      <x:c r="T435" s="476" t="str">
        <x:v>VALOR DIVERGENTE / COBERTURA DIFERENTE</x:v>
      </x:c>
      <x:c r="U435" s="476" t="str">
        <x:v>Média</x:v>
      </x:c>
      <x:c r="V435" s="476" t="str">
        <x:v>Preencher situação: há pagamento identificado na fonte pública</x:v>
      </x:c>
      <x:c r="W435" s="476" t="str">
        <x:v>Município/localidade encontrado em fonte comparável, mas valor não fecha exatamente</x:v>
      </x:c>
      <x:c r="X435" s="476" t="str">
        <x:v>https://discricionarias.transferegov.sistema.gov.br/voluntarias/ConsultarProposta/ResultadoDaConsultaDeConvenioSelecionarConvenio.do?sequencialConvenio=979888&amp;Usr=guest&amp;Pwd=guest</x:v>
      </x:c>
    </x:row>
    <x:row r="436">
      <x:c r="A436" t="n">
        <x:v>659</x:v>
      </x:c>
      <x:c r="B436" t="n">
        <x:v>2025</x:v>
      </x:c>
      <x:c r="C436" s="476" t="str">
        <x:v>Barão</x:v>
      </x:c>
      <x:c r="D436" s="476" t="str">
        <x:v>Municipio De Barao Barão - Rs</x:v>
      </x:c>
      <x:c r="E436" s="476" t="str">
        <x:v>Prefeitura Municipal</x:v>
      </x:c>
      <x:c r="F436" s="476" t="str">
        <x:v>41160005</x:v>
      </x:c>
      <x:c r="G436" s="476" t="str">
        <x:v>41160005-2025</x:v>
      </x:c>
      <x:c r="H436" s="476" t="str">
        <x:v>Informado/corrigido a partir do mapa</x:v>
      </x:c>
      <x:c r="I436" s="499" t="n">
        <x:v>500000</x:v>
      </x:c>
      <x:c r="J436" s="499" t="n">
        <x:v>500000</x:v>
      </x:c>
      <x:c r="K436" s="476" t="str">
        <x:v>Emenda Individual</x:v>
      </x:c>
      <x:c r="L436" s="476"/>
      <x:c r="M436" s="499" t="n">
        <x:v>0</x:v>
      </x:c>
      <x:c r="N436" s="499" t="n">
        <x:v>481104</x:v>
      </x:c>
      <x:c r="O436" s="499" t="n">
        <x:v>0</x:v>
      </x:c>
      <x:c r="P436" s="499" t="n">
        <x:v>0</x:v>
      </x:c>
      <x:c r="Q436" s="499" t="n">
        <x:v>0</x:v>
      </x:c>
      <x:c r="R436" s="476" t="str"/>
      <x:c r="S436" s="476" t="str"/>
      <x:c r="T436" s="476" t="str">
        <x:v>DESTINO/INSTRUMENTO CONFIRMADO; VALOR NÃO COMPARÁVEL</x:v>
      </x:c>
      <x:c r="U436" s="476" t="str">
        <x:v>Média</x:v>
      </x:c>
      <x:c r="V436" s="476" t="str"/>
      <x:c r="W436" s="476" t="str">
        <x:v>Há instrumento do Transferegov para a emenda/município; valores do instrumento não foram usados como prova do valor da emenda</x:v>
      </x:c>
      <x:c r="X436" s="476" t="str">
        <x:v>https://discricionarias.transferegov.sistema.gov.br/voluntarias/ConsultarProposta/ResultadoDaConsultaDeConvenioSelecionarConvenio.do?sequencialConvenio=976294&amp;Usr=guest&amp;Pwd=guest</x:v>
      </x:c>
    </x:row>
    <x:row r="437">
      <x:c r="A437" t="n">
        <x:v>660</x:v>
      </x:c>
      <x:c r="B437" t="n">
        <x:v>2025</x:v>
      </x:c>
      <x:c r="C437" s="476" t="str">
        <x:v>Imbé</x:v>
      </x:c>
      <x:c r="D437" s="476" t="str">
        <x:v>Municipio De Imbe Imbé - Rs</x:v>
      </x:c>
      <x:c r="E437" s="476" t="str">
        <x:v>Prefeitura Municipal</x:v>
      </x:c>
      <x:c r="F437" s="476" t="str">
        <x:v>41160005</x:v>
      </x:c>
      <x:c r="G437" s="476" t="str">
        <x:v>41160005-2025</x:v>
      </x:c>
      <x:c r="H437" s="476" t="str">
        <x:v>Informado/corrigido a partir do mapa</x:v>
      </x:c>
      <x:c r="I437" s="499" t="n">
        <x:v>500000</x:v>
      </x:c>
      <x:c r="J437" s="499" t="n">
        <x:v>500000</x:v>
      </x:c>
      <x:c r="K437" s="476" t="str">
        <x:v>Emenda Individual</x:v>
      </x:c>
      <x:c r="L437" s="476"/>
      <x:c r="M437" s="499" t="n">
        <x:v>0</x:v>
      </x:c>
      <x:c r="N437" s="499" t="n">
        <x:v>481104</x:v>
      </x:c>
      <x:c r="O437" s="499" t="n">
        <x:v>0</x:v>
      </x:c>
      <x:c r="P437" s="499" t="n">
        <x:v>0</x:v>
      </x:c>
      <x:c r="Q437" s="499" t="n">
        <x:v>0</x:v>
      </x:c>
      <x:c r="R437" s="476" t="str"/>
      <x:c r="S437" s="476" t="str"/>
      <x:c r="T437" s="476" t="str">
        <x:v>DESTINO/INSTRUMENTO CONFIRMADO; VALOR NÃO COMPARÁVEL</x:v>
      </x:c>
      <x:c r="U437" s="476" t="str">
        <x:v>Média</x:v>
      </x:c>
      <x:c r="V437" s="476" t="str"/>
      <x:c r="W437" s="476" t="str">
        <x:v>Há instrumento do Transferegov para a emenda/município; valores do instrumento não foram usados como prova do valor da emenda</x:v>
      </x:c>
      <x:c r="X437" s="476" t="str">
        <x:v>https://discricionarias.transferegov.sistema.gov.br/voluntarias/ConsultarProposta/ResultadoDaConsultaDeConvenioSelecionarConvenio.do?sequencialConvenio=976207&amp;Usr=guest&amp;Pwd=guest</x:v>
      </x:c>
    </x:row>
    <x:row r="438">
      <x:c r="A438" t="n">
        <x:v>661</x:v>
      </x:c>
      <x:c r="B438" t="n">
        <x:v>2025</x:v>
      </x:c>
      <x:c r="C438" s="476" t="str">
        <x:v>Porto Lucena</x:v>
      </x:c>
      <x:c r="D438" s="476" t="str">
        <x:v>Municipio De Porto Lucena Porto Lucena - Rs</x:v>
      </x:c>
      <x:c r="E438" s="476" t="str">
        <x:v>Prefeitura Municipal</x:v>
      </x:c>
      <x:c r="F438" s="476" t="str">
        <x:v>41160005</x:v>
      </x:c>
      <x:c r="G438" s="476" t="str">
        <x:v>41160005-2025</x:v>
      </x:c>
      <x:c r="H438" s="476" t="str">
        <x:v>Informado/corrigido a partir do mapa</x:v>
      </x:c>
      <x:c r="I438" s="499" t="n">
        <x:v>500000</x:v>
      </x:c>
      <x:c r="J438" s="499" t="n">
        <x:v>500000</x:v>
      </x:c>
      <x:c r="K438" s="476" t="str">
        <x:v>Emenda Individual</x:v>
      </x:c>
      <x:c r="L438" s="476"/>
      <x:c r="M438" s="499" t="n">
        <x:v>0</x:v>
      </x:c>
      <x:c r="N438" s="499" t="n">
        <x:v>487000</x:v>
      </x:c>
      <x:c r="O438" s="499" t="n">
        <x:v>0</x:v>
      </x:c>
      <x:c r="P438" s="499" t="n">
        <x:v>0</x:v>
      </x:c>
      <x:c r="Q438" s="499" t="n">
        <x:v>0</x:v>
      </x:c>
      <x:c r="R438" s="476" t="str"/>
      <x:c r="S438" s="476" t="str"/>
      <x:c r="T438" s="476" t="str">
        <x:v>DESTINO/INSTRUMENTO CONFIRMADO; VALOR NÃO COMPARÁVEL</x:v>
      </x:c>
      <x:c r="U438" s="476" t="str">
        <x:v>Média</x:v>
      </x:c>
      <x:c r="V438" s="476" t="str"/>
      <x:c r="W438" s="476" t="str">
        <x:v>Há instrumento do Transferegov para a emenda/município; valores do instrumento não foram usados como prova do valor da emenda</x:v>
      </x:c>
      <x:c r="X438" s="476" t="str">
        <x:v>https://discricionarias.transferegov.sistema.gov.br/voluntarias/ConsultarProposta/ResultadoDaConsultaDeConvenioSelecionarConvenio.do?sequencialConvenio=986093&amp;Usr=guest&amp;Pwd=guest</x:v>
      </x:c>
    </x:row>
    <x:row r="439">
      <x:c r="A439" t="n">
        <x:v>662</x:v>
      </x:c>
      <x:c r="B439" t="n">
        <x:v>2025</x:v>
      </x:c>
      <x:c r="C439" s="476" t="str">
        <x:v>Três Coroas</x:v>
      </x:c>
      <x:c r="D439" s="476" t="str">
        <x:v>Municipio De Tres Coroas Três Coroas - Rs</x:v>
      </x:c>
      <x:c r="E439" s="476" t="str">
        <x:v>Prefeitura Municipal</x:v>
      </x:c>
      <x:c r="F439" s="476" t="str">
        <x:v>41160005</x:v>
      </x:c>
      <x:c r="G439" s="476" t="str">
        <x:v>41160005-2025</x:v>
      </x:c>
      <x:c r="H439" s="476" t="str">
        <x:v>Informado/corrigido a partir do mapa</x:v>
      </x:c>
      <x:c r="I439" s="499" t="n">
        <x:v>500000</x:v>
      </x:c>
      <x:c r="J439" s="499" t="n">
        <x:v>500000</x:v>
      </x:c>
      <x:c r="K439" s="476" t="str">
        <x:v>Emenda Individual</x:v>
      </x:c>
      <x:c r="L439" s="476"/>
      <x:c r="M439" s="499" t="n">
        <x:v>0</x:v>
      </x:c>
      <x:c r="N439" s="499" t="n">
        <x:v>481104</x:v>
      </x:c>
      <x:c r="O439" s="499" t="n">
        <x:v>0</x:v>
      </x:c>
      <x:c r="P439" s="499" t="n">
        <x:v>0</x:v>
      </x:c>
      <x:c r="Q439" s="499" t="n">
        <x:v>0</x:v>
      </x:c>
      <x:c r="R439" s="476" t="str"/>
      <x:c r="S439" s="476" t="str"/>
      <x:c r="T439" s="476" t="str">
        <x:v>DESTINO/INSTRUMENTO CONFIRMADO; VALOR NÃO COMPARÁVEL</x:v>
      </x:c>
      <x:c r="U439" s="476" t="str">
        <x:v>Média</x:v>
      </x:c>
      <x:c r="V439" s="476" t="str"/>
      <x:c r="W439" s="476" t="str">
        <x:v>Há instrumento do Transferegov para a emenda/município; valores do instrumento não foram usados como prova do valor da emenda</x:v>
      </x:c>
      <x:c r="X439" s="476" t="str">
        <x:v>https://discricionarias.transferegov.sistema.gov.br/voluntarias/ConsultarProposta/ResultadoDaConsultaDeConvenioSelecionarConvenio.do?sequencialConvenio=976206&amp;Usr=guest&amp;Pwd=guest</x:v>
      </x:c>
    </x:row>
    <x:row r="440">
      <x:c r="A440" t="n">
        <x:v>663</x:v>
      </x:c>
      <x:c r="B440" t="n">
        <x:v>2025</x:v>
      </x:c>
      <x:c r="C440" s="476" t="str">
        <x:v>Vacaria</x:v>
      </x:c>
      <x:c r="D440" s="476" t="str">
        <x:v>Municipio De Vacaria Vacaria - Rs</x:v>
      </x:c>
      <x:c r="E440" s="476" t="str">
        <x:v>Prefeitura Municipal</x:v>
      </x:c>
      <x:c r="F440" s="476" t="str">
        <x:v>41160005</x:v>
      </x:c>
      <x:c r="G440" s="476" t="str">
        <x:v>41160005-2025</x:v>
      </x:c>
      <x:c r="H440" s="476" t="str">
        <x:v>Informado/corrigido a partir do mapa</x:v>
      </x:c>
      <x:c r="I440" s="499" t="n">
        <x:v>500000</x:v>
      </x:c>
      <x:c r="J440" s="499" t="n">
        <x:v>500000</x:v>
      </x:c>
      <x:c r="K440" s="476" t="str">
        <x:v>Emenda Individual</x:v>
      </x:c>
      <x:c r="L440" s="476"/>
      <x:c r="M440" s="499" t="n">
        <x:v>0</x:v>
      </x:c>
      <x:c r="N440" s="499" t="n">
        <x:v>481104</x:v>
      </x:c>
      <x:c r="O440" s="499" t="n">
        <x:v>0</x:v>
      </x:c>
      <x:c r="P440" s="499" t="n">
        <x:v>0</x:v>
      </x:c>
      <x:c r="Q440" s="499" t="n">
        <x:v>0</x:v>
      </x:c>
      <x:c r="R440" s="476" t="str"/>
      <x:c r="S440" s="476" t="str"/>
      <x:c r="T440" s="476" t="str">
        <x:v>DESTINO/INSTRUMENTO CONFIRMADO; VALOR NÃO COMPARÁVEL</x:v>
      </x:c>
      <x:c r="U440" s="476" t="str">
        <x:v>Média</x:v>
      </x:c>
      <x:c r="V440" s="476" t="str"/>
      <x:c r="W440" s="476" t="str">
        <x:v>Há instrumento do Transferegov para a emenda/município; valores do instrumento não foram usados como prova do valor da emenda</x:v>
      </x:c>
      <x:c r="X440" s="476" t="str">
        <x:v>https://discricionarias.transferegov.sistema.gov.br/voluntarias/ConsultarProposta/ResultadoDaConsultaDeConvenioSelecionarConvenio.do?sequencialConvenio=976163&amp;Usr=guest&amp;Pwd=guest</x:v>
      </x:c>
    </x:row>
    <x:row r="441">
      <x:c r="A441" t="n">
        <x:v>664</x:v>
      </x:c>
      <x:c r="B441" t="n">
        <x:v>2025</x:v>
      </x:c>
      <x:c r="C441" s="476" t="str">
        <x:v>Cruzeiro do Sul</x:v>
      </x:c>
      <x:c r="D441" s="476" t="str">
        <x:v>Sociedade Hospital Sao Gabriel Arcanjo Cruzeiro Do Sul - Rs</x:v>
      </x:c>
      <x:c r="E441" s="476" t="str">
        <x:v>Sociedade Hospital Sao Gabriel Arcanjo Cruzeiro Do Sul - Rs</x:v>
      </x:c>
      <x:c r="F441" s="476" t="str">
        <x:v>41160004</x:v>
      </x:c>
      <x:c r="G441" s="476" t="str">
        <x:v>41160004-2025</x:v>
      </x:c>
      <x:c r="H441" s="476" t="str">
        <x:v>Informado/corrigido a partir do mapa</x:v>
      </x:c>
      <x:c r="I441" s="499" t="n">
        <x:v>500000</x:v>
      </x:c>
      <x:c r="J441" s="499" t="n">
        <x:v>500000</x:v>
      </x:c>
      <x:c r="K441" s="476" t="str">
        <x:v>Emenda Individual</x:v>
      </x:c>
      <x:c r="L441" s="476"/>
      <x:c r="M441" s="499" t="n">
        <x:v>0</x:v>
      </x:c>
      <x:c r="N441" s="499" t="n">
        <x:v>500000</x:v>
      </x:c>
      <x:c r="O441" s="499" t="n">
        <x:v>0</x:v>
      </x:c>
      <x:c r="P441" s="499" t="n">
        <x:v>0</x:v>
      </x:c>
      <x:c r="Q441" s="499" t="n">
        <x:v>0</x:v>
      </x:c>
      <x:c r="R441" s="476" t="str"/>
      <x:c r="S441" s="476" t="str"/>
      <x:c r="T441" s="476" t="str">
        <x:v>DESTINO/INSTRUMENTO CONFIRMADO; VALOR NÃO COMPARÁVEL</x:v>
      </x:c>
      <x:c r="U441" s="476" t="str">
        <x:v>Média</x:v>
      </x:c>
      <x:c r="V441" s="476" t="str"/>
      <x:c r="W441" s="476" t="str">
        <x:v>Há instrumento do Transferegov para a emenda/município; valores do instrumento não foram usados como prova do valor da emenda</x:v>
      </x:c>
      <x:c r="X441" s="476" t="str">
        <x:v>https://discricionarias.transferegov.sistema.gov.br/voluntarias/ConsultarProposta/ResultadoDaConsultaDeConvenioSelecionarConvenio.do?sequencialConvenio=985146&amp;Usr=guest&amp;Pwd=guest</x:v>
      </x:c>
    </x:row>
    <x:row r="442">
      <x:c r="A442" t="n">
        <x:v>665</x:v>
      </x:c>
      <x:c r="B442" t="n">
        <x:v>2025</x:v>
      </x:c>
      <x:c r="C442" s="476" t="str">
        <x:v>Canoas</x:v>
      </x:c>
      <x:c r="D442" s="476" t="str">
        <x:v>Municipio De Canoas Canoas - Rs</x:v>
      </x:c>
      <x:c r="E442" s="476" t="str">
        <x:v>Prefeitura Municipal</x:v>
      </x:c>
      <x:c r="F442" s="476" t="str">
        <x:v>41160008</x:v>
      </x:c>
      <x:c r="G442" s="476" t="str">
        <x:v>41160008-2025</x:v>
      </x:c>
      <x:c r="H442" s="476" t="str">
        <x:v>Informado/corrigido a partir do mapa</x:v>
      </x:c>
      <x:c r="I442" s="499" t="n">
        <x:v>500000</x:v>
      </x:c>
      <x:c r="J442" s="499" t="n">
        <x:v>500000</x:v>
      </x:c>
      <x:c r="K442" s="476" t="str">
        <x:v>Emenda Individual</x:v>
      </x:c>
      <x:c r="L442" s="476"/>
      <x:c r="M442" s="499" t="n">
        <x:v>495000</x:v>
      </x:c>
      <x:c r="N442" s="499" t="n">
        <x:v>0</x:v>
      </x:c>
      <x:c r="O442" s="499" t="n">
        <x:v>0</x:v>
      </x:c>
      <x:c r="P442" s="499" t="n">
        <x:v>495000</x:v>
      </x:c>
      <x:c r="Q442" s="499" t="n">
        <x:v>0</x:v>
      </x:c>
      <x:c r="R442" s="476" t="str">
        <x:v>CIENTE</x:v>
      </x:c>
      <x:c r="S442" s="476" t="str">
        <x:v>88577416000118</x:v>
      </x:c>
      <x:c r="T442" s="476" t="str">
        <x:v>VALOR DIVERGENTE / COBERTURA DIFERENTE</x:v>
      </x:c>
      <x:c r="U442" s="476" t="str">
        <x:v>Média</x:v>
      </x:c>
      <x:c r="V442" s="476" t="str">
        <x:v>Revisar valor do grupo: PIX atual registra R$ 495,000.00; Atualizar situação com status do plano PIX: CIENTE (não equivale a pagamento)</x:v>
      </x:c>
      <x:c r="W442" s="476" t="str">
        <x:v>Município/localidade encontrado em fonte comparável, mas valor não fecha exatamente</x:v>
      </x:c>
      <x:c r="X442" s="476" t="str">
        <x:v>https://especiais.transferegov.sistema.gov.br/transferencia-especial/plano-acao/detalhe/83993/dados-basicos</x:v>
      </x:c>
    </x:row>
    <x:row r="443">
      <x:c r="A443" t="n">
        <x:v>666</x:v>
      </x:c>
      <x:c r="B443" t="n">
        <x:v>2025</x:v>
      </x:c>
      <x:c r="C443" s="476" t="str">
        <x:v>Porto Alegre</x:v>
      </x:c>
      <x:c r="D443" s="476" t="str">
        <x:v>Uniao Brasileira De Educacao E Assistencia Porto Alegre - Rs</x:v>
      </x:c>
      <x:c r="E443" s="476" t="str">
        <x:v>Uniao Brasileira De Educacao E Assistencia Porto Alegre - Rs</x:v>
      </x:c>
      <x:c r="F443" s="476" t="str">
        <x:v>41160004</x:v>
      </x:c>
      <x:c r="G443" s="476" t="str">
        <x:v>41160004-2025</x:v>
      </x:c>
      <x:c r="H443" s="476" t="str">
        <x:v>Informado/corrigido a partir do mapa</x:v>
      </x:c>
      <x:c r="I443" s="499" t="n">
        <x:v>500000</x:v>
      </x:c>
      <x:c r="J443" s="499" t="n">
        <x:v>1150000</x:v>
      </x:c>
      <x:c r="K443" s="476" t="str">
        <x:v>Emenda Individual</x:v>
      </x:c>
      <x:c r="L443" s="476"/>
      <x:c r="M443" s="499" t="n">
        <x:v>411500</x:v>
      </x:c>
      <x:c r="N443" s="499" t="n">
        <x:v>500000</x:v>
      </x:c>
      <x:c r="O443" s="499" t="n">
        <x:v>0</x:v>
      </x:c>
      <x:c r="P443" s="499" t="n">
        <x:v>0</x:v>
      </x:c>
      <x:c r="Q443" s="499" t="n">
        <x:v>0</x:v>
      </x:c>
      <x:c r="R443" s="476" t="str"/>
      <x:c r="S443" s="476" t="str">
        <x:v>155001</x:v>
      </x:c>
      <x:c r="T443" s="476" t="str">
        <x:v>VALOR DIVERGENTE / COBERTURA DIFERENTE</x:v>
      </x:c>
      <x:c r="U443" s="476" t="str">
        <x:v>Alta</x:v>
      </x:c>
      <x:c r="V443" s="476" t="str">
        <x:v>Preencher situação: há pagamento identificado na fonte pública</x:v>
      </x:c>
      <x:c r="W443" s="476" t="str">
        <x:v>Município/localidade encontrado em fonte comparável, mas valor não fecha exatamente</x:v>
      </x:c>
      <x:c r="X443" s="476" t="str">
        <x:v>https://discricionarias.transferegov.sistema.gov.br/voluntarias/ConsultarProposta/ResultadoDaConsultaDeConvenioSelecionarConvenio.do?sequencialConvenio=988203&amp;Usr=guest&amp;Pwd=guest</x:v>
      </x:c>
    </x:row>
    <x:row r="444">
      <x:c r="A444" t="n">
        <x:v>667</x:v>
      </x:c>
      <x:c r="B444" t="n">
        <x:v>2025</x:v>
      </x:c>
      <x:c r="C444" s="476" t="str">
        <x:v>Canela</x:v>
      </x:c>
      <x:c r="D444" s="476" t="str">
        <x:v>Municipio De Canela Canela - Rs</x:v>
      </x:c>
      <x:c r="E444" s="476" t="str">
        <x:v>Prefeitura Municipal</x:v>
      </x:c>
      <x:c r="F444" s="476" t="str">
        <x:v>41160008</x:v>
      </x:c>
      <x:c r="G444" s="476" t="str">
        <x:v>41160008-2025</x:v>
      </x:c>
      <x:c r="H444" s="476" t="str">
        <x:v>Informado/corrigido a partir do mapa</x:v>
      </x:c>
      <x:c r="I444" s="499" t="n">
        <x:v>500000</x:v>
      </x:c>
      <x:c r="J444" s="499" t="n">
        <x:v>500000</x:v>
      </x:c>
      <x:c r="K444" s="476" t="str">
        <x:v>Emenda Individual</x:v>
      </x:c>
      <x:c r="L444" s="476"/>
      <x:c r="M444" s="499" t="n">
        <x:v>495000</x:v>
      </x:c>
      <x:c r="N444" s="499" t="n">
        <x:v>0</x:v>
      </x:c>
      <x:c r="O444" s="499" t="n">
        <x:v>0</x:v>
      </x:c>
      <x:c r="P444" s="499" t="n">
        <x:v>495000</x:v>
      </x:c>
      <x:c r="Q444" s="499" t="n">
        <x:v>0</x:v>
      </x:c>
      <x:c r="R444" s="476" t="str">
        <x:v>CIENTE</x:v>
      </x:c>
      <x:c r="S444" s="476" t="str">
        <x:v>88585518000185</x:v>
      </x:c>
      <x:c r="T444" s="476" t="str">
        <x:v>VALOR DIVERGENTE / COBERTURA DIFERENTE</x:v>
      </x:c>
      <x:c r="U444" s="476" t="str">
        <x:v>Média</x:v>
      </x:c>
      <x:c r="V444" s="476" t="str">
        <x:v>Revisar valor do grupo: PIX atual registra R$ 495,000.00; Atualizar situação com status do plano PIX: CIENTE (não equivale a pagamento)</x:v>
      </x:c>
      <x:c r="W444" s="476" t="str">
        <x:v>Município/localidade encontrado em fonte comparável, mas valor não fecha exatamente</x:v>
      </x:c>
      <x:c r="X444" s="476" t="str">
        <x:v>https://especiais.transferegov.sistema.gov.br/transferencia-especial/plano-acao/detalhe/84004/dados-basicos</x:v>
      </x:c>
    </x:row>
    <x:row r="445">
      <x:c r="A445" t="n">
        <x:v>668</x:v>
      </x:c>
      <x:c r="B445" t="n">
        <x:v>2025</x:v>
      </x:c>
      <x:c r="C445" s="476" t="str">
        <x:v>Bagé</x:v>
      </x:c>
      <x:c r="D445" s="476" t="str">
        <x:v>Fundacao Universidade Federal Do Pampa - Unipampa Bagé - Rs</x:v>
      </x:c>
      <x:c r="E445" s="476" t="str">
        <x:v>Fundacao Universidade Federal Do Pampa - Unipampa Bagé - Rs</x:v>
      </x:c>
      <x:c r="F445" s="476" t="str">
        <x:v>41160006</x:v>
      </x:c>
      <x:c r="G445" s="476" t="str">
        <x:v>41160006-2025</x:v>
      </x:c>
      <x:c r="H445" s="476" t="str">
        <x:v>Informado/corrigido a partir do mapa</x:v>
      </x:c>
      <x:c r="I445" s="499" t="n">
        <x:v>500000</x:v>
      </x:c>
      <x:c r="J445" s="499" t="n">
        <x:v>500000</x:v>
      </x:c>
      <x:c r="K445" s="476" t="str">
        <x:v>Emenda Individual</x:v>
      </x:c>
      <x:c r="L445" s="476"/>
      <x:c r="M445" s="499" t="n">
        <x:v>0</x:v>
      </x:c>
      <x:c r="N445" s="499" t="n">
        <x:v>0</x:v>
      </x:c>
      <x:c r="O445" s="499" t="n">
        <x:v>0</x:v>
      </x:c>
      <x:c r="P445" s="499" t="n">
        <x:v>0</x:v>
      </x:c>
      <x:c r="Q445" s="499" t="n">
        <x:v>0</x:v>
      </x:c>
      <x:c r="R445" s="476" t="str"/>
      <x:c r="S445" s="476" t="str"/>
      <x:c r="T445" s="476" t="str">
        <x:v>EMENDA CONFIRMADA; DESTINO NÃO CONFIRMADO</x:v>
      </x:c>
      <x:c r="U445" s="476" t="str">
        <x:v>Média</x:v>
      </x:c>
      <x:c r="V445" s="476" t="str"/>
      <x:c r="W445" s="476" t="str">
        <x:v>Nº existe no SIGA; destinatário específico não foi confirmado nas bases anexas</x:v>
      </x:c>
      <x:c r="X445" s="476" t="str"/>
    </x:row>
    <x:row r="446">
      <x:c r="A446" t="n">
        <x:v>669</x:v>
      </x:c>
      <x:c r="B446" t="n">
        <x:v>2026</x:v>
      </x:c>
      <x:c r="C446" s="476" t="str">
        <x:v>Porto Alegre</x:v>
      </x:c>
      <x:c r="D446" s="476" t="str">
        <x:v>Porto Alegre</x:v>
      </x:c>
      <x:c r="E446" s="476" t="str">
        <x:v>Municipio de Porto Alegre</x:v>
      </x:c>
      <x:c r="F446" s="476" t="str">
        <x:v>41160012</x:v>
      </x:c>
      <x:c r="G446" s="476" t="str">
        <x:v>41160012-2026</x:v>
      </x:c>
      <x:c r="H446" s="476" t="str">
        <x:v>Informado/corrigido a partir do mapa</x:v>
      </x:c>
      <x:c r="I446" s="499" t="n">
        <x:v>500000</x:v>
      </x:c>
      <x:c r="J446" s="499" t="n">
        <x:v>500000</x:v>
      </x:c>
      <x:c r="K446" s="476" t="str">
        <x:v>Emenda individual</x:v>
      </x:c>
      <x:c r="L446" s="476"/>
      <x:c r="M446" s="499" t="n">
        <x:v>0</x:v>
      </x:c>
      <x:c r="N446" s="499" t="n">
        <x:v>0</x:v>
      </x:c>
      <x:c r="O446" s="499" t="n">
        <x:v>0</x:v>
      </x:c>
      <x:c r="P446" s="499" t="n">
        <x:v>0</x:v>
      </x:c>
      <x:c r="Q446" s="499" t="n">
        <x:v>0</x:v>
      </x:c>
      <x:c r="R446" s="476" t="str"/>
      <x:c r="S446" s="476" t="str"/>
      <x:c r="T446" s="476" t="str">
        <x:v>EMENDA CONFIRMADA; DESTINO NÃO CONFIRMADO</x:v>
      </x:c>
      <x:c r="U446" s="476" t="str">
        <x:v>Média</x:v>
      </x:c>
      <x:c r="V446" s="476" t="str"/>
      <x:c r="W446" s="476" t="str">
        <x:v>Nº existe no SIGA; destinatário específico não foi confirmado nas bases anexas</x:v>
      </x:c>
      <x:c r="X446" s="476" t="str"/>
    </x:row>
    <x:row r="447">
      <x:c r="A447" t="n">
        <x:v>670</x:v>
      </x:c>
      <x:c r="B447" t="n">
        <x:v>2026</x:v>
      </x:c>
      <x:c r="C447" s="476" t="str">
        <x:v>Santo Ângelo</x:v>
      </x:c>
      <x:c r="D447" s="476" t="str">
        <x:v>Associacao Beneficente Hospital Santo Atonio</x:v>
      </x:c>
      <x:c r="E447" s="476" t="str">
        <x:v>Associacao Hospital de Caridade de Santo Angelo</x:v>
      </x:c>
      <x:c r="F447" s="476" t="str">
        <x:v>41160003</x:v>
      </x:c>
      <x:c r="G447" s="476" t="str">
        <x:v>41160003-2026</x:v>
      </x:c>
      <x:c r="H447" s="476" t="str">
        <x:v>Informado/corrigido a partir do mapa</x:v>
      </x:c>
      <x:c r="I447" s="499" t="n">
        <x:v>500000</x:v>
      </x:c>
      <x:c r="J447" s="499" t="n">
        <x:v>500000</x:v>
      </x:c>
      <x:c r="K447" s="476" t="str">
        <x:v>Emenda individual</x:v>
      </x:c>
      <x:c r="L447" s="476"/>
      <x:c r="M447" s="499" t="n">
        <x:v>0</x:v>
      </x:c>
      <x:c r="N447" s="499" t="n">
        <x:v>500000</x:v>
      </x:c>
      <x:c r="O447" s="499" t="n">
        <x:v>0</x:v>
      </x:c>
      <x:c r="P447" s="499" t="n">
        <x:v>0</x:v>
      </x:c>
      <x:c r="Q447" s="499" t="n">
        <x:v>0</x:v>
      </x:c>
      <x:c r="R447" s="476" t="str"/>
      <x:c r="S447" s="476" t="str"/>
      <x:c r="T447" s="476" t="str">
        <x:v>DESTINO/INSTRUMENTO CONFIRMADO; VALOR NÃO COMPARÁVEL</x:v>
      </x:c>
      <x:c r="U447" s="476" t="str">
        <x:v>Média</x:v>
      </x:c>
      <x:c r="V447" s="476" t="str"/>
      <x:c r="W447" s="476" t="str">
        <x:v>Há instrumento do Transferegov para a emenda/município; valores do instrumento não foram usados como prova do valor da emenda</x:v>
      </x:c>
      <x:c r="X447" s="476" t="str">
        <x:v>https://discricionarias.transferegov.sistema.gov.br/voluntarias/ConsultarProposta/ResultadoDaConsultaDeConvenioSelecionarConvenio.do?sequencialConvenio=998852&amp;Usr=guest&amp;Pwd=guest</x:v>
      </x:c>
    </x:row>
    <x:row r="448">
      <x:c r="A448" t="n">
        <x:v>671</x:v>
      </x:c>
      <x:c r="B448" t="n">
        <x:v>2026</x:v>
      </x:c>
      <x:c r="C448" s="476" t="str">
        <x:v>Uruguaiana</x:v>
      </x:c>
      <x:c r="D448" s="476" t="str">
        <x:v>Uruguaiana</x:v>
      </x:c>
      <x:c r="E448" s="476" t="str">
        <x:v>Fundo Municipal de Saude</x:v>
      </x:c>
      <x:c r="F448" s="476" t="str">
        <x:v>41160003</x:v>
      </x:c>
      <x:c r="G448" s="476" t="str">
        <x:v>41160003-2026</x:v>
      </x:c>
      <x:c r="H448" s="476" t="str">
        <x:v>Informado/corrigido a partir do mapa</x:v>
      </x:c>
      <x:c r="I448" s="499" t="n">
        <x:v>500000</x:v>
      </x:c>
      <x:c r="J448" s="499" t="n">
        <x:v>500000</x:v>
      </x:c>
      <x:c r="K448" s="476" t="str">
        <x:v>Emenda individual</x:v>
      </x:c>
      <x:c r="L448" s="476"/>
      <x:c r="M448" s="499" t="n">
        <x:v>0</x:v>
      </x:c>
      <x:c r="N448" s="499" t="n">
        <x:v>0</x:v>
      </x:c>
      <x:c r="O448" s="499" t="n">
        <x:v>0</x:v>
      </x:c>
      <x:c r="P448" s="499" t="n">
        <x:v>0</x:v>
      </x:c>
      <x:c r="Q448" s="499" t="n">
        <x:v>0</x:v>
      </x:c>
      <x:c r="R448" s="476" t="str"/>
      <x:c r="S448" s="476" t="str"/>
      <x:c r="T448" s="476" t="str">
        <x:v>EMENDA CONFIRMADA; DESTINO NÃO CONFIRMADO</x:v>
      </x:c>
      <x:c r="U448" s="476" t="str">
        <x:v>Média</x:v>
      </x:c>
      <x:c r="V448" s="476" t="str"/>
      <x:c r="W448" s="476" t="str">
        <x:v>Nº existe no SIGA; destinatário específico não foi confirmado nas bases anexas</x:v>
      </x:c>
      <x:c r="X448" s="476" t="str"/>
    </x:row>
    <x:row r="449">
      <x:c r="A449" t="n">
        <x:v>672</x:v>
      </x:c>
      <x:c r="B449" t="n">
        <x:v>2026</x:v>
      </x:c>
      <x:c r="C449" s="476" t="str">
        <x:v>Novo Hamburgo</x:v>
      </x:c>
      <x:c r="D449" s="476" t="str">
        <x:v>Novo Hamburgo</x:v>
      </x:c>
      <x:c r="E449" s="476" t="str">
        <x:v>Municipio de Novo Hamburgo</x:v>
      </x:c>
      <x:c r="F449" s="476" t="str">
        <x:v>41160008</x:v>
      </x:c>
      <x:c r="G449" s="476" t="str">
        <x:v>41160008-2026</x:v>
      </x:c>
      <x:c r="H449" s="476" t="str">
        <x:v>Informado/corrigido a partir do mapa</x:v>
      </x:c>
      <x:c r="I449" s="499" t="n">
        <x:v>500000</x:v>
      </x:c>
      <x:c r="J449" s="499" t="n">
        <x:v>500000</x:v>
      </x:c>
      <x:c r="K449" s="476" t="str">
        <x:v>Emenda individual</x:v>
      </x:c>
      <x:c r="L449" s="476"/>
      <x:c r="M449" s="499" t="n">
        <x:v>287777.1</x:v>
      </x:c>
      <x:c r="N449" s="499" t="n">
        <x:v>0</x:v>
      </x:c>
      <x:c r="O449" s="499" t="n">
        <x:v>0</x:v>
      </x:c>
      <x:c r="P449" s="499" t="n">
        <x:v>497500</x:v>
      </x:c>
      <x:c r="Q449" s="499" t="n">
        <x:v>0</x:v>
      </x:c>
      <x:c r="R449" s="476" t="str">
        <x:v>CIENTE</x:v>
      </x:c>
      <x:c r="S449" s="476" t="str">
        <x:v>88254875000160</x:v>
      </x:c>
      <x:c r="T449" s="476" t="str">
        <x:v>VALOR DIVERGENTE / COBERTURA DIFERENTE</x:v>
      </x:c>
      <x:c r="U449" s="476" t="str">
        <x:v>Média</x:v>
      </x:c>
      <x:c r="V449" s="476" t="str">
        <x:v>Revisar valor do grupo: PIX atual registra R$ 497,500.00; Atualizar situação com status do plano PIX: CIENTE (não equivale a pagamento)</x:v>
      </x:c>
      <x:c r="W449" s="476" t="str">
        <x:v>Município/localidade encontrado em fonte comparável, mas valor não fecha exatamente</x:v>
      </x:c>
      <x:c r="X449" s="476" t="str">
        <x:v>https://especiais.transferegov.sistema.gov.br/transferencia-especial/plano-acao/detalhe/96522/dados-basicos</x:v>
      </x:c>
    </x:row>
    <x:row r="450">
      <x:c r="A450" t="n">
        <x:v>673</x:v>
      </x:c>
      <x:c r="B450" t="n">
        <x:v>2026</x:v>
      </x:c>
      <x:c r="C450" s="476" t="str">
        <x:v>Faxinal do Soturno</x:v>
      </x:c>
      <x:c r="D450" s="476" t="str">
        <x:v>Hospital de Caridade São Roque - Faxinal do Soturno - RS</x:v>
      </x:c>
      <x:c r="E450" s="476" t="str">
        <x:v>Hospital de Caridade São Roque - Faxinal do Soturno - RS</x:v>
      </x:c>
      <x:c r="F450" s="476" t="str">
        <x:v>41160003</x:v>
      </x:c>
      <x:c r="G450" s="476" t="str">
        <x:v>41160003-2026</x:v>
      </x:c>
      <x:c r="H450" s="476" t="str">
        <x:v>Informado/corrigido a partir do mapa</x:v>
      </x:c>
      <x:c r="I450" s="499" t="n">
        <x:v>500000</x:v>
      </x:c>
      <x:c r="J450" s="499" t="n">
        <x:v>500000</x:v>
      </x:c>
      <x:c r="K450" s="476" t="str">
        <x:v>Emenda individual</x:v>
      </x:c>
      <x:c r="L450" s="476"/>
      <x:c r="M450" s="499" t="n">
        <x:v>0</x:v>
      </x:c>
      <x:c r="N450" s="499" t="n">
        <x:v>800000</x:v>
      </x:c>
      <x:c r="O450" s="499" t="n">
        <x:v>0</x:v>
      </x:c>
      <x:c r="P450" s="499" t="n">
        <x:v>0</x:v>
      </x:c>
      <x:c r="Q450" s="499" t="n">
        <x:v>0</x:v>
      </x:c>
      <x:c r="R450" s="476" t="str"/>
      <x:c r="S450" s="476" t="str"/>
      <x:c r="T450" s="476" t="str">
        <x:v>DESTINO/INSTRUMENTO CONFIRMADO; VALOR NÃO COMPARÁVEL</x:v>
      </x:c>
      <x:c r="U450" s="476" t="str">
        <x:v>Média</x:v>
      </x:c>
      <x:c r="V450" s="476" t="str"/>
      <x:c r="W450" s="476" t="str">
        <x:v>Há instrumento do Transferegov para a emenda/município; valores do instrumento não foram usados como prova do valor da emenda</x:v>
      </x:c>
      <x:c r="X450" s="476" t="str">
        <x:v>https://discricionarias.transferegov.sistema.gov.br/voluntarias/ConsultarProposta/ResultadoDaConsultaDeConvenioSelecionarConvenio.do?sequencialConvenio=998876&amp;Usr=guest&amp;Pwd=guest</x:v>
      </x:c>
    </x:row>
    <x:row r="451">
      <x:c r="A451" t="n">
        <x:v>674</x:v>
      </x:c>
      <x:c r="B451" t="n">
        <x:v>2026</x:v>
      </x:c>
      <x:c r="C451" s="476" t="str">
        <x:v>Dois Irmãos</x:v>
      </x:c>
      <x:c r="D451" s="476" t="str">
        <x:v>Fundo Municipal de Saúde de Dois Irmãos - RS</x:v>
      </x:c>
      <x:c r="E451" s="476" t="str">
        <x:v>Município de Dois Irmãos</x:v>
      </x:c>
      <x:c r="F451" s="476" t="str">
        <x:v>71220002</x:v>
      </x:c>
      <x:c r="G451" s="476" t="str">
        <x:v>71220002-2026</x:v>
      </x:c>
      <x:c r="H451" s="476" t="str">
        <x:v>Informado/corrigido a partir do mapa</x:v>
      </x:c>
      <x:c r="I451" s="499" t="n">
        <x:v>500000</x:v>
      </x:c>
      <x:c r="J451" s="499" t="n">
        <x:v>500000</x:v>
      </x:c>
      <x:c r="K451" s="476" t="str">
        <x:v>Bancada Gaúcha</x:v>
      </x:c>
      <x:c r="L451" s="476"/>
      <x:c r="M451" s="499" t="n">
        <x:v>0</x:v>
      </x:c>
      <x:c r="N451" s="499" t="n">
        <x:v>0</x:v>
      </x:c>
      <x:c r="O451" s="499" t="n">
        <x:v>0</x:v>
      </x:c>
      <x:c r="P451" s="499" t="n">
        <x:v>0</x:v>
      </x:c>
      <x:c r="Q451" s="499" t="n">
        <x:v>0</x:v>
      </x:c>
      <x:c r="R451" s="476" t="str"/>
      <x:c r="S451" s="476" t="str"/>
      <x:c r="T451" s="476" t="str">
        <x:v>EMENDA CONFIRMADA; DESTINO NÃO CONFIRMADO</x:v>
      </x:c>
      <x:c r="U451" s="476" t="str">
        <x:v>Média</x:v>
      </x:c>
      <x:c r="V451" s="476" t="str"/>
      <x:c r="W451" s="476" t="str"/>
      <x:c r="X451" s="476" t="str"/>
    </x:row>
    <x:row r="452">
      <x:c r="A452" t="n">
        <x:v>675</x:v>
      </x:c>
      <x:c r="B452" t="n">
        <x:v>2026</x:v>
      </x:c>
      <x:c r="C452" s="476" t="str">
        <x:v>Júlio de Castilhos</x:v>
      </x:c>
      <x:c r="D452" s="476" t="str">
        <x:v>Hospital Bernardina Salles de Barros, Júlio de Castilhos - RS</x:v>
      </x:c>
      <x:c r="E452" s="476"/>
      <x:c r="F452" s="476" t="str">
        <x:v>41160003</x:v>
      </x:c>
      <x:c r="G452" s="476" t="str">
        <x:v>41160003-2026</x:v>
      </x:c>
      <x:c r="H452" s="476" t="str">
        <x:v>Informado/corrigido a partir do mapa</x:v>
      </x:c>
      <x:c r="I452" s="499" t="n">
        <x:v>500000</x:v>
      </x:c>
      <x:c r="J452" s="499" t="n">
        <x:v>500000</x:v>
      </x:c>
      <x:c r="K452" s="476" t="str">
        <x:v>Emenda individual</x:v>
      </x:c>
      <x:c r="L452" s="476"/>
      <x:c r="M452" s="499" t="n">
        <x:v>0</x:v>
      </x:c>
      <x:c r="N452" s="499" t="n">
        <x:v>500000</x:v>
      </x:c>
      <x:c r="O452" s="499" t="n">
        <x:v>0</x:v>
      </x:c>
      <x:c r="P452" s="499" t="n">
        <x:v>0</x:v>
      </x:c>
      <x:c r="Q452" s="499" t="n">
        <x:v>0</x:v>
      </x:c>
      <x:c r="R452" s="476" t="str"/>
      <x:c r="S452" s="476" t="str"/>
      <x:c r="T452" s="476" t="str">
        <x:v>DESTINO/INSTRUMENTO CONFIRMADO; VALOR NÃO COMPARÁVEL</x:v>
      </x:c>
      <x:c r="U452" s="476" t="str">
        <x:v>Média</x:v>
      </x:c>
      <x:c r="V452" s="476" t="str"/>
      <x:c r="W452" s="476" t="str">
        <x:v>Há instrumento do Transferegov para a emenda/município; valores do instrumento não foram usados como prova do valor da emenda</x:v>
      </x:c>
      <x:c r="X452" s="476" t="str">
        <x:v>https://discricionarias.transferegov.sistema.gov.br/voluntarias/ConsultarProposta/ResultadoDaConsultaDeConvenioSelecionarConvenio.do?sequencialConvenio=998260&amp;Usr=guest&amp;Pwd=guest</x:v>
      </x:c>
    </x:row>
    <x:row r="453">
      <x:c r="A453" t="n">
        <x:v>676</x:v>
      </x:c>
      <x:c r="B453" t="n">
        <x:v>2023</x:v>
      </x:c>
      <x:c r="C453" s="476" t="str">
        <x:v>Santa Maria</x:v>
      </x:c>
      <x:c r="D453" s="476" t="str">
        <x:v>Prefeitura</x:v>
      </x:c>
      <x:c r="E453" s="476" t="str">
        <x:v>Prefeitura de Santa Maria</x:v>
      </x:c>
      <x:c r="F453" s="476" t="str">
        <x:v>41160006</x:v>
      </x:c>
      <x:c r="G453" s="476" t="str">
        <x:v>41160006-2023</x:v>
      </x:c>
      <x:c r="H453" s="476" t="str">
        <x:v>Informado/corrigido a partir do mapa</x:v>
      </x:c>
      <x:c r="I453" s="499" t="n">
        <x:v>504861</x:v>
      </x:c>
      <x:c r="J453" s="499" t="n">
        <x:v>504861</x:v>
      </x:c>
      <x:c r="K453" s="476" t="str">
        <x:v>Emenda Individual</x:v>
      </x:c>
      <x:c r="L453" s="476" t="str">
        <x:v>Empenhado</x:v>
      </x:c>
      <x:c r="M453" s="499" t="n">
        <x:v>0</x:v>
      </x:c>
      <x:c r="N453" s="499" t="n">
        <x:v>484458</x:v>
      </x:c>
      <x:c r="O453" s="499" t="n">
        <x:v>0</x:v>
      </x:c>
      <x:c r="P453" s="499" t="n">
        <x:v>0</x:v>
      </x:c>
      <x:c r="Q453" s="499" t="n">
        <x:v>0</x:v>
      </x:c>
      <x:c r="R453" s="476" t="str"/>
      <x:c r="S453" s="476" t="str"/>
      <x:c r="T453" s="476" t="str">
        <x:v>DESTINO/INSTRUMENTO CONFIRMADO; VALOR NÃO COMPARÁVEL</x:v>
      </x:c>
      <x:c r="U453" s="476" t="str">
        <x:v>Média</x:v>
      </x:c>
      <x:c r="V453" s="476" t="str"/>
      <x:c r="W453" s="476" t="str">
        <x:v>Há instrumento do Transferegov para a emenda/município; valores do instrumento não foram usados como prova do valor da emenda</x:v>
      </x:c>
      <x:c r="X453" s="476" t="str">
        <x:v>https://discricionarias.transferegov.sistema.gov.br/voluntarias/ConsultarProposta/ResultadoDaConsultaDeConvenioSelecionarConvenio.do?sequencialConvenio=940680&amp;Usr=guest&amp;Pwd=guest</x:v>
      </x:c>
    </x:row>
    <x:row r="454">
      <x:c r="A454" t="n">
        <x:v>678</x:v>
      </x:c>
      <x:c r="B454" t="n">
        <x:v>2026</x:v>
      </x:c>
      <x:c r="C454" s="476" t="str">
        <x:v>Ibiraiaras</x:v>
      </x:c>
      <x:c r="D454" s="476" t="str">
        <x:v>Ibiraiaras</x:v>
      </x:c>
      <x:c r="E454" s="476" t="str">
        <x:v>Fundo Municipal de Saude de Ibiraiaras</x:v>
      </x:c>
      <x:c r="F454" s="476" t="str">
        <x:v>41160003</x:v>
      </x:c>
      <x:c r="G454" s="476" t="str">
        <x:v>41160003-2026</x:v>
      </x:c>
      <x:c r="H454" s="476" t="str">
        <x:v>Informado/corrigido a partir do mapa</x:v>
      </x:c>
      <x:c r="I454" s="499" t="n">
        <x:v>520000</x:v>
      </x:c>
      <x:c r="J454" s="499" t="n">
        <x:v>520000</x:v>
      </x:c>
      <x:c r="K454" s="476" t="str">
        <x:v>Emenda individual</x:v>
      </x:c>
      <x:c r="L454" s="476"/>
      <x:c r="M454" s="499" t="n">
        <x:v>206531</x:v>
      </x:c>
      <x:c r="N454" s="499" t="n">
        <x:v>0</x:v>
      </x:c>
      <x:c r="O454" s="499" t="n">
        <x:v>0</x:v>
      </x:c>
      <x:c r="P454" s="499" t="n">
        <x:v>0</x:v>
      </x:c>
      <x:c r="Q454" s="499" t="n">
        <x:v>0</x:v>
      </x:c>
      <x:c r="R454" s="476" t="str"/>
      <x:c r="S454" s="476" t="str">
        <x:v>11707405000180</x:v>
      </x:c>
      <x:c r="T454" s="476" t="str">
        <x:v>VALOR DIVERGENTE / COBERTURA DIFERENTE</x:v>
      </x:c>
      <x:c r="U454" s="476" t="str">
        <x:v>Alta</x:v>
      </x:c>
      <x:c r="V454" s="476" t="str">
        <x:v>Preencher situação: há pagamento identificado na fonte pública</x:v>
      </x:c>
      <x:c r="W454" s="476" t="str">
        <x:v>Município/localidade encontrado em fonte comparável, mas valor não fecha exatamente</x:v>
      </x:c>
      <x:c r="X454" s="476" t="str"/>
    </x:row>
    <x:row r="455">
      <x:c r="A455" t="n">
        <x:v>679</x:v>
      </x:c>
      <x:c r="B455" t="n">
        <x:v>2023</x:v>
      </x:c>
      <x:c r="C455" s="476" t="str">
        <x:v>Alegrete</x:v>
      </x:c>
      <x:c r="D455" s="476" t="str">
        <x:v>Hospital</x:v>
      </x:c>
      <x:c r="E455" s="476" t="str">
        <x:v>Irmandade Santa Casa De Alegrete</x:v>
      </x:c>
      <x:c r="F455" s="476" t="str"/>
      <x:c r="G455" s="476" t="str"/>
      <x:c r="H455" s="476" t="str">
        <x:v>Sem nº conciliado</x:v>
      </x:c>
      <x:c r="I455" s="499" t="n">
        <x:v>540000</x:v>
      </x:c>
      <x:c r="J455" s="499" t="n">
        <x:v>540000</x:v>
      </x:c>
      <x:c r="K455" s="476" t="str">
        <x:v>Emenda Individual</x:v>
      </x:c>
      <x:c r="L455" s="476" t="str">
        <x:v>Empenhado</x:v>
      </x:c>
      <x:c r="M455" s="499" t="n">
        <x:v>0</x:v>
      </x:c>
      <x:c r="N455" s="499" t="n">
        <x:v>0</x:v>
      </x:c>
      <x:c r="O455" s="499" t="n">
        <x:v>0</x:v>
      </x:c>
      <x:c r="P455" s="499" t="n">
        <x:v>0</x:v>
      </x:c>
      <x:c r="Q455" s="499" t="n">
        <x:v>0</x:v>
      </x:c>
      <x:c r="R455" s="476" t="str"/>
      <x:c r="S455" s="476" t="str"/>
      <x:c r="T455" s="476" t="str">
        <x:v>SEM Nº / NÃO CONCILIADO</x:v>
      </x:c>
      <x:c r="U455" s="476" t="str">
        <x:v>Média</x:v>
      </x:c>
      <x:c r="V455" s="476" t="str"/>
      <x:c r="W455" s="476" t="str"/>
      <x:c r="X455" s="476" t="str"/>
    </x:row>
    <x:row r="456">
      <x:c r="A456" t="n">
        <x:v>681</x:v>
      </x:c>
      <x:c r="B456" t="n">
        <x:v>2025</x:v>
      </x:c>
      <x:c r="C456" s="476" t="str">
        <x:v>Santo Antônio da Patrulha</x:v>
      </x:c>
      <x:c r="D456" s="476" t="str">
        <x:v>Municipio De Santo Antonio Da Patrulha Santo Antônio Da Patrulha - Rs</x:v>
      </x:c>
      <x:c r="E456" s="476" t="str">
        <x:v>Prefeitura Municipal</x:v>
      </x:c>
      <x:c r="F456" s="476" t="str">
        <x:v>41160005</x:v>
      </x:c>
      <x:c r="G456" s="476" t="str">
        <x:v>41160005-2025</x:v>
      </x:c>
      <x:c r="H456" s="476" t="str">
        <x:v>Informado/corrigido a partir do mapa</x:v>
      </x:c>
      <x:c r="I456" s="499" t="n">
        <x:v>547160</x:v>
      </x:c>
      <x:c r="J456" s="499" t="n">
        <x:v>547160</x:v>
      </x:c>
      <x:c r="K456" s="476" t="str">
        <x:v>Emenda Individual</x:v>
      </x:c>
      <x:c r="L456" s="476"/>
      <x:c r="M456" s="499" t="n">
        <x:v>0</x:v>
      </x:c>
      <x:c r="N456" s="499" t="n">
        <x:v>494000</x:v>
      </x:c>
      <x:c r="O456" s="499" t="n">
        <x:v>0</x:v>
      </x:c>
      <x:c r="P456" s="499" t="n">
        <x:v>0</x:v>
      </x:c>
      <x:c r="Q456" s="499" t="n">
        <x:v>0</x:v>
      </x:c>
      <x:c r="R456" s="476" t="str"/>
      <x:c r="S456" s="476" t="str"/>
      <x:c r="T456" s="476" t="str">
        <x:v>DESTINO/INSTRUMENTO CONFIRMADO; VALOR NÃO COMPARÁVEL</x:v>
      </x:c>
      <x:c r="U456" s="476" t="str">
        <x:v>Média</x:v>
      </x:c>
      <x:c r="V456" s="476" t="str"/>
      <x:c r="W456" s="476" t="str">
        <x:v>Há instrumento do Transferegov para a emenda/município; valores do instrumento não foram usados como prova do valor da emenda</x:v>
      </x:c>
      <x:c r="X456" s="476" t="str">
        <x:v>https://discricionarias.transferegov.sistema.gov.br/voluntarias/ConsultarProposta/ResultadoDaConsultaDeConvenioSelecionarConvenio.do?sequencialConvenio=987963&amp;Usr=guest&amp;Pwd=guest</x:v>
      </x:c>
    </x:row>
    <x:row r="457">
      <x:c r="A457" t="n">
        <x:v>682</x:v>
      </x:c>
      <x:c r="B457" t="n">
        <x:v>2026</x:v>
      </x:c>
      <x:c r="C457" s="476" t="str">
        <x:v>Pelotas</x:v>
      </x:c>
      <x:c r="D457" s="476" t="str">
        <x:v>Associacao Pro-Ensino Em Santa Cruz Do Sul - Apesc</x:v>
      </x:c>
      <x:c r="E457" s="476" t="str">
        <x:v>Empresa Brasileira de Servicos Hospitalares - Ebserh</x:v>
      </x:c>
      <x:c r="F457" s="476" t="str">
        <x:v>41160003</x:v>
      </x:c>
      <x:c r="G457" s="476" t="str">
        <x:v>41160003-2026</x:v>
      </x:c>
      <x:c r="H457" s="476" t="str">
        <x:v>Informado/corrigido a partir do mapa</x:v>
      </x:c>
      <x:c r="I457" s="499" t="n">
        <x:v>548000</x:v>
      </x:c>
      <x:c r="J457" s="499" t="n">
        <x:v>548000</x:v>
      </x:c>
      <x:c r="K457" s="476" t="str">
        <x:v>Emenda individual</x:v>
      </x:c>
      <x:c r="L457" s="476"/>
      <x:c r="M457" s="499" t="n">
        <x:v>0</x:v>
      </x:c>
      <x:c r="N457" s="499" t="n">
        <x:v>0</x:v>
      </x:c>
      <x:c r="O457" s="499" t="n">
        <x:v>0</x:v>
      </x:c>
      <x:c r="P457" s="499" t="n">
        <x:v>0</x:v>
      </x:c>
      <x:c r="Q457" s="499" t="n">
        <x:v>0</x:v>
      </x:c>
      <x:c r="R457" s="476" t="str"/>
      <x:c r="S457" s="476" t="str"/>
      <x:c r="T457" s="476" t="str">
        <x:v>EMENDA CONFIRMADA; DESTINO NÃO CONFIRMADO</x:v>
      </x:c>
      <x:c r="U457" s="476" t="str">
        <x:v>Média</x:v>
      </x:c>
      <x:c r="V457" s="476" t="str"/>
      <x:c r="W457" s="476" t="str">
        <x:v>Nº existe no SIGA; destinatário específico não foi confirmado nas bases anexas</x:v>
      </x:c>
      <x:c r="X457" s="476" t="str"/>
    </x:row>
    <x:row r="458">
      <x:c r="A458" t="n">
        <x:v>683</x:v>
      </x:c>
      <x:c r="B458" t="n">
        <x:v>2023</x:v>
      </x:c>
      <x:c r="C458" s="476" t="str">
        <x:v>Flores da Cunha</x:v>
      </x:c>
      <x:c r="D458" s="476" t="str">
        <x:v>Prefeitura</x:v>
      </x:c>
      <x:c r="E458" s="476" t="str">
        <x:v>Prefeitura de Flores da Cunha</x:v>
      </x:c>
      <x:c r="F458" s="476" t="str"/>
      <x:c r="G458" s="476" t="str"/>
      <x:c r="H458" s="476" t="str">
        <x:v>Sem nº conciliado</x:v>
      </x:c>
      <x:c r="I458" s="499" t="n">
        <x:v>566314</x:v>
      </x:c>
      <x:c r="J458" s="499" t="n">
        <x:v>566314</x:v>
      </x:c>
      <x:c r="K458" s="476" t="str">
        <x:v>Emenda Individual</x:v>
      </x:c>
      <x:c r="L458" s="476" t="str">
        <x:v>Empenhado</x:v>
      </x:c>
      <x:c r="M458" s="499" t="n">
        <x:v>0</x:v>
      </x:c>
      <x:c r="N458" s="499" t="n">
        <x:v>0</x:v>
      </x:c>
      <x:c r="O458" s="499" t="n">
        <x:v>0</x:v>
      </x:c>
      <x:c r="P458" s="499" t="n">
        <x:v>0</x:v>
      </x:c>
      <x:c r="Q458" s="499" t="n">
        <x:v>0</x:v>
      </x:c>
      <x:c r="R458" s="476" t="str"/>
      <x:c r="S458" s="476" t="str"/>
      <x:c r="T458" s="476" t="str">
        <x:v>SEM Nº / NÃO CONCILIADO</x:v>
      </x:c>
      <x:c r="U458" s="476" t="str">
        <x:v>Média</x:v>
      </x:c>
      <x:c r="V458" s="476" t="str"/>
      <x:c r="W458" s="476" t="str"/>
      <x:c r="X458" s="476" t="str"/>
    </x:row>
    <x:row r="459">
      <x:c r="A459" t="n">
        <x:v>684</x:v>
      </x:c>
      <x:c r="B459" t="n">
        <x:v>2023</x:v>
      </x:c>
      <x:c r="C459" s="476" t="str">
        <x:v>Gravataí</x:v>
      </x:c>
      <x:c r="D459" s="476" t="str">
        <x:v>Prefeitura</x:v>
      </x:c>
      <x:c r="E459" s="476" t="str">
        <x:v>Prefeitura de Gravataí</x:v>
      </x:c>
      <x:c r="F459" s="476" t="str"/>
      <x:c r="G459" s="476" t="str"/>
      <x:c r="H459" s="476" t="str">
        <x:v>Sem nº conciliado</x:v>
      </x:c>
      <x:c r="I459" s="499" t="n">
        <x:v>569226</x:v>
      </x:c>
      <x:c r="J459" s="499" t="n">
        <x:v>569226</x:v>
      </x:c>
      <x:c r="K459" s="476" t="str">
        <x:v>Emenda Individual</x:v>
      </x:c>
      <x:c r="L459" s="476" t="str">
        <x:v>Recurso pago</x:v>
      </x:c>
      <x:c r="M459" s="499" t="n">
        <x:v>0</x:v>
      </x:c>
      <x:c r="N459" s="499" t="n">
        <x:v>0</x:v>
      </x:c>
      <x:c r="O459" s="499" t="n">
        <x:v>0</x:v>
      </x:c>
      <x:c r="P459" s="499" t="n">
        <x:v>0</x:v>
      </x:c>
      <x:c r="Q459" s="499" t="n">
        <x:v>0</x:v>
      </x:c>
      <x:c r="R459" s="476" t="str"/>
      <x:c r="S459" s="476" t="str"/>
      <x:c r="T459" s="476" t="str">
        <x:v>SEM Nº / NÃO CONCILIADO</x:v>
      </x:c>
      <x:c r="U459" s="476" t="str">
        <x:v>Média</x:v>
      </x:c>
      <x:c r="V459" s="476" t="str"/>
      <x:c r="W459" s="476" t="str"/>
      <x:c r="X459" s="476" t="str"/>
    </x:row>
    <x:row r="460">
      <x:c r="A460" t="n">
        <x:v>685</x:v>
      </x:c>
      <x:c r="B460" t="n">
        <x:v>2022</x:v>
      </x:c>
      <x:c r="C460" s="476" t="str">
        <x:v>Porto Alegre</x:v>
      </x:c>
      <x:c r="D460" s="476"/>
      <x:c r="E460" s="476" t="str">
        <x:v>Sociedade Sulina Divina Providencia</x:v>
      </x:c>
      <x:c r="F460" s="476" t="str">
        <x:v>41160003</x:v>
      </x:c>
      <x:c r="G460" s="476" t="str">
        <x:v>41160003-2022</x:v>
      </x:c>
      <x:c r="H460" s="476" t="str">
        <x:v>Informado/corrigido a partir do mapa</x:v>
      </x:c>
      <x:c r="I460" s="499" t="n">
        <x:v>569347</x:v>
      </x:c>
      <x:c r="J460" s="499" t="n">
        <x:v>1845666</x:v>
      </x:c>
      <x:c r="K460" s="476" t="str">
        <x:v>Emenda Individual </x:v>
      </x:c>
      <x:c r="L460" s="476" t="str">
        <x:v>Em execução. Total pago: R$ 512.537,88 (29/02/2024)</x:v>
      </x:c>
      <x:c r="M460" s="499" t="n">
        <x:v>1939506.8599999999</x:v>
      </x:c>
      <x:c r="N460" s="499" t="n">
        <x:v>2095666</x:v>
      </x:c>
      <x:c r="O460" s="499" t="n">
        <x:v>1939506.86</x:v>
      </x:c>
      <x:c r="P460" s="499" t="n">
        <x:v>0</x:v>
      </x:c>
      <x:c r="Q460" s="499" t="n">
        <x:v>0</x:v>
      </x:c>
      <x:c r="R460" s="476" t="str"/>
      <x:c r="S460" s="476" t="str">
        <x:v>4 CNPJs na fonte</x:v>
      </x:c>
      <x:c r="T460" s="476" t="str">
        <x:v>VALOR DIVERGENTE / COBERTURA DIFERENTE</x:v>
      </x:c>
      <x:c r="U460" s="476" t="str">
        <x:v>Média</x:v>
      </x:c>
      <x:c r="V460" s="476" t="str"/>
      <x:c r="W460" s="476" t="str">
        <x:v>Município/localidade encontrado em fonte comparável, mas valor não fecha exatamente</x:v>
      </x:c>
      <x:c r="X460" s="476" t="str">
        <x:v>https://discricionarias.transferegov.sistema.gov.br/voluntarias/ConsultarProposta/ResultadoDaConsultaDeConvenioSelecionarConvenio.do?sequencialConvenio=937483&amp;Usr=guest&amp;Pwd=guest | https://discricionarias.transferegov.sistema.gov.br/voluntarias/ConsultarProposta/ResultadoDaConsultaDeConvenioSelecionarConvenio.do?sequencialConvenio=935448&amp;Usr=guest&amp;Pwd=guest</x:v>
      </x:c>
    </x:row>
    <x:row r="461">
      <x:c r="A461" t="n">
        <x:v>686</x:v>
      </x:c>
      <x:c r="B461" t="n">
        <x:v>2021</x:v>
      </x:c>
      <x:c r="C461" s="476" t="str">
        <x:v>Ivoti</x:v>
      </x:c>
      <x:c r="D461" s="476" t="str">
        <x:v>Hospital</x:v>
      </x:c>
      <x:c r="E461" s="476" t="str">
        <x:v>Hospital São José de Ivoti (Associação Congregação de Santa Catarina)</x:v>
      </x:c>
      <x:c r="F461" s="476" t="str">
        <x:v>41160002</x:v>
      </x:c>
      <x:c r="G461" s="476" t="str">
        <x:v>41160002-2021</x:v>
      </x:c>
      <x:c r="H461" s="476" t="str">
        <x:v>Informado/corrigido a partir do mapa</x:v>
      </x:c>
      <x:c r="I461" s="499" t="n">
        <x:v>570714.02</x:v>
      </x:c>
      <x:c r="J461" s="499" t="n">
        <x:v>570714.02</x:v>
      </x:c>
      <x:c r="K461" s="476" t="str">
        <x:v>Emenda individual (processo seletivo)</x:v>
      </x:c>
      <x:c r="L461" s="476" t="str">
        <x:v>Recurso pago parcialmente: R$ 475.169,41 (consultado Transferegov em 12/04/2024). Observação: a emenda foi cadastrada no CNPJ da Associação Congreção de Santa Catarina de Novo Hamburgo. </x:v>
      </x:c>
      <x:c r="M461" s="499" t="n">
        <x:v>0</x:v>
      </x:c>
      <x:c r="N461" s="499" t="n">
        <x:v>0</x:v>
      </x:c>
      <x:c r="O461" s="499" t="n">
        <x:v>0</x:v>
      </x:c>
      <x:c r="P461" s="499" t="n">
        <x:v>0</x:v>
      </x:c>
      <x:c r="Q461" s="499" t="n">
        <x:v>0</x:v>
      </x:c>
      <x:c r="R461" s="476" t="str"/>
      <x:c r="S461" s="476" t="str"/>
      <x:c r="T461" s="476" t="str">
        <x:v>EMENDA CONFIRMADA; DESTINO NÃO CONFIRMADO</x:v>
      </x:c>
      <x:c r="U461" s="476" t="str">
        <x:v>Média</x:v>
      </x:c>
      <x:c r="V461" s="476" t="str"/>
      <x:c r="W461" s="476" t="str">
        <x:v>Nº existe no SIGA; destinatário específico não foi confirmado nas bases anexas</x:v>
      </x:c>
      <x:c r="X461" s="476" t="str"/>
    </x:row>
    <x:row r="462">
      <x:c r="A462" t="n">
        <x:v>687</x:v>
      </x:c>
      <x:c r="B462" t="n">
        <x:v>2023</x:v>
      </x:c>
      <x:c r="C462" s="476" t="str">
        <x:v>Bento Gonçalves</x:v>
      </x:c>
      <x:c r="D462" s="476" t="str">
        <x:v>Hospital</x:v>
      </x:c>
      <x:c r="E462" s="476" t="str">
        <x:v>Associação Dr. Bartholomeu Tacchini – Hospital Tacchini</x:v>
      </x:c>
      <x:c r="F462" s="476" t="str"/>
      <x:c r="G462" s="476" t="str">
        <x:v>41160007-2023</x:v>
      </x:c>
      <x:c r="H462" s="476" t="str">
        <x:v>Candidato — revisar (Transferegov)</x:v>
      </x:c>
      <x:c r="I462" s="499" t="n">
        <x:v>571380</x:v>
      </x:c>
      <x:c r="J462" s="499" t="n">
        <x:v>571380</x:v>
      </x:c>
      <x:c r="K462" s="476" t="str">
        <x:v>Emenda Individual</x:v>
      </x:c>
      <x:c r="L462" s="476" t="str">
        <x:v>Empenhado</x:v>
      </x:c>
      <x:c r="M462" s="499" t="n">
        <x:v>307500</x:v>
      </x:c>
      <x:c r="N462" s="499" t="n">
        <x:v>571380</x:v>
      </x:c>
      <x:c r="O462" s="499" t="n">
        <x:v>307500</x:v>
      </x:c>
      <x:c r="P462" s="499" t="n">
        <x:v>0</x:v>
      </x:c>
      <x:c r="Q462" s="499" t="n">
        <x:v>0</x:v>
      </x:c>
      <x:c r="R462" s="476" t="str"/>
      <x:c r="S462" s="476" t="str">
        <x:v>87547444000120</x:v>
      </x:c>
      <x:c r="T462" s="476" t="str">
        <x:v>VALOR DIVERGENTE / COBERTURA DIFERENTE</x:v>
      </x:c>
      <x:c r="U462" s="476" t="str">
        <x:v>Média</x:v>
      </x:c>
      <x:c r="V462" s="476" t="str">
        <x:v>Candidato de nº: 41160007; validar antes de preencher (Transferegov pode trazer valor total do instrumento); Situação possivelmente desatualizada: SIGA/execução regionalizada mostra pagamento; CNPJ candidato na fonte SIGA: 87547444000120</x:v>
      </x:c>
      <x:c r="W462" s="476" t="str">
        <x:v>nº ausente; inferido por coincidência exata de cidade e valor em Transferegov; Município/localidade encontrado em fonte comparável, mas valor não fecha exatamente</x:v>
      </x:c>
      <x:c r="X462" s="476" t="str">
        <x:v>https://discricionarias.transferegov.sistema.gov.br/voluntarias/ConsultarProposta/ResultadoDaConsultaDeConvenioSelecionarConvenio.do?sequencialConvenio=943922&amp;Usr=guest&amp;Pwd=guest</x:v>
      </x:c>
    </x:row>
    <x:row r="463">
      <x:c r="A463" t="n">
        <x:v>688</x:v>
      </x:c>
      <x:c r="B463" t="n">
        <x:v>2024</x:v>
      </x:c>
      <x:c r="C463" s="476" t="str">
        <x:v>Lagoa Vermelha</x:v>
      </x:c>
      <x:c r="D463" s="476" t="str">
        <x:v>Prefeitura Municipal de Lagoa Vermelha</x:v>
      </x:c>
      <x:c r="E463" s="476" t="str">
        <x:v>Prefeitura Municipal</x:v>
      </x:c>
      <x:c r="F463" s="476" t="str">
        <x:v>41160005</x:v>
      </x:c>
      <x:c r="G463" s="476" t="str">
        <x:v>41160005-2024</x:v>
      </x:c>
      <x:c r="H463" s="476" t="str">
        <x:v>Informado/corrigido a partir do mapa</x:v>
      </x:c>
      <x:c r="I463" s="499" t="n">
        <x:v>578003</x:v>
      </x:c>
      <x:c r="J463" s="499" t="n">
        <x:v>578003</x:v>
      </x:c>
      <x:c r="K463" s="476" t="str">
        <x:v>Emenda Individual</x:v>
      </x:c>
      <x:c r="L463" s="476"/>
      <x:c r="M463" s="499" t="n">
        <x:v>0</x:v>
      </x:c>
      <x:c r="N463" s="499" t="n">
        <x:v>578003</x:v>
      </x:c>
      <x:c r="O463" s="499" t="n">
        <x:v>0</x:v>
      </x:c>
      <x:c r="P463" s="499" t="n">
        <x:v>0</x:v>
      </x:c>
      <x:c r="Q463" s="499" t="n">
        <x:v>0</x:v>
      </x:c>
      <x:c r="R463" s="476" t="str"/>
      <x:c r="S463" s="476" t="str"/>
      <x:c r="T463" s="476" t="str">
        <x:v>DESTINO/INSTRUMENTO CONFIRMADO; VALOR NÃO COMPARÁVEL</x:v>
      </x:c>
      <x:c r="U463" s="476" t="str">
        <x:v>Média</x:v>
      </x:c>
      <x:c r="V463" s="476" t="str"/>
      <x:c r="W463" s="476" t="str">
        <x:v>Há instrumento do Transferegov para a emenda/município; valores do instrumento não foram usados como prova do valor da emenda</x:v>
      </x:c>
      <x:c r="X463" s="476" t="str">
        <x:v>https://discricionarias.transferegov.sistema.gov.br/voluntarias/ConsultarProposta/ResultadoDaConsultaDeConvenioSelecionarConvenio.do?sequencialConvenio=973563&amp;Usr=guest&amp;Pwd=guest</x:v>
      </x:c>
    </x:row>
    <x:row r="464">
      <x:c r="A464" t="n">
        <x:v>689</x:v>
      </x:c>
      <x:c r="B464" t="n">
        <x:v>2023</x:v>
      </x:c>
      <x:c r="C464" s="476" t="str">
        <x:v>Estância Velha</x:v>
      </x:c>
      <x:c r="D464" s="476" t="str">
        <x:v>Prefeitura</x:v>
      </x:c>
      <x:c r="E464" s="476" t="str">
        <x:v>Prefeitura de Estância Velha</x:v>
      </x:c>
      <x:c r="F464" s="476" t="str"/>
      <x:c r="G464" s="476" t="str"/>
      <x:c r="H464" s="476" t="str">
        <x:v>Sem nº conciliado</x:v>
      </x:c>
      <x:c r="I464" s="499" t="n">
        <x:v>582816.77</x:v>
      </x:c>
      <x:c r="J464" s="499" t="n">
        <x:v>582816.77</x:v>
      </x:c>
      <x:c r="K464" s="476" t="str">
        <x:v>Emenda Individual</x:v>
      </x:c>
      <x:c r="L464" s="476" t="str">
        <x:v>Empenhado</x:v>
      </x:c>
      <x:c r="M464" s="499" t="n">
        <x:v>0</x:v>
      </x:c>
      <x:c r="N464" s="499" t="n">
        <x:v>0</x:v>
      </x:c>
      <x:c r="O464" s="499" t="n">
        <x:v>0</x:v>
      </x:c>
      <x:c r="P464" s="499" t="n">
        <x:v>0</x:v>
      </x:c>
      <x:c r="Q464" s="499" t="n">
        <x:v>0</x:v>
      </x:c>
      <x:c r="R464" s="476" t="str"/>
      <x:c r="S464" s="476" t="str"/>
      <x:c r="T464" s="476" t="str">
        <x:v>SEM Nº / NÃO CONCILIADO</x:v>
      </x:c>
      <x:c r="U464" s="476" t="str">
        <x:v>Média</x:v>
      </x:c>
      <x:c r="V464" s="476" t="str"/>
      <x:c r="W464" s="476" t="str"/>
      <x:c r="X464" s="476" t="str"/>
    </x:row>
    <x:row r="465">
      <x:c r="A465" t="n">
        <x:v>693</x:v>
      </x:c>
      <x:c r="B465" t="n">
        <x:v>2023</x:v>
      </x:c>
      <x:c r="C465" s="476" t="str">
        <x:v>Porto Alegre</x:v>
      </x:c>
      <x:c r="D465" s="476" t="str">
        <x:v>Hospital</x:v>
      </x:c>
      <x:c r="E465" s="476" t="str">
        <x:v>Hospital São Lucas Da Pucrs</x:v>
      </x:c>
      <x:c r="F465" s="476" t="str"/>
      <x:c r="G465" s="476" t="str">
        <x:v>41160007-2023</x:v>
      </x:c>
      <x:c r="H465" s="476" t="str">
        <x:v>Candidato — revisar (Transferegov)</x:v>
      </x:c>
      <x:c r="I465" s="499" t="n">
        <x:v>611805</x:v>
      </x:c>
      <x:c r="J465" s="499" t="n">
        <x:v>811805</x:v>
      </x:c>
      <x:c r="K465" s="476" t="str">
        <x:v>Emenda Individual</x:v>
      </x:c>
      <x:c r="L465" s="476" t="str">
        <x:v>Empenhado</x:v>
      </x:c>
      <x:c r="M465" s="499" t="n">
        <x:v>2195350.67</x:v>
      </x:c>
      <x:c r="N465" s="499" t="n">
        <x:v>1696205</x:v>
      </x:c>
      <x:c r="O465" s="499" t="n">
        <x:v>1462066.67</x:v>
      </x:c>
      <x:c r="P465" s="499" t="n">
        <x:v>0</x:v>
      </x:c>
      <x:c r="Q465" s="499" t="n">
        <x:v>0</x:v>
      </x:c>
      <x:c r="R465" s="476" t="str"/>
      <x:c r="S465" s="476" t="str">
        <x:v>4 CNPJs na fonte</x:v>
      </x:c>
      <x:c r="T465" s="476" t="str">
        <x:v>VALOR DIVERGENTE / COBERTURA DIFERENTE</x:v>
      </x:c>
      <x:c r="U465" s="476" t="str">
        <x:v>Média</x:v>
      </x:c>
      <x:c r="V465" s="476" t="str">
        <x:v>Candidato de nº: 41160007; validar antes de preencher (Transferegov pode trazer valor total do instrumento); Situação possivelmente desatualizada: SIGA/execução regionalizada mostra pagamento</x:v>
      </x:c>
      <x:c r="W465" s="476" t="str">
        <x:v>nº ausente; inferido por coincidência exata de cidade e valor em Transferegov; Município/localidade encontrado em fonte comparável, mas valor não fecha exatamente</x:v>
      </x:c>
      <x:c r="X465" s="476" t="str">
        <x:v>https://discricionarias.transferegov.sistema.gov.br/voluntarias/ConsultarProposta/ResultadoDaConsultaDeConvenioSelecionarConvenio.do?sequencialConvenio=943964&amp;Usr=guest&amp;Pwd=guest | https://discricionarias.transferegov.sistema.gov.br/voluntarias/ConsultarProposta/ResultadoDaConsultaDeConvenioSelecionarConvenio.do?sequencialConvenio=943965&amp;Usr=guest&amp;Pwd=guest</x:v>
      </x:c>
    </x:row>
    <x:row r="466">
      <x:c r="A466" t="n">
        <x:v>694</x:v>
      </x:c>
      <x:c r="B466" t="n">
        <x:v>2023</x:v>
      </x:c>
      <x:c r="C466" s="476" t="str">
        <x:v>Arroio do Meio</x:v>
      </x:c>
      <x:c r="D466" s="476" t="str">
        <x:v>Prefeitura</x:v>
      </x:c>
      <x:c r="E466" s="476" t="str">
        <x:v>Prefeitura de Arroio do Meio</x:v>
      </x:c>
      <x:c r="F466" s="476" t="str"/>
      <x:c r="G466" s="476" t="str"/>
      <x:c r="H466" s="476" t="str">
        <x:v>Sem nº conciliado</x:v>
      </x:c>
      <x:c r="I466" s="499" t="n">
        <x:v>617183.23</x:v>
      </x:c>
      <x:c r="J466" s="499" t="n">
        <x:v>617183.23</x:v>
      </x:c>
      <x:c r="K466" s="476" t="str">
        <x:v>Emenda Individual</x:v>
      </x:c>
      <x:c r="L466" s="476" t="str">
        <x:v>Empenhado</x:v>
      </x:c>
      <x:c r="M466" s="499" t="n">
        <x:v>0</x:v>
      </x:c>
      <x:c r="N466" s="499" t="n">
        <x:v>0</x:v>
      </x:c>
      <x:c r="O466" s="499" t="n">
        <x:v>0</x:v>
      </x:c>
      <x:c r="P466" s="499" t="n">
        <x:v>0</x:v>
      </x:c>
      <x:c r="Q466" s="499" t="n">
        <x:v>0</x:v>
      </x:c>
      <x:c r="R466" s="476" t="str"/>
      <x:c r="S466" s="476" t="str"/>
      <x:c r="T466" s="476" t="str">
        <x:v>SEM Nº / NÃO CONCILIADO</x:v>
      </x:c>
      <x:c r="U466" s="476" t="str">
        <x:v>Média</x:v>
      </x:c>
      <x:c r="V466" s="476" t="str"/>
      <x:c r="W466" s="476" t="str"/>
      <x:c r="X466" s="476" t="str"/>
    </x:row>
    <x:row r="467">
      <x:c r="A467" t="n">
        <x:v>695</x:v>
      </x:c>
      <x:c r="B467" t="n">
        <x:v>2024</x:v>
      </x:c>
      <x:c r="C467" s="476" t="str">
        <x:v>Caxias Do Sul</x:v>
      </x:c>
      <x:c r="D467" s="476" t="str">
        <x:v>Hospital</x:v>
      </x:c>
      <x:c r="E467" s="476" t="str">
        <x:v>Associação Cultural e Científica Virvi Ramos (Hospital Virvi Ramos)</x:v>
      </x:c>
      <x:c r="F467" s="476" t="str"/>
      <x:c r="G467" s="476" t="str">
        <x:v>41160004-2024</x:v>
      </x:c>
      <x:c r="H467" s="476" t="str">
        <x:v>Candidato — revisar (Transferegov)</x:v>
      </x:c>
      <x:c r="I467" s="499" t="n">
        <x:v>630000</x:v>
      </x:c>
      <x:c r="J467" s="499" t="n">
        <x:v>980000</x:v>
      </x:c>
      <x:c r="K467" s="476" t="str">
        <x:v>Emenda Individual</x:v>
      </x:c>
      <x:c r="L467" s="476" t="str">
        <x:v>Indicado</x:v>
      </x:c>
      <x:c r="M467" s="499" t="n">
        <x:v>863274.46</x:v>
      </x:c>
      <x:c r="N467" s="499" t="n">
        <x:v>630000</x:v>
      </x:c>
      <x:c r="O467" s="499" t="n">
        <x:v>513274.46</x:v>
      </x:c>
      <x:c r="P467" s="499" t="n">
        <x:v>0</x:v>
      </x:c>
      <x:c r="Q467" s="499" t="n">
        <x:v>0</x:v>
      </x:c>
      <x:c r="R467" s="476" t="str"/>
      <x:c r="S467" s="476" t="str">
        <x:v>10546325000128, 88665914000112</x:v>
      </x:c>
      <x:c r="T467" s="476" t="str">
        <x:v>VALOR DIVERGENTE / COBERTURA DIFERENTE</x:v>
      </x:c>
      <x:c r="U467" s="476" t="str">
        <x:v>Média</x:v>
      </x:c>
      <x:c r="V467" s="476" t="str">
        <x:v>Candidato de nº: 41160004; validar antes de preencher (Transferegov pode trazer valor total do instrumento)</x:v>
      </x:c>
      <x:c r="W467" s="476" t="str">
        <x:v>nº ausente; inferido por coincidência exata de cidade e valor em Transferegov; Município/localidade encontrado em fonte comparável, mas valor não fecha exatamente</x:v>
      </x:c>
      <x:c r="X467" s="476" t="str">
        <x:v>https://discricionarias.transferegov.sistema.gov.br/voluntarias/ConsultarProposta/ResultadoDaConsultaDeConvenioSelecionarConvenio.do?sequencialConvenio=970376&amp;Usr=guest&amp;Pwd=guest</x:v>
      </x:c>
    </x:row>
    <x:row r="468">
      <x:c r="A468" t="n">
        <x:v>698</x:v>
      </x:c>
      <x:c r="B468" t="n">
        <x:v>2025</x:v>
      </x:c>
      <x:c r="C468" s="476" t="str">
        <x:v>Porto Alegre</x:v>
      </x:c>
      <x:c r="D468" s="476" t="str">
        <x:v>Hospital De Clinicas De Porto Alegre Porto Alegre - Rs</x:v>
      </x:c>
      <x:c r="E468" s="476" t="str">
        <x:v>Hospital De Clinicas De Porto Alegre Porto Alegre - Rs</x:v>
      </x:c>
      <x:c r="F468" s="476" t="str">
        <x:v>41160004</x:v>
      </x:c>
      <x:c r="G468" s="476" t="str">
        <x:v>41160004-2025</x:v>
      </x:c>
      <x:c r="H468" s="476" t="str">
        <x:v>Informado/corrigido a partir do mapa</x:v>
      </x:c>
      <x:c r="I468" s="499" t="n">
        <x:v>650000</x:v>
      </x:c>
      <x:c r="J468" s="499" t="n">
        <x:v>1150000</x:v>
      </x:c>
      <x:c r="K468" s="476" t="str">
        <x:v>Emenda Individual</x:v>
      </x:c>
      <x:c r="L468" s="476"/>
      <x:c r="M468" s="499" t="n">
        <x:v>411500</x:v>
      </x:c>
      <x:c r="N468" s="499" t="n">
        <x:v>500000</x:v>
      </x:c>
      <x:c r="O468" s="499" t="n">
        <x:v>0</x:v>
      </x:c>
      <x:c r="P468" s="499" t="n">
        <x:v>0</x:v>
      </x:c>
      <x:c r="Q468" s="499" t="n">
        <x:v>0</x:v>
      </x:c>
      <x:c r="R468" s="476" t="str"/>
      <x:c r="S468" s="476" t="str">
        <x:v>155001</x:v>
      </x:c>
      <x:c r="T468" s="476" t="str">
        <x:v>VALOR DIVERGENTE / COBERTURA DIFERENTE</x:v>
      </x:c>
      <x:c r="U468" s="476" t="str">
        <x:v>Alta</x:v>
      </x:c>
      <x:c r="V468" s="476" t="str">
        <x:v>Preencher situação: há pagamento identificado na fonte pública</x:v>
      </x:c>
      <x:c r="W468" s="476" t="str">
        <x:v>Município/localidade encontrado em fonte comparável, mas valor não fecha exatamente</x:v>
      </x:c>
      <x:c r="X468" s="476" t="str">
        <x:v>https://discricionarias.transferegov.sistema.gov.br/voluntarias/ConsultarProposta/ResultadoDaConsultaDeConvenioSelecionarConvenio.do?sequencialConvenio=988203&amp;Usr=guest&amp;Pwd=guest</x:v>
      </x:c>
    </x:row>
    <x:row r="469">
      <x:c r="A469" t="n">
        <x:v>699</x:v>
      </x:c>
      <x:c r="B469" t="n">
        <x:v>2025</x:v>
      </x:c>
      <x:c r="C469" s="476" t="str">
        <x:v>Passo Fundo</x:v>
      </x:c>
      <x:c r="D469" s="476" t="str">
        <x:v>Municipio De Passo Fundo Passo Fundo - Rs</x:v>
      </x:c>
      <x:c r="E469" s="476" t="str">
        <x:v>Prefeitura Municipal</x:v>
      </x:c>
      <x:c r="F469" s="476" t="str">
        <x:v>41160008</x:v>
      </x:c>
      <x:c r="G469" s="476" t="str">
        <x:v>41160008-2025</x:v>
      </x:c>
      <x:c r="H469" s="476" t="str">
        <x:v>Informado/corrigido a partir do mapa</x:v>
      </x:c>
      <x:c r="I469" s="499" t="n">
        <x:v>655000</x:v>
      </x:c>
      <x:c r="J469" s="499" t="n">
        <x:v>655000</x:v>
      </x:c>
      <x:c r="K469" s="476" t="str">
        <x:v>Emenda Individual</x:v>
      </x:c>
      <x:c r="L469" s="476"/>
      <x:c r="M469" s="499" t="n">
        <x:v>648450</x:v>
      </x:c>
      <x:c r="N469" s="499" t="n">
        <x:v>0</x:v>
      </x:c>
      <x:c r="O469" s="499" t="n">
        <x:v>0</x:v>
      </x:c>
      <x:c r="P469" s="499" t="n">
        <x:v>648450</x:v>
      </x:c>
      <x:c r="Q469" s="499" t="n">
        <x:v>0</x:v>
      </x:c>
      <x:c r="R469" s="476" t="str">
        <x:v>CIENTE</x:v>
      </x:c>
      <x:c r="S469" s="476" t="str">
        <x:v>87612537000190</x:v>
      </x:c>
      <x:c r="T469" s="476" t="str">
        <x:v>VALOR DIVERGENTE / COBERTURA DIFERENTE</x:v>
      </x:c>
      <x:c r="U469" s="476" t="str">
        <x:v>Média</x:v>
      </x:c>
      <x:c r="V469" s="476" t="str">
        <x:v>Revisar valor do grupo: PIX atual registra R$ 648,450.00; Atualizar situação com status do plano PIX: CIENTE (não equivale a pagamento)</x:v>
      </x:c>
      <x:c r="W469" s="476" t="str">
        <x:v>Município/localidade encontrado em fonte comparável, mas valor não fecha exatamente</x:v>
      </x:c>
      <x:c r="X469" s="476" t="str">
        <x:v>https://especiais.transferegov.sistema.gov.br/transferencia-especial/plano-acao/detalhe/83998/dados-basicos</x:v>
      </x:c>
    </x:row>
    <x:row r="470">
      <x:c r="A470" t="n">
        <x:v>700</x:v>
      </x:c>
      <x:c r="B470" t="n">
        <x:v>2026</x:v>
      </x:c>
      <x:c r="C470" s="476" t="str">
        <x:v>Teutônia</x:v>
      </x:c>
      <x:c r="D470" s="476" t="str">
        <x:v>Associacao de Literatura E Beneficencia</x:v>
      </x:c>
      <x:c r="E470" s="476" t="str">
        <x:v>Associacao Beneficente Ouro Branco</x:v>
      </x:c>
      <x:c r="F470" s="476" t="str">
        <x:v>41160003</x:v>
      </x:c>
      <x:c r="G470" s="476" t="str">
        <x:v>41160003-2026</x:v>
      </x:c>
      <x:c r="H470" s="476" t="str">
        <x:v>Informado/corrigido a partir do mapa</x:v>
      </x:c>
      <x:c r="I470" s="499" t="n">
        <x:v>663093</x:v>
      </x:c>
      <x:c r="J470" s="499" t="n">
        <x:v>663093</x:v>
      </x:c>
      <x:c r="K470" s="476" t="str">
        <x:v>Emenda individual</x:v>
      </x:c>
      <x:c r="L470" s="476"/>
      <x:c r="M470" s="499" t="n">
        <x:v>0</x:v>
      </x:c>
      <x:c r="N470" s="499" t="n">
        <x:v>663093</x:v>
      </x:c>
      <x:c r="O470" s="499" t="n">
        <x:v>0</x:v>
      </x:c>
      <x:c r="P470" s="499" t="n">
        <x:v>0</x:v>
      </x:c>
      <x:c r="Q470" s="499" t="n">
        <x:v>0</x:v>
      </x:c>
      <x:c r="R470" s="476" t="str"/>
      <x:c r="S470" s="476" t="str"/>
      <x:c r="T470" s="476" t="str">
        <x:v>DESTINO/INSTRUMENTO CONFIRMADO; VALOR NÃO COMPARÁVEL</x:v>
      </x:c>
      <x:c r="U470" s="476" t="str">
        <x:v>Média</x:v>
      </x:c>
      <x:c r="V470" s="476" t="str"/>
      <x:c r="W470" s="476" t="str">
        <x:v>Há instrumento do Transferegov para a emenda/município; valores do instrumento não foram usados como prova do valor da emenda</x:v>
      </x:c>
      <x:c r="X470" s="476" t="str">
        <x:v>https://discricionarias.transferegov.sistema.gov.br/voluntarias/ConsultarProposta/ResultadoDaConsultaDeConvenioSelecionarConvenio.do?sequencialConvenio=998298&amp;Usr=guest&amp;Pwd=guest</x:v>
      </x:c>
    </x:row>
    <x:row r="471">
      <x:c r="A471" t="n">
        <x:v>701</x:v>
      </x:c>
      <x:c r="B471" t="n">
        <x:v>2023</x:v>
      </x:c>
      <x:c r="C471" s="476" t="str">
        <x:v>Passo Fundo</x:v>
      </x:c>
      <x:c r="D471" s="476" t="str">
        <x:v>Hospital</x:v>
      </x:c>
      <x:c r="E471" s="476" t="str">
        <x:v>Hospital De Clínicas De Passo Fundo</x:v>
      </x:c>
      <x:c r="F471" s="476" t="str"/>
      <x:c r="G471" s="476" t="str">
        <x:v>41160007-2023</x:v>
      </x:c>
      <x:c r="H471" s="476" t="str">
        <x:v>Candidato — revisar (Transferegov)</x:v>
      </x:c>
      <x:c r="I471" s="499" t="n">
        <x:v>690000</x:v>
      </x:c>
      <x:c r="J471" s="499" t="n">
        <x:v>690000</x:v>
      </x:c>
      <x:c r="K471" s="476" t="str">
        <x:v>Emenda Individual</x:v>
      </x:c>
      <x:c r="L471" s="476" t="str">
        <x:v>Recurso pago</x:v>
      </x:c>
      <x:c r="M471" s="499" t="n">
        <x:v>688500</x:v>
      </x:c>
      <x:c r="N471" s="499" t="n">
        <x:v>690000</x:v>
      </x:c>
      <x:c r="O471" s="499" t="n">
        <x:v>688500</x:v>
      </x:c>
      <x:c r="P471" s="499" t="n">
        <x:v>0</x:v>
      </x:c>
      <x:c r="Q471" s="499" t="n">
        <x:v>0</x:v>
      </x:c>
      <x:c r="R471" s="476" t="str"/>
      <x:c r="S471" s="476" t="str">
        <x:v>92030543000170</x:v>
      </x:c>
      <x:c r="T471" s="476" t="str">
        <x:v>VALOR DIVERGENTE / COBERTURA DIFERENTE</x:v>
      </x:c>
      <x:c r="U471" s="476" t="str">
        <x:v>Média</x:v>
      </x:c>
      <x:c r="V471" s="476" t="str">
        <x:v>Candidato de nº: 41160007; validar antes de preencher (Transferegov pode trazer valor total do instrumento); CNPJ candidato na fonte SIGA: 92030543000170</x:v>
      </x:c>
      <x:c r="W471" s="476" t="str">
        <x:v>nº ausente; inferido por coincidência exata de cidade e valor em Transferegov; Município/localidade encontrado em fonte comparável, mas valor não fecha exatamente</x:v>
      </x:c>
      <x:c r="X471" s="476" t="str">
        <x:v>https://discricionarias.transferegov.sistema.gov.br/voluntarias/ConsultarProposta/ResultadoDaConsultaDeConvenioSelecionarConvenio.do?sequencialConvenio=947113&amp;Usr=guest&amp;Pwd=guest</x:v>
      </x:c>
    </x:row>
    <x:row r="472">
      <x:c r="A472" t="n">
        <x:v>702</x:v>
      </x:c>
      <x:c r="B472" t="n">
        <x:v>2021</x:v>
      </x:c>
      <x:c r="C472" s="476" t="str">
        <x:v>A definir</x:v>
      </x:c>
      <x:c r="D472" s="476" t="str">
        <x:v>Polícia Civil</x:v>
      </x:c>
      <x:c r="E472" s="476" t="str">
        <x:v>Polícia Civil</x:v>
      </x:c>
      <x:c r="F472" s="476" t="str">
        <x:v>71220009</x:v>
      </x:c>
      <x:c r="G472" s="476" t="str">
        <x:v>71220009-2021</x:v>
      </x:c>
      <x:c r="H472" s="476" t="str">
        <x:v>Informado/corrigido a partir do mapa</x:v>
      </x:c>
      <x:c r="I472" s="499" t="n">
        <x:v>700000</x:v>
      </x:c>
      <x:c r="J472" s="499" t="n">
        <x:v>1355530.33</x:v>
      </x:c>
      <x:c r="K472" s="476" t="str">
        <x:v>Emenda de Bancada</x:v>
      </x:c>
      <x:c r="L472" s="476" t="str">
        <x:v>Indicado</x:v>
      </x:c>
      <x:c r="M472" s="499" t="n">
        <x:v>0</x:v>
      </x:c>
      <x:c r="N472" s="499" t="n">
        <x:v>0</x:v>
      </x:c>
      <x:c r="O472" s="499" t="n">
        <x:v>0</x:v>
      </x:c>
      <x:c r="P472" s="499" t="n">
        <x:v>0</x:v>
      </x:c>
      <x:c r="Q472" s="499" t="n">
        <x:v>0</x:v>
      </x:c>
      <x:c r="R472" s="476" t="str"/>
      <x:c r="S472" s="476" t="str"/>
      <x:c r="T472" s="476" t="str">
        <x:v>EMENDA CONFIRMADA; DESTINO NÃO CONFIRMADO</x:v>
      </x:c>
      <x:c r="U472" s="476" t="str">
        <x:v>Média</x:v>
      </x:c>
      <x:c r="V472" s="476" t="str"/>
      <x:c r="W472" s="476" t="str"/>
      <x:c r="X472" s="476" t="str"/>
    </x:row>
    <x:row r="473">
      <x:c r="A473" t="n">
        <x:v>703</x:v>
      </x:c>
      <x:c r="B473" t="n">
        <x:v>2025</x:v>
      </x:c>
      <x:c r="C473" s="476" t="str">
        <x:v>Bento Gonçalves</x:v>
      </x:c>
      <x:c r="D473" s="476" t="str">
        <x:v>Associacao Dr Bartholomeu Tacchini Bento Gonçalves - Rs</x:v>
      </x:c>
      <x:c r="E473" s="476" t="str">
        <x:v>Associacao Dr Bartholomeu Tacchini Bento Gonçalves - Rs</x:v>
      </x:c>
      <x:c r="F473" s="476" t="str">
        <x:v>41160004</x:v>
      </x:c>
      <x:c r="G473" s="476" t="str">
        <x:v>41160004-2025</x:v>
      </x:c>
      <x:c r="H473" s="476" t="str">
        <x:v>Informado/corrigido a partir do mapa</x:v>
      </x:c>
      <x:c r="I473" s="499" t="n">
        <x:v>708199</x:v>
      </x:c>
      <x:c r="J473" s="499" t="n">
        <x:v>708199</x:v>
      </x:c>
      <x:c r="K473" s="476" t="str">
        <x:v>Emenda Individual</x:v>
      </x:c>
      <x:c r="L473" s="476"/>
      <x:c r="M473" s="499" t="n">
        <x:v>0</x:v>
      </x:c>
      <x:c r="N473" s="499" t="n">
        <x:v>708199</x:v>
      </x:c>
      <x:c r="O473" s="499" t="n">
        <x:v>0</x:v>
      </x:c>
      <x:c r="P473" s="499" t="n">
        <x:v>0</x:v>
      </x:c>
      <x:c r="Q473" s="499" t="n">
        <x:v>0</x:v>
      </x:c>
      <x:c r="R473" s="476" t="str"/>
      <x:c r="S473" s="476" t="str"/>
      <x:c r="T473" s="476" t="str">
        <x:v>DESTINO/INSTRUMENTO CONFIRMADO; VALOR NÃO COMPARÁVEL</x:v>
      </x:c>
      <x:c r="U473" s="476" t="str">
        <x:v>Média</x:v>
      </x:c>
      <x:c r="V473" s="476" t="str"/>
      <x:c r="W473" s="476" t="str">
        <x:v>Há instrumento do Transferegov para a emenda/município; valores do instrumento não foram usados como prova do valor da emenda</x:v>
      </x:c>
      <x:c r="X473" s="476" t="str">
        <x:v>https://discricionarias.transferegov.sistema.gov.br/voluntarias/ConsultarProposta/ResultadoDaConsultaDeConvenioSelecionarConvenio.do?sequencialConvenio=985141&amp;Usr=guest&amp;Pwd=guest</x:v>
      </x:c>
    </x:row>
    <x:row r="474">
      <x:c r="A474" t="n">
        <x:v>704</x:v>
      </x:c>
      <x:c r="B474" t="n">
        <x:v>2025</x:v>
      </x:c>
      <x:c r="C474" s="476" t="str">
        <x:v>Bento Gonçalves</x:v>
      </x:c>
      <x:c r="D474" s="476" t="str">
        <x:v>Associacao Dr Bartholomeu Tacchini Bento Gonçalves - Rs</x:v>
      </x:c>
      <x:c r="E474" s="476" t="str">
        <x:v>Associacao Dr Bartholomeu Tacchini Bento Gonçalves - Rs</x:v>
      </x:c>
      <x:c r="F474" s="476" t="str">
        <x:v>41160002</x:v>
      </x:c>
      <x:c r="G474" s="476" t="str">
        <x:v>41160002-2025</x:v>
      </x:c>
      <x:c r="H474" s="476" t="str">
        <x:v>Informado/corrigido a partir do mapa</x:v>
      </x:c>
      <x:c r="I474" s="499" t="n">
        <x:v>708199</x:v>
      </x:c>
      <x:c r="J474" s="499" t="n">
        <x:v>858199</x:v>
      </x:c>
      <x:c r="K474" s="476" t="str">
        <x:v>Emenda Individual</x:v>
      </x:c>
      <x:c r="L474" s="476"/>
      <x:c r="M474" s="499" t="n">
        <x:v>150000</x:v>
      </x:c>
      <x:c r="N474" s="499" t="n">
        <x:v>0</x:v>
      </x:c>
      <x:c r="O474" s="499" t="n">
        <x:v>0</x:v>
      </x:c>
      <x:c r="P474" s="499" t="n">
        <x:v>0</x:v>
      </x:c>
      <x:c r="Q474" s="499" t="n">
        <x:v>0</x:v>
      </x:c>
      <x:c r="R474" s="476" t="str"/>
      <x:c r="S474" s="476" t="str">
        <x:v>11436612000148</x:v>
      </x:c>
      <x:c r="T474" s="476" t="str">
        <x:v>VALOR DIVERGENTE / COBERTURA DIFERENTE</x:v>
      </x:c>
      <x:c r="U474" s="476" t="str">
        <x:v>Alta</x:v>
      </x:c>
      <x:c r="V474" s="476" t="str">
        <x:v>Preencher situação: há pagamento identificado na fonte pública</x:v>
      </x:c>
      <x:c r="W474" s="476" t="str">
        <x:v>Município/localidade encontrado em fonte comparável, mas valor não fecha exatamente</x:v>
      </x:c>
      <x:c r="X474" s="476" t="str"/>
    </x:row>
    <x:row r="475">
      <x:c r="A475" t="n">
        <x:v>705</x:v>
      </x:c>
      <x:c r="B475" t="n">
        <x:v>2022</x:v>
      </x:c>
      <x:c r="C475" s="476" t="str">
        <x:v>Passo Fundo</x:v>
      </x:c>
      <x:c r="D475" s="476" t="str">
        <x:v>Hospital</x:v>
      </x:c>
      <x:c r="E475" s="476" t="str">
        <x:v>Fundação Hospitalar Oftalmológica Universitária Lions</x:v>
      </x:c>
      <x:c r="F475" s="476" t="str">
        <x:v>41160003</x:v>
      </x:c>
      <x:c r="G475" s="476" t="str">
        <x:v>41160003-2022</x:v>
      </x:c>
      <x:c r="H475" s="476" t="str">
        <x:v>Informado/corrigido a partir do mapa</x:v>
      </x:c>
      <x:c r="I475" s="499" t="n">
        <x:v>720000</x:v>
      </x:c>
      <x:c r="J475" s="499" t="n">
        <x:v>855000</x:v>
      </x:c>
      <x:c r="K475" s="476" t="str">
        <x:v>Emenda Individual </x:v>
      </x:c>
      <x:c r="L475" s="476" t="str">
        <x:v>Recurso pago</x:v>
      </x:c>
      <x:c r="M475" s="499" t="n">
        <x:v>478339.05</x:v>
      </x:c>
      <x:c r="N475" s="499" t="n">
        <x:v>720000</x:v>
      </x:c>
      <x:c r="O475" s="499" t="n">
        <x:v>478339.05</x:v>
      </x:c>
      <x:c r="P475" s="499" t="n">
        <x:v>0</x:v>
      </x:c>
      <x:c r="Q475" s="499" t="n">
        <x:v>0</x:v>
      </x:c>
      <x:c r="R475" s="476" t="str"/>
      <x:c r="S475" s="476" t="str">
        <x:v>00765384000133</x:v>
      </x:c>
      <x:c r="T475" s="476" t="str">
        <x:v>VALOR DIVERGENTE / COBERTURA DIFERENTE</x:v>
      </x:c>
      <x:c r="U475" s="476" t="str">
        <x:v>Alta</x:v>
      </x:c>
      <x:c r="V475" s="476" t="str">
        <x:v>CNPJ candidato na fonte SIGA: 00765384000133</x:v>
      </x:c>
      <x:c r="W475" s="476" t="str">
        <x:v>Município/localidade encontrado em fonte comparável, mas valor não fecha exatamente</x:v>
      </x:c>
      <x:c r="X475" s="476" t="str">
        <x:v>https://discricionarias.transferegov.sistema.gov.br/voluntarias/ConsultarProposta/ResultadoDaConsultaDeConvenioSelecionarConvenio.do?sequencialConvenio=935706&amp;Usr=guest&amp;Pwd=guest</x:v>
      </x:c>
    </x:row>
    <x:row r="476">
      <x:c r="A476" t="n">
        <x:v>706</x:v>
      </x:c>
      <x:c r="B476" t="n">
        <x:v>2025</x:v>
      </x:c>
      <x:c r="C476" s="476" t="str">
        <x:v>Estrela</x:v>
      </x:c>
      <x:c r="D476" s="476" t="str">
        <x:v>Sociedade Sulina Divina Providência – Hospital Estrela</x:v>
      </x:c>
      <x:c r="E476" s="476" t="str">
        <x:v>Sociedade Sulina Divina Providência – Hospital Estrela</x:v>
      </x:c>
      <x:c r="F476" s="476" t="str">
        <x:v>41160004</x:v>
      </x:c>
      <x:c r="G476" s="476" t="str">
        <x:v>41160004-2025</x:v>
      </x:c>
      <x:c r="H476" s="476" t="str">
        <x:v>Informado/corrigido a partir do mapa</x:v>
      </x:c>
      <x:c r="I476" s="499" t="n">
        <x:v>750000</x:v>
      </x:c>
      <x:c r="J476" s="499" t="n">
        <x:v>750000</x:v>
      </x:c>
      <x:c r="K476" s="476" t="str">
        <x:v>Emenda Individual</x:v>
      </x:c>
      <x:c r="L476" s="476"/>
      <x:c r="M476" s="499" t="n">
        <x:v>736757.27</x:v>
      </x:c>
      <x:c r="N476" s="499" t="n">
        <x:v>750000</x:v>
      </x:c>
      <x:c r="O476" s="499" t="n">
        <x:v>736757.27</x:v>
      </x:c>
      <x:c r="P476" s="499" t="n">
        <x:v>0</x:v>
      </x:c>
      <x:c r="Q476" s="499" t="n">
        <x:v>0</x:v>
      </x:c>
      <x:c r="R476" s="476" t="str"/>
      <x:c r="S476" s="476" t="str">
        <x:v>87317764001165</x:v>
      </x:c>
      <x:c r="T476" s="476" t="str">
        <x:v>VALOR DIVERGENTE / COBERTURA DIFERENTE</x:v>
      </x:c>
      <x:c r="U476" s="476" t="str">
        <x:v>Média</x:v>
      </x:c>
      <x:c r="V476" s="476" t="str">
        <x:v>Preencher situação: há pagamento identificado na fonte pública</x:v>
      </x:c>
      <x:c r="W476" s="476" t="str">
        <x:v>Município/localidade encontrado em fonte comparável, mas valor não fecha exatamente</x:v>
      </x:c>
      <x:c r="X476" s="476" t="str">
        <x:v>https://discricionarias.transferegov.sistema.gov.br/voluntarias/ConsultarProposta/ResultadoDaConsultaDeConvenioSelecionarConvenio.do?sequencialConvenio=978991&amp;Usr=guest&amp;Pwd=guest</x:v>
      </x:c>
    </x:row>
    <x:row r="477">
      <x:c r="A477" t="n">
        <x:v>707</x:v>
      </x:c>
      <x:c r="B477" t="n">
        <x:v>2022</x:v>
      </x:c>
      <x:c r="C477" s="476" t="str">
        <x:v>Porto Alegre</x:v>
      </x:c>
      <x:c r="D477" s="476" t="str">
        <x:v>Hospital</x:v>
      </x:c>
      <x:c r="E477" s="476" t="str">
        <x:v>Hospital São Lucas da PUCRS</x:v>
      </x:c>
      <x:c r="F477" s="476" t="str">
        <x:v>41160003</x:v>
      </x:c>
      <x:c r="G477" s="476" t="str">
        <x:v>41160003-2022</x:v>
      </x:c>
      <x:c r="H477" s="476" t="str">
        <x:v>Informado/corrigido a partir do mapa</x:v>
      </x:c>
      <x:c r="I477" s="499" t="n">
        <x:v>776319</x:v>
      </x:c>
      <x:c r="J477" s="499" t="n">
        <x:v>1845666</x:v>
      </x:c>
      <x:c r="K477" s="476" t="str">
        <x:v>Emenda Individual </x:v>
      </x:c>
      <x:c r="L477" s="476" t="str">
        <x:v>Recurso pago</x:v>
      </x:c>
      <x:c r="M477" s="499" t="n">
        <x:v>1939506.8599999999</x:v>
      </x:c>
      <x:c r="N477" s="499" t="n">
        <x:v>2095666</x:v>
      </x:c>
      <x:c r="O477" s="499" t="n">
        <x:v>1939506.86</x:v>
      </x:c>
      <x:c r="P477" s="499" t="n">
        <x:v>0</x:v>
      </x:c>
      <x:c r="Q477" s="499" t="n">
        <x:v>0</x:v>
      </x:c>
      <x:c r="R477" s="476" t="str"/>
      <x:c r="S477" s="476" t="str">
        <x:v>4 CNPJs na fonte</x:v>
      </x:c>
      <x:c r="T477" s="476" t="str">
        <x:v>VALOR DIVERGENTE / COBERTURA DIFERENTE</x:v>
      </x:c>
      <x:c r="U477" s="476" t="str">
        <x:v>Média</x:v>
      </x:c>
      <x:c r="V477" s="476" t="str"/>
      <x:c r="W477" s="476" t="str">
        <x:v>Município/localidade encontrado em fonte comparável, mas valor não fecha exatamente</x:v>
      </x:c>
      <x:c r="X477" s="476" t="str">
        <x:v>https://discricionarias.transferegov.sistema.gov.br/voluntarias/ConsultarProposta/ResultadoDaConsultaDeConvenioSelecionarConvenio.do?sequencialConvenio=937483&amp;Usr=guest&amp;Pwd=guest | https://discricionarias.transferegov.sistema.gov.br/voluntarias/ConsultarProposta/ResultadoDaConsultaDeConvenioSelecionarConvenio.do?sequencialConvenio=935448&amp;Usr=guest&amp;Pwd=guest</x:v>
      </x:c>
    </x:row>
    <x:row r="478">
      <x:c r="A478" t="n">
        <x:v>708</x:v>
      </x:c>
      <x:c r="B478" t="n">
        <x:v>2023</x:v>
      </x:c>
      <x:c r="C478" s="476" t="str">
        <x:v>Nova Petrópolis</x:v>
      </x:c>
      <x:c r="D478" s="476" t="str">
        <x:v>Prefeitura</x:v>
      </x:c>
      <x:c r="E478" s="476" t="str">
        <x:v>Prefeitura de Nova Petrópolis</x:v>
      </x:c>
      <x:c r="F478" s="476" t="str"/>
      <x:c r="G478" s="476" t="str"/>
      <x:c r="H478" s="476" t="str">
        <x:v>Sem nº conciliado</x:v>
      </x:c>
      <x:c r="I478" s="499" t="n">
        <x:v>800000</x:v>
      </x:c>
      <x:c r="J478" s="499" t="n">
        <x:v>800000</x:v>
      </x:c>
      <x:c r="K478" s="476" t="str">
        <x:v>Emenda Individual</x:v>
      </x:c>
      <x:c r="L478" s="476" t="str">
        <x:v>Empenhado</x:v>
      </x:c>
      <x:c r="M478" s="499" t="n">
        <x:v>0</x:v>
      </x:c>
      <x:c r="N478" s="499" t="n">
        <x:v>0</x:v>
      </x:c>
      <x:c r="O478" s="499" t="n">
        <x:v>0</x:v>
      </x:c>
      <x:c r="P478" s="499" t="n">
        <x:v>0</x:v>
      </x:c>
      <x:c r="Q478" s="499" t="n">
        <x:v>0</x:v>
      </x:c>
      <x:c r="R478" s="476" t="str"/>
      <x:c r="S478" s="476" t="str"/>
      <x:c r="T478" s="476" t="str">
        <x:v>SEM Nº / NÃO CONCILIADO</x:v>
      </x:c>
      <x:c r="U478" s="476" t="str">
        <x:v>Média</x:v>
      </x:c>
      <x:c r="V478" s="476" t="str"/>
      <x:c r="W478" s="476" t="str"/>
      <x:c r="X478" s="476" t="str"/>
    </x:row>
    <x:row r="479">
      <x:c r="A479" t="n">
        <x:v>711</x:v>
      </x:c>
      <x:c r="B479" t="n">
        <x:v>2025</x:v>
      </x:c>
      <x:c r="C479" s="476" t="str">
        <x:v>Carazinho</x:v>
      </x:c>
      <x:c r="D479" s="476" t="str">
        <x:v>Hospital De Clinicas De Carazinho Carazinho - Rs</x:v>
      </x:c>
      <x:c r="E479" s="476" t="str">
        <x:v>Hospital De Clinicas De Carazinho Carazinho - Rs</x:v>
      </x:c>
      <x:c r="F479" s="476" t="str">
        <x:v>41160004</x:v>
      </x:c>
      <x:c r="G479" s="476" t="str">
        <x:v>41160004-2025</x:v>
      </x:c>
      <x:c r="H479" s="476" t="str">
        <x:v>Informado/corrigido a partir do mapa</x:v>
      </x:c>
      <x:c r="I479" s="499" t="n">
        <x:v>850000</x:v>
      </x:c>
      <x:c r="J479" s="499" t="n">
        <x:v>850000</x:v>
      </x:c>
      <x:c r="K479" s="476" t="str">
        <x:v>Emenda Individual</x:v>
      </x:c>
      <x:c r="L479" s="476"/>
      <x:c r="M479" s="499" t="n">
        <x:v>0</x:v>
      </x:c>
      <x:c r="N479" s="499" t="n">
        <x:v>850000</x:v>
      </x:c>
      <x:c r="O479" s="499" t="n">
        <x:v>0</x:v>
      </x:c>
      <x:c r="P479" s="499" t="n">
        <x:v>0</x:v>
      </x:c>
      <x:c r="Q479" s="499" t="n">
        <x:v>0</x:v>
      </x:c>
      <x:c r="R479" s="476" t="str"/>
      <x:c r="S479" s="476" t="str"/>
      <x:c r="T479" s="476" t="str">
        <x:v>DESTINO/INSTRUMENTO CONFIRMADO; VALOR NÃO COMPARÁVEL</x:v>
      </x:c>
      <x:c r="U479" s="476" t="str">
        <x:v>Média</x:v>
      </x:c>
      <x:c r="V479" s="476" t="str"/>
      <x:c r="W479" s="476" t="str">
        <x:v>Há instrumento do Transferegov para a emenda/município; valores do instrumento não foram usados como prova do valor da emenda</x:v>
      </x:c>
      <x:c r="X479" s="476" t="str">
        <x:v>https://discricionarias.transferegov.sistema.gov.br/voluntarias/ConsultarProposta/ResultadoDaConsultaDeConvenioSelecionarConvenio.do?sequencialConvenio=979843&amp;Usr=guest&amp;Pwd=guest</x:v>
      </x:c>
    </x:row>
    <x:row r="480">
      <x:c r="A480" t="n">
        <x:v>712</x:v>
      </x:c>
      <x:c r="B480" t="n">
        <x:v>2023</x:v>
      </x:c>
      <x:c r="C480" s="476"/>
      <x:c r="D480" s="476"/>
      <x:c r="E480" s="476" t="str">
        <x:v>Incremento Temporário ao Custeio dos Serviços de Atenção Primária</x:v>
      </x:c>
      <x:c r="F480" s="476" t="str">
        <x:v>41160002</x:v>
      </x:c>
      <x:c r="G480" s="476" t="str">
        <x:v>41160002-2023</x:v>
      </x:c>
      <x:c r="H480" s="476" t="str">
        <x:v>Informado/corrigido a partir do mapa</x:v>
      </x:c>
      <x:c r="I480" s="499" t="n">
        <x:v>852450</x:v>
      </x:c>
      <x:c r="J480" s="499" t="n">
        <x:v>852450</x:v>
      </x:c>
      <x:c r="K480" s="476"/>
      <x:c r="L480" s="476"/>
      <x:c r="M480" s="499" t="n">
        <x:v>0</x:v>
      </x:c>
      <x:c r="N480" s="499" t="n">
        <x:v>0</x:v>
      </x:c>
      <x:c r="O480" s="499" t="n">
        <x:v>0</x:v>
      </x:c>
      <x:c r="P480" s="499" t="n">
        <x:v>0</x:v>
      </x:c>
      <x:c r="Q480" s="499" t="n">
        <x:v>0</x:v>
      </x:c>
      <x:c r="R480" s="476" t="str"/>
      <x:c r="S480" s="476" t="str"/>
      <x:c r="T480" s="476" t="str">
        <x:v>EMENDA CONFIRMADA; DESTINO NÃO CONFIRMADO</x:v>
      </x:c>
      <x:c r="U480" s="476" t="str">
        <x:v>Média</x:v>
      </x:c>
      <x:c r="V480" s="476" t="str"/>
      <x:c r="W480" s="476" t="str">
        <x:v>Nº existe no SIGA; destinatário específico não foi confirmado nas bases anexas</x:v>
      </x:c>
      <x:c r="X480" s="476" t="str"/>
    </x:row>
    <x:row r="481">
      <x:c r="A481" t="n">
        <x:v>713</x:v>
      </x:c>
      <x:c r="B481" t="n">
        <x:v>2023</x:v>
      </x:c>
      <x:c r="C481" s="476" t="str">
        <x:v>Sarandi</x:v>
      </x:c>
      <x:c r="D481" s="476" t="str">
        <x:v>Hospital</x:v>
      </x:c>
      <x:c r="E481" s="476" t="str">
        <x:v>Hospital Comunitario Sarandi</x:v>
      </x:c>
      <x:c r="F481" s="476" t="str"/>
      <x:c r="G481" s="476" t="str"/>
      <x:c r="H481" s="476" t="str">
        <x:v>Sem nº conciliado</x:v>
      </x:c>
      <x:c r="I481" s="499" t="n">
        <x:v>870000</x:v>
      </x:c>
      <x:c r="J481" s="499" t="n">
        <x:v>870000</x:v>
      </x:c>
      <x:c r="K481" s="476" t="str">
        <x:v>Emenda Individual</x:v>
      </x:c>
      <x:c r="L481" s="476" t="str">
        <x:v>Empenhado</x:v>
      </x:c>
      <x:c r="M481" s="499" t="n">
        <x:v>0</x:v>
      </x:c>
      <x:c r="N481" s="499" t="n">
        <x:v>0</x:v>
      </x:c>
      <x:c r="O481" s="499" t="n">
        <x:v>0</x:v>
      </x:c>
      <x:c r="P481" s="499" t="n">
        <x:v>0</x:v>
      </x:c>
      <x:c r="Q481" s="499" t="n">
        <x:v>0</x:v>
      </x:c>
      <x:c r="R481" s="476" t="str"/>
      <x:c r="S481" s="476" t="str"/>
      <x:c r="T481" s="476" t="str">
        <x:v>SEM Nº / NÃO CONCILIADO</x:v>
      </x:c>
      <x:c r="U481" s="476" t="str">
        <x:v>Média</x:v>
      </x:c>
      <x:c r="V481" s="476" t="str"/>
      <x:c r="W481" s="476" t="str"/>
      <x:c r="X481" s="476" t="str"/>
    </x:row>
    <x:row r="482">
      <x:c r="A482" t="n">
        <x:v>714</x:v>
      </x:c>
      <x:c r="B482" t="n">
        <x:v>2021</x:v>
      </x:c>
      <x:c r="C482" s="476" t="str">
        <x:v>Porto Alegre</x:v>
      </x:c>
      <x:c r="D482" s="476" t="str">
        <x:v>Hospital</x:v>
      </x:c>
      <x:c r="E482" s="476" t="str">
        <x:v>Hospital Banco de Olhos de Porto Alegre (Associação de Literatura e Beneficência)</x:v>
      </x:c>
      <x:c r="F482" s="476" t="str">
        <x:v>41160002</x:v>
      </x:c>
      <x:c r="G482" s="476" t="str">
        <x:v>41160002-2021</x:v>
      </x:c>
      <x:c r="H482" s="476" t="str">
        <x:v>Informado/corrigido a partir do mapa</x:v>
      </x:c>
      <x:c r="I482" s="499" t="n">
        <x:v>987650</x:v>
      </x:c>
      <x:c r="J482" s="499" t="n">
        <x:v>1087650</x:v>
      </x:c>
      <x:c r="K482" s="476" t="str">
        <x:v>Emenda individual (processo seletivo)</x:v>
      </x:c>
      <x:c r="L482" s="476" t="str">
        <x:v>Recurso empenhado.Conforme consulta em 23/04/2024, não consta pagamento no Ambiente Parlamentar e o convênio não aparece no Transferegov. Ao menos uma parte do recurso foi paga, porque de acordo com Portal da Transparência existe apenas um saldo de R$ 459.604,88 a ser pago referente à emenda 41160002/2021.</x:v>
      </x:c>
      <x:c r="M482" s="499" t="n">
        <x:v>189677.18</x:v>
      </x:c>
      <x:c r="N482" s="499" t="n">
        <x:v>0</x:v>
      </x:c>
      <x:c r="O482" s="499" t="n">
        <x:v>189677.18</x:v>
      </x:c>
      <x:c r="P482" s="499" t="n">
        <x:v>0</x:v>
      </x:c>
      <x:c r="Q482" s="499" t="n">
        <x:v>0</x:v>
      </x:c>
      <x:c r="R482" s="476" t="str"/>
      <x:c r="S482" s="476" t="str">
        <x:v>04994418000112, 92815000000168</x:v>
      </x:c>
      <x:c r="T482" s="476" t="str">
        <x:v>VALOR DIVERGENTE / COBERTURA DIFERENTE</x:v>
      </x:c>
      <x:c r="U482" s="476" t="str">
        <x:v>Alta</x:v>
      </x:c>
      <x:c r="V482" s="476" t="str">
        <x:v>Situação possivelmente desatualizada: SIGA/execução regionalizada mostra pagamento</x:v>
      </x:c>
      <x:c r="W482" s="476" t="str">
        <x:v>Município/localidade encontrado em fonte comparável, mas valor não fecha exatamente</x:v>
      </x:c>
      <x:c r="X482" s="476" t="str">
        <x:v>https://discricionarias.transferegov.sistema.gov.br/voluntarias/ConsultarProposta/ResultadoDaConsultaDeConvenioSelecionarConvenio.do?sequencialConvenio=915623&amp;Usr=guest&amp;Pwd=guest | https://discricionarias.transferegov.sistema.gov.br/voluntarias/ConsultarProposta/ResultadoDaConsultaDeConvenioSelecionarConvenio.do?sequencialConvenio=914635&amp;Usr=guest&amp;Pwd=guest</x:v>
      </x:c>
    </x:row>
    <x:row r="483">
      <x:c r="A483" t="n">
        <x:v>718</x:v>
      </x:c>
      <x:c r="B483" t="n">
        <x:v>2021</x:v>
      </x:c>
      <x:c r="C483" s="476" t="str">
        <x:v>Vários municípios</x:v>
      </x:c>
      <x:c r="D483" s="476" t="str">
        <x:v>Brigada Militar</x:v>
      </x:c>
      <x:c r="E483" s="476" t="str">
        <x:v>Unidade da Brigada Militar a ser definida</x:v>
      </x:c>
      <x:c r="F483" s="476" t="str">
        <x:v>41160001</x:v>
      </x:c>
      <x:c r="G483" s="476" t="str">
        <x:v>41160001-2021</x:v>
      </x:c>
      <x:c r="H483" s="476" t="str">
        <x:v>Informado/corrigido a partir do mapa</x:v>
      </x:c>
      <x:c r="I483" s="499" t="n">
        <x:v>1000000</x:v>
      </x:c>
      <x:c r="J483" s="499" t="n">
        <x:v>1000000</x:v>
      </x:c>
      <x:c r="K483" s="476" t="str">
        <x:v>Emenda individual</x:v>
      </x:c>
      <x:c r="L483" s="476" t="str">
        <x:v>Indicado</x:v>
      </x:c>
      <x:c r="M483" s="499" t="n">
        <x:v>0</x:v>
      </x:c>
      <x:c r="N483" s="499" t="n">
        <x:v>0</x:v>
      </x:c>
      <x:c r="O483" s="499" t="n">
        <x:v>0</x:v>
      </x:c>
      <x:c r="P483" s="499" t="n">
        <x:v>0</x:v>
      </x:c>
      <x:c r="Q483" s="499" t="n">
        <x:v>0</x:v>
      </x:c>
      <x:c r="R483" s="476" t="str"/>
      <x:c r="S483" s="476" t="str"/>
      <x:c r="T483" s="476" t="str">
        <x:v>EMENDA CONFIRMADA; DESTINO NÃO CONFIRMADO</x:v>
      </x:c>
      <x:c r="U483" s="476" t="str">
        <x:v>Média</x:v>
      </x:c>
      <x:c r="V483" s="476" t="str"/>
      <x:c r="W483" s="476" t="str">
        <x:v>Nº existe no SIGA; destinatário específico não foi confirmado nas bases anexas</x:v>
      </x:c>
      <x:c r="X483" s="476" t="str"/>
    </x:row>
    <x:row r="484">
      <x:c r="A484" t="n">
        <x:v>720</x:v>
      </x:c>
      <x:c r="B484" t="n">
        <x:v>2022</x:v>
      </x:c>
      <x:c r="C484" s="476" t="str">
        <x:v>Porto Alegre</x:v>
      </x:c>
      <x:c r="D484" s="476"/>
      <x:c r="E484" s="476" t="str">
        <x:v>BR 448</x:v>
      </x:c>
      <x:c r="F484" s="476" t="str"/>
      <x:c r="G484" s="476" t="str"/>
      <x:c r="H484" s="476" t="str">
        <x:v>Sem nº conciliado</x:v>
      </x:c>
      <x:c r="I484" s="499" t="n">
        <x:v>1000000</x:v>
      </x:c>
      <x:c r="J484" s="499" t="n">
        <x:v>1250000</x:v>
      </x:c>
      <x:c r="K484" s="476" t="str">
        <x:v>Emenda de bancada</x:v>
      </x:c>
      <x:c r="L484" s="476" t="str">
        <x:v>Indicado</x:v>
      </x:c>
      <x:c r="M484" s="499" t="n">
        <x:v>0</x:v>
      </x:c>
      <x:c r="N484" s="499" t="n">
        <x:v>0</x:v>
      </x:c>
      <x:c r="O484" s="499" t="n">
        <x:v>0</x:v>
      </x:c>
      <x:c r="P484" s="499" t="n">
        <x:v>0</x:v>
      </x:c>
      <x:c r="Q484" s="499" t="n">
        <x:v>0</x:v>
      </x:c>
      <x:c r="R484" s="476" t="str"/>
      <x:c r="S484" s="476" t="str"/>
      <x:c r="T484" s="476" t="str">
        <x:v>SEM Nº / NÃO CONCILIADO</x:v>
      </x:c>
      <x:c r="U484" s="476" t="str">
        <x:v>Média</x:v>
      </x:c>
      <x:c r="V484" s="476" t="str"/>
      <x:c r="W484" s="476" t="str"/>
      <x:c r="X484" s="476" t="str"/>
    </x:row>
    <x:row r="485">
      <x:c r="A485" t="n">
        <x:v>721</x:v>
      </x:c>
      <x:c r="B485" t="n">
        <x:v>2023</x:v>
      </x:c>
      <x:c r="C485" s="476" t="str">
        <x:v>Dois Irmãos</x:v>
      </x:c>
      <x:c r="D485" s="476" t="str">
        <x:v>Prefeitura</x:v>
      </x:c>
      <x:c r="E485" s="476" t="str">
        <x:v>Prefeitura de Dois Irmãos</x:v>
      </x:c>
      <x:c r="F485" s="476" t="str"/>
      <x:c r="G485" s="476" t="str"/>
      <x:c r="H485" s="476" t="str">
        <x:v>Sem nº conciliado</x:v>
      </x:c>
      <x:c r="I485" s="499" t="n">
        <x:v>1000000</x:v>
      </x:c>
      <x:c r="J485" s="499" t="n">
        <x:v>1309500</x:v>
      </x:c>
      <x:c r="K485" s="476" t="str">
        <x:v>Emenda Individual</x:v>
      </x:c>
      <x:c r="L485" s="476" t="str">
        <x:v>Empenhado</x:v>
      </x:c>
      <x:c r="M485" s="499" t="n">
        <x:v>0</x:v>
      </x:c>
      <x:c r="N485" s="499" t="n">
        <x:v>0</x:v>
      </x:c>
      <x:c r="O485" s="499" t="n">
        <x:v>0</x:v>
      </x:c>
      <x:c r="P485" s="499" t="n">
        <x:v>0</x:v>
      </x:c>
      <x:c r="Q485" s="499" t="n">
        <x:v>0</x:v>
      </x:c>
      <x:c r="R485" s="476" t="str"/>
      <x:c r="S485" s="476" t="str"/>
      <x:c r="T485" s="476" t="str">
        <x:v>SEM Nº / NÃO CONCILIADO</x:v>
      </x:c>
      <x:c r="U485" s="476" t="str">
        <x:v>Média</x:v>
      </x:c>
      <x:c r="V485" s="476" t="str"/>
      <x:c r="W485" s="476" t="str"/>
      <x:c r="X485" s="476" t="str"/>
    </x:row>
    <x:row r="486">
      <x:c r="A486" t="n">
        <x:v>722</x:v>
      </x:c>
      <x:c r="B486" t="n">
        <x:v>2023</x:v>
      </x:c>
      <x:c r="C486" s="476" t="str">
        <x:v>Campinas do Sul</x:v>
      </x:c>
      <x:c r="D486" s="476" t="str">
        <x:v>Prefeitura de Campinas do Sul</x:v>
      </x:c>
      <x:c r="E486" s="476" t="str">
        <x:v>Asfaltamento da Rodovia ERS-483 no trecho de Cruzaltense até Três Palmeiras via Entre Rios do Sul/RS ao Norte Gaúcho</x:v>
      </x:c>
      <x:c r="F486" s="476" t="str"/>
      <x:c r="G486" s="476" t="str"/>
      <x:c r="H486" s="476" t="str">
        <x:v>Sem nº conciliado</x:v>
      </x:c>
      <x:c r="I486" s="499" t="n">
        <x:v>1000000</x:v>
      </x:c>
      <x:c r="J486" s="499" t="n">
        <x:v>1500000</x:v>
      </x:c>
      <x:c r="K486" s="476" t="str">
        <x:v>Emenda bancada</x:v>
      </x:c>
      <x:c r="L486" s="476" t="str">
        <x:v>Empenhado</x:v>
      </x:c>
      <x:c r="M486" s="499" t="n">
        <x:v>0</x:v>
      </x:c>
      <x:c r="N486" s="499" t="n">
        <x:v>0</x:v>
      </x:c>
      <x:c r="O486" s="499" t="n">
        <x:v>0</x:v>
      </x:c>
      <x:c r="P486" s="499" t="n">
        <x:v>0</x:v>
      </x:c>
      <x:c r="Q486" s="499" t="n">
        <x:v>0</x:v>
      </x:c>
      <x:c r="R486" s="476" t="str"/>
      <x:c r="S486" s="476" t="str"/>
      <x:c r="T486" s="476" t="str">
        <x:v>SEM Nº / NÃO CONCILIADO</x:v>
      </x:c>
      <x:c r="U486" s="476" t="str">
        <x:v>Média</x:v>
      </x:c>
      <x:c r="V486" s="476" t="str"/>
      <x:c r="W486" s="476" t="str"/>
      <x:c r="X486" s="476" t="str"/>
    </x:row>
    <x:row r="487">
      <x:c r="A487" t="n">
        <x:v>723</x:v>
      </x:c>
      <x:c r="B487" t="n">
        <x:v>2023</x:v>
      </x:c>
      <x:c r="C487" s="476" t="str">
        <x:v>Encantado</x:v>
      </x:c>
      <x:c r="D487" s="476" t="str">
        <x:v>Prefeitura de Encantado</x:v>
      </x:c>
      <x:c r="E487" s="476" t="str">
        <x:v>Obras de infraestrutura de turismo no entorno do Cristo Protetor de Encantado</x:v>
      </x:c>
      <x:c r="F487" s="476" t="str"/>
      <x:c r="G487" s="476" t="str"/>
      <x:c r="H487" s="476" t="str">
        <x:v>Sem nº conciliado</x:v>
      </x:c>
      <x:c r="I487" s="499" t="n">
        <x:v>1000000</x:v>
      </x:c>
      <x:c r="J487" s="499" t="n">
        <x:v>1192000</x:v>
      </x:c>
      <x:c r="K487" s="476" t="str">
        <x:v>Emenda bancada</x:v>
      </x:c>
      <x:c r="L487" s="476" t="str">
        <x:v>Empenhado</x:v>
      </x:c>
      <x:c r="M487" s="499" t="n">
        <x:v>0</x:v>
      </x:c>
      <x:c r="N487" s="499" t="n">
        <x:v>0</x:v>
      </x:c>
      <x:c r="O487" s="499" t="n">
        <x:v>0</x:v>
      </x:c>
      <x:c r="P487" s="499" t="n">
        <x:v>0</x:v>
      </x:c>
      <x:c r="Q487" s="499" t="n">
        <x:v>0</x:v>
      </x:c>
      <x:c r="R487" s="476" t="str"/>
      <x:c r="S487" s="476" t="str"/>
      <x:c r="T487" s="476" t="str">
        <x:v>SEM Nº / NÃO CONCILIADO</x:v>
      </x:c>
      <x:c r="U487" s="476" t="str">
        <x:v>Média</x:v>
      </x:c>
      <x:c r="V487" s="476" t="str"/>
      <x:c r="W487" s="476" t="str"/>
      <x:c r="X487" s="476" t="str"/>
    </x:row>
    <x:row r="488">
      <x:c r="A488" t="n">
        <x:v>724</x:v>
      </x:c>
      <x:c r="B488" t="n">
        <x:v>2023</x:v>
      </x:c>
      <x:c r="C488" s="476" t="str">
        <x:v>Ijuí</x:v>
      </x:c>
      <x:c r="D488" s="476" t="str">
        <x:v>Prefeitura de Ijuí</x:v>
      </x:c>
      <x:c r="E488" s="476" t="str">
        <x:v>Construção de vias paralelas na BR 285, na extensão de 9 km em Ijui / RS</x:v>
      </x:c>
      <x:c r="F488" s="476" t="str"/>
      <x:c r="G488" s="476" t="str"/>
      <x:c r="H488" s="476" t="str">
        <x:v>Sem nº conciliado</x:v>
      </x:c>
      <x:c r="I488" s="499" t="n">
        <x:v>1000000</x:v>
      </x:c>
      <x:c r="J488" s="499" t="n">
        <x:v>1000000</x:v>
      </x:c>
      <x:c r="K488" s="476" t="str">
        <x:v>Emenda bancada</x:v>
      </x:c>
      <x:c r="L488" s="476" t="str">
        <x:v>Empenhado</x:v>
      </x:c>
      <x:c r="M488" s="499" t="n">
        <x:v>0</x:v>
      </x:c>
      <x:c r="N488" s="499" t="n">
        <x:v>0</x:v>
      </x:c>
      <x:c r="O488" s="499" t="n">
        <x:v>0</x:v>
      </x:c>
      <x:c r="P488" s="499" t="n">
        <x:v>0</x:v>
      </x:c>
      <x:c r="Q488" s="499" t="n">
        <x:v>0</x:v>
      </x:c>
      <x:c r="R488" s="476" t="str"/>
      <x:c r="S488" s="476" t="str"/>
      <x:c r="T488" s="476" t="str">
        <x:v>SEM Nº / NÃO CONCILIADO</x:v>
      </x:c>
      <x:c r="U488" s="476" t="str">
        <x:v>Média</x:v>
      </x:c>
      <x:c r="V488" s="476" t="str"/>
      <x:c r="W488" s="476" t="str"/>
      <x:c r="X488" s="476" t="str"/>
    </x:row>
    <x:row r="489">
      <x:c r="A489" t="n">
        <x:v>725</x:v>
      </x:c>
      <x:c r="B489" t="n">
        <x:v>2023</x:v>
      </x:c>
      <x:c r="C489" s="476" t="str">
        <x:v>Porto Alegre - Novo Hamburgo</x:v>
      </x:c>
      <x:c r="D489" s="476"/>
      <x:c r="E489" s="476" t="str">
        <x:v>BR-116 Norte - Trecho Porto AlegreNovo Hamburgo</x:v>
      </x:c>
      <x:c r="F489" s="476" t="str"/>
      <x:c r="G489" s="476" t="str"/>
      <x:c r="H489" s="476" t="str">
        <x:v>Sem nº conciliado</x:v>
      </x:c>
      <x:c r="I489" s="499" t="n">
        <x:v>1000000</x:v>
      </x:c>
      <x:c r="J489" s="499" t="n">
        <x:v>1000000</x:v>
      </x:c>
      <x:c r="K489" s="476" t="str">
        <x:v>Emenda bancada</x:v>
      </x:c>
      <x:c r="L489" s="476" t="str">
        <x:v>Indicado</x:v>
      </x:c>
      <x:c r="M489" s="499" t="n">
        <x:v>0</x:v>
      </x:c>
      <x:c r="N489" s="499" t="n">
        <x:v>0</x:v>
      </x:c>
      <x:c r="O489" s="499" t="n">
        <x:v>0</x:v>
      </x:c>
      <x:c r="P489" s="499" t="n">
        <x:v>0</x:v>
      </x:c>
      <x:c r="Q489" s="499" t="n">
        <x:v>0</x:v>
      </x:c>
      <x:c r="R489" s="476" t="str"/>
      <x:c r="S489" s="476" t="str"/>
      <x:c r="T489" s="476" t="str">
        <x:v>SEM Nº / NÃO CONCILIADO</x:v>
      </x:c>
      <x:c r="U489" s="476" t="str">
        <x:v>Média</x:v>
      </x:c>
      <x:c r="V489" s="476" t="str"/>
      <x:c r="W489" s="476" t="str"/>
      <x:c r="X489" s="476" t="str"/>
    </x:row>
    <x:row r="490">
      <x:c r="A490" t="n">
        <x:v>727</x:v>
      </x:c>
      <x:c r="B490" t="n">
        <x:v>2025</x:v>
      </x:c>
      <x:c r="C490" s="476" t="str">
        <x:v>Caxias do Sul</x:v>
      </x:c>
      <x:c r="D490" s="476" t="str">
        <x:v>Municipio De Caxias Do Sul Caxias Do Sul - Rs</x:v>
      </x:c>
      <x:c r="E490" s="476" t="str">
        <x:v>Prefeitura Municipal</x:v>
      </x:c>
      <x:c r="F490" s="476" t="str">
        <x:v>41160005</x:v>
      </x:c>
      <x:c r="G490" s="476" t="str">
        <x:v>41160005-2025</x:v>
      </x:c>
      <x:c r="H490" s="476" t="str">
        <x:v>Informado/corrigido a partir do mapa</x:v>
      </x:c>
      <x:c r="I490" s="499" t="n">
        <x:v>1000000</x:v>
      </x:c>
      <x:c r="J490" s="499" t="n">
        <x:v>1000000</x:v>
      </x:c>
      <x:c r="K490" s="476" t="str">
        <x:v>Emenda Individual</x:v>
      </x:c>
      <x:c r="L490" s="476"/>
      <x:c r="M490" s="499" t="n">
        <x:v>0</x:v>
      </x:c>
      <x:c r="N490" s="499" t="n">
        <x:v>960019</x:v>
      </x:c>
      <x:c r="O490" s="499" t="n">
        <x:v>0</x:v>
      </x:c>
      <x:c r="P490" s="499" t="n">
        <x:v>0</x:v>
      </x:c>
      <x:c r="Q490" s="499" t="n">
        <x:v>0</x:v>
      </x:c>
      <x:c r="R490" s="476" t="str"/>
      <x:c r="S490" s="476" t="str"/>
      <x:c r="T490" s="476" t="str">
        <x:v>DESTINO/INSTRUMENTO CONFIRMADO; VALOR NÃO COMPARÁVEL</x:v>
      </x:c>
      <x:c r="U490" s="476" t="str">
        <x:v>Média</x:v>
      </x:c>
      <x:c r="V490" s="476" t="str"/>
      <x:c r="W490" s="476" t="str">
        <x:v>Há instrumento do Transferegov para a emenda/município; valores do instrumento não foram usados como prova do valor da emenda</x:v>
      </x:c>
      <x:c r="X490" s="476" t="str">
        <x:v>https://discricionarias.transferegov.sistema.gov.br/voluntarias/ConsultarProposta/ResultadoDaConsultaDeConvenioSelecionarConvenio.do?sequencialConvenio=976542&amp;Usr=guest&amp;Pwd=guest</x:v>
      </x:c>
    </x:row>
    <x:row r="491">
      <x:c r="A491" t="n">
        <x:v>728</x:v>
      </x:c>
      <x:c r="B491" t="n">
        <x:v>2025</x:v>
      </x:c>
      <x:c r="C491" s="476" t="str">
        <x:v>Porto Alegre</x:v>
      </x:c>
      <x:c r="D491" s="476" t="str">
        <x:v>Municipio De Porto Alegre Porto Alegre - Rs</x:v>
      </x:c>
      <x:c r="E491" s="476" t="str">
        <x:v>Prefeitura Municipal</x:v>
      </x:c>
      <x:c r="F491" s="476" t="str">
        <x:v>41160008</x:v>
      </x:c>
      <x:c r="G491" s="476" t="str">
        <x:v>41160008-2025</x:v>
      </x:c>
      <x:c r="H491" s="476" t="str">
        <x:v>Informado/corrigido a partir do mapa</x:v>
      </x:c>
      <x:c r="I491" s="499" t="n">
        <x:v>1000000</x:v>
      </x:c>
      <x:c r="J491" s="499" t="n">
        <x:v>1000000</x:v>
      </x:c>
      <x:c r="K491" s="476" t="str">
        <x:v>Emenda Individual</x:v>
      </x:c>
      <x:c r="L491" s="476"/>
      <x:c r="M491" s="499" t="n">
        <x:v>990000</x:v>
      </x:c>
      <x:c r="N491" s="499" t="n">
        <x:v>0</x:v>
      </x:c>
      <x:c r="O491" s="499" t="n">
        <x:v>0</x:v>
      </x:c>
      <x:c r="P491" s="499" t="n">
        <x:v>990000</x:v>
      </x:c>
      <x:c r="Q491" s="499" t="n">
        <x:v>0</x:v>
      </x:c>
      <x:c r="R491" s="476" t="str">
        <x:v>CIENTE</x:v>
      </x:c>
      <x:c r="S491" s="476" t="str">
        <x:v>92963560000160</x:v>
      </x:c>
      <x:c r="T491" s="476" t="str">
        <x:v>VALOR DIVERGENTE / COBERTURA DIFERENTE</x:v>
      </x:c>
      <x:c r="U491" s="476" t="str">
        <x:v>Média</x:v>
      </x:c>
      <x:c r="V491" s="476" t="str">
        <x:v>Revisar valor do grupo: PIX atual registra R$ 990,000.00; Atualizar situação com status do plano PIX: CIENTE (não equivale a pagamento)</x:v>
      </x:c>
      <x:c r="W491" s="476" t="str">
        <x:v>Município/localidade encontrado em fonte comparável, mas valor não fecha exatamente</x:v>
      </x:c>
      <x:c r="X491" s="476" t="str">
        <x:v>https://especiais.transferegov.sistema.gov.br/transferencia-especial/plano-acao/detalhe/83990/dados-basicos</x:v>
      </x:c>
    </x:row>
    <x:row r="492">
      <x:c r="A492" t="n">
        <x:v>729</x:v>
      </x:c>
      <x:c r="B492" t="n">
        <x:v>2026</x:v>
      </x:c>
      <x:c r="C492" s="476" t="str">
        <x:v>Porto Alegre</x:v>
      </x:c>
      <x:c r="D492" s="476" t="str">
        <x:v>Porto Alegre</x:v>
      </x:c>
      <x:c r="E492" s="476" t="str">
        <x:v>Municipio de Porto Alegre</x:v>
      </x:c>
      <x:c r="F492" s="476" t="str">
        <x:v>41160008</x:v>
      </x:c>
      <x:c r="G492" s="476" t="str">
        <x:v>41160008-2026</x:v>
      </x:c>
      <x:c r="H492" s="476" t="str">
        <x:v>Informado/corrigido a partir do mapa</x:v>
      </x:c>
      <x:c r="I492" s="499" t="n">
        <x:v>1000000</x:v>
      </x:c>
      <x:c r="J492" s="499" t="n">
        <x:v>1000000</x:v>
      </x:c>
      <x:c r="K492" s="476" t="str">
        <x:v>Emenda individual</x:v>
      </x:c>
      <x:c r="L492" s="476"/>
      <x:c r="M492" s="499" t="n">
        <x:v>995000</x:v>
      </x:c>
      <x:c r="N492" s="499" t="n">
        <x:v>0</x:v>
      </x:c>
      <x:c r="O492" s="499" t="n">
        <x:v>0</x:v>
      </x:c>
      <x:c r="P492" s="499" t="n">
        <x:v>995000</x:v>
      </x:c>
      <x:c r="Q492" s="499" t="n">
        <x:v>0</x:v>
      </x:c>
      <x:c r="R492" s="476" t="str">
        <x:v>CIENTE</x:v>
      </x:c>
      <x:c r="S492" s="476" t="str">
        <x:v>92963560000160</x:v>
      </x:c>
      <x:c r="T492" s="476" t="str">
        <x:v>VALOR DIVERGENTE / COBERTURA DIFERENTE</x:v>
      </x:c>
      <x:c r="U492" s="476" t="str">
        <x:v>Média</x:v>
      </x:c>
      <x:c r="V492" s="476" t="str">
        <x:v>Revisar valor do grupo: PIX atual registra R$ 995,000.00; Atualizar situação com status do plano PIX: CIENTE (não equivale a pagamento)</x:v>
      </x:c>
      <x:c r="W492" s="476" t="str">
        <x:v>Município/localidade encontrado em fonte comparável, mas valor não fecha exatamente</x:v>
      </x:c>
      <x:c r="X492" s="476" t="str">
        <x:v>https://especiais.transferegov.sistema.gov.br/transferencia-especial/plano-acao/detalhe/96516/dados-basicos</x:v>
      </x:c>
    </x:row>
    <x:row r="493">
      <x:c r="A493" t="n">
        <x:v>731</x:v>
      </x:c>
      <x:c r="B493" t="n">
        <x:v>2022</x:v>
      </x:c>
      <x:c r="C493" s="476" t="str">
        <x:v>Ivoti</x:v>
      </x:c>
      <x:c r="D493" s="476" t="str">
        <x:v>Município</x:v>
      </x:c>
      <x:c r="E493" s="476" t="str">
        <x:v>Prefeitura Municipal</x:v>
      </x:c>
      <x:c r="F493" s="476" t="str">
        <x:v>41160007</x:v>
      </x:c>
      <x:c r="G493" s="476" t="str">
        <x:v>41160007-2022</x:v>
      </x:c>
      <x:c r="H493" s="476" t="str">
        <x:v>Informado/corrigido a partir do mapa</x:v>
      </x:c>
      <x:c r="I493" s="499" t="n">
        <x:v>1139365</x:v>
      </x:c>
      <x:c r="J493" s="499" t="n">
        <x:v>1139365</x:v>
      </x:c>
      <x:c r="K493" s="476" t="str">
        <x:v>Emenda Individual </x:v>
      </x:c>
      <x:c r="L493" s="476" t="str">
        <x:v>Recurso pago</x:v>
      </x:c>
      <x:c r="M493" s="499" t="n">
        <x:v>1094282</x:v>
      </x:c>
      <x:c r="N493" s="499" t="n">
        <x:v>1094282</x:v>
      </x:c>
      <x:c r="O493" s="499" t="n">
        <x:v>1094282</x:v>
      </x:c>
      <x:c r="P493" s="499" t="n">
        <x:v>0</x:v>
      </x:c>
      <x:c r="Q493" s="499" t="n">
        <x:v>0</x:v>
      </x:c>
      <x:c r="R493" s="476" t="str"/>
      <x:c r="S493" s="476" t="str">
        <x:v>88254909000117</x:v>
      </x:c>
      <x:c r="T493" s="476" t="str">
        <x:v>VALOR DIVERGENTE / COBERTURA DIFERENTE</x:v>
      </x:c>
      <x:c r="U493" s="476" t="str">
        <x:v>Média</x:v>
      </x:c>
      <x:c r="V493" s="476" t="str">
        <x:v>CNPJ candidato na fonte SIGA: 88254909000117</x:v>
      </x:c>
      <x:c r="W493" s="476" t="str">
        <x:v>Município/localidade encontrado em fonte comparável, mas valor não fecha exatamente</x:v>
      </x:c>
      <x:c r="X493" s="476" t="str">
        <x:v>https://discricionarias.transferegov.sistema.gov.br/voluntarias/ConsultarProposta/ResultadoDaConsultaDeConvenioSelecionarConvenio.do?sequencialConvenio=934303&amp;Usr=guest&amp;Pwd=guest</x:v>
      </x:c>
    </x:row>
    <x:row r="494">
      <x:c r="A494" t="n">
        <x:v>732</x:v>
      </x:c>
      <x:c r="B494" t="n">
        <x:v>2024</x:v>
      </x:c>
      <x:c r="C494" s="476" t="str">
        <x:v>Caxias Do Sul</x:v>
      </x:c>
      <x:c r="D494" s="476" t="str">
        <x:v>Prefeitura de Caxias do Sul</x:v>
      </x:c>
      <x:c r="E494" s="476" t="str">
        <x:v>Prefeitura de Caxias do Sul</x:v>
      </x:c>
      <x:c r="F494" s="476" t="str"/>
      <x:c r="G494" s="476" t="str"/>
      <x:c r="H494" s="476" t="str">
        <x:v>Sem nº conciliado</x:v>
      </x:c>
      <x:c r="I494" s="499" t="n">
        <x:v>1300000</x:v>
      </x:c>
      <x:c r="J494" s="499" t="n">
        <x:v>1669941.01</x:v>
      </x:c>
      <x:c r="K494" s="476" t="str">
        <x:v>Emenda Individual</x:v>
      </x:c>
      <x:c r="L494" s="476" t="str">
        <x:v>Empenhado</x:v>
      </x:c>
      <x:c r="M494" s="499" t="n">
        <x:v>0</x:v>
      </x:c>
      <x:c r="N494" s="499" t="n">
        <x:v>0</x:v>
      </x:c>
      <x:c r="O494" s="499" t="n">
        <x:v>0</x:v>
      </x:c>
      <x:c r="P494" s="499" t="n">
        <x:v>0</x:v>
      </x:c>
      <x:c r="Q494" s="499" t="n">
        <x:v>0</x:v>
      </x:c>
      <x:c r="R494" s="476" t="str"/>
      <x:c r="S494" s="476" t="str"/>
      <x:c r="T494" s="476" t="str">
        <x:v>SEM Nº / NÃO CONCILIADO</x:v>
      </x:c>
      <x:c r="U494" s="476" t="str">
        <x:v>Média</x:v>
      </x:c>
      <x:c r="V494" s="476" t="str"/>
      <x:c r="W494" s="476" t="str"/>
      <x:c r="X494" s="476" t="str"/>
    </x:row>
    <x:row r="495">
      <x:c r="A495" t="n">
        <x:v>733</x:v>
      </x:c>
      <x:c r="B495" t="n">
        <x:v>2023</x:v>
      </x:c>
      <x:c r="C495" s="476" t="str">
        <x:v>Gramado</x:v>
      </x:c>
      <x:c r="D495" s="476" t="str">
        <x:v>Município de Gramado</x:v>
      </x:c>
      <x:c r="E495" s="476" t="str">
        <x:v>Pavimentação Asfáltica e Ponte Intermunicipal da Estrada Tranquilo Galgaro de Ligação do Município de Gramado ao novo Aeroporto Regional da Serra do Município de Caxias do Sul. O trecho de 6,19 km</x:v>
      </x:c>
      <x:c r="F495" s="476" t="str">
        <x:v>7122 0015</x:v>
      </x:c>
      <x:c r="G495" s="476" t="str">
        <x:v>71220015-2023</x:v>
      </x:c>
      <x:c r="H495" s="476" t="str">
        <x:v>Informado/corrigido a partir do mapa</x:v>
      </x:c>
      <x:c r="I495" s="499" t="n">
        <x:v>1500000</x:v>
      </x:c>
      <x:c r="J495" s="499" t="n">
        <x:v>1500000</x:v>
      </x:c>
      <x:c r="K495" s="476" t="str">
        <x:v>Emenda bancada</x:v>
      </x:c>
      <x:c r="L495" s="476" t="str">
        <x:v>Empenhado</x:v>
      </x:c>
      <x:c r="M495" s="499" t="n">
        <x:v>0</x:v>
      </x:c>
      <x:c r="N495" s="499" t="n">
        <x:v>8569444</x:v>
      </x:c>
      <x:c r="O495" s="499" t="n">
        <x:v>8569444</x:v>
      </x:c>
      <x:c r="P495" s="499" t="n">
        <x:v>0</x:v>
      </x:c>
      <x:c r="Q495" s="499" t="n">
        <x:v>0</x:v>
      </x:c>
      <x:c r="R495" s="476" t="str"/>
      <x:c r="S495" s="476" t="str"/>
      <x:c r="T495" s="476" t="str">
        <x:v>DESTINO/INSTRUMENTO CONFIRMADO; VALOR NÃO COMPARÁVEL</x:v>
      </x:c>
      <x:c r="U495" s="476" t="str">
        <x:v>Média</x:v>
      </x:c>
      <x:c r="V495" s="476" t="str"/>
      <x:c r="W495" s="476" t="str">
        <x:v>Há instrumento do Transferegov para a emenda/município; valores do instrumento não foram usados como prova do valor da emenda</x:v>
      </x:c>
      <x:c r="X495" s="476" t="str">
        <x:v>https://discricionarias.transferegov.sistema.gov.br/voluntarias/ConsultarProposta/ResultadoDaConsultaDeConvenioSelecionarConvenio.do?sequencialConvenio=942513&amp;Usr=guest&amp;Pwd=guest</x:v>
      </x:c>
    </x:row>
    <x:row r="496">
      <x:c r="A496" t="n">
        <x:v>734</x:v>
      </x:c>
      <x:c r="B496" t="n">
        <x:v>2020</x:v>
      </x:c>
      <x:c r="C496" s="476" t="str">
        <x:v>Dois Irmãos</x:v>
      </x:c>
      <x:c r="D496" s="476" t="str">
        <x:v>Hospital</x:v>
      </x:c>
      <x:c r="E496" s="476" t="str">
        <x:v>Hospital São José de Dois Irmãos</x:v>
      </x:c>
      <x:c r="F496" s="476" t="str">
        <x:v>7122 0006</x:v>
      </x:c>
      <x:c r="G496" s="476" t="str">
        <x:v>71220006-2020</x:v>
      </x:c>
      <x:c r="H496" s="476" t="str">
        <x:v>Informado/corrigido a partir do mapa</x:v>
      </x:c>
      <x:c r="I496" s="499" t="n">
        <x:v>1874000</x:v>
      </x:c>
      <x:c r="J496" s="499" t="n">
        <x:v>1874000</x:v>
      </x:c>
      <x:c r="K496" s="476" t="str">
        <x:v>Emenda de Bancada</x:v>
      </x:c>
      <x:c r="L496" s="476" t="str">
        <x:v>Recurso pago</x:v>
      </x:c>
      <x:c r="M496" s="499" t="n">
        <x:v>0</x:v>
      </x:c>
      <x:c r="N496" s="499" t="n">
        <x:v>0</x:v>
      </x:c>
      <x:c r="O496" s="499" t="n">
        <x:v>0</x:v>
      </x:c>
      <x:c r="P496" s="499" t="n">
        <x:v>0</x:v>
      </x:c>
      <x:c r="Q496" s="499" t="n">
        <x:v>0</x:v>
      </x:c>
      <x:c r="R496" s="476" t="str"/>
      <x:c r="S496" s="476" t="str"/>
      <x:c r="T496" s="476" t="str">
        <x:v>Nº NÃO LOCALIZADO</x:v>
      </x:c>
      <x:c r="U496" s="476" t="str">
        <x:v>Média</x:v>
      </x:c>
      <x:c r="V496" s="476" t="str"/>
      <x:c r="W496" s="476" t="str"/>
      <x:c r="X496" s="476" t="str"/>
    </x:row>
    <x:row r="497">
      <x:c r="A497" t="n">
        <x:v>735</x:v>
      </x:c>
      <x:c r="B497" t="n">
        <x:v>2021</x:v>
      </x:c>
      <x:c r="C497" s="476" t="str">
        <x:v>Dois Irmãos</x:v>
      </x:c>
      <x:c r="D497" s="476" t="str">
        <x:v>Município</x:v>
      </x:c>
      <x:c r="E497" s="476" t="str">
        <x:v>Min. Desenvolvimento Regional</x:v>
      </x:c>
      <x:c r="F497" s="476" t="str">
        <x:v>41160006</x:v>
      </x:c>
      <x:c r="G497" s="476" t="str">
        <x:v>41160006-2021</x:v>
      </x:c>
      <x:c r="H497" s="476" t="str">
        <x:v>Informado/corrigido a partir do mapa</x:v>
      </x:c>
      <x:c r="I497" s="499" t="n">
        <x:v>2693000</x:v>
      </x:c>
      <x:c r="J497" s="499" t="n">
        <x:v>2693000</x:v>
      </x:c>
      <x:c r="K497" s="476" t="str">
        <x:v>Emenda Individual </x:v>
      </x:c>
      <x:c r="L497" s="476" t="str">
        <x:v>Em execução. Total pago: R$ 1.306.354,98 (29/02/2024)</x:v>
      </x:c>
      <x:c r="M497" s="499" t="n">
        <x:v>2612709.95</x:v>
      </x:c>
      <x:c r="N497" s="499" t="n">
        <x:v>2612709.95</x:v>
      </x:c>
      <x:c r="O497" s="499" t="n">
        <x:v>2612709.95</x:v>
      </x:c>
      <x:c r="P497" s="499" t="n">
        <x:v>0</x:v>
      </x:c>
      <x:c r="Q497" s="499" t="n">
        <x:v>0</x:v>
      </x:c>
      <x:c r="R497" s="476" t="str"/>
      <x:c r="S497" s="476" t="str">
        <x:v>88254891000153</x:v>
      </x:c>
      <x:c r="T497" s="476" t="str">
        <x:v>VALOR DIVERGENTE / COBERTURA DIFERENTE</x:v>
      </x:c>
      <x:c r="U497" s="476" t="str">
        <x:v>Média</x:v>
      </x:c>
      <x:c r="V497" s="476" t="str">
        <x:v>CNPJ candidato na fonte SIGA: 88254891000153</x:v>
      </x:c>
      <x:c r="W497" s="476" t="str">
        <x:v>Município/localidade encontrado em fonte comparável, mas valor não fecha exatamente</x:v>
      </x:c>
      <x:c r="X497" s="476" t="str">
        <x:v>https://discricionarias.transferegov.sistema.gov.br/voluntarias/ConsultarProposta/ResultadoDaConsultaDeConvenioSelecionarConvenio.do?sequencialConvenio=921920&amp;Usr=guest&amp;Pwd=guest</x:v>
      </x:c>
    </x:row>
    <x:row r="498">
      <x:c r="A498" t="n">
        <x:v>736</x:v>
      </x:c>
      <x:c r="B498" t="n">
        <x:v>2020</x:v>
      </x:c>
      <x:c r="C498" s="476" t="str">
        <x:v>Dois Irmãos</x:v>
      </x:c>
      <x:c r="D498" s="476" t="str">
        <x:v>Município</x:v>
      </x:c>
      <x:c r="E498" s="476" t="str">
        <x:v>DNIT-DEPARTAMENTO NACIONAL DE INFRAEST DE TRANSPORTES</x:v>
      </x:c>
      <x:c r="F498" s="476" t="str">
        <x:v>41160003</x:v>
      </x:c>
      <x:c r="G498" s="476" t="str">
        <x:v>41160003-2020</x:v>
      </x:c>
      <x:c r="H498" s="476" t="str">
        <x:v>Informado/corrigido a partir do mapa</x:v>
      </x:c>
      <x:c r="I498" s="499" t="n">
        <x:v>3780227</x:v>
      </x:c>
      <x:c r="J498" s="499" t="n">
        <x:v>3780227</x:v>
      </x:c>
      <x:c r="K498" s="476" t="str">
        <x:v>Emenda Individual </x:v>
      </x:c>
      <x:c r="L498" s="476" t="str">
        <x:v>Recurso pago</x:v>
      </x:c>
      <x:c r="M498" s="499" t="n">
        <x:v>0</x:v>
      </x:c>
      <x:c r="N498" s="499" t="n">
        <x:v>0</x:v>
      </x:c>
      <x:c r="O498" s="499" t="n">
        <x:v>0</x:v>
      </x:c>
      <x:c r="P498" s="499" t="n">
        <x:v>0</x:v>
      </x:c>
      <x:c r="Q498" s="499" t="n">
        <x:v>0</x:v>
      </x:c>
      <x:c r="R498" s="476" t="str"/>
      <x:c r="S498" s="476" t="str"/>
      <x:c r="T498" s="476" t="str">
        <x:v>EMENDA CONFIRMADA; DESTINO NÃO CONFIRMADO</x:v>
      </x:c>
      <x:c r="U498" s="476" t="str">
        <x:v>Média</x:v>
      </x:c>
      <x:c r="V498" s="476" t="str"/>
      <x:c r="W498" s="476" t="str">
        <x:v>Nº existe no SIGA; destinatário específico não foi confirmado nas bases anexas</x:v>
      </x:c>
      <x:c r="X498" s="476" t="str"/>
    </x:row>
    <x:row r="499">
      <x:c r="A499" t="n">
        <x:v>737</x:v>
      </x:c>
      <x:c r="B499" t="n">
        <x:v>2021</x:v>
      </x:c>
      <x:c r="C499" s="476" t="str">
        <x:v>Caxias do sul</x:v>
      </x:c>
      <x:c r="D499" s="476" t="str">
        <x:v>Polícia Rodoviária Federal</x:v>
      </x:c>
      <x:c r="E499" s="476" t="str">
        <x:v>Polícia Rodoviária Federal</x:v>
      </x:c>
      <x:c r="F499" s="476" t="str">
        <x:v>411660007</x:v>
      </x:c>
      <x:c r="G499" s="476" t="str">
        <x:v>41160007-2021</x:v>
      </x:c>
      <x:c r="H499" s="476" t="str">
        <x:v>Informado/corrigido a partir do mapa</x:v>
      </x:c>
      <x:c r="I499" s="499" t="n">
        <x:v>15299294</x:v>
      </x:c>
      <x:c r="J499" s="499" t="n">
        <x:v>15299294</x:v>
      </x:c>
      <x:c r="K499" s="476" t="str">
        <x:v>Emenda individual</x:v>
      </x:c>
      <x:c r="L499" s="476" t="str">
        <x:v>Emenda não executada por erro no projeto. Recurso perdido.</x:v>
      </x:c>
      <x:c r="M499" s="499" t="n">
        <x:v>0</x:v>
      </x:c>
      <x:c r="N499" s="499" t="n">
        <x:v>0</x:v>
      </x:c>
      <x:c r="O499" s="499" t="n">
        <x:v>0</x:v>
      </x:c>
      <x:c r="P499" s="499" t="n">
        <x:v>0</x:v>
      </x:c>
      <x:c r="Q499" s="499" t="n">
        <x:v>0</x:v>
      </x:c>
      <x:c r="R499" s="476" t="str"/>
      <x:c r="S499" s="476" t="str"/>
      <x:c r="T499" s="476" t="str">
        <x:v>EMENDA CONFIRMADA; DESTINO NÃO CONFIRMADO</x:v>
      </x:c>
      <x:c r="U499" s="476" t="str">
        <x:v>CRÍTICA</x:v>
      </x:c>
      <x:c r="V499" s="476" t="str">
        <x:v>Corrigir o número da emenda para 41160007; Revisar R$ 15.299.294,00: forte indício de R$ 152.992,94; com R$ 212.000,06 fecha R$ 364.993,00 do SIGA</x:v>
      </x:c>
      <x:c r="W499" s="476" t="str">
        <x:v>nº no mapa parece digitado como 411660007; candidato 41160007; Nº existe no SIGA; destinatário específico não foi confirmado nas bases anexas</x:v>
      </x:c>
      <x:c r="X499" s="476" t="str"/>
    </x:row>
    <x:row r="500">
      <x:c r="A500" t="n">
        <x:v>738</x:v>
      </x:c>
      <x:c r="B500" t="n">
        <x:v>2023</x:v>
      </x:c>
      <x:c r="C500" s="476" t="str">
        <x:v>Gramado</x:v>
      </x:c>
      <x:c r="D500" s="476" t="str">
        <x:v>Município</x:v>
      </x:c>
      <x:c r="E500" s="476" t="str">
        <x:v>Fundo Municipal de Saúde</x:v>
      </x:c>
      <x:c r="F500" s="476" t="str">
        <x:v>41160007</x:v>
      </x:c>
      <x:c r="G500" s="476" t="str">
        <x:v>41160007-2023</x:v>
      </x:c>
      <x:c r="H500" s="476" t="str">
        <x:v>Informado/corrigido a partir do mapa</x:v>
      </x:c>
      <x:c r="I500" s="499" t="n">
        <x:v>0</x:v>
      </x:c>
      <x:c r="J500" s="499" t="n">
        <x:v>0</x:v>
      </x:c>
      <x:c r="K500" s="476" t="str">
        <x:v>Emenda Individual</x:v>
      </x:c>
      <x:c r="L500" s="476" t="str">
        <x:v>Empenhado</x:v>
      </x:c>
      <x:c r="M500" s="499" t="n">
        <x:v>44125</x:v>
      </x:c>
      <x:c r="N500" s="499" t="n">
        <x:v>0</x:v>
      </x:c>
      <x:c r="O500" s="499" t="n">
        <x:v>0</x:v>
      </x:c>
      <x:c r="P500" s="499" t="n">
        <x:v>0</x:v>
      </x:c>
      <x:c r="Q500" s="499" t="n">
        <x:v>0</x:v>
      </x:c>
      <x:c r="R500" s="476" t="str"/>
      <x:c r="S500" s="476" t="str">
        <x:v>11796566000198</x:v>
      </x:c>
      <x:c r="T500" s="476" t="str">
        <x:v>VALOR DIVERGENTE / COBERTURA DIFERENTE</x:v>
      </x:c>
      <x:c r="U500" s="476" t="str">
        <x:v>Alta</x:v>
      </x:c>
      <x:c r="V500" s="476" t="str">
        <x:v>Situação possivelmente desatualizada: SIGA/execução regionalizada mostra pagamento; CNPJ candidato na fonte SIGA: 11796566000198</x:v>
      </x:c>
      <x:c r="W500" s="476" t="str">
        <x:v>Município/localidade encontrado em fonte comparável, mas valor não fecha exatamente</x:v>
      </x:c>
      <x:c r="X500" s="476" t="str"/>
    </x:row>
    <x:row r="501">
      <x:c r="A501" t="n">
        <x:v>739</x:v>
      </x:c>
      <x:c r="B501" t="n">
        <x:v>2020</x:v>
      </x:c>
      <x:c r="C501" s="476" t="str">
        <x:v>Canoas</x:v>
      </x:c>
      <x:c r="D501" s="476" t="str">
        <x:v>Hospital</x:v>
      </x:c>
      <x:c r="E501" s="476" t="str">
        <x:v>Hospital Universitário de Canoas</x:v>
      </x:c>
      <x:c r="F501" s="476" t="str">
        <x:v>41160005</x:v>
      </x:c>
      <x:c r="G501" s="476" t="str">
        <x:v>41160005-2020</x:v>
      </x:c>
      <x:c r="H501" s="476" t="str">
        <x:v>Informado/corrigido a partir do mapa</x:v>
      </x:c>
      <x:c r="I501" s="499" t="n">
        <x:v>0</x:v>
      </x:c>
      <x:c r="J501" s="499" t="n">
        <x:v>50000</x:v>
      </x:c>
      <x:c r="K501" s="476" t="str">
        <x:v>Emenda Individual</x:v>
      </x:c>
      <x:c r="L501" s="476" t="str">
        <x:v>Recurso pago</x:v>
      </x:c>
      <x:c r="M501" s="499" t="n">
        <x:v>200000</x:v>
      </x:c>
      <x:c r="N501" s="499" t="n">
        <x:v>0</x:v>
      </x:c>
      <x:c r="O501" s="499" t="n">
        <x:v>0</x:v>
      </x:c>
      <x:c r="P501" s="499" t="n">
        <x:v>0</x:v>
      </x:c>
      <x:c r="Q501" s="499" t="n">
        <x:v>0</x:v>
      </x:c>
      <x:c r="R501" s="476" t="str"/>
      <x:c r="S501" s="476" t="str">
        <x:v>11413650000185</x:v>
      </x:c>
      <x:c r="T501" s="476" t="str">
        <x:v>VALOR DIVERGENTE / COBERTURA DIFERENTE</x:v>
      </x:c>
      <x:c r="U501" s="476" t="str">
        <x:v>Alta</x:v>
      </x:c>
      <x:c r="V501" s="476" t="str">
        <x:v>CNPJ candidato na fonte SIGA: 11413650000185</x:v>
      </x:c>
      <x:c r="W501" s="476" t="str">
        <x:v>Município/localidade encontrado em fonte comparável, mas valor não fecha exatamente</x:v>
      </x:c>
      <x:c r="X501" s="476" t="str"/>
    </x:row>
    <x:row r="502">
      <x:c r="A502" t="n">
        <x:v>740</x:v>
      </x:c>
      <x:c r="B502" t="n">
        <x:v>2025</x:v>
      </x:c>
      <x:c r="C502" s="476" t="str">
        <x:v>Muitos Capões</x:v>
      </x:c>
      <x:c r="D502" s="476" t="str">
        <x:v>Muitos Capões</x:v>
      </x:c>
      <x:c r="E502" s="476"/>
      <x:c r="F502" s="476" t="str"/>
      <x:c r="G502" s="476" t="str"/>
      <x:c r="H502" s="476" t="str">
        <x:v>Sem nº conciliado</x:v>
      </x:c>
      <x:c r="I502" s="499" t="n">
        <x:v>0</x:v>
      </x:c>
      <x:c r="J502" s="499" t="n">
        <x:v>0</x:v>
      </x:c>
      <x:c r="K502" s="476" t="str">
        <x:v>Emenda de bancada</x:v>
      </x:c>
      <x:c r="L502" s="476"/>
      <x:c r="M502" s="499" t="n">
        <x:v>0</x:v>
      </x:c>
      <x:c r="N502" s="499" t="n">
        <x:v>0</x:v>
      </x:c>
      <x:c r="O502" s="499" t="n">
        <x:v>0</x:v>
      </x:c>
      <x:c r="P502" s="499" t="n">
        <x:v>0</x:v>
      </x:c>
      <x:c r="Q502" s="499" t="n">
        <x:v>0</x:v>
      </x:c>
      <x:c r="R502" s="476" t="str"/>
      <x:c r="S502" s="476" t="str"/>
      <x:c r="T502" s="476" t="str">
        <x:v>SEM Nº / NÃO CONCILIADO</x:v>
      </x:c>
      <x:c r="U502" s="476" t="str">
        <x:v>Média</x:v>
      </x:c>
      <x:c r="V502" s="476" t="str"/>
      <x:c r="W502" s="476" t="str"/>
      <x:c r="X502" s="476" t="str"/>
    </x:row>
    <x:row r="503">
      <x:c r="A503" t="n">
        <x:v>741</x:v>
      </x:c>
      <x:c r="B503" t="n">
        <x:v>2025</x:v>
      </x:c>
      <x:c r="C503" s="476" t="str">
        <x:v>Colorado</x:v>
      </x:c>
      <x:c r="D503" s="476" t="str">
        <x:v>Colorado</x:v>
      </x:c>
      <x:c r="E503" s="476"/>
      <x:c r="F503" s="476" t="str"/>
      <x:c r="G503" s="476" t="str"/>
      <x:c r="H503" s="476" t="str">
        <x:v>Sem nº conciliado</x:v>
      </x:c>
      <x:c r="I503" s="499" t="n">
        <x:v>0</x:v>
      </x:c>
      <x:c r="J503" s="499" t="n">
        <x:v>0</x:v>
      </x:c>
      <x:c r="K503" s="476" t="str">
        <x:v>Emenda de bancada</x:v>
      </x:c>
      <x:c r="L503" s="476"/>
      <x:c r="M503" s="499" t="n">
        <x:v>0</x:v>
      </x:c>
      <x:c r="N503" s="499" t="n">
        <x:v>0</x:v>
      </x:c>
      <x:c r="O503" s="499" t="n">
        <x:v>0</x:v>
      </x:c>
      <x:c r="P503" s="499" t="n">
        <x:v>0</x:v>
      </x:c>
      <x:c r="Q503" s="499" t="n">
        <x:v>0</x:v>
      </x:c>
      <x:c r="R503" s="476" t="str"/>
      <x:c r="S503" s="476" t="str"/>
      <x:c r="T503" s="476" t="str">
        <x:v>SEM Nº / NÃO CONCILIADO</x:v>
      </x:c>
      <x:c r="U503" s="476" t="str">
        <x:v>Média</x:v>
      </x:c>
      <x:c r="V503" s="476" t="str"/>
      <x:c r="W503" s="476" t="str"/>
      <x:c r="X503" s="476" t="str"/>
    </x:row>
    <x:row r="504">
      <x:c r="A504" t="n">
        <x:v>742</x:v>
      </x:c>
      <x:c r="B504" t="n">
        <x:v>2025</x:v>
      </x:c>
      <x:c r="C504" s="476" t="str">
        <x:v>Nova Prata</x:v>
      </x:c>
      <x:c r="D504" s="476" t="str">
        <x:v>Nova Prata</x:v>
      </x:c>
      <x:c r="E504" s="476"/>
      <x:c r="F504" s="476" t="str"/>
      <x:c r="G504" s="476" t="str"/>
      <x:c r="H504" s="476" t="str">
        <x:v>Sem nº conciliado</x:v>
      </x:c>
      <x:c r="I504" s="499" t="n">
        <x:v>0</x:v>
      </x:c>
      <x:c r="J504" s="499" t="n">
        <x:v>0</x:v>
      </x:c>
      <x:c r="K504" s="476" t="str">
        <x:v>Emenda de bancada</x:v>
      </x:c>
      <x:c r="L504" s="476"/>
      <x:c r="M504" s="499" t="n">
        <x:v>0</x:v>
      </x:c>
      <x:c r="N504" s="499" t="n">
        <x:v>0</x:v>
      </x:c>
      <x:c r="O504" s="499" t="n">
        <x:v>0</x:v>
      </x:c>
      <x:c r="P504" s="499" t="n">
        <x:v>0</x:v>
      </x:c>
      <x:c r="Q504" s="499" t="n">
        <x:v>0</x:v>
      </x:c>
      <x:c r="R504" s="476" t="str"/>
      <x:c r="S504" s="476" t="str"/>
      <x:c r="T504" s="476" t="str">
        <x:v>SEM Nº / NÃO CONCILIADO</x:v>
      </x:c>
      <x:c r="U504" s="476" t="str">
        <x:v>Média</x:v>
      </x:c>
      <x:c r="V504" s="476" t="str"/>
      <x:c r="W504" s="476" t="str"/>
      <x:c r="X504" s="476" t="str"/>
    </x:row>
    <x:row r="505">
      <x:c r="A505" t="n">
        <x:v>743</x:v>
      </x:c>
      <x:c r="B505" t="n">
        <x:v>2025</x:v>
      </x:c>
      <x:c r="C505" s="476" t="str">
        <x:v>Ajuricaba</x:v>
      </x:c>
      <x:c r="D505" s="476" t="str">
        <x:v>Ajuricaba</x:v>
      </x:c>
      <x:c r="E505" s="476"/>
      <x:c r="F505" s="476" t="str"/>
      <x:c r="G505" s="476" t="str"/>
      <x:c r="H505" s="476" t="str">
        <x:v>Sem nº conciliado</x:v>
      </x:c>
      <x:c r="I505" s="499" t="n">
        <x:v>0</x:v>
      </x:c>
      <x:c r="J505" s="499" t="n">
        <x:v>0</x:v>
      </x:c>
      <x:c r="K505" s="476" t="str">
        <x:v>Emenda de bancada</x:v>
      </x:c>
      <x:c r="L505" s="476"/>
      <x:c r="M505" s="499" t="n">
        <x:v>0</x:v>
      </x:c>
      <x:c r="N505" s="499" t="n">
        <x:v>0</x:v>
      </x:c>
      <x:c r="O505" s="499" t="n">
        <x:v>0</x:v>
      </x:c>
      <x:c r="P505" s="499" t="n">
        <x:v>0</x:v>
      </x:c>
      <x:c r="Q505" s="499" t="n">
        <x:v>0</x:v>
      </x:c>
      <x:c r="R505" s="476" t="str"/>
      <x:c r="S505" s="476" t="str"/>
      <x:c r="T505" s="476" t="str">
        <x:v>SEM Nº / NÃO CONCILIADO</x:v>
      </x:c>
      <x:c r="U505" s="476" t="str">
        <x:v>Média</x:v>
      </x:c>
      <x:c r="V505" s="476" t="str"/>
      <x:c r="W505" s="476" t="str"/>
      <x:c r="X505" s="476" t="str"/>
    </x:row>
    <x:row r="506">
      <x:c r="A506" t="n">
        <x:v>744</x:v>
      </x:c>
      <x:c r="B506" t="n">
        <x:v>2025</x:v>
      </x:c>
      <x:c r="C506" s="476" t="str">
        <x:v>Campos Borges</x:v>
      </x:c>
      <x:c r="D506" s="476" t="str">
        <x:v>Campos Borges</x:v>
      </x:c>
      <x:c r="E506" s="476"/>
      <x:c r="F506" s="476" t="str"/>
      <x:c r="G506" s="476" t="str"/>
      <x:c r="H506" s="476" t="str">
        <x:v>Sem nº conciliado</x:v>
      </x:c>
      <x:c r="I506" s="499" t="n">
        <x:v>0</x:v>
      </x:c>
      <x:c r="J506" s="499" t="n">
        <x:v>0</x:v>
      </x:c>
      <x:c r="K506" s="476" t="str">
        <x:v>Emenda de bancada</x:v>
      </x:c>
      <x:c r="L506" s="476"/>
      <x:c r="M506" s="499" t="n">
        <x:v>0</x:v>
      </x:c>
      <x:c r="N506" s="499" t="n">
        <x:v>0</x:v>
      </x:c>
      <x:c r="O506" s="499" t="n">
        <x:v>0</x:v>
      </x:c>
      <x:c r="P506" s="499" t="n">
        <x:v>0</x:v>
      </x:c>
      <x:c r="Q506" s="499" t="n">
        <x:v>0</x:v>
      </x:c>
      <x:c r="R506" s="476" t="str"/>
      <x:c r="S506" s="476" t="str"/>
      <x:c r="T506" s="476" t="str">
        <x:v>SEM Nº / NÃO CONCILIADO</x:v>
      </x:c>
      <x:c r="U506" s="476" t="str">
        <x:v>Média</x:v>
      </x:c>
      <x:c r="V506" s="476" t="str"/>
      <x:c r="W506" s="476" t="str"/>
      <x:c r="X506" s="476" t="str"/>
    </x:row>
    <x:row r="507">
      <x:c r="A507" t="n">
        <x:v>745</x:v>
      </x:c>
      <x:c r="B507" t="n">
        <x:v>2025</x:v>
      </x:c>
      <x:c r="C507" s="476" t="str">
        <x:v>Xangri-lá</x:v>
      </x:c>
      <x:c r="D507" s="476" t="str">
        <x:v>Xangri-Lá</x:v>
      </x:c>
      <x:c r="E507" s="476"/>
      <x:c r="F507" s="476" t="str"/>
      <x:c r="G507" s="476" t="str"/>
      <x:c r="H507" s="476" t="str">
        <x:v>Sem nº conciliado</x:v>
      </x:c>
      <x:c r="I507" s="499" t="n">
        <x:v>0</x:v>
      </x:c>
      <x:c r="J507" s="499" t="n">
        <x:v>0</x:v>
      </x:c>
      <x:c r="K507" s="476" t="str">
        <x:v>Emenda de bancada</x:v>
      </x:c>
      <x:c r="L507" s="476"/>
      <x:c r="M507" s="499" t="n">
        <x:v>0</x:v>
      </x:c>
      <x:c r="N507" s="499" t="n">
        <x:v>0</x:v>
      </x:c>
      <x:c r="O507" s="499" t="n">
        <x:v>0</x:v>
      </x:c>
      <x:c r="P507" s="499" t="n">
        <x:v>0</x:v>
      </x:c>
      <x:c r="Q507" s="499" t="n">
        <x:v>0</x:v>
      </x:c>
      <x:c r="R507" s="476" t="str"/>
      <x:c r="S507" s="476" t="str"/>
      <x:c r="T507" s="476" t="str">
        <x:v>SEM Nº / NÃO CONCILIADO</x:v>
      </x:c>
      <x:c r="U507" s="476" t="str">
        <x:v>Média</x:v>
      </x:c>
      <x:c r="V507" s="476" t="str"/>
      <x:c r="W507" s="476" t="str"/>
      <x:c r="X507" s="476" t="str"/>
    </x:row>
    <x:row r="508">
      <x:c r="A508" t="n">
        <x:v>746</x:v>
      </x:c>
      <x:c r="B508" t="n">
        <x:v>2025</x:v>
      </x:c>
      <x:c r="C508" s="476" t="str">
        <x:v>Rolador</x:v>
      </x:c>
      <x:c r="D508" s="476" t="str">
        <x:v>Rolador </x:v>
      </x:c>
      <x:c r="E508" s="476"/>
      <x:c r="F508" s="476" t="str"/>
      <x:c r="G508" s="476" t="str"/>
      <x:c r="H508" s="476" t="str">
        <x:v>Sem nº conciliado</x:v>
      </x:c>
      <x:c r="I508" s="499" t="n">
        <x:v>0</x:v>
      </x:c>
      <x:c r="J508" s="499" t="n">
        <x:v>0</x:v>
      </x:c>
      <x:c r="K508" s="476" t="str">
        <x:v>Emenda de bancada</x:v>
      </x:c>
      <x:c r="L508" s="476"/>
      <x:c r="M508" s="499" t="n">
        <x:v>0</x:v>
      </x:c>
      <x:c r="N508" s="499" t="n">
        <x:v>0</x:v>
      </x:c>
      <x:c r="O508" s="499" t="n">
        <x:v>0</x:v>
      </x:c>
      <x:c r="P508" s="499" t="n">
        <x:v>0</x:v>
      </x:c>
      <x:c r="Q508" s="499" t="n">
        <x:v>0</x:v>
      </x:c>
      <x:c r="R508" s="476" t="str"/>
      <x:c r="S508" s="476" t="str"/>
      <x:c r="T508" s="476" t="str">
        <x:v>SEM Nº / NÃO CONCILIADO</x:v>
      </x:c>
      <x:c r="U508" s="476" t="str">
        <x:v>Média</x:v>
      </x:c>
      <x:c r="V508" s="476" t="str"/>
      <x:c r="W508" s="476" t="str"/>
      <x:c r="X508" s="476" t="str"/>
    </x:row>
    <x:row r="509">
      <x:c r="A509" t="n">
        <x:v>747</x:v>
      </x:c>
      <x:c r="B509" t="n">
        <x:v>2025</x:v>
      </x:c>
      <x:c r="C509" s="476" t="str">
        <x:v>Guaporé</x:v>
      </x:c>
      <x:c r="D509" s="476" t="str">
        <x:v>Guaporé</x:v>
      </x:c>
      <x:c r="E509" s="476"/>
      <x:c r="F509" s="476" t="str"/>
      <x:c r="G509" s="476" t="str"/>
      <x:c r="H509" s="476" t="str">
        <x:v>Sem nº conciliado</x:v>
      </x:c>
      <x:c r="I509" s="499" t="n">
        <x:v>0</x:v>
      </x:c>
      <x:c r="J509" s="499" t="n">
        <x:v>0</x:v>
      </x:c>
      <x:c r="K509" s="476" t="str">
        <x:v>Emenda de bancada</x:v>
      </x:c>
      <x:c r="L509" s="476"/>
      <x:c r="M509" s="499" t="n">
        <x:v>0</x:v>
      </x:c>
      <x:c r="N509" s="499" t="n">
        <x:v>0</x:v>
      </x:c>
      <x:c r="O509" s="499" t="n">
        <x:v>0</x:v>
      </x:c>
      <x:c r="P509" s="499" t="n">
        <x:v>0</x:v>
      </x:c>
      <x:c r="Q509" s="499" t="n">
        <x:v>0</x:v>
      </x:c>
      <x:c r="R509" s="476" t="str"/>
      <x:c r="S509" s="476" t="str"/>
      <x:c r="T509" s="476" t="str">
        <x:v>SEM Nº / NÃO CONCILIADO</x:v>
      </x:c>
      <x:c r="U509" s="476" t="str">
        <x:v>Média</x:v>
      </x:c>
      <x:c r="V509" s="476" t="str"/>
      <x:c r="W509" s="476" t="str"/>
      <x:c r="X509" s="476" t="str"/>
    </x:row>
    <x:row r="510">
      <x:c r="A510" t="n">
        <x:v>748</x:v>
      </x:c>
      <x:c r="B510" t="n">
        <x:v>2025</x:v>
      </x:c>
      <x:c r="C510" s="476" t="str">
        <x:v>Não-Me-Toque</x:v>
      </x:c>
      <x:c r="D510" s="476" t="str">
        <x:v>Não Me Toque</x:v>
      </x:c>
      <x:c r="E510" s="476"/>
      <x:c r="F510" s="476" t="str"/>
      <x:c r="G510" s="476" t="str"/>
      <x:c r="H510" s="476" t="str">
        <x:v>Sem nº conciliado</x:v>
      </x:c>
      <x:c r="I510" s="499" t="n">
        <x:v>0</x:v>
      </x:c>
      <x:c r="J510" s="499" t="n">
        <x:v>0</x:v>
      </x:c>
      <x:c r="K510" s="476" t="str">
        <x:v>Emenda de bancada</x:v>
      </x:c>
      <x:c r="L510" s="476"/>
      <x:c r="M510" s="499" t="n">
        <x:v>0</x:v>
      </x:c>
      <x:c r="N510" s="499" t="n">
        <x:v>0</x:v>
      </x:c>
      <x:c r="O510" s="499" t="n">
        <x:v>0</x:v>
      </x:c>
      <x:c r="P510" s="499" t="n">
        <x:v>0</x:v>
      </x:c>
      <x:c r="Q510" s="499" t="n">
        <x:v>0</x:v>
      </x:c>
      <x:c r="R510" s="476" t="str"/>
      <x:c r="S510" s="476" t="str"/>
      <x:c r="T510" s="476" t="str">
        <x:v>SEM Nº / NÃO CONCILIADO</x:v>
      </x:c>
      <x:c r="U510" s="476" t="str">
        <x:v>Média</x:v>
      </x:c>
      <x:c r="V510" s="476" t="str"/>
      <x:c r="W510" s="476" t="str"/>
      <x:c r="X510" s="476" t="str"/>
    </x:row>
    <x:row r="511">
      <x:c r="A511" t="n">
        <x:v>749</x:v>
      </x:c>
      <x:c r="B511" t="n">
        <x:v>2025</x:v>
      </x:c>
      <x:c r="C511" s="476" t="str">
        <x:v>Santa Rosa</x:v>
      </x:c>
      <x:c r="D511" s="476" t="str">
        <x:v>Santa Rosa</x:v>
      </x:c>
      <x:c r="E511" s="476"/>
      <x:c r="F511" s="476" t="str"/>
      <x:c r="G511" s="476" t="str"/>
      <x:c r="H511" s="476" t="str">
        <x:v>Sem nº conciliado</x:v>
      </x:c>
      <x:c r="I511" s="499" t="n">
        <x:v>0</x:v>
      </x:c>
      <x:c r="J511" s="499" t="n">
        <x:v>640000</x:v>
      </x:c>
      <x:c r="K511" s="476" t="str">
        <x:v>Emenda de bancada</x:v>
      </x:c>
      <x:c r="L511" s="476"/>
      <x:c r="M511" s="499" t="n">
        <x:v>0</x:v>
      </x:c>
      <x:c r="N511" s="499" t="n">
        <x:v>0</x:v>
      </x:c>
      <x:c r="O511" s="499" t="n">
        <x:v>0</x:v>
      </x:c>
      <x:c r="P511" s="499" t="n">
        <x:v>0</x:v>
      </x:c>
      <x:c r="Q511" s="499" t="n">
        <x:v>0</x:v>
      </x:c>
      <x:c r="R511" s="476" t="str"/>
      <x:c r="S511" s="476" t="str"/>
      <x:c r="T511" s="476" t="str">
        <x:v>SEM Nº / NÃO CONCILIADO</x:v>
      </x:c>
      <x:c r="U511" s="476" t="str">
        <x:v>Média</x:v>
      </x:c>
      <x:c r="V511" s="476" t="str"/>
      <x:c r="W511" s="476" t="str"/>
      <x:c r="X511" s="476" t="str"/>
    </x:row>
    <x:row r="512">
      <x:c r="A512" t="n">
        <x:v>750</x:v>
      </x:c>
      <x:c r="B512" t="n">
        <x:v>2025</x:v>
      </x:c>
      <x:c r="C512" s="476" t="str">
        <x:v>Sobradinho</x:v>
      </x:c>
      <x:c r="D512" s="476" t="str">
        <x:v>Sobradinho</x:v>
      </x:c>
      <x:c r="E512" s="476"/>
      <x:c r="F512" s="476" t="str"/>
      <x:c r="G512" s="476" t="str"/>
      <x:c r="H512" s="476" t="str">
        <x:v>Sem nº conciliado</x:v>
      </x:c>
      <x:c r="I512" s="499" t="n">
        <x:v>0</x:v>
      </x:c>
      <x:c r="J512" s="499" t="n">
        <x:v>0</x:v>
      </x:c>
      <x:c r="K512" s="476" t="str">
        <x:v>Emenda de bancada</x:v>
      </x:c>
      <x:c r="L512" s="476"/>
      <x:c r="M512" s="499" t="n">
        <x:v>0</x:v>
      </x:c>
      <x:c r="N512" s="499" t="n">
        <x:v>0</x:v>
      </x:c>
      <x:c r="O512" s="499" t="n">
        <x:v>0</x:v>
      </x:c>
      <x:c r="P512" s="499" t="n">
        <x:v>0</x:v>
      </x:c>
      <x:c r="Q512" s="499" t="n">
        <x:v>0</x:v>
      </x:c>
      <x:c r="R512" s="476" t="str"/>
      <x:c r="S512" s="476" t="str"/>
      <x:c r="T512" s="476" t="str">
        <x:v>SEM Nº / NÃO CONCILIADO</x:v>
      </x:c>
      <x:c r="U512" s="476" t="str">
        <x:v>Média</x:v>
      </x:c>
      <x:c r="V512" s="476" t="str"/>
      <x:c r="W512" s="476" t="str"/>
      <x:c r="X512" s="476" t="str"/>
    </x:row>
    <x:row r="513">
      <x:c r="A513" t="n">
        <x:v>751</x:v>
      </x:c>
      <x:c r="B513" t="n">
        <x:v>2025</x:v>
      </x:c>
      <x:c r="C513" s="476" t="str">
        <x:v>Dois Irmãos</x:v>
      </x:c>
      <x:c r="D513" s="476" t="str">
        <x:v>Dois Irmãos</x:v>
      </x:c>
      <x:c r="E513" s="476"/>
      <x:c r="F513" s="476" t="str"/>
      <x:c r="G513" s="476" t="str"/>
      <x:c r="H513" s="476" t="str">
        <x:v>Sem nº conciliado</x:v>
      </x:c>
      <x:c r="I513" s="499" t="n">
        <x:v>0</x:v>
      </x:c>
      <x:c r="J513" s="499" t="n">
        <x:v>1309500</x:v>
      </x:c>
      <x:c r="K513" s="476" t="str">
        <x:v>Emenda de bancada</x:v>
      </x:c>
      <x:c r="L513" s="476"/>
      <x:c r="M513" s="499" t="n">
        <x:v>0</x:v>
      </x:c>
      <x:c r="N513" s="499" t="n">
        <x:v>0</x:v>
      </x:c>
      <x:c r="O513" s="499" t="n">
        <x:v>0</x:v>
      </x:c>
      <x:c r="P513" s="499" t="n">
        <x:v>0</x:v>
      </x:c>
      <x:c r="Q513" s="499" t="n">
        <x:v>0</x:v>
      </x:c>
      <x:c r="R513" s="476" t="str"/>
      <x:c r="S513" s="476" t="str"/>
      <x:c r="T513" s="476" t="str">
        <x:v>SEM Nº / NÃO CONCILIADO</x:v>
      </x:c>
      <x:c r="U513" s="476" t="str">
        <x:v>Média</x:v>
      </x:c>
      <x:c r="V513" s="476" t="str"/>
      <x:c r="W513" s="476" t="str"/>
      <x:c r="X513" s="476" t="str"/>
    </x:row>
    <x:row r="514">
      <x:c r="A514" t="n">
        <x:v>752</x:v>
      </x:c>
      <x:c r="B514" t="n">
        <x:v>2025</x:v>
      </x:c>
      <x:c r="C514" s="476" t="str">
        <x:v>Tuparendi</x:v>
      </x:c>
      <x:c r="D514" s="476" t="str">
        <x:v>Tuparendi</x:v>
      </x:c>
      <x:c r="E514" s="476"/>
      <x:c r="F514" s="476" t="str"/>
      <x:c r="G514" s="476" t="str"/>
      <x:c r="H514" s="476" t="str">
        <x:v>Sem nº conciliado</x:v>
      </x:c>
      <x:c r="I514" s="499" t="n">
        <x:v>0</x:v>
      </x:c>
      <x:c r="J514" s="499" t="n">
        <x:v>0</x:v>
      </x:c>
      <x:c r="K514" s="476" t="str">
        <x:v>Emenda de bancada</x:v>
      </x:c>
      <x:c r="L514" s="476"/>
      <x:c r="M514" s="499" t="n">
        <x:v>0</x:v>
      </x:c>
      <x:c r="N514" s="499" t="n">
        <x:v>0</x:v>
      </x:c>
      <x:c r="O514" s="499" t="n">
        <x:v>0</x:v>
      </x:c>
      <x:c r="P514" s="499" t="n">
        <x:v>0</x:v>
      </x:c>
      <x:c r="Q514" s="499" t="n">
        <x:v>0</x:v>
      </x:c>
      <x:c r="R514" s="476" t="str"/>
      <x:c r="S514" s="476" t="str"/>
      <x:c r="T514" s="476" t="str">
        <x:v>SEM Nº / NÃO CONCILIADO</x:v>
      </x:c>
      <x:c r="U514" s="476" t="str">
        <x:v>Média</x:v>
      </x:c>
      <x:c r="V514" s="476" t="str"/>
      <x:c r="W514" s="476" t="str"/>
      <x:c r="X514" s="476" t="str"/>
    </x:row>
    <x:row r="515">
      <x:c r="A515" t="n">
        <x:v>753</x:v>
      </x:c>
      <x:c r="B515" t="n">
        <x:v>2025</x:v>
      </x:c>
      <x:c r="C515" s="476" t="str">
        <x:v>Aceguá</x:v>
      </x:c>
      <x:c r="D515" s="476" t="str">
        <x:v>Aceguá</x:v>
      </x:c>
      <x:c r="E515" s="476"/>
      <x:c r="F515" s="476" t="str"/>
      <x:c r="G515" s="476" t="str"/>
      <x:c r="H515" s="476" t="str">
        <x:v>Sem nº conciliado</x:v>
      </x:c>
      <x:c r="I515" s="499" t="n">
        <x:v>0</x:v>
      </x:c>
      <x:c r="J515" s="499" t="n">
        <x:v>0</x:v>
      </x:c>
      <x:c r="K515" s="476" t="str">
        <x:v>Emenda de bancada</x:v>
      </x:c>
      <x:c r="L515" s="476"/>
      <x:c r="M515" s="499" t="n">
        <x:v>0</x:v>
      </x:c>
      <x:c r="N515" s="499" t="n">
        <x:v>0</x:v>
      </x:c>
      <x:c r="O515" s="499" t="n">
        <x:v>0</x:v>
      </x:c>
      <x:c r="P515" s="499" t="n">
        <x:v>0</x:v>
      </x:c>
      <x:c r="Q515" s="499" t="n">
        <x:v>0</x:v>
      </x:c>
      <x:c r="R515" s="476" t="str"/>
      <x:c r="S515" s="476" t="str"/>
      <x:c r="T515" s="476" t="str">
        <x:v>SEM Nº / NÃO CONCILIADO</x:v>
      </x:c>
      <x:c r="U515" s="476" t="str">
        <x:v>Média</x:v>
      </x:c>
      <x:c r="V515" s="476" t="str"/>
      <x:c r="W515" s="476" t="str"/>
      <x:c r="X515" s="476" t="str"/>
    </x:row>
    <x:row r="516">
      <x:c r="A516" t="n">
        <x:v>754</x:v>
      </x:c>
      <x:c r="B516" t="n">
        <x:v>2025</x:v>
      </x:c>
      <x:c r="C516" s="476" t="str">
        <x:v>Bom Retiro do Sul</x:v>
      </x:c>
      <x:c r="D516" s="476" t="str">
        <x:v>Bom Retiro Do Sul</x:v>
      </x:c>
      <x:c r="E516" s="476"/>
      <x:c r="F516" s="476" t="str"/>
      <x:c r="G516" s="476" t="str"/>
      <x:c r="H516" s="476" t="str">
        <x:v>Sem nº conciliado</x:v>
      </x:c>
      <x:c r="I516" s="499" t="n">
        <x:v>0</x:v>
      </x:c>
      <x:c r="J516" s="499" t="n">
        <x:v>49379.28</x:v>
      </x:c>
      <x:c r="K516" s="476" t="str">
        <x:v>Emenda de bancada</x:v>
      </x:c>
      <x:c r="L516" s="476"/>
      <x:c r="M516" s="499" t="n">
        <x:v>0</x:v>
      </x:c>
      <x:c r="N516" s="499" t="n">
        <x:v>0</x:v>
      </x:c>
      <x:c r="O516" s="499" t="n">
        <x:v>0</x:v>
      </x:c>
      <x:c r="P516" s="499" t="n">
        <x:v>0</x:v>
      </x:c>
      <x:c r="Q516" s="499" t="n">
        <x:v>0</x:v>
      </x:c>
      <x:c r="R516" s="476" t="str"/>
      <x:c r="S516" s="476" t="str"/>
      <x:c r="T516" s="476" t="str">
        <x:v>SEM Nº / NÃO CONCILIADO</x:v>
      </x:c>
      <x:c r="U516" s="476" t="str">
        <x:v>Média</x:v>
      </x:c>
      <x:c r="V516" s="476" t="str"/>
      <x:c r="W516" s="476" t="str"/>
      <x:c r="X516" s="476" t="str"/>
    </x:row>
    <x:row r="517">
      <x:c r="A517" t="n">
        <x:v>755</x:v>
      </x:c>
      <x:c r="B517" t="n">
        <x:v>2020</x:v>
      </x:c>
      <x:c r="C517" s="476" t="str">
        <x:v>Dois Irmãos</x:v>
      </x:c>
      <x:c r="D517" s="476" t="str">
        <x:v>Corpo de Bombeiros</x:v>
      </x:c>
      <x:c r="E517" s="476" t="str">
        <x:v>Corpo de Bombeiros de Dois Irmãos</x:v>
      </x:c>
      <x:c r="F517" s="476" t="str">
        <x:v>41160012</x:v>
      </x:c>
      <x:c r="G517" s="476" t="str">
        <x:v>41160012-2020</x:v>
      </x:c>
      <x:c r="H517" s="476" t="str">
        <x:v>Informado/corrigido a partir do mapa</x:v>
      </x:c>
      <x:c r="I517" s="499" t="n">
        <x:v>0</x:v>
      </x:c>
      <x:c r="J517" s="499" t="n">
        <x:v>162125</x:v>
      </x:c>
      <x:c r="K517" s="476" t="str">
        <x:v>Emenda individual</x:v>
      </x:c>
      <x:c r="L517" s="476" t="str">
        <x:v>Recurso pago</x:v>
      </x:c>
      <x:c r="M517" s="499" t="n">
        <x:v>0</x:v>
      </x:c>
      <x:c r="N517" s="499" t="n">
        <x:v>0</x:v>
      </x:c>
      <x:c r="O517" s="499" t="n">
        <x:v>0</x:v>
      </x:c>
      <x:c r="P517" s="499" t="n">
        <x:v>0</x:v>
      </x:c>
      <x:c r="Q517" s="499" t="n">
        <x:v>0</x:v>
      </x:c>
      <x:c r="R517" s="476" t="str"/>
      <x:c r="S517" s="476" t="str"/>
      <x:c r="T517" s="476" t="str">
        <x:v>EMENDA CONFIRMADA; DESTINO NÃO CONFIRMADO</x:v>
      </x:c>
      <x:c r="U517" s="476" t="str">
        <x:v>Média</x:v>
      </x:c>
      <x:c r="V517" s="476" t="str"/>
      <x:c r="W517" s="476" t="str">
        <x:v>Nº existe no SIGA; destinatário específico não foi confirmado nas bases anexas</x:v>
      </x:c>
      <x:c r="X517" s="476" t="str"/>
    </x:row>
    <x:row r="518">
      <x:c r="A518" t="n">
        <x:v>757</x:v>
      </x:c>
      <x:c r="B518" t="n">
        <x:v>2024</x:v>
      </x:c>
      <x:c r="C518" s="476" t="str">
        <x:v>Caxias do Sul</x:v>
      </x:c>
      <x:c r="D518" s="476" t="str">
        <x:v>Prefeitura Municipal de Caxias do Sul</x:v>
      </x:c>
      <x:c r="E518" s="476" t="str">
        <x:v>Prefeitura Municipal</x:v>
      </x:c>
      <x:c r="F518" s="476" t="str">
        <x:v>41160005</x:v>
      </x:c>
      <x:c r="G518" s="476" t="str">
        <x:v>41160005-2024</x:v>
      </x:c>
      <x:c r="H518" s="476" t="str">
        <x:v>Informado/corrigido a partir do mapa</x:v>
      </x:c>
      <x:c r="I518" s="499" t="n">
        <x:v>0</x:v>
      </x:c>
      <x:c r="J518" s="499" t="n">
        <x:v>0</x:v>
      </x:c>
      <x:c r="K518" s="476" t="str">
        <x:v>Emenda Individual</x:v>
      </x:c>
      <x:c r="L518" s="476"/>
      <x:c r="M518" s="499" t="n">
        <x:v>0</x:v>
      </x:c>
      <x:c r="N518" s="499" t="n">
        <x:v>1249036</x:v>
      </x:c>
      <x:c r="O518" s="499" t="n">
        <x:v>0</x:v>
      </x:c>
      <x:c r="P518" s="499" t="n">
        <x:v>0</x:v>
      </x:c>
      <x:c r="Q518" s="499" t="n">
        <x:v>0</x:v>
      </x:c>
      <x:c r="R518" s="476" t="str"/>
      <x:c r="S518" s="476" t="str"/>
      <x:c r="T518" s="476" t="str">
        <x:v>DESTINO/INSTRUMENTO CONFIRMADO; VALOR NÃO COMPARÁVEL</x:v>
      </x:c>
      <x:c r="U518" s="476" t="str">
        <x:v>Média</x:v>
      </x:c>
      <x:c r="V518" s="476" t="str"/>
      <x:c r="W518" s="476" t="str">
        <x:v>Há instrumento do Transferegov para a emenda/município; valores do instrumento não foram usados como prova do valor da emenda</x:v>
      </x:c>
      <x:c r="X518" s="476" t="str">
        <x:v>https://discricionarias.transferegov.sistema.gov.br/voluntarias/ConsultarProposta/ResultadoDaConsultaDeConvenioSelecionarConvenio.do?sequencialConvenio=967019&amp;Usr=guest&amp;Pwd=guest</x:v>
      </x:c>
    </x:row>
    <x:row r="519">
      <x:c r="A519" t="n">
        <x:v>760</x:v>
      </x:c>
      <x:c r="B519" t="n">
        <x:v>2024</x:v>
      </x:c>
      <x:c r="C519" s="476" t="str">
        <x:v>Lagoa Vermelha</x:v>
      </x:c>
      <x:c r="D519" s="476" t="str">
        <x:v>Prefeitura Municipal de Lagoa Vermelha</x:v>
      </x:c>
      <x:c r="E519" s="476" t="str">
        <x:v>Prefeitura Municipal</x:v>
      </x:c>
      <x:c r="F519" s="476" t="str">
        <x:v>41160005</x:v>
      </x:c>
      <x:c r="G519" s="476" t="str">
        <x:v>41160005-2024</x:v>
      </x:c>
      <x:c r="H519" s="476" t="str">
        <x:v>Informado/corrigido a partir do mapa</x:v>
      </x:c>
      <x:c r="I519" s="499" t="n">
        <x:v>0</x:v>
      </x:c>
      <x:c r="J519" s="499" t="n">
        <x:v>578003</x:v>
      </x:c>
      <x:c r="K519" s="476" t="str">
        <x:v>Emenda Individual</x:v>
      </x:c>
      <x:c r="L519" s="476"/>
      <x:c r="M519" s="499" t="n">
        <x:v>0</x:v>
      </x:c>
      <x:c r="N519" s="499" t="n">
        <x:v>578003</x:v>
      </x:c>
      <x:c r="O519" s="499" t="n">
        <x:v>0</x:v>
      </x:c>
      <x:c r="P519" s="499" t="n">
        <x:v>0</x:v>
      </x:c>
      <x:c r="Q519" s="499" t="n">
        <x:v>0</x:v>
      </x:c>
      <x:c r="R519" s="476" t="str"/>
      <x:c r="S519" s="476" t="str"/>
      <x:c r="T519" s="476" t="str">
        <x:v>DESTINO/INSTRUMENTO CONFIRMADO; VALOR NÃO COMPARÁVEL</x:v>
      </x:c>
      <x:c r="U519" s="476" t="str">
        <x:v>Média</x:v>
      </x:c>
      <x:c r="V519" s="476" t="str"/>
      <x:c r="W519" s="476" t="str">
        <x:v>Há instrumento do Transferegov para a emenda/município; valores do instrumento não foram usados como prova do valor da emenda</x:v>
      </x:c>
      <x:c r="X519" s="476" t="str">
        <x:v>https://discricionarias.transferegov.sistema.gov.br/voluntarias/ConsultarProposta/ResultadoDaConsultaDeConvenioSelecionarConvenio.do?sequencialConvenio=973563&amp;Usr=guest&amp;Pwd=guest</x:v>
      </x:c>
    </x:row>
    <x:row r="520">
      <x:c r="A520" t="n">
        <x:v>762</x:v>
      </x:c>
      <x:c r="B520" t="n">
        <x:v>2024</x:v>
      </x:c>
      <x:c r="C520" s="476" t="str">
        <x:v>Muçum</x:v>
      </x:c>
      <x:c r="D520" s="476" t="str">
        <x:v>Prefeitura Municipal de Muçum</x:v>
      </x:c>
      <x:c r="E520" s="476" t="str">
        <x:v>Prefeitura Municipal</x:v>
      </x:c>
      <x:c r="F520" s="476" t="str">
        <x:v>41160005</x:v>
      </x:c>
      <x:c r="G520" s="476" t="str">
        <x:v>41160005-2024</x:v>
      </x:c>
      <x:c r="H520" s="476" t="str">
        <x:v>Informado/corrigido a partir do mapa</x:v>
      </x:c>
      <x:c r="I520" s="499" t="n">
        <x:v>0</x:v>
      </x:c>
      <x:c r="J520" s="499" t="n">
        <x:v>481104</x:v>
      </x:c>
      <x:c r="K520" s="476" t="str">
        <x:v>Emenda Individual</x:v>
      </x:c>
      <x:c r="L520" s="476"/>
      <x:c r="M520" s="499" t="n">
        <x:v>0</x:v>
      </x:c>
      <x:c r="N520" s="499" t="n">
        <x:v>481104</x:v>
      </x:c>
      <x:c r="O520" s="499" t="n">
        <x:v>0</x:v>
      </x:c>
      <x:c r="P520" s="499" t="n">
        <x:v>0</x:v>
      </x:c>
      <x:c r="Q520" s="499" t="n">
        <x:v>0</x:v>
      </x:c>
      <x:c r="R520" s="476" t="str"/>
      <x:c r="S520" s="476" t="str"/>
      <x:c r="T520" s="476" t="str">
        <x:v>DESTINO/INSTRUMENTO CONFIRMADO; VALOR NÃO COMPARÁVEL</x:v>
      </x:c>
      <x:c r="U520" s="476" t="str">
        <x:v>Média</x:v>
      </x:c>
      <x:c r="V520" s="476" t="str"/>
      <x:c r="W520" s="476" t="str">
        <x:v>Há instrumento do Transferegov para a emenda/município; valores do instrumento não foram usados como prova do valor da emenda</x:v>
      </x:c>
      <x:c r="X520" s="476" t="str">
        <x:v>https://discricionarias.transferegov.sistema.gov.br/voluntarias/ConsultarProposta/ResultadoDaConsultaDeConvenioSelecionarConvenio.do?sequencialConvenio=973464&amp;Usr=guest&amp;Pwd=guest</x:v>
      </x:c>
    </x:row>
    <x:row r="521">
      <x:c r="A521" t="n">
        <x:v>764</x:v>
      </x:c>
      <x:c r="B521" t="n">
        <x:v>2024</x:v>
      </x:c>
      <x:c r="C521" s="476" t="str">
        <x:v>São Martinho da Serra</x:v>
      </x:c>
      <x:c r="D521" s="476" t="str">
        <x:v>Prefeitura Municipal de São Martinho da Serra</x:v>
      </x:c>
      <x:c r="E521" s="476" t="str">
        <x:v>Prefeitura Municipal</x:v>
      </x:c>
      <x:c r="F521" s="476" t="str">
        <x:v>41160005</x:v>
      </x:c>
      <x:c r="G521" s="476" t="str">
        <x:v>41160005-2024</x:v>
      </x:c>
      <x:c r="H521" s="476" t="str">
        <x:v>Informado/corrigido a partir do mapa</x:v>
      </x:c>
      <x:c r="I521" s="499" t="n">
        <x:v>0</x:v>
      </x:c>
      <x:c r="J521" s="499" t="n">
        <x:v>384205</x:v>
      </x:c>
      <x:c r="K521" s="476" t="str">
        <x:v>Emenda Individual</x:v>
      </x:c>
      <x:c r="L521" s="476"/>
      <x:c r="M521" s="499" t="n">
        <x:v>0</x:v>
      </x:c>
      <x:c r="N521" s="499" t="n">
        <x:v>384205</x:v>
      </x:c>
      <x:c r="O521" s="499" t="n">
        <x:v>0</x:v>
      </x:c>
      <x:c r="P521" s="499" t="n">
        <x:v>0</x:v>
      </x:c>
      <x:c r="Q521" s="499" t="n">
        <x:v>0</x:v>
      </x:c>
      <x:c r="R521" s="476" t="str"/>
      <x:c r="S521" s="476" t="str"/>
      <x:c r="T521" s="476" t="str">
        <x:v>DESTINO/INSTRUMENTO CONFIRMADO; VALOR NÃO COMPARÁVEL</x:v>
      </x:c>
      <x:c r="U521" s="476" t="str">
        <x:v>Média</x:v>
      </x:c>
      <x:c r="V521" s="476" t="str"/>
      <x:c r="W521" s="476" t="str">
        <x:v>Há instrumento do Transferegov para a emenda/município; valores do instrumento não foram usados como prova do valor da emenda</x:v>
      </x:c>
      <x:c r="X521" s="476" t="str">
        <x:v>https://discricionarias.transferegov.sistema.gov.br/voluntarias/ConsultarProposta/ResultadoDaConsultaDeConvenioSelecionarConvenio.do?sequencialConvenio=973124&amp;Usr=guest&amp;Pwd=guest</x:v>
      </x:c>
    </x:row>
    <x:row r="522">
      <x:c r="A522" t="n">
        <x:v>765</x:v>
      </x:c>
      <x:c r="B522" t="n">
        <x:v>2024</x:v>
      </x:c>
      <x:c r="C522" s="476" t="str">
        <x:v>Sobradinho</x:v>
      </x:c>
      <x:c r="D522" s="476" t="str">
        <x:v>Prefeitura Municipal de Sobradinho</x:v>
      </x:c>
      <x:c r="E522" s="476" t="str">
        <x:v>Prefeitura Municipal</x:v>
      </x:c>
      <x:c r="F522" s="476" t="str">
        <x:v>41160005</x:v>
      </x:c>
      <x:c r="G522" s="476" t="str">
        <x:v>41160005-2024</x:v>
      </x:c>
      <x:c r="H522" s="476" t="str">
        <x:v>Informado/corrigido a partir do mapa</x:v>
      </x:c>
      <x:c r="I522" s="499" t="n">
        <x:v>0</x:v>
      </x:c>
      <x:c r="J522" s="499" t="n">
        <x:v>384205</x:v>
      </x:c>
      <x:c r="K522" s="476" t="str">
        <x:v>Emenda Individual</x:v>
      </x:c>
      <x:c r="L522" s="476"/>
      <x:c r="M522" s="499" t="n">
        <x:v>0</x:v>
      </x:c>
      <x:c r="N522" s="499" t="n">
        <x:v>384205</x:v>
      </x:c>
      <x:c r="O522" s="499" t="n">
        <x:v>0</x:v>
      </x:c>
      <x:c r="P522" s="499" t="n">
        <x:v>0</x:v>
      </x:c>
      <x:c r="Q522" s="499" t="n">
        <x:v>0</x:v>
      </x:c>
      <x:c r="R522" s="476" t="str"/>
      <x:c r="S522" s="476" t="str"/>
      <x:c r="T522" s="476" t="str">
        <x:v>DESTINO/INSTRUMENTO CONFIRMADO; VALOR NÃO COMPARÁVEL</x:v>
      </x:c>
      <x:c r="U522" s="476" t="str">
        <x:v>Média</x:v>
      </x:c>
      <x:c r="V522" s="476" t="str"/>
      <x:c r="W522" s="476" t="str">
        <x:v>Há instrumento do Transferegov para a emenda/município; valores do instrumento não foram usados como prova do valor da emenda</x:v>
      </x:c>
      <x:c r="X522" s="476" t="str">
        <x:v>https://discricionarias.transferegov.sistema.gov.br/voluntarias/ConsultarProposta/ResultadoDaConsultaDeConvenioSelecionarConvenio.do?sequencialConvenio=973541&amp;Usr=guest&amp;Pwd=guest</x:v>
      </x:c>
    </x:row>
  </x:sheetData>
  <x:conditionalFormatting sqref="U2:U522">
    <x:cfRule type="expression" dxfId="6" priority="1">
      <x:formula>U2="CRÍTICA"</x:formula>
    </x:cfRule>
    <x:cfRule type="expression" dxfId="7" priority="2">
      <x:formula>U2="Alta"</x:formula>
    </x:cfRule>
  </x:conditionalFormatting>
  <x:pageMargins left="0.7" right="0.7" top="0.75" bottom="0.75" header="0.3" footer="0.3"/>
  <x:tableParts count="1">
    <x:tablePart xmlns:r="http://schemas.openxmlformats.org/officeDocument/2006/relationships" r:id="Rf23705d8a223403e"/>
  </x:tableParts>
</x:worksheet>
</file>

<file path=xl/worksheets/sheet7.xml><?xml version="1.0" encoding="utf-8"?>
<x:worksheet xmlns:x="http://schemas.openxmlformats.org/spreadsheetml/2006/main">
  <x:sheetFormatPr defaultRowHeight="15"/>
  <x:cols>
    <x:col min="1" max="1" width="18" hidden="0" customWidth="1"/>
    <x:col min="2" max="2" width="8" hidden="0" customWidth="1"/>
    <x:col min="3" max="3" width="30" hidden="0" customWidth="1"/>
    <x:col min="4" max="4" width="18" hidden="0" customWidth="1"/>
    <x:col min="5" max="5" width="17" hidden="0" customWidth="1"/>
    <x:col min="6" max="6" width="18" hidden="0" customWidth="1"/>
    <x:col min="7" max="7" width="18" hidden="0" customWidth="1"/>
    <x:col min="8" max="8" width="20" hidden="0" customWidth="1"/>
    <x:col min="9" max="9" width="16" hidden="0" customWidth="1"/>
    <x:col min="10" max="10" width="16" hidden="0" customWidth="1"/>
    <x:col min="11" max="11" width="16" hidden="0" customWidth="1"/>
    <x:col min="12" max="12" width="18" hidden="0" customWidth="1"/>
    <x:col min="13" max="13" width="16" hidden="0" customWidth="1"/>
    <x:col min="14" max="14" width="18" hidden="0" customWidth="1"/>
    <x:col min="15" max="15" width="16" hidden="0" customWidth="1"/>
    <x:col min="16" max="16" width="15" hidden="0" customWidth="1"/>
    <x:col min="17" max="17" width="15" hidden="0" customWidth="1"/>
    <x:col min="18" max="18" width="19" hidden="0" customWidth="1"/>
    <x:col min="19" max="19" width="18" hidden="0" customWidth="1"/>
    <x:col min="20" max="20" width="48" hidden="0" customWidth="1"/>
  </x:cols>
  <x:sheetData>
    <x:row r="1">
      <x:c r="A1" s="482" t="str">
        <x:v>Emenda/Ano</x:v>
      </x:c>
      <x:c r="B1" s="482" t="str">
        <x:v>Ano</x:v>
      </x:c>
      <x:c r="C1" s="482" t="str">
        <x:v>Autor/escopo</x:v>
      </x:c>
      <x:c r="D1" s="482" t="str">
        <x:v>Linhas mapa (nº conciliado)</x:v>
      </x:c>
      <x:c r="E1" s="482" t="str">
        <x:v>Inferências fortes SIGA/PIX</x:v>
      </x:c>
      <x:c r="F1" s="482" t="str">
        <x:v>Candidatos Transferegov</x:v>
      </x:c>
      <x:c r="G1" s="482" t="str">
        <x:v>Total mapa base*</x:v>
      </x:c>
      <x:c r="H1" s="482" t="str">
        <x:v>Total incl. candidatos Transferegov</x:v>
      </x:c>
      <x:c r="I1" s="482" t="str">
        <x:v>SIGA autorizado</x:v>
      </x:c>
      <x:c r="J1" s="482" t="str">
        <x:v>SIGA empenhado</x:v>
      </x:c>
      <x:c r="K1" s="482" t="str">
        <x:v>SIGA pago incl. RP</x:v>
      </x:c>
      <x:c r="L1" s="482" t="str">
        <x:v>SIGA pago por favorecidos</x:v>
      </x:c>
      <x:c r="M1" s="482" t="str">
        <x:v>CSV empenhado</x:v>
      </x:c>
      <x:c r="N1" s="482" t="str">
        <x:v>CSV pago + RP pagos</x:v>
      </x:c>
      <x:c r="O1" s="482" t="str">
        <x:v>Qtd. instrumentos Transferegov</x:v>
      </x:c>
      <x:c r="P1" s="482" t="str">
        <x:v>PIX CIENTE</x:v>
      </x:c>
      <x:c r="Q1" s="482" t="str">
        <x:v>PIX IMPEDIDO</x:v>
      </x:c>
      <x:c r="R1" s="482" t="str">
        <x:v>Dif. mapa base x autorizado</x:v>
      </x:c>
      <x:c r="S1" s="482" t="str">
        <x:v>Dif. mapa base x pago</x:v>
      </x:c>
      <x:c r="T1" s="482" t="str">
        <x:v>Avaliação</x:v>
      </x:c>
    </x:row>
    <x:row r="2">
      <x:c r="A2" t="str">
        <x:v>71220005-2019</x:v>
      </x:c>
      <x:c r="B2" t="n">
        <x:v>2019</x:v>
      </x:c>
      <x:c r="C2" s="476" t="str"/>
      <x:c r="D2" s="476" t="n">
        <x:v>10</x:v>
      </x:c>
      <x:c r="E2" s="476" t="n">
        <x:v>0</x:v>
      </x:c>
      <x:c r="F2" s="476" t="n">
        <x:v>0</x:v>
      </x:c>
      <x:c r="G2" s="499" t="n">
        <x:v>606705.88</x:v>
      </x:c>
      <x:c r="H2" s="499" t="n">
        <x:v>606705.88</x:v>
      </x:c>
      <x:c r="I2" s="499"/>
      <x:c r="J2" s="499"/>
      <x:c r="K2" s="499"/>
      <x:c r="L2" s="499"/>
      <x:c r="M2" s="499"/>
      <x:c r="N2" s="499"/>
      <x:c r="O2" s="476" t="n">
        <x:v>0</x:v>
      </x:c>
      <x:c r="P2" s="499"/>
      <x:c r="Q2" s="499"/>
      <x:c r="R2" s="499" t="str">
        <x:f>IF(I2="","",G2-I2)</x:f>
      </x:c>
      <x:c r="S2" s="499" t="str">
        <x:f>IF(K2="","",G2-K2)</x:f>
      </x:c>
      <x:c r="T2" s="476" t="str">
        <x:v>Nº não localizado nas bases públicas anexas</x:v>
      </x:c>
    </x:row>
    <x:row r="3">
      <x:c r="A3" t="str">
        <x:v>71220009-2019</x:v>
      </x:c>
      <x:c r="B3" t="n">
        <x:v>2019</x:v>
      </x:c>
      <x:c r="C3" s="476" t="str"/>
      <x:c r="D3" s="476" t="n">
        <x:v>8</x:v>
      </x:c>
      <x:c r="E3" s="476" t="n">
        <x:v>0</x:v>
      </x:c>
      <x:c r="F3" s="476" t="n">
        <x:v>0</x:v>
      </x:c>
      <x:c r="G3" s="499" t="n">
        <x:v>2000000</x:v>
      </x:c>
      <x:c r="H3" s="499" t="n">
        <x:v>2000000</x:v>
      </x:c>
      <x:c r="I3" s="499"/>
      <x:c r="J3" s="499"/>
      <x:c r="K3" s="499"/>
      <x:c r="L3" s="499"/>
      <x:c r="M3" s="499"/>
      <x:c r="N3" s="499"/>
      <x:c r="O3" s="476" t="n">
        <x:v>0</x:v>
      </x:c>
      <x:c r="P3" s="499"/>
      <x:c r="Q3" s="499"/>
      <x:c r="R3" s="499" t="str">
        <x:f>IF(I3="","",G3-I3)</x:f>
      </x:c>
      <x:c r="S3" s="499" t="str">
        <x:f>IF(K3="","",G3-K3)</x:f>
      </x:c>
      <x:c r="T3" s="476" t="str">
        <x:v>Nº não localizado nas bases públicas anexas</x:v>
      </x:c>
    </x:row>
    <x:row r="4">
      <x:c r="A4" t="str">
        <x:v>41160001-2020</x:v>
      </x:c>
      <x:c r="B4" t="n">
        <x:v>2020</x:v>
      </x:c>
      <x:c r="C4" s="476" t="str">
        <x:v>MARCEL VAN HATTEM</x:v>
      </x:c>
      <x:c r="D4" s="476" t="n">
        <x:v>17</x:v>
      </x:c>
      <x:c r="E4" s="476" t="n">
        <x:v>0</x:v>
      </x:c>
      <x:c r="F4" s="476" t="n">
        <x:v>0</x:v>
      </x:c>
      <x:c r="G4" s="499" t="n">
        <x:v>1570227</x:v>
      </x:c>
      <x:c r="H4" s="499" t="n">
        <x:v>1570227</x:v>
      </x:c>
      <x:c r="I4" s="499" t="n">
        <x:v>1901809</x:v>
      </x:c>
      <x:c r="J4" s="499" t="n">
        <x:v>1720227</x:v>
      </x:c>
      <x:c r="K4" s="499" t="n">
        <x:v>1720227</x:v>
      </x:c>
      <x:c r="L4" s="499" t="n">
        <x:v>1720227</x:v>
      </x:c>
      <x:c r="M4" s="499" t="n">
        <x:v>1720227</x:v>
      </x:c>
      <x:c r="N4" s="499" t="n">
        <x:v>1720227</x:v>
      </x:c>
      <x:c r="O4" s="476" t="n">
        <x:v>0</x:v>
      </x:c>
      <x:c r="P4" s="499"/>
      <x:c r="Q4" s="499"/>
      <x:c r="R4" s="499" t="n">
        <x:f>IF(I4="","",G4-I4)</x:f>
        <x:v>-331582</x:v>
      </x:c>
      <x:c r="S4" s="499" t="n">
        <x:f>IF(K4="","",G4-K4)</x:f>
        <x:v>-150000</x:v>
      </x:c>
      <x:c r="T4" s="476" t="str">
        <x:v>Mapa base cobre &lt;90% do autorizado — possível incompletude/recorte</x:v>
      </x:c>
    </x:row>
    <x:row r="5">
      <x:c r="A5" t="str">
        <x:v>41160002-2020</x:v>
      </x:c>
      <x:c r="B5" t="n">
        <x:v>2020</x:v>
      </x:c>
      <x:c r="C5" s="476" t="str">
        <x:v>MARCEL VAN HATTEM</x:v>
      </x:c>
      <x:c r="D5" s="476" t="n">
        <x:v>2</x:v>
      </x:c>
      <x:c r="E5" s="476" t="n">
        <x:v>0</x:v>
      </x:c>
      <x:c r="F5" s="476" t="n">
        <x:v>0</x:v>
      </x:c>
      <x:c r="G5" s="499" t="n">
        <x:v>519035.33999999997</x:v>
      </x:c>
      <x:c r="H5" s="499" t="n">
        <x:v>519035.33999999997</x:v>
      </x:c>
      <x:c r="I5" s="499" t="n">
        <x:v>500000</x:v>
      </x:c>
      <x:c r="J5" s="499" t="n">
        <x:v>500000</x:v>
      </x:c>
      <x:c r="K5" s="499" t="n">
        <x:v>376128.51</x:v>
      </x:c>
      <x:c r="L5" s="499" t="n">
        <x:v>376128.51</x:v>
      </x:c>
      <x:c r="M5" s="499" t="n">
        <x:v>500000</x:v>
      </x:c>
      <x:c r="N5" s="499" t="n">
        <x:v>376128.51</x:v>
      </x:c>
      <x:c r="O5" s="476" t="n">
        <x:v>1</x:v>
      </x:c>
      <x:c r="P5" s="499"/>
      <x:c r="Q5" s="499"/>
      <x:c r="R5" s="499" t="n">
        <x:f>IF(I5="","",G5-I5)</x:f>
        <x:v>19035.339999999967</x:v>
      </x:c>
      <x:c r="S5" s="499" t="n">
        <x:f>IF(K5="","",G5-K5)</x:f>
        <x:v>142906.82999999996</x:v>
      </x:c>
      <x:c r="T5" s="476" t="str">
        <x:v>Diferença moderada de cobertura/execução</x:v>
      </x:c>
    </x:row>
    <x:row r="6">
      <x:c r="A6" t="str">
        <x:v>41160003-2020</x:v>
      </x:c>
      <x:c r="B6" t="n">
        <x:v>2020</x:v>
      </x:c>
      <x:c r="C6" s="476" t="str">
        <x:v>MARCEL VAN HATTEM</x:v>
      </x:c>
      <x:c r="D6" s="476" t="n">
        <x:v>1</x:v>
      </x:c>
      <x:c r="E6" s="476" t="n">
        <x:v>0</x:v>
      </x:c>
      <x:c r="F6" s="476" t="n">
        <x:v>0</x:v>
      </x:c>
      <x:c r="G6" s="499" t="n">
        <x:v>3780227</x:v>
      </x:c>
      <x:c r="H6" s="499" t="n">
        <x:v>3780227</x:v>
      </x:c>
      <x:c r="I6" s="499" t="n">
        <x:v>3780227</x:v>
      </x:c>
      <x:c r="J6" s="499" t="n">
        <x:v>3780227</x:v>
      </x:c>
      <x:c r="K6" s="499" t="n">
        <x:v>3780227</x:v>
      </x:c>
      <x:c r="L6" s="499" t="n">
        <x:v>3780227</x:v>
      </x:c>
      <x:c r="M6" s="499" t="n">
        <x:v>3780227</x:v>
      </x:c>
      <x:c r="N6" s="499" t="n">
        <x:v>3780227</x:v>
      </x:c>
      <x:c r="O6" s="476" t="n">
        <x:v>0</x:v>
      </x:c>
      <x:c r="P6" s="499"/>
      <x:c r="Q6" s="499"/>
      <x:c r="R6" s="499" t="n">
        <x:f>IF(I6="","",G6-I6)</x:f>
        <x:v>0</x:v>
      </x:c>
      <x:c r="S6" s="499" t="n">
        <x:f>IF(K6="","",G6-K6)</x:f>
        <x:v>0</x:v>
      </x:c>
      <x:c r="T6" s="476" t="str">
        <x:v>Mapa base fecha com autorizado</x:v>
      </x:c>
    </x:row>
    <x:row r="7">
      <x:c r="A7" t="str">
        <x:v>41160004-2020</x:v>
      </x:c>
      <x:c r="B7" t="n">
        <x:v>2020</x:v>
      </x:c>
      <x:c r="C7" s="476" t="str">
        <x:v>MARCEL VAN HATTEM</x:v>
      </x:c>
      <x:c r="D7" s="476" t="n">
        <x:v>2</x:v>
      </x:c>
      <x:c r="E7" s="476" t="n">
        <x:v>0</x:v>
      </x:c>
      <x:c r="F7" s="476" t="n">
        <x:v>0</x:v>
      </x:c>
      <x:c r="G7" s="499" t="n">
        <x:v>600000</x:v>
      </x:c>
      <x:c r="H7" s="499" t="n">
        <x:v>600000</x:v>
      </x:c>
      <x:c r="I7" s="499" t="n">
        <x:v>600000</x:v>
      </x:c>
      <x:c r="J7" s="499" t="n">
        <x:v>600000</x:v>
      </x:c>
      <x:c r="K7" s="499" t="n">
        <x:v>600000</x:v>
      </x:c>
      <x:c r="L7" s="499" t="n">
        <x:v>600000</x:v>
      </x:c>
      <x:c r="M7" s="499" t="n">
        <x:v>600000</x:v>
      </x:c>
      <x:c r="N7" s="499" t="n">
        <x:v>600000</x:v>
      </x:c>
      <x:c r="O7" s="476" t="n">
        <x:v>2</x:v>
      </x:c>
      <x:c r="P7" s="499"/>
      <x:c r="Q7" s="499"/>
      <x:c r="R7" s="499" t="n">
        <x:f>IF(I7="","",G7-I7)</x:f>
        <x:v>0</x:v>
      </x:c>
      <x:c r="S7" s="499" t="n">
        <x:f>IF(K7="","",G7-K7)</x:f>
        <x:v>0</x:v>
      </x:c>
      <x:c r="T7" s="476" t="str">
        <x:v>Mapa base fecha com autorizado</x:v>
      </x:c>
    </x:row>
    <x:row r="8">
      <x:c r="A8" t="str">
        <x:v>41160005-2020</x:v>
      </x:c>
      <x:c r="B8" t="n">
        <x:v>2020</x:v>
      </x:c>
      <x:c r="C8" s="476" t="str">
        <x:v>MARCEL VAN HATTEM</x:v>
      </x:c>
      <x:c r="D8" s="476" t="n">
        <x:v>28</x:v>
      </x:c>
      <x:c r="E8" s="476" t="n">
        <x:v>0</x:v>
      </x:c>
      <x:c r="F8" s="476" t="n">
        <x:v>0</x:v>
      </x:c>
      <x:c r="G8" s="499" t="n">
        <x:v>4550000</x:v>
      </x:c>
      <x:c r="H8" s="499" t="n">
        <x:v>4550000</x:v>
      </x:c>
      <x:c r="I8" s="499" t="n">
        <x:v>5000000</x:v>
      </x:c>
      <x:c r="J8" s="499" t="n">
        <x:v>4800000</x:v>
      </x:c>
      <x:c r="K8" s="499" t="n">
        <x:v>4800000</x:v>
      </x:c>
      <x:c r="L8" s="499" t="n">
        <x:v>4800000</x:v>
      </x:c>
      <x:c r="M8" s="499" t="n">
        <x:v>4800000</x:v>
      </x:c>
      <x:c r="N8" s="499" t="n">
        <x:v>4800000</x:v>
      </x:c>
      <x:c r="O8" s="476" t="n">
        <x:v>0</x:v>
      </x:c>
      <x:c r="P8" s="499"/>
      <x:c r="Q8" s="499"/>
      <x:c r="R8" s="499" t="n">
        <x:f>IF(I8="","",G8-I8)</x:f>
        <x:v>-450000</x:v>
      </x:c>
      <x:c r="S8" s="499" t="n">
        <x:f>IF(K8="","",G8-K8)</x:f>
        <x:v>-250000</x:v>
      </x:c>
      <x:c r="T8" s="476" t="str">
        <x:v>Diferença moderada de cobertura/execução</x:v>
      </x:c>
    </x:row>
    <x:row r="9">
      <x:c r="A9" t="str">
        <x:v>41160006-2020</x:v>
      </x:c>
      <x:c r="B9" t="n">
        <x:v>2020</x:v>
      </x:c>
      <x:c r="C9" s="476" t="str">
        <x:v>MARCEL VAN HATTEM</x:v>
      </x:c>
      <x:c r="D9" s="476" t="n">
        <x:v>1</x:v>
      </x:c>
      <x:c r="E9" s="476" t="n">
        <x:v>0</x:v>
      </x:c>
      <x:c r="F9" s="476" t="n">
        <x:v>0</x:v>
      </x:c>
      <x:c r="G9" s="499" t="n">
        <x:v>261914</x:v>
      </x:c>
      <x:c r="H9" s="499" t="n">
        <x:v>261914</x:v>
      </x:c>
      <x:c r="I9" s="499" t="n">
        <x:v>300000</x:v>
      </x:c>
      <x:c r="J9" s="499" t="n">
        <x:v>261914</x:v>
      </x:c>
      <x:c r="K9" s="499" t="n">
        <x:v>261914</x:v>
      </x:c>
      <x:c r="L9" s="499" t="n">
        <x:v>261914</x:v>
      </x:c>
      <x:c r="M9" s="499" t="n">
        <x:v>261914</x:v>
      </x:c>
      <x:c r="N9" s="499" t="n">
        <x:v>261914</x:v>
      </x:c>
      <x:c r="O9" s="476" t="n">
        <x:v>1</x:v>
      </x:c>
      <x:c r="P9" s="499"/>
      <x:c r="Q9" s="499"/>
      <x:c r="R9" s="499" t="n">
        <x:f>IF(I9="","",G9-I9)</x:f>
        <x:v>-38086</x:v>
      </x:c>
      <x:c r="S9" s="499" t="n">
        <x:f>IF(K9="","",G9-K9)</x:f>
        <x:v>0</x:v>
      </x:c>
      <x:c r="T9" s="476" t="str">
        <x:v>Mapa base fecha com empenhado</x:v>
      </x:c>
    </x:row>
    <x:row r="10">
      <x:c r="A10" t="str">
        <x:v>41160007-2020</x:v>
      </x:c>
      <x:c r="B10" t="n">
        <x:v>2020</x:v>
      </x:c>
      <x:c r="C10" s="476" t="str">
        <x:v>MARCEL VAN HATTEM</x:v>
      </x:c>
      <x:c r="D10" s="476" t="n">
        <x:v>2</x:v>
      </x:c>
      <x:c r="E10" s="476" t="n">
        <x:v>0</x:v>
      </x:c>
      <x:c r="F10" s="476" t="n">
        <x:v>0</x:v>
      </x:c>
      <x:c r="G10" s="499" t="n">
        <x:v>580000</x:v>
      </x:c>
      <x:c r="H10" s="499" t="n">
        <x:v>580000</x:v>
      </x:c>
      <x:c r="I10" s="499" t="n">
        <x:v>290000</x:v>
      </x:c>
      <x:c r="J10" s="499" t="n">
        <x:v>290000</x:v>
      </x:c>
      <x:c r="K10" s="499" t="n">
        <x:v>290000</x:v>
      </x:c>
      <x:c r="L10" s="499" t="n">
        <x:v>290000</x:v>
      </x:c>
      <x:c r="M10" s="499" t="n">
        <x:v>290000</x:v>
      </x:c>
      <x:c r="N10" s="499" t="n">
        <x:v>290000</x:v>
      </x:c>
      <x:c r="O10" s="476" t="n">
        <x:v>0</x:v>
      </x:c>
      <x:c r="P10" s="499"/>
      <x:c r="Q10" s="499"/>
      <x:c r="R10" s="499" t="n">
        <x:f>IF(I10="","",G10-I10)</x:f>
        <x:v>290000</x:v>
      </x:c>
      <x:c r="S10" s="499" t="n">
        <x:f>IF(K10="","",G10-K10)</x:f>
        <x:v>290000</x:v>
      </x:c>
      <x:c r="T10" s="476" t="str">
        <x:v>Mapa base excede autorizado atual &gt;10% — revisar</x:v>
      </x:c>
    </x:row>
    <x:row r="11">
      <x:c r="A11" t="str">
        <x:v>41160008-2020</x:v>
      </x:c>
      <x:c r="B11" t="n">
        <x:v>2020</x:v>
      </x:c>
      <x:c r="C11" s="476" t="str">
        <x:v>MARCEL VAN HATTEM</x:v>
      </x:c>
      <x:c r="D11" s="476" t="n">
        <x:v>5</x:v>
      </x:c>
      <x:c r="E11" s="476" t="n">
        <x:v>0</x:v>
      </x:c>
      <x:c r="F11" s="476" t="n">
        <x:v>0</x:v>
      </x:c>
      <x:c r="G11" s="499" t="n">
        <x:v>497251.73</x:v>
      </x:c>
      <x:c r="H11" s="499" t="n">
        <x:v>497251.73</x:v>
      </x:c>
      <x:c r="I11" s="499" t="n">
        <x:v>500000</x:v>
      </x:c>
      <x:c r="J11" s="499" t="n">
        <x:v>497252.24</x:v>
      </x:c>
      <x:c r="K11" s="499" t="n">
        <x:v>439028</x:v>
      </x:c>
      <x:c r="L11" s="499" t="n">
        <x:v>439028</x:v>
      </x:c>
      <x:c r="M11" s="499" t="n">
        <x:v>497252.24</x:v>
      </x:c>
      <x:c r="N11" s="499" t="n">
        <x:v>439028</x:v>
      </x:c>
      <x:c r="O11" s="476" t="n">
        <x:v>1</x:v>
      </x:c>
      <x:c r="P11" s="499"/>
      <x:c r="Q11" s="499"/>
      <x:c r="R11" s="499" t="n">
        <x:f>IF(I11="","",G11-I11)</x:f>
        <x:v>-2748.2700000000186</x:v>
      </x:c>
      <x:c r="S11" s="499" t="n">
        <x:f>IF(K11="","",G11-K11)</x:f>
        <x:v>58223.72999999998</x:v>
      </x:c>
      <x:c r="T11" s="476" t="str">
        <x:v>Mapa base fecha com empenhado</x:v>
      </x:c>
    </x:row>
    <x:row r="12">
      <x:c r="A12" t="str">
        <x:v>41160009-2020</x:v>
      </x:c>
      <x:c r="B12" t="n">
        <x:v>2020</x:v>
      </x:c>
      <x:c r="C12" s="476" t="str">
        <x:v>MARCEL VAN HATTEM</x:v>
      </x:c>
      <x:c r="D12" s="476" t="n">
        <x:v>11</x:v>
      </x:c>
      <x:c r="E12" s="476" t="n">
        <x:v>0</x:v>
      </x:c>
      <x:c r="F12" s="476" t="n">
        <x:v>0</x:v>
      </x:c>
      <x:c r="G12" s="499" t="n">
        <x:v>1318418</x:v>
      </x:c>
      <x:c r="H12" s="499" t="n">
        <x:v>1318418</x:v>
      </x:c>
      <x:c r="I12" s="499" t="n">
        <x:v>1068418</x:v>
      </x:c>
      <x:c r="J12" s="499" t="n">
        <x:v>1068418</x:v>
      </x:c>
      <x:c r="K12" s="499" t="n">
        <x:v>1068418</x:v>
      </x:c>
      <x:c r="L12" s="499" t="n">
        <x:v>1068418</x:v>
      </x:c>
      <x:c r="M12" s="499" t="n">
        <x:v>1068418</x:v>
      </x:c>
      <x:c r="N12" s="499" t="n">
        <x:v>1068418</x:v>
      </x:c>
      <x:c r="O12" s="476" t="n">
        <x:v>0</x:v>
      </x:c>
      <x:c r="P12" s="499"/>
      <x:c r="Q12" s="499"/>
      <x:c r="R12" s="499" t="n">
        <x:f>IF(I12="","",G12-I12)</x:f>
        <x:v>250000</x:v>
      </x:c>
      <x:c r="S12" s="499" t="n">
        <x:f>IF(K12="","",G12-K12)</x:f>
        <x:v>250000</x:v>
      </x:c>
      <x:c r="T12" s="476" t="str">
        <x:v>Mapa base excede autorizado atual &gt;10% — revisar</x:v>
      </x:c>
    </x:row>
    <x:row r="13">
      <x:c r="A13" t="str">
        <x:v>41160010-2020</x:v>
      </x:c>
      <x:c r="B13" t="n">
        <x:v>2020</x:v>
      </x:c>
      <x:c r="C13" s="476" t="str">
        <x:v>MARCEL VAN HATTEM</x:v>
      </x:c>
      <x:c r="D13" s="476" t="n">
        <x:v>9</x:v>
      </x:c>
      <x:c r="E13" s="476" t="n">
        <x:v>0</x:v>
      </x:c>
      <x:c r="F13" s="476" t="n">
        <x:v>0</x:v>
      </x:c>
      <x:c r="G13" s="499" t="n">
        <x:v>1053401.51</x:v>
      </x:c>
      <x:c r="H13" s="499" t="n">
        <x:v>1053401.51</x:v>
      </x:c>
      <x:c r="I13" s="499" t="n">
        <x:v>1000000</x:v>
      </x:c>
      <x:c r="J13" s="499" t="n">
        <x:v>999999.49</x:v>
      </x:c>
      <x:c r="K13" s="499" t="n">
        <x:v>622294.89</x:v>
      </x:c>
      <x:c r="L13" s="499" t="n">
        <x:v>622294.89</x:v>
      </x:c>
      <x:c r="M13" s="499" t="n">
        <x:v>999999.49</x:v>
      </x:c>
      <x:c r="N13" s="499" t="n">
        <x:v>622294.89</x:v>
      </x:c>
      <x:c r="O13" s="476" t="n">
        <x:v>2</x:v>
      </x:c>
      <x:c r="P13" s="499"/>
      <x:c r="Q13" s="499"/>
      <x:c r="R13" s="499" t="n">
        <x:f>IF(I13="","",G13-I13)</x:f>
        <x:v>53401.51000000001</x:v>
      </x:c>
      <x:c r="S13" s="499" t="n">
        <x:f>IF(K13="","",G13-K13)</x:f>
        <x:v>431106.62</x:v>
      </x:c>
      <x:c r="T13" s="476" t="str">
        <x:v>Diferença moderada de cobertura/execução</x:v>
      </x:c>
    </x:row>
    <x:row r="14">
      <x:c r="A14" t="str">
        <x:v>41160011-2020</x:v>
      </x:c>
      <x:c r="B14" t="n">
        <x:v>2020</x:v>
      </x:c>
      <x:c r="C14" s="476" t="str">
        <x:v>MARCEL VAN HATTEM</x:v>
      </x:c>
      <x:c r="D14" s="476" t="n">
        <x:v>3</x:v>
      </x:c>
      <x:c r="E14" s="476" t="n">
        <x:v>0</x:v>
      </x:c>
      <x:c r="F14" s="476" t="n">
        <x:v>0</x:v>
      </x:c>
      <x:c r="G14" s="499" t="n">
        <x:v>530717.3200000001</x:v>
      </x:c>
      <x:c r="H14" s="499" t="n">
        <x:v>530717.3200000001</x:v>
      </x:c>
      <x:c r="I14" s="499" t="n">
        <x:v>500000</x:v>
      </x:c>
      <x:c r="J14" s="499" t="n">
        <x:v>500000</x:v>
      </x:c>
      <x:c r="K14" s="499" t="n">
        <x:v>492770.84</x:v>
      </x:c>
      <x:c r="L14" s="499" t="n">
        <x:v>492770.84</x:v>
      </x:c>
      <x:c r="M14" s="499" t="n">
        <x:v>500000</x:v>
      </x:c>
      <x:c r="N14" s="499" t="n">
        <x:v>492770.84</x:v>
      </x:c>
      <x:c r="O14" s="476" t="n">
        <x:v>1</x:v>
      </x:c>
      <x:c r="P14" s="499"/>
      <x:c r="Q14" s="499"/>
      <x:c r="R14" s="499" t="n">
        <x:f>IF(I14="","",G14-I14)</x:f>
        <x:v>30717.320000000065</x:v>
      </x:c>
      <x:c r="S14" s="499" t="n">
        <x:f>IF(K14="","",G14-K14)</x:f>
        <x:v>37946.48000000004</x:v>
      </x:c>
      <x:c r="T14" s="476" t="str">
        <x:v>Diferença moderada de cobertura/execução</x:v>
      </x:c>
    </x:row>
    <x:row r="15">
      <x:c r="A15" t="str">
        <x:v>41160012-2020</x:v>
      </x:c>
      <x:c r="B15" t="n">
        <x:v>2020</x:v>
      </x:c>
      <x:c r="C15" s="476" t="str">
        <x:v>MARCEL VAN HATTEM</x:v>
      </x:c>
      <x:c r="D15" s="476" t="n">
        <x:v>4</x:v>
      </x:c>
      <x:c r="E15" s="476" t="n">
        <x:v>0</x:v>
      </x:c>
      <x:c r="F15" s="476" t="n">
        <x:v>0</x:v>
      </x:c>
      <x:c r="G15" s="499" t="n">
        <x:v>458800</x:v>
      </x:c>
      <x:c r="H15" s="499" t="n">
        <x:v>458800</x:v>
      </x:c>
      <x:c r="I15" s="499" t="n">
        <x:v>500000</x:v>
      </x:c>
      <x:c r="J15" s="499" t="n">
        <x:v>500000</x:v>
      </x:c>
      <x:c r="K15" s="499" t="n">
        <x:v>495741.14</x:v>
      </x:c>
      <x:c r="L15" s="499" t="n">
        <x:v>495741.14</x:v>
      </x:c>
      <x:c r="M15" s="499" t="n">
        <x:v>500000</x:v>
      </x:c>
      <x:c r="N15" s="499" t="n">
        <x:v>495741.14</x:v>
      </x:c>
      <x:c r="O15" s="476" t="n">
        <x:v>1</x:v>
      </x:c>
      <x:c r="P15" s="499"/>
      <x:c r="Q15" s="499"/>
      <x:c r="R15" s="499" t="n">
        <x:f>IF(I15="","",G15-I15)</x:f>
        <x:v>-41200</x:v>
      </x:c>
      <x:c r="S15" s="499" t="n">
        <x:f>IF(K15="","",G15-K15)</x:f>
        <x:v>-36941.140000000014</x:v>
      </x:c>
      <x:c r="T15" s="476" t="str">
        <x:v>Diferença moderada de cobertura/execução</x:v>
      </x:c>
    </x:row>
    <x:row r="16">
      <x:c r="A16" t="str">
        <x:v>71220001-2020</x:v>
      </x:c>
      <x:c r="B16" t="n">
        <x:v>2020</x:v>
      </x:c>
      <x:c r="C16" s="476" t="str">
        <x:v>BANCADA DO RIO GRANDE DO SUL</x:v>
      </x:c>
      <x:c r="D16" s="476" t="n">
        <x:v>0</x:v>
      </x:c>
      <x:c r="E16" s="476" t="n">
        <x:v>0</x:v>
      </x:c>
      <x:c r="F16" s="476" t="n">
        <x:v>0</x:v>
      </x:c>
      <x:c r="G16" s="499" t="n">
        <x:v>0</x:v>
      </x:c>
      <x:c r="H16" s="499" t="n">
        <x:v>0</x:v>
      </x:c>
      <x:c r="I16" s="499"/>
      <x:c r="J16" s="499"/>
      <x:c r="K16" s="499"/>
      <x:c r="L16" s="499"/>
      <x:c r="M16" s="499"/>
      <x:c r="N16" s="499"/>
      <x:c r="O16" s="476" t="n">
        <x:v>1</x:v>
      </x:c>
      <x:c r="P16" s="499"/>
      <x:c r="Q16" s="499"/>
      <x:c r="R16" s="499" t="str">
        <x:f>IF(I16="","",G16-I16)</x:f>
      </x:c>
      <x:c r="S16" s="499" t="str">
        <x:f>IF(K16="","",G16-K16)</x:f>
      </x:c>
      <x:c r="T16" s="476" t="str">
        <x:v>Sem SIGA Marcel; há instrumento Transferegov (valor não somado como emenda)</x:v>
      </x:c>
    </x:row>
    <x:row r="17">
      <x:c r="A17" t="str">
        <x:v>71220004-2020</x:v>
      </x:c>
      <x:c r="B17" t="n">
        <x:v>2020</x:v>
      </x:c>
      <x:c r="C17" s="476" t="str">
        <x:v>BANCADA DO RIO GRANDE DO SUL</x:v>
      </x:c>
      <x:c r="D17" s="476" t="n">
        <x:v>1</x:v>
      </x:c>
      <x:c r="E17" s="476" t="n">
        <x:v>0</x:v>
      </x:c>
      <x:c r="F17" s="476" t="n">
        <x:v>0</x:v>
      </x:c>
      <x:c r="G17" s="499" t="n">
        <x:v>137569</x:v>
      </x:c>
      <x:c r="H17" s="499" t="n">
        <x:v>137569</x:v>
      </x:c>
      <x:c r="I17" s="499"/>
      <x:c r="J17" s="499"/>
      <x:c r="K17" s="499"/>
      <x:c r="L17" s="499"/>
      <x:c r="M17" s="499"/>
      <x:c r="N17" s="499"/>
      <x:c r="O17" s="476" t="n">
        <x:v>2</x:v>
      </x:c>
      <x:c r="P17" s="499"/>
      <x:c r="Q17" s="499"/>
      <x:c r="R17" s="499" t="str">
        <x:f>IF(I17="","",G17-I17)</x:f>
      </x:c>
      <x:c r="S17" s="499" t="str">
        <x:f>IF(K17="","",G17-K17)</x:f>
      </x:c>
      <x:c r="T17" s="476" t="str">
        <x:v>Sem SIGA Marcel; há instrumento Transferegov (valor não somado como emenda)</x:v>
      </x:c>
    </x:row>
    <x:row r="18">
      <x:c r="A18" t="str">
        <x:v>71220006-2020</x:v>
      </x:c>
      <x:c r="B18" t="n">
        <x:v>2020</x:v>
      </x:c>
      <x:c r="C18" s="476" t="str"/>
      <x:c r="D18" s="476" t="n">
        <x:v>30</x:v>
      </x:c>
      <x:c r="E18" s="476" t="n">
        <x:v>0</x:v>
      </x:c>
      <x:c r="F18" s="476" t="n">
        <x:v>0</x:v>
      </x:c>
      <x:c r="G18" s="499" t="n">
        <x:v>4088741</x:v>
      </x:c>
      <x:c r="H18" s="499" t="n">
        <x:v>4088741</x:v>
      </x:c>
      <x:c r="I18" s="499"/>
      <x:c r="J18" s="499"/>
      <x:c r="K18" s="499"/>
      <x:c r="L18" s="499"/>
      <x:c r="M18" s="499"/>
      <x:c r="N18" s="499"/>
      <x:c r="O18" s="476" t="n">
        <x:v>0</x:v>
      </x:c>
      <x:c r="P18" s="499"/>
      <x:c r="Q18" s="499"/>
      <x:c r="R18" s="499" t="str">
        <x:f>IF(I18="","",G18-I18)</x:f>
      </x:c>
      <x:c r="S18" s="499" t="str">
        <x:f>IF(K18="","",G18-K18)</x:f>
      </x:c>
      <x:c r="T18" s="476" t="str">
        <x:v>Nº não localizado nas bases públicas anexas</x:v>
      </x:c>
    </x:row>
    <x:row r="19">
      <x:c r="A19" t="str">
        <x:v>41160001-2021</x:v>
      </x:c>
      <x:c r="B19" t="n">
        <x:v>2021</x:v>
      </x:c>
      <x:c r="C19" s="476" t="str">
        <x:v>MARCEL VAN HATTEM</x:v>
      </x:c>
      <x:c r="D19" s="476" t="n">
        <x:v>8</x:v>
      </x:c>
      <x:c r="E19" s="476" t="n">
        <x:v>0</x:v>
      </x:c>
      <x:c r="F19" s="476" t="n">
        <x:v>0</x:v>
      </x:c>
      <x:c r="G19" s="499" t="n">
        <x:v>2799999</x:v>
      </x:c>
      <x:c r="H19" s="499" t="n">
        <x:v>2799999</x:v>
      </x:c>
      <x:c r="I19" s="499" t="n">
        <x:v>2800000</x:v>
      </x:c>
      <x:c r="J19" s="499" t="n">
        <x:v>2800000</x:v>
      </x:c>
      <x:c r="K19" s="499" t="n">
        <x:v>2687975.82</x:v>
      </x:c>
      <x:c r="L19" s="499" t="n">
        <x:v>2687975.82</x:v>
      </x:c>
      <x:c r="M19" s="499" t="n">
        <x:v>2800000</x:v>
      </x:c>
      <x:c r="N19" s="499" t="n">
        <x:v>2687975.82</x:v>
      </x:c>
      <x:c r="O19" s="476" t="n">
        <x:v>4</x:v>
      </x:c>
      <x:c r="P19" s="499"/>
      <x:c r="Q19" s="499"/>
      <x:c r="R19" s="499" t="n">
        <x:f>IF(I19="","",G19-I19)</x:f>
        <x:v>-1</x:v>
      </x:c>
      <x:c r="S19" s="499" t="n">
        <x:f>IF(K19="","",G19-K19)</x:f>
        <x:v>112023.18000000017</x:v>
      </x:c>
      <x:c r="T19" s="476" t="str">
        <x:v>Mapa base fecha com autorizado</x:v>
      </x:c>
    </x:row>
    <x:row r="20">
      <x:c r="A20" t="str">
        <x:v>41160002-2021</x:v>
      </x:c>
      <x:c r="B20" t="n">
        <x:v>2021</x:v>
      </x:c>
      <x:c r="C20" s="476" t="str">
        <x:v>MARCEL VAN HATTEM</x:v>
      </x:c>
      <x:c r="D20" s="476" t="n">
        <x:v>21</x:v>
      </x:c>
      <x:c r="E20" s="476" t="n">
        <x:v>0</x:v>
      </x:c>
      <x:c r="F20" s="476" t="n">
        <x:v>0</x:v>
      </x:c>
      <x:c r="G20" s="499" t="n">
        <x:v>4688085</x:v>
      </x:c>
      <x:c r="H20" s="499" t="n">
        <x:v>4688085</x:v>
      </x:c>
      <x:c r="I20" s="499" t="n">
        <x:v>4932870</x:v>
      </x:c>
      <x:c r="J20" s="499" t="n">
        <x:v>4858222</x:v>
      </x:c>
      <x:c r="K20" s="499" t="n">
        <x:v>3410380.42</x:v>
      </x:c>
      <x:c r="L20" s="499" t="n">
        <x:v>3410380.42</x:v>
      </x:c>
      <x:c r="M20" s="499" t="n">
        <x:v>4858222</x:v>
      </x:c>
      <x:c r="N20" s="499" t="n">
        <x:v>3410380.42</x:v>
      </x:c>
      <x:c r="O20" s="476" t="n">
        <x:v>17</x:v>
      </x:c>
      <x:c r="P20" s="499"/>
      <x:c r="Q20" s="499"/>
      <x:c r="R20" s="499" t="n">
        <x:f>IF(I20="","",G20-I20)</x:f>
        <x:v>-244785</x:v>
      </x:c>
      <x:c r="S20" s="499" t="n">
        <x:f>IF(K20="","",G20-K20)</x:f>
        <x:v>1277704.58</x:v>
      </x:c>
      <x:c r="T20" s="476" t="str">
        <x:v>Diferença moderada de cobertura/execução</x:v>
      </x:c>
    </x:row>
    <x:row r="21">
      <x:c r="A21" t="str">
        <x:v>41160003-2021</x:v>
      </x:c>
      <x:c r="B21" t="n">
        <x:v>2021</x:v>
      </x:c>
      <x:c r="C21" s="476" t="str">
        <x:v>MARCEL VAN HATTEM</x:v>
      </x:c>
      <x:c r="D21" s="476" t="n">
        <x:v>10</x:v>
      </x:c>
      <x:c r="E21" s="476" t="n">
        <x:v>0</x:v>
      </x:c>
      <x:c r="F21" s="476" t="n">
        <x:v>0</x:v>
      </x:c>
      <x:c r="G21" s="499" t="n">
        <x:v>2699489</x:v>
      </x:c>
      <x:c r="H21" s="499" t="n">
        <x:v>2699489</x:v>
      </x:c>
      <x:c r="I21" s="499" t="n">
        <x:v>3217130</x:v>
      </x:c>
      <x:c r="J21" s="499" t="n">
        <x:v>3216173</x:v>
      </x:c>
      <x:c r="K21" s="499" t="n">
        <x:v>3216173</x:v>
      </x:c>
      <x:c r="L21" s="499" t="n">
        <x:v>3216173</x:v>
      </x:c>
      <x:c r="M21" s="499" t="n">
        <x:v>3216173</x:v>
      </x:c>
      <x:c r="N21" s="499" t="n">
        <x:v>3216173</x:v>
      </x:c>
      <x:c r="O21" s="476" t="n">
        <x:v>0</x:v>
      </x:c>
      <x:c r="P21" s="499"/>
      <x:c r="Q21" s="499"/>
      <x:c r="R21" s="499" t="n">
        <x:f>IF(I21="","",G21-I21)</x:f>
        <x:v>-517641</x:v>
      </x:c>
      <x:c r="S21" s="499" t="n">
        <x:f>IF(K21="","",G21-K21)</x:f>
        <x:v>-516684</x:v>
      </x:c>
      <x:c r="T21" s="476" t="str">
        <x:v>Mapa base cobre &lt;90% do autorizado — possível incompletude/recorte</x:v>
      </x:c>
    </x:row>
    <x:row r="22">
      <x:c r="A22" t="str">
        <x:v>41160004-2021</x:v>
      </x:c>
      <x:c r="B22" t="n">
        <x:v>2021</x:v>
      </x:c>
      <x:c r="C22" s="476" t="str">
        <x:v>MARCEL VAN HATTEM</x:v>
      </x:c>
      <x:c r="D22" s="476" t="n">
        <x:v>4</x:v>
      </x:c>
      <x:c r="E22" s="476" t="n">
        <x:v>0</x:v>
      </x:c>
      <x:c r="F22" s="476" t="n">
        <x:v>0</x:v>
      </x:c>
      <x:c r="G22" s="499" t="n">
        <x:v>988856</x:v>
      </x:c>
      <x:c r="H22" s="499" t="n">
        <x:v>988856</x:v>
      </x:c>
      <x:c r="I22" s="499" t="n">
        <x:v>1000000</x:v>
      </x:c>
      <x:c r="J22" s="499" t="n">
        <x:v>1000000</x:v>
      </x:c>
      <x:c r="K22" s="499" t="n">
        <x:v>997131.9</x:v>
      </x:c>
      <x:c r="L22" s="499" t="n">
        <x:v>997131.9</x:v>
      </x:c>
      <x:c r="M22" s="499" t="n">
        <x:v>1000000</x:v>
      </x:c>
      <x:c r="N22" s="499" t="n">
        <x:v>997131.9</x:v>
      </x:c>
      <x:c r="O22" s="476" t="n">
        <x:v>4</x:v>
      </x:c>
      <x:c r="P22" s="499"/>
      <x:c r="Q22" s="499"/>
      <x:c r="R22" s="499" t="n">
        <x:f>IF(I22="","",G22-I22)</x:f>
        <x:v>-11144</x:v>
      </x:c>
      <x:c r="S22" s="499" t="n">
        <x:f>IF(K22="","",G22-K22)</x:f>
        <x:v>-8275.900000000023</x:v>
      </x:c>
      <x:c r="T22" s="476" t="str">
        <x:v>Diferença moderada de cobertura/execução</x:v>
      </x:c>
    </x:row>
    <x:row r="23">
      <x:c r="A23" t="str">
        <x:v>41160005-2021</x:v>
      </x:c>
      <x:c r="B23" t="n">
        <x:v>2021</x:v>
      </x:c>
      <x:c r="C23" s="476" t="str">
        <x:v>MARCEL VAN HATTEM</x:v>
      </x:c>
      <x:c r="D23" s="476" t="n">
        <x:v>3</x:v>
      </x:c>
      <x:c r="E23" s="476" t="n">
        <x:v>0</x:v>
      </x:c>
      <x:c r="F23" s="476" t="n">
        <x:v>0</x:v>
      </x:c>
      <x:c r="G23" s="499" t="n">
        <x:v>400030.19999999995</x:v>
      </x:c>
      <x:c r="H23" s="499" t="n">
        <x:v>400030.19999999995</x:v>
      </x:c>
      <x:c r="I23" s="499" t="n">
        <x:v>400000</x:v>
      </x:c>
      <x:c r="J23" s="499" t="n">
        <x:v>400000</x:v>
      </x:c>
      <x:c r="K23" s="499" t="n">
        <x:v>400000</x:v>
      </x:c>
      <x:c r="L23" s="499" t="n">
        <x:v>400000</x:v>
      </x:c>
      <x:c r="M23" s="499" t="n">
        <x:v>400000</x:v>
      </x:c>
      <x:c r="N23" s="499" t="n">
        <x:v>400000</x:v>
      </x:c>
      <x:c r="O23" s="476" t="n">
        <x:v>1</x:v>
      </x:c>
      <x:c r="P23" s="499"/>
      <x:c r="Q23" s="499"/>
      <x:c r="R23" s="499" t="n">
        <x:f>IF(I23="","",G23-I23)</x:f>
        <x:v>30.199999999953434</x:v>
      </x:c>
      <x:c r="S23" s="499" t="n">
        <x:f>IF(K23="","",G23-K23)</x:f>
        <x:v>30.199999999953434</x:v>
      </x:c>
      <x:c r="T23" s="476" t="str">
        <x:v>Mapa base fecha com autorizado</x:v>
      </x:c>
    </x:row>
    <x:row r="24">
      <x:c r="A24" t="str">
        <x:v>41160006-2021</x:v>
      </x:c>
      <x:c r="B24" t="n">
        <x:v>2021</x:v>
      </x:c>
      <x:c r="C24" s="476" t="str">
        <x:v>MARCEL VAN HATTEM</x:v>
      </x:c>
      <x:c r="D24" s="476" t="n">
        <x:v>1</x:v>
      </x:c>
      <x:c r="E24" s="476" t="n">
        <x:v>0</x:v>
      </x:c>
      <x:c r="F24" s="476" t="n">
        <x:v>0</x:v>
      </x:c>
      <x:c r="G24" s="499" t="n">
        <x:v>2693000</x:v>
      </x:c>
      <x:c r="H24" s="499" t="n">
        <x:v>2693000</x:v>
      </x:c>
      <x:c r="I24" s="499" t="n">
        <x:v>3564993</x:v>
      </x:c>
      <x:c r="J24" s="499" t="n">
        <x:v>3564993</x:v>
      </x:c>
      <x:c r="K24" s="499" t="n">
        <x:v>3468228.08</x:v>
      </x:c>
      <x:c r="L24" s="499" t="n">
        <x:v>3468228.08</x:v>
      </x:c>
      <x:c r="M24" s="499" t="n">
        <x:v>3564993</x:v>
      </x:c>
      <x:c r="N24" s="499" t="n">
        <x:v>3468228.08</x:v>
      </x:c>
      <x:c r="O24" s="476" t="n">
        <x:v>2</x:v>
      </x:c>
      <x:c r="P24" s="499"/>
      <x:c r="Q24" s="499"/>
      <x:c r="R24" s="499" t="n">
        <x:f>IF(I24="","",G24-I24)</x:f>
        <x:v>-871993</x:v>
      </x:c>
      <x:c r="S24" s="499" t="n">
        <x:f>IF(K24="","",G24-K24)</x:f>
        <x:v>-775228.0800000001</x:v>
      </x:c>
      <x:c r="T24" s="476" t="str">
        <x:v>Mapa base cobre &lt;90% do autorizado — possível incompletude/recorte</x:v>
      </x:c>
    </x:row>
    <x:row r="25">
      <x:c r="A25" t="str">
        <x:v>41160007-2021</x:v>
      </x:c>
      <x:c r="B25" t="n">
        <x:v>2021</x:v>
      </x:c>
      <x:c r="C25" s="476" t="str">
        <x:v>MARCEL VAN HATTEM</x:v>
      </x:c>
      <x:c r="D25" s="476" t="n">
        <x:v>2</x:v>
      </x:c>
      <x:c r="E25" s="476" t="n">
        <x:v>0</x:v>
      </x:c>
      <x:c r="F25" s="476" t="n">
        <x:v>0</x:v>
      </x:c>
      <x:c r="G25" s="499" t="n">
        <x:v>15511294.06</x:v>
      </x:c>
      <x:c r="H25" s="499" t="n">
        <x:v>15511294.06</x:v>
      </x:c>
      <x:c r="I25" s="499" t="n">
        <x:v>364993</x:v>
      </x:c>
      <x:c r="J25" s="499" t="n">
        <x:v>364993</x:v>
      </x:c>
      <x:c r="K25" s="499" t="n">
        <x:v>211827.07</x:v>
      </x:c>
      <x:c r="L25" s="499" t="n">
        <x:v>211827.06999999998</x:v>
      </x:c>
      <x:c r="M25" s="499" t="n">
        <x:v>364993</x:v>
      </x:c>
      <x:c r="N25" s="499" t="n">
        <x:v>211827.07</x:v>
      </x:c>
      <x:c r="O25" s="476" t="n">
        <x:v>0</x:v>
      </x:c>
      <x:c r="P25" s="499"/>
      <x:c r="Q25" s="499"/>
      <x:c r="R25" s="499" t="n">
        <x:f>IF(I25="","",G25-I25)</x:f>
        <x:v>15146301.06</x:v>
      </x:c>
      <x:c r="S25" s="499" t="n">
        <x:f>IF(K25="","",G25-K25)</x:f>
        <x:v>15299466.99</x:v>
      </x:c>
      <x:c r="T25" s="476" t="str">
        <x:v>Mapa base excede autorizado atual &gt;10% — revisar</x:v>
      </x:c>
    </x:row>
    <x:row r="26">
      <x:c r="A26" t="str">
        <x:v>71220008-2021</x:v>
      </x:c>
      <x:c r="B26" t="n">
        <x:v>2021</x:v>
      </x:c>
      <x:c r="C26" s="476" t="str">
        <x:v>BANCADA DO RIO GRANDE DO SUL</x:v>
      </x:c>
      <x:c r="D26" s="476" t="n">
        <x:v>0</x:v>
      </x:c>
      <x:c r="E26" s="476" t="n">
        <x:v>0</x:v>
      </x:c>
      <x:c r="F26" s="476" t="n">
        <x:v>0</x:v>
      </x:c>
      <x:c r="G26" s="499" t="n">
        <x:v>0</x:v>
      </x:c>
      <x:c r="H26" s="499" t="n">
        <x:v>0</x:v>
      </x:c>
      <x:c r="I26" s="499"/>
      <x:c r="J26" s="499"/>
      <x:c r="K26" s="499"/>
      <x:c r="L26" s="499"/>
      <x:c r="M26" s="499"/>
      <x:c r="N26" s="499"/>
      <x:c r="O26" s="476" t="n">
        <x:v>1</x:v>
      </x:c>
      <x:c r="P26" s="499"/>
      <x:c r="Q26" s="499"/>
      <x:c r="R26" s="499" t="str">
        <x:f>IF(I26="","",G26-I26)</x:f>
      </x:c>
      <x:c r="S26" s="499" t="str">
        <x:f>IF(K26="","",G26-K26)</x:f>
      </x:c>
      <x:c r="T26" s="476" t="str">
        <x:v>Sem SIGA Marcel; há instrumento Transferegov (valor não somado como emenda)</x:v>
      </x:c>
    </x:row>
    <x:row r="27">
      <x:c r="A27" t="str">
        <x:v>71220009-2021</x:v>
      </x:c>
      <x:c r="B27" t="n">
        <x:v>2021</x:v>
      </x:c>
      <x:c r="C27" s="476" t="str">
        <x:v>BANCADA DO RIO GRANDE DO SUL</x:v>
      </x:c>
      <x:c r="D27" s="476" t="n">
        <x:v>4</x:v>
      </x:c>
      <x:c r="E27" s="476" t="n">
        <x:v>0</x:v>
      </x:c>
      <x:c r="F27" s="476" t="n">
        <x:v>0</x:v>
      </x:c>
      <x:c r="G27" s="499" t="n">
        <x:v>1685530.33</x:v>
      </x:c>
      <x:c r="H27" s="499" t="n">
        <x:v>1685530.33</x:v>
      </x:c>
      <x:c r="I27" s="499"/>
      <x:c r="J27" s="499"/>
      <x:c r="K27" s="499"/>
      <x:c r="L27" s="499"/>
      <x:c r="M27" s="499"/>
      <x:c r="N27" s="499"/>
      <x:c r="O27" s="476" t="n">
        <x:v>3</x:v>
      </x:c>
      <x:c r="P27" s="499"/>
      <x:c r="Q27" s="499"/>
      <x:c r="R27" s="499" t="str">
        <x:f>IF(I27="","",G27-I27)</x:f>
      </x:c>
      <x:c r="S27" s="499" t="str">
        <x:f>IF(K27="","",G27-K27)</x:f>
      </x:c>
      <x:c r="T27" s="476" t="str">
        <x:v>Sem SIGA Marcel; há instrumento Transferegov (valor não somado como emenda)</x:v>
      </x:c>
    </x:row>
    <x:row r="28">
      <x:c r="A28" t="str">
        <x:v>71220013-2021</x:v>
      </x:c>
      <x:c r="B28" t="n">
        <x:v>2021</x:v>
      </x:c>
      <x:c r="C28" s="476" t="str">
        <x:v>BANCADA DO RIO GRANDE DO SUL</x:v>
      </x:c>
      <x:c r="D28" s="476" t="n">
        <x:v>0</x:v>
      </x:c>
      <x:c r="E28" s="476" t="n">
        <x:v>0</x:v>
      </x:c>
      <x:c r="F28" s="476" t="n">
        <x:v>0</x:v>
      </x:c>
      <x:c r="G28" s="499" t="n">
        <x:v>0</x:v>
      </x:c>
      <x:c r="H28" s="499" t="n">
        <x:v>0</x:v>
      </x:c>
      <x:c r="I28" s="499"/>
      <x:c r="J28" s="499"/>
      <x:c r="K28" s="499"/>
      <x:c r="L28" s="499"/>
      <x:c r="M28" s="499"/>
      <x:c r="N28" s="499"/>
      <x:c r="O28" s="476" t="n">
        <x:v>1</x:v>
      </x:c>
      <x:c r="P28" s="499"/>
      <x:c r="Q28" s="499"/>
      <x:c r="R28" s="499" t="str">
        <x:f>IF(I28="","",G28-I28)</x:f>
      </x:c>
      <x:c r="S28" s="499" t="str">
        <x:f>IF(K28="","",G28-K28)</x:f>
      </x:c>
      <x:c r="T28" s="476" t="str">
        <x:v>Sem SIGA Marcel; há instrumento Transferegov (valor não somado como emenda)</x:v>
      </x:c>
    </x:row>
    <x:row r="29">
      <x:c r="A29" t="str">
        <x:v>71220014-2021</x:v>
      </x:c>
      <x:c r="B29" t="n">
        <x:v>2021</x:v>
      </x:c>
      <x:c r="C29" s="476" t="str">
        <x:v>BANCADA DO RIO GRANDE DO SUL</x:v>
      </x:c>
      <x:c r="D29" s="476" t="n">
        <x:v>0</x:v>
      </x:c>
      <x:c r="E29" s="476" t="n">
        <x:v>0</x:v>
      </x:c>
      <x:c r="F29" s="476" t="n">
        <x:v>0</x:v>
      </x:c>
      <x:c r="G29" s="499" t="n">
        <x:v>0</x:v>
      </x:c>
      <x:c r="H29" s="499" t="n">
        <x:v>0</x:v>
      </x:c>
      <x:c r="I29" s="499"/>
      <x:c r="J29" s="499"/>
      <x:c r="K29" s="499"/>
      <x:c r="L29" s="499"/>
      <x:c r="M29" s="499"/>
      <x:c r="N29" s="499"/>
      <x:c r="O29" s="476" t="n">
        <x:v>1</x:v>
      </x:c>
      <x:c r="P29" s="499"/>
      <x:c r="Q29" s="499"/>
      <x:c r="R29" s="499" t="str">
        <x:f>IF(I29="","",G29-I29)</x:f>
      </x:c>
      <x:c r="S29" s="499" t="str">
        <x:f>IF(K29="","",G29-K29)</x:f>
      </x:c>
      <x:c r="T29" s="476" t="str">
        <x:v>Sem SIGA Marcel; há instrumento Transferegov (valor não somado como emenda)</x:v>
      </x:c>
    </x:row>
    <x:row r="30">
      <x:c r="A30" t="str">
        <x:v>41160001-2022</x:v>
      </x:c>
      <x:c r="B30" t="n">
        <x:v>2022</x:v>
      </x:c>
      <x:c r="C30" s="476" t="str">
        <x:v>MARCEL VAN HATTEM</x:v>
      </x:c>
      <x:c r="D30" s="476" t="n">
        <x:v>12</x:v>
      </x:c>
      <x:c r="E30" s="476" t="n">
        <x:v>0</x:v>
      </x:c>
      <x:c r="F30" s="476" t="n">
        <x:v>0</x:v>
      </x:c>
      <x:c r="G30" s="499" t="n">
        <x:v>3566530.6</x:v>
      </x:c>
      <x:c r="H30" s="499" t="n">
        <x:v>3566530.6</x:v>
      </x:c>
      <x:c r="I30" s="499" t="n">
        <x:v>3500000</x:v>
      </x:c>
      <x:c r="J30" s="499" t="n">
        <x:v>3432741.3</x:v>
      </x:c>
      <x:c r="K30" s="499" t="n">
        <x:v>3029397.78</x:v>
      </x:c>
      <x:c r="L30" s="499" t="n">
        <x:v>3029397.78</x:v>
      </x:c>
      <x:c r="M30" s="499" t="n">
        <x:v>3432741.3</x:v>
      </x:c>
      <x:c r="N30" s="499" t="n">
        <x:v>3029397.78</x:v>
      </x:c>
      <x:c r="O30" s="476" t="n">
        <x:v>3</x:v>
      </x:c>
      <x:c r="P30" s="499"/>
      <x:c r="Q30" s="499"/>
      <x:c r="R30" s="499" t="n">
        <x:f>IF(I30="","",G30-I30)</x:f>
        <x:v>66530.6000000001</x:v>
      </x:c>
      <x:c r="S30" s="499" t="n">
        <x:f>IF(K30="","",G30-K30)</x:f>
        <x:v>537132.8200000003</x:v>
      </x:c>
      <x:c r="T30" s="476" t="str">
        <x:v>Diferença moderada de cobertura/execução</x:v>
      </x:c>
    </x:row>
    <x:row r="31">
      <x:c r="A31" t="str">
        <x:v>41160002-2022</x:v>
      </x:c>
      <x:c r="B31" t="n">
        <x:v>2022</x:v>
      </x:c>
      <x:c r="C31" s="476" t="str">
        <x:v>MARCEL VAN HATTEM</x:v>
      </x:c>
      <x:c r="D31" s="476" t="n">
        <x:v>6</x:v>
      </x:c>
      <x:c r="E31" s="476" t="n">
        <x:v>0</x:v>
      </x:c>
      <x:c r="F31" s="476" t="n">
        <x:v>0</x:v>
      </x:c>
      <x:c r="G31" s="499" t="n">
        <x:v>400139</x:v>
      </x:c>
      <x:c r="H31" s="499" t="n">
        <x:v>400139</x:v>
      </x:c>
      <x:c r="I31" s="499" t="n">
        <x:v>380139</x:v>
      </x:c>
      <x:c r="J31" s="499" t="n">
        <x:v>380139</x:v>
      </x:c>
      <x:c r="K31" s="499" t="n">
        <x:v>380139</x:v>
      </x:c>
      <x:c r="L31" s="499" t="n">
        <x:v>380139</x:v>
      </x:c>
      <x:c r="M31" s="499" t="n">
        <x:v>380139</x:v>
      </x:c>
      <x:c r="N31" s="499" t="n">
        <x:v>380139</x:v>
      </x:c>
      <x:c r="O31" s="476" t="n">
        <x:v>0</x:v>
      </x:c>
      <x:c r="P31" s="499"/>
      <x:c r="Q31" s="499"/>
      <x:c r="R31" s="499" t="n">
        <x:f>IF(I31="","",G31-I31)</x:f>
        <x:v>20000</x:v>
      </x:c>
      <x:c r="S31" s="499" t="n">
        <x:f>IF(K31="","",G31-K31)</x:f>
        <x:v>20000</x:v>
      </x:c>
      <x:c r="T31" s="476" t="str">
        <x:v>Diferença moderada de cobertura/execução</x:v>
      </x:c>
    </x:row>
    <x:row r="32">
      <x:c r="A32" t="str">
        <x:v>41160003-2022</x:v>
      </x:c>
      <x:c r="B32" t="n">
        <x:v>2022</x:v>
      </x:c>
      <x:c r="C32" s="476" t="str">
        <x:v>MARCEL VAN HATTEM</x:v>
      </x:c>
      <x:c r="D32" s="476" t="n">
        <x:v>26</x:v>
      </x:c>
      <x:c r="E32" s="476" t="n">
        <x:v>0</x:v>
      </x:c>
      <x:c r="F32" s="476" t="n">
        <x:v>0</x:v>
      </x:c>
      <x:c r="G32" s="499" t="n">
        <x:v>9231969</x:v>
      </x:c>
      <x:c r="H32" s="499" t="n">
        <x:v>9231969</x:v>
      </x:c>
      <x:c r="I32" s="499" t="n">
        <x:v>9231969</x:v>
      </x:c>
      <x:c r="J32" s="499" t="n">
        <x:v>8233053</x:v>
      </x:c>
      <x:c r="K32" s="499" t="n">
        <x:v>7166817.55</x:v>
      </x:c>
      <x:c r="L32" s="499" t="n">
        <x:v>7166817.55</x:v>
      </x:c>
      <x:c r="M32" s="499" t="n">
        <x:v>8233053</x:v>
      </x:c>
      <x:c r="N32" s="499" t="n">
        <x:v>7166817.55</x:v>
      </x:c>
      <x:c r="O32" s="476" t="n">
        <x:v>18</x:v>
      </x:c>
      <x:c r="P32" s="499"/>
      <x:c r="Q32" s="499"/>
      <x:c r="R32" s="499" t="n">
        <x:f>IF(I32="","",G32-I32)</x:f>
        <x:v>0</x:v>
      </x:c>
      <x:c r="S32" s="499" t="n">
        <x:f>IF(K32="","",G32-K32)</x:f>
        <x:v>2065151.4500000002</x:v>
      </x:c>
      <x:c r="T32" s="476" t="str">
        <x:v>Mapa base fecha com autorizado</x:v>
      </x:c>
    </x:row>
    <x:row r="33">
      <x:c r="A33" t="str">
        <x:v>41160004-2022</x:v>
      </x:c>
      <x:c r="B33" t="n">
        <x:v>2022</x:v>
      </x:c>
      <x:c r="C33" s="476" t="str">
        <x:v>MARCEL VAN HATTEM</x:v>
      </x:c>
      <x:c r="D33" s="476" t="n">
        <x:v>1</x:v>
      </x:c>
      <x:c r="E33" s="476" t="n">
        <x:v>0</x:v>
      </x:c>
      <x:c r="F33" s="476" t="n">
        <x:v>0</x:v>
      </x:c>
      <x:c r="G33" s="499" t="n">
        <x:v>350000</x:v>
      </x:c>
      <x:c r="H33" s="499" t="n">
        <x:v>350000</x:v>
      </x:c>
      <x:c r="I33" s="499" t="n">
        <x:v>350000</x:v>
      </x:c>
      <x:c r="J33" s="499" t="n">
        <x:v>350000</x:v>
      </x:c>
      <x:c r="K33" s="499" t="n">
        <x:v>228332.35</x:v>
      </x:c>
      <x:c r="L33" s="499" t="n">
        <x:v>228332.35</x:v>
      </x:c>
      <x:c r="M33" s="499" t="n">
        <x:v>350000</x:v>
      </x:c>
      <x:c r="N33" s="499" t="n">
        <x:v>228332.35</x:v>
      </x:c>
      <x:c r="O33" s="476" t="n">
        <x:v>0</x:v>
      </x:c>
      <x:c r="P33" s="499"/>
      <x:c r="Q33" s="499"/>
      <x:c r="R33" s="499" t="n">
        <x:f>IF(I33="","",G33-I33)</x:f>
        <x:v>0</x:v>
      </x:c>
      <x:c r="S33" s="499" t="n">
        <x:f>IF(K33="","",G33-K33)</x:f>
        <x:v>121667.65</x:v>
      </x:c>
      <x:c r="T33" s="476" t="str">
        <x:v>Mapa base fecha com autorizado</x:v>
      </x:c>
    </x:row>
    <x:row r="34">
      <x:c r="A34" t="str">
        <x:v>41160005-2022</x:v>
      </x:c>
      <x:c r="B34" t="n">
        <x:v>2022</x:v>
      </x:c>
      <x:c r="C34" s="476" t="str">
        <x:v>MARCEL VAN HATTEM</x:v>
      </x:c>
      <x:c r="D34" s="476" t="n">
        <x:v>6</x:v>
      </x:c>
      <x:c r="E34" s="476" t="n">
        <x:v>0</x:v>
      </x:c>
      <x:c r="F34" s="476" t="n">
        <x:v>0</x:v>
      </x:c>
      <x:c r="G34" s="499" t="n">
        <x:v>1500000</x:v>
      </x:c>
      <x:c r="H34" s="499" t="n">
        <x:v>1500000</x:v>
      </x:c>
      <x:c r="I34" s="499" t="n">
        <x:v>1500000</x:v>
      </x:c>
      <x:c r="J34" s="499" t="n">
        <x:v>1500000</x:v>
      </x:c>
      <x:c r="K34" s="499" t="n">
        <x:v>1491208.99</x:v>
      </x:c>
      <x:c r="L34" s="499" t="n">
        <x:v>1491208.99</x:v>
      </x:c>
      <x:c r="M34" s="499" t="n">
        <x:v>1500000</x:v>
      </x:c>
      <x:c r="N34" s="499" t="n">
        <x:v>1494200.97</x:v>
      </x:c>
      <x:c r="O34" s="476" t="n">
        <x:v>6</x:v>
      </x:c>
      <x:c r="P34" s="499"/>
      <x:c r="Q34" s="499"/>
      <x:c r="R34" s="499" t="n">
        <x:f>IF(I34="","",G34-I34)</x:f>
        <x:v>0</x:v>
      </x:c>
      <x:c r="S34" s="499" t="n">
        <x:f>IF(K34="","",G34-K34)</x:f>
        <x:v>8791.01000000001</x:v>
      </x:c>
      <x:c r="T34" s="476" t="str">
        <x:v>Mapa base fecha com autorizado</x:v>
      </x:c>
    </x:row>
    <x:row r="35">
      <x:c r="A35" t="str">
        <x:v>41160006-2022</x:v>
      </x:c>
      <x:c r="B35" t="n">
        <x:v>2022</x:v>
      </x:c>
      <x:c r="C35" s="476" t="str">
        <x:v>MARCEL VAN HATTEM</x:v>
      </x:c>
      <x:c r="D35" s="476" t="n">
        <x:v>1</x:v>
      </x:c>
      <x:c r="E35" s="476" t="n">
        <x:v>0</x:v>
      </x:c>
      <x:c r="F35" s="476" t="n">
        <x:v>0</x:v>
      </x:c>
      <x:c r="G35" s="499" t="n">
        <x:v>350000</x:v>
      </x:c>
      <x:c r="H35" s="499" t="n">
        <x:v>350000</x:v>
      </x:c>
      <x:c r="I35" s="499" t="n">
        <x:v>350000</x:v>
      </x:c>
      <x:c r="J35" s="499" t="n">
        <x:v>350000</x:v>
      </x:c>
      <x:c r="K35" s="499" t="n">
        <x:v>341700</x:v>
      </x:c>
      <x:c r="L35" s="499" t="n">
        <x:v>341700</x:v>
      </x:c>
      <x:c r="M35" s="499" t="n">
        <x:v>350000</x:v>
      </x:c>
      <x:c r="N35" s="499" t="n">
        <x:v>341700</x:v>
      </x:c>
      <x:c r="O35" s="476" t="n">
        <x:v>0</x:v>
      </x:c>
      <x:c r="P35" s="499"/>
      <x:c r="Q35" s="499"/>
      <x:c r="R35" s="499" t="n">
        <x:f>IF(I35="","",G35-I35)</x:f>
        <x:v>0</x:v>
      </x:c>
      <x:c r="S35" s="499" t="n">
        <x:f>IF(K35="","",G35-K35)</x:f>
        <x:v>8300</x:v>
      </x:c>
      <x:c r="T35" s="476" t="str">
        <x:v>Mapa base fecha com autorizado</x:v>
      </x:c>
    </x:row>
    <x:row r="36">
      <x:c r="A36" t="str">
        <x:v>41160007-2022</x:v>
      </x:c>
      <x:c r="B36" t="n">
        <x:v>2022</x:v>
      </x:c>
      <x:c r="C36" s="476" t="str">
        <x:v>MARCEL VAN HATTEM</x:v>
      </x:c>
      <x:c r="D36" s="476" t="n">
        <x:v>3</x:v>
      </x:c>
      <x:c r="E36" s="476" t="n">
        <x:v>0</x:v>
      </x:c>
      <x:c r="F36" s="476" t="n">
        <x:v>0</x:v>
      </x:c>
      <x:c r="G36" s="499" t="n">
        <x:v>2139365</x:v>
      </x:c>
      <x:c r="H36" s="499" t="n">
        <x:v>2139365</x:v>
      </x:c>
      <x:c r="I36" s="499" t="n">
        <x:v>2139365</x:v>
      </x:c>
      <x:c r="J36" s="499" t="n">
        <x:v>2139365</x:v>
      </x:c>
      <x:c r="K36" s="499" t="n">
        <x:v>2101573</x:v>
      </x:c>
      <x:c r="L36" s="499" t="n">
        <x:v>2101573</x:v>
      </x:c>
      <x:c r="M36" s="499" t="n">
        <x:v>2139365</x:v>
      </x:c>
      <x:c r="N36" s="499" t="n">
        <x:v>2101573</x:v>
      </x:c>
      <x:c r="O36" s="476" t="n">
        <x:v>3</x:v>
      </x:c>
      <x:c r="P36" s="499"/>
      <x:c r="Q36" s="499"/>
      <x:c r="R36" s="499" t="n">
        <x:f>IF(I36="","",G36-I36)</x:f>
        <x:v>0</x:v>
      </x:c>
      <x:c r="S36" s="499" t="n">
        <x:f>IF(K36="","",G36-K36)</x:f>
        <x:v>37792</x:v>
      </x:c>
      <x:c r="T36" s="476" t="str">
        <x:v>Mapa base fecha com autorizado</x:v>
      </x:c>
    </x:row>
    <x:row r="37">
      <x:c r="A37" t="str">
        <x:v>41160008-2022</x:v>
      </x:c>
      <x:c r="B37" t="n">
        <x:v>2022</x:v>
      </x:c>
      <x:c r="C37" s="476" t="str">
        <x:v>MARCEL VAN HATTEM</x:v>
      </x:c>
      <x:c r="D37" s="476" t="n">
        <x:v>1</x:v>
      </x:c>
      <x:c r="E37" s="476" t="n">
        <x:v>0</x:v>
      </x:c>
      <x:c r="F37" s="476" t="n">
        <x:v>0</x:v>
      </x:c>
      <x:c r="G37" s="499" t="n">
        <x:v>300000</x:v>
      </x:c>
      <x:c r="H37" s="499" t="n">
        <x:v>300000</x:v>
      </x:c>
      <x:c r="I37" s="499" t="n">
        <x:v>300000</x:v>
      </x:c>
      <x:c r="J37" s="499" t="n">
        <x:v>299898.35</x:v>
      </x:c>
      <x:c r="K37" s="499" t="n">
        <x:v>299898.35</x:v>
      </x:c>
      <x:c r="L37" s="499" t="n">
        <x:v>299898.3499999999</x:v>
      </x:c>
      <x:c r="M37" s="499" t="n">
        <x:v>299898.35</x:v>
      </x:c>
      <x:c r="N37" s="499" t="n">
        <x:v>299898.35</x:v>
      </x:c>
      <x:c r="O37" s="476" t="n">
        <x:v>0</x:v>
      </x:c>
      <x:c r="P37" s="499"/>
      <x:c r="Q37" s="499"/>
      <x:c r="R37" s="499" t="n">
        <x:f>IF(I37="","",G37-I37)</x:f>
        <x:v>0</x:v>
      </x:c>
      <x:c r="S37" s="499" t="n">
        <x:f>IF(K37="","",G37-K37)</x:f>
        <x:v>101.65000000002328</x:v>
      </x:c>
      <x:c r="T37" s="476" t="str">
        <x:v>Mapa base fecha com autorizado</x:v>
      </x:c>
    </x:row>
    <x:row r="38">
      <x:c r="A38" t="str">
        <x:v>41160009-2022</x:v>
      </x:c>
      <x:c r="B38" t="n">
        <x:v>2022</x:v>
      </x:c>
      <x:c r="C38" s="476" t="str">
        <x:v>MARCEL VAN HATTEM</x:v>
      </x:c>
      <x:c r="D38" s="476" t="n">
        <x:v>1</x:v>
      </x:c>
      <x:c r="E38" s="476" t="n">
        <x:v>0</x:v>
      </x:c>
      <x:c r="F38" s="476" t="n">
        <x:v>0</x:v>
      </x:c>
      <x:c r="G38" s="499" t="n">
        <x:v>300000</x:v>
      </x:c>
      <x:c r="H38" s="499" t="n">
        <x:v>300000</x:v>
      </x:c>
      <x:c r="I38" s="499" t="n">
        <x:v>300000</x:v>
      </x:c>
      <x:c r="J38" s="499" t="n">
        <x:v>299797.8300000001</x:v>
      </x:c>
      <x:c r="K38" s="499" t="n">
        <x:v>299797.82999999996</x:v>
      </x:c>
      <x:c r="L38" s="499" t="n">
        <x:v>299797.82999999996</x:v>
      </x:c>
      <x:c r="M38" s="499" t="n">
        <x:v>299797.83</x:v>
      </x:c>
      <x:c r="N38" s="499" t="n">
        <x:v>299797.83</x:v>
      </x:c>
      <x:c r="O38" s="476" t="n">
        <x:v>0</x:v>
      </x:c>
      <x:c r="P38" s="499"/>
      <x:c r="Q38" s="499"/>
      <x:c r="R38" s="499" t="n">
        <x:f>IF(I38="","",G38-I38)</x:f>
        <x:v>0</x:v>
      </x:c>
      <x:c r="S38" s="499" t="n">
        <x:f>IF(K38="","",G38-K38)</x:f>
        <x:v>202.1700000000419</x:v>
      </x:c>
      <x:c r="T38" s="476" t="str">
        <x:v>Mapa base fecha com autorizado</x:v>
      </x:c>
    </x:row>
    <x:row r="39">
      <x:c r="A39" t="str">
        <x:v>41160010-2022</x:v>
      </x:c>
      <x:c r="B39" t="n">
        <x:v>2022</x:v>
      </x:c>
      <x:c r="C39" s="476" t="str">
        <x:v>MARCEL VAN HATTEM</x:v>
      </x:c>
      <x:c r="D39" s="476" t="n">
        <x:v>1</x:v>
      </x:c>
      <x:c r="E39" s="476" t="n">
        <x:v>0</x:v>
      </x:c>
      <x:c r="F39" s="476" t="n">
        <x:v>0</x:v>
      </x:c>
      <x:c r="G39" s="499" t="n">
        <x:v>350000</x:v>
      </x:c>
      <x:c r="H39" s="499" t="n">
        <x:v>350000</x:v>
      </x:c>
      <x:c r="I39" s="499" t="n">
        <x:v>350000</x:v>
      </x:c>
      <x:c r="J39" s="499" t="n">
        <x:v>343000</x:v>
      </x:c>
      <x:c r="K39" s="499" t="n">
        <x:v>343000</x:v>
      </x:c>
      <x:c r="L39" s="499" t="n">
        <x:v>343000</x:v>
      </x:c>
      <x:c r="M39" s="499" t="n">
        <x:v>343000</x:v>
      </x:c>
      <x:c r="N39" s="499" t="n">
        <x:v>343000</x:v>
      </x:c>
      <x:c r="O39" s="476" t="n">
        <x:v>0</x:v>
      </x:c>
      <x:c r="P39" s="499"/>
      <x:c r="Q39" s="499"/>
      <x:c r="R39" s="499" t="n">
        <x:f>IF(I39="","",G39-I39)</x:f>
        <x:v>0</x:v>
      </x:c>
      <x:c r="S39" s="499" t="n">
        <x:f>IF(K39="","",G39-K39)</x:f>
        <x:v>7000</x:v>
      </x:c>
      <x:c r="T39" s="476" t="str">
        <x:v>Mapa base fecha com autorizado</x:v>
      </x:c>
    </x:row>
    <x:row r="40">
      <x:c r="A40" t="str">
        <x:v>7120004-2022</x:v>
      </x:c>
      <x:c r="B40" t="n">
        <x:v>2022</x:v>
      </x:c>
      <x:c r="C40" s="476" t="str"/>
      <x:c r="D40" s="476" t="n">
        <x:v>10</x:v>
      </x:c>
      <x:c r="E40" s="476" t="n">
        <x:v>0</x:v>
      </x:c>
      <x:c r="F40" s="476" t="n">
        <x:v>0</x:v>
      </x:c>
      <x:c r="G40" s="499" t="n">
        <x:v>2356674.25</x:v>
      </x:c>
      <x:c r="H40" s="499" t="n">
        <x:v>2356674.25</x:v>
      </x:c>
      <x:c r="I40" s="499"/>
      <x:c r="J40" s="499"/>
      <x:c r="K40" s="499"/>
      <x:c r="L40" s="499"/>
      <x:c r="M40" s="499"/>
      <x:c r="N40" s="499"/>
      <x:c r="O40" s="476" t="n">
        <x:v>0</x:v>
      </x:c>
      <x:c r="P40" s="499"/>
      <x:c r="Q40" s="499"/>
      <x:c r="R40" s="499" t="str">
        <x:f>IF(I40="","",G40-I40)</x:f>
      </x:c>
      <x:c r="S40" s="499" t="str">
        <x:f>IF(K40="","",G40-K40)</x:f>
      </x:c>
      <x:c r="T40" s="476" t="str">
        <x:v>Nº não localizado nas bases públicas anexas</x:v>
      </x:c>
    </x:row>
    <x:row r="41">
      <x:c r="A41" t="str">
        <x:v>71220003-2022</x:v>
      </x:c>
      <x:c r="B41" t="n">
        <x:v>2022</x:v>
      </x:c>
      <x:c r="C41" s="476" t="str">
        <x:v>BANCADA DO RIO GRANDE DO SUL</x:v>
      </x:c>
      <x:c r="D41" s="476" t="n">
        <x:v>0</x:v>
      </x:c>
      <x:c r="E41" s="476" t="n">
        <x:v>0</x:v>
      </x:c>
      <x:c r="F41" s="476" t="n">
        <x:v>0</x:v>
      </x:c>
      <x:c r="G41" s="499" t="n">
        <x:v>0</x:v>
      </x:c>
      <x:c r="H41" s="499" t="n">
        <x:v>0</x:v>
      </x:c>
      <x:c r="I41" s="499"/>
      <x:c r="J41" s="499"/>
      <x:c r="K41" s="499"/>
      <x:c r="L41" s="499"/>
      <x:c r="M41" s="499"/>
      <x:c r="N41" s="499"/>
      <x:c r="O41" s="476" t="n">
        <x:v>1</x:v>
      </x:c>
      <x:c r="P41" s="499"/>
      <x:c r="Q41" s="499"/>
      <x:c r="R41" s="499" t="str">
        <x:f>IF(I41="","",G41-I41)</x:f>
      </x:c>
      <x:c r="S41" s="499" t="str">
        <x:f>IF(K41="","",G41-K41)</x:f>
      </x:c>
      <x:c r="T41" s="476" t="str">
        <x:v>Sem SIGA Marcel; há instrumento Transferegov (valor não somado como emenda)</x:v>
      </x:c>
    </x:row>
    <x:row r="42">
      <x:c r="A42" t="str">
        <x:v>71220005-2022</x:v>
      </x:c>
      <x:c r="B42" t="n">
        <x:v>2022</x:v>
      </x:c>
      <x:c r="C42" s="476" t="str">
        <x:v>BANCADA DO RIO GRANDE DO SUL</x:v>
      </x:c>
      <x:c r="D42" s="476" t="n">
        <x:v>0</x:v>
      </x:c>
      <x:c r="E42" s="476" t="n">
        <x:v>0</x:v>
      </x:c>
      <x:c r="F42" s="476" t="n">
        <x:v>0</x:v>
      </x:c>
      <x:c r="G42" s="499" t="n">
        <x:v>0</x:v>
      </x:c>
      <x:c r="H42" s="499" t="n">
        <x:v>0</x:v>
      </x:c>
      <x:c r="I42" s="499"/>
      <x:c r="J42" s="499"/>
      <x:c r="K42" s="499"/>
      <x:c r="L42" s="499"/>
      <x:c r="M42" s="499"/>
      <x:c r="N42" s="499"/>
      <x:c r="O42" s="476" t="n">
        <x:v>1</x:v>
      </x:c>
      <x:c r="P42" s="499"/>
      <x:c r="Q42" s="499"/>
      <x:c r="R42" s="499" t="str">
        <x:f>IF(I42="","",G42-I42)</x:f>
      </x:c>
      <x:c r="S42" s="499" t="str">
        <x:f>IF(K42="","",G42-K42)</x:f>
      </x:c>
      <x:c r="T42" s="476" t="str">
        <x:v>Sem SIGA Marcel; há instrumento Transferegov (valor não somado como emenda)</x:v>
      </x:c>
    </x:row>
    <x:row r="43">
      <x:c r="A43" t="str">
        <x:v>71220006-2022</x:v>
      </x:c>
      <x:c r="B43" t="n">
        <x:v>2022</x:v>
      </x:c>
      <x:c r="C43" s="476" t="str">
        <x:v>BANCADA DO RIO GRANDE DO SUL</x:v>
      </x:c>
      <x:c r="D43" s="476" t="n">
        <x:v>0</x:v>
      </x:c>
      <x:c r="E43" s="476" t="n">
        <x:v>0</x:v>
      </x:c>
      <x:c r="F43" s="476" t="n">
        <x:v>0</x:v>
      </x:c>
      <x:c r="G43" s="499" t="n">
        <x:v>0</x:v>
      </x:c>
      <x:c r="H43" s="499" t="n">
        <x:v>0</x:v>
      </x:c>
      <x:c r="I43" s="499"/>
      <x:c r="J43" s="499"/>
      <x:c r="K43" s="499"/>
      <x:c r="L43" s="499"/>
      <x:c r="M43" s="499"/>
      <x:c r="N43" s="499"/>
      <x:c r="O43" s="476" t="n">
        <x:v>1</x:v>
      </x:c>
      <x:c r="P43" s="499"/>
      <x:c r="Q43" s="499"/>
      <x:c r="R43" s="499" t="str">
        <x:f>IF(I43="","",G43-I43)</x:f>
      </x:c>
      <x:c r="S43" s="499" t="str">
        <x:f>IF(K43="","",G43-K43)</x:f>
      </x:c>
      <x:c r="T43" s="476" t="str">
        <x:v>Sem SIGA Marcel; há instrumento Transferegov (valor não somado como emenda)</x:v>
      </x:c>
    </x:row>
    <x:row r="44">
      <x:c r="A44" t="str">
        <x:v>71220011-2022</x:v>
      </x:c>
      <x:c r="B44" t="n">
        <x:v>2022</x:v>
      </x:c>
      <x:c r="C44" s="476" t="str">
        <x:v>BANCADA DO RIO GRANDE DO SUL</x:v>
      </x:c>
      <x:c r="D44" s="476" t="n">
        <x:v>0</x:v>
      </x:c>
      <x:c r="E44" s="476" t="n">
        <x:v>0</x:v>
      </x:c>
      <x:c r="F44" s="476" t="n">
        <x:v>0</x:v>
      </x:c>
      <x:c r="G44" s="499" t="n">
        <x:v>0</x:v>
      </x:c>
      <x:c r="H44" s="499" t="n">
        <x:v>0</x:v>
      </x:c>
      <x:c r="I44" s="499"/>
      <x:c r="J44" s="499"/>
      <x:c r="K44" s="499"/>
      <x:c r="L44" s="499"/>
      <x:c r="M44" s="499"/>
      <x:c r="N44" s="499"/>
      <x:c r="O44" s="476" t="n">
        <x:v>1</x:v>
      </x:c>
      <x:c r="P44" s="499"/>
      <x:c r="Q44" s="499"/>
      <x:c r="R44" s="499" t="str">
        <x:f>IF(I44="","",G44-I44)</x:f>
      </x:c>
      <x:c r="S44" s="499" t="str">
        <x:f>IF(K44="","",G44-K44)</x:f>
      </x:c>
      <x:c r="T44" s="476" t="str">
        <x:v>Sem SIGA Marcel; há instrumento Transferegov (valor não somado como emenda)</x:v>
      </x:c>
    </x:row>
    <x:row r="45">
      <x:c r="A45" t="str">
        <x:v>71220012-2022</x:v>
      </x:c>
      <x:c r="B45" t="n">
        <x:v>2022</x:v>
      </x:c>
      <x:c r="C45" s="476" t="str">
        <x:v>BANCADA DO RIO GRANDE DO SUL</x:v>
      </x:c>
      <x:c r="D45" s="476" t="n">
        <x:v>0</x:v>
      </x:c>
      <x:c r="E45" s="476" t="n">
        <x:v>0</x:v>
      </x:c>
      <x:c r="F45" s="476" t="n">
        <x:v>0</x:v>
      </x:c>
      <x:c r="G45" s="499" t="n">
        <x:v>0</x:v>
      </x:c>
      <x:c r="H45" s="499" t="n">
        <x:v>0</x:v>
      </x:c>
      <x:c r="I45" s="499"/>
      <x:c r="J45" s="499"/>
      <x:c r="K45" s="499"/>
      <x:c r="L45" s="499"/>
      <x:c r="M45" s="499"/>
      <x:c r="N45" s="499"/>
      <x:c r="O45" s="476" t="n">
        <x:v>1</x:v>
      </x:c>
      <x:c r="P45" s="499"/>
      <x:c r="Q45" s="499"/>
      <x:c r="R45" s="499" t="str">
        <x:f>IF(I45="","",G45-I45)</x:f>
      </x:c>
      <x:c r="S45" s="499" t="str">
        <x:f>IF(K45="","",G45-K45)</x:f>
      </x:c>
      <x:c r="T45" s="476" t="str">
        <x:v>Sem SIGA Marcel; há instrumento Transferegov (valor não somado como emenda)</x:v>
      </x:c>
    </x:row>
    <x:row r="46">
      <x:c r="A46" t="str">
        <x:v>71220014-2022</x:v>
      </x:c>
      <x:c r="B46" t="n">
        <x:v>2022</x:v>
      </x:c>
      <x:c r="C46" s="476" t="str">
        <x:v>BANCADA DO RIO GRANDE DO SUL</x:v>
      </x:c>
      <x:c r="D46" s="476" t="n">
        <x:v>0</x:v>
      </x:c>
      <x:c r="E46" s="476" t="n">
        <x:v>0</x:v>
      </x:c>
      <x:c r="F46" s="476" t="n">
        <x:v>0</x:v>
      </x:c>
      <x:c r="G46" s="499" t="n">
        <x:v>0</x:v>
      </x:c>
      <x:c r="H46" s="499" t="n">
        <x:v>0</x:v>
      </x:c>
      <x:c r="I46" s="499"/>
      <x:c r="J46" s="499"/>
      <x:c r="K46" s="499"/>
      <x:c r="L46" s="499"/>
      <x:c r="M46" s="499"/>
      <x:c r="N46" s="499"/>
      <x:c r="O46" s="476" t="n">
        <x:v>1</x:v>
      </x:c>
      <x:c r="P46" s="499"/>
      <x:c r="Q46" s="499"/>
      <x:c r="R46" s="499" t="str">
        <x:f>IF(I46="","",G46-I46)</x:f>
      </x:c>
      <x:c r="S46" s="499" t="str">
        <x:f>IF(K46="","",G46-K46)</x:f>
      </x:c>
      <x:c r="T46" s="476" t="str">
        <x:v>Sem SIGA Marcel; há instrumento Transferegov (valor não somado como emenda)</x:v>
      </x:c>
    </x:row>
    <x:row r="47">
      <x:c r="A47" t="str">
        <x:v>41160001-2023</x:v>
      </x:c>
      <x:c r="B47" t="n">
        <x:v>2023</x:v>
      </x:c>
      <x:c r="C47" s="476" t="str">
        <x:v>MARCEL VAN HATTEM</x:v>
      </x:c>
      <x:c r="D47" s="476" t="n">
        <x:v>18</x:v>
      </x:c>
      <x:c r="E47" s="476" t="n">
        <x:v>17</x:v>
      </x:c>
      <x:c r="F47" s="476" t="n">
        <x:v>0</x:v>
      </x:c>
      <x:c r="G47" s="499" t="n">
        <x:v>5000000</x:v>
      </x:c>
      <x:c r="H47" s="499" t="n">
        <x:v>5000000</x:v>
      </x:c>
      <x:c r="I47" s="499" t="n">
        <x:v>5050548</x:v>
      </x:c>
      <x:c r="J47" s="499" t="n">
        <x:v>5050548</x:v>
      </x:c>
      <x:c r="K47" s="499" t="n">
        <x:v>5050548</x:v>
      </x:c>
      <x:c r="L47" s="499" t="n">
        <x:v>5050548</x:v>
      </x:c>
      <x:c r="M47" s="499" t="n">
        <x:v>5050548</x:v>
      </x:c>
      <x:c r="N47" s="499" t="n">
        <x:v>5050548</x:v>
      </x:c>
      <x:c r="O47" s="476" t="n">
        <x:v>0</x:v>
      </x:c>
      <x:c r="P47" s="499" t="n">
        <x:v>5000000</x:v>
      </x:c>
      <x:c r="Q47" s="499"/>
      <x:c r="R47" s="499" t="n">
        <x:f>IF(I47="","",G47-I47)</x:f>
        <x:v>-50548</x:v>
      </x:c>
      <x:c r="S47" s="499" t="n">
        <x:f>IF(K47="","",G47-K47)</x:f>
        <x:v>-50548</x:v>
      </x:c>
      <x:c r="T47" s="476" t="str">
        <x:v>Diferença moderada de cobertura/execução</x:v>
      </x:c>
    </x:row>
    <x:row r="48">
      <x:c r="A48" t="str">
        <x:v>41160002-2023</x:v>
      </x:c>
      <x:c r="B48" t="n">
        <x:v>2023</x:v>
      </x:c>
      <x:c r="C48" s="476" t="str">
        <x:v>MARCEL VAN HATTEM</x:v>
      </x:c>
      <x:c r="D48" s="476" t="n">
        <x:v>4</x:v>
      </x:c>
      <x:c r="E48" s="476" t="n">
        <x:v>3</x:v>
      </x:c>
      <x:c r="F48" s="476" t="n">
        <x:v>0</x:v>
      </x:c>
      <x:c r="G48" s="499" t="n">
        <x:v>1262750</x:v>
      </x:c>
      <x:c r="H48" s="499" t="n">
        <x:v>1262750</x:v>
      </x:c>
      <x:c r="I48" s="499" t="n">
        <x:v>2108511</x:v>
      </x:c>
      <x:c r="J48" s="499" t="n">
        <x:v>2106211</x:v>
      </x:c>
      <x:c r="K48" s="499" t="n">
        <x:v>2106211</x:v>
      </x:c>
      <x:c r="L48" s="499" t="n">
        <x:v>2106211</x:v>
      </x:c>
      <x:c r="M48" s="499" t="n">
        <x:v>2106211</x:v>
      </x:c>
      <x:c r="N48" s="499" t="n">
        <x:v>2106211</x:v>
      </x:c>
      <x:c r="O48" s="476" t="n">
        <x:v>0</x:v>
      </x:c>
      <x:c r="P48" s="499"/>
      <x:c r="Q48" s="499"/>
      <x:c r="R48" s="499" t="n">
        <x:f>IF(I48="","",G48-I48)</x:f>
        <x:v>-845761</x:v>
      </x:c>
      <x:c r="S48" s="499" t="n">
        <x:f>IF(K48="","",G48-K48)</x:f>
        <x:v>-843461</x:v>
      </x:c>
      <x:c r="T48" s="476" t="str">
        <x:v>Mapa base cobre &lt;90% do autorizado — possível incompletude/recorte</x:v>
      </x:c>
    </x:row>
    <x:row r="49">
      <x:c r="A49" t="str">
        <x:v>41160003-2023</x:v>
      </x:c>
      <x:c r="B49" t="n">
        <x:v>2023</x:v>
      </x:c>
      <x:c r="C49" s="476" t="str">
        <x:v>MARCEL VAN HATTEM</x:v>
      </x:c>
      <x:c r="D49" s="476" t="n">
        <x:v>2</x:v>
      </x:c>
      <x:c r="E49" s="476" t="n">
        <x:v>0</x:v>
      </x:c>
      <x:c r="F49" s="476" t="n">
        <x:v>0</x:v>
      </x:c>
      <x:c r="G49" s="499" t="n">
        <x:v>788762</x:v>
      </x:c>
      <x:c r="H49" s="499" t="n">
        <x:v>788762</x:v>
      </x:c>
      <x:c r="I49" s="499" t="n">
        <x:v>488762</x:v>
      </x:c>
      <x:c r="J49" s="499" t="n">
        <x:v>487891.74</x:v>
      </x:c>
      <x:c r="K49" s="499" t="n">
        <x:v>487891.74</x:v>
      </x:c>
      <x:c r="L49" s="499" t="n">
        <x:v>487891.74</x:v>
      </x:c>
      <x:c r="M49" s="499" t="n">
        <x:v>487891.74</x:v>
      </x:c>
      <x:c r="N49" s="499" t="n">
        <x:v>487891.74</x:v>
      </x:c>
      <x:c r="O49" s="476" t="n">
        <x:v>0</x:v>
      </x:c>
      <x:c r="P49" s="499"/>
      <x:c r="Q49" s="499"/>
      <x:c r="R49" s="499" t="n">
        <x:f>IF(I49="","",G49-I49)</x:f>
        <x:v>300000</x:v>
      </x:c>
      <x:c r="S49" s="499" t="n">
        <x:f>IF(K49="","",G49-K49)</x:f>
        <x:v>300870.26</x:v>
      </x:c>
      <x:c r="T49" s="476" t="str">
        <x:v>Mapa base excede autorizado atual &gt;10% — revisar</x:v>
      </x:c>
    </x:row>
    <x:row r="50">
      <x:c r="A50" t="str">
        <x:v>41160004-2023</x:v>
      </x:c>
      <x:c r="B50" t="n">
        <x:v>2023</x:v>
      </x:c>
      <x:c r="C50" s="476" t="str">
        <x:v>MARCEL VAN HATTEM</x:v>
      </x:c>
      <x:c r="D50" s="476" t="n">
        <x:v>0</x:v>
      </x:c>
      <x:c r="E50" s="476" t="n">
        <x:v>0</x:v>
      </x:c>
      <x:c r="F50" s="476" t="n">
        <x:v>0</x:v>
      </x:c>
      <x:c r="G50" s="499" t="n">
        <x:v>0</x:v>
      </x:c>
      <x:c r="H50" s="499" t="n">
        <x:v>0</x:v>
      </x:c>
      <x:c r="I50" s="499" t="n">
        <x:v>3832628</x:v>
      </x:c>
      <x:c r="J50" s="499" t="n">
        <x:v>3822244</x:v>
      </x:c>
      <x:c r="K50" s="499" t="n">
        <x:v>3801908.28</x:v>
      </x:c>
      <x:c r="L50" s="499" t="n">
        <x:v>3801908.28</x:v>
      </x:c>
      <x:c r="M50" s="499" t="n">
        <x:v>3822244</x:v>
      </x:c>
      <x:c r="N50" s="499" t="n">
        <x:v>3801908.28</x:v>
      </x:c>
      <x:c r="O50" s="476" t="n">
        <x:v>7</x:v>
      </x:c>
      <x:c r="P50" s="499"/>
      <x:c r="Q50" s="499"/>
      <x:c r="R50" s="499" t="n">
        <x:f>IF(I50="","",G50-I50)</x:f>
        <x:v>-3832628</x:v>
      </x:c>
      <x:c r="S50" s="499" t="n">
        <x:f>IF(K50="","",G50-K50)</x:f>
        <x:v>-3801908.28</x:v>
      </x:c>
      <x:c r="T50" s="476" t="str">
        <x:v>Mapa base cobre &lt;90% do autorizado — possível incompletude/recorte</x:v>
      </x:c>
    </x:row>
    <x:row r="51">
      <x:c r="A51" t="str">
        <x:v>41160005-2023</x:v>
      </x:c>
      <x:c r="B51" t="n">
        <x:v>2023</x:v>
      </x:c>
      <x:c r="C51" s="476" t="str">
        <x:v>MARCEL VAN HATTEM</x:v>
      </x:c>
      <x:c r="D51" s="476" t="n">
        <x:v>1</x:v>
      </x:c>
      <x:c r="E51" s="476" t="n">
        <x:v>0</x:v>
      </x:c>
      <x:c r="F51" s="476" t="n">
        <x:v>0</x:v>
      </x:c>
      <x:c r="G51" s="499" t="n">
        <x:v>500000</x:v>
      </x:c>
      <x:c r="H51" s="499" t="n">
        <x:v>500000</x:v>
      </x:c>
      <x:c r="I51" s="499" t="n">
        <x:v>700000</x:v>
      </x:c>
      <x:c r="J51" s="499" t="n">
        <x:v>700000</x:v>
      </x:c>
      <x:c r="K51" s="499" t="n">
        <x:v>700000</x:v>
      </x:c>
      <x:c r="L51" s="499" t="n">
        <x:v>700000</x:v>
      </x:c>
      <x:c r="M51" s="499" t="n">
        <x:v>700000</x:v>
      </x:c>
      <x:c r="N51" s="499" t="n">
        <x:v>700000</x:v>
      </x:c>
      <x:c r="O51" s="476" t="n">
        <x:v>0</x:v>
      </x:c>
      <x:c r="P51" s="499"/>
      <x:c r="Q51" s="499"/>
      <x:c r="R51" s="499" t="n">
        <x:f>IF(I51="","",G51-I51)</x:f>
        <x:v>-200000</x:v>
      </x:c>
      <x:c r="S51" s="499" t="n">
        <x:f>IF(K51="","",G51-K51)</x:f>
        <x:v>-200000</x:v>
      </x:c>
      <x:c r="T51" s="476" t="str">
        <x:v>Mapa base cobre &lt;90% do autorizado — possível incompletude/recorte</x:v>
      </x:c>
    </x:row>
    <x:row r="52">
      <x:c r="A52" t="str">
        <x:v>41160006-2023</x:v>
      </x:c>
      <x:c r="B52" t="n">
        <x:v>2023</x:v>
      </x:c>
      <x:c r="C52" s="476" t="str">
        <x:v>MARCEL VAN HATTEM</x:v>
      </x:c>
      <x:c r="D52" s="476" t="n">
        <x:v>1</x:v>
      </x:c>
      <x:c r="E52" s="476" t="n">
        <x:v>0</x:v>
      </x:c>
      <x:c r="F52" s="476" t="n">
        <x:v>0</x:v>
      </x:c>
      <x:c r="G52" s="499" t="n">
        <x:v>504861</x:v>
      </x:c>
      <x:c r="H52" s="499" t="n">
        <x:v>504861</x:v>
      </x:c>
      <x:c r="I52" s="499" t="n">
        <x:v>4844755</x:v>
      </x:c>
      <x:c r="J52" s="499" t="n">
        <x:v>4844755</x:v>
      </x:c>
      <x:c r="K52" s="499" t="n">
        <x:v>4311117.19</x:v>
      </x:c>
      <x:c r="L52" s="499" t="n">
        <x:v>4311117.19</x:v>
      </x:c>
      <x:c r="M52" s="499" t="n">
        <x:v>4844755</x:v>
      </x:c>
      <x:c r="N52" s="499" t="n">
        <x:v>4951936.11</x:v>
      </x:c>
      <x:c r="O52" s="476" t="n">
        <x:v>13</x:v>
      </x:c>
      <x:c r="P52" s="499"/>
      <x:c r="Q52" s="499"/>
      <x:c r="R52" s="499" t="n">
        <x:f>IF(I52="","",G52-I52)</x:f>
        <x:v>-4339894</x:v>
      </x:c>
      <x:c r="S52" s="499" t="n">
        <x:f>IF(K52="","",G52-K52)</x:f>
        <x:v>-3806256.1900000004</x:v>
      </x:c>
      <x:c r="T52" s="476" t="str">
        <x:v>Mapa base cobre &lt;90% do autorizado — possível incompletude/recorte</x:v>
      </x:c>
    </x:row>
    <x:row r="53">
      <x:c r="A53" t="str">
        <x:v>41160007-2023</x:v>
      </x:c>
      <x:c r="B53" t="n">
        <x:v>2023</x:v>
      </x:c>
      <x:c r="C53" s="476" t="str">
        <x:v>MARCEL VAN HATTEM</x:v>
      </x:c>
      <x:c r="D53" s="476" t="n">
        <x:v>23</x:v>
      </x:c>
      <x:c r="E53" s="476" t="n">
        <x:v>6</x:v>
      </x:c>
      <x:c r="F53" s="476" t="n">
        <x:v>14</x:v>
      </x:c>
      <x:c r="G53" s="499" t="n">
        <x:v>2334552</x:v>
      </x:c>
      <x:c r="H53" s="499" t="n">
        <x:v>7044323</x:v>
      </x:c>
      <x:c r="I53" s="499" t="n">
        <x:v>13943191</x:v>
      </x:c>
      <x:c r="J53" s="499" t="n">
        <x:v>13941857</x:v>
      </x:c>
      <x:c r="K53" s="499" t="n">
        <x:v>11457954.61</x:v>
      </x:c>
      <x:c r="L53" s="499" t="n">
        <x:v>11457954.609999996</x:v>
      </x:c>
      <x:c r="M53" s="499" t="n">
        <x:v>13941857</x:v>
      </x:c>
      <x:c r="N53" s="499" t="n">
        <x:v>11457954.61</x:v>
      </x:c>
      <x:c r="O53" s="476" t="n">
        <x:v>27</x:v>
      </x:c>
      <x:c r="P53" s="499"/>
      <x:c r="Q53" s="499"/>
      <x:c r="R53" s="499" t="n">
        <x:f>IF(I53="","",G53-I53)</x:f>
        <x:v>-11608639</x:v>
      </x:c>
      <x:c r="S53" s="499" t="n">
        <x:f>IF(K53="","",G53-K53)</x:f>
        <x:v>-9123402.61</x:v>
      </x:c>
      <x:c r="T53" s="476" t="str">
        <x:v>Mapa base cobre &lt;90% do autorizado — possível incompletude/recorte</x:v>
      </x:c>
    </x:row>
    <x:row r="54">
      <x:c r="A54" t="str">
        <x:v>41160008-2023</x:v>
      </x:c>
      <x:c r="B54" t="n">
        <x:v>2023</x:v>
      </x:c>
      <x:c r="C54" s="476" t="str">
        <x:v>MARCEL VAN HATTEM</x:v>
      </x:c>
      <x:c r="D54" s="476" t="n">
        <x:v>1</x:v>
      </x:c>
      <x:c r="E54" s="476" t="n">
        <x:v>0</x:v>
      </x:c>
      <x:c r="F54" s="476" t="n">
        <x:v>0</x:v>
      </x:c>
      <x:c r="G54" s="499" t="n">
        <x:v>500000</x:v>
      </x:c>
      <x:c r="H54" s="499" t="n">
        <x:v>500000</x:v>
      </x:c>
      <x:c r="I54" s="499" t="n">
        <x:v>500000</x:v>
      </x:c>
      <x:c r="J54" s="499" t="n">
        <x:v>500000</x:v>
      </x:c>
      <x:c r="K54" s="499" t="n">
        <x:v>472264.56</x:v>
      </x:c>
      <x:c r="L54" s="499" t="n">
        <x:v>472264.55999999994</x:v>
      </x:c>
      <x:c r="M54" s="499" t="n">
        <x:v>500000</x:v>
      </x:c>
      <x:c r="N54" s="499" t="n">
        <x:v>472264.56</x:v>
      </x:c>
      <x:c r="O54" s="476" t="n">
        <x:v>0</x:v>
      </x:c>
      <x:c r="P54" s="499"/>
      <x:c r="Q54" s="499"/>
      <x:c r="R54" s="499" t="n">
        <x:f>IF(I54="","",G54-I54)</x:f>
        <x:v>0</x:v>
      </x:c>
      <x:c r="S54" s="499" t="n">
        <x:f>IF(K54="","",G54-K54)</x:f>
        <x:v>27735.440000000002</x:v>
      </x:c>
      <x:c r="T54" s="476" t="str">
        <x:v>Mapa base fecha com autorizado</x:v>
      </x:c>
    </x:row>
    <x:row r="55">
      <x:c r="A55" t="str">
        <x:v>41160009-2023</x:v>
      </x:c>
      <x:c r="B55" t="n">
        <x:v>2023</x:v>
      </x:c>
      <x:c r="C55" s="476" t="str">
        <x:v>MARCEL VAN HATTEM</x:v>
      </x:c>
      <x:c r="D55" s="476" t="n">
        <x:v>3</x:v>
      </x:c>
      <x:c r="E55" s="476" t="n">
        <x:v>0</x:v>
      </x:c>
      <x:c r="F55" s="476" t="n">
        <x:v>0</x:v>
      </x:c>
      <x:c r="G55" s="499" t="n">
        <x:v>670000</x:v>
      </x:c>
      <x:c r="H55" s="499" t="n">
        <x:v>670000</x:v>
      </x:c>
      <x:c r="I55" s="499" t="n">
        <x:v>335000</x:v>
      </x:c>
      <x:c r="J55" s="499" t="n">
        <x:v>335000</x:v>
      </x:c>
      <x:c r="K55" s="499" t="n">
        <x:v>335000</x:v>
      </x:c>
      <x:c r="L55" s="499" t="n">
        <x:v>335000</x:v>
      </x:c>
      <x:c r="M55" s="499" t="n">
        <x:v>335000</x:v>
      </x:c>
      <x:c r="N55" s="499" t="n">
        <x:v>335000</x:v>
      </x:c>
      <x:c r="O55" s="476" t="n">
        <x:v>0</x:v>
      </x:c>
      <x:c r="P55" s="499"/>
      <x:c r="Q55" s="499"/>
      <x:c r="R55" s="499" t="n">
        <x:f>IF(I55="","",G55-I55)</x:f>
        <x:v>335000</x:v>
      </x:c>
      <x:c r="S55" s="499" t="n">
        <x:f>IF(K55="","",G55-K55)</x:f>
        <x:v>335000</x:v>
      </x:c>
      <x:c r="T55" s="476" t="str">
        <x:v>Mapa base excede autorizado atual &gt;10% — revisar</x:v>
      </x:c>
    </x:row>
    <x:row r="56">
      <x:c r="A56" t="str">
        <x:v>41160010-2023</x:v>
      </x:c>
      <x:c r="B56" t="n">
        <x:v>2023</x:v>
      </x:c>
      <x:c r="C56" s="476" t="str">
        <x:v>MARCEL VAN HATTEM</x:v>
      </x:c>
      <x:c r="D56" s="476" t="n">
        <x:v>1</x:v>
      </x:c>
      <x:c r="E56" s="476" t="n">
        <x:v>0</x:v>
      </x:c>
      <x:c r="F56" s="476" t="n">
        <x:v>0</x:v>
      </x:c>
      <x:c r="G56" s="499" t="n">
        <x:v>300000</x:v>
      </x:c>
      <x:c r="H56" s="499" t="n">
        <x:v>300000</x:v>
      </x:c>
      <x:c r="I56" s="499" t="n">
        <x:v>300000</x:v>
      </x:c>
      <x:c r="J56" s="499" t="n">
        <x:v>299710.06</x:v>
      </x:c>
      <x:c r="K56" s="499" t="n">
        <x:v>299710.06</x:v>
      </x:c>
      <x:c r="L56" s="499" t="n">
        <x:v>299710.06</x:v>
      </x:c>
      <x:c r="M56" s="499" t="n">
        <x:v>299710.06</x:v>
      </x:c>
      <x:c r="N56" s="499" t="n">
        <x:v>299710.06</x:v>
      </x:c>
      <x:c r="O56" s="476" t="n">
        <x:v>0</x:v>
      </x:c>
      <x:c r="P56" s="499"/>
      <x:c r="Q56" s="499"/>
      <x:c r="R56" s="499" t="n">
        <x:f>IF(I56="","",G56-I56)</x:f>
        <x:v>0</x:v>
      </x:c>
      <x:c r="S56" s="499" t="n">
        <x:f>IF(K56="","",G56-K56)</x:f>
        <x:v>289.9400000000023</x:v>
      </x:c>
      <x:c r="T56" s="476" t="str">
        <x:v>Mapa base fecha com autorizado</x:v>
      </x:c>
    </x:row>
    <x:row r="57">
      <x:c r="A57" t="str">
        <x:v>71220002-2023</x:v>
      </x:c>
      <x:c r="B57" t="n">
        <x:v>2023</x:v>
      </x:c>
      <x:c r="C57" s="476" t="str">
        <x:v>BANCADA DO RIO GRANDE DO SUL</x:v>
      </x:c>
      <x:c r="D57" s="476" t="n">
        <x:v>0</x:v>
      </x:c>
      <x:c r="E57" s="476" t="n">
        <x:v>0</x:v>
      </x:c>
      <x:c r="F57" s="476" t="n">
        <x:v>0</x:v>
      </x:c>
      <x:c r="G57" s="499" t="n">
        <x:v>0</x:v>
      </x:c>
      <x:c r="H57" s="499" t="n">
        <x:v>0</x:v>
      </x:c>
      <x:c r="I57" s="499"/>
      <x:c r="J57" s="499"/>
      <x:c r="K57" s="499"/>
      <x:c r="L57" s="499"/>
      <x:c r="M57" s="499"/>
      <x:c r="N57" s="499"/>
      <x:c r="O57" s="476" t="n">
        <x:v>1</x:v>
      </x:c>
      <x:c r="P57" s="499"/>
      <x:c r="Q57" s="499"/>
      <x:c r="R57" s="499" t="str">
        <x:f>IF(I57="","",G57-I57)</x:f>
      </x:c>
      <x:c r="S57" s="499" t="str">
        <x:f>IF(K57="","",G57-K57)</x:f>
      </x:c>
      <x:c r="T57" s="476" t="str">
        <x:v>Sem SIGA Marcel; há instrumento Transferegov (valor não somado como emenda)</x:v>
      </x:c>
    </x:row>
    <x:row r="58">
      <x:c r="A58" t="str">
        <x:v>71220004-2023</x:v>
      </x:c>
      <x:c r="B58" t="n">
        <x:v>2023</x:v>
      </x:c>
      <x:c r="C58" s="476" t="str">
        <x:v>BANCADA DO RIO GRANDE DO SUL</x:v>
      </x:c>
      <x:c r="D58" s="476" t="n">
        <x:v>0</x:v>
      </x:c>
      <x:c r="E58" s="476" t="n">
        <x:v>0</x:v>
      </x:c>
      <x:c r="F58" s="476" t="n">
        <x:v>0</x:v>
      </x:c>
      <x:c r="G58" s="499" t="n">
        <x:v>0</x:v>
      </x:c>
      <x:c r="H58" s="499" t="n">
        <x:v>0</x:v>
      </x:c>
      <x:c r="I58" s="499"/>
      <x:c r="J58" s="499"/>
      <x:c r="K58" s="499"/>
      <x:c r="L58" s="499"/>
      <x:c r="M58" s="499"/>
      <x:c r="N58" s="499"/>
      <x:c r="O58" s="476" t="n">
        <x:v>1</x:v>
      </x:c>
      <x:c r="P58" s="499"/>
      <x:c r="Q58" s="499"/>
      <x:c r="R58" s="499" t="str">
        <x:f>IF(I58="","",G58-I58)</x:f>
      </x:c>
      <x:c r="S58" s="499" t="str">
        <x:f>IF(K58="","",G58-K58)</x:f>
      </x:c>
      <x:c r="T58" s="476" t="str">
        <x:v>Sem SIGA Marcel; há instrumento Transferegov (valor não somado como emenda)</x:v>
      </x:c>
    </x:row>
    <x:row r="59">
      <x:c r="A59" t="str">
        <x:v>71220007-2023</x:v>
      </x:c>
      <x:c r="B59" t="n">
        <x:v>2023</x:v>
      </x:c>
      <x:c r="C59" s="476" t="str">
        <x:v>BANCADA DO RIO GRANDE DO SUL</x:v>
      </x:c>
      <x:c r="D59" s="476" t="n">
        <x:v>0</x:v>
      </x:c>
      <x:c r="E59" s="476" t="n">
        <x:v>0</x:v>
      </x:c>
      <x:c r="F59" s="476" t="n">
        <x:v>0</x:v>
      </x:c>
      <x:c r="G59" s="499" t="n">
        <x:v>0</x:v>
      </x:c>
      <x:c r="H59" s="499" t="n">
        <x:v>0</x:v>
      </x:c>
      <x:c r="I59" s="499"/>
      <x:c r="J59" s="499"/>
      <x:c r="K59" s="499"/>
      <x:c r="L59" s="499"/>
      <x:c r="M59" s="499"/>
      <x:c r="N59" s="499"/>
      <x:c r="O59" s="476" t="n">
        <x:v>1</x:v>
      </x:c>
      <x:c r="P59" s="499"/>
      <x:c r="Q59" s="499"/>
      <x:c r="R59" s="499" t="str">
        <x:f>IF(I59="","",G59-I59)</x:f>
      </x:c>
      <x:c r="S59" s="499" t="str">
        <x:f>IF(K59="","",G59-K59)</x:f>
      </x:c>
      <x:c r="T59" s="476" t="str">
        <x:v>Sem SIGA Marcel; há instrumento Transferegov (valor não somado como emenda)</x:v>
      </x:c>
    </x:row>
    <x:row r="60">
      <x:c r="A60" t="str">
        <x:v>71220009-2023</x:v>
      </x:c>
      <x:c r="B60" t="n">
        <x:v>2023</x:v>
      </x:c>
      <x:c r="C60" s="476" t="str">
        <x:v>BANCADA DO RIO GRANDE DO SUL</x:v>
      </x:c>
      <x:c r="D60" s="476" t="n">
        <x:v>0</x:v>
      </x:c>
      <x:c r="E60" s="476" t="n">
        <x:v>0</x:v>
      </x:c>
      <x:c r="F60" s="476" t="n">
        <x:v>0</x:v>
      </x:c>
      <x:c r="G60" s="499" t="n">
        <x:v>0</x:v>
      </x:c>
      <x:c r="H60" s="499" t="n">
        <x:v>0</x:v>
      </x:c>
      <x:c r="I60" s="499"/>
      <x:c r="J60" s="499"/>
      <x:c r="K60" s="499"/>
      <x:c r="L60" s="499"/>
      <x:c r="M60" s="499"/>
      <x:c r="N60" s="499"/>
      <x:c r="O60" s="476" t="n">
        <x:v>1</x:v>
      </x:c>
      <x:c r="P60" s="499"/>
      <x:c r="Q60" s="499"/>
      <x:c r="R60" s="499" t="str">
        <x:f>IF(I60="","",G60-I60)</x:f>
      </x:c>
      <x:c r="S60" s="499" t="str">
        <x:f>IF(K60="","",G60-K60)</x:f>
      </x:c>
      <x:c r="T60" s="476" t="str">
        <x:v>Sem SIGA Marcel; há instrumento Transferegov (valor não somado como emenda)</x:v>
      </x:c>
    </x:row>
    <x:row r="61">
      <x:c r="A61" t="str">
        <x:v>71220015-2023</x:v>
      </x:c>
      <x:c r="B61" t="n">
        <x:v>2023</x:v>
      </x:c>
      <x:c r="C61" s="476" t="str">
        <x:v>BANCADA DO RIO GRANDE DO SUL</x:v>
      </x:c>
      <x:c r="D61" s="476" t="n">
        <x:v>1</x:v>
      </x:c>
      <x:c r="E61" s="476" t="n">
        <x:v>0</x:v>
      </x:c>
      <x:c r="F61" s="476" t="n">
        <x:v>0</x:v>
      </x:c>
      <x:c r="G61" s="499" t="n">
        <x:v>1500000</x:v>
      </x:c>
      <x:c r="H61" s="499" t="n">
        <x:v>1500000</x:v>
      </x:c>
      <x:c r="I61" s="499"/>
      <x:c r="J61" s="499"/>
      <x:c r="K61" s="499"/>
      <x:c r="L61" s="499"/>
      <x:c r="M61" s="499"/>
      <x:c r="N61" s="499"/>
      <x:c r="O61" s="476" t="n">
        <x:v>1</x:v>
      </x:c>
      <x:c r="P61" s="499"/>
      <x:c r="Q61" s="499"/>
      <x:c r="R61" s="499" t="str">
        <x:f>IF(I61="","",G61-I61)</x:f>
      </x:c>
      <x:c r="S61" s="499" t="str">
        <x:f>IF(K61="","",G61-K61)</x:f>
      </x:c>
      <x:c r="T61" s="476" t="str">
        <x:v>Sem SIGA Marcel; há instrumento Transferegov (valor não somado como emenda)</x:v>
      </x:c>
    </x:row>
    <x:row r="62">
      <x:c r="A62" t="str">
        <x:v>71220016-2023</x:v>
      </x:c>
      <x:c r="B62" t="n">
        <x:v>2023</x:v>
      </x:c>
      <x:c r="C62" s="476" t="str">
        <x:v>BANCADA DO RIO GRANDE DO SUL</x:v>
      </x:c>
      <x:c r="D62" s="476" t="n">
        <x:v>0</x:v>
      </x:c>
      <x:c r="E62" s="476" t="n">
        <x:v>0</x:v>
      </x:c>
      <x:c r="F62" s="476" t="n">
        <x:v>0</x:v>
      </x:c>
      <x:c r="G62" s="499" t="n">
        <x:v>0</x:v>
      </x:c>
      <x:c r="H62" s="499" t="n">
        <x:v>0</x:v>
      </x:c>
      <x:c r="I62" s="499"/>
      <x:c r="J62" s="499"/>
      <x:c r="K62" s="499"/>
      <x:c r="L62" s="499"/>
      <x:c r="M62" s="499"/>
      <x:c r="N62" s="499"/>
      <x:c r="O62" s="476" t="n">
        <x:v>1</x:v>
      </x:c>
      <x:c r="P62" s="499"/>
      <x:c r="Q62" s="499"/>
      <x:c r="R62" s="499" t="str">
        <x:f>IF(I62="","",G62-I62)</x:f>
      </x:c>
      <x:c r="S62" s="499" t="str">
        <x:f>IF(K62="","",G62-K62)</x:f>
      </x:c>
      <x:c r="T62" s="476" t="str">
        <x:v>Sem SIGA Marcel; há instrumento Transferegov (valor não somado como emenda)</x:v>
      </x:c>
    </x:row>
    <x:row r="63">
      <x:c r="A63" t="str">
        <x:v>71220017-2023</x:v>
      </x:c>
      <x:c r="B63" t="n">
        <x:v>2023</x:v>
      </x:c>
      <x:c r="C63" s="476" t="str">
        <x:v>BANCADA DO RIO GRANDE DO SUL</x:v>
      </x:c>
      <x:c r="D63" s="476" t="n">
        <x:v>0</x:v>
      </x:c>
      <x:c r="E63" s="476" t="n">
        <x:v>0</x:v>
      </x:c>
      <x:c r="F63" s="476" t="n">
        <x:v>0</x:v>
      </x:c>
      <x:c r="G63" s="499" t="n">
        <x:v>0</x:v>
      </x:c>
      <x:c r="H63" s="499" t="n">
        <x:v>0</x:v>
      </x:c>
      <x:c r="I63" s="499"/>
      <x:c r="J63" s="499"/>
      <x:c r="K63" s="499"/>
      <x:c r="L63" s="499"/>
      <x:c r="M63" s="499"/>
      <x:c r="N63" s="499"/>
      <x:c r="O63" s="476" t="n">
        <x:v>1</x:v>
      </x:c>
      <x:c r="P63" s="499"/>
      <x:c r="Q63" s="499"/>
      <x:c r="R63" s="499" t="str">
        <x:f>IF(I63="","",G63-I63)</x:f>
      </x:c>
      <x:c r="S63" s="499" t="str">
        <x:f>IF(K63="","",G63-K63)</x:f>
      </x:c>
      <x:c r="T63" s="476" t="str">
        <x:v>Sem SIGA Marcel; há instrumento Transferegov (valor não somado como emenda)</x:v>
      </x:c>
    </x:row>
    <x:row r="64">
      <x:c r="A64" t="str">
        <x:v>41160001-2024</x:v>
      </x:c>
      <x:c r="B64" t="n">
        <x:v>2024</x:v>
      </x:c>
      <x:c r="C64" s="476" t="str">
        <x:v>MARCEL VAN HATTEM</x:v>
      </x:c>
      <x:c r="D64" s="476" t="n">
        <x:v>38</x:v>
      </x:c>
      <x:c r="E64" s="476" t="n">
        <x:v>0</x:v>
      </x:c>
      <x:c r="F64" s="476" t="n">
        <x:v>0</x:v>
      </x:c>
      <x:c r="G64" s="499" t="n">
        <x:v>11735129</x:v>
      </x:c>
      <x:c r="H64" s="499" t="n">
        <x:v>11735129</x:v>
      </x:c>
      <x:c r="I64" s="499" t="n">
        <x:v>12108566</x:v>
      </x:c>
      <x:c r="J64" s="499" t="n">
        <x:v>11735129</x:v>
      </x:c>
      <x:c r="K64" s="499" t="n">
        <x:v>11735129</x:v>
      </x:c>
      <x:c r="L64" s="499" t="n">
        <x:v>11735129</x:v>
      </x:c>
      <x:c r="M64" s="499" t="n">
        <x:v>11735129</x:v>
      </x:c>
      <x:c r="N64" s="499" t="n">
        <x:v>11735129</x:v>
      </x:c>
      <x:c r="O64" s="476" t="n">
        <x:v>0</x:v>
      </x:c>
      <x:c r="P64" s="499"/>
      <x:c r="Q64" s="499"/>
      <x:c r="R64" s="499" t="n">
        <x:f>IF(I64="","",G64-I64)</x:f>
        <x:v>-373437</x:v>
      </x:c>
      <x:c r="S64" s="499" t="n">
        <x:f>IF(K64="","",G64-K64)</x:f>
        <x:v>0</x:v>
      </x:c>
      <x:c r="T64" s="476" t="str">
        <x:v>Mapa base fecha com empenhado</x:v>
      </x:c>
    </x:row>
    <x:row r="65">
      <x:c r="A65" t="str">
        <x:v>41160002-2024</x:v>
      </x:c>
      <x:c r="B65" t="n">
        <x:v>2024</x:v>
      </x:c>
      <x:c r="C65" s="476" t="str">
        <x:v>MARCEL VAN HATTEM</x:v>
      </x:c>
      <x:c r="D65" s="476" t="n">
        <x:v>21</x:v>
      </x:c>
      <x:c r="E65" s="476" t="n">
        <x:v>0</x:v>
      </x:c>
      <x:c r="F65" s="476" t="n">
        <x:v>0</x:v>
      </x:c>
      <x:c r="G65" s="499" t="n">
        <x:v>3659371</x:v>
      </x:c>
      <x:c r="H65" s="499" t="n">
        <x:v>3659371</x:v>
      </x:c>
      <x:c r="I65" s="499" t="n">
        <x:v>3759371</x:v>
      </x:c>
      <x:c r="J65" s="499" t="n">
        <x:v>3659371</x:v>
      </x:c>
      <x:c r="K65" s="499" t="n">
        <x:v>3659371</x:v>
      </x:c>
      <x:c r="L65" s="499" t="n">
        <x:v>3659371</x:v>
      </x:c>
      <x:c r="M65" s="499" t="n">
        <x:v>3659371</x:v>
      </x:c>
      <x:c r="N65" s="499" t="n">
        <x:v>3659371</x:v>
      </x:c>
      <x:c r="O65" s="476" t="n">
        <x:v>0</x:v>
      </x:c>
      <x:c r="P65" s="499"/>
      <x:c r="Q65" s="499"/>
      <x:c r="R65" s="499" t="n">
        <x:f>IF(I65="","",G65-I65)</x:f>
        <x:v>-100000</x:v>
      </x:c>
      <x:c r="S65" s="499" t="n">
        <x:f>IF(K65="","",G65-K65)</x:f>
        <x:v>0</x:v>
      </x:c>
      <x:c r="T65" s="476" t="str">
        <x:v>Mapa base fecha com empenhado</x:v>
      </x:c>
    </x:row>
    <x:row r="66">
      <x:c r="A66" t="str">
        <x:v>41160003-2024</x:v>
      </x:c>
      <x:c r="B66" t="n">
        <x:v>2024</x:v>
      </x:c>
      <x:c r="C66" s="476" t="str">
        <x:v>MARCEL VAN HATTEM</x:v>
      </x:c>
      <x:c r="D66" s="476" t="n">
        <x:v>14</x:v>
      </x:c>
      <x:c r="E66" s="476" t="n">
        <x:v>0</x:v>
      </x:c>
      <x:c r="F66" s="476" t="n">
        <x:v>0</x:v>
      </x:c>
      <x:c r="G66" s="499" t="n">
        <x:v>2786614</x:v>
      </x:c>
      <x:c r="H66" s="499" t="n">
        <x:v>2786614</x:v>
      </x:c>
      <x:c r="I66" s="499" t="n">
        <x:v>2786614</x:v>
      </x:c>
      <x:c r="J66" s="499" t="n">
        <x:v>2786614</x:v>
      </x:c>
      <x:c r="K66" s="499" t="n">
        <x:v>2786614</x:v>
      </x:c>
      <x:c r="L66" s="499" t="n">
        <x:v>2786614</x:v>
      </x:c>
      <x:c r="M66" s="499" t="n">
        <x:v>2786614</x:v>
      </x:c>
      <x:c r="N66" s="499" t="n">
        <x:v>2786614</x:v>
      </x:c>
      <x:c r="O66" s="476" t="n">
        <x:v>0</x:v>
      </x:c>
      <x:c r="P66" s="499"/>
      <x:c r="Q66" s="499"/>
      <x:c r="R66" s="499" t="n">
        <x:f>IF(I66="","",G66-I66)</x:f>
        <x:v>0</x:v>
      </x:c>
      <x:c r="S66" s="499" t="n">
        <x:f>IF(K66="","",G66-K66)</x:f>
        <x:v>0</x:v>
      </x:c>
      <x:c r="T66" s="476" t="str">
        <x:v>Mapa base fecha com autorizado</x:v>
      </x:c>
    </x:row>
    <x:row r="67">
      <x:c r="A67" t="str">
        <x:v>41160004-2024</x:v>
      </x:c>
      <x:c r="B67" t="n">
        <x:v>2024</x:v>
      </x:c>
      <x:c r="C67" s="476" t="str">
        <x:v>MARCEL VAN HATTEM</x:v>
      </x:c>
      <x:c r="D67" s="476" t="n">
        <x:v>22</x:v>
      </x:c>
      <x:c r="E67" s="476" t="n">
        <x:v>0</x:v>
      </x:c>
      <x:c r="F67" s="476" t="n">
        <x:v>1</x:v>
      </x:c>
      <x:c r="G67" s="499" t="n">
        <x:v>7466584</x:v>
      </x:c>
      <x:c r="H67" s="499" t="n">
        <x:v>8096584</x:v>
      </x:c>
      <x:c r="I67" s="499" t="n">
        <x:v>11647034</x:v>
      </x:c>
      <x:c r="J67" s="499" t="n">
        <x:v>10846584</x:v>
      </x:c>
      <x:c r="K67" s="499" t="n">
        <x:v>8620049.01</x:v>
      </x:c>
      <x:c r="L67" s="499" t="n">
        <x:v>8620049.01</x:v>
      </x:c>
      <x:c r="M67" s="499" t="n">
        <x:v>10846584</x:v>
      </x:c>
      <x:c r="N67" s="499" t="n">
        <x:v>8668861.969999999</x:v>
      </x:c>
      <x:c r="O67" s="476" t="n">
        <x:v>7</x:v>
      </x:c>
      <x:c r="P67" s="499"/>
      <x:c r="Q67" s="499"/>
      <x:c r="R67" s="499" t="n">
        <x:f>IF(I67="","",G67-I67)</x:f>
        <x:v>-4180450</x:v>
      </x:c>
      <x:c r="S67" s="499" t="n">
        <x:f>IF(K67="","",G67-K67)</x:f>
        <x:v>-1153465.0099999998</x:v>
      </x:c>
      <x:c r="T67" s="476" t="str">
        <x:v>Mapa base cobre &lt;90% do autorizado — possível incompletude/recorte</x:v>
      </x:c>
    </x:row>
    <x:row r="68">
      <x:c r="A68" t="str">
        <x:v>41160005-2024</x:v>
      </x:c>
      <x:c r="B68" t="n">
        <x:v>2024</x:v>
      </x:c>
      <x:c r="C68" s="476" t="str">
        <x:v>MARCEL VAN HATTEM</x:v>
      </x:c>
      <x:c r="D68" s="476" t="n">
        <x:v>25</x:v>
      </x:c>
      <x:c r="E68" s="476" t="n">
        <x:v>0</x:v>
      </x:c>
      <x:c r="F68" s="476" t="n">
        <x:v>0</x:v>
      </x:c>
      <x:c r="G68" s="499" t="n">
        <x:v>6073928</x:v>
      </x:c>
      <x:c r="H68" s="499" t="n">
        <x:v>6073928</x:v>
      </x:c>
      <x:c r="I68" s="499" t="n">
        <x:v>7570000</x:v>
      </x:c>
      <x:c r="J68" s="499" t="n">
        <x:v>7570000</x:v>
      </x:c>
      <x:c r="K68" s="499" t="n">
        <x:v>3948698.72</x:v>
      </x:c>
      <x:c r="L68" s="499" t="n">
        <x:v>3948698.7199999997</x:v>
      </x:c>
      <x:c r="M68" s="499" t="n">
        <x:v>7570000</x:v>
      </x:c>
      <x:c r="N68" s="499" t="n">
        <x:v>3948698.72</x:v>
      </x:c>
      <x:c r="O68" s="476" t="n">
        <x:v>12</x:v>
      </x:c>
      <x:c r="P68" s="499"/>
      <x:c r="Q68" s="499"/>
      <x:c r="R68" s="499" t="n">
        <x:f>IF(I68="","",G68-I68)</x:f>
        <x:v>-1496072</x:v>
      </x:c>
      <x:c r="S68" s="499" t="n">
        <x:f>IF(K68="","",G68-K68)</x:f>
        <x:v>2125229.28</x:v>
      </x:c>
      <x:c r="T68" s="476" t="str">
        <x:v>Mapa base cobre &lt;90% do autorizado — possível incompletude/recorte</x:v>
      </x:c>
    </x:row>
    <x:row r="69">
      <x:c r="A69" t="str">
        <x:v>71220003-2024</x:v>
      </x:c>
      <x:c r="B69" t="n">
        <x:v>2024</x:v>
      </x:c>
      <x:c r="C69" s="476" t="str">
        <x:v>BANCADA DO RIO GRANDE DO SUL</x:v>
      </x:c>
      <x:c r="D69" s="476" t="n">
        <x:v>0</x:v>
      </x:c>
      <x:c r="E69" s="476" t="n">
        <x:v>0</x:v>
      </x:c>
      <x:c r="F69" s="476" t="n">
        <x:v>0</x:v>
      </x:c>
      <x:c r="G69" s="499" t="n">
        <x:v>0</x:v>
      </x:c>
      <x:c r="H69" s="499" t="n">
        <x:v>0</x:v>
      </x:c>
      <x:c r="I69" s="499"/>
      <x:c r="J69" s="499"/>
      <x:c r="K69" s="499"/>
      <x:c r="L69" s="499"/>
      <x:c r="M69" s="499"/>
      <x:c r="N69" s="499"/>
      <x:c r="O69" s="476" t="n">
        <x:v>3</x:v>
      </x:c>
      <x:c r="P69" s="499"/>
      <x:c r="Q69" s="499"/>
      <x:c r="R69" s="499" t="str">
        <x:f>IF(I69="","",G69-I69)</x:f>
      </x:c>
      <x:c r="S69" s="499" t="str">
        <x:f>IF(K69="","",G69-K69)</x:f>
      </x:c>
      <x:c r="T69" s="476" t="str">
        <x:v>Sem SIGA Marcel; há instrumento Transferegov (valor não somado como emenda)</x:v>
      </x:c>
    </x:row>
    <x:row r="70">
      <x:c r="A70" t="str">
        <x:v>71220008-2024</x:v>
      </x:c>
      <x:c r="B70" t="n">
        <x:v>2024</x:v>
      </x:c>
      <x:c r="C70" s="476" t="str">
        <x:v>BANCADA DO RIO GRANDE DO SUL</x:v>
      </x:c>
      <x:c r="D70" s="476" t="n">
        <x:v>0</x:v>
      </x:c>
      <x:c r="E70" s="476" t="n">
        <x:v>0</x:v>
      </x:c>
      <x:c r="F70" s="476" t="n">
        <x:v>0</x:v>
      </x:c>
      <x:c r="G70" s="499" t="n">
        <x:v>0</x:v>
      </x:c>
      <x:c r="H70" s="499" t="n">
        <x:v>0</x:v>
      </x:c>
      <x:c r="I70" s="499"/>
      <x:c r="J70" s="499"/>
      <x:c r="K70" s="499"/>
      <x:c r="L70" s="499"/>
      <x:c r="M70" s="499"/>
      <x:c r="N70" s="499"/>
      <x:c r="O70" s="476" t="n">
        <x:v>1</x:v>
      </x:c>
      <x:c r="P70" s="499"/>
      <x:c r="Q70" s="499"/>
      <x:c r="R70" s="499" t="str">
        <x:f>IF(I70="","",G70-I70)</x:f>
      </x:c>
      <x:c r="S70" s="499" t="str">
        <x:f>IF(K70="","",G70-K70)</x:f>
      </x:c>
      <x:c r="T70" s="476" t="str">
        <x:v>Sem SIGA Marcel; há instrumento Transferegov (valor não somado como emenda)</x:v>
      </x:c>
    </x:row>
    <x:row r="71">
      <x:c r="A71" t="str">
        <x:v>71220009-2024</x:v>
      </x:c>
      <x:c r="B71" t="n">
        <x:v>2024</x:v>
      </x:c>
      <x:c r="C71" s="476" t="str">
        <x:v>BANCADA DO RIO GRANDE DO SUL</x:v>
      </x:c>
      <x:c r="D71" s="476" t="n">
        <x:v>0</x:v>
      </x:c>
      <x:c r="E71" s="476" t="n">
        <x:v>0</x:v>
      </x:c>
      <x:c r="F71" s="476" t="n">
        <x:v>0</x:v>
      </x:c>
      <x:c r="G71" s="499" t="n">
        <x:v>0</x:v>
      </x:c>
      <x:c r="H71" s="499" t="n">
        <x:v>0</x:v>
      </x:c>
      <x:c r="I71" s="499"/>
      <x:c r="J71" s="499"/>
      <x:c r="K71" s="499"/>
      <x:c r="L71" s="499"/>
      <x:c r="M71" s="499"/>
      <x:c r="N71" s="499"/>
      <x:c r="O71" s="476" t="n">
        <x:v>10</x:v>
      </x:c>
      <x:c r="P71" s="499"/>
      <x:c r="Q71" s="499"/>
      <x:c r="R71" s="499" t="str">
        <x:f>IF(I71="","",G71-I71)</x:f>
      </x:c>
      <x:c r="S71" s="499" t="str">
        <x:f>IF(K71="","",G71-K71)</x:f>
      </x:c>
      <x:c r="T71" s="476" t="str">
        <x:v>Sem SIGA Marcel; há instrumento Transferegov (valor não somado como emenda)</x:v>
      </x:c>
    </x:row>
    <x:row r="72">
      <x:c r="A72" t="str">
        <x:v>71220011-2024</x:v>
      </x:c>
      <x:c r="B72" t="n">
        <x:v>2024</x:v>
      </x:c>
      <x:c r="C72" s="476" t="str">
        <x:v>BANCADA DO RIO GRANDE DO SUL</x:v>
      </x:c>
      <x:c r="D72" s="476" t="n">
        <x:v>0</x:v>
      </x:c>
      <x:c r="E72" s="476" t="n">
        <x:v>0</x:v>
      </x:c>
      <x:c r="F72" s="476" t="n">
        <x:v>0</x:v>
      </x:c>
      <x:c r="G72" s="499" t="n">
        <x:v>0</x:v>
      </x:c>
      <x:c r="H72" s="499" t="n">
        <x:v>0</x:v>
      </x:c>
      <x:c r="I72" s="499"/>
      <x:c r="J72" s="499"/>
      <x:c r="K72" s="499"/>
      <x:c r="L72" s="499"/>
      <x:c r="M72" s="499"/>
      <x:c r="N72" s="499"/>
      <x:c r="O72" s="476" t="n">
        <x:v>2</x:v>
      </x:c>
      <x:c r="P72" s="499"/>
      <x:c r="Q72" s="499"/>
      <x:c r="R72" s="499" t="str">
        <x:f>IF(I72="","",G72-I72)</x:f>
      </x:c>
      <x:c r="S72" s="499" t="str">
        <x:f>IF(K72="","",G72-K72)</x:f>
      </x:c>
      <x:c r="T72" s="476" t="str">
        <x:v>Sem SIGA Marcel; há instrumento Transferegov (valor não somado como emenda)</x:v>
      </x:c>
    </x:row>
    <x:row r="73">
      <x:c r="A73" t="str">
        <x:v>71220016-2024</x:v>
      </x:c>
      <x:c r="B73" t="n">
        <x:v>2024</x:v>
      </x:c>
      <x:c r="C73" s="476" t="str">
        <x:v>BANCADA DO RIO GRANDE DO SUL</x:v>
      </x:c>
      <x:c r="D73" s="476" t="n">
        <x:v>0</x:v>
      </x:c>
      <x:c r="E73" s="476" t="n">
        <x:v>0</x:v>
      </x:c>
      <x:c r="F73" s="476" t="n">
        <x:v>0</x:v>
      </x:c>
      <x:c r="G73" s="499" t="n">
        <x:v>0</x:v>
      </x:c>
      <x:c r="H73" s="499" t="n">
        <x:v>0</x:v>
      </x:c>
      <x:c r="I73" s="499"/>
      <x:c r="J73" s="499"/>
      <x:c r="K73" s="499"/>
      <x:c r="L73" s="499"/>
      <x:c r="M73" s="499"/>
      <x:c r="N73" s="499"/>
      <x:c r="O73" s="476" t="n">
        <x:v>1</x:v>
      </x:c>
      <x:c r="P73" s="499"/>
      <x:c r="Q73" s="499"/>
      <x:c r="R73" s="499" t="str">
        <x:f>IF(I73="","",G73-I73)</x:f>
      </x:c>
      <x:c r="S73" s="499" t="str">
        <x:f>IF(K73="","",G73-K73)</x:f>
      </x:c>
      <x:c r="T73" s="476" t="str">
        <x:v>Sem SIGA Marcel; há instrumento Transferegov (valor não somado como emenda)</x:v>
      </x:c>
    </x:row>
    <x:row r="74">
      <x:c r="A74" t="str">
        <x:v>71220017-2024</x:v>
      </x:c>
      <x:c r="B74" t="n">
        <x:v>2024</x:v>
      </x:c>
      <x:c r="C74" s="476" t="str">
        <x:v>BANCADA DO RIO GRANDE DO SUL</x:v>
      </x:c>
      <x:c r="D74" s="476" t="n">
        <x:v>0</x:v>
      </x:c>
      <x:c r="E74" s="476" t="n">
        <x:v>0</x:v>
      </x:c>
      <x:c r="F74" s="476" t="n">
        <x:v>0</x:v>
      </x:c>
      <x:c r="G74" s="499" t="n">
        <x:v>0</x:v>
      </x:c>
      <x:c r="H74" s="499" t="n">
        <x:v>0</x:v>
      </x:c>
      <x:c r="I74" s="499"/>
      <x:c r="J74" s="499"/>
      <x:c r="K74" s="499"/>
      <x:c r="L74" s="499"/>
      <x:c r="M74" s="499"/>
      <x:c r="N74" s="499"/>
      <x:c r="O74" s="476" t="n">
        <x:v>1</x:v>
      </x:c>
      <x:c r="P74" s="499"/>
      <x:c r="Q74" s="499"/>
      <x:c r="R74" s="499" t="str">
        <x:f>IF(I74="","",G74-I74)</x:f>
      </x:c>
      <x:c r="S74" s="499" t="str">
        <x:f>IF(K74="","",G74-K74)</x:f>
      </x:c>
      <x:c r="T74" s="476" t="str">
        <x:v>Sem SIGA Marcel; há instrumento Transferegov (valor não somado como emenda)</x:v>
      </x:c>
    </x:row>
    <x:row r="75">
      <x:c r="A75" t="str">
        <x:v>71230011-2024</x:v>
      </x:c>
      <x:c r="B75" t="n">
        <x:v>2024</x:v>
      </x:c>
      <x:c r="C75" s="476" t="str">
        <x:v>BANCADA DE RONDONIA</x:v>
      </x:c>
      <x:c r="D75" s="476" t="n">
        <x:v>0</x:v>
      </x:c>
      <x:c r="E75" s="476" t="n">
        <x:v>0</x:v>
      </x:c>
      <x:c r="F75" s="476" t="n">
        <x:v>0</x:v>
      </x:c>
      <x:c r="G75" s="499" t="n">
        <x:v>0</x:v>
      </x:c>
      <x:c r="H75" s="499" t="n">
        <x:v>0</x:v>
      </x:c>
      <x:c r="I75" s="499"/>
      <x:c r="J75" s="499"/>
      <x:c r="K75" s="499"/>
      <x:c r="L75" s="499"/>
      <x:c r="M75" s="499"/>
      <x:c r="N75" s="499"/>
      <x:c r="O75" s="476" t="n">
        <x:v>2</x:v>
      </x:c>
      <x:c r="P75" s="499"/>
      <x:c r="Q75" s="499"/>
      <x:c r="R75" s="499" t="str">
        <x:f>IF(I75="","",G75-I75)</x:f>
      </x:c>
      <x:c r="S75" s="499" t="str">
        <x:f>IF(K75="","",G75-K75)</x:f>
      </x:c>
      <x:c r="T75" s="476" t="str">
        <x:v>Sem SIGA Marcel; há instrumento Transferegov (valor não somado como emenda)</x:v>
      </x:c>
    </x:row>
    <x:row r="76">
      <x:c r="A76" t="str">
        <x:v>41160001-2025</x:v>
      </x:c>
      <x:c r="B76" t="n">
        <x:v>2025</x:v>
      </x:c>
      <x:c r="C76" s="476" t="str">
        <x:v>MARCEL VAN HATTEM</x:v>
      </x:c>
      <x:c r="D76" s="476" t="n">
        <x:v>11</x:v>
      </x:c>
      <x:c r="E76" s="476" t="n">
        <x:v>0</x:v>
      </x:c>
      <x:c r="F76" s="476" t="n">
        <x:v>0</x:v>
      </x:c>
      <x:c r="G76" s="499" t="n">
        <x:v>1670655</x:v>
      </x:c>
      <x:c r="H76" s="499" t="n">
        <x:v>1670655</x:v>
      </x:c>
      <x:c r="I76" s="499" t="n">
        <x:v>1800960</x:v>
      </x:c>
      <x:c r="J76" s="499" t="n">
        <x:v>1800959</x:v>
      </x:c>
      <x:c r="K76" s="499" t="n">
        <x:v>1800959</x:v>
      </x:c>
      <x:c r="L76" s="499" t="n">
        <x:v>1800959</x:v>
      </x:c>
      <x:c r="M76" s="499" t="n">
        <x:v>1800959</x:v>
      </x:c>
      <x:c r="N76" s="499" t="n">
        <x:v>1800959</x:v>
      </x:c>
      <x:c r="O76" s="476" t="n">
        <x:v>0</x:v>
      </x:c>
      <x:c r="P76" s="499"/>
      <x:c r="Q76" s="499"/>
      <x:c r="R76" s="499" t="n">
        <x:f>IF(I76="","",G76-I76)</x:f>
        <x:v>-130305</x:v>
      </x:c>
      <x:c r="S76" s="499" t="n">
        <x:f>IF(K76="","",G76-K76)</x:f>
        <x:v>-130304</x:v>
      </x:c>
      <x:c r="T76" s="476" t="str">
        <x:v>Diferença moderada de cobertura/execução</x:v>
      </x:c>
    </x:row>
    <x:row r="77">
      <x:c r="A77" t="str">
        <x:v>41160002-2025</x:v>
      </x:c>
      <x:c r="B77" t="n">
        <x:v>2025</x:v>
      </x:c>
      <x:c r="C77" s="476" t="str">
        <x:v>MARCEL VAN HATTEM</x:v>
      </x:c>
      <x:c r="D77" s="476" t="n">
        <x:v>21</x:v>
      </x:c>
      <x:c r="E77" s="476" t="n">
        <x:v>0</x:v>
      </x:c>
      <x:c r="F77" s="476" t="n">
        <x:v>0</x:v>
      </x:c>
      <x:c r="G77" s="499" t="n">
        <x:v>4744051</x:v>
      </x:c>
      <x:c r="H77" s="499" t="n">
        <x:v>4744051</x:v>
      </x:c>
      <x:c r="I77" s="499" t="n">
        <x:v>4030558</x:v>
      </x:c>
      <x:c r="J77" s="499" t="n">
        <x:v>4030558</x:v>
      </x:c>
      <x:c r="K77" s="499" t="n">
        <x:v>4030558</x:v>
      </x:c>
      <x:c r="L77" s="499" t="n">
        <x:v>4030558</x:v>
      </x:c>
      <x:c r="M77" s="499" t="n">
        <x:v>4030558</x:v>
      </x:c>
      <x:c r="N77" s="499" t="n">
        <x:v>4030558</x:v>
      </x:c>
      <x:c r="O77" s="476" t="n">
        <x:v>0</x:v>
      </x:c>
      <x:c r="P77" s="499"/>
      <x:c r="Q77" s="499"/>
      <x:c r="R77" s="499" t="n">
        <x:f>IF(I77="","",G77-I77)</x:f>
        <x:v>713493</x:v>
      </x:c>
      <x:c r="S77" s="499" t="n">
        <x:f>IF(K77="","",G77-K77)</x:f>
        <x:v>713493</x:v>
      </x:c>
      <x:c r="T77" s="476" t="str">
        <x:v>Mapa base excede autorizado atual &gt;10% — revisar</x:v>
      </x:c>
    </x:row>
    <x:row r="78">
      <x:c r="A78" t="str">
        <x:v>41160003-2025</x:v>
      </x:c>
      <x:c r="B78" t="n">
        <x:v>2025</x:v>
      </x:c>
      <x:c r="C78" s="476" t="str">
        <x:v>MARCEL VAN HATTEM</x:v>
      </x:c>
      <x:c r="D78" s="476" t="n">
        <x:v>14</x:v>
      </x:c>
      <x:c r="E78" s="476" t="n">
        <x:v>0</x:v>
      </x:c>
      <x:c r="F78" s="476" t="n">
        <x:v>0</x:v>
      </x:c>
      <x:c r="G78" s="499" t="n">
        <x:v>2840369</x:v>
      </x:c>
      <x:c r="H78" s="499" t="n">
        <x:v>2840369</x:v>
      </x:c>
      <x:c r="I78" s="499" t="n">
        <x:v>2839587</x:v>
      </x:c>
      <x:c r="J78" s="499" t="n">
        <x:v>2839587</x:v>
      </x:c>
      <x:c r="K78" s="499" t="n">
        <x:v>2639587</x:v>
      </x:c>
      <x:c r="L78" s="499" t="n">
        <x:v>2639587</x:v>
      </x:c>
      <x:c r="M78" s="499" t="n">
        <x:v>3079587</x:v>
      </x:c>
      <x:c r="N78" s="499" t="n">
        <x:v>2639587</x:v>
      </x:c>
      <x:c r="O78" s="476" t="n">
        <x:v>0</x:v>
      </x:c>
      <x:c r="P78" s="499"/>
      <x:c r="Q78" s="499"/>
      <x:c r="R78" s="499" t="n">
        <x:f>IF(I78="","",G78-I78)</x:f>
        <x:v>782</x:v>
      </x:c>
      <x:c r="S78" s="499" t="n">
        <x:f>IF(K78="","",G78-K78)</x:f>
        <x:v>200782</x:v>
      </x:c>
      <x:c r="T78" s="476" t="str">
        <x:v>Mapa base fecha com autorizado</x:v>
      </x:c>
    </x:row>
    <x:row r="79">
      <x:c r="A79" t="str">
        <x:v>41160004-2025</x:v>
      </x:c>
      <x:c r="B79" t="n">
        <x:v>2025</x:v>
      </x:c>
      <x:c r="C79" s="476" t="str">
        <x:v>MARCEL VAN HATTEM</x:v>
      </x:c>
      <x:c r="D79" s="476" t="n">
        <x:v>45</x:v>
      </x:c>
      <x:c r="E79" s="476" t="n">
        <x:v>0</x:v>
      </x:c>
      <x:c r="F79" s="476" t="n">
        <x:v>0</x:v>
      </x:c>
      <x:c r="G79" s="499" t="n">
        <x:v>14319020</x:v>
      </x:c>
      <x:c r="H79" s="499" t="n">
        <x:v>14319020</x:v>
      </x:c>
      <x:c r="I79" s="499" t="n">
        <x:v>12898587</x:v>
      </x:c>
      <x:c r="J79" s="499" t="n">
        <x:v>12868478</x:v>
      </x:c>
      <x:c r="K79" s="499" t="n">
        <x:v>5697074.95</x:v>
      </x:c>
      <x:c r="L79" s="499" t="n">
        <x:v>5697074.95</x:v>
      </x:c>
      <x:c r="M79" s="499" t="n">
        <x:v>12872614</x:v>
      </x:c>
      <x:c r="N79" s="499" t="n">
        <x:v>5697074.95</x:v>
      </x:c>
      <x:c r="O79" s="476" t="n">
        <x:v>25</x:v>
      </x:c>
      <x:c r="P79" s="499"/>
      <x:c r="Q79" s="499"/>
      <x:c r="R79" s="499" t="n">
        <x:f>IF(I79="","",G79-I79)</x:f>
        <x:v>1420433</x:v>
      </x:c>
      <x:c r="S79" s="499" t="n">
        <x:f>IF(K79="","",G79-K79)</x:f>
        <x:v>8621945.05</x:v>
      </x:c>
      <x:c r="T79" s="476" t="str">
        <x:v>Mapa base excede autorizado atual &gt;10% — revisar</x:v>
      </x:c>
    </x:row>
    <x:row r="80">
      <x:c r="A80" t="str">
        <x:v>41160005-2025</x:v>
      </x:c>
      <x:c r="B80" t="n">
        <x:v>2025</x:v>
      </x:c>
      <x:c r="C80" s="476" t="str">
        <x:v>MARCEL VAN HATTEM</x:v>
      </x:c>
      <x:c r="D80" s="476" t="n">
        <x:v>14</x:v>
      </x:c>
      <x:c r="E80" s="476" t="n">
        <x:v>0</x:v>
      </x:c>
      <x:c r="F80" s="476" t="n">
        <x:v>0</x:v>
      </x:c>
      <x:c r="G80" s="499" t="n">
        <x:v>6947160</x:v>
      </x:c>
      <x:c r="H80" s="499" t="n">
        <x:v>6947160</x:v>
      </x:c>
      <x:c r="I80" s="499" t="n">
        <x:v>6907187</x:v>
      </x:c>
      <x:c r="J80" s="499" t="n">
        <x:v>6907187</x:v>
      </x:c>
      <x:c r="K80" s="499" t="n">
        <x:v>1214474.02</x:v>
      </x:c>
      <x:c r="L80" s="499" t="n">
        <x:v>1214474.02</x:v>
      </x:c>
      <x:c r="M80" s="499" t="n">
        <x:v>7307187</x:v>
      </x:c>
      <x:c r="N80" s="499" t="n">
        <x:v>1214474.02</x:v>
      </x:c>
      <x:c r="O80" s="476" t="n">
        <x:v>14</x:v>
      </x:c>
      <x:c r="P80" s="499"/>
      <x:c r="Q80" s="499"/>
      <x:c r="R80" s="499" t="n">
        <x:f>IF(I80="","",G80-I80)</x:f>
        <x:v>39973</x:v>
      </x:c>
      <x:c r="S80" s="499" t="n">
        <x:f>IF(K80="","",G80-K80)</x:f>
        <x:v>5732685.98</x:v>
      </x:c>
      <x:c r="T80" s="476" t="str">
        <x:v>Diferença moderada de cobertura/execução</x:v>
      </x:c>
    </x:row>
    <x:row r="81">
      <x:c r="A81" t="str">
        <x:v>41160006-2025</x:v>
      </x:c>
      <x:c r="B81" t="n">
        <x:v>2025</x:v>
      </x:c>
      <x:c r="C81" s="476" t="str">
        <x:v>MARCEL VAN HATTEM</x:v>
      </x:c>
      <x:c r="D81" s="476" t="n">
        <x:v>1</x:v>
      </x:c>
      <x:c r="E81" s="476" t="n">
        <x:v>0</x:v>
      </x:c>
      <x:c r="F81" s="476" t="n">
        <x:v>0</x:v>
      </x:c>
      <x:c r="G81" s="499" t="n">
        <x:v>500000</x:v>
      </x:c>
      <x:c r="H81" s="499" t="n">
        <x:v>500000</x:v>
      </x:c>
      <x:c r="I81" s="499" t="n">
        <x:v>1000000</x:v>
      </x:c>
      <x:c r="J81" s="499" t="n">
        <x:v>999843.78</x:v>
      </x:c>
      <x:c r="K81" s="499" t="n">
        <x:v>663339.77</x:v>
      </x:c>
      <x:c r="L81" s="499" t="n">
        <x:v>663339.77</x:v>
      </x:c>
      <x:c r="M81" s="499" t="n">
        <x:v>999843.78</x:v>
      </x:c>
      <x:c r="N81" s="499" t="n">
        <x:v>663339.77</x:v>
      </x:c>
      <x:c r="O81" s="476" t="n">
        <x:v>0</x:v>
      </x:c>
      <x:c r="P81" s="499"/>
      <x:c r="Q81" s="499"/>
      <x:c r="R81" s="499" t="n">
        <x:f>IF(I81="","",G81-I81)</x:f>
        <x:v>-500000</x:v>
      </x:c>
      <x:c r="S81" s="499" t="n">
        <x:f>IF(K81="","",G81-K81)</x:f>
        <x:v>-163339.77000000002</x:v>
      </x:c>
      <x:c r="T81" s="476" t="str">
        <x:v>Mapa base cobre &lt;90% do autorizado — possível incompletude/recorte</x:v>
      </x:c>
    </x:row>
    <x:row r="82">
      <x:c r="A82" t="str">
        <x:v>41160007-2025</x:v>
      </x:c>
      <x:c r="B82" t="n">
        <x:v>2025</x:v>
      </x:c>
      <x:c r="C82" s="476" t="str">
        <x:v>MARCEL VAN HATTEM</x:v>
      </x:c>
      <x:c r="D82" s="476" t="n">
        <x:v>1</x:v>
      </x:c>
      <x:c r="E82" s="476" t="n">
        <x:v>0</x:v>
      </x:c>
      <x:c r="F82" s="476" t="n">
        <x:v>0</x:v>
      </x:c>
      <x:c r="G82" s="499" t="n">
        <x:v>400000</x:v>
      </x:c>
      <x:c r="H82" s="499" t="n">
        <x:v>400000</x:v>
      </x:c>
      <x:c r="I82" s="499" t="n">
        <x:v>400000</x:v>
      </x:c>
      <x:c r="J82" s="499" t="n">
        <x:v>400000</x:v>
      </x:c>
      <x:c r="K82" s="499" t="n">
        <x:v>400000</x:v>
      </x:c>
      <x:c r="L82" s="499" t="n">
        <x:v>400000</x:v>
      </x:c>
      <x:c r="M82" s="499" t="n">
        <x:v>400000</x:v>
      </x:c>
      <x:c r="N82" s="499" t="n">
        <x:v>400000</x:v>
      </x:c>
      <x:c r="O82" s="476" t="n">
        <x:v>0</x:v>
      </x:c>
      <x:c r="P82" s="499" t="n">
        <x:v>396000</x:v>
      </x:c>
      <x:c r="Q82" s="499" t="n">
        <x:v>990000</x:v>
      </x:c>
      <x:c r="R82" s="499" t="n">
        <x:f>IF(I82="","",G82-I82)</x:f>
        <x:v>0</x:v>
      </x:c>
      <x:c r="S82" s="499" t="n">
        <x:f>IF(K82="","",G82-K82)</x:f>
        <x:v>0</x:v>
      </x:c>
      <x:c r="T82" s="476" t="str">
        <x:v>Mapa base fecha com autorizado</x:v>
      </x:c>
    </x:row>
    <x:row r="83">
      <x:c r="A83" t="str">
        <x:v>41160008-2025</x:v>
      </x:c>
      <x:c r="B83" t="n">
        <x:v>2025</x:v>
      </x:c>
      <x:c r="C83" s="476" t="str">
        <x:v>MARCEL VAN HATTEM</x:v>
      </x:c>
      <x:c r="D83" s="476" t="n">
        <x:v>19</x:v>
      </x:c>
      <x:c r="E83" s="476" t="n">
        <x:v>0</x:v>
      </x:c>
      <x:c r="F83" s="476" t="n">
        <x:v>0</x:v>
      </x:c>
      <x:c r="G83" s="499" t="n">
        <x:v>7399106</x:v>
      </x:c>
      <x:c r="H83" s="499" t="n">
        <x:v>7399106</x:v>
      </x:c>
      <x:c r="I83" s="499" t="n">
        <x:v>7399106</x:v>
      </x:c>
      <x:c r="J83" s="499" t="n">
        <x:v>7399103.94</x:v>
      </x:c>
      <x:c r="K83" s="499" t="n">
        <x:v>7325114.94</x:v>
      </x:c>
      <x:c r="L83" s="499" t="n">
        <x:v>7325114.94</x:v>
      </x:c>
      <x:c r="M83" s="499" t="n">
        <x:v>7399103.94</x:v>
      </x:c>
      <x:c r="N83" s="499" t="n">
        <x:v>7325114.94</x:v>
      </x:c>
      <x:c r="O83" s="476" t="n">
        <x:v>0</x:v>
      </x:c>
      <x:c r="P83" s="499" t="n">
        <x:v>7325114.94</x:v>
      </x:c>
      <x:c r="Q83" s="499" t="n">
        <x:v>396000</x:v>
      </x:c>
      <x:c r="R83" s="499" t="n">
        <x:f>IF(I83="","",G83-I83)</x:f>
        <x:v>0</x:v>
      </x:c>
      <x:c r="S83" s="499" t="n">
        <x:f>IF(K83="","",G83-K83)</x:f>
        <x:v>73991.05999999959</x:v>
      </x:c>
      <x:c r="T83" s="476" t="str">
        <x:v>Mapa base fecha com autorizado</x:v>
      </x:c>
    </x:row>
    <x:row r="84">
      <x:c r="A84" t="str">
        <x:v>71220002-2025</x:v>
      </x:c>
      <x:c r="B84" t="n">
        <x:v>2025</x:v>
      </x:c>
      <x:c r="C84" s="476" t="str">
        <x:v>BANCADA DO RIO GRANDE DO SUL</x:v>
      </x:c>
      <x:c r="D84" s="476" t="n">
        <x:v>0</x:v>
      </x:c>
      <x:c r="E84" s="476" t="n">
        <x:v>0</x:v>
      </x:c>
      <x:c r="F84" s="476" t="n">
        <x:v>0</x:v>
      </x:c>
      <x:c r="G84" s="499" t="n">
        <x:v>0</x:v>
      </x:c>
      <x:c r="H84" s="499" t="n">
        <x:v>0</x:v>
      </x:c>
      <x:c r="I84" s="499"/>
      <x:c r="J84" s="499"/>
      <x:c r="K84" s="499"/>
      <x:c r="L84" s="499"/>
      <x:c r="M84" s="499"/>
      <x:c r="N84" s="499"/>
      <x:c r="O84" s="476" t="n">
        <x:v>1</x:v>
      </x:c>
      <x:c r="P84" s="499"/>
      <x:c r="Q84" s="499"/>
      <x:c r="R84" s="499" t="str">
        <x:f>IF(I84="","",G84-I84)</x:f>
      </x:c>
      <x:c r="S84" s="499" t="str">
        <x:f>IF(K84="","",G84-K84)</x:f>
      </x:c>
      <x:c r="T84" s="476" t="str">
        <x:v>Sem SIGA Marcel; há instrumento Transferegov (valor não somado como emenda)</x:v>
      </x:c>
    </x:row>
    <x:row r="85">
      <x:c r="A85" t="str">
        <x:v>71220003-2025</x:v>
      </x:c>
      <x:c r="B85" t="n">
        <x:v>2025</x:v>
      </x:c>
      <x:c r="C85" s="476" t="str">
        <x:v>BANCADA DO RIO GRANDE DO SUL</x:v>
      </x:c>
      <x:c r="D85" s="476" t="n">
        <x:v>0</x:v>
      </x:c>
      <x:c r="E85" s="476" t="n">
        <x:v>0</x:v>
      </x:c>
      <x:c r="F85" s="476" t="n">
        <x:v>0</x:v>
      </x:c>
      <x:c r="G85" s="499" t="n">
        <x:v>0</x:v>
      </x:c>
      <x:c r="H85" s="499" t="n">
        <x:v>0</x:v>
      </x:c>
      <x:c r="I85" s="499"/>
      <x:c r="J85" s="499"/>
      <x:c r="K85" s="499"/>
      <x:c r="L85" s="499"/>
      <x:c r="M85" s="499"/>
      <x:c r="N85" s="499"/>
      <x:c r="O85" s="476" t="n">
        <x:v>3</x:v>
      </x:c>
      <x:c r="P85" s="499"/>
      <x:c r="Q85" s="499"/>
      <x:c r="R85" s="499" t="str">
        <x:f>IF(I85="","",G85-I85)</x:f>
      </x:c>
      <x:c r="S85" s="499" t="str">
        <x:f>IF(K85="","",G85-K85)</x:f>
      </x:c>
      <x:c r="T85" s="476" t="str">
        <x:v>Sem SIGA Marcel; há instrumento Transferegov (valor não somado como emenda)</x:v>
      </x:c>
    </x:row>
    <x:row r="86">
      <x:c r="A86" t="str">
        <x:v>71220006-2025</x:v>
      </x:c>
      <x:c r="B86" t="n">
        <x:v>2025</x:v>
      </x:c>
      <x:c r="C86" s="476" t="str">
        <x:v>BANCADA DO RIO GRANDE DO SUL</x:v>
      </x:c>
      <x:c r="D86" s="476" t="n">
        <x:v>0</x:v>
      </x:c>
      <x:c r="E86" s="476" t="n">
        <x:v>0</x:v>
      </x:c>
      <x:c r="F86" s="476" t="n">
        <x:v>0</x:v>
      </x:c>
      <x:c r="G86" s="499" t="n">
        <x:v>0</x:v>
      </x:c>
      <x:c r="H86" s="499" t="n">
        <x:v>0</x:v>
      </x:c>
      <x:c r="I86" s="499"/>
      <x:c r="J86" s="499"/>
      <x:c r="K86" s="499"/>
      <x:c r="L86" s="499"/>
      <x:c r="M86" s="499"/>
      <x:c r="N86" s="499"/>
      <x:c r="O86" s="476" t="n">
        <x:v>1</x:v>
      </x:c>
      <x:c r="P86" s="499"/>
      <x:c r="Q86" s="499"/>
      <x:c r="R86" s="499" t="str">
        <x:f>IF(I86="","",G86-I86)</x:f>
      </x:c>
      <x:c r="S86" s="499" t="str">
        <x:f>IF(K86="","",G86-K86)</x:f>
      </x:c>
      <x:c r="T86" s="476" t="str">
        <x:v>Sem SIGA Marcel; há instrumento Transferegov (valor não somado como emenda)</x:v>
      </x:c>
    </x:row>
    <x:row r="87">
      <x:c r="A87" t="str">
        <x:v>71220007-2025</x:v>
      </x:c>
      <x:c r="B87" t="n">
        <x:v>2025</x:v>
      </x:c>
      <x:c r="C87" s="476" t="str">
        <x:v>BANCADA DO RIO GRANDE DO SUL</x:v>
      </x:c>
      <x:c r="D87" s="476" t="n">
        <x:v>0</x:v>
      </x:c>
      <x:c r="E87" s="476" t="n">
        <x:v>0</x:v>
      </x:c>
      <x:c r="F87" s="476" t="n">
        <x:v>0</x:v>
      </x:c>
      <x:c r="G87" s="499" t="n">
        <x:v>0</x:v>
      </x:c>
      <x:c r="H87" s="499" t="n">
        <x:v>0</x:v>
      </x:c>
      <x:c r="I87" s="499"/>
      <x:c r="J87" s="499"/>
      <x:c r="K87" s="499"/>
      <x:c r="L87" s="499"/>
      <x:c r="M87" s="499"/>
      <x:c r="N87" s="499"/>
      <x:c r="O87" s="476" t="n">
        <x:v>1</x:v>
      </x:c>
      <x:c r="P87" s="499"/>
      <x:c r="Q87" s="499"/>
      <x:c r="R87" s="499" t="str">
        <x:f>IF(I87="","",G87-I87)</x:f>
      </x:c>
      <x:c r="S87" s="499" t="str">
        <x:f>IF(K87="","",G87-K87)</x:f>
      </x:c>
      <x:c r="T87" s="476" t="str">
        <x:v>Sem SIGA Marcel; há instrumento Transferegov (valor não somado como emenda)</x:v>
      </x:c>
    </x:row>
    <x:row r="88">
      <x:c r="A88" t="str">
        <x:v>71220010-2025</x:v>
      </x:c>
      <x:c r="B88" t="n">
        <x:v>2025</x:v>
      </x:c>
      <x:c r="C88" s="476" t="str">
        <x:v>BANCADA DO RIO GRANDE DO SUL</x:v>
      </x:c>
      <x:c r="D88" s="476" t="n">
        <x:v>0</x:v>
      </x:c>
      <x:c r="E88" s="476" t="n">
        <x:v>0</x:v>
      </x:c>
      <x:c r="F88" s="476" t="n">
        <x:v>0</x:v>
      </x:c>
      <x:c r="G88" s="499" t="n">
        <x:v>0</x:v>
      </x:c>
      <x:c r="H88" s="499" t="n">
        <x:v>0</x:v>
      </x:c>
      <x:c r="I88" s="499"/>
      <x:c r="J88" s="499"/>
      <x:c r="K88" s="499"/>
      <x:c r="L88" s="499"/>
      <x:c r="M88" s="499"/>
      <x:c r="N88" s="499"/>
      <x:c r="O88" s="476" t="n">
        <x:v>1</x:v>
      </x:c>
      <x:c r="P88" s="499"/>
      <x:c r="Q88" s="499"/>
      <x:c r="R88" s="499" t="str">
        <x:f>IF(I88="","",G88-I88)</x:f>
      </x:c>
      <x:c r="S88" s="499" t="str">
        <x:f>IF(K88="","",G88-K88)</x:f>
      </x:c>
      <x:c r="T88" s="476" t="str">
        <x:v>Sem SIGA Marcel; há instrumento Transferegov (valor não somado como emenda)</x:v>
      </x:c>
    </x:row>
    <x:row r="89">
      <x:c r="A89" t="str">
        <x:v>41160003-2026</x:v>
      </x:c>
      <x:c r="B89" t="n">
        <x:v>2026</x:v>
      </x:c>
      <x:c r="C89" s="476" t="str">
        <x:v>MARCEL VAN HATTEM</x:v>
      </x:c>
      <x:c r="D89" s="476" t="n">
        <x:v>29</x:v>
      </x:c>
      <x:c r="E89" s="476" t="n">
        <x:v>0</x:v>
      </x:c>
      <x:c r="F89" s="476" t="n">
        <x:v>0</x:v>
      </x:c>
      <x:c r="G89" s="499" t="n">
        <x:v>9672676</x:v>
      </x:c>
      <x:c r="H89" s="499" t="n">
        <x:v>9672676</x:v>
      </x:c>
      <x:c r="I89" s="499" t="n">
        <x:v>11727607</x:v>
      </x:c>
      <x:c r="J89" s="499" t="n">
        <x:v>7155283</x:v>
      </x:c>
      <x:c r="K89" s="499" t="n">
        <x:v>206531</x:v>
      </x:c>
      <x:c r="L89" s="499" t="n">
        <x:v>206531</x:v>
      </x:c>
      <x:c r="M89" s="499" t="n">
        <x:v>7155283</x:v>
      </x:c>
      <x:c r="N89" s="499" t="n">
        <x:v>206531</x:v>
      </x:c>
      <x:c r="O89" s="476" t="n">
        <x:v>14</x:v>
      </x:c>
      <x:c r="P89" s="499"/>
      <x:c r="Q89" s="499"/>
      <x:c r="R89" s="499" t="n">
        <x:f>IF(I89="","",G89-I89)</x:f>
        <x:v>-2054931</x:v>
      </x:c>
      <x:c r="S89" s="499" t="n">
        <x:f>IF(K89="","",G89-K89)</x:f>
        <x:v>9466145</x:v>
      </x:c>
      <x:c r="T89" s="476" t="str">
        <x:v>Mapa base cobre &lt;90% do autorizado — possível incompletude/recorte</x:v>
      </x:c>
    </x:row>
    <x:row r="90">
      <x:c r="A90" t="str">
        <x:v>41160004-2026</x:v>
      </x:c>
      <x:c r="B90" t="n">
        <x:v>2026</x:v>
      </x:c>
      <x:c r="C90" s="476" t="str">
        <x:v>MARCEL VAN HATTEM</x:v>
      </x:c>
      <x:c r="D90" s="476" t="n">
        <x:v>0</x:v>
      </x:c>
      <x:c r="E90" s="476" t="n">
        <x:v>0</x:v>
      </x:c>
      <x:c r="F90" s="476" t="n">
        <x:v>0</x:v>
      </x:c>
      <x:c r="G90" s="499" t="n">
        <x:v>0</x:v>
      </x:c>
      <x:c r="H90" s="499" t="n">
        <x:v>0</x:v>
      </x:c>
      <x:c r="I90" s="499" t="n">
        <x:v>1151361</x:v>
      </x:c>
      <x:c r="J90" s="499" t="n">
        <x:v>0</x:v>
      </x:c>
      <x:c r="K90" s="499" t="n">
        <x:v>0</x:v>
      </x:c>
      <x:c r="L90" s="499"/>
      <x:c r="M90" s="499"/>
      <x:c r="N90" s="499"/>
      <x:c r="O90" s="476" t="n">
        <x:v>0</x:v>
      </x:c>
      <x:c r="P90" s="499"/>
      <x:c r="Q90" s="499"/>
      <x:c r="R90" s="499" t="n">
        <x:f>IF(I90="","",G90-I90)</x:f>
        <x:v>-1151361</x:v>
      </x:c>
      <x:c r="S90" s="499" t="str">
        <x:f>IF(K90="","",G90-K90)</x:f>
      </x:c>
      <x:c r="T90" s="476" t="str">
        <x:v>Mapa base cobre &lt;90% do autorizado — possível incompletude/recorte</x:v>
      </x:c>
    </x:row>
    <x:row r="91">
      <x:c r="A91" t="str">
        <x:v>41160005-2026</x:v>
      </x:c>
      <x:c r="B91" t="n">
        <x:v>2026</x:v>
      </x:c>
      <x:c r="C91" s="476" t="str">
        <x:v>MARCEL VAN HATTEM</x:v>
      </x:c>
      <x:c r="D91" s="476" t="n">
        <x:v>14</x:v>
      </x:c>
      <x:c r="E91" s="476" t="n">
        <x:v>0</x:v>
      </x:c>
      <x:c r="F91" s="476" t="n">
        <x:v>0</x:v>
      </x:c>
      <x:c r="G91" s="499" t="n">
        <x:v>1798000</x:v>
      </x:c>
      <x:c r="H91" s="499" t="n">
        <x:v>1798000</x:v>
      </x:c>
      <x:c r="I91" s="499" t="n">
        <x:v>2537533</x:v>
      </x:c>
      <x:c r="J91" s="499" t="n">
        <x:v>1348000</x:v>
      </x:c>
      <x:c r="K91" s="499" t="n">
        <x:v>1198000</x:v>
      </x:c>
      <x:c r="L91" s="499" t="n">
        <x:v>1198000</x:v>
      </x:c>
      <x:c r="M91" s="499" t="n">
        <x:v>1348000</x:v>
      </x:c>
      <x:c r="N91" s="499" t="n">
        <x:v>1198000</x:v>
      </x:c>
      <x:c r="O91" s="476" t="n">
        <x:v>0</x:v>
      </x:c>
      <x:c r="P91" s="499"/>
      <x:c r="Q91" s="499"/>
      <x:c r="R91" s="499" t="n">
        <x:f>IF(I91="","",G91-I91)</x:f>
        <x:v>-739533</x:v>
      </x:c>
      <x:c r="S91" s="499" t="n">
        <x:f>IF(K91="","",G91-K91)</x:f>
        <x:v>600000</x:v>
      </x:c>
      <x:c r="T91" s="476" t="str">
        <x:v>Mapa base cobre &lt;90% do autorizado — possível incompletude/recorte</x:v>
      </x:c>
    </x:row>
    <x:row r="92">
      <x:c r="A92" t="str">
        <x:v>41160006-2026</x:v>
      </x:c>
      <x:c r="B92" t="n">
        <x:v>2026</x:v>
      </x:c>
      <x:c r="C92" s="476" t="str">
        <x:v>MARCEL VAN HATTEM</x:v>
      </x:c>
      <x:c r="D92" s="476" t="n">
        <x:v>0</x:v>
      </x:c>
      <x:c r="E92" s="476" t="n">
        <x:v>0</x:v>
      </x:c>
      <x:c r="F92" s="476" t="n">
        <x:v>0</x:v>
      </x:c>
      <x:c r="G92" s="499" t="n">
        <x:v>0</x:v>
      </x:c>
      <x:c r="H92" s="499" t="n">
        <x:v>0</x:v>
      </x:c>
      <x:c r="I92" s="499" t="n">
        <x:v>100</x:v>
      </x:c>
      <x:c r="J92" s="499" t="n">
        <x:v>0</x:v>
      </x:c>
      <x:c r="K92" s="499" t="n">
        <x:v>0</x:v>
      </x:c>
      <x:c r="L92" s="499"/>
      <x:c r="M92" s="499"/>
      <x:c r="N92" s="499"/>
      <x:c r="O92" s="476" t="n">
        <x:v>0</x:v>
      </x:c>
      <x:c r="P92" s="499"/>
      <x:c r="Q92" s="499"/>
      <x:c r="R92" s="499" t="n">
        <x:f>IF(I92="","",G92-I92)</x:f>
        <x:v>-100</x:v>
      </x:c>
      <x:c r="S92" s="499" t="str">
        <x:f>IF(K92="","",G92-K92)</x:f>
      </x:c>
      <x:c r="T92" s="476" t="str">
        <x:v>Mapa base cobre &lt;90% do autorizado — possível incompletude/recorte</x:v>
      </x:c>
    </x:row>
    <x:row r="93">
      <x:c r="A93" t="str">
        <x:v>41160007-2026</x:v>
      </x:c>
      <x:c r="B93" t="n">
        <x:v>2026</x:v>
      </x:c>
      <x:c r="C93" s="476" t="str">
        <x:v>MARCEL VAN HATTEM</x:v>
      </x:c>
      <x:c r="D93" s="476" t="n">
        <x:v>0</x:v>
      </x:c>
      <x:c r="E93" s="476" t="n">
        <x:v>0</x:v>
      </x:c>
      <x:c r="F93" s="476" t="n">
        <x:v>0</x:v>
      </x:c>
      <x:c r="G93" s="499" t="n">
        <x:v>0</x:v>
      </x:c>
      <x:c r="H93" s="499" t="n">
        <x:v>0</x:v>
      </x:c>
      <x:c r="I93" s="499" t="n">
        <x:v>500100</x:v>
      </x:c>
      <x:c r="J93" s="499" t="n">
        <x:v>0</x:v>
      </x:c>
      <x:c r="K93" s="499" t="n">
        <x:v>0</x:v>
      </x:c>
      <x:c r="L93" s="499"/>
      <x:c r="M93" s="499"/>
      <x:c r="N93" s="499"/>
      <x:c r="O93" s="476" t="n">
        <x:v>0</x:v>
      </x:c>
      <x:c r="P93" s="499"/>
      <x:c r="Q93" s="499"/>
      <x:c r="R93" s="499" t="n">
        <x:f>IF(I93="","",G93-I93)</x:f>
        <x:v>-500100</x:v>
      </x:c>
      <x:c r="S93" s="499" t="str">
        <x:f>IF(K93="","",G93-K93)</x:f>
      </x:c>
      <x:c r="T93" s="476" t="str">
        <x:v>Mapa base cobre &lt;90% do autorizado — possível incompletude/recorte</x:v>
      </x:c>
    </x:row>
    <x:row r="94">
      <x:c r="A94" t="str">
        <x:v>41160008-2026</x:v>
      </x:c>
      <x:c r="B94" t="n">
        <x:v>2026</x:v>
      </x:c>
      <x:c r="C94" s="476" t="str">
        <x:v>MARCEL VAN HATTEM</x:v>
      </x:c>
      <x:c r="D94" s="476" t="n">
        <x:v>17</x:v>
      </x:c>
      <x:c r="E94" s="476" t="n">
        <x:v>0</x:v>
      </x:c>
      <x:c r="F94" s="476" t="n">
        <x:v>0</x:v>
      </x:c>
      <x:c r="G94" s="499" t="n">
        <x:v>7505600</x:v>
      </x:c>
      <x:c r="H94" s="499" t="n">
        <x:v>7505600</x:v>
      </x:c>
      <x:c r="I94" s="499" t="n">
        <x:v>10020000</x:v>
      </x:c>
      <x:c r="J94" s="499" t="n">
        <x:v>5876072</x:v>
      </x:c>
      <x:c r="K94" s="499" t="n">
        <x:v>4074349.1</x:v>
      </x:c>
      <x:c r="L94" s="499" t="n">
        <x:v>4074349.1</x:v>
      </x:c>
      <x:c r="M94" s="499" t="n">
        <x:v>5876072</x:v>
      </x:c>
      <x:c r="N94" s="499" t="n">
        <x:v>4074349.1</x:v>
      </x:c>
      <x:c r="O94" s="476" t="n">
        <x:v>0</x:v>
      </x:c>
      <x:c r="P94" s="499" t="n">
        <x:v>5876072</x:v>
      </x:c>
      <x:c r="Q94" s="499" t="n">
        <x:v>1592000</x:v>
      </x:c>
      <x:c r="R94" s="499" t="n">
        <x:f>IF(I94="","",G94-I94)</x:f>
        <x:v>-2514400</x:v>
      </x:c>
      <x:c r="S94" s="499" t="n">
        <x:f>IF(K94="","",G94-K94)</x:f>
        <x:v>3431250.9</x:v>
      </x:c>
      <x:c r="T94" s="476" t="str">
        <x:v>Mapa base cobre &lt;90% do autorizado — possível incompletude/recorte</x:v>
      </x:c>
    </x:row>
    <x:row r="95">
      <x:c r="A95" t="str">
        <x:v>41160009-2026</x:v>
      </x:c>
      <x:c r="B95" t="n">
        <x:v>2026</x:v>
      </x:c>
      <x:c r="C95" s="476" t="str">
        <x:v>MARCEL VAN HATTEM</x:v>
      </x:c>
      <x:c r="D95" s="476" t="n">
        <x:v>0</x:v>
      </x:c>
      <x:c r="E95" s="476" t="n">
        <x:v>0</x:v>
      </x:c>
      <x:c r="F95" s="476" t="n">
        <x:v>0</x:v>
      </x:c>
      <x:c r="G95" s="499" t="n">
        <x:v>0</x:v>
      </x:c>
      <x:c r="H95" s="499" t="n">
        <x:v>0</x:v>
      </x:c>
      <x:c r="I95" s="499" t="n">
        <x:v>450100</x:v>
      </x:c>
      <x:c r="J95" s="499" t="n">
        <x:v>0</x:v>
      </x:c>
      <x:c r="K95" s="499" t="n">
        <x:v>0</x:v>
      </x:c>
      <x:c r="L95" s="499"/>
      <x:c r="M95" s="499"/>
      <x:c r="N95" s="499"/>
      <x:c r="O95" s="476" t="n">
        <x:v>0</x:v>
      </x:c>
      <x:c r="P95" s="499"/>
      <x:c r="Q95" s="499"/>
      <x:c r="R95" s="499" t="n">
        <x:f>IF(I95="","",G95-I95)</x:f>
        <x:v>-450100</x:v>
      </x:c>
      <x:c r="S95" s="499" t="str">
        <x:f>IF(K95="","",G95-K95)</x:f>
      </x:c>
      <x:c r="T95" s="476" t="str">
        <x:v>Mapa base cobre &lt;90% do autorizado — possível incompletude/recorte</x:v>
      </x:c>
    </x:row>
    <x:row r="96">
      <x:c r="A96" t="str">
        <x:v>41160012-2026</x:v>
      </x:c>
      <x:c r="B96" t="n">
        <x:v>2026</x:v>
      </x:c>
      <x:c r="C96" s="476" t="str">
        <x:v>MARCEL VAN HATTEM</x:v>
      </x:c>
      <x:c r="D96" s="476" t="n">
        <x:v>15</x:v>
      </x:c>
      <x:c r="E96" s="476" t="n">
        <x:v>0</x:v>
      </x:c>
      <x:c r="F96" s="476" t="n">
        <x:v>0</x:v>
      </x:c>
      <x:c r="G96" s="499" t="n">
        <x:v>6100000</x:v>
      </x:c>
      <x:c r="H96" s="499" t="n">
        <x:v>6100000</x:v>
      </x:c>
      <x:c r="I96" s="499" t="n">
        <x:v>7900000</x:v>
      </x:c>
      <x:c r="J96" s="499" t="n">
        <x:v>6100000</x:v>
      </x:c>
      <x:c r="K96" s="499" t="n">
        <x:v>33332.96</x:v>
      </x:c>
      <x:c r="L96" s="499" t="n">
        <x:v>33332.96</x:v>
      </x:c>
      <x:c r="M96" s="499" t="n">
        <x:v>6100000</x:v>
      </x:c>
      <x:c r="N96" s="499" t="n">
        <x:v>33332.96</x:v>
      </x:c>
      <x:c r="O96" s="476" t="n">
        <x:v>12</x:v>
      </x:c>
      <x:c r="P96" s="499"/>
      <x:c r="Q96" s="499"/>
      <x:c r="R96" s="499" t="n">
        <x:f>IF(I96="","",G96-I96)</x:f>
        <x:v>-1800000</x:v>
      </x:c>
      <x:c r="S96" s="499" t="n">
        <x:f>IF(K96="","",G96-K96)</x:f>
        <x:v>6066667.04</x:v>
      </x:c>
      <x:c r="T96" s="476" t="str">
        <x:v>Mapa base fecha com empenhado</x:v>
      </x:c>
    </x:row>
    <x:row r="97">
      <x:c r="A97" t="str">
        <x:v>41160013-2026</x:v>
      </x:c>
      <x:c r="B97" t="n">
        <x:v>2026</x:v>
      </x:c>
      <x:c r="C97" s="476" t="str">
        <x:v>MARCEL VAN HATTEM</x:v>
      </x:c>
      <x:c r="D97" s="476" t="n">
        <x:v>22</x:v>
      </x:c>
      <x:c r="E97" s="476" t="n">
        <x:v>0</x:v>
      </x:c>
      <x:c r="F97" s="476" t="n">
        <x:v>0</x:v>
      </x:c>
      <x:c r="G97" s="499" t="n">
        <x:v>4967200</x:v>
      </x:c>
      <x:c r="H97" s="499" t="n">
        <x:v>4967200</x:v>
      </x:c>
      <x:c r="I97" s="499" t="n">
        <x:v>5965206</x:v>
      </x:c>
      <x:c r="J97" s="499" t="n">
        <x:v>4936453</x:v>
      </x:c>
      <x:c r="K97" s="499" t="n">
        <x:v>1674087</x:v>
      </x:c>
      <x:c r="L97" s="499" t="n">
        <x:v>1674087</x:v>
      </x:c>
      <x:c r="M97" s="499" t="n">
        <x:v>4936453</x:v>
      </x:c>
      <x:c r="N97" s="499" t="n">
        <x:v>1674087</x:v>
      </x:c>
      <x:c r="O97" s="476" t="n">
        <x:v>0</x:v>
      </x:c>
      <x:c r="P97" s="499"/>
      <x:c r="Q97" s="499"/>
      <x:c r="R97" s="499" t="n">
        <x:f>IF(I97="","",G97-I97)</x:f>
        <x:v>-998006</x:v>
      </x:c>
      <x:c r="S97" s="499" t="n">
        <x:f>IF(K97="","",G97-K97)</x:f>
        <x:v>3293113</x:v>
      </x:c>
      <x:c r="T97" s="476" t="str">
        <x:v>Mapa base cobre &lt;90% do autorizado — possível incompletude/recorte</x:v>
      </x:c>
    </x:row>
    <x:row r="98">
      <x:c r="A98" t="str">
        <x:v>71220001-2026</x:v>
      </x:c>
      <x:c r="B98" t="n">
        <x:v>2026</x:v>
      </x:c>
      <x:c r="C98" s="476" t="str"/>
      <x:c r="D98" s="476" t="n">
        <x:v>4</x:v>
      </x:c>
      <x:c r="E98" s="476" t="n">
        <x:v>0</x:v>
      </x:c>
      <x:c r="F98" s="476" t="n">
        <x:v>0</x:v>
      </x:c>
      <x:c r="G98" s="499" t="n">
        <x:v>1000000</x:v>
      </x:c>
      <x:c r="H98" s="499" t="n">
        <x:v>1000000</x:v>
      </x:c>
      <x:c r="I98" s="499"/>
      <x:c r="J98" s="499"/>
      <x:c r="K98" s="499"/>
      <x:c r="L98" s="499"/>
      <x:c r="M98" s="499"/>
      <x:c r="N98" s="499"/>
      <x:c r="O98" s="476" t="n">
        <x:v>0</x:v>
      </x:c>
      <x:c r="P98" s="499"/>
      <x:c r="Q98" s="499"/>
      <x:c r="R98" s="499" t="str">
        <x:f>IF(I98="","",G98-I98)</x:f>
      </x:c>
      <x:c r="S98" s="499" t="str">
        <x:f>IF(K98="","",G98-K98)</x:f>
      </x:c>
      <x:c r="T98" s="476" t="str">
        <x:v>Nº não localizado nas bases públicas anexas</x:v>
      </x:c>
    </x:row>
    <x:row r="99">
      <x:c r="A99" t="str">
        <x:v>71220002-2026</x:v>
      </x:c>
      <x:c r="B99" t="n">
        <x:v>2026</x:v>
      </x:c>
      <x:c r="C99" s="476" t="str">
        <x:v>BANCADA DO RIO GRANDE DO SUL</x:v>
      </x:c>
      <x:c r="D99" s="476" t="n">
        <x:v>3</x:v>
      </x:c>
      <x:c r="E99" s="476" t="n">
        <x:v>0</x:v>
      </x:c>
      <x:c r="F99" s="476" t="n">
        <x:v>0</x:v>
      </x:c>
      <x:c r="G99" s="499" t="n">
        <x:v>1000000</x:v>
      </x:c>
      <x:c r="H99" s="499" t="n">
        <x:v>1000000</x:v>
      </x:c>
      <x:c r="I99" s="499"/>
      <x:c r="J99" s="499"/>
      <x:c r="K99" s="499"/>
      <x:c r="L99" s="499"/>
      <x:c r="M99" s="499"/>
      <x:c r="N99" s="499"/>
      <x:c r="O99" s="476" t="n">
        <x:v>18</x:v>
      </x:c>
      <x:c r="P99" s="499"/>
      <x:c r="Q99" s="499"/>
      <x:c r="R99" s="499" t="str">
        <x:f>IF(I99="","",G99-I99)</x:f>
      </x:c>
      <x:c r="S99" s="499" t="str">
        <x:f>IF(K99="","",G99-K99)</x:f>
      </x:c>
      <x:c r="T99" s="476" t="str">
        <x:v>Sem SIGA Marcel; há instrumento Transferegov (valor não somado como emenda)</x:v>
      </x:c>
    </x:row>
    <x:row r="100">
      <x:c r="A100" t="str">
        <x:v>71220008-2026</x:v>
      </x:c>
      <x:c r="B100" t="n">
        <x:v>2026</x:v>
      </x:c>
      <x:c r="C100" s="476" t="str">
        <x:v>BANCADA DO RIO GRANDE DO SUL</x:v>
      </x:c>
      <x:c r="D100" s="476" t="n">
        <x:v>0</x:v>
      </x:c>
      <x:c r="E100" s="476" t="n">
        <x:v>0</x:v>
      </x:c>
      <x:c r="F100" s="476" t="n">
        <x:v>0</x:v>
      </x:c>
      <x:c r="G100" s="499" t="n">
        <x:v>0</x:v>
      </x:c>
      <x:c r="H100" s="499" t="n">
        <x:v>0</x:v>
      </x:c>
      <x:c r="I100" s="499"/>
      <x:c r="J100" s="499"/>
      <x:c r="K100" s="499"/>
      <x:c r="L100" s="499"/>
      <x:c r="M100" s="499"/>
      <x:c r="N100" s="499"/>
      <x:c r="O100" s="476" t="n">
        <x:v>1</x:v>
      </x:c>
      <x:c r="P100" s="499"/>
      <x:c r="Q100" s="499"/>
      <x:c r="R100" s="499" t="str">
        <x:f>IF(I100="","",G100-I100)</x:f>
      </x:c>
      <x:c r="S100" s="499" t="str">
        <x:f>IF(K100="","",G100-K100)</x:f>
      </x:c>
      <x:c r="T100" s="476" t="str">
        <x:v>Sem SIGA Marcel; há instrumento Transferegov (valor não somado como emenda)</x:v>
      </x:c>
    </x:row>
    <x:row r="101">
      <x:c r="A101" t="str">
        <x:v>71220009-2026</x:v>
      </x:c>
      <x:c r="B101" t="n">
        <x:v>2026</x:v>
      </x:c>
      <x:c r="C101" s="476" t="str">
        <x:v>BANCADA DO RIO GRANDE DO SUL</x:v>
      </x:c>
      <x:c r="D101" s="476" t="n">
        <x:v>0</x:v>
      </x:c>
      <x:c r="E101" s="476" t="n">
        <x:v>0</x:v>
      </x:c>
      <x:c r="F101" s="476" t="n">
        <x:v>0</x:v>
      </x:c>
      <x:c r="G101" s="499" t="n">
        <x:v>0</x:v>
      </x:c>
      <x:c r="H101" s="499" t="n">
        <x:v>0</x:v>
      </x:c>
      <x:c r="I101" s="499"/>
      <x:c r="J101" s="499"/>
      <x:c r="K101" s="499"/>
      <x:c r="L101" s="499"/>
      <x:c r="M101" s="499"/>
      <x:c r="N101" s="499"/>
      <x:c r="O101" s="476" t="n">
        <x:v>1</x:v>
      </x:c>
      <x:c r="P101" s="499"/>
      <x:c r="Q101" s="499"/>
      <x:c r="R101" s="499" t="str">
        <x:f>IF(I101="","",G101-I101)</x:f>
      </x:c>
      <x:c r="S101" s="499" t="str">
        <x:f>IF(K101="","",G101-K101)</x:f>
      </x:c>
      <x:c r="T101" s="476" t="str">
        <x:v>Sem SIGA Marcel; há instrumento Transferegov (valor não somado como emenda)</x:v>
      </x:c>
    </x:row>
    <x:row r="102">
      <x:c r="A102" t="str">
        <x:v>71220010-2026</x:v>
      </x:c>
      <x:c r="B102" t="n">
        <x:v>2026</x:v>
      </x:c>
      <x:c r="C102" s="476" t="str">
        <x:v>BANCADA DO RIO GRANDE DO SUL</x:v>
      </x:c>
      <x:c r="D102" s="476" t="n">
        <x:v>0</x:v>
      </x:c>
      <x:c r="E102" s="476" t="n">
        <x:v>0</x:v>
      </x:c>
      <x:c r="F102" s="476" t="n">
        <x:v>0</x:v>
      </x:c>
      <x:c r="G102" s="499" t="n">
        <x:v>0</x:v>
      </x:c>
      <x:c r="H102" s="499" t="n">
        <x:v>0</x:v>
      </x:c>
      <x:c r="I102" s="499"/>
      <x:c r="J102" s="499"/>
      <x:c r="K102" s="499"/>
      <x:c r="L102" s="499"/>
      <x:c r="M102" s="499"/>
      <x:c r="N102" s="499"/>
      <x:c r="O102" s="476" t="n">
        <x:v>1</x:v>
      </x:c>
      <x:c r="P102" s="499"/>
      <x:c r="Q102" s="499"/>
      <x:c r="R102" s="499" t="str">
        <x:f>IF(I102="","",G102-I102)</x:f>
      </x:c>
      <x:c r="S102" s="499" t="str">
        <x:f>IF(K102="","",G102-K102)</x:f>
      </x:c>
      <x:c r="T102" s="476" t="str">
        <x:v>Sem SIGA Marcel; há instrumento Transferegov (valor não somado como emenda)</x:v>
      </x:c>
    </x:row>
    <x:row r="104">
      <x:c r="A104" s="493" t="str">
        <x:v>* Total mapa base = linhas com nº informado no mapa + inferências fortes SIGA/PIX. Candidatos inferidos apenas via Transferegov ficam fora do total base e aparecem no total ampliado.</x:v>
      </x:c>
      <x:c r="B104" s="493"/>
      <x:c r="C104" s="493"/>
      <x:c r="D104" s="493"/>
      <x:c r="E104" s="493"/>
      <x:c r="F104" s="493"/>
      <x:c r="G104" s="493"/>
      <x:c r="H104" s="493"/>
      <x:c r="I104" s="493"/>
      <x:c r="J104" s="493"/>
      <x:c r="K104" s="493"/>
      <x:c r="L104" s="493"/>
      <x:c r="M104" s="493"/>
      <x:c r="N104" s="493"/>
      <x:c r="O104" s="493"/>
      <x:c r="P104" s="493"/>
      <x:c r="Q104" s="493"/>
      <x:c r="R104" s="493"/>
      <x:c r="S104" s="493"/>
      <x:c r="T104" s="493"/>
    </x:row>
  </x:sheetData>
  <x:mergeCells>
    <x:mergeCell ref="A104:T104"/>
  </x:mergeCells>
  <x:conditionalFormatting sqref="T2:T102">
    <x:cfRule type="expression" dxfId="8" priority="1">
      <x:formula>ISNUMBER(SEARCH("excede",T2))</x:formula>
    </x:cfRule>
  </x:conditionalFormatting>
  <x:pageMargins left="0.7" right="0.7" top="0.75" bottom="0.75" header="0.3" footer="0.3"/>
  <x:tableParts count="1">
    <x:tablePart xmlns:r="http://schemas.openxmlformats.org/officeDocument/2006/relationships" r:id="R60a0d23146ee4f99"/>
  </x:tableParts>
</x:worksheet>
</file>

<file path=xl/worksheets/sheet8.xml><?xml version="1.0" encoding="utf-8"?>
<x:worksheet xmlns:x="http://schemas.openxmlformats.org/spreadsheetml/2006/main">
  <x:sheetFormatPr defaultRowHeight="15"/>
  <x:cols>
    <x:col min="1" max="1" width="14" hidden="0" customWidth="1"/>
    <x:col min="2" max="2" width="8" hidden="0" customWidth="1"/>
    <x:col min="3" max="3" width="34" hidden="0" customWidth="1"/>
    <x:col min="4" max="4" width="34" hidden="0" customWidth="1"/>
    <x:col min="5" max="5" width="14" hidden="0" customWidth="1"/>
    <x:col min="6" max="6" width="16" hidden="0" customWidth="1"/>
    <x:col min="7" max="7" width="70" hidden="0" customWidth="1"/>
    <x:col min="8" max="8" width="70" hidden="0" customWidth="1"/>
  </x:cols>
  <x:sheetData>
    <x:row r="1">
      <x:c r="A1" s="482" t="str">
        <x:v>Plano de ação</x:v>
      </x:c>
      <x:c r="B1" s="482" t="str">
        <x:v>Ano</x:v>
      </x:c>
      <x:c r="C1" s="482" t="str">
        <x:v>Emenda</x:v>
      </x:c>
      <x:c r="D1" s="482" t="str">
        <x:v>Beneficiário</x:v>
      </x:c>
      <x:c r="E1" s="482" t="str">
        <x:v>Situação</x:v>
      </x:c>
      <x:c r="F1" s="482" t="str">
        <x:v>Valor</x:v>
      </x:c>
      <x:c r="G1" s="482" t="str">
        <x:v>Área</x:v>
      </x:c>
      <x:c r="H1" s="482" t="str">
        <x:v>Portal</x:v>
      </x:c>
    </x:row>
    <x:row r="2">
      <x:c r="A2" t="str">
        <x:v>81245</x:v>
      </x:c>
      <x:c r="B2" t="n">
        <x:v>2025</x:v>
      </x:c>
      <x:c r="C2" s="476" t="str">
        <x:v>202541160007-MARCEL VAN HATTEM</x:v>
      </x:c>
      <x:c r="D2" s="476" t="str">
        <x:v>VESPASIANO CORREA (RS)</x:v>
      </x:c>
      <x:c r="E2" s="476" t="str">
        <x:v>CIENTE</x:v>
      </x:c>
      <x:c r="F2" s="499" t="n">
        <x:v>396000</x:v>
      </x:c>
      <x:c r="G2" s="476" t="str">
        <x:v>6-Segurança Pública / 181-Policiamento</x:v>
      </x:c>
      <x:c r="H2" s="476" t="str">
        <x:v>https://especiais.transferegov.sistema.gov.br/transferencia-especial/plano-acao/detalhe/81245/dados-basicos</x:v>
      </x:c>
    </x:row>
    <x:row r="3">
      <x:c r="A3" t="str">
        <x:v>83988</x:v>
      </x:c>
      <x:c r="B3" t="n">
        <x:v>2025</x:v>
      </x:c>
      <x:c r="C3" s="476" t="str">
        <x:v>202541160008-MARCEL VAN HATTEM</x:v>
      </x:c>
      <x:c r="D3" s="476" t="str">
        <x:v>MUNICIPIO DE BOZANO (RS)</x:v>
      </x:c>
      <x:c r="E3" s="476" t="str">
        <x:v>CIENTE</x:v>
      </x:c>
      <x:c r="F3" s="499" t="n">
        <x:v>198000</x:v>
      </x:c>
      <x:c r="G3" s="476" t="str">
        <x:v>6-Segurança Pública / 181-Policiamento</x:v>
      </x:c>
      <x:c r="H3" s="476" t="str">
        <x:v>https://especiais.transferegov.sistema.gov.br/transferencia-especial/plano-acao/detalhe/83988/dados-basicos</x:v>
      </x:c>
    </x:row>
    <x:row r="4">
      <x:c r="A4" t="str">
        <x:v>83993</x:v>
      </x:c>
      <x:c r="B4" t="n">
        <x:v>2025</x:v>
      </x:c>
      <x:c r="C4" s="476" t="str">
        <x:v>202541160008-MARCEL VAN HATTEM</x:v>
      </x:c>
      <x:c r="D4" s="476" t="str">
        <x:v>MUNICIPIO DE CANOAS (RS)</x:v>
      </x:c>
      <x:c r="E4" s="476" t="str">
        <x:v>CIENTE</x:v>
      </x:c>
      <x:c r="F4" s="499" t="n">
        <x:v>495000</x:v>
      </x:c>
      <x:c r="G4" s="476" t="str">
        <x:v>6-Segurança Pública / 181-Policiamento</x:v>
      </x:c>
      <x:c r="H4" s="476" t="str">
        <x:v>https://especiais.transferegov.sistema.gov.br/transferencia-especial/plano-acao/detalhe/83993/dados-basicos</x:v>
      </x:c>
    </x:row>
    <x:row r="5">
      <x:c r="A5" t="str">
        <x:v>83996</x:v>
      </x:c>
      <x:c r="B5" t="n">
        <x:v>2025</x:v>
      </x:c>
      <x:c r="C5" s="476" t="str">
        <x:v>202541160008-MARCEL VAN HATTEM</x:v>
      </x:c>
      <x:c r="D5" s="476" t="str">
        <x:v>MUNICIPIO DE LAJEADO (RS)</x:v>
      </x:c>
      <x:c r="E5" s="476" t="str">
        <x:v>CIENTE</x:v>
      </x:c>
      <x:c r="F5" s="499" t="n">
        <x:v>319808.61</x:v>
      </x:c>
      <x:c r="G5" s="476" t="str">
        <x:v>10-Saúde / 301-Atenção Básica</x:v>
      </x:c>
      <x:c r="H5" s="476" t="str">
        <x:v>https://especiais.transferegov.sistema.gov.br/transferencia-especial/plano-acao/detalhe/83996/dados-basicos</x:v>
      </x:c>
    </x:row>
    <x:row r="6">
      <x:c r="A6" t="str">
        <x:v>84002</x:v>
      </x:c>
      <x:c r="B6" t="n">
        <x:v>2025</x:v>
      </x:c>
      <x:c r="C6" s="476" t="str">
        <x:v>202541160008-MARCEL VAN HATTEM</x:v>
      </x:c>
      <x:c r="D6" s="476" t="str">
        <x:v>MUNICIPIO DE URUGUAIANA (RS)</x:v>
      </x:c>
      <x:c r="E6" s="476" t="str">
        <x:v>CIENTE</x:v>
      </x:c>
      <x:c r="F6" s="499" t="n">
        <x:v>396000</x:v>
      </x:c>
      <x:c r="G6" s="476" t="str">
        <x:v>6-Segurança Pública / 181-Policiamento</x:v>
      </x:c>
      <x:c r="H6" s="476" t="str">
        <x:v>https://especiais.transferegov.sistema.gov.br/transferencia-especial/plano-acao/detalhe/84002/dados-basicos</x:v>
      </x:c>
    </x:row>
    <x:row r="7">
      <x:c r="A7" t="str">
        <x:v>84005</x:v>
      </x:c>
      <x:c r="B7" t="n">
        <x:v>2025</x:v>
      </x:c>
      <x:c r="C7" s="476" t="str">
        <x:v>202541160008-MARCEL VAN HATTEM</x:v>
      </x:c>
      <x:c r="D7" s="476" t="str">
        <x:v>SEVERIANO DE ALMEIDA (RS)</x:v>
      </x:c>
      <x:c r="E7" s="476" t="str">
        <x:v>CIENTE</x:v>
      </x:c>
      <x:c r="F7" s="499" t="n">
        <x:v>198000</x:v>
      </x:c>
      <x:c r="G7" s="476" t="str">
        <x:v>10-Saúde / 301-Atenção Básica</x:v>
      </x:c>
      <x:c r="H7" s="476" t="str">
        <x:v>https://especiais.transferegov.sistema.gov.br/transferencia-especial/plano-acao/detalhe/84005/dados-basicos</x:v>
      </x:c>
    </x:row>
    <x:row r="8">
      <x:c r="A8" t="str">
        <x:v>88188</x:v>
      </x:c>
      <x:c r="B8" t="n">
        <x:v>2025</x:v>
      </x:c>
      <x:c r="C8" s="476" t="str">
        <x:v>202541160008-MARCEL VAN HATTEM</x:v>
      </x:c>
      <x:c r="D8" s="476" t="str">
        <x:v>MUNICIPIO DE IVORA (RS)</x:v>
      </x:c>
      <x:c r="E8" s="476" t="str">
        <x:v>CIENTE</x:v>
      </x:c>
      <x:c r="F8" s="499" t="n">
        <x:v>198000</x:v>
      </x:c>
      <x:c r="G8" s="476" t="str">
        <x:v>10-Saúde / 301-Atenção Básica</x:v>
      </x:c>
      <x:c r="H8" s="476" t="str">
        <x:v>https://especiais.transferegov.sistema.gov.br/transferencia-especial/plano-acao/detalhe/88188/dados-basicos</x:v>
      </x:c>
    </x:row>
    <x:row r="9">
      <x:c r="A9" t="str">
        <x:v>86882</x:v>
      </x:c>
      <x:c r="B9" t="n">
        <x:v>2025</x:v>
      </x:c>
      <x:c r="C9" s="476" t="str">
        <x:v>202541160007-MARCEL VAN HATTEM</x:v>
      </x:c>
      <x:c r="D9" s="476" t="str">
        <x:v>MUNICIPIO DE PORTO ALEGRE (RS)</x:v>
      </x:c>
      <x:c r="E9" s="476" t="str">
        <x:v>IMPEDIDO</x:v>
      </x:c>
      <x:c r="F9" s="499" t="n">
        <x:v>396000</x:v>
      </x:c>
      <x:c r="G9" s="476" t="str">
        <x:v>17-Saneamento / 512-Saneamento Básico Urbano</x:v>
      </x:c>
      <x:c r="H9" s="476" t="str">
        <x:v>https://especiais.transferegov.sistema.gov.br/transferencia-especial/plano-acao/detalhe/86882/dados-basicos</x:v>
      </x:c>
    </x:row>
    <x:row r="10">
      <x:c r="A10" t="str">
        <x:v>86883</x:v>
      </x:c>
      <x:c r="B10" t="n">
        <x:v>2025</x:v>
      </x:c>
      <x:c r="C10" s="476" t="str">
        <x:v>202541160007-MARCEL VAN HATTEM</x:v>
      </x:c>
      <x:c r="D10" s="476" t="str">
        <x:v>MUNICIPIO DE PORTO ALEGRE (RS)</x:v>
      </x:c>
      <x:c r="E10" s="476" t="str">
        <x:v>IMPEDIDO</x:v>
      </x:c>
      <x:c r="F10" s="499" t="n">
        <x:v>594000</x:v>
      </x:c>
      <x:c r="G10" s="476" t="str">
        <x:v>17-Saneamento / 512-Saneamento Básico Urbano</x:v>
      </x:c>
      <x:c r="H10" s="476" t="str">
        <x:v>https://especiais.transferegov.sistema.gov.br/transferencia-especial/plano-acao/detalhe/86883/dados-basicos</x:v>
      </x:c>
    </x:row>
    <x:row r="11">
      <x:c r="A11" t="str">
        <x:v>83991</x:v>
      </x:c>
      <x:c r="B11" t="n">
        <x:v>2025</x:v>
      </x:c>
      <x:c r="C11" s="476" t="str">
        <x:v>202541160008-MARCEL VAN HATTEM</x:v>
      </x:c>
      <x:c r="D11" s="476" t="str">
        <x:v>MUNICIPIO DE PONTE PRETA (RS)</x:v>
      </x:c>
      <x:c r="E11" s="476" t="str">
        <x:v>CIENTE</x:v>
      </x:c>
      <x:c r="F11" s="499" t="n">
        <x:v>198000</x:v>
      </x:c>
      <x:c r="G11" s="476" t="str">
        <x:v>10-Saúde / 301-Atenção Básica</x:v>
      </x:c>
      <x:c r="H11" s="476" t="str">
        <x:v>https://especiais.transferegov.sistema.gov.br/transferencia-especial/plano-acao/detalhe/83991/dados-basicos</x:v>
      </x:c>
    </x:row>
    <x:row r="12">
      <x:c r="A12" t="str">
        <x:v>83999</x:v>
      </x:c>
      <x:c r="B12" t="n">
        <x:v>2025</x:v>
      </x:c>
      <x:c r="C12" s="476" t="str">
        <x:v>202541160008-MARCEL VAN HATTEM</x:v>
      </x:c>
      <x:c r="D12" s="476" t="str">
        <x:v>MUNICIPIO DE SANTA MARIA (RS)</x:v>
      </x:c>
      <x:c r="E12" s="476" t="str">
        <x:v>CIENTE</x:v>
      </x:c>
      <x:c r="F12" s="499" t="n">
        <x:v>396000</x:v>
      </x:c>
      <x:c r="G12" s="476" t="str">
        <x:v>6-Segurança Pública / 181-Policiamento</x:v>
      </x:c>
      <x:c r="H12" s="476" t="str">
        <x:v>https://especiais.transferegov.sistema.gov.br/transferencia-especial/plano-acao/detalhe/83999/dados-basicos</x:v>
      </x:c>
    </x:row>
    <x:row r="13">
      <x:c r="A13" t="str">
        <x:v>84004</x:v>
      </x:c>
      <x:c r="B13" t="n">
        <x:v>2025</x:v>
      </x:c>
      <x:c r="C13" s="476" t="str">
        <x:v>202541160008-MARCEL VAN HATTEM</x:v>
      </x:c>
      <x:c r="D13" s="476" t="str">
        <x:v>MUNICIPIO DE CANELA (RS)</x:v>
      </x:c>
      <x:c r="E13" s="476" t="str">
        <x:v>CIENTE</x:v>
      </x:c>
      <x:c r="F13" s="499" t="n">
        <x:v>495000</x:v>
      </x:c>
      <x:c r="G13" s="476" t="str">
        <x:v>6-Segurança Pública / 182-Defesa Civil</x:v>
      </x:c>
      <x:c r="H13" s="476" t="str">
        <x:v>https://especiais.transferegov.sistema.gov.br/transferencia-especial/plano-acao/detalhe/84004/dados-basicos</x:v>
      </x:c>
    </x:row>
    <x:row r="14">
      <x:c r="A14" t="str">
        <x:v>96522</x:v>
      </x:c>
      <x:c r="B14" t="n">
        <x:v>2026</x:v>
      </x:c>
      <x:c r="C14" s="476" t="str">
        <x:v>202641160008-MARCEL VAN HATTEM</x:v>
      </x:c>
      <x:c r="D14" s="476" t="str">
        <x:v>MUNICIPIO DE NOVO HAMBURGO (RS)</x:v>
      </x:c>
      <x:c r="E14" s="476" t="str">
        <x:v>CIENTE</x:v>
      </x:c>
      <x:c r="F14" s="499" t="n">
        <x:v>497500</x:v>
      </x:c>
      <x:c r="G14" s="476" t="str">
        <x:v>26-Transporte / 781-Transporte Aéreo</x:v>
      </x:c>
      <x:c r="H14" s="476" t="str">
        <x:v>https://especiais.transferegov.sistema.gov.br/transferencia-especial/plano-acao/detalhe/96522/dados-basicos</x:v>
      </x:c>
    </x:row>
    <x:row r="15">
      <x:c r="A15" t="str">
        <x:v>96523</x:v>
      </x:c>
      <x:c r="B15" t="n">
        <x:v>2026</x:v>
      </x:c>
      <x:c r="C15" s="476" t="str">
        <x:v>202641160008-MARCEL VAN HATTEM</x:v>
      </x:c>
      <x:c r="D15" s="476" t="str">
        <x:v>MUNICIPIO DE SANTA MARIA (RS)</x:v>
      </x:c>
      <x:c r="E15" s="476" t="str">
        <x:v>CIENTE</x:v>
      </x:c>
      <x:c r="F15" s="499" t="n">
        <x:v>403572</x:v>
      </x:c>
      <x:c r="G15" s="476" t="str">
        <x:v>6-Segurança Pública / 181-Policiamento</x:v>
      </x:c>
      <x:c r="H15" s="476" t="str">
        <x:v>https://especiais.transferegov.sistema.gov.br/transferencia-especial/plano-acao/detalhe/96523/dados-basicos</x:v>
      </x:c>
    </x:row>
    <x:row r="16">
      <x:c r="A16" t="str">
        <x:v>96524</x:v>
      </x:c>
      <x:c r="B16" t="n">
        <x:v>2026</x:v>
      </x:c>
      <x:c r="C16" s="476" t="str">
        <x:v>202641160008-MARCEL VAN HATTEM</x:v>
      </x:c>
      <x:c r="D16" s="476" t="str">
        <x:v>MUNICIPIO DE SAO MARCOS (RS)</x:v>
      </x:c>
      <x:c r="E16" s="476" t="str">
        <x:v>CIENTE</x:v>
      </x:c>
      <x:c r="F16" s="499" t="n">
        <x:v>398000</x:v>
      </x:c>
      <x:c r="G16" s="476" t="str">
        <x:v>6-Segurança Pública / 181-Policiamento</x:v>
      </x:c>
      <x:c r="H16" s="476" t="str">
        <x:v>https://especiais.transferegov.sistema.gov.br/transferencia-especial/plano-acao/detalhe/96524/dados-basicos</x:v>
      </x:c>
    </x:row>
    <x:row r="17">
      <x:c r="A17" t="str">
        <x:v>96528</x:v>
      </x:c>
      <x:c r="B17" t="n">
        <x:v>2026</x:v>
      </x:c>
      <x:c r="C17" s="476" t="str">
        <x:v>202641160008-MARCEL VAN HATTEM</x:v>
      </x:c>
      <x:c r="D17" s="476" t="str">
        <x:v>ANTA GORDA (RS)</x:v>
      </x:c>
      <x:c r="E17" s="476" t="str">
        <x:v>CIENTE</x:v>
      </x:c>
      <x:c r="F17" s="499" t="n">
        <x:v>398000</x:v>
      </x:c>
      <x:c r="G17" s="476" t="str">
        <x:v>6-Segurança Pública / 183-Informação e Inteligência</x:v>
      </x:c>
      <x:c r="H17" s="476" t="str">
        <x:v>https://especiais.transferegov.sistema.gov.br/transferencia-especial/plano-acao/detalhe/96528/dados-basicos</x:v>
      </x:c>
    </x:row>
    <x:row r="18">
      <x:c r="A18" t="str">
        <x:v>38359</x:v>
      </x:c>
      <x:c r="B18" t="n">
        <x:v>2023</x:v>
      </x:c>
      <x:c r="C18" s="476" t="str">
        <x:v>202341160001-Marcel Van Hattem</x:v>
      </x:c>
      <x:c r="D18" s="476" t="str">
        <x:v>MUNICIPIO DE SARANDI (RS)</x:v>
      </x:c>
      <x:c r="E18" s="476" t="str">
        <x:v>CIENTE</x:v>
      </x:c>
      <x:c r="F18" s="499" t="n">
        <x:v>428000</x:v>
      </x:c>
      <x:c r="G18" s="476" t="str">
        <x:v>6-Segurança Pública / 182-Defesa Civil</x:v>
      </x:c>
      <x:c r="H18" s="476" t="str">
        <x:v>https://especiais.transferegov.sistema.gov.br/transferencia-especial/plano-acao/detalhe/38359/dados-basicos</x:v>
      </x:c>
    </x:row>
    <x:row r="19">
      <x:c r="A19" t="str">
        <x:v>96513</x:v>
      </x:c>
      <x:c r="B19" t="n">
        <x:v>2026</x:v>
      </x:c>
      <x:c r="C19" s="476" t="str">
        <x:v>202641160008-MARCEL VAN HATTEM</x:v>
      </x:c>
      <x:c r="D19" s="476" t="str">
        <x:v>MUNICIPIO DE MACHADINHO (RS)</x:v>
      </x:c>
      <x:c r="E19" s="476" t="str">
        <x:v>CIENTE</x:v>
      </x:c>
      <x:c r="F19" s="499" t="n">
        <x:v>398000</x:v>
      </x:c>
      <x:c r="G19" s="476" t="str">
        <x:v>6-Segurança Pública / 183-Informação e Inteligência</x:v>
      </x:c>
      <x:c r="H19" s="476" t="str">
        <x:v>https://especiais.transferegov.sistema.gov.br/transferencia-especial/plano-acao/detalhe/96513/dados-basicos</x:v>
      </x:c>
    </x:row>
    <x:row r="20">
      <x:c r="A20" t="str">
        <x:v>96516</x:v>
      </x:c>
      <x:c r="B20" t="n">
        <x:v>2026</x:v>
      </x:c>
      <x:c r="C20" s="476" t="str">
        <x:v>202641160008-MARCEL VAN HATTEM</x:v>
      </x:c>
      <x:c r="D20" s="476" t="str">
        <x:v>MUNICIPIO DE PORTO ALEGRE (RS)</x:v>
      </x:c>
      <x:c r="E20" s="476" t="str">
        <x:v>CIENTE</x:v>
      </x:c>
      <x:c r="F20" s="499" t="n">
        <x:v>995000</x:v>
      </x:c>
      <x:c r="G20" s="476" t="str">
        <x:v>17-Saneamento / 512-Saneamento Básico Urbano</x:v>
      </x:c>
      <x:c r="H20" s="476" t="str">
        <x:v>https://especiais.transferegov.sistema.gov.br/transferencia-especial/plano-acao/detalhe/96516/dados-basicos</x:v>
      </x:c>
    </x:row>
    <x:row r="21">
      <x:c r="A21" t="str">
        <x:v>96520</x:v>
      </x:c>
      <x:c r="B21" t="n">
        <x:v>2026</x:v>
      </x:c>
      <x:c r="C21" s="476" t="str">
        <x:v>202641160008-MARCEL VAN HATTEM</x:v>
      </x:c>
      <x:c r="D21" s="476" t="str">
        <x:v>MUNICIPIO DE CONSTANTINA (RS)</x:v>
      </x:c>
      <x:c r="E21" s="476" t="str">
        <x:v>CIENTE</x:v>
      </x:c>
      <x:c r="F21" s="499" t="n">
        <x:v>398000</x:v>
      </x:c>
      <x:c r="G21" s="476" t="str">
        <x:v>6-Segurança Pública / 183-Informação e Inteligência</x:v>
      </x:c>
      <x:c r="H21" s="476" t="str">
        <x:v>https://especiais.transferegov.sistema.gov.br/transferencia-especial/plano-acao/detalhe/96520/dados-basicos</x:v>
      </x:c>
    </x:row>
    <x:row r="22">
      <x:c r="A22" t="str">
        <x:v>96521</x:v>
      </x:c>
      <x:c r="B22" t="n">
        <x:v>2026</x:v>
      </x:c>
      <x:c r="C22" s="476" t="str">
        <x:v>202641160008-MARCEL VAN HATTEM</x:v>
      </x:c>
      <x:c r="D22" s="476" t="str">
        <x:v>MUNICIPIO DE JACUTINGA (RS)</x:v>
      </x:c>
      <x:c r="E22" s="476" t="str">
        <x:v>CIENTE</x:v>
      </x:c>
      <x:c r="F22" s="499" t="n">
        <x:v>398000</x:v>
      </x:c>
      <x:c r="G22" s="476" t="str">
        <x:v>6-Segurança Pública / 183-Informação e Inteligência</x:v>
      </x:c>
      <x:c r="H22" s="476" t="str">
        <x:v>https://especiais.transferegov.sistema.gov.br/transferencia-especial/plano-acao/detalhe/96521/dados-basicos</x:v>
      </x:c>
    </x:row>
    <x:row r="23">
      <x:c r="A23" t="str">
        <x:v>96525</x:v>
      </x:c>
      <x:c r="B23" t="n">
        <x:v>2026</x:v>
      </x:c>
      <x:c r="C23" s="476" t="str">
        <x:v>202641160008-MARCEL VAN HATTEM</x:v>
      </x:c>
      <x:c r="D23" s="476" t="str">
        <x:v>MUNICIPIO DE ESTEIO (RS)</x:v>
      </x:c>
      <x:c r="E23" s="476" t="str">
        <x:v>CIENTE</x:v>
      </x:c>
      <x:c r="F23" s="499" t="n">
        <x:v>398000</x:v>
      </x:c>
      <x:c r="G23" s="476" t="str">
        <x:v>6-Segurança Pública / 183-Informação e Inteligência</x:v>
      </x:c>
      <x:c r="H23" s="476" t="str">
        <x:v>https://especiais.transferegov.sistema.gov.br/transferencia-especial/plano-acao/detalhe/96525/dados-basicos</x:v>
      </x:c>
    </x:row>
    <x:row r="24">
      <x:c r="A24" t="str">
        <x:v>38358</x:v>
      </x:c>
      <x:c r="B24" t="n">
        <x:v>2023</x:v>
      </x:c>
      <x:c r="C24" s="476" t="str">
        <x:v>202341160001-Marcel Van Hattem</x:v>
      </x:c>
      <x:c r="D24" s="476" t="str">
        <x:v>MUNICIPIO DE SAPUCAIA DO SUL (RS)</x:v>
      </x:c>
      <x:c r="E24" s="476" t="str">
        <x:v>CIENTE</x:v>
      </x:c>
      <x:c r="F24" s="499" t="n">
        <x:v>481000</x:v>
      </x:c>
      <x:c r="G24" s="476" t="str">
        <x:v>6-Segurança Pública / 181-Policiamento</x:v>
      </x:c>
      <x:c r="H24" s="476" t="str">
        <x:v>https://especiais.transferegov.sistema.gov.br/transferencia-especial/plano-acao/detalhe/38358/dados-basicos</x:v>
      </x:c>
    </x:row>
    <x:row r="25">
      <x:c r="A25" t="str">
        <x:v>38360</x:v>
      </x:c>
      <x:c r="B25" t="n">
        <x:v>2023</x:v>
      </x:c>
      <x:c r="C25" s="476" t="str">
        <x:v>202341160001-Marcel Van Hattem</x:v>
      </x:c>
      <x:c r="D25" s="476" t="str">
        <x:v>MUNICIPIO DE TRES DE MAIO (RS)</x:v>
      </x:c>
      <x:c r="E25" s="476" t="str">
        <x:v>CIENTE</x:v>
      </x:c>
      <x:c r="F25" s="499" t="n">
        <x:v>95000</x:v>
      </x:c>
      <x:c r="G25" s="476" t="str">
        <x:v>6-Segurança Pública / 181-Policiamento</x:v>
      </x:c>
      <x:c r="H25" s="476" t="str">
        <x:v>https://especiais.transferegov.sistema.gov.br/transferencia-especial/plano-acao/detalhe/38360/dados-basicos</x:v>
      </x:c>
    </x:row>
    <x:row r="26">
      <x:c r="A26" t="str">
        <x:v>83989</x:v>
      </x:c>
      <x:c r="B26" t="n">
        <x:v>2025</x:v>
      </x:c>
      <x:c r="C26" s="476" t="str">
        <x:v>202541160008-MARCEL VAN HATTEM</x:v>
      </x:c>
      <x:c r="D26" s="476" t="str">
        <x:v>MUNICIPIO DE SANTO ANGELO (RS)</x:v>
      </x:c>
      <x:c r="E26" s="476" t="str">
        <x:v>CIENTE</x:v>
      </x:c>
      <x:c r="F26" s="499" t="n">
        <x:v>396000</x:v>
      </x:c>
      <x:c r="G26" s="476" t="str">
        <x:v>6-Segurança Pública / 183-Informação e Inteligência</x:v>
      </x:c>
      <x:c r="H26" s="476" t="str">
        <x:v>https://especiais.transferegov.sistema.gov.br/transferencia-especial/plano-acao/detalhe/83989/dados-basicos</x:v>
      </x:c>
    </x:row>
    <x:row r="27">
      <x:c r="A27" t="str">
        <x:v>83994</x:v>
      </x:c>
      <x:c r="B27" t="n">
        <x:v>2025</x:v>
      </x:c>
      <x:c r="C27" s="476" t="str">
        <x:v>202541160008-MARCEL VAN HATTEM</x:v>
      </x:c>
      <x:c r="D27" s="476" t="str">
        <x:v>MUNICIPIO DE CRUZ ALTA (RS)</x:v>
      </x:c>
      <x:c r="E27" s="476" t="str">
        <x:v>CIENTE</x:v>
      </x:c>
      <x:c r="F27" s="499" t="n">
        <x:v>472230</x:v>
      </x:c>
      <x:c r="G27" s="476" t="str">
        <x:v>6-Segurança Pública / 183-Informação e Inteligência</x:v>
      </x:c>
      <x:c r="H27" s="476" t="str">
        <x:v>https://especiais.transferegov.sistema.gov.br/transferencia-especial/plano-acao/detalhe/83994/dados-basicos</x:v>
      </x:c>
    </x:row>
    <x:row r="28">
      <x:c r="A28" t="str">
        <x:v>84001</x:v>
      </x:c>
      <x:c r="B28" t="n">
        <x:v>2025</x:v>
      </x:c>
      <x:c r="C28" s="476" t="str">
        <x:v>202541160008-MARCEL VAN HATTEM</x:v>
      </x:c>
      <x:c r="D28" s="476" t="str">
        <x:v>MUNICIPIO DE SAO SEPE (RS)</x:v>
      </x:c>
      <x:c r="E28" s="476" t="str">
        <x:v>CIENTE</x:v>
      </x:c>
      <x:c r="F28" s="499" t="n">
        <x:v>298756.26</x:v>
      </x:c>
      <x:c r="G28" s="476" t="str">
        <x:v>6-Segurança Pública / 183-Informação e Inteligência</x:v>
      </x:c>
      <x:c r="H28" s="476" t="str">
        <x:v>https://especiais.transferegov.sistema.gov.br/transferencia-especial/plano-acao/detalhe/84001/dados-basicos</x:v>
      </x:c>
    </x:row>
    <x:row r="29">
      <x:c r="A29" t="str">
        <x:v>96519</x:v>
      </x:c>
      <x:c r="B29" t="n">
        <x:v>2026</x:v>
      </x:c>
      <x:c r="C29" s="476" t="str">
        <x:v>202641160008-MARCEL VAN HATTEM</x:v>
      </x:c>
      <x:c r="D29" s="476" t="str">
        <x:v>MUNICIPIO DE CERRO LARGO (RS)</x:v>
      </x:c>
      <x:c r="E29" s="476" t="str">
        <x:v>CIENTE</x:v>
      </x:c>
      <x:c r="F29" s="499" t="n">
        <x:v>398000</x:v>
      </x:c>
      <x:c r="G29" s="476" t="str">
        <x:v>6-Segurança Pública / 183-Informação e Inteligência</x:v>
      </x:c>
      <x:c r="H29" s="476" t="str">
        <x:v>https://especiais.transferegov.sistema.gov.br/transferencia-especial/plano-acao/detalhe/96519/dados-basicos</x:v>
      </x:c>
    </x:row>
    <x:row r="30">
      <x:c r="A30" t="str">
        <x:v>96527</x:v>
      </x:c>
      <x:c r="B30" t="n">
        <x:v>2026</x:v>
      </x:c>
      <x:c r="C30" s="476" t="str">
        <x:v>202641160008-MARCEL VAN HATTEM</x:v>
      </x:c>
      <x:c r="D30" s="476" t="str">
        <x:v>MUNICIPIO DE AGUA SANTA (RS)</x:v>
      </x:c>
      <x:c r="E30" s="476" t="str">
        <x:v>CIENTE</x:v>
      </x:c>
      <x:c r="F30" s="499" t="n">
        <x:v>398000</x:v>
      </x:c>
      <x:c r="G30" s="476" t="str">
        <x:v>6-Segurança Pública / 183-Informação e Inteligência</x:v>
      </x:c>
      <x:c r="H30" s="476" t="str">
        <x:v>https://especiais.transferegov.sistema.gov.br/transferencia-especial/plano-acao/detalhe/96527/dados-basicos</x:v>
      </x:c>
    </x:row>
    <x:row r="31">
      <x:c r="A31" t="str">
        <x:v>38364</x:v>
      </x:c>
      <x:c r="B31" t="n">
        <x:v>2023</x:v>
      </x:c>
      <x:c r="C31" s="476" t="str">
        <x:v>202341160001-Marcel Van Hattem</x:v>
      </x:c>
      <x:c r="D31" s="476" t="str">
        <x:v>MUNICIPIO DE ENTRE RIOS DO SUL (RS)</x:v>
      </x:c>
      <x:c r="E31" s="476" t="str">
        <x:v>CIENTE</x:v>
      </x:c>
      <x:c r="F31" s="499" t="n">
        <x:v>250000</x:v>
      </x:c>
      <x:c r="G31" s="476" t="str">
        <x:v>15-Urbanismo / 451-Infraestrutura Urbana</x:v>
      </x:c>
      <x:c r="H31" s="476" t="str">
        <x:v>https://especiais.transferegov.sistema.gov.br/transferencia-especial/plano-acao/detalhe/38364/dados-basicos</x:v>
      </x:c>
    </x:row>
    <x:row r="32">
      <x:c r="A32" t="str">
        <x:v>38368</x:v>
      </x:c>
      <x:c r="B32" t="n">
        <x:v>2023</x:v>
      </x:c>
      <x:c r="C32" s="476" t="str">
        <x:v>202341160001-Marcel Van Hattem</x:v>
      </x:c>
      <x:c r="D32" s="476" t="str">
        <x:v>DOIS IRMÃOS (RS)</x:v>
      </x:c>
      <x:c r="E32" s="476" t="str">
        <x:v>CIENTE</x:v>
      </x:c>
      <x:c r="F32" s="499" t="n">
        <x:v>540000</x:v>
      </x:c>
      <x:c r="G32" s="476" t="str">
        <x:v>6-Segurança Pública / 181-Policiamento</x:v>
      </x:c>
      <x:c r="H32" s="476" t="str">
        <x:v>https://especiais.transferegov.sistema.gov.br/transferencia-especial/plano-acao/detalhe/38368/dados-basicos</x:v>
      </x:c>
    </x:row>
    <x:row r="33">
      <x:c r="A33" t="str">
        <x:v>96526</x:v>
      </x:c>
      <x:c r="B33" t="n">
        <x:v>2026</x:v>
      </x:c>
      <x:c r="C33" s="476" t="str">
        <x:v>202641160008-MARCEL VAN HATTEM</x:v>
      </x:c>
      <x:c r="D33" s="476" t="str">
        <x:v>MUNICIPIO DE TRINDADE DO SUL (RS)</x:v>
      </x:c>
      <x:c r="E33" s="476" t="str">
        <x:v>CIENTE</x:v>
      </x:c>
      <x:c r="F33" s="499" t="n">
        <x:v>398000</x:v>
      </x:c>
      <x:c r="G33" s="476" t="str">
        <x:v>6-Segurança Pública / 183-Informação e Inteligência</x:v>
      </x:c>
      <x:c r="H33" s="476" t="str">
        <x:v>https://especiais.transferegov.sistema.gov.br/transferencia-especial/plano-acao/detalhe/96526/dados-basicos</x:v>
      </x:c>
    </x:row>
    <x:row r="34">
      <x:c r="A34" t="str">
        <x:v>38356</x:v>
      </x:c>
      <x:c r="B34" t="n">
        <x:v>2023</x:v>
      </x:c>
      <x:c r="C34" s="476" t="str">
        <x:v>202341160001-Marcel Van Hattem</x:v>
      </x:c>
      <x:c r="D34" s="476" t="str">
        <x:v>MUNICIPIO DE OSORIO (RS)</x:v>
      </x:c>
      <x:c r="E34" s="476" t="str">
        <x:v>CIENTE</x:v>
      </x:c>
      <x:c r="F34" s="499" t="n">
        <x:v>300000</x:v>
      </x:c>
      <x:c r="G34" s="476" t="str">
        <x:v>6-Segurança Pública / 181-Policiamento</x:v>
      </x:c>
      <x:c r="H34" s="476" t="str">
        <x:v>https://especiais.transferegov.sistema.gov.br/transferencia-especial/plano-acao/detalhe/38356/dados-basicos</x:v>
      </x:c>
    </x:row>
    <x:row r="35">
      <x:c r="A35" t="str">
        <x:v>38353</x:v>
      </x:c>
      <x:c r="B35" t="n">
        <x:v>2023</x:v>
      </x:c>
      <x:c r="C35" s="476" t="str">
        <x:v>202341160001-Marcel Van Hattem</x:v>
      </x:c>
      <x:c r="D35" s="476" t="str">
        <x:v>MUNICIPIO DE TAPEJARA (RS)</x:v>
      </x:c>
      <x:c r="E35" s="476" t="str">
        <x:v>CIENTE</x:v>
      </x:c>
      <x:c r="F35" s="499" t="n">
        <x:v>400000</x:v>
      </x:c>
      <x:c r="G35" s="476" t="str">
        <x:v>6-Segurança Pública / 181-Policiamento</x:v>
      </x:c>
      <x:c r="H35" s="476" t="str">
        <x:v>https://especiais.transferegov.sistema.gov.br/transferencia-especial/plano-acao/detalhe/38353/dados-basicos</x:v>
      </x:c>
    </x:row>
    <x:row r="36">
      <x:c r="A36" t="str">
        <x:v>38366</x:v>
      </x:c>
      <x:c r="B36" t="n">
        <x:v>2023</x:v>
      </x:c>
      <x:c r="C36" s="476" t="str">
        <x:v>202341160001-Marcel Van Hattem</x:v>
      </x:c>
      <x:c r="D36" s="476" t="str">
        <x:v>MUNICIPIO DE FORMIGUEIRO (RS)</x:v>
      </x:c>
      <x:c r="E36" s="476" t="str">
        <x:v>CIENTE</x:v>
      </x:c>
      <x:c r="F36" s="499" t="n">
        <x:v>56000</x:v>
      </x:c>
      <x:c r="G36" s="476" t="str">
        <x:v>6-Segurança Pública / 183-Informação e Inteligência</x:v>
      </x:c>
      <x:c r="H36" s="476" t="str">
        <x:v>https://especiais.transferegov.sistema.gov.br/transferencia-especial/plano-acao/detalhe/38366/dados-basicos</x:v>
      </x:c>
    </x:row>
    <x:row r="37">
      <x:c r="A37" t="str">
        <x:v>83997</x:v>
      </x:c>
      <x:c r="B37" t="n">
        <x:v>2025</x:v>
      </x:c>
      <x:c r="C37" s="476" t="str">
        <x:v>202541160008-MARCEL VAN HATTEM</x:v>
      </x:c>
      <x:c r="D37" s="476" t="str">
        <x:v>MUNICIPIO DE PANAMBI (RS)</x:v>
      </x:c>
      <x:c r="E37" s="476" t="str">
        <x:v>CIENTE</x:v>
      </x:c>
      <x:c r="F37" s="499" t="n">
        <x:v>396329.67</x:v>
      </x:c>
      <x:c r="G37" s="476" t="str">
        <x:v>6-Segurança Pública / 181-Policiamento , 6-Segurança Pública / 182-Defesa Civil</x:v>
      </x:c>
      <x:c r="H37" s="476" t="str">
        <x:v>https://especiais.transferegov.sistema.gov.br/transferencia-especial/plano-acao/detalhe/83997/dados-basicos</x:v>
      </x:c>
    </x:row>
    <x:row r="38">
      <x:c r="A38" t="str">
        <x:v>96514</x:v>
      </x:c>
      <x:c r="B38" t="n">
        <x:v>2026</x:v>
      </x:c>
      <x:c r="C38" s="476" t="str">
        <x:v>202641160008-MARCEL VAN HATTEM</x:v>
      </x:c>
      <x:c r="D38" s="476" t="str">
        <x:v>MUNICIPIO DE NOVA PETROPOLIS (RS)</x:v>
      </x:c>
      <x:c r="E38" s="476" t="str">
        <x:v>CIENTE</x:v>
      </x:c>
      <x:c r="F38" s="499" t="n">
        <x:v>398000</x:v>
      </x:c>
      <x:c r="G38" s="476" t="str">
        <x:v>12-Educação / 361-Ensino Fundamental , 12-Educação / 362-Ensino Médio</x:v>
      </x:c>
      <x:c r="H38" s="476" t="str">
        <x:v>https://especiais.transferegov.sistema.gov.br/transferencia-especial/plano-acao/detalhe/96514/dados-basicos</x:v>
      </x:c>
    </x:row>
    <x:row r="39">
      <x:c r="A39" t="str">
        <x:v>38363</x:v>
      </x:c>
      <x:c r="B39" t="n">
        <x:v>2023</x:v>
      </x:c>
      <x:c r="C39" s="476" t="str">
        <x:v>202341160001-Marcel Van Hattem</x:v>
      </x:c>
      <x:c r="D39" s="476" t="str">
        <x:v>MUNICIPIO DE TUPANDI (RS)</x:v>
      </x:c>
      <x:c r="E39" s="476" t="str">
        <x:v>CIENTE</x:v>
      </x:c>
      <x:c r="F39" s="499" t="n">
        <x:v>60000</x:v>
      </x:c>
      <x:c r="G39" s="476" t="str">
        <x:v>6-Segurança Pública / 183-Informação e Inteligência</x:v>
      </x:c>
      <x:c r="H39" s="476" t="str">
        <x:v>https://especiais.transferegov.sistema.gov.br/transferencia-especial/plano-acao/detalhe/38363/dados-basicos</x:v>
      </x:c>
    </x:row>
    <x:row r="40">
      <x:c r="A40" t="str">
        <x:v>83990</x:v>
      </x:c>
      <x:c r="B40" t="n">
        <x:v>2025</x:v>
      </x:c>
      <x:c r="C40" s="476" t="str">
        <x:v>202541160008-MARCEL VAN HATTEM</x:v>
      </x:c>
      <x:c r="D40" s="476" t="str">
        <x:v>MUNICIPIO DE PORTO ALEGRE (RS)</x:v>
      </x:c>
      <x:c r="E40" s="476" t="str">
        <x:v>CIENTE</x:v>
      </x:c>
      <x:c r="F40" s="499" t="n">
        <x:v>990000</x:v>
      </x:c>
      <x:c r="G40" s="476" t="str">
        <x:v>6-Segurança Pública / 181-Policiamento , 6-Segurança Pública / 183-Informação e Inteligência</x:v>
      </x:c>
      <x:c r="H40" s="476" t="str">
        <x:v>https://especiais.transferegov.sistema.gov.br/transferencia-especial/plano-acao/detalhe/83990/dados-basicos</x:v>
      </x:c>
    </x:row>
    <x:row r="41">
      <x:c r="A41" t="str">
        <x:v>84000</x:v>
      </x:c>
      <x:c r="B41" t="n">
        <x:v>2025</x:v>
      </x:c>
      <x:c r="C41" s="476" t="str">
        <x:v>202541160008-MARCEL VAN HATTEM</x:v>
      </x:c>
      <x:c r="D41" s="476" t="str">
        <x:v>MUNICIPIO DE SAO GABRIEL (RS)</x:v>
      </x:c>
      <x:c r="E41" s="476" t="str">
        <x:v>CIENTE</x:v>
      </x:c>
      <x:c r="F41" s="499" t="n">
        <x:v>297000</x:v>
      </x:c>
      <x:c r="G41" s="476" t="str">
        <x:v>6-Segurança Pública / 181-Policiamento , 6-Segurança Pública / 183-Informação e Inteligência</x:v>
      </x:c>
      <x:c r="H41" s="476" t="str">
        <x:v>https://especiais.transferegov.sistema.gov.br/transferencia-especial/plano-acao/detalhe/84000/dados-basicos</x:v>
      </x:c>
    </x:row>
    <x:row r="42">
      <x:c r="A42" t="str">
        <x:v>38352</x:v>
      </x:c>
      <x:c r="B42" t="n">
        <x:v>2023</x:v>
      </x:c>
      <x:c r="C42" s="476" t="str">
        <x:v>202341160001-Marcel Van Hattem</x:v>
      </x:c>
      <x:c r="D42" s="476" t="str">
        <x:v>MUNICIPIO DE NOVA PETROPOLIS (RS)</x:v>
      </x:c>
      <x:c r="E42" s="476" t="str">
        <x:v>CIENTE</x:v>
      </x:c>
      <x:c r="F42" s="499" t="n">
        <x:v>450000</x:v>
      </x:c>
      <x:c r="G42" s="476" t="str">
        <x:v>6-Segurança Pública / 181-Policiamento</x:v>
      </x:c>
      <x:c r="H42" s="476" t="str">
        <x:v>https://especiais.transferegov.sistema.gov.br/transferencia-especial/plano-acao/detalhe/38352/dados-basicos</x:v>
      </x:c>
    </x:row>
    <x:row r="43">
      <x:c r="A43" t="str">
        <x:v>83992</x:v>
      </x:c>
      <x:c r="B43" t="n">
        <x:v>2025</x:v>
      </x:c>
      <x:c r="C43" s="476" t="str">
        <x:v>202541160008-MARCEL VAN HATTEM</x:v>
      </x:c>
      <x:c r="D43" s="476" t="str">
        <x:v>MUNICIPIO DE IVORA (RS)</x:v>
      </x:c>
      <x:c r="E43" s="476" t="str">
        <x:v>IMPEDIDO</x:v>
      </x:c>
      <x:c r="F43" s="499" t="n">
        <x:v>198000</x:v>
      </x:c>
      <x:c r="G43" s="476" t="str">
        <x:v>10-Saúde / 301-Atenção Básica</x:v>
      </x:c>
      <x:c r="H43" s="476" t="str">
        <x:v>https://especiais.transferegov.sistema.gov.br/transferencia-especial/plano-acao/detalhe/83992/dados-basicos</x:v>
      </x:c>
    </x:row>
    <x:row r="44">
      <x:c r="A44" t="str">
        <x:v>83995</x:v>
      </x:c>
      <x:c r="B44" t="n">
        <x:v>2025</x:v>
      </x:c>
      <x:c r="C44" s="476" t="str">
        <x:v>202541160008-MARCEL VAN HATTEM</x:v>
      </x:c>
      <x:c r="D44" s="476" t="str">
        <x:v>MUNICIPIO DE GRAVATAI (RS)</x:v>
      </x:c>
      <x:c r="E44" s="476" t="str">
        <x:v>CIENTE</x:v>
      </x:c>
      <x:c r="F44" s="499" t="n">
        <x:v>289040.4</x:v>
      </x:c>
      <x:c r="G44" s="476" t="str">
        <x:v>6-Segurança Pública / 181-Policiamento , 6-Segurança Pública / 182-Defesa Civil , 6-Segurança Pública / 183-Informação e Inteligência</x:v>
      </x:c>
      <x:c r="H44" s="476" t="str">
        <x:v>https://especiais.transferegov.sistema.gov.br/transferencia-especial/plano-acao/detalhe/83995/dados-basicos</x:v>
      </x:c>
    </x:row>
    <x:row r="45">
      <x:c r="A45" t="str">
        <x:v>38361</x:v>
      </x:c>
      <x:c r="B45" t="n">
        <x:v>2023</x:v>
      </x:c>
      <x:c r="C45" s="476" t="str">
        <x:v>202341160001-Marcel Van Hattem</x:v>
      </x:c>
      <x:c r="D45" s="476" t="str">
        <x:v>MUNICIPIO DE FELIZ (RS)</x:v>
      </x:c>
      <x:c r="E45" s="476" t="str">
        <x:v>CIENTE</x:v>
      </x:c>
      <x:c r="F45" s="499" t="n">
        <x:v>150000</x:v>
      </x:c>
      <x:c r="G45" s="476" t="str">
        <x:v>6-Segurança Pública / 183-Informação e Inteligência , 8-Assistência Social / 244-Assistência Comunitária</x:v>
      </x:c>
      <x:c r="H45" s="476" t="str">
        <x:v>https://especiais.transferegov.sistema.gov.br/transferencia-especial/plano-acao/detalhe/38361/dados-basicos</x:v>
      </x:c>
    </x:row>
    <x:row r="46">
      <x:c r="A46" t="str">
        <x:v>38357</x:v>
      </x:c>
      <x:c r="B46" t="n">
        <x:v>2023</x:v>
      </x:c>
      <x:c r="C46" s="476" t="str">
        <x:v>202341160001-Marcel Van Hattem</x:v>
      </x:c>
      <x:c r="D46" s="476" t="str">
        <x:v>MUNICIPIO DE SANTO ANTONIO DA PATRULHA (RS)</x:v>
      </x:c>
      <x:c r="E46" s="476" t="str">
        <x:v>CIENTE</x:v>
      </x:c>
      <x:c r="F46" s="499" t="n">
        <x:v>350000</x:v>
      </x:c>
      <x:c r="G46" s="476" t="str">
        <x:v>6-Segurança Pública / 181-Policiamento , 6-Segurança Pública / 182-Defesa Civil , 6-Segurança Pública / 183-Informação e Inteligência</x:v>
      </x:c>
      <x:c r="H46" s="476" t="str">
        <x:v>https://especiais.transferegov.sistema.gov.br/transferencia-especial/plano-acao/detalhe/38357/dados-basicos</x:v>
      </x:c>
    </x:row>
    <x:row r="47">
      <x:c r="A47" t="str">
        <x:v>38367</x:v>
      </x:c>
      <x:c r="B47" t="n">
        <x:v>2023</x:v>
      </x:c>
      <x:c r="C47" s="476" t="str">
        <x:v>202341160001-Marcel Van Hattem</x:v>
      </x:c>
      <x:c r="D47" s="476" t="str">
        <x:v>MAXIMILIANO DE ALMEIDA (RS)</x:v>
      </x:c>
      <x:c r="E47" s="476" t="str">
        <x:v>CIENTE</x:v>
      </x:c>
      <x:c r="F47" s="499" t="n">
        <x:v>200000</x:v>
      </x:c>
      <x:c r="G47" s="476" t="str">
        <x:v>6-Segurança Pública / 181-Policiamento , 6-Segurança Pública / 183-Informação e Inteligência , 26-Transporte / 782-Transporte Rodoviário</x:v>
      </x:c>
      <x:c r="H47" s="476" t="str">
        <x:v>https://especiais.transferegov.sistema.gov.br/transferencia-especial/plano-acao/detalhe/38367/dados-basicos</x:v>
      </x:c>
    </x:row>
    <x:row r="48">
      <x:c r="A48" t="str">
        <x:v>38354</x:v>
      </x:c>
      <x:c r="B48" t="n">
        <x:v>2023</x:v>
      </x:c>
      <x:c r="C48" s="476" t="str">
        <x:v>202341160001-Marcel Van Hattem</x:v>
      </x:c>
      <x:c r="D48" s="476" t="str">
        <x:v>MUNICIPIO DE MORRO REUTER (RS)</x:v>
      </x:c>
      <x:c r="E48" s="476" t="str">
        <x:v>CIENTE</x:v>
      </x:c>
      <x:c r="F48" s="499" t="n">
        <x:v>450000</x:v>
      </x:c>
      <x:c r="G48" s="476" t="str">
        <x:v>6-Segurança Pública / 183-Informação e Inteligência , 8-Assistência Social / 244-Assistência Comunitária</x:v>
      </x:c>
      <x:c r="H48" s="476" t="str">
        <x:v>https://especiais.transferegov.sistema.gov.br/transferencia-especial/plano-acao/detalhe/38354/dados-basicos</x:v>
      </x:c>
    </x:row>
    <x:row r="49">
      <x:c r="A49" t="str">
        <x:v>38355</x:v>
      </x:c>
      <x:c r="B49" t="n">
        <x:v>2023</x:v>
      </x:c>
      <x:c r="C49" s="476" t="str">
        <x:v>202341160001-Marcel Van Hattem</x:v>
      </x:c>
      <x:c r="D49" s="476" t="str">
        <x:v>MUNICIPIO DE LAJEADO (RS)</x:v>
      </x:c>
      <x:c r="E49" s="476" t="str">
        <x:v>CIENTE</x:v>
      </x:c>
      <x:c r="F49" s="499" t="n">
        <x:v>165000</x:v>
      </x:c>
      <x:c r="G49" s="476" t="str">
        <x:v>6-Segurança Pública / 181-Policiamento , 15-Urbanismo / 451-Infraestrutura Urbana</x:v>
      </x:c>
      <x:c r="H49" s="476" t="str">
        <x:v>https://especiais.transferegov.sistema.gov.br/transferencia-especial/plano-acao/detalhe/38355/dados-basicos</x:v>
      </x:c>
    </x:row>
    <x:row r="50">
      <x:c r="A50" t="str">
        <x:v>38362</x:v>
      </x:c>
      <x:c r="B50" t="n">
        <x:v>2023</x:v>
      </x:c>
      <x:c r="C50" s="476" t="str">
        <x:v>202341160001-Marcel Van Hattem</x:v>
      </x:c>
      <x:c r="D50" s="476" t="str">
        <x:v>MUNICIPIO DE SANTA MARIA DO HERVAL (RS)</x:v>
      </x:c>
      <x:c r="E50" s="476" t="str">
        <x:v>CIENTE</x:v>
      </x:c>
      <x:c r="F50" s="499" t="n">
        <x:v>235000</x:v>
      </x:c>
      <x:c r="G50" s="476" t="str">
        <x:v>6-Segurança Pública / 181-Policiamento , 6-Segurança Pública / 182-Defesa Civil , 6-Segurança Pública / 183-Informação e Inteligência</x:v>
      </x:c>
      <x:c r="H50" s="476" t="str">
        <x:v>https://especiais.transferegov.sistema.gov.br/transferencia-especial/plano-acao/detalhe/38362/dados-basicos</x:v>
      </x:c>
    </x:row>
    <x:row r="51">
      <x:c r="A51" t="str">
        <x:v>84003</x:v>
      </x:c>
      <x:c r="B51" t="n">
        <x:v>2025</x:v>
      </x:c>
      <x:c r="C51" s="476" t="str">
        <x:v>202541160008-MARCEL VAN HATTEM</x:v>
      </x:c>
      <x:c r="D51" s="476" t="str">
        <x:v>MUNICIPIO DE TRES DE MAIO (RS)</x:v>
      </x:c>
      <x:c r="E51" s="476" t="str">
        <x:v>CIENTE</x:v>
      </x:c>
      <x:c r="F51" s="499" t="n">
        <x:v>445500</x:v>
      </x:c>
      <x:c r="G51" s="476" t="str">
        <x:v>20-Agricultura / 605-Abastecimento , 20-Agricultura / 606-Extensão Rural , 20-Agricultura / 607-Irrigação , 20-Agricultura / 608-Promoção da Produção Agropecuária , 20-Agricultura / 609-Defesa Agropecuária</x:v>
      </x:c>
      <x:c r="H51" s="476" t="str">
        <x:v>https://especiais.transferegov.sistema.gov.br/transferencia-especial/plano-acao/detalhe/84003/dados-basicos</x:v>
      </x:c>
    </x:row>
    <x:row r="52">
      <x:c r="A52" t="str">
        <x:v>38365</x:v>
      </x:c>
      <x:c r="B52" t="n">
        <x:v>2023</x:v>
      </x:c>
      <x:c r="C52" s="476" t="str">
        <x:v>202341160001-Marcel Van Hattem</x:v>
      </x:c>
      <x:c r="D52" s="476" t="str">
        <x:v>MUNICIPIO DE PICADA CAFE (RS)</x:v>
      </x:c>
      <x:c r="E52" s="476" t="str">
        <x:v>CIENTE</x:v>
      </x:c>
      <x:c r="F52" s="499" t="n">
        <x:v>250000</x:v>
      </x:c>
      <x:c r="G52" s="476" t="str">
        <x:v>6-Segurança Pública / 181-Policiamento , 6-Segurança Pública / 183-Informação e Inteligência , 8-Assistência Social / 244-Assistência Comunitária</x:v>
      </x:c>
      <x:c r="H52" s="476" t="str">
        <x:v>https://especiais.transferegov.sistema.gov.br/transferencia-especial/plano-acao/detalhe/38365/dados-basicos</x:v>
      </x:c>
    </x:row>
    <x:row r="53">
      <x:c r="A53" t="str">
        <x:v>83998</x:v>
      </x:c>
      <x:c r="B53" t="n">
        <x:v>2025</x:v>
      </x:c>
      <x:c r="C53" s="476" t="str">
        <x:v>202541160008-MARCEL VAN HATTEM</x:v>
      </x:c>
      <x:c r="D53" s="476" t="str">
        <x:v>MUNICIPIO DE PASSO FUNDO (RS)</x:v>
      </x:c>
      <x:c r="E53" s="476" t="str">
        <x:v>CIENTE</x:v>
      </x:c>
      <x:c r="F53" s="499" t="n">
        <x:v>648450</x:v>
      </x:c>
      <x:c r="G53" s="476" t="str">
        <x:v>10-Saúde / 302-Assistência Hospitalar e Ambulatorial , 10-Saúde / 303-Suporte Profilático e Terapêutico , 10-Saúde / 304-Vigilância Sanitária , 10-Saúde / 305-Vigilância Epidemiológica , 10-Saúde / 306-Alimentação e Nutrição</x:v>
      </x:c>
      <x:c r="H53" s="476" t="str">
        <x:v>https://especiais.transferegov.sistema.gov.br/transferencia-especial/plano-acao/detalhe/83998/dados-basicos</x:v>
      </x:c>
    </x:row>
    <x:row r="54">
      <x:c r="A54" t="str">
        <x:v>38351</x:v>
      </x:c>
      <x:c r="B54" t="n">
        <x:v>2023</x:v>
      </x:c>
      <x:c r="C54" s="476" t="str">
        <x:v>202341160001-Marcel Van Hattem</x:v>
      </x:c>
      <x:c r="D54" s="476" t="str">
        <x:v>MUNICIPIO DE MONTENEGRO (RS)</x:v>
      </x:c>
      <x:c r="E54" s="476" t="str">
        <x:v>CIENTE</x:v>
      </x:c>
      <x:c r="F54" s="499" t="n">
        <x:v>140000</x:v>
      </x:c>
      <x:c r="G54" s="476" t="str">
        <x:v>12-Educação / 361-Ensino Fundamental , 12-Educação / 365-Educação Infantil</x:v>
      </x:c>
      <x:c r="H54" s="476" t="str">
        <x:v>https://especiais.transferegov.sistema.gov.br/transferencia-especial/plano-acao/detalhe/38351/dados-basicos</x:v>
      </x:c>
    </x:row>
    <x:row r="55">
      <x:c r="A55" t="str">
        <x:v>84006</x:v>
      </x:c>
      <x:c r="B55" t="n">
        <x:v>2025</x:v>
      </x:c>
      <x:c r="C55" s="476" t="str">
        <x:v>202541160008-MARCEL VAN HATTEM</x:v>
      </x:c>
      <x:c r="D55" s="476" t="str">
        <x:v>DONA FRANCISCA (RS)</x:v>
      </x:c>
      <x:c r="E55" s="476" t="str">
        <x:v>IMPEDIDO</x:v>
      </x:c>
      <x:c r="F55" s="499" t="n">
        <x:v>198000</x:v>
      </x:c>
      <x:c r="G55" s="476" t="str">
        <x:v>10-Saúde / 301-Atenção Básica , 10-Saúde / 302-Assistência Hospitalar e Ambulatorial , 10-Saúde / 303-Suporte Profilático e Terapêutico , 10-Saúde / 304-Vigilância Sanitária , 10-Saúde / 305-Vigilância Epidemiológica , 10-Saúde / 306-Alimentação e Nutrição</x:v>
      </x:c>
      <x:c r="H55" s="476" t="str">
        <x:v>https://especiais.transferegov.sistema.gov.br/transferencia-especial/plano-acao/detalhe/84006/dados-basicos</x:v>
      </x:c>
    </x:row>
    <x:row r="56">
      <x:c r="A56" t="str">
        <x:v>96517</x:v>
      </x:c>
      <x:c r="B56" t="n">
        <x:v>2026</x:v>
      </x:c>
      <x:c r="C56" s="476" t="str">
        <x:v>202641160008-MARCEL VAN HATTEM</x:v>
      </x:c>
      <x:c r="D56" s="476" t="str">
        <x:v>MUNICIPIO DE VIAMAO (RS)</x:v>
      </x:c>
      <x:c r="E56" s="476" t="str">
        <x:v>IMPEDIDO</x:v>
      </x:c>
      <x:c r="F56" s="499" t="n">
        <x:v>398000</x:v>
      </x:c>
      <x:c r="G56" s="476" t="str">
        <x:v>15-Urbanismo / 451-Infraestrutura Urbana</x:v>
      </x:c>
      <x:c r="H56" s="476" t="str">
        <x:v>https://especiais.transferegov.sistema.gov.br/transferencia-especial/plano-acao/detalhe/96517/dados-basicos</x:v>
      </x:c>
    </x:row>
    <x:row r="57">
      <x:c r="A57" t="str">
        <x:v>96518</x:v>
      </x:c>
      <x:c r="B57" t="n">
        <x:v>2026</x:v>
      </x:c>
      <x:c r="C57" s="476" t="str">
        <x:v>202641160008-MARCEL VAN HATTEM</x:v>
      </x:c>
      <x:c r="D57" s="476" t="str">
        <x:v>MUNICIPIO DE ACEGUA (RS)</x:v>
      </x:c>
      <x:c r="E57" s="476" t="str">
        <x:v>IMPEDIDO</x:v>
      </x:c>
      <x:c r="F57" s="499" t="n">
        <x:v>398000</x:v>
      </x:c>
      <x:c r="G57" s="476" t="str">
        <x:v>6-Segurança Pública / 181-Policiamento</x:v>
      </x:c>
      <x:c r="H57" s="476" t="str">
        <x:v>https://especiais.transferegov.sistema.gov.br/transferencia-especial/plano-acao/detalhe/96518/dados-basicos</x:v>
      </x:c>
    </x:row>
    <x:row r="58">
      <x:c r="A58" t="str">
        <x:v>88189</x:v>
      </x:c>
      <x:c r="B58" t="n">
        <x:v>2025</x:v>
      </x:c>
      <x:c r="C58" s="476" t="str">
        <x:v>202541160008-MARCEL VAN HATTEM</x:v>
      </x:c>
      <x:c r="D58" s="476" t="str">
        <x:v>DONA FRANCISCA (RS)</x:v>
      </x:c>
      <x:c r="E58" s="476" t="str">
        <x:v>CIENTE</x:v>
      </x:c>
      <x:c r="F58" s="499" t="n">
        <x:v>198000</x:v>
      </x:c>
      <x:c r="G58" s="476" t="str">
        <x:v>10-Saúde / 126-Tecnologia da Informação , 10-Saúde / 128-Formação de Recursos Humanos , 10-Saúde / 301-Atenção Básica , 10-Saúde / 302-Assistência Hospitalar e Ambulatorial , 10-Saúde / 303-Suporte Profilático e Terapêutico , 10-Saúde / 304-Vigilância Sanitária , 10-Saúde / 305-Vigilância Epidemiológica , 10-Saúde / 306-Alimentação e Nutrição</x:v>
      </x:c>
      <x:c r="H58" s="476" t="str">
        <x:v>https://especiais.transferegov.sistema.gov.br/transferencia-especial/plano-acao/detalhe/88189/dados-basicos</x:v>
      </x:c>
    </x:row>
    <x:row r="59">
      <x:c r="A59" t="str">
        <x:v>96515</x:v>
      </x:c>
      <x:c r="B59" t="n">
        <x:v>2026</x:v>
      </x:c>
      <x:c r="C59" s="476" t="str">
        <x:v>202641160008-MARCEL VAN HATTEM</x:v>
      </x:c>
      <x:c r="D59" s="476" t="str">
        <x:v>MUNICIPIO DE PARAI (RS)</x:v>
      </x:c>
      <x:c r="E59" s="476" t="str">
        <x:v>IMPEDIDO</x:v>
      </x:c>
      <x:c r="F59" s="499" t="n">
        <x:v>398000</x:v>
      </x:c>
      <x:c r="G59" s="476" t="str">
        <x:v>6-Segurança Pública / 181-Policiamento</x:v>
      </x:c>
      <x:c r="H59" s="476" t="str">
        <x:v>https://especiais.transferegov.sistema.gov.br/transferencia-especial/plano-acao/detalhe/96515/dados-basicos</x:v>
      </x:c>
    </x:row>
    <x:row r="60">
      <x:c r="A60" t="str">
        <x:v>96512</x:v>
      </x:c>
      <x:c r="B60" t="n">
        <x:v>2026</x:v>
      </x:c>
      <x:c r="C60" s="476" t="str">
        <x:v>202641160008-MARCEL VAN HATTEM</x:v>
      </x:c>
      <x:c r="D60" s="476" t="str">
        <x:v>MUNICIPIO DE LAVRAS DO SUL (RS)</x:v>
      </x:c>
      <x:c r="E60" s="476" t="str">
        <x:v>IMPEDIDO</x:v>
      </x:c>
      <x:c r="F60" s="499" t="n">
        <x:v>398000</x:v>
      </x:c>
      <x:c r="G60" s="476" t="str">
        <x:v>6-Segurança Pública / 181-Policiamento , 6-Segurança Pública / 182-Defesa Civil , 6-Segurança Pública / 183-Informação e Inteligência , 8-Assistência Social / 241-Assistência ao Idoso , 8-Assistência Social / 242-Assistência ao Portador de Deficiência , 8-Assistência Social / 243-Assistência à Criança e ao Adolescente , 8-Assistência Social / 244-Assistência Comunitária , 8-Assistência Social / 245-Serviços Socioassistenciais , 8-Assistência Social / 246-Segurança de Renda , 10-Saúde / 126-Tecnologia da Informação , 10-Saúde / 128-Formação de Recursos Humanos , 10-Saúde / 301-Atenção Básica , 10-Saúde / 302-Assistência Hospitalar e Ambulatorial , 10-Saúde / 303-Suporte Profilático e Terapêutico , 10-Saúde / 304-Vigilância Sanitária , 10-Saúde / 305-Vigilância Epidemiológica , 10-Saúde / 306-Alimentação e Nutrição , 11-Trabalho / 331-Proteção e Benefícios ao Trabalhador , 11-Trabalho / 332-Relações de Trabalho , 11-Trabalho / 333-Empregabilidade , 11-Trabalho / 334-Fomento ao Trabalho , 12-Educação / 361-Ensino Fundamental , 12-Educação / 362-Ensino Médio , 12-Educação / 363-Ensino Profissional , 12-Educação / 364-Ensino Superior , 12-Educação / 365-Educação Infantil , 12-Educação / 366-Educação de Jovens e Adultos , 12-Educação / 367-Educação Especial , 12-Educação / 368-Educação Básica , 13-Cultura / 391-Patrimônio Histórico, Artístico e Arqueológico , 13-Cultura / 392-Difusão Cultural , 14-Direitos da Cidadania / 421-Custódia e Reintegração Social , 14-Direitos da Cidadania / 422-Direitos Individuais, Coletivos e Difusos , 14-Direitos da Cidadania / 423-Assistência aos Povos Indígenas , 15-Urbanismo / 127-Ordenamento Territorial , 15-Urbanismo / 244-Assistência Comunitária , 15-Urbanismo / 451-Infraestrutura Urbana , 15-Urbanismo / 452-Serviços Urbanos , 15-Urbanismo / 453-Transportes Coletivos Urbanos , 16-Habitação / 481-Habitação Rural , 16-Habitação / 482-Habitação Urbana , 17-Saneamento / 511-Saneamento Básico Rural , 17-Saneamento / 512-Saneamento Básico Urbano , 18-Gestão Ambiental / 541-Preservação e Conservação Ambiental , 18-Gestão Ambiental / 542-Controle Ambiental , 18-Gestão Ambiental / 543-Recuperação de Áreas Degradadas , 18-Gestão Ambiental / 544-Recursos Hídricos , 18-Gestão Ambiental / 545-Meteorologia , 19-Ciência e Tecnologia / 571-Desenvolvimento Científico , 19-Ciência e Tecnologia / 572-Desenvolvimento Tecnológico e Engenharia , 19-Ciência e Tecnologia / 573-Difusão do Conhecimento Científico e Tecnológico , 20-Agricultura / 605-Abastecimento , 20-Agricultura / 606-Extensão Rural , 20-Agricultura / 607-Irrigação , 20-Agricultura / 608-Promoção da Produção Agropecuária , 20-Agricultura / 609-Defesa Agropecuária , 21-Organização Agrária / 631-Reforma Agrária , 21-Organização Agrária / 632-Colonização , 22-Indústria / 661-Promoção Industrial , 22-Indústria / 662-Produção Industrial , 22-Indústria / 663-Mineração , 22-Indústria / 664-Propriedade Industrial , 22-Indústria / 665-Normalização e Qualidade , 23-Comércio e Serviços / 691-Promoção Comercial , 23-Comércio e Serviços / 692-Comercialização , 23-Comércio e Serviços / 693-Comércio Exterior , 23-Comércio e Serviços / 694-Serviços Financeiros , 23-Comércio e Serviços / 695-Turismo , 25-Energia / 751-Conservação de Energia , 25-Energia / 752-Energia Elétrica , 25-Energia / 753-Combustíveis Minerais , 25-Energia / 754-Biocombustíveis , 26-Transporte / 781-Transporte Aéreo , 26-Transporte / 782-Transporte Rodoviário , 26-Transporte / 783-Transporte Ferroviário , 26-Transporte / 784-Transporte Hidroviário , 26-Transporte / 785-Transportes Especiais , 27-Desporto e Lazer / 811-Desporto de Rendimento , 27-Desporto e Lazer / 812-Desporto Comunitário , 27-Desporto e Lazer / 813-Lazer</x:v>
      </x:c>
      <x:c r="H60" s="476" t="str">
        <x:v>https://especiais.transferegov.sistema.gov.br/transferencia-especial/plano-acao/detalhe/96512/dados-basicos</x:v>
      </x:c>
    </x:row>
  </x:sheetData>
  <x:conditionalFormatting sqref="E2:E60">
    <x:cfRule type="expression" dxfId="9" priority="1">
      <x:formula>E2="IMPEDIDO"</x:formula>
    </x:cfRule>
    <x:cfRule type="expression" dxfId="10" priority="2">
      <x:formula>E2="CIENTE"</x:formula>
    </x:cfRule>
  </x:conditionalFormatting>
  <x:pageMargins left="0.7" right="0.7" top="0.75" bottom="0.75" header="0.3" footer="0.3"/>
  <x:tableParts count="1">
    <x:tablePart xmlns:r="http://schemas.openxmlformats.org/officeDocument/2006/relationships" r:id="R7601e366125d4847"/>
  </x:tableParts>
</x:worksheet>
</file>

<file path=xl/worksheets/sheet9.xml><?xml version="1.0" encoding="utf-8"?>
<x:worksheet xmlns:x="http://schemas.openxmlformats.org/spreadsheetml/2006/main">
  <x:sheetFormatPr defaultRowHeight="15"/>
  <x:cols>
    <x:col min="1" max="1" width="42" hidden="0" customWidth="1"/>
    <x:col min="2" max="2" width="44" hidden="0" customWidth="1"/>
    <x:col min="3" max="3" width="48" hidden="0" customWidth="1"/>
    <x:col min="4" max="4" width="44" hidden="0" customWidth="1"/>
    <x:col min="5" max="5" width="52" hidden="0" customWidth="1"/>
  </x:cols>
  <x:sheetData>
    <x:row r="1">
      <x:c r="A1" s="472" t="str">
        <x:v>Fontes anexas e critérios de conciliação</x:v>
      </x:c>
      <x:c r="B1" s="472"/>
      <x:c r="C1" s="472"/>
      <x:c r="D1" s="472"/>
      <x:c r="E1" s="472"/>
    </x:row>
    <x:row r="3">
      <x:c r="A3" s="482" t="str">
        <x:v>Arquivo</x:v>
      </x:c>
      <x:c r="B3" s="482" t="str">
        <x:v>Natureza</x:v>
      </x:c>
      <x:c r="C3" s="482" t="str">
        <x:v>Granularidade usada</x:v>
      </x:c>
      <x:c r="D3" s="482" t="str">
        <x:v>Uso na conciliação</x:v>
      </x:c>
      <x:c r="E3" s="482" t="str">
        <x:v>Observação</x:v>
      </x:c>
    </x:row>
    <x:row r="4">
      <x:c r="A4" s="489" t="str">
        <x:v>NOVO MAPA Emendas Parlamentares (2).xlsx</x:v>
      </x:c>
      <x:c r="B4" s="489" t="str">
        <x:v>Manual / referência de trabalho</x:v>
      </x:c>
      <x:c r="C4" s="489" t="str">
        <x:v>Linha de destinação</x:v>
      </x:c>
      <x:c r="D4" s="489" t="str">
        <x:v>Base auditada</x:v>
      </x:c>
      <x:c r="E4" s="489" t="str">
        <x:v>Não presumida correta nem atualizada.</x:v>
      </x:c>
    </x:row>
    <x:row r="5">
      <x:c r="A5" s="489" t="str">
        <x:v>Painel SIGA-Brasil 2019-2026 GND.xlsx</x:v>
      </x:c>
      <x:c r="B5" s="489" t="str">
        <x:v>Fonte pública governamental</x:v>
      </x:c>
      <x:c r="C5" s="489" t="str">
        <x:v>Emenda + ação + GND</x:v>
      </x:c>
      <x:c r="D5" s="489" t="str">
        <x:v>Autorizado, empenhado, RP e pago agregados</x:v>
      </x:c>
      <x:c r="E5" s="489" t="str">
        <x:v>Usado como controle de teto/cobertura, não para provar destinatário.</x:v>
      </x:c>
    </x:row>
    <x:row r="6">
      <x:c r="A6" s="489" t="str">
        <x:v>Painel SIGA-Brasil 2019-2026.xlsx</x:v>
      </x:c>
      <x:c r="B6" s="489" t="str">
        <x:v>Fonte pública governamental</x:v>
      </x:c>
      <x:c r="C6" s="489" t="str">
        <x:v>Favorecido/CNPJ por emenda</x:v>
      </x:c>
      <x:c r="D6" s="489" t="str">
        <x:v>Confirmação de pagamento e CNPJ</x:v>
      </x:c>
      <x:c r="E6" s="489" t="str">
        <x:v>Principal evidência de destinatário pago.</x:v>
      </x:c>
    </x:row>
    <x:row r="7">
      <x:c r="A7" s="489" t="str">
        <x:v>Painel 2019-2026.xlsx</x:v>
      </x:c>
      <x:c r="B7" s="489" t="str">
        <x:v>Transferegov</x:v>
      </x:c>
      <x:c r="C7" s="489" t="str">
        <x:v>Instrumento + município + proponente</x:v>
      </x:c>
      <x:c r="D7" s="489" t="str">
        <x:v>Vínculo, objeto, situação e candidato de emenda</x:v>
      </x:c>
      <x:c r="E7" s="489" t="str">
        <x:v>Valores podem ser do instrumento inteiro/cofinanciado; não foram somados como parcela da emenda.</x:v>
      </x:c>
    </x:row>
    <x:row r="8">
      <x:c r="A8" s="489" t="str">
        <x:v>emendas.csv</x:v>
      </x:c>
      <x:c r="B8" s="489" t="str">
        <x:v>Fonte pública governamental</x:v>
      </x:c>
      <x:c r="C8" s="489" t="str">
        <x:v>Emenda + regionalização + função</x:v>
      </x:c>
      <x:c r="D8" s="489" t="str">
        <x:v>Execução e função/localidade</x:v>
      </x:c>
      <x:c r="E8" s="489" t="str">
        <x:v>Regionalização não municipal foi tratada como insuficiente para vincular linha.</x:v>
      </x:c>
    </x:row>
    <x:row r="9">
      <x:c r="A9" s="489" t="str">
        <x:v>emendasPIX_Marcel_van_Hattem.txt</x:v>
      </x:c>
      <x:c r="B9" s="489" t="str">
        <x:v>Transferências Especiais / PIX</x:v>
      </x:c>
      <x:c r="C9" s="489" t="str">
        <x:v>Plano de ação + beneficiário</x:v>
      </x:c>
      <x:c r="D9" s="489" t="str">
        <x:v>Valor e situação CIENTE/IMPEDIDO</x:v>
      </x:c>
      <x:c r="E9" s="489" t="str">
        <x:v>Gerado em 31/08/2026; CIENTE e IMPEDIDO foram separados para evitar dupla contagem.</x:v>
      </x:c>
    </x:row>
    <x:row r="10">
      <x:c r="A10" s="489"/>
      <x:c r="B10" s="489"/>
      <x:c r="C10" s="489"/>
      <x:c r="D10" s="489"/>
      <x:c r="E10" s="489"/>
    </x:row>
    <x:row r="11">
      <x:c r="A11" s="501" t="str">
        <x:v>Regra</x:v>
      </x:c>
      <x:c r="B11" s="501" t="str">
        <x:v>Critério</x:v>
      </x:c>
      <x:c r="C11" s="501" t="str">
        <x:v>Por quê</x:v>
      </x:c>
      <x:c r="D11" s="501" t="str">
        <x:v>Risco evitado</x:v>
      </x:c>
      <x:c r="E11" s="501" t="str">
        <x:v>Como aparece</x:v>
      </x:c>
    </x:row>
    <x:row r="12">
      <x:c r="A12" s="489" t="str">
        <x:v>Inferência forte de nº</x:v>
      </x:c>
      <x:c r="B12" s="489" t="str">
        <x:v>Ano + município + valor exatos em SIGA favorecido e/ou PIX, com candidato de emenda único</x:v>
      </x:c>
      <x:c r="C12" s="489" t="str">
        <x:v>São bases em granularidade diretamente vinculável à destinação/pagamento</x:v>
      </x:c>
      <x:c r="D12" s="489" t="str">
        <x:v>Falso preenchimento</x:v>
      </x:c>
      <x:c r="E12" s="489" t="str">
        <x:v>Origem = 'Inferido forte (SIGA/PIX)'.</x:v>
      </x:c>
    </x:row>
    <x:row r="13">
      <x:c r="A13" s="489" t="str">
        <x:v>Candidato via Transferegov</x:v>
      </x:c>
      <x:c r="B13" s="489" t="str">
        <x:v>Vínculo município/emenda e coincidência de valor do instrumento</x:v>
      </x:c>
      <x:c r="C13" s="489" t="str">
        <x:v>Útil para recuperar nº ausente, mas não prova que o valor total do instrumento é a parcela da emenda</x:v>
      </x:c>
      <x:c r="D13" s="489" t="str">
        <x:v>Superestimar/duplicar valores</x:v>
      </x:c>
      <x:c r="E13" s="489" t="str">
        <x:v>Origem = 'Candidato — revisar (Transferegov)' e prioridade Média.</x:v>
      </x:c>
    </x:row>
    <x:row r="14">
      <x:c r="A14" s="489" t="str">
        <x:v>PIX com CIENTE e IMPEDIDO</x:v>
      </x:c>
      <x:c r="B14" s="489" t="str">
        <x:v>CIENTE usado como referência atual quando existe; IMPEDIDO mantido separado</x:v>
      </x:c>
      <x:c r="C14" s="489" t="str">
        <x:v>Pode haver plano substituto com mesmo valor</x:v>
      </x:c>
      <x:c r="D14" s="489" t="str">
        <x:v>Dupla contagem</x:v>
      </x:c>
      <x:c r="E14" s="489" t="str">
        <x:v>Duas colunas de PIX na conciliação.</x:v>
      </x:c>
    </x:row>
    <x:row r="15">
      <x:c r="A15" s="489" t="str">
        <x:v>Diferença de valor</x:v>
      </x:c>
      <x:c r="B15" s="489" t="str">
        <x:v>Não chamada automaticamente de erro</x:v>
      </x:c>
      <x:c r="C15" s="489" t="str">
        <x:v>Autorizado, empenhado, plano, desembolso e pagamento podem divergir no tempo</x:v>
      </x:c>
      <x:c r="D15" s="489" t="str">
        <x:v>Confundir execução com destinação</x:v>
      </x:c>
      <x:c r="E15" s="489" t="str">
        <x:v>Categoria própria de divergência/cobertura.</x:v>
      </x:c>
    </x:row>
    <x:row r="16">
      <x:c r="A16" s="489" t="str">
        <x:v>Confirmação do destino</x:v>
      </x:c>
      <x:c r="B16" s="489" t="str">
        <x:v>Exige favorecido, regionalização municipal, plano PIX ou instrumento</x:v>
      </x:c>
      <x:c r="C16" s="489" t="str">
        <x:v>A mera existência da emenda não confirma a linha manual</x:v>
      </x:c>
      <x:c r="D16" s="489" t="str">
        <x:v>Falsa confirmação</x:v>
      </x:c>
      <x:c r="E16" s="489" t="str">
        <x:v>Categorias separadas de 'destino confirmado' e 'emenda confirmada'.</x:v>
      </x:c>
    </x:row>
  </x:sheetData>
  <x:mergeCells>
    <x:mergeCell ref="A1:E1"/>
  </x:mergeCells>
  <x:pageMargins left="0.7" right="0.7" top="0.75" bottom="0.75" header="0.3" footer="0.3"/>
</x:worksheet>
</file>